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2481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6월 결산 · 일본 기준 · 2027.1Q = 2027년 6월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846.856</v>
      </c>
      <c r="D4" s="12" t="n">
        <v>1207.479</v>
      </c>
      <c r="E4" s="12" t="n">
        <v>783.543</v>
      </c>
      <c r="F4" s="12" t="n">
        <v>851.633</v>
      </c>
      <c r="G4" s="12" t="n">
        <v>822.912</v>
      </c>
      <c r="H4" s="12" t="n">
        <v>1175.099</v>
      </c>
      <c r="I4" s="12" t="n">
        <v>827.378</v>
      </c>
      <c r="J4" s="12" t="n">
        <v>916.309</v>
      </c>
      <c r="K4" s="12" t="n">
        <v>928.539</v>
      </c>
      <c r="L4" s="12" t="n">
        <v>1307.562</v>
      </c>
      <c r="M4" s="12" t="n">
        <v>835.225</v>
      </c>
      <c r="N4" s="12" t="n">
        <v>962.799</v>
      </c>
      <c r="O4" s="11" t="n">
        <v>3125.785</v>
      </c>
      <c r="P4" s="12" t="n">
        <v>3098.261</v>
      </c>
      <c r="Q4" s="12" t="n">
        <v>3121.982</v>
      </c>
      <c r="R4" s="12" t="n">
        <v>2810.492</v>
      </c>
      <c r="S4" s="12" t="n">
        <v>2942.872</v>
      </c>
      <c r="T4" s="12" t="n">
        <v>3248.705</v>
      </c>
      <c r="U4" s="12" t="n">
        <v>3692.545</v>
      </c>
      <c r="V4" s="12" t="n">
        <v>3736.173</v>
      </c>
      <c r="W4" s="12" t="n">
        <v>3677.022</v>
      </c>
      <c r="X4" s="12" t="n">
        <v>3987.635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289.567</v>
      </c>
      <c r="D11" s="22" t="n">
        <v>375.741</v>
      </c>
      <c r="E11" s="22" t="n">
        <v>283.188</v>
      </c>
      <c r="F11" s="22" t="n">
        <v>280.737</v>
      </c>
      <c r="G11" s="22" t="n">
        <v>267.907</v>
      </c>
      <c r="H11" s="22" t="n">
        <v>357.736</v>
      </c>
      <c r="I11" s="22" t="n">
        <v>300.422</v>
      </c>
      <c r="J11" s="22" t="n">
        <v>314.752</v>
      </c>
      <c r="K11" s="22" t="n">
        <v>323.897</v>
      </c>
      <c r="L11" s="22" t="n">
        <v>424.877</v>
      </c>
      <c r="M11" s="22" t="n">
        <v>310.002</v>
      </c>
      <c r="N11" s="22" t="n">
        <v>301.689</v>
      </c>
      <c r="O11" s="21" t="n">
        <v>1249.942</v>
      </c>
      <c r="P11" s="22" t="n">
        <v>1175.474</v>
      </c>
      <c r="Q11" s="22" t="n">
        <v>1124.128</v>
      </c>
      <c r="R11" s="22" t="n">
        <v>1056.794</v>
      </c>
      <c r="S11" s="22" t="n">
        <v>1079.076</v>
      </c>
      <c r="T11" s="22" t="n">
        <v>1149.948</v>
      </c>
      <c r="U11" s="22" t="n">
        <v>1296.301</v>
      </c>
      <c r="V11" s="22" t="n">
        <v>1248.337</v>
      </c>
      <c r="W11" s="22" t="n">
        <v>1206.802</v>
      </c>
      <c r="X11" s="22" t="n">
        <v>1373.528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453.088</v>
      </c>
      <c r="D17" s="22" t="n">
        <v>447.65</v>
      </c>
      <c r="E17" s="22" t="n">
        <v>526.022</v>
      </c>
      <c r="F17" s="22" t="n">
        <v>482.394</v>
      </c>
      <c r="G17" s="22" t="n">
        <v>478.397</v>
      </c>
      <c r="H17" s="22" t="n">
        <v>499.282</v>
      </c>
      <c r="I17" s="22" t="n">
        <v>547.8</v>
      </c>
      <c r="J17" s="22" t="n">
        <v>500.336</v>
      </c>
      <c r="K17" s="22" t="n">
        <v>490.676</v>
      </c>
      <c r="L17" s="22" t="n">
        <v>489.817</v>
      </c>
      <c r="M17" s="22" t="n">
        <v>539.516</v>
      </c>
      <c r="N17" s="22" t="n">
        <v>526.454</v>
      </c>
      <c r="O17" s="21" t="n">
        <v>1693.928</v>
      </c>
      <c r="P17" s="22" t="n">
        <v>1630.929</v>
      </c>
      <c r="Q17" s="22" t="n">
        <v>1674.651</v>
      </c>
      <c r="R17" s="22" t="n">
        <v>1630.196</v>
      </c>
      <c r="S17" s="22" t="n">
        <v>1620.52</v>
      </c>
      <c r="T17" s="22" t="n">
        <v>1720.191</v>
      </c>
      <c r="U17" s="22" t="n">
        <v>1826.672</v>
      </c>
      <c r="V17" s="22" t="n">
        <v>1911.097</v>
      </c>
      <c r="W17" s="22" t="n">
        <v>2007.873</v>
      </c>
      <c r="X17" s="22" t="n">
        <v>2020.345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104.201</v>
      </c>
      <c r="D19" s="12" t="n">
        <v>384.088</v>
      </c>
      <c r="E19" s="12" t="n">
        <v>-25.666</v>
      </c>
      <c r="F19" s="12" t="n">
        <v>88.502</v>
      </c>
      <c r="G19" s="12" t="n">
        <v>76.607</v>
      </c>
      <c r="H19" s="12" t="n">
        <v>318.081</v>
      </c>
      <c r="I19" s="12" t="n">
        <v>-20.844</v>
      </c>
      <c r="J19" s="12" t="n">
        <v>101.221</v>
      </c>
      <c r="K19" s="12" t="n">
        <v>113.965</v>
      </c>
      <c r="L19" s="12" t="n">
        <v>392.869</v>
      </c>
      <c r="M19" s="12" t="n">
        <v>-14.294</v>
      </c>
      <c r="N19" s="12" t="n">
        <v>134.655</v>
      </c>
      <c r="O19" s="11" t="n">
        <v>181.914</v>
      </c>
      <c r="P19" s="12" t="n">
        <v>291.857</v>
      </c>
      <c r="Q19" s="12" t="n">
        <v>323.202</v>
      </c>
      <c r="R19" s="12" t="n">
        <v>123.501</v>
      </c>
      <c r="S19" s="12" t="n">
        <v>243.274</v>
      </c>
      <c r="T19" s="12" t="n">
        <v>378.565</v>
      </c>
      <c r="U19" s="12" t="n">
        <v>569.571</v>
      </c>
      <c r="V19" s="12" t="n">
        <v>576.739</v>
      </c>
      <c r="W19" s="12" t="n">
        <v>462.346</v>
      </c>
      <c r="X19" s="12" t="n">
        <v>593.761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>
        <v>789.84</v>
      </c>
      <c r="P24" s="22" t="n">
        <v>787.128</v>
      </c>
      <c r="Q24" s="22" t="n">
        <v>817.6799999999999</v>
      </c>
      <c r="R24" s="22" t="n">
        <v>794.366</v>
      </c>
      <c r="S24" s="22" t="n">
        <v>816.522</v>
      </c>
      <c r="T24" s="22" t="n">
        <v>823.561</v>
      </c>
      <c r="U24" s="22" t="n">
        <v>860.67</v>
      </c>
      <c r="V24" s="22" t="n">
        <v>906.881</v>
      </c>
      <c r="W24" s="22" t="n">
        <v>957.717</v>
      </c>
      <c r="X24" s="22" t="n">
        <v>981.345</v>
      </c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>
        <v>34.288</v>
      </c>
      <c r="P26" s="22" t="n">
        <v>30.835</v>
      </c>
      <c r="Q26" s="22" t="n">
        <v>33.515</v>
      </c>
      <c r="R26" s="22" t="n">
        <v>31.937</v>
      </c>
      <c r="S26" s="22" t="n">
        <v>33.449</v>
      </c>
      <c r="T26" s="22" t="n">
        <v>34.263</v>
      </c>
      <c r="U26" s="22" t="n">
        <v>41.705</v>
      </c>
      <c r="V26" s="22" t="n">
        <v>46.336</v>
      </c>
      <c r="W26" s="22" t="n">
        <v>43.641</v>
      </c>
      <c r="X26" s="22" t="n">
        <v>50.368</v>
      </c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>
        <v>0</v>
      </c>
      <c r="F35" s="22" t="n"/>
      <c r="G35" s="22" t="n"/>
      <c r="H35" s="22" t="n"/>
      <c r="I35" s="22" t="n">
        <v>0</v>
      </c>
      <c r="J35" s="22" t="n"/>
      <c r="K35" s="22" t="n"/>
      <c r="L35" s="22" t="n"/>
      <c r="M35" s="22" t="n">
        <v>0</v>
      </c>
      <c r="N35" s="22" t="n"/>
      <c r="O35" s="21" t="n">
        <v>0</v>
      </c>
      <c r="P35" s="22" t="n">
        <v>0.032</v>
      </c>
      <c r="Q35" s="22" t="n">
        <v>0</v>
      </c>
      <c r="R35" s="22" t="n">
        <v>0.066</v>
      </c>
      <c r="S35" s="22" t="n">
        <v>0</v>
      </c>
      <c r="T35" s="22" t="n">
        <v>2.346</v>
      </c>
      <c r="U35" s="22" t="n">
        <v>0</v>
      </c>
      <c r="V35" s="22" t="n">
        <v>4.333</v>
      </c>
      <c r="W35" s="22" t="n">
        <v>0</v>
      </c>
      <c r="X35" s="22" t="n">
        <v>5.932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>
        <v>0</v>
      </c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>
        <v>2.765</v>
      </c>
      <c r="P37" s="22" t="n">
        <v>32.912</v>
      </c>
      <c r="Q37" s="22" t="n">
        <v>0.222</v>
      </c>
      <c r="R37" s="22" t="n">
        <v>50.506</v>
      </c>
      <c r="S37" s="22" t="n">
        <v>0</v>
      </c>
      <c r="T37" s="22" t="n">
        <v>0</v>
      </c>
      <c r="U37" s="22" t="n">
        <v>0.221</v>
      </c>
      <c r="V37" s="22" t="n">
        <v>0</v>
      </c>
      <c r="W37" s="22" t="n">
        <v>9.999000000000001</v>
      </c>
      <c r="X37" s="22" t="n">
        <v>0.186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15.304</v>
      </c>
      <c r="D39" s="22" t="n">
        <v>10.441</v>
      </c>
      <c r="E39" s="22" t="n">
        <v>18.372</v>
      </c>
      <c r="F39" s="22" t="n">
        <v>12.41</v>
      </c>
      <c r="G39" s="22" t="n">
        <v>83.441</v>
      </c>
      <c r="H39" s="22" t="n">
        <v>14.885</v>
      </c>
      <c r="I39" s="22" t="n">
        <v>21.53</v>
      </c>
      <c r="J39" s="22" t="n">
        <v>15.016</v>
      </c>
      <c r="K39" s="22" t="n">
        <v>21.135</v>
      </c>
      <c r="L39" s="22" t="n">
        <v>13.801</v>
      </c>
      <c r="M39" s="22" t="n">
        <v>31.85</v>
      </c>
      <c r="N39" s="22" t="n">
        <v>17.083</v>
      </c>
      <c r="O39" s="21" t="n">
        <v>76.874</v>
      </c>
      <c r="P39" s="22" t="n">
        <v>50.8</v>
      </c>
      <c r="Q39" s="22" t="n">
        <v>43.244</v>
      </c>
      <c r="R39" s="22" t="n">
        <v>61.37</v>
      </c>
      <c r="S39" s="22" t="n">
        <v>49.463</v>
      </c>
      <c r="T39" s="22" t="n">
        <v>83.157</v>
      </c>
      <c r="U39" s="22" t="n">
        <v>55.467</v>
      </c>
      <c r="V39" s="22" t="n">
        <v>114.642</v>
      </c>
      <c r="W39" s="22" t="n">
        <v>132.266</v>
      </c>
      <c r="X39" s="22" t="n">
        <v>81.80200000000001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1.178</v>
      </c>
      <c r="D41" s="22" t="n">
        <v>1.134</v>
      </c>
      <c r="E41" s="22" t="n">
        <v>1.562</v>
      </c>
      <c r="F41" s="22" t="n">
        <v>1.814</v>
      </c>
      <c r="G41" s="22" t="n">
        <v>1.949</v>
      </c>
      <c r="H41" s="22" t="n">
        <v>1.848</v>
      </c>
      <c r="I41" s="22" t="n">
        <v>1.848</v>
      </c>
      <c r="J41" s="22" t="n">
        <v>2.197</v>
      </c>
      <c r="K41" s="22" t="n">
        <v>1.831</v>
      </c>
      <c r="L41" s="22" t="n">
        <v>1.831</v>
      </c>
      <c r="M41" s="22" t="n">
        <v>1.093</v>
      </c>
      <c r="N41" s="22" t="n">
        <v>1.121</v>
      </c>
      <c r="O41" s="21" t="n">
        <v>7.861</v>
      </c>
      <c r="P41" s="22" t="n">
        <v>7.204</v>
      </c>
      <c r="Q41" s="22" t="n">
        <v>16.367</v>
      </c>
      <c r="R41" s="22" t="n">
        <v>6.049</v>
      </c>
      <c r="S41" s="22" t="n">
        <v>6.003</v>
      </c>
      <c r="T41" s="22" t="n">
        <v>6.596</v>
      </c>
      <c r="U41" s="22" t="n">
        <v>3.828</v>
      </c>
      <c r="V41" s="22" t="n">
        <v>5.274</v>
      </c>
      <c r="W41" s="22" t="n">
        <v>7.459</v>
      </c>
      <c r="X41" s="22" t="n">
        <v>6.952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118.327</v>
      </c>
      <c r="D43" s="12" t="n">
        <v>397.728</v>
      </c>
      <c r="E43" s="12" t="n">
        <v>-8.856</v>
      </c>
      <c r="F43" s="12" t="n">
        <v>99.098</v>
      </c>
      <c r="G43" s="12" t="n">
        <v>158.1</v>
      </c>
      <c r="H43" s="12" t="n">
        <v>331.117</v>
      </c>
      <c r="I43" s="12" t="n">
        <v>-11.162</v>
      </c>
      <c r="J43" s="12" t="n">
        <v>114.039</v>
      </c>
      <c r="K43" s="12" t="n">
        <v>133.27</v>
      </c>
      <c r="L43" s="12" t="n">
        <v>410.771</v>
      </c>
      <c r="M43" s="12" t="n">
        <v>16.277</v>
      </c>
      <c r="N43" s="12" t="n">
        <v>150.617</v>
      </c>
      <c r="O43" s="11" t="n">
        <v>248.162</v>
      </c>
      <c r="P43" s="12" t="n">
        <v>302.573</v>
      </c>
      <c r="Q43" s="12" t="n">
        <v>349.856</v>
      </c>
      <c r="R43" s="12" t="n">
        <v>128.383</v>
      </c>
      <c r="S43" s="12" t="n">
        <v>286.734</v>
      </c>
      <c r="T43" s="12" t="n">
        <v>457.471</v>
      </c>
      <c r="U43" s="12" t="n">
        <v>620.9880000000001</v>
      </c>
      <c r="V43" s="12" t="n">
        <v>690.4400000000001</v>
      </c>
      <c r="W43" s="12" t="n">
        <v>577.153</v>
      </c>
      <c r="X43" s="12" t="n">
        <v>674.357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34.742</v>
      </c>
      <c r="D45" s="22" t="n">
        <v>144.193</v>
      </c>
      <c r="E45" s="22" t="n">
        <v>-26.292</v>
      </c>
      <c r="F45" s="22" t="n">
        <v>30.091</v>
      </c>
      <c r="G45" s="22" t="n">
        <v>52.714</v>
      </c>
      <c r="H45" s="22" t="n">
        <v>116.095</v>
      </c>
      <c r="I45" s="22" t="n">
        <v>-10.883</v>
      </c>
      <c r="J45" s="22" t="n">
        <v>37.924</v>
      </c>
      <c r="K45" s="22" t="n">
        <v>41.558</v>
      </c>
      <c r="L45" s="22" t="n">
        <v>147.111</v>
      </c>
      <c r="M45" s="22" t="n">
        <v>-6.727</v>
      </c>
      <c r="N45" s="22" t="n">
        <v>52.988</v>
      </c>
      <c r="O45" s="21" t="n">
        <v>80.908</v>
      </c>
      <c r="P45" s="22" t="n">
        <v>94.09699999999999</v>
      </c>
      <c r="Q45" s="22" t="n">
        <v>113.738</v>
      </c>
      <c r="R45" s="22" t="n">
        <v>56.439</v>
      </c>
      <c r="S45" s="22" t="n">
        <v>93.37</v>
      </c>
      <c r="T45" s="22" t="n">
        <v>146.513</v>
      </c>
      <c r="U45" s="22" t="n">
        <v>190.988</v>
      </c>
      <c r="V45" s="22" t="n">
        <v>197.86</v>
      </c>
      <c r="W45" s="22" t="n">
        <v>188.017</v>
      </c>
      <c r="X45" s="22" t="n">
        <v>219.866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83.58499999999999</v>
      </c>
      <c r="D47" s="12" t="n">
        <v>253.535</v>
      </c>
      <c r="E47" s="12" t="n">
        <v>17.435</v>
      </c>
      <c r="F47" s="12" t="n">
        <v>69.00700000000001</v>
      </c>
      <c r="G47" s="12" t="n">
        <v>105.385</v>
      </c>
      <c r="H47" s="12" t="n">
        <v>215.023</v>
      </c>
      <c r="I47" s="12" t="n">
        <v>-0.279</v>
      </c>
      <c r="J47" s="12" t="n">
        <v>76.11499999999999</v>
      </c>
      <c r="K47" s="12" t="n">
        <v>91.712</v>
      </c>
      <c r="L47" s="12" t="n">
        <v>263.66</v>
      </c>
      <c r="M47" s="12" t="n">
        <v>23.003</v>
      </c>
      <c r="N47" s="12" t="n">
        <v>97.629</v>
      </c>
      <c r="O47" s="11" t="n">
        <v>167.253</v>
      </c>
      <c r="P47" s="12" t="n">
        <v>208.476</v>
      </c>
      <c r="Q47" s="12" t="n">
        <v>236.117</v>
      </c>
      <c r="R47" s="12" t="n">
        <v>71.943</v>
      </c>
      <c r="S47" s="12" t="n">
        <v>193.363</v>
      </c>
      <c r="T47" s="12" t="n">
        <v>310.958</v>
      </c>
      <c r="U47" s="12" t="n">
        <v>430</v>
      </c>
      <c r="V47" s="12" t="n">
        <v>492.579</v>
      </c>
      <c r="W47" s="12" t="n">
        <v>389.136</v>
      </c>
      <c r="X47" s="12" t="n">
        <v>454.49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83.58499999999999</v>
      </c>
      <c r="D49" s="12" t="n">
        <v>253.535</v>
      </c>
      <c r="E49" s="12" t="n">
        <v>17.435</v>
      </c>
      <c r="F49" s="12" t="n">
        <v>69.00700000000001</v>
      </c>
      <c r="G49" s="12" t="n">
        <v>105.385</v>
      </c>
      <c r="H49" s="12" t="n">
        <v>215.023</v>
      </c>
      <c r="I49" s="12" t="n">
        <v>-0.279</v>
      </c>
      <c r="J49" s="12" t="n">
        <v>76.11499999999999</v>
      </c>
      <c r="K49" s="12" t="n">
        <v>91.712</v>
      </c>
      <c r="L49" s="12" t="n">
        <v>263.66</v>
      </c>
      <c r="M49" s="12" t="n">
        <v>23.003</v>
      </c>
      <c r="N49" s="12" t="n">
        <v>97.629</v>
      </c>
      <c r="O49" s="11" t="n">
        <v>167.253</v>
      </c>
      <c r="P49" s="12" t="n">
        <v>208.476</v>
      </c>
      <c r="Q49" s="12" t="n">
        <v>236.117</v>
      </c>
      <c r="R49" s="12" t="n">
        <v>71.943</v>
      </c>
      <c r="S49" s="12" t="n">
        <v>193.363</v>
      </c>
      <c r="T49" s="12" t="n">
        <v>310.958</v>
      </c>
      <c r="U49" s="12" t="n">
        <v>430</v>
      </c>
      <c r="V49" s="12" t="n">
        <v>492.579</v>
      </c>
      <c r="W49" s="12" t="n">
        <v>389.136</v>
      </c>
      <c r="X49" s="12" t="n">
        <v>454.49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2024.2Q</t>
        </is>
      </c>
      <c r="D83" s="5" t="inlineStr">
        <is>
          <t>2024.3Q</t>
        </is>
      </c>
      <c r="E83" s="5" t="inlineStr">
        <is>
          <t>2024.4Q</t>
        </is>
      </c>
      <c r="F83" s="5" t="inlineStr">
        <is>
          <t>2025.1Q</t>
        </is>
      </c>
      <c r="G83" s="5" t="inlineStr">
        <is>
          <t>2025.2Q</t>
        </is>
      </c>
      <c r="H83" s="5" t="inlineStr">
        <is>
          <t>2025.3Q</t>
        </is>
      </c>
      <c r="I83" s="5" t="inlineStr">
        <is>
          <t>2025.4Q</t>
        </is>
      </c>
      <c r="J83" s="5" t="inlineStr">
        <is>
          <t>2026.1Q</t>
        </is>
      </c>
      <c r="K83" s="5" t="inlineStr">
        <is>
          <t>2026.2Q</t>
        </is>
      </c>
      <c r="L83" s="5" t="inlineStr">
        <is>
          <t>2026.3Q</t>
        </is>
      </c>
      <c r="M83" s="5" t="inlineStr">
        <is>
          <t>2026.4Q</t>
        </is>
      </c>
      <c r="N83" s="5" t="inlineStr">
        <is>
          <t>2027.1Q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846.856</v>
      </c>
      <c r="D84" s="12" t="n">
        <v>1207.479</v>
      </c>
      <c r="E84" s="12" t="n">
        <v>783.543</v>
      </c>
      <c r="F84" s="12" t="n">
        <v>851.633</v>
      </c>
      <c r="G84" s="12" t="n">
        <v>822.912</v>
      </c>
      <c r="H84" s="12" t="n">
        <v>1175.099</v>
      </c>
      <c r="I84" s="12" t="n">
        <v>827.378</v>
      </c>
      <c r="J84" s="12" t="n">
        <v>916.309</v>
      </c>
      <c r="K84" s="12" t="n">
        <v>928.539</v>
      </c>
      <c r="L84" s="12" t="n">
        <v>1307.562</v>
      </c>
      <c r="M84" s="12" t="n">
        <v>835.225</v>
      </c>
      <c r="N84" s="12" t="n">
        <v>962.799</v>
      </c>
      <c r="T84" s="12" t="n">
        <v>739.8579999999999</v>
      </c>
      <c r="U84" s="12" t="n">
        <v>706.598</v>
      </c>
      <c r="V84" s="12" t="n">
        <v>783.543</v>
      </c>
      <c r="W84" s="12" t="n">
        <v>827.378</v>
      </c>
      <c r="X84" s="12" t="n">
        <v>835.225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289.567</v>
      </c>
      <c r="D86" s="22" t="n">
        <v>375.741</v>
      </c>
      <c r="E86" s="22" t="n">
        <v>283.188</v>
      </c>
      <c r="F86" s="22" t="n">
        <v>280.737</v>
      </c>
      <c r="G86" s="22" t="n">
        <v>267.907</v>
      </c>
      <c r="H86" s="22" t="n">
        <v>357.736</v>
      </c>
      <c r="I86" s="22" t="n">
        <v>300.422</v>
      </c>
      <c r="J86" s="22" t="n">
        <v>314.752</v>
      </c>
      <c r="K86" s="22" t="n">
        <v>323.897</v>
      </c>
      <c r="L86" s="22" t="n">
        <v>424.877</v>
      </c>
      <c r="M86" s="22" t="n">
        <v>310.002</v>
      </c>
      <c r="N86" s="22" t="n">
        <v>301.689</v>
      </c>
      <c r="T86" s="22" t="n">
        <v>318.373</v>
      </c>
      <c r="U86" s="22" t="n">
        <v>275.892</v>
      </c>
      <c r="V86" s="22" t="n">
        <v>283.188</v>
      </c>
      <c r="W86" s="22" t="n">
        <v>300.422</v>
      </c>
      <c r="X86" s="22" t="n">
        <v>310.002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557.289</v>
      </c>
      <c r="D88" s="12" t="n">
        <v>831.7380000000001</v>
      </c>
      <c r="E88" s="12" t="n">
        <v>500.356</v>
      </c>
      <c r="F88" s="12" t="n">
        <v>570.896</v>
      </c>
      <c r="G88" s="12" t="n">
        <v>555.005</v>
      </c>
      <c r="H88" s="12" t="n">
        <v>817.362</v>
      </c>
      <c r="I88" s="12" t="n">
        <v>526.957</v>
      </c>
      <c r="J88" s="12" t="n">
        <v>601.557</v>
      </c>
      <c r="K88" s="12" t="n">
        <v>604.641</v>
      </c>
      <c r="L88" s="12" t="n">
        <v>882.686</v>
      </c>
      <c r="M88" s="12" t="n">
        <v>525.222</v>
      </c>
      <c r="N88" s="12" t="n">
        <v>661.11</v>
      </c>
      <c r="T88" s="12" t="n">
        <v>421.484</v>
      </c>
      <c r="U88" s="12" t="n">
        <v>430.707</v>
      </c>
      <c r="V88" s="12" t="n">
        <v>500.356</v>
      </c>
      <c r="W88" s="12" t="n">
        <v>526.957</v>
      </c>
      <c r="X88" s="12" t="n">
        <v>525.222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453.088</v>
      </c>
      <c r="D90" s="22" t="n">
        <v>447.65</v>
      </c>
      <c r="E90" s="22" t="n">
        <v>526.022</v>
      </c>
      <c r="F90" s="22" t="n">
        <v>482.394</v>
      </c>
      <c r="G90" s="22" t="n">
        <v>478.397</v>
      </c>
      <c r="H90" s="22" t="n">
        <v>499.282</v>
      </c>
      <c r="I90" s="22" t="n">
        <v>547.8</v>
      </c>
      <c r="J90" s="22" t="n">
        <v>500.336</v>
      </c>
      <c r="K90" s="22" t="n">
        <v>490.676</v>
      </c>
      <c r="L90" s="22" t="n">
        <v>489.817</v>
      </c>
      <c r="M90" s="22" t="n">
        <v>539.516</v>
      </c>
      <c r="N90" s="22" t="n">
        <v>526.454</v>
      </c>
      <c r="T90" s="22" t="n">
        <v>468.483</v>
      </c>
      <c r="U90" s="22" t="n">
        <v>507.918</v>
      </c>
      <c r="V90" s="22" t="n">
        <v>526.022</v>
      </c>
      <c r="W90" s="22" t="n">
        <v>547.8</v>
      </c>
      <c r="X90" s="22" t="n">
        <v>539.516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104.201</v>
      </c>
      <c r="D92" s="12" t="n">
        <v>384.088</v>
      </c>
      <c r="E92" s="12" t="n">
        <v>-25.666</v>
      </c>
      <c r="F92" s="12" t="n">
        <v>88.502</v>
      </c>
      <c r="G92" s="12" t="n">
        <v>76.607</v>
      </c>
      <c r="H92" s="12" t="n">
        <v>318.081</v>
      </c>
      <c r="I92" s="12" t="n">
        <v>-20.844</v>
      </c>
      <c r="J92" s="12" t="n">
        <v>101.221</v>
      </c>
      <c r="K92" s="12" t="n">
        <v>113.965</v>
      </c>
      <c r="L92" s="12" t="n">
        <v>392.869</v>
      </c>
      <c r="M92" s="12" t="n">
        <v>-14.294</v>
      </c>
      <c r="N92" s="12" t="n">
        <v>134.655</v>
      </c>
      <c r="T92" s="12" t="n">
        <v>-46.999</v>
      </c>
      <c r="U92" s="12" t="n">
        <v>-77.212</v>
      </c>
      <c r="V92" s="12" t="n">
        <v>-25.666</v>
      </c>
      <c r="W92" s="12" t="n">
        <v>-20.844</v>
      </c>
      <c r="X92" s="12" t="n">
        <v>-14.294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0.508</v>
      </c>
      <c r="D95" s="22" t="n">
        <v>0.529</v>
      </c>
      <c r="E95" s="22" t="n">
        <v>-0.714</v>
      </c>
      <c r="F95" s="22" t="n">
        <v>0.6879999999999999</v>
      </c>
      <c r="G95" s="22" t="n">
        <v>1.347</v>
      </c>
      <c r="H95" s="22" t="n">
        <v>0.787</v>
      </c>
      <c r="I95" s="22" t="n">
        <v>-1.231</v>
      </c>
      <c r="J95" s="22" t="n">
        <v>1.757</v>
      </c>
      <c r="K95" s="22" t="n">
        <v>0.572</v>
      </c>
      <c r="L95" s="22" t="n">
        <v>3.94</v>
      </c>
      <c r="M95" s="22" t="n">
        <v>-0.885</v>
      </c>
      <c r="N95" s="22" t="n">
        <v>6.267</v>
      </c>
      <c r="T95" s="22" t="n">
        <v>-0.48</v>
      </c>
      <c r="U95" s="22" t="n">
        <v>-0.54</v>
      </c>
      <c r="V95" s="22" t="n">
        <v>-0.714</v>
      </c>
      <c r="W95" s="22" t="n">
        <v>-1.231</v>
      </c>
      <c r="X95" s="22" t="n">
        <v>-0.885</v>
      </c>
    </row>
    <row r="96">
      <c r="A96" s="20" t="inlineStr">
        <is>
          <t>투자유가증권 매각이익</t>
        </is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46.864</v>
      </c>
      <c r="H96" s="22" t="n">
        <v>0</v>
      </c>
      <c r="I96" s="22" t="n">
        <v>0</v>
      </c>
      <c r="L96" s="22" t="n">
        <v>0</v>
      </c>
      <c r="M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부동산 임대료</t>
        </is>
      </c>
      <c r="C97" s="22" t="n">
        <v>5.065</v>
      </c>
      <c r="D97" s="22" t="n">
        <v>5.02</v>
      </c>
      <c r="E97" s="22" t="n">
        <v>5.624</v>
      </c>
      <c r="F97" s="22" t="n">
        <v>7.179</v>
      </c>
      <c r="G97" s="22" t="n">
        <v>7.179</v>
      </c>
      <c r="H97" s="22" t="n">
        <v>7.179</v>
      </c>
      <c r="I97" s="22" t="n">
        <v>7.179</v>
      </c>
      <c r="J97" s="22" t="n">
        <v>7.179</v>
      </c>
      <c r="K97" s="22" t="n">
        <v>5.079</v>
      </c>
      <c r="L97" s="22" t="n">
        <v>5.079</v>
      </c>
      <c r="M97" s="22" t="n">
        <v>8.691000000000001</v>
      </c>
      <c r="N97" s="22" t="n">
        <v>5.589</v>
      </c>
      <c r="T97" s="22" t="n">
        <v>5.443</v>
      </c>
      <c r="U97" s="22" t="n">
        <v>5.499</v>
      </c>
      <c r="V97" s="22" t="n">
        <v>5.624</v>
      </c>
      <c r="W97" s="22" t="n">
        <v>7.179</v>
      </c>
      <c r="X97" s="22" t="n">
        <v>8.691000000000001</v>
      </c>
    </row>
    <row r="98">
      <c r="A98" s="20" t="inlineStr">
        <is>
          <t>배당금수익</t>
        </is>
      </c>
      <c r="C98" s="22" t="n">
        <v>6.615</v>
      </c>
      <c r="D98" s="22" t="n">
        <v>1.505</v>
      </c>
      <c r="E98" s="22" t="n">
        <v>8.388</v>
      </c>
      <c r="F98" s="22" t="n">
        <v>1.271</v>
      </c>
      <c r="G98" s="22" t="n">
        <v>25.518</v>
      </c>
      <c r="H98" s="22" t="n">
        <v>4.457</v>
      </c>
      <c r="I98" s="22" t="n">
        <v>11.387</v>
      </c>
      <c r="J98" s="22" t="n">
        <v>3.235</v>
      </c>
      <c r="K98" s="22" t="n">
        <v>12.526</v>
      </c>
      <c r="L98" s="22" t="n">
        <v>2.565</v>
      </c>
      <c r="M98" s="22" t="n">
        <v>14.812</v>
      </c>
      <c r="N98" s="22" t="n">
        <v>2.766</v>
      </c>
      <c r="T98" s="22" t="n">
        <v>7.779</v>
      </c>
      <c r="U98" s="22" t="n">
        <v>6.426</v>
      </c>
      <c r="V98" s="22" t="n">
        <v>8.388</v>
      </c>
      <c r="W98" s="22" t="n">
        <v>11.387</v>
      </c>
      <c r="X98" s="22" t="n">
        <v>14.812</v>
      </c>
    </row>
    <row r="99">
      <c r="A99" s="20" t="inlineStr">
        <is>
          <t>보조금 수입</t>
        </is>
      </c>
      <c r="C99" s="22" t="n">
        <v>0</v>
      </c>
      <c r="D99" s="22" t="n">
        <v>0</v>
      </c>
    </row>
    <row r="100">
      <c r="A100" s="20" t="inlineStr">
        <is>
          <t>기타</t>
        </is>
      </c>
      <c r="C100" s="22" t="n">
        <v>3.116</v>
      </c>
      <c r="D100" s="22" t="n">
        <v>3.388</v>
      </c>
      <c r="E100" s="22" t="n">
        <v>3.555</v>
      </c>
      <c r="F100" s="22" t="n">
        <v>3.27</v>
      </c>
      <c r="G100" s="22" t="n">
        <v>2.535</v>
      </c>
      <c r="H100" s="22" t="n">
        <v>2.462</v>
      </c>
      <c r="I100" s="22" t="n">
        <v>2.606</v>
      </c>
      <c r="J100" s="22" t="n">
        <v>2.844</v>
      </c>
      <c r="K100" s="22" t="n">
        <v>2.958</v>
      </c>
      <c r="L100" s="22" t="n">
        <v>2.217</v>
      </c>
      <c r="M100" s="22" t="n">
        <v>3.263</v>
      </c>
      <c r="N100" s="22" t="n">
        <v>2.46</v>
      </c>
      <c r="T100" s="22" t="n">
        <v>2.96</v>
      </c>
      <c r="U100" s="22" t="n">
        <v>2.786</v>
      </c>
      <c r="V100" s="22" t="n">
        <v>3.555</v>
      </c>
      <c r="W100" s="22" t="n">
        <v>2.606</v>
      </c>
      <c r="X100" s="22" t="n">
        <v>3.263</v>
      </c>
    </row>
    <row r="101">
      <c r="A101" s="20" t="inlineStr">
        <is>
          <t>영업외수익 합계</t>
        </is>
      </c>
      <c r="C101" s="22" t="n">
        <v>15.304</v>
      </c>
      <c r="D101" s="22" t="n">
        <v>10.441</v>
      </c>
      <c r="E101" s="22" t="n">
        <v>18.372</v>
      </c>
      <c r="F101" s="22" t="n">
        <v>12.41</v>
      </c>
      <c r="G101" s="22" t="n">
        <v>83.441</v>
      </c>
      <c r="H101" s="22" t="n">
        <v>14.885</v>
      </c>
      <c r="I101" s="22" t="n">
        <v>21.53</v>
      </c>
      <c r="J101" s="22" t="n">
        <v>15.016</v>
      </c>
      <c r="K101" s="22" t="n">
        <v>21.135</v>
      </c>
      <c r="L101" s="22" t="n">
        <v>13.801</v>
      </c>
      <c r="M101" s="22" t="n">
        <v>31.85</v>
      </c>
      <c r="N101" s="22" t="n">
        <v>17.083</v>
      </c>
      <c r="T101" s="22" t="n">
        <v>16.743</v>
      </c>
      <c r="U101" s="22" t="n">
        <v>15.239</v>
      </c>
      <c r="V101" s="22" t="n">
        <v>18.372</v>
      </c>
      <c r="W101" s="22" t="n">
        <v>21.53</v>
      </c>
      <c r="X101" s="22" t="n">
        <v>31.85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부동산 임대비용</t>
        </is>
      </c>
      <c r="C103" s="22" t="n">
        <v>1.16</v>
      </c>
      <c r="D103" s="22" t="n">
        <v>1.125</v>
      </c>
      <c r="E103" s="22" t="n">
        <v>1.551</v>
      </c>
      <c r="F103" s="22" t="n">
        <v>1.8</v>
      </c>
      <c r="G103" s="22" t="n">
        <v>1.801</v>
      </c>
      <c r="H103" s="22" t="n">
        <v>1.84</v>
      </c>
      <c r="I103" s="22" t="n">
        <v>1.839</v>
      </c>
      <c r="J103" s="22" t="n">
        <v>1.83</v>
      </c>
      <c r="K103" s="22" t="n">
        <v>1.831</v>
      </c>
      <c r="L103" s="22" t="n">
        <v>1.831</v>
      </c>
      <c r="M103" s="22" t="n">
        <v>1.088</v>
      </c>
      <c r="N103" s="22" t="n">
        <v>1.121</v>
      </c>
      <c r="T103" s="22" t="n">
        <v>1.471</v>
      </c>
      <c r="U103" s="22" t="n">
        <v>1.096</v>
      </c>
      <c r="V103" s="22" t="n">
        <v>1.551</v>
      </c>
      <c r="W103" s="22" t="n">
        <v>1.839</v>
      </c>
      <c r="X103" s="22" t="n">
        <v>1.088</v>
      </c>
    </row>
    <row r="104">
      <c r="A104" s="20" t="inlineStr">
        <is>
          <t>이자비용</t>
        </is>
      </c>
      <c r="C104" s="22" t="n">
        <v>0</v>
      </c>
      <c r="D104" s="22" t="n">
        <v>0</v>
      </c>
      <c r="E104" s="22" t="n">
        <v>0</v>
      </c>
      <c r="T104" s="22" t="n">
        <v>0</v>
      </c>
      <c r="U104" s="22" t="n">
        <v>0</v>
      </c>
      <c r="V104" s="22" t="n">
        <v>0</v>
      </c>
    </row>
    <row r="105">
      <c r="A105" s="20" t="inlineStr">
        <is>
          <t>기타</t>
        </is>
      </c>
      <c r="C105" s="22" t="n">
        <v>0.018</v>
      </c>
      <c r="D105" s="22" t="n">
        <v>0.008999999999999999</v>
      </c>
      <c r="E105" s="22" t="n">
        <v>0.011</v>
      </c>
      <c r="F105" s="22" t="n">
        <v>0.013</v>
      </c>
      <c r="G105" s="22" t="n">
        <v>0.148</v>
      </c>
      <c r="H105" s="22" t="n">
        <v>0.008999999999999999</v>
      </c>
      <c r="I105" s="22" t="n">
        <v>0.008</v>
      </c>
      <c r="J105" s="22" t="n">
        <v>0.366</v>
      </c>
      <c r="K105" s="22" t="n">
        <v>0</v>
      </c>
      <c r="L105" s="22" t="n">
        <v>0</v>
      </c>
      <c r="M105" s="22" t="n">
        <v>0.005</v>
      </c>
      <c r="N105" s="22" t="n">
        <v>0</v>
      </c>
      <c r="T105" s="22" t="n">
        <v>0</v>
      </c>
      <c r="U105" s="22" t="n">
        <v>0</v>
      </c>
      <c r="V105" s="22" t="n">
        <v>0.011</v>
      </c>
      <c r="W105" s="22" t="n">
        <v>0.008</v>
      </c>
      <c r="X105" s="22" t="n">
        <v>0.005</v>
      </c>
    </row>
    <row r="106">
      <c r="A106" s="20" t="inlineStr">
        <is>
          <t>영업외비용 합계</t>
        </is>
      </c>
      <c r="C106" s="22" t="n">
        <v>1.178</v>
      </c>
      <c r="D106" s="22" t="n">
        <v>1.134</v>
      </c>
      <c r="E106" s="22" t="n">
        <v>1.562</v>
      </c>
      <c r="F106" s="22" t="n">
        <v>1.814</v>
      </c>
      <c r="G106" s="22" t="n">
        <v>1.949</v>
      </c>
      <c r="H106" s="22" t="n">
        <v>1.848</v>
      </c>
      <c r="I106" s="22" t="n">
        <v>1.848</v>
      </c>
      <c r="J106" s="22" t="n">
        <v>2.197</v>
      </c>
      <c r="K106" s="22" t="n">
        <v>1.831</v>
      </c>
      <c r="L106" s="22" t="n">
        <v>1.831</v>
      </c>
      <c r="M106" s="22" t="n">
        <v>1.093</v>
      </c>
      <c r="N106" s="22" t="n">
        <v>1.121</v>
      </c>
      <c r="T106" s="22" t="n">
        <v>1.471</v>
      </c>
      <c r="U106" s="22" t="n">
        <v>1.096</v>
      </c>
      <c r="V106" s="22" t="n">
        <v>1.562</v>
      </c>
      <c r="W106" s="22" t="n">
        <v>1.848</v>
      </c>
      <c r="X106" s="22" t="n">
        <v>1.093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T107" s="17">
        <f>IF(OR(T106="",S106=""),"",IF(T106*S106&lt;=0,"",IFERROR(T106/S106-1,"")))</f>
        <v/>
      </c>
      <c r="U107" s="17">
        <f>IF(OR(U106="",T106=""),"",IF(U106*T106&lt;=0,"",IFERROR(U106/T106-1,"")))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9" t="inlineStr">
        <is>
          <t>경상이익</t>
        </is>
      </c>
      <c r="C108" s="12" t="n">
        <v>118.327</v>
      </c>
      <c r="D108" s="12" t="n">
        <v>393.395</v>
      </c>
      <c r="E108" s="12" t="n">
        <v>-8.856</v>
      </c>
      <c r="F108" s="12" t="n">
        <v>99.098</v>
      </c>
      <c r="G108" s="12" t="n">
        <v>158.1</v>
      </c>
      <c r="H108" s="12" t="n">
        <v>331.117</v>
      </c>
      <c r="I108" s="12" t="n">
        <v>-1.162</v>
      </c>
      <c r="J108" s="12" t="n">
        <v>114.039</v>
      </c>
      <c r="K108" s="12" t="n">
        <v>133.27</v>
      </c>
      <c r="L108" s="12" t="n">
        <v>404.839</v>
      </c>
      <c r="M108" s="12" t="n">
        <v>16.463</v>
      </c>
      <c r="N108" s="12" t="n">
        <v>150.617</v>
      </c>
      <c r="T108" s="12" t="n">
        <v>-31.728</v>
      </c>
      <c r="U108" s="12" t="n">
        <v>-63.068</v>
      </c>
      <c r="V108" s="12" t="n">
        <v>-8.856</v>
      </c>
      <c r="W108" s="12" t="n">
        <v>-1.162</v>
      </c>
      <c r="X108" s="12" t="n">
        <v>16.463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고정자산 매각이익</t>
        </is>
      </c>
      <c r="E110" s="22" t="n">
        <v>0</v>
      </c>
      <c r="I110" s="22" t="n">
        <v>0</v>
      </c>
      <c r="M110" s="22" t="n">
        <v>0</v>
      </c>
      <c r="T110" s="22" t="n">
        <v>0.525</v>
      </c>
      <c r="U110" s="22" t="n">
        <v>0</v>
      </c>
      <c r="V110" s="22" t="n">
        <v>0</v>
      </c>
      <c r="W110" s="22" t="n">
        <v>0</v>
      </c>
      <c r="X110" s="22" t="n">
        <v>0</v>
      </c>
    </row>
    <row r="111">
      <c r="A111" s="20" t="inlineStr">
        <is>
          <t>특별이익 합계</t>
        </is>
      </c>
      <c r="E111" s="22" t="n">
        <v>0</v>
      </c>
      <c r="I111" s="22" t="n">
        <v>0</v>
      </c>
      <c r="M111" s="22" t="n">
        <v>0</v>
      </c>
      <c r="T111" s="22" t="n">
        <v>0.525</v>
      </c>
      <c r="U111" s="22" t="n">
        <v>0</v>
      </c>
      <c r="V111" s="22" t="n">
        <v>0</v>
      </c>
      <c r="W111" s="22" t="n">
        <v>0</v>
      </c>
      <c r="X111" s="22" t="n">
        <v>0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I112" s="17">
        <f>IF(OR(I111="",E111=""),"",IF(I111*E111&lt;=0,"",IFERROR(I111/E111-1,"")))</f>
        <v/>
      </c>
      <c r="M112" s="17">
        <f>IF(OR(M111="",I111=""),"",IF(M111*I111&lt;=0,"",IFERROR(M111/I111-1,"")))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20" t="inlineStr">
        <is>
          <t>고정자산 제각손실</t>
        </is>
      </c>
      <c r="E113" s="22" t="n">
        <v>0</v>
      </c>
      <c r="T113" s="22" t="n">
        <v>0</v>
      </c>
      <c r="U113" s="22" t="n">
        <v>0</v>
      </c>
      <c r="V113" s="22" t="n">
        <v>0</v>
      </c>
    </row>
    <row r="114">
      <c r="A114" s="20" t="inlineStr">
        <is>
          <t>특별손실 합계</t>
        </is>
      </c>
      <c r="E114" s="22" t="n">
        <v>0</v>
      </c>
      <c r="T114" s="22" t="n">
        <v>0</v>
      </c>
      <c r="U114" s="22" t="n">
        <v>0</v>
      </c>
      <c r="V114" s="22" t="n">
        <v>0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T115" s="17">
        <f>IF(OR(T114="",S114=""),"",IF(T114*S114&lt;=0,"",IFERROR(T114/S114-1,"")))</f>
        <v/>
      </c>
      <c r="U115" s="17">
        <f>IF(OR(U114="",T114=""),"",IF(U114*T114&lt;=0,"",IFERROR(U114/T114-1,"")))</f>
        <v/>
      </c>
      <c r="V115" s="17">
        <f>IF(OR(V114="",U114=""),"",IF(V114*U114&lt;=0,"",IFERROR(V114/U114-1,"")))</f>
        <v/>
      </c>
    </row>
    <row r="116">
      <c r="A116" s="9" t="inlineStr">
        <is>
          <t>법인세차감전 순이익</t>
        </is>
      </c>
      <c r="C116" s="12" t="n">
        <v>118.327</v>
      </c>
      <c r="D116" s="12" t="n">
        <v>397.728</v>
      </c>
      <c r="E116" s="12" t="n">
        <v>-8.856</v>
      </c>
      <c r="F116" s="12" t="n">
        <v>99.098</v>
      </c>
      <c r="G116" s="12" t="n">
        <v>158.1</v>
      </c>
      <c r="H116" s="12" t="n">
        <v>331.117</v>
      </c>
      <c r="I116" s="12" t="n">
        <v>-11.162</v>
      </c>
      <c r="J116" s="12" t="n">
        <v>114.039</v>
      </c>
      <c r="K116" s="12" t="n">
        <v>133.27</v>
      </c>
      <c r="L116" s="12" t="n">
        <v>410.771</v>
      </c>
      <c r="M116" s="12" t="n">
        <v>16.277</v>
      </c>
      <c r="N116" s="12" t="n">
        <v>150.617</v>
      </c>
      <c r="T116" s="12" t="n">
        <v>-31.203</v>
      </c>
      <c r="U116" s="12" t="n">
        <v>-63.068</v>
      </c>
      <c r="V116" s="12" t="n">
        <v>-8.856</v>
      </c>
      <c r="W116" s="12" t="n">
        <v>-11.162</v>
      </c>
      <c r="X116" s="12" t="n">
        <v>16.277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G117" s="17">
        <f>IF(OR(G116="",C116=""),"",IF(C116&lt;=0,"",IFERROR(G116/C116-1,"")))</f>
        <v/>
      </c>
      <c r="H117" s="17">
        <f>IF(OR(H116="",D116=""),"",IF(D116&lt;=0,"",IFERROR(H116/D116-1,"")))</f>
        <v/>
      </c>
      <c r="I117" s="17">
        <f>IF(OR(I116="",E116=""),"",IF(E116&lt;=0,"",IFERROR(I116/E116-1,"")))</f>
        <v/>
      </c>
      <c r="J117" s="17">
        <f>IF(OR(J116="",F116=""),"",IF(F116&lt;=0,"",IFERROR(J116/F116-1,"")))</f>
        <v/>
      </c>
      <c r="K117" s="17">
        <f>IF(OR(K116="",G116=""),"",IF(G116&lt;=0,"",IFERROR(K116/G116-1,"")))</f>
        <v/>
      </c>
      <c r="L117" s="17">
        <f>IF(OR(L116="",H116=""),"",IF(H116&lt;=0,"",IFERROR(L116/H116-1,"")))</f>
        <v/>
      </c>
      <c r="M117" s="17">
        <f>IF(OR(M116="",I116=""),"",IF(I116&lt;=0,"",IFERROR(M116/I116-1,"")))</f>
        <v/>
      </c>
      <c r="N117" s="17">
        <f>IF(OR(N116="",J116=""),"",IF(J116&lt;=0,"",IFERROR(N116/J116-1,"")))</f>
        <v/>
      </c>
      <c r="T117" s="17">
        <f>IF(OR(T116="",S116=""),"",IF(S116&lt;=0,"",IFERROR(T116/S116-1,"")))</f>
        <v/>
      </c>
      <c r="U117" s="17">
        <f>IF(OR(U116="",T116=""),"",IF(T116&lt;=0,"",IFERROR(U116/T116-1,"")))</f>
        <v/>
      </c>
      <c r="V117" s="17">
        <f>IF(OR(V116="",U116=""),"",IF(U116&lt;=0,"",IFERROR(V116/U116-1,"")))</f>
        <v/>
      </c>
      <c r="W117" s="17">
        <f>IF(OR(W116="",V116=""),"",IF(V116&lt;=0,"",IFERROR(W116/V116-1,"")))</f>
        <v/>
      </c>
      <c r="X117" s="17">
        <f>IF(OR(X116="",W116=""),"",IF(W116&lt;=0,"",IFERROR(X116/W116-1,"")))</f>
        <v/>
      </c>
    </row>
    <row r="118">
      <c r="A118" s="20" t="inlineStr">
        <is>
          <t>법인세·주민세·사업세</t>
        </is>
      </c>
      <c r="C118" s="22" t="n">
        <v>18.195</v>
      </c>
      <c r="D118" s="22" t="n">
        <v>148.614</v>
      </c>
      <c r="E118" s="22" t="n">
        <v>-33.833</v>
      </c>
      <c r="F118" s="22" t="n">
        <v>41.632</v>
      </c>
      <c r="G118" s="22" t="n">
        <v>38.345</v>
      </c>
      <c r="H118" s="22" t="n">
        <v>131.047</v>
      </c>
      <c r="I118" s="22" t="n">
        <v>-19.144</v>
      </c>
      <c r="J118" s="22" t="n">
        <v>50.499</v>
      </c>
      <c r="K118" s="22" t="n">
        <v>20.619</v>
      </c>
      <c r="L118" s="22" t="n">
        <v>160.96</v>
      </c>
      <c r="M118" s="22" t="n">
        <v>-19.84</v>
      </c>
      <c r="N118" s="22" t="n">
        <v>72.026</v>
      </c>
      <c r="T118" s="22" t="n">
        <v>-26.211</v>
      </c>
      <c r="U118" s="22" t="n">
        <v>-63.694</v>
      </c>
      <c r="V118" s="22" t="n">
        <v>-33.833</v>
      </c>
      <c r="W118" s="22" t="n">
        <v>-19.144</v>
      </c>
      <c r="X118" s="22" t="n">
        <v>-19.84</v>
      </c>
    </row>
    <row r="119">
      <c r="A119" s="20" t="inlineStr">
        <is>
          <t>법인세 조정액</t>
        </is>
      </c>
      <c r="C119" s="22" t="n">
        <v>16.547</v>
      </c>
      <c r="D119" s="22" t="n">
        <v>-4.42</v>
      </c>
      <c r="E119" s="22" t="n">
        <v>7.54</v>
      </c>
      <c r="F119" s="22" t="n">
        <v>-11.541</v>
      </c>
      <c r="G119" s="22" t="n">
        <v>14.368</v>
      </c>
      <c r="H119" s="22" t="n">
        <v>-14.951</v>
      </c>
      <c r="I119" s="22" t="n">
        <v>8.260999999999999</v>
      </c>
      <c r="J119" s="22" t="n">
        <v>-12.575</v>
      </c>
      <c r="K119" s="22" t="n">
        <v>20.938</v>
      </c>
      <c r="L119" s="22" t="n">
        <v>-13.848</v>
      </c>
      <c r="M119" s="22" t="n">
        <v>13.113</v>
      </c>
      <c r="N119" s="22" t="n">
        <v>-19.038</v>
      </c>
      <c r="T119" s="22" t="n">
        <v>5.461</v>
      </c>
      <c r="U119" s="22" t="n">
        <v>13.01</v>
      </c>
      <c r="V119" s="22" t="n">
        <v>7.54</v>
      </c>
      <c r="W119" s="22" t="n">
        <v>8.260999999999999</v>
      </c>
      <c r="X119" s="22" t="n">
        <v>13.113</v>
      </c>
    </row>
    <row r="120">
      <c r="A120" s="20" t="inlineStr">
        <is>
          <t>법인세 등 합계</t>
        </is>
      </c>
      <c r="C120" s="22" t="n">
        <v>34.742</v>
      </c>
      <c r="D120" s="22" t="n">
        <v>144.193</v>
      </c>
      <c r="E120" s="22" t="n">
        <v>-26.292</v>
      </c>
      <c r="F120" s="22" t="n">
        <v>30.091</v>
      </c>
      <c r="G120" s="22" t="n">
        <v>52.714</v>
      </c>
      <c r="H120" s="22" t="n">
        <v>116.095</v>
      </c>
      <c r="I120" s="22" t="n">
        <v>-10.883</v>
      </c>
      <c r="J120" s="22" t="n">
        <v>37.924</v>
      </c>
      <c r="K120" s="22" t="n">
        <v>41.558</v>
      </c>
      <c r="L120" s="22" t="n">
        <v>147.111</v>
      </c>
      <c r="M120" s="22" t="n">
        <v>-6.727</v>
      </c>
      <c r="N120" s="22" t="n">
        <v>52.988</v>
      </c>
      <c r="T120" s="22" t="n">
        <v>-20.75</v>
      </c>
      <c r="U120" s="22" t="n">
        <v>-50.683</v>
      </c>
      <c r="V120" s="22" t="n">
        <v>-26.292</v>
      </c>
      <c r="W120" s="22" t="n">
        <v>-10.883</v>
      </c>
      <c r="X120" s="22" t="n">
        <v>-6.727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IF(OR(G120="",C120=""),"",IF(G120*C120&lt;=0,"",IFERROR(G120/C120-1,"")))</f>
        <v/>
      </c>
      <c r="H121" s="17">
        <f>IF(OR(H120="",D120=""),"",IF(H120*D120&lt;=0,"",IFERROR(H120/D120-1,"")))</f>
        <v/>
      </c>
      <c r="I121" s="17">
        <f>IF(OR(I120="",E120=""),"",IF(I120*E120&lt;=0,"",IFERROR(I120/E120-1,"")))</f>
        <v/>
      </c>
      <c r="J121" s="17">
        <f>IF(OR(J120="",F120=""),"",IF(J120*F120&lt;=0,"",IFERROR(J120/F120-1,"")))</f>
        <v/>
      </c>
      <c r="K121" s="17">
        <f>IF(OR(K120="",G120=""),"",IF(K120*G120&lt;=0,"",IFERROR(K120/G120-1,"")))</f>
        <v/>
      </c>
      <c r="L121" s="17">
        <f>IF(OR(L120="",H120=""),"",IF(L120*H120&lt;=0,"",IFERROR(L120/H120-1,"")))</f>
        <v/>
      </c>
      <c r="M121" s="17">
        <f>IF(OR(M120="",I120=""),"",IF(M120*I120&lt;=0,"",IFERROR(M120/I120-1,"")))</f>
        <v/>
      </c>
      <c r="N121" s="17">
        <f>IF(OR(N120="",J120=""),"",IF(N120*J120&lt;=0,"",IFERROR(N120/J120-1,"")))</f>
        <v/>
      </c>
      <c r="T121" s="17">
        <f>IF(OR(T120="",S120=""),"",IF(T120*S120&lt;=0,"",IFERROR(T120/S120-1,"")))</f>
        <v/>
      </c>
      <c r="U121" s="17">
        <f>IF(OR(U120="",T120=""),"",IF(U120*T120&lt;=0,"",IFERROR(U120/T120-1,"")))</f>
        <v/>
      </c>
      <c r="V121" s="17">
        <f>IF(OR(V120="",U120=""),"",IF(V120*U120&lt;=0,"",IFERROR(V120/U120-1,"")))</f>
        <v/>
      </c>
      <c r="W121" s="17">
        <f>IF(OR(W120="",V120=""),"",IF(W120*V120&lt;=0,"",IFERROR(W120/V120-1,"")))</f>
        <v/>
      </c>
      <c r="X121" s="17">
        <f>IF(OR(X120="",W120=""),"",IF(X120*W120&lt;=0,"",IFERROR(X120/W120-1,"")))</f>
        <v/>
      </c>
    </row>
    <row r="122">
      <c r="A122" s="9" t="inlineStr">
        <is>
          <t>순이익</t>
        </is>
      </c>
      <c r="C122" s="12" t="n">
        <v>83.58499999999999</v>
      </c>
      <c r="D122" s="12" t="n">
        <v>253.535</v>
      </c>
      <c r="E122" s="12" t="n">
        <v>17.435</v>
      </c>
      <c r="F122" s="12" t="n">
        <v>69.00700000000001</v>
      </c>
      <c r="G122" s="12" t="n">
        <v>105.385</v>
      </c>
      <c r="H122" s="12" t="n">
        <v>215.023</v>
      </c>
      <c r="I122" s="12" t="n">
        <v>-0.279</v>
      </c>
      <c r="J122" s="12" t="n">
        <v>76.11499999999999</v>
      </c>
      <c r="K122" s="12" t="n">
        <v>91.712</v>
      </c>
      <c r="L122" s="12" t="n">
        <v>263.66</v>
      </c>
      <c r="M122" s="12" t="n">
        <v>23.003</v>
      </c>
      <c r="N122" s="12" t="n">
        <v>97.629</v>
      </c>
      <c r="T122" s="12" t="n">
        <v>-10.453</v>
      </c>
      <c r="U122" s="12" t="n">
        <v>-12.385</v>
      </c>
      <c r="V122" s="12" t="n">
        <v>17.435</v>
      </c>
      <c r="W122" s="12" t="n">
        <v>-0.279</v>
      </c>
      <c r="X122" s="12" t="n">
        <v>23.003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IF(OR(G122="",C122=""),"",IF(C122&lt;=0,"",IFERROR(G122/C122-1,"")))</f>
        <v/>
      </c>
      <c r="H123" s="17">
        <f>IF(OR(H122="",D122=""),"",IF(D122&lt;=0,"",IFERROR(H122/D122-1,"")))</f>
        <v/>
      </c>
      <c r="I123" s="17">
        <f>IF(OR(I122="",E122=""),"",IF(E122&lt;=0,"",IFERROR(I122/E122-1,"")))</f>
        <v/>
      </c>
      <c r="J123" s="17">
        <f>IF(OR(J122="",F122=""),"",IF(F122&lt;=0,"",IFERROR(J122/F122-1,"")))</f>
        <v/>
      </c>
      <c r="K123" s="17">
        <f>IF(OR(K122="",G122=""),"",IF(G122&lt;=0,"",IFERROR(K122/G122-1,"")))</f>
        <v/>
      </c>
      <c r="L123" s="17">
        <f>IF(OR(L122="",H122=""),"",IF(H122&lt;=0,"",IFERROR(L122/H122-1,"")))</f>
        <v/>
      </c>
      <c r="M123" s="17">
        <f>IF(OR(M122="",I122=""),"",IF(I122&lt;=0,"",IFERROR(M122/I122-1,"")))</f>
        <v/>
      </c>
      <c r="N123" s="17">
        <f>IF(OR(N122="",J122=""),"",IF(J122&lt;=0,"",IFERROR(N122/J122-1,"")))</f>
        <v/>
      </c>
      <c r="T123" s="17">
        <f>IF(OR(T122="",S122=""),"",IF(S122&lt;=0,"",IFERROR(T122/S122-1,"")))</f>
        <v/>
      </c>
      <c r="U123" s="17">
        <f>IF(OR(U122="",T122=""),"",IF(T122&lt;=0,"",IFERROR(U122/T122-1,"")))</f>
        <v/>
      </c>
      <c r="V123" s="17">
        <f>IF(OR(V122="",U122=""),"",IF(U122&lt;=0,"",IFERROR(V122/U122-1,"")))</f>
        <v/>
      </c>
      <c r="W123" s="17">
        <f>IF(OR(W122="",V122=""),"",IF(V122&lt;=0,"",IFERROR(W122/V122-1,"")))</f>
        <v/>
      </c>
      <c r="X123" s="17">
        <f>IF(OR(X122="",W122=""),"",IF(W122&lt;=0,"",IFERROR(X122/W122-1,"")))</f>
        <v/>
      </c>
    </row>
    <row r="125">
      <c r="A125" s="18" t="inlineStr">
        <is>
          <t>현금흐름표 · 전 항목</t>
        </is>
      </c>
      <c r="B125" s="44" t="inlineStr">
        <is>
          <t>분기 = 결산기 첫날부터 누계(공시 그대로)</t>
        </is>
      </c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2024.2Q</t>
        </is>
      </c>
      <c r="D126" s="5" t="inlineStr">
        <is>
          <t>2024.3Q</t>
        </is>
      </c>
      <c r="E126" s="5" t="inlineStr">
        <is>
          <t>2024.4Q</t>
        </is>
      </c>
      <c r="F126" s="5" t="inlineStr">
        <is>
          <t>2025.1Q</t>
        </is>
      </c>
      <c r="G126" s="5" t="inlineStr">
        <is>
          <t>2025.2Q</t>
        </is>
      </c>
      <c r="H126" s="5" t="inlineStr">
        <is>
          <t>2025.3Q</t>
        </is>
      </c>
      <c r="I126" s="5" t="inlineStr">
        <is>
          <t>2025.4Q</t>
        </is>
      </c>
      <c r="J126" s="5" t="inlineStr">
        <is>
          <t>2026.1Q</t>
        </is>
      </c>
      <c r="K126" s="5" t="inlineStr">
        <is>
          <t>2026.2Q</t>
        </is>
      </c>
      <c r="L126" s="5" t="inlineStr">
        <is>
          <t>2026.3Q</t>
        </is>
      </c>
      <c r="M126" s="5" t="inlineStr">
        <is>
          <t>2026.4Q</t>
        </is>
      </c>
      <c r="N126" s="5" t="inlineStr">
        <is>
          <t>2027.1Q</t>
        </is>
      </c>
      <c r="O126" s="5" t="inlineStr">
        <is>
          <t>2017</t>
        </is>
      </c>
      <c r="P126" s="5" t="inlineStr">
        <is>
          <t>2018</t>
        </is>
      </c>
      <c r="Q126" s="5" t="inlineStr">
        <is>
          <t>2019</t>
        </is>
      </c>
      <c r="R126" s="5" t="inlineStr">
        <is>
          <t>2020</t>
        </is>
      </c>
      <c r="S126" s="5" t="inlineStr">
        <is>
          <t>2021</t>
        </is>
      </c>
      <c r="T126" s="5" t="inlineStr">
        <is>
          <t>2022</t>
        </is>
      </c>
      <c r="U126" s="5" t="inlineStr">
        <is>
          <t>2023</t>
        </is>
      </c>
      <c r="V126" s="5" t="inlineStr">
        <is>
          <t>2024</t>
        </is>
      </c>
      <c r="W126" s="5" t="inlineStr">
        <is>
          <t>2025</t>
        </is>
      </c>
      <c r="X126" s="5" t="inlineStr">
        <is>
          <t>2026</t>
        </is>
      </c>
      <c r="Y126" s="5" t="inlineStr">
        <is>
          <t>2027(MW)</t>
        </is>
      </c>
      <c r="Z126" s="5" t="inlineStr">
        <is>
          <t>2028(MW)</t>
        </is>
      </c>
      <c r="AA126" s="5" t="inlineStr">
        <is>
          <t>2029(MW)</t>
        </is>
      </c>
      <c r="AB126" s="5" t="inlineStr">
        <is>
          <t>2030(MW)</t>
        </is>
      </c>
      <c r="AC126" s="5" t="inlineStr">
        <is>
          <t>2031(MW)</t>
        </is>
      </c>
    </row>
    <row r="127">
      <c r="A127" s="9" t="inlineStr">
        <is>
          <t>법인세차감전 순이익</t>
        </is>
      </c>
      <c r="C127" s="12" t="n">
        <v>301.568</v>
      </c>
      <c r="E127" s="12" t="n">
        <v>690.4400000000001</v>
      </c>
      <c r="G127" s="12" t="n">
        <v>257.198</v>
      </c>
      <c r="I127" s="12" t="n">
        <v>577.153</v>
      </c>
      <c r="K127" s="12" t="n">
        <v>247.309</v>
      </c>
      <c r="M127" s="12" t="n">
        <v>674.357</v>
      </c>
      <c r="O127" s="12" t="n">
        <v>248.162</v>
      </c>
      <c r="P127" s="12" t="n">
        <v>302.573</v>
      </c>
      <c r="Q127" s="12" t="n">
        <v>349.856</v>
      </c>
      <c r="R127" s="12" t="n">
        <v>128.383</v>
      </c>
      <c r="S127" s="12" t="n">
        <v>286.734</v>
      </c>
      <c r="T127" s="12" t="n">
        <v>457.471</v>
      </c>
      <c r="U127" s="12" t="n">
        <v>620.9880000000001</v>
      </c>
      <c r="V127" s="12" t="n">
        <v>690.4400000000001</v>
      </c>
      <c r="W127" s="12" t="n">
        <v>577.153</v>
      </c>
      <c r="X127" s="12" t="n">
        <v>674.357</v>
      </c>
    </row>
    <row r="128">
      <c r="A128" s="20" t="inlineStr">
        <is>
          <t>감가상각비</t>
        </is>
      </c>
      <c r="C128" s="22" t="n">
        <v>23.959</v>
      </c>
      <c r="E128" s="22" t="n">
        <v>49.147</v>
      </c>
      <c r="G128" s="22" t="n">
        <v>22.806</v>
      </c>
      <c r="I128" s="22" t="n">
        <v>46.162</v>
      </c>
      <c r="K128" s="22" t="n">
        <v>24.511</v>
      </c>
      <c r="M128" s="22" t="n">
        <v>52.667</v>
      </c>
      <c r="O128" s="22" t="n">
        <v>39.455</v>
      </c>
      <c r="P128" s="22" t="n">
        <v>34.964</v>
      </c>
      <c r="Q128" s="22" t="n">
        <v>38.865</v>
      </c>
      <c r="R128" s="22" t="n">
        <v>36.94</v>
      </c>
      <c r="S128" s="22" t="n">
        <v>37.27</v>
      </c>
      <c r="T128" s="22" t="n">
        <v>37.803</v>
      </c>
      <c r="U128" s="22" t="n">
        <v>45.27</v>
      </c>
      <c r="V128" s="22" t="n">
        <v>49.147</v>
      </c>
      <c r="W128" s="22" t="n">
        <v>46.162</v>
      </c>
      <c r="X128" s="22" t="n">
        <v>52.667</v>
      </c>
    </row>
    <row r="129">
      <c r="A129" s="20" t="inlineStr">
        <is>
          <t>대손충당금 증감</t>
        </is>
      </c>
      <c r="C129" s="22" t="n">
        <v>-0.219</v>
      </c>
      <c r="E129" s="22" t="n">
        <v>-0.59</v>
      </c>
      <c r="G129" s="22" t="n">
        <v>0.062</v>
      </c>
      <c r="I129" s="22" t="n">
        <v>0.774</v>
      </c>
      <c r="K129" s="22" t="n">
        <v>0.014</v>
      </c>
      <c r="M129" s="22" t="n">
        <v>-0.057</v>
      </c>
      <c r="O129" s="22" t="n">
        <v>1.452</v>
      </c>
      <c r="P129" s="22" t="n">
        <v>-1.061</v>
      </c>
      <c r="Q129" s="22" t="n">
        <v>-0.711</v>
      </c>
      <c r="R129" s="22" t="n">
        <v>-0.644</v>
      </c>
      <c r="S129" s="22" t="n">
        <v>0.321</v>
      </c>
      <c r="T129" s="22" t="n">
        <v>-1.986</v>
      </c>
      <c r="U129" s="22" t="n">
        <v>-0.881</v>
      </c>
      <c r="V129" s="22" t="n">
        <v>-0.59</v>
      </c>
      <c r="W129" s="22" t="n">
        <v>0.774</v>
      </c>
      <c r="X129" s="22" t="n">
        <v>-0.057</v>
      </c>
    </row>
    <row r="130">
      <c r="A130" s="20" t="inlineStr">
        <is>
          <t>상여충당금 증감</t>
        </is>
      </c>
      <c r="C130" s="22" t="n">
        <v>-1.046</v>
      </c>
      <c r="E130" s="22" t="n">
        <v>-0.609</v>
      </c>
      <c r="G130" s="22" t="n">
        <v>-0.77</v>
      </c>
      <c r="I130" s="22" t="n">
        <v>0.585</v>
      </c>
      <c r="K130" s="22" t="n">
        <v>-1.38</v>
      </c>
      <c r="M130" s="22" t="n">
        <v>-1.465</v>
      </c>
      <c r="O130" s="22" t="n">
        <v>0.556</v>
      </c>
      <c r="P130" s="22" t="n">
        <v>-0.602</v>
      </c>
      <c r="Q130" s="22" t="n">
        <v>-0.796</v>
      </c>
      <c r="R130" s="22" t="n">
        <v>-0.513</v>
      </c>
      <c r="S130" s="22" t="n">
        <v>-1.64</v>
      </c>
      <c r="T130" s="22" t="n">
        <v>2.552</v>
      </c>
      <c r="U130" s="22" t="n">
        <v>3.048</v>
      </c>
      <c r="V130" s="22" t="n">
        <v>-0.609</v>
      </c>
      <c r="W130" s="22" t="n">
        <v>0.585</v>
      </c>
      <c r="X130" s="22" t="n">
        <v>-1.465</v>
      </c>
    </row>
    <row r="131">
      <c r="A131" s="20" t="inlineStr">
        <is>
          <t>퇴직급여충당금 증감액</t>
        </is>
      </c>
      <c r="C131" s="22" t="n">
        <v>9.798</v>
      </c>
      <c r="E131" s="22" t="n">
        <v>0.264</v>
      </c>
      <c r="G131" s="22" t="n">
        <v>-9.192</v>
      </c>
      <c r="I131" s="22" t="n">
        <v>8.497999999999999</v>
      </c>
      <c r="K131" s="22" t="n">
        <v>-27.166</v>
      </c>
      <c r="M131" s="22" t="n">
        <v>-26.144</v>
      </c>
      <c r="O131" s="22" t="n">
        <v>27.94</v>
      </c>
      <c r="P131" s="22" t="n">
        <v>10.547</v>
      </c>
      <c r="Q131" s="22" t="n">
        <v>-23.494</v>
      </c>
      <c r="R131" s="22" t="n">
        <v>2.595</v>
      </c>
      <c r="S131" s="22" t="n">
        <v>-14.05</v>
      </c>
      <c r="T131" s="22" t="n">
        <v>28.266</v>
      </c>
      <c r="U131" s="22" t="n">
        <v>-7.221</v>
      </c>
      <c r="V131" s="22" t="n">
        <v>0.264</v>
      </c>
      <c r="W131" s="22" t="n">
        <v>8.497999999999999</v>
      </c>
      <c r="X131" s="22" t="n">
        <v>-26.144</v>
      </c>
    </row>
    <row r="132">
      <c r="A132" s="20" t="inlineStr">
        <is>
          <t>이자·배당금 수익</t>
        </is>
      </c>
      <c r="C132" s="22" t="n">
        <v>-9.210000000000001</v>
      </c>
      <c r="E132" s="22" t="n">
        <v>-18.919</v>
      </c>
      <c r="G132" s="22" t="n">
        <v>-28.824</v>
      </c>
      <c r="I132" s="22" t="n">
        <v>-44.224</v>
      </c>
      <c r="K132" s="22" t="n">
        <v>-18.091</v>
      </c>
      <c r="M132" s="22" t="n">
        <v>-38.522</v>
      </c>
      <c r="O132" s="22" t="n">
        <v>-8.919</v>
      </c>
      <c r="P132" s="22" t="n">
        <v>-3.627</v>
      </c>
      <c r="Q132" s="22" t="n">
        <v>-8.898999999999999</v>
      </c>
      <c r="R132" s="22" t="n">
        <v>-12.447</v>
      </c>
      <c r="S132" s="22" t="n">
        <v>-11.648</v>
      </c>
      <c r="T132" s="22" t="n">
        <v>-15.77</v>
      </c>
      <c r="U132" s="22" t="n">
        <v>-14.906</v>
      </c>
      <c r="V132" s="22" t="n">
        <v>-18.919</v>
      </c>
      <c r="W132" s="22" t="n">
        <v>-44.224</v>
      </c>
      <c r="X132" s="22" t="n">
        <v>-38.522</v>
      </c>
    </row>
    <row r="133">
      <c r="A133" s="20" t="inlineStr">
        <is>
          <t>유가증권 이자</t>
        </is>
      </c>
      <c r="E133" s="22" t="n">
        <v>-1.518</v>
      </c>
      <c r="I133" s="22" t="n">
        <v>-1.588</v>
      </c>
      <c r="M133" s="22" t="n">
        <v>-5.968</v>
      </c>
      <c r="O133" s="22" t="n">
        <v>-0.15</v>
      </c>
      <c r="P133" s="22" t="n">
        <v>-0.157</v>
      </c>
      <c r="Q133" s="22" t="n">
        <v>-3.789</v>
      </c>
      <c r="R133" s="22" t="n">
        <v>-0.931</v>
      </c>
      <c r="S133" s="22" t="n">
        <v>-1.019</v>
      </c>
      <c r="T133" s="22" t="n">
        <v>-1.039</v>
      </c>
      <c r="U133" s="22" t="n">
        <v>-1.525</v>
      </c>
      <c r="V133" s="22" t="n">
        <v>-1.518</v>
      </c>
      <c r="W133" s="22" t="n">
        <v>-1.588</v>
      </c>
      <c r="X133" s="22" t="n">
        <v>-5.968</v>
      </c>
    </row>
    <row r="134">
      <c r="A134" s="20" t="inlineStr">
        <is>
          <t>이자비용</t>
        </is>
      </c>
      <c r="E134" s="22" t="n">
        <v>0</v>
      </c>
      <c r="T134" s="22" t="n">
        <v>0</v>
      </c>
      <c r="U134" s="22" t="n">
        <v>0.007</v>
      </c>
      <c r="V134" s="22" t="n">
        <v>0</v>
      </c>
    </row>
    <row r="135">
      <c r="A135" s="20" t="inlineStr">
        <is>
          <t>고정자산 매각손익</t>
        </is>
      </c>
      <c r="E135" s="22" t="n">
        <v>-4.333</v>
      </c>
      <c r="I135" s="22" t="n">
        <v>0</v>
      </c>
      <c r="M135" s="22" t="n">
        <v>-5.932</v>
      </c>
      <c r="O135" s="22" t="n">
        <v>0</v>
      </c>
      <c r="P135" s="22" t="n">
        <v>-0.032</v>
      </c>
      <c r="Q135" s="22" t="n">
        <v>0</v>
      </c>
      <c r="R135" s="22" t="n">
        <v>-0.066</v>
      </c>
      <c r="S135" s="22" t="n">
        <v>0</v>
      </c>
      <c r="T135" s="22" t="n">
        <v>-2.346</v>
      </c>
      <c r="U135" s="22" t="n">
        <v>0</v>
      </c>
      <c r="V135" s="22" t="n">
        <v>-4.333</v>
      </c>
      <c r="W135" s="22" t="n">
        <v>0</v>
      </c>
      <c r="X135" s="22" t="n">
        <v>-5.932</v>
      </c>
    </row>
    <row r="136">
      <c r="A136" s="20" t="inlineStr">
        <is>
          <t>손상차손</t>
        </is>
      </c>
      <c r="O136" s="22" t="n">
        <v>2.6</v>
      </c>
      <c r="P136" s="22" t="n">
        <v>0</v>
      </c>
    </row>
    <row r="137">
      <c r="A137" s="20" t="inlineStr">
        <is>
          <t>잡이익</t>
        </is>
      </c>
      <c r="O137" s="22" t="n">
        <v>-0.107</v>
      </c>
      <c r="P137" s="22" t="n">
        <v>0</v>
      </c>
    </row>
    <row r="138">
      <c r="A138" s="20" t="inlineStr">
        <is>
          <t>고정자산 제각손실</t>
        </is>
      </c>
      <c r="I138" s="22" t="n">
        <v>0</v>
      </c>
      <c r="M138" s="22" t="n">
        <v>0.186</v>
      </c>
      <c r="O138" s="22" t="n">
        <v>0.165</v>
      </c>
      <c r="P138" s="22" t="n">
        <v>1.175</v>
      </c>
      <c r="Q138" s="22" t="n">
        <v>0.222</v>
      </c>
      <c r="R138" s="22" t="n">
        <v>0</v>
      </c>
      <c r="W138" s="22" t="n">
        <v>0</v>
      </c>
      <c r="X138" s="22" t="n">
        <v>0.186</v>
      </c>
    </row>
    <row r="139">
      <c r="A139" s="20" t="inlineStr">
        <is>
          <t>부동산 임대료</t>
        </is>
      </c>
      <c r="C139" s="22" t="n">
        <v>-10.125</v>
      </c>
      <c r="E139" s="22" t="n">
        <v>-20.769</v>
      </c>
      <c r="G139" s="22" t="n">
        <v>-14.358</v>
      </c>
      <c r="I139" s="22" t="n">
        <v>-28.716</v>
      </c>
      <c r="K139" s="22" t="n">
        <v>-12.258</v>
      </c>
      <c r="M139" s="22" t="n">
        <v>-26.028</v>
      </c>
      <c r="O139" s="22" t="n">
        <v>-16</v>
      </c>
      <c r="P139" s="22" t="n">
        <v>-16</v>
      </c>
      <c r="Q139" s="22" t="n">
        <v>-16</v>
      </c>
      <c r="R139" s="22" t="n">
        <v>-16</v>
      </c>
      <c r="S139" s="22" t="n">
        <v>-15.4</v>
      </c>
      <c r="T139" s="22" t="n">
        <v>-15.2</v>
      </c>
      <c r="U139" s="22" t="n">
        <v>-19.744</v>
      </c>
      <c r="V139" s="22" t="n">
        <v>-20.769</v>
      </c>
      <c r="W139" s="22" t="n">
        <v>-28.716</v>
      </c>
      <c r="X139" s="22" t="n">
        <v>-26.028</v>
      </c>
    </row>
    <row r="140">
      <c r="A140" s="20" t="inlineStr">
        <is>
          <t>부동산 임대비용</t>
        </is>
      </c>
      <c r="C140" s="22" t="n">
        <v>2.32</v>
      </c>
      <c r="E140" s="22" t="n">
        <v>4.996</v>
      </c>
      <c r="G140" s="22" t="n">
        <v>3.601</v>
      </c>
      <c r="I140" s="22" t="n">
        <v>7.28</v>
      </c>
      <c r="K140" s="22" t="n">
        <v>3.661</v>
      </c>
      <c r="M140" s="22" t="n">
        <v>6.58</v>
      </c>
      <c r="O140" s="22" t="n">
        <v>6.537</v>
      </c>
      <c r="P140" s="22" t="n">
        <v>6.09</v>
      </c>
      <c r="Q140" s="22" t="n">
        <v>6.075</v>
      </c>
      <c r="R140" s="22" t="n">
        <v>5.969</v>
      </c>
      <c r="S140" s="22" t="n">
        <v>5.891</v>
      </c>
      <c r="T140" s="22" t="n">
        <v>5.885</v>
      </c>
      <c r="U140" s="22" t="n">
        <v>3.819</v>
      </c>
      <c r="V140" s="22" t="n">
        <v>4.996</v>
      </c>
      <c r="W140" s="22" t="n">
        <v>7.28</v>
      </c>
      <c r="X140" s="22" t="n">
        <v>6.58</v>
      </c>
    </row>
    <row r="141">
      <c r="A141" s="20" t="inlineStr">
        <is>
          <t>유가증권 매각손익</t>
        </is>
      </c>
      <c r="P141" s="22" t="n">
        <v>0</v>
      </c>
      <c r="Q141" s="22" t="n">
        <v>10.223</v>
      </c>
      <c r="R141" s="22" t="n">
        <v>0</v>
      </c>
    </row>
    <row r="142">
      <c r="A142" s="20" t="inlineStr">
        <is>
          <t>투자유가증권 매각손익</t>
        </is>
      </c>
      <c r="C142" s="22" t="n">
        <v>-60.967</v>
      </c>
      <c r="E142" s="22" t="n">
        <v>-60.967</v>
      </c>
      <c r="G142" s="22" t="n">
        <v>-46.864</v>
      </c>
      <c r="I142" s="22" t="n">
        <v>-46.864</v>
      </c>
      <c r="K142" s="22" t="n">
        <v>0</v>
      </c>
      <c r="M142" s="22" t="n">
        <v>0</v>
      </c>
      <c r="O142" s="22" t="n">
        <v>-39.678</v>
      </c>
      <c r="P142" s="22" t="n">
        <v>-10.819</v>
      </c>
      <c r="Q142" s="22" t="n">
        <v>-1.705</v>
      </c>
      <c r="R142" s="22" t="n">
        <v>0</v>
      </c>
      <c r="S142" s="22" t="n">
        <v>-1.14</v>
      </c>
      <c r="T142" s="22" t="n">
        <v>-32.293</v>
      </c>
      <c r="U142" s="22" t="n">
        <v>0</v>
      </c>
      <c r="V142" s="22" t="n">
        <v>-60.967</v>
      </c>
      <c r="W142" s="22" t="n">
        <v>-46.864</v>
      </c>
      <c r="X142" s="22" t="n">
        <v>0</v>
      </c>
    </row>
    <row r="143">
      <c r="A143" s="20" t="inlineStr">
        <is>
          <t>투자유가증권 평가손익</t>
        </is>
      </c>
      <c r="Q143" s="22" t="n">
        <v>0</v>
      </c>
      <c r="R143" s="22" t="n">
        <v>50.506</v>
      </c>
      <c r="S143" s="22" t="n">
        <v>0</v>
      </c>
    </row>
    <row r="144">
      <c r="A144" s="20" t="inlineStr">
        <is>
          <t>관계회사 주식 평가손실</t>
        </is>
      </c>
      <c r="E144" s="22" t="n">
        <v>0</v>
      </c>
      <c r="I144" s="22" t="n">
        <v>9.999000000000001</v>
      </c>
      <c r="M144" s="22" t="n">
        <v>0</v>
      </c>
      <c r="V144" s="22" t="n">
        <v>0</v>
      </c>
      <c r="W144" s="22" t="n">
        <v>9.999000000000001</v>
      </c>
      <c r="X144" s="22" t="n">
        <v>0</v>
      </c>
    </row>
    <row r="145">
      <c r="A145" s="20" t="inlineStr">
        <is>
          <t>매출채권 증감</t>
        </is>
      </c>
      <c r="C145" s="22" t="n">
        <v>-4.378</v>
      </c>
      <c r="E145" s="22" t="n">
        <v>-19.303</v>
      </c>
      <c r="G145" s="22" t="n">
        <v>31.846</v>
      </c>
      <c r="I145" s="22" t="n">
        <v>5.357</v>
      </c>
      <c r="K145" s="22" t="n">
        <v>13.915</v>
      </c>
      <c r="M145" s="22" t="n">
        <v>10.698</v>
      </c>
      <c r="O145" s="22" t="n">
        <v>-8.815</v>
      </c>
      <c r="P145" s="22" t="n">
        <v>9.539</v>
      </c>
      <c r="Q145" s="22" t="n">
        <v>1.975</v>
      </c>
      <c r="R145" s="22" t="n">
        <v>61.898</v>
      </c>
      <c r="S145" s="22" t="n">
        <v>-87.45099999999999</v>
      </c>
      <c r="T145" s="22" t="n">
        <v>16.861</v>
      </c>
      <c r="U145" s="22" t="n">
        <v>-2.282</v>
      </c>
      <c r="V145" s="22" t="n">
        <v>-19.303</v>
      </c>
      <c r="W145" s="22" t="n">
        <v>5.357</v>
      </c>
      <c r="X145" s="22" t="n">
        <v>10.698</v>
      </c>
    </row>
    <row r="146">
      <c r="A146" s="20" t="inlineStr">
        <is>
          <t>재고자산 증감</t>
        </is>
      </c>
      <c r="C146" s="22" t="n">
        <v>-38.538</v>
      </c>
      <c r="E146" s="22" t="n">
        <v>0.768</v>
      </c>
      <c r="G146" s="22" t="n">
        <v>-46.471</v>
      </c>
      <c r="I146" s="22" t="n">
        <v>3.522</v>
      </c>
      <c r="K146" s="22" t="n">
        <v>-54.944</v>
      </c>
      <c r="M146" s="22" t="n">
        <v>-14.432</v>
      </c>
      <c r="O146" s="22" t="n">
        <v>3.467</v>
      </c>
      <c r="P146" s="22" t="n">
        <v>0.308</v>
      </c>
      <c r="Q146" s="22" t="n">
        <v>-3.439</v>
      </c>
      <c r="R146" s="22" t="n">
        <v>0.89</v>
      </c>
      <c r="S146" s="22" t="n">
        <v>-1.62</v>
      </c>
      <c r="T146" s="22" t="n">
        <v>-4.03</v>
      </c>
      <c r="U146" s="22" t="n">
        <v>-5.126</v>
      </c>
      <c r="V146" s="22" t="n">
        <v>0.768</v>
      </c>
      <c r="W146" s="22" t="n">
        <v>3.522</v>
      </c>
      <c r="X146" s="22" t="n">
        <v>-14.432</v>
      </c>
    </row>
    <row r="147">
      <c r="A147" s="20" t="inlineStr">
        <is>
          <t>매입채무 증감</t>
        </is>
      </c>
      <c r="C147" s="22" t="n">
        <v>-3.37</v>
      </c>
      <c r="E147" s="22" t="n">
        <v>-9.342000000000001</v>
      </c>
      <c r="G147" s="22" t="n">
        <v>2.792</v>
      </c>
      <c r="I147" s="22" t="n">
        <v>-1.247</v>
      </c>
      <c r="K147" s="22" t="n">
        <v>29.747</v>
      </c>
      <c r="M147" s="22" t="n">
        <v>6.322</v>
      </c>
      <c r="O147" s="22" t="n">
        <v>-6.387</v>
      </c>
      <c r="P147" s="22" t="n">
        <v>-6.575</v>
      </c>
      <c r="Q147" s="22" t="n">
        <v>-4.281</v>
      </c>
      <c r="R147" s="22" t="n">
        <v>2.775</v>
      </c>
      <c r="S147" s="22" t="n">
        <v>9.577999999999999</v>
      </c>
      <c r="T147" s="22" t="n">
        <v>4.798</v>
      </c>
      <c r="U147" s="22" t="n">
        <v>-0.848</v>
      </c>
      <c r="V147" s="22" t="n">
        <v>-9.342000000000001</v>
      </c>
      <c r="W147" s="22" t="n">
        <v>-1.247</v>
      </c>
      <c r="X147" s="22" t="n">
        <v>6.322</v>
      </c>
    </row>
    <row r="148">
      <c r="A148" s="20" t="inlineStr">
        <is>
          <t>보험해약 손익</t>
        </is>
      </c>
      <c r="O148" s="22" t="n">
        <v>0</v>
      </c>
      <c r="P148" s="22" t="n">
        <v>-7.37</v>
      </c>
      <c r="Q148" s="22" t="n">
        <v>0</v>
      </c>
    </row>
    <row r="149">
      <c r="A149" s="20" t="inlineStr">
        <is>
          <t>Special Retirement Payments Ope CF</t>
        </is>
      </c>
      <c r="O149" s="22" t="n">
        <v>0</v>
      </c>
      <c r="P149" s="22" t="n">
        <v>31.737</v>
      </c>
      <c r="Q149" s="22" t="n">
        <v>0</v>
      </c>
    </row>
    <row r="150">
      <c r="A150" s="20" t="inlineStr">
        <is>
          <t>기타</t>
        </is>
      </c>
      <c r="C150" s="22" t="n">
        <v>-1.956</v>
      </c>
      <c r="G150" s="22" t="n">
        <v>32.437</v>
      </c>
      <c r="K150" s="22" t="n">
        <v>-24.868</v>
      </c>
    </row>
    <row r="151">
      <c r="A151" s="20" t="inlineStr">
        <is>
          <t>기타 유동자산 증감</t>
        </is>
      </c>
      <c r="E151" s="22" t="n">
        <v>-13.942</v>
      </c>
      <c r="I151" s="22" t="n">
        <v>-16.438</v>
      </c>
      <c r="M151" s="22" t="n">
        <v>-85.289</v>
      </c>
      <c r="O151" s="22" t="n">
        <v>2.22</v>
      </c>
      <c r="P151" s="22" t="n">
        <v>-0.73</v>
      </c>
      <c r="Q151" s="22" t="n">
        <v>4.801</v>
      </c>
      <c r="R151" s="22" t="n">
        <v>-21.584</v>
      </c>
      <c r="S151" s="22" t="n">
        <v>13.373</v>
      </c>
      <c r="T151" s="22" t="n">
        <v>-0.187</v>
      </c>
      <c r="U151" s="22" t="n">
        <v>-2.864</v>
      </c>
      <c r="V151" s="22" t="n">
        <v>-13.942</v>
      </c>
      <c r="W151" s="22" t="n">
        <v>-16.438</v>
      </c>
      <c r="X151" s="22" t="n">
        <v>-85.289</v>
      </c>
    </row>
    <row r="152">
      <c r="A152" s="20" t="inlineStr">
        <is>
          <t>기타 유동부채 증감</t>
        </is>
      </c>
      <c r="E152" s="22" t="n">
        <v>15.166</v>
      </c>
      <c r="I152" s="22" t="n">
        <v>45.284</v>
      </c>
      <c r="M152" s="22" t="n">
        <v>-7.462</v>
      </c>
      <c r="O152" s="22" t="n">
        <v>-11.248</v>
      </c>
      <c r="P152" s="22" t="n">
        <v>-62.813</v>
      </c>
      <c r="Q152" s="22" t="n">
        <v>33.968</v>
      </c>
      <c r="R152" s="22" t="n">
        <v>-33.281</v>
      </c>
      <c r="S152" s="22" t="n">
        <v>39.883</v>
      </c>
      <c r="T152" s="22" t="n">
        <v>18.23</v>
      </c>
      <c r="U152" s="22" t="n">
        <v>23.901</v>
      </c>
      <c r="V152" s="22" t="n">
        <v>15.166</v>
      </c>
      <c r="W152" s="22" t="n">
        <v>45.284</v>
      </c>
      <c r="X152" s="22" t="n">
        <v>-7.462</v>
      </c>
    </row>
    <row r="153">
      <c r="A153" s="20" t="inlineStr">
        <is>
          <t>소계</t>
        </is>
      </c>
      <c r="C153" s="22" t="n">
        <v>207.833</v>
      </c>
      <c r="E153" s="22" t="n">
        <v>610.487</v>
      </c>
      <c r="G153" s="22" t="n">
        <v>204.263</v>
      </c>
      <c r="I153" s="22" t="n">
        <v>565.54</v>
      </c>
      <c r="K153" s="22" t="n">
        <v>180.451</v>
      </c>
      <c r="M153" s="22" t="n">
        <v>539.509</v>
      </c>
      <c r="O153" s="22" t="n">
        <v>241.253</v>
      </c>
      <c r="P153" s="22" t="n">
        <v>287.145</v>
      </c>
      <c r="Q153" s="22" t="n">
        <v>382.87</v>
      </c>
      <c r="R153" s="22" t="n">
        <v>204.491</v>
      </c>
      <c r="S153" s="22" t="n">
        <v>259.082</v>
      </c>
      <c r="T153" s="22" t="n">
        <v>499.015</v>
      </c>
      <c r="U153" s="22" t="n">
        <v>641.634</v>
      </c>
      <c r="V153" s="22" t="n">
        <v>610.487</v>
      </c>
      <c r="W153" s="22" t="n">
        <v>565.54</v>
      </c>
      <c r="X153" s="22" t="n">
        <v>539.509</v>
      </c>
    </row>
    <row r="154">
      <c r="A154" s="20" t="inlineStr">
        <is>
          <t>이자·배당금 수취</t>
        </is>
      </c>
      <c r="C154" s="22" t="n">
        <v>9.497</v>
      </c>
      <c r="E154" s="22" t="n">
        <v>20.631</v>
      </c>
      <c r="G154" s="22" t="n">
        <v>28.845</v>
      </c>
      <c r="I154" s="22" t="n">
        <v>45.751</v>
      </c>
      <c r="K154" s="22" t="n">
        <v>18.466</v>
      </c>
      <c r="M154" s="22" t="n">
        <v>44.211</v>
      </c>
      <c r="O154" s="22" t="n">
        <v>9.125999999999999</v>
      </c>
      <c r="P154" s="22" t="n">
        <v>3.496</v>
      </c>
      <c r="Q154" s="22" t="n">
        <v>12.759</v>
      </c>
      <c r="R154" s="22" t="n">
        <v>13.345</v>
      </c>
      <c r="S154" s="22" t="n">
        <v>12.705</v>
      </c>
      <c r="T154" s="22" t="n">
        <v>16.941</v>
      </c>
      <c r="U154" s="22" t="n">
        <v>16.119</v>
      </c>
      <c r="V154" s="22" t="n">
        <v>20.631</v>
      </c>
      <c r="W154" s="22" t="n">
        <v>45.751</v>
      </c>
      <c r="X154" s="22" t="n">
        <v>44.211</v>
      </c>
    </row>
    <row r="155">
      <c r="A155" s="20" t="inlineStr">
        <is>
          <t>Payments For Directors Special Retirement Payments Ope CF</t>
        </is>
      </c>
      <c r="O155" s="22" t="n">
        <v>0</v>
      </c>
      <c r="P155" s="22" t="n">
        <v>-31.737</v>
      </c>
      <c r="Q155" s="22" t="n">
        <v>0</v>
      </c>
    </row>
    <row r="156">
      <c r="A156" s="20" t="inlineStr">
        <is>
          <t>이자 지급</t>
        </is>
      </c>
      <c r="E156" s="22" t="n">
        <v>0</v>
      </c>
      <c r="T156" s="22" t="n">
        <v>0</v>
      </c>
      <c r="U156" s="22" t="n">
        <v>-0.007</v>
      </c>
      <c r="V156" s="22" t="n">
        <v>0</v>
      </c>
    </row>
    <row r="157">
      <c r="A157" s="20" t="inlineStr">
        <is>
          <t>법인세 납부·환급</t>
        </is>
      </c>
      <c r="C157" s="22" t="n">
        <v>-109.754</v>
      </c>
      <c r="G157" s="22" t="n">
        <v>-109.355</v>
      </c>
      <c r="K157" s="22" t="n">
        <v>-89.774</v>
      </c>
    </row>
    <row r="158">
      <c r="A158" s="20" t="inlineStr">
        <is>
          <t>법인세 납부</t>
        </is>
      </c>
      <c r="E158" s="22" t="n">
        <v>-202.358</v>
      </c>
      <c r="I158" s="22" t="n">
        <v>-211.115</v>
      </c>
      <c r="M158" s="22" t="n">
        <v>-186.904</v>
      </c>
      <c r="O158" s="22" t="n">
        <v>-94.47199999999999</v>
      </c>
      <c r="P158" s="22" t="n">
        <v>-73.52500000000001</v>
      </c>
      <c r="Q158" s="22" t="n">
        <v>-66.827</v>
      </c>
      <c r="R158" s="22" t="n">
        <v>-124.321</v>
      </c>
      <c r="S158" s="22" t="n">
        <v>-27.324</v>
      </c>
      <c r="T158" s="22" t="n">
        <v>-104.658</v>
      </c>
      <c r="U158" s="22" t="n">
        <v>-192.897</v>
      </c>
      <c r="V158" s="22" t="n">
        <v>-202.358</v>
      </c>
      <c r="W158" s="22" t="n">
        <v>-211.115</v>
      </c>
      <c r="X158" s="22" t="n">
        <v>-186.904</v>
      </c>
    </row>
    <row r="159">
      <c r="A159" s="9" t="inlineStr">
        <is>
          <t>영업활동 현금흐름</t>
        </is>
      </c>
      <c r="C159" s="12" t="n">
        <v>107.576</v>
      </c>
      <c r="E159" s="12" t="n">
        <v>428.76</v>
      </c>
      <c r="G159" s="12" t="n">
        <v>123.754</v>
      </c>
      <c r="I159" s="12" t="n">
        <v>400.175</v>
      </c>
      <c r="K159" s="12" t="n">
        <v>109.143</v>
      </c>
      <c r="M159" s="12" t="n">
        <v>396.816</v>
      </c>
      <c r="O159" s="12" t="n">
        <v>155.906</v>
      </c>
      <c r="P159" s="12" t="n">
        <v>185.379</v>
      </c>
      <c r="Q159" s="12" t="n">
        <v>328.802</v>
      </c>
      <c r="R159" s="12" t="n">
        <v>93.515</v>
      </c>
      <c r="S159" s="12" t="n">
        <v>244.463</v>
      </c>
      <c r="T159" s="12" t="n">
        <v>411.299</v>
      </c>
      <c r="U159" s="12" t="n">
        <v>464.848</v>
      </c>
      <c r="V159" s="12" t="n">
        <v>428.76</v>
      </c>
      <c r="W159" s="12" t="n">
        <v>400.175</v>
      </c>
      <c r="X159" s="12" t="n">
        <v>396.816</v>
      </c>
    </row>
    <row r="160">
      <c r="A160" s="20" t="inlineStr">
        <is>
          <t>정기예금 예입</t>
        </is>
      </c>
      <c r="C160" s="22" t="n">
        <v>-216.008</v>
      </c>
      <c r="E160" s="22" t="n">
        <v>-282.017</v>
      </c>
      <c r="G160" s="22" t="n">
        <v>-372.88</v>
      </c>
      <c r="I160" s="22" t="n">
        <v>-439</v>
      </c>
      <c r="K160" s="22" t="n">
        <v>-166.285</v>
      </c>
      <c r="M160" s="22" t="n">
        <v>-233.632</v>
      </c>
      <c r="O160" s="22" t="n">
        <v>-152.135</v>
      </c>
      <c r="P160" s="22" t="n">
        <v>-749.047</v>
      </c>
      <c r="Q160" s="22" t="n">
        <v>-280.042</v>
      </c>
      <c r="R160" s="22" t="n">
        <v>-232.062</v>
      </c>
      <c r="S160" s="22" t="n">
        <v>-130.694</v>
      </c>
      <c r="T160" s="22" t="n">
        <v>-132.017</v>
      </c>
      <c r="U160" s="22" t="n">
        <v>-525.0309999999999</v>
      </c>
      <c r="V160" s="22" t="n">
        <v>-282.017</v>
      </c>
      <c r="W160" s="22" t="n">
        <v>-439</v>
      </c>
      <c r="X160" s="22" t="n">
        <v>-233.632</v>
      </c>
    </row>
    <row r="161">
      <c r="A161" s="20" t="inlineStr">
        <is>
          <t>정기예금 인출</t>
        </is>
      </c>
      <c r="C161" s="22" t="n">
        <v>160.016</v>
      </c>
      <c r="E161" s="22" t="n">
        <v>160.016</v>
      </c>
      <c r="G161" s="22" t="n">
        <v>606.8440000000001</v>
      </c>
      <c r="I161" s="22" t="n">
        <v>606.8440000000001</v>
      </c>
      <c r="K161" s="22" t="n">
        <v>100</v>
      </c>
      <c r="M161" s="22" t="n">
        <v>100</v>
      </c>
      <c r="O161" s="22" t="n">
        <v>50</v>
      </c>
      <c r="P161" s="22" t="n">
        <v>357.476</v>
      </c>
      <c r="Q161" s="22" t="n">
        <v>346.025</v>
      </c>
      <c r="R161" s="22" t="n">
        <v>130</v>
      </c>
      <c r="S161" s="22" t="n">
        <v>100</v>
      </c>
      <c r="T161" s="22" t="n">
        <v>0</v>
      </c>
      <c r="U161" s="22" t="n">
        <v>395.332</v>
      </c>
      <c r="V161" s="22" t="n">
        <v>160.016</v>
      </c>
      <c r="W161" s="22" t="n">
        <v>606.8440000000001</v>
      </c>
      <c r="X161" s="22" t="n">
        <v>100</v>
      </c>
    </row>
    <row r="162">
      <c r="A162" s="20" t="inlineStr">
        <is>
          <t>유형자산 취득(설비투자)</t>
        </is>
      </c>
      <c r="C162" s="22" t="n">
        <v>-11.074</v>
      </c>
      <c r="E162" s="22" t="n">
        <v>-46.977</v>
      </c>
      <c r="G162" s="22" t="n">
        <v>-2.823</v>
      </c>
      <c r="I162" s="22" t="n">
        <v>-13.098</v>
      </c>
      <c r="K162" s="22" t="n">
        <v>-1.143</v>
      </c>
      <c r="M162" s="22" t="n">
        <v>-3.291</v>
      </c>
      <c r="O162" s="22" t="n">
        <v>-72.64700000000001</v>
      </c>
      <c r="P162" s="22" t="n">
        <v>-150.96</v>
      </c>
      <c r="Q162" s="22" t="n">
        <v>-21.166</v>
      </c>
      <c r="R162" s="22" t="n">
        <v>-5.428</v>
      </c>
      <c r="S162" s="22" t="n">
        <v>-7.369</v>
      </c>
      <c r="T162" s="22" t="n">
        <v>-33.997</v>
      </c>
      <c r="U162" s="22" t="n">
        <v>-58.191</v>
      </c>
      <c r="V162" s="22" t="n">
        <v>-46.977</v>
      </c>
      <c r="W162" s="22" t="n">
        <v>-13.098</v>
      </c>
      <c r="X162" s="22" t="n">
        <v>-3.291</v>
      </c>
    </row>
    <row r="163">
      <c r="A163" s="20" t="inlineStr">
        <is>
          <t>유형자산 매각</t>
        </is>
      </c>
      <c r="E163" s="22" t="n">
        <v>33.007</v>
      </c>
      <c r="I163" s="22" t="n">
        <v>0</v>
      </c>
      <c r="O163" s="22" t="n">
        <v>0</v>
      </c>
      <c r="P163" s="22" t="n">
        <v>0.032</v>
      </c>
      <c r="Q163" s="22" t="n">
        <v>0</v>
      </c>
      <c r="R163" s="22" t="n">
        <v>0.066</v>
      </c>
      <c r="S163" s="22" t="n">
        <v>0</v>
      </c>
      <c r="T163" s="22" t="n">
        <v>2.346</v>
      </c>
      <c r="U163" s="22" t="n">
        <v>0</v>
      </c>
      <c r="V163" s="22" t="n">
        <v>33.007</v>
      </c>
      <c r="W163" s="22" t="n">
        <v>0</v>
      </c>
    </row>
    <row r="164">
      <c r="A164" s="20" t="inlineStr">
        <is>
          <t>무형자산 취득</t>
        </is>
      </c>
      <c r="C164" s="22" t="n">
        <v>-0.775</v>
      </c>
      <c r="E164" s="22" t="n">
        <v>-33.011</v>
      </c>
      <c r="G164" s="22" t="n">
        <v>-18.36</v>
      </c>
      <c r="I164" s="22" t="n">
        <v>-39.502</v>
      </c>
      <c r="K164" s="22" t="n">
        <v>-16.918</v>
      </c>
      <c r="M164" s="22" t="n">
        <v>-20.038</v>
      </c>
      <c r="O164" s="22" t="n">
        <v>-5.945</v>
      </c>
      <c r="P164" s="22" t="n">
        <v>-3</v>
      </c>
      <c r="Q164" s="22" t="n">
        <v>-12.496</v>
      </c>
      <c r="R164" s="22" t="n">
        <v>-18.004</v>
      </c>
      <c r="S164" s="22" t="n">
        <v>-6.46</v>
      </c>
      <c r="T164" s="22" t="n">
        <v>-14.28</v>
      </c>
      <c r="U164" s="22" t="n">
        <v>-11.466</v>
      </c>
      <c r="V164" s="22" t="n">
        <v>-33.011</v>
      </c>
      <c r="W164" s="22" t="n">
        <v>-39.502</v>
      </c>
      <c r="X164" s="22" t="n">
        <v>-20.038</v>
      </c>
    </row>
    <row r="165">
      <c r="A165" s="20" t="inlineStr">
        <is>
          <t>관계회사 주식 취득</t>
        </is>
      </c>
      <c r="G165" s="22" t="n">
        <v>0</v>
      </c>
      <c r="I165" s="22" t="n">
        <v>0</v>
      </c>
      <c r="K165" s="22" t="n">
        <v>-30</v>
      </c>
      <c r="M165" s="22" t="n">
        <v>-30</v>
      </c>
      <c r="W165" s="22" t="n">
        <v>0</v>
      </c>
      <c r="X165" s="22" t="n">
        <v>-30</v>
      </c>
    </row>
    <row r="166">
      <c r="A166" s="20" t="inlineStr">
        <is>
          <t>유가증권 취득</t>
        </is>
      </c>
      <c r="C166" s="22" t="n">
        <v>0</v>
      </c>
      <c r="E166" s="22" t="n">
        <v>-200.575</v>
      </c>
      <c r="G166" s="22" t="n">
        <v>-100.059</v>
      </c>
      <c r="I166" s="22" t="n">
        <v>-100.059</v>
      </c>
      <c r="K166" s="22" t="n">
        <v>0</v>
      </c>
      <c r="M166" s="22" t="n">
        <v>0</v>
      </c>
      <c r="O166" s="22" t="n">
        <v>0</v>
      </c>
      <c r="P166" s="22" t="n">
        <v>-100</v>
      </c>
      <c r="Q166" s="22" t="n">
        <v>-200</v>
      </c>
      <c r="R166" s="22" t="n">
        <v>0</v>
      </c>
      <c r="U166" s="22" t="n">
        <v>0</v>
      </c>
      <c r="V166" s="22" t="n">
        <v>-200.575</v>
      </c>
      <c r="W166" s="22" t="n">
        <v>-100.059</v>
      </c>
      <c r="X166" s="22" t="n">
        <v>0</v>
      </c>
    </row>
    <row r="167">
      <c r="A167" s="20" t="inlineStr">
        <is>
          <t>유가증권 상환 수입</t>
        </is>
      </c>
      <c r="C167" s="22" t="n">
        <v>0</v>
      </c>
      <c r="E167" s="22" t="n">
        <v>99.95699999999999</v>
      </c>
      <c r="G167" s="22" t="n">
        <v>200.677</v>
      </c>
      <c r="I167" s="22" t="n">
        <v>200.677</v>
      </c>
      <c r="K167" s="22" t="n">
        <v>0</v>
      </c>
      <c r="M167" s="22" t="n">
        <v>80</v>
      </c>
      <c r="O167" s="22" t="n">
        <v>0</v>
      </c>
      <c r="P167" s="22" t="n">
        <v>100</v>
      </c>
      <c r="Q167" s="22" t="n">
        <v>0</v>
      </c>
      <c r="U167" s="22" t="n">
        <v>0</v>
      </c>
      <c r="V167" s="22" t="n">
        <v>99.95699999999999</v>
      </c>
      <c r="W167" s="22" t="n">
        <v>200.677</v>
      </c>
      <c r="X167" s="22" t="n">
        <v>80</v>
      </c>
    </row>
    <row r="168">
      <c r="A168" s="20" t="inlineStr">
        <is>
          <t>투자유가증권 취득</t>
        </is>
      </c>
      <c r="C168" s="22" t="n">
        <v>-127.136</v>
      </c>
      <c r="E168" s="22" t="n">
        <v>-127.136</v>
      </c>
      <c r="G168" s="22" t="n">
        <v>-219.183</v>
      </c>
      <c r="I168" s="22" t="n">
        <v>-219.183</v>
      </c>
      <c r="K168" s="22" t="n">
        <v>-100</v>
      </c>
      <c r="M168" s="22" t="n">
        <v>-277.388</v>
      </c>
      <c r="O168" s="22" t="n">
        <v>-274.479</v>
      </c>
      <c r="P168" s="22" t="n">
        <v>-3</v>
      </c>
      <c r="Q168" s="22" t="n">
        <v>-52.5</v>
      </c>
      <c r="R168" s="22" t="n">
        <v>-149.573</v>
      </c>
      <c r="S168" s="22" t="n">
        <v>-50</v>
      </c>
      <c r="T168" s="22" t="n">
        <v>-337.679</v>
      </c>
      <c r="U168" s="22" t="n">
        <v>-230</v>
      </c>
      <c r="V168" s="22" t="n">
        <v>-127.136</v>
      </c>
      <c r="W168" s="22" t="n">
        <v>-219.183</v>
      </c>
      <c r="X168" s="22" t="n">
        <v>-277.388</v>
      </c>
    </row>
    <row r="169">
      <c r="A169" s="20" t="inlineStr">
        <is>
          <t>투자유가증권 매각</t>
        </is>
      </c>
      <c r="C169" s="22" t="n">
        <v>93.623</v>
      </c>
      <c r="E169" s="22" t="n">
        <v>93.623</v>
      </c>
      <c r="G169" s="22" t="n">
        <v>74.40000000000001</v>
      </c>
      <c r="I169" s="22" t="n">
        <v>74.40000000000001</v>
      </c>
      <c r="K169" s="22" t="n">
        <v>0</v>
      </c>
      <c r="M169" s="22" t="n">
        <v>0</v>
      </c>
      <c r="O169" s="22" t="n">
        <v>367.001</v>
      </c>
      <c r="P169" s="22" t="n">
        <v>233.355</v>
      </c>
      <c r="Q169" s="22" t="n">
        <v>9.720000000000001</v>
      </c>
      <c r="R169" s="22" t="n">
        <v>0</v>
      </c>
      <c r="S169" s="22" t="n">
        <v>61.32</v>
      </c>
      <c r="T169" s="22" t="n">
        <v>188.328</v>
      </c>
      <c r="U169" s="22" t="n">
        <v>0</v>
      </c>
      <c r="V169" s="22" t="n">
        <v>93.623</v>
      </c>
      <c r="W169" s="22" t="n">
        <v>74.40000000000001</v>
      </c>
      <c r="X169" s="22" t="n">
        <v>0</v>
      </c>
    </row>
    <row r="170">
      <c r="A170" s="20" t="inlineStr">
        <is>
          <t>투자유가증권 상환</t>
        </is>
      </c>
      <c r="C170" s="22" t="n">
        <v>0</v>
      </c>
      <c r="E170" s="22" t="n">
        <v>20</v>
      </c>
      <c r="G170" s="22" t="n">
        <v>100</v>
      </c>
      <c r="I170" s="22" t="n">
        <v>100</v>
      </c>
      <c r="K170" s="22" t="n">
        <v>0</v>
      </c>
      <c r="M170" s="22" t="n">
        <v>0</v>
      </c>
      <c r="U170" s="22" t="n">
        <v>0</v>
      </c>
      <c r="V170" s="22" t="n">
        <v>20</v>
      </c>
      <c r="W170" s="22" t="n">
        <v>100</v>
      </c>
      <c r="X170" s="22" t="n">
        <v>0</v>
      </c>
    </row>
    <row r="171">
      <c r="A171" s="20" t="inlineStr">
        <is>
          <t>Proceeds From Redemption Of Bond Inv CF</t>
        </is>
      </c>
      <c r="C171" s="22" t="n">
        <v>1.693</v>
      </c>
      <c r="E171" s="22" t="n">
        <v>2.373</v>
      </c>
      <c r="G171" s="22" t="n">
        <v>43.314</v>
      </c>
      <c r="I171" s="22" t="n">
        <v>48.214</v>
      </c>
      <c r="K171" s="22" t="n">
        <v>0.465</v>
      </c>
      <c r="M171" s="22" t="n">
        <v>0.653</v>
      </c>
      <c r="T171" s="22" t="n">
        <v>0</v>
      </c>
      <c r="U171" s="22" t="n">
        <v>4.241</v>
      </c>
      <c r="V171" s="22" t="n">
        <v>2.373</v>
      </c>
      <c r="W171" s="22" t="n">
        <v>48.214</v>
      </c>
      <c r="X171" s="22" t="n">
        <v>0.653</v>
      </c>
    </row>
    <row r="172">
      <c r="A172" s="20" t="inlineStr">
        <is>
          <t>Payments For Investments In Real Estates Inv CF</t>
        </is>
      </c>
      <c r="E172" s="22" t="n">
        <v>-121.171</v>
      </c>
      <c r="I172" s="22" t="n">
        <v>-2.3</v>
      </c>
      <c r="M172" s="22" t="n">
        <v>-1.454</v>
      </c>
      <c r="O172" s="22" t="n">
        <v>0</v>
      </c>
      <c r="P172" s="22" t="n">
        <v>-2.784</v>
      </c>
      <c r="Q172" s="22" t="n">
        <v>0</v>
      </c>
      <c r="U172" s="22" t="n">
        <v>0</v>
      </c>
      <c r="V172" s="22" t="n">
        <v>-121.171</v>
      </c>
      <c r="W172" s="22" t="n">
        <v>-2.3</v>
      </c>
      <c r="X172" s="22" t="n">
        <v>-1.454</v>
      </c>
    </row>
    <row r="173">
      <c r="A173" s="20" t="inlineStr">
        <is>
          <t>투자부동산 매각</t>
        </is>
      </c>
      <c r="E173" s="22" t="n">
        <v>25.569</v>
      </c>
      <c r="I173" s="22" t="n">
        <v>0</v>
      </c>
      <c r="M173" s="22" t="n">
        <v>121.41</v>
      </c>
      <c r="U173" s="22" t="n">
        <v>0</v>
      </c>
      <c r="V173" s="22" t="n">
        <v>25.569</v>
      </c>
      <c r="W173" s="22" t="n">
        <v>0</v>
      </c>
      <c r="X173" s="22" t="n">
        <v>121.41</v>
      </c>
    </row>
    <row r="174">
      <c r="A174" s="20" t="inlineStr">
        <is>
          <t>투자부동산 임대 수입</t>
        </is>
      </c>
      <c r="C174" s="22" t="n">
        <v>10.125</v>
      </c>
      <c r="E174" s="22" t="n">
        <v>20.769</v>
      </c>
      <c r="G174" s="22" t="n">
        <v>14.358</v>
      </c>
      <c r="I174" s="22" t="n">
        <v>28.716</v>
      </c>
      <c r="K174" s="22" t="n">
        <v>12.258</v>
      </c>
      <c r="M174" s="22" t="n">
        <v>26.028</v>
      </c>
      <c r="O174" s="22" t="n">
        <v>16</v>
      </c>
      <c r="P174" s="22" t="n">
        <v>16</v>
      </c>
      <c r="Q174" s="22" t="n">
        <v>16</v>
      </c>
      <c r="R174" s="22" t="n">
        <v>16</v>
      </c>
      <c r="S174" s="22" t="n">
        <v>15.4</v>
      </c>
      <c r="T174" s="22" t="n">
        <v>14.533</v>
      </c>
      <c r="U174" s="22" t="n">
        <v>19.144</v>
      </c>
      <c r="V174" s="22" t="n">
        <v>20.769</v>
      </c>
      <c r="W174" s="22" t="n">
        <v>28.716</v>
      </c>
      <c r="X174" s="22" t="n">
        <v>26.028</v>
      </c>
    </row>
    <row r="175">
      <c r="A175" s="20" t="inlineStr">
        <is>
          <t>보험적립금 환급</t>
        </is>
      </c>
      <c r="O175" s="22" t="n">
        <v>18.779</v>
      </c>
      <c r="P175" s="22" t="n">
        <v>0</v>
      </c>
      <c r="Q175" s="22" t="n">
        <v>7.483</v>
      </c>
      <c r="R175" s="22" t="n">
        <v>0</v>
      </c>
      <c r="S175" s="22" t="n">
        <v>9.6</v>
      </c>
      <c r="T175" s="22" t="n">
        <v>0</v>
      </c>
    </row>
    <row r="176">
      <c r="A176" s="20" t="inlineStr">
        <is>
          <t>Proceeds From Cancellation Of Insurance Inv CF</t>
        </is>
      </c>
      <c r="P176" s="22" t="n">
        <v>18.8</v>
      </c>
      <c r="Q176" s="22" t="n">
        <v>0</v>
      </c>
    </row>
    <row r="177">
      <c r="A177" s="20" t="inlineStr">
        <is>
          <t>기타</t>
        </is>
      </c>
      <c r="C177" s="22" t="n">
        <v>-1.937</v>
      </c>
      <c r="E177" s="22" t="n">
        <v>-6.322</v>
      </c>
      <c r="G177" s="22" t="n">
        <v>-1.938</v>
      </c>
      <c r="I177" s="22" t="n">
        <v>-9.721</v>
      </c>
      <c r="K177" s="22" t="n">
        <v>-1.938</v>
      </c>
      <c r="M177" s="22" t="n">
        <v>-3.876</v>
      </c>
      <c r="O177" s="22" t="n">
        <v>-9.255000000000001</v>
      </c>
      <c r="P177" s="22" t="n">
        <v>-9.646000000000001</v>
      </c>
      <c r="Q177" s="22" t="n">
        <v>-8.800000000000001</v>
      </c>
      <c r="R177" s="22" t="n">
        <v>-6.852</v>
      </c>
      <c r="S177" s="22" t="n">
        <v>-16.041</v>
      </c>
      <c r="T177" s="22" t="n">
        <v>90.3</v>
      </c>
      <c r="U177" s="22" t="n">
        <v>-12.588</v>
      </c>
      <c r="V177" s="22" t="n">
        <v>-6.322</v>
      </c>
      <c r="W177" s="22" t="n">
        <v>-9.721</v>
      </c>
      <c r="X177" s="22" t="n">
        <v>-3.876</v>
      </c>
    </row>
    <row r="178">
      <c r="A178" s="9" t="inlineStr">
        <is>
          <t>투자활동 현금흐름</t>
        </is>
      </c>
      <c r="C178" s="12" t="n">
        <v>-91.47199999999999</v>
      </c>
      <c r="E178" s="12" t="n">
        <v>-361.892</v>
      </c>
      <c r="G178" s="12" t="n">
        <v>324.347</v>
      </c>
      <c r="I178" s="12" t="n">
        <v>235.986</v>
      </c>
      <c r="K178" s="12" t="n">
        <v>-203.561</v>
      </c>
      <c r="M178" s="12" t="n">
        <v>-241.588</v>
      </c>
      <c r="O178" s="12" t="n">
        <v>-62.682</v>
      </c>
      <c r="P178" s="12" t="n">
        <v>-292.773</v>
      </c>
      <c r="Q178" s="12" t="n">
        <v>-195.776</v>
      </c>
      <c r="R178" s="12" t="n">
        <v>-265.853</v>
      </c>
      <c r="S178" s="12" t="n">
        <v>-24.244</v>
      </c>
      <c r="T178" s="12" t="n">
        <v>-222.466</v>
      </c>
      <c r="U178" s="12" t="n">
        <v>-418.56</v>
      </c>
      <c r="V178" s="12" t="n">
        <v>-361.892</v>
      </c>
      <c r="W178" s="12" t="n">
        <v>235.986</v>
      </c>
      <c r="X178" s="12" t="n">
        <v>-241.588</v>
      </c>
    </row>
    <row r="179">
      <c r="A179" s="20" t="inlineStr">
        <is>
          <t>자기주식 취득</t>
        </is>
      </c>
      <c r="P179" s="22" t="n">
        <v>0</v>
      </c>
      <c r="Q179" s="22" t="n">
        <v>-0</v>
      </c>
      <c r="R179" s="22" t="n">
        <v>0</v>
      </c>
      <c r="S179" s="22" t="n">
        <v>0</v>
      </c>
      <c r="T179" s="22" t="n">
        <v>-0.004</v>
      </c>
      <c r="U179" s="22" t="n">
        <v>0</v>
      </c>
    </row>
    <row r="180">
      <c r="A180" s="20" t="inlineStr">
        <is>
          <t>배당금 지급</t>
        </is>
      </c>
      <c r="C180" s="22" t="n">
        <v>-93.84999999999999</v>
      </c>
      <c r="E180" s="22" t="n">
        <v>-93.84999999999999</v>
      </c>
      <c r="G180" s="22" t="n">
        <v>-104.891</v>
      </c>
      <c r="I180" s="22" t="n">
        <v>-104.891</v>
      </c>
      <c r="K180" s="22" t="n">
        <v>-110.412</v>
      </c>
      <c r="M180" s="22" t="n">
        <v>-110.412</v>
      </c>
      <c r="O180" s="22" t="n">
        <v>-66.247</v>
      </c>
      <c r="P180" s="22" t="n">
        <v>-66.247</v>
      </c>
      <c r="Q180" s="22" t="n">
        <v>-66.247</v>
      </c>
      <c r="R180" s="22" t="n">
        <v>-66.247</v>
      </c>
      <c r="S180" s="22" t="n">
        <v>-66.247</v>
      </c>
      <c r="T180" s="22" t="n">
        <v>-77.288</v>
      </c>
      <c r="U180" s="22" t="n">
        <v>-82.809</v>
      </c>
      <c r="V180" s="22" t="n">
        <v>-93.84999999999999</v>
      </c>
      <c r="W180" s="22" t="n">
        <v>-104.891</v>
      </c>
      <c r="X180" s="22" t="n">
        <v>-110.412</v>
      </c>
    </row>
    <row r="181">
      <c r="A181" s="9" t="inlineStr">
        <is>
          <t>재무활동 현금흐름</t>
        </is>
      </c>
      <c r="C181" s="12" t="n">
        <v>-93.84999999999999</v>
      </c>
      <c r="E181" s="12" t="n">
        <v>-93.84999999999999</v>
      </c>
      <c r="G181" s="12" t="n">
        <v>-104.891</v>
      </c>
      <c r="I181" s="12" t="n">
        <v>-104.891</v>
      </c>
      <c r="K181" s="12" t="n">
        <v>-110.412</v>
      </c>
      <c r="M181" s="12" t="n">
        <v>-110.412</v>
      </c>
      <c r="O181" s="12" t="n">
        <v>-66.247</v>
      </c>
      <c r="P181" s="12" t="n">
        <v>-66.247</v>
      </c>
      <c r="Q181" s="12" t="n">
        <v>-66.248</v>
      </c>
      <c r="R181" s="12" t="n">
        <v>-66.247</v>
      </c>
      <c r="S181" s="12" t="n">
        <v>-66.247</v>
      </c>
      <c r="T181" s="12" t="n">
        <v>-77.292</v>
      </c>
      <c r="U181" s="12" t="n">
        <v>-82.809</v>
      </c>
      <c r="V181" s="12" t="n">
        <v>-93.84999999999999</v>
      </c>
      <c r="W181" s="12" t="n">
        <v>-104.891</v>
      </c>
      <c r="X181" s="12" t="n">
        <v>-110.412</v>
      </c>
    </row>
    <row r="182">
      <c r="A182" s="20" t="inlineStr">
        <is>
          <t>현금성자산 증감</t>
        </is>
      </c>
      <c r="C182" s="22" t="n">
        <v>-77.746</v>
      </c>
      <c r="E182" s="22" t="n">
        <v>-26.982</v>
      </c>
      <c r="G182" s="22" t="n">
        <v>343.21</v>
      </c>
      <c r="I182" s="22" t="n">
        <v>531.27</v>
      </c>
      <c r="K182" s="22" t="n">
        <v>-204.83</v>
      </c>
      <c r="M182" s="22" t="n">
        <v>44.815</v>
      </c>
      <c r="O182" s="22" t="n">
        <v>26.976</v>
      </c>
      <c r="P182" s="22" t="n">
        <v>-173.641</v>
      </c>
      <c r="Q182" s="22" t="n">
        <v>66.777</v>
      </c>
      <c r="R182" s="22" t="n">
        <v>-238.585</v>
      </c>
      <c r="S182" s="22" t="n">
        <v>153.97</v>
      </c>
      <c r="T182" s="22" t="n">
        <v>111.54</v>
      </c>
      <c r="U182" s="22" t="n">
        <v>-36.52</v>
      </c>
      <c r="V182" s="22" t="n">
        <v>-26.982</v>
      </c>
      <c r="W182" s="22" t="n">
        <v>531.27</v>
      </c>
      <c r="X182" s="22" t="n">
        <v>44.815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2481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2424.011</v>
      </c>
      <c r="D5" s="12" t="n">
        <v>2570.373</v>
      </c>
      <c r="E5" s="12" t="n">
        <v>2935.027</v>
      </c>
      <c r="F5" s="12" t="n">
        <v>2964.872</v>
      </c>
      <c r="G5" s="12" t="n">
        <v>2678.893</v>
      </c>
      <c r="H5" s="11" t="n">
        <v>2242.225</v>
      </c>
      <c r="I5" s="12" t="n">
        <v>2191.599</v>
      </c>
      <c r="J5" s="12" t="n">
        <v>2360.198</v>
      </c>
      <c r="K5" s="12" t="n">
        <v>2618.148</v>
      </c>
      <c r="L5" s="12" t="n">
        <v>2964.872</v>
      </c>
    </row>
    <row r="6">
      <c r="A6" s="20" t="inlineStr">
        <is>
          <t>현금및현금성자산</t>
        </is>
      </c>
      <c r="B6" s="10" t="n"/>
      <c r="C6" s="21" t="n">
        <v>2060.007</v>
      </c>
      <c r="D6" s="22" t="n">
        <v>2183.831</v>
      </c>
      <c r="E6" s="22" t="n">
        <v>2427.124</v>
      </c>
      <c r="F6" s="22" t="n">
        <v>2494.824</v>
      </c>
      <c r="G6" s="22" t="n">
        <v>2208.66</v>
      </c>
      <c r="H6" s="21" t="n">
        <v>1852.753</v>
      </c>
      <c r="I6" s="22" t="n">
        <v>1892.931</v>
      </c>
      <c r="J6" s="22" t="n">
        <v>1926.949</v>
      </c>
      <c r="K6" s="22" t="n">
        <v>2278.376</v>
      </c>
      <c r="L6" s="22" t="n">
        <v>2494.824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>
        <v>40</v>
      </c>
      <c r="G7" s="22" t="n">
        <v>0</v>
      </c>
      <c r="H7" s="21" t="n">
        <v>100</v>
      </c>
      <c r="I7" s="22" t="n">
        <v>0</v>
      </c>
      <c r="J7" s="22" t="n">
        <v>100.617</v>
      </c>
      <c r="K7" s="22" t="n">
        <v>0</v>
      </c>
      <c r="L7" s="22" t="n">
        <v>40</v>
      </c>
    </row>
    <row r="8">
      <c r="A8" s="20" t="inlineStr">
        <is>
          <t>매출채권</t>
        </is>
      </c>
      <c r="B8" s="10" t="n"/>
      <c r="C8" s="21" t="n">
        <v>276.187</v>
      </c>
      <c r="D8" s="22" t="n">
        <v>247.33</v>
      </c>
      <c r="E8" s="22" t="n">
        <v>452.674</v>
      </c>
      <c r="F8" s="22" t="n">
        <v>250.547</v>
      </c>
      <c r="G8" s="22" t="n">
        <v>290.509</v>
      </c>
      <c r="H8" s="21" t="n">
        <v>245.017</v>
      </c>
      <c r="I8" s="22" t="n">
        <v>247.299</v>
      </c>
      <c r="J8" s="22" t="n">
        <v>266.603</v>
      </c>
      <c r="K8" s="22" t="n">
        <v>261.246</v>
      </c>
      <c r="L8" s="22" t="n">
        <v>250.547</v>
      </c>
    </row>
    <row r="9">
      <c r="A9" s="20" t="inlineStr">
        <is>
          <t>재고자산</t>
        </is>
      </c>
      <c r="B9" s="10" t="n"/>
      <c r="C9" s="21" t="n">
        <v>26.586</v>
      </c>
      <c r="D9" s="22" t="n">
        <v>63.997</v>
      </c>
      <c r="E9" s="22" t="n">
        <v>6.578</v>
      </c>
      <c r="F9" s="22" t="n">
        <v>23.485</v>
      </c>
      <c r="G9" s="22" t="n">
        <v>32.843</v>
      </c>
      <c r="H9" s="21" t="n">
        <v>8.218</v>
      </c>
      <c r="I9" s="22" t="n">
        <v>13.344</v>
      </c>
      <c r="J9" s="22" t="n">
        <v>12.575</v>
      </c>
      <c r="K9" s="22" t="n">
        <v>9.052</v>
      </c>
      <c r="L9" s="22" t="n">
        <v>23.485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3351.278</v>
      </c>
      <c r="D11" s="12" t="n">
        <v>3396.17</v>
      </c>
      <c r="E11" s="12" t="n">
        <v>3394.442</v>
      </c>
      <c r="F11" s="12" t="n">
        <v>3498.26</v>
      </c>
      <c r="G11" s="12" t="n">
        <v>3858.671</v>
      </c>
      <c r="H11" s="11" t="n">
        <v>2296.656</v>
      </c>
      <c r="I11" s="12" t="n">
        <v>2785.354</v>
      </c>
      <c r="J11" s="12" t="n">
        <v>3080.415</v>
      </c>
      <c r="K11" s="12" t="n">
        <v>3173.857</v>
      </c>
      <c r="L11" s="12" t="n">
        <v>3498.26</v>
      </c>
    </row>
    <row r="12">
      <c r="A12" s="20" t="inlineStr">
        <is>
          <t>유형자산</t>
        </is>
      </c>
      <c r="B12" s="10" t="n"/>
      <c r="C12" s="21" t="n">
        <v>931.366</v>
      </c>
      <c r="D12" s="22" t="n">
        <v>923.496</v>
      </c>
      <c r="E12" s="22" t="n">
        <v>916.08</v>
      </c>
      <c r="F12" s="22" t="n">
        <v>909.035</v>
      </c>
      <c r="G12" s="22" t="n">
        <v>901.027</v>
      </c>
      <c r="H12" s="21" t="n">
        <v>909.585</v>
      </c>
      <c r="I12" s="22" t="n">
        <v>977.918</v>
      </c>
      <c r="J12" s="22" t="n">
        <v>959.611</v>
      </c>
      <c r="K12" s="22" t="n">
        <v>938.643</v>
      </c>
      <c r="L12" s="22" t="n">
        <v>909.035</v>
      </c>
    </row>
    <row r="13">
      <c r="A13" s="20" t="inlineStr">
        <is>
          <t>무형자산</t>
        </is>
      </c>
      <c r="B13" s="10" t="n"/>
      <c r="C13" s="21" t="n">
        <v>93.90000000000001</v>
      </c>
      <c r="D13" s="22" t="n">
        <v>93.54900000000001</v>
      </c>
      <c r="E13" s="22" t="n">
        <v>89.176</v>
      </c>
      <c r="F13" s="22" t="n">
        <v>85.038</v>
      </c>
      <c r="G13" s="22" t="n">
        <v>80.967</v>
      </c>
      <c r="H13" s="21" t="n">
        <v>35.958</v>
      </c>
      <c r="I13" s="22" t="n">
        <v>36.923</v>
      </c>
      <c r="J13" s="22" t="n">
        <v>57.135</v>
      </c>
      <c r="K13" s="22" t="n">
        <v>84.748</v>
      </c>
      <c r="L13" s="22" t="n">
        <v>85.038</v>
      </c>
    </row>
    <row r="14">
      <c r="A14" s="20" t="inlineStr">
        <is>
          <t>투자부동산</t>
        </is>
      </c>
      <c r="B14" s="10" t="n"/>
      <c r="C14" s="21" t="n">
        <v>309.256</v>
      </c>
      <c r="D14" s="22" t="n">
        <v>307.425</v>
      </c>
      <c r="E14" s="22" t="n">
        <v>190.116</v>
      </c>
      <c r="F14" s="22" t="n">
        <v>190.482</v>
      </c>
      <c r="G14" s="22" t="n">
        <v>189.361</v>
      </c>
      <c r="H14" s="21" t="n">
        <v>270.027</v>
      </c>
      <c r="I14" s="22" t="n">
        <v>224.994</v>
      </c>
      <c r="J14" s="22" t="n">
        <v>316.068</v>
      </c>
      <c r="K14" s="22" t="n">
        <v>311.087</v>
      </c>
      <c r="L14" s="22" t="n">
        <v>190.482</v>
      </c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5775.29</v>
      </c>
      <c r="D16" s="12" t="n">
        <v>5966.544</v>
      </c>
      <c r="E16" s="12" t="n">
        <v>6329.47</v>
      </c>
      <c r="F16" s="12" t="n">
        <v>6463.133</v>
      </c>
      <c r="G16" s="12" t="n">
        <v>6537.564</v>
      </c>
      <c r="H16" s="11" t="n">
        <v>4538.881</v>
      </c>
      <c r="I16" s="12" t="n">
        <v>4976.953</v>
      </c>
      <c r="J16" s="12" t="n">
        <v>5440.614</v>
      </c>
      <c r="K16" s="12" t="n">
        <v>5792.005</v>
      </c>
      <c r="L16" s="12" t="n">
        <v>6463.133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468.914</v>
      </c>
      <c r="D18" s="12" t="n">
        <v>516.14</v>
      </c>
      <c r="E18" s="12" t="n">
        <v>605.423</v>
      </c>
      <c r="F18" s="12" t="n">
        <v>548.247</v>
      </c>
      <c r="G18" s="12" t="n">
        <v>519.635</v>
      </c>
      <c r="H18" s="11" t="n">
        <v>475.352</v>
      </c>
      <c r="I18" s="12" t="n">
        <v>500.69</v>
      </c>
      <c r="J18" s="12" t="n">
        <v>500.131</v>
      </c>
      <c r="K18" s="12" t="n">
        <v>525.519</v>
      </c>
      <c r="L18" s="12" t="n">
        <v>548.247</v>
      </c>
    </row>
    <row r="19">
      <c r="A19" s="20" t="inlineStr">
        <is>
          <t>매입채무</t>
        </is>
      </c>
      <c r="B19" s="10" t="n"/>
      <c r="C19" s="21" t="n">
        <v>73.366</v>
      </c>
      <c r="D19" s="22" t="n">
        <v>92.123</v>
      </c>
      <c r="E19" s="22" t="n">
        <v>112.164</v>
      </c>
      <c r="F19" s="22" t="n">
        <v>68.69799999999999</v>
      </c>
      <c r="G19" s="22" t="n">
        <v>64.16</v>
      </c>
      <c r="H19" s="21" t="n">
        <v>73.81399999999999</v>
      </c>
      <c r="I19" s="22" t="n">
        <v>72.965</v>
      </c>
      <c r="J19" s="22" t="n">
        <v>63.623</v>
      </c>
      <c r="K19" s="22" t="n">
        <v>62.376</v>
      </c>
      <c r="L19" s="22" t="n">
        <v>68.69799999999999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168.18</v>
      </c>
      <c r="D23" s="12" t="n">
        <v>184.944</v>
      </c>
      <c r="E23" s="12" t="n">
        <v>176.869</v>
      </c>
      <c r="F23" s="12" t="n">
        <v>240.639</v>
      </c>
      <c r="G23" s="12" t="n">
        <v>276.998</v>
      </c>
      <c r="H23" s="11" t="n">
        <v>131.809</v>
      </c>
      <c r="I23" s="12" t="n">
        <v>124.587</v>
      </c>
      <c r="J23" s="12" t="n">
        <v>140.157</v>
      </c>
      <c r="K23" s="12" t="n">
        <v>158.397</v>
      </c>
      <c r="L23" s="12" t="n">
        <v>240.639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637.0940000000001</v>
      </c>
      <c r="D27" s="12" t="n">
        <v>701.085</v>
      </c>
      <c r="E27" s="12" t="n">
        <v>782.293</v>
      </c>
      <c r="F27" s="12" t="n">
        <v>788.886</v>
      </c>
      <c r="G27" s="12" t="n">
        <v>796.633</v>
      </c>
      <c r="H27" s="11" t="n">
        <v>607.1609999999999</v>
      </c>
      <c r="I27" s="12" t="n">
        <v>625.277</v>
      </c>
      <c r="J27" s="12" t="n">
        <v>640.288</v>
      </c>
      <c r="K27" s="12" t="n">
        <v>683.917</v>
      </c>
      <c r="L27" s="12" t="n">
        <v>788.886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5138.195</v>
      </c>
      <c r="D31" s="12" t="n">
        <v>5265.458</v>
      </c>
      <c r="E31" s="12" t="n">
        <v>5547.176</v>
      </c>
      <c r="F31" s="12" t="n">
        <v>5674.246</v>
      </c>
      <c r="G31" s="12" t="n">
        <v>5740.93</v>
      </c>
      <c r="H31" s="11" t="n">
        <v>3931.72</v>
      </c>
      <c r="I31" s="12" t="n">
        <v>4351.676</v>
      </c>
      <c r="J31" s="12" t="n">
        <v>4800.325</v>
      </c>
      <c r="K31" s="12" t="n">
        <v>5108.088</v>
      </c>
      <c r="L31" s="12" t="n">
        <v>5674.246</v>
      </c>
    </row>
    <row r="32">
      <c r="A32" s="20" t="inlineStr">
        <is>
          <t>자본금</t>
        </is>
      </c>
      <c r="B32" s="10" t="n"/>
      <c r="C32" s="21" t="n">
        <v>501.375</v>
      </c>
      <c r="D32" s="22" t="n">
        <v>501.375</v>
      </c>
      <c r="E32" s="22" t="n">
        <v>501.375</v>
      </c>
      <c r="F32" s="22" t="n">
        <v>501.375</v>
      </c>
      <c r="G32" s="22" t="n">
        <v>501.375</v>
      </c>
      <c r="H32" s="21" t="n">
        <v>501.375</v>
      </c>
      <c r="I32" s="22" t="n">
        <v>501.375</v>
      </c>
      <c r="J32" s="22" t="n">
        <v>501.375</v>
      </c>
      <c r="K32" s="22" t="n">
        <v>501.375</v>
      </c>
      <c r="L32" s="22" t="n">
        <v>501.375</v>
      </c>
    </row>
    <row r="33">
      <c r="A33" s="20" t="inlineStr">
        <is>
          <t>이익잉여금</t>
        </is>
      </c>
      <c r="B33" s="10" t="n"/>
      <c r="C33" s="21" t="n">
        <v>3925.311</v>
      </c>
      <c r="D33" s="22" t="n">
        <v>4017.023</v>
      </c>
      <c r="E33" s="22" t="n">
        <v>4280.683</v>
      </c>
      <c r="F33" s="22" t="n">
        <v>4303.686</v>
      </c>
      <c r="G33" s="22" t="n">
        <v>4279.862</v>
      </c>
      <c r="H33" s="21" t="n">
        <v>2929.443</v>
      </c>
      <c r="I33" s="22" t="n">
        <v>3276.634</v>
      </c>
      <c r="J33" s="22" t="n">
        <v>3675.364</v>
      </c>
      <c r="K33" s="22" t="n">
        <v>3959.608</v>
      </c>
      <c r="L33" s="22" t="n">
        <v>4303.686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5138.195</v>
      </c>
      <c r="D35" s="12" t="n">
        <v>5265.458</v>
      </c>
      <c r="E35" s="12" t="n">
        <v>5547.176</v>
      </c>
      <c r="F35" s="12" t="n">
        <v>5674.246</v>
      </c>
      <c r="G35" s="12" t="n">
        <v>5740.93</v>
      </c>
      <c r="H35" s="11" t="n">
        <v>3931.72</v>
      </c>
      <c r="I35" s="12" t="n">
        <v>4351.676</v>
      </c>
      <c r="J35" s="12" t="n">
        <v>4800.325</v>
      </c>
      <c r="K35" s="12" t="n">
        <v>5108.088</v>
      </c>
      <c r="L35" s="12" t="n">
        <v>5674.246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385.564</v>
      </c>
      <c r="E37" s="12" t="n"/>
      <c r="F37" s="12" t="n">
        <v>396.816</v>
      </c>
      <c r="G37" s="12" t="n"/>
      <c r="H37" s="11" t="n">
        <v>411.299</v>
      </c>
      <c r="I37" s="12" t="n">
        <v>464.848</v>
      </c>
      <c r="J37" s="12" t="n">
        <v>428.76</v>
      </c>
      <c r="K37" s="12" t="n">
        <v>400.175</v>
      </c>
      <c r="L37" s="12" t="n">
        <v>396.816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49.478</v>
      </c>
      <c r="E38" s="22" t="n"/>
      <c r="F38" s="22" t="n">
        <v>23.329</v>
      </c>
      <c r="G38" s="22" t="n"/>
      <c r="H38" s="21" t="n">
        <v>48.277</v>
      </c>
      <c r="I38" s="22" t="n">
        <v>69.657</v>
      </c>
      <c r="J38" s="22" t="n">
        <v>79.988</v>
      </c>
      <c r="K38" s="22" t="n">
        <v>52.6</v>
      </c>
      <c r="L38" s="22" t="n">
        <v>23.329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110.412</v>
      </c>
      <c r="E40" s="22" t="n"/>
      <c r="F40" s="22" t="n">
        <v>110.412</v>
      </c>
      <c r="G40" s="22" t="n"/>
      <c r="H40" s="21" t="n">
        <v>77.288</v>
      </c>
      <c r="I40" s="22" t="n">
        <v>82.809</v>
      </c>
      <c r="J40" s="22" t="n">
        <v>93.84999999999999</v>
      </c>
      <c r="K40" s="22" t="n">
        <v>104.891</v>
      </c>
      <c r="L40" s="22" t="n">
        <v>110.412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2060.007</v>
      </c>
      <c r="D71" s="22" t="n">
        <v>2183.831</v>
      </c>
      <c r="E71" s="22" t="n">
        <v>2427.124</v>
      </c>
      <c r="F71" s="22" t="n">
        <v>2494.824</v>
      </c>
      <c r="G71" s="22" t="n">
        <v>2208.66</v>
      </c>
      <c r="H71" s="22" t="n">
        <v>1852.753</v>
      </c>
      <c r="I71" s="22" t="n">
        <v>1892.931</v>
      </c>
      <c r="J71" s="22" t="n">
        <v>1926.949</v>
      </c>
      <c r="K71" s="22" t="n">
        <v>2278.376</v>
      </c>
      <c r="L71" s="22" t="n">
        <v>2494.824</v>
      </c>
    </row>
    <row r="72">
      <c r="A72" s="20" t="inlineStr">
        <is>
          <t>받을어음</t>
        </is>
      </c>
      <c r="H72" s="22" t="n">
        <v>0</v>
      </c>
    </row>
    <row r="73">
      <c r="A73" s="20" t="inlineStr">
        <is>
          <t>받을어음·매출채권</t>
        </is>
      </c>
      <c r="H73" s="22" t="n">
        <v>245.017</v>
      </c>
      <c r="I73" s="22" t="n">
        <v>247.299</v>
      </c>
    </row>
    <row r="74">
      <c r="A74" s="20" t="inlineStr">
        <is>
          <t>매출채권</t>
        </is>
      </c>
      <c r="C74" s="22" t="n">
        <v>276.187</v>
      </c>
      <c r="D74" s="22" t="n">
        <v>247.33</v>
      </c>
      <c r="E74" s="22" t="n">
        <v>452.674</v>
      </c>
      <c r="F74" s="22" t="n">
        <v>250.547</v>
      </c>
      <c r="G74" s="22" t="n">
        <v>290.509</v>
      </c>
      <c r="H74" s="22" t="n">
        <v>245.017</v>
      </c>
      <c r="I74" s="22" t="n">
        <v>247.299</v>
      </c>
      <c r="J74" s="22" t="n">
        <v>266.603</v>
      </c>
      <c r="K74" s="22" t="n">
        <v>261.246</v>
      </c>
      <c r="L74" s="22" t="n">
        <v>250.547</v>
      </c>
    </row>
    <row r="75">
      <c r="A75" s="20" t="inlineStr">
        <is>
          <t>유가증권</t>
        </is>
      </c>
      <c r="F75" s="22" t="n">
        <v>40</v>
      </c>
      <c r="G75" s="22" t="n">
        <v>0</v>
      </c>
      <c r="H75" s="22" t="n">
        <v>100</v>
      </c>
      <c r="I75" s="22" t="n">
        <v>0</v>
      </c>
      <c r="J75" s="22" t="n">
        <v>100.617</v>
      </c>
      <c r="K75" s="22" t="n">
        <v>0</v>
      </c>
      <c r="L75" s="22" t="n">
        <v>40</v>
      </c>
    </row>
    <row r="76">
      <c r="A76" s="20" t="inlineStr">
        <is>
          <t>재공품</t>
        </is>
      </c>
      <c r="C76" s="22" t="n">
        <v>26.586</v>
      </c>
      <c r="D76" s="22" t="n">
        <v>63.997</v>
      </c>
      <c r="E76" s="22" t="n">
        <v>6.578</v>
      </c>
      <c r="F76" s="22" t="n">
        <v>23.485</v>
      </c>
      <c r="G76" s="22" t="n">
        <v>32.843</v>
      </c>
      <c r="H76" s="22" t="n">
        <v>8.218</v>
      </c>
      <c r="I76" s="22" t="n">
        <v>13.344</v>
      </c>
      <c r="J76" s="22" t="n">
        <v>12.575</v>
      </c>
      <c r="K76" s="22" t="n">
        <v>9.052</v>
      </c>
      <c r="L76" s="22" t="n">
        <v>23.485</v>
      </c>
    </row>
    <row r="77">
      <c r="A77" s="20" t="inlineStr">
        <is>
          <t>선급비용</t>
        </is>
      </c>
      <c r="F77" s="22" t="n">
        <v>34.441</v>
      </c>
      <c r="H77" s="22" t="n">
        <v>19.648</v>
      </c>
      <c r="I77" s="22" t="n">
        <v>23.295</v>
      </c>
      <c r="J77" s="22" t="n">
        <v>32.814</v>
      </c>
      <c r="K77" s="22" t="n">
        <v>34.575</v>
      </c>
      <c r="L77" s="22" t="n">
        <v>34.441</v>
      </c>
    </row>
    <row r="78">
      <c r="A78" s="20" t="inlineStr">
        <is>
          <t>예치금</t>
        </is>
      </c>
      <c r="F78" s="22" t="n">
        <v>100.422</v>
      </c>
      <c r="G78" s="22" t="n">
        <v>100.266</v>
      </c>
      <c r="K78" s="22" t="n">
        <v>0</v>
      </c>
      <c r="L78" s="22" t="n">
        <v>100.422</v>
      </c>
    </row>
    <row r="79">
      <c r="A79" s="20" t="inlineStr">
        <is>
          <t>기타</t>
        </is>
      </c>
      <c r="C79" s="22" t="n">
        <v>61.506</v>
      </c>
      <c r="D79" s="22" t="n">
        <v>75.462</v>
      </c>
      <c r="E79" s="22" t="n">
        <v>49.102</v>
      </c>
      <c r="F79" s="22" t="n">
        <v>55.843</v>
      </c>
      <c r="G79" s="22" t="n">
        <v>46.903</v>
      </c>
      <c r="H79" s="22" t="n">
        <v>17.797</v>
      </c>
      <c r="I79" s="22" t="n">
        <v>15.954</v>
      </c>
      <c r="J79" s="22" t="n">
        <v>21.17</v>
      </c>
      <c r="K79" s="22" t="n">
        <v>35.158</v>
      </c>
      <c r="L79" s="22" t="n">
        <v>55.843</v>
      </c>
    </row>
    <row r="80">
      <c r="A80" s="20" t="inlineStr">
        <is>
          <t>대손충당금</t>
        </is>
      </c>
      <c r="C80" s="22" t="n">
        <v>-0.276</v>
      </c>
      <c r="D80" s="22" t="n">
        <v>-0.247</v>
      </c>
      <c r="E80" s="22" t="n">
        <v>-0.452</v>
      </c>
      <c r="F80" s="22" t="n">
        <v>-0.25</v>
      </c>
      <c r="G80" s="22" t="n">
        <v>-0.29</v>
      </c>
      <c r="H80" s="22" t="n">
        <v>-1.209</v>
      </c>
      <c r="I80" s="22" t="n">
        <v>-1.226</v>
      </c>
      <c r="J80" s="22" t="n">
        <v>-0.533</v>
      </c>
      <c r="K80" s="22" t="n">
        <v>-0.261</v>
      </c>
      <c r="L80" s="22" t="n">
        <v>-0.25</v>
      </c>
    </row>
    <row r="81">
      <c r="A81" s="9" t="inlineStr">
        <is>
          <t>유동자산 합계</t>
        </is>
      </c>
      <c r="C81" s="12" t="n">
        <v>2424.011</v>
      </c>
      <c r="D81" s="12" t="n">
        <v>2570.373</v>
      </c>
      <c r="E81" s="12" t="n">
        <v>2935.027</v>
      </c>
      <c r="F81" s="12" t="n">
        <v>2964.872</v>
      </c>
      <c r="G81" s="12" t="n">
        <v>2678.893</v>
      </c>
      <c r="H81" s="12" t="n">
        <v>2242.225</v>
      </c>
      <c r="I81" s="12" t="n">
        <v>2191.599</v>
      </c>
      <c r="J81" s="12" t="n">
        <v>2360.198</v>
      </c>
      <c r="K81" s="12" t="n">
        <v>2618.148</v>
      </c>
      <c r="L81" s="12" t="n">
        <v>2964.872</v>
      </c>
    </row>
    <row r="82">
      <c r="A82" s="20" t="inlineStr">
        <is>
          <t>건물</t>
        </is>
      </c>
      <c r="F82" s="22" t="n">
        <v>926.751</v>
      </c>
      <c r="H82" s="22" t="n">
        <v>800.462</v>
      </c>
      <c r="I82" s="22" t="n">
        <v>886.929</v>
      </c>
      <c r="J82" s="22" t="n">
        <v>918.707</v>
      </c>
      <c r="K82" s="22" t="n">
        <v>926.283</v>
      </c>
      <c r="L82" s="22" t="n">
        <v>926.751</v>
      </c>
    </row>
    <row r="83">
      <c r="A83" s="20" t="inlineStr">
        <is>
          <t>감가상각누계액</t>
        </is>
      </c>
      <c r="F83" s="22" t="n">
        <v>-426.876</v>
      </c>
      <c r="H83" s="22" t="n">
        <v>-312.191</v>
      </c>
      <c r="I83" s="22" t="n">
        <v>-351.711</v>
      </c>
      <c r="J83" s="22" t="n">
        <v>-376.609</v>
      </c>
      <c r="K83" s="22" t="n">
        <v>-402.542</v>
      </c>
      <c r="L83" s="22" t="n">
        <v>-426.876</v>
      </c>
    </row>
    <row r="84">
      <c r="A84" s="20" t="inlineStr">
        <is>
          <t>건물(순액)</t>
        </is>
      </c>
      <c r="C84" s="22" t="n">
        <v>518.127</v>
      </c>
      <c r="D84" s="22" t="n">
        <v>511.919</v>
      </c>
      <c r="E84" s="22" t="n">
        <v>506.165</v>
      </c>
      <c r="F84" s="22" t="n">
        <v>499.875</v>
      </c>
      <c r="G84" s="22" t="n">
        <v>493.441</v>
      </c>
      <c r="H84" s="22" t="n">
        <v>488.27</v>
      </c>
      <c r="I84" s="22" t="n">
        <v>535.217</v>
      </c>
      <c r="J84" s="22" t="n">
        <v>542.097</v>
      </c>
      <c r="K84" s="22" t="n">
        <v>523.741</v>
      </c>
      <c r="L84" s="22" t="n">
        <v>499.875</v>
      </c>
    </row>
    <row r="85">
      <c r="A85" s="20" t="inlineStr">
        <is>
          <t>구축물</t>
        </is>
      </c>
      <c r="F85" s="22" t="n">
        <v>9.896000000000001</v>
      </c>
      <c r="H85" s="22" t="n">
        <v>9.532999999999999</v>
      </c>
      <c r="I85" s="22" t="n">
        <v>9.896000000000001</v>
      </c>
      <c r="J85" s="22" t="n">
        <v>9.896000000000001</v>
      </c>
      <c r="K85" s="22" t="n">
        <v>9.896000000000001</v>
      </c>
      <c r="L85" s="22" t="n">
        <v>9.896000000000001</v>
      </c>
    </row>
    <row r="86">
      <c r="A86" s="20" t="inlineStr">
        <is>
          <t>감가상각누계액</t>
        </is>
      </c>
      <c r="F86" s="22" t="n">
        <v>-9.071999999999999</v>
      </c>
      <c r="H86" s="22" t="n">
        <v>-6.909</v>
      </c>
      <c r="I86" s="22" t="n">
        <v>-7.454</v>
      </c>
      <c r="J86" s="22" t="n">
        <v>-8.005000000000001</v>
      </c>
      <c r="K86" s="22" t="n">
        <v>-8.555999999999999</v>
      </c>
      <c r="L86" s="22" t="n">
        <v>-9.071999999999999</v>
      </c>
    </row>
    <row r="87">
      <c r="A87" s="20" t="inlineStr">
        <is>
          <t>구축물(순액)</t>
        </is>
      </c>
      <c r="F87" s="22" t="n">
        <v>0.824</v>
      </c>
      <c r="H87" s="22" t="n">
        <v>2.623</v>
      </c>
      <c r="I87" s="22" t="n">
        <v>2.442</v>
      </c>
      <c r="J87" s="22" t="n">
        <v>1.891</v>
      </c>
      <c r="K87" s="22" t="n">
        <v>1.34</v>
      </c>
      <c r="L87" s="22" t="n">
        <v>0.824</v>
      </c>
    </row>
    <row r="88">
      <c r="A88" s="20" t="inlineStr">
        <is>
          <t>기계장치</t>
        </is>
      </c>
      <c r="F88" s="22" t="n">
        <v>5.31</v>
      </c>
      <c r="H88" s="22" t="n">
        <v>5.31</v>
      </c>
      <c r="I88" s="22" t="n">
        <v>5.31</v>
      </c>
      <c r="J88" s="22" t="n">
        <v>5.31</v>
      </c>
      <c r="K88" s="22" t="n">
        <v>5.31</v>
      </c>
      <c r="L88" s="22" t="n">
        <v>5.31</v>
      </c>
    </row>
    <row r="89">
      <c r="A89" s="20" t="inlineStr">
        <is>
          <t>감가상각누계액</t>
        </is>
      </c>
      <c r="F89" s="22" t="n">
        <v>-5.309</v>
      </c>
      <c r="H89" s="22" t="n">
        <v>-5.309</v>
      </c>
      <c r="I89" s="22" t="n">
        <v>-5.309</v>
      </c>
      <c r="J89" s="22" t="n">
        <v>-5.309</v>
      </c>
      <c r="K89" s="22" t="n">
        <v>-5.309</v>
      </c>
      <c r="L89" s="22" t="n">
        <v>-5.309</v>
      </c>
    </row>
    <row r="90">
      <c r="A90" s="20" t="inlineStr">
        <is>
          <t>기계장치(순액)</t>
        </is>
      </c>
      <c r="F90" s="22" t="n">
        <v>0</v>
      </c>
      <c r="H90" s="22" t="n">
        <v>0</v>
      </c>
      <c r="I90" s="22" t="n">
        <v>0</v>
      </c>
      <c r="J90" s="22" t="n">
        <v>0</v>
      </c>
      <c r="K90" s="22" t="n">
        <v>0</v>
      </c>
      <c r="L90" s="22" t="n">
        <v>0</v>
      </c>
    </row>
    <row r="91">
      <c r="A91" s="20" t="inlineStr">
        <is>
          <t>차량운반구</t>
        </is>
      </c>
      <c r="F91" s="22" t="n">
        <v>29.456</v>
      </c>
      <c r="H91" s="22" t="n">
        <v>29.456</v>
      </c>
      <c r="I91" s="22" t="n">
        <v>29.456</v>
      </c>
      <c r="J91" s="22" t="n">
        <v>29.456</v>
      </c>
      <c r="K91" s="22" t="n">
        <v>29.456</v>
      </c>
      <c r="L91" s="22" t="n">
        <v>29.456</v>
      </c>
    </row>
    <row r="92">
      <c r="A92" s="20" t="inlineStr">
        <is>
          <t>감가상각누계액</t>
        </is>
      </c>
      <c r="F92" s="22" t="n">
        <v>-25.731</v>
      </c>
      <c r="H92" s="22" t="n">
        <v>-10.422</v>
      </c>
      <c r="I92" s="22" t="n">
        <v>-16.884</v>
      </c>
      <c r="J92" s="22" t="n">
        <v>-21.07</v>
      </c>
      <c r="K92" s="22" t="n">
        <v>-23.863</v>
      </c>
      <c r="L92" s="22" t="n">
        <v>-25.731</v>
      </c>
    </row>
    <row r="93">
      <c r="A93" s="20" t="inlineStr">
        <is>
          <t>차량운반구(순액)</t>
        </is>
      </c>
      <c r="F93" s="22" t="n">
        <v>3.724</v>
      </c>
      <c r="H93" s="22" t="n">
        <v>19.033</v>
      </c>
      <c r="I93" s="22" t="n">
        <v>12.571</v>
      </c>
      <c r="J93" s="22" t="n">
        <v>8.385</v>
      </c>
      <c r="K93" s="22" t="n">
        <v>5.593</v>
      </c>
      <c r="L93" s="22" t="n">
        <v>3.724</v>
      </c>
    </row>
    <row r="94">
      <c r="A94" s="20" t="inlineStr">
        <is>
          <t>공구·기구·비품</t>
        </is>
      </c>
      <c r="F94" s="22" t="n">
        <v>127.906</v>
      </c>
      <c r="H94" s="22" t="n">
        <v>122.156</v>
      </c>
      <c r="I94" s="22" t="n">
        <v>125.913</v>
      </c>
      <c r="J94" s="22" t="n">
        <v>121.394</v>
      </c>
      <c r="K94" s="22" t="n">
        <v>126.916</v>
      </c>
      <c r="L94" s="22" t="n">
        <v>127.906</v>
      </c>
    </row>
    <row r="95">
      <c r="A95" s="20" t="inlineStr">
        <is>
          <t>감가상각누계액</t>
        </is>
      </c>
      <c r="F95" s="22" t="n">
        <v>-105.043</v>
      </c>
      <c r="H95" s="22" t="n">
        <v>-104.246</v>
      </c>
      <c r="I95" s="22" t="n">
        <v>-105.112</v>
      </c>
      <c r="J95" s="22" t="n">
        <v>-95.904</v>
      </c>
      <c r="K95" s="22" t="n">
        <v>-100.696</v>
      </c>
      <c r="L95" s="22" t="n">
        <v>-105.043</v>
      </c>
    </row>
    <row r="96">
      <c r="A96" s="20" t="inlineStr">
        <is>
          <t>공구·기구·비품(순액)</t>
        </is>
      </c>
      <c r="F96" s="22" t="n">
        <v>22.863</v>
      </c>
      <c r="H96" s="22" t="n">
        <v>17.909</v>
      </c>
      <c r="I96" s="22" t="n">
        <v>20.801</v>
      </c>
      <c r="J96" s="22" t="n">
        <v>25.489</v>
      </c>
      <c r="K96" s="22" t="n">
        <v>26.22</v>
      </c>
      <c r="L96" s="22" t="n">
        <v>22.863</v>
      </c>
    </row>
    <row r="97">
      <c r="A97" s="20" t="inlineStr">
        <is>
          <t>토지</t>
        </is>
      </c>
      <c r="C97" s="22" t="n">
        <v>381.747</v>
      </c>
      <c r="D97" s="22" t="n">
        <v>381.747</v>
      </c>
      <c r="E97" s="22" t="n">
        <v>381.747</v>
      </c>
      <c r="F97" s="22" t="n">
        <v>381.747</v>
      </c>
      <c r="G97" s="22" t="n">
        <v>381.747</v>
      </c>
      <c r="H97" s="22" t="n">
        <v>381.747</v>
      </c>
      <c r="I97" s="22" t="n">
        <v>406.884</v>
      </c>
      <c r="J97" s="22" t="n">
        <v>381.747</v>
      </c>
      <c r="K97" s="22" t="n">
        <v>381.747</v>
      </c>
      <c r="L97" s="22" t="n">
        <v>381.747</v>
      </c>
    </row>
    <row r="98">
      <c r="A98" s="20" t="inlineStr">
        <is>
          <t>건설중인자산</t>
        </is>
      </c>
      <c r="H98" s="22" t="n">
        <v>0</v>
      </c>
    </row>
    <row r="99">
      <c r="A99" s="20" t="inlineStr">
        <is>
          <t>기타(순액)</t>
        </is>
      </c>
      <c r="C99" s="22" t="n">
        <v>31.491</v>
      </c>
      <c r="D99" s="22" t="n">
        <v>29.829</v>
      </c>
      <c r="E99" s="22" t="n">
        <v>28.167</v>
      </c>
      <c r="F99" s="22" t="n">
        <v>27.412</v>
      </c>
      <c r="G99" s="22" t="n">
        <v>25.838</v>
      </c>
      <c r="H99" s="22" t="n">
        <v>39.567</v>
      </c>
      <c r="I99" s="22" t="n">
        <v>35.815</v>
      </c>
      <c r="J99" s="22" t="n">
        <v>35.765</v>
      </c>
      <c r="K99" s="22" t="n">
        <v>33.154</v>
      </c>
      <c r="L99" s="22" t="n">
        <v>27.412</v>
      </c>
    </row>
    <row r="100">
      <c r="A100" s="20" t="inlineStr">
        <is>
          <t>유형자산 합계</t>
        </is>
      </c>
      <c r="C100" s="22" t="n">
        <v>931.366</v>
      </c>
      <c r="D100" s="22" t="n">
        <v>923.496</v>
      </c>
      <c r="E100" s="22" t="n">
        <v>916.08</v>
      </c>
      <c r="F100" s="22" t="n">
        <v>909.035</v>
      </c>
      <c r="G100" s="22" t="n">
        <v>901.027</v>
      </c>
      <c r="H100" s="22" t="n">
        <v>909.585</v>
      </c>
      <c r="I100" s="22" t="n">
        <v>977.918</v>
      </c>
      <c r="J100" s="22" t="n">
        <v>959.611</v>
      </c>
      <c r="K100" s="22" t="n">
        <v>938.643</v>
      </c>
      <c r="L100" s="22" t="n">
        <v>909.035</v>
      </c>
    </row>
    <row r="101">
      <c r="A101" s="20" t="inlineStr">
        <is>
          <t>소프트웨어</t>
        </is>
      </c>
      <c r="F101" s="22" t="n">
        <v>81.357</v>
      </c>
      <c r="H101" s="22" t="n">
        <v>21.864</v>
      </c>
      <c r="I101" s="22" t="n">
        <v>33.242</v>
      </c>
      <c r="J101" s="22" t="n">
        <v>32.333</v>
      </c>
      <c r="K101" s="22" t="n">
        <v>22.107</v>
      </c>
      <c r="L101" s="22" t="n">
        <v>81.357</v>
      </c>
    </row>
    <row r="102">
      <c r="A102" s="20" t="inlineStr">
        <is>
          <t>개발 중 소프트웨어</t>
        </is>
      </c>
      <c r="F102" s="22" t="n">
        <v>0</v>
      </c>
      <c r="H102" s="22" t="n">
        <v>10.412</v>
      </c>
      <c r="I102" s="22" t="n">
        <v>0</v>
      </c>
      <c r="J102" s="22" t="n">
        <v>21.12</v>
      </c>
      <c r="K102" s="22" t="n">
        <v>58.96</v>
      </c>
      <c r="L102" s="22" t="n">
        <v>0</v>
      </c>
    </row>
    <row r="103">
      <c r="A103" s="20" t="inlineStr">
        <is>
          <t>기타</t>
        </is>
      </c>
      <c r="F103" s="22" t="n">
        <v>3.681</v>
      </c>
      <c r="H103" s="22" t="n">
        <v>3.681</v>
      </c>
      <c r="I103" s="22" t="n">
        <v>3.681</v>
      </c>
      <c r="J103" s="22" t="n">
        <v>3.681</v>
      </c>
      <c r="K103" s="22" t="n">
        <v>3.681</v>
      </c>
      <c r="L103" s="22" t="n">
        <v>3.681</v>
      </c>
    </row>
    <row r="104">
      <c r="A104" s="20" t="inlineStr">
        <is>
          <t>무형자산</t>
        </is>
      </c>
      <c r="C104" s="22" t="n">
        <v>93.90000000000001</v>
      </c>
      <c r="D104" s="22" t="n">
        <v>93.54900000000001</v>
      </c>
      <c r="E104" s="22" t="n">
        <v>89.176</v>
      </c>
      <c r="F104" s="22" t="n">
        <v>85.038</v>
      </c>
      <c r="G104" s="22" t="n">
        <v>80.967</v>
      </c>
      <c r="H104" s="22" t="n">
        <v>35.958</v>
      </c>
      <c r="I104" s="22" t="n">
        <v>36.923</v>
      </c>
      <c r="J104" s="22" t="n">
        <v>57.135</v>
      </c>
      <c r="K104" s="22" t="n">
        <v>84.748</v>
      </c>
      <c r="L104" s="22" t="n">
        <v>85.038</v>
      </c>
    </row>
    <row r="105">
      <c r="A105" s="20" t="inlineStr">
        <is>
          <t>투자유가증권</t>
        </is>
      </c>
      <c r="C105" s="22" t="n">
        <v>1389.268</v>
      </c>
      <c r="D105" s="22" t="n">
        <v>1440.482</v>
      </c>
      <c r="E105" s="22" t="n">
        <v>1564.122</v>
      </c>
      <c r="F105" s="22" t="n">
        <v>1675.216</v>
      </c>
      <c r="G105" s="22" t="n">
        <v>1994.973</v>
      </c>
      <c r="H105" s="22" t="n">
        <v>629.103</v>
      </c>
      <c r="I105" s="22" t="n">
        <v>949.38</v>
      </c>
      <c r="J105" s="22" t="n">
        <v>1115.085</v>
      </c>
      <c r="K105" s="22" t="n">
        <v>1195.643</v>
      </c>
      <c r="L105" s="22" t="n">
        <v>1675.216</v>
      </c>
    </row>
    <row r="106">
      <c r="A106" s="20" t="inlineStr">
        <is>
          <t>관계회사 주식</t>
        </is>
      </c>
      <c r="F106" s="22" t="n">
        <v>41.683</v>
      </c>
      <c r="H106" s="22" t="n">
        <v>21.683</v>
      </c>
      <c r="I106" s="22" t="n">
        <v>21.683</v>
      </c>
      <c r="J106" s="22" t="n">
        <v>21.683</v>
      </c>
      <c r="K106" s="22" t="n">
        <v>11.683</v>
      </c>
      <c r="L106" s="22" t="n">
        <v>41.683</v>
      </c>
    </row>
    <row r="107">
      <c r="A107" s="20" t="inlineStr">
        <is>
          <t>출자금</t>
        </is>
      </c>
      <c r="F107" s="22" t="n">
        <v>0.01</v>
      </c>
      <c r="H107" s="22" t="n">
        <v>0.01</v>
      </c>
      <c r="I107" s="22" t="n">
        <v>0.01</v>
      </c>
      <c r="J107" s="22" t="n">
        <v>0.01</v>
      </c>
      <c r="K107" s="22" t="n">
        <v>0.01</v>
      </c>
      <c r="L107" s="22" t="n">
        <v>0.01</v>
      </c>
    </row>
    <row r="108">
      <c r="A108" s="20" t="inlineStr">
        <is>
          <t>장기선급비용</t>
        </is>
      </c>
      <c r="F108" s="22" t="n">
        <v>0.608</v>
      </c>
      <c r="H108" s="22" t="n">
        <v>0.766</v>
      </c>
      <c r="I108" s="22" t="n">
        <v>2.803</v>
      </c>
      <c r="J108" s="22" t="n">
        <v>1.815</v>
      </c>
      <c r="K108" s="22" t="n">
        <v>1.358</v>
      </c>
      <c r="L108" s="22" t="n">
        <v>0.608</v>
      </c>
    </row>
    <row r="109">
      <c r="A109" s="20" t="inlineStr">
        <is>
          <t>이연법인세자산</t>
        </is>
      </c>
      <c r="H109" s="22" t="n">
        <v>53.367</v>
      </c>
      <c r="I109" s="22" t="n">
        <v>29.648</v>
      </c>
      <c r="J109" s="22" t="n">
        <v>0</v>
      </c>
    </row>
    <row r="110">
      <c r="A110" s="20" t="inlineStr">
        <is>
          <t>Real Estate For Investment</t>
        </is>
      </c>
      <c r="F110" s="22" t="n">
        <v>286.542</v>
      </c>
      <c r="H110" s="22" t="n">
        <v>359.127</v>
      </c>
      <c r="I110" s="22" t="n">
        <v>302.511</v>
      </c>
      <c r="J110" s="22" t="n">
        <v>398.581</v>
      </c>
      <c r="K110" s="22" t="n">
        <v>400.566</v>
      </c>
      <c r="L110" s="22" t="n">
        <v>286.542</v>
      </c>
    </row>
    <row r="111">
      <c r="A111" s="20" t="inlineStr">
        <is>
          <t>감가상각누계액</t>
        </is>
      </c>
      <c r="F111" s="22" t="n">
        <v>-96.059</v>
      </c>
      <c r="H111" s="22" t="n">
        <v>-89.099</v>
      </c>
      <c r="I111" s="22" t="n">
        <v>-77.517</v>
      </c>
      <c r="J111" s="22" t="n">
        <v>-82.51300000000001</v>
      </c>
      <c r="K111" s="22" t="n">
        <v>-89.47799999999999</v>
      </c>
      <c r="L111" s="22" t="n">
        <v>-96.059</v>
      </c>
    </row>
    <row r="112">
      <c r="A112" s="20" t="inlineStr">
        <is>
          <t>투자부동산(순액)</t>
        </is>
      </c>
      <c r="C112" s="22" t="n">
        <v>309.256</v>
      </c>
      <c r="D112" s="22" t="n">
        <v>307.425</v>
      </c>
      <c r="E112" s="22" t="n">
        <v>190.116</v>
      </c>
      <c r="F112" s="22" t="n">
        <v>190.482</v>
      </c>
      <c r="G112" s="22" t="n">
        <v>189.361</v>
      </c>
      <c r="H112" s="22" t="n">
        <v>270.027</v>
      </c>
      <c r="I112" s="22" t="n">
        <v>224.994</v>
      </c>
      <c r="J112" s="22" t="n">
        <v>316.068</v>
      </c>
      <c r="K112" s="22" t="n">
        <v>311.087</v>
      </c>
      <c r="L112" s="22" t="n">
        <v>190.482</v>
      </c>
    </row>
    <row r="113">
      <c r="A113" s="20" t="inlineStr">
        <is>
          <t>보증금</t>
        </is>
      </c>
      <c r="F113" s="22" t="n">
        <v>3.543</v>
      </c>
      <c r="H113" s="22" t="n">
        <v>4.28</v>
      </c>
      <c r="I113" s="22" t="n">
        <v>7.414</v>
      </c>
      <c r="J113" s="22" t="n">
        <v>3.649</v>
      </c>
      <c r="K113" s="22" t="n">
        <v>3.596</v>
      </c>
      <c r="L113" s="22" t="n">
        <v>3.543</v>
      </c>
    </row>
    <row r="114">
      <c r="A114" s="20" t="inlineStr">
        <is>
          <t>보험적립금</t>
        </is>
      </c>
      <c r="F114" s="22" t="n">
        <v>150.735</v>
      </c>
      <c r="H114" s="22" t="n">
        <v>117.485</v>
      </c>
      <c r="I114" s="22" t="n">
        <v>127.124</v>
      </c>
      <c r="J114" s="22" t="n">
        <v>137.138</v>
      </c>
      <c r="K114" s="22" t="n">
        <v>146.859</v>
      </c>
      <c r="L114" s="22" t="n">
        <v>150.735</v>
      </c>
    </row>
    <row r="115">
      <c r="A115" s="20" t="inlineStr">
        <is>
          <t>장기예금</t>
        </is>
      </c>
      <c r="F115" s="22" t="n">
        <v>435</v>
      </c>
      <c r="H115" s="22" t="n">
        <v>247</v>
      </c>
      <c r="I115" s="22" t="n">
        <v>400</v>
      </c>
      <c r="J115" s="22" t="n">
        <v>461</v>
      </c>
      <c r="K115" s="22" t="n">
        <v>473</v>
      </c>
      <c r="L115" s="22" t="n">
        <v>435</v>
      </c>
    </row>
    <row r="116">
      <c r="A116" s="20" t="inlineStr">
        <is>
          <t>파산갱생채권 등</t>
        </is>
      </c>
      <c r="F116" s="22" t="n">
        <v>1.474</v>
      </c>
      <c r="H116" s="22" t="n">
        <v>1.7</v>
      </c>
      <c r="I116" s="22" t="n">
        <v>0.59</v>
      </c>
      <c r="J116" s="22" t="n">
        <v>0.555</v>
      </c>
      <c r="K116" s="22" t="n">
        <v>1.727</v>
      </c>
      <c r="L116" s="22" t="n">
        <v>1.474</v>
      </c>
    </row>
    <row r="117">
      <c r="A117" s="20" t="inlineStr">
        <is>
          <t>기타</t>
        </is>
      </c>
      <c r="C117" s="22" t="n">
        <v>628.991</v>
      </c>
      <c r="D117" s="22" t="n">
        <v>632.765</v>
      </c>
      <c r="E117" s="22" t="n">
        <v>636.495</v>
      </c>
      <c r="F117" s="22" t="n">
        <v>639.961</v>
      </c>
      <c r="G117" s="22" t="n">
        <v>693.8150000000001</v>
      </c>
      <c r="H117" s="22" t="n">
        <v>6.958</v>
      </c>
      <c r="I117" s="22" t="n">
        <v>7.234</v>
      </c>
      <c r="J117" s="22" t="n">
        <v>7.139</v>
      </c>
      <c r="K117" s="22" t="n">
        <v>7.021</v>
      </c>
      <c r="L117" s="22" t="n">
        <v>639.961</v>
      </c>
    </row>
    <row r="118">
      <c r="A118" s="20" t="inlineStr">
        <is>
          <t>대손충당금</t>
        </is>
      </c>
      <c r="C118" s="22" t="n">
        <v>-1.505</v>
      </c>
      <c r="D118" s="22" t="n">
        <v>-1.549</v>
      </c>
      <c r="E118" s="22" t="n">
        <v>-1.549</v>
      </c>
      <c r="F118" s="22" t="n">
        <v>-1.474</v>
      </c>
      <c r="G118" s="22" t="n">
        <v>-1.474</v>
      </c>
      <c r="H118" s="22" t="n">
        <v>-1.27</v>
      </c>
      <c r="I118" s="22" t="n">
        <v>-0.372</v>
      </c>
      <c r="J118" s="22" t="n">
        <v>-0.475</v>
      </c>
      <c r="K118" s="22" t="n">
        <v>-1.521</v>
      </c>
      <c r="L118" s="22" t="n">
        <v>-1.474</v>
      </c>
    </row>
    <row r="119">
      <c r="A119" s="20" t="inlineStr">
        <is>
          <t>투자 및 기타자산 합계</t>
        </is>
      </c>
      <c r="C119" s="22" t="n">
        <v>2326.011</v>
      </c>
      <c r="D119" s="22" t="n">
        <v>2379.124</v>
      </c>
      <c r="E119" s="22" t="n">
        <v>2389.185</v>
      </c>
      <c r="F119" s="22" t="n">
        <v>2504.186</v>
      </c>
      <c r="G119" s="22" t="n">
        <v>2876.676</v>
      </c>
      <c r="H119" s="22" t="n">
        <v>1351.112</v>
      </c>
      <c r="I119" s="22" t="n">
        <v>1770.512</v>
      </c>
      <c r="J119" s="22" t="n">
        <v>2063.669</v>
      </c>
      <c r="K119" s="22" t="n">
        <v>2150.465</v>
      </c>
      <c r="L119" s="22" t="n">
        <v>2504.186</v>
      </c>
    </row>
    <row r="120">
      <c r="A120" s="9" t="inlineStr">
        <is>
          <t>비유동자산 합계</t>
        </is>
      </c>
      <c r="C120" s="12" t="n">
        <v>3351.278</v>
      </c>
      <c r="D120" s="12" t="n">
        <v>3396.17</v>
      </c>
      <c r="E120" s="12" t="n">
        <v>3394.442</v>
      </c>
      <c r="F120" s="12" t="n">
        <v>3498.26</v>
      </c>
      <c r="G120" s="12" t="n">
        <v>3858.671</v>
      </c>
      <c r="H120" s="12" t="n">
        <v>2296.656</v>
      </c>
      <c r="I120" s="12" t="n">
        <v>2785.354</v>
      </c>
      <c r="J120" s="12" t="n">
        <v>3080.415</v>
      </c>
      <c r="K120" s="12" t="n">
        <v>3173.857</v>
      </c>
      <c r="L120" s="12" t="n">
        <v>3498.26</v>
      </c>
    </row>
    <row r="121">
      <c r="A121" s="9" t="inlineStr">
        <is>
          <t>자산 합계</t>
        </is>
      </c>
      <c r="C121" s="12" t="n">
        <v>5775.29</v>
      </c>
      <c r="D121" s="12" t="n">
        <v>5966.544</v>
      </c>
      <c r="E121" s="12" t="n">
        <v>6329.47</v>
      </c>
      <c r="F121" s="12" t="n">
        <v>6463.133</v>
      </c>
      <c r="G121" s="12" t="n">
        <v>6537.564</v>
      </c>
      <c r="H121" s="12" t="n">
        <v>4538.881</v>
      </c>
      <c r="I121" s="12" t="n">
        <v>4976.953</v>
      </c>
      <c r="J121" s="12" t="n">
        <v>5440.614</v>
      </c>
      <c r="K121" s="12" t="n">
        <v>5792.005</v>
      </c>
      <c r="L121" s="12" t="n">
        <v>6463.133</v>
      </c>
    </row>
    <row r="122">
      <c r="A122" s="20" t="inlineStr">
        <is>
          <t>지급어음·매입채무</t>
        </is>
      </c>
      <c r="H122" s="22" t="n">
        <v>73.81399999999999</v>
      </c>
      <c r="I122" s="22" t="n">
        <v>72.965</v>
      </c>
    </row>
    <row r="123">
      <c r="A123" s="20" t="inlineStr">
        <is>
          <t>매입채무</t>
        </is>
      </c>
      <c r="C123" s="22" t="n">
        <v>73.366</v>
      </c>
      <c r="D123" s="22" t="n">
        <v>92.123</v>
      </c>
      <c r="E123" s="22" t="n">
        <v>112.164</v>
      </c>
      <c r="F123" s="22" t="n">
        <v>68.69799999999999</v>
      </c>
      <c r="G123" s="22" t="n">
        <v>64.16</v>
      </c>
      <c r="H123" s="22" t="n">
        <v>73.81399999999999</v>
      </c>
      <c r="I123" s="22" t="n">
        <v>72.965</v>
      </c>
      <c r="J123" s="22" t="n">
        <v>63.623</v>
      </c>
      <c r="K123" s="22" t="n">
        <v>62.376</v>
      </c>
      <c r="L123" s="22" t="n">
        <v>68.69799999999999</v>
      </c>
    </row>
    <row r="124">
      <c r="A124" s="20" t="inlineStr">
        <is>
          <t>미지급금</t>
        </is>
      </c>
      <c r="F124" s="22" t="n">
        <v>68.218</v>
      </c>
      <c r="H124" s="22" t="n">
        <v>46.512</v>
      </c>
      <c r="I124" s="22" t="n">
        <v>50.823</v>
      </c>
      <c r="J124" s="22" t="n">
        <v>58.833</v>
      </c>
      <c r="K124" s="22" t="n">
        <v>65.325</v>
      </c>
      <c r="L124" s="22" t="n">
        <v>68.218</v>
      </c>
    </row>
    <row r="125">
      <c r="A125" s="20" t="inlineStr">
        <is>
          <t>미지급비용</t>
        </is>
      </c>
      <c r="F125" s="22" t="n">
        <v>89.408</v>
      </c>
      <c r="H125" s="22" t="n">
        <v>85.07599999999999</v>
      </c>
      <c r="I125" s="22" t="n">
        <v>85.883</v>
      </c>
      <c r="J125" s="22" t="n">
        <v>119.557</v>
      </c>
      <c r="K125" s="22" t="n">
        <v>89.465</v>
      </c>
      <c r="L125" s="22" t="n">
        <v>89.408</v>
      </c>
    </row>
    <row r="126">
      <c r="A126" s="20" t="inlineStr">
        <is>
          <t>미지급법인세</t>
        </is>
      </c>
      <c r="C126" s="22" t="n">
        <v>57</v>
      </c>
      <c r="D126" s="22" t="n">
        <v>81.572</v>
      </c>
      <c r="E126" s="22" t="n">
        <v>145.436</v>
      </c>
      <c r="F126" s="22" t="n">
        <v>127.503</v>
      </c>
      <c r="G126" s="22" t="n">
        <v>78.797</v>
      </c>
      <c r="H126" s="22" t="n">
        <v>129.382</v>
      </c>
      <c r="I126" s="22" t="n">
        <v>125.466</v>
      </c>
      <c r="J126" s="22" t="n">
        <v>121.363</v>
      </c>
      <c r="K126" s="22" t="n">
        <v>101.545</v>
      </c>
      <c r="L126" s="22" t="n">
        <v>127.503</v>
      </c>
    </row>
    <row r="127">
      <c r="A127" s="20" t="inlineStr">
        <is>
          <t>미지급 소비세</t>
        </is>
      </c>
      <c r="F127" s="22" t="n">
        <v>48.812</v>
      </c>
      <c r="H127" s="22" t="n">
        <v>48.809</v>
      </c>
      <c r="I127" s="22" t="n">
        <v>57.922</v>
      </c>
      <c r="J127" s="22" t="n">
        <v>37.657</v>
      </c>
      <c r="K127" s="22" t="n">
        <v>81.455</v>
      </c>
      <c r="L127" s="22" t="n">
        <v>48.812</v>
      </c>
    </row>
    <row r="128">
      <c r="A128" s="20" t="inlineStr">
        <is>
          <t>선수금</t>
        </is>
      </c>
      <c r="H128" s="22" t="n">
        <v>0</v>
      </c>
    </row>
    <row r="129">
      <c r="A129" s="20" t="inlineStr">
        <is>
          <t>계약부채</t>
        </is>
      </c>
      <c r="F129" s="22" t="n">
        <v>75.56699999999999</v>
      </c>
      <c r="H129" s="22" t="n">
        <v>36.077</v>
      </c>
      <c r="I129" s="22" t="n">
        <v>38.458</v>
      </c>
      <c r="J129" s="22" t="n">
        <v>45.793</v>
      </c>
      <c r="K129" s="22" t="n">
        <v>57.641</v>
      </c>
      <c r="L129" s="22" t="n">
        <v>75.56699999999999</v>
      </c>
    </row>
    <row r="130">
      <c r="A130" s="20" t="inlineStr">
        <is>
          <t>예수금</t>
        </is>
      </c>
      <c r="F130" s="22" t="n">
        <v>44.703</v>
      </c>
      <c r="H130" s="22" t="n">
        <v>32.534</v>
      </c>
      <c r="I130" s="22" t="n">
        <v>42.797</v>
      </c>
      <c r="J130" s="22" t="n">
        <v>27.435</v>
      </c>
      <c r="K130" s="22" t="n">
        <v>39.361</v>
      </c>
      <c r="L130" s="22" t="n">
        <v>44.703</v>
      </c>
    </row>
    <row r="131">
      <c r="A131" s="20" t="inlineStr">
        <is>
          <t>상여충당금</t>
        </is>
      </c>
      <c r="C131" s="22" t="n">
        <v>75.3</v>
      </c>
      <c r="D131" s="22" t="n">
        <v>24.34</v>
      </c>
      <c r="E131" s="22" t="n">
        <v>70.098</v>
      </c>
      <c r="F131" s="22" t="n">
        <v>24.255</v>
      </c>
      <c r="G131" s="22" t="n">
        <v>73.898</v>
      </c>
      <c r="H131" s="22" t="n">
        <v>22.695</v>
      </c>
      <c r="I131" s="22" t="n">
        <v>25.744</v>
      </c>
      <c r="J131" s="22" t="n">
        <v>25.135</v>
      </c>
      <c r="K131" s="22" t="n">
        <v>25.72</v>
      </c>
      <c r="L131" s="22" t="n">
        <v>24.255</v>
      </c>
    </row>
    <row r="132">
      <c r="A132" s="20" t="inlineStr">
        <is>
          <t>기타</t>
        </is>
      </c>
      <c r="C132" s="22" t="n">
        <v>263.246</v>
      </c>
      <c r="D132" s="22" t="n">
        <v>318.104</v>
      </c>
      <c r="E132" s="22" t="n">
        <v>277.724</v>
      </c>
      <c r="F132" s="22" t="n">
        <v>327.79</v>
      </c>
      <c r="G132" s="22" t="n">
        <v>302.778</v>
      </c>
      <c r="H132" s="22" t="n">
        <v>0.448</v>
      </c>
      <c r="I132" s="22" t="n">
        <v>0.628</v>
      </c>
      <c r="J132" s="22" t="n">
        <v>0.731</v>
      </c>
      <c r="K132" s="22" t="n">
        <v>2.627</v>
      </c>
      <c r="L132" s="22" t="n">
        <v>327.79</v>
      </c>
    </row>
    <row r="133">
      <c r="A133" s="9" t="inlineStr">
        <is>
          <t>유동부채 합계</t>
        </is>
      </c>
      <c r="C133" s="12" t="n">
        <v>468.914</v>
      </c>
      <c r="D133" s="12" t="n">
        <v>516.14</v>
      </c>
      <c r="E133" s="12" t="n">
        <v>605.423</v>
      </c>
      <c r="F133" s="12" t="n">
        <v>548.247</v>
      </c>
      <c r="G133" s="12" t="n">
        <v>519.635</v>
      </c>
      <c r="H133" s="12" t="n">
        <v>475.352</v>
      </c>
      <c r="I133" s="12" t="n">
        <v>500.69</v>
      </c>
      <c r="J133" s="12" t="n">
        <v>500.131</v>
      </c>
      <c r="K133" s="12" t="n">
        <v>525.519</v>
      </c>
      <c r="L133" s="12" t="n">
        <v>548.247</v>
      </c>
    </row>
    <row r="134">
      <c r="A134" s="20" t="inlineStr">
        <is>
          <t>장기미지급금</t>
        </is>
      </c>
      <c r="F134" s="22" t="n">
        <v>13.5</v>
      </c>
      <c r="H134" s="22" t="n">
        <v>13.5</v>
      </c>
      <c r="I134" s="22" t="n">
        <v>13.5</v>
      </c>
      <c r="J134" s="22" t="n">
        <v>13.5</v>
      </c>
      <c r="K134" s="22" t="n">
        <v>13.5</v>
      </c>
      <c r="L134" s="22" t="n">
        <v>13.5</v>
      </c>
    </row>
    <row r="135">
      <c r="A135" s="20" t="inlineStr">
        <is>
          <t>퇴직급여충당금</t>
        </is>
      </c>
      <c r="C135" s="22" t="n">
        <v>104.387</v>
      </c>
      <c r="D135" s="22" t="n">
        <v>84.084</v>
      </c>
      <c r="E135" s="22" t="n">
        <v>81.664</v>
      </c>
      <c r="F135" s="22" t="n">
        <v>85.105</v>
      </c>
      <c r="G135" s="22" t="n">
        <v>99.43899999999999</v>
      </c>
      <c r="H135" s="22" t="n">
        <v>109.709</v>
      </c>
      <c r="I135" s="22" t="n">
        <v>102.487</v>
      </c>
      <c r="J135" s="22" t="n">
        <v>102.752</v>
      </c>
      <c r="K135" s="22" t="n">
        <v>111.25</v>
      </c>
      <c r="L135" s="22" t="n">
        <v>85.105</v>
      </c>
    </row>
    <row r="136">
      <c r="A136" s="20" t="inlineStr">
        <is>
          <t>이연법인세부채</t>
        </is>
      </c>
      <c r="C136" s="22" t="n">
        <v>40.9</v>
      </c>
      <c r="D136" s="22" t="n">
        <v>77.968</v>
      </c>
      <c r="E136" s="22" t="n">
        <v>72.312</v>
      </c>
      <c r="F136" s="22" t="n">
        <v>132.641</v>
      </c>
      <c r="G136" s="22" t="n">
        <v>154.666</v>
      </c>
      <c r="I136" s="22" t="n">
        <v>0</v>
      </c>
      <c r="J136" s="22" t="n">
        <v>14.512</v>
      </c>
      <c r="K136" s="22" t="n">
        <v>24.255</v>
      </c>
      <c r="L136" s="22" t="n">
        <v>132.641</v>
      </c>
    </row>
    <row r="137">
      <c r="A137" s="20" t="inlineStr">
        <is>
          <t>기타</t>
        </is>
      </c>
      <c r="C137" s="22" t="n">
        <v>22.892</v>
      </c>
      <c r="D137" s="22" t="n">
        <v>22.892</v>
      </c>
      <c r="E137" s="22" t="n">
        <v>22.892</v>
      </c>
      <c r="F137" s="22" t="n">
        <v>22.892</v>
      </c>
      <c r="G137" s="22" t="n">
        <v>22.892</v>
      </c>
      <c r="H137" s="22" t="n">
        <v>8.6</v>
      </c>
      <c r="I137" s="22" t="n">
        <v>8.6</v>
      </c>
      <c r="J137" s="22" t="n">
        <v>9.391999999999999</v>
      </c>
      <c r="K137" s="22" t="n">
        <v>9.391999999999999</v>
      </c>
      <c r="L137" s="22" t="n">
        <v>22.892</v>
      </c>
    </row>
    <row r="138">
      <c r="A138" s="9" t="inlineStr">
        <is>
          <t>비유동부채 합계</t>
        </is>
      </c>
      <c r="C138" s="12" t="n">
        <v>168.18</v>
      </c>
      <c r="D138" s="12" t="n">
        <v>184.944</v>
      </c>
      <c r="E138" s="12" t="n">
        <v>176.869</v>
      </c>
      <c r="F138" s="12" t="n">
        <v>240.639</v>
      </c>
      <c r="G138" s="12" t="n">
        <v>276.998</v>
      </c>
      <c r="H138" s="12" t="n">
        <v>131.809</v>
      </c>
      <c r="I138" s="12" t="n">
        <v>124.587</v>
      </c>
      <c r="J138" s="12" t="n">
        <v>140.157</v>
      </c>
      <c r="K138" s="12" t="n">
        <v>158.397</v>
      </c>
      <c r="L138" s="12" t="n">
        <v>240.639</v>
      </c>
    </row>
    <row r="139">
      <c r="A139" s="9" t="inlineStr">
        <is>
          <t>부채 합계</t>
        </is>
      </c>
      <c r="C139" s="12" t="n">
        <v>637.0940000000001</v>
      </c>
      <c r="D139" s="12" t="n">
        <v>701.085</v>
      </c>
      <c r="E139" s="12" t="n">
        <v>782.293</v>
      </c>
      <c r="F139" s="12" t="n">
        <v>788.886</v>
      </c>
      <c r="G139" s="12" t="n">
        <v>796.633</v>
      </c>
      <c r="H139" s="12" t="n">
        <v>607.1609999999999</v>
      </c>
      <c r="I139" s="12" t="n">
        <v>625.277</v>
      </c>
      <c r="J139" s="12" t="n">
        <v>640.288</v>
      </c>
      <c r="K139" s="12" t="n">
        <v>683.917</v>
      </c>
      <c r="L139" s="12" t="n">
        <v>788.886</v>
      </c>
    </row>
    <row r="140">
      <c r="A140" s="20" t="inlineStr">
        <is>
          <t>자본금</t>
        </is>
      </c>
      <c r="C140" s="22" t="n">
        <v>501.375</v>
      </c>
      <c r="D140" s="22" t="n">
        <v>501.375</v>
      </c>
      <c r="E140" s="22" t="n">
        <v>501.375</v>
      </c>
      <c r="F140" s="22" t="n">
        <v>501.375</v>
      </c>
      <c r="G140" s="22" t="n">
        <v>501.375</v>
      </c>
      <c r="H140" s="22" t="n">
        <v>501.375</v>
      </c>
      <c r="I140" s="22" t="n">
        <v>501.375</v>
      </c>
      <c r="J140" s="22" t="n">
        <v>501.375</v>
      </c>
      <c r="K140" s="22" t="n">
        <v>501.375</v>
      </c>
      <c r="L140" s="22" t="n">
        <v>501.375</v>
      </c>
    </row>
    <row r="141">
      <c r="A141" s="20" t="inlineStr">
        <is>
          <t>자본준비금</t>
        </is>
      </c>
      <c r="F141" s="22" t="n">
        <v>481.67</v>
      </c>
      <c r="H141" s="22" t="n">
        <v>481.67</v>
      </c>
      <c r="I141" s="22" t="n">
        <v>481.67</v>
      </c>
      <c r="J141" s="22" t="n">
        <v>481.67</v>
      </c>
      <c r="K141" s="22" t="n">
        <v>481.67</v>
      </c>
      <c r="L141" s="22" t="n">
        <v>481.67</v>
      </c>
    </row>
    <row r="142">
      <c r="A142" s="20" t="inlineStr">
        <is>
          <t>자본잉여금</t>
        </is>
      </c>
      <c r="C142" s="22" t="n">
        <v>481.67</v>
      </c>
      <c r="D142" s="22" t="n">
        <v>481.67</v>
      </c>
      <c r="E142" s="22" t="n">
        <v>481.67</v>
      </c>
      <c r="F142" s="22" t="n">
        <v>481.67</v>
      </c>
      <c r="G142" s="22" t="n">
        <v>481.67</v>
      </c>
      <c r="H142" s="22" t="n">
        <v>481.67</v>
      </c>
      <c r="I142" s="22" t="n">
        <v>481.67</v>
      </c>
      <c r="J142" s="22" t="n">
        <v>481.67</v>
      </c>
      <c r="K142" s="22" t="n">
        <v>481.67</v>
      </c>
      <c r="L142" s="22" t="n">
        <v>481.67</v>
      </c>
    </row>
    <row r="143">
      <c r="A143" s="20" t="inlineStr">
        <is>
          <t>이익준비금</t>
        </is>
      </c>
      <c r="F143" s="22" t="n">
        <v>36.862</v>
      </c>
      <c r="H143" s="22" t="n">
        <v>36.862</v>
      </c>
      <c r="I143" s="22" t="n">
        <v>36.862</v>
      </c>
      <c r="J143" s="22" t="n">
        <v>36.862</v>
      </c>
      <c r="K143" s="22" t="n">
        <v>36.862</v>
      </c>
      <c r="L143" s="22" t="n">
        <v>36.862</v>
      </c>
    </row>
    <row r="144">
      <c r="A144" s="20" t="inlineStr">
        <is>
          <t>별도적립금</t>
        </is>
      </c>
      <c r="F144" s="22" t="n">
        <v>1500</v>
      </c>
      <c r="H144" s="22" t="n">
        <v>1500</v>
      </c>
      <c r="I144" s="22" t="n">
        <v>1500</v>
      </c>
      <c r="J144" s="22" t="n">
        <v>1500</v>
      </c>
      <c r="K144" s="22" t="n">
        <v>1500</v>
      </c>
      <c r="L144" s="22" t="n">
        <v>1500</v>
      </c>
    </row>
    <row r="145">
      <c r="A145" s="20" t="inlineStr">
        <is>
          <t>이월이익잉여금</t>
        </is>
      </c>
      <c r="F145" s="22" t="n">
        <v>2766.823</v>
      </c>
      <c r="H145" s="22" t="n">
        <v>1392.581</v>
      </c>
      <c r="I145" s="22" t="n">
        <v>1739.772</v>
      </c>
      <c r="J145" s="22" t="n">
        <v>2138.501</v>
      </c>
      <c r="K145" s="22" t="n">
        <v>2422.745</v>
      </c>
      <c r="L145" s="22" t="n">
        <v>2766.823</v>
      </c>
    </row>
    <row r="146">
      <c r="A146" s="20" t="inlineStr">
        <is>
          <t>이익잉여금</t>
        </is>
      </c>
      <c r="C146" s="22" t="n">
        <v>3925.311</v>
      </c>
      <c r="D146" s="22" t="n">
        <v>4017.023</v>
      </c>
      <c r="E146" s="22" t="n">
        <v>4280.683</v>
      </c>
      <c r="F146" s="22" t="n">
        <v>4303.686</v>
      </c>
      <c r="G146" s="22" t="n">
        <v>4279.862</v>
      </c>
      <c r="H146" s="22" t="n">
        <v>2929.443</v>
      </c>
      <c r="I146" s="22" t="n">
        <v>3276.634</v>
      </c>
      <c r="J146" s="22" t="n">
        <v>3675.364</v>
      </c>
      <c r="K146" s="22" t="n">
        <v>3959.608</v>
      </c>
      <c r="L146" s="22" t="n">
        <v>4303.686</v>
      </c>
    </row>
    <row r="147">
      <c r="A147" s="20" t="inlineStr">
        <is>
          <t>자기주식</t>
        </is>
      </c>
      <c r="C147" s="22" t="n">
        <v>-14.454</v>
      </c>
      <c r="D147" s="22" t="n">
        <v>-14.454</v>
      </c>
      <c r="E147" s="22" t="n">
        <v>-14.454</v>
      </c>
      <c r="F147" s="22" t="n">
        <v>-14.454</v>
      </c>
      <c r="G147" s="22" t="n">
        <v>-14.454</v>
      </c>
      <c r="H147" s="22" t="n">
        <v>-14.454</v>
      </c>
      <c r="I147" s="22" t="n">
        <v>-14.454</v>
      </c>
      <c r="J147" s="22" t="n">
        <v>-14.454</v>
      </c>
      <c r="K147" s="22" t="n">
        <v>-14.454</v>
      </c>
      <c r="L147" s="22" t="n">
        <v>-14.454</v>
      </c>
    </row>
    <row r="148">
      <c r="A148" s="9" t="inlineStr">
        <is>
          <t>주주자본 합계</t>
        </is>
      </c>
      <c r="C148" s="12" t="n">
        <v>4893.903</v>
      </c>
      <c r="D148" s="12" t="n">
        <v>4985.615</v>
      </c>
      <c r="E148" s="12" t="n">
        <v>5249.275</v>
      </c>
      <c r="F148" s="12" t="n">
        <v>5272.278</v>
      </c>
      <c r="G148" s="12" t="n">
        <v>5248.454</v>
      </c>
      <c r="H148" s="12" t="n">
        <v>3898.036</v>
      </c>
      <c r="I148" s="12" t="n">
        <v>4245.227</v>
      </c>
      <c r="J148" s="12" t="n">
        <v>4643.956</v>
      </c>
      <c r="K148" s="12" t="n">
        <v>4928.2</v>
      </c>
      <c r="L148" s="12" t="n">
        <v>5272.278</v>
      </c>
    </row>
    <row r="149">
      <c r="A149" s="20" t="inlineStr">
        <is>
          <t>기타유가증권 평가차액</t>
        </is>
      </c>
      <c r="C149" s="22" t="n">
        <v>244.292</v>
      </c>
      <c r="D149" s="22" t="n">
        <v>279.843</v>
      </c>
      <c r="E149" s="22" t="n">
        <v>297.901</v>
      </c>
      <c r="F149" s="22" t="n">
        <v>401.967</v>
      </c>
      <c r="G149" s="22" t="n">
        <v>492.476</v>
      </c>
      <c r="H149" s="22" t="n">
        <v>33.684</v>
      </c>
      <c r="I149" s="22" t="n">
        <v>106.448</v>
      </c>
      <c r="J149" s="22" t="n">
        <v>156.369</v>
      </c>
      <c r="K149" s="22" t="n">
        <v>179.887</v>
      </c>
      <c r="L149" s="22" t="n">
        <v>401.967</v>
      </c>
    </row>
    <row r="150">
      <c r="A150" s="20" t="inlineStr">
        <is>
          <t>평가·환산차액 합계</t>
        </is>
      </c>
      <c r="C150" s="22" t="n">
        <v>244.292</v>
      </c>
      <c r="D150" s="22" t="n">
        <v>279.843</v>
      </c>
      <c r="E150" s="22" t="n">
        <v>297.901</v>
      </c>
      <c r="F150" s="22" t="n">
        <v>401.967</v>
      </c>
      <c r="G150" s="22" t="n">
        <v>492.476</v>
      </c>
      <c r="H150" s="22" t="n">
        <v>33.684</v>
      </c>
      <c r="I150" s="22" t="n">
        <v>106.448</v>
      </c>
      <c r="J150" s="22" t="n">
        <v>156.369</v>
      </c>
      <c r="K150" s="22" t="n">
        <v>179.887</v>
      </c>
      <c r="L150" s="22" t="n">
        <v>401.967</v>
      </c>
    </row>
    <row r="151">
      <c r="A151" s="9" t="inlineStr">
        <is>
          <t>순자산 합계</t>
        </is>
      </c>
      <c r="C151" s="12" t="n">
        <v>5138.195</v>
      </c>
      <c r="D151" s="12" t="n">
        <v>5265.458</v>
      </c>
      <c r="E151" s="12" t="n">
        <v>5547.176</v>
      </c>
      <c r="F151" s="12" t="n">
        <v>5674.246</v>
      </c>
      <c r="G151" s="12" t="n">
        <v>5740.93</v>
      </c>
      <c r="H151" s="12" t="n">
        <v>3931.72</v>
      </c>
      <c r="I151" s="12" t="n">
        <v>4351.676</v>
      </c>
      <c r="J151" s="12" t="n">
        <v>4800.325</v>
      </c>
      <c r="K151" s="12" t="n">
        <v>5108.088</v>
      </c>
      <c r="L151" s="12" t="n">
        <v>5674.246</v>
      </c>
    </row>
    <row r="152">
      <c r="A152" s="9" t="inlineStr">
        <is>
          <t>부채·순자산 합계</t>
        </is>
      </c>
      <c r="C152" s="12" t="n">
        <v>5775.29</v>
      </c>
      <c r="D152" s="12" t="n">
        <v>5966.544</v>
      </c>
      <c r="E152" s="12" t="n">
        <v>6329.47</v>
      </c>
      <c r="F152" s="12" t="n">
        <v>6463.133</v>
      </c>
      <c r="G152" s="12" t="n">
        <v>6537.564</v>
      </c>
      <c r="H152" s="12" t="n">
        <v>4538.881</v>
      </c>
      <c r="I152" s="12" t="n">
        <v>4976.953</v>
      </c>
      <c r="J152" s="12" t="n">
        <v>5440.614</v>
      </c>
      <c r="K152" s="12" t="n">
        <v>5792.005</v>
      </c>
      <c r="L152" s="12" t="n">
        <v>6463.133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2481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bs annual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2022</t>
        </is>
      </c>
      <c r="C5" s="55" t="inlineStr">
        <is>
          <t>2023</t>
        </is>
      </c>
      <c r="D5" s="55" t="inlineStr">
        <is>
          <t>2024</t>
        </is>
      </c>
      <c r="E5" s="55" t="inlineStr">
        <is>
          <t>2025</t>
        </is>
      </c>
      <c r="F5" s="55" t="inlineStr">
        <is>
          <t>2026</t>
        </is>
      </c>
      <c r="G5" s="55" t="inlineStr">
        <is>
          <t>출처</t>
        </is>
      </c>
    </row>
    <row r="6">
      <c r="A6" s="56" t="inlineStr">
        <is>
          <t>labels</t>
        </is>
      </c>
      <c r="B6" s="57" t="n">
        <v>2022</v>
      </c>
      <c r="C6" s="57" t="n">
        <v>2023</v>
      </c>
      <c r="D6" s="57" t="n">
        <v>2024</v>
      </c>
      <c r="E6" s="57" t="n">
        <v>2025</v>
      </c>
      <c r="F6" s="57" t="n">
        <v>2026</v>
      </c>
      <c r="G6" s="58" t="inlineStr">
        <is>
          <t>2단계 보고서 자료(회사 설명회 자료·공시)</t>
        </is>
      </c>
    </row>
    <row r="7">
      <c r="A7" s="56" t="inlineStr">
        <is>
          <t>current assets</t>
        </is>
      </c>
      <c r="B7" s="59" t="n">
        <v>22.4</v>
      </c>
      <c r="C7" s="59" t="n">
        <v>21.9</v>
      </c>
      <c r="D7" s="59" t="n">
        <v>23.6</v>
      </c>
      <c r="E7" s="59" t="n">
        <v>26.2</v>
      </c>
      <c r="F7" s="59" t="n">
        <v>29.6</v>
      </c>
    </row>
    <row r="8">
      <c r="A8" s="56" t="inlineStr">
        <is>
          <t>cash</t>
        </is>
      </c>
      <c r="B8" s="59" t="n">
        <v>18.5</v>
      </c>
      <c r="C8" s="59" t="n">
        <v>18.9</v>
      </c>
      <c r="D8" s="59" t="n">
        <v>19.3</v>
      </c>
      <c r="E8" s="59" t="n">
        <v>22.8</v>
      </c>
      <c r="F8" s="59" t="n">
        <v>24.9</v>
      </c>
    </row>
    <row r="9">
      <c r="A9" s="56" t="inlineStr">
        <is>
          <t>st fin</t>
        </is>
      </c>
      <c r="B9" s="59" t="n">
        <v>1</v>
      </c>
      <c r="C9" s="59" t="n">
        <v>0</v>
      </c>
      <c r="D9" s="59" t="n">
        <v>1</v>
      </c>
      <c r="E9" s="59" t="n">
        <v>0</v>
      </c>
      <c r="F9" s="59" t="n">
        <v>0.4</v>
      </c>
    </row>
    <row r="10">
      <c r="A10" s="56" t="inlineStr">
        <is>
          <t>receivables</t>
        </is>
      </c>
      <c r="B10" s="59" t="n">
        <v>2.5</v>
      </c>
      <c r="C10" s="59" t="n">
        <v>2.5</v>
      </c>
      <c r="D10" s="59" t="n">
        <v>2.7</v>
      </c>
      <c r="E10" s="59" t="n">
        <v>2.6</v>
      </c>
      <c r="F10" s="59" t="n">
        <v>2.5</v>
      </c>
    </row>
    <row r="11">
      <c r="A11" s="56" t="inlineStr">
        <is>
          <t>inventory</t>
        </is>
      </c>
      <c r="B11" s="59" t="n">
        <v>0.1</v>
      </c>
      <c r="C11" s="59" t="n">
        <v>0.1</v>
      </c>
      <c r="D11" s="59" t="n">
        <v>0.1</v>
      </c>
      <c r="E11" s="59" t="n">
        <v>0.1</v>
      </c>
      <c r="F11" s="59" t="n">
        <v>0.2</v>
      </c>
    </row>
    <row r="12">
      <c r="A12" s="56" t="inlineStr">
        <is>
          <t>noncurrent assets</t>
        </is>
      </c>
      <c r="B12" s="59" t="n">
        <v>23</v>
      </c>
      <c r="C12" s="59" t="n">
        <v>27.9</v>
      </c>
      <c r="D12" s="59" t="n">
        <v>30.8</v>
      </c>
      <c r="E12" s="59" t="n">
        <v>31.7</v>
      </c>
      <c r="F12" s="59" t="n">
        <v>35</v>
      </c>
    </row>
    <row r="13">
      <c r="A13" s="56" t="inlineStr">
        <is>
          <t>ppe</t>
        </is>
      </c>
      <c r="B13" s="59" t="n">
        <v>9.1</v>
      </c>
      <c r="C13" s="59" t="n">
        <v>9.800000000000001</v>
      </c>
      <c r="D13" s="59" t="n">
        <v>9.6</v>
      </c>
      <c r="E13" s="59" t="n">
        <v>9.4</v>
      </c>
      <c r="F13" s="59" t="n">
        <v>9.1</v>
      </c>
    </row>
    <row r="14">
      <c r="A14" s="56" t="inlineStr">
        <is>
          <t>intangibles</t>
        </is>
      </c>
      <c r="B14" s="59" t="n">
        <v>0.4</v>
      </c>
      <c r="C14" s="59" t="n">
        <v>0.4</v>
      </c>
      <c r="D14" s="59" t="n">
        <v>0.6</v>
      </c>
      <c r="E14" s="59" t="n">
        <v>0.8</v>
      </c>
      <c r="F14" s="59" t="n">
        <v>0.9</v>
      </c>
    </row>
    <row r="15">
      <c r="A15" s="56" t="inlineStr">
        <is>
          <t>inv property</t>
        </is>
      </c>
      <c r="B15" s="59" t="n">
        <v>2.7</v>
      </c>
      <c r="C15" s="59" t="n">
        <v>2.2</v>
      </c>
      <c r="D15" s="59" t="n">
        <v>3.2</v>
      </c>
      <c r="E15" s="59" t="n">
        <v>3.1</v>
      </c>
      <c r="F15" s="59" t="n">
        <v>1.9</v>
      </c>
    </row>
    <row r="16">
      <c r="A16" s="56" t="inlineStr">
        <is>
          <t>합계 assets</t>
        </is>
      </c>
      <c r="B16" s="59" t="n">
        <v>45.4</v>
      </c>
      <c r="C16" s="59" t="n">
        <v>49.8</v>
      </c>
      <c r="D16" s="59" t="n">
        <v>54.4</v>
      </c>
      <c r="E16" s="59" t="n">
        <v>57.9</v>
      </c>
      <c r="F16" s="59" t="n">
        <v>64.59999999999999</v>
      </c>
    </row>
    <row r="17">
      <c r="A17" s="56" t="inlineStr">
        <is>
          <t>current liab</t>
        </is>
      </c>
      <c r="B17" s="59" t="n">
        <v>4.8</v>
      </c>
      <c r="C17" s="59" t="n">
        <v>5</v>
      </c>
      <c r="D17" s="59" t="n">
        <v>5</v>
      </c>
      <c r="E17" s="59" t="n">
        <v>5.3</v>
      </c>
      <c r="F17" s="59" t="n">
        <v>5.5</v>
      </c>
    </row>
    <row r="18">
      <c r="A18" s="56" t="inlineStr">
        <is>
          <t>payables</t>
        </is>
      </c>
      <c r="B18" s="59" t="n">
        <v>0.7</v>
      </c>
      <c r="C18" s="59" t="n">
        <v>0.7</v>
      </c>
      <c r="D18" s="59" t="n">
        <v>0.6</v>
      </c>
      <c r="E18" s="59" t="n">
        <v>0.6</v>
      </c>
      <c r="F18" s="59" t="n">
        <v>0.7</v>
      </c>
    </row>
    <row r="19">
      <c r="A19" s="56" t="inlineStr">
        <is>
          <t>st debt</t>
        </is>
      </c>
      <c r="B19" s="60" t="n"/>
      <c r="C19" s="60" t="n"/>
      <c r="D19" s="60" t="n"/>
      <c r="E19" s="60" t="n"/>
      <c r="F19" s="60" t="n"/>
    </row>
    <row r="20">
      <c r="A20" s="56" t="inlineStr">
        <is>
          <t>noncurrent liab</t>
        </is>
      </c>
      <c r="B20" s="59" t="n">
        <v>1.3</v>
      </c>
      <c r="C20" s="59" t="n">
        <v>1.2</v>
      </c>
      <c r="D20" s="59" t="n">
        <v>1.4</v>
      </c>
      <c r="E20" s="59" t="n">
        <v>1.6</v>
      </c>
      <c r="F20" s="59" t="n">
        <v>2.4</v>
      </c>
    </row>
    <row r="21">
      <c r="A21" s="56" t="inlineStr">
        <is>
          <t>lt debt</t>
        </is>
      </c>
      <c r="B21" s="60" t="n"/>
      <c r="C21" s="60" t="n"/>
      <c r="D21" s="60" t="n"/>
      <c r="E21" s="60" t="n"/>
      <c r="F21" s="60" t="n"/>
    </row>
    <row r="22">
      <c r="A22" s="56" t="inlineStr">
        <is>
          <t>bonds</t>
        </is>
      </c>
      <c r="B22" s="60" t="n"/>
      <c r="C22" s="60" t="n"/>
      <c r="D22" s="60" t="n"/>
      <c r="E22" s="60" t="n"/>
      <c r="F22" s="60" t="n"/>
    </row>
    <row r="23">
      <c r="A23" s="56" t="inlineStr">
        <is>
          <t>합계 liab</t>
        </is>
      </c>
      <c r="B23" s="59" t="n">
        <v>6.1</v>
      </c>
      <c r="C23" s="59" t="n">
        <v>6.3</v>
      </c>
      <c r="D23" s="59" t="n">
        <v>6.4</v>
      </c>
      <c r="E23" s="59" t="n">
        <v>6.8</v>
      </c>
      <c r="F23" s="59" t="n">
        <v>7.9</v>
      </c>
    </row>
    <row r="24">
      <c r="A24" s="56" t="inlineStr">
        <is>
          <t>capital stock</t>
        </is>
      </c>
      <c r="B24" s="59" t="n">
        <v>5</v>
      </c>
      <c r="C24" s="59" t="n">
        <v>5</v>
      </c>
      <c r="D24" s="59" t="n">
        <v>5</v>
      </c>
      <c r="E24" s="59" t="n">
        <v>5</v>
      </c>
      <c r="F24" s="59" t="n">
        <v>5</v>
      </c>
    </row>
    <row r="25">
      <c r="A25" s="56" t="inlineStr">
        <is>
          <t>retained</t>
        </is>
      </c>
      <c r="B25" s="59" t="n">
        <v>29.3</v>
      </c>
      <c r="C25" s="59" t="n">
        <v>32.8</v>
      </c>
      <c r="D25" s="59" t="n">
        <v>36.8</v>
      </c>
      <c r="E25" s="59" t="n">
        <v>39.6</v>
      </c>
      <c r="F25" s="59" t="n">
        <v>43</v>
      </c>
    </row>
    <row r="26">
      <c r="A26" s="56" t="inlineStr">
        <is>
          <t>nci</t>
        </is>
      </c>
      <c r="B26" s="60" t="n"/>
      <c r="C26" s="60" t="n"/>
      <c r="D26" s="60" t="n"/>
      <c r="E26" s="60" t="n"/>
      <c r="F26" s="60" t="n"/>
    </row>
    <row r="27">
      <c r="A27" s="56" t="inlineStr">
        <is>
          <t>합계 equity</t>
        </is>
      </c>
      <c r="B27" s="59" t="n">
        <v>39.3</v>
      </c>
      <c r="C27" s="59" t="n">
        <v>43.5</v>
      </c>
      <c r="D27" s="59" t="n">
        <v>48</v>
      </c>
      <c r="E27" s="59" t="n">
        <v>51.1</v>
      </c>
      <c r="F27" s="59" t="n">
        <v>56.7</v>
      </c>
    </row>
    <row r="28">
      <c r="A28" s="56" t="inlineStr">
        <is>
          <t>current ltd</t>
        </is>
      </c>
      <c r="B28" s="60" t="n"/>
      <c r="C28" s="60" t="n"/>
      <c r="D28" s="60" t="n"/>
      <c r="E28" s="60" t="n"/>
      <c r="F28" s="60" t="n"/>
    </row>
    <row r="29">
      <c r="A29" s="56" t="inlineStr">
        <is>
          <t>equity owner</t>
        </is>
      </c>
      <c r="B29" s="59" t="n">
        <v>39.3</v>
      </c>
      <c r="C29" s="59" t="n">
        <v>43.5</v>
      </c>
      <c r="D29" s="59" t="n">
        <v>48</v>
      </c>
      <c r="E29" s="59" t="n">
        <v>51.1</v>
      </c>
      <c r="F29" s="59" t="n">
        <v>56.7</v>
      </c>
    </row>
    <row r="31">
      <c r="A31" s="54" t="inlineStr">
        <is>
          <t>cf annual</t>
        </is>
      </c>
      <c r="B31" s="54" t="n"/>
      <c r="C31" s="54" t="n"/>
      <c r="D31" s="54" t="n"/>
      <c r="E31" s="54" t="n"/>
      <c r="F31" s="54" t="n"/>
      <c r="G31" s="54" t="n"/>
    </row>
    <row r="32">
      <c r="A32" s="55" t="inlineStr">
        <is>
          <t>항목</t>
        </is>
      </c>
      <c r="B32" s="55" t="inlineStr">
        <is>
          <t>2022</t>
        </is>
      </c>
      <c r="C32" s="55" t="inlineStr">
        <is>
          <t>2023</t>
        </is>
      </c>
      <c r="D32" s="55" t="inlineStr">
        <is>
          <t>2024</t>
        </is>
      </c>
      <c r="E32" s="55" t="inlineStr">
        <is>
          <t>2025</t>
        </is>
      </c>
      <c r="F32" s="55" t="inlineStr">
        <is>
          <t>2026</t>
        </is>
      </c>
      <c r="G32" s="55" t="inlineStr">
        <is>
          <t>출처</t>
        </is>
      </c>
    </row>
    <row r="33">
      <c r="A33" s="56" t="inlineStr">
        <is>
          <t>labels</t>
        </is>
      </c>
      <c r="B33" s="57" t="n">
        <v>2022</v>
      </c>
      <c r="C33" s="57" t="n">
        <v>2023</v>
      </c>
      <c r="D33" s="57" t="n">
        <v>2024</v>
      </c>
      <c r="E33" s="57" t="n">
        <v>2025</v>
      </c>
      <c r="F33" s="57" t="n">
        <v>2026</v>
      </c>
      <c r="G33" s="58" t="inlineStr">
        <is>
          <t>2단계 보고서 자료(회사 설명회 자료·공시)</t>
        </is>
      </c>
    </row>
    <row r="34">
      <c r="A34" s="56" t="inlineStr">
        <is>
          <t>ocf</t>
        </is>
      </c>
      <c r="B34" s="59" t="n">
        <v>4.1</v>
      </c>
      <c r="C34" s="59" t="n">
        <v>4.6</v>
      </c>
      <c r="D34" s="59" t="n">
        <v>4.3</v>
      </c>
      <c r="E34" s="59" t="n">
        <v>4</v>
      </c>
      <c r="F34" s="59" t="n">
        <v>4</v>
      </c>
    </row>
    <row r="35">
      <c r="A35" s="56" t="inlineStr">
        <is>
          <t>설비투자</t>
        </is>
      </c>
      <c r="B35" s="59" t="n">
        <v>0.5</v>
      </c>
      <c r="C35" s="59" t="n">
        <v>0.7</v>
      </c>
      <c r="D35" s="59" t="n">
        <v>0.8</v>
      </c>
      <c r="E35" s="59" t="n">
        <v>0.5</v>
      </c>
      <c r="F35" s="59" t="n">
        <v>0.2</v>
      </c>
    </row>
    <row r="36">
      <c r="A36" s="56" t="inlineStr">
        <is>
          <t>dividends</t>
        </is>
      </c>
      <c r="B36" s="59" t="n">
        <v>0.8</v>
      </c>
      <c r="C36" s="59" t="n">
        <v>0.8</v>
      </c>
      <c r="D36" s="59" t="n">
        <v>0.9</v>
      </c>
      <c r="E36" s="59" t="n">
        <v>1</v>
      </c>
      <c r="F36" s="59" t="n">
        <v>1.1</v>
      </c>
    </row>
    <row r="38">
      <c r="A38" s="54" t="inlineStr">
        <is>
          <t>company 예상</t>
        </is>
      </c>
      <c r="B38" s="54" t="n"/>
      <c r="C38" s="54" t="n"/>
      <c r="D38" s="54" t="n"/>
      <c r="E38" s="54" t="n"/>
      <c r="F38" s="54" t="n"/>
      <c r="G38" s="54" t="n"/>
    </row>
    <row r="39">
      <c r="A39" s="55" t="inlineStr">
        <is>
          <t>항목</t>
        </is>
      </c>
      <c r="B39" s="55" t="inlineStr">
        <is>
          <t>값</t>
        </is>
      </c>
      <c r="G39" s="55" t="inlineStr">
        <is>
          <t>출처</t>
        </is>
      </c>
    </row>
    <row r="40">
      <c r="A40" s="56" t="inlineStr">
        <is>
          <t>매출</t>
        </is>
      </c>
      <c r="B40" s="59" t="n">
        <v>42</v>
      </c>
      <c r="G40" s="58" t="inlineStr">
        <is>
          <t>2단계 보고서 자료(회사 설명회 자료·공시)</t>
        </is>
      </c>
    </row>
    <row r="41">
      <c r="A41" s="56" t="inlineStr">
        <is>
          <t>영업이익</t>
        </is>
      </c>
      <c r="B41" s="59" t="n">
        <v>6.2</v>
      </c>
    </row>
    <row r="42">
      <c r="A42" s="56" t="inlineStr">
        <is>
          <t>경상이익</t>
        </is>
      </c>
      <c r="B42" s="59" t="n">
        <v>7</v>
      </c>
    </row>
    <row r="43">
      <c r="A43" s="56" t="inlineStr">
        <is>
          <t>EPS</t>
        </is>
      </c>
      <c r="B43" s="59" t="n">
        <v>82.40000000000001</v>
      </c>
    </row>
    <row r="45">
      <c r="A45" s="54" t="inlineStr">
        <is>
          <t>this quarter · bs 26 9</t>
        </is>
      </c>
      <c r="B45" s="54" t="n"/>
      <c r="C45" s="54" t="n"/>
      <c r="D45" s="54" t="n"/>
      <c r="E45" s="54" t="n"/>
      <c r="F45" s="54" t="n"/>
      <c r="G45" s="54" t="n"/>
    </row>
    <row r="46">
      <c r="A46" s="55" t="inlineStr">
        <is>
          <t>항목</t>
        </is>
      </c>
      <c r="B46" s="55" t="inlineStr">
        <is>
          <t>값</t>
        </is>
      </c>
      <c r="G46" s="55" t="inlineStr">
        <is>
          <t>출처</t>
        </is>
      </c>
    </row>
    <row r="47">
      <c r="A47" s="56" t="inlineStr">
        <is>
          <t>현금예금</t>
        </is>
      </c>
      <c r="B47" s="59" t="n">
        <v>2208.7</v>
      </c>
      <c r="G47" s="58" t="inlineStr">
        <is>
          <t>2단계 보고서 자료(회사 설명회 자료·공시)</t>
        </is>
      </c>
    </row>
    <row r="48">
      <c r="A48" s="56" t="inlineStr">
        <is>
          <t>매출채권</t>
        </is>
      </c>
      <c r="B48" s="59" t="n">
        <v>290.5</v>
      </c>
    </row>
    <row r="49">
      <c r="A49" s="56" t="inlineStr">
        <is>
          <t>재공품</t>
        </is>
      </c>
      <c r="B49" s="59" t="n">
        <v>32.8</v>
      </c>
    </row>
    <row r="50">
      <c r="A50" s="56" t="inlineStr">
        <is>
          <t>예치금</t>
        </is>
      </c>
      <c r="B50" s="59" t="n">
        <v>100.3</v>
      </c>
    </row>
    <row r="51">
      <c r="A51" s="56" t="inlineStr">
        <is>
          <t>투자유가증권</t>
        </is>
      </c>
      <c r="B51" s="59" t="n">
        <v>1995</v>
      </c>
    </row>
    <row r="52">
      <c r="A52" s="56" t="inlineStr">
        <is>
          <t>투자부동산</t>
        </is>
      </c>
      <c r="B52" s="59" t="n">
        <v>189.4</v>
      </c>
    </row>
    <row r="53">
      <c r="A53" s="56" t="inlineStr">
        <is>
          <t>총자산</t>
        </is>
      </c>
      <c r="B53" s="59" t="n">
        <v>6537.6</v>
      </c>
    </row>
    <row r="54">
      <c r="A54" s="56" t="inlineStr">
        <is>
          <t>부채</t>
        </is>
      </c>
      <c r="B54" s="59" t="n">
        <v>796.6</v>
      </c>
    </row>
    <row r="55">
      <c r="A55" s="56" t="inlineStr">
        <is>
          <t>순자산</t>
        </is>
      </c>
      <c r="B55" s="59" t="n">
        <v>5740.9</v>
      </c>
    </row>
    <row r="56">
      <c r="A56" s="56" t="inlineStr">
        <is>
          <t>상여충당금</t>
        </is>
      </c>
      <c r="B56" s="59" t="n">
        <v>73.90000000000001</v>
      </c>
    </row>
    <row r="57">
      <c r="A57" s="56" t="inlineStr">
        <is>
          <t>기타유가증권평가차액</t>
        </is>
      </c>
      <c r="B57" s="59" t="n">
        <v>492.5</v>
      </c>
    </row>
    <row r="59">
      <c r="A59" s="54" t="inlineStr">
        <is>
          <t>this quarter · bs 26 6</t>
        </is>
      </c>
      <c r="B59" s="54" t="n"/>
      <c r="C59" s="54" t="n"/>
      <c r="D59" s="54" t="n"/>
      <c r="E59" s="54" t="n"/>
      <c r="F59" s="54" t="n"/>
      <c r="G59" s="54" t="n"/>
    </row>
    <row r="60">
      <c r="A60" s="55" t="inlineStr">
        <is>
          <t>항목</t>
        </is>
      </c>
      <c r="B60" s="55" t="inlineStr">
        <is>
          <t>값</t>
        </is>
      </c>
      <c r="G60" s="55" t="inlineStr">
        <is>
          <t>출처</t>
        </is>
      </c>
    </row>
    <row r="61">
      <c r="A61" s="56" t="inlineStr">
        <is>
          <t>현금예금</t>
        </is>
      </c>
      <c r="B61" s="59" t="n">
        <v>2494.8</v>
      </c>
      <c r="G61" s="58" t="inlineStr">
        <is>
          <t>2단계 보고서 자료(회사 설명회 자료·공시)</t>
        </is>
      </c>
    </row>
    <row r="62">
      <c r="A62" s="56" t="inlineStr">
        <is>
          <t>유가증권</t>
        </is>
      </c>
      <c r="B62" s="59" t="n">
        <v>40</v>
      </c>
    </row>
    <row r="63">
      <c r="A63" s="56" t="inlineStr">
        <is>
          <t>투자유가증권</t>
        </is>
      </c>
      <c r="B63" s="59" t="n">
        <v>1675.2</v>
      </c>
    </row>
    <row r="64">
      <c r="A64" s="56" t="inlineStr">
        <is>
          <t>총자산</t>
        </is>
      </c>
      <c r="B64" s="59" t="n">
        <v>6463.1</v>
      </c>
    </row>
    <row r="65">
      <c r="A65" s="56" t="inlineStr">
        <is>
          <t>순자산</t>
        </is>
      </c>
      <c r="B65" s="59" t="n">
        <v>5674.2</v>
      </c>
    </row>
    <row r="67">
      <c r="A67" s="54" t="inlineStr">
        <is>
          <t>annual mil · FY22</t>
        </is>
      </c>
      <c r="B67" s="54" t="n"/>
      <c r="C67" s="54" t="n"/>
      <c r="D67" s="54" t="n"/>
      <c r="E67" s="54" t="n"/>
      <c r="F67" s="54" t="n"/>
      <c r="G67" s="54" t="n"/>
    </row>
    <row r="68">
      <c r="A68" s="55" t="inlineStr">
        <is>
          <t>항목</t>
        </is>
      </c>
      <c r="B68" s="55" t="inlineStr">
        <is>
          <t>값</t>
        </is>
      </c>
      <c r="G68" s="55" t="inlineStr">
        <is>
          <t>출처</t>
        </is>
      </c>
    </row>
    <row r="69">
      <c r="A69" s="56" t="inlineStr">
        <is>
          <t>매출</t>
        </is>
      </c>
      <c r="B69" s="59" t="n">
        <v>3248.7</v>
      </c>
      <c r="G69" s="58" t="inlineStr">
        <is>
          <t>2단계 보고서 자료(회사 설명회 자료·공시)</t>
        </is>
      </c>
    </row>
    <row r="70">
      <c r="A70" s="56" t="inlineStr">
        <is>
          <t>경상</t>
        </is>
      </c>
      <c r="B70" s="59" t="n">
        <v>455.1</v>
      </c>
    </row>
    <row r="71">
      <c r="A71" s="56" t="inlineStr">
        <is>
          <t>순익</t>
        </is>
      </c>
      <c r="B71" s="59" t="n">
        <v>311</v>
      </c>
    </row>
    <row r="72">
      <c r="A72" s="56" t="inlineStr">
        <is>
          <t>영업</t>
        </is>
      </c>
      <c r="B72" s="57" t="n">
        <v>378</v>
      </c>
    </row>
    <row r="74">
      <c r="A74" s="54" t="inlineStr">
        <is>
          <t>annual mil · FY23</t>
        </is>
      </c>
      <c r="B74" s="54" t="n"/>
      <c r="C74" s="54" t="n"/>
      <c r="D74" s="54" t="n"/>
      <c r="E74" s="54" t="n"/>
      <c r="F74" s="54" t="n"/>
      <c r="G74" s="54" t="n"/>
    </row>
    <row r="75">
      <c r="A75" s="55" t="inlineStr">
        <is>
          <t>항목</t>
        </is>
      </c>
      <c r="B75" s="55" t="inlineStr">
        <is>
          <t>값</t>
        </is>
      </c>
      <c r="G75" s="55" t="inlineStr">
        <is>
          <t>출처</t>
        </is>
      </c>
    </row>
    <row r="76">
      <c r="A76" s="56" t="inlineStr">
        <is>
          <t>매출</t>
        </is>
      </c>
      <c r="B76" s="59" t="n">
        <v>3692.5</v>
      </c>
      <c r="G76" s="58" t="inlineStr">
        <is>
          <t>2단계 보고서 자료(회사 설명회 자료·공시)</t>
        </is>
      </c>
    </row>
    <row r="77">
      <c r="A77" s="56" t="inlineStr">
        <is>
          <t>경상</t>
        </is>
      </c>
      <c r="B77" s="59" t="n">
        <v>621.2</v>
      </c>
    </row>
    <row r="78">
      <c r="A78" s="56" t="inlineStr">
        <is>
          <t>순익</t>
        </is>
      </c>
      <c r="B78" s="59" t="n">
        <v>430</v>
      </c>
    </row>
    <row r="79">
      <c r="A79" s="56" t="inlineStr">
        <is>
          <t>영업</t>
        </is>
      </c>
      <c r="B79" s="57" t="n">
        <v>569</v>
      </c>
    </row>
    <row r="81">
      <c r="A81" s="54" t="inlineStr">
        <is>
          <t>annual mil · FY24</t>
        </is>
      </c>
      <c r="B81" s="54" t="n"/>
      <c r="C81" s="54" t="n"/>
      <c r="D81" s="54" t="n"/>
      <c r="E81" s="54" t="n"/>
      <c r="F81" s="54" t="n"/>
      <c r="G81" s="54" t="n"/>
    </row>
    <row r="82">
      <c r="A82" s="55" t="inlineStr">
        <is>
          <t>항목</t>
        </is>
      </c>
      <c r="B82" s="55" t="inlineStr">
        <is>
          <t>값</t>
        </is>
      </c>
      <c r="G82" s="55" t="inlineStr">
        <is>
          <t>출처</t>
        </is>
      </c>
    </row>
    <row r="83">
      <c r="A83" s="56" t="inlineStr">
        <is>
          <t>매출</t>
        </is>
      </c>
      <c r="B83" s="59" t="n">
        <v>3736.2</v>
      </c>
      <c r="G83" s="58" t="inlineStr">
        <is>
          <t>2단계 보고서 자료(회사 설명회 자료·공시)</t>
        </is>
      </c>
    </row>
    <row r="84">
      <c r="A84" s="56" t="inlineStr">
        <is>
          <t>경상</t>
        </is>
      </c>
      <c r="B84" s="59" t="n">
        <v>686.1</v>
      </c>
    </row>
    <row r="85">
      <c r="A85" s="56" t="inlineStr">
        <is>
          <t>순익</t>
        </is>
      </c>
      <c r="B85" s="59" t="n">
        <v>492.6</v>
      </c>
    </row>
    <row r="86">
      <c r="A86" s="56" t="inlineStr">
        <is>
          <t>영업</t>
        </is>
      </c>
      <c r="B86" s="57" t="n">
        <v>576</v>
      </c>
    </row>
    <row r="88">
      <c r="A88" s="54" t="inlineStr">
        <is>
          <t>annual mil · FY25</t>
        </is>
      </c>
      <c r="B88" s="54" t="n"/>
      <c r="C88" s="54" t="n"/>
      <c r="D88" s="54" t="n"/>
      <c r="E88" s="54" t="n"/>
      <c r="F88" s="54" t="n"/>
      <c r="G88" s="54" t="n"/>
    </row>
    <row r="89">
      <c r="A89" s="55" t="inlineStr">
        <is>
          <t>항목</t>
        </is>
      </c>
      <c r="B89" s="55" t="inlineStr">
        <is>
          <t>값</t>
        </is>
      </c>
      <c r="G89" s="55" t="inlineStr">
        <is>
          <t>출처</t>
        </is>
      </c>
    </row>
    <row r="90">
      <c r="A90" s="56" t="inlineStr">
        <is>
          <t>매출</t>
        </is>
      </c>
      <c r="B90" s="59" t="n">
        <v>3677</v>
      </c>
      <c r="G90" s="58" t="inlineStr">
        <is>
          <t>2단계 보고서 자료(회사 설명회 자료·공시)</t>
        </is>
      </c>
    </row>
    <row r="91">
      <c r="A91" s="56" t="inlineStr">
        <is>
          <t>영업</t>
        </is>
      </c>
      <c r="B91" s="57" t="n">
        <v>462</v>
      </c>
    </row>
    <row r="92">
      <c r="A92" s="56" t="inlineStr">
        <is>
          <t>경상</t>
        </is>
      </c>
      <c r="B92" s="59" t="n">
        <v>587.2</v>
      </c>
    </row>
    <row r="93">
      <c r="A93" s="56" t="inlineStr">
        <is>
          <t>순익</t>
        </is>
      </c>
      <c r="B93" s="59" t="n">
        <v>389.1</v>
      </c>
    </row>
    <row r="95">
      <c r="A95" s="54" t="inlineStr">
        <is>
          <t>annual mil · FY26</t>
        </is>
      </c>
      <c r="B95" s="54" t="n"/>
      <c r="C95" s="54" t="n"/>
      <c r="D95" s="54" t="n"/>
      <c r="E95" s="54" t="n"/>
      <c r="F95" s="54" t="n"/>
      <c r="G95" s="54" t="n"/>
    </row>
    <row r="96">
      <c r="A96" s="55" t="inlineStr">
        <is>
          <t>항목</t>
        </is>
      </c>
      <c r="B96" s="55" t="inlineStr">
        <is>
          <t>값</t>
        </is>
      </c>
      <c r="G96" s="55" t="inlineStr">
        <is>
          <t>출처</t>
        </is>
      </c>
    </row>
    <row r="97">
      <c r="A97" s="56" t="inlineStr">
        <is>
          <t>매출</t>
        </is>
      </c>
      <c r="B97" s="59" t="n">
        <v>3987.6</v>
      </c>
      <c r="G97" s="58" t="inlineStr">
        <is>
          <t>2단계 보고서 자료(회사 설명회 자료·공시)</t>
        </is>
      </c>
    </row>
    <row r="98">
      <c r="A98" s="56" t="inlineStr">
        <is>
          <t>영업</t>
        </is>
      </c>
      <c r="B98" s="57" t="n">
        <v>593</v>
      </c>
    </row>
    <row r="99">
      <c r="A99" s="56" t="inlineStr">
        <is>
          <t>경상</t>
        </is>
      </c>
      <c r="B99" s="59" t="n">
        <v>668.6</v>
      </c>
    </row>
    <row r="100">
      <c r="A100" s="56" t="inlineStr">
        <is>
          <t>순익</t>
        </is>
      </c>
      <c r="B100" s="59" t="n">
        <v>454.5</v>
      </c>
    </row>
    <row r="102">
      <c r="A102" s="54" t="inlineStr">
        <is>
          <t>dps</t>
        </is>
      </c>
      <c r="B102" s="54" t="n"/>
      <c r="C102" s="54" t="n"/>
      <c r="D102" s="54" t="n"/>
      <c r="E102" s="54" t="n"/>
      <c r="F102" s="54" t="n"/>
      <c r="G102" s="54" t="n"/>
    </row>
    <row r="103">
      <c r="A103" s="55" t="inlineStr">
        <is>
          <t>항목</t>
        </is>
      </c>
      <c r="B103" s="55" t="inlineStr">
        <is>
          <t>값</t>
        </is>
      </c>
      <c r="G103" s="55" t="inlineStr">
        <is>
          <t>출처</t>
        </is>
      </c>
    </row>
    <row r="104">
      <c r="A104" s="56" t="inlineStr">
        <is>
          <t>FY22</t>
        </is>
      </c>
      <c r="B104" s="57" t="n">
        <v>15</v>
      </c>
      <c r="G104" s="58" t="inlineStr">
        <is>
          <t>2단계 보고서 자료(회사 설명회 자료·공시)</t>
        </is>
      </c>
    </row>
    <row r="105">
      <c r="A105" s="56" t="inlineStr">
        <is>
          <t>FY23</t>
        </is>
      </c>
      <c r="B105" s="57" t="n">
        <v>17</v>
      </c>
    </row>
    <row r="106">
      <c r="A106" s="56" t="inlineStr">
        <is>
          <t>FY24</t>
        </is>
      </c>
      <c r="B106" s="57" t="n">
        <v>19</v>
      </c>
    </row>
    <row r="107">
      <c r="A107" s="56" t="inlineStr">
        <is>
          <t>FY25</t>
        </is>
      </c>
      <c r="B107" s="57" t="n">
        <v>20</v>
      </c>
    </row>
    <row r="108">
      <c r="A108" s="56" t="inlineStr">
        <is>
          <t>FY26</t>
        </is>
      </c>
      <c r="B108" s="57" t="n">
        <v>22</v>
      </c>
    </row>
    <row r="109">
      <c r="A109" s="56" t="inlineStr">
        <is>
          <t>FY27G</t>
        </is>
      </c>
      <c r="B109" s="57" t="n">
        <v>22</v>
      </c>
    </row>
    <row r="111">
      <c r="A111" s="54" t="inlineStr">
        <is>
          <t>shares</t>
        </is>
      </c>
      <c r="B111" s="54" t="n"/>
      <c r="C111" s="54" t="n"/>
      <c r="D111" s="54" t="n"/>
      <c r="E111" s="54" t="n"/>
      <c r="F111" s="54" t="n"/>
      <c r="G111" s="54" t="n"/>
    </row>
    <row r="112">
      <c r="A112" s="55" t="inlineStr">
        <is>
          <t>항목</t>
        </is>
      </c>
      <c r="B112" s="55" t="inlineStr">
        <is>
          <t>값</t>
        </is>
      </c>
      <c r="G112" s="55" t="inlineStr">
        <is>
          <t>출처</t>
        </is>
      </c>
    </row>
    <row r="113">
      <c r="A113" s="56" t="inlineStr">
        <is>
          <t>발행</t>
        </is>
      </c>
      <c r="B113" s="57" t="n">
        <v>5575320</v>
      </c>
      <c r="G113" s="58" t="inlineStr">
        <is>
          <t>2단계 보고서 자료(회사 설명회 자료·공시)</t>
        </is>
      </c>
    </row>
    <row r="114">
      <c r="A114" s="56" t="inlineStr">
        <is>
          <t>자사주</t>
        </is>
      </c>
      <c r="B114" s="57" t="n">
        <v>54697</v>
      </c>
    </row>
    <row r="115">
      <c r="A115" s="56" t="inlineStr">
        <is>
          <t>자사주제외</t>
        </is>
      </c>
      <c r="B115" s="57" t="n">
        <v>5520623</v>
      </c>
    </row>
    <row r="117">
      <c r="A117" s="54" t="inlineStr">
        <is>
          <t>midplan_241216 · 목표 47기(FY27)</t>
        </is>
      </c>
      <c r="B117" s="54" t="n"/>
      <c r="C117" s="54" t="n"/>
      <c r="D117" s="54" t="n"/>
      <c r="E117" s="54" t="n"/>
      <c r="F117" s="54" t="n"/>
      <c r="G117" s="54" t="n"/>
    </row>
    <row r="118">
      <c r="A118" s="55" t="inlineStr">
        <is>
          <t>항목</t>
        </is>
      </c>
      <c r="B118" s="55" t="inlineStr">
        <is>
          <t>값</t>
        </is>
      </c>
      <c r="G118" s="55" t="inlineStr">
        <is>
          <t>출처</t>
        </is>
      </c>
    </row>
    <row r="119">
      <c r="A119" s="56" t="inlineStr">
        <is>
          <t>매출</t>
        </is>
      </c>
      <c r="B119" s="57" t="n">
        <v>4400</v>
      </c>
      <c r="G119" s="58" t="inlineStr">
        <is>
          <t>2단계 보고서 자료(회사 설명회 자료·공시)</t>
        </is>
      </c>
    </row>
    <row r="120">
      <c r="A120" s="56" t="inlineStr">
        <is>
          <t>영업</t>
        </is>
      </c>
      <c r="B120" s="57" t="n">
        <v>750</v>
      </c>
    </row>
    <row r="121">
      <c r="A121" s="56" t="inlineStr">
        <is>
          <t>경상</t>
        </is>
      </c>
      <c r="B121" s="57" t="n">
        <v>785</v>
      </c>
    </row>
    <row r="122">
      <c r="A122" s="56" t="inlineStr">
        <is>
          <t>순익</t>
        </is>
      </c>
      <c r="B122" s="57" t="n">
        <v>510</v>
      </c>
    </row>
    <row r="124">
      <c r="A124" s="54" t="inlineStr">
        <is>
          <t>reactions</t>
        </is>
      </c>
      <c r="B124" s="54" t="n"/>
      <c r="C124" s="54" t="n"/>
      <c r="D124" s="54" t="n"/>
      <c r="E124" s="54" t="n"/>
      <c r="F124" s="54" t="n"/>
      <c r="G124" s="54" t="n"/>
    </row>
    <row r="125">
      <c r="A125" s="55" t="inlineStr">
        <is>
          <t>항목</t>
        </is>
      </c>
      <c r="B125" s="55" t="inlineStr">
        <is>
          <t>기준일</t>
        </is>
      </c>
      <c r="C125" s="55" t="inlineStr">
        <is>
          <t>다음날</t>
        </is>
      </c>
      <c r="D125" s="55" t="inlineStr">
        <is>
          <t>등락%</t>
        </is>
      </c>
      <c r="G125" s="55" t="inlineStr">
        <is>
          <t>출처</t>
        </is>
      </c>
    </row>
    <row r="126">
      <c r="A126" s="56" t="inlineStr">
        <is>
          <t>2025-01-31</t>
        </is>
      </c>
      <c r="B126" s="60" t="inlineStr">
        <is>
          <t>2025-01-31</t>
        </is>
      </c>
      <c r="C126" s="60" t="inlineStr">
        <is>
          <t>2025-02-03</t>
        </is>
      </c>
      <c r="D126" s="59" t="n">
        <v>-2.6</v>
      </c>
      <c r="G126" s="58" t="inlineStr">
        <is>
          <t>2단계 보고서 자료(회사 설명회 자료·공시)</t>
        </is>
      </c>
    </row>
    <row r="127">
      <c r="A127" s="56" t="inlineStr">
        <is>
          <t>2025-04-25</t>
        </is>
      </c>
      <c r="B127" s="60" t="inlineStr">
        <is>
          <t>2025-04-25</t>
        </is>
      </c>
      <c r="C127" s="60" t="inlineStr">
        <is>
          <t>2025-04-28</t>
        </is>
      </c>
      <c r="D127" s="59" t="n">
        <v>-2.6</v>
      </c>
    </row>
    <row r="128">
      <c r="A128" s="56" t="inlineStr">
        <is>
          <t>2025-08-15</t>
        </is>
      </c>
      <c r="B128" s="60" t="inlineStr">
        <is>
          <t>2025-08-15</t>
        </is>
      </c>
      <c r="C128" s="60" t="inlineStr">
        <is>
          <t>2025-08-18</t>
        </is>
      </c>
      <c r="D128" s="59" t="n">
        <v>-9.9</v>
      </c>
    </row>
    <row r="129">
      <c r="A129" s="56" t="inlineStr">
        <is>
          <t>2025-10-31</t>
        </is>
      </c>
      <c r="B129" s="60" t="inlineStr">
        <is>
          <t>2025-10-31</t>
        </is>
      </c>
      <c r="C129" s="60" t="inlineStr">
        <is>
          <t>2025-11-04</t>
        </is>
      </c>
      <c r="D129" s="59" t="n">
        <v>3.6</v>
      </c>
    </row>
    <row r="130">
      <c r="A130" s="56" t="inlineStr">
        <is>
          <t>2026-01-30</t>
        </is>
      </c>
      <c r="B130" s="60" t="inlineStr">
        <is>
          <t>2026-01-30</t>
        </is>
      </c>
      <c r="C130" s="60" t="inlineStr">
        <is>
          <t>2026-02-02</t>
        </is>
      </c>
      <c r="D130" s="59" t="n">
        <v>-1.5</v>
      </c>
    </row>
    <row r="131">
      <c r="A131" s="56" t="inlineStr">
        <is>
          <t>2026-04-24</t>
        </is>
      </c>
      <c r="B131" s="60" t="inlineStr">
        <is>
          <t>2026-04-24</t>
        </is>
      </c>
      <c r="C131" s="60" t="inlineStr">
        <is>
          <t>2026-04-27</t>
        </is>
      </c>
      <c r="D131" s="59" t="n">
        <v>1.6</v>
      </c>
    </row>
    <row r="132">
      <c r="A132" s="56" t="inlineStr">
        <is>
          <t>2026-08-10</t>
        </is>
      </c>
      <c r="B132" s="60" t="inlineStr">
        <is>
          <t>2026-08-10</t>
        </is>
      </c>
      <c r="C132" s="60" t="inlineStr">
        <is>
          <t>2026-08-12</t>
        </is>
      </c>
      <c r="D132" s="59" t="n">
        <v>-1.5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6월 결산기 1분기 결산단신</t>
        </is>
      </c>
      <c r="C4" t="inlineStr">
        <is>
          <t>https://www2.jpx.co.jp/disc/24810/140120261029559294.pdf</t>
        </is>
      </c>
    </row>
    <row r="5">
      <c r="A5" t="inlineStr">
        <is>
          <t>2026-08-10</t>
        </is>
      </c>
      <c r="B5" t="inlineStr">
        <is>
          <t>2026년 6월 결산기 연간 결산단신</t>
        </is>
      </c>
      <c r="C5" t="inlineStr">
        <is>
          <t>https://www2.jpx.co.jp/disc/24810/140120260807515397.pdf</t>
        </is>
      </c>
    </row>
    <row r="6">
      <c r="A6" t="inlineStr">
        <is>
          <t>2026-04-24</t>
        </is>
      </c>
      <c r="B6" t="inlineStr">
        <is>
          <t>2026년 6월 결산기 3분기 결산단신</t>
        </is>
      </c>
      <c r="C6" t="inlineStr">
        <is>
          <t>https://www2.jpx.co.jp/disc/24810/140120260423509193.pdf</t>
        </is>
      </c>
    </row>
    <row r="7">
      <c r="A7" t="inlineStr">
        <is>
          <t>2026-01-30</t>
        </is>
      </c>
      <c r="B7" t="inlineStr">
        <is>
          <t>2026년 6월 결산기 ２분기 결산단신</t>
        </is>
      </c>
      <c r="C7" t="inlineStr">
        <is>
          <t>https://www2.jpx.co.jp/disc/24810/140120260129541201.pdf</t>
        </is>
      </c>
    </row>
    <row r="8">
      <c r="A8" t="inlineStr">
        <is>
          <t>2025-10-31</t>
        </is>
      </c>
      <c r="B8" t="inlineStr">
        <is>
          <t>2026년 6월 결산기 1분기 결산단신</t>
        </is>
      </c>
      <c r="C8" t="inlineStr">
        <is>
          <t>https://www2.jpx.co.jp/disc/24810/140120251030583120.pdf</t>
        </is>
      </c>
    </row>
    <row r="9">
      <c r="A9" t="inlineStr">
        <is>
          <t>2025-08-15</t>
        </is>
      </c>
      <c r="B9" t="inlineStr">
        <is>
          <t>2025년 6월 결산기 연간 결산단신</t>
        </is>
      </c>
      <c r="C9" t="inlineStr">
        <is>
          <t>https://www2.jpx.co.jp/disc/24810/140120250814542623.pdf</t>
        </is>
      </c>
    </row>
    <row r="10">
      <c r="A10" t="inlineStr">
        <is>
          <t>2025-04-25</t>
        </is>
      </c>
      <c r="B10" t="inlineStr">
        <is>
          <t>2025년 6월 결산기 3분기 결산단신</t>
        </is>
      </c>
      <c r="C10" t="inlineStr">
        <is>
          <t>https://www2.jpx.co.jp/disc/24810/140120250424522327.pdf</t>
        </is>
      </c>
    </row>
    <row r="11">
      <c r="A11" t="inlineStr">
        <is>
          <t>2025-01-31</t>
        </is>
      </c>
      <c r="B11" t="inlineStr">
        <is>
          <t>2025년 6월 결산기 2분기 결산단신</t>
        </is>
      </c>
      <c r="C11" t="inlineStr">
        <is>
          <t>https://www2.jpx.co.jp/disc/24810/140120250130558621.pdf</t>
        </is>
      </c>
    </row>
    <row r="12">
      <c r="A12" t="inlineStr">
        <is>
          <t>2024-10-25</t>
        </is>
      </c>
      <c r="B12" t="inlineStr">
        <is>
          <t>2025년 6월 결산기 1분기 결산단신</t>
        </is>
      </c>
      <c r="C12" t="inlineStr">
        <is>
          <t>https://www2.jpx.co.jp/disc/24810/140120241024501975.pdf</t>
        </is>
      </c>
    </row>
    <row r="13">
      <c r="A13" t="inlineStr">
        <is>
          <t>2024-08-09</t>
        </is>
      </c>
      <c r="B13" t="inlineStr">
        <is>
          <t>2024년 6월 결산기 연간 결산단신</t>
        </is>
      </c>
      <c r="C13" t="inlineStr">
        <is>
          <t>https://www2.jpx.co.jp/disc/24810/140120240807565763.pdf</t>
        </is>
      </c>
    </row>
    <row r="14">
      <c r="A14" t="inlineStr">
        <is>
          <t>2024-04-26</t>
        </is>
      </c>
      <c r="B14" t="inlineStr">
        <is>
          <t>2024년 6월 결산기 3분기 결산단신</t>
        </is>
      </c>
      <c r="C14" t="inlineStr">
        <is>
          <t>https://www2.jpx.co.jp/disc/24810/140120240423574492.pdf</t>
        </is>
      </c>
    </row>
    <row r="15">
      <c r="A15" t="inlineStr">
        <is>
          <t>2024-01-26</t>
        </is>
      </c>
      <c r="B15" t="inlineStr">
        <is>
          <t>2024년 6월 결산기 2분기 결산단신</t>
        </is>
      </c>
      <c r="C15" t="inlineStr">
        <is>
          <t>https://www2.jpx.co.jp/disc/24810/140120240123517835.pdf</t>
        </is>
      </c>
    </row>
    <row r="16">
      <c r="A16" t="inlineStr">
        <is>
          <t>2023-10-27</t>
        </is>
      </c>
      <c r="B16" t="inlineStr">
        <is>
          <t>2024년 6월 결산기 1분기 결산단신</t>
        </is>
      </c>
      <c r="C16" t="inlineStr">
        <is>
          <t>https://www2.jpx.co.jp/disc/24810/140120231024570627.pdf</t>
        </is>
      </c>
    </row>
    <row r="17">
      <c r="A17" t="inlineStr">
        <is>
          <t>2023-08-10</t>
        </is>
      </c>
      <c r="B17" t="inlineStr">
        <is>
          <t>2023년 6월 결산기 연간 결산단신</t>
        </is>
      </c>
      <c r="C17" t="inlineStr">
        <is>
          <t>https://www2.jpx.co.jp/disc/24810/140120230807535274.pdf</t>
        </is>
      </c>
    </row>
    <row r="18">
      <c r="A18" t="inlineStr">
        <is>
          <t>2023-04-28</t>
        </is>
      </c>
      <c r="B18" t="inlineStr">
        <is>
          <t>2023년 6월 결산기 3분기 결산단신</t>
        </is>
      </c>
      <c r="C18" t="inlineStr">
        <is>
          <t>https://www2.jpx.co.jp/disc/24810/140120230425551995.pdf</t>
        </is>
      </c>
    </row>
    <row r="19">
      <c r="A19" t="inlineStr">
        <is>
          <t>2023-01-27</t>
        </is>
      </c>
      <c r="B19" t="inlineStr">
        <is>
          <t>2023년 6월 결산기 2분기 결산단신</t>
        </is>
      </c>
      <c r="C19" t="inlineStr">
        <is>
          <t>https://www2.jpx.co.jp/disc/24810/140120230124592643.pdf</t>
        </is>
      </c>
    </row>
    <row r="20">
      <c r="A20" t="inlineStr">
        <is>
          <t>2022-08-12</t>
        </is>
      </c>
      <c r="B20" t="inlineStr">
        <is>
          <t>2022년 6월 결산기 연간 결산단신</t>
        </is>
      </c>
      <c r="C20" t="inlineStr">
        <is>
          <t>https://www2.jpx.co.jp/disc/24810/140120220729507468.pdf</t>
        </is>
      </c>
    </row>
    <row r="21">
      <c r="A21" t="inlineStr">
        <is>
          <t>2021-08-13</t>
        </is>
      </c>
      <c r="B21" t="inlineStr">
        <is>
          <t>2021년 6월 결산기 연간 결산단신</t>
        </is>
      </c>
      <c r="C21" t="inlineStr">
        <is>
          <t>https://www2.jpx.co.jp/disc/24810/140120210811483434.pdf</t>
        </is>
      </c>
    </row>
    <row r="22">
      <c r="A22" t="inlineStr">
        <is>
          <t>2020-08-14</t>
        </is>
      </c>
      <c r="B22" t="inlineStr">
        <is>
          <t>2020년 6월 결산기 연간 결산단신</t>
        </is>
      </c>
      <c r="C22" t="inlineStr">
        <is>
          <t>https://www2.jpx.co.jp/disc/24810/140120200810479005.pdf</t>
        </is>
      </c>
    </row>
    <row r="23">
      <c r="A23" t="inlineStr">
        <is>
          <t>2019-08-09</t>
        </is>
      </c>
      <c r="B23" t="inlineStr">
        <is>
          <t>2019년 6월 결산기 연간 결산단신</t>
        </is>
      </c>
      <c r="C23" t="inlineStr">
        <is>
          <t>https://www2.jpx.co.jp/disc/24810/140120190806482995.pdf</t>
        </is>
      </c>
    </row>
    <row r="24">
      <c r="A24" t="inlineStr">
        <is>
          <t>2018-08-10</t>
        </is>
      </c>
      <c r="B24" t="inlineStr">
        <is>
          <t>연간 결산단신</t>
        </is>
      </c>
      <c r="C24" t="inlineStr">
        <is>
          <t>https://www2.jpx.co.jp/disc/24810/140120180803491211.pdf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2481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36건(2018-01-26~2026-10-30).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9.4</v>
      </c>
      <c r="D5" s="67" t="n">
        <v>6.8</v>
      </c>
      <c r="E5" s="67" t="n">
        <v>7.6</v>
      </c>
      <c r="F5" s="67" t="n">
        <v>7.4</v>
      </c>
      <c r="G5" s="67" t="n">
        <v>9.300000000000001</v>
      </c>
      <c r="H5" s="67" t="n">
        <v>6.7</v>
      </c>
      <c r="I5" s="67" t="n">
        <v>7.4</v>
      </c>
      <c r="J5" s="67" t="n">
        <v>7</v>
      </c>
      <c r="K5" s="67" t="n">
        <v>9.9</v>
      </c>
      <c r="L5" s="67" t="n">
        <v>6.9</v>
      </c>
      <c r="M5" s="67" t="n">
        <v>7.4</v>
      </c>
      <c r="N5" s="67" t="n">
        <v>7.1</v>
      </c>
      <c r="O5" s="67" t="n">
        <v>9.1</v>
      </c>
      <c r="P5" s="67" t="n">
        <v>4.5</v>
      </c>
      <c r="Q5" s="67" t="n">
        <v>6.8</v>
      </c>
      <c r="R5" s="67" t="n">
        <v>6.7</v>
      </c>
      <c r="S5" s="67" t="n">
        <v>8.9</v>
      </c>
      <c r="T5" s="67" t="n">
        <v>7</v>
      </c>
      <c r="U5" s="67" t="n">
        <v>7.6</v>
      </c>
      <c r="V5" s="67" t="n">
        <v>7.3</v>
      </c>
      <c r="W5" s="67" t="n">
        <v>10.2</v>
      </c>
      <c r="X5" s="67" t="n">
        <v>7.4</v>
      </c>
      <c r="Y5" s="67" t="n">
        <v>8.800000000000001</v>
      </c>
      <c r="Z5" s="67" t="n">
        <v>8.6</v>
      </c>
      <c r="AA5" s="67" t="n">
        <v>12.4</v>
      </c>
      <c r="AB5" s="67" t="n">
        <v>7.1</v>
      </c>
      <c r="AC5" s="67" t="n">
        <v>9</v>
      </c>
      <c r="AD5" s="67" t="n">
        <v>8.5</v>
      </c>
      <c r="AE5" s="67" t="n">
        <v>12.1</v>
      </c>
      <c r="AF5" s="67" t="n">
        <v>7.8</v>
      </c>
      <c r="AG5" s="67" t="n">
        <v>8.5</v>
      </c>
      <c r="AH5" s="67" t="n">
        <v>8.199999999999999</v>
      </c>
      <c r="AI5" s="67" t="n">
        <v>11.8</v>
      </c>
      <c r="AJ5" s="67" t="n">
        <v>8.300000000000001</v>
      </c>
      <c r="AK5" s="67" t="n">
        <v>9.199999999999999</v>
      </c>
      <c r="AL5" s="67" t="n">
        <v>9.300000000000001</v>
      </c>
      <c r="AM5" s="67" t="n">
        <v>13.1</v>
      </c>
      <c r="AN5" s="67" t="n">
        <v>8.4</v>
      </c>
      <c r="AO5" s="67" t="n">
        <v>9.6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-1.1</v>
      </c>
      <c r="H6" s="68" t="n">
        <v>-1.5</v>
      </c>
      <c r="I6" s="68" t="n">
        <v>-2.6</v>
      </c>
      <c r="J6" s="68" t="n">
        <v>-5.4</v>
      </c>
      <c r="K6" s="68" t="n">
        <v>6.5</v>
      </c>
      <c r="L6" s="68" t="n">
        <v>3</v>
      </c>
      <c r="M6" s="68" t="n">
        <v>0</v>
      </c>
      <c r="N6" s="68" t="n">
        <v>1.4</v>
      </c>
      <c r="O6" s="68" t="n">
        <v>-8.1</v>
      </c>
      <c r="P6" s="68" t="n">
        <v>-34.8</v>
      </c>
      <c r="Q6" s="68" t="n">
        <v>-8.1</v>
      </c>
      <c r="R6" s="68" t="n">
        <v>-5.6</v>
      </c>
      <c r="S6" s="68" t="n">
        <v>-2.2</v>
      </c>
      <c r="T6" s="68" t="n">
        <v>55.6</v>
      </c>
      <c r="U6" s="68" t="n">
        <v>11.8</v>
      </c>
      <c r="V6" s="68" t="n">
        <v>9</v>
      </c>
      <c r="W6" s="68" t="n">
        <v>14.6</v>
      </c>
      <c r="X6" s="68" t="n">
        <v>5.7</v>
      </c>
      <c r="Y6" s="68" t="n">
        <v>15.8</v>
      </c>
      <c r="Z6" s="68" t="n">
        <v>17.8</v>
      </c>
      <c r="AA6" s="68" t="n">
        <v>21.6</v>
      </c>
      <c r="AB6" s="68" t="n">
        <v>-4.1</v>
      </c>
      <c r="AC6" s="68" t="n">
        <v>2.3</v>
      </c>
      <c r="AD6" s="68" t="n">
        <v>-1.2</v>
      </c>
      <c r="AE6" s="68" t="n">
        <v>-2.4</v>
      </c>
      <c r="AF6" s="68" t="n">
        <v>9.9</v>
      </c>
      <c r="AG6" s="68" t="n">
        <v>-5.6</v>
      </c>
      <c r="AH6" s="68" t="n">
        <v>-3.5</v>
      </c>
      <c r="AI6" s="68" t="n">
        <v>-2.5</v>
      </c>
      <c r="AJ6" s="68" t="n">
        <v>6.4</v>
      </c>
      <c r="AK6" s="68" t="n">
        <v>8.199999999999999</v>
      </c>
      <c r="AL6" s="68" t="n">
        <v>13.4</v>
      </c>
      <c r="AM6" s="68" t="n">
        <v>11</v>
      </c>
      <c r="AN6" s="68" t="n">
        <v>1.2</v>
      </c>
      <c r="AO6" s="68" t="n">
        <v>4.3</v>
      </c>
    </row>
    <row r="7">
      <c r="A7" s="66" t="inlineStr">
        <is>
          <t>영업이익</t>
        </is>
      </c>
      <c r="B7" s="67" t="n"/>
      <c r="C7" s="67" t="n">
        <v>1.6</v>
      </c>
      <c r="D7" s="67" t="n">
        <v>-0.5</v>
      </c>
      <c r="E7" s="67" t="n">
        <v>0.7</v>
      </c>
      <c r="F7" s="67" t="n">
        <v>0.7</v>
      </c>
      <c r="G7" s="67" t="n">
        <v>2</v>
      </c>
      <c r="H7" s="67" t="n">
        <v>-0.5</v>
      </c>
      <c r="I7" s="67" t="n">
        <v>0.5</v>
      </c>
      <c r="J7" s="67" t="n">
        <v>-0</v>
      </c>
      <c r="K7" s="67" t="n">
        <v>3</v>
      </c>
      <c r="L7" s="67" t="n">
        <v>-0.2</v>
      </c>
      <c r="M7" s="67" t="n">
        <v>0.6</v>
      </c>
      <c r="N7" s="67" t="n">
        <v>0.3</v>
      </c>
      <c r="O7" s="67" t="n">
        <v>2.1</v>
      </c>
      <c r="P7" s="67" t="n">
        <v>-1.8</v>
      </c>
      <c r="Q7" s="67" t="n">
        <v>0.1</v>
      </c>
      <c r="R7" s="67" t="n">
        <v>0.1</v>
      </c>
      <c r="S7" s="67" t="n">
        <v>2.3</v>
      </c>
      <c r="T7" s="67" t="n">
        <v>-0.1</v>
      </c>
      <c r="U7" s="67" t="n">
        <v>0.8</v>
      </c>
      <c r="V7" s="67" t="n">
        <v>0.5</v>
      </c>
      <c r="W7" s="67" t="n">
        <v>2.9</v>
      </c>
      <c r="X7" s="67" t="n">
        <v>-0.5</v>
      </c>
      <c r="Y7" s="67" t="n">
        <v>1.2</v>
      </c>
      <c r="Z7" s="67" t="n">
        <v>0.9</v>
      </c>
      <c r="AA7" s="67" t="n">
        <v>4.4</v>
      </c>
      <c r="AB7" s="67" t="n">
        <v>-0.8</v>
      </c>
      <c r="AC7" s="67" t="n">
        <v>1.1</v>
      </c>
      <c r="AD7" s="67" t="n">
        <v>1</v>
      </c>
      <c r="AE7" s="67" t="n">
        <v>3.8</v>
      </c>
      <c r="AF7" s="67" t="n">
        <v>-0.3</v>
      </c>
      <c r="AG7" s="67" t="n">
        <v>0.9</v>
      </c>
      <c r="AH7" s="67" t="n">
        <v>0.8</v>
      </c>
      <c r="AI7" s="67" t="n">
        <v>3.2</v>
      </c>
      <c r="AJ7" s="67" t="n">
        <v>-0.2</v>
      </c>
      <c r="AK7" s="67" t="n">
        <v>1</v>
      </c>
      <c r="AL7" s="67" t="n">
        <v>1.1</v>
      </c>
      <c r="AM7" s="67" t="n">
        <v>3.9</v>
      </c>
      <c r="AN7" s="67" t="n">
        <v>-0.1</v>
      </c>
      <c r="AO7" s="67" t="n">
        <v>1.3</v>
      </c>
    </row>
    <row r="8">
      <c r="A8" s="66" t="inlineStr">
        <is>
          <t>영업이익률</t>
        </is>
      </c>
      <c r="B8" s="68" t="n"/>
      <c r="C8" s="68" t="n">
        <v>17</v>
      </c>
      <c r="D8" s="68" t="n">
        <v>-7.4</v>
      </c>
      <c r="E8" s="68" t="n">
        <v>9.199999999999999</v>
      </c>
      <c r="F8" s="68" t="n">
        <v>9.5</v>
      </c>
      <c r="G8" s="68" t="n">
        <v>21.5</v>
      </c>
      <c r="H8" s="68" t="n">
        <v>-7.5</v>
      </c>
      <c r="I8" s="68" t="n">
        <v>6.8</v>
      </c>
      <c r="J8" s="68" t="n">
        <v>-0</v>
      </c>
      <c r="K8" s="68" t="n">
        <v>30.3</v>
      </c>
      <c r="L8" s="68" t="n">
        <v>-2.9</v>
      </c>
      <c r="M8" s="68" t="n">
        <v>8.1</v>
      </c>
      <c r="N8" s="68" t="n">
        <v>4.2</v>
      </c>
      <c r="O8" s="68" t="n">
        <v>23.1</v>
      </c>
      <c r="P8" s="68" t="n">
        <v>-40</v>
      </c>
      <c r="Q8" s="68" t="n">
        <v>1.5</v>
      </c>
      <c r="R8" s="68" t="n">
        <v>1.5</v>
      </c>
      <c r="S8" s="68" t="n">
        <v>25.8</v>
      </c>
      <c r="T8" s="68" t="n">
        <v>-1.4</v>
      </c>
      <c r="U8" s="68" t="n">
        <v>10.5</v>
      </c>
      <c r="V8" s="68" t="n">
        <v>6.8</v>
      </c>
      <c r="W8" s="68" t="n">
        <v>28.4</v>
      </c>
      <c r="X8" s="68" t="n">
        <v>-6.8</v>
      </c>
      <c r="Y8" s="68" t="n">
        <v>13.6</v>
      </c>
      <c r="Z8" s="68" t="n">
        <v>10.5</v>
      </c>
      <c r="AA8" s="68" t="n">
        <v>35.5</v>
      </c>
      <c r="AB8" s="68" t="n">
        <v>-11.3</v>
      </c>
      <c r="AC8" s="68" t="n">
        <v>12.2</v>
      </c>
      <c r="AD8" s="68" t="n">
        <v>11.8</v>
      </c>
      <c r="AE8" s="68" t="n">
        <v>31.4</v>
      </c>
      <c r="AF8" s="68" t="n">
        <v>-3.8</v>
      </c>
      <c r="AG8" s="68" t="n">
        <v>10.6</v>
      </c>
      <c r="AH8" s="68" t="n">
        <v>9.800000000000001</v>
      </c>
      <c r="AI8" s="68" t="n">
        <v>27.1</v>
      </c>
      <c r="AJ8" s="68" t="n">
        <v>-2.4</v>
      </c>
      <c r="AK8" s="68" t="n">
        <v>10.9</v>
      </c>
      <c r="AL8" s="68" t="n">
        <v>11.8</v>
      </c>
      <c r="AM8" s="68" t="n">
        <v>29.8</v>
      </c>
      <c r="AN8" s="68" t="n">
        <v>-1.2</v>
      </c>
      <c r="AO8" s="68" t="n">
        <v>13.5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25</v>
      </c>
      <c r="H9" s="68" t="n"/>
      <c r="I9" s="68" t="n">
        <v>-28.6</v>
      </c>
      <c r="J9" s="68" t="n">
        <v>-100</v>
      </c>
      <c r="K9" s="68" t="n">
        <v>50</v>
      </c>
      <c r="L9" s="68" t="n"/>
      <c r="M9" s="68" t="n">
        <v>20</v>
      </c>
      <c r="N9" s="68" t="n"/>
      <c r="O9" s="68" t="n">
        <v>-30</v>
      </c>
      <c r="P9" s="68" t="n"/>
      <c r="Q9" s="68" t="n">
        <v>-83.3</v>
      </c>
      <c r="R9" s="68" t="n">
        <v>-66.7</v>
      </c>
      <c r="S9" s="68" t="n">
        <v>9.5</v>
      </c>
      <c r="T9" s="68" t="n"/>
      <c r="U9" s="68" t="n">
        <v>700</v>
      </c>
      <c r="V9" s="68" t="n">
        <v>400</v>
      </c>
      <c r="W9" s="68" t="n">
        <v>26.1</v>
      </c>
      <c r="X9" s="68" t="n"/>
      <c r="Y9" s="68" t="n">
        <v>50</v>
      </c>
      <c r="Z9" s="68" t="n">
        <v>80</v>
      </c>
      <c r="AA9" s="68" t="n">
        <v>51.7</v>
      </c>
      <c r="AB9" s="68" t="n"/>
      <c r="AC9" s="68" t="n">
        <v>-8.300000000000001</v>
      </c>
      <c r="AD9" s="68" t="n">
        <v>11.1</v>
      </c>
      <c r="AE9" s="68" t="n">
        <v>-13.6</v>
      </c>
      <c r="AF9" s="68" t="n"/>
      <c r="AG9" s="68" t="n">
        <v>-18.2</v>
      </c>
      <c r="AH9" s="68" t="n">
        <v>-20</v>
      </c>
      <c r="AI9" s="68" t="n">
        <v>-15.8</v>
      </c>
      <c r="AJ9" s="68" t="n"/>
      <c r="AK9" s="68" t="n">
        <v>11.1</v>
      </c>
      <c r="AL9" s="68" t="n">
        <v>37.5</v>
      </c>
      <c r="AM9" s="68" t="n">
        <v>21.9</v>
      </c>
      <c r="AN9" s="68" t="n"/>
      <c r="AO9" s="68" t="n">
        <v>30</v>
      </c>
    </row>
    <row r="10">
      <c r="A10" s="66" t="inlineStr">
        <is>
          <t>유동자산</t>
        </is>
      </c>
      <c r="B10" s="67" t="n"/>
      <c r="C10" s="67" t="n"/>
      <c r="D10" s="67" t="n">
        <v>19.6</v>
      </c>
      <c r="E10" s="67" t="n"/>
      <c r="F10" s="67" t="n">
        <v>19.5</v>
      </c>
      <c r="G10" s="67" t="n">
        <v>21.5</v>
      </c>
      <c r="H10" s="67" t="n">
        <v>19.7</v>
      </c>
      <c r="I10" s="67" t="n">
        <v>18.7</v>
      </c>
      <c r="J10" s="67" t="n">
        <v>18</v>
      </c>
      <c r="K10" s="67" t="n">
        <v>19.8</v>
      </c>
      <c r="L10" s="67" t="n">
        <v>19.6</v>
      </c>
      <c r="M10" s="67" t="n">
        <v>17.2</v>
      </c>
      <c r="N10" s="67" t="n">
        <v>17.7</v>
      </c>
      <c r="O10" s="67" t="n">
        <v>19.5</v>
      </c>
      <c r="P10" s="67" t="n">
        <v>17.7</v>
      </c>
      <c r="Q10" s="67" t="n">
        <v>17.7</v>
      </c>
      <c r="R10" s="67" t="n">
        <v>18.1</v>
      </c>
      <c r="S10" s="67" t="n">
        <v>19.9</v>
      </c>
      <c r="T10" s="67" t="n">
        <v>20.2</v>
      </c>
      <c r="U10" s="67" t="n">
        <v>19.3</v>
      </c>
      <c r="V10" s="67" t="n">
        <v>19.9</v>
      </c>
      <c r="W10" s="67" t="n">
        <v>22.6</v>
      </c>
      <c r="X10" s="67" t="n">
        <v>22.4</v>
      </c>
      <c r="Y10" s="67" t="n">
        <v>23.2</v>
      </c>
      <c r="Z10" s="67" t="n">
        <v>21.4</v>
      </c>
      <c r="AA10" s="67" t="n">
        <v>24.4</v>
      </c>
      <c r="AB10" s="67" t="n">
        <v>21.9</v>
      </c>
      <c r="AC10" s="67" t="n">
        <v>21.5</v>
      </c>
      <c r="AD10" s="67" t="n">
        <v>21.7</v>
      </c>
      <c r="AE10" s="67" t="n">
        <v>25.4</v>
      </c>
      <c r="AF10" s="67" t="n">
        <v>23.6</v>
      </c>
      <c r="AG10" s="67" t="n">
        <v>20.5</v>
      </c>
      <c r="AH10" s="67" t="n">
        <v>23.8</v>
      </c>
      <c r="AI10" s="67" t="n">
        <v>25.8</v>
      </c>
      <c r="AJ10" s="67" t="n">
        <v>26.2</v>
      </c>
      <c r="AK10" s="67" t="n">
        <v>24.2</v>
      </c>
      <c r="AL10" s="67" t="n">
        <v>25.7</v>
      </c>
      <c r="AM10" s="67" t="n">
        <v>29.4</v>
      </c>
      <c r="AN10" s="67" t="n">
        <v>29.6</v>
      </c>
      <c r="AO10" s="67" t="n">
        <v>26.8</v>
      </c>
    </row>
    <row r="11">
      <c r="A11" s="66" t="inlineStr">
        <is>
          <t>유동부채</t>
        </is>
      </c>
      <c r="B11" s="67" t="n"/>
      <c r="C11" s="67" t="n"/>
      <c r="D11" s="67" t="n">
        <v>3.9</v>
      </c>
      <c r="E11" s="67" t="n"/>
      <c r="F11" s="67" t="n">
        <v>3.3</v>
      </c>
      <c r="G11" s="67" t="n">
        <v>4.6</v>
      </c>
      <c r="H11" s="67" t="n">
        <v>3.4</v>
      </c>
      <c r="I11" s="67" t="n">
        <v>3.8</v>
      </c>
      <c r="J11" s="67" t="n">
        <v>3.3</v>
      </c>
      <c r="K11" s="67" t="n">
        <v>4.3</v>
      </c>
      <c r="L11" s="67" t="n">
        <v>3.9</v>
      </c>
      <c r="M11" s="67" t="n">
        <v>3.4</v>
      </c>
      <c r="N11" s="67" t="n">
        <v>3.4</v>
      </c>
      <c r="O11" s="67" t="n">
        <v>3.9</v>
      </c>
      <c r="P11" s="67" t="n">
        <v>2.9</v>
      </c>
      <c r="Q11" s="67" t="n">
        <v>3.4</v>
      </c>
      <c r="R11" s="67" t="n">
        <v>3.4</v>
      </c>
      <c r="S11" s="67" t="n">
        <v>4.2</v>
      </c>
      <c r="T11" s="67" t="n">
        <v>4</v>
      </c>
      <c r="U11" s="67" t="n">
        <v>3.8</v>
      </c>
      <c r="V11" s="67" t="n">
        <v>4</v>
      </c>
      <c r="W11" s="67" t="n">
        <v>5.1</v>
      </c>
      <c r="X11" s="67" t="n">
        <v>4.8</v>
      </c>
      <c r="Y11" s="67" t="n">
        <v>4.9</v>
      </c>
      <c r="Z11" s="67" t="n">
        <v>4.8</v>
      </c>
      <c r="AA11" s="67" t="n">
        <v>6</v>
      </c>
      <c r="AB11" s="67" t="n">
        <v>5</v>
      </c>
      <c r="AC11" s="67" t="n">
        <v>5.1</v>
      </c>
      <c r="AD11" s="67" t="n">
        <v>4.8</v>
      </c>
      <c r="AE11" s="67" t="n">
        <v>5.7</v>
      </c>
      <c r="AF11" s="67" t="n">
        <v>5</v>
      </c>
      <c r="AG11" s="67" t="n">
        <v>4.2</v>
      </c>
      <c r="AH11" s="67" t="n">
        <v>5</v>
      </c>
      <c r="AI11" s="67" t="n">
        <v>5.2</v>
      </c>
      <c r="AJ11" s="67" t="n">
        <v>5.3</v>
      </c>
      <c r="AK11" s="67" t="n">
        <v>4.7</v>
      </c>
      <c r="AL11" s="67" t="n">
        <v>5.2</v>
      </c>
      <c r="AM11" s="67" t="n">
        <v>6.1</v>
      </c>
      <c r="AN11" s="67" t="n">
        <v>5.5</v>
      </c>
      <c r="AO11" s="67" t="n">
        <v>5.2</v>
      </c>
    </row>
    <row r="12">
      <c r="A12" s="66" t="inlineStr">
        <is>
          <t>부채총계</t>
        </is>
      </c>
      <c r="B12" s="67" t="n"/>
      <c r="C12" s="67" t="n"/>
      <c r="D12" s="67" t="n">
        <v>5.2</v>
      </c>
      <c r="E12" s="67" t="n"/>
      <c r="F12" s="67" t="n">
        <v>4.6</v>
      </c>
      <c r="G12" s="67" t="n">
        <v>5.9</v>
      </c>
      <c r="H12" s="67" t="n">
        <v>4.8</v>
      </c>
      <c r="I12" s="67" t="n">
        <v>5.1</v>
      </c>
      <c r="J12" s="67" t="n">
        <v>4.8</v>
      </c>
      <c r="K12" s="67" t="n">
        <v>5.4</v>
      </c>
      <c r="L12" s="67" t="n">
        <v>5</v>
      </c>
      <c r="M12" s="67" t="n">
        <v>4.5</v>
      </c>
      <c r="N12" s="67" t="n">
        <v>4.6</v>
      </c>
      <c r="O12" s="67" t="n">
        <v>5.1</v>
      </c>
      <c r="P12" s="67" t="n">
        <v>4.1</v>
      </c>
      <c r="Q12" s="67" t="n">
        <v>4.6</v>
      </c>
      <c r="R12" s="67" t="n">
        <v>4.5</v>
      </c>
      <c r="S12" s="67" t="n">
        <v>5.3</v>
      </c>
      <c r="T12" s="67" t="n">
        <v>5</v>
      </c>
      <c r="U12" s="67" t="n">
        <v>4.9</v>
      </c>
      <c r="V12" s="67" t="n">
        <v>5.1</v>
      </c>
      <c r="W12" s="67" t="n">
        <v>6.2</v>
      </c>
      <c r="X12" s="67" t="n">
        <v>6.1</v>
      </c>
      <c r="Y12" s="67" t="n">
        <v>6.4</v>
      </c>
      <c r="Z12" s="67" t="n">
        <v>6.3</v>
      </c>
      <c r="AA12" s="67" t="n">
        <v>7.2</v>
      </c>
      <c r="AB12" s="67" t="n">
        <v>6.3</v>
      </c>
      <c r="AC12" s="67" t="n">
        <v>6.5</v>
      </c>
      <c r="AD12" s="67" t="n">
        <v>6.2</v>
      </c>
      <c r="AE12" s="67" t="n">
        <v>6.8</v>
      </c>
      <c r="AF12" s="67" t="n">
        <v>6.4</v>
      </c>
      <c r="AG12" s="67" t="n">
        <v>5.4</v>
      </c>
      <c r="AH12" s="67" t="n">
        <v>6.4</v>
      </c>
      <c r="AI12" s="67" t="n">
        <v>6.6</v>
      </c>
      <c r="AJ12" s="67" t="n">
        <v>6.8</v>
      </c>
      <c r="AK12" s="67" t="n">
        <v>6.4</v>
      </c>
      <c r="AL12" s="67" t="n">
        <v>7</v>
      </c>
      <c r="AM12" s="67" t="n">
        <v>7.8</v>
      </c>
      <c r="AN12" s="67" t="n">
        <v>7.9</v>
      </c>
      <c r="AO12" s="67" t="n">
        <v>8</v>
      </c>
    </row>
    <row r="13">
      <c r="A13" s="66" t="inlineStr">
        <is>
          <t>자기자본</t>
        </is>
      </c>
      <c r="B13" s="68" t="n"/>
      <c r="C13" s="68" t="n"/>
      <c r="D13" s="68" t="n">
        <v>32.2</v>
      </c>
      <c r="E13" s="68" t="n"/>
      <c r="F13" s="68" t="n">
        <v>32.5</v>
      </c>
      <c r="G13" s="68" t="n">
        <v>33.8</v>
      </c>
      <c r="H13" s="68" t="n">
        <v>33.6</v>
      </c>
      <c r="I13" s="68" t="n">
        <v>33.4</v>
      </c>
      <c r="J13" s="68" t="n">
        <v>33</v>
      </c>
      <c r="K13" s="68" t="n">
        <v>35.1</v>
      </c>
      <c r="L13" s="68" t="n">
        <v>35</v>
      </c>
      <c r="M13" s="68" t="n">
        <v>34.7</v>
      </c>
      <c r="N13" s="68" t="n">
        <v>35.2</v>
      </c>
      <c r="O13" s="68" t="n">
        <v>35.8</v>
      </c>
      <c r="P13" s="68" t="n">
        <v>35</v>
      </c>
      <c r="Q13" s="68" t="n">
        <v>34.4</v>
      </c>
      <c r="R13" s="68" t="n">
        <v>34.7</v>
      </c>
      <c r="S13" s="68" t="n">
        <v>36.8</v>
      </c>
      <c r="T13" s="68" t="n">
        <v>36.8</v>
      </c>
      <c r="U13" s="68" t="n">
        <v>36.9</v>
      </c>
      <c r="V13" s="68" t="n">
        <v>37.3</v>
      </c>
      <c r="W13" s="68" t="n">
        <v>39.6</v>
      </c>
      <c r="X13" s="68" t="n">
        <v>39.3</v>
      </c>
      <c r="Y13" s="68" t="n">
        <v>39.2</v>
      </c>
      <c r="Z13" s="68" t="n">
        <v>40.3</v>
      </c>
      <c r="AA13" s="68" t="n">
        <v>43.2</v>
      </c>
      <c r="AB13" s="68" t="n">
        <v>43.5</v>
      </c>
      <c r="AC13" s="68" t="n">
        <v>43.7</v>
      </c>
      <c r="AD13" s="68" t="n">
        <v>44.5</v>
      </c>
      <c r="AE13" s="68" t="n">
        <v>47.6</v>
      </c>
      <c r="AF13" s="68" t="n">
        <v>48</v>
      </c>
      <c r="AG13" s="68" t="n">
        <v>47.3</v>
      </c>
      <c r="AH13" s="68" t="n">
        <v>48.8</v>
      </c>
      <c r="AI13" s="68" t="n">
        <v>51.1</v>
      </c>
      <c r="AJ13" s="68" t="n">
        <v>51.1</v>
      </c>
      <c r="AK13" s="68" t="n">
        <v>51.4</v>
      </c>
      <c r="AL13" s="68" t="n">
        <v>52.7</v>
      </c>
      <c r="AM13" s="68" t="n">
        <v>55.5</v>
      </c>
      <c r="AN13" s="68" t="n">
        <v>56.7</v>
      </c>
      <c r="AO13" s="68" t="n">
        <v>57.4</v>
      </c>
    </row>
    <row r="14">
      <c r="A14" s="66" t="inlineStr">
        <is>
          <t>유동비율</t>
        </is>
      </c>
      <c r="B14" s="68" t="n"/>
      <c r="C14" s="68" t="n"/>
      <c r="D14" s="68" t="n">
        <v>502.6</v>
      </c>
      <c r="E14" s="68" t="n"/>
      <c r="F14" s="68" t="n">
        <v>590.9</v>
      </c>
      <c r="G14" s="68" t="n">
        <v>467.4</v>
      </c>
      <c r="H14" s="68" t="n">
        <v>579.4</v>
      </c>
      <c r="I14" s="68" t="n">
        <v>492.1</v>
      </c>
      <c r="J14" s="68" t="n">
        <v>545.5</v>
      </c>
      <c r="K14" s="68" t="n">
        <v>460.5</v>
      </c>
      <c r="L14" s="68" t="n">
        <v>502.6</v>
      </c>
      <c r="M14" s="68" t="n">
        <v>505.9</v>
      </c>
      <c r="N14" s="68" t="n">
        <v>520.6</v>
      </c>
      <c r="O14" s="68" t="n">
        <v>500</v>
      </c>
      <c r="P14" s="68" t="n">
        <v>610.3</v>
      </c>
      <c r="Q14" s="68" t="n">
        <v>520.6</v>
      </c>
      <c r="R14" s="68" t="n">
        <v>532.4</v>
      </c>
      <c r="S14" s="68" t="n">
        <v>473.8</v>
      </c>
      <c r="T14" s="68" t="n">
        <v>505</v>
      </c>
      <c r="U14" s="68" t="n">
        <v>507.9</v>
      </c>
      <c r="V14" s="68" t="n">
        <v>497.5</v>
      </c>
      <c r="W14" s="68" t="n">
        <v>443.1</v>
      </c>
      <c r="X14" s="68" t="n">
        <v>466.7</v>
      </c>
      <c r="Y14" s="68" t="n">
        <v>473.5</v>
      </c>
      <c r="Z14" s="68" t="n">
        <v>445.8</v>
      </c>
      <c r="AA14" s="68" t="n">
        <v>406.7</v>
      </c>
      <c r="AB14" s="68" t="n">
        <v>438</v>
      </c>
      <c r="AC14" s="68" t="n">
        <v>421.6</v>
      </c>
      <c r="AD14" s="68" t="n">
        <v>452.1</v>
      </c>
      <c r="AE14" s="68" t="n">
        <v>445.6</v>
      </c>
      <c r="AF14" s="68" t="n">
        <v>472</v>
      </c>
      <c r="AG14" s="68" t="n">
        <v>488.1</v>
      </c>
      <c r="AH14" s="68" t="n">
        <v>476</v>
      </c>
      <c r="AI14" s="68" t="n">
        <v>496.2</v>
      </c>
      <c r="AJ14" s="68" t="n">
        <v>494.3</v>
      </c>
      <c r="AK14" s="68" t="n">
        <v>514.9</v>
      </c>
      <c r="AL14" s="68" t="n">
        <v>494.2</v>
      </c>
      <c r="AM14" s="68" t="n">
        <v>482</v>
      </c>
      <c r="AN14" s="68" t="n">
        <v>538.2</v>
      </c>
      <c r="AO14" s="68" t="n">
        <v>515.4</v>
      </c>
    </row>
    <row r="15">
      <c r="A15" s="66" t="inlineStr">
        <is>
          <t>부채비율</t>
        </is>
      </c>
      <c r="B15" s="68" t="n"/>
      <c r="C15" s="68" t="n"/>
      <c r="D15" s="68" t="n">
        <v>16.1</v>
      </c>
      <c r="E15" s="68" t="n"/>
      <c r="F15" s="68" t="n">
        <v>14.2</v>
      </c>
      <c r="G15" s="68" t="n">
        <v>17.5</v>
      </c>
      <c r="H15" s="68" t="n">
        <v>14.3</v>
      </c>
      <c r="I15" s="68" t="n">
        <v>15.3</v>
      </c>
      <c r="J15" s="68" t="n">
        <v>14.5</v>
      </c>
      <c r="K15" s="68" t="n">
        <v>15.4</v>
      </c>
      <c r="L15" s="68" t="n">
        <v>14.3</v>
      </c>
      <c r="M15" s="68" t="n">
        <v>13</v>
      </c>
      <c r="N15" s="68" t="n">
        <v>13.1</v>
      </c>
      <c r="O15" s="68" t="n">
        <v>14.2</v>
      </c>
      <c r="P15" s="68" t="n">
        <v>11.7</v>
      </c>
      <c r="Q15" s="68" t="n">
        <v>13.4</v>
      </c>
      <c r="R15" s="68" t="n">
        <v>13</v>
      </c>
      <c r="S15" s="68" t="n">
        <v>14.4</v>
      </c>
      <c r="T15" s="68" t="n">
        <v>13.6</v>
      </c>
      <c r="U15" s="68" t="n">
        <v>13.3</v>
      </c>
      <c r="V15" s="68" t="n">
        <v>13.7</v>
      </c>
      <c r="W15" s="68" t="n">
        <v>15.7</v>
      </c>
      <c r="X15" s="68" t="n">
        <v>15.5</v>
      </c>
      <c r="Y15" s="68" t="n">
        <v>16.3</v>
      </c>
      <c r="Z15" s="68" t="n">
        <v>15.6</v>
      </c>
      <c r="AA15" s="68" t="n">
        <v>16.7</v>
      </c>
      <c r="AB15" s="68" t="n">
        <v>14.5</v>
      </c>
      <c r="AC15" s="68" t="n">
        <v>14.9</v>
      </c>
      <c r="AD15" s="68" t="n">
        <v>13.9</v>
      </c>
      <c r="AE15" s="68" t="n">
        <v>14.3</v>
      </c>
      <c r="AF15" s="68" t="n">
        <v>13.3</v>
      </c>
      <c r="AG15" s="68" t="n">
        <v>11.4</v>
      </c>
      <c r="AH15" s="68" t="n">
        <v>13.1</v>
      </c>
      <c r="AI15" s="68" t="n">
        <v>12.9</v>
      </c>
      <c r="AJ15" s="68" t="n">
        <v>13.3</v>
      </c>
      <c r="AK15" s="68" t="n">
        <v>12.5</v>
      </c>
      <c r="AL15" s="68" t="n">
        <v>13.3</v>
      </c>
      <c r="AM15" s="68" t="n">
        <v>14.1</v>
      </c>
      <c r="AN15" s="68" t="n">
        <v>13.9</v>
      </c>
      <c r="AO15" s="68" t="n">
        <v>13.9</v>
      </c>
    </row>
    <row r="16">
      <c r="A16" s="66" t="inlineStr">
        <is>
          <t>순차입금/자기자본</t>
        </is>
      </c>
      <c r="B16" s="68" t="n"/>
      <c r="C16" s="68" t="n"/>
      <c r="D16" s="68" t="n">
        <v>-41.6</v>
      </c>
      <c r="E16" s="68" t="n"/>
      <c r="F16" s="68" t="n">
        <v>-41.8</v>
      </c>
      <c r="G16" s="68" t="n">
        <v>-44.7</v>
      </c>
      <c r="H16" s="68" t="n">
        <v>-44.9</v>
      </c>
      <c r="I16" s="68" t="n">
        <v>-41.3</v>
      </c>
      <c r="J16" s="68" t="n">
        <v>-41.2</v>
      </c>
      <c r="K16" s="68" t="n">
        <v>-44.2</v>
      </c>
      <c r="L16" s="68" t="n">
        <v>-45.7</v>
      </c>
      <c r="M16" s="68" t="n">
        <v>-38.6</v>
      </c>
      <c r="N16" s="68" t="n">
        <v>-39.8</v>
      </c>
      <c r="O16" s="68" t="n">
        <v>-43.9</v>
      </c>
      <c r="P16" s="68" t="n">
        <v>-44.3</v>
      </c>
      <c r="Q16" s="68" t="n">
        <v>-44.5</v>
      </c>
      <c r="R16" s="68" t="n">
        <v>-41.5</v>
      </c>
      <c r="S16" s="68" t="n">
        <v>-43.2</v>
      </c>
      <c r="T16" s="68" t="n">
        <v>-44</v>
      </c>
      <c r="U16" s="68" t="n">
        <v>-41.5</v>
      </c>
      <c r="V16" s="68" t="n">
        <v>-42.4</v>
      </c>
      <c r="W16" s="68" t="n">
        <v>-45.5</v>
      </c>
      <c r="X16" s="68" t="n">
        <v>-47.1</v>
      </c>
      <c r="Y16" s="68" t="n">
        <v>-45.9</v>
      </c>
      <c r="Z16" s="68" t="n">
        <v>-41.4</v>
      </c>
      <c r="AA16" s="68" t="n">
        <v>-43.5</v>
      </c>
      <c r="AB16" s="68" t="n">
        <v>-43.4</v>
      </c>
      <c r="AC16" s="68" t="n">
        <v>-40.3</v>
      </c>
      <c r="AD16" s="68" t="n">
        <v>-40.9</v>
      </c>
      <c r="AE16" s="68" t="n">
        <v>-44.5</v>
      </c>
      <c r="AF16" s="68" t="n">
        <v>-40.2</v>
      </c>
      <c r="AG16" s="68" t="n">
        <v>-31.1</v>
      </c>
      <c r="AH16" s="68" t="n">
        <v>-41.6</v>
      </c>
      <c r="AI16" s="68" t="n">
        <v>-41.7</v>
      </c>
      <c r="AJ16" s="68" t="n">
        <v>-44.6</v>
      </c>
      <c r="AK16" s="68" t="n">
        <v>-40.1</v>
      </c>
      <c r="AL16" s="68" t="n">
        <v>-41.4</v>
      </c>
      <c r="AM16" s="68" t="n">
        <v>-43.8</v>
      </c>
      <c r="AN16" s="68" t="n">
        <v>-43.9</v>
      </c>
      <c r="AO16" s="68" t="n">
        <v>-38.5</v>
      </c>
    </row>
    <row r="17">
      <c r="A17" s="66" t="inlineStr">
        <is>
          <t>재고자산</t>
        </is>
      </c>
      <c r="B17" s="67" t="n"/>
      <c r="C17" s="67" t="n"/>
      <c r="D17" s="67" t="n">
        <v>0</v>
      </c>
      <c r="E17" s="67" t="n"/>
      <c r="F17" s="67" t="n">
        <v>0.2</v>
      </c>
      <c r="G17" s="67" t="n">
        <v>0</v>
      </c>
      <c r="H17" s="67" t="n">
        <v>0</v>
      </c>
      <c r="I17" s="67" t="n">
        <v>0</v>
      </c>
      <c r="J17" s="67" t="n">
        <v>0.2</v>
      </c>
      <c r="K17" s="67" t="n">
        <v>0</v>
      </c>
      <c r="L17" s="67" t="n">
        <v>0</v>
      </c>
      <c r="M17" s="67" t="n">
        <v>0</v>
      </c>
      <c r="N17" s="67" t="n">
        <v>0.2</v>
      </c>
      <c r="O17" s="67" t="n">
        <v>0</v>
      </c>
      <c r="P17" s="67" t="n">
        <v>0</v>
      </c>
      <c r="Q17" s="67" t="n">
        <v>0</v>
      </c>
      <c r="R17" s="67" t="n">
        <v>0.2</v>
      </c>
      <c r="S17" s="67" t="n">
        <v>0</v>
      </c>
      <c r="T17" s="67" t="n">
        <v>0</v>
      </c>
      <c r="U17" s="67" t="n">
        <v>0.1</v>
      </c>
      <c r="V17" s="67" t="n">
        <v>0.4</v>
      </c>
      <c r="W17" s="67" t="n">
        <v>0</v>
      </c>
      <c r="X17" s="67" t="n">
        <v>0.1</v>
      </c>
      <c r="Y17" s="67" t="n">
        <v>0.1</v>
      </c>
      <c r="Z17" s="67" t="n">
        <v>0.3</v>
      </c>
      <c r="AA17" s="67" t="n">
        <v>0</v>
      </c>
      <c r="AB17" s="67" t="n">
        <v>0.1</v>
      </c>
      <c r="AC17" s="67" t="n">
        <v>0.2</v>
      </c>
      <c r="AD17" s="67" t="n">
        <v>0.5</v>
      </c>
      <c r="AE17" s="67" t="n">
        <v>0</v>
      </c>
      <c r="AF17" s="67" t="n">
        <v>0.1</v>
      </c>
      <c r="AG17" s="67" t="n">
        <v>0.3</v>
      </c>
      <c r="AH17" s="67" t="n">
        <v>0.6</v>
      </c>
      <c r="AI17" s="67" t="n">
        <v>0</v>
      </c>
      <c r="AJ17" s="67" t="n">
        <v>0.1</v>
      </c>
      <c r="AK17" s="67" t="n">
        <v>0.3</v>
      </c>
      <c r="AL17" s="67" t="n">
        <v>0.6</v>
      </c>
      <c r="AM17" s="67" t="n">
        <v>0.1</v>
      </c>
      <c r="AN17" s="67" t="n">
        <v>0.2</v>
      </c>
      <c r="AO17" s="67" t="n">
        <v>0.3</v>
      </c>
    </row>
    <row r="18">
      <c r="A18" s="66" t="inlineStr">
        <is>
          <t>재고자산 회전일수</t>
        </is>
      </c>
      <c r="B18" s="67" t="n"/>
      <c r="C18" s="67" t="n"/>
      <c r="D18" s="67" t="n">
        <v>0</v>
      </c>
      <c r="E18" s="67" t="n"/>
      <c r="F18" s="67" t="n">
        <v>7</v>
      </c>
      <c r="G18" s="67" t="n">
        <v>0</v>
      </c>
      <c r="H18" s="67" t="n">
        <v>0</v>
      </c>
      <c r="I18" s="67" t="n">
        <v>0</v>
      </c>
      <c r="J18" s="67" t="n">
        <v>7</v>
      </c>
      <c r="K18" s="67" t="n">
        <v>0</v>
      </c>
      <c r="L18" s="67" t="n">
        <v>0</v>
      </c>
      <c r="M18" s="67" t="n">
        <v>0</v>
      </c>
      <c r="N18" s="67" t="n">
        <v>7</v>
      </c>
      <c r="O18" s="67" t="n">
        <v>0</v>
      </c>
      <c r="P18" s="67" t="n">
        <v>0</v>
      </c>
      <c r="Q18" s="67" t="n">
        <v>0</v>
      </c>
      <c r="R18" s="67" t="n">
        <v>7</v>
      </c>
      <c r="S18" s="67" t="n">
        <v>0</v>
      </c>
      <c r="T18" s="67" t="n">
        <v>0</v>
      </c>
      <c r="U18" s="67" t="n">
        <v>3</v>
      </c>
      <c r="V18" s="67" t="n">
        <v>15</v>
      </c>
      <c r="W18" s="67" t="n">
        <v>0</v>
      </c>
      <c r="X18" s="67" t="n">
        <v>3</v>
      </c>
      <c r="Y18" s="67" t="n">
        <v>3</v>
      </c>
      <c r="Z18" s="67" t="n">
        <v>9</v>
      </c>
      <c r="AA18" s="67" t="n">
        <v>0</v>
      </c>
      <c r="AB18" s="67" t="n">
        <v>3</v>
      </c>
      <c r="AC18" s="67" t="n">
        <v>6</v>
      </c>
      <c r="AD18" s="67" t="n">
        <v>16</v>
      </c>
      <c r="AE18" s="67" t="n">
        <v>0</v>
      </c>
      <c r="AF18" s="67" t="n">
        <v>3</v>
      </c>
      <c r="AG18" s="67" t="n">
        <v>10</v>
      </c>
      <c r="AH18" s="67" t="n">
        <v>20</v>
      </c>
      <c r="AI18" s="67" t="n">
        <v>0</v>
      </c>
      <c r="AJ18" s="67" t="n">
        <v>3</v>
      </c>
      <c r="AK18" s="67" t="n">
        <v>9</v>
      </c>
      <c r="AL18" s="67" t="n">
        <v>17</v>
      </c>
      <c r="AM18" s="67" t="n">
        <v>2</v>
      </c>
      <c r="AN18" s="67" t="n">
        <v>6</v>
      </c>
      <c r="AO18" s="67" t="n">
        <v>9</v>
      </c>
    </row>
    <row r="19">
      <c r="A19" s="66" t="inlineStr">
        <is>
          <t>매출채권 회전일수</t>
        </is>
      </c>
      <c r="B19" s="67" t="n"/>
      <c r="C19" s="67" t="n"/>
      <c r="D19" s="67" t="n">
        <v>33</v>
      </c>
      <c r="E19" s="67" t="n"/>
      <c r="F19" s="67" t="n">
        <v>26</v>
      </c>
      <c r="G19" s="67" t="n">
        <v>26</v>
      </c>
      <c r="H19" s="67" t="n">
        <v>33</v>
      </c>
      <c r="I19" s="67" t="n">
        <v>32</v>
      </c>
      <c r="J19" s="67" t="n">
        <v>26</v>
      </c>
      <c r="K19" s="67" t="n">
        <v>28</v>
      </c>
      <c r="L19" s="67" t="n">
        <v>32</v>
      </c>
      <c r="M19" s="67" t="n">
        <v>31</v>
      </c>
      <c r="N19" s="67" t="n">
        <v>27</v>
      </c>
      <c r="O19" s="67" t="n">
        <v>25</v>
      </c>
      <c r="P19" s="67" t="n">
        <v>34</v>
      </c>
      <c r="Q19" s="67" t="n">
        <v>28</v>
      </c>
      <c r="R19" s="67" t="n">
        <v>27</v>
      </c>
      <c r="S19" s="67" t="n">
        <v>27</v>
      </c>
      <c r="T19" s="67" t="n">
        <v>34</v>
      </c>
      <c r="U19" s="67" t="n">
        <v>31</v>
      </c>
      <c r="V19" s="67" t="n">
        <v>29</v>
      </c>
      <c r="W19" s="67" t="n">
        <v>29</v>
      </c>
      <c r="X19" s="67" t="n">
        <v>31</v>
      </c>
      <c r="Y19" s="67" t="n">
        <v>33</v>
      </c>
      <c r="Z19" s="67" t="n">
        <v>30</v>
      </c>
      <c r="AA19" s="67" t="n">
        <v>29</v>
      </c>
      <c r="AB19" s="67" t="n">
        <v>32</v>
      </c>
      <c r="AC19" s="67" t="n">
        <v>33</v>
      </c>
      <c r="AD19" s="67" t="n">
        <v>27</v>
      </c>
      <c r="AE19" s="67" t="n">
        <v>28</v>
      </c>
      <c r="AF19" s="67" t="n">
        <v>32</v>
      </c>
      <c r="AG19" s="67" t="n">
        <v>33</v>
      </c>
      <c r="AH19" s="67" t="n">
        <v>26</v>
      </c>
      <c r="AI19" s="67" t="n">
        <v>30</v>
      </c>
      <c r="AJ19" s="67" t="n">
        <v>29</v>
      </c>
      <c r="AK19" s="67" t="n">
        <v>28</v>
      </c>
      <c r="AL19" s="67" t="n">
        <v>24</v>
      </c>
      <c r="AM19" s="67" t="n">
        <v>31</v>
      </c>
      <c r="AN19" s="67" t="n">
        <v>27</v>
      </c>
      <c r="AO19" s="67" t="n">
        <v>27</v>
      </c>
    </row>
    <row r="20">
      <c r="A20" s="66" t="inlineStr">
        <is>
          <t>매입채무 회전일수</t>
        </is>
      </c>
      <c r="B20" s="67" t="n"/>
      <c r="C20" s="67" t="n"/>
      <c r="D20" s="67" t="n">
        <v>21</v>
      </c>
      <c r="E20" s="67" t="n"/>
      <c r="F20" s="67" t="n">
        <v>20</v>
      </c>
      <c r="G20" s="67" t="n">
        <v>20</v>
      </c>
      <c r="H20" s="67" t="n">
        <v>19</v>
      </c>
      <c r="I20" s="67" t="n">
        <v>20</v>
      </c>
      <c r="J20" s="67" t="n">
        <v>17</v>
      </c>
      <c r="K20" s="67" t="n">
        <v>21</v>
      </c>
      <c r="L20" s="67" t="n">
        <v>20</v>
      </c>
      <c r="M20" s="67" t="n">
        <v>20</v>
      </c>
      <c r="N20" s="67" t="n">
        <v>20</v>
      </c>
      <c r="O20" s="67" t="n">
        <v>19</v>
      </c>
      <c r="P20" s="67" t="n">
        <v>25</v>
      </c>
      <c r="Q20" s="67" t="n">
        <v>20</v>
      </c>
      <c r="R20" s="67" t="n">
        <v>24</v>
      </c>
      <c r="S20" s="67" t="n">
        <v>24</v>
      </c>
      <c r="T20" s="67" t="n">
        <v>23</v>
      </c>
      <c r="U20" s="67" t="n">
        <v>24</v>
      </c>
      <c r="V20" s="67" t="n">
        <v>25</v>
      </c>
      <c r="W20" s="67" t="n">
        <v>23</v>
      </c>
      <c r="X20" s="67" t="n">
        <v>20</v>
      </c>
      <c r="Y20" s="67" t="n">
        <v>23</v>
      </c>
      <c r="Z20" s="67" t="n">
        <v>21</v>
      </c>
      <c r="AA20" s="67" t="n">
        <v>22</v>
      </c>
      <c r="AB20" s="67" t="n">
        <v>23</v>
      </c>
      <c r="AC20" s="67" t="n">
        <v>21</v>
      </c>
      <c r="AD20" s="67" t="n">
        <v>22</v>
      </c>
      <c r="AE20" s="67" t="n">
        <v>22</v>
      </c>
      <c r="AF20" s="67" t="n">
        <v>20</v>
      </c>
      <c r="AG20" s="67" t="n">
        <v>23</v>
      </c>
      <c r="AH20" s="67" t="n">
        <v>24</v>
      </c>
      <c r="AI20" s="67" t="n">
        <v>20</v>
      </c>
      <c r="AJ20" s="67" t="n">
        <v>18</v>
      </c>
      <c r="AK20" s="67" t="n">
        <v>21</v>
      </c>
      <c r="AL20" s="67" t="n">
        <v>26</v>
      </c>
      <c r="AM20" s="67" t="n">
        <v>24</v>
      </c>
      <c r="AN20" s="67" t="n">
        <v>21</v>
      </c>
      <c r="AO20" s="67" t="n">
        <v>18</v>
      </c>
    </row>
    <row r="21">
      <c r="A21" s="66" t="inlineStr">
        <is>
          <t>현금전환주기(CCC)</t>
        </is>
      </c>
      <c r="B21" s="67" t="n"/>
      <c r="C21" s="67" t="n"/>
      <c r="D21" s="67" t="n">
        <v>12</v>
      </c>
      <c r="E21" s="67" t="n"/>
      <c r="F21" s="67" t="n">
        <v>13</v>
      </c>
      <c r="G21" s="67" t="n">
        <v>6</v>
      </c>
      <c r="H21" s="67" t="n">
        <v>14</v>
      </c>
      <c r="I21" s="67" t="n">
        <v>12</v>
      </c>
      <c r="J21" s="67" t="n">
        <v>16</v>
      </c>
      <c r="K21" s="67" t="n">
        <v>7</v>
      </c>
      <c r="L21" s="67" t="n">
        <v>12</v>
      </c>
      <c r="M21" s="67" t="n">
        <v>11</v>
      </c>
      <c r="N21" s="67" t="n">
        <v>14</v>
      </c>
      <c r="O21" s="67" t="n">
        <v>6</v>
      </c>
      <c r="P21" s="67" t="n">
        <v>9</v>
      </c>
      <c r="Q21" s="67" t="n">
        <v>8</v>
      </c>
      <c r="R21" s="67" t="n">
        <v>10</v>
      </c>
      <c r="S21" s="67" t="n">
        <v>3</v>
      </c>
      <c r="T21" s="67" t="n">
        <v>11</v>
      </c>
      <c r="U21" s="67" t="n">
        <v>10</v>
      </c>
      <c r="V21" s="67" t="n">
        <v>19</v>
      </c>
      <c r="W21" s="67" t="n">
        <v>6</v>
      </c>
      <c r="X21" s="67" t="n">
        <v>14</v>
      </c>
      <c r="Y21" s="67" t="n">
        <v>13</v>
      </c>
      <c r="Z21" s="67" t="n">
        <v>18</v>
      </c>
      <c r="AA21" s="67" t="n">
        <v>7</v>
      </c>
      <c r="AB21" s="67" t="n">
        <v>12</v>
      </c>
      <c r="AC21" s="67" t="n">
        <v>18</v>
      </c>
      <c r="AD21" s="67" t="n">
        <v>21</v>
      </c>
      <c r="AE21" s="67" t="n">
        <v>6</v>
      </c>
      <c r="AF21" s="67" t="n">
        <v>15</v>
      </c>
      <c r="AG21" s="67" t="n">
        <v>20</v>
      </c>
      <c r="AH21" s="67" t="n">
        <v>22</v>
      </c>
      <c r="AI21" s="67" t="n">
        <v>10</v>
      </c>
      <c r="AJ21" s="67" t="n">
        <v>14</v>
      </c>
      <c r="AK21" s="67" t="n">
        <v>16</v>
      </c>
      <c r="AL21" s="67" t="n">
        <v>15</v>
      </c>
      <c r="AM21" s="67" t="n">
        <v>9</v>
      </c>
      <c r="AN21" s="67" t="n">
        <v>12</v>
      </c>
      <c r="AO21" s="67" t="n">
        <v>18</v>
      </c>
    </row>
    <row r="22">
      <c r="A22" s="66" t="inlineStr">
        <is>
          <t>총 차입금</t>
        </is>
      </c>
      <c r="B22" s="67" t="n"/>
      <c r="C22" s="67" t="n"/>
      <c r="D22" s="67" t="n">
        <v>0</v>
      </c>
      <c r="E22" s="67" t="n"/>
      <c r="F22" s="67" t="n">
        <v>0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7" t="n">
        <v>0</v>
      </c>
      <c r="X22" s="67" t="n">
        <v>0</v>
      </c>
      <c r="Y22" s="67" t="n">
        <v>0.5</v>
      </c>
      <c r="Z22" s="67" t="n">
        <v>0</v>
      </c>
      <c r="AA22" s="67" t="n">
        <v>0</v>
      </c>
      <c r="AB22" s="67" t="n">
        <v>0</v>
      </c>
      <c r="AC22" s="67" t="n">
        <v>0</v>
      </c>
      <c r="AD22" s="67" t="n">
        <v>0</v>
      </c>
      <c r="AE22" s="67" t="n">
        <v>0</v>
      </c>
      <c r="AF22" s="67" t="n">
        <v>0</v>
      </c>
      <c r="AG22" s="67" t="n">
        <v>0</v>
      </c>
      <c r="AH22" s="67" t="n">
        <v>0</v>
      </c>
      <c r="AI22" s="67" t="n">
        <v>0</v>
      </c>
      <c r="AJ22" s="67" t="n">
        <v>0</v>
      </c>
      <c r="AK22" s="67" t="n">
        <v>0</v>
      </c>
      <c r="AL22" s="67" t="n">
        <v>0</v>
      </c>
      <c r="AM22" s="67" t="n">
        <v>0</v>
      </c>
      <c r="AN22" s="67" t="n">
        <v>0</v>
      </c>
      <c r="AO22" s="67" t="n">
        <v>0</v>
      </c>
    </row>
    <row r="23">
      <c r="A23" s="66" t="inlineStr">
        <is>
          <t>현금</t>
        </is>
      </c>
      <c r="B23" s="67" t="n"/>
      <c r="C23" s="67" t="n"/>
      <c r="D23" s="67" t="n">
        <v>13.4</v>
      </c>
      <c r="E23" s="67" t="n"/>
      <c r="F23" s="67" t="n">
        <v>13.6</v>
      </c>
      <c r="G23" s="67" t="n">
        <v>15.1</v>
      </c>
      <c r="H23" s="67" t="n">
        <v>15.1</v>
      </c>
      <c r="I23" s="67" t="n">
        <v>13.8</v>
      </c>
      <c r="J23" s="67" t="n">
        <v>13.6</v>
      </c>
      <c r="K23" s="67" t="n">
        <v>15.5</v>
      </c>
      <c r="L23" s="67" t="n">
        <v>16</v>
      </c>
      <c r="M23" s="67" t="n">
        <v>13.4</v>
      </c>
      <c r="N23" s="67" t="n">
        <v>14</v>
      </c>
      <c r="O23" s="67" t="n">
        <v>15.7</v>
      </c>
      <c r="P23" s="67" t="n">
        <v>15.5</v>
      </c>
      <c r="Q23" s="67" t="n">
        <v>15.3</v>
      </c>
      <c r="R23" s="67" t="n">
        <v>14.4</v>
      </c>
      <c r="S23" s="67" t="n">
        <v>15.9</v>
      </c>
      <c r="T23" s="67" t="n">
        <v>16.2</v>
      </c>
      <c r="U23" s="67" t="n">
        <v>15.3</v>
      </c>
      <c r="V23" s="67" t="n">
        <v>15.8</v>
      </c>
      <c r="W23" s="67" t="n">
        <v>18</v>
      </c>
      <c r="X23" s="67" t="n">
        <v>18.5</v>
      </c>
      <c r="Y23" s="67" t="n">
        <v>18.5</v>
      </c>
      <c r="Z23" s="67" t="n">
        <v>16.7</v>
      </c>
      <c r="AA23" s="67" t="n">
        <v>18.8</v>
      </c>
      <c r="AB23" s="67" t="n">
        <v>18.9</v>
      </c>
      <c r="AC23" s="67" t="n">
        <v>17.6</v>
      </c>
      <c r="AD23" s="67" t="n">
        <v>18.2</v>
      </c>
      <c r="AE23" s="67" t="n">
        <v>21.2</v>
      </c>
      <c r="AF23" s="67" t="n">
        <v>19.3</v>
      </c>
      <c r="AG23" s="67" t="n">
        <v>14.7</v>
      </c>
      <c r="AH23" s="67" t="n">
        <v>20.3</v>
      </c>
      <c r="AI23" s="67" t="n">
        <v>21.3</v>
      </c>
      <c r="AJ23" s="67" t="n">
        <v>22.8</v>
      </c>
      <c r="AK23" s="67" t="n">
        <v>20.6</v>
      </c>
      <c r="AL23" s="67" t="n">
        <v>21.8</v>
      </c>
      <c r="AM23" s="67" t="n">
        <v>24.3</v>
      </c>
      <c r="AN23" s="67" t="n">
        <v>24.9</v>
      </c>
      <c r="AO23" s="67" t="n">
        <v>22.1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2026-10-30T08:29:47Z</dcterms:created>
  <dcterms:modified xmlns:dcterms="http://purl.org/dc/terms/" xmlns:xsi="http://www.w3.org/2001/XMLSchema-instance" xsi:type="dcterms:W3CDTF">2026-10-30T08:30:56Z</dcterms:modified>
</cp:coreProperties>
</file>