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연간" sheetId="1" state="visible" r:id="rId1"/>
    <sheet xmlns:r="http://schemas.openxmlformats.org/officeDocument/2006/relationships" name="재무상태표" sheetId="2" state="visible" r:id="rId2"/>
    <sheet xmlns:r="http://schemas.openxmlformats.org/officeDocument/2006/relationships" name="출처" sheetId="3" state="visible" r:id="rId3"/>
  </sheets>
  <definedNames>
    <definedName name="_xlnm.Print_Titles" localSheetId="0">'연간'!$3:$3</definedName>
    <definedName name="_xlnm.Print_Titles" localSheetId="1">'재무상태표'!$3:$3</definedName>
  </definedNames>
  <calcPr calcId="124519" fullCalcOnLoad="1"/>
</workbook>
</file>

<file path=xl/styles.xml><?xml version="1.0" encoding="utf-8"?>
<styleSheet xmlns="http://schemas.openxmlformats.org/spreadsheetml/2006/main">
  <numFmts count="5">
    <numFmt numFmtId="164" formatCode="0.0%;-0.0%;&quot;-&quot;"/>
    <numFmt numFmtId="165" formatCode="#,##0;(#,##0);&quot;-&quot;"/>
    <numFmt numFmtId="166" formatCode="0.0&quot;x&quot;;-0.0&quot;x&quot;;&quot;-&quot;"/>
    <numFmt numFmtId="167" formatCode="0.0&quot;년&quot;;-0.0&quot;년&quot;;&quot;-&quot;"/>
    <numFmt numFmtId="168" formatCode="0&quot;일&quot;;-0&quot;일&quot;;&quot;-&quot;"/>
  </numFmts>
  <fonts count="17">
    <font>
      <name val="Calibri"/>
      <family val="2"/>
      <color theme="1"/>
      <sz val="11"/>
      <scheme val="minor"/>
    </font>
    <font>
      <name val="맑은 고딕"/>
      <b val="1"/>
      <color rgb="00000000"/>
      <sz val="20"/>
    </font>
    <font>
      <name val="맑은 고딕"/>
      <color rgb="00FF0000"/>
      <sz val="11"/>
    </font>
    <font>
      <name val="맑은 고딕"/>
      <color rgb="00808080"/>
      <sz val="9"/>
    </font>
    <font>
      <name val="맑은 고딕"/>
      <color rgb="000000FF"/>
      <sz val="9"/>
    </font>
    <font>
      <name val="맑은 고딕"/>
      <b val="1"/>
      <color rgb="00000000"/>
      <sz val="10"/>
    </font>
    <font>
      <name val="맑은 고딕"/>
      <color rgb="00808080"/>
      <sz val="11"/>
    </font>
    <font>
      <name val="맑은 고딕"/>
      <b val="1"/>
      <color rgb="00FFFFFF"/>
      <sz val="11"/>
    </font>
    <font>
      <name val="맑은 고딕"/>
      <color rgb="00000000"/>
      <sz val="11"/>
    </font>
    <font>
      <name val="맑은 고딕"/>
      <color rgb="000000FF"/>
      <sz val="11"/>
    </font>
    <font>
      <name val="맑은 고딕"/>
      <b val="1"/>
      <color rgb="00000000"/>
      <sz val="11"/>
    </font>
    <font>
      <name val="맑은 고딕"/>
      <b val="1"/>
      <color rgb="00FF0000"/>
      <sz val="11"/>
    </font>
    <font>
      <name val="맑은 고딕"/>
      <b val="1"/>
      <color rgb="00808080"/>
      <sz val="9"/>
    </font>
    <font>
      <name val="맑은 고딕"/>
      <color rgb="00FF0000"/>
      <sz val="9"/>
    </font>
    <font>
      <name val="맑은 고딕"/>
      <b val="1"/>
      <color rgb="00FFFFFF"/>
      <sz val="9"/>
    </font>
    <font>
      <name val="맑은 고딕"/>
      <b val="1"/>
      <sz val="20"/>
    </font>
    <font>
      <name val="맑은 고딕"/>
      <b val="1"/>
      <sz val="10"/>
    </font>
  </fonts>
  <fills count="7">
    <fill>
      <patternFill/>
    </fill>
    <fill>
      <patternFill patternType="gray125"/>
    </fill>
    <fill>
      <patternFill patternType="solid">
        <fgColor rgb="00D9D9D9"/>
      </patternFill>
    </fill>
    <fill>
      <patternFill patternType="solid">
        <fgColor rgb="00808080"/>
      </patternFill>
    </fill>
    <fill>
      <patternFill patternType="solid">
        <fgColor rgb="00A6A6A6"/>
      </patternFill>
    </fill>
    <fill>
      <patternFill patternType="solid">
        <fgColor rgb="00DDEBF7"/>
      </patternFill>
    </fill>
    <fill>
      <patternFill patternType="solid">
        <fgColor rgb="FFD9D9D9"/>
      </patternFill>
    </fill>
  </fills>
  <borders count="4">
    <border>
      <left/>
      <right/>
      <top/>
      <bottom/>
      <diagonal/>
    </border>
    <border>
      <top style="thin">
        <color rgb="007F7F7F"/>
      </top>
      <bottom style="thin">
        <color rgb="007F7F7F"/>
      </bottom>
    </border>
    <border>
      <left style="thin">
        <color rgb="007F7F7F"/>
      </left>
      <top style="thin">
        <color rgb="007F7F7F"/>
      </top>
      <bottom style="thin">
        <color rgb="007F7F7F"/>
      </bottom>
    </border>
    <border>
      <left style="thin">
        <color rgb="007F7F7F"/>
      </left>
      <top/>
      <bottom/>
    </border>
  </borders>
  <cellStyleXfs count="1">
    <xf numFmtId="0" fontId="0" fillId="0" borderId="0"/>
  </cellStyleXfs>
  <cellXfs count="5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xf>
    <xf numFmtId="0" fontId="5" fillId="2" borderId="2" applyAlignment="1" pivotButton="0" quotePrefix="0" xfId="0">
      <alignment horizontal="center" vertical="center"/>
    </xf>
    <xf numFmtId="0" fontId="5" fillId="5" borderId="2" applyAlignment="1" pivotButton="0" quotePrefix="0" xfId="0">
      <alignment horizontal="center" vertical="center"/>
    </xf>
    <xf numFmtId="0" fontId="5" fillId="5" borderId="1" applyAlignment="1" pivotButton="0" quotePrefix="0" xfId="0">
      <alignment horizontal="center" vertical="center"/>
    </xf>
    <xf numFmtId="0" fontId="10" fillId="0" borderId="0" applyAlignment="1" pivotButton="0" quotePrefix="0" xfId="0">
      <alignment horizontal="center" vertical="center"/>
    </xf>
    <xf numFmtId="0" fontId="3" fillId="0" borderId="0" applyAlignment="1" pivotButton="0" quotePrefix="0" xfId="0">
      <alignment horizontal="center" vertical="center"/>
    </xf>
    <xf numFmtId="165" fontId="10" fillId="0" borderId="3" applyAlignment="1" pivotButton="0" quotePrefix="0" xfId="0">
      <alignment horizontal="center" vertical="center"/>
    </xf>
    <xf numFmtId="165" fontId="10" fillId="0" borderId="0" applyAlignment="1" pivotButton="0" quotePrefix="0" xfId="0">
      <alignment horizontal="center" vertical="center"/>
    </xf>
    <xf numFmtId="0" fontId="6" fillId="0" borderId="0" applyAlignment="1" pivotButton="0" quotePrefix="0" xfId="0">
      <alignment horizontal="left" vertical="center" indent="1"/>
    </xf>
    <xf numFmtId="164" fontId="6" fillId="0" borderId="3" applyAlignment="1" pivotButton="0" quotePrefix="0" xfId="0">
      <alignment horizontal="center" vertical="center"/>
    </xf>
    <xf numFmtId="164" fontId="6" fillId="0" borderId="0" applyAlignment="1" pivotButton="0" quotePrefix="0" xfId="0">
      <alignment horizontal="center" vertical="center"/>
    </xf>
    <xf numFmtId="0" fontId="7" fillId="3" borderId="0" applyAlignment="1" pivotButton="0" quotePrefix="0" xfId="0">
      <alignment horizontal="center" vertical="center"/>
    </xf>
    <xf numFmtId="0" fontId="7" fillId="3" borderId="3" applyAlignment="1" pivotButton="0" quotePrefix="0" xfId="0">
      <alignment horizontal="center" vertical="center"/>
    </xf>
    <xf numFmtId="0" fontId="8" fillId="0" borderId="0" applyAlignment="1" pivotButton="0" quotePrefix="0" xfId="0">
      <alignment horizontal="center" vertical="center"/>
    </xf>
    <xf numFmtId="165" fontId="8" fillId="0" borderId="3" applyAlignment="1" pivotButton="0" quotePrefix="0" xfId="0">
      <alignment horizontal="center" vertical="center"/>
    </xf>
    <xf numFmtId="165" fontId="8" fillId="0" borderId="0" applyAlignment="1" pivotButton="0" quotePrefix="0" xfId="0">
      <alignment horizontal="center" vertical="center"/>
    </xf>
    <xf numFmtId="165" fontId="9" fillId="0" borderId="3" applyAlignment="1" pivotButton="0" quotePrefix="0" xfId="0">
      <alignment horizontal="center" vertical="center"/>
    </xf>
    <xf numFmtId="165" fontId="9" fillId="0" borderId="0" applyAlignment="1" pivotButton="0" quotePrefix="0" xfId="0">
      <alignment horizontal="center" vertical="center"/>
    </xf>
    <xf numFmtId="0" fontId="7" fillId="4" borderId="0" applyAlignment="1" pivotButton="0" quotePrefix="0" xfId="0">
      <alignment horizontal="center" vertical="center"/>
    </xf>
    <xf numFmtId="0" fontId="7" fillId="4" borderId="3" applyAlignment="1" pivotButton="0" quotePrefix="0" xfId="0">
      <alignment horizontal="center" vertical="center"/>
    </xf>
    <xf numFmtId="164" fontId="9" fillId="0" borderId="3" applyAlignment="1" pivotButton="0" quotePrefix="0" xfId="0">
      <alignment horizontal="center" vertical="center"/>
    </xf>
    <xf numFmtId="164" fontId="9" fillId="0" borderId="0" applyAlignment="1" pivotButton="0" quotePrefix="0" xfId="0">
      <alignment horizontal="center" vertical="center"/>
    </xf>
    <xf numFmtId="3" fontId="10" fillId="0" borderId="0" applyAlignment="1" pivotButton="0" quotePrefix="0" xfId="0">
      <alignment horizontal="center" vertical="center"/>
    </xf>
    <xf numFmtId="3" fontId="8" fillId="0" borderId="3" applyAlignment="1" pivotButton="0" quotePrefix="0" xfId="0">
      <alignment horizontal="center" vertical="center"/>
    </xf>
    <xf numFmtId="3" fontId="8" fillId="0" borderId="0" applyAlignment="1" pivotButton="0" quotePrefix="0" xfId="0">
      <alignment horizontal="center" vertical="center"/>
    </xf>
    <xf numFmtId="166" fontId="8" fillId="0" borderId="3" applyAlignment="1" pivotButton="0" quotePrefix="0" xfId="0">
      <alignment horizontal="center" vertical="center"/>
    </xf>
    <xf numFmtId="166" fontId="8" fillId="0" borderId="0" applyAlignment="1" pivotButton="0" quotePrefix="0" xfId="0">
      <alignment horizontal="center" vertical="center"/>
    </xf>
    <xf numFmtId="166" fontId="9" fillId="0" borderId="3" applyAlignment="1" pivotButton="0" quotePrefix="0" xfId="0">
      <alignment horizontal="center" vertical="center"/>
    </xf>
    <xf numFmtId="166" fontId="9" fillId="0" borderId="0" applyAlignment="1" pivotButton="0" quotePrefix="0" xfId="0">
      <alignment horizontal="center" vertical="center"/>
    </xf>
    <xf numFmtId="3" fontId="10" fillId="0" borderId="3" applyAlignment="1" pivotButton="0" quotePrefix="0" xfId="0">
      <alignment horizontal="center" vertical="center"/>
    </xf>
    <xf numFmtId="164" fontId="8" fillId="0" borderId="3" applyAlignment="1" pivotButton="0" quotePrefix="0" xfId="0">
      <alignment horizontal="center" vertical="center"/>
    </xf>
    <xf numFmtId="164" fontId="8" fillId="0" borderId="0" applyAlignment="1" pivotButton="0" quotePrefix="0" xfId="0">
      <alignment horizontal="center" vertical="center"/>
    </xf>
    <xf numFmtId="164" fontId="11" fillId="0" borderId="3" applyAlignment="1" pivotButton="0" quotePrefix="0" xfId="0">
      <alignment horizontal="center" vertical="center"/>
    </xf>
    <xf numFmtId="164" fontId="11" fillId="0" borderId="0" applyAlignment="1" pivotButton="0" quotePrefix="0" xfId="0">
      <alignment horizontal="center" vertical="center"/>
    </xf>
    <xf numFmtId="0" fontId="0" fillId="0" borderId="3" pivotButton="0" quotePrefix="0" xfId="0"/>
    <xf numFmtId="0" fontId="12" fillId="0" borderId="0" applyAlignment="1" pivotButton="0" quotePrefix="0" xfId="0">
      <alignment horizontal="left"/>
    </xf>
    <xf numFmtId="0" fontId="3" fillId="0" borderId="0" applyAlignment="1" pivotButton="0" quotePrefix="0" xfId="0">
      <alignment horizontal="left"/>
    </xf>
    <xf numFmtId="0" fontId="14" fillId="3" borderId="0" applyAlignment="1" pivotButton="0" quotePrefix="0" xfId="0">
      <alignment horizontal="center" vertical="center"/>
    </xf>
    <xf numFmtId="0" fontId="6" fillId="0" borderId="0" applyAlignment="1" pivotButton="0" quotePrefix="0" xfId="0">
      <alignment horizontal="center" vertical="center"/>
    </xf>
    <xf numFmtId="0" fontId="13" fillId="0" borderId="0" pivotButton="0" quotePrefix="0" xfId="0"/>
    <xf numFmtId="0" fontId="8" fillId="0" borderId="0" applyAlignment="1" pivotButton="0" quotePrefix="0" xfId="0">
      <alignment horizontal="left" vertical="center" indent="1"/>
    </xf>
    <xf numFmtId="167" fontId="8" fillId="0" borderId="3" applyAlignment="1" pivotButton="0" quotePrefix="0" xfId="0">
      <alignment horizontal="center" vertical="center"/>
    </xf>
    <xf numFmtId="167" fontId="8" fillId="0" borderId="0" applyAlignment="1" pivotButton="0" quotePrefix="0" xfId="0">
      <alignment horizontal="center" vertical="center"/>
    </xf>
    <xf numFmtId="168" fontId="8" fillId="0" borderId="3" applyAlignment="1" pivotButton="0" quotePrefix="0" xfId="0">
      <alignment horizontal="center" vertical="center"/>
    </xf>
    <xf numFmtId="168" fontId="8" fillId="0" borderId="0" applyAlignment="1" pivotButton="0" quotePrefix="0" xfId="0">
      <alignment horizontal="center" vertical="center"/>
    </xf>
    <xf numFmtId="0" fontId="15" fillId="0" borderId="0" pivotButton="0" quotePrefix="0" xfId="0"/>
    <xf numFmtId="0" fontId="16" fillId="6" borderId="0" pivotButton="0" quotePrefix="0" xfId="0"/>
  </cellXfs>
  <cellStyles count="1">
    <cellStyle name="Normal" xfId="0" builtinId="0" hidden="0"/>
  </cellStyles>
  <dxfs count="1">
    <dxf>
      <font>
        <name val="맑은 고딕"/>
        <b val="1"/>
        <color rgb="00FF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C233"/>
  <sheetViews>
    <sheetView showGridLines="0" zoomScale="85" workbookViewId="0">
      <pane xSplit="2" ySplit="3" topLeftCell="C4" activePane="bottomRight" state="frozen"/>
      <selection pane="topRight"/>
      <selection pane="bottomLeft"/>
      <selection pane="bottomRight" activeCell="A1" sqref="A1"/>
    </sheetView>
  </sheetViews>
  <sheetFormatPr baseColWidth="8" defaultRowHeight="15"/>
  <cols>
    <col width="26" customWidth="1" min="1" max="1"/>
    <col width="14" customWidth="1" min="2" max="2"/>
    <col outlineLevel="1" width="11" customWidth="1" min="3" max="3"/>
    <col outlineLevel="1" width="11" customWidth="1" min="4" max="4"/>
    <col outlineLevel="1" width="11" customWidth="1" min="5" max="5"/>
    <col outlineLevel="1" width="11" customWidth="1" min="6" max="6"/>
    <col outlineLevel="1" width="11" customWidth="1" min="7" max="7"/>
    <col outlineLevel="1" width="11" customWidth="1" min="8" max="8"/>
    <col outlineLevel="1" width="11" customWidth="1" min="9" max="9"/>
    <col outlineLevel="1" width="11" customWidth="1" min="10" max="10"/>
    <col outlineLevel="1" width="11" customWidth="1" min="11" max="11"/>
    <col outlineLevel="1" width="11" customWidth="1" min="12" max="12"/>
    <col outlineLevel="1" width="11" customWidth="1" min="13" max="13"/>
    <col outlineLevel="1"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s>
  <sheetData>
    <row r="1" ht="30" customHeight="1">
      <c r="A1" s="1" t="inlineStr">
        <is>
          <t>6762 Model</t>
        </is>
      </c>
    </row>
    <row r="2">
      <c r="A2" s="2" t="inlineStr">
        <is>
          <t>모를 땐 보수적으로</t>
        </is>
      </c>
      <c r="B2" s="3" t="inlineStr">
        <is>
          <t>(단위: 백만엔)</t>
        </is>
      </c>
      <c r="C2" s="3" t="inlineStr">
        <is>
          <t>3월 결산 · IFRS · 2027.1Q = 2027년 3월 결산기 1분기</t>
        </is>
      </c>
      <c r="Y2" s="4" t="inlineStr">
        <is>
          <t>(추정: 파란 글씨 = 직접 입력)</t>
        </is>
      </c>
    </row>
    <row r="3">
      <c r="A3" s="5" t="inlineStr">
        <is>
          <t>항목</t>
        </is>
      </c>
      <c r="B3" s="5" t="inlineStr">
        <is>
          <t>참고</t>
        </is>
      </c>
      <c r="C3" s="6" t="inlineStr">
        <is>
          <t>2024.2Q</t>
        </is>
      </c>
      <c r="D3" s="5" t="inlineStr">
        <is>
          <t>2024.3Q</t>
        </is>
      </c>
      <c r="E3" s="5" t="inlineStr">
        <is>
          <t>2024.4Q</t>
        </is>
      </c>
      <c r="F3" s="5" t="inlineStr">
        <is>
          <t>2025.1Q</t>
        </is>
      </c>
      <c r="G3" s="5" t="inlineStr">
        <is>
          <t>2025.2Q</t>
        </is>
      </c>
      <c r="H3" s="5" t="inlineStr">
        <is>
          <t>2025.3Q</t>
        </is>
      </c>
      <c r="I3" s="5" t="inlineStr">
        <is>
          <t>2025.4Q</t>
        </is>
      </c>
      <c r="J3" s="5" t="inlineStr">
        <is>
          <t>2026.1Q</t>
        </is>
      </c>
      <c r="K3" s="5" t="inlineStr">
        <is>
          <t>2026.2Q</t>
        </is>
      </c>
      <c r="L3" s="5" t="inlineStr">
        <is>
          <t>2026.3Q</t>
        </is>
      </c>
      <c r="M3" s="5" t="inlineStr">
        <is>
          <t>2026.4Q</t>
        </is>
      </c>
      <c r="N3" s="5" t="inlineStr">
        <is>
          <t>2027.1Q</t>
        </is>
      </c>
      <c r="O3" s="6" t="inlineStr">
        <is>
          <t>2017</t>
        </is>
      </c>
      <c r="P3" s="5" t="inlineStr">
        <is>
          <t>2018</t>
        </is>
      </c>
      <c r="Q3" s="5" t="inlineStr">
        <is>
          <t>2019</t>
        </is>
      </c>
      <c r="R3" s="5" t="inlineStr">
        <is>
          <t>2020</t>
        </is>
      </c>
      <c r="S3" s="5" t="inlineStr">
        <is>
          <t>2021</t>
        </is>
      </c>
      <c r="T3" s="5" t="inlineStr">
        <is>
          <t>2022</t>
        </is>
      </c>
      <c r="U3" s="5" t="inlineStr">
        <is>
          <t>2023</t>
        </is>
      </c>
      <c r="V3" s="5" t="inlineStr">
        <is>
          <t>2024</t>
        </is>
      </c>
      <c r="W3" s="5" t="inlineStr">
        <is>
          <t>2025</t>
        </is>
      </c>
      <c r="X3" s="5" t="inlineStr">
        <is>
          <t>2026</t>
        </is>
      </c>
      <c r="Y3" s="7" t="inlineStr">
        <is>
          <t>2027(MW)</t>
        </is>
      </c>
      <c r="Z3" s="8" t="inlineStr">
        <is>
          <t>2028(MW)</t>
        </is>
      </c>
      <c r="AA3" s="8" t="inlineStr">
        <is>
          <t>2029(MW)</t>
        </is>
      </c>
      <c r="AB3" s="8" t="inlineStr">
        <is>
          <t>2030(MW)</t>
        </is>
      </c>
      <c r="AC3" s="8" t="inlineStr">
        <is>
          <t>2031(MW)</t>
        </is>
      </c>
    </row>
    <row r="4">
      <c r="A4" s="9" t="inlineStr">
        <is>
          <t>매출액</t>
        </is>
      </c>
      <c r="B4" s="10" t="inlineStr">
        <is>
          <t>MW = 제품 합계</t>
        </is>
      </c>
      <c r="C4" s="11" t="n">
        <v>500461</v>
      </c>
      <c r="D4" s="12" t="n">
        <v>559250</v>
      </c>
      <c r="E4" s="12" t="n">
        <v>484915</v>
      </c>
      <c r="F4" s="12" t="n">
        <v>581043</v>
      </c>
      <c r="G4" s="12" t="n">
        <v>508458</v>
      </c>
      <c r="H4" s="12" t="n">
        <v>581043</v>
      </c>
      <c r="I4" s="12" t="n">
        <v>534262</v>
      </c>
      <c r="J4" s="12" t="n">
        <v>535753</v>
      </c>
      <c r="K4" s="12" t="n">
        <v>647610</v>
      </c>
      <c r="L4" s="12" t="n">
        <v>675203</v>
      </c>
      <c r="M4" s="12" t="n">
        <v>646254</v>
      </c>
      <c r="N4" s="12" t="n">
        <v>741005</v>
      </c>
      <c r="O4" s="11" t="n"/>
      <c r="P4" s="12" t="n"/>
      <c r="Q4" s="12" t="n"/>
      <c r="R4" s="12" t="n"/>
      <c r="S4" s="12" t="n">
        <v>1479008</v>
      </c>
      <c r="T4" s="12" t="n">
        <v>1902124</v>
      </c>
      <c r="U4" s="12" t="n">
        <v>2180817</v>
      </c>
      <c r="V4" s="12" t="n">
        <v>2103876</v>
      </c>
      <c r="W4" s="12" t="n">
        <v>2204806</v>
      </c>
      <c r="X4" s="12" t="n">
        <v>2504820</v>
      </c>
      <c r="Y4" s="11">
        <f>IF(COUNT(Y7,Y10,Y13,Y16,Y19)=0,"",SUM(Y7,Y10,Y13,Y16,Y19))</f>
        <v/>
      </c>
      <c r="Z4" s="12">
        <f>IF(COUNT(Z7,Z10,Z13,Z16,Z19)=0,"",SUM(Z7,Z10,Z13,Z16,Z19))</f>
        <v/>
      </c>
      <c r="AA4" s="12">
        <f>IF(COUNT(AA7,AA10,AA13,AA16,AA19)=0,"",SUM(AA7,AA10,AA13,AA16,AA19))</f>
        <v/>
      </c>
      <c r="AB4" s="12">
        <f>IF(COUNT(AB7,AB10,AB13,AB16,AB19)=0,"",SUM(AB7,AB10,AB13,AB16,AB19))</f>
        <v/>
      </c>
      <c r="AC4" s="12">
        <f>IF(COUNT(AC7,AC10,AC13,AC16,AC19)=0,"",SUM(AC7,AC10,AC13,AC16,AC19))</f>
        <v/>
      </c>
    </row>
    <row r="5">
      <c r="A5" s="13" t="inlineStr">
        <is>
          <t>YoY</t>
        </is>
      </c>
      <c r="B5" s="10" t="n"/>
      <c r="C5" s="14" t="n"/>
      <c r="D5" s="15" t="n"/>
      <c r="E5" s="15" t="n"/>
      <c r="F5" s="15" t="n"/>
      <c r="G5" s="15">
        <f>IF(OR(G4="",C4=""),"",IFERROR(G4/C4-1,""))</f>
        <v/>
      </c>
      <c r="H5" s="15">
        <f>IF(OR(H4="",D4=""),"",IFERROR(H4/D4-1,""))</f>
        <v/>
      </c>
      <c r="I5" s="15">
        <f>IF(OR(I4="",E4=""),"",IFERROR(I4/E4-1,""))</f>
        <v/>
      </c>
      <c r="J5" s="15">
        <f>IF(OR(J4="",F4=""),"",IFERROR(J4/F4-1,""))</f>
        <v/>
      </c>
      <c r="K5" s="15">
        <f>IF(OR(K4="",G4=""),"",IFERROR(K4/G4-1,""))</f>
        <v/>
      </c>
      <c r="L5" s="15">
        <f>IF(OR(L4="",H4=""),"",IFERROR(L4/H4-1,""))</f>
        <v/>
      </c>
      <c r="M5" s="15">
        <f>IF(OR(M4="",I4=""),"",IFERROR(M4/I4-1,""))</f>
        <v/>
      </c>
      <c r="N5" s="15">
        <f>IF(OR(N4="",J4=""),"",IFERROR(N4/J4-1,""))</f>
        <v/>
      </c>
      <c r="O5" s="14" t="n"/>
      <c r="P5" s="15">
        <f>IF(OR(P4="",O4=""),"",IFERROR(P4/O4-1,""))</f>
        <v/>
      </c>
      <c r="Q5" s="15">
        <f>IF(OR(Q4="",P4=""),"",IFERROR(Q4/P4-1,""))</f>
        <v/>
      </c>
      <c r="R5" s="15">
        <f>IF(OR(R4="",Q4=""),"",IFERROR(R4/Q4-1,""))</f>
        <v/>
      </c>
      <c r="S5" s="15">
        <f>IF(OR(S4="",R4=""),"",IFERROR(S4/R4-1,""))</f>
        <v/>
      </c>
      <c r="T5" s="15">
        <f>IF(OR(T4="",S4=""),"",IFERROR(T4/S4-1,""))</f>
        <v/>
      </c>
      <c r="U5" s="15">
        <f>IF(OR(U4="",T4=""),"",IFERROR(U4/T4-1,""))</f>
        <v/>
      </c>
      <c r="V5" s="15">
        <f>IF(OR(V4="",U4=""),"",IFERROR(V4/U4-1,""))</f>
        <v/>
      </c>
      <c r="W5" s="15">
        <f>IF(OR(W4="",V4=""),"",IFERROR(W4/V4-1,""))</f>
        <v/>
      </c>
      <c r="X5" s="15">
        <f>IF(OR(X4="",W4=""),"",IFERROR(X4/W4-1,""))</f>
        <v/>
      </c>
      <c r="Y5" s="14">
        <f>IF(OR(Y4="",X4=""),"",IFERROR(Y4/X4-1,""))</f>
        <v/>
      </c>
      <c r="Z5" s="15">
        <f>IF(OR(Z4="",Y4=""),"",IFERROR(Z4/Y4-1,""))</f>
        <v/>
      </c>
      <c r="AA5" s="15">
        <f>IF(OR(AA4="",Z4=""),"",IFERROR(AA4/Z4-1,""))</f>
        <v/>
      </c>
      <c r="AB5" s="15">
        <f>IF(OR(AB4="",AA4=""),"",IFERROR(AB4/AA4-1,""))</f>
        <v/>
      </c>
      <c r="AC5" s="15">
        <f>IF(OR(AC4="",AB4=""),"",IFERROR(AC4/AB4-1,""))</f>
        <v/>
      </c>
    </row>
    <row r="6">
      <c r="A6" s="16" t="inlineStr">
        <is>
          <t>제품별 매출 분류</t>
        </is>
      </c>
      <c r="B6" s="16" t="inlineStr">
        <is>
          <t>사업보고서 매출실적</t>
        </is>
      </c>
      <c r="C6" s="17" t="n"/>
      <c r="D6" s="16" t="n"/>
      <c r="E6" s="16" t="n"/>
      <c r="F6" s="16" t="n"/>
      <c r="G6" s="16" t="n"/>
      <c r="H6" s="16" t="n"/>
      <c r="I6" s="16" t="n"/>
      <c r="J6" s="16" t="n"/>
      <c r="K6" s="16" t="n"/>
      <c r="L6" s="16" t="n"/>
      <c r="M6" s="16" t="n"/>
      <c r="N6" s="16" t="n"/>
      <c r="O6" s="17" t="n"/>
      <c r="P6" s="16" t="n"/>
      <c r="Q6" s="16" t="n"/>
      <c r="R6" s="16" t="n"/>
      <c r="S6" s="16" t="n"/>
      <c r="T6" s="16" t="n"/>
      <c r="U6" s="16" t="n"/>
      <c r="V6" s="16" t="n"/>
      <c r="W6" s="16" t="n"/>
      <c r="X6" s="16" t="n"/>
      <c r="Y6" s="17" t="n"/>
      <c r="Z6" s="16" t="n"/>
      <c r="AA6" s="16" t="n"/>
      <c r="AB6" s="16" t="n"/>
      <c r="AC6" s="16" t="n"/>
    </row>
    <row r="7">
      <c r="A7" s="18" t="inlineStr">
        <is>
          <t>PassiveComponentsReportableSegmentMember</t>
        </is>
      </c>
      <c r="B7" s="10" t="n"/>
      <c r="C7" s="19" t="n">
        <v>145203</v>
      </c>
      <c r="D7" s="20" t="n">
        <v>140967</v>
      </c>
      <c r="E7" s="20" t="n">
        <v>138512</v>
      </c>
      <c r="F7" s="20" t="n">
        <v>139618</v>
      </c>
      <c r="G7" s="20" t="n">
        <v>145348</v>
      </c>
      <c r="H7" s="20" t="n">
        <v>139618</v>
      </c>
      <c r="I7" s="20" t="n">
        <v>135055</v>
      </c>
      <c r="J7" s="20" t="n">
        <v>138140</v>
      </c>
      <c r="K7" s="20" t="n">
        <v>147512</v>
      </c>
      <c r="L7" s="20" t="n">
        <v>152538</v>
      </c>
      <c r="M7" s="20" t="n">
        <v>155011</v>
      </c>
      <c r="N7" s="20" t="n">
        <v>176803</v>
      </c>
      <c r="O7" s="19" t="n"/>
      <c r="P7" s="20" t="n"/>
      <c r="Q7" s="20" t="n"/>
      <c r="R7" s="20" t="n"/>
      <c r="S7" s="20" t="n"/>
      <c r="T7" s="20" t="n"/>
      <c r="U7" s="20" t="n"/>
      <c r="V7" s="20" t="n">
        <v>565649</v>
      </c>
      <c r="W7" s="20" t="n">
        <v>559639</v>
      </c>
      <c r="X7" s="20" t="n">
        <v>593201</v>
      </c>
      <c r="Y7" s="21" t="n"/>
      <c r="Z7" s="22" t="n"/>
      <c r="AA7" s="22" t="n"/>
      <c r="AB7" s="22" t="n"/>
      <c r="AC7" s="22" t="n"/>
    </row>
    <row r="8">
      <c r="A8" s="13" t="inlineStr">
        <is>
          <t>비중</t>
        </is>
      </c>
      <c r="B8" s="10" t="n"/>
      <c r="C8" s="14">
        <f>IF(OR(C7="",C4=""),"",IFERROR(C7/C4,""))</f>
        <v/>
      </c>
      <c r="D8" s="15">
        <f>IF(OR(D7="",D4=""),"",IFERROR(D7/D4,""))</f>
        <v/>
      </c>
      <c r="E8" s="15">
        <f>IF(OR(E7="",E4=""),"",IFERROR(E7/E4,""))</f>
        <v/>
      </c>
      <c r="F8" s="15">
        <f>IF(OR(F7="",F4=""),"",IFERROR(F7/F4,""))</f>
        <v/>
      </c>
      <c r="G8" s="15">
        <f>IF(OR(G7="",G4=""),"",IFERROR(G7/G4,""))</f>
        <v/>
      </c>
      <c r="H8" s="15">
        <f>IF(OR(H7="",H4=""),"",IFERROR(H7/H4,""))</f>
        <v/>
      </c>
      <c r="I8" s="15">
        <f>IF(OR(I7="",I4=""),"",IFERROR(I7/I4,""))</f>
        <v/>
      </c>
      <c r="J8" s="15">
        <f>IF(OR(J7="",J4=""),"",IFERROR(J7/J4,""))</f>
        <v/>
      </c>
      <c r="K8" s="15">
        <f>IF(OR(K7="",K4=""),"",IFERROR(K7/K4,""))</f>
        <v/>
      </c>
      <c r="L8" s="15">
        <f>IF(OR(L7="",L4=""),"",IFERROR(L7/L4,""))</f>
        <v/>
      </c>
      <c r="M8" s="15">
        <f>IF(OR(M7="",M4=""),"",IFERROR(M7/M4,""))</f>
        <v/>
      </c>
      <c r="N8" s="15">
        <f>IF(OR(N7="",N4=""),"",IFERROR(N7/N4,""))</f>
        <v/>
      </c>
      <c r="O8" s="14">
        <f>IF(OR(O7="",O4=""),"",IFERROR(O7/O4,""))</f>
        <v/>
      </c>
      <c r="P8" s="15">
        <f>IF(OR(P7="",P4=""),"",IFERROR(P7/P4,""))</f>
        <v/>
      </c>
      <c r="Q8" s="15">
        <f>IF(OR(Q7="",Q4=""),"",IFERROR(Q7/Q4,""))</f>
        <v/>
      </c>
      <c r="R8" s="15">
        <f>IF(OR(R7="",R4=""),"",IFERROR(R7/R4,""))</f>
        <v/>
      </c>
      <c r="S8" s="15">
        <f>IF(OR(S7="",S4=""),"",IFERROR(S7/S4,""))</f>
        <v/>
      </c>
      <c r="T8" s="15">
        <f>IF(OR(T7="",T4=""),"",IFERROR(T7/T4,""))</f>
        <v/>
      </c>
      <c r="U8" s="15">
        <f>IF(OR(U7="",U4=""),"",IFERROR(U7/U4,""))</f>
        <v/>
      </c>
      <c r="V8" s="15">
        <f>IF(OR(V7="",V4=""),"",IFERROR(V7/V4,""))</f>
        <v/>
      </c>
      <c r="W8" s="15">
        <f>IF(OR(W7="",W4=""),"",IFERROR(W7/W4,""))</f>
        <v/>
      </c>
      <c r="X8" s="15">
        <f>IF(OR(X7="",X4=""),"",IFERROR(X7/X4,""))</f>
        <v/>
      </c>
      <c r="Y8" s="14">
        <f>IF(OR(Y7="",Y4=""),"",IFERROR(Y7/Y4,""))</f>
        <v/>
      </c>
      <c r="Z8" s="15">
        <f>IF(OR(Z7="",Z4=""),"",IFERROR(Z7/Z4,""))</f>
        <v/>
      </c>
      <c r="AA8" s="15">
        <f>IF(OR(AA7="",AA4=""),"",IFERROR(AA7/AA4,""))</f>
        <v/>
      </c>
      <c r="AB8" s="15">
        <f>IF(OR(AB7="",AB4=""),"",IFERROR(AB7/AB4,""))</f>
        <v/>
      </c>
      <c r="AC8" s="15">
        <f>IF(OR(AC7="",AC4=""),"",IFERROR(AC7/AC4,""))</f>
        <v/>
      </c>
    </row>
    <row r="9">
      <c r="A9" s="13" t="inlineStr">
        <is>
          <t>YoY</t>
        </is>
      </c>
      <c r="B9" s="10" t="n"/>
      <c r="C9" s="14" t="n"/>
      <c r="D9" s="15" t="n"/>
      <c r="E9" s="15" t="n"/>
      <c r="F9" s="15" t="n"/>
      <c r="G9" s="15">
        <f>IF(OR(G7="",C7=""),"",IFERROR(G7/C7-1,""))</f>
        <v/>
      </c>
      <c r="H9" s="15">
        <f>IF(OR(H7="",D7=""),"",IFERROR(H7/D7-1,""))</f>
        <v/>
      </c>
      <c r="I9" s="15">
        <f>IF(OR(I7="",E7=""),"",IFERROR(I7/E7-1,""))</f>
        <v/>
      </c>
      <c r="J9" s="15">
        <f>IF(OR(J7="",F7=""),"",IFERROR(J7/F7-1,""))</f>
        <v/>
      </c>
      <c r="K9" s="15">
        <f>IF(OR(K7="",G7=""),"",IFERROR(K7/G7-1,""))</f>
        <v/>
      </c>
      <c r="L9" s="15">
        <f>IF(OR(L7="",H7=""),"",IFERROR(L7/H7-1,""))</f>
        <v/>
      </c>
      <c r="M9" s="15">
        <f>IF(OR(M7="",I7=""),"",IFERROR(M7/I7-1,""))</f>
        <v/>
      </c>
      <c r="N9" s="15">
        <f>IF(OR(N7="",J7=""),"",IFERROR(N7/J7-1,""))</f>
        <v/>
      </c>
      <c r="O9" s="14" t="n"/>
      <c r="P9" s="15">
        <f>IF(OR(P7="",O7=""),"",IFERROR(P7/O7-1,""))</f>
        <v/>
      </c>
      <c r="Q9" s="15">
        <f>IF(OR(Q7="",P7=""),"",IFERROR(Q7/P7-1,""))</f>
        <v/>
      </c>
      <c r="R9" s="15">
        <f>IF(OR(R7="",Q7=""),"",IFERROR(R7/Q7-1,""))</f>
        <v/>
      </c>
      <c r="S9" s="15">
        <f>IF(OR(S7="",R7=""),"",IFERROR(S7/R7-1,""))</f>
        <v/>
      </c>
      <c r="T9" s="15">
        <f>IF(OR(T7="",S7=""),"",IFERROR(T7/S7-1,""))</f>
        <v/>
      </c>
      <c r="U9" s="15">
        <f>IF(OR(U7="",T7=""),"",IFERROR(U7/T7-1,""))</f>
        <v/>
      </c>
      <c r="V9" s="15">
        <f>IF(OR(V7="",U7=""),"",IFERROR(V7/U7-1,""))</f>
        <v/>
      </c>
      <c r="W9" s="15">
        <f>IF(OR(W7="",V7=""),"",IFERROR(W7/V7-1,""))</f>
        <v/>
      </c>
      <c r="X9" s="15">
        <f>IF(OR(X7="",W7=""),"",IFERROR(X7/W7-1,""))</f>
        <v/>
      </c>
      <c r="Y9" s="14">
        <f>IF(OR(Y7="",X7=""),"",IFERROR(Y7/X7-1,""))</f>
        <v/>
      </c>
      <c r="Z9" s="15">
        <f>IF(OR(Z7="",Y7=""),"",IFERROR(Z7/Y7-1,""))</f>
        <v/>
      </c>
      <c r="AA9" s="15">
        <f>IF(OR(AA7="",Z7=""),"",IFERROR(AA7/Z7-1,""))</f>
        <v/>
      </c>
      <c r="AB9" s="15">
        <f>IF(OR(AB7="",AA7=""),"",IFERROR(AB7/AA7-1,""))</f>
        <v/>
      </c>
      <c r="AC9" s="15">
        <f>IF(OR(AC7="",AB7=""),"",IFERROR(AC7/AB7-1,""))</f>
        <v/>
      </c>
    </row>
    <row r="10">
      <c r="A10" s="18" t="inlineStr">
        <is>
          <t>SensorApplicationProductsReportableSegmentMember</t>
        </is>
      </c>
      <c r="B10" s="10" t="n"/>
      <c r="C10" s="19" t="n">
        <v>36804</v>
      </c>
      <c r="D10" s="20" t="n">
        <v>49249</v>
      </c>
      <c r="E10" s="20" t="n">
        <v>45209</v>
      </c>
      <c r="F10" s="20" t="n">
        <v>48094</v>
      </c>
      <c r="G10" s="20" t="n">
        <v>46765</v>
      </c>
      <c r="H10" s="20" t="n">
        <v>48094</v>
      </c>
      <c r="I10" s="20" t="n">
        <v>46519</v>
      </c>
      <c r="J10" s="20" t="n">
        <v>46415</v>
      </c>
      <c r="K10" s="20" t="n">
        <v>61501</v>
      </c>
      <c r="L10" s="20" t="n">
        <v>59826</v>
      </c>
      <c r="M10" s="20" t="n">
        <v>56881</v>
      </c>
      <c r="N10" s="20" t="n">
        <v>61856</v>
      </c>
      <c r="O10" s="19" t="n"/>
      <c r="P10" s="20" t="n"/>
      <c r="Q10" s="20" t="n"/>
      <c r="R10" s="20" t="n"/>
      <c r="S10" s="20" t="n"/>
      <c r="T10" s="20" t="n"/>
      <c r="U10" s="20" t="n"/>
      <c r="V10" s="20" t="n">
        <v>180511</v>
      </c>
      <c r="W10" s="20" t="n">
        <v>189472</v>
      </c>
      <c r="X10" s="20" t="n">
        <v>224623</v>
      </c>
      <c r="Y10" s="21" t="n"/>
      <c r="Z10" s="22" t="n"/>
      <c r="AA10" s="22" t="n"/>
      <c r="AB10" s="22" t="n"/>
      <c r="AC10" s="22" t="n"/>
    </row>
    <row r="11">
      <c r="A11" s="13" t="inlineStr">
        <is>
          <t>비중</t>
        </is>
      </c>
      <c r="B11" s="10" t="n"/>
      <c r="C11" s="14">
        <f>IF(OR(C10="",C4=""),"",IFERROR(C10/C4,""))</f>
        <v/>
      </c>
      <c r="D11" s="15">
        <f>IF(OR(D10="",D4=""),"",IFERROR(D10/D4,""))</f>
        <v/>
      </c>
      <c r="E11" s="15">
        <f>IF(OR(E10="",E4=""),"",IFERROR(E10/E4,""))</f>
        <v/>
      </c>
      <c r="F11" s="15">
        <f>IF(OR(F10="",F4=""),"",IFERROR(F10/F4,""))</f>
        <v/>
      </c>
      <c r="G11" s="15">
        <f>IF(OR(G10="",G4=""),"",IFERROR(G10/G4,""))</f>
        <v/>
      </c>
      <c r="H11" s="15">
        <f>IF(OR(H10="",H4=""),"",IFERROR(H10/H4,""))</f>
        <v/>
      </c>
      <c r="I11" s="15">
        <f>IF(OR(I10="",I4=""),"",IFERROR(I10/I4,""))</f>
        <v/>
      </c>
      <c r="J11" s="15">
        <f>IF(OR(J10="",J4=""),"",IFERROR(J10/J4,""))</f>
        <v/>
      </c>
      <c r="K11" s="15">
        <f>IF(OR(K10="",K4=""),"",IFERROR(K10/K4,""))</f>
        <v/>
      </c>
      <c r="L11" s="15">
        <f>IF(OR(L10="",L4=""),"",IFERROR(L10/L4,""))</f>
        <v/>
      </c>
      <c r="M11" s="15">
        <f>IF(OR(M10="",M4=""),"",IFERROR(M10/M4,""))</f>
        <v/>
      </c>
      <c r="N11" s="15">
        <f>IF(OR(N10="",N4=""),"",IFERROR(N10/N4,""))</f>
        <v/>
      </c>
      <c r="O11" s="14">
        <f>IF(OR(O10="",O4=""),"",IFERROR(O10/O4,""))</f>
        <v/>
      </c>
      <c r="P11" s="15">
        <f>IF(OR(P10="",P4=""),"",IFERROR(P10/P4,""))</f>
        <v/>
      </c>
      <c r="Q11" s="15">
        <f>IF(OR(Q10="",Q4=""),"",IFERROR(Q10/Q4,""))</f>
        <v/>
      </c>
      <c r="R11" s="15">
        <f>IF(OR(R10="",R4=""),"",IFERROR(R10/R4,""))</f>
        <v/>
      </c>
      <c r="S11" s="15">
        <f>IF(OR(S10="",S4=""),"",IFERROR(S10/S4,""))</f>
        <v/>
      </c>
      <c r="T11" s="15">
        <f>IF(OR(T10="",T4=""),"",IFERROR(T10/T4,""))</f>
        <v/>
      </c>
      <c r="U11" s="15">
        <f>IF(OR(U10="",U4=""),"",IFERROR(U10/U4,""))</f>
        <v/>
      </c>
      <c r="V11" s="15">
        <f>IF(OR(V10="",V4=""),"",IFERROR(V10/V4,""))</f>
        <v/>
      </c>
      <c r="W11" s="15">
        <f>IF(OR(W10="",W4=""),"",IFERROR(W10/W4,""))</f>
        <v/>
      </c>
      <c r="X11" s="15">
        <f>IF(OR(X10="",X4=""),"",IFERROR(X10/X4,""))</f>
        <v/>
      </c>
      <c r="Y11" s="14">
        <f>IF(OR(Y10="",Y4=""),"",IFERROR(Y10/Y4,""))</f>
        <v/>
      </c>
      <c r="Z11" s="15">
        <f>IF(OR(Z10="",Z4=""),"",IFERROR(Z10/Z4,""))</f>
        <v/>
      </c>
      <c r="AA11" s="15">
        <f>IF(OR(AA10="",AA4=""),"",IFERROR(AA10/AA4,""))</f>
        <v/>
      </c>
      <c r="AB11" s="15">
        <f>IF(OR(AB10="",AB4=""),"",IFERROR(AB10/AB4,""))</f>
        <v/>
      </c>
      <c r="AC11" s="15">
        <f>IF(OR(AC10="",AC4=""),"",IFERROR(AC10/AC4,""))</f>
        <v/>
      </c>
    </row>
    <row r="12">
      <c r="A12" s="13" t="inlineStr">
        <is>
          <t>YoY</t>
        </is>
      </c>
      <c r="B12" s="10" t="n"/>
      <c r="C12" s="14" t="n"/>
      <c r="D12" s="15" t="n"/>
      <c r="E12" s="15" t="n"/>
      <c r="F12" s="15" t="n"/>
      <c r="G12" s="15">
        <f>IF(OR(G10="",C10=""),"",IFERROR(G10/C10-1,""))</f>
        <v/>
      </c>
      <c r="H12" s="15">
        <f>IF(OR(H10="",D10=""),"",IFERROR(H10/D10-1,""))</f>
        <v/>
      </c>
      <c r="I12" s="15">
        <f>IF(OR(I10="",E10=""),"",IFERROR(I10/E10-1,""))</f>
        <v/>
      </c>
      <c r="J12" s="15">
        <f>IF(OR(J10="",F10=""),"",IFERROR(J10/F10-1,""))</f>
        <v/>
      </c>
      <c r="K12" s="15">
        <f>IF(OR(K10="",G10=""),"",IFERROR(K10/G10-1,""))</f>
        <v/>
      </c>
      <c r="L12" s="15">
        <f>IF(OR(L10="",H10=""),"",IFERROR(L10/H10-1,""))</f>
        <v/>
      </c>
      <c r="M12" s="15">
        <f>IF(OR(M10="",I10=""),"",IFERROR(M10/I10-1,""))</f>
        <v/>
      </c>
      <c r="N12" s="15">
        <f>IF(OR(N10="",J10=""),"",IFERROR(N10/J10-1,""))</f>
        <v/>
      </c>
      <c r="O12" s="14" t="n"/>
      <c r="P12" s="15">
        <f>IF(OR(P10="",O10=""),"",IFERROR(P10/O10-1,""))</f>
        <v/>
      </c>
      <c r="Q12" s="15">
        <f>IF(OR(Q10="",P10=""),"",IFERROR(Q10/P10-1,""))</f>
        <v/>
      </c>
      <c r="R12" s="15">
        <f>IF(OR(R10="",Q10=""),"",IFERROR(R10/Q10-1,""))</f>
        <v/>
      </c>
      <c r="S12" s="15">
        <f>IF(OR(S10="",R10=""),"",IFERROR(S10/R10-1,""))</f>
        <v/>
      </c>
      <c r="T12" s="15">
        <f>IF(OR(T10="",S10=""),"",IFERROR(T10/S10-1,""))</f>
        <v/>
      </c>
      <c r="U12" s="15">
        <f>IF(OR(U10="",T10=""),"",IFERROR(U10/T10-1,""))</f>
        <v/>
      </c>
      <c r="V12" s="15">
        <f>IF(OR(V10="",U10=""),"",IFERROR(V10/U10-1,""))</f>
        <v/>
      </c>
      <c r="W12" s="15">
        <f>IF(OR(W10="",V10=""),"",IFERROR(W10/V10-1,""))</f>
        <v/>
      </c>
      <c r="X12" s="15">
        <f>IF(OR(X10="",W10=""),"",IFERROR(X10/W10-1,""))</f>
        <v/>
      </c>
      <c r="Y12" s="14">
        <f>IF(OR(Y10="",X10=""),"",IFERROR(Y10/X10-1,""))</f>
        <v/>
      </c>
      <c r="Z12" s="15">
        <f>IF(OR(Z10="",Y10=""),"",IFERROR(Z10/Y10-1,""))</f>
        <v/>
      </c>
      <c r="AA12" s="15">
        <f>IF(OR(AA10="",Z10=""),"",IFERROR(AA10/Z10-1,""))</f>
        <v/>
      </c>
      <c r="AB12" s="15">
        <f>IF(OR(AB10="",AA10=""),"",IFERROR(AB10/AA10-1,""))</f>
        <v/>
      </c>
      <c r="AC12" s="15">
        <f>IF(OR(AC10="",AB10=""),"",IFERROR(AC10/AB10-1,""))</f>
        <v/>
      </c>
    </row>
    <row r="13">
      <c r="A13" s="18" t="inlineStr">
        <is>
          <t>MagneticApplicationProductsReportableSegmentMember</t>
        </is>
      </c>
      <c r="B13" s="10" t="n"/>
      <c r="C13" s="19" t="n">
        <v>33754</v>
      </c>
      <c r="D13" s="20" t="n">
        <v>49300</v>
      </c>
      <c r="E13" s="20" t="n">
        <v>51857</v>
      </c>
      <c r="F13" s="20" t="n">
        <v>54450</v>
      </c>
      <c r="G13" s="20" t="n">
        <v>56495</v>
      </c>
      <c r="H13" s="20" t="n">
        <v>54450</v>
      </c>
      <c r="I13" s="20" t="n">
        <v>58242</v>
      </c>
      <c r="J13" s="20" t="n">
        <v>54554</v>
      </c>
      <c r="K13" s="20" t="n">
        <v>61199</v>
      </c>
      <c r="L13" s="20" t="n">
        <v>71066</v>
      </c>
      <c r="M13" s="20" t="n">
        <v>76084</v>
      </c>
      <c r="N13" s="20" t="n">
        <v>81608</v>
      </c>
      <c r="O13" s="19" t="n"/>
      <c r="P13" s="20" t="n"/>
      <c r="Q13" s="20" t="n"/>
      <c r="R13" s="20" t="n"/>
      <c r="S13" s="20" t="n"/>
      <c r="T13" s="20" t="n"/>
      <c r="U13" s="20" t="n"/>
      <c r="V13" s="20" t="n">
        <v>184211</v>
      </c>
      <c r="W13" s="20" t="n">
        <v>223637</v>
      </c>
      <c r="X13" s="20" t="n">
        <v>262903</v>
      </c>
      <c r="Y13" s="21" t="n"/>
      <c r="Z13" s="22" t="n"/>
      <c r="AA13" s="22" t="n"/>
      <c r="AB13" s="22" t="n"/>
      <c r="AC13" s="22" t="n"/>
    </row>
    <row r="14">
      <c r="A14" s="13" t="inlineStr">
        <is>
          <t>비중</t>
        </is>
      </c>
      <c r="B14" s="10" t="n"/>
      <c r="C14" s="14">
        <f>IF(OR(C13="",C4=""),"",IFERROR(C13/C4,""))</f>
        <v/>
      </c>
      <c r="D14" s="15">
        <f>IF(OR(D13="",D4=""),"",IFERROR(D13/D4,""))</f>
        <v/>
      </c>
      <c r="E14" s="15">
        <f>IF(OR(E13="",E4=""),"",IFERROR(E13/E4,""))</f>
        <v/>
      </c>
      <c r="F14" s="15">
        <f>IF(OR(F13="",F4=""),"",IFERROR(F13/F4,""))</f>
        <v/>
      </c>
      <c r="G14" s="15">
        <f>IF(OR(G13="",G4=""),"",IFERROR(G13/G4,""))</f>
        <v/>
      </c>
      <c r="H14" s="15">
        <f>IF(OR(H13="",H4=""),"",IFERROR(H13/H4,""))</f>
        <v/>
      </c>
      <c r="I14" s="15">
        <f>IF(OR(I13="",I4=""),"",IFERROR(I13/I4,""))</f>
        <v/>
      </c>
      <c r="J14" s="15">
        <f>IF(OR(J13="",J4=""),"",IFERROR(J13/J4,""))</f>
        <v/>
      </c>
      <c r="K14" s="15">
        <f>IF(OR(K13="",K4=""),"",IFERROR(K13/K4,""))</f>
        <v/>
      </c>
      <c r="L14" s="15">
        <f>IF(OR(L13="",L4=""),"",IFERROR(L13/L4,""))</f>
        <v/>
      </c>
      <c r="M14" s="15">
        <f>IF(OR(M13="",M4=""),"",IFERROR(M13/M4,""))</f>
        <v/>
      </c>
      <c r="N14" s="15">
        <f>IF(OR(N13="",N4=""),"",IFERROR(N13/N4,""))</f>
        <v/>
      </c>
      <c r="O14" s="14">
        <f>IF(OR(O13="",O4=""),"",IFERROR(O13/O4,""))</f>
        <v/>
      </c>
      <c r="P14" s="15">
        <f>IF(OR(P13="",P4=""),"",IFERROR(P13/P4,""))</f>
        <v/>
      </c>
      <c r="Q14" s="15">
        <f>IF(OR(Q13="",Q4=""),"",IFERROR(Q13/Q4,""))</f>
        <v/>
      </c>
      <c r="R14" s="15">
        <f>IF(OR(R13="",R4=""),"",IFERROR(R13/R4,""))</f>
        <v/>
      </c>
      <c r="S14" s="15">
        <f>IF(OR(S13="",S4=""),"",IFERROR(S13/S4,""))</f>
        <v/>
      </c>
      <c r="T14" s="15">
        <f>IF(OR(T13="",T4=""),"",IFERROR(T13/T4,""))</f>
        <v/>
      </c>
      <c r="U14" s="15">
        <f>IF(OR(U13="",U4=""),"",IFERROR(U13/U4,""))</f>
        <v/>
      </c>
      <c r="V14" s="15">
        <f>IF(OR(V13="",V4=""),"",IFERROR(V13/V4,""))</f>
        <v/>
      </c>
      <c r="W14" s="15">
        <f>IF(OR(W13="",W4=""),"",IFERROR(W13/W4,""))</f>
        <v/>
      </c>
      <c r="X14" s="15">
        <f>IF(OR(X13="",X4=""),"",IFERROR(X13/X4,""))</f>
        <v/>
      </c>
      <c r="Y14" s="14">
        <f>IF(OR(Y13="",Y4=""),"",IFERROR(Y13/Y4,""))</f>
        <v/>
      </c>
      <c r="Z14" s="15">
        <f>IF(OR(Z13="",Z4=""),"",IFERROR(Z13/Z4,""))</f>
        <v/>
      </c>
      <c r="AA14" s="15">
        <f>IF(OR(AA13="",AA4=""),"",IFERROR(AA13/AA4,""))</f>
        <v/>
      </c>
      <c r="AB14" s="15">
        <f>IF(OR(AB13="",AB4=""),"",IFERROR(AB13/AB4,""))</f>
        <v/>
      </c>
      <c r="AC14" s="15">
        <f>IF(OR(AC13="",AC4=""),"",IFERROR(AC13/AC4,""))</f>
        <v/>
      </c>
    </row>
    <row r="15">
      <c r="A15" s="13" t="inlineStr">
        <is>
          <t>YoY</t>
        </is>
      </c>
      <c r="B15" s="10" t="n"/>
      <c r="C15" s="14" t="n"/>
      <c r="D15" s="15" t="n"/>
      <c r="E15" s="15" t="n"/>
      <c r="F15" s="15" t="n"/>
      <c r="G15" s="15">
        <f>IF(OR(G13="",C13=""),"",IFERROR(G13/C13-1,""))</f>
        <v/>
      </c>
      <c r="H15" s="15">
        <f>IF(OR(H13="",D13=""),"",IFERROR(H13/D13-1,""))</f>
        <v/>
      </c>
      <c r="I15" s="15">
        <f>IF(OR(I13="",E13=""),"",IFERROR(I13/E13-1,""))</f>
        <v/>
      </c>
      <c r="J15" s="15">
        <f>IF(OR(J13="",F13=""),"",IFERROR(J13/F13-1,""))</f>
        <v/>
      </c>
      <c r="K15" s="15">
        <f>IF(OR(K13="",G13=""),"",IFERROR(K13/G13-1,""))</f>
        <v/>
      </c>
      <c r="L15" s="15">
        <f>IF(OR(L13="",H13=""),"",IFERROR(L13/H13-1,""))</f>
        <v/>
      </c>
      <c r="M15" s="15">
        <f>IF(OR(M13="",I13=""),"",IFERROR(M13/I13-1,""))</f>
        <v/>
      </c>
      <c r="N15" s="15">
        <f>IF(OR(N13="",J13=""),"",IFERROR(N13/J13-1,""))</f>
        <v/>
      </c>
      <c r="O15" s="14" t="n"/>
      <c r="P15" s="15">
        <f>IF(OR(P13="",O13=""),"",IFERROR(P13/O13-1,""))</f>
        <v/>
      </c>
      <c r="Q15" s="15">
        <f>IF(OR(Q13="",P13=""),"",IFERROR(Q13/P13-1,""))</f>
        <v/>
      </c>
      <c r="R15" s="15">
        <f>IF(OR(R13="",Q13=""),"",IFERROR(R13/Q13-1,""))</f>
        <v/>
      </c>
      <c r="S15" s="15">
        <f>IF(OR(S13="",R13=""),"",IFERROR(S13/R13-1,""))</f>
        <v/>
      </c>
      <c r="T15" s="15">
        <f>IF(OR(T13="",S13=""),"",IFERROR(T13/S13-1,""))</f>
        <v/>
      </c>
      <c r="U15" s="15">
        <f>IF(OR(U13="",T13=""),"",IFERROR(U13/T13-1,""))</f>
        <v/>
      </c>
      <c r="V15" s="15">
        <f>IF(OR(V13="",U13=""),"",IFERROR(V13/U13-1,""))</f>
        <v/>
      </c>
      <c r="W15" s="15">
        <f>IF(OR(W13="",V13=""),"",IFERROR(W13/V13-1,""))</f>
        <v/>
      </c>
      <c r="X15" s="15">
        <f>IF(OR(X13="",W13=""),"",IFERROR(X13/W13-1,""))</f>
        <v/>
      </c>
      <c r="Y15" s="14">
        <f>IF(OR(Y13="",X13=""),"",IFERROR(Y13/X13-1,""))</f>
        <v/>
      </c>
      <c r="Z15" s="15">
        <f>IF(OR(Z13="",Y13=""),"",IFERROR(Z13/Y13-1,""))</f>
        <v/>
      </c>
      <c r="AA15" s="15">
        <f>IF(OR(AA13="",Z13=""),"",IFERROR(AA13/Z13-1,""))</f>
        <v/>
      </c>
      <c r="AB15" s="15">
        <f>IF(OR(AB13="",AA13=""),"",IFERROR(AB13/AA13-1,""))</f>
        <v/>
      </c>
      <c r="AC15" s="15">
        <f>IF(OR(AC13="",AB13=""),"",IFERROR(AC13/AB13-1,""))</f>
        <v/>
      </c>
    </row>
    <row r="16">
      <c r="A16" s="18" t="inlineStr">
        <is>
          <t>EnergyApplicationProductsReportableSegmentMember</t>
        </is>
      </c>
      <c r="B16" s="10" t="n"/>
      <c r="C16" s="19" t="n">
        <v>274378</v>
      </c>
      <c r="D16" s="20" t="n">
        <v>304545</v>
      </c>
      <c r="E16" s="20" t="n">
        <v>238194</v>
      </c>
      <c r="F16" s="20" t="n">
        <v>323974</v>
      </c>
      <c r="G16" s="20" t="n">
        <v>247999</v>
      </c>
      <c r="H16" s="20" t="n">
        <v>323974</v>
      </c>
      <c r="I16" s="20" t="n">
        <v>280552</v>
      </c>
      <c r="J16" s="20" t="n">
        <v>285519</v>
      </c>
      <c r="K16" s="20" t="n">
        <v>362619</v>
      </c>
      <c r="L16" s="20" t="n">
        <v>377103</v>
      </c>
      <c r="M16" s="20" t="n">
        <v>345063</v>
      </c>
      <c r="N16" s="20" t="n">
        <v>405795</v>
      </c>
      <c r="O16" s="19" t="n"/>
      <c r="P16" s="20" t="n"/>
      <c r="Q16" s="20" t="n"/>
      <c r="R16" s="20" t="n"/>
      <c r="S16" s="20" t="n"/>
      <c r="T16" s="20" t="n"/>
      <c r="U16" s="20" t="n"/>
      <c r="V16" s="20" t="n">
        <v>1121662</v>
      </c>
      <c r="W16" s="20" t="n">
        <v>1176499</v>
      </c>
      <c r="X16" s="20" t="n">
        <v>1370304</v>
      </c>
      <c r="Y16" s="21" t="n"/>
      <c r="Z16" s="22" t="n"/>
      <c r="AA16" s="22" t="n"/>
      <c r="AB16" s="22" t="n"/>
      <c r="AC16" s="22" t="n"/>
    </row>
    <row r="17">
      <c r="A17" s="13" t="inlineStr">
        <is>
          <t>비중</t>
        </is>
      </c>
      <c r="B17" s="10" t="n"/>
      <c r="C17" s="14">
        <f>IF(OR(C16="",C4=""),"",IFERROR(C16/C4,""))</f>
        <v/>
      </c>
      <c r="D17" s="15">
        <f>IF(OR(D16="",D4=""),"",IFERROR(D16/D4,""))</f>
        <v/>
      </c>
      <c r="E17" s="15">
        <f>IF(OR(E16="",E4=""),"",IFERROR(E16/E4,""))</f>
        <v/>
      </c>
      <c r="F17" s="15">
        <f>IF(OR(F16="",F4=""),"",IFERROR(F16/F4,""))</f>
        <v/>
      </c>
      <c r="G17" s="15">
        <f>IF(OR(G16="",G4=""),"",IFERROR(G16/G4,""))</f>
        <v/>
      </c>
      <c r="H17" s="15">
        <f>IF(OR(H16="",H4=""),"",IFERROR(H16/H4,""))</f>
        <v/>
      </c>
      <c r="I17" s="15">
        <f>IF(OR(I16="",I4=""),"",IFERROR(I16/I4,""))</f>
        <v/>
      </c>
      <c r="J17" s="15">
        <f>IF(OR(J16="",J4=""),"",IFERROR(J16/J4,""))</f>
        <v/>
      </c>
      <c r="K17" s="15">
        <f>IF(OR(K16="",K4=""),"",IFERROR(K16/K4,""))</f>
        <v/>
      </c>
      <c r="L17" s="15">
        <f>IF(OR(L16="",L4=""),"",IFERROR(L16/L4,""))</f>
        <v/>
      </c>
      <c r="M17" s="15">
        <f>IF(OR(M16="",M4=""),"",IFERROR(M16/M4,""))</f>
        <v/>
      </c>
      <c r="N17" s="15">
        <f>IF(OR(N16="",N4=""),"",IFERROR(N16/N4,""))</f>
        <v/>
      </c>
      <c r="O17" s="14">
        <f>IF(OR(O16="",O4=""),"",IFERROR(O16/O4,""))</f>
        <v/>
      </c>
      <c r="P17" s="15">
        <f>IF(OR(P16="",P4=""),"",IFERROR(P16/P4,""))</f>
        <v/>
      </c>
      <c r="Q17" s="15">
        <f>IF(OR(Q16="",Q4=""),"",IFERROR(Q16/Q4,""))</f>
        <v/>
      </c>
      <c r="R17" s="15">
        <f>IF(OR(R16="",R4=""),"",IFERROR(R16/R4,""))</f>
        <v/>
      </c>
      <c r="S17" s="15">
        <f>IF(OR(S16="",S4=""),"",IFERROR(S16/S4,""))</f>
        <v/>
      </c>
      <c r="T17" s="15">
        <f>IF(OR(T16="",T4=""),"",IFERROR(T16/T4,""))</f>
        <v/>
      </c>
      <c r="U17" s="15">
        <f>IF(OR(U16="",U4=""),"",IFERROR(U16/U4,""))</f>
        <v/>
      </c>
      <c r="V17" s="15">
        <f>IF(OR(V16="",V4=""),"",IFERROR(V16/V4,""))</f>
        <v/>
      </c>
      <c r="W17" s="15">
        <f>IF(OR(W16="",W4=""),"",IFERROR(W16/W4,""))</f>
        <v/>
      </c>
      <c r="X17" s="15">
        <f>IF(OR(X16="",X4=""),"",IFERROR(X16/X4,""))</f>
        <v/>
      </c>
      <c r="Y17" s="14">
        <f>IF(OR(Y16="",Y4=""),"",IFERROR(Y16/Y4,""))</f>
        <v/>
      </c>
      <c r="Z17" s="15">
        <f>IF(OR(Z16="",Z4=""),"",IFERROR(Z16/Z4,""))</f>
        <v/>
      </c>
      <c r="AA17" s="15">
        <f>IF(OR(AA16="",AA4=""),"",IFERROR(AA16/AA4,""))</f>
        <v/>
      </c>
      <c r="AB17" s="15">
        <f>IF(OR(AB16="",AB4=""),"",IFERROR(AB16/AB4,""))</f>
        <v/>
      </c>
      <c r="AC17" s="15">
        <f>IF(OR(AC16="",AC4=""),"",IFERROR(AC16/AC4,""))</f>
        <v/>
      </c>
    </row>
    <row r="18">
      <c r="A18" s="13" t="inlineStr">
        <is>
          <t>YoY</t>
        </is>
      </c>
      <c r="B18" s="10" t="n"/>
      <c r="C18" s="14" t="n"/>
      <c r="D18" s="15" t="n"/>
      <c r="E18" s="15" t="n"/>
      <c r="F18" s="15" t="n"/>
      <c r="G18" s="15">
        <f>IF(OR(G16="",C16=""),"",IFERROR(G16/C16-1,""))</f>
        <v/>
      </c>
      <c r="H18" s="15">
        <f>IF(OR(H16="",D16=""),"",IFERROR(H16/D16-1,""))</f>
        <v/>
      </c>
      <c r="I18" s="15">
        <f>IF(OR(I16="",E16=""),"",IFERROR(I16/E16-1,""))</f>
        <v/>
      </c>
      <c r="J18" s="15">
        <f>IF(OR(J16="",F16=""),"",IFERROR(J16/F16-1,""))</f>
        <v/>
      </c>
      <c r="K18" s="15">
        <f>IF(OR(K16="",G16=""),"",IFERROR(K16/G16-1,""))</f>
        <v/>
      </c>
      <c r="L18" s="15">
        <f>IF(OR(L16="",H16=""),"",IFERROR(L16/H16-1,""))</f>
        <v/>
      </c>
      <c r="M18" s="15">
        <f>IF(OR(M16="",I16=""),"",IFERROR(M16/I16-1,""))</f>
        <v/>
      </c>
      <c r="N18" s="15">
        <f>IF(OR(N16="",J16=""),"",IFERROR(N16/J16-1,""))</f>
        <v/>
      </c>
      <c r="O18" s="14" t="n"/>
      <c r="P18" s="15">
        <f>IF(OR(P16="",O16=""),"",IFERROR(P16/O16-1,""))</f>
        <v/>
      </c>
      <c r="Q18" s="15">
        <f>IF(OR(Q16="",P16=""),"",IFERROR(Q16/P16-1,""))</f>
        <v/>
      </c>
      <c r="R18" s="15">
        <f>IF(OR(R16="",Q16=""),"",IFERROR(R16/Q16-1,""))</f>
        <v/>
      </c>
      <c r="S18" s="15">
        <f>IF(OR(S16="",R16=""),"",IFERROR(S16/R16-1,""))</f>
        <v/>
      </c>
      <c r="T18" s="15">
        <f>IF(OR(T16="",S16=""),"",IFERROR(T16/S16-1,""))</f>
        <v/>
      </c>
      <c r="U18" s="15">
        <f>IF(OR(U16="",T16=""),"",IFERROR(U16/T16-1,""))</f>
        <v/>
      </c>
      <c r="V18" s="15">
        <f>IF(OR(V16="",U16=""),"",IFERROR(V16/U16-1,""))</f>
        <v/>
      </c>
      <c r="W18" s="15">
        <f>IF(OR(W16="",V16=""),"",IFERROR(W16/V16-1,""))</f>
        <v/>
      </c>
      <c r="X18" s="15">
        <f>IF(OR(X16="",W16=""),"",IFERROR(X16/W16-1,""))</f>
        <v/>
      </c>
      <c r="Y18" s="14">
        <f>IF(OR(Y16="",X16=""),"",IFERROR(Y16/X16-1,""))</f>
        <v/>
      </c>
      <c r="Z18" s="15">
        <f>IF(OR(Z16="",Y16=""),"",IFERROR(Z16/Y16-1,""))</f>
        <v/>
      </c>
      <c r="AA18" s="15">
        <f>IF(OR(AA16="",Z16=""),"",IFERROR(AA16/Z16-1,""))</f>
        <v/>
      </c>
      <c r="AB18" s="15">
        <f>IF(OR(AB16="",AA16=""),"",IFERROR(AB16/AA16-1,""))</f>
        <v/>
      </c>
      <c r="AC18" s="15">
        <f>IF(OR(AC16="",AB16=""),"",IFERROR(AC16/AB16-1,""))</f>
        <v/>
      </c>
    </row>
    <row r="19">
      <c r="A19" s="18" t="inlineStr">
        <is>
          <t>기타</t>
        </is>
      </c>
      <c r="B19" s="10" t="n"/>
      <c r="C19" s="19" t="n">
        <v>10322</v>
      </c>
      <c r="D19" s="20" t="n">
        <v>15189</v>
      </c>
      <c r="E19" s="20" t="n">
        <v>11143</v>
      </c>
      <c r="F19" s="20" t="n">
        <v>14907</v>
      </c>
      <c r="G19" s="20" t="n">
        <v>11851</v>
      </c>
      <c r="H19" s="20" t="n">
        <v>14907</v>
      </c>
      <c r="I19" s="20" t="n">
        <v>13894</v>
      </c>
      <c r="J19" s="20" t="n">
        <v>11125</v>
      </c>
      <c r="K19" s="20" t="n">
        <v>14779</v>
      </c>
      <c r="L19" s="20" t="n">
        <v>14670</v>
      </c>
      <c r="M19" s="20" t="n">
        <v>13215</v>
      </c>
      <c r="N19" s="20" t="n">
        <v>14943</v>
      </c>
      <c r="O19" s="19" t="n"/>
      <c r="P19" s="20" t="n"/>
      <c r="Q19" s="20" t="n"/>
      <c r="R19" s="20" t="n"/>
      <c r="S19" s="20" t="n"/>
      <c r="T19" s="20" t="n"/>
      <c r="U19" s="20" t="n"/>
      <c r="V19" s="20" t="n">
        <v>51843</v>
      </c>
      <c r="W19" s="20" t="n">
        <v>55559</v>
      </c>
      <c r="X19" s="20" t="n">
        <v>53789</v>
      </c>
      <c r="Y19" s="21" t="n"/>
      <c r="Z19" s="22" t="n"/>
      <c r="AA19" s="22" t="n"/>
      <c r="AB19" s="22" t="n"/>
      <c r="AC19" s="22" t="n"/>
    </row>
    <row r="20">
      <c r="A20" s="13" t="inlineStr">
        <is>
          <t>비중</t>
        </is>
      </c>
      <c r="B20" s="10" t="n"/>
      <c r="C20" s="14">
        <f>IF(OR(C19="",C4=""),"",IFERROR(C19/C4,""))</f>
        <v/>
      </c>
      <c r="D20" s="15">
        <f>IF(OR(D19="",D4=""),"",IFERROR(D19/D4,""))</f>
        <v/>
      </c>
      <c r="E20" s="15">
        <f>IF(OR(E19="",E4=""),"",IFERROR(E19/E4,""))</f>
        <v/>
      </c>
      <c r="F20" s="15">
        <f>IF(OR(F19="",F4=""),"",IFERROR(F19/F4,""))</f>
        <v/>
      </c>
      <c r="G20" s="15">
        <f>IF(OR(G19="",G4=""),"",IFERROR(G19/G4,""))</f>
        <v/>
      </c>
      <c r="H20" s="15">
        <f>IF(OR(H19="",H4=""),"",IFERROR(H19/H4,""))</f>
        <v/>
      </c>
      <c r="I20" s="15">
        <f>IF(OR(I19="",I4=""),"",IFERROR(I19/I4,""))</f>
        <v/>
      </c>
      <c r="J20" s="15">
        <f>IF(OR(J19="",J4=""),"",IFERROR(J19/J4,""))</f>
        <v/>
      </c>
      <c r="K20" s="15">
        <f>IF(OR(K19="",K4=""),"",IFERROR(K19/K4,""))</f>
        <v/>
      </c>
      <c r="L20" s="15">
        <f>IF(OR(L19="",L4=""),"",IFERROR(L19/L4,""))</f>
        <v/>
      </c>
      <c r="M20" s="15">
        <f>IF(OR(M19="",M4=""),"",IFERROR(M19/M4,""))</f>
        <v/>
      </c>
      <c r="N20" s="15">
        <f>IF(OR(N19="",N4=""),"",IFERROR(N19/N4,""))</f>
        <v/>
      </c>
      <c r="O20" s="14">
        <f>IF(OR(O19="",O4=""),"",IFERROR(O19/O4,""))</f>
        <v/>
      </c>
      <c r="P20" s="15">
        <f>IF(OR(P19="",P4=""),"",IFERROR(P19/P4,""))</f>
        <v/>
      </c>
      <c r="Q20" s="15">
        <f>IF(OR(Q19="",Q4=""),"",IFERROR(Q19/Q4,""))</f>
        <v/>
      </c>
      <c r="R20" s="15">
        <f>IF(OR(R19="",R4=""),"",IFERROR(R19/R4,""))</f>
        <v/>
      </c>
      <c r="S20" s="15">
        <f>IF(OR(S19="",S4=""),"",IFERROR(S19/S4,""))</f>
        <v/>
      </c>
      <c r="T20" s="15">
        <f>IF(OR(T19="",T4=""),"",IFERROR(T19/T4,""))</f>
        <v/>
      </c>
      <c r="U20" s="15">
        <f>IF(OR(U19="",U4=""),"",IFERROR(U19/U4,""))</f>
        <v/>
      </c>
      <c r="V20" s="15">
        <f>IF(OR(V19="",V4=""),"",IFERROR(V19/V4,""))</f>
        <v/>
      </c>
      <c r="W20" s="15">
        <f>IF(OR(W19="",W4=""),"",IFERROR(W19/W4,""))</f>
        <v/>
      </c>
      <c r="X20" s="15">
        <f>IF(OR(X19="",X4=""),"",IFERROR(X19/X4,""))</f>
        <v/>
      </c>
      <c r="Y20" s="14">
        <f>IF(OR(Y19="",Y4=""),"",IFERROR(Y19/Y4,""))</f>
        <v/>
      </c>
      <c r="Z20" s="15">
        <f>IF(OR(Z19="",Z4=""),"",IFERROR(Z19/Z4,""))</f>
        <v/>
      </c>
      <c r="AA20" s="15">
        <f>IF(OR(AA19="",AA4=""),"",IFERROR(AA19/AA4,""))</f>
        <v/>
      </c>
      <c r="AB20" s="15">
        <f>IF(OR(AB19="",AB4=""),"",IFERROR(AB19/AB4,""))</f>
        <v/>
      </c>
      <c r="AC20" s="15">
        <f>IF(OR(AC19="",AC4=""),"",IFERROR(AC19/AC4,""))</f>
        <v/>
      </c>
    </row>
    <row r="21">
      <c r="A21" s="13" t="inlineStr">
        <is>
          <t>YoY</t>
        </is>
      </c>
      <c r="B21" s="10" t="n"/>
      <c r="C21" s="14" t="n"/>
      <c r="D21" s="15" t="n"/>
      <c r="E21" s="15" t="n"/>
      <c r="F21" s="15" t="n"/>
      <c r="G21" s="15">
        <f>IF(OR(G19="",C19=""),"",IFERROR(G19/C19-1,""))</f>
        <v/>
      </c>
      <c r="H21" s="15">
        <f>IF(OR(H19="",D19=""),"",IFERROR(H19/D19-1,""))</f>
        <v/>
      </c>
      <c r="I21" s="15">
        <f>IF(OR(I19="",E19=""),"",IFERROR(I19/E19-1,""))</f>
        <v/>
      </c>
      <c r="J21" s="15">
        <f>IF(OR(J19="",F19=""),"",IFERROR(J19/F19-1,""))</f>
        <v/>
      </c>
      <c r="K21" s="15">
        <f>IF(OR(K19="",G19=""),"",IFERROR(K19/G19-1,""))</f>
        <v/>
      </c>
      <c r="L21" s="15">
        <f>IF(OR(L19="",H19=""),"",IFERROR(L19/H19-1,""))</f>
        <v/>
      </c>
      <c r="M21" s="15">
        <f>IF(OR(M19="",I19=""),"",IFERROR(M19/I19-1,""))</f>
        <v/>
      </c>
      <c r="N21" s="15">
        <f>IF(OR(N19="",J19=""),"",IFERROR(N19/J19-1,""))</f>
        <v/>
      </c>
      <c r="O21" s="14" t="n"/>
      <c r="P21" s="15">
        <f>IF(OR(P19="",O19=""),"",IFERROR(P19/O19-1,""))</f>
        <v/>
      </c>
      <c r="Q21" s="15">
        <f>IF(OR(Q19="",P19=""),"",IFERROR(Q19/P19-1,""))</f>
        <v/>
      </c>
      <c r="R21" s="15">
        <f>IF(OR(R19="",Q19=""),"",IFERROR(R19/Q19-1,""))</f>
        <v/>
      </c>
      <c r="S21" s="15">
        <f>IF(OR(S19="",R19=""),"",IFERROR(S19/R19-1,""))</f>
        <v/>
      </c>
      <c r="T21" s="15">
        <f>IF(OR(T19="",S19=""),"",IFERROR(T19/S19-1,""))</f>
        <v/>
      </c>
      <c r="U21" s="15">
        <f>IF(OR(U19="",T19=""),"",IFERROR(U19/T19-1,""))</f>
        <v/>
      </c>
      <c r="V21" s="15">
        <f>IF(OR(V19="",U19=""),"",IFERROR(V19/U19-1,""))</f>
        <v/>
      </c>
      <c r="W21" s="15">
        <f>IF(OR(W19="",V19=""),"",IFERROR(W19/V19-1,""))</f>
        <v/>
      </c>
      <c r="X21" s="15">
        <f>IF(OR(X19="",W19=""),"",IFERROR(X19/W19-1,""))</f>
        <v/>
      </c>
      <c r="Y21" s="14">
        <f>IF(OR(Y19="",X19=""),"",IFERROR(Y19/X19-1,""))</f>
        <v/>
      </c>
      <c r="Z21" s="15">
        <f>IF(OR(Z19="",Y19=""),"",IFERROR(Z19/Y19-1,""))</f>
        <v/>
      </c>
      <c r="AA21" s="15">
        <f>IF(OR(AA19="",Z19=""),"",IFERROR(AA19/Z19-1,""))</f>
        <v/>
      </c>
      <c r="AB21" s="15">
        <f>IF(OR(AB19="",AA19=""),"",IFERROR(AB19/AA19-1,""))</f>
        <v/>
      </c>
      <c r="AC21" s="15">
        <f>IF(OR(AC19="",AB19=""),"",IFERROR(AC19/AB19-1,""))</f>
        <v/>
      </c>
    </row>
    <row r="22">
      <c r="A22" s="16" t="inlineStr">
        <is>
          <t>매출원가</t>
        </is>
      </c>
      <c r="B22" s="16" t="n"/>
      <c r="C22" s="17" t="n"/>
      <c r="D22" s="16" t="n"/>
      <c r="E22" s="16" t="n"/>
      <c r="F22" s="16" t="n"/>
      <c r="G22" s="16" t="n"/>
      <c r="H22" s="16" t="n"/>
      <c r="I22" s="16" t="n"/>
      <c r="J22" s="16" t="n"/>
      <c r="K22" s="16" t="n"/>
      <c r="L22" s="16" t="n"/>
      <c r="M22" s="16" t="n"/>
      <c r="N22" s="16" t="n"/>
      <c r="O22" s="17" t="n"/>
      <c r="P22" s="16" t="n"/>
      <c r="Q22" s="16" t="n"/>
      <c r="R22" s="16" t="n"/>
      <c r="S22" s="16" t="n"/>
      <c r="T22" s="16" t="n"/>
      <c r="U22" s="16" t="n"/>
      <c r="V22" s="16" t="n"/>
      <c r="W22" s="16" t="n"/>
      <c r="X22" s="16" t="n"/>
      <c r="Y22" s="17" t="n"/>
      <c r="Z22" s="16" t="n"/>
      <c r="AA22" s="16" t="n"/>
      <c r="AB22" s="16" t="n"/>
      <c r="AC22" s="16" t="n"/>
    </row>
    <row r="23">
      <c r="A23" s="18" t="inlineStr">
        <is>
          <t>전체 매출원가</t>
        </is>
      </c>
      <c r="B23" s="10" t="n"/>
      <c r="C23" s="19" t="n">
        <v>387962</v>
      </c>
      <c r="D23" s="20" t="n">
        <v>377794</v>
      </c>
      <c r="E23" s="20" t="n">
        <v>357308</v>
      </c>
      <c r="F23" s="20" t="n">
        <v>385311</v>
      </c>
      <c r="G23" s="20" t="n">
        <v>350077</v>
      </c>
      <c r="H23" s="20" t="n">
        <v>385311</v>
      </c>
      <c r="I23" s="20" t="n">
        <v>396065</v>
      </c>
      <c r="J23" s="20" t="n">
        <v>366099</v>
      </c>
      <c r="K23" s="20" t="n">
        <v>432860</v>
      </c>
      <c r="L23" s="20" t="n">
        <v>460069</v>
      </c>
      <c r="M23" s="20" t="n">
        <v>462388</v>
      </c>
      <c r="N23" s="20" t="n">
        <v>513283</v>
      </c>
      <c r="O23" s="19" t="n"/>
      <c r="P23" s="20" t="n"/>
      <c r="Q23" s="20" t="n"/>
      <c r="R23" s="20" t="n"/>
      <c r="S23" s="20" t="n">
        <v>1052410</v>
      </c>
      <c r="T23" s="20" t="n">
        <v>1338276</v>
      </c>
      <c r="U23" s="20" t="n">
        <v>1596295</v>
      </c>
      <c r="V23" s="20" t="n">
        <v>1500858</v>
      </c>
      <c r="W23" s="20" t="n">
        <v>1516764</v>
      </c>
      <c r="X23" s="20" t="n">
        <v>1721416</v>
      </c>
      <c r="Y23" s="19" t="n"/>
      <c r="Z23" s="20" t="n"/>
      <c r="AA23" s="20" t="n"/>
      <c r="AB23" s="20" t="n"/>
      <c r="AC23" s="20" t="n"/>
    </row>
    <row r="24">
      <c r="A24" s="18" t="inlineStr">
        <is>
          <t>매출총이익</t>
        </is>
      </c>
      <c r="B24" s="10" t="n"/>
      <c r="C24" s="19">
        <f>IF(OR(C4="",C23=""),"",IFERROR(C4-C23,""))</f>
        <v/>
      </c>
      <c r="D24" s="20">
        <f>IF(OR(D4="",D23=""),"",IFERROR(D4-D23,""))</f>
        <v/>
      </c>
      <c r="E24" s="20">
        <f>IF(OR(E4="",E23=""),"",IFERROR(E4-E23,""))</f>
        <v/>
      </c>
      <c r="F24" s="20">
        <f>IF(OR(F4="",F23=""),"",IFERROR(F4-F23,""))</f>
        <v/>
      </c>
      <c r="G24" s="20">
        <f>IF(OR(G4="",G23=""),"",IFERROR(G4-G23,""))</f>
        <v/>
      </c>
      <c r="H24" s="20">
        <f>IF(OR(H4="",H23=""),"",IFERROR(H4-H23,""))</f>
        <v/>
      </c>
      <c r="I24" s="20">
        <f>IF(OR(I4="",I23=""),"",IFERROR(I4-I23,""))</f>
        <v/>
      </c>
      <c r="J24" s="20">
        <f>IF(OR(J4="",J23=""),"",IFERROR(J4-J23,""))</f>
        <v/>
      </c>
      <c r="K24" s="20">
        <f>IF(OR(K4="",K23=""),"",IFERROR(K4-K23,""))</f>
        <v/>
      </c>
      <c r="L24" s="20">
        <f>IF(OR(L4="",L23=""),"",IFERROR(L4-L23,""))</f>
        <v/>
      </c>
      <c r="M24" s="20">
        <f>IF(OR(M4="",M23=""),"",IFERROR(M4-M23,""))</f>
        <v/>
      </c>
      <c r="N24" s="20">
        <f>IF(OR(N4="",N23=""),"",IFERROR(N4-N23,""))</f>
        <v/>
      </c>
      <c r="O24" s="19">
        <f>IF(OR(O4="",O23=""),"",IFERROR(O4-O23,""))</f>
        <v/>
      </c>
      <c r="P24" s="20">
        <f>IF(OR(P4="",P23=""),"",IFERROR(P4-P23,""))</f>
        <v/>
      </c>
      <c r="Q24" s="20">
        <f>IF(OR(Q4="",Q23=""),"",IFERROR(Q4-Q23,""))</f>
        <v/>
      </c>
      <c r="R24" s="20">
        <f>IF(OR(R4="",R23=""),"",IFERROR(R4-R23,""))</f>
        <v/>
      </c>
      <c r="S24" s="20">
        <f>IF(OR(S4="",S23=""),"",IFERROR(S4-S23,""))</f>
        <v/>
      </c>
      <c r="T24" s="20">
        <f>IF(OR(T4="",T23=""),"",IFERROR(T4-T23,""))</f>
        <v/>
      </c>
      <c r="U24" s="20">
        <f>IF(OR(U4="",U23=""),"",IFERROR(U4-U23,""))</f>
        <v/>
      </c>
      <c r="V24" s="20">
        <f>IF(OR(V4="",V23=""),"",IFERROR(V4-V23,""))</f>
        <v/>
      </c>
      <c r="W24" s="20">
        <f>IF(OR(W4="",W23=""),"",IFERROR(W4-W23,""))</f>
        <v/>
      </c>
      <c r="X24" s="20">
        <f>IF(OR(X4="",X23=""),"",IFERROR(X4-X23,""))</f>
        <v/>
      </c>
      <c r="Y24" s="19" t="n"/>
      <c r="Z24" s="20" t="n"/>
      <c r="AA24" s="20" t="n"/>
      <c r="AB24" s="20" t="n"/>
      <c r="AC24" s="20" t="n"/>
    </row>
    <row r="25">
      <c r="A25" s="13" t="inlineStr">
        <is>
          <t>GPM</t>
        </is>
      </c>
      <c r="B25" s="10" t="n"/>
      <c r="C25" s="14">
        <f>IF(OR(C24="",C4=""),"",IFERROR(C24/C4,""))</f>
        <v/>
      </c>
      <c r="D25" s="15">
        <f>IF(OR(D24="",D4=""),"",IFERROR(D24/D4,""))</f>
        <v/>
      </c>
      <c r="E25" s="15">
        <f>IF(OR(E24="",E4=""),"",IFERROR(E24/E4,""))</f>
        <v/>
      </c>
      <c r="F25" s="15">
        <f>IF(OR(F24="",F4=""),"",IFERROR(F24/F4,""))</f>
        <v/>
      </c>
      <c r="G25" s="15">
        <f>IF(OR(G24="",G4=""),"",IFERROR(G24/G4,""))</f>
        <v/>
      </c>
      <c r="H25" s="15">
        <f>IF(OR(H24="",H4=""),"",IFERROR(H24/H4,""))</f>
        <v/>
      </c>
      <c r="I25" s="15">
        <f>IF(OR(I24="",I4=""),"",IFERROR(I24/I4,""))</f>
        <v/>
      </c>
      <c r="J25" s="15">
        <f>IF(OR(J24="",J4=""),"",IFERROR(J24/J4,""))</f>
        <v/>
      </c>
      <c r="K25" s="15">
        <f>IF(OR(K24="",K4=""),"",IFERROR(K24/K4,""))</f>
        <v/>
      </c>
      <c r="L25" s="15">
        <f>IF(OR(L24="",L4=""),"",IFERROR(L24/L4,""))</f>
        <v/>
      </c>
      <c r="M25" s="15">
        <f>IF(OR(M24="",M4=""),"",IFERROR(M24/M4,""))</f>
        <v/>
      </c>
      <c r="N25" s="15">
        <f>IF(OR(N24="",N4=""),"",IFERROR(N24/N4,""))</f>
        <v/>
      </c>
      <c r="O25" s="14">
        <f>IF(OR(O24="",O4=""),"",IFERROR(O24/O4,""))</f>
        <v/>
      </c>
      <c r="P25" s="15">
        <f>IF(OR(P24="",P4=""),"",IFERROR(P24/P4,""))</f>
        <v/>
      </c>
      <c r="Q25" s="15">
        <f>IF(OR(Q24="",Q4=""),"",IFERROR(Q24/Q4,""))</f>
        <v/>
      </c>
      <c r="R25" s="15">
        <f>IF(OR(R24="",R4=""),"",IFERROR(R24/R4,""))</f>
        <v/>
      </c>
      <c r="S25" s="15">
        <f>IF(OR(S24="",S4=""),"",IFERROR(S24/S4,""))</f>
        <v/>
      </c>
      <c r="T25" s="15">
        <f>IF(OR(T24="",T4=""),"",IFERROR(T24/T4,""))</f>
        <v/>
      </c>
      <c r="U25" s="15">
        <f>IF(OR(U24="",U4=""),"",IFERROR(U24/U4,""))</f>
        <v/>
      </c>
      <c r="V25" s="15">
        <f>IF(OR(V24="",V4=""),"",IFERROR(V24/V4,""))</f>
        <v/>
      </c>
      <c r="W25" s="15">
        <f>IF(OR(W24="",W4=""),"",IFERROR(W24/W4,""))</f>
        <v/>
      </c>
      <c r="X25" s="15">
        <f>IF(OR(X24="",X4=""),"",IFERROR(X24/X4,""))</f>
        <v/>
      </c>
      <c r="Y25" s="14">
        <f>IF(OR(Y24="",Y4=""),"",IFERROR(Y24/Y4,""))</f>
        <v/>
      </c>
      <c r="Z25" s="15">
        <f>IF(OR(Z24="",Z4=""),"",IFERROR(Z24/Z4,""))</f>
        <v/>
      </c>
      <c r="AA25" s="15">
        <f>IF(OR(AA24="",AA4=""),"",IFERROR(AA24/AA4,""))</f>
        <v/>
      </c>
      <c r="AB25" s="15">
        <f>IF(OR(AB24="",AB4=""),"",IFERROR(AB24/AB4,""))</f>
        <v/>
      </c>
      <c r="AC25" s="15">
        <f>IF(OR(AC24="",AC4=""),"",IFERROR(AC24/AC4,""))</f>
        <v/>
      </c>
    </row>
    <row r="26">
      <c r="A26" s="23" t="inlineStr">
        <is>
          <t>판매관리비</t>
        </is>
      </c>
      <c r="B26" s="23" t="n"/>
      <c r="C26" s="24" t="n"/>
      <c r="D26" s="23" t="n"/>
      <c r="E26" s="23" t="n"/>
      <c r="F26" s="23" t="n"/>
      <c r="G26" s="23" t="n"/>
      <c r="H26" s="23" t="n"/>
      <c r="I26" s="23" t="n"/>
      <c r="J26" s="23" t="n"/>
      <c r="K26" s="23" t="n"/>
      <c r="L26" s="23" t="n"/>
      <c r="M26" s="23" t="n"/>
      <c r="N26" s="23" t="n"/>
      <c r="O26" s="24" t="n"/>
      <c r="P26" s="23" t="n"/>
      <c r="Q26" s="23" t="n"/>
      <c r="R26" s="23" t="n"/>
      <c r="S26" s="23" t="n"/>
      <c r="T26" s="23" t="n"/>
      <c r="U26" s="23" t="n"/>
      <c r="V26" s="23" t="n"/>
      <c r="W26" s="23" t="n"/>
      <c r="X26" s="23" t="n"/>
      <c r="Y26" s="24" t="n"/>
      <c r="Z26" s="23" t="n"/>
      <c r="AA26" s="23" t="n"/>
      <c r="AB26" s="23" t="n"/>
      <c r="AC26" s="23" t="n"/>
    </row>
    <row r="27">
      <c r="A27" s="18" t="inlineStr">
        <is>
          <t>전체 판관비</t>
        </is>
      </c>
      <c r="B27" s="10" t="n"/>
      <c r="C27" s="19" t="n">
        <v>98373</v>
      </c>
      <c r="D27" s="20" t="n">
        <v>119405</v>
      </c>
      <c r="E27" s="20" t="n">
        <v>115337</v>
      </c>
      <c r="F27" s="20" t="n">
        <v>125090</v>
      </c>
      <c r="G27" s="20" t="n">
        <v>112899</v>
      </c>
      <c r="H27" s="20" t="n">
        <v>125090</v>
      </c>
      <c r="I27" s="20" t="n">
        <v>130950</v>
      </c>
      <c r="J27" s="20" t="n">
        <v>121020</v>
      </c>
      <c r="K27" s="20" t="n">
        <v>129172</v>
      </c>
      <c r="L27" s="20" t="n">
        <v>140891</v>
      </c>
      <c r="M27" s="20" t="n">
        <v>152950</v>
      </c>
      <c r="N27" s="20" t="n">
        <v>153926</v>
      </c>
      <c r="O27" s="19" t="n"/>
      <c r="P27" s="20" t="n"/>
      <c r="Q27" s="20" t="n"/>
      <c r="R27" s="20" t="n"/>
      <c r="S27" s="20" t="n">
        <v>328217</v>
      </c>
      <c r="T27" s="20" t="n">
        <v>410568</v>
      </c>
      <c r="U27" s="20" t="n">
        <v>434803</v>
      </c>
      <c r="V27" s="20" t="n">
        <v>452520</v>
      </c>
      <c r="W27" s="20" t="n">
        <v>494029</v>
      </c>
      <c r="X27" s="20" t="n">
        <v>544033</v>
      </c>
      <c r="Y27" s="19" t="n"/>
      <c r="Z27" s="20" t="n"/>
      <c r="AA27" s="20" t="n"/>
      <c r="AB27" s="20" t="n"/>
      <c r="AC27" s="20" t="n"/>
    </row>
    <row r="28">
      <c r="A28" s="9" t="inlineStr">
        <is>
          <t>영업이익</t>
        </is>
      </c>
      <c r="B28" s="10" t="inlineStr">
        <is>
          <t>MW = 매출 × OPM</t>
        </is>
      </c>
      <c r="C28" s="11" t="n">
        <v>15348</v>
      </c>
      <c r="D28" s="12" t="n">
        <v>70200</v>
      </c>
      <c r="E28" s="12" t="n">
        <v>17145</v>
      </c>
      <c r="F28" s="12" t="n">
        <v>75791</v>
      </c>
      <c r="G28" s="12" t="n">
        <v>57511</v>
      </c>
      <c r="H28" s="12" t="n">
        <v>75791</v>
      </c>
      <c r="I28" s="12" t="n">
        <v>15099</v>
      </c>
      <c r="J28" s="12" t="n">
        <v>56419</v>
      </c>
      <c r="K28" s="12" t="n">
        <v>91208</v>
      </c>
      <c r="L28" s="12" t="n">
        <v>83110</v>
      </c>
      <c r="M28" s="12" t="n">
        <v>41678</v>
      </c>
      <c r="N28" s="12" t="n">
        <v>86310</v>
      </c>
      <c r="O28" s="11" t="n"/>
      <c r="P28" s="12" t="n"/>
      <c r="Q28" s="12" t="n"/>
      <c r="R28" s="12" t="n"/>
      <c r="S28" s="12" t="n">
        <v>111814</v>
      </c>
      <c r="T28" s="12" t="n">
        <v>166775</v>
      </c>
      <c r="U28" s="12" t="n">
        <v>168827</v>
      </c>
      <c r="V28" s="12" t="n">
        <v>172893</v>
      </c>
      <c r="W28" s="12" t="n">
        <v>224192</v>
      </c>
      <c r="X28" s="12" t="n">
        <v>272415</v>
      </c>
      <c r="Y28" s="11">
        <f>IF(OR(Y4="",Y29=""),"",IFERROR(Y4*Y29,""))</f>
        <v/>
      </c>
      <c r="Z28" s="12">
        <f>IF(OR(Z4="",Z29=""),"",IFERROR(Z4*Z29,""))</f>
        <v/>
      </c>
      <c r="AA28" s="12">
        <f>IF(OR(AA4="",AA29=""),"",IFERROR(AA4*AA29,""))</f>
        <v/>
      </c>
      <c r="AB28" s="12">
        <f>IF(OR(AB4="",AB29=""),"",IFERROR(AB4*AB29,""))</f>
        <v/>
      </c>
      <c r="AC28" s="12">
        <f>IF(OR(AC4="",AC29=""),"",IFERROR(AC4*AC29,""))</f>
        <v/>
      </c>
    </row>
    <row r="29">
      <c r="A29" s="13" t="inlineStr">
        <is>
          <t>OPM</t>
        </is>
      </c>
      <c r="B29" s="10" t="inlineStr">
        <is>
          <t>MW 입력</t>
        </is>
      </c>
      <c r="C29" s="14">
        <f>IF(OR(C28="",C4=""),"",IFERROR(C28/C4,""))</f>
        <v/>
      </c>
      <c r="D29" s="15">
        <f>IF(OR(D28="",D4=""),"",IFERROR(D28/D4,""))</f>
        <v/>
      </c>
      <c r="E29" s="15">
        <f>IF(OR(E28="",E4=""),"",IFERROR(E28/E4,""))</f>
        <v/>
      </c>
      <c r="F29" s="15">
        <f>IF(OR(F28="",F4=""),"",IFERROR(F28/F4,""))</f>
        <v/>
      </c>
      <c r="G29" s="15">
        <f>IF(OR(G28="",G4=""),"",IFERROR(G28/G4,""))</f>
        <v/>
      </c>
      <c r="H29" s="15">
        <f>IF(OR(H28="",H4=""),"",IFERROR(H28/H4,""))</f>
        <v/>
      </c>
      <c r="I29" s="15">
        <f>IF(OR(I28="",I4=""),"",IFERROR(I28/I4,""))</f>
        <v/>
      </c>
      <c r="J29" s="15">
        <f>IF(OR(J28="",J4=""),"",IFERROR(J28/J4,""))</f>
        <v/>
      </c>
      <c r="K29" s="15">
        <f>IF(OR(K28="",K4=""),"",IFERROR(K28/K4,""))</f>
        <v/>
      </c>
      <c r="L29" s="15">
        <f>IF(OR(L28="",L4=""),"",IFERROR(L28/L4,""))</f>
        <v/>
      </c>
      <c r="M29" s="15">
        <f>IF(OR(M28="",M4=""),"",IFERROR(M28/M4,""))</f>
        <v/>
      </c>
      <c r="N29" s="15">
        <f>IF(OR(N28="",N4=""),"",IFERROR(N28/N4,""))</f>
        <v/>
      </c>
      <c r="O29" s="14">
        <f>IF(OR(O28="",O4=""),"",IFERROR(O28/O4,""))</f>
        <v/>
      </c>
      <c r="P29" s="15">
        <f>IF(OR(P28="",P4=""),"",IFERROR(P28/P4,""))</f>
        <v/>
      </c>
      <c r="Q29" s="15">
        <f>IF(OR(Q28="",Q4=""),"",IFERROR(Q28/Q4,""))</f>
        <v/>
      </c>
      <c r="R29" s="15">
        <f>IF(OR(R28="",R4=""),"",IFERROR(R28/R4,""))</f>
        <v/>
      </c>
      <c r="S29" s="15">
        <f>IF(OR(S28="",S4=""),"",IFERROR(S28/S4,""))</f>
        <v/>
      </c>
      <c r="T29" s="15">
        <f>IF(OR(T28="",T4=""),"",IFERROR(T28/T4,""))</f>
        <v/>
      </c>
      <c r="U29" s="15">
        <f>IF(OR(U28="",U4=""),"",IFERROR(U28/U4,""))</f>
        <v/>
      </c>
      <c r="V29" s="15">
        <f>IF(OR(V28="",V4=""),"",IFERROR(V28/V4,""))</f>
        <v/>
      </c>
      <c r="W29" s="15">
        <f>IF(OR(W28="",W4=""),"",IFERROR(W28/W4,""))</f>
        <v/>
      </c>
      <c r="X29" s="15">
        <f>IF(OR(X28="",X4=""),"",IFERROR(X28/X4,""))</f>
        <v/>
      </c>
      <c r="Y29" s="25" t="n"/>
      <c r="Z29" s="26" t="n"/>
      <c r="AA29" s="26" t="n"/>
      <c r="AB29" s="26" t="n"/>
      <c r="AC29" s="26" t="n"/>
    </row>
    <row r="30">
      <c r="A30" s="13" t="inlineStr">
        <is>
          <t>증가율</t>
        </is>
      </c>
      <c r="B30" s="10" t="n"/>
      <c r="C30" s="14" t="n"/>
      <c r="D30" s="15" t="n"/>
      <c r="E30" s="15" t="n"/>
      <c r="F30" s="15" t="n"/>
      <c r="G30" s="15">
        <f>IF(OR(G28="",C28=""),"",IFERROR(G28/C28-1,""))</f>
        <v/>
      </c>
      <c r="H30" s="15">
        <f>IF(OR(H28="",D28=""),"",IFERROR(H28/D28-1,""))</f>
        <v/>
      </c>
      <c r="I30" s="15">
        <f>IF(OR(I28="",E28=""),"",IFERROR(I28/E28-1,""))</f>
        <v/>
      </c>
      <c r="J30" s="15">
        <f>IF(OR(J28="",F28=""),"",IFERROR(J28/F28-1,""))</f>
        <v/>
      </c>
      <c r="K30" s="15">
        <f>IF(OR(K28="",G28=""),"",IFERROR(K28/G28-1,""))</f>
        <v/>
      </c>
      <c r="L30" s="15">
        <f>IF(OR(L28="",H28=""),"",IFERROR(L28/H28-1,""))</f>
        <v/>
      </c>
      <c r="M30" s="15">
        <f>IF(OR(M28="",I28=""),"",IFERROR(M28/I28-1,""))</f>
        <v/>
      </c>
      <c r="N30" s="15">
        <f>IF(OR(N28="",J28=""),"",IFERROR(N28/J28-1,""))</f>
        <v/>
      </c>
      <c r="O30" s="14" t="n"/>
      <c r="P30" s="15">
        <f>IF(OR(P28="",O28=""),"",IFERROR(P28/O28-1,""))</f>
        <v/>
      </c>
      <c r="Q30" s="15">
        <f>IF(OR(Q28="",P28=""),"",IFERROR(Q28/P28-1,""))</f>
        <v/>
      </c>
      <c r="R30" s="15">
        <f>IF(OR(R28="",Q28=""),"",IFERROR(R28/Q28-1,""))</f>
        <v/>
      </c>
      <c r="S30" s="15">
        <f>IF(OR(S28="",R28=""),"",IFERROR(S28/R28-1,""))</f>
        <v/>
      </c>
      <c r="T30" s="15">
        <f>IF(OR(T28="",S28=""),"",IFERROR(T28/S28-1,""))</f>
        <v/>
      </c>
      <c r="U30" s="15">
        <f>IF(OR(U28="",T28=""),"",IFERROR(U28/T28-1,""))</f>
        <v/>
      </c>
      <c r="V30" s="15">
        <f>IF(OR(V28="",U28=""),"",IFERROR(V28/U28-1,""))</f>
        <v/>
      </c>
      <c r="W30" s="15">
        <f>IF(OR(W28="",V28=""),"",IFERROR(W28/V28-1,""))</f>
        <v/>
      </c>
      <c r="X30" s="15">
        <f>IF(OR(X28="",W28=""),"",IFERROR(X28/W28-1,""))</f>
        <v/>
      </c>
      <c r="Y30" s="14">
        <f>IF(OR(Y28="",X28=""),"",IFERROR(Y28/X28-1,""))</f>
        <v/>
      </c>
      <c r="Z30" s="15">
        <f>IF(OR(Z28="",Y28=""),"",IFERROR(Z28/Y28-1,""))</f>
        <v/>
      </c>
      <c r="AA30" s="15">
        <f>IF(OR(AA28="",Z28=""),"",IFERROR(AA28/Z28-1,""))</f>
        <v/>
      </c>
      <c r="AB30" s="15">
        <f>IF(OR(AB28="",AA28=""),"",IFERROR(AB28/AA28-1,""))</f>
        <v/>
      </c>
      <c r="AC30" s="15">
        <f>IF(OR(AC28="",AB28=""),"",IFERROR(AC28/AB28-1,""))</f>
        <v/>
      </c>
    </row>
    <row r="31">
      <c r="A31" s="16" t="inlineStr">
        <is>
          <t>비용의 성격별 분류</t>
        </is>
      </c>
      <c r="B31" s="16" t="inlineStr">
        <is>
          <t>참고 데이터</t>
        </is>
      </c>
      <c r="C31" s="17" t="n"/>
      <c r="D31" s="16" t="n"/>
      <c r="E31" s="16" t="n"/>
      <c r="F31" s="16" t="n"/>
      <c r="G31" s="16" t="n"/>
      <c r="H31" s="16" t="n"/>
      <c r="I31" s="16" t="n"/>
      <c r="J31" s="16" t="n"/>
      <c r="K31" s="16" t="n"/>
      <c r="L31" s="16" t="n"/>
      <c r="M31" s="16" t="n"/>
      <c r="N31" s="16" t="n"/>
      <c r="O31" s="17" t="n"/>
      <c r="P31" s="16" t="n"/>
      <c r="Q31" s="16" t="n"/>
      <c r="R31" s="16" t="n"/>
      <c r="S31" s="16" t="n"/>
      <c r="T31" s="16" t="n"/>
      <c r="U31" s="16" t="n"/>
      <c r="V31" s="16" t="n"/>
      <c r="W31" s="16" t="n"/>
      <c r="X31" s="16" t="n"/>
      <c r="Y31" s="17" t="n"/>
      <c r="Z31" s="16" t="n"/>
      <c r="AA31" s="16" t="n"/>
      <c r="AB31" s="16" t="n"/>
      <c r="AC31" s="16" t="n"/>
    </row>
    <row r="32">
      <c r="A32" s="9" t="inlineStr">
        <is>
          <t>총 판관비</t>
        </is>
      </c>
      <c r="B32" s="10" t="n"/>
      <c r="C32" s="11" t="n"/>
      <c r="D32" s="12" t="n"/>
      <c r="E32" s="12" t="n"/>
      <c r="F32" s="12" t="n"/>
      <c r="G32" s="12" t="n"/>
      <c r="H32" s="12" t="n"/>
      <c r="I32" s="12" t="n"/>
      <c r="J32" s="12" t="n"/>
      <c r="K32" s="12" t="n"/>
      <c r="L32" s="12" t="n"/>
      <c r="M32" s="12" t="n"/>
      <c r="N32" s="12" t="n"/>
      <c r="O32" s="11">
        <f>IF(O27="","",O27)</f>
        <v/>
      </c>
      <c r="P32" s="12">
        <f>IF(P27="","",P27)</f>
        <v/>
      </c>
      <c r="Q32" s="12">
        <f>IF(Q27="","",Q27)</f>
        <v/>
      </c>
      <c r="R32" s="12">
        <f>IF(R27="","",R27)</f>
        <v/>
      </c>
      <c r="S32" s="12">
        <f>IF(S27="","",S27)</f>
        <v/>
      </c>
      <c r="T32" s="12">
        <f>IF(T27="","",T27)</f>
        <v/>
      </c>
      <c r="U32" s="12">
        <f>IF(U27="","",U27)</f>
        <v/>
      </c>
      <c r="V32" s="12">
        <f>IF(V27="","",V27)</f>
        <v/>
      </c>
      <c r="W32" s="12">
        <f>IF(W27="","",W27)</f>
        <v/>
      </c>
      <c r="X32" s="12">
        <f>IF(X27="","",X27)</f>
        <v/>
      </c>
      <c r="Y32" s="11" t="n"/>
      <c r="Z32" s="12" t="n"/>
      <c r="AA32" s="12" t="n"/>
      <c r="AB32" s="12" t="n"/>
      <c r="AC32" s="12" t="n"/>
    </row>
    <row r="33">
      <c r="A33" s="18" t="inlineStr">
        <is>
          <t>급여</t>
        </is>
      </c>
      <c r="B33" s="10" t="inlineStr">
        <is>
          <t>고정비</t>
        </is>
      </c>
      <c r="C33" s="19" t="n"/>
      <c r="D33" s="20" t="n"/>
      <c r="E33" s="20" t="n"/>
      <c r="F33" s="20" t="n"/>
      <c r="G33" s="20" t="n"/>
      <c r="H33" s="20" t="n"/>
      <c r="I33" s="20" t="n"/>
      <c r="J33" s="20" t="n"/>
      <c r="K33" s="20" t="n"/>
      <c r="L33" s="20" t="n"/>
      <c r="M33" s="20" t="n"/>
      <c r="N33" s="20" t="n"/>
      <c r="O33" s="19" t="n"/>
      <c r="P33" s="20" t="n"/>
      <c r="Q33" s="20" t="n"/>
      <c r="R33" s="20" t="n"/>
      <c r="S33" s="20" t="n"/>
      <c r="T33" s="20" t="n"/>
      <c r="U33" s="20" t="n"/>
      <c r="V33" s="20" t="n"/>
      <c r="W33" s="20" t="n"/>
      <c r="X33" s="20" t="n"/>
      <c r="Y33" s="19" t="n"/>
      <c r="Z33" s="20" t="n"/>
      <c r="AA33" s="20" t="n"/>
      <c r="AB33" s="20" t="n"/>
      <c r="AC33" s="20" t="n"/>
    </row>
    <row r="34">
      <c r="A34" s="13" t="inlineStr">
        <is>
          <t>% of Sales</t>
        </is>
      </c>
      <c r="B34" s="10" t="n"/>
      <c r="C34" s="14" t="n"/>
      <c r="D34" s="15" t="n"/>
      <c r="E34" s="15" t="n"/>
      <c r="F34" s="15" t="n"/>
      <c r="G34" s="15" t="n"/>
      <c r="H34" s="15" t="n"/>
      <c r="I34" s="15" t="n"/>
      <c r="J34" s="15" t="n"/>
      <c r="K34" s="15" t="n"/>
      <c r="L34" s="15" t="n"/>
      <c r="M34" s="15" t="n"/>
      <c r="N34" s="15" t="n"/>
      <c r="O34" s="14">
        <f>IF(OR(O33="",O4=""),"",IFERROR(O33/O4,""))</f>
        <v/>
      </c>
      <c r="P34" s="15">
        <f>IF(OR(P33="",P4=""),"",IFERROR(P33/P4,""))</f>
        <v/>
      </c>
      <c r="Q34" s="15">
        <f>IF(OR(Q33="",Q4=""),"",IFERROR(Q33/Q4,""))</f>
        <v/>
      </c>
      <c r="R34" s="15">
        <f>IF(OR(R33="",R4=""),"",IFERROR(R33/R4,""))</f>
        <v/>
      </c>
      <c r="S34" s="15">
        <f>IF(OR(S33="",S4=""),"",IFERROR(S33/S4,""))</f>
        <v/>
      </c>
      <c r="T34" s="15">
        <f>IF(OR(T33="",T4=""),"",IFERROR(T33/T4,""))</f>
        <v/>
      </c>
      <c r="U34" s="15">
        <f>IF(OR(U33="",U4=""),"",IFERROR(U33/U4,""))</f>
        <v/>
      </c>
      <c r="V34" s="15">
        <f>IF(OR(V33="",V4=""),"",IFERROR(V33/V4,""))</f>
        <v/>
      </c>
      <c r="W34" s="15">
        <f>IF(OR(W33="",W4=""),"",IFERROR(W33/W4,""))</f>
        <v/>
      </c>
      <c r="X34" s="15">
        <f>IF(OR(X33="",X4=""),"",IFERROR(X33/X4,""))</f>
        <v/>
      </c>
      <c r="Y34" s="14" t="n"/>
      <c r="Z34" s="15" t="n"/>
      <c r="AA34" s="15" t="n"/>
      <c r="AB34" s="15" t="n"/>
      <c r="AC34" s="15" t="n"/>
    </row>
    <row r="35">
      <c r="A35" s="18" t="inlineStr">
        <is>
          <t>감가상각비</t>
        </is>
      </c>
      <c r="B35" s="10" t="inlineStr">
        <is>
          <t>고정비</t>
        </is>
      </c>
      <c r="C35" s="19" t="n"/>
      <c r="D35" s="20" t="n"/>
      <c r="E35" s="20" t="n"/>
      <c r="F35" s="20" t="n"/>
      <c r="G35" s="20" t="n"/>
      <c r="H35" s="20" t="n"/>
      <c r="I35" s="20" t="n"/>
      <c r="J35" s="20" t="n"/>
      <c r="K35" s="20" t="n"/>
      <c r="L35" s="20" t="n"/>
      <c r="M35" s="20" t="n"/>
      <c r="N35" s="20" t="n"/>
      <c r="O35" s="19" t="n"/>
      <c r="P35" s="20" t="n"/>
      <c r="Q35" s="20" t="n"/>
      <c r="R35" s="20" t="n"/>
      <c r="S35" s="20" t="n"/>
      <c r="T35" s="20" t="n"/>
      <c r="U35" s="20" t="n"/>
      <c r="V35" s="20" t="n"/>
      <c r="W35" s="20" t="n"/>
      <c r="X35" s="20" t="n"/>
      <c r="Y35" s="19" t="n"/>
      <c r="Z35" s="20" t="n"/>
      <c r="AA35" s="20" t="n"/>
      <c r="AB35" s="20" t="n"/>
      <c r="AC35" s="20" t="n"/>
    </row>
    <row r="36">
      <c r="A36" s="13" t="inlineStr">
        <is>
          <t>% of Sales</t>
        </is>
      </c>
      <c r="B36" s="10" t="n"/>
      <c r="C36" s="14" t="n"/>
      <c r="D36" s="15" t="n"/>
      <c r="E36" s="15" t="n"/>
      <c r="F36" s="15" t="n"/>
      <c r="G36" s="15" t="n"/>
      <c r="H36" s="15" t="n"/>
      <c r="I36" s="15" t="n"/>
      <c r="J36" s="15" t="n"/>
      <c r="K36" s="15" t="n"/>
      <c r="L36" s="15" t="n"/>
      <c r="M36" s="15" t="n"/>
      <c r="N36" s="15" t="n"/>
      <c r="O36" s="14">
        <f>IF(OR(O35="",O4=""),"",IFERROR(O35/O4,""))</f>
        <v/>
      </c>
      <c r="P36" s="15">
        <f>IF(OR(P35="",P4=""),"",IFERROR(P35/P4,""))</f>
        <v/>
      </c>
      <c r="Q36" s="15">
        <f>IF(OR(Q35="",Q4=""),"",IFERROR(Q35/Q4,""))</f>
        <v/>
      </c>
      <c r="R36" s="15">
        <f>IF(OR(R35="",R4=""),"",IFERROR(R35/R4,""))</f>
        <v/>
      </c>
      <c r="S36" s="15">
        <f>IF(OR(S35="",S4=""),"",IFERROR(S35/S4,""))</f>
        <v/>
      </c>
      <c r="T36" s="15">
        <f>IF(OR(T35="",T4=""),"",IFERROR(T35/T4,""))</f>
        <v/>
      </c>
      <c r="U36" s="15">
        <f>IF(OR(U35="",U4=""),"",IFERROR(U35/U4,""))</f>
        <v/>
      </c>
      <c r="V36" s="15">
        <f>IF(OR(V35="",V4=""),"",IFERROR(V35/V4,""))</f>
        <v/>
      </c>
      <c r="W36" s="15">
        <f>IF(OR(W35="",W4=""),"",IFERROR(W35/W4,""))</f>
        <v/>
      </c>
      <c r="X36" s="15">
        <f>IF(OR(X35="",X4=""),"",IFERROR(X35/X4,""))</f>
        <v/>
      </c>
      <c r="Y36" s="14" t="n"/>
      <c r="Z36" s="15" t="n"/>
      <c r="AA36" s="15" t="n"/>
      <c r="AB36" s="15" t="n"/>
      <c r="AC36" s="15" t="n"/>
    </row>
    <row r="37">
      <c r="A37" s="18" t="inlineStr">
        <is>
          <t>지급수수료</t>
        </is>
      </c>
      <c r="B37" s="10" t="inlineStr">
        <is>
          <t>고정비</t>
        </is>
      </c>
      <c r="C37" s="19" t="n"/>
      <c r="D37" s="20" t="n"/>
      <c r="E37" s="20" t="n"/>
      <c r="F37" s="20" t="n"/>
      <c r="G37" s="20" t="n"/>
      <c r="H37" s="20" t="n"/>
      <c r="I37" s="20" t="n"/>
      <c r="J37" s="20" t="n"/>
      <c r="K37" s="20" t="n"/>
      <c r="L37" s="20" t="n"/>
      <c r="M37" s="20" t="n"/>
      <c r="N37" s="20" t="n"/>
      <c r="O37" s="19" t="n"/>
      <c r="P37" s="20" t="n"/>
      <c r="Q37" s="20" t="n"/>
      <c r="R37" s="20" t="n"/>
      <c r="S37" s="20" t="n"/>
      <c r="T37" s="20" t="n"/>
      <c r="U37" s="20" t="n"/>
      <c r="V37" s="20" t="n"/>
      <c r="W37" s="20" t="n"/>
      <c r="X37" s="20" t="n"/>
      <c r="Y37" s="19" t="n"/>
      <c r="Z37" s="20" t="n"/>
      <c r="AA37" s="20" t="n"/>
      <c r="AB37" s="20" t="n"/>
      <c r="AC37" s="20" t="n"/>
    </row>
    <row r="38">
      <c r="A38" s="13" t="inlineStr">
        <is>
          <t>% of Sales</t>
        </is>
      </c>
      <c r="B38" s="10" t="n"/>
      <c r="C38" s="14" t="n"/>
      <c r="D38" s="15" t="n"/>
      <c r="E38" s="15" t="n"/>
      <c r="F38" s="15" t="n"/>
      <c r="G38" s="15" t="n"/>
      <c r="H38" s="15" t="n"/>
      <c r="I38" s="15" t="n"/>
      <c r="J38" s="15" t="n"/>
      <c r="K38" s="15" t="n"/>
      <c r="L38" s="15" t="n"/>
      <c r="M38" s="15" t="n"/>
      <c r="N38" s="15" t="n"/>
      <c r="O38" s="14">
        <f>IF(OR(O37="",O4=""),"",IFERROR(O37/O4,""))</f>
        <v/>
      </c>
      <c r="P38" s="15">
        <f>IF(OR(P37="",P4=""),"",IFERROR(P37/P4,""))</f>
        <v/>
      </c>
      <c r="Q38" s="15">
        <f>IF(OR(Q37="",Q4=""),"",IFERROR(Q37/Q4,""))</f>
        <v/>
      </c>
      <c r="R38" s="15">
        <f>IF(OR(R37="",R4=""),"",IFERROR(R37/R4,""))</f>
        <v/>
      </c>
      <c r="S38" s="15">
        <f>IF(OR(S37="",S4=""),"",IFERROR(S37/S4,""))</f>
        <v/>
      </c>
      <c r="T38" s="15">
        <f>IF(OR(T37="",T4=""),"",IFERROR(T37/T4,""))</f>
        <v/>
      </c>
      <c r="U38" s="15">
        <f>IF(OR(U37="",U4=""),"",IFERROR(U37/U4,""))</f>
        <v/>
      </c>
      <c r="V38" s="15">
        <f>IF(OR(V37="",V4=""),"",IFERROR(V37/V4,""))</f>
        <v/>
      </c>
      <c r="W38" s="15">
        <f>IF(OR(W37="",W4=""),"",IFERROR(W37/W4,""))</f>
        <v/>
      </c>
      <c r="X38" s="15">
        <f>IF(OR(X37="",X4=""),"",IFERROR(X37/X4,""))</f>
        <v/>
      </c>
      <c r="Y38" s="14" t="n"/>
      <c r="Z38" s="15" t="n"/>
      <c r="AA38" s="15" t="n"/>
      <c r="AB38" s="15" t="n"/>
      <c r="AC38" s="15" t="n"/>
    </row>
    <row r="39">
      <c r="A39" s="18" t="inlineStr">
        <is>
          <t>연구개발비</t>
        </is>
      </c>
      <c r="B39" s="10" t="inlineStr">
        <is>
          <t>변동비</t>
        </is>
      </c>
      <c r="C39" s="19" t="n"/>
      <c r="D39" s="20" t="n"/>
      <c r="E39" s="20" t="n"/>
      <c r="F39" s="20" t="n"/>
      <c r="G39" s="20" t="n"/>
      <c r="H39" s="20" t="n"/>
      <c r="I39" s="20" t="n"/>
      <c r="J39" s="20" t="n"/>
      <c r="K39" s="20" t="n"/>
      <c r="L39" s="20" t="n"/>
      <c r="M39" s="20" t="n"/>
      <c r="N39" s="20" t="n"/>
      <c r="O39" s="19" t="n"/>
      <c r="P39" s="20" t="n"/>
      <c r="Q39" s="20" t="n"/>
      <c r="R39" s="20" t="n"/>
      <c r="S39" s="20" t="n"/>
      <c r="T39" s="20" t="n"/>
      <c r="U39" s="20" t="n"/>
      <c r="V39" s="20" t="n"/>
      <c r="W39" s="20" t="n"/>
      <c r="X39" s="20" t="n"/>
      <c r="Y39" s="19" t="n"/>
      <c r="Z39" s="20" t="n"/>
      <c r="AA39" s="20" t="n"/>
      <c r="AB39" s="20" t="n"/>
      <c r="AC39" s="20" t="n"/>
    </row>
    <row r="40">
      <c r="A40" s="13" t="inlineStr">
        <is>
          <t>% of Sales</t>
        </is>
      </c>
      <c r="B40" s="10" t="n"/>
      <c r="C40" s="14" t="n"/>
      <c r="D40" s="15" t="n"/>
      <c r="E40" s="15" t="n"/>
      <c r="F40" s="15" t="n"/>
      <c r="G40" s="15" t="n"/>
      <c r="H40" s="15" t="n"/>
      <c r="I40" s="15" t="n"/>
      <c r="J40" s="15" t="n"/>
      <c r="K40" s="15" t="n"/>
      <c r="L40" s="15" t="n"/>
      <c r="M40" s="15" t="n"/>
      <c r="N40" s="15" t="n"/>
      <c r="O40" s="14">
        <f>IF(OR(O39="",O4=""),"",IFERROR(O39/O4,""))</f>
        <v/>
      </c>
      <c r="P40" s="15">
        <f>IF(OR(P39="",P4=""),"",IFERROR(P39/P4,""))</f>
        <v/>
      </c>
      <c r="Q40" s="15">
        <f>IF(OR(Q39="",Q4=""),"",IFERROR(Q39/Q4,""))</f>
        <v/>
      </c>
      <c r="R40" s="15">
        <f>IF(OR(R39="",R4=""),"",IFERROR(R39/R4,""))</f>
        <v/>
      </c>
      <c r="S40" s="15">
        <f>IF(OR(S39="",S4=""),"",IFERROR(S39/S4,""))</f>
        <v/>
      </c>
      <c r="T40" s="15">
        <f>IF(OR(T39="",T4=""),"",IFERROR(T39/T4,""))</f>
        <v/>
      </c>
      <c r="U40" s="15">
        <f>IF(OR(U39="",U4=""),"",IFERROR(U39/U4,""))</f>
        <v/>
      </c>
      <c r="V40" s="15">
        <f>IF(OR(V39="",V4=""),"",IFERROR(V39/V4,""))</f>
        <v/>
      </c>
      <c r="W40" s="15">
        <f>IF(OR(W39="",W4=""),"",IFERROR(W39/W4,""))</f>
        <v/>
      </c>
      <c r="X40" s="15">
        <f>IF(OR(X39="",X4=""),"",IFERROR(X39/X4,""))</f>
        <v/>
      </c>
      <c r="Y40" s="14" t="n"/>
      <c r="Z40" s="15" t="n"/>
      <c r="AA40" s="15" t="n"/>
      <c r="AB40" s="15" t="n"/>
      <c r="AC40" s="15" t="n"/>
    </row>
    <row r="41">
      <c r="A41" s="18" t="inlineStr">
        <is>
          <t>기타비용</t>
        </is>
      </c>
      <c r="B41" s="10" t="inlineStr">
        <is>
          <t>변동비</t>
        </is>
      </c>
      <c r="C41" s="19" t="n"/>
      <c r="D41" s="20" t="n"/>
      <c r="E41" s="20" t="n"/>
      <c r="F41" s="20" t="n"/>
      <c r="G41" s="20" t="n"/>
      <c r="H41" s="20" t="n"/>
      <c r="I41" s="20" t="n"/>
      <c r="J41" s="20" t="n"/>
      <c r="K41" s="20" t="n"/>
      <c r="L41" s="20" t="n"/>
      <c r="M41" s="20" t="n"/>
      <c r="N41" s="20" t="n"/>
      <c r="O41" s="19">
        <f>IF(OR(O32="",O33="",O35="",O37="",O39=""),"",IFERROR(O32-O33-O35-O37-O39,""))</f>
        <v/>
      </c>
      <c r="P41" s="20">
        <f>IF(OR(P32="",P33="",P35="",P37="",P39=""),"",IFERROR(P32-P33-P35-P37-P39,""))</f>
        <v/>
      </c>
      <c r="Q41" s="20">
        <f>IF(OR(Q32="",Q33="",Q35="",Q37="",Q39=""),"",IFERROR(Q32-Q33-Q35-Q37-Q39,""))</f>
        <v/>
      </c>
      <c r="R41" s="20">
        <f>IF(OR(R32="",R33="",R35="",R37="",R39=""),"",IFERROR(R32-R33-R35-R37-R39,""))</f>
        <v/>
      </c>
      <c r="S41" s="20">
        <f>IF(OR(S32="",S33="",S35="",S37="",S39=""),"",IFERROR(S32-S33-S35-S37-S39,""))</f>
        <v/>
      </c>
      <c r="T41" s="20">
        <f>IF(OR(T32="",T33="",T35="",T37="",T39=""),"",IFERROR(T32-T33-T35-T37-T39,""))</f>
        <v/>
      </c>
      <c r="U41" s="20">
        <f>IF(OR(U32="",U33="",U35="",U37="",U39=""),"",IFERROR(U32-U33-U35-U37-U39,""))</f>
        <v/>
      </c>
      <c r="V41" s="20">
        <f>IF(OR(V32="",V33="",V35="",V37="",V39=""),"",IFERROR(V32-V33-V35-V37-V39,""))</f>
        <v/>
      </c>
      <c r="W41" s="20">
        <f>IF(OR(W32="",W33="",W35="",W37="",W39=""),"",IFERROR(W32-W33-W35-W37-W39,""))</f>
        <v/>
      </c>
      <c r="X41" s="20">
        <f>IF(OR(X32="",X33="",X35="",X37="",X39=""),"",IFERROR(X32-X33-X35-X37-X39,""))</f>
        <v/>
      </c>
      <c r="Y41" s="19" t="n"/>
      <c r="Z41" s="20" t="n"/>
      <c r="AA41" s="20" t="n"/>
      <c r="AB41" s="20" t="n"/>
      <c r="AC41" s="20" t="n"/>
    </row>
    <row r="42">
      <c r="A42" s="13" t="inlineStr">
        <is>
          <t>% of Sales</t>
        </is>
      </c>
      <c r="B42" s="10" t="n"/>
      <c r="C42" s="14" t="n"/>
      <c r="D42" s="15" t="n"/>
      <c r="E42" s="15" t="n"/>
      <c r="F42" s="15" t="n"/>
      <c r="G42" s="15" t="n"/>
      <c r="H42" s="15" t="n"/>
      <c r="I42" s="15" t="n"/>
      <c r="J42" s="15" t="n"/>
      <c r="K42" s="15" t="n"/>
      <c r="L42" s="15" t="n"/>
      <c r="M42" s="15" t="n"/>
      <c r="N42" s="15" t="n"/>
      <c r="O42" s="14">
        <f>IF(OR(O41="",O4=""),"",IFERROR(O41/O4,""))</f>
        <v/>
      </c>
      <c r="P42" s="15">
        <f>IF(OR(P41="",P4=""),"",IFERROR(P41/P4,""))</f>
        <v/>
      </c>
      <c r="Q42" s="15">
        <f>IF(OR(Q41="",Q4=""),"",IFERROR(Q41/Q4,""))</f>
        <v/>
      </c>
      <c r="R42" s="15">
        <f>IF(OR(R41="",R4=""),"",IFERROR(R41/R4,""))</f>
        <v/>
      </c>
      <c r="S42" s="15">
        <f>IF(OR(S41="",S4=""),"",IFERROR(S41/S4,""))</f>
        <v/>
      </c>
      <c r="T42" s="15">
        <f>IF(OR(T41="",T4=""),"",IFERROR(T41/T4,""))</f>
        <v/>
      </c>
      <c r="U42" s="15">
        <f>IF(OR(U41="",U4=""),"",IFERROR(U41/U4,""))</f>
        <v/>
      </c>
      <c r="V42" s="15">
        <f>IF(OR(V41="",V4=""),"",IFERROR(V41/V4,""))</f>
        <v/>
      </c>
      <c r="W42" s="15">
        <f>IF(OR(W41="",W4=""),"",IFERROR(W41/W4,""))</f>
        <v/>
      </c>
      <c r="X42" s="15">
        <f>IF(OR(X41="",X4=""),"",IFERROR(X41/X4,""))</f>
        <v/>
      </c>
      <c r="Y42" s="14" t="n"/>
      <c r="Z42" s="15" t="n"/>
      <c r="AA42" s="15" t="n"/>
      <c r="AB42" s="15" t="n"/>
      <c r="AC42" s="15" t="n"/>
    </row>
    <row r="43">
      <c r="A43" s="16" t="inlineStr">
        <is>
          <t>당기순이익 추정</t>
        </is>
      </c>
      <c r="B43" s="16" t="n"/>
      <c r="C43" s="17" t="n"/>
      <c r="D43" s="16" t="n"/>
      <c r="E43" s="16" t="n"/>
      <c r="F43" s="16" t="n"/>
      <c r="G43" s="16" t="n"/>
      <c r="H43" s="16" t="n"/>
      <c r="I43" s="16" t="n"/>
      <c r="J43" s="16" t="n"/>
      <c r="K43" s="16" t="n"/>
      <c r="L43" s="16" t="n"/>
      <c r="M43" s="16" t="n"/>
      <c r="N43" s="16" t="n"/>
      <c r="O43" s="17" t="n"/>
      <c r="P43" s="16" t="n"/>
      <c r="Q43" s="16" t="n"/>
      <c r="R43" s="16" t="n"/>
      <c r="S43" s="16" t="n"/>
      <c r="T43" s="16" t="n"/>
      <c r="U43" s="16" t="n"/>
      <c r="V43" s="16" t="n"/>
      <c r="W43" s="16" t="n"/>
      <c r="X43" s="16" t="n"/>
      <c r="Y43" s="17" t="n"/>
      <c r="Z43" s="16" t="n"/>
      <c r="AA43" s="16" t="n"/>
      <c r="AB43" s="16" t="n"/>
      <c r="AC43" s="16" t="n"/>
    </row>
    <row r="44">
      <c r="A44" s="18" t="inlineStr">
        <is>
          <t>기타이익</t>
        </is>
      </c>
      <c r="B44" s="10" t="n"/>
      <c r="C44" s="19" t="n"/>
      <c r="D44" s="20" t="n"/>
      <c r="E44" s="20" t="n"/>
      <c r="F44" s="20" t="n"/>
      <c r="G44" s="20" t="n"/>
      <c r="H44" s="20" t="n"/>
      <c r="I44" s="20" t="n"/>
      <c r="J44" s="20" t="n"/>
      <c r="K44" s="20" t="n"/>
      <c r="L44" s="20" t="n"/>
      <c r="M44" s="20" t="n"/>
      <c r="N44" s="20" t="n"/>
      <c r="O44" s="19" t="n"/>
      <c r="P44" s="20" t="n"/>
      <c r="Q44" s="20" t="n"/>
      <c r="R44" s="20" t="n"/>
      <c r="S44" s="20" t="n"/>
      <c r="T44" s="20" t="n"/>
      <c r="U44" s="20" t="n"/>
      <c r="V44" s="20" t="n"/>
      <c r="W44" s="20" t="n"/>
      <c r="X44" s="20" t="n"/>
      <c r="Y44" s="19">
        <f>IF(OR(Y4="",Y45=""),"",IFERROR(Y4*Y45,""))</f>
        <v/>
      </c>
      <c r="Z44" s="20">
        <f>IF(OR(Z4="",Z45=""),"",IFERROR(Z4*Z45,""))</f>
        <v/>
      </c>
      <c r="AA44" s="20">
        <f>IF(OR(AA4="",AA45=""),"",IFERROR(AA4*AA45,""))</f>
        <v/>
      </c>
      <c r="AB44" s="20">
        <f>IF(OR(AB4="",AB45=""),"",IFERROR(AB4*AB45,""))</f>
        <v/>
      </c>
      <c r="AC44" s="20">
        <f>IF(OR(AC4="",AC45=""),"",IFERROR(AC4*AC45,""))</f>
        <v/>
      </c>
    </row>
    <row r="45">
      <c r="A45" s="13" t="inlineStr">
        <is>
          <t>% of Sales</t>
        </is>
      </c>
      <c r="B45" s="10" t="inlineStr">
        <is>
          <t>MW = 최근 3년 평균</t>
        </is>
      </c>
      <c r="C45" s="14">
        <f>IF(OR(C44="",C4=""),"",IFERROR(C44/C4,""))</f>
        <v/>
      </c>
      <c r="D45" s="15">
        <f>IF(OR(D44="",D4=""),"",IFERROR(D44/D4,""))</f>
        <v/>
      </c>
      <c r="E45" s="15">
        <f>IF(OR(E44="",E4=""),"",IFERROR(E44/E4,""))</f>
        <v/>
      </c>
      <c r="F45" s="15">
        <f>IF(OR(F44="",F4=""),"",IFERROR(F44/F4,""))</f>
        <v/>
      </c>
      <c r="G45" s="15">
        <f>IF(OR(G44="",G4=""),"",IFERROR(G44/G4,""))</f>
        <v/>
      </c>
      <c r="H45" s="15">
        <f>IF(OR(H44="",H4=""),"",IFERROR(H44/H4,""))</f>
        <v/>
      </c>
      <c r="I45" s="15">
        <f>IF(OR(I44="",I4=""),"",IFERROR(I44/I4,""))</f>
        <v/>
      </c>
      <c r="J45" s="15">
        <f>IF(OR(J44="",J4=""),"",IFERROR(J44/J4,""))</f>
        <v/>
      </c>
      <c r="K45" s="15">
        <f>IF(OR(K44="",K4=""),"",IFERROR(K44/K4,""))</f>
        <v/>
      </c>
      <c r="L45" s="15">
        <f>IF(OR(L44="",L4=""),"",IFERROR(L44/L4,""))</f>
        <v/>
      </c>
      <c r="M45" s="15">
        <f>IF(OR(M44="",M4=""),"",IFERROR(M44/M4,""))</f>
        <v/>
      </c>
      <c r="N45" s="15">
        <f>IF(OR(N44="",N4=""),"",IFERROR(N44/N4,""))</f>
        <v/>
      </c>
      <c r="O45" s="14">
        <f>IF(OR(O44="",O4=""),"",IFERROR(O44/O4,""))</f>
        <v/>
      </c>
      <c r="P45" s="15">
        <f>IF(OR(P44="",P4=""),"",IFERROR(P44/P4,""))</f>
        <v/>
      </c>
      <c r="Q45" s="15">
        <f>IF(OR(Q44="",Q4=""),"",IFERROR(Q44/Q4,""))</f>
        <v/>
      </c>
      <c r="R45" s="15">
        <f>IF(OR(R44="",R4=""),"",IFERROR(R44/R4,""))</f>
        <v/>
      </c>
      <c r="S45" s="15">
        <f>IF(OR(S44="",S4=""),"",IFERROR(S44/S4,""))</f>
        <v/>
      </c>
      <c r="T45" s="15">
        <f>IF(OR(T44="",T4=""),"",IFERROR(T44/T4,""))</f>
        <v/>
      </c>
      <c r="U45" s="15">
        <f>IF(OR(U44="",U4=""),"",IFERROR(U44/U4,""))</f>
        <v/>
      </c>
      <c r="V45" s="15">
        <f>IF(OR(V44="",V4=""),"",IFERROR(V44/V4,""))</f>
        <v/>
      </c>
      <c r="W45" s="15">
        <f>IF(OR(W44="",W4=""),"",IFERROR(W44/W4,""))</f>
        <v/>
      </c>
      <c r="X45" s="15">
        <f>IF(OR(X44="",X4=""),"",IFERROR(X44/X4,""))</f>
        <v/>
      </c>
      <c r="Y45" s="25">
        <f>IFERROR(AVERAGE(V45,W45,X45),"")</f>
        <v/>
      </c>
      <c r="Z45" s="26">
        <f>Y45</f>
        <v/>
      </c>
      <c r="AA45" s="26">
        <f>Z45</f>
        <v/>
      </c>
      <c r="AB45" s="26">
        <f>AA45</f>
        <v/>
      </c>
      <c r="AC45" s="26">
        <f>AB45</f>
        <v/>
      </c>
    </row>
    <row r="46">
      <c r="A46" s="18" t="inlineStr">
        <is>
          <t>기타손실</t>
        </is>
      </c>
      <c r="B46" s="10" t="n"/>
      <c r="C46" s="19" t="n"/>
      <c r="D46" s="20" t="n"/>
      <c r="E46" s="20" t="n"/>
      <c r="F46" s="20" t="n"/>
      <c r="G46" s="20" t="n"/>
      <c r="H46" s="20" t="n"/>
      <c r="I46" s="20" t="n"/>
      <c r="J46" s="20" t="n"/>
      <c r="K46" s="20" t="n"/>
      <c r="L46" s="20" t="n"/>
      <c r="M46" s="20" t="n"/>
      <c r="N46" s="20" t="n"/>
      <c r="O46" s="19" t="n"/>
      <c r="P46" s="20" t="n"/>
      <c r="Q46" s="20" t="n"/>
      <c r="R46" s="20" t="n"/>
      <c r="S46" s="20" t="n"/>
      <c r="T46" s="20" t="n"/>
      <c r="U46" s="20" t="n"/>
      <c r="V46" s="20" t="n"/>
      <c r="W46" s="20" t="n"/>
      <c r="X46" s="20" t="n"/>
      <c r="Y46" s="19">
        <f>IF(OR(Y4="",Y47=""),"",IFERROR(Y4*Y47,""))</f>
        <v/>
      </c>
      <c r="Z46" s="20">
        <f>IF(OR(Z4="",Z47=""),"",IFERROR(Z4*Z47,""))</f>
        <v/>
      </c>
      <c r="AA46" s="20">
        <f>IF(OR(AA4="",AA47=""),"",IFERROR(AA4*AA47,""))</f>
        <v/>
      </c>
      <c r="AB46" s="20">
        <f>IF(OR(AB4="",AB47=""),"",IFERROR(AB4*AB47,""))</f>
        <v/>
      </c>
      <c r="AC46" s="20">
        <f>IF(OR(AC4="",AC47=""),"",IFERROR(AC4*AC47,""))</f>
        <v/>
      </c>
    </row>
    <row r="47">
      <c r="A47" s="13" t="inlineStr">
        <is>
          <t>% of Sales</t>
        </is>
      </c>
      <c r="B47" s="10" t="n"/>
      <c r="C47" s="14">
        <f>IF(OR(C46="",C4=""),"",IFERROR(C46/C4,""))</f>
        <v/>
      </c>
      <c r="D47" s="15">
        <f>IF(OR(D46="",D4=""),"",IFERROR(D46/D4,""))</f>
        <v/>
      </c>
      <c r="E47" s="15">
        <f>IF(OR(E46="",E4=""),"",IFERROR(E46/E4,""))</f>
        <v/>
      </c>
      <c r="F47" s="15">
        <f>IF(OR(F46="",F4=""),"",IFERROR(F46/F4,""))</f>
        <v/>
      </c>
      <c r="G47" s="15">
        <f>IF(OR(G46="",G4=""),"",IFERROR(G46/G4,""))</f>
        <v/>
      </c>
      <c r="H47" s="15">
        <f>IF(OR(H46="",H4=""),"",IFERROR(H46/H4,""))</f>
        <v/>
      </c>
      <c r="I47" s="15">
        <f>IF(OR(I46="",I4=""),"",IFERROR(I46/I4,""))</f>
        <v/>
      </c>
      <c r="J47" s="15">
        <f>IF(OR(J46="",J4=""),"",IFERROR(J46/J4,""))</f>
        <v/>
      </c>
      <c r="K47" s="15">
        <f>IF(OR(K46="",K4=""),"",IFERROR(K46/K4,""))</f>
        <v/>
      </c>
      <c r="L47" s="15">
        <f>IF(OR(L46="",L4=""),"",IFERROR(L46/L4,""))</f>
        <v/>
      </c>
      <c r="M47" s="15">
        <f>IF(OR(M46="",M4=""),"",IFERROR(M46/M4,""))</f>
        <v/>
      </c>
      <c r="N47" s="15">
        <f>IF(OR(N46="",N4=""),"",IFERROR(N46/N4,""))</f>
        <v/>
      </c>
      <c r="O47" s="14">
        <f>IF(OR(O46="",O4=""),"",IFERROR(O46/O4,""))</f>
        <v/>
      </c>
      <c r="P47" s="15">
        <f>IF(OR(P46="",P4=""),"",IFERROR(P46/P4,""))</f>
        <v/>
      </c>
      <c r="Q47" s="15">
        <f>IF(OR(Q46="",Q4=""),"",IFERROR(Q46/Q4,""))</f>
        <v/>
      </c>
      <c r="R47" s="15">
        <f>IF(OR(R46="",R4=""),"",IFERROR(R46/R4,""))</f>
        <v/>
      </c>
      <c r="S47" s="15">
        <f>IF(OR(S46="",S4=""),"",IFERROR(S46/S4,""))</f>
        <v/>
      </c>
      <c r="T47" s="15">
        <f>IF(OR(T46="",T4=""),"",IFERROR(T46/T4,""))</f>
        <v/>
      </c>
      <c r="U47" s="15">
        <f>IF(OR(U46="",U4=""),"",IFERROR(U46/U4,""))</f>
        <v/>
      </c>
      <c r="V47" s="15">
        <f>IF(OR(V46="",V4=""),"",IFERROR(V46/V4,""))</f>
        <v/>
      </c>
      <c r="W47" s="15">
        <f>IF(OR(W46="",W4=""),"",IFERROR(W46/W4,""))</f>
        <v/>
      </c>
      <c r="X47" s="15">
        <f>IF(OR(X46="",X4=""),"",IFERROR(X46/X4,""))</f>
        <v/>
      </c>
      <c r="Y47" s="25">
        <f>IFERROR(AVERAGE(V47,W47,X47),"")</f>
        <v/>
      </c>
      <c r="Z47" s="26">
        <f>Y47</f>
        <v/>
      </c>
      <c r="AA47" s="26">
        <f>Z47</f>
        <v/>
      </c>
      <c r="AB47" s="26">
        <f>AA47</f>
        <v/>
      </c>
      <c r="AC47" s="26">
        <f>AB47</f>
        <v/>
      </c>
    </row>
    <row r="48">
      <c r="A48" s="18" t="inlineStr">
        <is>
          <t>금융수익</t>
        </is>
      </c>
      <c r="B48" s="10" t="n"/>
      <c r="C48" s="19" t="n">
        <v>-91</v>
      </c>
      <c r="D48" s="20" t="n">
        <v>14484</v>
      </c>
      <c r="E48" s="20" t="n">
        <v>7025</v>
      </c>
      <c r="F48" s="20" t="n">
        <v>7423</v>
      </c>
      <c r="G48" s="20" t="n">
        <v>6241</v>
      </c>
      <c r="H48" s="20" t="n">
        <v>6358</v>
      </c>
      <c r="I48" s="20" t="n">
        <v>7025</v>
      </c>
      <c r="J48" s="20" t="n">
        <v>7666</v>
      </c>
      <c r="K48" s="20" t="n">
        <v>7984</v>
      </c>
      <c r="L48" s="20" t="n">
        <v>12335</v>
      </c>
      <c r="M48" s="20" t="n">
        <v>8510</v>
      </c>
      <c r="N48" s="20" t="n">
        <v>19236</v>
      </c>
      <c r="O48" s="19" t="n"/>
      <c r="P48" s="20" t="n"/>
      <c r="Q48" s="20" t="n"/>
      <c r="R48" s="20" t="n"/>
      <c r="S48" s="20" t="n">
        <v>11424</v>
      </c>
      <c r="T48" s="20" t="n">
        <v>11277</v>
      </c>
      <c r="U48" s="20" t="n">
        <v>17372</v>
      </c>
      <c r="V48" s="20" t="n">
        <v>35902</v>
      </c>
      <c r="W48" s="20" t="n">
        <v>27047</v>
      </c>
      <c r="X48" s="20" t="n">
        <v>36495</v>
      </c>
      <c r="Y48" s="19">
        <f>IF(OR(Y4="",Y49=""),"",IFERROR(Y4*Y49,""))</f>
        <v/>
      </c>
      <c r="Z48" s="20">
        <f>IF(OR(Z4="",Z49=""),"",IFERROR(Z4*Z49,""))</f>
        <v/>
      </c>
      <c r="AA48" s="20">
        <f>IF(OR(AA4="",AA49=""),"",IFERROR(AA4*AA49,""))</f>
        <v/>
      </c>
      <c r="AB48" s="20">
        <f>IF(OR(AB4="",AB49=""),"",IFERROR(AB4*AB49,""))</f>
        <v/>
      </c>
      <c r="AC48" s="20">
        <f>IF(OR(AC4="",AC49=""),"",IFERROR(AC4*AC49,""))</f>
        <v/>
      </c>
    </row>
    <row r="49">
      <c r="A49" s="13" t="inlineStr">
        <is>
          <t>% of Sales</t>
        </is>
      </c>
      <c r="B49" s="10" t="n"/>
      <c r="C49" s="14">
        <f>IF(OR(C48="",C4=""),"",IFERROR(C48/C4,""))</f>
        <v/>
      </c>
      <c r="D49" s="15">
        <f>IF(OR(D48="",D4=""),"",IFERROR(D48/D4,""))</f>
        <v/>
      </c>
      <c r="E49" s="15">
        <f>IF(OR(E48="",E4=""),"",IFERROR(E48/E4,""))</f>
        <v/>
      </c>
      <c r="F49" s="15">
        <f>IF(OR(F48="",F4=""),"",IFERROR(F48/F4,""))</f>
        <v/>
      </c>
      <c r="G49" s="15">
        <f>IF(OR(G48="",G4=""),"",IFERROR(G48/G4,""))</f>
        <v/>
      </c>
      <c r="H49" s="15">
        <f>IF(OR(H48="",H4=""),"",IFERROR(H48/H4,""))</f>
        <v/>
      </c>
      <c r="I49" s="15">
        <f>IF(OR(I48="",I4=""),"",IFERROR(I48/I4,""))</f>
        <v/>
      </c>
      <c r="J49" s="15">
        <f>IF(OR(J48="",J4=""),"",IFERROR(J48/J4,""))</f>
        <v/>
      </c>
      <c r="K49" s="15">
        <f>IF(OR(K48="",K4=""),"",IFERROR(K48/K4,""))</f>
        <v/>
      </c>
      <c r="L49" s="15">
        <f>IF(OR(L48="",L4=""),"",IFERROR(L48/L4,""))</f>
        <v/>
      </c>
      <c r="M49" s="15">
        <f>IF(OR(M48="",M4=""),"",IFERROR(M48/M4,""))</f>
        <v/>
      </c>
      <c r="N49" s="15">
        <f>IF(OR(N48="",N4=""),"",IFERROR(N48/N4,""))</f>
        <v/>
      </c>
      <c r="O49" s="14">
        <f>IF(OR(O48="",O4=""),"",IFERROR(O48/O4,""))</f>
        <v/>
      </c>
      <c r="P49" s="15">
        <f>IF(OR(P48="",P4=""),"",IFERROR(P48/P4,""))</f>
        <v/>
      </c>
      <c r="Q49" s="15">
        <f>IF(OR(Q48="",Q4=""),"",IFERROR(Q48/Q4,""))</f>
        <v/>
      </c>
      <c r="R49" s="15">
        <f>IF(OR(R48="",R4=""),"",IFERROR(R48/R4,""))</f>
        <v/>
      </c>
      <c r="S49" s="15">
        <f>IF(OR(S48="",S4=""),"",IFERROR(S48/S4,""))</f>
        <v/>
      </c>
      <c r="T49" s="15">
        <f>IF(OR(T48="",T4=""),"",IFERROR(T48/T4,""))</f>
        <v/>
      </c>
      <c r="U49" s="15">
        <f>IF(OR(U48="",U4=""),"",IFERROR(U48/U4,""))</f>
        <v/>
      </c>
      <c r="V49" s="15">
        <f>IF(OR(V48="",V4=""),"",IFERROR(V48/V4,""))</f>
        <v/>
      </c>
      <c r="W49" s="15">
        <f>IF(OR(W48="",W4=""),"",IFERROR(W48/W4,""))</f>
        <v/>
      </c>
      <c r="X49" s="15">
        <f>IF(OR(X48="",X4=""),"",IFERROR(X48/X4,""))</f>
        <v/>
      </c>
      <c r="Y49" s="25">
        <f>IFERROR(AVERAGE(V49,W49,X49),"")</f>
        <v/>
      </c>
      <c r="Z49" s="26">
        <f>Y49</f>
        <v/>
      </c>
      <c r="AA49" s="26">
        <f>Z49</f>
        <v/>
      </c>
      <c r="AB49" s="26">
        <f>AA49</f>
        <v/>
      </c>
      <c r="AC49" s="26">
        <f>AB49</f>
        <v/>
      </c>
    </row>
    <row r="50">
      <c r="A50" s="18" t="inlineStr">
        <is>
          <t>금융원가</t>
        </is>
      </c>
      <c r="B50" s="10" t="n"/>
      <c r="C50" s="19" t="n">
        <v>10556</v>
      </c>
      <c r="D50" s="20" t="n">
        <v>9049</v>
      </c>
      <c r="E50" s="20" t="n">
        <v>1570</v>
      </c>
      <c r="F50" s="20" t="n">
        <v>3842</v>
      </c>
      <c r="G50" s="20" t="n">
        <v>4349</v>
      </c>
      <c r="H50" s="20" t="n">
        <v>2777</v>
      </c>
      <c r="I50" s="20" t="n">
        <v>2397</v>
      </c>
      <c r="J50" s="20" t="n">
        <v>6015</v>
      </c>
      <c r="K50" s="20" t="n">
        <v>9025</v>
      </c>
      <c r="L50" s="20" t="n">
        <v>9134</v>
      </c>
      <c r="M50" s="20" t="n">
        <v>8536</v>
      </c>
      <c r="N50" s="20" t="n">
        <v>10567</v>
      </c>
      <c r="O50" s="19" t="n"/>
      <c r="P50" s="20" t="n"/>
      <c r="Q50" s="20" t="n"/>
      <c r="R50" s="20" t="n"/>
      <c r="S50" s="20" t="n">
        <v>7483</v>
      </c>
      <c r="T50" s="20" t="n">
        <v>7853</v>
      </c>
      <c r="U50" s="20" t="n">
        <v>20772</v>
      </c>
      <c r="V50" s="20" t="n">
        <v>30224</v>
      </c>
      <c r="W50" s="20" t="n">
        <v>13365</v>
      </c>
      <c r="X50" s="20" t="n">
        <v>32710</v>
      </c>
      <c r="Y50" s="19">
        <f>IF(OR(Y4="",Y51=""),"",IFERROR(Y4*Y51,""))</f>
        <v/>
      </c>
      <c r="Z50" s="20">
        <f>IF(OR(Z4="",Z51=""),"",IFERROR(Z4*Z51,""))</f>
        <v/>
      </c>
      <c r="AA50" s="20">
        <f>IF(OR(AA4="",AA51=""),"",IFERROR(AA4*AA51,""))</f>
        <v/>
      </c>
      <c r="AB50" s="20">
        <f>IF(OR(AB4="",AB51=""),"",IFERROR(AB4*AB51,""))</f>
        <v/>
      </c>
      <c r="AC50" s="20">
        <f>IF(OR(AC4="",AC51=""),"",IFERROR(AC4*AC51,""))</f>
        <v/>
      </c>
    </row>
    <row r="51">
      <c r="A51" s="13" t="inlineStr">
        <is>
          <t>% of Sales</t>
        </is>
      </c>
      <c r="B51" s="10" t="n"/>
      <c r="C51" s="14">
        <f>IF(OR(C50="",C4=""),"",IFERROR(C50/C4,""))</f>
        <v/>
      </c>
      <c r="D51" s="15">
        <f>IF(OR(D50="",D4=""),"",IFERROR(D50/D4,""))</f>
        <v/>
      </c>
      <c r="E51" s="15">
        <f>IF(OR(E50="",E4=""),"",IFERROR(E50/E4,""))</f>
        <v/>
      </c>
      <c r="F51" s="15">
        <f>IF(OR(F50="",F4=""),"",IFERROR(F50/F4,""))</f>
        <v/>
      </c>
      <c r="G51" s="15">
        <f>IF(OR(G50="",G4=""),"",IFERROR(G50/G4,""))</f>
        <v/>
      </c>
      <c r="H51" s="15">
        <f>IF(OR(H50="",H4=""),"",IFERROR(H50/H4,""))</f>
        <v/>
      </c>
      <c r="I51" s="15">
        <f>IF(OR(I50="",I4=""),"",IFERROR(I50/I4,""))</f>
        <v/>
      </c>
      <c r="J51" s="15">
        <f>IF(OR(J50="",J4=""),"",IFERROR(J50/J4,""))</f>
        <v/>
      </c>
      <c r="K51" s="15">
        <f>IF(OR(K50="",K4=""),"",IFERROR(K50/K4,""))</f>
        <v/>
      </c>
      <c r="L51" s="15">
        <f>IF(OR(L50="",L4=""),"",IFERROR(L50/L4,""))</f>
        <v/>
      </c>
      <c r="M51" s="15">
        <f>IF(OR(M50="",M4=""),"",IFERROR(M50/M4,""))</f>
        <v/>
      </c>
      <c r="N51" s="15">
        <f>IF(OR(N50="",N4=""),"",IFERROR(N50/N4,""))</f>
        <v/>
      </c>
      <c r="O51" s="14">
        <f>IF(OR(O50="",O4=""),"",IFERROR(O50/O4,""))</f>
        <v/>
      </c>
      <c r="P51" s="15">
        <f>IF(OR(P50="",P4=""),"",IFERROR(P50/P4,""))</f>
        <v/>
      </c>
      <c r="Q51" s="15">
        <f>IF(OR(Q50="",Q4=""),"",IFERROR(Q50/Q4,""))</f>
        <v/>
      </c>
      <c r="R51" s="15">
        <f>IF(OR(R50="",R4=""),"",IFERROR(R50/R4,""))</f>
        <v/>
      </c>
      <c r="S51" s="15">
        <f>IF(OR(S50="",S4=""),"",IFERROR(S50/S4,""))</f>
        <v/>
      </c>
      <c r="T51" s="15">
        <f>IF(OR(T50="",T4=""),"",IFERROR(T50/T4,""))</f>
        <v/>
      </c>
      <c r="U51" s="15">
        <f>IF(OR(U50="",U4=""),"",IFERROR(U50/U4,""))</f>
        <v/>
      </c>
      <c r="V51" s="15">
        <f>IF(OR(V50="",V4=""),"",IFERROR(V50/V4,""))</f>
        <v/>
      </c>
      <c r="W51" s="15">
        <f>IF(OR(W50="",W4=""),"",IFERROR(W50/W4,""))</f>
        <v/>
      </c>
      <c r="X51" s="15">
        <f>IF(OR(X50="",X4=""),"",IFERROR(X50/X4,""))</f>
        <v/>
      </c>
      <c r="Y51" s="25">
        <f>IFERROR(AVERAGE(V51,W51,X51),"")</f>
        <v/>
      </c>
      <c r="Z51" s="26">
        <f>Y51</f>
        <v/>
      </c>
      <c r="AA51" s="26">
        <f>Z51</f>
        <v/>
      </c>
      <c r="AB51" s="26">
        <f>AA51</f>
        <v/>
      </c>
      <c r="AC51" s="26">
        <f>AB51</f>
        <v/>
      </c>
    </row>
    <row r="52">
      <c r="A52" s="9" t="inlineStr">
        <is>
          <t>법인세비용차감전순이익(손실)</t>
        </is>
      </c>
      <c r="B52" s="10" t="n"/>
      <c r="C52" s="11" t="n">
        <v>3362</v>
      </c>
      <c r="D52" s="12" t="n">
        <v>76880</v>
      </c>
      <c r="E52" s="12" t="n">
        <v>22119</v>
      </c>
      <c r="F52" s="12" t="n">
        <v>80778</v>
      </c>
      <c r="G52" s="12" t="n">
        <v>56526</v>
      </c>
      <c r="H52" s="12" t="n">
        <v>80778</v>
      </c>
      <c r="I52" s="12" t="n">
        <v>19726</v>
      </c>
      <c r="J52" s="12" t="n">
        <v>57630</v>
      </c>
      <c r="K52" s="12" t="n">
        <v>89847</v>
      </c>
      <c r="L52" s="12" t="n">
        <v>87593</v>
      </c>
      <c r="M52" s="12" t="n">
        <v>41740</v>
      </c>
      <c r="N52" s="12" t="n">
        <v>94500</v>
      </c>
      <c r="O52" s="11" t="n"/>
      <c r="P52" s="12" t="n"/>
      <c r="Q52" s="12" t="n"/>
      <c r="R52" s="12" t="n"/>
      <c r="S52" s="12" t="n">
        <v>117263</v>
      </c>
      <c r="T52" s="12" t="n">
        <v>172490</v>
      </c>
      <c r="U52" s="12" t="n">
        <v>167219</v>
      </c>
      <c r="V52" s="12" t="n">
        <v>179241</v>
      </c>
      <c r="W52" s="12" t="n">
        <v>237808</v>
      </c>
      <c r="X52" s="12" t="n">
        <v>276810</v>
      </c>
      <c r="Y52" s="11">
        <f>IF(OR(Y28=""),"",IFERROR(Y28+N(Y44)-N(Y46)+N(Y48)-N(Y50),""))</f>
        <v/>
      </c>
      <c r="Z52" s="12">
        <f>IF(OR(Z28=""),"",IFERROR(Z28+N(Z44)-N(Z46)+N(Z48)-N(Z50),""))</f>
        <v/>
      </c>
      <c r="AA52" s="12">
        <f>IF(OR(AA28=""),"",IFERROR(AA28+N(AA44)-N(AA46)+N(AA48)-N(AA50),""))</f>
        <v/>
      </c>
      <c r="AB52" s="12">
        <f>IF(OR(AB28=""),"",IFERROR(AB28+N(AB44)-N(AB46)+N(AB48)-N(AB50),""))</f>
        <v/>
      </c>
      <c r="AC52" s="12">
        <f>IF(OR(AC28=""),"",IFERROR(AC28+N(AC44)-N(AC46)+N(AC48)-N(AC50),""))</f>
        <v/>
      </c>
    </row>
    <row r="53">
      <c r="A53" s="18" t="inlineStr">
        <is>
          <t>법인세비용(수익)</t>
        </is>
      </c>
      <c r="B53" s="10" t="n"/>
      <c r="C53" s="19" t="n">
        <v>13459</v>
      </c>
      <c r="D53" s="20" t="n">
        <v>11382</v>
      </c>
      <c r="E53" s="20" t="n">
        <v>16883</v>
      </c>
      <c r="F53" s="20" t="n">
        <v>24729</v>
      </c>
      <c r="G53" s="20" t="n">
        <v>5118</v>
      </c>
      <c r="H53" s="20" t="n">
        <v>24729</v>
      </c>
      <c r="I53" s="20" t="n">
        <v>12843</v>
      </c>
      <c r="J53" s="20" t="n">
        <v>15247</v>
      </c>
      <c r="K53" s="20" t="n">
        <v>18867</v>
      </c>
      <c r="L53" s="20" t="n">
        <v>16833</v>
      </c>
      <c r="M53" s="20" t="n">
        <v>26695</v>
      </c>
      <c r="N53" s="20" t="n">
        <v>12515</v>
      </c>
      <c r="O53" s="19" t="n"/>
      <c r="P53" s="20" t="n"/>
      <c r="Q53" s="20" t="n"/>
      <c r="R53" s="20" t="n"/>
      <c r="S53" s="20" t="n">
        <v>42702</v>
      </c>
      <c r="T53" s="20" t="n">
        <v>40675</v>
      </c>
      <c r="U53" s="20" t="n">
        <v>52918</v>
      </c>
      <c r="V53" s="20" t="n">
        <v>53106</v>
      </c>
      <c r="W53" s="20" t="n">
        <v>67419</v>
      </c>
      <c r="X53" s="20" t="n">
        <v>77642</v>
      </c>
      <c r="Y53" s="19">
        <f>IF(OR(Y52="",Y54=""),"",IFERROR(MAX(Y52,0)*Y54,""))</f>
        <v/>
      </c>
      <c r="Z53" s="20">
        <f>IF(OR(Z52="",Z54=""),"",IFERROR(MAX(Z52,0)*Z54,""))</f>
        <v/>
      </c>
      <c r="AA53" s="20">
        <f>IF(OR(AA52="",AA54=""),"",IFERROR(MAX(AA52,0)*AA54,""))</f>
        <v/>
      </c>
      <c r="AB53" s="20">
        <f>IF(OR(AB52="",AB54=""),"",IFERROR(MAX(AB52,0)*AB54,""))</f>
        <v/>
      </c>
      <c r="AC53" s="20">
        <f>IF(OR(AC52="",AC54=""),"",IFERROR(MAX(AC52,0)*AC54,""))</f>
        <v/>
      </c>
    </row>
    <row r="54">
      <c r="A54" s="13" t="inlineStr">
        <is>
          <t>법인세율</t>
        </is>
      </c>
      <c r="B54" s="10" t="inlineStr">
        <is>
          <t>MW 기본 30%</t>
        </is>
      </c>
      <c r="C54" s="14">
        <f>IF(OR(C53="",C52=""),"",IFERROR(C53/C52,""))</f>
        <v/>
      </c>
      <c r="D54" s="15">
        <f>IF(OR(D53="",D52=""),"",IFERROR(D53/D52,""))</f>
        <v/>
      </c>
      <c r="E54" s="15">
        <f>IF(OR(E53="",E52=""),"",IFERROR(E53/E52,""))</f>
        <v/>
      </c>
      <c r="F54" s="15">
        <f>IF(OR(F53="",F52=""),"",IFERROR(F53/F52,""))</f>
        <v/>
      </c>
      <c r="G54" s="15">
        <f>IF(OR(G53="",G52=""),"",IFERROR(G53/G52,""))</f>
        <v/>
      </c>
      <c r="H54" s="15">
        <f>IF(OR(H53="",H52=""),"",IFERROR(H53/H52,""))</f>
        <v/>
      </c>
      <c r="I54" s="15">
        <f>IF(OR(I53="",I52=""),"",IFERROR(I53/I52,""))</f>
        <v/>
      </c>
      <c r="J54" s="15">
        <f>IF(OR(J53="",J52=""),"",IFERROR(J53/J52,""))</f>
        <v/>
      </c>
      <c r="K54" s="15">
        <f>IF(OR(K53="",K52=""),"",IFERROR(K53/K52,""))</f>
        <v/>
      </c>
      <c r="L54" s="15">
        <f>IF(OR(L53="",L52=""),"",IFERROR(L53/L52,""))</f>
        <v/>
      </c>
      <c r="M54" s="15">
        <f>IF(OR(M53="",M52=""),"",IFERROR(M53/M52,""))</f>
        <v/>
      </c>
      <c r="N54" s="15">
        <f>IF(OR(N53="",N52=""),"",IFERROR(N53/N52,""))</f>
        <v/>
      </c>
      <c r="O54" s="14">
        <f>IF(OR(O53="",O52=""),"",IFERROR(O53/O52,""))</f>
        <v/>
      </c>
      <c r="P54" s="15">
        <f>IF(OR(P53="",P52=""),"",IFERROR(P53/P52,""))</f>
        <v/>
      </c>
      <c r="Q54" s="15">
        <f>IF(OR(Q53="",Q52=""),"",IFERROR(Q53/Q52,""))</f>
        <v/>
      </c>
      <c r="R54" s="15">
        <f>IF(OR(R53="",R52=""),"",IFERROR(R53/R52,""))</f>
        <v/>
      </c>
      <c r="S54" s="15">
        <f>IF(OR(S53="",S52=""),"",IFERROR(S53/S52,""))</f>
        <v/>
      </c>
      <c r="T54" s="15">
        <f>IF(OR(T53="",T52=""),"",IFERROR(T53/T52,""))</f>
        <v/>
      </c>
      <c r="U54" s="15">
        <f>IF(OR(U53="",U52=""),"",IFERROR(U53/U52,""))</f>
        <v/>
      </c>
      <c r="V54" s="15">
        <f>IF(OR(V53="",V52=""),"",IFERROR(V53/V52,""))</f>
        <v/>
      </c>
      <c r="W54" s="15">
        <f>IF(OR(W53="",W52=""),"",IFERROR(W53/W52,""))</f>
        <v/>
      </c>
      <c r="X54" s="15">
        <f>IF(OR(X53="",X52=""),"",IFERROR(X53/X52,""))</f>
        <v/>
      </c>
      <c r="Y54" s="25" t="n">
        <v>0.3</v>
      </c>
      <c r="Z54" s="26" t="n">
        <v>0.3</v>
      </c>
      <c r="AA54" s="26" t="n">
        <v>0.3</v>
      </c>
      <c r="AB54" s="26" t="n">
        <v>0.3</v>
      </c>
      <c r="AC54" s="26" t="n">
        <v>0.3</v>
      </c>
    </row>
    <row r="55">
      <c r="A55" s="9" t="inlineStr">
        <is>
          <t>당기순이익(손실)</t>
        </is>
      </c>
      <c r="B55" s="10" t="n"/>
      <c r="C55" s="11" t="n">
        <v>-10097</v>
      </c>
      <c r="D55" s="12" t="n">
        <v>65498</v>
      </c>
      <c r="E55" s="12" t="n">
        <v>5236</v>
      </c>
      <c r="F55" s="12" t="n">
        <v>56049</v>
      </c>
      <c r="G55" s="12" t="n">
        <v>51408</v>
      </c>
      <c r="H55" s="12" t="n">
        <v>56049</v>
      </c>
      <c r="I55" s="12" t="n">
        <v>6883</v>
      </c>
      <c r="J55" s="12" t="n">
        <v>42383</v>
      </c>
      <c r="K55" s="12" t="n">
        <v>70980</v>
      </c>
      <c r="L55" s="12" t="n">
        <v>70760</v>
      </c>
      <c r="M55" s="12" t="n">
        <v>15044</v>
      </c>
      <c r="N55" s="12" t="n">
        <v>81985</v>
      </c>
      <c r="O55" s="11" t="n"/>
      <c r="P55" s="12" t="n"/>
      <c r="Q55" s="12" t="n"/>
      <c r="R55" s="12" t="n"/>
      <c r="S55" s="12" t="n">
        <v>74561</v>
      </c>
      <c r="T55" s="12" t="n">
        <v>131815</v>
      </c>
      <c r="U55" s="12" t="n">
        <v>114301</v>
      </c>
      <c r="V55" s="12" t="n">
        <v>126135</v>
      </c>
      <c r="W55" s="12" t="n">
        <v>170389</v>
      </c>
      <c r="X55" s="12" t="n">
        <v>199167</v>
      </c>
      <c r="Y55" s="11">
        <f>IF(OR(Y52=""),"",IFERROR(Y52-Y53,""))</f>
        <v/>
      </c>
      <c r="Z55" s="12">
        <f>IF(OR(Z52=""),"",IFERROR(Z52-Z53,""))</f>
        <v/>
      </c>
      <c r="AA55" s="12">
        <f>IF(OR(AA52=""),"",IFERROR(AA52-AA53,""))</f>
        <v/>
      </c>
      <c r="AB55" s="12">
        <f>IF(OR(AB52=""),"",IFERROR(AB52-AB53,""))</f>
        <v/>
      </c>
      <c r="AC55" s="12">
        <f>IF(OR(AC52=""),"",IFERROR(AC52-AC53,""))</f>
        <v/>
      </c>
    </row>
    <row r="56">
      <c r="A56" s="9" t="inlineStr">
        <is>
          <t>지배주주 순이익</t>
        </is>
      </c>
      <c r="B56" s="10" t="n"/>
      <c r="C56" s="11" t="n">
        <v>-11115</v>
      </c>
      <c r="D56" s="12" t="n">
        <v>65303</v>
      </c>
      <c r="E56" s="12" t="n">
        <v>5196</v>
      </c>
      <c r="F56" s="12" t="n">
        <v>55159</v>
      </c>
      <c r="G56" s="12" t="n">
        <v>50551</v>
      </c>
      <c r="H56" s="12" t="n">
        <v>55159</v>
      </c>
      <c r="I56" s="12" t="n">
        <v>6292</v>
      </c>
      <c r="J56" s="12" t="n">
        <v>41462</v>
      </c>
      <c r="K56" s="12" t="n">
        <v>69944</v>
      </c>
      <c r="L56" s="12" t="n">
        <v>69802</v>
      </c>
      <c r="M56" s="12" t="n">
        <v>14455</v>
      </c>
      <c r="N56" s="12" t="n">
        <v>80581</v>
      </c>
      <c r="O56" s="11" t="n"/>
      <c r="P56" s="12" t="n"/>
      <c r="Q56" s="12" t="n"/>
      <c r="R56" s="12" t="n"/>
      <c r="S56" s="12" t="n">
        <v>74681</v>
      </c>
      <c r="T56" s="12" t="n">
        <v>131298</v>
      </c>
      <c r="U56" s="12" t="n">
        <v>114187</v>
      </c>
      <c r="V56" s="12" t="n">
        <v>124687</v>
      </c>
      <c r="W56" s="12" t="n">
        <v>167161</v>
      </c>
      <c r="X56" s="12" t="n">
        <v>195663</v>
      </c>
      <c r="Y56" s="11">
        <f>IF(OR(Y55="",Y57=""),"",IFERROR(Y55*Y57,""))</f>
        <v/>
      </c>
      <c r="Z56" s="12">
        <f>IF(OR(Z55="",Z57=""),"",IFERROR(Z55*Z57,""))</f>
        <v/>
      </c>
      <c r="AA56" s="12">
        <f>IF(OR(AA55="",AA57=""),"",IFERROR(AA55*AA57,""))</f>
        <v/>
      </c>
      <c r="AB56" s="12">
        <f>IF(OR(AB55="",AB57=""),"",IFERROR(AB55*AB57,""))</f>
        <v/>
      </c>
      <c r="AC56" s="12">
        <f>IF(OR(AC55="",AC57=""),"",IFERROR(AC55*AC57,""))</f>
        <v/>
      </c>
    </row>
    <row r="57">
      <c r="A57" s="13" t="inlineStr">
        <is>
          <t>지배주주 순이익률</t>
        </is>
      </c>
      <c r="B57" s="10" t="inlineStr">
        <is>
          <t>MW 기본 100%</t>
        </is>
      </c>
      <c r="C57" s="14">
        <f>IF(OR(C56="",C55=""),"",IFERROR(C56/C55,""))</f>
        <v/>
      </c>
      <c r="D57" s="15">
        <f>IF(OR(D56="",D55=""),"",IFERROR(D56/D55,""))</f>
        <v/>
      </c>
      <c r="E57" s="15">
        <f>IF(OR(E56="",E55=""),"",IFERROR(E56/E55,""))</f>
        <v/>
      </c>
      <c r="F57" s="15">
        <f>IF(OR(F56="",F55=""),"",IFERROR(F56/F55,""))</f>
        <v/>
      </c>
      <c r="G57" s="15">
        <f>IF(OR(G56="",G55=""),"",IFERROR(G56/G55,""))</f>
        <v/>
      </c>
      <c r="H57" s="15">
        <f>IF(OR(H56="",H55=""),"",IFERROR(H56/H55,""))</f>
        <v/>
      </c>
      <c r="I57" s="15">
        <f>IF(OR(I56="",I55=""),"",IFERROR(I56/I55,""))</f>
        <v/>
      </c>
      <c r="J57" s="15">
        <f>IF(OR(J56="",J55=""),"",IFERROR(J56/J55,""))</f>
        <v/>
      </c>
      <c r="K57" s="15">
        <f>IF(OR(K56="",K55=""),"",IFERROR(K56/K55,""))</f>
        <v/>
      </c>
      <c r="L57" s="15">
        <f>IF(OR(L56="",L55=""),"",IFERROR(L56/L55,""))</f>
        <v/>
      </c>
      <c r="M57" s="15">
        <f>IF(OR(M56="",M55=""),"",IFERROR(M56/M55,""))</f>
        <v/>
      </c>
      <c r="N57" s="15">
        <f>IF(OR(N56="",N55=""),"",IFERROR(N56/N55,""))</f>
        <v/>
      </c>
      <c r="O57" s="14">
        <f>IF(OR(O56="",O55=""),"",IFERROR(O56/O55,""))</f>
        <v/>
      </c>
      <c r="P57" s="15">
        <f>IF(OR(P56="",P55=""),"",IFERROR(P56/P55,""))</f>
        <v/>
      </c>
      <c r="Q57" s="15">
        <f>IF(OR(Q56="",Q55=""),"",IFERROR(Q56/Q55,""))</f>
        <v/>
      </c>
      <c r="R57" s="15">
        <f>IF(OR(R56="",R55=""),"",IFERROR(R56/R55,""))</f>
        <v/>
      </c>
      <c r="S57" s="15">
        <f>IF(OR(S56="",S55=""),"",IFERROR(S56/S55,""))</f>
        <v/>
      </c>
      <c r="T57" s="15">
        <f>IF(OR(T56="",T55=""),"",IFERROR(T56/T55,""))</f>
        <v/>
      </c>
      <c r="U57" s="15">
        <f>IF(OR(U56="",U55=""),"",IFERROR(U56/U55,""))</f>
        <v/>
      </c>
      <c r="V57" s="15">
        <f>IF(OR(V56="",V55=""),"",IFERROR(V56/V55,""))</f>
        <v/>
      </c>
      <c r="W57" s="15">
        <f>IF(OR(W56="",W55=""),"",IFERROR(W56/W55,""))</f>
        <v/>
      </c>
      <c r="X57" s="15">
        <f>IF(OR(X56="",X55=""),"",IFERROR(X56/X55,""))</f>
        <v/>
      </c>
      <c r="Y57" s="25" t="n">
        <v>1</v>
      </c>
      <c r="Z57" s="26" t="n">
        <v>1</v>
      </c>
      <c r="AA57" s="26" t="n">
        <v>1</v>
      </c>
      <c r="AB57" s="26" t="n">
        <v>1</v>
      </c>
      <c r="AC57" s="26" t="n">
        <v>1</v>
      </c>
    </row>
    <row r="58">
      <c r="A58" s="16" t="inlineStr">
        <is>
          <t>목표주가 산출</t>
        </is>
      </c>
      <c r="B58" s="16" t="n"/>
      <c r="C58" s="17" t="n"/>
      <c r="D58" s="16" t="n"/>
      <c r="E58" s="16" t="n"/>
      <c r="F58" s="16" t="n"/>
      <c r="G58" s="16" t="n"/>
      <c r="H58" s="16" t="n"/>
      <c r="I58" s="16" t="n"/>
      <c r="J58" s="16" t="n"/>
      <c r="K58" s="16" t="n"/>
      <c r="L58" s="16" t="n"/>
      <c r="M58" s="16" t="n"/>
      <c r="N58" s="16" t="n"/>
      <c r="O58" s="17" t="n"/>
      <c r="P58" s="16" t="n"/>
      <c r="Q58" s="16" t="n"/>
      <c r="R58" s="16" t="n"/>
      <c r="S58" s="16" t="n"/>
      <c r="T58" s="16" t="n"/>
      <c r="U58" s="16" t="n"/>
      <c r="V58" s="16" t="n"/>
      <c r="W58" s="16" t="n"/>
      <c r="X58" s="16" t="n"/>
      <c r="Y58" s="17" t="n"/>
      <c r="Z58" s="16" t="n"/>
      <c r="AA58" s="16" t="n"/>
      <c r="AB58" s="16" t="n"/>
      <c r="AC58" s="16" t="n"/>
    </row>
    <row r="59">
      <c r="A59" s="18" t="inlineStr">
        <is>
          <t>현재 주가 (2026.10.26)</t>
        </is>
      </c>
      <c r="B59" s="27" t="n">
        <v>2585.5</v>
      </c>
      <c r="C59" s="28" t="n"/>
      <c r="D59" s="29" t="n"/>
      <c r="E59" s="29" t="n"/>
      <c r="F59" s="29" t="n"/>
      <c r="G59" s="29" t="n"/>
      <c r="H59" s="29" t="n"/>
      <c r="I59" s="29" t="n"/>
      <c r="J59" s="29" t="n"/>
      <c r="K59" s="29" t="n"/>
      <c r="L59" s="29" t="n"/>
      <c r="M59" s="29" t="n"/>
      <c r="N59" s="29" t="n"/>
      <c r="O59" s="28" t="n"/>
      <c r="P59" s="29" t="n"/>
      <c r="Q59" s="29" t="n"/>
      <c r="R59" s="29" t="n"/>
      <c r="S59" s="29" t="n"/>
      <c r="T59" s="29" t="n"/>
      <c r="U59" s="29" t="n"/>
      <c r="V59" s="29" t="n"/>
      <c r="W59" s="29" t="n"/>
      <c r="X59" s="29" t="n"/>
      <c r="Y59" s="28" t="n"/>
      <c r="Z59" s="29" t="n"/>
      <c r="AA59" s="29" t="n"/>
      <c r="AB59" s="29" t="n"/>
      <c r="AC59" s="29" t="n"/>
    </row>
    <row r="60">
      <c r="A60" s="18" t="inlineStr">
        <is>
          <t>발행주식수 (보통주)</t>
        </is>
      </c>
      <c r="B60" s="27" t="n">
        <v>1943859885</v>
      </c>
      <c r="C60" s="28" t="n"/>
      <c r="D60" s="29" t="n"/>
      <c r="E60" s="29" t="n"/>
      <c r="F60" s="29" t="n"/>
      <c r="G60" s="29" t="n"/>
      <c r="H60" s="29" t="n"/>
      <c r="I60" s="29" t="n"/>
      <c r="J60" s="29" t="n"/>
      <c r="K60" s="29" t="n"/>
      <c r="L60" s="29" t="n"/>
      <c r="M60" s="29" t="n"/>
      <c r="N60" s="29" t="n"/>
      <c r="O60" s="28" t="n"/>
      <c r="P60" s="29" t="n"/>
      <c r="Q60" s="29" t="n"/>
      <c r="R60" s="29" t="n"/>
      <c r="S60" s="29" t="n"/>
      <c r="T60" s="29" t="n"/>
      <c r="U60" s="29" t="n"/>
      <c r="V60" s="29" t="n"/>
      <c r="W60" s="29" t="n"/>
      <c r="X60" s="29" t="n"/>
      <c r="Y60" s="28" t="n"/>
      <c r="Z60" s="29" t="n"/>
      <c r="AA60" s="29" t="n"/>
      <c r="AB60" s="29" t="n"/>
      <c r="AC60" s="29" t="n"/>
    </row>
    <row r="61">
      <c r="A61" s="18" t="inlineStr">
        <is>
          <t>시가총액 (백만엔)</t>
        </is>
      </c>
      <c r="B61" s="12">
        <f>IF(OR(B59="",B60=""),"",B59*B60/1000000.0)</f>
        <v/>
      </c>
      <c r="C61" s="19" t="n"/>
      <c r="D61" s="20" t="n"/>
      <c r="E61" s="20" t="n"/>
      <c r="F61" s="20" t="n"/>
      <c r="G61" s="20" t="n"/>
      <c r="H61" s="20" t="n"/>
      <c r="I61" s="20" t="n"/>
      <c r="J61" s="20" t="n"/>
      <c r="K61" s="20" t="n"/>
      <c r="L61" s="20" t="n"/>
      <c r="M61" s="20" t="n"/>
      <c r="N61" s="20" t="n"/>
      <c r="O61" s="19" t="n"/>
      <c r="P61" s="20" t="n"/>
      <c r="Q61" s="20" t="n"/>
      <c r="R61" s="20" t="n"/>
      <c r="S61" s="20" t="n"/>
      <c r="T61" s="20" t="n"/>
      <c r="U61" s="20" t="n"/>
      <c r="V61" s="20" t="n"/>
      <c r="W61" s="20" t="n"/>
      <c r="X61" s="20" t="n"/>
      <c r="Y61" s="19" t="n"/>
      <c r="Z61" s="20" t="n"/>
      <c r="AA61" s="20" t="n"/>
      <c r="AB61" s="20" t="n"/>
      <c r="AC61" s="20" t="n"/>
    </row>
    <row r="62">
      <c r="A62" s="13" t="inlineStr">
        <is>
          <t>OPM</t>
        </is>
      </c>
      <c r="B62" s="10" t="n"/>
      <c r="C62" s="14" t="n"/>
      <c r="D62" s="15" t="n"/>
      <c r="E62" s="15" t="n"/>
      <c r="F62" s="15" t="n"/>
      <c r="G62" s="15" t="n"/>
      <c r="H62" s="15" t="n"/>
      <c r="I62" s="15" t="n"/>
      <c r="J62" s="15" t="n"/>
      <c r="K62" s="15" t="n"/>
      <c r="L62" s="15" t="n"/>
      <c r="M62" s="15" t="n"/>
      <c r="N62" s="15" t="n"/>
      <c r="O62" s="14">
        <f>IF(O29="","",O29)</f>
        <v/>
      </c>
      <c r="P62" s="15">
        <f>IF(P29="","",P29)</f>
        <v/>
      </c>
      <c r="Q62" s="15">
        <f>IF(Q29="","",Q29)</f>
        <v/>
      </c>
      <c r="R62" s="15">
        <f>IF(R29="","",R29)</f>
        <v/>
      </c>
      <c r="S62" s="15">
        <f>IF(S29="","",S29)</f>
        <v/>
      </c>
      <c r="T62" s="15">
        <f>IF(T29="","",T29)</f>
        <v/>
      </c>
      <c r="U62" s="15">
        <f>IF(U29="","",U29)</f>
        <v/>
      </c>
      <c r="V62" s="15">
        <f>IF(V29="","",V29)</f>
        <v/>
      </c>
      <c r="W62" s="15">
        <f>IF(W29="","",W29)</f>
        <v/>
      </c>
      <c r="X62" s="15">
        <f>IF(X29="","",X29)</f>
        <v/>
      </c>
      <c r="Y62" s="14">
        <f>IF(Y29="","",Y29)</f>
        <v/>
      </c>
      <c r="Z62" s="15">
        <f>IF(Z29="","",Z29)</f>
        <v/>
      </c>
      <c r="AA62" s="15">
        <f>IF(AA29="","",AA29)</f>
        <v/>
      </c>
      <c r="AB62" s="15">
        <f>IF(AB29="","",AB29)</f>
        <v/>
      </c>
      <c r="AC62" s="15">
        <f>IF(AC29="","",AC29)</f>
        <v/>
      </c>
    </row>
    <row r="63">
      <c r="A63" s="13" t="inlineStr">
        <is>
          <t>지배주주 순이익 증가율</t>
        </is>
      </c>
      <c r="B63" s="10" t="n"/>
      <c r="C63" s="14" t="n"/>
      <c r="D63" s="15" t="n"/>
      <c r="E63" s="15" t="n"/>
      <c r="F63" s="15" t="n"/>
      <c r="G63" s="15" t="n"/>
      <c r="H63" s="15" t="n"/>
      <c r="I63" s="15" t="n"/>
      <c r="J63" s="15" t="n"/>
      <c r="K63" s="15" t="n"/>
      <c r="L63" s="15" t="n"/>
      <c r="M63" s="15" t="n"/>
      <c r="N63" s="15" t="n"/>
      <c r="O63" s="14" t="n"/>
      <c r="P63" s="15">
        <f>IF(OR(P56="",O56=""),"",IFERROR(P56/O56-1,""))</f>
        <v/>
      </c>
      <c r="Q63" s="15">
        <f>IF(OR(Q56="",P56=""),"",IFERROR(Q56/P56-1,""))</f>
        <v/>
      </c>
      <c r="R63" s="15">
        <f>IF(OR(R56="",Q56=""),"",IFERROR(R56/Q56-1,""))</f>
        <v/>
      </c>
      <c r="S63" s="15">
        <f>IF(OR(S56="",R56=""),"",IFERROR(S56/R56-1,""))</f>
        <v/>
      </c>
      <c r="T63" s="15">
        <f>IF(OR(T56="",S56=""),"",IFERROR(T56/S56-1,""))</f>
        <v/>
      </c>
      <c r="U63" s="15">
        <f>IF(OR(U56="",T56=""),"",IFERROR(U56/T56-1,""))</f>
        <v/>
      </c>
      <c r="V63" s="15">
        <f>IF(OR(V56="",U56=""),"",IFERROR(V56/U56-1,""))</f>
        <v/>
      </c>
      <c r="W63" s="15">
        <f>IF(OR(W56="",V56=""),"",IFERROR(W56/V56-1,""))</f>
        <v/>
      </c>
      <c r="X63" s="15">
        <f>IF(OR(X56="",W56=""),"",IFERROR(X56/W56-1,""))</f>
        <v/>
      </c>
      <c r="Y63" s="14">
        <f>IF(OR(Y56="",X56=""),"",IFERROR(Y56/X56-1,""))</f>
        <v/>
      </c>
      <c r="Z63" s="15">
        <f>IF(OR(Z56="",Y56=""),"",IFERROR(Z56/Y56-1,""))</f>
        <v/>
      </c>
      <c r="AA63" s="15">
        <f>IF(OR(AA56="",Z56=""),"",IFERROR(AA56/Z56-1,""))</f>
        <v/>
      </c>
      <c r="AB63" s="15">
        <f>IF(OR(AB56="",AA56=""),"",IFERROR(AB56/AA56-1,""))</f>
        <v/>
      </c>
      <c r="AC63" s="15">
        <f>IF(OR(AC56="",AB56=""),"",IFERROR(AC56/AB56-1,""))</f>
        <v/>
      </c>
    </row>
    <row r="64">
      <c r="A64" s="18" t="inlineStr">
        <is>
          <t>P/E (현재 주가)</t>
        </is>
      </c>
      <c r="B64" s="10" t="inlineStr">
        <is>
          <t>시총 ÷ 지배순이익</t>
        </is>
      </c>
      <c r="C64" s="30" t="n"/>
      <c r="D64" s="31" t="n"/>
      <c r="E64" s="31" t="n"/>
      <c r="F64" s="31" t="n"/>
      <c r="G64" s="31" t="n"/>
      <c r="H64" s="31" t="n"/>
      <c r="I64" s="31" t="n"/>
      <c r="J64" s="31" t="n"/>
      <c r="K64" s="31" t="n"/>
      <c r="L64" s="31" t="n"/>
      <c r="M64" s="31" t="n"/>
      <c r="N64" s="31" t="n"/>
      <c r="O64" s="30" t="n"/>
      <c r="P64" s="31" t="n"/>
      <c r="Q64" s="31" t="n"/>
      <c r="R64" s="31" t="n"/>
      <c r="S64" s="31" t="n"/>
      <c r="T64" s="31" t="n"/>
      <c r="U64" s="31" t="n"/>
      <c r="V64" s="31" t="n"/>
      <c r="W64" s="31" t="n"/>
      <c r="X64" s="31">
        <f>IF(OR($B$61="",X56=""),"",IFERROR($B$61/X56,""))</f>
        <v/>
      </c>
      <c r="Y64" s="30">
        <f>IF(OR($B$61="",Y56=""),"",IFERROR($B$61/Y56,""))</f>
        <v/>
      </c>
      <c r="Z64" s="31">
        <f>IF(OR($B$61="",Z56=""),"",IFERROR($B$61/Z56,""))</f>
        <v/>
      </c>
      <c r="AA64" s="31">
        <f>IF(OR($B$61="",AA56=""),"",IFERROR($B$61/AA56,""))</f>
        <v/>
      </c>
      <c r="AB64" s="31">
        <f>IF(OR($B$61="",AB56=""),"",IFERROR($B$61/AB56,""))</f>
        <v/>
      </c>
      <c r="AC64" s="31">
        <f>IF(OR($B$61="",AC56=""),"",IFERROR($B$61/AC56,""))</f>
        <v/>
      </c>
    </row>
    <row r="65">
      <c r="A65" s="18" t="inlineStr">
        <is>
          <t>Target P/E</t>
        </is>
      </c>
      <c r="B65" s="10" t="inlineStr">
        <is>
          <t>직접 입력</t>
        </is>
      </c>
      <c r="C65" s="30" t="n"/>
      <c r="D65" s="31" t="n"/>
      <c r="E65" s="31" t="n"/>
      <c r="F65" s="31" t="n"/>
      <c r="G65" s="31" t="n"/>
      <c r="H65" s="31" t="n"/>
      <c r="I65" s="31" t="n"/>
      <c r="J65" s="31" t="n"/>
      <c r="K65" s="31" t="n"/>
      <c r="L65" s="31" t="n"/>
      <c r="M65" s="31" t="n"/>
      <c r="N65" s="31" t="n"/>
      <c r="O65" s="30" t="n"/>
      <c r="P65" s="31" t="n"/>
      <c r="Q65" s="31" t="n"/>
      <c r="R65" s="31" t="n"/>
      <c r="S65" s="31" t="n"/>
      <c r="T65" s="31" t="n"/>
      <c r="U65" s="31" t="n"/>
      <c r="V65" s="31" t="n"/>
      <c r="W65" s="31" t="n"/>
      <c r="X65" s="31" t="n"/>
      <c r="Y65" s="32" t="n"/>
      <c r="Z65" s="33" t="n"/>
      <c r="AA65" s="33" t="n"/>
      <c r="AB65" s="33" t="n"/>
      <c r="AC65" s="33" t="n"/>
    </row>
    <row r="66">
      <c r="A66" s="18" t="inlineStr">
        <is>
          <t>EPS</t>
        </is>
      </c>
      <c r="B66" s="10" t="inlineStr">
        <is>
          <t>지배순이익 ÷ 주식수</t>
        </is>
      </c>
      <c r="C66" s="28" t="n"/>
      <c r="D66" s="29" t="n"/>
      <c r="E66" s="29" t="n"/>
      <c r="F66" s="29" t="n"/>
      <c r="G66" s="29" t="n"/>
      <c r="H66" s="29" t="n"/>
      <c r="I66" s="29" t="n"/>
      <c r="J66" s="29" t="n"/>
      <c r="K66" s="29" t="n"/>
      <c r="L66" s="29" t="n"/>
      <c r="M66" s="29" t="n"/>
      <c r="N66" s="29" t="n"/>
      <c r="O66" s="28">
        <f>IF(OR(O56="",$B$60=""),"",IFERROR(O56*1000000.0/$B$60,""))</f>
        <v/>
      </c>
      <c r="P66" s="29">
        <f>IF(OR(P56="",$B$60=""),"",IFERROR(P56*1000000.0/$B$60,""))</f>
        <v/>
      </c>
      <c r="Q66" s="29">
        <f>IF(OR(Q56="",$B$60=""),"",IFERROR(Q56*1000000.0/$B$60,""))</f>
        <v/>
      </c>
      <c r="R66" s="29">
        <f>IF(OR(R56="",$B$60=""),"",IFERROR(R56*1000000.0/$B$60,""))</f>
        <v/>
      </c>
      <c r="S66" s="29">
        <f>IF(OR(S56="",$B$60=""),"",IFERROR(S56*1000000.0/$B$60,""))</f>
        <v/>
      </c>
      <c r="T66" s="29">
        <f>IF(OR(T56="",$B$60=""),"",IFERROR(T56*1000000.0/$B$60,""))</f>
        <v/>
      </c>
      <c r="U66" s="29">
        <f>IF(OR(U56="",$B$60=""),"",IFERROR(U56*1000000.0/$B$60,""))</f>
        <v/>
      </c>
      <c r="V66" s="29">
        <f>IF(OR(V56="",$B$60=""),"",IFERROR(V56*1000000.0/$B$60,""))</f>
        <v/>
      </c>
      <c r="W66" s="29">
        <f>IF(OR(W56="",$B$60=""),"",IFERROR(W56*1000000.0/$B$60,""))</f>
        <v/>
      </c>
      <c r="X66" s="29">
        <f>IF(OR(X56="",$B$60=""),"",IFERROR(X56*1000000.0/$B$60,""))</f>
        <v/>
      </c>
      <c r="Y66" s="28">
        <f>IF(OR(Y56="",$B$60=""),"",IFERROR(Y56*1000000.0/$B$60,""))</f>
        <v/>
      </c>
      <c r="Z66" s="29">
        <f>IF(OR(Z56="",$B$60=""),"",IFERROR(Z56*1000000.0/$B$60,""))</f>
        <v/>
      </c>
      <c r="AA66" s="29">
        <f>IF(OR(AA56="",$B$60=""),"",IFERROR(AA56*1000000.0/$B$60,""))</f>
        <v/>
      </c>
      <c r="AB66" s="29">
        <f>IF(OR(AB56="",$B$60=""),"",IFERROR(AB56*1000000.0/$B$60,""))</f>
        <v/>
      </c>
      <c r="AC66" s="29">
        <f>IF(OR(AC56="",$B$60=""),"",IFERROR(AC56*1000000.0/$B$60,""))</f>
        <v/>
      </c>
    </row>
    <row r="67">
      <c r="A67" s="9" t="inlineStr">
        <is>
          <t>목표주가</t>
        </is>
      </c>
      <c r="B67" s="10" t="n"/>
      <c r="C67" s="34" t="n"/>
      <c r="D67" s="27" t="n"/>
      <c r="E67" s="27" t="n"/>
      <c r="F67" s="27" t="n"/>
      <c r="G67" s="27" t="n"/>
      <c r="H67" s="27" t="n"/>
      <c r="I67" s="27" t="n"/>
      <c r="J67" s="27" t="n"/>
      <c r="K67" s="27" t="n"/>
      <c r="L67" s="27" t="n"/>
      <c r="M67" s="27" t="n"/>
      <c r="N67" s="27" t="n"/>
      <c r="O67" s="34" t="n"/>
      <c r="P67" s="27" t="n"/>
      <c r="Q67" s="27" t="n"/>
      <c r="R67" s="27" t="n"/>
      <c r="S67" s="27" t="n"/>
      <c r="T67" s="27" t="n"/>
      <c r="U67" s="27" t="n"/>
      <c r="V67" s="27" t="n"/>
      <c r="W67" s="27" t="n"/>
      <c r="X67" s="27" t="n"/>
      <c r="Y67" s="34">
        <f>IF(OR(Y66="",Y65=""),"",IFERROR(Y66*Y65,""))</f>
        <v/>
      </c>
      <c r="Z67" s="27">
        <f>IF(OR(Z66="",Z65=""),"",IFERROR(Z66*Z65,""))</f>
        <v/>
      </c>
      <c r="AA67" s="27">
        <f>IF(OR(AA66="",AA65=""),"",IFERROR(AA66*AA65,""))</f>
        <v/>
      </c>
      <c r="AB67" s="27">
        <f>IF(OR(AB66="",AB65=""),"",IFERROR(AB66*AB65,""))</f>
        <v/>
      </c>
      <c r="AC67" s="27">
        <f>IF(OR(AC66="",AC65=""),"",IFERROR(AC66*AC65,""))</f>
        <v/>
      </c>
    </row>
    <row r="68">
      <c r="A68" s="18" t="inlineStr">
        <is>
          <t>상승여력</t>
        </is>
      </c>
      <c r="B68" s="10" t="n"/>
      <c r="C68" s="35" t="n"/>
      <c r="D68" s="36" t="n"/>
      <c r="E68" s="36" t="n"/>
      <c r="F68" s="36" t="n"/>
      <c r="G68" s="36" t="n"/>
      <c r="H68" s="36" t="n"/>
      <c r="I68" s="36" t="n"/>
      <c r="J68" s="36" t="n"/>
      <c r="K68" s="36" t="n"/>
      <c r="L68" s="36" t="n"/>
      <c r="M68" s="36" t="n"/>
      <c r="N68" s="36" t="n"/>
      <c r="O68" s="35" t="n"/>
      <c r="P68" s="36" t="n"/>
      <c r="Q68" s="36" t="n"/>
      <c r="R68" s="36" t="n"/>
      <c r="S68" s="36" t="n"/>
      <c r="T68" s="36" t="n"/>
      <c r="U68" s="36" t="n"/>
      <c r="V68" s="36" t="n"/>
      <c r="W68" s="36" t="n"/>
      <c r="X68" s="36" t="n"/>
      <c r="Y68" s="37">
        <f>IF(OR(Y67="",$B$59=""),"",IFERROR(Y67/$B$59-1,""))</f>
        <v/>
      </c>
      <c r="Z68" s="38">
        <f>IF(OR(Z67="",$B$59=""),"",IFERROR(Z67/$B$59-1,""))</f>
        <v/>
      </c>
      <c r="AA68" s="38">
        <f>IF(OR(AA67="",$B$59=""),"",IFERROR(AA67/$B$59-1,""))</f>
        <v/>
      </c>
      <c r="AB68" s="38">
        <f>IF(OR(AB67="",$B$59=""),"",IFERROR(AB67/$B$59-1,""))</f>
        <v/>
      </c>
      <c r="AC68" s="38">
        <f>IF(OR(AC67="",$B$59=""),"",IFERROR(AC67/$B$59-1,""))</f>
        <v/>
      </c>
    </row>
    <row r="69">
      <c r="A69" s="16" t="inlineStr">
        <is>
          <t>자산가치 산출</t>
        </is>
      </c>
      <c r="B69" s="16" t="inlineStr">
        <is>
          <t>최신 분기 BS</t>
        </is>
      </c>
      <c r="C69" s="17" t="n"/>
      <c r="D69" s="16" t="n"/>
      <c r="E69" s="16" t="n"/>
      <c r="F69" s="16" t="n"/>
      <c r="G69" s="16" t="n"/>
      <c r="H69" s="16" t="n"/>
      <c r="I69" s="16" t="n"/>
      <c r="J69" s="16" t="n"/>
      <c r="K69" s="16" t="n"/>
      <c r="L69" s="16" t="n"/>
      <c r="M69" s="16" t="n"/>
      <c r="N69" s="16" t="n"/>
      <c r="O69" s="17" t="n"/>
      <c r="P69" s="16" t="n"/>
      <c r="Q69" s="16" t="n"/>
      <c r="R69" s="16" t="n"/>
      <c r="S69" s="16" t="n"/>
      <c r="T69" s="16" t="n"/>
      <c r="U69" s="16" t="n"/>
      <c r="V69" s="16" t="n"/>
      <c r="W69" s="16" t="n"/>
      <c r="X69" s="16" t="n"/>
      <c r="Y69" s="17" t="n"/>
      <c r="Z69" s="16" t="n"/>
      <c r="AA69" s="16" t="n"/>
      <c r="AB69" s="16" t="n"/>
      <c r="AC69" s="16" t="n"/>
    </row>
    <row r="70">
      <c r="A70" s="18" t="inlineStr">
        <is>
          <t>현금및현금성자산</t>
        </is>
      </c>
      <c r="B70" s="10" t="n"/>
      <c r="C70" s="19" t="n"/>
      <c r="D70" s="20" t="n"/>
      <c r="E70" s="20" t="n"/>
      <c r="F70" s="20" t="n"/>
      <c r="G70" s="20" t="n"/>
      <c r="H70" s="20" t="n"/>
      <c r="I70" s="20" t="n"/>
      <c r="J70" s="20" t="n"/>
      <c r="K70" s="20" t="n"/>
      <c r="L70" s="20" t="n"/>
      <c r="M70" s="20" t="n"/>
      <c r="N70" s="20" t="n"/>
      <c r="O70" s="19" t="n"/>
      <c r="P70" s="20" t="n"/>
      <c r="Q70" s="20" t="n"/>
      <c r="R70" s="20" t="n"/>
      <c r="S70" s="20" t="n"/>
      <c r="T70" s="20" t="n"/>
      <c r="U70" s="20" t="n"/>
      <c r="V70" s="20" t="n"/>
      <c r="W70" s="20" t="n"/>
      <c r="X70" s="20">
        <f>'재무상태표'!G6</f>
        <v/>
      </c>
      <c r="Y70" s="19">
        <f>'재무상태표'!G6</f>
        <v/>
      </c>
      <c r="Z70" s="20">
        <f>'재무상태표'!G6</f>
        <v/>
      </c>
      <c r="AA70" s="20">
        <f>'재무상태표'!G6</f>
        <v/>
      </c>
      <c r="AB70" s="20">
        <f>'재무상태표'!G6</f>
        <v/>
      </c>
      <c r="AC70" s="20">
        <f>'재무상태표'!G6</f>
        <v/>
      </c>
    </row>
    <row r="71">
      <c r="A71" s="18" t="inlineStr">
        <is>
          <t>단기금융상품</t>
        </is>
      </c>
      <c r="B71" s="10" t="n"/>
      <c r="C71" s="19" t="n"/>
      <c r="D71" s="20" t="n"/>
      <c r="E71" s="20" t="n"/>
      <c r="F71" s="20" t="n"/>
      <c r="G71" s="20" t="n"/>
      <c r="H71" s="20" t="n"/>
      <c r="I71" s="20" t="n"/>
      <c r="J71" s="20" t="n"/>
      <c r="K71" s="20" t="n"/>
      <c r="L71" s="20" t="n"/>
      <c r="M71" s="20" t="n"/>
      <c r="N71" s="20" t="n"/>
      <c r="O71" s="19" t="n"/>
      <c r="P71" s="20" t="n"/>
      <c r="Q71" s="20" t="n"/>
      <c r="R71" s="20" t="n"/>
      <c r="S71" s="20" t="n"/>
      <c r="T71" s="20" t="n"/>
      <c r="U71" s="20" t="n"/>
      <c r="V71" s="20" t="n"/>
      <c r="W71" s="20" t="n"/>
      <c r="X71" s="20">
        <f>'재무상태표'!G7</f>
        <v/>
      </c>
      <c r="Y71" s="19">
        <f>'재무상태표'!G7</f>
        <v/>
      </c>
      <c r="Z71" s="20">
        <f>'재무상태표'!G7</f>
        <v/>
      </c>
      <c r="AA71" s="20">
        <f>'재무상태표'!G7</f>
        <v/>
      </c>
      <c r="AB71" s="20">
        <f>'재무상태표'!G7</f>
        <v/>
      </c>
      <c r="AC71" s="20">
        <f>'재무상태표'!G7</f>
        <v/>
      </c>
    </row>
    <row r="72">
      <c r="A72" s="18" t="inlineStr">
        <is>
          <t>투자부동산</t>
        </is>
      </c>
      <c r="B72" s="10" t="n"/>
      <c r="C72" s="19" t="n"/>
      <c r="D72" s="20" t="n"/>
      <c r="E72" s="20" t="n"/>
      <c r="F72" s="20" t="n"/>
      <c r="G72" s="20" t="n"/>
      <c r="H72" s="20" t="n"/>
      <c r="I72" s="20" t="n"/>
      <c r="J72" s="20" t="n"/>
      <c r="K72" s="20" t="n"/>
      <c r="L72" s="20" t="n"/>
      <c r="M72" s="20" t="n"/>
      <c r="N72" s="20" t="n"/>
      <c r="O72" s="19" t="n"/>
      <c r="P72" s="20" t="n"/>
      <c r="Q72" s="20" t="n"/>
      <c r="R72" s="20" t="n"/>
      <c r="S72" s="20" t="n"/>
      <c r="T72" s="20" t="n"/>
      <c r="U72" s="20" t="n"/>
      <c r="V72" s="20" t="n"/>
      <c r="W72" s="20" t="n"/>
      <c r="X72" s="20">
        <f>'재무상태표'!G14</f>
        <v/>
      </c>
      <c r="Y72" s="19">
        <f>'재무상태표'!G14</f>
        <v/>
      </c>
      <c r="Z72" s="20">
        <f>'재무상태표'!G14</f>
        <v/>
      </c>
      <c r="AA72" s="20">
        <f>'재무상태표'!G14</f>
        <v/>
      </c>
      <c r="AB72" s="20">
        <f>'재무상태표'!G14</f>
        <v/>
      </c>
      <c r="AC72" s="20">
        <f>'재무상태표'!G14</f>
        <v/>
      </c>
    </row>
    <row r="73">
      <c r="A73" s="18" t="inlineStr">
        <is>
          <t>지배자본</t>
        </is>
      </c>
      <c r="B73" s="10" t="n"/>
      <c r="C73" s="19" t="n"/>
      <c r="D73" s="20" t="n"/>
      <c r="E73" s="20" t="n"/>
      <c r="F73" s="20" t="n"/>
      <c r="G73" s="20" t="n"/>
      <c r="H73" s="20" t="n"/>
      <c r="I73" s="20" t="n"/>
      <c r="J73" s="20" t="n"/>
      <c r="K73" s="20" t="n"/>
      <c r="L73" s="20" t="n"/>
      <c r="M73" s="20" t="n"/>
      <c r="N73" s="20" t="n"/>
      <c r="O73" s="19" t="n"/>
      <c r="P73" s="20" t="n"/>
      <c r="Q73" s="20" t="n"/>
      <c r="R73" s="20" t="n"/>
      <c r="S73" s="20" t="n"/>
      <c r="T73" s="20" t="n"/>
      <c r="U73" s="20" t="n"/>
      <c r="V73" s="20" t="n"/>
      <c r="W73" s="20" t="n"/>
      <c r="X73" s="20">
        <f>'재무상태표'!G31</f>
        <v/>
      </c>
      <c r="Y73" s="19">
        <f>'재무상태표'!G31</f>
        <v/>
      </c>
      <c r="Z73" s="20">
        <f>'재무상태표'!G31</f>
        <v/>
      </c>
      <c r="AA73" s="20">
        <f>'재무상태표'!G31</f>
        <v/>
      </c>
      <c r="AB73" s="20">
        <f>'재무상태표'!G31</f>
        <v/>
      </c>
      <c r="AC73" s="20">
        <f>'재무상태표'!G31</f>
        <v/>
      </c>
    </row>
    <row r="74">
      <c r="A74" s="18" t="inlineStr">
        <is>
          <t>부채</t>
        </is>
      </c>
      <c r="B74" s="10" t="n"/>
      <c r="C74" s="19" t="n"/>
      <c r="D74" s="20" t="n"/>
      <c r="E74" s="20" t="n"/>
      <c r="F74" s="20" t="n"/>
      <c r="G74" s="20" t="n"/>
      <c r="H74" s="20" t="n"/>
      <c r="I74" s="20" t="n"/>
      <c r="J74" s="20" t="n"/>
      <c r="K74" s="20" t="n"/>
      <c r="L74" s="20" t="n"/>
      <c r="M74" s="20" t="n"/>
      <c r="N74" s="20" t="n"/>
      <c r="O74" s="19" t="n"/>
      <c r="P74" s="20" t="n"/>
      <c r="Q74" s="20" t="n"/>
      <c r="R74" s="20" t="n"/>
      <c r="S74" s="20" t="n"/>
      <c r="T74" s="20" t="n"/>
      <c r="U74" s="20" t="n"/>
      <c r="V74" s="20" t="n"/>
      <c r="W74" s="20" t="n"/>
      <c r="X74" s="20">
        <f>'재무상태표'!G27</f>
        <v/>
      </c>
      <c r="Y74" s="19">
        <f>'재무상태표'!G27</f>
        <v/>
      </c>
      <c r="Z74" s="20">
        <f>'재무상태표'!G27</f>
        <v/>
      </c>
      <c r="AA74" s="20">
        <f>'재무상태표'!G27</f>
        <v/>
      </c>
      <c r="AB74" s="20">
        <f>'재무상태표'!G27</f>
        <v/>
      </c>
      <c r="AC74" s="20">
        <f>'재무상태표'!G27</f>
        <v/>
      </c>
    </row>
    <row r="75">
      <c r="A75" s="13" t="inlineStr">
        <is>
          <t>부채비율</t>
        </is>
      </c>
      <c r="B75" s="10" t="n"/>
      <c r="C75" s="14" t="n"/>
      <c r="D75" s="15" t="n"/>
      <c r="E75" s="15" t="n"/>
      <c r="F75" s="15" t="n"/>
      <c r="G75" s="15" t="n"/>
      <c r="H75" s="15" t="n"/>
      <c r="I75" s="15" t="n"/>
      <c r="J75" s="15" t="n"/>
      <c r="K75" s="15" t="n"/>
      <c r="L75" s="15" t="n"/>
      <c r="M75" s="15" t="n"/>
      <c r="N75" s="15" t="n"/>
      <c r="O75" s="14" t="n"/>
      <c r="P75" s="15" t="n"/>
      <c r="Q75" s="15" t="n"/>
      <c r="R75" s="15" t="n"/>
      <c r="S75" s="15" t="n"/>
      <c r="T75" s="15" t="n"/>
      <c r="U75" s="15" t="n"/>
      <c r="V75" s="15" t="n"/>
      <c r="W75" s="15" t="n"/>
      <c r="X75" s="15">
        <f>IF(OR(X74="",X73=""),"",IFERROR(X74/X73,""))</f>
        <v/>
      </c>
      <c r="Y75" s="14">
        <f>IF(OR(Y74="",Y73=""),"",IFERROR(Y74/Y73,""))</f>
        <v/>
      </c>
      <c r="Z75" s="15">
        <f>IF(OR(Z74="",Z73=""),"",IFERROR(Z74/Z73,""))</f>
        <v/>
      </c>
      <c r="AA75" s="15">
        <f>IF(OR(AA74="",AA73=""),"",IFERROR(AA74/AA73,""))</f>
        <v/>
      </c>
      <c r="AB75" s="15">
        <f>IF(OR(AB74="",AB73=""),"",IFERROR(AB74/AB73,""))</f>
        <v/>
      </c>
      <c r="AC75" s="15">
        <f>IF(OR(AC74="",AC73=""),"",IFERROR(AC74/AC73,""))</f>
        <v/>
      </c>
    </row>
    <row r="76">
      <c r="A76" s="9" t="inlineStr">
        <is>
          <t>자산가치</t>
        </is>
      </c>
      <c r="B76" s="10" t="inlineStr">
        <is>
          <t>현금+단기금융+투자부동산</t>
        </is>
      </c>
      <c r="C76" s="11" t="n"/>
      <c r="D76" s="12" t="n"/>
      <c r="E76" s="12" t="n"/>
      <c r="F76" s="12" t="n"/>
      <c r="G76" s="12" t="n"/>
      <c r="H76" s="12" t="n"/>
      <c r="I76" s="12" t="n"/>
      <c r="J76" s="12" t="n"/>
      <c r="K76" s="12" t="n"/>
      <c r="L76" s="12" t="n"/>
      <c r="M76" s="12" t="n"/>
      <c r="N76" s="12" t="n"/>
      <c r="O76" s="11" t="n"/>
      <c r="P76" s="12" t="n"/>
      <c r="Q76" s="12" t="n"/>
      <c r="R76" s="12" t="n"/>
      <c r="S76" s="12" t="n"/>
      <c r="T76" s="12" t="n"/>
      <c r="U76" s="12" t="n"/>
      <c r="V76" s="12" t="n"/>
      <c r="W76" s="12" t="n"/>
      <c r="X76" s="12">
        <f>SUM(X70,X71,X72)</f>
        <v/>
      </c>
      <c r="Y76" s="11">
        <f>SUM(Y70,Y71,Y72)</f>
        <v/>
      </c>
      <c r="Z76" s="12">
        <f>SUM(Z70,Z71,Z72)</f>
        <v/>
      </c>
      <c r="AA76" s="12">
        <f>SUM(AA70,AA71,AA72)</f>
        <v/>
      </c>
      <c r="AB76" s="12">
        <f>SUM(AB70,AB71,AB72)</f>
        <v/>
      </c>
      <c r="AC76" s="12">
        <f>SUM(AC70,AC71,AC72)</f>
        <v/>
      </c>
    </row>
    <row r="77">
      <c r="A77" s="16" t="inlineStr">
        <is>
          <t>기업가치 산출</t>
        </is>
      </c>
      <c r="B77" s="16" t="n"/>
      <c r="C77" s="17" t="n"/>
      <c r="D77" s="16" t="n"/>
      <c r="E77" s="16" t="n"/>
      <c r="F77" s="16" t="n"/>
      <c r="G77" s="16" t="n"/>
      <c r="H77" s="16" t="n"/>
      <c r="I77" s="16" t="n"/>
      <c r="J77" s="16" t="n"/>
      <c r="K77" s="16" t="n"/>
      <c r="L77" s="16" t="n"/>
      <c r="M77" s="16" t="n"/>
      <c r="N77" s="16" t="n"/>
      <c r="O77" s="17" t="n"/>
      <c r="P77" s="16" t="n"/>
      <c r="Q77" s="16" t="n"/>
      <c r="R77" s="16" t="n"/>
      <c r="S77" s="16" t="n"/>
      <c r="T77" s="16" t="n"/>
      <c r="U77" s="16" t="n"/>
      <c r="V77" s="16" t="n"/>
      <c r="W77" s="16" t="n"/>
      <c r="X77" s="16" t="n"/>
      <c r="Y77" s="17" t="n"/>
      <c r="Z77" s="16" t="n"/>
      <c r="AA77" s="16" t="n"/>
      <c r="AB77" s="16" t="n"/>
      <c r="AC77" s="16" t="n"/>
    </row>
    <row r="78">
      <c r="A78" s="18" t="inlineStr">
        <is>
          <t>목표 시가총액 (P/E)</t>
        </is>
      </c>
      <c r="B78" s="10" t="inlineStr">
        <is>
          <t>지배순이익 × Target P/E</t>
        </is>
      </c>
      <c r="C78" s="19" t="n"/>
      <c r="D78" s="20" t="n"/>
      <c r="E78" s="20" t="n"/>
      <c r="F78" s="20" t="n"/>
      <c r="G78" s="20" t="n"/>
      <c r="H78" s="20" t="n"/>
      <c r="I78" s="20" t="n"/>
      <c r="J78" s="20" t="n"/>
      <c r="K78" s="20" t="n"/>
      <c r="L78" s="20" t="n"/>
      <c r="M78" s="20" t="n"/>
      <c r="N78" s="20" t="n"/>
      <c r="O78" s="19" t="n"/>
      <c r="P78" s="20" t="n"/>
      <c r="Q78" s="20" t="n"/>
      <c r="R78" s="20" t="n"/>
      <c r="S78" s="20" t="n"/>
      <c r="T78" s="20" t="n"/>
      <c r="U78" s="20" t="n"/>
      <c r="V78" s="20" t="n"/>
      <c r="W78" s="20" t="n"/>
      <c r="X78" s="20" t="n"/>
      <c r="Y78" s="19">
        <f>IF(OR(Y56="",Y65=""),"",IFERROR(Y56*Y65,""))</f>
        <v/>
      </c>
      <c r="Z78" s="20">
        <f>IF(OR(Z56="",Z65=""),"",IFERROR(Z56*Z65,""))</f>
        <v/>
      </c>
      <c r="AA78" s="20">
        <f>IF(OR(AA56="",AA65=""),"",IFERROR(AA56*AA65,""))</f>
        <v/>
      </c>
      <c r="AB78" s="20">
        <f>IF(OR(AB56="",AB65=""),"",IFERROR(AB56*AB65,""))</f>
        <v/>
      </c>
      <c r="AC78" s="20">
        <f>IF(OR(AC56="",AC65=""),"",IFERROR(AC56*AC65,""))</f>
        <v/>
      </c>
    </row>
    <row r="79">
      <c r="A79" s="9" t="inlineStr">
        <is>
          <t>기업가치</t>
        </is>
      </c>
      <c r="B79" s="10" t="inlineStr">
        <is>
          <t>목표시총 + 자산가치</t>
        </is>
      </c>
      <c r="C79" s="11" t="n"/>
      <c r="D79" s="12" t="n"/>
      <c r="E79" s="12" t="n"/>
      <c r="F79" s="12" t="n"/>
      <c r="G79" s="12" t="n"/>
      <c r="H79" s="12" t="n"/>
      <c r="I79" s="12" t="n"/>
      <c r="J79" s="12" t="n"/>
      <c r="K79" s="12" t="n"/>
      <c r="L79" s="12" t="n"/>
      <c r="M79" s="12" t="n"/>
      <c r="N79" s="12" t="n"/>
      <c r="O79" s="11" t="n"/>
      <c r="P79" s="12" t="n"/>
      <c r="Q79" s="12" t="n"/>
      <c r="R79" s="12" t="n"/>
      <c r="S79" s="12" t="n"/>
      <c r="T79" s="12" t="n"/>
      <c r="U79" s="12" t="n"/>
      <c r="V79" s="12" t="n"/>
      <c r="W79" s="12" t="n"/>
      <c r="X79" s="12" t="n"/>
      <c r="Y79" s="11">
        <f>IF(OR(Y78=""),"",IFERROR(Y78+Y76,""))</f>
        <v/>
      </c>
      <c r="Z79" s="12">
        <f>IF(OR(Z78=""),"",IFERROR(Z78+Z76,""))</f>
        <v/>
      </c>
      <c r="AA79" s="12">
        <f>IF(OR(AA78=""),"",IFERROR(AA78+AA76,""))</f>
        <v/>
      </c>
      <c r="AB79" s="12">
        <f>IF(OR(AB78=""),"",IFERROR(AB78+AB76,""))</f>
        <v/>
      </c>
      <c r="AC79" s="12">
        <f>IF(OR(AC78=""),"",IFERROR(AC78+AC76,""))</f>
        <v/>
      </c>
    </row>
    <row r="80">
      <c r="A80" s="18" t="inlineStr">
        <is>
          <t>현재 시가총액</t>
        </is>
      </c>
      <c r="B80" s="10" t="n"/>
      <c r="C80" s="19" t="n"/>
      <c r="D80" s="20" t="n"/>
      <c r="E80" s="20" t="n"/>
      <c r="F80" s="20" t="n"/>
      <c r="G80" s="20" t="n"/>
      <c r="H80" s="20" t="n"/>
      <c r="I80" s="20" t="n"/>
      <c r="J80" s="20" t="n"/>
      <c r="K80" s="20" t="n"/>
      <c r="L80" s="20" t="n"/>
      <c r="M80" s="20" t="n"/>
      <c r="N80" s="20" t="n"/>
      <c r="O80" s="19" t="n"/>
      <c r="P80" s="20" t="n"/>
      <c r="Q80" s="20" t="n"/>
      <c r="R80" s="20" t="n"/>
      <c r="S80" s="20" t="n"/>
      <c r="T80" s="20" t="n"/>
      <c r="U80" s="20" t="n"/>
      <c r="V80" s="20" t="n"/>
      <c r="W80" s="20" t="n"/>
      <c r="X80" s="20" t="n"/>
      <c r="Y80" s="19">
        <f>$B$61</f>
        <v/>
      </c>
      <c r="Z80" s="20">
        <f>$B$61</f>
        <v/>
      </c>
      <c r="AA80" s="20">
        <f>$B$61</f>
        <v/>
      </c>
      <c r="AB80" s="20">
        <f>$B$61</f>
        <v/>
      </c>
      <c r="AC80" s="20">
        <f>$B$61</f>
        <v/>
      </c>
    </row>
    <row r="81">
      <c r="A81" s="18" t="inlineStr">
        <is>
          <t>상승여력</t>
        </is>
      </c>
      <c r="B81" s="10" t="n"/>
      <c r="C81" s="35" t="n"/>
      <c r="D81" s="36" t="n"/>
      <c r="E81" s="36" t="n"/>
      <c r="F81" s="36" t="n"/>
      <c r="G81" s="36" t="n"/>
      <c r="H81" s="36" t="n"/>
      <c r="I81" s="36" t="n"/>
      <c r="J81" s="36" t="n"/>
      <c r="K81" s="36" t="n"/>
      <c r="L81" s="36" t="n"/>
      <c r="M81" s="36" t="n"/>
      <c r="N81" s="36" t="n"/>
      <c r="O81" s="35" t="n"/>
      <c r="P81" s="36" t="n"/>
      <c r="Q81" s="36" t="n"/>
      <c r="R81" s="36" t="n"/>
      <c r="S81" s="36" t="n"/>
      <c r="T81" s="36" t="n"/>
      <c r="U81" s="36" t="n"/>
      <c r="V81" s="36" t="n"/>
      <c r="W81" s="36" t="n"/>
      <c r="X81" s="36" t="n"/>
      <c r="Y81" s="37">
        <f>IF(OR(Y79="",Y80=""),"",IFERROR(Y79/Y80-1,""))</f>
        <v/>
      </c>
      <c r="Z81" s="38">
        <f>IF(OR(Z79="",Z80=""),"",IFERROR(Z79/Z80-1,""))</f>
        <v/>
      </c>
      <c r="AA81" s="38">
        <f>IF(OR(AA79="",AA80=""),"",IFERROR(AA79/AA80-1,""))</f>
        <v/>
      </c>
      <c r="AB81" s="38">
        <f>IF(OR(AB79="",AB80=""),"",IFERROR(AB79/AB80-1,""))</f>
        <v/>
      </c>
      <c r="AC81" s="38">
        <f>IF(OR(AC79="",AC80=""),"",IFERROR(AC79/AC80-1,""))</f>
        <v/>
      </c>
    </row>
    <row r="82">
      <c r="C82" s="39" t="n"/>
      <c r="O82" s="39" t="n"/>
      <c r="Y82" s="39" t="n"/>
    </row>
    <row r="83">
      <c r="A83" s="40" t="inlineStr">
        <is>
          <t>출처</t>
        </is>
      </c>
      <c r="C83" s="39" t="n"/>
      <c r="O83" s="39" t="n"/>
      <c r="Y83" s="39" t="n"/>
    </row>
    <row r="84">
      <c r="A84" s="41" t="inlineStr">
        <is>
          <t>결산단신 XBRL(TDnet·JPX 보관소) — 쓴 문서는 '출처' 시트</t>
        </is>
      </c>
      <c r="C84" s="39" t="n"/>
      <c r="O84" s="39" t="n"/>
      <c r="Y84" s="39" t="n"/>
    </row>
    <row r="85">
      <c r="A85" s="41" t="inlineStr">
        <is>
          <t>분기 = 누계에서 앞 분기를 뺀 3개월 값</t>
        </is>
      </c>
      <c r="C85" s="39" t="n"/>
      <c r="O85" s="39" t="n"/>
      <c r="Y85" s="39" t="n"/>
    </row>
    <row r="86">
      <c r="A86" s="41" t="inlineStr">
        <is>
          <t>주가: 야후 파이낸스 일봉 2026.10.26</t>
        </is>
      </c>
      <c r="C86" s="39" t="n"/>
      <c r="O86" s="39" t="n"/>
      <c r="Y86" s="39" t="n"/>
    </row>
    <row r="88">
      <c r="A88" s="16" t="inlineStr">
        <is>
          <t>손익계산서 · 전 항목</t>
        </is>
      </c>
      <c r="B88" s="42" t="inlineStr">
        <is>
          <t>분기 = 3개월 단독</t>
        </is>
      </c>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c r="Z88" s="16" t="n"/>
      <c r="AA88" s="16" t="n"/>
      <c r="AB88" s="16" t="n"/>
      <c r="AC88" s="16" t="n"/>
    </row>
    <row r="89">
      <c r="A89" s="5" t="inlineStr">
        <is>
          <t>항목</t>
        </is>
      </c>
      <c r="B89" s="5" t="inlineStr">
        <is>
          <t>참고</t>
        </is>
      </c>
      <c r="C89" s="5" t="inlineStr">
        <is>
          <t>2024.2Q</t>
        </is>
      </c>
      <c r="D89" s="5" t="inlineStr">
        <is>
          <t>2024.3Q</t>
        </is>
      </c>
      <c r="E89" s="5" t="inlineStr">
        <is>
          <t>2024.4Q</t>
        </is>
      </c>
      <c r="F89" s="5" t="inlineStr">
        <is>
          <t>2025.1Q</t>
        </is>
      </c>
      <c r="G89" s="5" t="inlineStr">
        <is>
          <t>2025.2Q</t>
        </is>
      </c>
      <c r="H89" s="5" t="inlineStr">
        <is>
          <t>2025.3Q</t>
        </is>
      </c>
      <c r="I89" s="5" t="inlineStr">
        <is>
          <t>2025.4Q</t>
        </is>
      </c>
      <c r="J89" s="5" t="inlineStr">
        <is>
          <t>2026.1Q</t>
        </is>
      </c>
      <c r="K89" s="5" t="inlineStr">
        <is>
          <t>2026.2Q</t>
        </is>
      </c>
      <c r="L89" s="5" t="inlineStr">
        <is>
          <t>2026.3Q</t>
        </is>
      </c>
      <c r="M89" s="5" t="inlineStr">
        <is>
          <t>2026.4Q</t>
        </is>
      </c>
      <c r="N89" s="5" t="inlineStr">
        <is>
          <t>2027.1Q</t>
        </is>
      </c>
      <c r="O89" s="5" t="inlineStr">
        <is>
          <t>2017</t>
        </is>
      </c>
      <c r="P89" s="5" t="inlineStr">
        <is>
          <t>2018</t>
        </is>
      </c>
      <c r="Q89" s="5" t="inlineStr">
        <is>
          <t>2019</t>
        </is>
      </c>
      <c r="R89" s="5" t="inlineStr">
        <is>
          <t>2020</t>
        </is>
      </c>
      <c r="S89" s="5" t="inlineStr">
        <is>
          <t>2021</t>
        </is>
      </c>
      <c r="T89" s="5" t="inlineStr">
        <is>
          <t>2022</t>
        </is>
      </c>
      <c r="U89" s="5" t="inlineStr">
        <is>
          <t>2023</t>
        </is>
      </c>
      <c r="V89" s="5" t="inlineStr">
        <is>
          <t>2024</t>
        </is>
      </c>
      <c r="W89" s="5" t="inlineStr">
        <is>
          <t>2025</t>
        </is>
      </c>
      <c r="X89" s="5" t="inlineStr">
        <is>
          <t>2026</t>
        </is>
      </c>
      <c r="Y89" s="5" t="inlineStr">
        <is>
          <t>2027(MW)</t>
        </is>
      </c>
      <c r="Z89" s="5" t="inlineStr">
        <is>
          <t>2028(MW)</t>
        </is>
      </c>
      <c r="AA89" s="5" t="inlineStr">
        <is>
          <t>2029(MW)</t>
        </is>
      </c>
      <c r="AB89" s="5" t="inlineStr">
        <is>
          <t>2030(MW)</t>
        </is>
      </c>
      <c r="AC89" s="5" t="inlineStr">
        <is>
          <t>2031(MW)</t>
        </is>
      </c>
    </row>
    <row r="90">
      <c r="A90" s="9" t="inlineStr">
        <is>
          <t>매출액</t>
        </is>
      </c>
      <c r="C90" s="12" t="n">
        <v>500461</v>
      </c>
      <c r="D90" s="12" t="n">
        <v>559250</v>
      </c>
      <c r="E90" s="12" t="n">
        <v>484915</v>
      </c>
      <c r="F90" s="12" t="n">
        <v>581043</v>
      </c>
      <c r="G90" s="12" t="n">
        <v>508458</v>
      </c>
      <c r="H90" s="12" t="n">
        <v>581043</v>
      </c>
      <c r="I90" s="12" t="n">
        <v>534262</v>
      </c>
      <c r="J90" s="12" t="n">
        <v>535753</v>
      </c>
      <c r="K90" s="12" t="n">
        <v>647610</v>
      </c>
      <c r="L90" s="12" t="n">
        <v>675203</v>
      </c>
      <c r="M90" s="12" t="n">
        <v>646254</v>
      </c>
      <c r="N90" s="12" t="n">
        <v>741005</v>
      </c>
      <c r="T90" s="12" t="n">
        <v>508269</v>
      </c>
      <c r="U90" s="12" t="n">
        <v>471852</v>
      </c>
      <c r="V90" s="12" t="n">
        <v>484915</v>
      </c>
      <c r="W90" s="12" t="n">
        <v>534262</v>
      </c>
      <c r="X90" s="12" t="n">
        <v>646254</v>
      </c>
    </row>
    <row r="91">
      <c r="A91" s="43" t="inlineStr">
        <is>
          <t>YoY</t>
        </is>
      </c>
      <c r="B91" s="3" t="inlineStr">
        <is>
          <t>전년 같은 분기·전년 대비</t>
        </is>
      </c>
      <c r="G91" s="15">
        <f>IF(OR(G90="",C90=""),"",IF(C90&lt;=0,"",IFERROR(G90/C90-1,"")))</f>
        <v/>
      </c>
      <c r="H91" s="15">
        <f>IF(OR(H90="",D90=""),"",IF(D90&lt;=0,"",IFERROR(H90/D90-1,"")))</f>
        <v/>
      </c>
      <c r="I91" s="15">
        <f>IF(OR(I90="",E90=""),"",IF(E90&lt;=0,"",IFERROR(I90/E90-1,"")))</f>
        <v/>
      </c>
      <c r="J91" s="15">
        <f>IF(OR(J90="",F90=""),"",IF(F90&lt;=0,"",IFERROR(J90/F90-1,"")))</f>
        <v/>
      </c>
      <c r="K91" s="15">
        <f>IF(OR(K90="",G90=""),"",IF(G90&lt;=0,"",IFERROR(K90/G90-1,"")))</f>
        <v/>
      </c>
      <c r="L91" s="15">
        <f>IF(OR(L90="",H90=""),"",IF(H90&lt;=0,"",IFERROR(L90/H90-1,"")))</f>
        <v/>
      </c>
      <c r="M91" s="15">
        <f>IF(OR(M90="",I90=""),"",IF(I90&lt;=0,"",IFERROR(M90/I90-1,"")))</f>
        <v/>
      </c>
      <c r="N91" s="15">
        <f>IF(OR(N90="",J90=""),"",IF(J90&lt;=0,"",IFERROR(N90/J90-1,"")))</f>
        <v/>
      </c>
      <c r="T91" s="15">
        <f>IF(OR(T90="",S90=""),"",IF(S90&lt;=0,"",IFERROR(T90/S90-1,"")))</f>
        <v/>
      </c>
      <c r="U91" s="15">
        <f>IF(OR(U90="",T90=""),"",IF(T90&lt;=0,"",IFERROR(U90/T90-1,"")))</f>
        <v/>
      </c>
      <c r="V91" s="15">
        <f>IF(OR(V90="",U90=""),"",IF(U90&lt;=0,"",IFERROR(V90/U90-1,"")))</f>
        <v/>
      </c>
      <c r="W91" s="15">
        <f>IF(OR(W90="",V90=""),"",IF(V90&lt;=0,"",IFERROR(W90/V90-1,"")))</f>
        <v/>
      </c>
      <c r="X91" s="15">
        <f>IF(OR(X90="",W90=""),"",IF(W90&lt;=0,"",IFERROR(X90/W90-1,"")))</f>
        <v/>
      </c>
    </row>
    <row r="92">
      <c r="A92" s="18" t="inlineStr">
        <is>
          <t>매출원가</t>
        </is>
      </c>
      <c r="C92" s="20" t="n">
        <v>387962</v>
      </c>
      <c r="D92" s="20" t="n">
        <v>377794</v>
      </c>
      <c r="E92" s="20" t="n">
        <v>357308</v>
      </c>
      <c r="F92" s="20" t="n">
        <v>385311</v>
      </c>
      <c r="G92" s="20" t="n">
        <v>350077</v>
      </c>
      <c r="H92" s="20" t="n">
        <v>385311</v>
      </c>
      <c r="I92" s="20" t="n">
        <v>396065</v>
      </c>
      <c r="J92" s="20" t="n">
        <v>366099</v>
      </c>
      <c r="K92" s="20" t="n">
        <v>432860</v>
      </c>
      <c r="L92" s="20" t="n">
        <v>460069</v>
      </c>
      <c r="M92" s="20" t="n">
        <v>462388</v>
      </c>
      <c r="N92" s="20" t="n">
        <v>513283</v>
      </c>
      <c r="T92" s="20" t="n">
        <v>369924</v>
      </c>
      <c r="U92" s="20" t="n">
        <v>399921</v>
      </c>
      <c r="V92" s="20" t="n">
        <v>357308</v>
      </c>
      <c r="W92" s="20" t="n">
        <v>396065</v>
      </c>
      <c r="X92" s="20" t="n">
        <v>462388</v>
      </c>
    </row>
    <row r="93">
      <c r="A93" s="9" t="inlineStr">
        <is>
          <t>매출총이익</t>
        </is>
      </c>
      <c r="C93" s="12" t="n">
        <v>112499</v>
      </c>
      <c r="D93" s="12" t="n">
        <v>181456</v>
      </c>
      <c r="E93" s="12" t="n">
        <v>127607</v>
      </c>
      <c r="F93" s="12" t="n">
        <v>195732</v>
      </c>
      <c r="G93" s="12" t="n">
        <v>158381</v>
      </c>
      <c r="H93" s="12" t="n">
        <v>195732</v>
      </c>
      <c r="I93" s="12" t="n">
        <v>138197</v>
      </c>
      <c r="J93" s="12" t="n">
        <v>169654</v>
      </c>
      <c r="K93" s="12" t="n">
        <v>214750</v>
      </c>
      <c r="L93" s="12" t="n">
        <v>215134</v>
      </c>
      <c r="M93" s="12" t="n">
        <v>183866</v>
      </c>
      <c r="N93" s="12" t="n">
        <v>227722</v>
      </c>
      <c r="T93" s="12" t="n">
        <v>138345</v>
      </c>
      <c r="U93" s="12" t="n">
        <v>71931</v>
      </c>
      <c r="V93" s="12" t="n">
        <v>127607</v>
      </c>
      <c r="W93" s="12" t="n">
        <v>138197</v>
      </c>
      <c r="X93" s="12" t="n">
        <v>183866</v>
      </c>
    </row>
    <row r="94">
      <c r="A94" s="43" t="inlineStr">
        <is>
          <t>YoY</t>
        </is>
      </c>
      <c r="B94" s="3" t="inlineStr">
        <is>
          <t>전년 같은 분기·전년 대비</t>
        </is>
      </c>
      <c r="G94" s="15">
        <f>IF(OR(G93="",C93=""),"",IF(C93&lt;=0,"",IFERROR(G93/C93-1,"")))</f>
        <v/>
      </c>
      <c r="H94" s="15">
        <f>IF(OR(H93="",D93=""),"",IF(D93&lt;=0,"",IFERROR(H93/D93-1,"")))</f>
        <v/>
      </c>
      <c r="I94" s="15">
        <f>IF(OR(I93="",E93=""),"",IF(E93&lt;=0,"",IFERROR(I93/E93-1,"")))</f>
        <v/>
      </c>
      <c r="J94" s="15">
        <f>IF(OR(J93="",F93=""),"",IF(F93&lt;=0,"",IFERROR(J93/F93-1,"")))</f>
        <v/>
      </c>
      <c r="K94" s="15">
        <f>IF(OR(K93="",G93=""),"",IF(G93&lt;=0,"",IFERROR(K93/G93-1,"")))</f>
        <v/>
      </c>
      <c r="L94" s="15">
        <f>IF(OR(L93="",H93=""),"",IF(H93&lt;=0,"",IFERROR(L93/H93-1,"")))</f>
        <v/>
      </c>
      <c r="M94" s="15">
        <f>IF(OR(M93="",I93=""),"",IF(I93&lt;=0,"",IFERROR(M93/I93-1,"")))</f>
        <v/>
      </c>
      <c r="N94" s="15">
        <f>IF(OR(N93="",J93=""),"",IF(J93&lt;=0,"",IFERROR(N93/J93-1,"")))</f>
        <v/>
      </c>
      <c r="T94" s="15">
        <f>IF(OR(T93="",S93=""),"",IF(S93&lt;=0,"",IFERROR(T93/S93-1,"")))</f>
        <v/>
      </c>
      <c r="U94" s="15">
        <f>IF(OR(U93="",T93=""),"",IF(T93&lt;=0,"",IFERROR(U93/T93-1,"")))</f>
        <v/>
      </c>
      <c r="V94" s="15">
        <f>IF(OR(V93="",U93=""),"",IF(U93&lt;=0,"",IFERROR(V93/U93-1,"")))</f>
        <v/>
      </c>
      <c r="W94" s="15">
        <f>IF(OR(W93="",V93=""),"",IF(V93&lt;=0,"",IFERROR(W93/V93-1,"")))</f>
        <v/>
      </c>
      <c r="X94" s="15">
        <f>IF(OR(X93="",W93=""),"",IF(W93&lt;=0,"",IFERROR(X93/W93-1,"")))</f>
        <v/>
      </c>
    </row>
    <row r="95">
      <c r="A95" s="18" t="inlineStr">
        <is>
          <t>판매비와 관리비</t>
        </is>
      </c>
      <c r="C95" s="20" t="n">
        <v>98373</v>
      </c>
      <c r="D95" s="20" t="n">
        <v>119405</v>
      </c>
      <c r="E95" s="20" t="n">
        <v>115337</v>
      </c>
      <c r="F95" s="20" t="n">
        <v>125090</v>
      </c>
      <c r="G95" s="20" t="n">
        <v>112899</v>
      </c>
      <c r="H95" s="20" t="n">
        <v>125090</v>
      </c>
      <c r="I95" s="20" t="n">
        <v>130950</v>
      </c>
      <c r="J95" s="20" t="n">
        <v>121020</v>
      </c>
      <c r="K95" s="20" t="n">
        <v>129172</v>
      </c>
      <c r="L95" s="20" t="n">
        <v>140891</v>
      </c>
      <c r="M95" s="20" t="n">
        <v>152950</v>
      </c>
      <c r="N95" s="20" t="n">
        <v>153926</v>
      </c>
      <c r="T95" s="20" t="n">
        <v>115231</v>
      </c>
      <c r="U95" s="20" t="n">
        <v>97693</v>
      </c>
      <c r="V95" s="20" t="n">
        <v>115337</v>
      </c>
      <c r="W95" s="20" t="n">
        <v>130950</v>
      </c>
      <c r="X95" s="20" t="n">
        <v>152950</v>
      </c>
    </row>
    <row r="96">
      <c r="A96" s="18" t="inlineStr">
        <is>
          <t>Other Operating Income</t>
        </is>
      </c>
      <c r="C96" s="20" t="n">
        <v>1232</v>
      </c>
      <c r="D96" s="20" t="n">
        <v>8195</v>
      </c>
      <c r="E96" s="20" t="n">
        <v>5090</v>
      </c>
      <c r="F96" s="20" t="n">
        <v>5365</v>
      </c>
      <c r="G96" s="20" t="n">
        <v>11955</v>
      </c>
      <c r="H96" s="20" t="n">
        <v>5365</v>
      </c>
      <c r="I96" s="20" t="n">
        <v>8032</v>
      </c>
      <c r="J96" s="20" t="n">
        <v>7799</v>
      </c>
      <c r="K96" s="20" t="n">
        <v>5893</v>
      </c>
      <c r="L96" s="20" t="n">
        <v>9603</v>
      </c>
      <c r="M96" s="20" t="n">
        <v>10888</v>
      </c>
      <c r="N96" s="20" t="n">
        <v>12966</v>
      </c>
      <c r="T96" s="20" t="n">
        <v>2376</v>
      </c>
      <c r="U96" s="20" t="n">
        <v>5954</v>
      </c>
      <c r="V96" s="20" t="n">
        <v>5090</v>
      </c>
      <c r="W96" s="20" t="n">
        <v>8032</v>
      </c>
      <c r="X96" s="20" t="n">
        <v>10888</v>
      </c>
    </row>
    <row r="97">
      <c r="A97" s="18" t="inlineStr">
        <is>
          <t>Other Operating Expenses</t>
        </is>
      </c>
      <c r="C97" s="20" t="n">
        <v>10</v>
      </c>
      <c r="D97" s="20" t="n">
        <v>46</v>
      </c>
      <c r="E97" s="20" t="n">
        <v>215</v>
      </c>
      <c r="F97" s="20" t="n">
        <v>216</v>
      </c>
      <c r="G97" s="20" t="n">
        <v>-74</v>
      </c>
      <c r="H97" s="20" t="n">
        <v>216</v>
      </c>
      <c r="I97" s="20" t="n">
        <v>180</v>
      </c>
      <c r="J97" s="20" t="n">
        <v>14</v>
      </c>
      <c r="K97" s="20" t="n">
        <v>263</v>
      </c>
      <c r="L97" s="20" t="n">
        <v>736</v>
      </c>
      <c r="M97" s="20" t="n">
        <v>127</v>
      </c>
      <c r="N97" s="20" t="n">
        <v>451</v>
      </c>
      <c r="T97" s="20" t="n">
        <v>26</v>
      </c>
      <c r="U97" s="20" t="n">
        <v>42</v>
      </c>
      <c r="V97" s="20" t="n">
        <v>215</v>
      </c>
      <c r="W97" s="20" t="n">
        <v>180</v>
      </c>
      <c r="X97" s="20" t="n">
        <v>127</v>
      </c>
    </row>
    <row r="98">
      <c r="A98" s="18" t="inlineStr">
        <is>
          <t>영업이익</t>
        </is>
      </c>
      <c r="C98" s="20" t="n">
        <v>15348</v>
      </c>
      <c r="D98" s="20" t="n">
        <v>70200</v>
      </c>
      <c r="E98" s="20" t="n">
        <v>17145</v>
      </c>
      <c r="F98" s="20" t="n">
        <v>75791</v>
      </c>
      <c r="G98" s="20" t="n">
        <v>57511</v>
      </c>
      <c r="H98" s="20" t="n">
        <v>75791</v>
      </c>
      <c r="I98" s="20" t="n">
        <v>15099</v>
      </c>
      <c r="J98" s="20" t="n">
        <v>56419</v>
      </c>
      <c r="K98" s="20" t="n">
        <v>91208</v>
      </c>
      <c r="L98" s="20" t="n">
        <v>83110</v>
      </c>
      <c r="M98" s="20" t="n">
        <v>41678</v>
      </c>
      <c r="N98" s="20" t="n">
        <v>86310</v>
      </c>
      <c r="T98" s="20" t="n">
        <v>25464</v>
      </c>
      <c r="U98" s="20" t="n">
        <v>-19850</v>
      </c>
      <c r="V98" s="20" t="n">
        <v>17145</v>
      </c>
      <c r="W98" s="20" t="n">
        <v>15099</v>
      </c>
      <c r="X98" s="20" t="n">
        <v>41678</v>
      </c>
    </row>
    <row r="99">
      <c r="A99" s="43" t="inlineStr">
        <is>
          <t>OPM</t>
        </is>
      </c>
      <c r="B99" s="3" t="inlineStr">
        <is>
          <t>영업이익 ÷ 매출</t>
        </is>
      </c>
      <c r="C99" s="15">
        <f>IF(OR(C98="",C90=""),"",IF(C90&lt;=0,"",IFERROR(C98/C90,"")))</f>
        <v/>
      </c>
      <c r="D99" s="15">
        <f>IF(OR(D98="",D90=""),"",IF(D90&lt;=0,"",IFERROR(D98/D90,"")))</f>
        <v/>
      </c>
      <c r="E99" s="15">
        <f>IF(OR(E98="",E90=""),"",IF(E90&lt;=0,"",IFERROR(E98/E90,"")))</f>
        <v/>
      </c>
      <c r="F99" s="15">
        <f>IF(OR(F98="",F90=""),"",IF(F90&lt;=0,"",IFERROR(F98/F90,"")))</f>
        <v/>
      </c>
      <c r="G99" s="15">
        <f>IF(OR(G98="",G90=""),"",IF(G90&lt;=0,"",IFERROR(G98/G90,"")))</f>
        <v/>
      </c>
      <c r="H99" s="15">
        <f>IF(OR(H98="",H90=""),"",IF(H90&lt;=0,"",IFERROR(H98/H90,"")))</f>
        <v/>
      </c>
      <c r="I99" s="15">
        <f>IF(OR(I98="",I90=""),"",IF(I90&lt;=0,"",IFERROR(I98/I90,"")))</f>
        <v/>
      </c>
      <c r="J99" s="15">
        <f>IF(OR(J98="",J90=""),"",IF(J90&lt;=0,"",IFERROR(J98/J90,"")))</f>
        <v/>
      </c>
      <c r="K99" s="15">
        <f>IF(OR(K98="",K90=""),"",IF(K90&lt;=0,"",IFERROR(K98/K90,"")))</f>
        <v/>
      </c>
      <c r="L99" s="15">
        <f>IF(OR(L98="",L90=""),"",IF(L90&lt;=0,"",IFERROR(L98/L90,"")))</f>
        <v/>
      </c>
      <c r="M99" s="15">
        <f>IF(OR(M98="",M90=""),"",IF(M90&lt;=0,"",IFERROR(M98/M90,"")))</f>
        <v/>
      </c>
      <c r="N99" s="15">
        <f>IF(OR(N98="",N90=""),"",IF(N90&lt;=0,"",IFERROR(N98/N90,"")))</f>
        <v/>
      </c>
      <c r="T99" s="15">
        <f>IF(OR(T98="",T90=""),"",IF(T90&lt;=0,"",IFERROR(T98/T90,"")))</f>
        <v/>
      </c>
      <c r="U99" s="15">
        <f>IF(OR(U98="",U90=""),"",IF(U90&lt;=0,"",IFERROR(U98/U90,"")))</f>
        <v/>
      </c>
      <c r="V99" s="15">
        <f>IF(OR(V98="",V90=""),"",IF(V90&lt;=0,"",IFERROR(V98/V90,"")))</f>
        <v/>
      </c>
      <c r="W99" s="15">
        <f>IF(OR(W98="",W90=""),"",IF(W90&lt;=0,"",IFERROR(W98/W90,"")))</f>
        <v/>
      </c>
      <c r="X99" s="15">
        <f>IF(OR(X98="",X90=""),"",IF(X90&lt;=0,"",IFERROR(X98/X90,"")))</f>
        <v/>
      </c>
    </row>
    <row r="100">
      <c r="A100" s="43" t="inlineStr">
        <is>
          <t>YoY</t>
        </is>
      </c>
      <c r="B100" s="3" t="inlineStr">
        <is>
          <t>전년 같은 분기·전년 대비</t>
        </is>
      </c>
      <c r="G100" s="15">
        <f>IF(OR(G98="",C98=""),"",IF(C98&lt;=0,"",IFERROR(G98/C98-1,"")))</f>
        <v/>
      </c>
      <c r="H100" s="15">
        <f>IF(OR(H98="",D98=""),"",IF(D98&lt;=0,"",IFERROR(H98/D98-1,"")))</f>
        <v/>
      </c>
      <c r="I100" s="15">
        <f>IF(OR(I98="",E98=""),"",IF(E98&lt;=0,"",IFERROR(I98/E98-1,"")))</f>
        <v/>
      </c>
      <c r="J100" s="15">
        <f>IF(OR(J98="",F98=""),"",IF(F98&lt;=0,"",IFERROR(J98/F98-1,"")))</f>
        <v/>
      </c>
      <c r="K100" s="15">
        <f>IF(OR(K98="",G98=""),"",IF(G98&lt;=0,"",IFERROR(K98/G98-1,"")))</f>
        <v/>
      </c>
      <c r="L100" s="15">
        <f>IF(OR(L98="",H98=""),"",IF(H98&lt;=0,"",IFERROR(L98/H98-1,"")))</f>
        <v/>
      </c>
      <c r="M100" s="15">
        <f>IF(OR(M98="",I98=""),"",IF(I98&lt;=0,"",IFERROR(M98/I98-1,"")))</f>
        <v/>
      </c>
      <c r="N100" s="15">
        <f>IF(OR(N98="",J98=""),"",IF(J98&lt;=0,"",IFERROR(N98/J98-1,"")))</f>
        <v/>
      </c>
      <c r="T100" s="15">
        <f>IF(OR(T98="",S98=""),"",IF(S98&lt;=0,"",IFERROR(T98/S98-1,"")))</f>
        <v/>
      </c>
      <c r="U100" s="15">
        <f>IF(OR(U98="",T98=""),"",IF(T98&lt;=0,"",IFERROR(U98/T98-1,"")))</f>
        <v/>
      </c>
      <c r="V100" s="15">
        <f>IF(OR(V98="",U98=""),"",IF(U98&lt;=0,"",IFERROR(V98/U98-1,"")))</f>
        <v/>
      </c>
      <c r="W100" s="15">
        <f>IF(OR(W98="",V98=""),"",IF(V98&lt;=0,"",IFERROR(W98/V98-1,"")))</f>
        <v/>
      </c>
      <c r="X100" s="15">
        <f>IF(OR(X98="",W98=""),"",IF(W98&lt;=0,"",IFERROR(X98/W98-1,"")))</f>
        <v/>
      </c>
    </row>
    <row r="101">
      <c r="A101" s="18" t="inlineStr">
        <is>
          <t>금융수익</t>
        </is>
      </c>
      <c r="C101" s="20" t="n">
        <v>-91</v>
      </c>
      <c r="D101" s="20" t="n">
        <v>14484</v>
      </c>
      <c r="E101" s="20" t="n">
        <v>7025</v>
      </c>
      <c r="F101" s="20" t="n">
        <v>7423</v>
      </c>
      <c r="G101" s="20" t="n">
        <v>6241</v>
      </c>
      <c r="H101" s="20" t="n">
        <v>6358</v>
      </c>
      <c r="I101" s="20" t="n">
        <v>7025</v>
      </c>
      <c r="J101" s="20" t="n">
        <v>7666</v>
      </c>
      <c r="K101" s="20" t="n">
        <v>7984</v>
      </c>
      <c r="L101" s="20" t="n">
        <v>12335</v>
      </c>
      <c r="M101" s="20" t="n">
        <v>8510</v>
      </c>
      <c r="N101" s="20" t="n">
        <v>19236</v>
      </c>
      <c r="T101" s="20" t="n">
        <v>1833</v>
      </c>
      <c r="U101" s="20" t="n">
        <v>5848</v>
      </c>
      <c r="V101" s="20" t="n">
        <v>7025</v>
      </c>
      <c r="W101" s="20" t="n">
        <v>7025</v>
      </c>
      <c r="X101" s="20" t="n">
        <v>8510</v>
      </c>
    </row>
    <row r="102">
      <c r="A102" s="18" t="inlineStr">
        <is>
          <t>금융비용</t>
        </is>
      </c>
      <c r="C102" s="20" t="n">
        <v>10556</v>
      </c>
      <c r="D102" s="20" t="n">
        <v>9049</v>
      </c>
      <c r="E102" s="20" t="n">
        <v>1570</v>
      </c>
      <c r="F102" s="20" t="n">
        <v>3842</v>
      </c>
      <c r="G102" s="20" t="n">
        <v>4349</v>
      </c>
      <c r="H102" s="20" t="n">
        <v>2777</v>
      </c>
      <c r="I102" s="20" t="n">
        <v>2397</v>
      </c>
      <c r="J102" s="20" t="n">
        <v>6015</v>
      </c>
      <c r="K102" s="20" t="n">
        <v>9025</v>
      </c>
      <c r="L102" s="20" t="n">
        <v>9134</v>
      </c>
      <c r="M102" s="20" t="n">
        <v>8536</v>
      </c>
      <c r="N102" s="20" t="n">
        <v>10567</v>
      </c>
      <c r="T102" s="20" t="n">
        <v>1894</v>
      </c>
      <c r="U102" s="20" t="n">
        <v>8022</v>
      </c>
      <c r="V102" s="20" t="n">
        <v>1570</v>
      </c>
      <c r="W102" s="20" t="n">
        <v>2397</v>
      </c>
      <c r="X102" s="20" t="n">
        <v>8536</v>
      </c>
    </row>
    <row r="103">
      <c r="A103" s="18" t="inlineStr">
        <is>
          <t>Share Of Profit Loss Of Investments Accounted For Using Equity Method</t>
        </is>
      </c>
      <c r="C103" s="20" t="n">
        <v>-1339</v>
      </c>
      <c r="D103" s="20" t="n">
        <v>1245</v>
      </c>
      <c r="E103" s="20" t="n">
        <v>-481</v>
      </c>
      <c r="F103" s="20" t="n">
        <v>1406</v>
      </c>
      <c r="G103" s="20" t="n">
        <v>-2877</v>
      </c>
      <c r="H103" s="20" t="n">
        <v>1406</v>
      </c>
      <c r="I103" s="20" t="n">
        <v>-1</v>
      </c>
      <c r="J103" s="20" t="n">
        <v>-440</v>
      </c>
      <c r="K103" s="20" t="n">
        <v>-320</v>
      </c>
      <c r="L103" s="20" t="n">
        <v>1282</v>
      </c>
      <c r="M103" s="20" t="n">
        <v>88</v>
      </c>
      <c r="N103" s="20" t="n">
        <v>-480</v>
      </c>
      <c r="T103" s="20" t="n">
        <v>963</v>
      </c>
      <c r="U103" s="20" t="n">
        <v>1141</v>
      </c>
      <c r="V103" s="20" t="n">
        <v>-481</v>
      </c>
      <c r="W103" s="20" t="n">
        <v>-1</v>
      </c>
      <c r="X103" s="20" t="n">
        <v>88</v>
      </c>
    </row>
    <row r="104">
      <c r="A104" s="9" t="inlineStr">
        <is>
          <t>법인세차감전 이익</t>
        </is>
      </c>
      <c r="C104" s="12" t="n">
        <v>3362</v>
      </c>
      <c r="D104" s="12" t="n">
        <v>76880</v>
      </c>
      <c r="E104" s="12" t="n">
        <v>22119</v>
      </c>
      <c r="F104" s="12" t="n">
        <v>80778</v>
      </c>
      <c r="G104" s="12" t="n">
        <v>56526</v>
      </c>
      <c r="H104" s="12" t="n">
        <v>80778</v>
      </c>
      <c r="I104" s="12" t="n">
        <v>19726</v>
      </c>
      <c r="J104" s="12" t="n">
        <v>57630</v>
      </c>
      <c r="K104" s="12" t="n">
        <v>89847</v>
      </c>
      <c r="L104" s="12" t="n">
        <v>87593</v>
      </c>
      <c r="M104" s="12" t="n">
        <v>41740</v>
      </c>
      <c r="N104" s="12" t="n">
        <v>94500</v>
      </c>
      <c r="T104" s="12" t="n">
        <v>26366</v>
      </c>
      <c r="U104" s="12" t="n">
        <v>-20883</v>
      </c>
      <c r="V104" s="12" t="n">
        <v>22119</v>
      </c>
      <c r="W104" s="12" t="n">
        <v>19726</v>
      </c>
      <c r="X104" s="12" t="n">
        <v>41740</v>
      </c>
    </row>
    <row r="105">
      <c r="A105" s="18" t="inlineStr">
        <is>
          <t>Income Tax Expense</t>
        </is>
      </c>
      <c r="C105" s="20" t="n">
        <v>13459</v>
      </c>
      <c r="D105" s="20" t="n">
        <v>11382</v>
      </c>
      <c r="E105" s="20" t="n">
        <v>16883</v>
      </c>
      <c r="F105" s="20" t="n">
        <v>24729</v>
      </c>
      <c r="G105" s="20" t="n">
        <v>5118</v>
      </c>
      <c r="H105" s="20" t="n">
        <v>24729</v>
      </c>
      <c r="I105" s="20" t="n">
        <v>12843</v>
      </c>
      <c r="J105" s="20" t="n">
        <v>15247</v>
      </c>
      <c r="K105" s="20" t="n">
        <v>18867</v>
      </c>
      <c r="L105" s="20" t="n">
        <v>16833</v>
      </c>
      <c r="M105" s="20" t="n">
        <v>26695</v>
      </c>
      <c r="N105" s="20" t="n">
        <v>12515</v>
      </c>
      <c r="T105" s="20" t="n">
        <v>12219</v>
      </c>
      <c r="U105" s="20" t="n">
        <v>2324</v>
      </c>
      <c r="V105" s="20" t="n">
        <v>16883</v>
      </c>
      <c r="W105" s="20" t="n">
        <v>12843</v>
      </c>
      <c r="X105" s="20" t="n">
        <v>26695</v>
      </c>
    </row>
    <row r="106">
      <c r="A106" s="9" t="inlineStr">
        <is>
          <t>중간이익</t>
        </is>
      </c>
      <c r="C106" s="12" t="n">
        <v>-10097</v>
      </c>
      <c r="D106" s="12" t="n">
        <v>65498</v>
      </c>
      <c r="E106" s="12" t="n">
        <v>5236</v>
      </c>
      <c r="F106" s="12" t="n">
        <v>56049</v>
      </c>
      <c r="G106" s="12" t="n">
        <v>51408</v>
      </c>
      <c r="H106" s="12" t="n">
        <v>56049</v>
      </c>
      <c r="I106" s="12" t="n">
        <v>6883</v>
      </c>
      <c r="J106" s="12" t="n">
        <v>42383</v>
      </c>
      <c r="K106" s="12" t="n">
        <v>70980</v>
      </c>
      <c r="L106" s="12" t="n">
        <v>70760</v>
      </c>
      <c r="M106" s="12" t="n">
        <v>15044</v>
      </c>
      <c r="N106" s="12" t="n">
        <v>81985</v>
      </c>
      <c r="T106" s="12" t="n">
        <v>14147</v>
      </c>
      <c r="U106" s="12" t="n">
        <v>-23207</v>
      </c>
      <c r="V106" s="12" t="n">
        <v>5236</v>
      </c>
      <c r="W106" s="12" t="n">
        <v>6883</v>
      </c>
      <c r="X106" s="12" t="n">
        <v>15044</v>
      </c>
    </row>
    <row r="107">
      <c r="A107" s="9" t="inlineStr">
        <is>
          <t>Profit Loss Attributable To Owners Of Parent</t>
        </is>
      </c>
      <c r="C107" s="12" t="n">
        <v>-11115</v>
      </c>
      <c r="D107" s="12" t="n">
        <v>65303</v>
      </c>
      <c r="E107" s="12" t="n">
        <v>5196</v>
      </c>
      <c r="F107" s="12" t="n">
        <v>55159</v>
      </c>
      <c r="G107" s="12" t="n">
        <v>50551</v>
      </c>
      <c r="H107" s="12" t="n">
        <v>55159</v>
      </c>
      <c r="I107" s="12" t="n">
        <v>6292</v>
      </c>
      <c r="J107" s="12" t="n">
        <v>41462</v>
      </c>
      <c r="K107" s="12" t="n">
        <v>69944</v>
      </c>
      <c r="L107" s="12" t="n">
        <v>69802</v>
      </c>
      <c r="M107" s="12" t="n">
        <v>14455</v>
      </c>
      <c r="N107" s="12" t="n">
        <v>80581</v>
      </c>
      <c r="T107" s="12" t="n">
        <v>14036</v>
      </c>
      <c r="U107" s="12" t="n">
        <v>-22688</v>
      </c>
      <c r="V107" s="12" t="n">
        <v>5196</v>
      </c>
      <c r="W107" s="12" t="n">
        <v>6292</v>
      </c>
      <c r="X107" s="12" t="n">
        <v>14455</v>
      </c>
    </row>
    <row r="108">
      <c r="A108" s="43" t="inlineStr">
        <is>
          <t>YoY</t>
        </is>
      </c>
      <c r="B108" s="3" t="inlineStr">
        <is>
          <t>전년 같은 분기·전년 대비</t>
        </is>
      </c>
      <c r="G108" s="15">
        <f>IF(OR(G107="",C107=""),"",IF(C107&lt;=0,"",IFERROR(G107/C107-1,"")))</f>
        <v/>
      </c>
      <c r="H108" s="15">
        <f>IF(OR(H107="",D107=""),"",IF(D107&lt;=0,"",IFERROR(H107/D107-1,"")))</f>
        <v/>
      </c>
      <c r="I108" s="15">
        <f>IF(OR(I107="",E107=""),"",IF(E107&lt;=0,"",IFERROR(I107/E107-1,"")))</f>
        <v/>
      </c>
      <c r="J108" s="15">
        <f>IF(OR(J107="",F107=""),"",IF(F107&lt;=0,"",IFERROR(J107/F107-1,"")))</f>
        <v/>
      </c>
      <c r="K108" s="15">
        <f>IF(OR(K107="",G107=""),"",IF(G107&lt;=0,"",IFERROR(K107/G107-1,"")))</f>
        <v/>
      </c>
      <c r="L108" s="15">
        <f>IF(OR(L107="",H107=""),"",IF(H107&lt;=0,"",IFERROR(L107/H107-1,"")))</f>
        <v/>
      </c>
      <c r="M108" s="15">
        <f>IF(OR(M107="",I107=""),"",IF(I107&lt;=0,"",IFERROR(M107/I107-1,"")))</f>
        <v/>
      </c>
      <c r="N108" s="15">
        <f>IF(OR(N107="",J107=""),"",IF(J107&lt;=0,"",IFERROR(N107/J107-1,"")))</f>
        <v/>
      </c>
      <c r="T108" s="15">
        <f>IF(OR(T107="",S107=""),"",IF(S107&lt;=0,"",IFERROR(T107/S107-1,"")))</f>
        <v/>
      </c>
      <c r="U108" s="15">
        <f>IF(OR(U107="",T107=""),"",IF(T107&lt;=0,"",IFERROR(U107/T107-1,"")))</f>
        <v/>
      </c>
      <c r="V108" s="15">
        <f>IF(OR(V107="",U107=""),"",IF(U107&lt;=0,"",IFERROR(V107/U107-1,"")))</f>
        <v/>
      </c>
      <c r="W108" s="15">
        <f>IF(OR(W107="",V107=""),"",IF(V107&lt;=0,"",IFERROR(W107/V107-1,"")))</f>
        <v/>
      </c>
      <c r="X108" s="15">
        <f>IF(OR(X107="",W107=""),"",IF(W107&lt;=0,"",IFERROR(X107/W107-1,"")))</f>
        <v/>
      </c>
    </row>
    <row r="109">
      <c r="A109" s="9" t="inlineStr">
        <is>
          <t>비지배지분</t>
        </is>
      </c>
      <c r="C109" s="12" t="n">
        <v>1018</v>
      </c>
      <c r="D109" s="12" t="n">
        <v>195</v>
      </c>
      <c r="E109" s="12" t="n">
        <v>40</v>
      </c>
      <c r="F109" s="12" t="n">
        <v>890</v>
      </c>
      <c r="G109" s="12" t="n">
        <v>857</v>
      </c>
      <c r="H109" s="12" t="n">
        <v>890</v>
      </c>
      <c r="I109" s="12" t="n">
        <v>591</v>
      </c>
      <c r="J109" s="12" t="n">
        <v>921</v>
      </c>
      <c r="K109" s="12" t="n">
        <v>1036</v>
      </c>
      <c r="L109" s="12" t="n">
        <v>958</v>
      </c>
      <c r="M109" s="12" t="n">
        <v>589</v>
      </c>
      <c r="N109" s="12" t="n">
        <v>1404</v>
      </c>
      <c r="T109" s="12" t="n">
        <v>111</v>
      </c>
      <c r="U109" s="12" t="n">
        <v>-519</v>
      </c>
      <c r="V109" s="12" t="n">
        <v>40</v>
      </c>
      <c r="W109" s="12" t="n">
        <v>591</v>
      </c>
      <c r="X109" s="12" t="n">
        <v>589</v>
      </c>
    </row>
    <row r="111">
      <c r="A111" s="16" t="inlineStr">
        <is>
          <t>포괄손익 · 전 항목</t>
        </is>
      </c>
      <c r="B111" s="42" t="inlineStr">
        <is>
          <t>분기 = 3개월 단독</t>
        </is>
      </c>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c r="Z111" s="16" t="n"/>
      <c r="AA111" s="16" t="n"/>
      <c r="AB111" s="16" t="n"/>
      <c r="AC111" s="16" t="n"/>
    </row>
    <row r="112">
      <c r="A112" s="5" t="inlineStr">
        <is>
          <t>항목</t>
        </is>
      </c>
      <c r="B112" s="5" t="inlineStr">
        <is>
          <t>참고</t>
        </is>
      </c>
      <c r="C112" s="5" t="inlineStr">
        <is>
          <t>2024.2Q</t>
        </is>
      </c>
      <c r="D112" s="5" t="inlineStr">
        <is>
          <t>2024.3Q</t>
        </is>
      </c>
      <c r="E112" s="5" t="inlineStr">
        <is>
          <t>2024.4Q</t>
        </is>
      </c>
      <c r="F112" s="5" t="inlineStr">
        <is>
          <t>2025.1Q</t>
        </is>
      </c>
      <c r="G112" s="5" t="inlineStr">
        <is>
          <t>2025.2Q</t>
        </is>
      </c>
      <c r="H112" s="5" t="inlineStr">
        <is>
          <t>2025.3Q</t>
        </is>
      </c>
      <c r="I112" s="5" t="inlineStr">
        <is>
          <t>2025.4Q</t>
        </is>
      </c>
      <c r="J112" s="5" t="inlineStr">
        <is>
          <t>2026.1Q</t>
        </is>
      </c>
      <c r="K112" s="5" t="inlineStr">
        <is>
          <t>2026.2Q</t>
        </is>
      </c>
      <c r="L112" s="5" t="inlineStr">
        <is>
          <t>2026.3Q</t>
        </is>
      </c>
      <c r="M112" s="5" t="inlineStr">
        <is>
          <t>2026.4Q</t>
        </is>
      </c>
      <c r="N112" s="5" t="inlineStr">
        <is>
          <t>2027.1Q</t>
        </is>
      </c>
      <c r="O112" s="5" t="inlineStr">
        <is>
          <t>2017</t>
        </is>
      </c>
      <c r="P112" s="5" t="inlineStr">
        <is>
          <t>2018</t>
        </is>
      </c>
      <c r="Q112" s="5" t="inlineStr">
        <is>
          <t>2019</t>
        </is>
      </c>
      <c r="R112" s="5" t="inlineStr">
        <is>
          <t>2020</t>
        </is>
      </c>
      <c r="S112" s="5" t="inlineStr">
        <is>
          <t>2021</t>
        </is>
      </c>
      <c r="T112" s="5" t="inlineStr">
        <is>
          <t>2022</t>
        </is>
      </c>
      <c r="U112" s="5" t="inlineStr">
        <is>
          <t>2023</t>
        </is>
      </c>
      <c r="V112" s="5" t="inlineStr">
        <is>
          <t>2024</t>
        </is>
      </c>
      <c r="W112" s="5" t="inlineStr">
        <is>
          <t>2025</t>
        </is>
      </c>
      <c r="X112" s="5" t="inlineStr">
        <is>
          <t>2026</t>
        </is>
      </c>
      <c r="Y112" s="5" t="inlineStr">
        <is>
          <t>2027(MW)</t>
        </is>
      </c>
      <c r="Z112" s="5" t="inlineStr">
        <is>
          <t>2028(MW)</t>
        </is>
      </c>
      <c r="AA112" s="5" t="inlineStr">
        <is>
          <t>2029(MW)</t>
        </is>
      </c>
      <c r="AB112" s="5" t="inlineStr">
        <is>
          <t>2030(MW)</t>
        </is>
      </c>
      <c r="AC112" s="5" t="inlineStr">
        <is>
          <t>2031(MW)</t>
        </is>
      </c>
    </row>
    <row r="113">
      <c r="A113" s="9" t="inlineStr">
        <is>
          <t>중간이익</t>
        </is>
      </c>
      <c r="C113" s="12" t="n">
        <v>-10097</v>
      </c>
      <c r="D113" s="12" t="n">
        <v>65498</v>
      </c>
      <c r="E113" s="12" t="n">
        <v>5236</v>
      </c>
      <c r="F113" s="12" t="n">
        <v>56049</v>
      </c>
      <c r="G113" s="12" t="n">
        <v>51408</v>
      </c>
      <c r="H113" s="12" t="n">
        <v>56049</v>
      </c>
      <c r="I113" s="12" t="n">
        <v>6883</v>
      </c>
      <c r="J113" s="12" t="n">
        <v>42383</v>
      </c>
      <c r="K113" s="12" t="n">
        <v>70980</v>
      </c>
      <c r="L113" s="12" t="n">
        <v>70760</v>
      </c>
      <c r="M113" s="12" t="n">
        <v>15044</v>
      </c>
      <c r="N113" s="12" t="n">
        <v>81985</v>
      </c>
      <c r="T113" s="12" t="n">
        <v>14147</v>
      </c>
      <c r="U113" s="12" t="n">
        <v>-23207</v>
      </c>
      <c r="V113" s="12" t="n">
        <v>5236</v>
      </c>
      <c r="W113" s="12" t="n">
        <v>6883</v>
      </c>
      <c r="X113" s="12" t="n">
        <v>15044</v>
      </c>
    </row>
    <row r="114">
      <c r="A114" s="18" t="inlineStr">
        <is>
          <t>Net Change In Fair Value Of Equity Instruments Designated As Measured At Fair Value Through Other Comprehensive Income Net Of Tax Items That Will Not Be Reclassified To Profit Or Loss OCI</t>
        </is>
      </c>
      <c r="C114" s="20" t="n">
        <v>4196</v>
      </c>
      <c r="D114" s="20" t="n">
        <v>-4373</v>
      </c>
      <c r="E114" s="20" t="n">
        <v>-8812</v>
      </c>
      <c r="F114" s="20" t="n">
        <v>4666</v>
      </c>
      <c r="G114" s="20" t="n">
        <v>62</v>
      </c>
      <c r="H114" s="20" t="n">
        <v>4666</v>
      </c>
      <c r="I114" s="20" t="n">
        <v>143</v>
      </c>
      <c r="J114" s="20" t="n">
        <v>-1827</v>
      </c>
      <c r="K114" s="20" t="n">
        <v>611</v>
      </c>
      <c r="L114" s="20" t="n">
        <v>1377</v>
      </c>
      <c r="M114" s="20" t="n">
        <v>21167</v>
      </c>
      <c r="N114" s="20" t="n">
        <v>-107</v>
      </c>
      <c r="T114" s="20" t="n">
        <v>54634</v>
      </c>
      <c r="U114" s="20" t="n">
        <v>5733</v>
      </c>
      <c r="V114" s="20" t="n">
        <v>-8812</v>
      </c>
      <c r="W114" s="20" t="n">
        <v>143</v>
      </c>
      <c r="X114" s="20" t="n">
        <v>21167</v>
      </c>
    </row>
    <row r="115">
      <c r="A115" s="18" t="inlineStr">
        <is>
          <t>확정급여제도 재측정</t>
        </is>
      </c>
      <c r="C115" s="20" t="n">
        <v>701</v>
      </c>
      <c r="D115" s="20" t="n">
        <v>-545</v>
      </c>
      <c r="E115" s="20" t="n">
        <v>1549</v>
      </c>
      <c r="F115" s="20" t="n">
        <v>0</v>
      </c>
      <c r="G115" s="20" t="n">
        <v>3</v>
      </c>
      <c r="H115" s="20" t="n">
        <v>0</v>
      </c>
      <c r="I115" s="20" t="n">
        <v>1604</v>
      </c>
      <c r="J115" s="20" t="n">
        <v>0</v>
      </c>
      <c r="K115" s="20" t="n">
        <v>-827</v>
      </c>
      <c r="L115" s="20" t="n">
        <v>1</v>
      </c>
      <c r="M115" s="20" t="n">
        <v>-230</v>
      </c>
      <c r="N115" s="20" t="n">
        <v>83</v>
      </c>
      <c r="T115" s="20" t="n">
        <v>13542</v>
      </c>
      <c r="U115" s="20" t="n">
        <v>-5277</v>
      </c>
      <c r="V115" s="20" t="n">
        <v>1549</v>
      </c>
      <c r="W115" s="20" t="n">
        <v>1604</v>
      </c>
      <c r="X115" s="20" t="n">
        <v>-230</v>
      </c>
    </row>
    <row r="116">
      <c r="A116" s="18" t="inlineStr">
        <is>
          <t>Share Of Other Comprehensive Income Of Investments Accounted For Using Equity Method Net Of Tax Items That Will Not Be Reclassified To Profit Or Loss OCI</t>
        </is>
      </c>
      <c r="C116" s="20" t="n">
        <v>28</v>
      </c>
      <c r="D116" s="20" t="n">
        <v>69</v>
      </c>
      <c r="E116" s="20" t="n">
        <v>39</v>
      </c>
      <c r="F116" s="20" t="n">
        <v>63</v>
      </c>
      <c r="G116" s="20" t="n">
        <v>-37</v>
      </c>
      <c r="H116" s="20" t="n">
        <v>63</v>
      </c>
      <c r="I116" s="20" t="n">
        <v>-122</v>
      </c>
      <c r="J116" s="20" t="n">
        <v>-110</v>
      </c>
      <c r="K116" s="20" t="n">
        <v>252</v>
      </c>
      <c r="L116" s="20" t="n">
        <v>78</v>
      </c>
      <c r="M116" s="20" t="n">
        <v>-137</v>
      </c>
      <c r="N116" s="20" t="n">
        <v>620</v>
      </c>
      <c r="U116" s="20" t="n">
        <v>29</v>
      </c>
      <c r="V116" s="20" t="n">
        <v>39</v>
      </c>
      <c r="W116" s="20" t="n">
        <v>-122</v>
      </c>
      <c r="X116" s="20" t="n">
        <v>-137</v>
      </c>
    </row>
    <row r="117">
      <c r="A117" s="18" t="inlineStr">
        <is>
          <t>합계</t>
        </is>
      </c>
      <c r="C117" s="20" t="n">
        <v>4925</v>
      </c>
      <c r="D117" s="20" t="n">
        <v>-4849</v>
      </c>
      <c r="E117" s="20" t="n">
        <v>-7224</v>
      </c>
      <c r="F117" s="20" t="n">
        <v>4729</v>
      </c>
      <c r="G117" s="20" t="n">
        <v>28</v>
      </c>
      <c r="H117" s="20" t="n">
        <v>4729</v>
      </c>
      <c r="I117" s="20" t="n">
        <v>1625</v>
      </c>
      <c r="J117" s="20" t="n">
        <v>-1937</v>
      </c>
      <c r="K117" s="20" t="n">
        <v>36</v>
      </c>
      <c r="L117" s="20" t="n">
        <v>1456</v>
      </c>
      <c r="M117" s="20" t="n">
        <v>20800</v>
      </c>
      <c r="N117" s="20" t="n">
        <v>595</v>
      </c>
      <c r="T117" s="20" t="n">
        <v>68176</v>
      </c>
      <c r="U117" s="20" t="n">
        <v>485</v>
      </c>
      <c r="V117" s="20" t="n">
        <v>-7224</v>
      </c>
      <c r="W117" s="20" t="n">
        <v>1625</v>
      </c>
      <c r="X117" s="20" t="n">
        <v>20800</v>
      </c>
    </row>
    <row r="118">
      <c r="A118" s="18" t="inlineStr">
        <is>
          <t>Exchange Differences On Translation Of Foreign Operations Net Of Tax Items That May Be Reclassified To Profit Or Loss OCI</t>
        </is>
      </c>
      <c r="C118" s="20" t="n">
        <v>198291</v>
      </c>
      <c r="D118" s="20" t="n">
        <v>-60077</v>
      </c>
      <c r="E118" s="20" t="n">
        <v>99835</v>
      </c>
      <c r="F118" s="20" t="n">
        <v>136540</v>
      </c>
      <c r="G118" s="20" t="n">
        <v>-210445</v>
      </c>
      <c r="H118" s="20" t="n">
        <v>136540</v>
      </c>
      <c r="I118" s="20" t="n">
        <v>-99524</v>
      </c>
      <c r="J118" s="20" t="n">
        <v>-31777</v>
      </c>
      <c r="K118" s="20" t="n">
        <v>66247</v>
      </c>
      <c r="L118" s="20" t="n">
        <v>139372</v>
      </c>
      <c r="M118" s="20" t="n">
        <v>57296</v>
      </c>
      <c r="N118" s="20" t="n">
        <v>68193</v>
      </c>
      <c r="T118" s="20" t="n">
        <v>95460</v>
      </c>
      <c r="U118" s="20" t="n">
        <v>23114</v>
      </c>
      <c r="V118" s="20" t="n">
        <v>99835</v>
      </c>
      <c r="W118" s="20" t="n">
        <v>-99524</v>
      </c>
      <c r="X118" s="20" t="n">
        <v>57296</v>
      </c>
    </row>
    <row r="119">
      <c r="A119" s="18" t="inlineStr">
        <is>
          <t>Share Of Other Comprehensive Income Of Investments Accounted For Using Equity Method Net Of Tax Items That May Be Reclassified To Profit Or Loss OCI</t>
        </is>
      </c>
      <c r="C119" s="20" t="n">
        <v>301</v>
      </c>
      <c r="D119" s="20" t="n">
        <v>-28</v>
      </c>
      <c r="E119" s="20" t="n">
        <v>-28</v>
      </c>
      <c r="F119" s="20" t="n">
        <v>2567</v>
      </c>
      <c r="G119" s="20" t="n">
        <v>-4179</v>
      </c>
      <c r="H119" s="20" t="n">
        <v>2567</v>
      </c>
      <c r="I119" s="20" t="n">
        <v>-1603</v>
      </c>
      <c r="J119" s="20" t="n">
        <v>-572</v>
      </c>
      <c r="K119" s="20" t="n">
        <v>650</v>
      </c>
      <c r="L119" s="20" t="n">
        <v>1209</v>
      </c>
      <c r="M119" s="20" t="n">
        <v>857</v>
      </c>
      <c r="N119" s="20" t="n">
        <v>510</v>
      </c>
      <c r="U119" s="20" t="n">
        <v>-210</v>
      </c>
      <c r="V119" s="20" t="n">
        <v>-28</v>
      </c>
      <c r="W119" s="20" t="n">
        <v>-1603</v>
      </c>
      <c r="X119" s="20" t="n">
        <v>857</v>
      </c>
    </row>
    <row r="120">
      <c r="A120" s="18" t="inlineStr">
        <is>
          <t>합계</t>
        </is>
      </c>
      <c r="C120" s="20" t="n">
        <v>198592</v>
      </c>
      <c r="D120" s="20" t="n">
        <v>-60105</v>
      </c>
      <c r="E120" s="20" t="n">
        <v>99807</v>
      </c>
      <c r="F120" s="20" t="n">
        <v>139107</v>
      </c>
      <c r="G120" s="20" t="n">
        <v>-214624</v>
      </c>
      <c r="H120" s="20" t="n">
        <v>139107</v>
      </c>
      <c r="I120" s="20" t="n">
        <v>-101127</v>
      </c>
      <c r="J120" s="20" t="n">
        <v>-32349</v>
      </c>
      <c r="K120" s="20" t="n">
        <v>66897</v>
      </c>
      <c r="L120" s="20" t="n">
        <v>140581</v>
      </c>
      <c r="M120" s="20" t="n">
        <v>58153</v>
      </c>
      <c r="N120" s="20" t="n">
        <v>68703</v>
      </c>
      <c r="T120" s="20" t="n">
        <v>95460</v>
      </c>
      <c r="U120" s="20" t="n">
        <v>22904</v>
      </c>
      <c r="V120" s="20" t="n">
        <v>99807</v>
      </c>
      <c r="W120" s="20" t="n">
        <v>-101127</v>
      </c>
      <c r="X120" s="20" t="n">
        <v>58153</v>
      </c>
    </row>
    <row r="121">
      <c r="A121" s="18" t="inlineStr">
        <is>
          <t>Other Comprehensive Income</t>
        </is>
      </c>
      <c r="C121" s="20" t="n">
        <v>203517</v>
      </c>
      <c r="D121" s="20" t="n">
        <v>-64954</v>
      </c>
      <c r="E121" s="20" t="n">
        <v>92583</v>
      </c>
      <c r="F121" s="20" t="n">
        <v>143836</v>
      </c>
      <c r="G121" s="20" t="n">
        <v>-214596</v>
      </c>
      <c r="H121" s="20" t="n">
        <v>143836</v>
      </c>
      <c r="I121" s="20" t="n">
        <v>-99502</v>
      </c>
      <c r="J121" s="20" t="n">
        <v>-34286</v>
      </c>
      <c r="K121" s="20" t="n">
        <v>66933</v>
      </c>
      <c r="L121" s="20" t="n">
        <v>142037</v>
      </c>
      <c r="M121" s="20" t="n">
        <v>78953</v>
      </c>
      <c r="N121" s="20" t="n">
        <v>69299</v>
      </c>
      <c r="T121" s="20" t="n">
        <v>163636</v>
      </c>
      <c r="U121" s="20" t="n">
        <v>23389</v>
      </c>
      <c r="V121" s="20" t="n">
        <v>92583</v>
      </c>
      <c r="W121" s="20" t="n">
        <v>-99502</v>
      </c>
      <c r="X121" s="20" t="n">
        <v>78953</v>
      </c>
    </row>
    <row r="122">
      <c r="A122" s="9" t="inlineStr">
        <is>
          <t>포괄이익</t>
        </is>
      </c>
      <c r="C122" s="12" t="n">
        <v>193420</v>
      </c>
      <c r="D122" s="12" t="n">
        <v>544</v>
      </c>
      <c r="E122" s="12" t="n">
        <v>97819</v>
      </c>
      <c r="F122" s="12" t="n">
        <v>199885</v>
      </c>
      <c r="G122" s="12" t="n">
        <v>-163188</v>
      </c>
      <c r="H122" s="12" t="n">
        <v>199885</v>
      </c>
      <c r="I122" s="12" t="n">
        <v>-92619</v>
      </c>
      <c r="J122" s="12" t="n">
        <v>8097</v>
      </c>
      <c r="K122" s="12" t="n">
        <v>137913</v>
      </c>
      <c r="L122" s="12" t="n">
        <v>212797</v>
      </c>
      <c r="M122" s="12" t="n">
        <v>93997</v>
      </c>
      <c r="N122" s="12" t="n">
        <v>151284</v>
      </c>
      <c r="T122" s="12" t="n">
        <v>177783</v>
      </c>
      <c r="U122" s="12" t="n">
        <v>182</v>
      </c>
      <c r="V122" s="12" t="n">
        <v>97819</v>
      </c>
      <c r="W122" s="12" t="n">
        <v>-92619</v>
      </c>
      <c r="X122" s="12" t="n">
        <v>93997</v>
      </c>
    </row>
    <row r="123">
      <c r="A123" s="9" t="inlineStr">
        <is>
          <t>Comprehensive Income Attributable To Owners Of Parent</t>
        </is>
      </c>
      <c r="C123" s="12" t="n">
        <v>192296</v>
      </c>
      <c r="D123" s="12" t="n">
        <v>447</v>
      </c>
      <c r="E123" s="12" t="n">
        <v>97642</v>
      </c>
      <c r="F123" s="12" t="n">
        <v>198989</v>
      </c>
      <c r="G123" s="12" t="n">
        <v>-164093</v>
      </c>
      <c r="H123" s="12" t="n">
        <v>198989</v>
      </c>
      <c r="I123" s="12" t="n">
        <v>-92944</v>
      </c>
      <c r="J123" s="12" t="n">
        <v>7213</v>
      </c>
      <c r="K123" s="12" t="n">
        <v>135875</v>
      </c>
      <c r="L123" s="12" t="n">
        <v>211489</v>
      </c>
      <c r="M123" s="12" t="n">
        <v>93126</v>
      </c>
      <c r="N123" s="12" t="n">
        <v>149546</v>
      </c>
      <c r="T123" s="12" t="n">
        <v>177580</v>
      </c>
      <c r="U123" s="12" t="n">
        <v>641</v>
      </c>
      <c r="V123" s="12" t="n">
        <v>97642</v>
      </c>
      <c r="W123" s="12" t="n">
        <v>-92944</v>
      </c>
      <c r="X123" s="12" t="n">
        <v>93126</v>
      </c>
    </row>
    <row r="124">
      <c r="A124" s="9" t="inlineStr">
        <is>
          <t>비지배지분</t>
        </is>
      </c>
      <c r="C124" s="12" t="n">
        <v>1124</v>
      </c>
      <c r="D124" s="12" t="n">
        <v>97</v>
      </c>
      <c r="E124" s="12" t="n">
        <v>177</v>
      </c>
      <c r="F124" s="12" t="n">
        <v>896</v>
      </c>
      <c r="G124" s="12" t="n">
        <v>905</v>
      </c>
      <c r="H124" s="12" t="n">
        <v>896</v>
      </c>
      <c r="I124" s="12" t="n">
        <v>325</v>
      </c>
      <c r="J124" s="12" t="n">
        <v>884</v>
      </c>
      <c r="K124" s="12" t="n">
        <v>2038</v>
      </c>
      <c r="L124" s="12" t="n">
        <v>1308</v>
      </c>
      <c r="M124" s="12" t="n">
        <v>871</v>
      </c>
      <c r="N124" s="12" t="n">
        <v>1738</v>
      </c>
      <c r="T124" s="12" t="n">
        <v>203</v>
      </c>
      <c r="U124" s="12" t="n">
        <v>-459</v>
      </c>
      <c r="V124" s="12" t="n">
        <v>177</v>
      </c>
      <c r="W124" s="12" t="n">
        <v>325</v>
      </c>
      <c r="X124" s="12" t="n">
        <v>871</v>
      </c>
    </row>
    <row r="126">
      <c r="A126" s="16" t="inlineStr">
        <is>
          <t>부문 · 전 항목</t>
        </is>
      </c>
      <c r="B126" s="42" t="inlineStr">
        <is>
          <t>부문 · 항목</t>
        </is>
      </c>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c r="Z126" s="16" t="n"/>
      <c r="AA126" s="16" t="n"/>
      <c r="AB126" s="16" t="n"/>
      <c r="AC126" s="16" t="n"/>
    </row>
    <row r="127">
      <c r="A127" s="5" t="inlineStr">
        <is>
          <t>항목</t>
        </is>
      </c>
      <c r="B127" s="5" t="inlineStr">
        <is>
          <t>참고</t>
        </is>
      </c>
      <c r="C127" s="5" t="inlineStr">
        <is>
          <t>2024.2Q</t>
        </is>
      </c>
      <c r="D127" s="5" t="inlineStr">
        <is>
          <t>2024.3Q</t>
        </is>
      </c>
      <c r="E127" s="5" t="inlineStr">
        <is>
          <t>2024.4Q</t>
        </is>
      </c>
      <c r="F127" s="5" t="inlineStr">
        <is>
          <t>2025.1Q</t>
        </is>
      </c>
      <c r="G127" s="5" t="inlineStr">
        <is>
          <t>2025.2Q</t>
        </is>
      </c>
      <c r="H127" s="5" t="inlineStr">
        <is>
          <t>2025.3Q</t>
        </is>
      </c>
      <c r="I127" s="5" t="inlineStr">
        <is>
          <t>2025.4Q</t>
        </is>
      </c>
      <c r="J127" s="5" t="inlineStr">
        <is>
          <t>2026.1Q</t>
        </is>
      </c>
      <c r="K127" s="5" t="inlineStr">
        <is>
          <t>2026.2Q</t>
        </is>
      </c>
      <c r="L127" s="5" t="inlineStr">
        <is>
          <t>2026.3Q</t>
        </is>
      </c>
      <c r="M127" s="5" t="inlineStr">
        <is>
          <t>2026.4Q</t>
        </is>
      </c>
      <c r="N127" s="5" t="inlineStr">
        <is>
          <t>2027.1Q</t>
        </is>
      </c>
      <c r="O127" s="5" t="inlineStr">
        <is>
          <t>2017</t>
        </is>
      </c>
      <c r="P127" s="5" t="inlineStr">
        <is>
          <t>2018</t>
        </is>
      </c>
      <c r="Q127" s="5" t="inlineStr">
        <is>
          <t>2019</t>
        </is>
      </c>
      <c r="R127" s="5" t="inlineStr">
        <is>
          <t>2020</t>
        </is>
      </c>
      <c r="S127" s="5" t="inlineStr">
        <is>
          <t>2021</t>
        </is>
      </c>
      <c r="T127" s="5" t="inlineStr">
        <is>
          <t>2022</t>
        </is>
      </c>
      <c r="U127" s="5" t="inlineStr">
        <is>
          <t>2023</t>
        </is>
      </c>
      <c r="V127" s="5" t="inlineStr">
        <is>
          <t>2024</t>
        </is>
      </c>
      <c r="W127" s="5" t="inlineStr">
        <is>
          <t>2025</t>
        </is>
      </c>
      <c r="X127" s="5" t="inlineStr">
        <is>
          <t>2026</t>
        </is>
      </c>
      <c r="Y127" s="5" t="inlineStr">
        <is>
          <t>2027(MW)</t>
        </is>
      </c>
      <c r="Z127" s="5" t="inlineStr">
        <is>
          <t>2028(MW)</t>
        </is>
      </c>
      <c r="AA127" s="5" t="inlineStr">
        <is>
          <t>2029(MW)</t>
        </is>
      </c>
      <c r="AB127" s="5" t="inlineStr">
        <is>
          <t>2030(MW)</t>
        </is>
      </c>
      <c r="AC127" s="5" t="inlineStr">
        <is>
          <t>2031(MW)</t>
        </is>
      </c>
    </row>
    <row r="128">
      <c r="A128" s="18" t="inlineStr">
        <is>
          <t>PassiveComponentsReportableSegmentMember · Sales To External Customers</t>
        </is>
      </c>
      <c r="C128" s="20" t="n">
        <v>145203</v>
      </c>
      <c r="D128" s="20" t="n">
        <v>140967</v>
      </c>
      <c r="E128" s="20" t="n">
        <v>138512</v>
      </c>
      <c r="F128" s="20" t="n">
        <v>139618</v>
      </c>
      <c r="G128" s="20" t="n">
        <v>145348</v>
      </c>
      <c r="H128" s="20" t="n">
        <v>139618</v>
      </c>
      <c r="I128" s="20" t="n">
        <v>135055</v>
      </c>
      <c r="J128" s="20" t="n">
        <v>138140</v>
      </c>
      <c r="K128" s="20" t="n">
        <v>147512</v>
      </c>
      <c r="L128" s="20" t="n">
        <v>152538</v>
      </c>
      <c r="M128" s="20" t="n">
        <v>155011</v>
      </c>
      <c r="N128" s="20" t="n">
        <v>176803</v>
      </c>
      <c r="V128" s="20" t="n">
        <v>138512</v>
      </c>
      <c r="W128" s="20" t="n">
        <v>135055</v>
      </c>
      <c r="X128" s="20" t="n">
        <v>155011</v>
      </c>
    </row>
    <row r="129">
      <c r="A129" s="18" t="inlineStr">
        <is>
          <t>PassiveComponentsReportableSegmentMember · Intersegment Sales</t>
        </is>
      </c>
      <c r="C129" s="20" t="n">
        <v>2160</v>
      </c>
      <c r="D129" s="20" t="n">
        <v>1625</v>
      </c>
      <c r="E129" s="20" t="n">
        <v>1491</v>
      </c>
      <c r="F129" s="20" t="n">
        <v>1074</v>
      </c>
      <c r="G129" s="20" t="n">
        <v>990</v>
      </c>
      <c r="H129" s="20" t="n">
        <v>1074</v>
      </c>
      <c r="I129" s="20" t="n">
        <v>1087</v>
      </c>
      <c r="J129" s="20" t="n">
        <v>1190</v>
      </c>
      <c r="K129" s="20" t="n">
        <v>1147</v>
      </c>
      <c r="L129" s="20" t="n">
        <v>1280</v>
      </c>
      <c r="M129" s="20" t="n">
        <v>2009</v>
      </c>
      <c r="N129" s="20" t="n">
        <v>1746</v>
      </c>
      <c r="V129" s="20" t="n">
        <v>1491</v>
      </c>
      <c r="W129" s="20" t="n">
        <v>1087</v>
      </c>
      <c r="X129" s="20" t="n">
        <v>2009</v>
      </c>
    </row>
    <row r="130">
      <c r="A130" s="18" t="inlineStr">
        <is>
          <t>PassiveComponentsReportableSegmentMember · 합계</t>
        </is>
      </c>
      <c r="C130" s="20" t="n">
        <v>147363</v>
      </c>
      <c r="D130" s="20" t="n">
        <v>142592</v>
      </c>
      <c r="E130" s="20" t="n">
        <v>140003</v>
      </c>
      <c r="F130" s="20" t="n">
        <v>140692</v>
      </c>
      <c r="G130" s="20" t="n">
        <v>146338</v>
      </c>
      <c r="H130" s="20" t="n">
        <v>140692</v>
      </c>
      <c r="I130" s="20" t="n">
        <v>136142</v>
      </c>
      <c r="J130" s="20" t="n">
        <v>139330</v>
      </c>
      <c r="K130" s="20" t="n">
        <v>148659</v>
      </c>
      <c r="L130" s="20" t="n">
        <v>153818</v>
      </c>
      <c r="M130" s="20" t="n">
        <v>157021</v>
      </c>
      <c r="N130" s="20" t="n">
        <v>178549</v>
      </c>
      <c r="V130" s="20" t="n">
        <v>140003</v>
      </c>
      <c r="W130" s="20" t="n">
        <v>136142</v>
      </c>
      <c r="X130" s="20" t="n">
        <v>157021</v>
      </c>
    </row>
    <row r="131">
      <c r="A131" s="43" t="inlineStr">
        <is>
          <t>YoY</t>
        </is>
      </c>
      <c r="B131" s="3" t="inlineStr">
        <is>
          <t>전년 같은 분기·전년 대비</t>
        </is>
      </c>
      <c r="G131" s="15">
        <f>IF(OR(G130="",C130=""),"",IF(C130&lt;=0,"",IFERROR(G130/C130-1,"")))</f>
        <v/>
      </c>
      <c r="H131" s="15">
        <f>IF(OR(H130="",D130=""),"",IF(D130&lt;=0,"",IFERROR(H130/D130-1,"")))</f>
        <v/>
      </c>
      <c r="I131" s="15">
        <f>IF(OR(I130="",E130=""),"",IF(E130&lt;=0,"",IFERROR(I130/E130-1,"")))</f>
        <v/>
      </c>
      <c r="J131" s="15">
        <f>IF(OR(J130="",F130=""),"",IF(F130&lt;=0,"",IFERROR(J130/F130-1,"")))</f>
        <v/>
      </c>
      <c r="K131" s="15">
        <f>IF(OR(K130="",G130=""),"",IF(G130&lt;=0,"",IFERROR(K130/G130-1,"")))</f>
        <v/>
      </c>
      <c r="L131" s="15">
        <f>IF(OR(L130="",H130=""),"",IF(H130&lt;=0,"",IFERROR(L130/H130-1,"")))</f>
        <v/>
      </c>
      <c r="M131" s="15">
        <f>IF(OR(M130="",I130=""),"",IF(I130&lt;=0,"",IFERROR(M130/I130-1,"")))</f>
        <v/>
      </c>
      <c r="N131" s="15">
        <f>IF(OR(N130="",J130=""),"",IF(J130&lt;=0,"",IFERROR(N130/J130-1,"")))</f>
        <v/>
      </c>
      <c r="V131" s="15">
        <f>IF(OR(V130="",U130=""),"",IF(U130&lt;=0,"",IFERROR(V130/U130-1,"")))</f>
        <v/>
      </c>
      <c r="W131" s="15">
        <f>IF(OR(W130="",V130=""),"",IF(V130&lt;=0,"",IFERROR(W130/V130-1,"")))</f>
        <v/>
      </c>
      <c r="X131" s="15">
        <f>IF(OR(X130="",W130=""),"",IF(W130&lt;=0,"",IFERROR(X130/W130-1,"")))</f>
        <v/>
      </c>
    </row>
    <row r="132">
      <c r="A132" s="18" t="inlineStr">
        <is>
          <t>SensorApplicationProductsReportableSegmentMember · Sales To External Customers</t>
        </is>
      </c>
      <c r="C132" s="20" t="n">
        <v>36804</v>
      </c>
      <c r="D132" s="20" t="n">
        <v>49249</v>
      </c>
      <c r="E132" s="20" t="n">
        <v>45209</v>
      </c>
      <c r="F132" s="20" t="n">
        <v>48094</v>
      </c>
      <c r="G132" s="20" t="n">
        <v>46765</v>
      </c>
      <c r="H132" s="20" t="n">
        <v>48094</v>
      </c>
      <c r="I132" s="20" t="n">
        <v>46519</v>
      </c>
      <c r="J132" s="20" t="n">
        <v>46415</v>
      </c>
      <c r="K132" s="20" t="n">
        <v>61501</v>
      </c>
      <c r="L132" s="20" t="n">
        <v>59826</v>
      </c>
      <c r="M132" s="20" t="n">
        <v>56881</v>
      </c>
      <c r="N132" s="20" t="n">
        <v>61856</v>
      </c>
      <c r="V132" s="20" t="n">
        <v>45209</v>
      </c>
      <c r="W132" s="20" t="n">
        <v>46519</v>
      </c>
      <c r="X132" s="20" t="n">
        <v>56881</v>
      </c>
    </row>
    <row r="133">
      <c r="A133" s="18" t="inlineStr">
        <is>
          <t>SensorApplicationProductsReportableSegmentMember · Intersegment Sales</t>
        </is>
      </c>
      <c r="C133" s="20" t="n">
        <v>211</v>
      </c>
      <c r="D133" s="20" t="n">
        <v>469</v>
      </c>
      <c r="E133" s="20" t="n">
        <v>548</v>
      </c>
      <c r="F133" s="20" t="n">
        <v>383</v>
      </c>
      <c r="G133" s="20" t="n">
        <v>190</v>
      </c>
      <c r="H133" s="20" t="n">
        <v>383</v>
      </c>
      <c r="I133" s="20" t="n">
        <v>25</v>
      </c>
      <c r="J133" s="20" t="n">
        <v>0</v>
      </c>
      <c r="K133" s="20" t="n">
        <v>10</v>
      </c>
      <c r="L133" s="20" t="n">
        <v>63</v>
      </c>
      <c r="M133" s="20" t="n">
        <v>82</v>
      </c>
      <c r="N133" s="20" t="n">
        <v>163</v>
      </c>
      <c r="V133" s="20" t="n">
        <v>548</v>
      </c>
      <c r="W133" s="20" t="n">
        <v>25</v>
      </c>
      <c r="X133" s="20" t="n">
        <v>82</v>
      </c>
    </row>
    <row r="134">
      <c r="A134" s="18" t="inlineStr">
        <is>
          <t>SensorApplicationProductsReportableSegmentMember · 합계</t>
        </is>
      </c>
      <c r="C134" s="20" t="n">
        <v>37015</v>
      </c>
      <c r="D134" s="20" t="n">
        <v>49718</v>
      </c>
      <c r="E134" s="20" t="n">
        <v>45757</v>
      </c>
      <c r="F134" s="20" t="n">
        <v>48477</v>
      </c>
      <c r="G134" s="20" t="n">
        <v>46955</v>
      </c>
      <c r="H134" s="20" t="n">
        <v>48477</v>
      </c>
      <c r="I134" s="20" t="n">
        <v>46544</v>
      </c>
      <c r="J134" s="20" t="n">
        <v>46415</v>
      </c>
      <c r="K134" s="20" t="n">
        <v>61511</v>
      </c>
      <c r="L134" s="20" t="n">
        <v>59889</v>
      </c>
      <c r="M134" s="20" t="n">
        <v>56963</v>
      </c>
      <c r="N134" s="20" t="n">
        <v>62019</v>
      </c>
      <c r="V134" s="20" t="n">
        <v>45757</v>
      </c>
      <c r="W134" s="20" t="n">
        <v>46544</v>
      </c>
      <c r="X134" s="20" t="n">
        <v>56963</v>
      </c>
    </row>
    <row r="135">
      <c r="A135" s="43" t="inlineStr">
        <is>
          <t>YoY</t>
        </is>
      </c>
      <c r="B135" s="3" t="inlineStr">
        <is>
          <t>전년 같은 분기·전년 대비</t>
        </is>
      </c>
      <c r="G135" s="15">
        <f>IF(OR(G134="",C134=""),"",IF(C134&lt;=0,"",IFERROR(G134/C134-1,"")))</f>
        <v/>
      </c>
      <c r="H135" s="15">
        <f>IF(OR(H134="",D134=""),"",IF(D134&lt;=0,"",IFERROR(H134/D134-1,"")))</f>
        <v/>
      </c>
      <c r="I135" s="15">
        <f>IF(OR(I134="",E134=""),"",IF(E134&lt;=0,"",IFERROR(I134/E134-1,"")))</f>
        <v/>
      </c>
      <c r="J135" s="15">
        <f>IF(OR(J134="",F134=""),"",IF(F134&lt;=0,"",IFERROR(J134/F134-1,"")))</f>
        <v/>
      </c>
      <c r="K135" s="15">
        <f>IF(OR(K134="",G134=""),"",IF(G134&lt;=0,"",IFERROR(K134/G134-1,"")))</f>
        <v/>
      </c>
      <c r="L135" s="15">
        <f>IF(OR(L134="",H134=""),"",IF(H134&lt;=0,"",IFERROR(L134/H134-1,"")))</f>
        <v/>
      </c>
      <c r="M135" s="15">
        <f>IF(OR(M134="",I134=""),"",IF(I134&lt;=0,"",IFERROR(M134/I134-1,"")))</f>
        <v/>
      </c>
      <c r="N135" s="15">
        <f>IF(OR(N134="",J134=""),"",IF(J134&lt;=0,"",IFERROR(N134/J134-1,"")))</f>
        <v/>
      </c>
      <c r="V135" s="15">
        <f>IF(OR(V134="",U134=""),"",IF(U134&lt;=0,"",IFERROR(V134/U134-1,"")))</f>
        <v/>
      </c>
      <c r="W135" s="15">
        <f>IF(OR(W134="",V134=""),"",IF(V134&lt;=0,"",IFERROR(W134/V134-1,"")))</f>
        <v/>
      </c>
      <c r="X135" s="15">
        <f>IF(OR(X134="",W134=""),"",IF(W134&lt;=0,"",IFERROR(X134/W134-1,"")))</f>
        <v/>
      </c>
    </row>
    <row r="136">
      <c r="A136" s="18" t="inlineStr">
        <is>
          <t>MagneticApplicationProductsReportableSegmentMember · Sales To External Customers</t>
        </is>
      </c>
      <c r="C136" s="20" t="n">
        <v>33754</v>
      </c>
      <c r="D136" s="20" t="n">
        <v>49300</v>
      </c>
      <c r="E136" s="20" t="n">
        <v>51857</v>
      </c>
      <c r="F136" s="20" t="n">
        <v>54450</v>
      </c>
      <c r="G136" s="20" t="n">
        <v>56495</v>
      </c>
      <c r="H136" s="20" t="n">
        <v>54450</v>
      </c>
      <c r="I136" s="20" t="n">
        <v>58242</v>
      </c>
      <c r="J136" s="20" t="n">
        <v>54554</v>
      </c>
      <c r="K136" s="20" t="n">
        <v>61199</v>
      </c>
      <c r="L136" s="20" t="n">
        <v>71066</v>
      </c>
      <c r="M136" s="20" t="n">
        <v>76084</v>
      </c>
      <c r="N136" s="20" t="n">
        <v>81608</v>
      </c>
      <c r="V136" s="20" t="n">
        <v>51857</v>
      </c>
      <c r="W136" s="20" t="n">
        <v>58242</v>
      </c>
      <c r="X136" s="20" t="n">
        <v>76084</v>
      </c>
    </row>
    <row r="137">
      <c r="A137" s="18" t="inlineStr">
        <is>
          <t>MagneticApplicationProductsReportableSegmentMember · Intersegment Sales</t>
        </is>
      </c>
      <c r="C137" s="20" t="n">
        <v>3</v>
      </c>
      <c r="D137" s="20" t="n">
        <v>29</v>
      </c>
      <c r="E137" s="20" t="n">
        <v>18</v>
      </c>
      <c r="F137" s="20" t="n">
        <v>15</v>
      </c>
      <c r="G137" s="20" t="n">
        <v>19</v>
      </c>
      <c r="H137" s="20" t="n">
        <v>15</v>
      </c>
      <c r="I137" s="20" t="n">
        <v>19</v>
      </c>
      <c r="J137" s="20" t="n">
        <v>21</v>
      </c>
      <c r="K137" s="20" t="n">
        <v>8</v>
      </c>
      <c r="L137" s="20" t="n">
        <v>10</v>
      </c>
      <c r="M137" s="20" t="n">
        <v>289</v>
      </c>
      <c r="N137" s="20" t="n">
        <v>257</v>
      </c>
      <c r="V137" s="20" t="n">
        <v>18</v>
      </c>
      <c r="W137" s="20" t="n">
        <v>19</v>
      </c>
      <c r="X137" s="20" t="n">
        <v>289</v>
      </c>
    </row>
    <row r="138">
      <c r="A138" s="18" t="inlineStr">
        <is>
          <t>MagneticApplicationProductsReportableSegmentMember · 합계</t>
        </is>
      </c>
      <c r="C138" s="20" t="n">
        <v>33757</v>
      </c>
      <c r="D138" s="20" t="n">
        <v>49329</v>
      </c>
      <c r="E138" s="20" t="n">
        <v>51875</v>
      </c>
      <c r="F138" s="20" t="n">
        <v>54465</v>
      </c>
      <c r="G138" s="20" t="n">
        <v>56514</v>
      </c>
      <c r="H138" s="20" t="n">
        <v>54465</v>
      </c>
      <c r="I138" s="20" t="n">
        <v>58261</v>
      </c>
      <c r="J138" s="20" t="n">
        <v>54575</v>
      </c>
      <c r="K138" s="20" t="n">
        <v>61207</v>
      </c>
      <c r="L138" s="20" t="n">
        <v>71076</v>
      </c>
      <c r="M138" s="20" t="n">
        <v>76373</v>
      </c>
      <c r="N138" s="20" t="n">
        <v>81865</v>
      </c>
      <c r="V138" s="20" t="n">
        <v>51875</v>
      </c>
      <c r="W138" s="20" t="n">
        <v>58261</v>
      </c>
      <c r="X138" s="20" t="n">
        <v>76373</v>
      </c>
    </row>
    <row r="139">
      <c r="A139" s="43" t="inlineStr">
        <is>
          <t>YoY</t>
        </is>
      </c>
      <c r="B139" s="3" t="inlineStr">
        <is>
          <t>전년 같은 분기·전년 대비</t>
        </is>
      </c>
      <c r="G139" s="15">
        <f>IF(OR(G138="",C138=""),"",IF(C138&lt;=0,"",IFERROR(G138/C138-1,"")))</f>
        <v/>
      </c>
      <c r="H139" s="15">
        <f>IF(OR(H138="",D138=""),"",IF(D138&lt;=0,"",IFERROR(H138/D138-1,"")))</f>
        <v/>
      </c>
      <c r="I139" s="15">
        <f>IF(OR(I138="",E138=""),"",IF(E138&lt;=0,"",IFERROR(I138/E138-1,"")))</f>
        <v/>
      </c>
      <c r="J139" s="15">
        <f>IF(OR(J138="",F138=""),"",IF(F138&lt;=0,"",IFERROR(J138/F138-1,"")))</f>
        <v/>
      </c>
      <c r="K139" s="15">
        <f>IF(OR(K138="",G138=""),"",IF(G138&lt;=0,"",IFERROR(K138/G138-1,"")))</f>
        <v/>
      </c>
      <c r="L139" s="15">
        <f>IF(OR(L138="",H138=""),"",IF(H138&lt;=0,"",IFERROR(L138/H138-1,"")))</f>
        <v/>
      </c>
      <c r="M139" s="15">
        <f>IF(OR(M138="",I138=""),"",IF(I138&lt;=0,"",IFERROR(M138/I138-1,"")))</f>
        <v/>
      </c>
      <c r="N139" s="15">
        <f>IF(OR(N138="",J138=""),"",IF(J138&lt;=0,"",IFERROR(N138/J138-1,"")))</f>
        <v/>
      </c>
      <c r="V139" s="15">
        <f>IF(OR(V138="",U138=""),"",IF(U138&lt;=0,"",IFERROR(V138/U138-1,"")))</f>
        <v/>
      </c>
      <c r="W139" s="15">
        <f>IF(OR(W138="",V138=""),"",IF(V138&lt;=0,"",IFERROR(W138/V138-1,"")))</f>
        <v/>
      </c>
      <c r="X139" s="15">
        <f>IF(OR(X138="",W138=""),"",IF(W138&lt;=0,"",IFERROR(X138/W138-1,"")))</f>
        <v/>
      </c>
    </row>
    <row r="140">
      <c r="A140" s="18" t="inlineStr">
        <is>
          <t>EnergyApplicationProductsReportableSegmentMember · Sales To External Customers</t>
        </is>
      </c>
      <c r="C140" s="20" t="n">
        <v>274378</v>
      </c>
      <c r="D140" s="20" t="n">
        <v>304545</v>
      </c>
      <c r="E140" s="20" t="n">
        <v>238194</v>
      </c>
      <c r="F140" s="20" t="n">
        <v>323974</v>
      </c>
      <c r="G140" s="20" t="n">
        <v>247999</v>
      </c>
      <c r="H140" s="20" t="n">
        <v>323974</v>
      </c>
      <c r="I140" s="20" t="n">
        <v>280552</v>
      </c>
      <c r="J140" s="20" t="n">
        <v>285519</v>
      </c>
      <c r="K140" s="20" t="n">
        <v>362619</v>
      </c>
      <c r="L140" s="20" t="n">
        <v>377103</v>
      </c>
      <c r="M140" s="20" t="n">
        <v>345063</v>
      </c>
      <c r="N140" s="20" t="n">
        <v>405795</v>
      </c>
      <c r="V140" s="20" t="n">
        <v>238194</v>
      </c>
      <c r="W140" s="20" t="n">
        <v>280552</v>
      </c>
      <c r="X140" s="20" t="n">
        <v>345063</v>
      </c>
    </row>
    <row r="141">
      <c r="A141" s="18" t="inlineStr">
        <is>
          <t>EnergyApplicationProductsReportableSegmentMember · Intersegment Sales</t>
        </is>
      </c>
      <c r="C141" s="20" t="n">
        <v>6</v>
      </c>
      <c r="D141" s="20" t="n">
        <v>2</v>
      </c>
      <c r="E141" s="20" t="n">
        <v>1</v>
      </c>
      <c r="F141" s="20" t="n">
        <v>0</v>
      </c>
      <c r="G141" s="20" t="n">
        <v>1</v>
      </c>
      <c r="H141" s="20" t="n">
        <v>0</v>
      </c>
      <c r="I141" s="20" t="n">
        <v>1</v>
      </c>
      <c r="J141" s="20" t="n">
        <v>0</v>
      </c>
      <c r="K141" s="20" t="n">
        <v>1</v>
      </c>
      <c r="L141" s="20" t="n">
        <v>0</v>
      </c>
      <c r="M141" s="20" t="n">
        <v>0</v>
      </c>
      <c r="N141" s="20" t="n">
        <v>18</v>
      </c>
      <c r="V141" s="20" t="n">
        <v>1</v>
      </c>
      <c r="W141" s="20" t="n">
        <v>1</v>
      </c>
      <c r="X141" s="20" t="n">
        <v>0</v>
      </c>
    </row>
    <row r="142">
      <c r="A142" s="18" t="inlineStr">
        <is>
          <t>EnergyApplicationProductsReportableSegmentMember · 합계</t>
        </is>
      </c>
      <c r="C142" s="20" t="n">
        <v>274384</v>
      </c>
      <c r="D142" s="20" t="n">
        <v>304547</v>
      </c>
      <c r="E142" s="20" t="n">
        <v>238195</v>
      </c>
      <c r="F142" s="20" t="n">
        <v>323974</v>
      </c>
      <c r="G142" s="20" t="n">
        <v>248000</v>
      </c>
      <c r="H142" s="20" t="n">
        <v>323974</v>
      </c>
      <c r="I142" s="20" t="n">
        <v>280553</v>
      </c>
      <c r="J142" s="20" t="n">
        <v>285519</v>
      </c>
      <c r="K142" s="20" t="n">
        <v>362620</v>
      </c>
      <c r="L142" s="20" t="n">
        <v>377103</v>
      </c>
      <c r="M142" s="20" t="n">
        <v>345063</v>
      </c>
      <c r="N142" s="20" t="n">
        <v>405813</v>
      </c>
      <c r="V142" s="20" t="n">
        <v>238195</v>
      </c>
      <c r="W142" s="20" t="n">
        <v>280553</v>
      </c>
      <c r="X142" s="20" t="n">
        <v>345063</v>
      </c>
    </row>
    <row r="143">
      <c r="A143" s="43" t="inlineStr">
        <is>
          <t>YoY</t>
        </is>
      </c>
      <c r="B143" s="3" t="inlineStr">
        <is>
          <t>전년 같은 분기·전년 대비</t>
        </is>
      </c>
      <c r="G143" s="15">
        <f>IF(OR(G142="",C142=""),"",IF(C142&lt;=0,"",IFERROR(G142/C142-1,"")))</f>
        <v/>
      </c>
      <c r="H143" s="15">
        <f>IF(OR(H142="",D142=""),"",IF(D142&lt;=0,"",IFERROR(H142/D142-1,"")))</f>
        <v/>
      </c>
      <c r="I143" s="15">
        <f>IF(OR(I142="",E142=""),"",IF(E142&lt;=0,"",IFERROR(I142/E142-1,"")))</f>
        <v/>
      </c>
      <c r="J143" s="15">
        <f>IF(OR(J142="",F142=""),"",IF(F142&lt;=0,"",IFERROR(J142/F142-1,"")))</f>
        <v/>
      </c>
      <c r="K143" s="15">
        <f>IF(OR(K142="",G142=""),"",IF(G142&lt;=0,"",IFERROR(K142/G142-1,"")))</f>
        <v/>
      </c>
      <c r="L143" s="15">
        <f>IF(OR(L142="",H142=""),"",IF(H142&lt;=0,"",IFERROR(L142/H142-1,"")))</f>
        <v/>
      </c>
      <c r="M143" s="15">
        <f>IF(OR(M142="",I142=""),"",IF(I142&lt;=0,"",IFERROR(M142/I142-1,"")))</f>
        <v/>
      </c>
      <c r="N143" s="15">
        <f>IF(OR(N142="",J142=""),"",IF(J142&lt;=0,"",IFERROR(N142/J142-1,"")))</f>
        <v/>
      </c>
      <c r="V143" s="15">
        <f>IF(OR(V142="",U142=""),"",IF(U142&lt;=0,"",IFERROR(V142/U142-1,"")))</f>
        <v/>
      </c>
      <c r="W143" s="15">
        <f>IF(OR(W142="",V142=""),"",IF(V142&lt;=0,"",IFERROR(W142/V142-1,"")))</f>
        <v/>
      </c>
      <c r="X143" s="15">
        <f>IF(OR(X142="",W142=""),"",IF(W142&lt;=0,"",IFERROR(X142/W142-1,"")))</f>
        <v/>
      </c>
    </row>
    <row r="144">
      <c r="A144" s="18" t="inlineStr">
        <is>
          <t>기타 · 기타</t>
        </is>
      </c>
      <c r="C144" s="20" t="n">
        <v>10322</v>
      </c>
      <c r="D144" s="20" t="n">
        <v>15189</v>
      </c>
      <c r="E144" s="20" t="n">
        <v>11143</v>
      </c>
      <c r="F144" s="20" t="n">
        <v>14907</v>
      </c>
      <c r="G144" s="20" t="n">
        <v>11851</v>
      </c>
      <c r="H144" s="20" t="n">
        <v>14907</v>
      </c>
      <c r="I144" s="20" t="n">
        <v>13894</v>
      </c>
      <c r="J144" s="20" t="n">
        <v>11125</v>
      </c>
      <c r="K144" s="20" t="n">
        <v>14779</v>
      </c>
      <c r="L144" s="20" t="n">
        <v>14670</v>
      </c>
      <c r="M144" s="20" t="n">
        <v>13215</v>
      </c>
      <c r="N144" s="20" t="n">
        <v>14943</v>
      </c>
      <c r="V144" s="20" t="n">
        <v>11143</v>
      </c>
      <c r="W144" s="20" t="n">
        <v>13894</v>
      </c>
      <c r="X144" s="20" t="n">
        <v>13215</v>
      </c>
    </row>
    <row r="145">
      <c r="A145" s="18" t="inlineStr">
        <is>
          <t>기타 · Intersegment Sales</t>
        </is>
      </c>
      <c r="C145" s="20" t="n">
        <v>1274</v>
      </c>
      <c r="D145" s="20" t="n">
        <v>2043</v>
      </c>
      <c r="E145" s="20" t="n">
        <v>1855</v>
      </c>
      <c r="F145" s="20" t="n">
        <v>705</v>
      </c>
      <c r="G145" s="20" t="n">
        <v>2215</v>
      </c>
      <c r="H145" s="20" t="n">
        <v>705</v>
      </c>
      <c r="I145" s="20" t="n">
        <v>1115</v>
      </c>
      <c r="J145" s="20" t="n">
        <v>1114</v>
      </c>
      <c r="K145" s="20" t="n">
        <v>1148</v>
      </c>
      <c r="L145" s="20" t="n">
        <v>1187</v>
      </c>
      <c r="M145" s="20" t="n">
        <v>1206</v>
      </c>
      <c r="N145" s="20" t="n">
        <v>1279</v>
      </c>
      <c r="V145" s="20" t="n">
        <v>1855</v>
      </c>
      <c r="W145" s="20" t="n">
        <v>1115</v>
      </c>
      <c r="X145" s="20" t="n">
        <v>1206</v>
      </c>
    </row>
    <row r="146">
      <c r="A146" s="18" t="inlineStr">
        <is>
          <t>기타 · 합계</t>
        </is>
      </c>
      <c r="C146" s="20" t="n">
        <v>11596</v>
      </c>
      <c r="D146" s="20" t="n">
        <v>17232</v>
      </c>
      <c r="E146" s="20" t="n">
        <v>12998</v>
      </c>
      <c r="F146" s="20" t="n">
        <v>15612</v>
      </c>
      <c r="G146" s="20" t="n">
        <v>14066</v>
      </c>
      <c r="H146" s="20" t="n">
        <v>15612</v>
      </c>
      <c r="I146" s="20" t="n">
        <v>15009</v>
      </c>
      <c r="J146" s="20" t="n">
        <v>12239</v>
      </c>
      <c r="K146" s="20" t="n">
        <v>15927</v>
      </c>
      <c r="L146" s="20" t="n">
        <v>15857</v>
      </c>
      <c r="M146" s="20" t="n">
        <v>14420</v>
      </c>
      <c r="N146" s="20" t="n">
        <v>16221</v>
      </c>
      <c r="V146" s="20" t="n">
        <v>12998</v>
      </c>
      <c r="W146" s="20" t="n">
        <v>15009</v>
      </c>
      <c r="X146" s="20" t="n">
        <v>14420</v>
      </c>
    </row>
    <row r="147">
      <c r="A147" s="43" t="inlineStr">
        <is>
          <t>YoY</t>
        </is>
      </c>
      <c r="B147" s="3" t="inlineStr">
        <is>
          <t>전년 같은 분기·전년 대비</t>
        </is>
      </c>
      <c r="G147" s="15">
        <f>IF(OR(G146="",C146=""),"",IF(C146&lt;=0,"",IFERROR(G146/C146-1,"")))</f>
        <v/>
      </c>
      <c r="H147" s="15">
        <f>IF(OR(H146="",D146=""),"",IF(D146&lt;=0,"",IFERROR(H146/D146-1,"")))</f>
        <v/>
      </c>
      <c r="I147" s="15">
        <f>IF(OR(I146="",E146=""),"",IF(E146&lt;=0,"",IFERROR(I146/E146-1,"")))</f>
        <v/>
      </c>
      <c r="J147" s="15">
        <f>IF(OR(J146="",F146=""),"",IF(F146&lt;=0,"",IFERROR(J146/F146-1,"")))</f>
        <v/>
      </c>
      <c r="K147" s="15">
        <f>IF(OR(K146="",G146=""),"",IF(G146&lt;=0,"",IFERROR(K146/G146-1,"")))</f>
        <v/>
      </c>
      <c r="L147" s="15">
        <f>IF(OR(L146="",H146=""),"",IF(H146&lt;=0,"",IFERROR(L146/H146-1,"")))</f>
        <v/>
      </c>
      <c r="M147" s="15">
        <f>IF(OR(M146="",I146=""),"",IF(I146&lt;=0,"",IFERROR(M146/I146-1,"")))</f>
        <v/>
      </c>
      <c r="N147" s="15">
        <f>IF(OR(N146="",J146=""),"",IF(J146&lt;=0,"",IFERROR(N146/J146-1,"")))</f>
        <v/>
      </c>
      <c r="V147" s="15">
        <f>IF(OR(V146="",U146=""),"",IF(U146&lt;=0,"",IFERROR(V146/U146-1,"")))</f>
        <v/>
      </c>
      <c r="W147" s="15">
        <f>IF(OR(W146="",V146=""),"",IF(V146&lt;=0,"",IFERROR(W146/V146-1,"")))</f>
        <v/>
      </c>
      <c r="X147" s="15">
        <f>IF(OR(X146="",W146=""),"",IF(W146&lt;=0,"",IFERROR(X146/W146-1,"")))</f>
        <v/>
      </c>
    </row>
    <row r="148">
      <c r="A148" s="18" t="inlineStr">
        <is>
          <t>조정액 · Net Sales</t>
        </is>
      </c>
      <c r="C148" s="20" t="n">
        <v>-3654</v>
      </c>
      <c r="D148" s="20" t="n">
        <v>-4168</v>
      </c>
      <c r="E148" s="20" t="n">
        <v>-3913</v>
      </c>
      <c r="F148" s="20" t="n">
        <v>-2177</v>
      </c>
      <c r="G148" s="20" t="n">
        <v>-3415</v>
      </c>
      <c r="H148" s="20" t="n">
        <v>-2177</v>
      </c>
      <c r="I148" s="20" t="n">
        <v>-2247</v>
      </c>
      <c r="J148" s="20" t="n">
        <v>-2325</v>
      </c>
      <c r="K148" s="20" t="n">
        <v>-2314</v>
      </c>
      <c r="L148" s="20" t="n">
        <v>-2540</v>
      </c>
      <c r="M148" s="20" t="n">
        <v>-3586</v>
      </c>
      <c r="N148" s="20" t="n">
        <v>-3462</v>
      </c>
      <c r="V148" s="20" t="n">
        <v>-3913</v>
      </c>
      <c r="W148" s="20" t="n">
        <v>-2247</v>
      </c>
      <c r="X148" s="20" t="n">
        <v>-3586</v>
      </c>
    </row>
    <row r="149">
      <c r="A149" s="9" t="inlineStr">
        <is>
          <t>합계</t>
        </is>
      </c>
      <c r="C149" s="12" t="n">
        <v>500461</v>
      </c>
      <c r="D149" s="12" t="n">
        <v>559250</v>
      </c>
      <c r="E149" s="12" t="n">
        <v>484915</v>
      </c>
      <c r="F149" s="12" t="n">
        <v>581043</v>
      </c>
      <c r="G149" s="12" t="n">
        <v>508458</v>
      </c>
      <c r="H149" s="12" t="n">
        <v>581043</v>
      </c>
      <c r="I149" s="12" t="n">
        <v>534262</v>
      </c>
      <c r="J149" s="12" t="n">
        <v>675203</v>
      </c>
      <c r="K149" s="12" t="n">
        <v>508160</v>
      </c>
      <c r="L149" s="12" t="n">
        <v>675203</v>
      </c>
      <c r="M149" s="12" t="n">
        <v>646254</v>
      </c>
      <c r="V149" s="12" t="n">
        <v>484915</v>
      </c>
      <c r="W149" s="12" t="n">
        <v>534262</v>
      </c>
      <c r="X149" s="12" t="n">
        <v>646254</v>
      </c>
    </row>
    <row r="150">
      <c r="A150" s="43" t="inlineStr">
        <is>
          <t>YoY</t>
        </is>
      </c>
      <c r="B150" s="3" t="inlineStr">
        <is>
          <t>전년 같은 분기·전년 대비</t>
        </is>
      </c>
      <c r="G150" s="15">
        <f>IF(OR(G149="",C149=""),"",IF(C149&lt;=0,"",IFERROR(G149/C149-1,"")))</f>
        <v/>
      </c>
      <c r="H150" s="15">
        <f>IF(OR(H149="",D149=""),"",IF(D149&lt;=0,"",IFERROR(H149/D149-1,"")))</f>
        <v/>
      </c>
      <c r="I150" s="15">
        <f>IF(OR(I149="",E149=""),"",IF(E149&lt;=0,"",IFERROR(I149/E149-1,"")))</f>
        <v/>
      </c>
      <c r="J150" s="15">
        <f>IF(OR(J149="",F149=""),"",IF(F149&lt;=0,"",IFERROR(J149/F149-1,"")))</f>
        <v/>
      </c>
      <c r="K150" s="15">
        <f>IF(OR(K149="",G149=""),"",IF(G149&lt;=0,"",IFERROR(K149/G149-1,"")))</f>
        <v/>
      </c>
      <c r="L150" s="15">
        <f>IF(OR(L149="",H149=""),"",IF(H149&lt;=0,"",IFERROR(L149/H149-1,"")))</f>
        <v/>
      </c>
      <c r="M150" s="15">
        <f>IF(OR(M149="",I149=""),"",IF(I149&lt;=0,"",IFERROR(M149/I149-1,"")))</f>
        <v/>
      </c>
      <c r="V150" s="15">
        <f>IF(OR(V149="",U149=""),"",IF(U149&lt;=0,"",IFERROR(V149/U149-1,"")))</f>
        <v/>
      </c>
      <c r="W150" s="15">
        <f>IF(OR(W149="",V149=""),"",IF(V149&lt;=0,"",IFERROR(W149/V149-1,"")))</f>
        <v/>
      </c>
      <c r="X150" s="15">
        <f>IF(OR(X149="",W149=""),"",IF(W149&lt;=0,"",IFERROR(X149/W149-1,"")))</f>
        <v/>
      </c>
    </row>
    <row r="151">
      <c r="A151" s="18" t="inlineStr">
        <is>
          <t>EntityTotalMember · 합계</t>
        </is>
      </c>
      <c r="J151" s="20" t="n">
        <v>535753</v>
      </c>
      <c r="N151" s="20" t="n">
        <v>741005</v>
      </c>
    </row>
    <row r="152">
      <c r="A152" s="18" t="inlineStr">
        <is>
          <t>PassiveComponentsReportableSegmentMember · Operating Profit Loss</t>
        </is>
      </c>
      <c r="C152" s="20" t="n">
        <v>13126</v>
      </c>
      <c r="D152" s="20" t="n">
        <v>18539</v>
      </c>
      <c r="E152" s="20" t="n">
        <v>3682</v>
      </c>
      <c r="F152" s="20" t="n">
        <v>11999</v>
      </c>
      <c r="G152" s="20" t="n">
        <v>16893</v>
      </c>
      <c r="H152" s="20" t="n">
        <v>11999</v>
      </c>
      <c r="I152" s="20" t="n">
        <v>-6819</v>
      </c>
      <c r="J152" s="20" t="n">
        <v>6387</v>
      </c>
      <c r="K152" s="20" t="n">
        <v>8405</v>
      </c>
      <c r="L152" s="20" t="n">
        <v>15636</v>
      </c>
      <c r="M152" s="20" t="n">
        <v>11403</v>
      </c>
      <c r="N152" s="20" t="n">
        <v>17385</v>
      </c>
      <c r="V152" s="20" t="n">
        <v>3682</v>
      </c>
      <c r="W152" s="20" t="n">
        <v>-6819</v>
      </c>
      <c r="X152" s="20" t="n">
        <v>11403</v>
      </c>
    </row>
    <row r="153">
      <c r="A153" s="43" t="inlineStr">
        <is>
          <t>OPM</t>
        </is>
      </c>
      <c r="B153" s="3" t="inlineStr">
        <is>
          <t>영업이익 ÷ 매출</t>
        </is>
      </c>
      <c r="C153" s="15">
        <f>IF(OR(C152="",C130=""),"",IF(C130&lt;=0,"",IFERROR(C152/C130,"")))</f>
        <v/>
      </c>
      <c r="D153" s="15">
        <f>IF(OR(D152="",D130=""),"",IF(D130&lt;=0,"",IFERROR(D152/D130,"")))</f>
        <v/>
      </c>
      <c r="E153" s="15">
        <f>IF(OR(E152="",E130=""),"",IF(E130&lt;=0,"",IFERROR(E152/E130,"")))</f>
        <v/>
      </c>
      <c r="F153" s="15">
        <f>IF(OR(F152="",F130=""),"",IF(F130&lt;=0,"",IFERROR(F152/F130,"")))</f>
        <v/>
      </c>
      <c r="G153" s="15">
        <f>IF(OR(G152="",G130=""),"",IF(G130&lt;=0,"",IFERROR(G152/G130,"")))</f>
        <v/>
      </c>
      <c r="H153" s="15">
        <f>IF(OR(H152="",H130=""),"",IF(H130&lt;=0,"",IFERROR(H152/H130,"")))</f>
        <v/>
      </c>
      <c r="I153" s="15">
        <f>IF(OR(I152="",I130=""),"",IF(I130&lt;=0,"",IFERROR(I152/I130,"")))</f>
        <v/>
      </c>
      <c r="J153" s="15">
        <f>IF(OR(J152="",J130=""),"",IF(J130&lt;=0,"",IFERROR(J152/J130,"")))</f>
        <v/>
      </c>
      <c r="K153" s="15">
        <f>IF(OR(K152="",K130=""),"",IF(K130&lt;=0,"",IFERROR(K152/K130,"")))</f>
        <v/>
      </c>
      <c r="L153" s="15">
        <f>IF(OR(L152="",L130=""),"",IF(L130&lt;=0,"",IFERROR(L152/L130,"")))</f>
        <v/>
      </c>
      <c r="M153" s="15">
        <f>IF(OR(M152="",M130=""),"",IF(M130&lt;=0,"",IFERROR(M152/M130,"")))</f>
        <v/>
      </c>
      <c r="N153" s="15">
        <f>IF(OR(N152="",N130=""),"",IF(N130&lt;=0,"",IFERROR(N152/N130,"")))</f>
        <v/>
      </c>
      <c r="V153" s="15">
        <f>IF(OR(V152="",V130=""),"",IF(V130&lt;=0,"",IFERROR(V152/V130,"")))</f>
        <v/>
      </c>
      <c r="W153" s="15">
        <f>IF(OR(W152="",W130=""),"",IF(W130&lt;=0,"",IFERROR(W152/W130,"")))</f>
        <v/>
      </c>
      <c r="X153" s="15">
        <f>IF(OR(X152="",X130=""),"",IF(X130&lt;=0,"",IFERROR(X152/X130,"")))</f>
        <v/>
      </c>
    </row>
    <row r="154">
      <c r="A154" s="43" t="inlineStr">
        <is>
          <t>YoY</t>
        </is>
      </c>
      <c r="B154" s="3" t="inlineStr">
        <is>
          <t>전년 같은 분기·전년 대비</t>
        </is>
      </c>
      <c r="G154" s="15">
        <f>IF(OR(G152="",C152=""),"",IF(C152&lt;=0,"",IFERROR(G152/C152-1,"")))</f>
        <v/>
      </c>
      <c r="H154" s="15">
        <f>IF(OR(H152="",D152=""),"",IF(D152&lt;=0,"",IFERROR(H152/D152-1,"")))</f>
        <v/>
      </c>
      <c r="I154" s="15">
        <f>IF(OR(I152="",E152=""),"",IF(E152&lt;=0,"",IFERROR(I152/E152-1,"")))</f>
        <v/>
      </c>
      <c r="J154" s="15">
        <f>IF(OR(J152="",F152=""),"",IF(F152&lt;=0,"",IFERROR(J152/F152-1,"")))</f>
        <v/>
      </c>
      <c r="K154" s="15">
        <f>IF(OR(K152="",G152=""),"",IF(G152&lt;=0,"",IFERROR(K152/G152-1,"")))</f>
        <v/>
      </c>
      <c r="L154" s="15">
        <f>IF(OR(L152="",H152=""),"",IF(H152&lt;=0,"",IFERROR(L152/H152-1,"")))</f>
        <v/>
      </c>
      <c r="M154" s="15">
        <f>IF(OR(M152="",I152=""),"",IF(I152&lt;=0,"",IFERROR(M152/I152-1,"")))</f>
        <v/>
      </c>
      <c r="N154" s="15">
        <f>IF(OR(N152="",J152=""),"",IF(J152&lt;=0,"",IFERROR(N152/J152-1,"")))</f>
        <v/>
      </c>
      <c r="V154" s="15">
        <f>IF(OR(V152="",U152=""),"",IF(U152&lt;=0,"",IFERROR(V152/U152-1,"")))</f>
        <v/>
      </c>
      <c r="W154" s="15">
        <f>IF(OR(W152="",V152=""),"",IF(V152&lt;=0,"",IFERROR(W152/V152-1,"")))</f>
        <v/>
      </c>
      <c r="X154" s="15">
        <f>IF(OR(X152="",W152=""),"",IF(W152&lt;=0,"",IFERROR(X152/W152-1,"")))</f>
        <v/>
      </c>
    </row>
    <row r="155">
      <c r="A155" s="18" t="inlineStr">
        <is>
          <t>SensorApplicationProductsReportableSegmentMember · Operating Profit Loss</t>
        </is>
      </c>
      <c r="C155" s="20" t="n">
        <v>296</v>
      </c>
      <c r="D155" s="20" t="n">
        <v>4729</v>
      </c>
      <c r="E155" s="20" t="n">
        <v>-3712</v>
      </c>
      <c r="F155" s="20" t="n">
        <v>2164</v>
      </c>
      <c r="G155" s="20" t="n">
        <v>1022</v>
      </c>
      <c r="H155" s="20" t="n">
        <v>2164</v>
      </c>
      <c r="I155" s="20" t="n">
        <v>-367</v>
      </c>
      <c r="J155" s="20" t="n">
        <v>2690</v>
      </c>
      <c r="K155" s="20" t="n">
        <v>9392</v>
      </c>
      <c r="L155" s="20" t="n">
        <v>7167</v>
      </c>
      <c r="M155" s="20" t="n">
        <v>1499</v>
      </c>
      <c r="N155" s="20" t="n">
        <v>7845</v>
      </c>
      <c r="V155" s="20" t="n">
        <v>-3712</v>
      </c>
      <c r="W155" s="20" t="n">
        <v>-367</v>
      </c>
      <c r="X155" s="20" t="n">
        <v>1499</v>
      </c>
    </row>
    <row r="156">
      <c r="A156" s="43" t="inlineStr">
        <is>
          <t>OPM</t>
        </is>
      </c>
      <c r="B156" s="3" t="inlineStr">
        <is>
          <t>영업이익 ÷ 매출</t>
        </is>
      </c>
      <c r="C156" s="15">
        <f>IF(OR(C155="",C134=""),"",IF(C134&lt;=0,"",IFERROR(C155/C134,"")))</f>
        <v/>
      </c>
      <c r="D156" s="15">
        <f>IF(OR(D155="",D134=""),"",IF(D134&lt;=0,"",IFERROR(D155/D134,"")))</f>
        <v/>
      </c>
      <c r="E156" s="15">
        <f>IF(OR(E155="",E134=""),"",IF(E134&lt;=0,"",IFERROR(E155/E134,"")))</f>
        <v/>
      </c>
      <c r="F156" s="15">
        <f>IF(OR(F155="",F134=""),"",IF(F134&lt;=0,"",IFERROR(F155/F134,"")))</f>
        <v/>
      </c>
      <c r="G156" s="15">
        <f>IF(OR(G155="",G134=""),"",IF(G134&lt;=0,"",IFERROR(G155/G134,"")))</f>
        <v/>
      </c>
      <c r="H156" s="15">
        <f>IF(OR(H155="",H134=""),"",IF(H134&lt;=0,"",IFERROR(H155/H134,"")))</f>
        <v/>
      </c>
      <c r="I156" s="15">
        <f>IF(OR(I155="",I134=""),"",IF(I134&lt;=0,"",IFERROR(I155/I134,"")))</f>
        <v/>
      </c>
      <c r="J156" s="15">
        <f>IF(OR(J155="",J134=""),"",IF(J134&lt;=0,"",IFERROR(J155/J134,"")))</f>
        <v/>
      </c>
      <c r="K156" s="15">
        <f>IF(OR(K155="",K134=""),"",IF(K134&lt;=0,"",IFERROR(K155/K134,"")))</f>
        <v/>
      </c>
      <c r="L156" s="15">
        <f>IF(OR(L155="",L134=""),"",IF(L134&lt;=0,"",IFERROR(L155/L134,"")))</f>
        <v/>
      </c>
      <c r="M156" s="15">
        <f>IF(OR(M155="",M134=""),"",IF(M134&lt;=0,"",IFERROR(M155/M134,"")))</f>
        <v/>
      </c>
      <c r="N156" s="15">
        <f>IF(OR(N155="",N134=""),"",IF(N134&lt;=0,"",IFERROR(N155/N134,"")))</f>
        <v/>
      </c>
      <c r="V156" s="15">
        <f>IF(OR(V155="",V134=""),"",IF(V134&lt;=0,"",IFERROR(V155/V134,"")))</f>
        <v/>
      </c>
      <c r="W156" s="15">
        <f>IF(OR(W155="",W134=""),"",IF(W134&lt;=0,"",IFERROR(W155/W134,"")))</f>
        <v/>
      </c>
      <c r="X156" s="15">
        <f>IF(OR(X155="",X134=""),"",IF(X134&lt;=0,"",IFERROR(X155/X134,"")))</f>
        <v/>
      </c>
    </row>
    <row r="157">
      <c r="A157" s="43" t="inlineStr">
        <is>
          <t>YoY</t>
        </is>
      </c>
      <c r="B157" s="3" t="inlineStr">
        <is>
          <t>전년 같은 분기·전년 대비</t>
        </is>
      </c>
      <c r="G157" s="15">
        <f>IF(OR(G155="",C155=""),"",IF(C155&lt;=0,"",IFERROR(G155/C155-1,"")))</f>
        <v/>
      </c>
      <c r="H157" s="15">
        <f>IF(OR(H155="",D155=""),"",IF(D155&lt;=0,"",IFERROR(H155/D155-1,"")))</f>
        <v/>
      </c>
      <c r="I157" s="15">
        <f>IF(OR(I155="",E155=""),"",IF(E155&lt;=0,"",IFERROR(I155/E155-1,"")))</f>
        <v/>
      </c>
      <c r="J157" s="15">
        <f>IF(OR(J155="",F155=""),"",IF(F155&lt;=0,"",IFERROR(J155/F155-1,"")))</f>
        <v/>
      </c>
      <c r="K157" s="15">
        <f>IF(OR(K155="",G155=""),"",IF(G155&lt;=0,"",IFERROR(K155/G155-1,"")))</f>
        <v/>
      </c>
      <c r="L157" s="15">
        <f>IF(OR(L155="",H155=""),"",IF(H155&lt;=0,"",IFERROR(L155/H155-1,"")))</f>
        <v/>
      </c>
      <c r="M157" s="15">
        <f>IF(OR(M155="",I155=""),"",IF(I155&lt;=0,"",IFERROR(M155/I155-1,"")))</f>
        <v/>
      </c>
      <c r="N157" s="15">
        <f>IF(OR(N155="",J155=""),"",IF(J155&lt;=0,"",IFERROR(N155/J155-1,"")))</f>
        <v/>
      </c>
      <c r="V157" s="15">
        <f>IF(OR(V155="",U155=""),"",IF(U155&lt;=0,"",IFERROR(V155/U155-1,"")))</f>
        <v/>
      </c>
      <c r="W157" s="15">
        <f>IF(OR(W155="",V155=""),"",IF(V155&lt;=0,"",IFERROR(W155/V155-1,"")))</f>
        <v/>
      </c>
      <c r="X157" s="15">
        <f>IF(OR(X155="",W155=""),"",IF(W155&lt;=0,"",IFERROR(X155/W155-1,"")))</f>
        <v/>
      </c>
    </row>
    <row r="158">
      <c r="A158" s="18" t="inlineStr">
        <is>
          <t>MagneticApplicationProductsReportableSegmentMember · Operating Profit Loss</t>
        </is>
      </c>
      <c r="C158" s="20" t="n">
        <v>-11819</v>
      </c>
      <c r="D158" s="20" t="n">
        <v>-7215</v>
      </c>
      <c r="E158" s="20" t="n">
        <v>-9340</v>
      </c>
      <c r="F158" s="20" t="n">
        <v>2265</v>
      </c>
      <c r="G158" s="20" t="n">
        <v>-485</v>
      </c>
      <c r="H158" s="20" t="n">
        <v>2265</v>
      </c>
      <c r="I158" s="20" t="n">
        <v>-668</v>
      </c>
      <c r="J158" s="20" t="n">
        <v>6291</v>
      </c>
      <c r="K158" s="20" t="n">
        <v>5614</v>
      </c>
      <c r="L158" s="20" t="n">
        <v>7525</v>
      </c>
      <c r="M158" s="20" t="n">
        <v>7521</v>
      </c>
      <c r="N158" s="20" t="n">
        <v>9550</v>
      </c>
      <c r="V158" s="20" t="n">
        <v>-9340</v>
      </c>
      <c r="W158" s="20" t="n">
        <v>-668</v>
      </c>
      <c r="X158" s="20" t="n">
        <v>7521</v>
      </c>
    </row>
    <row r="159">
      <c r="A159" s="43" t="inlineStr">
        <is>
          <t>OPM</t>
        </is>
      </c>
      <c r="B159" s="3" t="inlineStr">
        <is>
          <t>영업이익 ÷ 매출</t>
        </is>
      </c>
      <c r="C159" s="15">
        <f>IF(OR(C158="",C138=""),"",IF(C138&lt;=0,"",IFERROR(C158/C138,"")))</f>
        <v/>
      </c>
      <c r="D159" s="15">
        <f>IF(OR(D158="",D138=""),"",IF(D138&lt;=0,"",IFERROR(D158/D138,"")))</f>
        <v/>
      </c>
      <c r="E159" s="15">
        <f>IF(OR(E158="",E138=""),"",IF(E138&lt;=0,"",IFERROR(E158/E138,"")))</f>
        <v/>
      </c>
      <c r="F159" s="15">
        <f>IF(OR(F158="",F138=""),"",IF(F138&lt;=0,"",IFERROR(F158/F138,"")))</f>
        <v/>
      </c>
      <c r="G159" s="15">
        <f>IF(OR(G158="",G138=""),"",IF(G138&lt;=0,"",IFERROR(G158/G138,"")))</f>
        <v/>
      </c>
      <c r="H159" s="15">
        <f>IF(OR(H158="",H138=""),"",IF(H138&lt;=0,"",IFERROR(H158/H138,"")))</f>
        <v/>
      </c>
      <c r="I159" s="15">
        <f>IF(OR(I158="",I138=""),"",IF(I138&lt;=0,"",IFERROR(I158/I138,"")))</f>
        <v/>
      </c>
      <c r="J159" s="15">
        <f>IF(OR(J158="",J138=""),"",IF(J138&lt;=0,"",IFERROR(J158/J138,"")))</f>
        <v/>
      </c>
      <c r="K159" s="15">
        <f>IF(OR(K158="",K138=""),"",IF(K138&lt;=0,"",IFERROR(K158/K138,"")))</f>
        <v/>
      </c>
      <c r="L159" s="15">
        <f>IF(OR(L158="",L138=""),"",IF(L138&lt;=0,"",IFERROR(L158/L138,"")))</f>
        <v/>
      </c>
      <c r="M159" s="15">
        <f>IF(OR(M158="",M138=""),"",IF(M138&lt;=0,"",IFERROR(M158/M138,"")))</f>
        <v/>
      </c>
      <c r="N159" s="15">
        <f>IF(OR(N158="",N138=""),"",IF(N138&lt;=0,"",IFERROR(N158/N138,"")))</f>
        <v/>
      </c>
      <c r="V159" s="15">
        <f>IF(OR(V158="",V138=""),"",IF(V138&lt;=0,"",IFERROR(V158/V138,"")))</f>
        <v/>
      </c>
      <c r="W159" s="15">
        <f>IF(OR(W158="",W138=""),"",IF(W138&lt;=0,"",IFERROR(W158/W138,"")))</f>
        <v/>
      </c>
      <c r="X159" s="15">
        <f>IF(OR(X158="",X138=""),"",IF(X138&lt;=0,"",IFERROR(X158/X138,"")))</f>
        <v/>
      </c>
    </row>
    <row r="160">
      <c r="A160" s="43" t="inlineStr">
        <is>
          <t>YoY</t>
        </is>
      </c>
      <c r="B160" s="3" t="inlineStr">
        <is>
          <t>전년 같은 분기·전년 대비</t>
        </is>
      </c>
      <c r="G160" s="15">
        <f>IF(OR(G158="",C158=""),"",IF(C158&lt;=0,"",IFERROR(G158/C158-1,"")))</f>
        <v/>
      </c>
      <c r="H160" s="15">
        <f>IF(OR(H158="",D158=""),"",IF(D158&lt;=0,"",IFERROR(H158/D158-1,"")))</f>
        <v/>
      </c>
      <c r="I160" s="15">
        <f>IF(OR(I158="",E158=""),"",IF(E158&lt;=0,"",IFERROR(I158/E158-1,"")))</f>
        <v/>
      </c>
      <c r="J160" s="15">
        <f>IF(OR(J158="",F158=""),"",IF(F158&lt;=0,"",IFERROR(J158/F158-1,"")))</f>
        <v/>
      </c>
      <c r="K160" s="15">
        <f>IF(OR(K158="",G158=""),"",IF(G158&lt;=0,"",IFERROR(K158/G158-1,"")))</f>
        <v/>
      </c>
      <c r="L160" s="15">
        <f>IF(OR(L158="",H158=""),"",IF(H158&lt;=0,"",IFERROR(L158/H158-1,"")))</f>
        <v/>
      </c>
      <c r="M160" s="15">
        <f>IF(OR(M158="",I158=""),"",IF(I158&lt;=0,"",IFERROR(M158/I158-1,"")))</f>
        <v/>
      </c>
      <c r="N160" s="15">
        <f>IF(OR(N158="",J158=""),"",IF(J158&lt;=0,"",IFERROR(N158/J158-1,"")))</f>
        <v/>
      </c>
      <c r="V160" s="15">
        <f>IF(OR(V158="",U158=""),"",IF(U158&lt;=0,"",IFERROR(V158/U158-1,"")))</f>
        <v/>
      </c>
      <c r="W160" s="15">
        <f>IF(OR(W158="",V158=""),"",IF(V158&lt;=0,"",IFERROR(W158/V158-1,"")))</f>
        <v/>
      </c>
      <c r="X160" s="15">
        <f>IF(OR(X158="",W158=""),"",IF(W158&lt;=0,"",IFERROR(X158/W158-1,"")))</f>
        <v/>
      </c>
    </row>
    <row r="161">
      <c r="A161" s="18" t="inlineStr">
        <is>
          <t>EnergyApplicationProductsReportableSegmentMember · Operating Profit Loss</t>
        </is>
      </c>
      <c r="C161" s="20" t="n">
        <v>24087</v>
      </c>
      <c r="D161" s="20" t="n">
        <v>65583</v>
      </c>
      <c r="E161" s="20" t="n">
        <v>40401</v>
      </c>
      <c r="F161" s="20" t="n">
        <v>73327</v>
      </c>
      <c r="G161" s="20" t="n">
        <v>50033</v>
      </c>
      <c r="H161" s="20" t="n">
        <v>73327</v>
      </c>
      <c r="I161" s="20" t="n">
        <v>37761</v>
      </c>
      <c r="J161" s="20" t="n">
        <v>55370</v>
      </c>
      <c r="K161" s="20" t="n">
        <v>82291</v>
      </c>
      <c r="L161" s="20" t="n">
        <v>67419</v>
      </c>
      <c r="M161" s="20" t="n">
        <v>41602</v>
      </c>
      <c r="N161" s="20" t="n">
        <v>69389</v>
      </c>
      <c r="V161" s="20" t="n">
        <v>40401</v>
      </c>
      <c r="W161" s="20" t="n">
        <v>37761</v>
      </c>
      <c r="X161" s="20" t="n">
        <v>41602</v>
      </c>
    </row>
    <row r="162">
      <c r="A162" s="43" t="inlineStr">
        <is>
          <t>OPM</t>
        </is>
      </c>
      <c r="B162" s="3" t="inlineStr">
        <is>
          <t>영업이익 ÷ 매출</t>
        </is>
      </c>
      <c r="C162" s="15">
        <f>IF(OR(C161="",C142=""),"",IF(C142&lt;=0,"",IFERROR(C161/C142,"")))</f>
        <v/>
      </c>
      <c r="D162" s="15">
        <f>IF(OR(D161="",D142=""),"",IF(D142&lt;=0,"",IFERROR(D161/D142,"")))</f>
        <v/>
      </c>
      <c r="E162" s="15">
        <f>IF(OR(E161="",E142=""),"",IF(E142&lt;=0,"",IFERROR(E161/E142,"")))</f>
        <v/>
      </c>
      <c r="F162" s="15">
        <f>IF(OR(F161="",F142=""),"",IF(F142&lt;=0,"",IFERROR(F161/F142,"")))</f>
        <v/>
      </c>
      <c r="G162" s="15">
        <f>IF(OR(G161="",G142=""),"",IF(G142&lt;=0,"",IFERROR(G161/G142,"")))</f>
        <v/>
      </c>
      <c r="H162" s="15">
        <f>IF(OR(H161="",H142=""),"",IF(H142&lt;=0,"",IFERROR(H161/H142,"")))</f>
        <v/>
      </c>
      <c r="I162" s="15">
        <f>IF(OR(I161="",I142=""),"",IF(I142&lt;=0,"",IFERROR(I161/I142,"")))</f>
        <v/>
      </c>
      <c r="J162" s="15">
        <f>IF(OR(J161="",J142=""),"",IF(J142&lt;=0,"",IFERROR(J161/J142,"")))</f>
        <v/>
      </c>
      <c r="K162" s="15">
        <f>IF(OR(K161="",K142=""),"",IF(K142&lt;=0,"",IFERROR(K161/K142,"")))</f>
        <v/>
      </c>
      <c r="L162" s="15">
        <f>IF(OR(L161="",L142=""),"",IF(L142&lt;=0,"",IFERROR(L161/L142,"")))</f>
        <v/>
      </c>
      <c r="M162" s="15">
        <f>IF(OR(M161="",M142=""),"",IF(M142&lt;=0,"",IFERROR(M161/M142,"")))</f>
        <v/>
      </c>
      <c r="N162" s="15">
        <f>IF(OR(N161="",N142=""),"",IF(N142&lt;=0,"",IFERROR(N161/N142,"")))</f>
        <v/>
      </c>
      <c r="V162" s="15">
        <f>IF(OR(V161="",V142=""),"",IF(V142&lt;=0,"",IFERROR(V161/V142,"")))</f>
        <v/>
      </c>
      <c r="W162" s="15">
        <f>IF(OR(W161="",W142=""),"",IF(W142&lt;=0,"",IFERROR(W161/W142,"")))</f>
        <v/>
      </c>
      <c r="X162" s="15">
        <f>IF(OR(X161="",X142=""),"",IF(X142&lt;=0,"",IFERROR(X161/X142,"")))</f>
        <v/>
      </c>
    </row>
    <row r="163">
      <c r="A163" s="43" t="inlineStr">
        <is>
          <t>YoY</t>
        </is>
      </c>
      <c r="B163" s="3" t="inlineStr">
        <is>
          <t>전년 같은 분기·전년 대비</t>
        </is>
      </c>
      <c r="G163" s="15">
        <f>IF(OR(G161="",C161=""),"",IF(C161&lt;=0,"",IFERROR(G161/C161-1,"")))</f>
        <v/>
      </c>
      <c r="H163" s="15">
        <f>IF(OR(H161="",D161=""),"",IF(D161&lt;=0,"",IFERROR(H161/D161-1,"")))</f>
        <v/>
      </c>
      <c r="I163" s="15">
        <f>IF(OR(I161="",E161=""),"",IF(E161&lt;=0,"",IFERROR(I161/E161-1,"")))</f>
        <v/>
      </c>
      <c r="J163" s="15">
        <f>IF(OR(J161="",F161=""),"",IF(F161&lt;=0,"",IFERROR(J161/F161-1,"")))</f>
        <v/>
      </c>
      <c r="K163" s="15">
        <f>IF(OR(K161="",G161=""),"",IF(G161&lt;=0,"",IFERROR(K161/G161-1,"")))</f>
        <v/>
      </c>
      <c r="L163" s="15">
        <f>IF(OR(L161="",H161=""),"",IF(H161&lt;=0,"",IFERROR(L161/H161-1,"")))</f>
        <v/>
      </c>
      <c r="M163" s="15">
        <f>IF(OR(M161="",I161=""),"",IF(I161&lt;=0,"",IFERROR(M161/I161-1,"")))</f>
        <v/>
      </c>
      <c r="N163" s="15">
        <f>IF(OR(N161="",J161=""),"",IF(J161&lt;=0,"",IFERROR(N161/J161-1,"")))</f>
        <v/>
      </c>
      <c r="V163" s="15">
        <f>IF(OR(V161="",U161=""),"",IF(U161&lt;=0,"",IFERROR(V161/U161-1,"")))</f>
        <v/>
      </c>
      <c r="W163" s="15">
        <f>IF(OR(W161="",V161=""),"",IF(V161&lt;=0,"",IFERROR(W161/V161-1,"")))</f>
        <v/>
      </c>
      <c r="X163" s="15">
        <f>IF(OR(X161="",W161=""),"",IF(W161&lt;=0,"",IFERROR(X161/W161-1,"")))</f>
        <v/>
      </c>
    </row>
    <row r="164">
      <c r="A164" s="18" t="inlineStr">
        <is>
          <t>기타 · 기타</t>
        </is>
      </c>
      <c r="C164" s="20" t="n">
        <v>-973</v>
      </c>
      <c r="D164" s="20" t="n">
        <v>452</v>
      </c>
      <c r="E164" s="20" t="n">
        <v>-1730</v>
      </c>
      <c r="F164" s="20" t="n">
        <v>-865</v>
      </c>
      <c r="G164" s="20" t="n">
        <v>-425</v>
      </c>
      <c r="H164" s="20" t="n">
        <v>-865</v>
      </c>
      <c r="I164" s="20" t="n">
        <v>-2282</v>
      </c>
      <c r="J164" s="20" t="n">
        <v>-2476</v>
      </c>
      <c r="K164" s="20" t="n">
        <v>-1496</v>
      </c>
      <c r="L164" s="20" t="n">
        <v>-1521</v>
      </c>
      <c r="M164" s="20" t="n">
        <v>-4737</v>
      </c>
      <c r="N164" s="20" t="n">
        <v>-1832</v>
      </c>
      <c r="V164" s="20" t="n">
        <v>-1730</v>
      </c>
      <c r="W164" s="20" t="n">
        <v>-2282</v>
      </c>
      <c r="X164" s="20" t="n">
        <v>-4737</v>
      </c>
    </row>
    <row r="165">
      <c r="A165" s="43" t="inlineStr">
        <is>
          <t>OPM</t>
        </is>
      </c>
      <c r="B165" s="3" t="inlineStr">
        <is>
          <t>영업이익 ÷ 매출</t>
        </is>
      </c>
      <c r="C165" s="15">
        <f>IF(OR(C164="",C146=""),"",IF(C146&lt;=0,"",IFERROR(C164/C146,"")))</f>
        <v/>
      </c>
      <c r="D165" s="15">
        <f>IF(OR(D164="",D146=""),"",IF(D146&lt;=0,"",IFERROR(D164/D146,"")))</f>
        <v/>
      </c>
      <c r="E165" s="15">
        <f>IF(OR(E164="",E146=""),"",IF(E146&lt;=0,"",IFERROR(E164/E146,"")))</f>
        <v/>
      </c>
      <c r="F165" s="15">
        <f>IF(OR(F164="",F146=""),"",IF(F146&lt;=0,"",IFERROR(F164/F146,"")))</f>
        <v/>
      </c>
      <c r="G165" s="15">
        <f>IF(OR(G164="",G146=""),"",IF(G146&lt;=0,"",IFERROR(G164/G146,"")))</f>
        <v/>
      </c>
      <c r="H165" s="15">
        <f>IF(OR(H164="",H146=""),"",IF(H146&lt;=0,"",IFERROR(H164/H146,"")))</f>
        <v/>
      </c>
      <c r="I165" s="15">
        <f>IF(OR(I164="",I146=""),"",IF(I146&lt;=0,"",IFERROR(I164/I146,"")))</f>
        <v/>
      </c>
      <c r="J165" s="15">
        <f>IF(OR(J164="",J146=""),"",IF(J146&lt;=0,"",IFERROR(J164/J146,"")))</f>
        <v/>
      </c>
      <c r="K165" s="15">
        <f>IF(OR(K164="",K146=""),"",IF(K146&lt;=0,"",IFERROR(K164/K146,"")))</f>
        <v/>
      </c>
      <c r="L165" s="15">
        <f>IF(OR(L164="",L146=""),"",IF(L146&lt;=0,"",IFERROR(L164/L146,"")))</f>
        <v/>
      </c>
      <c r="M165" s="15">
        <f>IF(OR(M164="",M146=""),"",IF(M146&lt;=0,"",IFERROR(M164/M146,"")))</f>
        <v/>
      </c>
      <c r="N165" s="15">
        <f>IF(OR(N164="",N146=""),"",IF(N146&lt;=0,"",IFERROR(N164/N146,"")))</f>
        <v/>
      </c>
      <c r="V165" s="15">
        <f>IF(OR(V164="",V146=""),"",IF(V146&lt;=0,"",IFERROR(V164/V146,"")))</f>
        <v/>
      </c>
      <c r="W165" s="15">
        <f>IF(OR(W164="",W146=""),"",IF(W146&lt;=0,"",IFERROR(W164/W146,"")))</f>
        <v/>
      </c>
      <c r="X165" s="15">
        <f>IF(OR(X164="",X146=""),"",IF(X146&lt;=0,"",IFERROR(X164/X146,"")))</f>
        <v/>
      </c>
    </row>
    <row r="166">
      <c r="A166" s="43" t="inlineStr">
        <is>
          <t>YoY</t>
        </is>
      </c>
      <c r="B166" s="3" t="inlineStr">
        <is>
          <t>전년 같은 분기·전년 대비</t>
        </is>
      </c>
      <c r="G166" s="15">
        <f>IF(OR(G164="",C164=""),"",IF(C164&lt;=0,"",IFERROR(G164/C164-1,"")))</f>
        <v/>
      </c>
      <c r="H166" s="15">
        <f>IF(OR(H164="",D164=""),"",IF(D164&lt;=0,"",IFERROR(H164/D164-1,"")))</f>
        <v/>
      </c>
      <c r="I166" s="15">
        <f>IF(OR(I164="",E164=""),"",IF(E164&lt;=0,"",IFERROR(I164/E164-1,"")))</f>
        <v/>
      </c>
      <c r="J166" s="15">
        <f>IF(OR(J164="",F164=""),"",IF(F164&lt;=0,"",IFERROR(J164/F164-1,"")))</f>
        <v/>
      </c>
      <c r="K166" s="15">
        <f>IF(OR(K164="",G164=""),"",IF(G164&lt;=0,"",IFERROR(K164/G164-1,"")))</f>
        <v/>
      </c>
      <c r="L166" s="15">
        <f>IF(OR(L164="",H164=""),"",IF(H164&lt;=0,"",IFERROR(L164/H164-1,"")))</f>
        <v/>
      </c>
      <c r="M166" s="15">
        <f>IF(OR(M164="",I164=""),"",IF(I164&lt;=0,"",IFERROR(M164/I164-1,"")))</f>
        <v/>
      </c>
      <c r="N166" s="15">
        <f>IF(OR(N164="",J164=""),"",IF(J164&lt;=0,"",IFERROR(N164/J164-1,"")))</f>
        <v/>
      </c>
      <c r="V166" s="15">
        <f>IF(OR(V164="",U164=""),"",IF(U164&lt;=0,"",IFERROR(V164/U164-1,"")))</f>
        <v/>
      </c>
      <c r="W166" s="15">
        <f>IF(OR(W164="",V164=""),"",IF(V164&lt;=0,"",IFERROR(W164/V164-1,"")))</f>
        <v/>
      </c>
      <c r="X166" s="15">
        <f>IF(OR(X164="",W164=""),"",IF(W164&lt;=0,"",IFERROR(X164/W164-1,"")))</f>
        <v/>
      </c>
    </row>
    <row r="167">
      <c r="A167" s="18" t="inlineStr">
        <is>
          <t>합계 · 소계</t>
        </is>
      </c>
      <c r="C167" s="20" t="n">
        <v>24717</v>
      </c>
      <c r="D167" s="20" t="n">
        <v>82088</v>
      </c>
      <c r="E167" s="20" t="n">
        <v>29301</v>
      </c>
      <c r="F167" s="20" t="n">
        <v>88890</v>
      </c>
      <c r="G167" s="20" t="n">
        <v>67038</v>
      </c>
      <c r="H167" s="20" t="n">
        <v>88890</v>
      </c>
      <c r="I167" s="20" t="n">
        <v>27625</v>
      </c>
      <c r="J167" s="20" t="n">
        <v>68262</v>
      </c>
      <c r="K167" s="20" t="n">
        <v>104206</v>
      </c>
      <c r="L167" s="20" t="n">
        <v>96226</v>
      </c>
      <c r="M167" s="20" t="n">
        <v>57288</v>
      </c>
      <c r="N167" s="20" t="n">
        <v>102338</v>
      </c>
      <c r="V167" s="20" t="n">
        <v>29301</v>
      </c>
      <c r="W167" s="20" t="n">
        <v>27625</v>
      </c>
      <c r="X167" s="20" t="n">
        <v>57288</v>
      </c>
    </row>
    <row r="168">
      <c r="A168" s="43" t="inlineStr">
        <is>
          <t>YoY</t>
        </is>
      </c>
      <c r="B168" s="3" t="inlineStr">
        <is>
          <t>전년 같은 분기·전년 대비</t>
        </is>
      </c>
      <c r="G168" s="15">
        <f>IF(OR(G167="",C167=""),"",IF(C167&lt;=0,"",IFERROR(G167/C167-1,"")))</f>
        <v/>
      </c>
      <c r="H168" s="15">
        <f>IF(OR(H167="",D167=""),"",IF(D167&lt;=0,"",IFERROR(H167/D167-1,"")))</f>
        <v/>
      </c>
      <c r="I168" s="15">
        <f>IF(OR(I167="",E167=""),"",IF(E167&lt;=0,"",IFERROR(I167/E167-1,"")))</f>
        <v/>
      </c>
      <c r="J168" s="15">
        <f>IF(OR(J167="",F167=""),"",IF(F167&lt;=0,"",IFERROR(J167/F167-1,"")))</f>
        <v/>
      </c>
      <c r="K168" s="15">
        <f>IF(OR(K167="",G167=""),"",IF(G167&lt;=0,"",IFERROR(K167/G167-1,"")))</f>
        <v/>
      </c>
      <c r="L168" s="15">
        <f>IF(OR(L167="",H167=""),"",IF(H167&lt;=0,"",IFERROR(L167/H167-1,"")))</f>
        <v/>
      </c>
      <c r="M168" s="15">
        <f>IF(OR(M167="",I167=""),"",IF(I167&lt;=0,"",IFERROR(M167/I167-1,"")))</f>
        <v/>
      </c>
      <c r="N168" s="15">
        <f>IF(OR(N167="",J167=""),"",IF(J167&lt;=0,"",IFERROR(N167/J167-1,"")))</f>
        <v/>
      </c>
      <c r="V168" s="15">
        <f>IF(OR(V167="",U167=""),"",IF(U167&lt;=0,"",IFERROR(V167/U167-1,"")))</f>
        <v/>
      </c>
      <c r="W168" s="15">
        <f>IF(OR(W167="",V167=""),"",IF(V167&lt;=0,"",IFERROR(W167/V167-1,"")))</f>
        <v/>
      </c>
      <c r="X168" s="15">
        <f>IF(OR(X167="",W167=""),"",IF(W167&lt;=0,"",IFERROR(X167/W167-1,"")))</f>
        <v/>
      </c>
    </row>
    <row r="169">
      <c r="A169" s="18" t="inlineStr">
        <is>
          <t>조정액 · Operating Profit Loss</t>
        </is>
      </c>
      <c r="C169" s="20" t="n">
        <v>-9369</v>
      </c>
      <c r="D169" s="20" t="n">
        <v>-11888</v>
      </c>
      <c r="E169" s="20" t="n">
        <v>-12156</v>
      </c>
      <c r="F169" s="20" t="n">
        <v>-13099</v>
      </c>
      <c r="G169" s="20" t="n">
        <v>-9527</v>
      </c>
      <c r="H169" s="20" t="n">
        <v>-13099</v>
      </c>
      <c r="I169" s="20" t="n">
        <v>-12526</v>
      </c>
      <c r="J169" s="20" t="n">
        <v>-11843</v>
      </c>
      <c r="K169" s="20" t="n">
        <v>-12998</v>
      </c>
      <c r="L169" s="20" t="n">
        <v>-13116</v>
      </c>
      <c r="M169" s="20" t="n">
        <v>-15610</v>
      </c>
      <c r="N169" s="20" t="n">
        <v>-16028</v>
      </c>
      <c r="V169" s="20" t="n">
        <v>-12156</v>
      </c>
      <c r="W169" s="20" t="n">
        <v>-12526</v>
      </c>
      <c r="X169" s="20" t="n">
        <v>-15610</v>
      </c>
    </row>
    <row r="170">
      <c r="A170" s="18" t="inlineStr">
        <is>
          <t>영업이익</t>
        </is>
      </c>
      <c r="C170" s="20" t="n">
        <v>15348</v>
      </c>
      <c r="D170" s="20" t="n">
        <v>70200</v>
      </c>
      <c r="E170" s="20" t="n">
        <v>17145</v>
      </c>
      <c r="F170" s="20" t="n">
        <v>75791</v>
      </c>
      <c r="G170" s="20" t="n">
        <v>57511</v>
      </c>
      <c r="H170" s="20" t="n">
        <v>75791</v>
      </c>
      <c r="I170" s="20" t="n">
        <v>15099</v>
      </c>
      <c r="J170" s="20" t="n">
        <v>83110</v>
      </c>
      <c r="K170" s="20" t="n">
        <v>64517</v>
      </c>
      <c r="L170" s="20" t="n">
        <v>83110</v>
      </c>
      <c r="M170" s="20" t="n">
        <v>41678</v>
      </c>
      <c r="V170" s="20" t="n">
        <v>17145</v>
      </c>
      <c r="W170" s="20" t="n">
        <v>15099</v>
      </c>
      <c r="X170" s="20" t="n">
        <v>41678</v>
      </c>
    </row>
    <row r="171">
      <c r="A171" s="43" t="inlineStr">
        <is>
          <t>OPM</t>
        </is>
      </c>
      <c r="B171" s="3" t="inlineStr">
        <is>
          <t>영업이익 ÷ 매출</t>
        </is>
      </c>
      <c r="C171" s="15">
        <f>IF(OR(C170="",C149=""),"",IF(C149&lt;=0,"",IFERROR(C170/C149,"")))</f>
        <v/>
      </c>
      <c r="D171" s="15">
        <f>IF(OR(D170="",D149=""),"",IF(D149&lt;=0,"",IFERROR(D170/D149,"")))</f>
        <v/>
      </c>
      <c r="E171" s="15">
        <f>IF(OR(E170="",E149=""),"",IF(E149&lt;=0,"",IFERROR(E170/E149,"")))</f>
        <v/>
      </c>
      <c r="F171" s="15">
        <f>IF(OR(F170="",F149=""),"",IF(F149&lt;=0,"",IFERROR(F170/F149,"")))</f>
        <v/>
      </c>
      <c r="G171" s="15">
        <f>IF(OR(G170="",G149=""),"",IF(G149&lt;=0,"",IFERROR(G170/G149,"")))</f>
        <v/>
      </c>
      <c r="H171" s="15">
        <f>IF(OR(H170="",H149=""),"",IF(H149&lt;=0,"",IFERROR(H170/H149,"")))</f>
        <v/>
      </c>
      <c r="I171" s="15">
        <f>IF(OR(I170="",I149=""),"",IF(I149&lt;=0,"",IFERROR(I170/I149,"")))</f>
        <v/>
      </c>
      <c r="J171" s="15">
        <f>IF(OR(J170="",J149=""),"",IF(J149&lt;=0,"",IFERROR(J170/J149,"")))</f>
        <v/>
      </c>
      <c r="K171" s="15">
        <f>IF(OR(K170="",K149=""),"",IF(K149&lt;=0,"",IFERROR(K170/K149,"")))</f>
        <v/>
      </c>
      <c r="L171" s="15">
        <f>IF(OR(L170="",L149=""),"",IF(L149&lt;=0,"",IFERROR(L170/L149,"")))</f>
        <v/>
      </c>
      <c r="M171" s="15">
        <f>IF(OR(M170="",M149=""),"",IF(M149&lt;=0,"",IFERROR(M170/M149,"")))</f>
        <v/>
      </c>
      <c r="V171" s="15">
        <f>IF(OR(V170="",V149=""),"",IF(V149&lt;=0,"",IFERROR(V170/V149,"")))</f>
        <v/>
      </c>
      <c r="W171" s="15">
        <f>IF(OR(W170="",W149=""),"",IF(W149&lt;=0,"",IFERROR(W170/W149,"")))</f>
        <v/>
      </c>
      <c r="X171" s="15">
        <f>IF(OR(X170="",X149=""),"",IF(X149&lt;=0,"",IFERROR(X170/X149,"")))</f>
        <v/>
      </c>
    </row>
    <row r="172">
      <c r="A172" s="43" t="inlineStr">
        <is>
          <t>YoY</t>
        </is>
      </c>
      <c r="B172" s="3" t="inlineStr">
        <is>
          <t>전년 같은 분기·전년 대비</t>
        </is>
      </c>
      <c r="G172" s="15">
        <f>IF(OR(G170="",C170=""),"",IF(C170&lt;=0,"",IFERROR(G170/C170-1,"")))</f>
        <v/>
      </c>
      <c r="H172" s="15">
        <f>IF(OR(H170="",D170=""),"",IF(D170&lt;=0,"",IFERROR(H170/D170-1,"")))</f>
        <v/>
      </c>
      <c r="I172" s="15">
        <f>IF(OR(I170="",E170=""),"",IF(E170&lt;=0,"",IFERROR(I170/E170-1,"")))</f>
        <v/>
      </c>
      <c r="J172" s="15">
        <f>IF(OR(J170="",F170=""),"",IF(F170&lt;=0,"",IFERROR(J170/F170-1,"")))</f>
        <v/>
      </c>
      <c r="K172" s="15">
        <f>IF(OR(K170="",G170=""),"",IF(G170&lt;=0,"",IFERROR(K170/G170-1,"")))</f>
        <v/>
      </c>
      <c r="L172" s="15">
        <f>IF(OR(L170="",H170=""),"",IF(H170&lt;=0,"",IFERROR(L170/H170-1,"")))</f>
        <v/>
      </c>
      <c r="M172" s="15">
        <f>IF(OR(M170="",I170=""),"",IF(I170&lt;=0,"",IFERROR(M170/I170-1,"")))</f>
        <v/>
      </c>
      <c r="V172" s="15">
        <f>IF(OR(V170="",U170=""),"",IF(U170&lt;=0,"",IFERROR(V170/U170-1,"")))</f>
        <v/>
      </c>
      <c r="W172" s="15">
        <f>IF(OR(W170="",V170=""),"",IF(V170&lt;=0,"",IFERROR(W170/V170-1,"")))</f>
        <v/>
      </c>
      <c r="X172" s="15">
        <f>IF(OR(X170="",W170=""),"",IF(W170&lt;=0,"",IFERROR(X170/W170-1,"")))</f>
        <v/>
      </c>
    </row>
    <row r="173">
      <c r="A173" s="18" t="inlineStr">
        <is>
          <t>EntityTotalMember · 영업이익</t>
        </is>
      </c>
      <c r="J173" s="20" t="n">
        <v>56419</v>
      </c>
      <c r="N173" s="20" t="n">
        <v>86310</v>
      </c>
    </row>
    <row r="175">
      <c r="A175" s="16" t="inlineStr">
        <is>
          <t>현금흐름표 · 전 항목</t>
        </is>
      </c>
      <c r="B175" s="42" t="inlineStr">
        <is>
          <t>분기 = 결산기 첫날부터 누계(공시 그대로)</t>
        </is>
      </c>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c r="Z175" s="16" t="n"/>
      <c r="AA175" s="16" t="n"/>
      <c r="AB175" s="16" t="n"/>
      <c r="AC175" s="16" t="n"/>
    </row>
    <row r="176">
      <c r="A176" s="5" t="inlineStr">
        <is>
          <t>항목</t>
        </is>
      </c>
      <c r="B176" s="5" t="inlineStr">
        <is>
          <t>참고</t>
        </is>
      </c>
      <c r="C176" s="5" t="inlineStr">
        <is>
          <t>2024.2Q</t>
        </is>
      </c>
      <c r="D176" s="5" t="inlineStr">
        <is>
          <t>2024.3Q</t>
        </is>
      </c>
      <c r="E176" s="5" t="inlineStr">
        <is>
          <t>2024.4Q</t>
        </is>
      </c>
      <c r="F176" s="5" t="inlineStr">
        <is>
          <t>2025.1Q</t>
        </is>
      </c>
      <c r="G176" s="5" t="inlineStr">
        <is>
          <t>2025.2Q</t>
        </is>
      </c>
      <c r="H176" s="5" t="inlineStr">
        <is>
          <t>2025.3Q</t>
        </is>
      </c>
      <c r="I176" s="5" t="inlineStr">
        <is>
          <t>2025.4Q</t>
        </is>
      </c>
      <c r="J176" s="5" t="inlineStr">
        <is>
          <t>2026.1Q</t>
        </is>
      </c>
      <c r="K176" s="5" t="inlineStr">
        <is>
          <t>2026.2Q</t>
        </is>
      </c>
      <c r="L176" s="5" t="inlineStr">
        <is>
          <t>2026.3Q</t>
        </is>
      </c>
      <c r="M176" s="5" t="inlineStr">
        <is>
          <t>2026.4Q</t>
        </is>
      </c>
      <c r="N176" s="5" t="inlineStr">
        <is>
          <t>2027.1Q</t>
        </is>
      </c>
      <c r="O176" s="5" t="inlineStr">
        <is>
          <t>2017</t>
        </is>
      </c>
      <c r="P176" s="5" t="inlineStr">
        <is>
          <t>2018</t>
        </is>
      </c>
      <c r="Q176" s="5" t="inlineStr">
        <is>
          <t>2019</t>
        </is>
      </c>
      <c r="R176" s="5" t="inlineStr">
        <is>
          <t>2020</t>
        </is>
      </c>
      <c r="S176" s="5" t="inlineStr">
        <is>
          <t>2021</t>
        </is>
      </c>
      <c r="T176" s="5" t="inlineStr">
        <is>
          <t>2022</t>
        </is>
      </c>
      <c r="U176" s="5" t="inlineStr">
        <is>
          <t>2023</t>
        </is>
      </c>
      <c r="V176" s="5" t="inlineStr">
        <is>
          <t>2024</t>
        </is>
      </c>
      <c r="W176" s="5" t="inlineStr">
        <is>
          <t>2025</t>
        </is>
      </c>
      <c r="X176" s="5" t="inlineStr">
        <is>
          <t>2026</t>
        </is>
      </c>
      <c r="Y176" s="5" t="inlineStr">
        <is>
          <t>2027(MW)</t>
        </is>
      </c>
      <c r="Z176" s="5" t="inlineStr">
        <is>
          <t>2028(MW)</t>
        </is>
      </c>
      <c r="AA176" s="5" t="inlineStr">
        <is>
          <t>2029(MW)</t>
        </is>
      </c>
      <c r="AB176" s="5" t="inlineStr">
        <is>
          <t>2030(MW)</t>
        </is>
      </c>
      <c r="AC176" s="5" t="inlineStr">
        <is>
          <t>2031(MW)</t>
        </is>
      </c>
    </row>
    <row r="177">
      <c r="A177" s="9" t="inlineStr">
        <is>
          <t>중간이익</t>
        </is>
      </c>
      <c r="C177" s="12" t="n">
        <v>55401</v>
      </c>
      <c r="D177" s="12" t="n">
        <v>120899</v>
      </c>
      <c r="E177" s="12" t="n">
        <v>126135</v>
      </c>
      <c r="F177" s="12" t="n">
        <v>60460</v>
      </c>
      <c r="G177" s="12" t="n">
        <v>107457</v>
      </c>
      <c r="H177" s="12" t="n">
        <v>163506</v>
      </c>
      <c r="I177" s="12" t="n">
        <v>170389</v>
      </c>
      <c r="J177" s="12" t="n">
        <v>42383</v>
      </c>
      <c r="K177" s="12" t="n">
        <v>113363</v>
      </c>
      <c r="L177" s="12" t="n">
        <v>184123</v>
      </c>
      <c r="M177" s="12" t="n">
        <v>199167</v>
      </c>
      <c r="N177" s="12" t="n">
        <v>81985</v>
      </c>
      <c r="S177" s="12" t="n">
        <v>74561</v>
      </c>
      <c r="T177" s="12" t="n">
        <v>131815</v>
      </c>
      <c r="U177" s="12" t="n">
        <v>114301</v>
      </c>
      <c r="V177" s="12" t="n">
        <v>126135</v>
      </c>
      <c r="W177" s="12" t="n">
        <v>170389</v>
      </c>
      <c r="X177" s="12" t="n">
        <v>199167</v>
      </c>
    </row>
    <row r="178">
      <c r="A178" s="18" t="inlineStr">
        <is>
          <t>감가상각비 및 상각비</t>
        </is>
      </c>
      <c r="C178" s="20" t="n">
        <v>94610</v>
      </c>
      <c r="D178" s="20" t="n">
        <v>142947</v>
      </c>
      <c r="E178" s="20" t="n">
        <v>190546</v>
      </c>
      <c r="F178" s="20" t="n">
        <v>47239</v>
      </c>
      <c r="G178" s="20" t="n">
        <v>94957</v>
      </c>
      <c r="H178" s="20" t="n">
        <v>144470</v>
      </c>
      <c r="I178" s="20" t="n">
        <v>196228</v>
      </c>
      <c r="J178" s="20" t="n">
        <v>48011</v>
      </c>
      <c r="K178" s="20" t="n">
        <v>96576</v>
      </c>
      <c r="L178" s="20" t="n">
        <v>148775</v>
      </c>
      <c r="M178" s="20" t="n">
        <v>204192</v>
      </c>
      <c r="N178" s="20" t="n">
        <v>57321</v>
      </c>
      <c r="S178" s="20" t="n">
        <v>148356</v>
      </c>
      <c r="T178" s="20" t="n">
        <v>177031</v>
      </c>
      <c r="U178" s="20" t="n">
        <v>206285</v>
      </c>
      <c r="V178" s="20" t="n">
        <v>190546</v>
      </c>
      <c r="W178" s="20" t="n">
        <v>196228</v>
      </c>
      <c r="X178" s="20" t="n">
        <v>204192</v>
      </c>
    </row>
    <row r="179">
      <c r="A179" s="18" t="inlineStr">
        <is>
          <t>Impairment Losses Reversal Of Impairment Losses Ope CF</t>
        </is>
      </c>
      <c r="C179" s="20" t="n">
        <v>-510</v>
      </c>
      <c r="D179" s="20" t="n">
        <v>-511</v>
      </c>
      <c r="E179" s="20" t="n">
        <v>9570</v>
      </c>
      <c r="F179" s="20" t="n">
        <v>-20</v>
      </c>
      <c r="G179" s="20" t="n">
        <v>2480</v>
      </c>
      <c r="H179" s="20" t="n">
        <v>3530</v>
      </c>
      <c r="I179" s="20" t="n">
        <v>18032</v>
      </c>
      <c r="J179" s="20" t="n">
        <v>428</v>
      </c>
      <c r="K179" s="20" t="n">
        <v>1670</v>
      </c>
      <c r="L179" s="20" t="n">
        <v>-819</v>
      </c>
      <c r="M179" s="20" t="n">
        <v>751</v>
      </c>
      <c r="N179" s="20" t="n">
        <v>321</v>
      </c>
      <c r="S179" s="20" t="n">
        <v>7914</v>
      </c>
      <c r="T179" s="20" t="n">
        <v>3300</v>
      </c>
      <c r="U179" s="20" t="n">
        <v>35064</v>
      </c>
      <c r="V179" s="20" t="n">
        <v>9570</v>
      </c>
      <c r="W179" s="20" t="n">
        <v>18032</v>
      </c>
      <c r="X179" s="20" t="n">
        <v>751</v>
      </c>
    </row>
    <row r="180">
      <c r="A180" s="18" t="inlineStr">
        <is>
          <t>금융수익</t>
        </is>
      </c>
      <c r="C180" s="20" t="n">
        <v>-14393</v>
      </c>
      <c r="D180" s="20" t="n">
        <v>-28877</v>
      </c>
      <c r="E180" s="20" t="n">
        <v>-35902</v>
      </c>
      <c r="F180" s="20" t="n">
        <v>-15483</v>
      </c>
      <c r="G180" s="20" t="n">
        <v>-13664</v>
      </c>
      <c r="H180" s="20" t="n">
        <v>-20022</v>
      </c>
      <c r="I180" s="20" t="n">
        <v>-27047</v>
      </c>
      <c r="J180" s="20" t="n">
        <v>-7666</v>
      </c>
      <c r="K180" s="20" t="n">
        <v>-15650</v>
      </c>
      <c r="L180" s="20" t="n">
        <v>-27985</v>
      </c>
      <c r="M180" s="20" t="n">
        <v>-36495</v>
      </c>
      <c r="N180" s="20" t="n">
        <v>-19236</v>
      </c>
      <c r="S180" s="20" t="n">
        <v>-11424</v>
      </c>
      <c r="T180" s="20" t="n">
        <v>-11277</v>
      </c>
      <c r="U180" s="20" t="n">
        <v>-17372</v>
      </c>
      <c r="V180" s="20" t="n">
        <v>-35902</v>
      </c>
      <c r="W180" s="20" t="n">
        <v>-27047</v>
      </c>
      <c r="X180" s="20" t="n">
        <v>-36495</v>
      </c>
    </row>
    <row r="181">
      <c r="A181" s="18" t="inlineStr">
        <is>
          <t>금융비용</t>
        </is>
      </c>
      <c r="C181" s="20" t="n">
        <v>19605</v>
      </c>
      <c r="D181" s="20" t="n">
        <v>28654</v>
      </c>
      <c r="E181" s="20" t="n">
        <v>30224</v>
      </c>
      <c r="F181" s="20" t="n">
        <v>3541</v>
      </c>
      <c r="G181" s="20" t="n">
        <v>8191</v>
      </c>
      <c r="H181" s="20" t="n">
        <v>10968</v>
      </c>
      <c r="I181" s="20" t="n">
        <v>13365</v>
      </c>
      <c r="J181" s="20" t="n">
        <v>6015</v>
      </c>
      <c r="K181" s="20" t="n">
        <v>15040</v>
      </c>
      <c r="L181" s="20" t="n">
        <v>24174</v>
      </c>
      <c r="M181" s="20" t="n">
        <v>32710</v>
      </c>
      <c r="N181" s="20" t="n">
        <v>10567</v>
      </c>
      <c r="S181" s="20" t="n">
        <v>7483</v>
      </c>
      <c r="T181" s="20" t="n">
        <v>7853</v>
      </c>
      <c r="U181" s="20" t="n">
        <v>20772</v>
      </c>
      <c r="V181" s="20" t="n">
        <v>30224</v>
      </c>
      <c r="W181" s="20" t="n">
        <v>13365</v>
      </c>
      <c r="X181" s="20" t="n">
        <v>32710</v>
      </c>
    </row>
    <row r="182">
      <c r="A182" s="18" t="inlineStr">
        <is>
          <t>Share Of Loss Profit Of Investments Accounted For Using Equity Method Ope CF</t>
        </is>
      </c>
      <c r="C182" s="20" t="n">
        <v>94</v>
      </c>
      <c r="D182" s="20" t="n">
        <v>-1151</v>
      </c>
      <c r="E182" s="20" t="n">
        <v>-670</v>
      </c>
      <c r="F182" s="20" t="n">
        <v>251</v>
      </c>
      <c r="G182" s="20" t="n">
        <v>1471</v>
      </c>
      <c r="H182" s="20" t="n">
        <v>65</v>
      </c>
      <c r="I182" s="20" t="n">
        <v>66</v>
      </c>
      <c r="J182" s="20" t="n">
        <v>440</v>
      </c>
      <c r="K182" s="20" t="n">
        <v>760</v>
      </c>
      <c r="L182" s="20" t="n">
        <v>-522</v>
      </c>
      <c r="M182" s="20" t="n">
        <v>-610</v>
      </c>
      <c r="N182" s="20" t="n">
        <v>480</v>
      </c>
      <c r="S182" s="20" t="n">
        <v>-415</v>
      </c>
      <c r="T182" s="20" t="n">
        <v>-2291</v>
      </c>
      <c r="U182" s="20" t="n">
        <v>-1792</v>
      </c>
      <c r="V182" s="20" t="n">
        <v>-670</v>
      </c>
      <c r="W182" s="20" t="n">
        <v>66</v>
      </c>
      <c r="X182" s="20" t="n">
        <v>-610</v>
      </c>
    </row>
    <row r="183">
      <c r="A183" s="18" t="inlineStr">
        <is>
          <t>Gain On Sale Of Investments Accounted For Using The Equity Method Ope CF</t>
        </is>
      </c>
      <c r="S183" s="20" t="n">
        <v>-1093</v>
      </c>
      <c r="T183" s="20" t="n">
        <v>0</v>
      </c>
    </row>
    <row r="184">
      <c r="A184" s="18" t="inlineStr">
        <is>
          <t>Gain On Sale Of Businesses Ope CF</t>
        </is>
      </c>
      <c r="S184" s="20" t="n">
        <v>-2433</v>
      </c>
      <c r="T184" s="20" t="n">
        <v>0</v>
      </c>
    </row>
    <row r="185">
      <c r="A185" s="18" t="inlineStr">
        <is>
          <t>Income Tax Expense Ope CF</t>
        </is>
      </c>
      <c r="C185" s="20" t="n">
        <v>24841</v>
      </c>
      <c r="D185" s="20" t="n">
        <v>36223</v>
      </c>
      <c r="E185" s="20" t="n">
        <v>53106</v>
      </c>
      <c r="F185" s="20" t="n">
        <v>9103</v>
      </c>
      <c r="G185" s="20" t="n">
        <v>29847</v>
      </c>
      <c r="H185" s="20" t="n">
        <v>54576</v>
      </c>
      <c r="I185" s="20" t="n">
        <v>67419</v>
      </c>
      <c r="J185" s="20" t="n">
        <v>15247</v>
      </c>
      <c r="K185" s="20" t="n">
        <v>34114</v>
      </c>
      <c r="L185" s="20" t="n">
        <v>50947</v>
      </c>
      <c r="M185" s="20" t="n">
        <v>77642</v>
      </c>
      <c r="N185" s="20" t="n">
        <v>12515</v>
      </c>
      <c r="S185" s="20" t="n">
        <v>42702</v>
      </c>
      <c r="T185" s="20" t="n">
        <v>40675</v>
      </c>
      <c r="U185" s="20" t="n">
        <v>52918</v>
      </c>
      <c r="V185" s="20" t="n">
        <v>53106</v>
      </c>
      <c r="W185" s="20" t="n">
        <v>67419</v>
      </c>
      <c r="X185" s="20" t="n">
        <v>77642</v>
      </c>
    </row>
    <row r="186">
      <c r="A186" s="18" t="inlineStr">
        <is>
          <t>Decrease Increase In Trade Receivables Ope CF</t>
        </is>
      </c>
      <c r="C186" s="20" t="n">
        <v>-3239</v>
      </c>
      <c r="D186" s="20" t="n">
        <v>-6702</v>
      </c>
      <c r="E186" s="20" t="n">
        <v>36976</v>
      </c>
      <c r="F186" s="20" t="n">
        <v>-3728</v>
      </c>
      <c r="G186" s="20" t="n">
        <v>-49771</v>
      </c>
      <c r="H186" s="20" t="n">
        <v>-42740</v>
      </c>
      <c r="I186" s="20" t="n">
        <v>-28011</v>
      </c>
      <c r="J186" s="20" t="n">
        <v>-16737</v>
      </c>
      <c r="K186" s="20" t="n">
        <v>-138582</v>
      </c>
      <c r="L186" s="20" t="n">
        <v>-156085</v>
      </c>
      <c r="M186" s="20" t="n">
        <v>-136919</v>
      </c>
      <c r="N186" s="20" t="n">
        <v>-108748</v>
      </c>
      <c r="S186" s="20" t="n">
        <v>-96954</v>
      </c>
      <c r="T186" s="20" t="n">
        <v>-38452</v>
      </c>
      <c r="U186" s="20" t="n">
        <v>6321</v>
      </c>
      <c r="V186" s="20" t="n">
        <v>36976</v>
      </c>
      <c r="W186" s="20" t="n">
        <v>-28011</v>
      </c>
      <c r="X186" s="20" t="n">
        <v>-136919</v>
      </c>
    </row>
    <row r="187">
      <c r="A187" s="18" t="inlineStr">
        <is>
          <t>Decrease Increase In Inventories Ope CF</t>
        </is>
      </c>
      <c r="C187" s="20" t="n">
        <v>36679</v>
      </c>
      <c r="D187" s="20" t="n">
        <v>56653</v>
      </c>
      <c r="E187" s="20" t="n">
        <v>72950</v>
      </c>
      <c r="F187" s="20" t="n">
        <v>-7014</v>
      </c>
      <c r="G187" s="20" t="n">
        <v>-15204</v>
      </c>
      <c r="H187" s="20" t="n">
        <v>-13653</v>
      </c>
      <c r="I187" s="20" t="n">
        <v>-8273</v>
      </c>
      <c r="J187" s="20" t="n">
        <v>-27862</v>
      </c>
      <c r="K187" s="20" t="n">
        <v>-57036</v>
      </c>
      <c r="L187" s="20" t="n">
        <v>-105395</v>
      </c>
      <c r="M187" s="20" t="n">
        <v>-131521</v>
      </c>
      <c r="N187" s="20" t="n">
        <v>-26579</v>
      </c>
      <c r="S187" s="20" t="n">
        <v>-38561</v>
      </c>
      <c r="T187" s="20" t="n">
        <v>-108436</v>
      </c>
      <c r="U187" s="20" t="n">
        <v>11961</v>
      </c>
      <c r="V187" s="20" t="n">
        <v>72950</v>
      </c>
      <c r="W187" s="20" t="n">
        <v>-8273</v>
      </c>
      <c r="X187" s="20" t="n">
        <v>-131521</v>
      </c>
    </row>
    <row r="188">
      <c r="A188" s="18" t="inlineStr">
        <is>
          <t>Decrease Increase In Long Term Advances To Vendors Ope CF</t>
        </is>
      </c>
      <c r="C188" s="20" t="n">
        <v>6514</v>
      </c>
      <c r="D188" s="20" t="n">
        <v>9658</v>
      </c>
      <c r="E188" s="20" t="n">
        <v>13093</v>
      </c>
      <c r="F188" s="20" t="n">
        <v>3352</v>
      </c>
      <c r="G188" s="20" t="n">
        <v>6766</v>
      </c>
      <c r="H188" s="20" t="n">
        <v>7791</v>
      </c>
      <c r="I188" s="20" t="n">
        <v>10832</v>
      </c>
      <c r="J188" s="20" t="n">
        <v>2746</v>
      </c>
      <c r="K188" s="20" t="n">
        <v>6187</v>
      </c>
      <c r="L188" s="20" t="n">
        <v>10093</v>
      </c>
      <c r="M188" s="20" t="n">
        <v>13871</v>
      </c>
      <c r="N188" s="20" t="n">
        <v>3818</v>
      </c>
      <c r="S188" s="20" t="n">
        <v>0</v>
      </c>
      <c r="T188" s="20" t="n">
        <v>-112222</v>
      </c>
      <c r="U188" s="20" t="n">
        <v>12787</v>
      </c>
      <c r="V188" s="20" t="n">
        <v>13093</v>
      </c>
      <c r="W188" s="20" t="n">
        <v>10832</v>
      </c>
      <c r="X188" s="20" t="n">
        <v>13871</v>
      </c>
    </row>
    <row r="189">
      <c r="A189" s="18" t="inlineStr">
        <is>
          <t>Decrease Increase In Other Current Assets Ope CF</t>
        </is>
      </c>
      <c r="C189" s="20" t="n">
        <v>-17382</v>
      </c>
      <c r="D189" s="20" t="n">
        <v>-11192</v>
      </c>
      <c r="E189" s="20" t="n">
        <v>-2905</v>
      </c>
      <c r="F189" s="20" t="n">
        <v>-19872</v>
      </c>
      <c r="G189" s="20" t="n">
        <v>-13634</v>
      </c>
      <c r="H189" s="20" t="n">
        <v>-12295</v>
      </c>
      <c r="I189" s="20" t="n">
        <v>5865</v>
      </c>
      <c r="J189" s="20" t="n">
        <v>-24420</v>
      </c>
      <c r="K189" s="20" t="n">
        <v>-20222</v>
      </c>
      <c r="L189" s="20" t="n">
        <v>-16026</v>
      </c>
      <c r="M189" s="20" t="n">
        <v>-13928</v>
      </c>
      <c r="N189" s="20" t="n">
        <v>-31340</v>
      </c>
      <c r="S189" s="20" t="n">
        <v>-19271</v>
      </c>
      <c r="T189" s="20" t="n">
        <v>-9740</v>
      </c>
      <c r="V189" s="20" t="n">
        <v>-2905</v>
      </c>
      <c r="W189" s="20" t="n">
        <v>5865</v>
      </c>
      <c r="X189" s="20" t="n">
        <v>-13928</v>
      </c>
    </row>
    <row r="190">
      <c r="A190" s="18" t="inlineStr">
        <is>
          <t>Increase Decrease In Trade Payables Ope CF</t>
        </is>
      </c>
      <c r="C190" s="20" t="n">
        <v>16950</v>
      </c>
      <c r="D190" s="20" t="n">
        <v>20881</v>
      </c>
      <c r="E190" s="20" t="n">
        <v>-19744</v>
      </c>
      <c r="F190" s="20" t="n">
        <v>8680</v>
      </c>
      <c r="G190" s="20" t="n">
        <v>70621</v>
      </c>
      <c r="H190" s="20" t="n">
        <v>96758</v>
      </c>
      <c r="I190" s="20" t="n">
        <v>38777</v>
      </c>
      <c r="J190" s="20" t="n">
        <v>38973</v>
      </c>
      <c r="K190" s="20" t="n">
        <v>153558</v>
      </c>
      <c r="L190" s="20" t="n">
        <v>253928</v>
      </c>
      <c r="M190" s="20" t="n">
        <v>259548</v>
      </c>
      <c r="N190" s="20" t="n">
        <v>17583</v>
      </c>
      <c r="S190" s="20" t="n">
        <v>99098</v>
      </c>
      <c r="T190" s="20" t="n">
        <v>86431</v>
      </c>
      <c r="U190" s="20" t="n">
        <v>-116469</v>
      </c>
      <c r="V190" s="20" t="n">
        <v>-19744</v>
      </c>
      <c r="W190" s="20" t="n">
        <v>38777</v>
      </c>
      <c r="X190" s="20" t="n">
        <v>259548</v>
      </c>
    </row>
    <row r="191">
      <c r="A191" s="18" t="inlineStr">
        <is>
          <t>Decrease Increase In Other Assets And Liabilities Net Ope CF</t>
        </is>
      </c>
      <c r="C191" s="20" t="n">
        <v>-28601</v>
      </c>
      <c r="D191" s="20" t="n">
        <v>-21326</v>
      </c>
      <c r="E191" s="20" t="n">
        <v>7528</v>
      </c>
      <c r="T191" s="20" t="n">
        <v>24365</v>
      </c>
      <c r="U191" s="20" t="n">
        <v>2805</v>
      </c>
      <c r="V191" s="20" t="n">
        <v>7528</v>
      </c>
    </row>
    <row r="192">
      <c r="A192" s="18" t="inlineStr">
        <is>
          <t>Decrease Increase In Other Financial Assets And Liabilities Net Ope CF</t>
        </is>
      </c>
      <c r="D192" s="20" t="n">
        <v>11373</v>
      </c>
    </row>
    <row r="193">
      <c r="A193" s="18" t="inlineStr">
        <is>
          <t>Decrease Increase In Other Financial Assets And Liabilities Net IFRSOpe CF</t>
        </is>
      </c>
      <c r="C193" s="20" t="n">
        <v>24758</v>
      </c>
      <c r="E193" s="20" t="n">
        <v>10163</v>
      </c>
      <c r="T193" s="20" t="n">
        <v>628</v>
      </c>
      <c r="U193" s="20" t="n">
        <v>-8519</v>
      </c>
      <c r="V193" s="20" t="n">
        <v>10163</v>
      </c>
    </row>
    <row r="194">
      <c r="A194" s="18" t="inlineStr">
        <is>
          <t>Increase Decrease In Other Current Liabilities Ope CF</t>
        </is>
      </c>
      <c r="C194" s="20" t="n">
        <v>-6222</v>
      </c>
      <c r="D194" s="20" t="n">
        <v>-4849</v>
      </c>
      <c r="E194" s="20" t="n">
        <v>14966</v>
      </c>
      <c r="F194" s="20" t="n">
        <v>-6146</v>
      </c>
      <c r="G194" s="20" t="n">
        <v>3448</v>
      </c>
      <c r="H194" s="20" t="n">
        <v>7114</v>
      </c>
      <c r="I194" s="20" t="n">
        <v>37063</v>
      </c>
      <c r="J194" s="20" t="n">
        <v>-3987</v>
      </c>
      <c r="K194" s="20" t="n">
        <v>14315</v>
      </c>
      <c r="L194" s="20" t="n">
        <v>5951</v>
      </c>
      <c r="M194" s="20" t="n">
        <v>46123</v>
      </c>
      <c r="N194" s="20" t="n">
        <v>16332</v>
      </c>
      <c r="S194" s="20" t="n">
        <v>38369</v>
      </c>
      <c r="T194" s="20" t="n">
        <v>34453</v>
      </c>
      <c r="V194" s="20" t="n">
        <v>14966</v>
      </c>
      <c r="W194" s="20" t="n">
        <v>37063</v>
      </c>
      <c r="X194" s="20" t="n">
        <v>46123</v>
      </c>
    </row>
    <row r="195">
      <c r="A195" s="18" t="inlineStr">
        <is>
          <t>Increase Decrease In Retirement Benefit Liability Ope CF</t>
        </is>
      </c>
      <c r="C195" s="20" t="n">
        <v>-4997</v>
      </c>
      <c r="D195" s="20" t="n">
        <v>-5285</v>
      </c>
      <c r="E195" s="20" t="n">
        <v>-4533</v>
      </c>
      <c r="F195" s="20" t="n">
        <v>-924</v>
      </c>
      <c r="G195" s="20" t="n">
        <v>-1603</v>
      </c>
      <c r="H195" s="20" t="n">
        <v>-2512</v>
      </c>
      <c r="I195" s="20" t="n">
        <v>-4269</v>
      </c>
      <c r="J195" s="20" t="n">
        <v>-17</v>
      </c>
      <c r="K195" s="20" t="n">
        <v>-151</v>
      </c>
      <c r="L195" s="20" t="n">
        <v>-71</v>
      </c>
      <c r="M195" s="20" t="n">
        <v>-2576</v>
      </c>
      <c r="N195" s="20" t="n">
        <v>-1111</v>
      </c>
      <c r="S195" s="20" t="n">
        <v>-1313</v>
      </c>
      <c r="T195" s="20" t="n">
        <v>-348</v>
      </c>
      <c r="V195" s="20" t="n">
        <v>-4533</v>
      </c>
      <c r="W195" s="20" t="n">
        <v>-4269</v>
      </c>
      <c r="X195" s="20" t="n">
        <v>-2576</v>
      </c>
    </row>
    <row r="196">
      <c r="A196" s="18" t="inlineStr">
        <is>
          <t>Decrease Increase In Other Financial Assets Ope CF</t>
        </is>
      </c>
      <c r="C196" s="20" t="n">
        <v>12857</v>
      </c>
      <c r="D196" s="20" t="n">
        <v>11551</v>
      </c>
      <c r="F196" s="20" t="n">
        <v>-5233</v>
      </c>
      <c r="G196" s="20" t="n">
        <v>-11838</v>
      </c>
      <c r="H196" s="20" t="n">
        <v>-1461</v>
      </c>
      <c r="J196" s="20" t="n">
        <v>-2848</v>
      </c>
      <c r="K196" s="20" t="n">
        <v>-2277</v>
      </c>
      <c r="L196" s="20" t="n">
        <v>-2500</v>
      </c>
    </row>
    <row r="197">
      <c r="A197" s="18" t="inlineStr">
        <is>
          <t>Increase Decrease In Other Financial Liabilities Ope CF</t>
        </is>
      </c>
      <c r="C197" s="20" t="n">
        <v>11901</v>
      </c>
      <c r="D197" s="20" t="n">
        <v>-178</v>
      </c>
      <c r="F197" s="20" t="n">
        <v>-418</v>
      </c>
      <c r="G197" s="20" t="n">
        <v>4652</v>
      </c>
      <c r="H197" s="20" t="n">
        <v>4922</v>
      </c>
      <c r="J197" s="20" t="n">
        <v>3911</v>
      </c>
      <c r="K197" s="20" t="n">
        <v>4787</v>
      </c>
      <c r="L197" s="20" t="n">
        <v>4776</v>
      </c>
    </row>
    <row r="198">
      <c r="A198" s="18" t="inlineStr">
        <is>
          <t>Decrease In Other Financial Assets Ope CF</t>
        </is>
      </c>
      <c r="E198" s="20" t="n">
        <v>12997</v>
      </c>
      <c r="I198" s="20" t="n">
        <v>-1297</v>
      </c>
      <c r="J198" s="20" t="n">
        <v>-2848</v>
      </c>
      <c r="M198" s="20" t="n">
        <v>1510</v>
      </c>
      <c r="N198" s="20" t="n">
        <v>1876</v>
      </c>
      <c r="V198" s="20" t="n">
        <v>12997</v>
      </c>
      <c r="W198" s="20" t="n">
        <v>-1297</v>
      </c>
      <c r="X198" s="20" t="n">
        <v>1510</v>
      </c>
    </row>
    <row r="199">
      <c r="A199" s="18" t="inlineStr">
        <is>
          <t>Increase In Other Financial Liabities Ope CF</t>
        </is>
      </c>
      <c r="E199" s="20" t="n">
        <v>-2834</v>
      </c>
      <c r="I199" s="20" t="n">
        <v>6669</v>
      </c>
      <c r="J199" s="20" t="n">
        <v>3911</v>
      </c>
      <c r="M199" s="20" t="n">
        <v>5242</v>
      </c>
      <c r="N199" s="20" t="n">
        <v>5044</v>
      </c>
      <c r="V199" s="20" t="n">
        <v>-2834</v>
      </c>
      <c r="W199" s="20" t="n">
        <v>6669</v>
      </c>
      <c r="X199" s="20" t="n">
        <v>5242</v>
      </c>
    </row>
    <row r="200">
      <c r="A200" s="18" t="inlineStr">
        <is>
          <t>기타</t>
        </is>
      </c>
      <c r="C200" s="20" t="n">
        <v>-21310</v>
      </c>
      <c r="D200" s="20" t="n">
        <v>-20588</v>
      </c>
      <c r="E200" s="20" t="n">
        <v>-18794</v>
      </c>
      <c r="F200" s="20" t="n">
        <v>8344</v>
      </c>
      <c r="G200" s="20" t="n">
        <v>-895</v>
      </c>
      <c r="H200" s="20" t="n">
        <v>2040</v>
      </c>
      <c r="I200" s="20" t="n">
        <v>-2558</v>
      </c>
      <c r="J200" s="20" t="n">
        <v>-5212</v>
      </c>
      <c r="K200" s="20" t="n">
        <v>-3063</v>
      </c>
      <c r="L200" s="20" t="n">
        <v>4773</v>
      </c>
      <c r="M200" s="20" t="n">
        <v>11496</v>
      </c>
      <c r="N200" s="20" t="n">
        <v>6859</v>
      </c>
      <c r="S200" s="20" t="n">
        <v>6254</v>
      </c>
      <c r="T200" s="20" t="n">
        <v>6137</v>
      </c>
      <c r="U200" s="20" t="n">
        <v>-20888</v>
      </c>
      <c r="V200" s="20" t="n">
        <v>-18794</v>
      </c>
      <c r="W200" s="20" t="n">
        <v>-2558</v>
      </c>
      <c r="X200" s="20" t="n">
        <v>11496</v>
      </c>
    </row>
    <row r="201">
      <c r="A201" s="18" t="inlineStr">
        <is>
          <t>소계</t>
        </is>
      </c>
      <c r="C201" s="20" t="n">
        <v>211399</v>
      </c>
      <c r="D201" s="20" t="n">
        <v>348133</v>
      </c>
      <c r="E201" s="20" t="n">
        <v>475181</v>
      </c>
      <c r="F201" s="20" t="n">
        <v>82132</v>
      </c>
      <c r="G201" s="20" t="n">
        <v>223281</v>
      </c>
      <c r="H201" s="20" t="n">
        <v>403057</v>
      </c>
      <c r="I201" s="20" t="n">
        <v>493250</v>
      </c>
      <c r="J201" s="20" t="n">
        <v>69405</v>
      </c>
      <c r="K201" s="20" t="n">
        <v>203389</v>
      </c>
      <c r="L201" s="20" t="n">
        <v>378137</v>
      </c>
      <c r="M201" s="20" t="n">
        <v>530204</v>
      </c>
      <c r="N201" s="20" t="n">
        <v>27686</v>
      </c>
      <c r="S201" s="20" t="n">
        <v>253273</v>
      </c>
      <c r="T201" s="20" t="n">
        <v>205557</v>
      </c>
      <c r="U201" s="20" t="n">
        <v>298174</v>
      </c>
      <c r="V201" s="20" t="n">
        <v>475181</v>
      </c>
      <c r="W201" s="20" t="n">
        <v>493250</v>
      </c>
      <c r="X201" s="20" t="n">
        <v>530204</v>
      </c>
    </row>
    <row r="202">
      <c r="A202" s="18" t="inlineStr">
        <is>
          <t>이자·배당금 수취</t>
        </is>
      </c>
      <c r="C202" s="20" t="n">
        <v>10622</v>
      </c>
      <c r="D202" s="20" t="n">
        <v>15630</v>
      </c>
      <c r="E202" s="20" t="n">
        <v>20965</v>
      </c>
      <c r="F202" s="20" t="n">
        <v>5460</v>
      </c>
      <c r="G202" s="20" t="n">
        <v>9863</v>
      </c>
      <c r="H202" s="20" t="n">
        <v>15226</v>
      </c>
      <c r="I202" s="20" t="n">
        <v>20391</v>
      </c>
      <c r="J202" s="20" t="n">
        <v>4484</v>
      </c>
      <c r="K202" s="20" t="n">
        <v>9825</v>
      </c>
      <c r="L202" s="20" t="n">
        <v>14339</v>
      </c>
      <c r="M202" s="20" t="n">
        <v>33458</v>
      </c>
      <c r="N202" s="20" t="n">
        <v>12530</v>
      </c>
      <c r="S202" s="20" t="n">
        <v>9206</v>
      </c>
      <c r="T202" s="20" t="n">
        <v>9538</v>
      </c>
      <c r="U202" s="20" t="n">
        <v>14746</v>
      </c>
      <c r="V202" s="20" t="n">
        <v>20965</v>
      </c>
      <c r="W202" s="20" t="n">
        <v>20391</v>
      </c>
      <c r="X202" s="20" t="n">
        <v>33458</v>
      </c>
    </row>
    <row r="203">
      <c r="A203" s="18" t="inlineStr">
        <is>
          <t>이자 지급</t>
        </is>
      </c>
      <c r="C203" s="20" t="n">
        <v>-4442</v>
      </c>
      <c r="D203" s="20" t="n">
        <v>-7295</v>
      </c>
      <c r="E203" s="20" t="n">
        <v>-8942</v>
      </c>
      <c r="F203" s="20" t="n">
        <v>-1949</v>
      </c>
      <c r="G203" s="20" t="n">
        <v>-4285</v>
      </c>
      <c r="H203" s="20" t="n">
        <v>-6027</v>
      </c>
      <c r="I203" s="20" t="n">
        <v>-8045</v>
      </c>
      <c r="J203" s="20" t="n">
        <v>-1711</v>
      </c>
      <c r="K203" s="20" t="n">
        <v>-3957</v>
      </c>
      <c r="L203" s="20" t="n">
        <v>-6299</v>
      </c>
      <c r="M203" s="20" t="n">
        <v>-8334</v>
      </c>
      <c r="N203" s="20" t="n">
        <v>-15646</v>
      </c>
      <c r="S203" s="20" t="n">
        <v>-4056</v>
      </c>
      <c r="T203" s="20" t="n">
        <v>-5491</v>
      </c>
      <c r="U203" s="20" t="n">
        <v>-9009</v>
      </c>
      <c r="V203" s="20" t="n">
        <v>-8942</v>
      </c>
      <c r="W203" s="20" t="n">
        <v>-8045</v>
      </c>
      <c r="X203" s="20" t="n">
        <v>-8334</v>
      </c>
    </row>
    <row r="204">
      <c r="A204" s="18" t="inlineStr">
        <is>
          <t>법인소득세 지급액</t>
        </is>
      </c>
      <c r="C204" s="20" t="n">
        <v>-13001</v>
      </c>
      <c r="D204" s="20" t="n">
        <v>-23128</v>
      </c>
      <c r="E204" s="20" t="n">
        <v>-40197</v>
      </c>
      <c r="F204" s="20" t="n">
        <v>-13020</v>
      </c>
      <c r="G204" s="20" t="n">
        <v>-22997</v>
      </c>
      <c r="H204" s="20" t="n">
        <v>-43261</v>
      </c>
      <c r="I204" s="20" t="n">
        <v>-59757</v>
      </c>
      <c r="J204" s="20" t="n">
        <v>-13135</v>
      </c>
      <c r="K204" s="20" t="n">
        <v>-19878</v>
      </c>
      <c r="L204" s="20" t="n">
        <v>-32999</v>
      </c>
      <c r="M204" s="20" t="n">
        <v>-47656</v>
      </c>
      <c r="N204" s="20" t="n">
        <v>-43725</v>
      </c>
      <c r="S204" s="20" t="n">
        <v>-27568</v>
      </c>
      <c r="T204" s="20" t="n">
        <v>-30617</v>
      </c>
      <c r="U204" s="20" t="n">
        <v>-41139</v>
      </c>
      <c r="V204" s="20" t="n">
        <v>-40197</v>
      </c>
      <c r="W204" s="20" t="n">
        <v>-59757</v>
      </c>
      <c r="X204" s="20" t="n">
        <v>-47656</v>
      </c>
    </row>
    <row r="205">
      <c r="A205" s="9" t="inlineStr">
        <is>
          <t>영업활동 현금흐름</t>
        </is>
      </c>
      <c r="C205" s="12" t="n">
        <v>204578</v>
      </c>
      <c r="D205" s="12" t="n">
        <v>333340</v>
      </c>
      <c r="E205" s="12" t="n">
        <v>447007</v>
      </c>
      <c r="F205" s="12" t="n">
        <v>72623</v>
      </c>
      <c r="G205" s="12" t="n">
        <v>205862</v>
      </c>
      <c r="H205" s="12" t="n">
        <v>368995</v>
      </c>
      <c r="I205" s="12" t="n">
        <v>445839</v>
      </c>
      <c r="J205" s="12" t="n">
        <v>59043</v>
      </c>
      <c r="K205" s="12" t="n">
        <v>189379</v>
      </c>
      <c r="L205" s="12" t="n">
        <v>353178</v>
      </c>
      <c r="M205" s="12" t="n">
        <v>507672</v>
      </c>
      <c r="N205" s="12" t="n">
        <v>-19154</v>
      </c>
      <c r="S205" s="12" t="n">
        <v>230855</v>
      </c>
      <c r="T205" s="12" t="n">
        <v>178987</v>
      </c>
      <c r="U205" s="12" t="n">
        <v>262772</v>
      </c>
      <c r="V205" s="12" t="n">
        <v>447007</v>
      </c>
      <c r="W205" s="12" t="n">
        <v>445839</v>
      </c>
      <c r="X205" s="12" t="n">
        <v>507672</v>
      </c>
    </row>
    <row r="206">
      <c r="A206" s="18" t="inlineStr">
        <is>
          <t>Purchase Of Tangible And Intangible Assets Inv CF</t>
        </is>
      </c>
      <c r="C206" s="20" t="n">
        <v>-114445</v>
      </c>
      <c r="D206" s="20" t="n">
        <v>-156606</v>
      </c>
      <c r="E206" s="20" t="n">
        <v>-218589</v>
      </c>
      <c r="F206" s="20" t="n">
        <v>-42816</v>
      </c>
      <c r="G206" s="20" t="n">
        <v>-93451</v>
      </c>
      <c r="H206" s="20" t="n">
        <v>-162377</v>
      </c>
      <c r="I206" s="20" t="n">
        <v>-225290</v>
      </c>
      <c r="J206" s="20" t="n">
        <v>-60506</v>
      </c>
      <c r="K206" s="20" t="n">
        <v>-112739</v>
      </c>
      <c r="L206" s="20" t="n">
        <v>-197892</v>
      </c>
      <c r="M206" s="20" t="n">
        <v>-298591</v>
      </c>
      <c r="N206" s="20" t="n">
        <v>-84875</v>
      </c>
      <c r="S206" s="20" t="n">
        <v>-212196</v>
      </c>
      <c r="T206" s="20" t="n">
        <v>-291337</v>
      </c>
      <c r="U206" s="20" t="n">
        <v>-275709</v>
      </c>
      <c r="V206" s="20" t="n">
        <v>-218589</v>
      </c>
      <c r="W206" s="20" t="n">
        <v>-225290</v>
      </c>
      <c r="X206" s="20" t="n">
        <v>-298591</v>
      </c>
    </row>
    <row r="207">
      <c r="A207" s="18" t="inlineStr">
        <is>
          <t>Proceeds From Sale Of Tangible And Intangible Assets Inv CF</t>
        </is>
      </c>
      <c r="C207" s="20" t="n">
        <v>18041</v>
      </c>
      <c r="D207" s="20" t="n">
        <v>24072</v>
      </c>
      <c r="E207" s="20" t="n">
        <v>26100</v>
      </c>
      <c r="F207" s="20" t="n">
        <v>7502</v>
      </c>
      <c r="G207" s="20" t="n">
        <v>16248</v>
      </c>
      <c r="H207" s="20" t="n">
        <v>19504</v>
      </c>
      <c r="I207" s="20" t="n">
        <v>20517</v>
      </c>
      <c r="J207" s="20" t="n">
        <v>3046</v>
      </c>
      <c r="K207" s="20" t="n">
        <v>9078</v>
      </c>
      <c r="L207" s="20" t="n">
        <v>9377</v>
      </c>
      <c r="M207" s="20" t="n">
        <v>14115</v>
      </c>
      <c r="N207" s="20" t="n">
        <v>5602</v>
      </c>
      <c r="S207" s="20" t="n">
        <v>3586</v>
      </c>
      <c r="T207" s="20" t="n">
        <v>3368</v>
      </c>
      <c r="U207" s="20" t="n">
        <v>23795</v>
      </c>
      <c r="V207" s="20" t="n">
        <v>26100</v>
      </c>
      <c r="W207" s="20" t="n">
        <v>20517</v>
      </c>
      <c r="X207" s="20" t="n">
        <v>14115</v>
      </c>
    </row>
    <row r="208">
      <c r="A208" s="18" t="inlineStr">
        <is>
          <t>Proceeds From Withdrawal Of Time Deposits Inv CF</t>
        </is>
      </c>
      <c r="C208" s="20" t="n">
        <v>25455</v>
      </c>
      <c r="D208" s="20" t="n">
        <v>32048</v>
      </c>
      <c r="E208" s="20" t="n">
        <v>44796</v>
      </c>
      <c r="F208" s="20" t="n">
        <v>11720</v>
      </c>
      <c r="G208" s="20" t="n">
        <v>33719</v>
      </c>
      <c r="H208" s="20" t="n">
        <v>50581</v>
      </c>
      <c r="I208" s="20" t="n">
        <v>71492</v>
      </c>
      <c r="J208" s="20" t="n">
        <v>34673</v>
      </c>
      <c r="K208" s="20" t="n">
        <v>59588</v>
      </c>
      <c r="L208" s="20" t="n">
        <v>89795</v>
      </c>
      <c r="M208" s="20" t="n">
        <v>133382</v>
      </c>
      <c r="N208" s="20" t="n">
        <v>82059</v>
      </c>
      <c r="S208" s="20" t="n">
        <v>90606</v>
      </c>
      <c r="T208" s="20" t="n">
        <v>83172</v>
      </c>
      <c r="U208" s="20" t="n">
        <v>79937</v>
      </c>
      <c r="V208" s="20" t="n">
        <v>44796</v>
      </c>
      <c r="W208" s="20" t="n">
        <v>71492</v>
      </c>
      <c r="X208" s="20" t="n">
        <v>133382</v>
      </c>
    </row>
    <row r="209">
      <c r="A209" s="18" t="inlineStr">
        <is>
          <t>Payments Into Time Deposits Inv CF</t>
        </is>
      </c>
      <c r="C209" s="20" t="n">
        <v>-18292</v>
      </c>
      <c r="D209" s="20" t="n">
        <v>-27193</v>
      </c>
      <c r="E209" s="20" t="n">
        <v>-43183</v>
      </c>
      <c r="F209" s="20" t="n">
        <v>-29458</v>
      </c>
      <c r="G209" s="20" t="n">
        <v>-46028</v>
      </c>
      <c r="H209" s="20" t="n">
        <v>-65863</v>
      </c>
      <c r="I209" s="20" t="n">
        <v>-115127</v>
      </c>
      <c r="J209" s="20" t="n">
        <v>-27223</v>
      </c>
      <c r="K209" s="20" t="n">
        <v>-62638</v>
      </c>
      <c r="L209" s="20" t="n">
        <v>-133941</v>
      </c>
      <c r="M209" s="20" t="n">
        <v>-206274</v>
      </c>
      <c r="N209" s="20" t="n">
        <v>-25855</v>
      </c>
      <c r="S209" s="20" t="n">
        <v>-120427</v>
      </c>
      <c r="T209" s="20" t="n">
        <v>-66745</v>
      </c>
      <c r="U209" s="20" t="n">
        <v>-42416</v>
      </c>
      <c r="V209" s="20" t="n">
        <v>-43183</v>
      </c>
      <c r="W209" s="20" t="n">
        <v>-115127</v>
      </c>
      <c r="X209" s="20" t="n">
        <v>-206274</v>
      </c>
    </row>
    <row r="210">
      <c r="A210" s="18" t="inlineStr">
        <is>
          <t>Proceeds From Sale Of Marketable Securities Inv CF</t>
        </is>
      </c>
      <c r="C210" s="20" t="n">
        <v>1266</v>
      </c>
      <c r="D210" s="20" t="n">
        <v>1828</v>
      </c>
      <c r="E210" s="20" t="n">
        <v>1952</v>
      </c>
      <c r="F210" s="20" t="n">
        <v>3</v>
      </c>
      <c r="G210" s="20" t="n">
        <v>150</v>
      </c>
      <c r="H210" s="20" t="n">
        <v>16738</v>
      </c>
      <c r="I210" s="20" t="n">
        <v>19093</v>
      </c>
      <c r="J210" s="20" t="n">
        <v>2220</v>
      </c>
      <c r="K210" s="20" t="n">
        <v>6827</v>
      </c>
      <c r="L210" s="20" t="n">
        <v>17441</v>
      </c>
      <c r="M210" s="20" t="n">
        <v>17605</v>
      </c>
      <c r="N210" s="20" t="n">
        <v>6</v>
      </c>
      <c r="S210" s="20" t="n">
        <v>1080</v>
      </c>
      <c r="T210" s="20" t="n">
        <v>1523</v>
      </c>
      <c r="U210" s="20" t="n">
        <v>788</v>
      </c>
      <c r="V210" s="20" t="n">
        <v>1952</v>
      </c>
      <c r="W210" s="20" t="n">
        <v>19093</v>
      </c>
      <c r="X210" s="20" t="n">
        <v>17605</v>
      </c>
    </row>
    <row r="211">
      <c r="A211" s="18" t="inlineStr">
        <is>
          <t>유가증권 취득</t>
        </is>
      </c>
      <c r="C211" s="20" t="n">
        <v>-6012</v>
      </c>
      <c r="D211" s="20" t="n">
        <v>-12154</v>
      </c>
      <c r="E211" s="20" t="n">
        <v>-17918</v>
      </c>
      <c r="F211" s="20" t="n">
        <v>-2676</v>
      </c>
      <c r="G211" s="20" t="n">
        <v>-4958</v>
      </c>
      <c r="H211" s="20" t="n">
        <v>-7909</v>
      </c>
      <c r="I211" s="20" t="n">
        <v>-9184</v>
      </c>
      <c r="J211" s="20" t="n">
        <v>-3504</v>
      </c>
      <c r="K211" s="20" t="n">
        <v>-12527</v>
      </c>
      <c r="L211" s="20" t="n">
        <v>-17105</v>
      </c>
      <c r="M211" s="20" t="n">
        <v>-21901</v>
      </c>
      <c r="N211" s="20" t="n">
        <v>-2179</v>
      </c>
      <c r="S211" s="20" t="n">
        <v>-3994</v>
      </c>
      <c r="T211" s="20" t="n">
        <v>-11537</v>
      </c>
      <c r="U211" s="20" t="n">
        <v>-11803</v>
      </c>
      <c r="V211" s="20" t="n">
        <v>-17918</v>
      </c>
      <c r="W211" s="20" t="n">
        <v>-9184</v>
      </c>
      <c r="X211" s="20" t="n">
        <v>-21901</v>
      </c>
    </row>
    <row r="212">
      <c r="A212" s="18" t="inlineStr">
        <is>
          <t>Purchase Of Investments Accounted For Using Equity Method Inv CF</t>
        </is>
      </c>
      <c r="T212" s="20" t="n">
        <v>0</v>
      </c>
      <c r="U212" s="20" t="n">
        <v>-6754</v>
      </c>
    </row>
    <row r="213">
      <c r="A213" s="18" t="inlineStr">
        <is>
          <t>Purchase Of Investments In Associates Inv CF</t>
        </is>
      </c>
      <c r="C213" s="20" t="n">
        <v>-4627</v>
      </c>
      <c r="D213" s="20" t="n">
        <v>-9636</v>
      </c>
      <c r="E213" s="20" t="n">
        <v>-9693</v>
      </c>
      <c r="F213" s="20" t="n">
        <v>0</v>
      </c>
      <c r="G213" s="20" t="n">
        <v>-5975</v>
      </c>
      <c r="H213" s="20" t="n">
        <v>-5975</v>
      </c>
      <c r="I213" s="20" t="n">
        <v>-5975</v>
      </c>
      <c r="K213" s="20" t="n">
        <v>-3966</v>
      </c>
      <c r="L213" s="20" t="n">
        <v>-3966</v>
      </c>
      <c r="M213" s="20" t="n">
        <v>-3966</v>
      </c>
      <c r="U213" s="20" t="n">
        <v>-6754</v>
      </c>
      <c r="V213" s="20" t="n">
        <v>-9693</v>
      </c>
      <c r="W213" s="20" t="n">
        <v>-5975</v>
      </c>
      <c r="X213" s="20" t="n">
        <v>-3966</v>
      </c>
    </row>
    <row r="214">
      <c r="A214" s="18" t="inlineStr">
        <is>
          <t>Payments For Acquisition Of Businesses Inv CF</t>
        </is>
      </c>
      <c r="F214" s="20" t="n">
        <v>0</v>
      </c>
      <c r="G214" s="20" t="n">
        <v>0</v>
      </c>
      <c r="H214" s="20" t="n">
        <v>0</v>
      </c>
      <c r="I214" s="20" t="n">
        <v>0</v>
      </c>
      <c r="J214" s="20" t="n">
        <v>-1343</v>
      </c>
      <c r="K214" s="20" t="n">
        <v>-1343</v>
      </c>
      <c r="L214" s="20" t="n">
        <v>-1343</v>
      </c>
      <c r="M214" s="20" t="n">
        <v>-1343</v>
      </c>
      <c r="N214" s="20" t="n">
        <v>0</v>
      </c>
      <c r="W214" s="20" t="n">
        <v>0</v>
      </c>
      <c r="X214" s="20" t="n">
        <v>-1343</v>
      </c>
    </row>
    <row r="215">
      <c r="A215" s="18" t="inlineStr">
        <is>
          <t>Payments For Acquisition Of Subsidiaries Inv CF</t>
        </is>
      </c>
      <c r="F215" s="20" t="n">
        <v>0</v>
      </c>
      <c r="G215" s="20" t="n">
        <v>0</v>
      </c>
      <c r="H215" s="20" t="n">
        <v>0</v>
      </c>
      <c r="I215" s="20" t="n">
        <v>0</v>
      </c>
      <c r="J215" s="20" t="n">
        <v>-10241</v>
      </c>
      <c r="K215" s="20" t="n">
        <v>-10241</v>
      </c>
      <c r="L215" s="20" t="n">
        <v>-10241</v>
      </c>
      <c r="M215" s="20" t="n">
        <v>-10241</v>
      </c>
      <c r="N215" s="20" t="n">
        <v>-36761</v>
      </c>
      <c r="W215" s="20" t="n">
        <v>0</v>
      </c>
      <c r="X215" s="20" t="n">
        <v>-10241</v>
      </c>
    </row>
    <row r="216">
      <c r="A216" s="18" t="inlineStr">
        <is>
          <t>Proceeds From Sale Of Businesses Inv CF</t>
        </is>
      </c>
      <c r="J216" s="20" t="n">
        <v>0</v>
      </c>
      <c r="N216" s="20" t="n">
        <v>1875</v>
      </c>
      <c r="S216" s="20" t="n">
        <v>7017</v>
      </c>
      <c r="T216" s="20" t="n">
        <v>0</v>
      </c>
    </row>
    <row r="217">
      <c r="A217" s="18" t="inlineStr">
        <is>
          <t>Proceeds From Sale Of Investments In Associates Inv CF</t>
        </is>
      </c>
      <c r="S217" s="20" t="n">
        <v>2502</v>
      </c>
      <c r="T217" s="20" t="n">
        <v>0</v>
      </c>
    </row>
    <row r="218">
      <c r="A218" s="18" t="inlineStr">
        <is>
          <t>기타</t>
        </is>
      </c>
      <c r="C218" s="20" t="n">
        <v>70</v>
      </c>
      <c r="D218" s="20" t="n">
        <v>-171</v>
      </c>
      <c r="E218" s="20" t="n">
        <v>-57</v>
      </c>
      <c r="F218" s="20" t="n">
        <v>-37</v>
      </c>
      <c r="G218" s="20" t="n">
        <v>294</v>
      </c>
      <c r="H218" s="20" t="n">
        <v>-159</v>
      </c>
      <c r="I218" s="20" t="n">
        <v>-368</v>
      </c>
      <c r="J218" s="20" t="n">
        <v>-34</v>
      </c>
      <c r="K218" s="20" t="n">
        <v>-330</v>
      </c>
      <c r="L218" s="20" t="n">
        <v>-406</v>
      </c>
      <c r="M218" s="20" t="n">
        <v>-536</v>
      </c>
      <c r="N218" s="20" t="n">
        <v>-93</v>
      </c>
      <c r="S218" s="20" t="n">
        <v>408</v>
      </c>
      <c r="T218" s="20" t="n">
        <v>10</v>
      </c>
      <c r="U218" s="20" t="n">
        <v>-2240</v>
      </c>
      <c r="V218" s="20" t="n">
        <v>-57</v>
      </c>
      <c r="W218" s="20" t="n">
        <v>-368</v>
      </c>
      <c r="X218" s="20" t="n">
        <v>-536</v>
      </c>
    </row>
    <row r="219">
      <c r="A219" s="9" t="inlineStr">
        <is>
          <t>투자활동 현금흐름</t>
        </is>
      </c>
      <c r="C219" s="12" t="n">
        <v>-98544</v>
      </c>
      <c r="D219" s="12" t="n">
        <v>-147812</v>
      </c>
      <c r="E219" s="12" t="n">
        <v>-216592</v>
      </c>
      <c r="F219" s="12" t="n">
        <v>-55762</v>
      </c>
      <c r="G219" s="12" t="n">
        <v>-100001</v>
      </c>
      <c r="H219" s="12" t="n">
        <v>-155460</v>
      </c>
      <c r="I219" s="12" t="n">
        <v>-244842</v>
      </c>
      <c r="J219" s="12" t="n">
        <v>-62912</v>
      </c>
      <c r="K219" s="12" t="n">
        <v>-128291</v>
      </c>
      <c r="L219" s="12" t="n">
        <v>-248281</v>
      </c>
      <c r="M219" s="12" t="n">
        <v>-377751</v>
      </c>
      <c r="N219" s="12" t="n">
        <v>-60220</v>
      </c>
      <c r="S219" s="12" t="n">
        <v>-231418</v>
      </c>
      <c r="T219" s="12" t="n">
        <v>-281546</v>
      </c>
      <c r="U219" s="12" t="n">
        <v>-234402</v>
      </c>
      <c r="V219" s="12" t="n">
        <v>-216592</v>
      </c>
      <c r="W219" s="12" t="n">
        <v>-244842</v>
      </c>
      <c r="X219" s="12" t="n">
        <v>-377751</v>
      </c>
    </row>
    <row r="220">
      <c r="A220" s="18" t="inlineStr">
        <is>
          <t>Proceeds From Long Term Borrowings Fin CF</t>
        </is>
      </c>
      <c r="C220" s="20" t="n">
        <v>80017</v>
      </c>
      <c r="D220" s="20" t="n">
        <v>80091</v>
      </c>
      <c r="E220" s="20" t="n">
        <v>80339</v>
      </c>
      <c r="F220" s="20" t="n">
        <v>108</v>
      </c>
      <c r="G220" s="20" t="n">
        <v>13660</v>
      </c>
      <c r="H220" s="20" t="n">
        <v>13677</v>
      </c>
      <c r="I220" s="20" t="n">
        <v>13677</v>
      </c>
      <c r="J220" s="20" t="n">
        <v>585</v>
      </c>
      <c r="K220" s="20" t="n">
        <v>6771</v>
      </c>
      <c r="L220" s="20" t="n">
        <v>7936</v>
      </c>
      <c r="M220" s="20" t="n">
        <v>15870</v>
      </c>
      <c r="N220" s="20" t="n">
        <v>2979</v>
      </c>
      <c r="S220" s="20" t="n">
        <v>50014</v>
      </c>
      <c r="T220" s="20" t="n">
        <v>190879</v>
      </c>
      <c r="U220" s="20" t="n">
        <v>372</v>
      </c>
      <c r="V220" s="20" t="n">
        <v>80339</v>
      </c>
      <c r="W220" s="20" t="n">
        <v>13677</v>
      </c>
      <c r="X220" s="20" t="n">
        <v>15870</v>
      </c>
    </row>
    <row r="221">
      <c r="A221" s="18" t="inlineStr">
        <is>
          <t>Repayments Of Long Term Borrowings Fin CF</t>
        </is>
      </c>
      <c r="C221" s="20" t="n">
        <v>-3175</v>
      </c>
      <c r="D221" s="20" t="n">
        <v>-4808</v>
      </c>
      <c r="E221" s="20" t="n">
        <v>-25478</v>
      </c>
      <c r="F221" s="20" t="n">
        <v>-58897</v>
      </c>
      <c r="G221" s="20" t="n">
        <v>-73874</v>
      </c>
      <c r="H221" s="20" t="n">
        <v>-133874</v>
      </c>
      <c r="I221" s="20" t="n">
        <v>-134934</v>
      </c>
      <c r="J221" s="20" t="n">
        <v>-69</v>
      </c>
      <c r="K221" s="20" t="n">
        <v>-36172</v>
      </c>
      <c r="L221" s="20" t="n">
        <v>-36249</v>
      </c>
      <c r="M221" s="20" t="n">
        <v>-37780</v>
      </c>
      <c r="N221" s="20" t="n">
        <v>0</v>
      </c>
      <c r="S221" s="20" t="n">
        <v>-66200</v>
      </c>
      <c r="T221" s="20" t="n">
        <v>-134570</v>
      </c>
      <c r="U221" s="20" t="n">
        <v>-4868</v>
      </c>
      <c r="V221" s="20" t="n">
        <v>-25478</v>
      </c>
      <c r="W221" s="20" t="n">
        <v>-134934</v>
      </c>
      <c r="X221" s="20" t="n">
        <v>-37780</v>
      </c>
    </row>
    <row r="222">
      <c r="A222" s="18" t="inlineStr">
        <is>
          <t>Net Increase Decrease In Short Term Borrowings Fin CF</t>
        </is>
      </c>
      <c r="C222" s="20" t="n">
        <v>-89288</v>
      </c>
      <c r="D222" s="20" t="n">
        <v>-136001</v>
      </c>
      <c r="E222" s="20" t="n">
        <v>-168237</v>
      </c>
      <c r="F222" s="20" t="n">
        <v>61802</v>
      </c>
      <c r="G222" s="20" t="n">
        <v>54920</v>
      </c>
      <c r="H222" s="20" t="n">
        <v>44591</v>
      </c>
      <c r="I222" s="20" t="n">
        <v>10050</v>
      </c>
      <c r="J222" s="20" t="n">
        <v>-15659</v>
      </c>
      <c r="K222" s="20" t="n">
        <v>15048</v>
      </c>
      <c r="L222" s="20" t="n">
        <v>37961</v>
      </c>
      <c r="M222" s="20" t="n">
        <v>11804</v>
      </c>
      <c r="N222" s="20" t="n">
        <v>67294</v>
      </c>
      <c r="S222" s="20" t="n">
        <v>-24526</v>
      </c>
      <c r="T222" s="20" t="n">
        <v>-8235</v>
      </c>
      <c r="U222" s="20" t="n">
        <v>65942</v>
      </c>
      <c r="V222" s="20" t="n">
        <v>-168237</v>
      </c>
      <c r="W222" s="20" t="n">
        <v>10050</v>
      </c>
      <c r="X222" s="20" t="n">
        <v>11804</v>
      </c>
    </row>
    <row r="223">
      <c r="A223" s="18" t="inlineStr">
        <is>
          <t>Proceeds From Issuance Of Bonds And Long Term Borrowings Fin CF</t>
        </is>
      </c>
      <c r="C223" s="20" t="n">
        <v>20000</v>
      </c>
      <c r="E223" s="20" t="n">
        <v>20000</v>
      </c>
      <c r="S223" s="20" t="n">
        <v>100000</v>
      </c>
      <c r="T223" s="20" t="n">
        <v>100000</v>
      </c>
      <c r="U223" s="20" t="n">
        <v>0</v>
      </c>
      <c r="V223" s="20" t="n">
        <v>20000</v>
      </c>
    </row>
    <row r="224">
      <c r="A224" s="18" t="inlineStr">
        <is>
          <t>Proceeds From Issuance Of Bonds Fin CF</t>
        </is>
      </c>
      <c r="C224" s="20" t="n">
        <v>20000</v>
      </c>
      <c r="D224" s="20" t="n">
        <v>20000</v>
      </c>
      <c r="E224" s="20" t="n">
        <v>20000</v>
      </c>
      <c r="F224" s="20" t="n">
        <v>0</v>
      </c>
      <c r="G224" s="20" t="n">
        <v>0</v>
      </c>
      <c r="H224" s="20" t="n">
        <v>0</v>
      </c>
      <c r="I224" s="20" t="n">
        <v>0</v>
      </c>
      <c r="J224" s="20" t="n">
        <v>50000</v>
      </c>
      <c r="K224" s="20" t="n">
        <v>50000</v>
      </c>
      <c r="L224" s="20" t="n">
        <v>50000</v>
      </c>
      <c r="M224" s="20" t="n">
        <v>50000</v>
      </c>
      <c r="N224" s="20" t="n">
        <v>0</v>
      </c>
      <c r="V224" s="20" t="n">
        <v>20000</v>
      </c>
      <c r="W224" s="20" t="n">
        <v>0</v>
      </c>
      <c r="X224" s="20" t="n">
        <v>50000</v>
      </c>
    </row>
    <row r="225">
      <c r="A225" s="18" t="inlineStr">
        <is>
          <t>사채 상환</t>
        </is>
      </c>
      <c r="G225" s="20" t="n">
        <v>0</v>
      </c>
      <c r="H225" s="20" t="n">
        <v>0</v>
      </c>
      <c r="I225" s="20" t="n">
        <v>0</v>
      </c>
      <c r="K225" s="20" t="n">
        <v>-30000</v>
      </c>
      <c r="L225" s="20" t="n">
        <v>-30000</v>
      </c>
      <c r="M225" s="20" t="n">
        <v>-30000</v>
      </c>
      <c r="W225" s="20" t="n">
        <v>0</v>
      </c>
      <c r="X225" s="20" t="n">
        <v>-30000</v>
      </c>
    </row>
    <row r="226">
      <c r="A226" s="18" t="inlineStr">
        <is>
          <t>Net Increase Decrease In Commercial Papers Fin CF</t>
        </is>
      </c>
      <c r="C226" s="20" t="n">
        <v>-5</v>
      </c>
      <c r="D226" s="20" t="n">
        <v>-9</v>
      </c>
      <c r="E226" s="20" t="n">
        <v>0</v>
      </c>
      <c r="F226" s="20" t="n">
        <v>0</v>
      </c>
      <c r="G226" s="20" t="n">
        <v>0</v>
      </c>
      <c r="H226" s="20" t="n">
        <v>59921</v>
      </c>
      <c r="I226" s="20" t="n">
        <v>29954</v>
      </c>
      <c r="J226" s="20" t="n">
        <v>29951</v>
      </c>
      <c r="K226" s="20" t="n">
        <v>59902</v>
      </c>
      <c r="L226" s="20" t="n">
        <v>59874</v>
      </c>
      <c r="M226" s="20" t="n">
        <v>-23</v>
      </c>
      <c r="N226" s="20" t="n">
        <v>59825</v>
      </c>
      <c r="V226" s="20" t="n">
        <v>0</v>
      </c>
      <c r="W226" s="20" t="n">
        <v>29954</v>
      </c>
      <c r="X226" s="20" t="n">
        <v>-23</v>
      </c>
    </row>
    <row r="227">
      <c r="A227" s="18" t="inlineStr">
        <is>
          <t>Repayments Of Lease Obligations Fin CF</t>
        </is>
      </c>
      <c r="C227" s="20" t="n">
        <v>-5944</v>
      </c>
      <c r="D227" s="20" t="n">
        <v>-9044</v>
      </c>
      <c r="E227" s="20" t="n">
        <v>-12286</v>
      </c>
      <c r="F227" s="20" t="n">
        <v>-3507</v>
      </c>
      <c r="G227" s="20" t="n">
        <v>-6734</v>
      </c>
      <c r="H227" s="20" t="n">
        <v>-10318</v>
      </c>
      <c r="I227" s="20" t="n">
        <v>-14183</v>
      </c>
      <c r="J227" s="20" t="n">
        <v>-3149</v>
      </c>
      <c r="K227" s="20" t="n">
        <v>-6333</v>
      </c>
      <c r="L227" s="20" t="n">
        <v>-9558</v>
      </c>
      <c r="M227" s="20" t="n">
        <v>-12923</v>
      </c>
      <c r="N227" s="20" t="n">
        <v>-7010</v>
      </c>
      <c r="S227" s="20" t="n">
        <v>-8712</v>
      </c>
      <c r="T227" s="20" t="n">
        <v>-9713</v>
      </c>
      <c r="U227" s="20" t="n">
        <v>-10398</v>
      </c>
      <c r="V227" s="20" t="n">
        <v>-12286</v>
      </c>
      <c r="W227" s="20" t="n">
        <v>-14183</v>
      </c>
      <c r="X227" s="20" t="n">
        <v>-12923</v>
      </c>
    </row>
    <row r="228">
      <c r="A228" s="18" t="inlineStr">
        <is>
          <t>배당금 지급</t>
        </is>
      </c>
      <c r="C228" s="20" t="n">
        <v>-20096</v>
      </c>
      <c r="D228" s="20" t="n">
        <v>-42099</v>
      </c>
      <c r="E228" s="20" t="n">
        <v>-42152</v>
      </c>
      <c r="F228" s="20" t="n">
        <v>-21771</v>
      </c>
      <c r="G228" s="20" t="n">
        <v>-21963</v>
      </c>
      <c r="H228" s="20" t="n">
        <v>-48499</v>
      </c>
      <c r="I228" s="20" t="n">
        <v>-48536</v>
      </c>
      <c r="J228" s="20" t="n">
        <v>-30210</v>
      </c>
      <c r="K228" s="20" t="n">
        <v>-30360</v>
      </c>
      <c r="L228" s="20" t="n">
        <v>-60710</v>
      </c>
      <c r="M228" s="20" t="n">
        <v>-60736</v>
      </c>
      <c r="N228" s="20" t="n">
        <v>-37738</v>
      </c>
      <c r="S228" s="20" t="n">
        <v>-22738</v>
      </c>
      <c r="T228" s="20" t="n">
        <v>-23987</v>
      </c>
      <c r="U228" s="20" t="n">
        <v>-37198</v>
      </c>
      <c r="V228" s="20" t="n">
        <v>-42152</v>
      </c>
      <c r="W228" s="20" t="n">
        <v>-48536</v>
      </c>
      <c r="X228" s="20" t="n">
        <v>-60736</v>
      </c>
    </row>
    <row r="229">
      <c r="A229" s="18" t="inlineStr">
        <is>
          <t>비지배지분 취득</t>
        </is>
      </c>
      <c r="S229" s="20" t="n">
        <v>-5955</v>
      </c>
      <c r="T229" s="20" t="n">
        <v>-113</v>
      </c>
    </row>
    <row r="230">
      <c r="A230" s="18" t="inlineStr">
        <is>
          <t>기타</t>
        </is>
      </c>
      <c r="C230" s="20" t="n">
        <v>944</v>
      </c>
      <c r="D230" s="20" t="n">
        <v>1896</v>
      </c>
      <c r="E230" s="20" t="n">
        <v>1446</v>
      </c>
      <c r="F230" s="20" t="n">
        <v>-89</v>
      </c>
      <c r="G230" s="20" t="n">
        <v>1199</v>
      </c>
      <c r="H230" s="20" t="n">
        <v>1197</v>
      </c>
      <c r="I230" s="20" t="n">
        <v>639</v>
      </c>
      <c r="J230" s="20" t="n">
        <v>-213</v>
      </c>
      <c r="K230" s="20" t="n">
        <v>-635</v>
      </c>
      <c r="L230" s="20" t="n">
        <v>-959</v>
      </c>
      <c r="M230" s="20" t="n">
        <v>-959</v>
      </c>
      <c r="N230" s="20" t="n">
        <v>39</v>
      </c>
      <c r="S230" s="20" t="n">
        <v>-801</v>
      </c>
      <c r="T230" s="20" t="n">
        <v>-631</v>
      </c>
      <c r="U230" s="20" t="n">
        <v>1097</v>
      </c>
      <c r="V230" s="20" t="n">
        <v>1446</v>
      </c>
      <c r="W230" s="20" t="n">
        <v>639</v>
      </c>
      <c r="X230" s="20" t="n">
        <v>-959</v>
      </c>
    </row>
    <row r="231">
      <c r="A231" s="9" t="inlineStr">
        <is>
          <t>재무활동 현금흐름</t>
        </is>
      </c>
      <c r="C231" s="12" t="n">
        <v>-17547</v>
      </c>
      <c r="D231" s="12" t="n">
        <v>-89974</v>
      </c>
      <c r="E231" s="12" t="n">
        <v>-146368</v>
      </c>
      <c r="F231" s="12" t="n">
        <v>-22354</v>
      </c>
      <c r="G231" s="12" t="n">
        <v>-32792</v>
      </c>
      <c r="H231" s="12" t="n">
        <v>-73305</v>
      </c>
      <c r="I231" s="12" t="n">
        <v>-143333</v>
      </c>
      <c r="J231" s="12" t="n">
        <v>31236</v>
      </c>
      <c r="K231" s="12" t="n">
        <v>28221</v>
      </c>
      <c r="L231" s="12" t="n">
        <v>18295</v>
      </c>
      <c r="M231" s="12" t="n">
        <v>-64747</v>
      </c>
      <c r="N231" s="12" t="n">
        <v>85389</v>
      </c>
      <c r="S231" s="12" t="n">
        <v>21082</v>
      </c>
      <c r="T231" s="12" t="n">
        <v>113743</v>
      </c>
      <c r="U231" s="12" t="n">
        <v>14947</v>
      </c>
      <c r="V231" s="12" t="n">
        <v>-146368</v>
      </c>
      <c r="W231" s="12" t="n">
        <v>-143333</v>
      </c>
      <c r="X231" s="12" t="n">
        <v>-64747</v>
      </c>
    </row>
    <row r="232">
      <c r="A232" s="18" t="inlineStr">
        <is>
          <t>Effect Of Exchange Rate Changes On Cash And Cash Equivalents</t>
        </is>
      </c>
      <c r="C232" s="20" t="n">
        <v>47724</v>
      </c>
      <c r="D232" s="20" t="n">
        <v>24716</v>
      </c>
      <c r="E232" s="20" t="n">
        <v>59766</v>
      </c>
      <c r="F232" s="20" t="n">
        <v>38119</v>
      </c>
      <c r="G232" s="20" t="n">
        <v>-26355</v>
      </c>
      <c r="H232" s="20" t="n">
        <v>28143</v>
      </c>
      <c r="I232" s="20" t="n">
        <v>-10355</v>
      </c>
      <c r="J232" s="20" t="n">
        <v>-14270</v>
      </c>
      <c r="K232" s="20" t="n">
        <v>8423</v>
      </c>
      <c r="L232" s="20" t="n">
        <v>57662</v>
      </c>
      <c r="M232" s="20" t="n">
        <v>80293</v>
      </c>
      <c r="N232" s="20" t="n">
        <v>21407</v>
      </c>
      <c r="S232" s="20" t="n">
        <v>27151</v>
      </c>
      <c r="T232" s="20" t="n">
        <v>47768</v>
      </c>
      <c r="U232" s="20" t="n">
        <v>23529</v>
      </c>
      <c r="V232" s="20" t="n">
        <v>59766</v>
      </c>
      <c r="W232" s="20" t="n">
        <v>-10355</v>
      </c>
      <c r="X232" s="20" t="n">
        <v>80293</v>
      </c>
    </row>
    <row r="233">
      <c r="A233" s="18" t="inlineStr">
        <is>
          <t>Net Increase Decrease In Cash And Cash Equivalents</t>
        </is>
      </c>
      <c r="C233" s="20" t="n">
        <v>136211</v>
      </c>
      <c r="D233" s="20" t="n">
        <v>120270</v>
      </c>
      <c r="E233" s="20" t="n">
        <v>143813</v>
      </c>
      <c r="F233" s="20" t="n">
        <v>32626</v>
      </c>
      <c r="G233" s="20" t="n">
        <v>46714</v>
      </c>
      <c r="H233" s="20" t="n">
        <v>168373</v>
      </c>
      <c r="I233" s="20" t="n">
        <v>47309</v>
      </c>
      <c r="J233" s="20" t="n">
        <v>13097</v>
      </c>
      <c r="K233" s="20" t="n">
        <v>97732</v>
      </c>
      <c r="L233" s="20" t="n">
        <v>180854</v>
      </c>
      <c r="M233" s="20" t="n">
        <v>145468</v>
      </c>
      <c r="N233" s="20" t="n">
        <v>27422</v>
      </c>
      <c r="S233" s="20" t="n">
        <v>47670</v>
      </c>
      <c r="T233" s="20" t="n">
        <v>58952</v>
      </c>
      <c r="U233" s="20" t="n">
        <v>66846</v>
      </c>
      <c r="V233" s="20" t="n">
        <v>143813</v>
      </c>
      <c r="W233" s="20" t="n">
        <v>47309</v>
      </c>
      <c r="X233" s="20" t="n">
        <v>145468</v>
      </c>
    </row>
  </sheetData>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L121"/>
  <sheetViews>
    <sheetView showGridLines="0" zoomScale="85" workbookViewId="0">
      <pane xSplit="2" ySplit="3" topLeftCell="C4" activePane="bottomRight" state="frozen"/>
      <selection pane="topRight"/>
      <selection pane="bottomLeft"/>
      <selection pane="bottomRight" activeCell="A1" sqref="A1"/>
    </sheetView>
  </sheetViews>
  <sheetFormatPr baseColWidth="8" defaultRowHeight="15"/>
  <cols>
    <col width="24" customWidth="1" min="1" max="1"/>
    <col width="20" customWidth="1" min="2" max="2"/>
    <col outlineLevel="1" width="11" customWidth="1" min="3" max="3"/>
    <col outlineLevel="1" width="11" customWidth="1" min="4" max="4"/>
    <col outlineLevel="1" width="11" customWidth="1" min="5" max="5"/>
    <col outlineLevel="1" width="11" customWidth="1" min="6" max="6"/>
    <col outlineLevel="1" width="11" customWidth="1" min="7" max="7"/>
    <col width="11" customWidth="1" min="8" max="8"/>
    <col width="11" customWidth="1" min="9" max="9"/>
    <col width="11" customWidth="1" min="10" max="10"/>
    <col width="11" customWidth="1" min="11" max="11"/>
    <col width="11" customWidth="1" min="12" max="12"/>
  </cols>
  <sheetData>
    <row r="1" ht="30" customHeight="1">
      <c r="A1" s="1" t="inlineStr">
        <is>
          <t>6762 재무상태표</t>
        </is>
      </c>
    </row>
    <row r="2">
      <c r="A2" s="44" t="inlineStr">
        <is>
          <t>재무비율은 기말 잔액 기준 · 분기 손익은 최근 4분기 합산(TTM)</t>
        </is>
      </c>
      <c r="B2" s="3" t="inlineStr">
        <is>
          <t>(단위: 백만엔)</t>
        </is>
      </c>
    </row>
    <row r="3">
      <c r="A3" s="5" t="inlineStr">
        <is>
          <t>항목</t>
        </is>
      </c>
      <c r="B3" s="5" t="inlineStr">
        <is>
          <t>참고</t>
        </is>
      </c>
      <c r="C3" s="6" t="inlineStr">
        <is>
          <t>2026.1Q</t>
        </is>
      </c>
      <c r="D3" s="5" t="inlineStr">
        <is>
          <t>2026.2Q</t>
        </is>
      </c>
      <c r="E3" s="5" t="inlineStr">
        <is>
          <t>2026.3Q</t>
        </is>
      </c>
      <c r="F3" s="5" t="inlineStr">
        <is>
          <t>2026.4Q</t>
        </is>
      </c>
      <c r="G3" s="5" t="inlineStr">
        <is>
          <t>2027.1Q</t>
        </is>
      </c>
      <c r="H3" s="6" t="inlineStr">
        <is>
          <t>2022</t>
        </is>
      </c>
      <c r="I3" s="5" t="inlineStr">
        <is>
          <t>2023</t>
        </is>
      </c>
      <c r="J3" s="5" t="inlineStr">
        <is>
          <t>2024</t>
        </is>
      </c>
      <c r="K3" s="5" t="inlineStr">
        <is>
          <t>2025</t>
        </is>
      </c>
      <c r="L3" s="5" t="inlineStr">
        <is>
          <t>2026</t>
        </is>
      </c>
    </row>
    <row r="4">
      <c r="A4" s="16" t="inlineStr">
        <is>
          <t>자산</t>
        </is>
      </c>
      <c r="B4" s="16" t="n"/>
      <c r="C4" s="17" t="n"/>
      <c r="D4" s="16" t="n"/>
      <c r="E4" s="16" t="n"/>
      <c r="F4" s="16" t="n"/>
      <c r="G4" s="16" t="n"/>
      <c r="H4" s="17" t="n"/>
      <c r="I4" s="16" t="n"/>
      <c r="J4" s="16" t="n"/>
      <c r="K4" s="16" t="n"/>
      <c r="L4" s="16" t="n"/>
    </row>
    <row r="5">
      <c r="A5" s="9" t="inlineStr">
        <is>
          <t>유동자산</t>
        </is>
      </c>
      <c r="B5" s="10" t="n"/>
      <c r="C5" s="11" t="n">
        <v>1895793</v>
      </c>
      <c r="D5" s="12" t="n">
        <v>2169342</v>
      </c>
      <c r="E5" s="12" t="n">
        <v>2435591</v>
      </c>
      <c r="F5" s="12" t="n">
        <v>2455232</v>
      </c>
      <c r="G5" s="12" t="n">
        <v>2633741</v>
      </c>
      <c r="H5" s="11" t="n">
        <v>1533172</v>
      </c>
      <c r="I5" s="12" t="n">
        <v>1607311</v>
      </c>
      <c r="J5" s="12" t="n">
        <v>1727975</v>
      </c>
      <c r="K5" s="12" t="n">
        <v>1836858</v>
      </c>
      <c r="L5" s="12" t="n">
        <v>2455232</v>
      </c>
    </row>
    <row r="6">
      <c r="A6" s="18" t="inlineStr">
        <is>
          <t>현금및현금성자산</t>
        </is>
      </c>
      <c r="B6" s="10" t="n"/>
      <c r="C6" s="19" t="n">
        <v>710404</v>
      </c>
      <c r="D6" s="20" t="n">
        <v>795039</v>
      </c>
      <c r="E6" s="20" t="n">
        <v>878161</v>
      </c>
      <c r="F6" s="20" t="n">
        <v>842775</v>
      </c>
      <c r="G6" s="20" t="n">
        <v>870197</v>
      </c>
      <c r="H6" s="19" t="n">
        <v>439339</v>
      </c>
      <c r="I6" s="20" t="n">
        <v>506185</v>
      </c>
      <c r="J6" s="20" t="n">
        <v>649998</v>
      </c>
      <c r="K6" s="20" t="n">
        <v>697307</v>
      </c>
      <c r="L6" s="20" t="n">
        <v>842775</v>
      </c>
    </row>
    <row r="7">
      <c r="A7" s="18" t="inlineStr">
        <is>
          <t>단기금융상품</t>
        </is>
      </c>
      <c r="B7" s="10" t="n"/>
      <c r="C7" s="19" t="n">
        <v>67358</v>
      </c>
      <c r="D7" s="20" t="n">
        <v>79117</v>
      </c>
      <c r="E7" s="20" t="n">
        <v>128146</v>
      </c>
      <c r="F7" s="20" t="n">
        <v>159587</v>
      </c>
      <c r="G7" s="20" t="n">
        <v>105179</v>
      </c>
      <c r="H7" s="19" t="n">
        <v>66944</v>
      </c>
      <c r="I7" s="20" t="n">
        <v>52147</v>
      </c>
      <c r="J7" s="20" t="n">
        <v>47052</v>
      </c>
      <c r="K7" s="20" t="n">
        <v>77304</v>
      </c>
      <c r="L7" s="20" t="n">
        <v>159587</v>
      </c>
    </row>
    <row r="8">
      <c r="A8" s="18" t="inlineStr">
        <is>
          <t>매출채권</t>
        </is>
      </c>
      <c r="B8" s="10" t="n"/>
      <c r="C8" s="19" t="n"/>
      <c r="D8" s="20" t="n"/>
      <c r="E8" s="20" t="n"/>
      <c r="F8" s="20" t="n"/>
      <c r="G8" s="20" t="n"/>
      <c r="H8" s="19" t="n"/>
      <c r="I8" s="20" t="n"/>
      <c r="J8" s="20" t="n"/>
      <c r="K8" s="20" t="n"/>
      <c r="L8" s="20" t="n"/>
    </row>
    <row r="9">
      <c r="A9" s="18" t="inlineStr">
        <is>
          <t>재고자산</t>
        </is>
      </c>
      <c r="B9" s="10" t="n"/>
      <c r="C9" s="19" t="n">
        <v>435357</v>
      </c>
      <c r="D9" s="20" t="n">
        <v>475599</v>
      </c>
      <c r="E9" s="20" t="n">
        <v>548942</v>
      </c>
      <c r="F9" s="20" t="n">
        <v>585448</v>
      </c>
      <c r="G9" s="20" t="n">
        <v>638278</v>
      </c>
      <c r="H9" s="19" t="n">
        <v>437004</v>
      </c>
      <c r="I9" s="20" t="n">
        <v>443001</v>
      </c>
      <c r="J9" s="20" t="n">
        <v>406084</v>
      </c>
      <c r="K9" s="20" t="n">
        <v>410038</v>
      </c>
      <c r="L9" s="20" t="n">
        <v>585448</v>
      </c>
    </row>
    <row r="10">
      <c r="A10" s="18" t="inlineStr">
        <is>
          <t>기타유동자산</t>
        </is>
      </c>
      <c r="B10" s="10" t="inlineStr">
        <is>
          <t>총계 − 위 항목</t>
        </is>
      </c>
      <c r="C10" s="19">
        <f>IF(OR(C5=""),"",IFERROR(C5-SUM(C6,C7,C8,C9),""))</f>
        <v/>
      </c>
      <c r="D10" s="20">
        <f>IF(OR(D5=""),"",IFERROR(D5-SUM(D6,D7,D8,D9),""))</f>
        <v/>
      </c>
      <c r="E10" s="20">
        <f>IF(OR(E5=""),"",IFERROR(E5-SUM(E6,E7,E8,E9),""))</f>
        <v/>
      </c>
      <c r="F10" s="20">
        <f>IF(OR(F5=""),"",IFERROR(F5-SUM(F6,F7,F8,F9),""))</f>
        <v/>
      </c>
      <c r="G10" s="20">
        <f>IF(OR(G5=""),"",IFERROR(G5-SUM(G6,G7,G8,G9),""))</f>
        <v/>
      </c>
      <c r="H10" s="19">
        <f>IF(OR(H5=""),"",IFERROR(H5-SUM(H6,H7,H8,H9),""))</f>
        <v/>
      </c>
      <c r="I10" s="20">
        <f>IF(OR(I5=""),"",IFERROR(I5-SUM(I6,I7,I8,I9),""))</f>
        <v/>
      </c>
      <c r="J10" s="20">
        <f>IF(OR(J5=""),"",IFERROR(J5-SUM(J6,J7,J8,J9),""))</f>
        <v/>
      </c>
      <c r="K10" s="20">
        <f>IF(OR(K5=""),"",IFERROR(K5-SUM(K6,K7,K8,K9),""))</f>
        <v/>
      </c>
      <c r="L10" s="20">
        <f>IF(OR(L5=""),"",IFERROR(L5-SUM(L6,L7,L8,L9),""))</f>
        <v/>
      </c>
    </row>
    <row r="11">
      <c r="A11" s="9" t="inlineStr">
        <is>
          <t>비유동자산</t>
        </is>
      </c>
      <c r="B11" s="10" t="n"/>
      <c r="C11" s="11" t="n">
        <v>1720313</v>
      </c>
      <c r="D11" s="12" t="n">
        <v>1788051</v>
      </c>
      <c r="E11" s="12" t="n">
        <v>1901163</v>
      </c>
      <c r="F11" s="12" t="n">
        <v>1959944</v>
      </c>
      <c r="G11" s="12" t="n">
        <v>2117590</v>
      </c>
      <c r="H11" s="11" t="n">
        <v>1508481</v>
      </c>
      <c r="I11" s="12" t="n">
        <v>1539716</v>
      </c>
      <c r="J11" s="12" t="n">
        <v>1687329</v>
      </c>
      <c r="K11" s="12" t="n">
        <v>1704557</v>
      </c>
      <c r="L11" s="12" t="n">
        <v>1959944</v>
      </c>
    </row>
    <row r="12">
      <c r="A12" s="18" t="inlineStr">
        <is>
          <t>유형자산</t>
        </is>
      </c>
      <c r="B12" s="10" t="n"/>
      <c r="C12" s="19" t="n">
        <v>1050872</v>
      </c>
      <c r="D12" s="20" t="n">
        <v>1100341</v>
      </c>
      <c r="E12" s="20" t="n">
        <v>1184502</v>
      </c>
      <c r="F12" s="20" t="n">
        <v>1225762</v>
      </c>
      <c r="G12" s="20" t="n">
        <v>1350142</v>
      </c>
      <c r="H12" s="19" t="n">
        <v>945042</v>
      </c>
      <c r="I12" s="20" t="n">
        <v>930288</v>
      </c>
      <c r="J12" s="20" t="n">
        <v>991072</v>
      </c>
      <c r="K12" s="20" t="n">
        <v>1030122</v>
      </c>
      <c r="L12" s="20" t="n">
        <v>1225762</v>
      </c>
    </row>
    <row r="13">
      <c r="A13" s="18" t="inlineStr">
        <is>
          <t>무형자산</t>
        </is>
      </c>
      <c r="B13" s="10" t="n"/>
      <c r="C13" s="19" t="n">
        <v>47230</v>
      </c>
      <c r="D13" s="20" t="n">
        <v>47941</v>
      </c>
      <c r="E13" s="20" t="n">
        <v>49463</v>
      </c>
      <c r="F13" s="20" t="n">
        <v>49683</v>
      </c>
      <c r="G13" s="20" t="n">
        <v>49822</v>
      </c>
      <c r="H13" s="19" t="n">
        <v>69030</v>
      </c>
      <c r="I13" s="20" t="n">
        <v>61241</v>
      </c>
      <c r="J13" s="20" t="n">
        <v>57114</v>
      </c>
      <c r="K13" s="20" t="n">
        <v>49159</v>
      </c>
      <c r="L13" s="20" t="n">
        <v>49683</v>
      </c>
    </row>
    <row r="14">
      <c r="A14" s="18" t="inlineStr">
        <is>
          <t>투자부동산</t>
        </is>
      </c>
      <c r="B14" s="10" t="n"/>
      <c r="C14" s="19" t="n"/>
      <c r="D14" s="20" t="n"/>
      <c r="E14" s="20" t="n"/>
      <c r="F14" s="20" t="n"/>
      <c r="G14" s="20" t="n"/>
      <c r="H14" s="19" t="n"/>
      <c r="I14" s="20" t="n"/>
      <c r="J14" s="20" t="n"/>
      <c r="K14" s="20" t="n"/>
      <c r="L14" s="20" t="n"/>
    </row>
    <row r="15">
      <c r="A15" s="18" t="inlineStr">
        <is>
          <t>기타비유동자산</t>
        </is>
      </c>
      <c r="B15" s="10" t="inlineStr">
        <is>
          <t>총계 − 위 항목</t>
        </is>
      </c>
      <c r="C15" s="19">
        <f>IF(OR(C11=""),"",IFERROR(C11-SUM(C12,C13,C14),""))</f>
        <v/>
      </c>
      <c r="D15" s="20">
        <f>IF(OR(D11=""),"",IFERROR(D11-SUM(D12,D13,D14),""))</f>
        <v/>
      </c>
      <c r="E15" s="20">
        <f>IF(OR(E11=""),"",IFERROR(E11-SUM(E12,E13,E14),""))</f>
        <v/>
      </c>
      <c r="F15" s="20">
        <f>IF(OR(F11=""),"",IFERROR(F11-SUM(F12,F13,F14),""))</f>
        <v/>
      </c>
      <c r="G15" s="20">
        <f>IF(OR(G11=""),"",IFERROR(G11-SUM(G12,G13,G14),""))</f>
        <v/>
      </c>
      <c r="H15" s="19">
        <f>IF(OR(H11=""),"",IFERROR(H11-SUM(H12,H13,H14),""))</f>
        <v/>
      </c>
      <c r="I15" s="20">
        <f>IF(OR(I11=""),"",IFERROR(I11-SUM(I12,I13,I14),""))</f>
        <v/>
      </c>
      <c r="J15" s="20">
        <f>IF(OR(J11=""),"",IFERROR(J11-SUM(J12,J13,J14),""))</f>
        <v/>
      </c>
      <c r="K15" s="20">
        <f>IF(OR(K11=""),"",IFERROR(K11-SUM(K12,K13,K14),""))</f>
        <v/>
      </c>
      <c r="L15" s="20">
        <f>IF(OR(L11=""),"",IFERROR(L11-SUM(L12,L13,L14),""))</f>
        <v/>
      </c>
    </row>
    <row r="16">
      <c r="A16" s="9" t="inlineStr">
        <is>
          <t>자산총계</t>
        </is>
      </c>
      <c r="B16" s="10" t="n"/>
      <c r="C16" s="11" t="n">
        <v>3616106</v>
      </c>
      <c r="D16" s="12" t="n">
        <v>3957393</v>
      </c>
      <c r="E16" s="12" t="n">
        <v>4336754</v>
      </c>
      <c r="F16" s="12" t="n">
        <v>4415175</v>
      </c>
      <c r="G16" s="12" t="n">
        <v>4751331</v>
      </c>
      <c r="H16" s="11" t="n">
        <v>3041653</v>
      </c>
      <c r="I16" s="12" t="n">
        <v>3147027</v>
      </c>
      <c r="J16" s="12" t="n">
        <v>3415304</v>
      </c>
      <c r="K16" s="12" t="n">
        <v>3541415</v>
      </c>
      <c r="L16" s="12" t="n">
        <v>4415175</v>
      </c>
    </row>
    <row r="17">
      <c r="A17" s="16" t="inlineStr">
        <is>
          <t>부채</t>
        </is>
      </c>
      <c r="B17" s="16" t="n"/>
      <c r="C17" s="17" t="n"/>
      <c r="D17" s="16" t="n"/>
      <c r="E17" s="16" t="n"/>
      <c r="F17" s="16" t="n"/>
      <c r="G17" s="16" t="n"/>
      <c r="H17" s="17" t="n"/>
      <c r="I17" s="16" t="n"/>
      <c r="J17" s="16" t="n"/>
      <c r="K17" s="16" t="n"/>
      <c r="L17" s="16" t="n"/>
    </row>
    <row r="18">
      <c r="A18" s="9" t="inlineStr">
        <is>
          <t>유동부채</t>
        </is>
      </c>
      <c r="B18" s="10" t="n"/>
      <c r="C18" s="11" t="n">
        <v>1150790</v>
      </c>
      <c r="D18" s="12" t="n">
        <v>1387507</v>
      </c>
      <c r="E18" s="12" t="n">
        <v>1594308</v>
      </c>
      <c r="F18" s="12" t="n">
        <v>1574545</v>
      </c>
      <c r="G18" s="12" t="n">
        <v>1791248</v>
      </c>
      <c r="H18" s="11" t="n">
        <v>1062358</v>
      </c>
      <c r="I18" s="12" t="n">
        <v>1004311</v>
      </c>
      <c r="J18" s="12" t="n">
        <v>1016890</v>
      </c>
      <c r="K18" s="12" t="n">
        <v>1098460</v>
      </c>
      <c r="L18" s="12" t="n">
        <v>1574545</v>
      </c>
    </row>
    <row r="19">
      <c r="A19" s="18" t="inlineStr">
        <is>
          <t>매입채무</t>
        </is>
      </c>
      <c r="B19" s="10" t="n"/>
      <c r="C19" s="19" t="n"/>
      <c r="D19" s="20" t="n"/>
      <c r="E19" s="20" t="n"/>
      <c r="F19" s="20" t="n"/>
      <c r="G19" s="20" t="n"/>
      <c r="H19" s="19" t="n"/>
      <c r="I19" s="20" t="n"/>
      <c r="J19" s="20" t="n"/>
      <c r="K19" s="20" t="n"/>
      <c r="L19" s="20" t="n"/>
    </row>
    <row r="20">
      <c r="A20" s="18" t="inlineStr">
        <is>
          <t>단기차입금</t>
        </is>
      </c>
      <c r="B20" s="10" t="n"/>
      <c r="C20" s="19" t="n"/>
      <c r="D20" s="20" t="n"/>
      <c r="E20" s="20" t="n"/>
      <c r="F20" s="20" t="n"/>
      <c r="G20" s="20" t="n"/>
      <c r="H20" s="19" t="n">
        <v>175924</v>
      </c>
      <c r="I20" s="20" t="n">
        <v>248510</v>
      </c>
      <c r="J20" s="20" t="n">
        <v>212907</v>
      </c>
      <c r="K20" s="20" t="n"/>
      <c r="L20" s="20" t="n"/>
    </row>
    <row r="21">
      <c r="A21" s="18" t="inlineStr">
        <is>
          <t>유동성장기부채</t>
        </is>
      </c>
      <c r="B21" s="10" t="n"/>
      <c r="C21" s="19" t="n"/>
      <c r="D21" s="20" t="n"/>
      <c r="E21" s="20" t="n"/>
      <c r="F21" s="20" t="n"/>
      <c r="G21" s="20" t="n"/>
      <c r="H21" s="19" t="n"/>
      <c r="I21" s="20" t="n"/>
      <c r="J21" s="20" t="n"/>
      <c r="K21" s="20" t="n"/>
      <c r="L21" s="20" t="n"/>
    </row>
    <row r="22">
      <c r="A22" s="18" t="inlineStr">
        <is>
          <t>기타유동부채</t>
        </is>
      </c>
      <c r="B22" s="10" t="inlineStr">
        <is>
          <t>총계 − 위 항목</t>
        </is>
      </c>
      <c r="C22" s="19">
        <f>IF(OR(C18=""),"",IFERROR(C18-SUM(C19,C20,C21),""))</f>
        <v/>
      </c>
      <c r="D22" s="20">
        <f>IF(OR(D18=""),"",IFERROR(D18-SUM(D19,D20,D21),""))</f>
        <v/>
      </c>
      <c r="E22" s="20">
        <f>IF(OR(E18=""),"",IFERROR(E18-SUM(E19,E20,E21),""))</f>
        <v/>
      </c>
      <c r="F22" s="20">
        <f>IF(OR(F18=""),"",IFERROR(F18-SUM(F19,F20,F21),""))</f>
        <v/>
      </c>
      <c r="G22" s="20">
        <f>IF(OR(G18=""),"",IFERROR(G18-SUM(G19,G20,G21),""))</f>
        <v/>
      </c>
      <c r="H22" s="19">
        <f>IF(OR(H18=""),"",IFERROR(H18-SUM(H19,H20,H21),""))</f>
        <v/>
      </c>
      <c r="I22" s="20">
        <f>IF(OR(I18=""),"",IFERROR(I18-SUM(I19,I20,I21),""))</f>
        <v/>
      </c>
      <c r="J22" s="20">
        <f>IF(OR(J18=""),"",IFERROR(J18-SUM(J19,J20,J21),""))</f>
        <v/>
      </c>
      <c r="K22" s="20">
        <f>IF(OR(K18=""),"",IFERROR(K18-SUM(K19,K20,K21),""))</f>
        <v/>
      </c>
      <c r="L22" s="20">
        <f>IF(OR(L18=""),"",IFERROR(L18-SUM(L19,L20,L21),""))</f>
        <v/>
      </c>
    </row>
    <row r="23">
      <c r="A23" s="9" t="inlineStr">
        <is>
          <t>비유동부채</t>
        </is>
      </c>
      <c r="B23" s="10" t="n"/>
      <c r="C23" s="11" t="n">
        <v>676176</v>
      </c>
      <c r="D23" s="12" t="n">
        <v>642792</v>
      </c>
      <c r="E23" s="12" t="n">
        <v>633080</v>
      </c>
      <c r="F23" s="12" t="n">
        <v>637086</v>
      </c>
      <c r="G23" s="12" t="n">
        <v>643009</v>
      </c>
      <c r="H23" s="11" t="n">
        <v>675540</v>
      </c>
      <c r="I23" s="12" t="n">
        <v>679849</v>
      </c>
      <c r="J23" s="12" t="n">
        <v>683473</v>
      </c>
      <c r="K23" s="12" t="n">
        <v>631701</v>
      </c>
      <c r="L23" s="12" t="n">
        <v>637086</v>
      </c>
    </row>
    <row r="24">
      <c r="A24" s="18" t="inlineStr">
        <is>
          <t>장기차입금</t>
        </is>
      </c>
      <c r="B24" s="10" t="n"/>
      <c r="C24" s="19" t="n"/>
      <c r="D24" s="20" t="n"/>
      <c r="E24" s="20" t="n"/>
      <c r="F24" s="20" t="n"/>
      <c r="G24" s="20" t="n"/>
      <c r="H24" s="19" t="n"/>
      <c r="I24" s="20" t="n"/>
      <c r="J24" s="20" t="n"/>
      <c r="K24" s="20" t="n"/>
      <c r="L24" s="20" t="n"/>
    </row>
    <row r="25">
      <c r="A25" s="18" t="inlineStr">
        <is>
          <t>사채</t>
        </is>
      </c>
      <c r="B25" s="10" t="n"/>
      <c r="C25" s="19" t="n">
        <v>396058</v>
      </c>
      <c r="D25" s="20" t="n">
        <v>356107</v>
      </c>
      <c r="E25" s="20" t="n">
        <v>328001</v>
      </c>
      <c r="F25" s="20" t="n">
        <v>332678</v>
      </c>
      <c r="G25" s="20" t="n">
        <v>336208</v>
      </c>
      <c r="H25" s="19" t="n">
        <v>455562</v>
      </c>
      <c r="I25" s="20" t="n">
        <v>448656</v>
      </c>
      <c r="J25" s="20" t="n">
        <v>400259</v>
      </c>
      <c r="K25" s="20" t="n">
        <v>346001</v>
      </c>
      <c r="L25" s="20" t="n">
        <v>332678</v>
      </c>
    </row>
    <row r="26">
      <c r="A26" s="18" t="inlineStr">
        <is>
          <t>기타비유동부채</t>
        </is>
      </c>
      <c r="B26" s="10" t="inlineStr">
        <is>
          <t>총계 − 위 항목</t>
        </is>
      </c>
      <c r="C26" s="19">
        <f>IF(OR(C23=""),"",IFERROR(C23-SUM(C24,C25),""))</f>
        <v/>
      </c>
      <c r="D26" s="20">
        <f>IF(OR(D23=""),"",IFERROR(D23-SUM(D24,D25),""))</f>
        <v/>
      </c>
      <c r="E26" s="20">
        <f>IF(OR(E23=""),"",IFERROR(E23-SUM(E24,E25),""))</f>
        <v/>
      </c>
      <c r="F26" s="20">
        <f>IF(OR(F23=""),"",IFERROR(F23-SUM(F24,F25),""))</f>
        <v/>
      </c>
      <c r="G26" s="20">
        <f>IF(OR(G23=""),"",IFERROR(G23-SUM(G24,G25),""))</f>
        <v/>
      </c>
      <c r="H26" s="19">
        <f>IF(OR(H23=""),"",IFERROR(H23-SUM(H24,H25),""))</f>
        <v/>
      </c>
      <c r="I26" s="20">
        <f>IF(OR(I23=""),"",IFERROR(I23-SUM(I24,I25),""))</f>
        <v/>
      </c>
      <c r="J26" s="20">
        <f>IF(OR(J23=""),"",IFERROR(J23-SUM(J24,J25),""))</f>
        <v/>
      </c>
      <c r="K26" s="20">
        <f>IF(OR(K23=""),"",IFERROR(K23-SUM(K24,K25),""))</f>
        <v/>
      </c>
      <c r="L26" s="20">
        <f>IF(OR(L23=""),"",IFERROR(L23-SUM(L24,L25),""))</f>
        <v/>
      </c>
    </row>
    <row r="27">
      <c r="A27" s="9" t="inlineStr">
        <is>
          <t>부채총계</t>
        </is>
      </c>
      <c r="B27" s="10" t="n"/>
      <c r="C27" s="11" t="n">
        <v>1826966</v>
      </c>
      <c r="D27" s="12" t="n">
        <v>2030299</v>
      </c>
      <c r="E27" s="12" t="n">
        <v>2227388</v>
      </c>
      <c r="F27" s="12" t="n">
        <v>2211630</v>
      </c>
      <c r="G27" s="12" t="n">
        <v>2434258</v>
      </c>
      <c r="H27" s="11" t="n">
        <v>1737898</v>
      </c>
      <c r="I27" s="12" t="n">
        <v>1684160</v>
      </c>
      <c r="J27" s="12" t="n">
        <v>1700363</v>
      </c>
      <c r="K27" s="12" t="n">
        <v>1730161</v>
      </c>
      <c r="L27" s="12" t="n">
        <v>2211630</v>
      </c>
    </row>
    <row r="28">
      <c r="A28" s="18" t="inlineStr">
        <is>
          <t>총차입금</t>
        </is>
      </c>
      <c r="B28" s="10" t="inlineStr">
        <is>
          <t>단기+유동성장기+장기+사채</t>
        </is>
      </c>
      <c r="C28" s="19">
        <f>SUM(C20,C21,C24,C25)</f>
        <v/>
      </c>
      <c r="D28" s="20">
        <f>SUM(D20,D21,D24,D25)</f>
        <v/>
      </c>
      <c r="E28" s="20">
        <f>SUM(E20,E21,E24,E25)</f>
        <v/>
      </c>
      <c r="F28" s="20">
        <f>SUM(F20,F21,F24,F25)</f>
        <v/>
      </c>
      <c r="G28" s="20">
        <f>SUM(G20,G21,G24,G25)</f>
        <v/>
      </c>
      <c r="H28" s="19">
        <f>SUM(H20,H21,H24,H25)</f>
        <v/>
      </c>
      <c r="I28" s="20">
        <f>SUM(I20,I21,I24,I25)</f>
        <v/>
      </c>
      <c r="J28" s="20">
        <f>SUM(J20,J21,J24,J25)</f>
        <v/>
      </c>
      <c r="K28" s="20">
        <f>SUM(K20,K21,K24,K25)</f>
        <v/>
      </c>
      <c r="L28" s="20">
        <f>SUM(L20,L21,L24,L25)</f>
        <v/>
      </c>
    </row>
    <row r="29">
      <c r="A29" s="18" t="inlineStr">
        <is>
          <t>순차입금</t>
        </is>
      </c>
      <c r="B29" s="10" t="inlineStr">
        <is>
          <t>음수 = 순현금</t>
        </is>
      </c>
      <c r="C29" s="19">
        <f>C28-C6-N(C7)</f>
        <v/>
      </c>
      <c r="D29" s="20">
        <f>D28-D6-N(D7)</f>
        <v/>
      </c>
      <c r="E29" s="20">
        <f>E28-E6-N(E7)</f>
        <v/>
      </c>
      <c r="F29" s="20">
        <f>F28-F6-N(F7)</f>
        <v/>
      </c>
      <c r="G29" s="20">
        <f>G28-G6-N(G7)</f>
        <v/>
      </c>
      <c r="H29" s="19">
        <f>H28-H6-N(H7)</f>
        <v/>
      </c>
      <c r="I29" s="20">
        <f>I28-I6-N(I7)</f>
        <v/>
      </c>
      <c r="J29" s="20">
        <f>J28-J6-N(J7)</f>
        <v/>
      </c>
      <c r="K29" s="20">
        <f>K28-K6-N(K7)</f>
        <v/>
      </c>
      <c r="L29" s="20">
        <f>L28-L6-N(L7)</f>
        <v/>
      </c>
    </row>
    <row r="30">
      <c r="A30" s="16" t="inlineStr">
        <is>
          <t>자본</t>
        </is>
      </c>
      <c r="B30" s="16" t="n"/>
      <c r="C30" s="17" t="n"/>
      <c r="D30" s="16" t="n"/>
      <c r="E30" s="16" t="n"/>
      <c r="F30" s="16" t="n"/>
      <c r="G30" s="16" t="n"/>
      <c r="H30" s="17" t="n"/>
      <c r="I30" s="16" t="n"/>
      <c r="J30" s="16" t="n"/>
      <c r="K30" s="16" t="n"/>
      <c r="L30" s="16" t="n"/>
    </row>
    <row r="31">
      <c r="A31" s="9" t="inlineStr">
        <is>
          <t>지배주주지분</t>
        </is>
      </c>
      <c r="B31" s="10" t="n"/>
      <c r="C31" s="11" t="n">
        <v>1777035</v>
      </c>
      <c r="D31" s="12" t="n">
        <v>1913041</v>
      </c>
      <c r="E31" s="12" t="n">
        <v>2093967</v>
      </c>
      <c r="F31" s="12" t="n">
        <v>2187234</v>
      </c>
      <c r="G31" s="12" t="n">
        <v>2298943</v>
      </c>
      <c r="H31" s="11" t="n">
        <v>1300317</v>
      </c>
      <c r="I31" s="12" t="n">
        <v>1458446</v>
      </c>
      <c r="J31" s="12" t="n">
        <v>1707332</v>
      </c>
      <c r="K31" s="12" t="n">
        <v>1800070</v>
      </c>
      <c r="L31" s="12" t="n">
        <v>2187234</v>
      </c>
    </row>
    <row r="32">
      <c r="A32" s="18" t="inlineStr">
        <is>
          <t>자본금</t>
        </is>
      </c>
      <c r="B32" s="10" t="n"/>
      <c r="C32" s="19" t="n">
        <v>32641</v>
      </c>
      <c r="D32" s="20" t="n">
        <v>32641</v>
      </c>
      <c r="E32" s="20" t="n">
        <v>32641</v>
      </c>
      <c r="F32" s="20" t="n">
        <v>32641</v>
      </c>
      <c r="G32" s="20" t="n">
        <v>32641</v>
      </c>
      <c r="H32" s="19" t="n">
        <v>32641</v>
      </c>
      <c r="I32" s="20" t="n">
        <v>32641</v>
      </c>
      <c r="J32" s="20" t="n">
        <v>32641</v>
      </c>
      <c r="K32" s="20" t="n">
        <v>32641</v>
      </c>
      <c r="L32" s="20" t="n">
        <v>32641</v>
      </c>
    </row>
    <row r="33">
      <c r="A33" s="18" t="inlineStr">
        <is>
          <t>이익잉여금</t>
        </is>
      </c>
      <c r="B33" s="10" t="n"/>
      <c r="C33" s="19" t="n">
        <v>1284930</v>
      </c>
      <c r="D33" s="20" t="n">
        <v>1354784</v>
      </c>
      <c r="E33" s="20" t="n">
        <v>1395433</v>
      </c>
      <c r="F33" s="20" t="n">
        <v>1409670</v>
      </c>
      <c r="G33" s="20" t="n">
        <v>1452605</v>
      </c>
      <c r="H33" s="19" t="n">
        <v>974767</v>
      </c>
      <c r="I33" s="20" t="n">
        <v>1054738</v>
      </c>
      <c r="J33" s="20" t="n">
        <v>1138732</v>
      </c>
      <c r="K33" s="20" t="n">
        <v>1273453</v>
      </c>
      <c r="L33" s="20" t="n">
        <v>1409670</v>
      </c>
    </row>
    <row r="34">
      <c r="A34" s="18" t="inlineStr">
        <is>
          <t>비지배지분</t>
        </is>
      </c>
      <c r="B34" s="10" t="n"/>
      <c r="C34" s="19" t="n">
        <v>12105</v>
      </c>
      <c r="D34" s="20" t="n">
        <v>14053</v>
      </c>
      <c r="E34" s="20" t="n">
        <v>15399</v>
      </c>
      <c r="F34" s="20" t="n">
        <v>16311</v>
      </c>
      <c r="G34" s="20" t="n">
        <v>18130</v>
      </c>
      <c r="H34" s="19" t="n">
        <v>3438</v>
      </c>
      <c r="I34" s="20" t="n">
        <v>4421</v>
      </c>
      <c r="J34" s="20" t="n">
        <v>7609</v>
      </c>
      <c r="K34" s="20" t="n">
        <v>11184</v>
      </c>
      <c r="L34" s="20" t="n">
        <v>16311</v>
      </c>
    </row>
    <row r="35">
      <c r="A35" s="9" t="inlineStr">
        <is>
          <t>자본총계</t>
        </is>
      </c>
      <c r="B35" s="10" t="n"/>
      <c r="C35" s="11" t="n">
        <v>1789140</v>
      </c>
      <c r="D35" s="12" t="n">
        <v>1927094</v>
      </c>
      <c r="E35" s="12" t="n">
        <v>2109366</v>
      </c>
      <c r="F35" s="12" t="n">
        <v>2203545</v>
      </c>
      <c r="G35" s="12" t="n">
        <v>2317073</v>
      </c>
      <c r="H35" s="11" t="n">
        <v>1303755</v>
      </c>
      <c r="I35" s="12" t="n">
        <v>1462867</v>
      </c>
      <c r="J35" s="12" t="n">
        <v>1714941</v>
      </c>
      <c r="K35" s="12" t="n">
        <v>1811254</v>
      </c>
      <c r="L35" s="12" t="n">
        <v>2203545</v>
      </c>
    </row>
    <row r="36">
      <c r="A36" s="16" t="inlineStr">
        <is>
          <t>현금흐름 요약</t>
        </is>
      </c>
      <c r="B36" s="16" t="inlineStr">
        <is>
          <t>분기 = TTM (있을 때만)</t>
        </is>
      </c>
      <c r="C36" s="17" t="n"/>
      <c r="D36" s="16" t="n"/>
      <c r="E36" s="16" t="n"/>
      <c r="F36" s="16" t="n"/>
      <c r="G36" s="16" t="n"/>
      <c r="H36" s="17" t="n"/>
      <c r="I36" s="16" t="n"/>
      <c r="J36" s="16" t="n"/>
      <c r="K36" s="16" t="n"/>
      <c r="L36" s="16" t="n"/>
    </row>
    <row r="37">
      <c r="A37" s="9" t="inlineStr">
        <is>
          <t>영업활동현금흐름</t>
        </is>
      </c>
      <c r="B37" s="10" t="n"/>
      <c r="C37" s="11" t="n">
        <v>432259</v>
      </c>
      <c r="D37" s="12" t="n">
        <v>429356</v>
      </c>
      <c r="E37" s="12" t="n">
        <v>430022</v>
      </c>
      <c r="F37" s="12" t="n">
        <v>507672</v>
      </c>
      <c r="G37" s="12" t="n">
        <v>429475</v>
      </c>
      <c r="H37" s="11" t="n">
        <v>178987</v>
      </c>
      <c r="I37" s="12" t="n">
        <v>262772</v>
      </c>
      <c r="J37" s="12" t="n">
        <v>447007</v>
      </c>
      <c r="K37" s="12" t="n">
        <v>445839</v>
      </c>
      <c r="L37" s="12" t="n">
        <v>507672</v>
      </c>
    </row>
    <row r="38">
      <c r="A38" s="18" t="inlineStr">
        <is>
          <t>CAPEX (유·무형 취득)</t>
        </is>
      </c>
      <c r="B38" s="10" t="inlineStr">
        <is>
          <t>양수로 입력</t>
        </is>
      </c>
      <c r="C38" s="19" t="n"/>
      <c r="D38" s="20" t="n"/>
      <c r="E38" s="20" t="n"/>
      <c r="F38" s="20" t="n"/>
      <c r="G38" s="20" t="n"/>
      <c r="H38" s="19" t="n"/>
      <c r="I38" s="20" t="n"/>
      <c r="J38" s="20" t="n"/>
      <c r="K38" s="20" t="n"/>
      <c r="L38" s="20" t="n"/>
    </row>
    <row r="39">
      <c r="A39" s="9" t="inlineStr">
        <is>
          <t>FCF</t>
        </is>
      </c>
      <c r="B39" s="10" t="n"/>
      <c r="C39" s="11">
        <f>IF(OR(C37="",C38=""),"",IFERROR(C37-C38,""))</f>
        <v/>
      </c>
      <c r="D39" s="12">
        <f>IF(OR(D37="",D38=""),"",IFERROR(D37-D38,""))</f>
        <v/>
      </c>
      <c r="E39" s="12">
        <f>IF(OR(E37="",E38=""),"",IFERROR(E37-E38,""))</f>
        <v/>
      </c>
      <c r="F39" s="12">
        <f>IF(OR(F37="",F38=""),"",IFERROR(F37-F38,""))</f>
        <v/>
      </c>
      <c r="G39" s="12">
        <f>IF(OR(G37="",G38=""),"",IFERROR(G37-G38,""))</f>
        <v/>
      </c>
      <c r="H39" s="11">
        <f>IF(OR(H37="",H38=""),"",IFERROR(H37-H38,""))</f>
        <v/>
      </c>
      <c r="I39" s="12">
        <f>IF(OR(I37="",I38=""),"",IFERROR(I37-I38,""))</f>
        <v/>
      </c>
      <c r="J39" s="12">
        <f>IF(OR(J37="",J38=""),"",IFERROR(J37-J38,""))</f>
        <v/>
      </c>
      <c r="K39" s="12">
        <f>IF(OR(K37="",K38=""),"",IFERROR(K37-K38,""))</f>
        <v/>
      </c>
      <c r="L39" s="12">
        <f>IF(OR(L37="",L38=""),"",IFERROR(L37-L38,""))</f>
        <v/>
      </c>
    </row>
    <row r="40">
      <c r="A40" s="18" t="inlineStr">
        <is>
          <t>배당금 지급</t>
        </is>
      </c>
      <c r="B40" s="10" t="inlineStr">
        <is>
          <t>양수로 입력</t>
        </is>
      </c>
      <c r="C40" s="19" t="n">
        <v>56975</v>
      </c>
      <c r="D40" s="20" t="n">
        <v>56933</v>
      </c>
      <c r="E40" s="20" t="n">
        <v>60747</v>
      </c>
      <c r="F40" s="20" t="n">
        <v>60736</v>
      </c>
      <c r="G40" s="20" t="n">
        <v>68264</v>
      </c>
      <c r="H40" s="19" t="n">
        <v>23987</v>
      </c>
      <c r="I40" s="20" t="n">
        <v>37198</v>
      </c>
      <c r="J40" s="20" t="n">
        <v>42152</v>
      </c>
      <c r="K40" s="20" t="n">
        <v>48536</v>
      </c>
      <c r="L40" s="20" t="n">
        <v>60736</v>
      </c>
    </row>
    <row r="41">
      <c r="A41" s="16" t="inlineStr">
        <is>
          <t>주요 재무 비율</t>
        </is>
      </c>
      <c r="B41" s="16" t="inlineStr">
        <is>
          <t>기준 (빨간 글씨 = 미달)</t>
        </is>
      </c>
      <c r="C41" s="17" t="n"/>
      <c r="D41" s="16" t="n"/>
      <c r="E41" s="16" t="n"/>
      <c r="F41" s="16" t="n"/>
      <c r="G41" s="16" t="n"/>
      <c r="H41" s="17" t="n"/>
      <c r="I41" s="16" t="n"/>
      <c r="J41" s="16" t="n"/>
      <c r="K41" s="16" t="n"/>
      <c r="L41" s="16" t="n"/>
    </row>
    <row r="42">
      <c r="A42" s="23" t="inlineStr">
        <is>
          <t>안정성</t>
        </is>
      </c>
      <c r="B42" s="23" t="n"/>
      <c r="C42" s="24" t="n"/>
      <c r="D42" s="23" t="n"/>
      <c r="E42" s="23" t="n"/>
      <c r="F42" s="23" t="n"/>
      <c r="G42" s="23" t="n"/>
      <c r="H42" s="24" t="n"/>
      <c r="I42" s="23" t="n"/>
      <c r="J42" s="23" t="n"/>
      <c r="K42" s="23" t="n"/>
      <c r="L42" s="23" t="n"/>
    </row>
    <row r="43">
      <c r="A43" s="45" t="inlineStr">
        <is>
          <t>부채비율</t>
        </is>
      </c>
      <c r="B43" s="10" t="inlineStr">
        <is>
          <t>100%↓</t>
        </is>
      </c>
      <c r="C43" s="35">
        <f>IF(OR(C27="",C35=""),"",IFERROR(C27/C35,""))</f>
        <v/>
      </c>
      <c r="D43" s="36">
        <f>IF(OR(D27="",D35=""),"",IFERROR(D27/D35,""))</f>
        <v/>
      </c>
      <c r="E43" s="36">
        <f>IF(OR(E27="",E35=""),"",IFERROR(E27/E35,""))</f>
        <v/>
      </c>
      <c r="F43" s="36">
        <f>IF(OR(F27="",F35=""),"",IFERROR(F27/F35,""))</f>
        <v/>
      </c>
      <c r="G43" s="36">
        <f>IF(OR(G27="",G35=""),"",IFERROR(G27/G35,""))</f>
        <v/>
      </c>
      <c r="H43" s="35">
        <f>IF(OR(H27="",H35=""),"",IFERROR(H27/H35,""))</f>
        <v/>
      </c>
      <c r="I43" s="36">
        <f>IF(OR(I27="",I35=""),"",IFERROR(I27/I35,""))</f>
        <v/>
      </c>
      <c r="J43" s="36">
        <f>IF(OR(J27="",J35=""),"",IFERROR(J27/J35,""))</f>
        <v/>
      </c>
      <c r="K43" s="36">
        <f>IF(OR(K27="",K35=""),"",IFERROR(K27/K35,""))</f>
        <v/>
      </c>
      <c r="L43" s="36">
        <f>IF(OR(L27="",L35=""),"",IFERROR(L27/L35,""))</f>
        <v/>
      </c>
    </row>
    <row r="44">
      <c r="A44" s="45" t="inlineStr">
        <is>
          <t>순차입금비율</t>
        </is>
      </c>
      <c r="B44" s="10" t="inlineStr">
        <is>
          <t>0%↓ 순현금</t>
        </is>
      </c>
      <c r="C44" s="35">
        <f>IF(OR(C29="",C35=""),"",IFERROR(C29/C35,""))</f>
        <v/>
      </c>
      <c r="D44" s="36">
        <f>IF(OR(D29="",D35=""),"",IFERROR(D29/D35,""))</f>
        <v/>
      </c>
      <c r="E44" s="36">
        <f>IF(OR(E29="",E35=""),"",IFERROR(E29/E35,""))</f>
        <v/>
      </c>
      <c r="F44" s="36">
        <f>IF(OR(F29="",F35=""),"",IFERROR(F29/F35,""))</f>
        <v/>
      </c>
      <c r="G44" s="36">
        <f>IF(OR(G29="",G35=""),"",IFERROR(G29/G35,""))</f>
        <v/>
      </c>
      <c r="H44" s="35">
        <f>IF(OR(H29="",H35=""),"",IFERROR(H29/H35,""))</f>
        <v/>
      </c>
      <c r="I44" s="36">
        <f>IF(OR(I29="",I35=""),"",IFERROR(I29/I35,""))</f>
        <v/>
      </c>
      <c r="J44" s="36">
        <f>IF(OR(J29="",J35=""),"",IFERROR(J29/J35,""))</f>
        <v/>
      </c>
      <c r="K44" s="36">
        <f>IF(OR(K29="",K35=""),"",IFERROR(K29/K35,""))</f>
        <v/>
      </c>
      <c r="L44" s="36">
        <f>IF(OR(L29="",L35=""),"",IFERROR(L29/L35,""))</f>
        <v/>
      </c>
    </row>
    <row r="45">
      <c r="A45" s="45" t="inlineStr">
        <is>
          <t>자기자본비율</t>
        </is>
      </c>
      <c r="B45" s="10" t="inlineStr">
        <is>
          <t>50%↑</t>
        </is>
      </c>
      <c r="C45" s="35">
        <f>IF(OR(C35="",C16=""),"",IFERROR(C35/C16,""))</f>
        <v/>
      </c>
      <c r="D45" s="36">
        <f>IF(OR(D35="",D16=""),"",IFERROR(D35/D16,""))</f>
        <v/>
      </c>
      <c r="E45" s="36">
        <f>IF(OR(E35="",E16=""),"",IFERROR(E35/E16,""))</f>
        <v/>
      </c>
      <c r="F45" s="36">
        <f>IF(OR(F35="",F16=""),"",IFERROR(F35/F16,""))</f>
        <v/>
      </c>
      <c r="G45" s="36">
        <f>IF(OR(G35="",G16=""),"",IFERROR(G35/G16,""))</f>
        <v/>
      </c>
      <c r="H45" s="35">
        <f>IF(OR(H35="",H16=""),"",IFERROR(H35/H16,""))</f>
        <v/>
      </c>
      <c r="I45" s="36">
        <f>IF(OR(I35="",I16=""),"",IFERROR(I35/I16,""))</f>
        <v/>
      </c>
      <c r="J45" s="36">
        <f>IF(OR(J35="",J16=""),"",IFERROR(J35/J16,""))</f>
        <v/>
      </c>
      <c r="K45" s="36">
        <f>IF(OR(K35="",K16=""),"",IFERROR(K35/K16,""))</f>
        <v/>
      </c>
      <c r="L45" s="36">
        <f>IF(OR(L35="",L16=""),"",IFERROR(L35/L16,""))</f>
        <v/>
      </c>
    </row>
    <row r="46">
      <c r="A46" s="45" t="inlineStr">
        <is>
          <t>유동비율</t>
        </is>
      </c>
      <c r="B46" s="10" t="inlineStr">
        <is>
          <t>150%↑</t>
        </is>
      </c>
      <c r="C46" s="35">
        <f>IF(OR(C5="",C18=""),"",IFERROR(C5/C18,""))</f>
        <v/>
      </c>
      <c r="D46" s="36">
        <f>IF(OR(D5="",D18=""),"",IFERROR(D5/D18,""))</f>
        <v/>
      </c>
      <c r="E46" s="36">
        <f>IF(OR(E5="",E18=""),"",IFERROR(E5/E18,""))</f>
        <v/>
      </c>
      <c r="F46" s="36">
        <f>IF(OR(F5="",F18=""),"",IFERROR(F5/F18,""))</f>
        <v/>
      </c>
      <c r="G46" s="36">
        <f>IF(OR(G5="",G18=""),"",IFERROR(G5/G18,""))</f>
        <v/>
      </c>
      <c r="H46" s="35">
        <f>IF(OR(H5="",H18=""),"",IFERROR(H5/H18,""))</f>
        <v/>
      </c>
      <c r="I46" s="36">
        <f>IF(OR(I5="",I18=""),"",IFERROR(I5/I18,""))</f>
        <v/>
      </c>
      <c r="J46" s="36">
        <f>IF(OR(J5="",J18=""),"",IFERROR(J5/J18,""))</f>
        <v/>
      </c>
      <c r="K46" s="36">
        <f>IF(OR(K5="",K18=""),"",IFERROR(K5/K18,""))</f>
        <v/>
      </c>
      <c r="L46" s="36">
        <f>IF(OR(L5="",L18=""),"",IFERROR(L5/L18,""))</f>
        <v/>
      </c>
    </row>
    <row r="47">
      <c r="A47" s="45" t="inlineStr">
        <is>
          <t>당좌비율</t>
        </is>
      </c>
      <c r="B47" s="10" t="inlineStr">
        <is>
          <t>100%↑</t>
        </is>
      </c>
      <c r="C47" s="35">
        <f>IF(OR(C5="",C18=""),"",IFERROR((C5-N(C9))/C18,""))</f>
        <v/>
      </c>
      <c r="D47" s="36">
        <f>IF(OR(D5="",D18=""),"",IFERROR((D5-N(D9))/D18,""))</f>
        <v/>
      </c>
      <c r="E47" s="36">
        <f>IF(OR(E5="",E18=""),"",IFERROR((E5-N(E9))/E18,""))</f>
        <v/>
      </c>
      <c r="F47" s="36">
        <f>IF(OR(F5="",F18=""),"",IFERROR((F5-N(F9))/F18,""))</f>
        <v/>
      </c>
      <c r="G47" s="36">
        <f>IF(OR(G5="",G18=""),"",IFERROR((G5-N(G9))/G18,""))</f>
        <v/>
      </c>
      <c r="H47" s="35">
        <f>IF(OR(H5="",H18=""),"",IFERROR((H5-N(H9))/H18,""))</f>
        <v/>
      </c>
      <c r="I47" s="36">
        <f>IF(OR(I5="",I18=""),"",IFERROR((I5-N(I9))/I18,""))</f>
        <v/>
      </c>
      <c r="J47" s="36">
        <f>IF(OR(J5="",J18=""),"",IFERROR((J5-N(J9))/J18,""))</f>
        <v/>
      </c>
      <c r="K47" s="36">
        <f>IF(OR(K5="",K18=""),"",IFERROR((K5-N(K9))/K18,""))</f>
        <v/>
      </c>
      <c r="L47" s="36">
        <f>IF(OR(L5="",L18=""),"",IFERROR((L5-N(L9))/L18,""))</f>
        <v/>
      </c>
    </row>
    <row r="48">
      <c r="A48" s="45" t="inlineStr">
        <is>
          <t>이자보상배율</t>
        </is>
      </c>
      <c r="B48" s="10" t="inlineStr">
        <is>
          <t>5x↑ (금융원가 기준)</t>
        </is>
      </c>
      <c r="C48" s="30">
        <f>IFERROR((IF(COUNT('연간'!G28:J28)&lt;4,"",SUM('연간'!G28:J28)))/(IF(COUNT('연간'!G50:J50)&lt;4,"",SUM('연간'!G50:J50))),"")</f>
        <v/>
      </c>
      <c r="D48" s="31">
        <f>IFERROR((IF(COUNT('연간'!H28:K28)&lt;4,"",SUM('연간'!H28:K28)))/(IF(COUNT('연간'!H50:K50)&lt;4,"",SUM('연간'!H50:K50))),"")</f>
        <v/>
      </c>
      <c r="E48" s="31">
        <f>IFERROR((IF(COUNT('연간'!I28:L28)&lt;4,"",SUM('연간'!I28:L28)))/(IF(COUNT('연간'!I50:L50)&lt;4,"",SUM('연간'!I50:L50))),"")</f>
        <v/>
      </c>
      <c r="F48" s="31">
        <f>IFERROR((IF(COUNT('연간'!J28:M28)&lt;4,"",SUM('연간'!J28:M28)))/(IF(COUNT('연간'!J50:M50)&lt;4,"",SUM('연간'!J50:M50))),"")</f>
        <v/>
      </c>
      <c r="G48" s="31">
        <f>IFERROR((IF(COUNT('연간'!K28:N28)&lt;4,"",SUM('연간'!K28:N28)))/(IF(COUNT('연간'!K50:N50)&lt;4,"",SUM('연간'!K50:N50))),"")</f>
        <v/>
      </c>
      <c r="H48" s="30">
        <f>IFERROR(('연간'!T28)/('연간'!T50),"")</f>
        <v/>
      </c>
      <c r="I48" s="31">
        <f>IFERROR(('연간'!U28)/('연간'!U50),"")</f>
        <v/>
      </c>
      <c r="J48" s="31">
        <f>IFERROR(('연간'!V28)/('연간'!V50),"")</f>
        <v/>
      </c>
      <c r="K48" s="31">
        <f>IFERROR(('연간'!W28)/('연간'!W50),"")</f>
        <v/>
      </c>
      <c r="L48" s="31">
        <f>IFERROR(('연간'!X28)/('연간'!X50),"")</f>
        <v/>
      </c>
    </row>
    <row r="49">
      <c r="A49" s="45" t="inlineStr">
        <is>
          <t>차입금 상환연수</t>
        </is>
      </c>
      <c r="B49" s="10" t="inlineStr">
        <is>
          <t>4년↓ (버핏)</t>
        </is>
      </c>
      <c r="C49" s="46">
        <f>IFERROR(IF((IF(COUNT('연간'!G56:J56)&lt;4,"",SUM('연간'!G56:J56)))&lt;=0,"적자",C28/(IF(COUNT('연간'!G56:J56)&lt;4,"",SUM('연간'!G56:J56)))),"")</f>
        <v/>
      </c>
      <c r="D49" s="47">
        <f>IFERROR(IF((IF(COUNT('연간'!H56:K56)&lt;4,"",SUM('연간'!H56:K56)))&lt;=0,"적자",D28/(IF(COUNT('연간'!H56:K56)&lt;4,"",SUM('연간'!H56:K56)))),"")</f>
        <v/>
      </c>
      <c r="E49" s="47">
        <f>IFERROR(IF((IF(COUNT('연간'!I56:L56)&lt;4,"",SUM('연간'!I56:L56)))&lt;=0,"적자",E28/(IF(COUNT('연간'!I56:L56)&lt;4,"",SUM('연간'!I56:L56)))),"")</f>
        <v/>
      </c>
      <c r="F49" s="47">
        <f>IFERROR(IF((IF(COUNT('연간'!J56:M56)&lt;4,"",SUM('연간'!J56:M56)))&lt;=0,"적자",F28/(IF(COUNT('연간'!J56:M56)&lt;4,"",SUM('연간'!J56:M56)))),"")</f>
        <v/>
      </c>
      <c r="G49" s="47">
        <f>IFERROR(IF((IF(COUNT('연간'!K56:N56)&lt;4,"",SUM('연간'!K56:N56)))&lt;=0,"적자",G28/(IF(COUNT('연간'!K56:N56)&lt;4,"",SUM('연간'!K56:N56)))),"")</f>
        <v/>
      </c>
      <c r="H49" s="46">
        <f>IFERROR(IF(('연간'!T56)&lt;=0,"적자",H28/('연간'!T56)),"")</f>
        <v/>
      </c>
      <c r="I49" s="47">
        <f>IFERROR(IF(('연간'!U56)&lt;=0,"적자",I28/('연간'!U56)),"")</f>
        <v/>
      </c>
      <c r="J49" s="47">
        <f>IFERROR(IF(('연간'!V56)&lt;=0,"적자",J28/('연간'!V56)),"")</f>
        <v/>
      </c>
      <c r="K49" s="47">
        <f>IFERROR(IF(('연간'!W56)&lt;=0,"적자",K28/('연간'!W56)),"")</f>
        <v/>
      </c>
      <c r="L49" s="47">
        <f>IFERROR(IF(('연간'!X56)&lt;=0,"적자",L28/('연간'!X56)),"")</f>
        <v/>
      </c>
    </row>
    <row r="50">
      <c r="A50" s="23" t="inlineStr">
        <is>
          <t>수익성</t>
        </is>
      </c>
      <c r="B50" s="23" t="n"/>
      <c r="C50" s="24" t="n"/>
      <c r="D50" s="23" t="n"/>
      <c r="E50" s="23" t="n"/>
      <c r="F50" s="23" t="n"/>
      <c r="G50" s="23" t="n"/>
      <c r="H50" s="24" t="n"/>
      <c r="I50" s="23" t="n"/>
      <c r="J50" s="23" t="n"/>
      <c r="K50" s="23" t="n"/>
      <c r="L50" s="23" t="n"/>
    </row>
    <row r="51">
      <c r="A51" s="45" t="inlineStr">
        <is>
          <t>ROE</t>
        </is>
      </c>
      <c r="B51" s="10" t="inlineStr">
        <is>
          <t>15%↑ (버핏)</t>
        </is>
      </c>
      <c r="C51" s="35">
        <f>IFERROR((IF(COUNT('연간'!G56:J56)&lt;4,"",SUM('연간'!G56:J56)))/C31,"")</f>
        <v/>
      </c>
      <c r="D51" s="36">
        <f>IFERROR((IF(COUNT('연간'!H56:K56)&lt;4,"",SUM('연간'!H56:K56)))/D31,"")</f>
        <v/>
      </c>
      <c r="E51" s="36">
        <f>IFERROR((IF(COUNT('연간'!I56:L56)&lt;4,"",SUM('연간'!I56:L56)))/E31,"")</f>
        <v/>
      </c>
      <c r="F51" s="36">
        <f>IFERROR((IF(COUNT('연간'!J56:M56)&lt;4,"",SUM('연간'!J56:M56)))/F31,"")</f>
        <v/>
      </c>
      <c r="G51" s="36">
        <f>IFERROR((IF(COUNT('연간'!K56:N56)&lt;4,"",SUM('연간'!K56:N56)))/G31,"")</f>
        <v/>
      </c>
      <c r="H51" s="35">
        <f>IFERROR(('연간'!T56)/H31,"")</f>
        <v/>
      </c>
      <c r="I51" s="36">
        <f>IFERROR(('연간'!U56)/I31,"")</f>
        <v/>
      </c>
      <c r="J51" s="36">
        <f>IFERROR(('연간'!V56)/J31,"")</f>
        <v/>
      </c>
      <c r="K51" s="36">
        <f>IFERROR(('연간'!W56)/K31,"")</f>
        <v/>
      </c>
      <c r="L51" s="36">
        <f>IFERROR(('연간'!X56)/L31,"")</f>
        <v/>
      </c>
    </row>
    <row r="52">
      <c r="A52" s="45" t="inlineStr">
        <is>
          <t>ROA</t>
        </is>
      </c>
      <c r="B52" s="10" t="inlineStr">
        <is>
          <t>5%↑</t>
        </is>
      </c>
      <c r="C52" s="35">
        <f>IFERROR((IF(COUNT('연간'!G55:J55)&lt;4,"",SUM('연간'!G55:J55)))/C16,"")</f>
        <v/>
      </c>
      <c r="D52" s="36">
        <f>IFERROR((IF(COUNT('연간'!H55:K55)&lt;4,"",SUM('연간'!H55:K55)))/D16,"")</f>
        <v/>
      </c>
      <c r="E52" s="36">
        <f>IFERROR((IF(COUNT('연간'!I55:L55)&lt;4,"",SUM('연간'!I55:L55)))/E16,"")</f>
        <v/>
      </c>
      <c r="F52" s="36">
        <f>IFERROR((IF(COUNT('연간'!J55:M55)&lt;4,"",SUM('연간'!J55:M55)))/F16,"")</f>
        <v/>
      </c>
      <c r="G52" s="36">
        <f>IFERROR((IF(COUNT('연간'!K55:N55)&lt;4,"",SUM('연간'!K55:N55)))/G16,"")</f>
        <v/>
      </c>
      <c r="H52" s="35">
        <f>IFERROR(('연간'!T55)/H16,"")</f>
        <v/>
      </c>
      <c r="I52" s="36">
        <f>IFERROR(('연간'!U55)/I16,"")</f>
        <v/>
      </c>
      <c r="J52" s="36">
        <f>IFERROR(('연간'!V55)/J16,"")</f>
        <v/>
      </c>
      <c r="K52" s="36">
        <f>IFERROR(('연간'!W55)/K16,"")</f>
        <v/>
      </c>
      <c r="L52" s="36">
        <f>IFERROR(('연간'!X55)/L16,"")</f>
        <v/>
      </c>
    </row>
    <row r="53">
      <c r="A53" s="45" t="inlineStr">
        <is>
          <t>ROIC</t>
        </is>
      </c>
      <c r="B53" s="10" t="inlineStr">
        <is>
          <t>10%↑ (세후영업이익 기준)</t>
        </is>
      </c>
      <c r="C53" s="35">
        <f>IFERROR((IF(COUNT('연간'!G28:J28)&lt;4,"",SUM('연간'!G28:J28)))*(1-0.3)/(C35+C29),"")</f>
        <v/>
      </c>
      <c r="D53" s="36">
        <f>IFERROR((IF(COUNT('연간'!H28:K28)&lt;4,"",SUM('연간'!H28:K28)))*(1-0.3)/(D35+D29),"")</f>
        <v/>
      </c>
      <c r="E53" s="36">
        <f>IFERROR((IF(COUNT('연간'!I28:L28)&lt;4,"",SUM('연간'!I28:L28)))*(1-0.3)/(E35+E29),"")</f>
        <v/>
      </c>
      <c r="F53" s="36">
        <f>IFERROR((IF(COUNT('연간'!J28:M28)&lt;4,"",SUM('연간'!J28:M28)))*(1-0.3)/(F35+F29),"")</f>
        <v/>
      </c>
      <c r="G53" s="36">
        <f>IFERROR((IF(COUNT('연간'!K28:N28)&lt;4,"",SUM('연간'!K28:N28)))*(1-0.3)/(G35+G29),"")</f>
        <v/>
      </c>
      <c r="H53" s="35">
        <f>IFERROR(('연간'!T28)*(1-0.3)/(H35+H29),"")</f>
        <v/>
      </c>
      <c r="I53" s="36">
        <f>IFERROR(('연간'!U28)*(1-0.3)/(I35+I29),"")</f>
        <v/>
      </c>
      <c r="J53" s="36">
        <f>IFERROR(('연간'!V28)*(1-0.3)/(J35+J29),"")</f>
        <v/>
      </c>
      <c r="K53" s="36">
        <f>IFERROR(('연간'!W28)*(1-0.3)/(K35+K29),"")</f>
        <v/>
      </c>
      <c r="L53" s="36">
        <f>IFERROR(('연간'!X28)*(1-0.3)/(L35+L29),"")</f>
        <v/>
      </c>
    </row>
    <row r="54">
      <c r="A54" s="45" t="inlineStr">
        <is>
          <t>매출총이익률 (GPM)</t>
        </is>
      </c>
      <c r="B54" s="10" t="inlineStr">
        <is>
          <t>40%↑ (해자 신호)</t>
        </is>
      </c>
      <c r="C54" s="35">
        <f>IFERROR((IF(COUNT('연간'!G24:J24)&lt;4,"",SUM('연간'!G24:J24)))/(IF(COUNT('연간'!G4:J4)&lt;4,"",SUM('연간'!G4:J4))),"")</f>
        <v/>
      </c>
      <c r="D54" s="36">
        <f>IFERROR((IF(COUNT('연간'!H24:K24)&lt;4,"",SUM('연간'!H24:K24)))/(IF(COUNT('연간'!H4:K4)&lt;4,"",SUM('연간'!H4:K4))),"")</f>
        <v/>
      </c>
      <c r="E54" s="36">
        <f>IFERROR((IF(COUNT('연간'!I24:L24)&lt;4,"",SUM('연간'!I24:L24)))/(IF(COUNT('연간'!I4:L4)&lt;4,"",SUM('연간'!I4:L4))),"")</f>
        <v/>
      </c>
      <c r="F54" s="36">
        <f>IFERROR((IF(COUNT('연간'!J24:M24)&lt;4,"",SUM('연간'!J24:M24)))/(IF(COUNT('연간'!J4:M4)&lt;4,"",SUM('연간'!J4:M4))),"")</f>
        <v/>
      </c>
      <c r="G54" s="36">
        <f>IFERROR((IF(COUNT('연간'!K24:N24)&lt;4,"",SUM('연간'!K24:N24)))/(IF(COUNT('연간'!K4:N4)&lt;4,"",SUM('연간'!K4:N4))),"")</f>
        <v/>
      </c>
      <c r="H54" s="35">
        <f>IFERROR(('연간'!T24)/('연간'!T4),"")</f>
        <v/>
      </c>
      <c r="I54" s="36">
        <f>IFERROR(('연간'!U24)/('연간'!U4),"")</f>
        <v/>
      </c>
      <c r="J54" s="36">
        <f>IFERROR(('연간'!V24)/('연간'!V4),"")</f>
        <v/>
      </c>
      <c r="K54" s="36">
        <f>IFERROR(('연간'!W24)/('연간'!W4),"")</f>
        <v/>
      </c>
      <c r="L54" s="36">
        <f>IFERROR(('연간'!X24)/('연간'!X4),"")</f>
        <v/>
      </c>
    </row>
    <row r="55">
      <c r="A55" s="45" t="inlineStr">
        <is>
          <t>영업이익률 (OPM)</t>
        </is>
      </c>
      <c r="B55" s="10" t="inlineStr">
        <is>
          <t>15%↑</t>
        </is>
      </c>
      <c r="C55" s="35">
        <f>IFERROR((IF(COUNT('연간'!G28:J28)&lt;4,"",SUM('연간'!G28:J28)))/(IF(COUNT('연간'!G4:J4)&lt;4,"",SUM('연간'!G4:J4))),"")</f>
        <v/>
      </c>
      <c r="D55" s="36">
        <f>IFERROR((IF(COUNT('연간'!H28:K28)&lt;4,"",SUM('연간'!H28:K28)))/(IF(COUNT('연간'!H4:K4)&lt;4,"",SUM('연간'!H4:K4))),"")</f>
        <v/>
      </c>
      <c r="E55" s="36">
        <f>IFERROR((IF(COUNT('연간'!I28:L28)&lt;4,"",SUM('연간'!I28:L28)))/(IF(COUNT('연간'!I4:L4)&lt;4,"",SUM('연간'!I4:L4))),"")</f>
        <v/>
      </c>
      <c r="F55" s="36">
        <f>IFERROR((IF(COUNT('연간'!J28:M28)&lt;4,"",SUM('연간'!J28:M28)))/(IF(COUNT('연간'!J4:M4)&lt;4,"",SUM('연간'!J4:M4))),"")</f>
        <v/>
      </c>
      <c r="G55" s="36">
        <f>IFERROR((IF(COUNT('연간'!K28:N28)&lt;4,"",SUM('연간'!K28:N28)))/(IF(COUNT('연간'!K4:N4)&lt;4,"",SUM('연간'!K4:N4))),"")</f>
        <v/>
      </c>
      <c r="H55" s="35">
        <f>IFERROR(('연간'!T28)/('연간'!T4),"")</f>
        <v/>
      </c>
      <c r="I55" s="36">
        <f>IFERROR(('연간'!U28)/('연간'!U4),"")</f>
        <v/>
      </c>
      <c r="J55" s="36">
        <f>IFERROR(('연간'!V28)/('연간'!V4),"")</f>
        <v/>
      </c>
      <c r="K55" s="36">
        <f>IFERROR(('연간'!W28)/('연간'!W4),"")</f>
        <v/>
      </c>
      <c r="L55" s="36">
        <f>IFERROR(('연간'!X28)/('연간'!X4),"")</f>
        <v/>
      </c>
    </row>
    <row r="56">
      <c r="A56" s="45" t="inlineStr">
        <is>
          <t>순이익률</t>
        </is>
      </c>
      <c r="B56" s="10" t="inlineStr">
        <is>
          <t>10%↑</t>
        </is>
      </c>
      <c r="C56" s="35">
        <f>IFERROR((IF(COUNT('연간'!G55:J55)&lt;4,"",SUM('연간'!G55:J55)))/(IF(COUNT('연간'!G4:J4)&lt;4,"",SUM('연간'!G4:J4))),"")</f>
        <v/>
      </c>
      <c r="D56" s="36">
        <f>IFERROR((IF(COUNT('연간'!H55:K55)&lt;4,"",SUM('연간'!H55:K55)))/(IF(COUNT('연간'!H4:K4)&lt;4,"",SUM('연간'!H4:K4))),"")</f>
        <v/>
      </c>
      <c r="E56" s="36">
        <f>IFERROR((IF(COUNT('연간'!I55:L55)&lt;4,"",SUM('연간'!I55:L55)))/(IF(COUNT('연간'!I4:L4)&lt;4,"",SUM('연간'!I4:L4))),"")</f>
        <v/>
      </c>
      <c r="F56" s="36">
        <f>IFERROR((IF(COUNT('연간'!J55:M55)&lt;4,"",SUM('연간'!J55:M55)))/(IF(COUNT('연간'!J4:M4)&lt;4,"",SUM('연간'!J4:M4))),"")</f>
        <v/>
      </c>
      <c r="G56" s="36">
        <f>IFERROR((IF(COUNT('연간'!K55:N55)&lt;4,"",SUM('연간'!K55:N55)))/(IF(COUNT('연간'!K4:N4)&lt;4,"",SUM('연간'!K4:N4))),"")</f>
        <v/>
      </c>
      <c r="H56" s="35">
        <f>IFERROR(('연간'!T55)/('연간'!T4),"")</f>
        <v/>
      </c>
      <c r="I56" s="36">
        <f>IFERROR(('연간'!U55)/('연간'!U4),"")</f>
        <v/>
      </c>
      <c r="J56" s="36">
        <f>IFERROR(('연간'!V55)/('연간'!V4),"")</f>
        <v/>
      </c>
      <c r="K56" s="36">
        <f>IFERROR(('연간'!W55)/('연간'!W4),"")</f>
        <v/>
      </c>
      <c r="L56" s="36">
        <f>IFERROR(('연간'!X55)/('연간'!X4),"")</f>
        <v/>
      </c>
    </row>
    <row r="57">
      <c r="A57" s="23" t="inlineStr">
        <is>
          <t>효율성 (회전율)</t>
        </is>
      </c>
      <c r="B57" s="23" t="n"/>
      <c r="C57" s="24" t="n"/>
      <c r="D57" s="23" t="n"/>
      <c r="E57" s="23" t="n"/>
      <c r="F57" s="23" t="n"/>
      <c r="G57" s="23" t="n"/>
      <c r="H57" s="24" t="n"/>
      <c r="I57" s="23" t="n"/>
      <c r="J57" s="23" t="n"/>
      <c r="K57" s="23" t="n"/>
      <c r="L57" s="23" t="n"/>
    </row>
    <row r="58">
      <c r="A58" s="45" t="inlineStr">
        <is>
          <t>총자산회전율</t>
        </is>
      </c>
      <c r="B58" s="10" t="inlineStr">
        <is>
          <t>높을수록↑</t>
        </is>
      </c>
      <c r="C58" s="30">
        <f>IFERROR((IF(COUNT('연간'!G4:J4)&lt;4,"",SUM('연간'!G4:J4)))/C16,"")</f>
        <v/>
      </c>
      <c r="D58" s="31">
        <f>IFERROR((IF(COUNT('연간'!H4:K4)&lt;4,"",SUM('연간'!H4:K4)))/D16,"")</f>
        <v/>
      </c>
      <c r="E58" s="31">
        <f>IFERROR((IF(COUNT('연간'!I4:L4)&lt;4,"",SUM('연간'!I4:L4)))/E16,"")</f>
        <v/>
      </c>
      <c r="F58" s="31">
        <f>IFERROR((IF(COUNT('연간'!J4:M4)&lt;4,"",SUM('연간'!J4:M4)))/F16,"")</f>
        <v/>
      </c>
      <c r="G58" s="31">
        <f>IFERROR((IF(COUNT('연간'!K4:N4)&lt;4,"",SUM('연간'!K4:N4)))/G16,"")</f>
        <v/>
      </c>
      <c r="H58" s="30">
        <f>IFERROR(('연간'!T4)/H16,"")</f>
        <v/>
      </c>
      <c r="I58" s="31">
        <f>IFERROR(('연간'!U4)/I16,"")</f>
        <v/>
      </c>
      <c r="J58" s="31">
        <f>IFERROR(('연간'!V4)/J16,"")</f>
        <v/>
      </c>
      <c r="K58" s="31">
        <f>IFERROR(('연간'!W4)/K16,"")</f>
        <v/>
      </c>
      <c r="L58" s="31">
        <f>IFERROR(('연간'!X4)/L16,"")</f>
        <v/>
      </c>
    </row>
    <row r="59">
      <c r="A59" s="45" t="inlineStr">
        <is>
          <t>매출채권회전일수</t>
        </is>
      </c>
      <c r="B59" s="10" t="inlineStr">
        <is>
          <t>짧을수록↑</t>
        </is>
      </c>
      <c r="C59" s="48">
        <f>IFERROR(C8/(IF(COUNT('연간'!G4:J4)&lt;4,"",SUM('연간'!G4:J4)))*365,"")</f>
        <v/>
      </c>
      <c r="D59" s="49">
        <f>IFERROR(D8/(IF(COUNT('연간'!H4:K4)&lt;4,"",SUM('연간'!H4:K4)))*365,"")</f>
        <v/>
      </c>
      <c r="E59" s="49">
        <f>IFERROR(E8/(IF(COUNT('연간'!I4:L4)&lt;4,"",SUM('연간'!I4:L4)))*365,"")</f>
        <v/>
      </c>
      <c r="F59" s="49">
        <f>IFERROR(F8/(IF(COUNT('연간'!J4:M4)&lt;4,"",SUM('연간'!J4:M4)))*365,"")</f>
        <v/>
      </c>
      <c r="G59" s="49">
        <f>IFERROR(G8/(IF(COUNT('연간'!K4:N4)&lt;4,"",SUM('연간'!K4:N4)))*365,"")</f>
        <v/>
      </c>
      <c r="H59" s="48">
        <f>IFERROR(H8/('연간'!T4)*365,"")</f>
        <v/>
      </c>
      <c r="I59" s="49">
        <f>IFERROR(I8/('연간'!U4)*365,"")</f>
        <v/>
      </c>
      <c r="J59" s="49">
        <f>IFERROR(J8/('연간'!V4)*365,"")</f>
        <v/>
      </c>
      <c r="K59" s="49">
        <f>IFERROR(K8/('연간'!W4)*365,"")</f>
        <v/>
      </c>
      <c r="L59" s="49">
        <f>IFERROR(L8/('연간'!X4)*365,"")</f>
        <v/>
      </c>
    </row>
    <row r="60">
      <c r="A60" s="45" t="inlineStr">
        <is>
          <t>재고자산회전일수</t>
        </is>
      </c>
      <c r="B60" s="10" t="inlineStr">
        <is>
          <t>짧을수록↑</t>
        </is>
      </c>
      <c r="C60" s="48">
        <f>IFERROR(C9/(IF(COUNT('연간'!G23:J23)&lt;4,"",SUM('연간'!G23:J23)))*365,"")</f>
        <v/>
      </c>
      <c r="D60" s="49">
        <f>IFERROR(D9/(IF(COUNT('연간'!H23:K23)&lt;4,"",SUM('연간'!H23:K23)))*365,"")</f>
        <v/>
      </c>
      <c r="E60" s="49">
        <f>IFERROR(E9/(IF(COUNT('연간'!I23:L23)&lt;4,"",SUM('연간'!I23:L23)))*365,"")</f>
        <v/>
      </c>
      <c r="F60" s="49">
        <f>IFERROR(F9/(IF(COUNT('연간'!J23:M23)&lt;4,"",SUM('연간'!J23:M23)))*365,"")</f>
        <v/>
      </c>
      <c r="G60" s="49">
        <f>IFERROR(G9/(IF(COUNT('연간'!K23:N23)&lt;4,"",SUM('연간'!K23:N23)))*365,"")</f>
        <v/>
      </c>
      <c r="H60" s="48">
        <f>IFERROR(H9/('연간'!T23)*365,"")</f>
        <v/>
      </c>
      <c r="I60" s="49">
        <f>IFERROR(I9/('연간'!U23)*365,"")</f>
        <v/>
      </c>
      <c r="J60" s="49">
        <f>IFERROR(J9/('연간'!V23)*365,"")</f>
        <v/>
      </c>
      <c r="K60" s="49">
        <f>IFERROR(K9/('연간'!W23)*365,"")</f>
        <v/>
      </c>
      <c r="L60" s="49">
        <f>IFERROR(L9/('연간'!X23)*365,"")</f>
        <v/>
      </c>
    </row>
    <row r="61">
      <c r="A61" s="45" t="inlineStr">
        <is>
          <t>매입채무회전일수</t>
        </is>
      </c>
      <c r="B61" s="10" t="inlineStr">
        <is>
          <t>길수록 유리</t>
        </is>
      </c>
      <c r="C61" s="48">
        <f>IFERROR(C19/(IF(COUNT('연간'!G23:J23)&lt;4,"",SUM('연간'!G23:J23)))*365,"")</f>
        <v/>
      </c>
      <c r="D61" s="49">
        <f>IFERROR(D19/(IF(COUNT('연간'!H23:K23)&lt;4,"",SUM('연간'!H23:K23)))*365,"")</f>
        <v/>
      </c>
      <c r="E61" s="49">
        <f>IFERROR(E19/(IF(COUNT('연간'!I23:L23)&lt;4,"",SUM('연간'!I23:L23)))*365,"")</f>
        <v/>
      </c>
      <c r="F61" s="49">
        <f>IFERROR(F19/(IF(COUNT('연간'!J23:M23)&lt;4,"",SUM('연간'!J23:M23)))*365,"")</f>
        <v/>
      </c>
      <c r="G61" s="49">
        <f>IFERROR(G19/(IF(COUNT('연간'!K23:N23)&lt;4,"",SUM('연간'!K23:N23)))*365,"")</f>
        <v/>
      </c>
      <c r="H61" s="48">
        <f>IFERROR(H19/('연간'!T23)*365,"")</f>
        <v/>
      </c>
      <c r="I61" s="49">
        <f>IFERROR(I19/('연간'!U23)*365,"")</f>
        <v/>
      </c>
      <c r="J61" s="49">
        <f>IFERROR(J19/('연간'!V23)*365,"")</f>
        <v/>
      </c>
      <c r="K61" s="49">
        <f>IFERROR(K19/('연간'!W23)*365,"")</f>
        <v/>
      </c>
      <c r="L61" s="49">
        <f>IFERROR(L19/('연간'!X23)*365,"")</f>
        <v/>
      </c>
    </row>
    <row r="62">
      <c r="A62" s="45" t="inlineStr">
        <is>
          <t>현금전환주기 (CCC)</t>
        </is>
      </c>
      <c r="B62" s="10" t="inlineStr">
        <is>
          <t>짧을수록↑</t>
        </is>
      </c>
      <c r="C62" s="48">
        <f>IF(OR(C59="",C60="",C61=""),"",IFERROR(C59+C60-C61,""))</f>
        <v/>
      </c>
      <c r="D62" s="49">
        <f>IF(OR(D59="",D60="",D61=""),"",IFERROR(D59+D60-D61,""))</f>
        <v/>
      </c>
      <c r="E62" s="49">
        <f>IF(OR(E59="",E60="",E61=""),"",IFERROR(E59+E60-E61,""))</f>
        <v/>
      </c>
      <c r="F62" s="49">
        <f>IF(OR(F59="",F60="",F61=""),"",IFERROR(F59+F60-F61,""))</f>
        <v/>
      </c>
      <c r="G62" s="49">
        <f>IF(OR(G59="",G60="",G61=""),"",IFERROR(G59+G60-G61,""))</f>
        <v/>
      </c>
      <c r="H62" s="48">
        <f>IF(OR(H59="",H60="",H61=""),"",IFERROR(H59+H60-H61,""))</f>
        <v/>
      </c>
      <c r="I62" s="49">
        <f>IF(OR(I59="",I60="",I61=""),"",IFERROR(I59+I60-I61,""))</f>
        <v/>
      </c>
      <c r="J62" s="49">
        <f>IF(OR(J59="",J60="",J61=""),"",IFERROR(J59+J60-J61,""))</f>
        <v/>
      </c>
      <c r="K62" s="49">
        <f>IF(OR(K59="",K60="",K61=""),"",IFERROR(K59+K60-K61,""))</f>
        <v/>
      </c>
      <c r="L62" s="49">
        <f>IF(OR(L59="",L60="",L61=""),"",IFERROR(L59+L60-L61,""))</f>
        <v/>
      </c>
    </row>
    <row r="63">
      <c r="A63" s="23" t="inlineStr">
        <is>
          <t>현금흐름</t>
        </is>
      </c>
      <c r="B63" s="23" t="n"/>
      <c r="C63" s="24" t="n"/>
      <c r="D63" s="23" t="n"/>
      <c r="E63" s="23" t="n"/>
      <c r="F63" s="23" t="n"/>
      <c r="G63" s="23" t="n"/>
      <c r="H63" s="24" t="n"/>
      <c r="I63" s="23" t="n"/>
      <c r="J63" s="23" t="n"/>
      <c r="K63" s="23" t="n"/>
      <c r="L63" s="23" t="n"/>
    </row>
    <row r="64">
      <c r="A64" s="45" t="inlineStr">
        <is>
          <t>영업현금흐름 / 순이익</t>
        </is>
      </c>
      <c r="B64" s="10" t="inlineStr">
        <is>
          <t>1x↑ (이익의 질)</t>
        </is>
      </c>
      <c r="C64" s="30">
        <f>IF(C37="","",IFERROR(C37/(IF(COUNT('연간'!G55:J55)&lt;4,"",SUM('연간'!G55:J55))),""))</f>
        <v/>
      </c>
      <c r="D64" s="31">
        <f>IF(D37="","",IFERROR(D37/(IF(COUNT('연간'!H55:K55)&lt;4,"",SUM('연간'!H55:K55))),""))</f>
        <v/>
      </c>
      <c r="E64" s="31">
        <f>IF(E37="","",IFERROR(E37/(IF(COUNT('연간'!I55:L55)&lt;4,"",SUM('연간'!I55:L55))),""))</f>
        <v/>
      </c>
      <c r="F64" s="31">
        <f>IF(F37="","",IFERROR(F37/(IF(COUNT('연간'!J55:M55)&lt;4,"",SUM('연간'!J55:M55))),""))</f>
        <v/>
      </c>
      <c r="G64" s="31">
        <f>IF(G37="","",IFERROR(G37/(IF(COUNT('연간'!K55:N55)&lt;4,"",SUM('연간'!K55:N55))),""))</f>
        <v/>
      </c>
      <c r="H64" s="30">
        <f>IF(H37="","",IFERROR(H37/('연간'!T55),""))</f>
        <v/>
      </c>
      <c r="I64" s="31">
        <f>IF(I37="","",IFERROR(I37/('연간'!U55),""))</f>
        <v/>
      </c>
      <c r="J64" s="31">
        <f>IF(J37="","",IFERROR(J37/('연간'!V55),""))</f>
        <v/>
      </c>
      <c r="K64" s="31">
        <f>IF(K37="","",IFERROR(K37/('연간'!W55),""))</f>
        <v/>
      </c>
      <c r="L64" s="31">
        <f>IF(L37="","",IFERROR(L37/('연간'!X55),""))</f>
        <v/>
      </c>
    </row>
    <row r="65">
      <c r="A65" s="45" t="inlineStr">
        <is>
          <t>FCF 마진</t>
        </is>
      </c>
      <c r="B65" s="10" t="inlineStr">
        <is>
          <t>5%↑</t>
        </is>
      </c>
      <c r="C65" s="35">
        <f>IF(C39="","",IFERROR(C39/(IF(COUNT('연간'!G4:J4)&lt;4,"",SUM('연간'!G4:J4))),""))</f>
        <v/>
      </c>
      <c r="D65" s="36">
        <f>IF(D39="","",IFERROR(D39/(IF(COUNT('연간'!H4:K4)&lt;4,"",SUM('연간'!H4:K4))),""))</f>
        <v/>
      </c>
      <c r="E65" s="36">
        <f>IF(E39="","",IFERROR(E39/(IF(COUNT('연간'!I4:L4)&lt;4,"",SUM('연간'!I4:L4))),""))</f>
        <v/>
      </c>
      <c r="F65" s="36">
        <f>IF(F39="","",IFERROR(F39/(IF(COUNT('연간'!J4:M4)&lt;4,"",SUM('연간'!J4:M4))),""))</f>
        <v/>
      </c>
      <c r="G65" s="36">
        <f>IF(G39="","",IFERROR(G39/(IF(COUNT('연간'!K4:N4)&lt;4,"",SUM('연간'!K4:N4))),""))</f>
        <v/>
      </c>
      <c r="H65" s="35">
        <f>IF(H39="","",IFERROR(H39/('연간'!T4),""))</f>
        <v/>
      </c>
      <c r="I65" s="36">
        <f>IF(I39="","",IFERROR(I39/('연간'!U4),""))</f>
        <v/>
      </c>
      <c r="J65" s="36">
        <f>IF(J39="","",IFERROR(J39/('연간'!V4),""))</f>
        <v/>
      </c>
      <c r="K65" s="36">
        <f>IF(K39="","",IFERROR(K39/('연간'!W4),""))</f>
        <v/>
      </c>
      <c r="L65" s="36">
        <f>IF(L39="","",IFERROR(L39/('연간'!X4),""))</f>
        <v/>
      </c>
    </row>
    <row r="66">
      <c r="A66" s="45" t="inlineStr">
        <is>
          <t>CAPEX / 매출</t>
        </is>
      </c>
      <c r="B66" s="10" t="inlineStr">
        <is>
          <t>낮을수록↑ (자본 가벼움)</t>
        </is>
      </c>
      <c r="C66" s="35">
        <f>IF(C38="","",IFERROR(C38/(IF(COUNT('연간'!G4:J4)&lt;4,"",SUM('연간'!G4:J4))),""))</f>
        <v/>
      </c>
      <c r="D66" s="36">
        <f>IF(D38="","",IFERROR(D38/(IF(COUNT('연간'!H4:K4)&lt;4,"",SUM('연간'!H4:K4))),""))</f>
        <v/>
      </c>
      <c r="E66" s="36">
        <f>IF(E38="","",IFERROR(E38/(IF(COUNT('연간'!I4:L4)&lt;4,"",SUM('연간'!I4:L4))),""))</f>
        <v/>
      </c>
      <c r="F66" s="36">
        <f>IF(F38="","",IFERROR(F38/(IF(COUNT('연간'!J4:M4)&lt;4,"",SUM('연간'!J4:M4))),""))</f>
        <v/>
      </c>
      <c r="G66" s="36">
        <f>IF(G38="","",IFERROR(G38/(IF(COUNT('연간'!K4:N4)&lt;4,"",SUM('연간'!K4:N4))),""))</f>
        <v/>
      </c>
      <c r="H66" s="35">
        <f>IF(H38="","",IFERROR(H38/('연간'!T4),""))</f>
        <v/>
      </c>
      <c r="I66" s="36">
        <f>IF(I38="","",IFERROR(I38/('연간'!U4),""))</f>
        <v/>
      </c>
      <c r="J66" s="36">
        <f>IF(J38="","",IFERROR(J38/('연간'!V4),""))</f>
        <v/>
      </c>
      <c r="K66" s="36">
        <f>IF(K38="","",IFERROR(K38/('연간'!W4),""))</f>
        <v/>
      </c>
      <c r="L66" s="36">
        <f>IF(L38="","",IFERROR(L38/('연간'!X4),""))</f>
        <v/>
      </c>
    </row>
    <row r="67">
      <c r="A67" s="45" t="inlineStr">
        <is>
          <t>배당성향</t>
        </is>
      </c>
      <c r="B67" s="10" t="inlineStr">
        <is>
          <t>참고</t>
        </is>
      </c>
      <c r="C67" s="35">
        <f>IF(C40="","",IFERROR(C40/(IF(COUNT('연간'!G56:J56)&lt;4,"",SUM('연간'!G56:J56))),""))</f>
        <v/>
      </c>
      <c r="D67" s="36">
        <f>IF(D40="","",IFERROR(D40/(IF(COUNT('연간'!H56:K56)&lt;4,"",SUM('연간'!H56:K56))),""))</f>
        <v/>
      </c>
      <c r="E67" s="36">
        <f>IF(E40="","",IFERROR(E40/(IF(COUNT('연간'!I56:L56)&lt;4,"",SUM('연간'!I56:L56))),""))</f>
        <v/>
      </c>
      <c r="F67" s="36">
        <f>IF(F40="","",IFERROR(F40/(IF(COUNT('연간'!J56:M56)&lt;4,"",SUM('연간'!J56:M56))),""))</f>
        <v/>
      </c>
      <c r="G67" s="36">
        <f>IF(G40="","",IFERROR(G40/(IF(COUNT('연간'!K56:N56)&lt;4,"",SUM('연간'!K56:N56))),""))</f>
        <v/>
      </c>
      <c r="H67" s="35">
        <f>IF(H40="","",IFERROR(H40/('연간'!T56),""))</f>
        <v/>
      </c>
      <c r="I67" s="36">
        <f>IF(I40="","",IFERROR(I40/('연간'!U56),""))</f>
        <v/>
      </c>
      <c r="J67" s="36">
        <f>IF(J40="","",IFERROR(J40/('연간'!V56),""))</f>
        <v/>
      </c>
      <c r="K67" s="36">
        <f>IF(K40="","",IFERROR(K40/('연간'!W56),""))</f>
        <v/>
      </c>
      <c r="L67" s="36">
        <f>IF(L40="","",IFERROR(L40/('연간'!X56),""))</f>
        <v/>
      </c>
    </row>
    <row r="69">
      <c r="A69" s="16" t="inlineStr">
        <is>
          <t>재무상태표 · 전 항목</t>
        </is>
      </c>
      <c r="B69" s="42" t="inlineStr">
        <is>
          <t>분기 말 잔액</t>
        </is>
      </c>
      <c r="C69" s="16" t="n"/>
      <c r="D69" s="16" t="n"/>
      <c r="E69" s="16" t="n"/>
      <c r="F69" s="16" t="n"/>
      <c r="G69" s="16" t="n"/>
      <c r="H69" s="16" t="n"/>
      <c r="I69" s="16" t="n"/>
      <c r="J69" s="16" t="n"/>
      <c r="K69" s="16" t="n"/>
      <c r="L69" s="16" t="n"/>
    </row>
    <row r="70">
      <c r="A70" s="5" t="inlineStr">
        <is>
          <t>항목</t>
        </is>
      </c>
      <c r="B70" s="5" t="inlineStr">
        <is>
          <t>참고</t>
        </is>
      </c>
      <c r="C70" s="5" t="inlineStr">
        <is>
          <t>2026.1Q</t>
        </is>
      </c>
      <c r="D70" s="5" t="inlineStr">
        <is>
          <t>2026.2Q</t>
        </is>
      </c>
      <c r="E70" s="5" t="inlineStr">
        <is>
          <t>2026.3Q</t>
        </is>
      </c>
      <c r="F70" s="5" t="inlineStr">
        <is>
          <t>2026.4Q</t>
        </is>
      </c>
      <c r="G70" s="5" t="inlineStr">
        <is>
          <t>2027.1Q</t>
        </is>
      </c>
      <c r="H70" s="5" t="inlineStr">
        <is>
          <t>2022</t>
        </is>
      </c>
      <c r="I70" s="5" t="inlineStr">
        <is>
          <t>2023</t>
        </is>
      </c>
      <c r="J70" s="5" t="inlineStr">
        <is>
          <t>2024</t>
        </is>
      </c>
      <c r="K70" s="5" t="inlineStr">
        <is>
          <t>2025</t>
        </is>
      </c>
      <c r="L70" s="5" t="inlineStr">
        <is>
          <t>2026</t>
        </is>
      </c>
    </row>
    <row r="71">
      <c r="A71" s="18" t="inlineStr">
        <is>
          <t>현금및현금성자산</t>
        </is>
      </c>
      <c r="C71" s="20" t="n">
        <v>710404</v>
      </c>
      <c r="D71" s="20" t="n">
        <v>795039</v>
      </c>
      <c r="E71" s="20" t="n">
        <v>878161</v>
      </c>
      <c r="F71" s="20" t="n">
        <v>842775</v>
      </c>
      <c r="G71" s="20" t="n">
        <v>870197</v>
      </c>
      <c r="H71" s="20" t="n">
        <v>439339</v>
      </c>
      <c r="I71" s="20" t="n">
        <v>506185</v>
      </c>
      <c r="J71" s="20" t="n">
        <v>649998</v>
      </c>
      <c r="K71" s="20" t="n">
        <v>697307</v>
      </c>
      <c r="L71" s="20" t="n">
        <v>842775</v>
      </c>
    </row>
    <row r="72">
      <c r="A72" s="18" t="inlineStr">
        <is>
          <t>Trade Receivables CA</t>
        </is>
      </c>
      <c r="C72" s="20" t="n">
        <v>588549</v>
      </c>
      <c r="D72" s="20" t="n">
        <v>728370</v>
      </c>
      <c r="E72" s="20" t="n">
        <v>787190</v>
      </c>
      <c r="F72" s="20" t="n">
        <v>780580</v>
      </c>
      <c r="G72" s="20" t="n">
        <v>900059</v>
      </c>
      <c r="H72" s="20" t="n">
        <v>524476</v>
      </c>
      <c r="I72" s="20" t="n">
        <v>546381</v>
      </c>
      <c r="J72" s="20" t="n">
        <v>558298</v>
      </c>
      <c r="K72" s="20" t="n">
        <v>583133</v>
      </c>
      <c r="L72" s="20" t="n">
        <v>780580</v>
      </c>
    </row>
    <row r="73">
      <c r="A73" s="18" t="inlineStr">
        <is>
          <t>기타금융자산</t>
        </is>
      </c>
      <c r="C73" s="20" t="n">
        <v>67358</v>
      </c>
      <c r="D73" s="20" t="n">
        <v>79117</v>
      </c>
      <c r="E73" s="20" t="n">
        <v>128146</v>
      </c>
      <c r="F73" s="20" t="n">
        <v>159587</v>
      </c>
      <c r="G73" s="20" t="n">
        <v>105179</v>
      </c>
      <c r="H73" s="20" t="n">
        <v>66944</v>
      </c>
      <c r="I73" s="20" t="n">
        <v>52147</v>
      </c>
      <c r="J73" s="20" t="n">
        <v>47052</v>
      </c>
      <c r="K73" s="20" t="n">
        <v>77304</v>
      </c>
      <c r="L73" s="20" t="n">
        <v>159587</v>
      </c>
    </row>
    <row r="74">
      <c r="A74" s="18" t="inlineStr">
        <is>
          <t>재고자산</t>
        </is>
      </c>
      <c r="C74" s="20" t="n">
        <v>435357</v>
      </c>
      <c r="D74" s="20" t="n">
        <v>475599</v>
      </c>
      <c r="E74" s="20" t="n">
        <v>548942</v>
      </c>
      <c r="F74" s="20" t="n">
        <v>585448</v>
      </c>
      <c r="G74" s="20" t="n">
        <v>638278</v>
      </c>
      <c r="H74" s="20" t="n">
        <v>437004</v>
      </c>
      <c r="I74" s="20" t="n">
        <v>443001</v>
      </c>
      <c r="J74" s="20" t="n">
        <v>406084</v>
      </c>
      <c r="K74" s="20" t="n">
        <v>410038</v>
      </c>
      <c r="L74" s="20" t="n">
        <v>585448</v>
      </c>
    </row>
    <row r="75">
      <c r="A75" s="18" t="inlineStr">
        <is>
          <t>미수법인세</t>
        </is>
      </c>
      <c r="C75" s="20" t="n">
        <v>5280</v>
      </c>
      <c r="D75" s="20" t="n">
        <v>5659</v>
      </c>
      <c r="E75" s="20" t="n">
        <v>6317</v>
      </c>
      <c r="F75" s="20" t="n">
        <v>5134</v>
      </c>
      <c r="G75" s="20" t="n">
        <v>5748</v>
      </c>
      <c r="H75" s="20" t="n">
        <v>4982</v>
      </c>
      <c r="I75" s="20" t="n">
        <v>4303</v>
      </c>
      <c r="J75" s="20" t="n">
        <v>4828</v>
      </c>
      <c r="K75" s="20" t="n">
        <v>5852</v>
      </c>
      <c r="L75" s="20" t="n">
        <v>5134</v>
      </c>
    </row>
    <row r="76">
      <c r="A76" s="18" t="inlineStr">
        <is>
          <t>기타유동자산</t>
        </is>
      </c>
      <c r="C76" s="20" t="n">
        <v>88845</v>
      </c>
      <c r="D76" s="20" t="n">
        <v>85558</v>
      </c>
      <c r="E76" s="20" t="n">
        <v>86835</v>
      </c>
      <c r="F76" s="20" t="n">
        <v>81707</v>
      </c>
      <c r="G76" s="20" t="n">
        <v>110530</v>
      </c>
      <c r="H76" s="20" t="n">
        <v>60427</v>
      </c>
      <c r="I76" s="20" t="n">
        <v>55294</v>
      </c>
      <c r="J76" s="20" t="n">
        <v>61715</v>
      </c>
      <c r="K76" s="20" t="n">
        <v>63224</v>
      </c>
      <c r="L76" s="20" t="n">
        <v>81707</v>
      </c>
    </row>
    <row r="77">
      <c r="A77" s="9" t="inlineStr">
        <is>
          <t>소계</t>
        </is>
      </c>
      <c r="F77" s="12" t="n">
        <v>2455232</v>
      </c>
      <c r="G77" s="12" t="n">
        <v>2629990</v>
      </c>
      <c r="H77" s="12" t="n">
        <v>1533018</v>
      </c>
      <c r="J77" s="12" t="n">
        <v>1727458</v>
      </c>
      <c r="L77" s="12" t="n">
        <v>2455232</v>
      </c>
    </row>
    <row r="78">
      <c r="A78" s="18" t="inlineStr">
        <is>
          <t>매각예정 자산</t>
        </is>
      </c>
      <c r="F78" s="20" t="n">
        <v>0</v>
      </c>
      <c r="G78" s="20" t="n">
        <v>3751</v>
      </c>
      <c r="H78" s="20" t="n">
        <v>154</v>
      </c>
      <c r="J78" s="20" t="n">
        <v>517</v>
      </c>
      <c r="L78" s="20" t="n">
        <v>0</v>
      </c>
    </row>
    <row r="79">
      <c r="A79" s="9" t="inlineStr">
        <is>
          <t>유동자산 합계</t>
        </is>
      </c>
      <c r="C79" s="12" t="n">
        <v>1895793</v>
      </c>
      <c r="D79" s="12" t="n">
        <v>2169342</v>
      </c>
      <c r="E79" s="12" t="n">
        <v>2435591</v>
      </c>
      <c r="F79" s="12" t="n">
        <v>2455232</v>
      </c>
      <c r="G79" s="12" t="n">
        <v>2633741</v>
      </c>
      <c r="H79" s="12" t="n">
        <v>1533172</v>
      </c>
      <c r="I79" s="12" t="n">
        <v>1607311</v>
      </c>
      <c r="J79" s="12" t="n">
        <v>1727975</v>
      </c>
      <c r="K79" s="12" t="n">
        <v>1836858</v>
      </c>
      <c r="L79" s="12" t="n">
        <v>2455232</v>
      </c>
    </row>
    <row r="80">
      <c r="A80" s="18" t="inlineStr">
        <is>
          <t>지분법 투자</t>
        </is>
      </c>
      <c r="C80" s="20" t="n">
        <v>41032</v>
      </c>
      <c r="D80" s="20" t="n">
        <v>45601</v>
      </c>
      <c r="E80" s="20" t="n">
        <v>48182</v>
      </c>
      <c r="F80" s="20" t="n">
        <v>48664</v>
      </c>
      <c r="G80" s="20" t="n">
        <v>49053</v>
      </c>
      <c r="H80" s="20" t="n">
        <v>16635</v>
      </c>
      <c r="I80" s="20" t="n">
        <v>24706</v>
      </c>
      <c r="J80" s="20" t="n">
        <v>36990</v>
      </c>
      <c r="K80" s="20" t="n">
        <v>42186</v>
      </c>
      <c r="L80" s="20" t="n">
        <v>48664</v>
      </c>
    </row>
    <row r="81">
      <c r="A81" s="18" t="inlineStr">
        <is>
          <t>기타금융자산</t>
        </is>
      </c>
      <c r="C81" s="20" t="n">
        <v>179932</v>
      </c>
      <c r="D81" s="20" t="n">
        <v>190604</v>
      </c>
      <c r="E81" s="20" t="n">
        <v>201404</v>
      </c>
      <c r="F81" s="20" t="n">
        <v>226803</v>
      </c>
      <c r="G81" s="20" t="n">
        <v>241754</v>
      </c>
      <c r="H81" s="20" t="n">
        <v>123581</v>
      </c>
      <c r="I81" s="20" t="n">
        <v>153950</v>
      </c>
      <c r="J81" s="20" t="n">
        <v>184425</v>
      </c>
      <c r="K81" s="20" t="n">
        <v>183840</v>
      </c>
      <c r="L81" s="20" t="n">
        <v>226803</v>
      </c>
    </row>
    <row r="82">
      <c r="A82" s="18" t="inlineStr">
        <is>
          <t>유형자산</t>
        </is>
      </c>
      <c r="C82" s="20" t="n">
        <v>1050872</v>
      </c>
      <c r="D82" s="20" t="n">
        <v>1100341</v>
      </c>
      <c r="E82" s="20" t="n">
        <v>1184502</v>
      </c>
      <c r="F82" s="20" t="n">
        <v>1225762</v>
      </c>
      <c r="G82" s="20" t="n">
        <v>1350142</v>
      </c>
      <c r="H82" s="20" t="n">
        <v>945042</v>
      </c>
      <c r="I82" s="20" t="n">
        <v>930288</v>
      </c>
      <c r="J82" s="20" t="n">
        <v>991072</v>
      </c>
      <c r="K82" s="20" t="n">
        <v>1030122</v>
      </c>
      <c r="L82" s="20" t="n">
        <v>1225762</v>
      </c>
    </row>
    <row r="83">
      <c r="A83" s="18" t="inlineStr">
        <is>
          <t>사용권자산</t>
        </is>
      </c>
      <c r="C83" s="20" t="n">
        <v>70937</v>
      </c>
      <c r="D83" s="20" t="n">
        <v>70416</v>
      </c>
      <c r="E83" s="20" t="n">
        <v>70391</v>
      </c>
      <c r="F83" s="20" t="n">
        <v>72619</v>
      </c>
      <c r="G83" s="20" t="n">
        <v>83378</v>
      </c>
      <c r="H83" s="20" t="n">
        <v>50169</v>
      </c>
      <c r="I83" s="20" t="n">
        <v>54683</v>
      </c>
      <c r="J83" s="20" t="n">
        <v>71334</v>
      </c>
      <c r="K83" s="20" t="n">
        <v>73230</v>
      </c>
      <c r="L83" s="20" t="n">
        <v>72619</v>
      </c>
    </row>
    <row r="84">
      <c r="A84" s="18" t="inlineStr">
        <is>
          <t>영업권</t>
        </is>
      </c>
      <c r="C84" s="20" t="n">
        <v>173533</v>
      </c>
      <c r="D84" s="20" t="n">
        <v>177837</v>
      </c>
      <c r="E84" s="20" t="n">
        <v>185799</v>
      </c>
      <c r="F84" s="20" t="n">
        <v>188481</v>
      </c>
      <c r="G84" s="20" t="n">
        <v>195292</v>
      </c>
      <c r="H84" s="20" t="n">
        <v>137352</v>
      </c>
      <c r="I84" s="20" t="n">
        <v>149516</v>
      </c>
      <c r="J84" s="20" t="n">
        <v>168383</v>
      </c>
      <c r="K84" s="20" t="n">
        <v>164868</v>
      </c>
      <c r="L84" s="20" t="n">
        <v>188481</v>
      </c>
    </row>
    <row r="85">
      <c r="A85" s="18" t="inlineStr">
        <is>
          <t>무형자산</t>
        </is>
      </c>
      <c r="C85" s="20" t="n">
        <v>47230</v>
      </c>
      <c r="D85" s="20" t="n">
        <v>47941</v>
      </c>
      <c r="E85" s="20" t="n">
        <v>49463</v>
      </c>
      <c r="F85" s="20" t="n">
        <v>49683</v>
      </c>
      <c r="G85" s="20" t="n">
        <v>49822</v>
      </c>
      <c r="H85" s="20" t="n">
        <v>69030</v>
      </c>
      <c r="I85" s="20" t="n">
        <v>61241</v>
      </c>
      <c r="J85" s="20" t="n">
        <v>57114</v>
      </c>
      <c r="K85" s="20" t="n">
        <v>49159</v>
      </c>
      <c r="L85" s="20" t="n">
        <v>49683</v>
      </c>
    </row>
    <row r="86">
      <c r="A86" s="18" t="inlineStr">
        <is>
          <t>Long Term Advances To Vendors NCA</t>
        </is>
      </c>
      <c r="C86" s="20" t="n">
        <v>89228</v>
      </c>
      <c r="D86" s="20" t="n">
        <v>88747</v>
      </c>
      <c r="E86" s="20" t="n">
        <v>90980</v>
      </c>
      <c r="H86" s="20" t="n">
        <v>121370</v>
      </c>
      <c r="I86" s="20" t="n">
        <v>110925</v>
      </c>
      <c r="J86" s="20" t="n">
        <v>105941</v>
      </c>
      <c r="K86" s="20" t="n">
        <v>93850</v>
      </c>
    </row>
    <row r="87">
      <c r="A87" s="18" t="inlineStr">
        <is>
          <t>Long Term Advances To Suppliers NCA</t>
        </is>
      </c>
      <c r="F87" s="20" t="n">
        <v>90080</v>
      </c>
      <c r="G87" s="20" t="n">
        <v>89145</v>
      </c>
      <c r="H87" s="20" t="n">
        <v>121370</v>
      </c>
      <c r="I87" s="20" t="n">
        <v>110925</v>
      </c>
      <c r="J87" s="20" t="n">
        <v>105941</v>
      </c>
      <c r="K87" s="20" t="n">
        <v>93850</v>
      </c>
      <c r="L87" s="20" t="n">
        <v>90080</v>
      </c>
    </row>
    <row r="88">
      <c r="A88" s="18" t="inlineStr">
        <is>
          <t>이연법인세자산</t>
        </is>
      </c>
      <c r="C88" s="20" t="n">
        <v>55948</v>
      </c>
      <c r="D88" s="20" t="n">
        <v>54821</v>
      </c>
      <c r="E88" s="20" t="n">
        <v>58308</v>
      </c>
      <c r="F88" s="20" t="n">
        <v>43798</v>
      </c>
      <c r="G88" s="20" t="n">
        <v>45031</v>
      </c>
      <c r="H88" s="20" t="n">
        <v>40062</v>
      </c>
      <c r="I88" s="20" t="n">
        <v>44189</v>
      </c>
      <c r="J88" s="20" t="n">
        <v>56183</v>
      </c>
      <c r="K88" s="20" t="n">
        <v>54651</v>
      </c>
      <c r="L88" s="20" t="n">
        <v>43798</v>
      </c>
    </row>
    <row r="89">
      <c r="A89" s="18" t="inlineStr">
        <is>
          <t>기타비유동자산</t>
        </is>
      </c>
      <c r="C89" s="20" t="n">
        <v>11601</v>
      </c>
      <c r="D89" s="20" t="n">
        <v>11743</v>
      </c>
      <c r="E89" s="20" t="n">
        <v>12134</v>
      </c>
      <c r="F89" s="20" t="n">
        <v>14054</v>
      </c>
      <c r="G89" s="20" t="n">
        <v>13971</v>
      </c>
      <c r="H89" s="20" t="n">
        <v>5240</v>
      </c>
      <c r="I89" s="20" t="n">
        <v>10218</v>
      </c>
      <c r="J89" s="20" t="n">
        <v>15887</v>
      </c>
      <c r="K89" s="20" t="n">
        <v>12651</v>
      </c>
      <c r="L89" s="20" t="n">
        <v>14054</v>
      </c>
    </row>
    <row r="90">
      <c r="A90" s="18" t="inlineStr">
        <is>
          <t>비유동자산 합계</t>
        </is>
      </c>
      <c r="C90" s="20" t="n">
        <v>1720313</v>
      </c>
      <c r="D90" s="20" t="n">
        <v>1788051</v>
      </c>
      <c r="E90" s="20" t="n">
        <v>1901163</v>
      </c>
      <c r="F90" s="20" t="n">
        <v>1959944</v>
      </c>
      <c r="G90" s="20" t="n">
        <v>2117590</v>
      </c>
      <c r="H90" s="20" t="n">
        <v>1508481</v>
      </c>
      <c r="I90" s="20" t="n">
        <v>1539716</v>
      </c>
      <c r="J90" s="20" t="n">
        <v>1687329</v>
      </c>
      <c r="K90" s="20" t="n">
        <v>1704557</v>
      </c>
      <c r="L90" s="20" t="n">
        <v>1959944</v>
      </c>
    </row>
    <row r="91">
      <c r="A91" s="18" t="inlineStr">
        <is>
          <t>자산 합계</t>
        </is>
      </c>
      <c r="C91" s="20" t="n">
        <v>3616106</v>
      </c>
      <c r="D91" s="20" t="n">
        <v>3957393</v>
      </c>
      <c r="E91" s="20" t="n">
        <v>4336754</v>
      </c>
      <c r="F91" s="20" t="n">
        <v>4415175</v>
      </c>
      <c r="G91" s="20" t="n">
        <v>4751331</v>
      </c>
      <c r="H91" s="20" t="n">
        <v>3041653</v>
      </c>
      <c r="I91" s="20" t="n">
        <v>3147027</v>
      </c>
      <c r="J91" s="20" t="n">
        <v>3415304</v>
      </c>
      <c r="K91" s="20" t="n">
        <v>3541415</v>
      </c>
      <c r="L91" s="20" t="n">
        <v>4415175</v>
      </c>
    </row>
    <row r="92">
      <c r="A92" s="18" t="inlineStr">
        <is>
          <t>차입금</t>
        </is>
      </c>
      <c r="H92" s="20" t="n">
        <v>175924</v>
      </c>
      <c r="I92" s="20" t="n">
        <v>248510</v>
      </c>
      <c r="J92" s="20" t="n">
        <v>212907</v>
      </c>
    </row>
    <row r="93">
      <c r="A93" s="18" t="inlineStr">
        <is>
          <t>사채 및 차입금</t>
        </is>
      </c>
      <c r="C93" s="20" t="n">
        <v>201277</v>
      </c>
      <c r="D93" s="20" t="n">
        <v>242295</v>
      </c>
      <c r="E93" s="20" t="n">
        <v>295679</v>
      </c>
      <c r="F93" s="20" t="n">
        <v>210953</v>
      </c>
      <c r="G93" s="20" t="n">
        <v>353303</v>
      </c>
      <c r="J93" s="20" t="n">
        <v>212907</v>
      </c>
      <c r="K93" s="20" t="n">
        <v>187145</v>
      </c>
      <c r="L93" s="20" t="n">
        <v>210953</v>
      </c>
    </row>
    <row r="94">
      <c r="A94" s="18" t="inlineStr">
        <is>
          <t>리스부채</t>
        </is>
      </c>
      <c r="C94" s="20" t="n">
        <v>12057</v>
      </c>
      <c r="D94" s="20" t="n">
        <v>12122</v>
      </c>
      <c r="E94" s="20" t="n">
        <v>12607</v>
      </c>
      <c r="F94" s="20" t="n">
        <v>12405</v>
      </c>
      <c r="G94" s="20" t="n">
        <v>12277</v>
      </c>
      <c r="H94" s="20" t="n">
        <v>9432</v>
      </c>
      <c r="I94" s="20" t="n">
        <v>10298</v>
      </c>
      <c r="J94" s="20" t="n">
        <v>11627</v>
      </c>
      <c r="K94" s="20" t="n">
        <v>12654</v>
      </c>
      <c r="L94" s="20" t="n">
        <v>12405</v>
      </c>
    </row>
    <row r="95">
      <c r="A95" s="18" t="inlineStr">
        <is>
          <t>Trade Payables CL</t>
        </is>
      </c>
      <c r="C95" s="20" t="n">
        <v>421194</v>
      </c>
      <c r="D95" s="20" t="n">
        <v>546793</v>
      </c>
      <c r="E95" s="20" t="n">
        <v>682008</v>
      </c>
      <c r="F95" s="20" t="n">
        <v>706729</v>
      </c>
      <c r="G95" s="20" t="n">
        <v>744622</v>
      </c>
      <c r="H95" s="20" t="n">
        <v>460132</v>
      </c>
      <c r="I95" s="20" t="n">
        <v>351439</v>
      </c>
      <c r="J95" s="20" t="n">
        <v>351940</v>
      </c>
      <c r="K95" s="20" t="n">
        <v>392502</v>
      </c>
      <c r="L95" s="20" t="n">
        <v>706729</v>
      </c>
    </row>
    <row r="96">
      <c r="A96" s="18" t="inlineStr">
        <is>
          <t>기타금융부채</t>
        </is>
      </c>
      <c r="C96" s="20" t="n">
        <v>131003</v>
      </c>
      <c r="D96" s="20" t="n">
        <v>162644</v>
      </c>
      <c r="E96" s="20" t="n">
        <v>169920</v>
      </c>
      <c r="F96" s="20" t="n">
        <v>165890</v>
      </c>
      <c r="G96" s="20" t="n">
        <v>214851</v>
      </c>
      <c r="H96" s="20" t="n">
        <v>147272</v>
      </c>
      <c r="I96" s="20" t="n">
        <v>92673</v>
      </c>
      <c r="J96" s="20" t="n">
        <v>81774</v>
      </c>
      <c r="K96" s="20" t="n">
        <v>114502</v>
      </c>
      <c r="L96" s="20" t="n">
        <v>165890</v>
      </c>
    </row>
    <row r="97">
      <c r="A97" s="18" t="inlineStr">
        <is>
          <t>미지급법인세</t>
        </is>
      </c>
      <c r="C97" s="20" t="n">
        <v>45360</v>
      </c>
      <c r="D97" s="20" t="n">
        <v>56467</v>
      </c>
      <c r="E97" s="20" t="n">
        <v>56910</v>
      </c>
      <c r="F97" s="20" t="n">
        <v>52333</v>
      </c>
      <c r="G97" s="20" t="n">
        <v>27758</v>
      </c>
      <c r="H97" s="20" t="n">
        <v>29715</v>
      </c>
      <c r="I97" s="20" t="n">
        <v>30285</v>
      </c>
      <c r="J97" s="20" t="n">
        <v>38746</v>
      </c>
      <c r="K97" s="20" t="n">
        <v>41093</v>
      </c>
      <c r="L97" s="20" t="n">
        <v>52333</v>
      </c>
    </row>
    <row r="98">
      <c r="A98" s="18" t="inlineStr">
        <is>
          <t>충당금</t>
        </is>
      </c>
      <c r="C98" s="20" t="n">
        <v>11957</v>
      </c>
      <c r="D98" s="20" t="n">
        <v>11742</v>
      </c>
      <c r="E98" s="20" t="n">
        <v>13664</v>
      </c>
      <c r="F98" s="20" t="n">
        <v>15094</v>
      </c>
      <c r="G98" s="20" t="n">
        <v>17688</v>
      </c>
      <c r="H98" s="20" t="n">
        <v>13949</v>
      </c>
      <c r="I98" s="20" t="n">
        <v>13079</v>
      </c>
      <c r="J98" s="20" t="n">
        <v>12605</v>
      </c>
      <c r="K98" s="20" t="n">
        <v>12329</v>
      </c>
      <c r="L98" s="20" t="n">
        <v>15094</v>
      </c>
    </row>
    <row r="99">
      <c r="A99" s="18" t="inlineStr">
        <is>
          <t>기타유동부채</t>
        </is>
      </c>
      <c r="C99" s="20" t="n">
        <v>327942</v>
      </c>
      <c r="D99" s="20" t="n">
        <v>355444</v>
      </c>
      <c r="E99" s="20" t="n">
        <v>363520</v>
      </c>
      <c r="F99" s="20" t="n">
        <v>411140</v>
      </c>
      <c r="G99" s="20" t="n">
        <v>419765</v>
      </c>
      <c r="H99" s="20" t="n">
        <v>225934</v>
      </c>
      <c r="I99" s="20" t="n">
        <v>258027</v>
      </c>
      <c r="J99" s="20" t="n">
        <v>307291</v>
      </c>
      <c r="K99" s="20" t="n">
        <v>338235</v>
      </c>
      <c r="L99" s="20" t="n">
        <v>411140</v>
      </c>
    </row>
    <row r="100">
      <c r="A100" s="18" t="inlineStr">
        <is>
          <t>소계</t>
        </is>
      </c>
      <c r="F100" s="20" t="n">
        <v>1574545</v>
      </c>
      <c r="G100" s="20" t="n">
        <v>1790265</v>
      </c>
      <c r="L100" s="20" t="n">
        <v>1574545</v>
      </c>
    </row>
    <row r="101">
      <c r="A101" s="18" t="inlineStr">
        <is>
          <t>매각예정 자산 직접 관련 부채</t>
        </is>
      </c>
      <c r="F101" s="20" t="n">
        <v>0</v>
      </c>
      <c r="G101" s="20" t="n">
        <v>984</v>
      </c>
      <c r="L101" s="20" t="n">
        <v>0</v>
      </c>
    </row>
    <row r="102">
      <c r="A102" s="18" t="inlineStr">
        <is>
          <t>유동부채 합계</t>
        </is>
      </c>
      <c r="C102" s="20" t="n">
        <v>1150790</v>
      </c>
      <c r="D102" s="20" t="n">
        <v>1387507</v>
      </c>
      <c r="E102" s="20" t="n">
        <v>1594308</v>
      </c>
      <c r="F102" s="20" t="n">
        <v>1574545</v>
      </c>
      <c r="G102" s="20" t="n">
        <v>1791248</v>
      </c>
      <c r="H102" s="20" t="n">
        <v>1062358</v>
      </c>
      <c r="I102" s="20" t="n">
        <v>1004311</v>
      </c>
      <c r="J102" s="20" t="n">
        <v>1016890</v>
      </c>
      <c r="K102" s="20" t="n">
        <v>1098460</v>
      </c>
      <c r="L102" s="20" t="n">
        <v>1574545</v>
      </c>
    </row>
    <row r="103">
      <c r="A103" s="18" t="inlineStr">
        <is>
          <t>사채 및 차입금</t>
        </is>
      </c>
      <c r="C103" s="20" t="n">
        <v>396058</v>
      </c>
      <c r="D103" s="20" t="n">
        <v>356107</v>
      </c>
      <c r="E103" s="20" t="n">
        <v>328001</v>
      </c>
      <c r="F103" s="20" t="n">
        <v>332678</v>
      </c>
      <c r="G103" s="20" t="n">
        <v>336208</v>
      </c>
      <c r="H103" s="20" t="n">
        <v>455562</v>
      </c>
      <c r="I103" s="20" t="n">
        <v>448656</v>
      </c>
      <c r="J103" s="20" t="n">
        <v>400259</v>
      </c>
      <c r="K103" s="20" t="n">
        <v>346001</v>
      </c>
      <c r="L103" s="20" t="n">
        <v>332678</v>
      </c>
    </row>
    <row r="104">
      <c r="A104" s="18" t="inlineStr">
        <is>
          <t>리스부채</t>
        </is>
      </c>
      <c r="C104" s="20" t="n">
        <v>60429</v>
      </c>
      <c r="D104" s="20" t="n">
        <v>59788</v>
      </c>
      <c r="E104" s="20" t="n">
        <v>59177</v>
      </c>
      <c r="F104" s="20" t="n">
        <v>59934</v>
      </c>
      <c r="G104" s="20" t="n">
        <v>62614</v>
      </c>
      <c r="H104" s="20" t="n">
        <v>38895</v>
      </c>
      <c r="I104" s="20" t="n">
        <v>44694</v>
      </c>
      <c r="J104" s="20" t="n">
        <v>60943</v>
      </c>
      <c r="K104" s="20" t="n">
        <v>62600</v>
      </c>
      <c r="L104" s="20" t="n">
        <v>59934</v>
      </c>
    </row>
    <row r="105">
      <c r="A105" s="18" t="inlineStr">
        <is>
          <t>기타금융부채</t>
        </is>
      </c>
      <c r="C105" s="20" t="n">
        <v>3690</v>
      </c>
      <c r="D105" s="20" t="n">
        <v>3643</v>
      </c>
      <c r="E105" s="20" t="n">
        <v>3509</v>
      </c>
      <c r="F105" s="20" t="n">
        <v>1031</v>
      </c>
      <c r="G105" s="20" t="n">
        <v>1048</v>
      </c>
      <c r="H105" s="20" t="n">
        <v>4573</v>
      </c>
      <c r="I105" s="20" t="n">
        <v>3849</v>
      </c>
      <c r="J105" s="20" t="n">
        <v>5837</v>
      </c>
      <c r="K105" s="20" t="n">
        <v>4719</v>
      </c>
      <c r="L105" s="20" t="n">
        <v>1031</v>
      </c>
    </row>
    <row r="106">
      <c r="A106" s="18" t="inlineStr">
        <is>
          <t>퇴직급여부채</t>
        </is>
      </c>
      <c r="C106" s="20" t="n">
        <v>98347</v>
      </c>
      <c r="D106" s="20" t="n">
        <v>101125</v>
      </c>
      <c r="E106" s="20" t="n">
        <v>106313</v>
      </c>
      <c r="F106" s="20" t="n">
        <v>97957</v>
      </c>
      <c r="G106" s="20" t="n">
        <v>99079</v>
      </c>
      <c r="H106" s="20" t="n">
        <v>105089</v>
      </c>
      <c r="I106" s="20" t="n">
        <v>92313</v>
      </c>
      <c r="J106" s="20" t="n">
        <v>98388</v>
      </c>
      <c r="K106" s="20" t="n">
        <v>95368</v>
      </c>
      <c r="L106" s="20" t="n">
        <v>97957</v>
      </c>
    </row>
    <row r="107">
      <c r="A107" s="18" t="inlineStr">
        <is>
          <t>충당금</t>
        </is>
      </c>
      <c r="C107" s="20" t="n">
        <v>12680</v>
      </c>
      <c r="D107" s="20" t="n">
        <v>12438</v>
      </c>
      <c r="E107" s="20" t="n">
        <v>12605</v>
      </c>
      <c r="F107" s="20" t="n">
        <v>10639</v>
      </c>
      <c r="G107" s="20" t="n">
        <v>11702</v>
      </c>
      <c r="H107" s="20" t="n">
        <v>5371</v>
      </c>
      <c r="I107" s="20" t="n">
        <v>9697</v>
      </c>
      <c r="J107" s="20" t="n">
        <v>13660</v>
      </c>
      <c r="K107" s="20" t="n">
        <v>13124</v>
      </c>
      <c r="L107" s="20" t="n">
        <v>10639</v>
      </c>
    </row>
    <row r="108">
      <c r="A108" s="18" t="inlineStr">
        <is>
          <t>이연법인세부채</t>
        </is>
      </c>
      <c r="C108" s="20" t="n">
        <v>89400</v>
      </c>
      <c r="D108" s="20" t="n">
        <v>93821</v>
      </c>
      <c r="E108" s="20" t="n">
        <v>105837</v>
      </c>
      <c r="F108" s="20" t="n">
        <v>111528</v>
      </c>
      <c r="G108" s="20" t="n">
        <v>111574</v>
      </c>
      <c r="H108" s="20" t="n">
        <v>57454</v>
      </c>
      <c r="I108" s="20" t="n">
        <v>70386</v>
      </c>
      <c r="J108" s="20" t="n">
        <v>91616</v>
      </c>
      <c r="K108" s="20" t="n">
        <v>94678</v>
      </c>
      <c r="L108" s="20" t="n">
        <v>111528</v>
      </c>
    </row>
    <row r="109">
      <c r="A109" s="18" t="inlineStr">
        <is>
          <t>기타비유동부채</t>
        </is>
      </c>
      <c r="C109" s="20" t="n">
        <v>15572</v>
      </c>
      <c r="D109" s="20" t="n">
        <v>15870</v>
      </c>
      <c r="E109" s="20" t="n">
        <v>17638</v>
      </c>
      <c r="F109" s="20" t="n">
        <v>23317</v>
      </c>
      <c r="G109" s="20" t="n">
        <v>20784</v>
      </c>
      <c r="H109" s="20" t="n">
        <v>8596</v>
      </c>
      <c r="I109" s="20" t="n">
        <v>10254</v>
      </c>
      <c r="J109" s="20" t="n">
        <v>12770</v>
      </c>
      <c r="K109" s="20" t="n">
        <v>15211</v>
      </c>
      <c r="L109" s="20" t="n">
        <v>23317</v>
      </c>
    </row>
    <row r="110">
      <c r="A110" s="18" t="inlineStr">
        <is>
          <t>비유동부채 합계</t>
        </is>
      </c>
      <c r="C110" s="20" t="n">
        <v>676176</v>
      </c>
      <c r="D110" s="20" t="n">
        <v>642792</v>
      </c>
      <c r="E110" s="20" t="n">
        <v>633080</v>
      </c>
      <c r="F110" s="20" t="n">
        <v>637086</v>
      </c>
      <c r="G110" s="20" t="n">
        <v>643009</v>
      </c>
      <c r="H110" s="20" t="n">
        <v>675540</v>
      </c>
      <c r="I110" s="20" t="n">
        <v>679849</v>
      </c>
      <c r="J110" s="20" t="n">
        <v>683473</v>
      </c>
      <c r="K110" s="20" t="n">
        <v>631701</v>
      </c>
      <c r="L110" s="20" t="n">
        <v>637086</v>
      </c>
    </row>
    <row r="111">
      <c r="A111" s="18" t="inlineStr">
        <is>
          <t>부채 합계</t>
        </is>
      </c>
      <c r="C111" s="20" t="n">
        <v>1826966</v>
      </c>
      <c r="D111" s="20" t="n">
        <v>2030299</v>
      </c>
      <c r="E111" s="20" t="n">
        <v>2227388</v>
      </c>
      <c r="F111" s="20" t="n">
        <v>2211630</v>
      </c>
      <c r="G111" s="20" t="n">
        <v>2434258</v>
      </c>
      <c r="H111" s="20" t="n">
        <v>1737898</v>
      </c>
      <c r="I111" s="20" t="n">
        <v>1684160</v>
      </c>
      <c r="J111" s="20" t="n">
        <v>1700363</v>
      </c>
      <c r="K111" s="20" t="n">
        <v>1730161</v>
      </c>
      <c r="L111" s="20" t="n">
        <v>2211630</v>
      </c>
    </row>
    <row r="112">
      <c r="A112" s="18" t="inlineStr">
        <is>
          <t>자본금</t>
        </is>
      </c>
      <c r="C112" s="20" t="n">
        <v>32641</v>
      </c>
      <c r="D112" s="20" t="n">
        <v>32641</v>
      </c>
      <c r="E112" s="20" t="n">
        <v>32641</v>
      </c>
      <c r="F112" s="20" t="n">
        <v>32641</v>
      </c>
      <c r="G112" s="20" t="n">
        <v>32641</v>
      </c>
      <c r="H112" s="20" t="n">
        <v>32641</v>
      </c>
      <c r="I112" s="20" t="n">
        <v>32641</v>
      </c>
      <c r="J112" s="20" t="n">
        <v>32641</v>
      </c>
      <c r="K112" s="20" t="n">
        <v>32641</v>
      </c>
      <c r="L112" s="20" t="n">
        <v>32641</v>
      </c>
    </row>
    <row r="113">
      <c r="A113" s="18" t="inlineStr">
        <is>
          <t>자본잉여금</t>
        </is>
      </c>
      <c r="C113" s="20" t="n">
        <v>356</v>
      </c>
      <c r="D113" s="20" t="n">
        <v>400</v>
      </c>
      <c r="E113" s="20" t="n">
        <v>140</v>
      </c>
      <c r="F113" s="20" t="n">
        <v>273</v>
      </c>
      <c r="G113" s="20" t="n">
        <v>400</v>
      </c>
      <c r="H113" s="20" t="n">
        <v>0</v>
      </c>
      <c r="I113" s="20" t="n">
        <v>45</v>
      </c>
      <c r="J113" s="20" t="n">
        <v>34</v>
      </c>
      <c r="K113" s="20" t="n">
        <v>264</v>
      </c>
      <c r="L113" s="20" t="n">
        <v>273</v>
      </c>
    </row>
    <row r="114">
      <c r="A114" s="18" t="inlineStr">
        <is>
          <t>이익잉여금</t>
        </is>
      </c>
      <c r="C114" s="20" t="n">
        <v>1284930</v>
      </c>
      <c r="D114" s="20" t="n">
        <v>1354784</v>
      </c>
      <c r="E114" s="20" t="n">
        <v>1395433</v>
      </c>
      <c r="F114" s="20" t="n">
        <v>1409670</v>
      </c>
      <c r="G114" s="20" t="n">
        <v>1452605</v>
      </c>
      <c r="H114" s="20" t="n">
        <v>974767</v>
      </c>
      <c r="I114" s="20" t="n">
        <v>1054738</v>
      </c>
      <c r="J114" s="20" t="n">
        <v>1138732</v>
      </c>
      <c r="K114" s="20" t="n">
        <v>1273453</v>
      </c>
      <c r="L114" s="20" t="n">
        <v>1409670</v>
      </c>
    </row>
    <row r="115">
      <c r="A115" s="18" t="inlineStr">
        <is>
          <t>기타자본구성요소</t>
        </is>
      </c>
      <c r="C115" s="20" t="n">
        <v>474929</v>
      </c>
      <c r="D115" s="20" t="n">
        <v>540950</v>
      </c>
      <c r="E115" s="20" t="n">
        <v>681423</v>
      </c>
      <c r="F115" s="20" t="n">
        <v>760315</v>
      </c>
      <c r="G115" s="20" t="n">
        <v>828963</v>
      </c>
      <c r="H115" s="20" t="n">
        <v>309607</v>
      </c>
      <c r="I115" s="20" t="n">
        <v>387281</v>
      </c>
      <c r="J115" s="20" t="n">
        <v>551998</v>
      </c>
      <c r="K115" s="20" t="n">
        <v>509555</v>
      </c>
      <c r="L115" s="20" t="n">
        <v>760315</v>
      </c>
    </row>
    <row r="116">
      <c r="A116" s="18" t="inlineStr">
        <is>
          <t>Other Comprehensive Income Associated With Assets Held For Sale Equity</t>
        </is>
      </c>
      <c r="J116" s="20" t="n">
        <v>0</v>
      </c>
    </row>
    <row r="117">
      <c r="A117" s="18" t="inlineStr">
        <is>
          <t>자기주식</t>
        </is>
      </c>
      <c r="C117" s="20" t="n">
        <v>-15821</v>
      </c>
      <c r="D117" s="20" t="n">
        <v>-15734</v>
      </c>
      <c r="E117" s="20" t="n">
        <v>-15670</v>
      </c>
      <c r="F117" s="20" t="n">
        <v>-15665</v>
      </c>
      <c r="G117" s="20" t="n">
        <v>-15665</v>
      </c>
      <c r="H117" s="20" t="n">
        <v>-16698</v>
      </c>
      <c r="I117" s="20" t="n">
        <v>-16259</v>
      </c>
      <c r="J117" s="20" t="n">
        <v>-16073</v>
      </c>
      <c r="K117" s="20" t="n">
        <v>-15843</v>
      </c>
      <c r="L117" s="20" t="n">
        <v>-15665</v>
      </c>
    </row>
    <row r="118">
      <c r="A118" s="18" t="inlineStr">
        <is>
          <t>지배기업 소유주 귀속 지분 합계</t>
        </is>
      </c>
      <c r="C118" s="20" t="n">
        <v>1777035</v>
      </c>
      <c r="D118" s="20" t="n">
        <v>1913041</v>
      </c>
      <c r="E118" s="20" t="n">
        <v>2093967</v>
      </c>
      <c r="F118" s="20" t="n">
        <v>2187234</v>
      </c>
      <c r="G118" s="20" t="n">
        <v>2298943</v>
      </c>
      <c r="H118" s="20" t="n">
        <v>1300317</v>
      </c>
      <c r="I118" s="20" t="n">
        <v>1458446</v>
      </c>
      <c r="J118" s="20" t="n">
        <v>1707332</v>
      </c>
      <c r="K118" s="20" t="n">
        <v>1800070</v>
      </c>
      <c r="L118" s="20" t="n">
        <v>2187234</v>
      </c>
    </row>
    <row r="119">
      <c r="A119" s="18" t="inlineStr">
        <is>
          <t>비지배지분</t>
        </is>
      </c>
      <c r="C119" s="20" t="n">
        <v>12105</v>
      </c>
      <c r="D119" s="20" t="n">
        <v>14053</v>
      </c>
      <c r="E119" s="20" t="n">
        <v>15399</v>
      </c>
      <c r="F119" s="20" t="n">
        <v>16311</v>
      </c>
      <c r="G119" s="20" t="n">
        <v>18130</v>
      </c>
      <c r="H119" s="20" t="n">
        <v>3438</v>
      </c>
      <c r="I119" s="20" t="n">
        <v>4421</v>
      </c>
      <c r="J119" s="20" t="n">
        <v>7609</v>
      </c>
      <c r="K119" s="20" t="n">
        <v>11184</v>
      </c>
      <c r="L119" s="20" t="n">
        <v>16311</v>
      </c>
    </row>
    <row r="120">
      <c r="A120" s="18" t="inlineStr">
        <is>
          <t>자본 합계</t>
        </is>
      </c>
      <c r="C120" s="20" t="n">
        <v>1789140</v>
      </c>
      <c r="D120" s="20" t="n">
        <v>1927094</v>
      </c>
      <c r="E120" s="20" t="n">
        <v>2109366</v>
      </c>
      <c r="F120" s="20" t="n">
        <v>2203545</v>
      </c>
      <c r="G120" s="20" t="n">
        <v>2317073</v>
      </c>
      <c r="H120" s="20" t="n">
        <v>1303755</v>
      </c>
      <c r="I120" s="20" t="n">
        <v>1462867</v>
      </c>
      <c r="J120" s="20" t="n">
        <v>1714941</v>
      </c>
      <c r="K120" s="20" t="n">
        <v>1811254</v>
      </c>
      <c r="L120" s="20" t="n">
        <v>2203545</v>
      </c>
    </row>
    <row r="121">
      <c r="A121" s="18" t="inlineStr">
        <is>
          <t>부채및자본 합계</t>
        </is>
      </c>
      <c r="C121" s="20" t="n">
        <v>3616106</v>
      </c>
      <c r="D121" s="20" t="n">
        <v>3957393</v>
      </c>
      <c r="E121" s="20" t="n">
        <v>4336754</v>
      </c>
      <c r="F121" s="20" t="n">
        <v>4415175</v>
      </c>
      <c r="G121" s="20" t="n">
        <v>4751331</v>
      </c>
      <c r="H121" s="20" t="n">
        <v>3041653</v>
      </c>
      <c r="I121" s="20" t="n">
        <v>3147027</v>
      </c>
      <c r="J121" s="20" t="n">
        <v>3415304</v>
      </c>
      <c r="K121" s="20" t="n">
        <v>3541415</v>
      </c>
      <c r="L121" s="20" t="n">
        <v>4415175</v>
      </c>
    </row>
  </sheetData>
  <conditionalFormatting sqref="C43:L43">
    <cfRule type="expression" priority="1" dxfId="0">
      <formula>AND(ISNUMBER(C43),C43&gt;1.0)</formula>
    </cfRule>
  </conditionalFormatting>
  <conditionalFormatting sqref="C44:L44">
    <cfRule type="expression" priority="2" dxfId="0">
      <formula>AND(ISNUMBER(C44),C44&gt;0.5)</formula>
    </cfRule>
  </conditionalFormatting>
  <conditionalFormatting sqref="C45:L45">
    <cfRule type="expression" priority="3" dxfId="0">
      <formula>AND(ISNUMBER(C45),C45&lt;0.5)</formula>
    </cfRule>
  </conditionalFormatting>
  <conditionalFormatting sqref="C46:L46">
    <cfRule type="expression" priority="4" dxfId="0">
      <formula>AND(ISNUMBER(C46),C46&lt;1.5)</formula>
    </cfRule>
  </conditionalFormatting>
  <conditionalFormatting sqref="C47:L47">
    <cfRule type="expression" priority="5" dxfId="0">
      <formula>AND(ISNUMBER(C47),C47&lt;1.0)</formula>
    </cfRule>
  </conditionalFormatting>
  <conditionalFormatting sqref="C48:L48">
    <cfRule type="expression" priority="6" dxfId="0">
      <formula>AND(ISNUMBER(C48),C48&lt;5)</formula>
    </cfRule>
  </conditionalFormatting>
  <conditionalFormatting sqref="C49:L49">
    <cfRule type="expression" priority="7" dxfId="0">
      <formula>AND(ISNUMBER(C49),C49&gt;4)</formula>
    </cfRule>
  </conditionalFormatting>
  <conditionalFormatting sqref="C51:L51">
    <cfRule type="expression" priority="8" dxfId="0">
      <formula>AND(ISNUMBER(C51),C51&lt;0.15)</formula>
    </cfRule>
  </conditionalFormatting>
  <conditionalFormatting sqref="C52:L52">
    <cfRule type="expression" priority="9" dxfId="0">
      <formula>AND(ISNUMBER(C52),C52&lt;0.05)</formula>
    </cfRule>
  </conditionalFormatting>
  <conditionalFormatting sqref="C53:L53">
    <cfRule type="expression" priority="10" dxfId="0">
      <formula>AND(ISNUMBER(C53),C53&lt;0.1)</formula>
    </cfRule>
  </conditionalFormatting>
  <conditionalFormatting sqref="C54:L54">
    <cfRule type="expression" priority="11" dxfId="0">
      <formula>AND(ISNUMBER(C54),C54&lt;0.4)</formula>
    </cfRule>
  </conditionalFormatting>
  <conditionalFormatting sqref="C55:L55">
    <cfRule type="expression" priority="12" dxfId="0">
      <formula>AND(ISNUMBER(C55),C55&lt;0.15)</formula>
    </cfRule>
  </conditionalFormatting>
  <conditionalFormatting sqref="C56:L56">
    <cfRule type="expression" priority="13" dxfId="0">
      <formula>AND(ISNUMBER(C56),C56&lt;0.1)</formula>
    </cfRule>
  </conditionalFormatting>
  <conditionalFormatting sqref="C64:L64">
    <cfRule type="expression" priority="14" dxfId="0">
      <formula>AND(ISNUMBER(C64),C64&lt;1.0)</formula>
    </cfRule>
  </conditionalFormatting>
  <conditionalFormatting sqref="C65:L65">
    <cfRule type="expression" priority="15" dxfId="0">
      <formula>AND(ISNUMBER(C65),C65&lt;0.05)</formula>
    </cfRule>
  </conditionalFormatting>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sheetPr>
  <dimension ref="A1:C20"/>
  <sheetViews>
    <sheetView showGridLines="0" workbookViewId="0">
      <selection activeCell="A1" sqref="A1"/>
    </sheetView>
  </sheetViews>
  <sheetFormatPr baseColWidth="8" defaultRowHeight="15"/>
  <cols>
    <col width="12" customWidth="1" min="1" max="1"/>
    <col width="34" customWidth="1" min="2" max="2"/>
    <col width="60" customWidth="1" min="3" max="3"/>
  </cols>
  <sheetData>
    <row r="1">
      <c r="A1" s="50" t="inlineStr">
        <is>
          <t>출처 · 쓴 결산단신</t>
        </is>
      </c>
    </row>
    <row r="3">
      <c r="A3" s="51" t="inlineStr">
        <is>
          <t>공시일</t>
        </is>
      </c>
      <c r="B3" s="51" t="inlineStr">
        <is>
          <t>문서</t>
        </is>
      </c>
      <c r="C3" s="51" t="inlineStr">
        <is>
          <t>PDF</t>
        </is>
      </c>
    </row>
    <row r="4">
      <c r="A4" t="inlineStr">
        <is>
          <t>2026-07-31</t>
        </is>
      </c>
      <c r="B4" t="inlineStr">
        <is>
          <t>2027년 3월 결산기 1분기 결산단신</t>
        </is>
      </c>
      <c r="C4" t="inlineStr">
        <is>
          <t>https://www2.jpx.co.jp/disc/67620/140120260730503470.pdf</t>
        </is>
      </c>
    </row>
    <row r="5">
      <c r="A5" t="inlineStr">
        <is>
          <t>2026-04-28</t>
        </is>
      </c>
      <c r="B5" t="inlineStr">
        <is>
          <t>2026년 3월 결산기 연간 결산단신</t>
        </is>
      </c>
      <c r="C5" t="inlineStr">
        <is>
          <t>https://www2.jpx.co.jp/disc/67620/140120260427512388.pdf</t>
        </is>
      </c>
    </row>
    <row r="6">
      <c r="A6" t="inlineStr">
        <is>
          <t>2026-02-02</t>
        </is>
      </c>
      <c r="B6" t="inlineStr">
        <is>
          <t>2026년 3월 결산기 3분기 결산단신</t>
        </is>
      </c>
      <c r="C6" t="inlineStr">
        <is>
          <t>https://www2.jpx.co.jp/disc/67620/140120260202544324.pdf</t>
        </is>
      </c>
    </row>
    <row r="7">
      <c r="A7" t="inlineStr">
        <is>
          <t>2025-10-31</t>
        </is>
      </c>
      <c r="B7" t="inlineStr">
        <is>
          <t>2026년 3월 결산기 2분기 결산단신</t>
        </is>
      </c>
      <c r="C7" t="inlineStr">
        <is>
          <t>https://www2.jpx.co.jp/disc/67620/140120251031584162.pdf</t>
        </is>
      </c>
    </row>
    <row r="8">
      <c r="A8" t="inlineStr">
        <is>
          <t>2025-08-01</t>
        </is>
      </c>
      <c r="B8" t="inlineStr">
        <is>
          <t>2026년 3월 결산기 1분기 결산단신</t>
        </is>
      </c>
      <c r="C8" t="inlineStr">
        <is>
          <t>https://www2.jpx.co.jp/disc/67620/140120250711512823.pdf</t>
        </is>
      </c>
    </row>
    <row r="9">
      <c r="A9" t="inlineStr">
        <is>
          <t>2025-04-28</t>
        </is>
      </c>
      <c r="B9" t="inlineStr">
        <is>
          <t>2025년 3월 결산기 연간 결산단신</t>
        </is>
      </c>
      <c r="C9" t="inlineStr">
        <is>
          <t>https://www2.jpx.co.jp/disc/67620/140120250425525085.pdf</t>
        </is>
      </c>
    </row>
    <row r="10">
      <c r="A10" t="inlineStr">
        <is>
          <t>2025-01-31</t>
        </is>
      </c>
      <c r="B10" t="inlineStr">
        <is>
          <t>2025년 3월 결산기 ３분기 결산단신</t>
        </is>
      </c>
      <c r="C10" t="inlineStr">
        <is>
          <t>https://www2.jpx.co.jp/disc/67620/140120250131559451.pdf</t>
        </is>
      </c>
    </row>
    <row r="11">
      <c r="A11" t="inlineStr">
        <is>
          <t>2024-11-01</t>
        </is>
      </c>
      <c r="B11" t="inlineStr">
        <is>
          <t>2025년 3월 결산기 ２분기 결산단신</t>
        </is>
      </c>
      <c r="C11" t="inlineStr">
        <is>
          <t>https://www2.jpx.co.jp/disc/67620/140120241101509018.pdf</t>
        </is>
      </c>
    </row>
    <row r="12">
      <c r="A12" t="inlineStr">
        <is>
          <t>2024-07-30</t>
        </is>
      </c>
      <c r="B12" t="inlineStr">
        <is>
          <t>2025년 3월 결산기 １분기 결산단신</t>
        </is>
      </c>
      <c r="C12" t="inlineStr">
        <is>
          <t>https://www2.jpx.co.jp/disc/67620/140120240729557031.pdf</t>
        </is>
      </c>
    </row>
    <row r="13">
      <c r="A13" t="inlineStr">
        <is>
          <t>2024-04-26</t>
        </is>
      </c>
      <c r="B13" t="inlineStr">
        <is>
          <t>2024년 3월 결산기 연간 결산단신</t>
        </is>
      </c>
      <c r="C13" t="inlineStr">
        <is>
          <t>https://www2.jpx.co.jp/disc/67620/140120240426577950.pdf</t>
        </is>
      </c>
    </row>
    <row r="14">
      <c r="A14" t="inlineStr">
        <is>
          <t>2024-01-31</t>
        </is>
      </c>
      <c r="B14" t="inlineStr">
        <is>
          <t>2024년 3월 결산기 ３분기 결산단신</t>
        </is>
      </c>
      <c r="C14" t="inlineStr">
        <is>
          <t>https://www2.jpx.co.jp/disc/67620/140120240131522725.pdf</t>
        </is>
      </c>
    </row>
    <row r="15">
      <c r="A15" t="inlineStr">
        <is>
          <t>2023-11-01</t>
        </is>
      </c>
      <c r="B15" t="inlineStr">
        <is>
          <t>2024년 3월 결산기 ２분기 결산단신</t>
        </is>
      </c>
      <c r="C15" t="inlineStr">
        <is>
          <t>https://www2.jpx.co.jp/disc/67620/140120231101576818.pdf</t>
        </is>
      </c>
    </row>
    <row r="16">
      <c r="A16" t="inlineStr">
        <is>
          <t>2023-08-02</t>
        </is>
      </c>
      <c r="B16" t="inlineStr">
        <is>
          <t>2024년 3월 결산기 １분기 결산단신</t>
        </is>
      </c>
      <c r="C16" t="inlineStr">
        <is>
          <t>https://www2.jpx.co.jp/disc/67620/140120230801532159.pdf</t>
        </is>
      </c>
    </row>
    <row r="17">
      <c r="A17" t="inlineStr">
        <is>
          <t>2023-04-28</t>
        </is>
      </c>
      <c r="B17" t="inlineStr">
        <is>
          <t>2023년 3월 결산기 연간 결산단신</t>
        </is>
      </c>
      <c r="C17" t="inlineStr">
        <is>
          <t>https://www2.jpx.co.jp/disc/67620/140120230428555811.pdf</t>
        </is>
      </c>
    </row>
    <row r="18">
      <c r="A18" t="inlineStr">
        <is>
          <t>2023-01-31</t>
        </is>
      </c>
      <c r="B18" t="inlineStr">
        <is>
          <t>2023년 3월 결산기 ３분기 결산단신</t>
        </is>
      </c>
      <c r="C18" t="inlineStr">
        <is>
          <t>https://www2.jpx.co.jp/disc/67620/140120230130596566.pdf</t>
        </is>
      </c>
    </row>
    <row r="19">
      <c r="A19" t="inlineStr">
        <is>
          <t>2022-11-01</t>
        </is>
      </c>
      <c r="B19" t="inlineStr">
        <is>
          <t>2023년 3월 결산기 ２분기 결산단신</t>
        </is>
      </c>
      <c r="C19" t="inlineStr">
        <is>
          <t>https://www2.jpx.co.jp/disc/67620/140120221031554069.pdf</t>
        </is>
      </c>
    </row>
    <row r="20">
      <c r="A20" t="inlineStr">
        <is>
          <t>2022-06-24</t>
        </is>
      </c>
      <c r="B20" t="inlineStr">
        <is>
          <t>2022년 3월 결산기 연간 결산단신</t>
        </is>
      </c>
      <c r="C20" t="inlineStr">
        <is>
          <t>https://www2.jpx.co.jp/disc/67620/140120220613578159.pdf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2026-10-26T10:56:16Z</dcterms:created>
  <dcterms:modified xmlns:dcterms="http://purl.org/dc/terms/" xmlns:xsi="http://www.w3.org/2001/XMLSchema-instance" xsi:type="dcterms:W3CDTF">2026-10-26T10:56:17Z</dcterms:modified>
</cp:coreProperties>
</file>