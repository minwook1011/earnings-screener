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8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디스코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76995</v>
      </c>
      <c r="D4" s="12" t="n">
        <v>104299</v>
      </c>
      <c r="E4" s="12" t="n">
        <v>82799</v>
      </c>
      <c r="F4" s="12" t="n">
        <v>96244</v>
      </c>
      <c r="G4" s="12" t="n">
        <v>93553</v>
      </c>
      <c r="H4" s="12" t="n">
        <v>120717</v>
      </c>
      <c r="I4" s="12" t="n">
        <v>89914</v>
      </c>
      <c r="J4" s="12" t="n">
        <v>104623</v>
      </c>
      <c r="K4" s="12" t="n">
        <v>109291</v>
      </c>
      <c r="L4" s="12" t="n">
        <v>133061</v>
      </c>
      <c r="M4" s="12" t="n">
        <v>114308</v>
      </c>
      <c r="N4" s="12" t="n">
        <v>142750</v>
      </c>
      <c r="O4" s="11" t="n">
        <v>134204</v>
      </c>
      <c r="P4" s="12" t="n">
        <v>167364</v>
      </c>
      <c r="Q4" s="12" t="n">
        <v>147500</v>
      </c>
      <c r="R4" s="12" t="n">
        <v>141083</v>
      </c>
      <c r="S4" s="12" t="n">
        <v>182857</v>
      </c>
      <c r="T4" s="12" t="n">
        <v>253781</v>
      </c>
      <c r="U4" s="12" t="n">
        <v>284135</v>
      </c>
      <c r="V4" s="12" t="n">
        <v>307554</v>
      </c>
      <c r="W4" s="12" t="n">
        <v>393313</v>
      </c>
      <c r="X4" s="12" t="n">
        <v>436889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24341</v>
      </c>
      <c r="D11" s="22" t="n">
        <v>32974</v>
      </c>
      <c r="E11" s="22" t="n">
        <v>25100</v>
      </c>
      <c r="F11" s="22" t="n">
        <v>27214</v>
      </c>
      <c r="G11" s="22" t="n">
        <v>26931</v>
      </c>
      <c r="H11" s="22" t="n">
        <v>36498</v>
      </c>
      <c r="I11" s="22" t="n">
        <v>28653</v>
      </c>
      <c r="J11" s="22" t="n">
        <v>31874</v>
      </c>
      <c r="K11" s="22" t="n">
        <v>31227</v>
      </c>
      <c r="L11" s="22" t="n">
        <v>38658</v>
      </c>
      <c r="M11" s="22" t="n">
        <v>32764</v>
      </c>
      <c r="N11" s="22" t="n">
        <v>40377</v>
      </c>
      <c r="O11" s="21" t="n">
        <v>59709</v>
      </c>
      <c r="P11" s="22" t="n">
        <v>68239</v>
      </c>
      <c r="Q11" s="22" t="n">
        <v>60589</v>
      </c>
      <c r="R11" s="22" t="n">
        <v>56290</v>
      </c>
      <c r="S11" s="22" t="n">
        <v>75973</v>
      </c>
      <c r="T11" s="22" t="n">
        <v>99769</v>
      </c>
      <c r="U11" s="22" t="n">
        <v>99629</v>
      </c>
      <c r="V11" s="22" t="n">
        <v>98912</v>
      </c>
      <c r="W11" s="22" t="n">
        <v>115743</v>
      </c>
      <c r="X11" s="22" t="n">
        <v>130412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22301</v>
      </c>
      <c r="D15" s="22" t="n">
        <v>25198</v>
      </c>
      <c r="E15" s="22" t="n">
        <v>24322</v>
      </c>
      <c r="F15" s="22" t="n">
        <v>26454</v>
      </c>
      <c r="G15" s="22" t="n">
        <v>27477</v>
      </c>
      <c r="H15" s="22" t="n">
        <v>32483</v>
      </c>
      <c r="I15" s="22" t="n">
        <v>26780</v>
      </c>
      <c r="J15" s="22" t="n">
        <v>28358</v>
      </c>
      <c r="K15" s="22" t="n">
        <v>30723</v>
      </c>
      <c r="L15" s="22" t="n">
        <v>35626</v>
      </c>
      <c r="M15" s="22" t="n">
        <v>32509</v>
      </c>
      <c r="N15" s="22" t="n">
        <v>34768</v>
      </c>
      <c r="O15" s="21" t="n">
        <v>43153</v>
      </c>
      <c r="P15" s="22" t="n">
        <v>48130</v>
      </c>
      <c r="Q15" s="22" t="n">
        <v>48264</v>
      </c>
      <c r="R15" s="22" t="n">
        <v>48341</v>
      </c>
      <c r="S15" s="22" t="n">
        <v>53776</v>
      </c>
      <c r="T15" s="22" t="n">
        <v>62498</v>
      </c>
      <c r="U15" s="22" t="n">
        <v>74093</v>
      </c>
      <c r="V15" s="22" t="n">
        <v>87151</v>
      </c>
      <c r="W15" s="22" t="n">
        <v>110736</v>
      </c>
      <c r="X15" s="22" t="n">
        <v>121487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30354</v>
      </c>
      <c r="D16" s="12" t="n">
        <v>46127</v>
      </c>
      <c r="E16" s="12" t="n">
        <v>33376</v>
      </c>
      <c r="F16" s="12" t="n">
        <v>42576</v>
      </c>
      <c r="G16" s="12" t="n">
        <v>39146</v>
      </c>
      <c r="H16" s="12" t="n">
        <v>51736</v>
      </c>
      <c r="I16" s="12" t="n">
        <v>34480</v>
      </c>
      <c r="J16" s="12" t="n">
        <v>44391</v>
      </c>
      <c r="K16" s="12" t="n">
        <v>47341</v>
      </c>
      <c r="L16" s="12" t="n">
        <v>58777</v>
      </c>
      <c r="M16" s="12" t="n">
        <v>49033</v>
      </c>
      <c r="N16" s="12" t="n">
        <v>67606</v>
      </c>
      <c r="O16" s="11" t="n">
        <v>31341</v>
      </c>
      <c r="P16" s="12" t="n">
        <v>50995</v>
      </c>
      <c r="Q16" s="12" t="n">
        <v>38645</v>
      </c>
      <c r="R16" s="12" t="n">
        <v>36451</v>
      </c>
      <c r="S16" s="12" t="n">
        <v>53106</v>
      </c>
      <c r="T16" s="12" t="n">
        <v>91513</v>
      </c>
      <c r="U16" s="12" t="n">
        <v>110413</v>
      </c>
      <c r="V16" s="12" t="n">
        <v>121490</v>
      </c>
      <c r="W16" s="12" t="n">
        <v>166834</v>
      </c>
      <c r="X16" s="12" t="n">
        <v>184989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2</v>
      </c>
      <c r="D32" s="22" t="n">
        <v>1</v>
      </c>
      <c r="E32" s="22" t="n">
        <v>0</v>
      </c>
      <c r="F32" s="22" t="n">
        <v>1</v>
      </c>
      <c r="G32" s="22" t="n">
        <v>14</v>
      </c>
      <c r="H32" s="22" t="n">
        <v>8</v>
      </c>
      <c r="I32" s="22" t="n">
        <v>4</v>
      </c>
      <c r="J32" s="22" t="n">
        <v>2</v>
      </c>
      <c r="K32" s="22" t="n">
        <v>3</v>
      </c>
      <c r="L32" s="22" t="n">
        <v>1</v>
      </c>
      <c r="M32" s="22" t="n">
        <v>10</v>
      </c>
      <c r="N32" s="22" t="n">
        <v>5</v>
      </c>
      <c r="O32" s="21" t="n">
        <v>9</v>
      </c>
      <c r="P32" s="22" t="n">
        <v>105</v>
      </c>
      <c r="Q32" s="22" t="n">
        <v>229</v>
      </c>
      <c r="R32" s="22" t="n">
        <v>271</v>
      </c>
      <c r="S32" s="22" t="n">
        <v>21</v>
      </c>
      <c r="T32" s="22" t="n">
        <v>6</v>
      </c>
      <c r="U32" s="22" t="n">
        <v>669</v>
      </c>
      <c r="V32" s="22" t="n">
        <v>11</v>
      </c>
      <c r="W32" s="22" t="n">
        <v>23</v>
      </c>
      <c r="X32" s="22" t="n">
        <v>10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7575</v>
      </c>
      <c r="D34" s="22" t="n">
        <v>215</v>
      </c>
      <c r="E34" s="22" t="n">
        <v>166</v>
      </c>
      <c r="F34" s="22" t="n">
        <v>112</v>
      </c>
      <c r="G34" s="22" t="n">
        <v>176</v>
      </c>
      <c r="H34" s="22" t="n">
        <v>367</v>
      </c>
      <c r="I34" s="22" t="n">
        <v>351</v>
      </c>
      <c r="J34" s="22" t="n">
        <v>549</v>
      </c>
      <c r="K34" s="22" t="n">
        <v>187</v>
      </c>
      <c r="L34" s="22" t="n">
        <v>49</v>
      </c>
      <c r="M34" s="22" t="n">
        <v>41</v>
      </c>
      <c r="N34" s="22" t="n">
        <v>659</v>
      </c>
      <c r="O34" s="21" t="n">
        <v>1169</v>
      </c>
      <c r="P34" s="22" t="n">
        <v>2070</v>
      </c>
      <c r="Q34" s="22" t="n">
        <v>946</v>
      </c>
      <c r="R34" s="22" t="n">
        <v>308</v>
      </c>
      <c r="S34" s="22" t="n">
        <v>216</v>
      </c>
      <c r="T34" s="22" t="n">
        <v>204</v>
      </c>
      <c r="U34" s="22" t="n">
        <v>223</v>
      </c>
      <c r="V34" s="22" t="n">
        <v>7829</v>
      </c>
      <c r="W34" s="22" t="n">
        <v>821</v>
      </c>
      <c r="X34" s="22" t="n">
        <v>1136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262</v>
      </c>
      <c r="D36" s="22" t="n">
        <v>296</v>
      </c>
      <c r="E36" s="22" t="n">
        <v>306</v>
      </c>
      <c r="F36" s="22" t="n">
        <v>504</v>
      </c>
      <c r="G36" s="22" t="n">
        <v>1219</v>
      </c>
      <c r="H36" s="22" t="n">
        <v>218</v>
      </c>
      <c r="I36" s="22" t="n">
        <v>821</v>
      </c>
      <c r="J36" s="22" t="n">
        <v>265</v>
      </c>
      <c r="K36" s="22" t="n">
        <v>408</v>
      </c>
      <c r="L36" s="22" t="n">
        <v>649</v>
      </c>
      <c r="M36" s="22" t="n">
        <v>562</v>
      </c>
      <c r="N36" s="22" t="n">
        <v>829</v>
      </c>
      <c r="O36" s="21" t="n">
        <v>610</v>
      </c>
      <c r="P36" s="22" t="n">
        <v>2110</v>
      </c>
      <c r="Q36" s="22" t="n">
        <v>1156</v>
      </c>
      <c r="R36" s="22" t="n">
        <v>1972</v>
      </c>
      <c r="S36" s="22" t="n">
        <v>1088</v>
      </c>
      <c r="T36" s="22" t="n">
        <v>2120</v>
      </c>
      <c r="U36" s="22" t="n">
        <v>1975</v>
      </c>
      <c r="V36" s="22" t="n">
        <v>1848</v>
      </c>
      <c r="W36" s="22" t="n">
        <v>2247</v>
      </c>
      <c r="X36" s="22" t="n">
        <v>2143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1166</v>
      </c>
      <c r="D38" s="22" t="n">
        <v>-242</v>
      </c>
      <c r="E38" s="22" t="n">
        <v>59</v>
      </c>
      <c r="F38" s="22" t="n">
        <v>1651</v>
      </c>
      <c r="G38" s="22" t="n">
        <v>-1663</v>
      </c>
      <c r="H38" s="22" t="n">
        <v>91</v>
      </c>
      <c r="I38" s="22" t="n">
        <v>1301</v>
      </c>
      <c r="J38" s="22" t="n">
        <v>-809</v>
      </c>
      <c r="K38" s="22" t="n">
        <v>763</v>
      </c>
      <c r="L38" s="22" t="n">
        <v>942</v>
      </c>
      <c r="M38" s="22" t="n">
        <v>1154</v>
      </c>
      <c r="N38" s="22" t="n">
        <v>2440</v>
      </c>
      <c r="O38" s="21" t="n">
        <v>226</v>
      </c>
      <c r="P38" s="22" t="n">
        <v>415</v>
      </c>
      <c r="Q38" s="22" t="n">
        <v>828</v>
      </c>
      <c r="R38" s="22" t="n">
        <v>110</v>
      </c>
      <c r="S38" s="22" t="n">
        <v>566</v>
      </c>
      <c r="T38" s="22" t="n">
        <v>1185</v>
      </c>
      <c r="U38" s="22" t="n">
        <v>49</v>
      </c>
      <c r="V38" s="22" t="n">
        <v>946</v>
      </c>
      <c r="W38" s="22" t="n">
        <v>138</v>
      </c>
      <c r="X38" s="22" t="n">
        <v>2197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21876</v>
      </c>
      <c r="D40" s="12" t="n">
        <v>46454</v>
      </c>
      <c r="E40" s="12" t="n">
        <v>33457</v>
      </c>
      <c r="F40" s="12" t="n">
        <v>41318</v>
      </c>
      <c r="G40" s="12" t="n">
        <v>41866</v>
      </c>
      <c r="H40" s="12" t="n">
        <v>51505</v>
      </c>
      <c r="I40" s="12" t="n">
        <v>33652</v>
      </c>
      <c r="J40" s="12" t="n">
        <v>44919</v>
      </c>
      <c r="K40" s="12" t="n">
        <v>46802</v>
      </c>
      <c r="L40" s="12" t="n">
        <v>58438</v>
      </c>
      <c r="M40" s="12" t="n">
        <v>48410</v>
      </c>
      <c r="N40" s="12" t="n">
        <v>65343</v>
      </c>
      <c r="O40" s="11" t="n">
        <v>30566</v>
      </c>
      <c r="P40" s="12" t="n">
        <v>50724</v>
      </c>
      <c r="Q40" s="12" t="n">
        <v>38256</v>
      </c>
      <c r="R40" s="12" t="n">
        <v>38277</v>
      </c>
      <c r="S40" s="12" t="n">
        <v>53434</v>
      </c>
      <c r="T40" s="12" t="n">
        <v>92251</v>
      </c>
      <c r="U40" s="12" t="n">
        <v>112785</v>
      </c>
      <c r="V40" s="12" t="n">
        <v>114576</v>
      </c>
      <c r="W40" s="12" t="n">
        <v>168146</v>
      </c>
      <c r="X40" s="12" t="n">
        <v>183811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5801</v>
      </c>
      <c r="D41" s="22" t="n">
        <v>11009</v>
      </c>
      <c r="E41" s="22" t="n">
        <v>9686</v>
      </c>
      <c r="F41" s="22" t="n">
        <v>11541</v>
      </c>
      <c r="G41" s="22" t="n">
        <v>10021</v>
      </c>
      <c r="H41" s="22" t="n">
        <v>12822</v>
      </c>
      <c r="I41" s="22" t="n">
        <v>9880</v>
      </c>
      <c r="J41" s="22" t="n">
        <v>12726</v>
      </c>
      <c r="K41" s="22" t="n">
        <v>10061</v>
      </c>
      <c r="L41" s="22" t="n">
        <v>15540</v>
      </c>
      <c r="M41" s="22" t="n">
        <v>14128</v>
      </c>
      <c r="N41" s="22" t="n">
        <v>19143</v>
      </c>
      <c r="O41" s="21" t="n">
        <v>6325</v>
      </c>
      <c r="P41" s="22" t="n">
        <v>13501</v>
      </c>
      <c r="Q41" s="22" t="n">
        <v>9392</v>
      </c>
      <c r="R41" s="22" t="n">
        <v>10572</v>
      </c>
      <c r="S41" s="22" t="n">
        <v>14286</v>
      </c>
      <c r="T41" s="22" t="n">
        <v>25997</v>
      </c>
      <c r="U41" s="22" t="n">
        <v>29871</v>
      </c>
      <c r="V41" s="22" t="n">
        <v>30364</v>
      </c>
      <c r="W41" s="22" t="n">
        <v>44070</v>
      </c>
      <c r="X41" s="22" t="n">
        <v>48207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16075</v>
      </c>
      <c r="D43" s="12" t="n">
        <v>35444</v>
      </c>
      <c r="E43" s="12" t="n">
        <v>23771</v>
      </c>
      <c r="F43" s="12" t="n">
        <v>29777</v>
      </c>
      <c r="G43" s="12" t="n">
        <v>31844</v>
      </c>
      <c r="H43" s="12" t="n">
        <v>38683</v>
      </c>
      <c r="I43" s="12" t="n">
        <v>23772</v>
      </c>
      <c r="J43" s="12" t="n">
        <v>32193</v>
      </c>
      <c r="K43" s="12" t="n">
        <v>36740</v>
      </c>
      <c r="L43" s="12" t="n">
        <v>42898</v>
      </c>
      <c r="M43" s="12" t="n">
        <v>34282</v>
      </c>
      <c r="N43" s="12" t="n">
        <v>46199</v>
      </c>
      <c r="O43" s="11" t="n">
        <v>24241</v>
      </c>
      <c r="P43" s="12" t="n">
        <v>37223</v>
      </c>
      <c r="Q43" s="12" t="n">
        <v>28864</v>
      </c>
      <c r="R43" s="12" t="n">
        <v>27704</v>
      </c>
      <c r="S43" s="12" t="n">
        <v>39147</v>
      </c>
      <c r="T43" s="12" t="n">
        <v>66253</v>
      </c>
      <c r="U43" s="12" t="n">
        <v>82914</v>
      </c>
      <c r="V43" s="12" t="n">
        <v>84211</v>
      </c>
      <c r="W43" s="12" t="n">
        <v>124075</v>
      </c>
      <c r="X43" s="12" t="n">
        <v>135603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16072</v>
      </c>
      <c r="D44" s="12" t="n">
        <v>35425</v>
      </c>
      <c r="E44" s="12" t="n">
        <v>23713</v>
      </c>
      <c r="F44" s="12" t="n">
        <v>29730</v>
      </c>
      <c r="G44" s="12" t="n">
        <v>31809</v>
      </c>
      <c r="H44" s="12" t="n">
        <v>38639</v>
      </c>
      <c r="I44" s="12" t="n">
        <v>23767</v>
      </c>
      <c r="J44" s="12" t="n">
        <v>32146</v>
      </c>
      <c r="K44" s="12" t="n">
        <v>36726</v>
      </c>
      <c r="L44" s="12" t="n">
        <v>42882</v>
      </c>
      <c r="M44" s="12" t="n">
        <v>34221</v>
      </c>
      <c r="N44" s="12" t="n">
        <v>46145</v>
      </c>
      <c r="O44" s="11" t="n">
        <v>24203</v>
      </c>
      <c r="P44" s="12" t="n">
        <v>37171</v>
      </c>
      <c r="Q44" s="12" t="n">
        <v>28824</v>
      </c>
      <c r="R44" s="12" t="n">
        <v>27653</v>
      </c>
      <c r="S44" s="12" t="n">
        <v>39091</v>
      </c>
      <c r="T44" s="12" t="n">
        <v>66206</v>
      </c>
      <c r="U44" s="12" t="n">
        <v>82891</v>
      </c>
      <c r="V44" s="12" t="n">
        <v>84205</v>
      </c>
      <c r="W44" s="12" t="n">
        <v>123891</v>
      </c>
      <c r="X44" s="12" t="n">
        <v>135521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(2026.10.27)</t>
        </is>
      </c>
      <c r="B47" s="29" t="n">
        <v>50030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108523429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2026.10.27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2024.3Q</t>
        </is>
      </c>
      <c r="D77" s="5" t="inlineStr">
        <is>
          <t>2024.4Q</t>
        </is>
      </c>
      <c r="E77" s="5" t="inlineStr">
        <is>
          <t>2025.1Q</t>
        </is>
      </c>
      <c r="F77" s="5" t="inlineStr">
        <is>
          <t>2025.2Q</t>
        </is>
      </c>
      <c r="G77" s="5" t="inlineStr">
        <is>
          <t>2025.3Q</t>
        </is>
      </c>
      <c r="H77" s="5" t="inlineStr">
        <is>
          <t>2025.4Q</t>
        </is>
      </c>
      <c r="I77" s="5" t="inlineStr">
        <is>
          <t>2026.1Q</t>
        </is>
      </c>
      <c r="J77" s="5" t="inlineStr">
        <is>
          <t>2026.2Q</t>
        </is>
      </c>
      <c r="K77" s="5" t="inlineStr">
        <is>
          <t>2026.3Q</t>
        </is>
      </c>
      <c r="L77" s="5" t="inlineStr">
        <is>
          <t>2026.4Q</t>
        </is>
      </c>
      <c r="M77" s="5" t="inlineStr">
        <is>
          <t>2027.1Q</t>
        </is>
      </c>
      <c r="N77" s="5" t="inlineStr">
        <is>
          <t>2027.2Q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76995</v>
      </c>
      <c r="D78" s="12" t="n">
        <v>104299</v>
      </c>
      <c r="E78" s="12" t="n">
        <v>82799</v>
      </c>
      <c r="F78" s="12" t="n">
        <v>96244</v>
      </c>
      <c r="G78" s="12" t="n">
        <v>93553</v>
      </c>
      <c r="H78" s="12" t="n">
        <v>120717</v>
      </c>
      <c r="I78" s="12" t="n">
        <v>89914</v>
      </c>
      <c r="J78" s="12" t="n">
        <v>104623</v>
      </c>
      <c r="K78" s="12" t="n">
        <v>109291</v>
      </c>
      <c r="L78" s="12" t="n">
        <v>133061</v>
      </c>
      <c r="M78" s="12" t="n">
        <v>114308</v>
      </c>
      <c r="N78" s="12" t="n">
        <v>142750</v>
      </c>
      <c r="T78" s="12" t="n">
        <v>73512</v>
      </c>
      <c r="U78" s="12" t="n">
        <v>79015</v>
      </c>
      <c r="V78" s="12" t="n">
        <v>104299</v>
      </c>
      <c r="W78" s="12" t="n">
        <v>120717</v>
      </c>
      <c r="X78" s="12" t="n">
        <v>133061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T79" s="17">
        <f>IF(OR(T78="",S78=""),"",IF(S78&lt;=0,"",IFERROR(T78/S78-1,"")))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24341</v>
      </c>
      <c r="D80" s="22" t="n">
        <v>32974</v>
      </c>
      <c r="E80" s="22" t="n">
        <v>25100</v>
      </c>
      <c r="F80" s="22" t="n">
        <v>27214</v>
      </c>
      <c r="G80" s="22" t="n">
        <v>26931</v>
      </c>
      <c r="H80" s="22" t="n">
        <v>36498</v>
      </c>
      <c r="I80" s="22" t="n">
        <v>28653</v>
      </c>
      <c r="J80" s="22" t="n">
        <v>31874</v>
      </c>
      <c r="K80" s="22" t="n">
        <v>31227</v>
      </c>
      <c r="L80" s="22" t="n">
        <v>38658</v>
      </c>
      <c r="M80" s="22" t="n">
        <v>32764</v>
      </c>
      <c r="N80" s="22" t="n">
        <v>40377</v>
      </c>
      <c r="T80" s="22" t="n">
        <v>28501</v>
      </c>
      <c r="U80" s="22" t="n">
        <v>27792</v>
      </c>
      <c r="V80" s="22" t="n">
        <v>32974</v>
      </c>
      <c r="W80" s="22" t="n">
        <v>36498</v>
      </c>
      <c r="X80" s="22" t="n">
        <v>38658</v>
      </c>
    </row>
    <row r="81">
      <c r="A81" s="9" t="inlineStr">
        <is>
          <t>매출총이익</t>
        </is>
      </c>
      <c r="C81" s="12" t="n">
        <v>52655</v>
      </c>
      <c r="D81" s="12" t="n">
        <v>71325</v>
      </c>
      <c r="E81" s="12" t="n">
        <v>57699</v>
      </c>
      <c r="F81" s="12" t="n">
        <v>69029</v>
      </c>
      <c r="G81" s="12" t="n">
        <v>66623</v>
      </c>
      <c r="H81" s="12" t="n">
        <v>84219</v>
      </c>
      <c r="I81" s="12" t="n">
        <v>61261</v>
      </c>
      <c r="J81" s="12" t="n">
        <v>72748</v>
      </c>
      <c r="K81" s="12" t="n">
        <v>78065</v>
      </c>
      <c r="L81" s="12" t="n">
        <v>94403</v>
      </c>
      <c r="M81" s="12" t="n">
        <v>81543</v>
      </c>
      <c r="N81" s="12" t="n">
        <v>102374</v>
      </c>
      <c r="T81" s="12" t="n">
        <v>45011</v>
      </c>
      <c r="U81" s="12" t="n">
        <v>51224</v>
      </c>
      <c r="V81" s="12" t="n">
        <v>71325</v>
      </c>
      <c r="W81" s="12" t="n">
        <v>84219</v>
      </c>
      <c r="X81" s="12" t="n">
        <v>94403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T82" s="17">
        <f>IF(OR(T81="",S81=""),"",IF(S81&lt;=0,"",IFERROR(T81/S81-1,"")))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판매비와 관리비</t>
        </is>
      </c>
      <c r="C83" s="22" t="n">
        <v>22301</v>
      </c>
      <c r="D83" s="22" t="n">
        <v>25198</v>
      </c>
      <c r="E83" s="22" t="n">
        <v>24322</v>
      </c>
      <c r="F83" s="22" t="n">
        <v>26454</v>
      </c>
      <c r="G83" s="22" t="n">
        <v>27477</v>
      </c>
      <c r="H83" s="22" t="n">
        <v>32483</v>
      </c>
      <c r="I83" s="22" t="n">
        <v>26780</v>
      </c>
      <c r="J83" s="22" t="n">
        <v>28358</v>
      </c>
      <c r="K83" s="22" t="n">
        <v>30723</v>
      </c>
      <c r="L83" s="22" t="n">
        <v>35626</v>
      </c>
      <c r="M83" s="22" t="n">
        <v>32509</v>
      </c>
      <c r="N83" s="22" t="n">
        <v>34768</v>
      </c>
      <c r="T83" s="22" t="n">
        <v>16748</v>
      </c>
      <c r="U83" s="22" t="n">
        <v>19939</v>
      </c>
      <c r="V83" s="22" t="n">
        <v>25198</v>
      </c>
      <c r="W83" s="22" t="n">
        <v>32483</v>
      </c>
      <c r="X83" s="22" t="n">
        <v>35626</v>
      </c>
    </row>
    <row r="84">
      <c r="A84" s="9" t="inlineStr">
        <is>
          <t>영업이익</t>
        </is>
      </c>
      <c r="C84" s="12" t="n">
        <v>30354</v>
      </c>
      <c r="D84" s="12" t="n">
        <v>46127</v>
      </c>
      <c r="E84" s="12" t="n">
        <v>33376</v>
      </c>
      <c r="F84" s="12" t="n">
        <v>42576</v>
      </c>
      <c r="G84" s="12" t="n">
        <v>39146</v>
      </c>
      <c r="H84" s="12" t="n">
        <v>51736</v>
      </c>
      <c r="I84" s="12" t="n">
        <v>34480</v>
      </c>
      <c r="J84" s="12" t="n">
        <v>44391</v>
      </c>
      <c r="K84" s="12" t="n">
        <v>47341</v>
      </c>
      <c r="L84" s="12" t="n">
        <v>58777</v>
      </c>
      <c r="M84" s="12" t="n">
        <v>49033</v>
      </c>
      <c r="N84" s="12" t="n">
        <v>67606</v>
      </c>
      <c r="T84" s="12" t="n">
        <v>28263</v>
      </c>
      <c r="U84" s="12" t="n">
        <v>31285</v>
      </c>
      <c r="V84" s="12" t="n">
        <v>46127</v>
      </c>
      <c r="W84" s="12" t="n">
        <v>51736</v>
      </c>
      <c r="X84" s="12" t="n">
        <v>58777</v>
      </c>
    </row>
    <row r="85">
      <c r="A85" s="45" t="inlineStr">
        <is>
          <t>OPM</t>
        </is>
      </c>
      <c r="B85" s="3" t="inlineStr">
        <is>
          <t>영업이익 ÷ 매출</t>
        </is>
      </c>
      <c r="C85" s="17">
        <f>IF(OR(C84="",C78=""),"",IF(C78&lt;=0,"",IFERROR(C84/C78,"")))</f>
        <v/>
      </c>
      <c r="D85" s="17">
        <f>IF(OR(D84="",D78=""),"",IF(D78&lt;=0,"",IFERROR(D84/D78,"")))</f>
        <v/>
      </c>
      <c r="E85" s="17">
        <f>IF(OR(E84="",E78=""),"",IF(E78&lt;=0,"",IFERROR(E84/E78,"")))</f>
        <v/>
      </c>
      <c r="F85" s="17">
        <f>IF(OR(F84="",F78=""),"",IF(F78&lt;=0,"",IFERROR(F84/F78,"")))</f>
        <v/>
      </c>
      <c r="G85" s="17">
        <f>IF(OR(G84="",G78=""),"",IF(G78&lt;=0,"",IFERROR(G84/G78,"")))</f>
        <v/>
      </c>
      <c r="H85" s="17">
        <f>IF(OR(H84="",H78=""),"",IF(H78&lt;=0,"",IFERROR(H84/H78,"")))</f>
        <v/>
      </c>
      <c r="I85" s="17">
        <f>IF(OR(I84="",I78=""),"",IF(I78&lt;=0,"",IFERROR(I84/I78,"")))</f>
        <v/>
      </c>
      <c r="J85" s="17">
        <f>IF(OR(J84="",J78=""),"",IF(J78&lt;=0,"",IFERROR(J84/J78,"")))</f>
        <v/>
      </c>
      <c r="K85" s="17">
        <f>IF(OR(K84="",K78=""),"",IF(K78&lt;=0,"",IFERROR(K84/K78,"")))</f>
        <v/>
      </c>
      <c r="L85" s="17">
        <f>IF(OR(L84="",L78=""),"",IF(L78&lt;=0,"",IFERROR(L84/L78,"")))</f>
        <v/>
      </c>
      <c r="M85" s="17">
        <f>IF(OR(M84="",M78=""),"",IF(M78&lt;=0,"",IFERROR(M84/M78,"")))</f>
        <v/>
      </c>
      <c r="N85" s="17">
        <f>IF(OR(N84="",N78=""),"",IF(N78&lt;=0,"",IFERROR(N84/N78,"")))</f>
        <v/>
      </c>
      <c r="T85" s="17">
        <f>IF(OR(T84="",T78=""),"",IF(T78&lt;=0,"",IFERROR(T84/T78,"")))</f>
        <v/>
      </c>
      <c r="U85" s="17">
        <f>IF(OR(U84="",U78=""),"",IF(U78&lt;=0,"",IFERROR(U84/U78,"")))</f>
        <v/>
      </c>
      <c r="V85" s="17">
        <f>IF(OR(V84="",V78=""),"",IF(V78&lt;=0,"",IFERROR(V84/V78,"")))</f>
        <v/>
      </c>
      <c r="W85" s="17">
        <f>IF(OR(W84="",W78=""),"",IF(W78&lt;=0,"",IFERROR(W84/W78,"")))</f>
        <v/>
      </c>
      <c r="X85" s="17">
        <f>IF(OR(X84="",X78=""),"",IF(X78&lt;=0,"",IFERROR(X84/X78,"")))</f>
        <v/>
      </c>
    </row>
    <row r="86">
      <c r="A86" s="45" t="inlineStr">
        <is>
          <t>YoY</t>
        </is>
      </c>
      <c r="B86" s="3" t="inlineStr">
        <is>
          <t>전년 같은 분기·전년 대비</t>
        </is>
      </c>
      <c r="G86" s="17">
        <f>IF(OR(G84="",C84=""),"",IF(C84&lt;=0,"",IFERROR(G84/C84-1,"")))</f>
        <v/>
      </c>
      <c r="H86" s="17">
        <f>IF(OR(H84="",D84=""),"",IF(D84&lt;=0,"",IFERROR(H84/D84-1,"")))</f>
        <v/>
      </c>
      <c r="I86" s="17">
        <f>IF(OR(I84="",E84=""),"",IF(E84&lt;=0,"",IFERROR(I84/E84-1,"")))</f>
        <v/>
      </c>
      <c r="J86" s="17">
        <f>IF(OR(J84="",F84=""),"",IF(F84&lt;=0,"",IFERROR(J84/F84-1,"")))</f>
        <v/>
      </c>
      <c r="K86" s="17">
        <f>IF(OR(K84="",G84=""),"",IF(G84&lt;=0,"",IFERROR(K84/G84-1,"")))</f>
        <v/>
      </c>
      <c r="L86" s="17">
        <f>IF(OR(L84="",H84=""),"",IF(H84&lt;=0,"",IFERROR(L84/H84-1,"")))</f>
        <v/>
      </c>
      <c r="M86" s="17">
        <f>IF(OR(M84="",I84=""),"",IF(I84&lt;=0,"",IFERROR(M84/I84-1,"")))</f>
        <v/>
      </c>
      <c r="N86" s="17">
        <f>IF(OR(N84="",J84=""),"",IF(J84&lt;=0,"",IFERROR(N84/J84-1,"")))</f>
        <v/>
      </c>
      <c r="T86" s="17">
        <f>IF(OR(T84="",S84=""),"",IF(S84&lt;=0,"",IFERROR(T84/S84-1,"")))</f>
        <v/>
      </c>
      <c r="U86" s="17">
        <f>IF(OR(U84="",T84=""),"",IF(T84&lt;=0,"",IFERROR(U84/T84-1,"")))</f>
        <v/>
      </c>
      <c r="V86" s="17">
        <f>IF(OR(V84="",U84=""),"",IF(U84&lt;=0,"",IFERROR(V84/U84-1,"")))</f>
        <v/>
      </c>
      <c r="W86" s="17">
        <f>IF(OR(W84="",V84=""),"",IF(V84&lt;=0,"",IFERROR(W84/V84-1,"")))</f>
        <v/>
      </c>
      <c r="X86" s="17">
        <f>IF(OR(X84="",W84=""),"",IF(W84&lt;=0,"",IFERROR(X84/W84-1,"")))</f>
        <v/>
      </c>
    </row>
    <row r="87">
      <c r="A87" s="20" t="inlineStr">
        <is>
          <t>이자수익</t>
        </is>
      </c>
      <c r="C87" s="22" t="n">
        <v>8</v>
      </c>
      <c r="D87" s="22" t="n">
        <v>21</v>
      </c>
      <c r="E87" s="22" t="n">
        <v>8</v>
      </c>
      <c r="F87" s="22" t="n">
        <v>20</v>
      </c>
      <c r="G87" s="22" t="n">
        <v>9</v>
      </c>
      <c r="H87" s="22" t="n">
        <v>47</v>
      </c>
      <c r="I87" s="22" t="n">
        <v>10</v>
      </c>
      <c r="J87" s="22" t="n">
        <v>37</v>
      </c>
      <c r="K87" s="22" t="n">
        <v>9</v>
      </c>
      <c r="L87" s="22" t="n">
        <v>226</v>
      </c>
      <c r="M87" s="22" t="n">
        <v>345</v>
      </c>
      <c r="N87" s="22" t="n">
        <v>501</v>
      </c>
      <c r="T87" s="22" t="n">
        <v>13</v>
      </c>
      <c r="U87" s="22" t="n">
        <v>15</v>
      </c>
      <c r="V87" s="22" t="n">
        <v>21</v>
      </c>
      <c r="W87" s="22" t="n">
        <v>47</v>
      </c>
      <c r="X87" s="22" t="n">
        <v>226</v>
      </c>
    </row>
    <row r="88">
      <c r="A88" s="20" t="inlineStr">
        <is>
          <t>지분법이익</t>
        </is>
      </c>
      <c r="C88" s="22" t="n">
        <v>7</v>
      </c>
      <c r="D88" s="22" t="n">
        <v>67</v>
      </c>
      <c r="E88" s="22" t="n">
        <v>93</v>
      </c>
      <c r="F88" s="22" t="n">
        <v>90</v>
      </c>
      <c r="G88" s="22" t="n">
        <v>52</v>
      </c>
      <c r="H88" s="22" t="n">
        <v>32</v>
      </c>
      <c r="I88" s="22" t="n">
        <v>85</v>
      </c>
      <c r="J88" s="22" t="n">
        <v>-3</v>
      </c>
      <c r="K88" s="22" t="n">
        <v>78</v>
      </c>
      <c r="L88" s="22" t="n">
        <v>-25</v>
      </c>
      <c r="M88" s="22" t="n">
        <v>41</v>
      </c>
      <c r="N88" s="22" t="n">
        <v>96</v>
      </c>
      <c r="T88" s="22" t="n">
        <v>21</v>
      </c>
      <c r="U88" s="22" t="n">
        <v>-1</v>
      </c>
      <c r="V88" s="22" t="n">
        <v>67</v>
      </c>
      <c r="W88" s="22" t="n">
        <v>32</v>
      </c>
      <c r="X88" s="22" t="n">
        <v>-25</v>
      </c>
    </row>
    <row r="89">
      <c r="A89" s="20" t="inlineStr">
        <is>
          <t>외환차익</t>
        </is>
      </c>
      <c r="C89" s="22" t="n">
        <v>-601</v>
      </c>
      <c r="D89" s="22" t="n">
        <v>0</v>
      </c>
      <c r="E89" s="22" t="n">
        <v>0</v>
      </c>
      <c r="F89" s="22" t="n">
        <v>0</v>
      </c>
      <c r="G89" s="22" t="n">
        <v>825</v>
      </c>
      <c r="H89" s="22" t="n">
        <v>-14</v>
      </c>
      <c r="K89" s="22" t="n">
        <v>-21</v>
      </c>
      <c r="L89" s="22" t="n">
        <v>0</v>
      </c>
      <c r="T89" s="22" t="n">
        <v>0</v>
      </c>
      <c r="U89" s="22" t="n">
        <v>483</v>
      </c>
      <c r="V89" s="22" t="n">
        <v>0</v>
      </c>
      <c r="W89" s="22" t="n">
        <v>-14</v>
      </c>
      <c r="X89" s="22" t="n">
        <v>0</v>
      </c>
    </row>
    <row r="90">
      <c r="A90" s="20" t="inlineStr">
        <is>
          <t>임대료 수익</t>
        </is>
      </c>
      <c r="C90" s="22" t="n">
        <v>45</v>
      </c>
      <c r="D90" s="22" t="n">
        <v>53</v>
      </c>
      <c r="E90" s="22" t="n">
        <v>60</v>
      </c>
      <c r="F90" s="22" t="n">
        <v>61</v>
      </c>
      <c r="G90" s="22" t="n">
        <v>62</v>
      </c>
      <c r="H90" s="22" t="n">
        <v>72</v>
      </c>
      <c r="I90" s="22" t="n">
        <v>98</v>
      </c>
      <c r="J90" s="22" t="n">
        <v>102</v>
      </c>
      <c r="K90" s="22" t="n">
        <v>103</v>
      </c>
      <c r="L90" s="22" t="n">
        <v>101</v>
      </c>
      <c r="M90" s="22" t="n">
        <v>107</v>
      </c>
      <c r="N90" s="22" t="n">
        <v>106</v>
      </c>
      <c r="T90" s="22" t="n">
        <v>24</v>
      </c>
      <c r="U90" s="22" t="n">
        <v>47</v>
      </c>
      <c r="V90" s="22" t="n">
        <v>53</v>
      </c>
      <c r="W90" s="22" t="n">
        <v>72</v>
      </c>
      <c r="X90" s="22" t="n">
        <v>101</v>
      </c>
    </row>
    <row r="91">
      <c r="A91" s="20" t="inlineStr">
        <is>
          <t>보조금 수입</t>
        </is>
      </c>
      <c r="C91" s="22" t="n">
        <v>687</v>
      </c>
      <c r="D91" s="22" t="n">
        <v>24</v>
      </c>
      <c r="E91" s="22" t="n">
        <v>68</v>
      </c>
      <c r="F91" s="22" t="n">
        <v>264</v>
      </c>
      <c r="G91" s="22" t="n">
        <v>226</v>
      </c>
      <c r="H91" s="22" t="n">
        <v>24</v>
      </c>
      <c r="I91" s="22" t="n">
        <v>560</v>
      </c>
      <c r="J91" s="22" t="n">
        <v>14</v>
      </c>
      <c r="K91" s="22" t="n">
        <v>160</v>
      </c>
      <c r="L91" s="22" t="n">
        <v>87</v>
      </c>
      <c r="M91" s="22" t="n">
        <v>0</v>
      </c>
      <c r="N91" s="22" t="n">
        <v>9</v>
      </c>
      <c r="T91" s="22" t="n">
        <v>164</v>
      </c>
      <c r="U91" s="22" t="n">
        <v>236</v>
      </c>
      <c r="V91" s="22" t="n">
        <v>24</v>
      </c>
      <c r="W91" s="22" t="n">
        <v>24</v>
      </c>
      <c r="X91" s="22" t="n">
        <v>87</v>
      </c>
    </row>
    <row r="92">
      <c r="A92" s="20" t="inlineStr">
        <is>
          <t>기타</t>
        </is>
      </c>
      <c r="C92" s="22" t="n">
        <v>116</v>
      </c>
      <c r="D92" s="22" t="n">
        <v>132</v>
      </c>
      <c r="E92" s="22" t="n">
        <v>75</v>
      </c>
      <c r="F92" s="22" t="n">
        <v>69</v>
      </c>
      <c r="G92" s="22" t="n">
        <v>44</v>
      </c>
      <c r="H92" s="22" t="n">
        <v>59</v>
      </c>
      <c r="I92" s="22" t="n">
        <v>66</v>
      </c>
      <c r="J92" s="22" t="n">
        <v>93</v>
      </c>
      <c r="K92" s="22" t="n">
        <v>79</v>
      </c>
      <c r="L92" s="22" t="n">
        <v>7</v>
      </c>
      <c r="M92" s="22" t="n">
        <v>68</v>
      </c>
      <c r="N92" s="22" t="n">
        <v>116</v>
      </c>
      <c r="T92" s="22" t="n">
        <v>77</v>
      </c>
      <c r="U92" s="22" t="n">
        <v>98</v>
      </c>
      <c r="V92" s="22" t="n">
        <v>132</v>
      </c>
      <c r="W92" s="22" t="n">
        <v>59</v>
      </c>
      <c r="X92" s="22" t="n">
        <v>7</v>
      </c>
    </row>
    <row r="93">
      <c r="A93" s="20" t="inlineStr">
        <is>
          <t>영업외수익 합계</t>
        </is>
      </c>
      <c r="C93" s="22" t="n">
        <v>262</v>
      </c>
      <c r="D93" s="22" t="n">
        <v>296</v>
      </c>
      <c r="E93" s="22" t="n">
        <v>306</v>
      </c>
      <c r="F93" s="22" t="n">
        <v>504</v>
      </c>
      <c r="G93" s="22" t="n">
        <v>1219</v>
      </c>
      <c r="H93" s="22" t="n">
        <v>218</v>
      </c>
      <c r="I93" s="22" t="n">
        <v>821</v>
      </c>
      <c r="J93" s="22" t="n">
        <v>265</v>
      </c>
      <c r="K93" s="22" t="n">
        <v>408</v>
      </c>
      <c r="L93" s="22" t="n">
        <v>649</v>
      </c>
      <c r="M93" s="22" t="n">
        <v>562</v>
      </c>
      <c r="N93" s="22" t="n">
        <v>829</v>
      </c>
      <c r="T93" s="22" t="n">
        <v>298</v>
      </c>
      <c r="U93" s="22" t="n">
        <v>878</v>
      </c>
      <c r="V93" s="22" t="n">
        <v>296</v>
      </c>
      <c r="W93" s="22" t="n">
        <v>218</v>
      </c>
      <c r="X93" s="22" t="n">
        <v>649</v>
      </c>
    </row>
    <row r="94">
      <c r="A94" s="20" t="inlineStr">
        <is>
          <t>외환차손</t>
        </is>
      </c>
      <c r="C94" s="22" t="n">
        <v>1149</v>
      </c>
      <c r="D94" s="22" t="n">
        <v>-260</v>
      </c>
      <c r="E94" s="22" t="n">
        <v>39</v>
      </c>
      <c r="F94" s="22" t="n">
        <v>1638</v>
      </c>
      <c r="G94" s="22" t="n">
        <v>-1677</v>
      </c>
      <c r="H94" s="22" t="n">
        <v>0</v>
      </c>
      <c r="I94" s="22" t="n">
        <v>1055</v>
      </c>
      <c r="J94" s="22" t="n">
        <v>-1055</v>
      </c>
      <c r="K94" s="22" t="n">
        <v>517</v>
      </c>
      <c r="L94" s="22" t="n">
        <v>695</v>
      </c>
      <c r="M94" s="22" t="n">
        <v>909</v>
      </c>
      <c r="N94" s="22" t="n">
        <v>2192</v>
      </c>
      <c r="T94" s="22" t="n">
        <v>-11</v>
      </c>
      <c r="U94" s="22" t="n">
        <v>0</v>
      </c>
      <c r="V94" s="22" t="n">
        <v>-260</v>
      </c>
      <c r="W94" s="22" t="n">
        <v>0</v>
      </c>
      <c r="X94" s="22" t="n">
        <v>695</v>
      </c>
    </row>
    <row r="95">
      <c r="A95" s="20" t="inlineStr">
        <is>
          <t>감가상각비</t>
        </is>
      </c>
      <c r="C95" s="22" t="n">
        <v>9</v>
      </c>
      <c r="D95" s="22" t="n">
        <v>10</v>
      </c>
      <c r="E95" s="22" t="n">
        <v>10</v>
      </c>
      <c r="F95" s="22" t="n">
        <v>10</v>
      </c>
      <c r="G95" s="22" t="n">
        <v>11</v>
      </c>
      <c r="H95" s="22" t="n">
        <v>88</v>
      </c>
      <c r="I95" s="22" t="n">
        <v>243</v>
      </c>
      <c r="J95" s="22" t="n">
        <v>244</v>
      </c>
      <c r="K95" s="22" t="n">
        <v>244</v>
      </c>
      <c r="L95" s="22" t="n">
        <v>244</v>
      </c>
      <c r="M95" s="22" t="n">
        <v>243</v>
      </c>
      <c r="N95" s="22" t="n">
        <v>243</v>
      </c>
      <c r="T95" s="22" t="n">
        <v>11</v>
      </c>
      <c r="U95" s="22" t="n">
        <v>9</v>
      </c>
      <c r="V95" s="22" t="n">
        <v>10</v>
      </c>
      <c r="W95" s="22" t="n">
        <v>88</v>
      </c>
      <c r="X95" s="22" t="n">
        <v>244</v>
      </c>
    </row>
    <row r="96">
      <c r="A96" s="20" t="inlineStr">
        <is>
          <t>기타</t>
        </is>
      </c>
      <c r="C96" s="22" t="n">
        <v>7</v>
      </c>
      <c r="D96" s="22" t="n">
        <v>1</v>
      </c>
      <c r="E96" s="22" t="n">
        <v>9</v>
      </c>
      <c r="F96" s="22" t="n">
        <v>2</v>
      </c>
      <c r="G96" s="22" t="n">
        <v>5</v>
      </c>
      <c r="H96" s="22" t="n">
        <v>-4</v>
      </c>
      <c r="I96" s="22" t="n">
        <v>2</v>
      </c>
      <c r="J96" s="22" t="n">
        <v>2</v>
      </c>
      <c r="K96" s="22" t="n">
        <v>2</v>
      </c>
      <c r="L96" s="22" t="n">
        <v>-4</v>
      </c>
      <c r="M96" s="22" t="n">
        <v>1</v>
      </c>
      <c r="N96" s="22" t="n">
        <v>5</v>
      </c>
      <c r="T96" s="22" t="n">
        <v>9</v>
      </c>
      <c r="U96" s="22" t="n">
        <v>-1</v>
      </c>
      <c r="V96" s="22" t="n">
        <v>1</v>
      </c>
      <c r="W96" s="22" t="n">
        <v>-4</v>
      </c>
      <c r="X96" s="22" t="n">
        <v>-4</v>
      </c>
    </row>
    <row r="97">
      <c r="A97" s="20" t="inlineStr">
        <is>
          <t>영업외비용 합계</t>
        </is>
      </c>
      <c r="C97" s="22" t="n">
        <v>1166</v>
      </c>
      <c r="D97" s="22" t="n">
        <v>-242</v>
      </c>
      <c r="E97" s="22" t="n">
        <v>59</v>
      </c>
      <c r="F97" s="22" t="n">
        <v>1651</v>
      </c>
      <c r="G97" s="22" t="n">
        <v>-1663</v>
      </c>
      <c r="H97" s="22" t="n">
        <v>91</v>
      </c>
      <c r="I97" s="22" t="n">
        <v>1301</v>
      </c>
      <c r="J97" s="22" t="n">
        <v>-809</v>
      </c>
      <c r="K97" s="22" t="n">
        <v>763</v>
      </c>
      <c r="L97" s="22" t="n">
        <v>942</v>
      </c>
      <c r="M97" s="22" t="n">
        <v>1154</v>
      </c>
      <c r="N97" s="22" t="n">
        <v>2440</v>
      </c>
      <c r="T97" s="22" t="n">
        <v>9</v>
      </c>
      <c r="U97" s="22" t="n">
        <v>13</v>
      </c>
      <c r="V97" s="22" t="n">
        <v>-242</v>
      </c>
      <c r="W97" s="22" t="n">
        <v>91</v>
      </c>
      <c r="X97" s="22" t="n">
        <v>942</v>
      </c>
    </row>
    <row r="98">
      <c r="A98" s="9" t="inlineStr">
        <is>
          <t>경상이익</t>
        </is>
      </c>
      <c r="C98" s="12" t="n">
        <v>29450</v>
      </c>
      <c r="D98" s="12" t="n">
        <v>46666</v>
      </c>
      <c r="E98" s="12" t="n">
        <v>33623</v>
      </c>
      <c r="F98" s="12" t="n">
        <v>41429</v>
      </c>
      <c r="G98" s="12" t="n">
        <v>42028</v>
      </c>
      <c r="H98" s="12" t="n">
        <v>51863</v>
      </c>
      <c r="I98" s="12" t="n">
        <v>33999</v>
      </c>
      <c r="J98" s="12" t="n">
        <v>45466</v>
      </c>
      <c r="K98" s="12" t="n">
        <v>46986</v>
      </c>
      <c r="L98" s="12" t="n">
        <v>58485</v>
      </c>
      <c r="M98" s="12" t="n">
        <v>48441</v>
      </c>
      <c r="N98" s="12" t="n">
        <v>65996</v>
      </c>
      <c r="T98" s="12" t="n">
        <v>28552</v>
      </c>
      <c r="U98" s="12" t="n">
        <v>32150</v>
      </c>
      <c r="V98" s="12" t="n">
        <v>46666</v>
      </c>
      <c r="W98" s="12" t="n">
        <v>51863</v>
      </c>
      <c r="X98" s="12" t="n">
        <v>58485</v>
      </c>
    </row>
    <row r="99">
      <c r="A99" s="45" t="inlineStr">
        <is>
          <t>YoY</t>
        </is>
      </c>
      <c r="B99" s="3" t="inlineStr">
        <is>
          <t>전년 같은 분기·전년 대비</t>
        </is>
      </c>
      <c r="G99" s="17">
        <f>IF(OR(G98="",C98=""),"",IF(C98&lt;=0,"",IFERROR(G98/C98-1,"")))</f>
        <v/>
      </c>
      <c r="H99" s="17">
        <f>IF(OR(H98="",D98=""),"",IF(D98&lt;=0,"",IFERROR(H98/D98-1,"")))</f>
        <v/>
      </c>
      <c r="I99" s="17">
        <f>IF(OR(I98="",E98=""),"",IF(E98&lt;=0,"",IFERROR(I98/E98-1,"")))</f>
        <v/>
      </c>
      <c r="J99" s="17">
        <f>IF(OR(J98="",F98=""),"",IF(F98&lt;=0,"",IFERROR(J98/F98-1,"")))</f>
        <v/>
      </c>
      <c r="K99" s="17">
        <f>IF(OR(K98="",G98=""),"",IF(G98&lt;=0,"",IFERROR(K98/G98-1,"")))</f>
        <v/>
      </c>
      <c r="L99" s="17">
        <f>IF(OR(L98="",H98=""),"",IF(H98&lt;=0,"",IFERROR(L98/H98-1,"")))</f>
        <v/>
      </c>
      <c r="M99" s="17">
        <f>IF(OR(M98="",I98=""),"",IF(I98&lt;=0,"",IFERROR(M98/I98-1,"")))</f>
        <v/>
      </c>
      <c r="N99" s="17">
        <f>IF(OR(N98="",J98=""),"",IF(J98&lt;=0,"",IFERROR(N98/J98-1,"")))</f>
        <v/>
      </c>
      <c r="T99" s="17">
        <f>IF(OR(T98="",S98=""),"",IF(S98&lt;=0,"",IFERROR(T98/S98-1,"")))</f>
        <v/>
      </c>
      <c r="U99" s="17">
        <f>IF(OR(U98="",T98=""),"",IF(T98&lt;=0,"",IFERROR(U98/T98-1,"")))</f>
        <v/>
      </c>
      <c r="V99" s="17">
        <f>IF(OR(V98="",U98=""),"",IF(U98&lt;=0,"",IFERROR(V98/U98-1,"")))</f>
        <v/>
      </c>
      <c r="W99" s="17">
        <f>IF(OR(W98="",V98=""),"",IF(V98&lt;=0,"",IFERROR(W98/V98-1,"")))</f>
        <v/>
      </c>
      <c r="X99" s="17">
        <f>IF(OR(X98="",W98=""),"",IF(W98&lt;=0,"",IFERROR(X98/W98-1,"")))</f>
        <v/>
      </c>
    </row>
    <row r="100">
      <c r="A100" s="20" t="inlineStr">
        <is>
          <t>고정자산 매각이익</t>
        </is>
      </c>
      <c r="C100" s="22" t="n">
        <v>2</v>
      </c>
      <c r="D100" s="22" t="n">
        <v>1</v>
      </c>
      <c r="E100" s="22" t="n">
        <v>0</v>
      </c>
      <c r="F100" s="22" t="n">
        <v>1</v>
      </c>
      <c r="G100" s="22" t="n">
        <v>8</v>
      </c>
      <c r="H100" s="22" t="n">
        <v>8</v>
      </c>
      <c r="I100" s="22" t="n">
        <v>4</v>
      </c>
      <c r="J100" s="22" t="n">
        <v>2</v>
      </c>
      <c r="K100" s="22" t="n">
        <v>3</v>
      </c>
      <c r="L100" s="22" t="n">
        <v>1</v>
      </c>
      <c r="M100" s="22" t="n">
        <v>10</v>
      </c>
      <c r="N100" s="22" t="n">
        <v>5</v>
      </c>
      <c r="T100" s="22" t="n">
        <v>0</v>
      </c>
      <c r="U100" s="22" t="n">
        <v>658</v>
      </c>
      <c r="V100" s="22" t="n">
        <v>1</v>
      </c>
      <c r="W100" s="22" t="n">
        <v>8</v>
      </c>
      <c r="X100" s="22" t="n">
        <v>1</v>
      </c>
    </row>
    <row r="101">
      <c r="A101" s="20" t="inlineStr">
        <is>
          <t>투자유가증권 매각이익</t>
        </is>
      </c>
      <c r="T101" s="22" t="n">
        <v>0</v>
      </c>
      <c r="U101" s="22" t="n">
        <v>10</v>
      </c>
    </row>
    <row r="102">
      <c r="A102" s="20" t="inlineStr">
        <is>
          <t>신주예약권 환입이익</t>
        </is>
      </c>
      <c r="D102" s="22" t="n">
        <v>0</v>
      </c>
      <c r="H102" s="22" t="n">
        <v>0</v>
      </c>
      <c r="L102" s="22" t="n">
        <v>0</v>
      </c>
      <c r="V102" s="22" t="n">
        <v>0</v>
      </c>
      <c r="W102" s="22" t="n">
        <v>0</v>
      </c>
      <c r="X102" s="22" t="n">
        <v>0</v>
      </c>
    </row>
    <row r="103">
      <c r="A103" s="20" t="inlineStr">
        <is>
          <t>특별이익 합계</t>
        </is>
      </c>
      <c r="C103" s="22" t="n">
        <v>2</v>
      </c>
      <c r="D103" s="22" t="n">
        <v>1</v>
      </c>
      <c r="E103" s="22" t="n">
        <v>0</v>
      </c>
      <c r="F103" s="22" t="n">
        <v>1</v>
      </c>
      <c r="G103" s="22" t="n">
        <v>14</v>
      </c>
      <c r="H103" s="22" t="n">
        <v>8</v>
      </c>
      <c r="I103" s="22" t="n">
        <v>4</v>
      </c>
      <c r="J103" s="22" t="n">
        <v>2</v>
      </c>
      <c r="K103" s="22" t="n">
        <v>3</v>
      </c>
      <c r="L103" s="22" t="n">
        <v>1</v>
      </c>
      <c r="M103" s="22" t="n">
        <v>10</v>
      </c>
      <c r="N103" s="22" t="n">
        <v>5</v>
      </c>
      <c r="T103" s="22" t="n">
        <v>0</v>
      </c>
      <c r="U103" s="22" t="n">
        <v>668</v>
      </c>
      <c r="V103" s="22" t="n">
        <v>1</v>
      </c>
      <c r="W103" s="22" t="n">
        <v>8</v>
      </c>
      <c r="X103" s="22" t="n">
        <v>1</v>
      </c>
    </row>
    <row r="104">
      <c r="A104" s="20" t="inlineStr">
        <is>
          <t>고정자산 제각·매각손실</t>
        </is>
      </c>
      <c r="C104" s="22" t="n">
        <v>39</v>
      </c>
      <c r="D104" s="22" t="n">
        <v>8</v>
      </c>
      <c r="E104" s="22" t="n">
        <v>10</v>
      </c>
      <c r="F104" s="22" t="n">
        <v>11</v>
      </c>
      <c r="G104" s="22" t="n">
        <v>7</v>
      </c>
      <c r="H104" s="22" t="n">
        <v>39</v>
      </c>
      <c r="I104" s="22" t="n">
        <v>14</v>
      </c>
      <c r="J104" s="22" t="n">
        <v>60</v>
      </c>
      <c r="K104" s="22" t="n">
        <v>45</v>
      </c>
      <c r="L104" s="22" t="n">
        <v>19</v>
      </c>
      <c r="M104" s="22" t="n">
        <v>33</v>
      </c>
      <c r="N104" s="22" t="n">
        <v>8</v>
      </c>
      <c r="T104" s="22" t="n">
        <v>17</v>
      </c>
      <c r="U104" s="22" t="n">
        <v>57</v>
      </c>
      <c r="V104" s="22" t="n">
        <v>8</v>
      </c>
      <c r="W104" s="22" t="n">
        <v>39</v>
      </c>
      <c r="X104" s="22" t="n">
        <v>19</v>
      </c>
    </row>
    <row r="105">
      <c r="A105" s="20" t="inlineStr">
        <is>
          <t>손상차손</t>
        </is>
      </c>
      <c r="D105" s="22" t="n">
        <v>0</v>
      </c>
      <c r="H105" s="22" t="n">
        <v>0</v>
      </c>
      <c r="T105" s="22" t="n">
        <v>0</v>
      </c>
      <c r="U105" s="22" t="n">
        <v>0</v>
      </c>
      <c r="V105" s="22" t="n">
        <v>0</v>
      </c>
      <c r="W105" s="22" t="n">
        <v>0</v>
      </c>
    </row>
    <row r="106">
      <c r="A106" s="20" t="inlineStr">
        <is>
          <t>투자유가증권 평가손실</t>
        </is>
      </c>
      <c r="T106" s="22" t="n">
        <v>0</v>
      </c>
      <c r="U106" s="22" t="n">
        <v>0</v>
      </c>
    </row>
    <row r="107">
      <c r="A107" s="20" t="inlineStr">
        <is>
          <t>특별퇴직금</t>
        </is>
      </c>
      <c r="C107" s="22" t="n">
        <v>5</v>
      </c>
      <c r="D107" s="22" t="n">
        <v>5</v>
      </c>
      <c r="E107" s="22" t="n">
        <v>5</v>
      </c>
      <c r="F107" s="22" t="n">
        <v>6</v>
      </c>
      <c r="G107" s="22" t="n">
        <v>5</v>
      </c>
      <c r="H107" s="22" t="n">
        <v>7</v>
      </c>
      <c r="I107" s="22" t="n">
        <v>4</v>
      </c>
      <c r="J107" s="22" t="n">
        <v>4</v>
      </c>
      <c r="K107" s="22" t="n">
        <v>141</v>
      </c>
      <c r="L107" s="22" t="n">
        <v>30</v>
      </c>
      <c r="M107" s="22" t="n">
        <v>7</v>
      </c>
      <c r="N107" s="22" t="n">
        <v>14</v>
      </c>
      <c r="T107" s="22" t="n">
        <v>21</v>
      </c>
      <c r="U107" s="22" t="n">
        <v>36</v>
      </c>
      <c r="V107" s="22" t="n">
        <v>5</v>
      </c>
      <c r="W107" s="22" t="n">
        <v>7</v>
      </c>
      <c r="X107" s="22" t="n">
        <v>30</v>
      </c>
    </row>
    <row r="108">
      <c r="A108" s="20" t="inlineStr">
        <is>
          <t>건물 해체 비용</t>
        </is>
      </c>
      <c r="C108" s="22" t="n">
        <v>0</v>
      </c>
      <c r="D108" s="22" t="n">
        <v>202</v>
      </c>
      <c r="E108" s="22" t="n">
        <v>150</v>
      </c>
      <c r="F108" s="22" t="n">
        <v>95</v>
      </c>
      <c r="G108" s="22" t="n">
        <v>164</v>
      </c>
      <c r="H108" s="22" t="n">
        <v>321</v>
      </c>
      <c r="I108" s="22" t="n">
        <v>332</v>
      </c>
      <c r="J108" s="22" t="n">
        <v>485</v>
      </c>
      <c r="K108" s="22" t="n">
        <v>0</v>
      </c>
      <c r="L108" s="22" t="n">
        <v>0</v>
      </c>
      <c r="M108" s="22" t="n">
        <v>0</v>
      </c>
      <c r="N108" s="22" t="n">
        <v>0</v>
      </c>
      <c r="V108" s="22" t="n">
        <v>202</v>
      </c>
      <c r="W108" s="22" t="n">
        <v>321</v>
      </c>
      <c r="X108" s="22" t="n">
        <v>0</v>
      </c>
    </row>
    <row r="109">
      <c r="A109" s="20" t="inlineStr">
        <is>
          <t>특별손실 합계</t>
        </is>
      </c>
      <c r="C109" s="22" t="n">
        <v>7575</v>
      </c>
      <c r="D109" s="22" t="n">
        <v>215</v>
      </c>
      <c r="E109" s="22" t="n">
        <v>166</v>
      </c>
      <c r="F109" s="22" t="n">
        <v>112</v>
      </c>
      <c r="G109" s="22" t="n">
        <v>176</v>
      </c>
      <c r="H109" s="22" t="n">
        <v>367</v>
      </c>
      <c r="I109" s="22" t="n">
        <v>351</v>
      </c>
      <c r="J109" s="22" t="n">
        <v>549</v>
      </c>
      <c r="K109" s="22" t="n">
        <v>187</v>
      </c>
      <c r="L109" s="22" t="n">
        <v>49</v>
      </c>
      <c r="M109" s="22" t="n">
        <v>41</v>
      </c>
      <c r="N109" s="22" t="n">
        <v>659</v>
      </c>
      <c r="T109" s="22" t="n">
        <v>38</v>
      </c>
      <c r="U109" s="22" t="n">
        <v>92</v>
      </c>
      <c r="V109" s="22" t="n">
        <v>215</v>
      </c>
      <c r="W109" s="22" t="n">
        <v>367</v>
      </c>
      <c r="X109" s="22" t="n">
        <v>49</v>
      </c>
    </row>
    <row r="110">
      <c r="A110" s="9" t="inlineStr">
        <is>
          <t>법인세차감전 순이익</t>
        </is>
      </c>
      <c r="C110" s="12" t="n">
        <v>21876</v>
      </c>
      <c r="D110" s="12" t="n">
        <v>46454</v>
      </c>
      <c r="E110" s="12" t="n">
        <v>33457</v>
      </c>
      <c r="F110" s="12" t="n">
        <v>41318</v>
      </c>
      <c r="G110" s="12" t="n">
        <v>41866</v>
      </c>
      <c r="H110" s="12" t="n">
        <v>51505</v>
      </c>
      <c r="I110" s="12" t="n">
        <v>33652</v>
      </c>
      <c r="J110" s="12" t="n">
        <v>44919</v>
      </c>
      <c r="K110" s="12" t="n">
        <v>46802</v>
      </c>
      <c r="L110" s="12" t="n">
        <v>58438</v>
      </c>
      <c r="M110" s="12" t="n">
        <v>48410</v>
      </c>
      <c r="N110" s="12" t="n">
        <v>65343</v>
      </c>
      <c r="T110" s="12" t="n">
        <v>28514</v>
      </c>
      <c r="U110" s="12" t="n">
        <v>32727</v>
      </c>
      <c r="V110" s="12" t="n">
        <v>46454</v>
      </c>
      <c r="W110" s="12" t="n">
        <v>51505</v>
      </c>
      <c r="X110" s="12" t="n">
        <v>58438</v>
      </c>
    </row>
    <row r="111">
      <c r="A111" s="20" t="inlineStr">
        <is>
          <t>법인세·주민세·사업세</t>
        </is>
      </c>
      <c r="C111" s="22" t="n">
        <v>8533</v>
      </c>
      <c r="D111" s="22" t="n">
        <v>14769</v>
      </c>
      <c r="E111" s="22" t="n">
        <v>7260</v>
      </c>
      <c r="F111" s="22" t="n">
        <v>12156</v>
      </c>
      <c r="G111" s="22" t="n">
        <v>10501</v>
      </c>
      <c r="H111" s="22" t="n">
        <v>17943</v>
      </c>
      <c r="I111" s="22" t="n">
        <v>6786</v>
      </c>
      <c r="J111" s="22" t="n">
        <v>8956</v>
      </c>
      <c r="K111" s="22" t="n">
        <v>10684</v>
      </c>
      <c r="L111" s="22" t="n">
        <v>20326</v>
      </c>
      <c r="M111" s="22" t="n">
        <v>11571</v>
      </c>
      <c r="N111" s="22" t="n">
        <v>20369</v>
      </c>
      <c r="T111" s="22" t="n">
        <v>10084</v>
      </c>
      <c r="U111" s="22" t="n">
        <v>9621</v>
      </c>
      <c r="V111" s="22" t="n">
        <v>14769</v>
      </c>
      <c r="W111" s="22" t="n">
        <v>17943</v>
      </c>
      <c r="X111" s="22" t="n">
        <v>20326</v>
      </c>
    </row>
    <row r="112">
      <c r="A112" s="20" t="inlineStr">
        <is>
          <t>법인세 조정액</t>
        </is>
      </c>
      <c r="C112" s="22" t="n">
        <v>-2730</v>
      </c>
      <c r="D112" s="22" t="n">
        <v>-3761</v>
      </c>
      <c r="E112" s="22" t="n">
        <v>2426</v>
      </c>
      <c r="F112" s="22" t="n">
        <v>-616</v>
      </c>
      <c r="G112" s="22" t="n">
        <v>-479</v>
      </c>
      <c r="H112" s="22" t="n">
        <v>-5121</v>
      </c>
      <c r="I112" s="22" t="n">
        <v>3094</v>
      </c>
      <c r="J112" s="22" t="n">
        <v>3769</v>
      </c>
      <c r="K112" s="22" t="n">
        <v>-622</v>
      </c>
      <c r="L112" s="22" t="n">
        <v>-4786</v>
      </c>
      <c r="M112" s="22" t="n">
        <v>2557</v>
      </c>
      <c r="N112" s="22" t="n">
        <v>-1226</v>
      </c>
      <c r="T112" s="22" t="n">
        <v>-2276</v>
      </c>
      <c r="U112" s="22" t="n">
        <v>-2577</v>
      </c>
      <c r="V112" s="22" t="n">
        <v>-3761</v>
      </c>
      <c r="W112" s="22" t="n">
        <v>-5121</v>
      </c>
      <c r="X112" s="22" t="n">
        <v>-4786</v>
      </c>
    </row>
    <row r="113">
      <c r="A113" s="20" t="inlineStr">
        <is>
          <t>법인세 등 합계</t>
        </is>
      </c>
      <c r="C113" s="22" t="n">
        <v>5801</v>
      </c>
      <c r="D113" s="22" t="n">
        <v>11009</v>
      </c>
      <c r="E113" s="22" t="n">
        <v>9686</v>
      </c>
      <c r="F113" s="22" t="n">
        <v>11541</v>
      </c>
      <c r="G113" s="22" t="n">
        <v>10021</v>
      </c>
      <c r="H113" s="22" t="n">
        <v>12822</v>
      </c>
      <c r="I113" s="22" t="n">
        <v>9880</v>
      </c>
      <c r="J113" s="22" t="n">
        <v>12726</v>
      </c>
      <c r="K113" s="22" t="n">
        <v>10061</v>
      </c>
      <c r="L113" s="22" t="n">
        <v>15540</v>
      </c>
      <c r="M113" s="22" t="n">
        <v>14128</v>
      </c>
      <c r="N113" s="22" t="n">
        <v>19143</v>
      </c>
      <c r="T113" s="22" t="n">
        <v>7806</v>
      </c>
      <c r="U113" s="22" t="n">
        <v>7044</v>
      </c>
      <c r="V113" s="22" t="n">
        <v>11009</v>
      </c>
      <c r="W113" s="22" t="n">
        <v>12822</v>
      </c>
      <c r="X113" s="22" t="n">
        <v>15540</v>
      </c>
    </row>
    <row r="114">
      <c r="A114" s="9" t="inlineStr">
        <is>
          <t>순이익</t>
        </is>
      </c>
      <c r="C114" s="12" t="n">
        <v>16075</v>
      </c>
      <c r="D114" s="12" t="n">
        <v>35444</v>
      </c>
      <c r="E114" s="12" t="n">
        <v>23771</v>
      </c>
      <c r="F114" s="12" t="n">
        <v>29777</v>
      </c>
      <c r="G114" s="12" t="n">
        <v>31844</v>
      </c>
      <c r="H114" s="12" t="n">
        <v>38683</v>
      </c>
      <c r="I114" s="12" t="n">
        <v>23772</v>
      </c>
      <c r="J114" s="12" t="n">
        <v>32193</v>
      </c>
      <c r="K114" s="12" t="n">
        <v>36740</v>
      </c>
      <c r="L114" s="12" t="n">
        <v>42898</v>
      </c>
      <c r="M114" s="12" t="n">
        <v>34282</v>
      </c>
      <c r="N114" s="12" t="n">
        <v>46199</v>
      </c>
      <c r="T114" s="12" t="n">
        <v>20708</v>
      </c>
      <c r="U114" s="12" t="n">
        <v>25683</v>
      </c>
      <c r="V114" s="12" t="n">
        <v>35444</v>
      </c>
      <c r="W114" s="12" t="n">
        <v>38683</v>
      </c>
      <c r="X114" s="12" t="n">
        <v>42898</v>
      </c>
    </row>
    <row r="115">
      <c r="A115" s="45" t="inlineStr">
        <is>
          <t>YoY</t>
        </is>
      </c>
      <c r="B115" s="3" t="inlineStr">
        <is>
          <t>전년 같은 분기·전년 대비</t>
        </is>
      </c>
      <c r="G115" s="17">
        <f>IF(OR(G114="",C114=""),"",IF(C114&lt;=0,"",IFERROR(G114/C114-1,"")))</f>
        <v/>
      </c>
      <c r="H115" s="17">
        <f>IF(OR(H114="",D114=""),"",IF(D114&lt;=0,"",IFERROR(H114/D114-1,"")))</f>
        <v/>
      </c>
      <c r="I115" s="17">
        <f>IF(OR(I114="",E114=""),"",IF(E114&lt;=0,"",IFERROR(I114/E114-1,"")))</f>
        <v/>
      </c>
      <c r="J115" s="17">
        <f>IF(OR(J114="",F114=""),"",IF(F114&lt;=0,"",IFERROR(J114/F114-1,"")))</f>
        <v/>
      </c>
      <c r="K115" s="17">
        <f>IF(OR(K114="",G114=""),"",IF(G114&lt;=0,"",IFERROR(K114/G114-1,"")))</f>
        <v/>
      </c>
      <c r="L115" s="17">
        <f>IF(OR(L114="",H114=""),"",IF(H114&lt;=0,"",IFERROR(L114/H114-1,"")))</f>
        <v/>
      </c>
      <c r="M115" s="17">
        <f>IF(OR(M114="",I114=""),"",IF(I114&lt;=0,"",IFERROR(M114/I114-1,"")))</f>
        <v/>
      </c>
      <c r="N115" s="17">
        <f>IF(OR(N114="",J114=""),"",IF(J114&lt;=0,"",IFERROR(N114/J114-1,"")))</f>
        <v/>
      </c>
      <c r="T115" s="17">
        <f>IF(OR(T114="",S114=""),"",IF(S114&lt;=0,"",IFERROR(T114/S114-1,"")))</f>
        <v/>
      </c>
      <c r="U115" s="17">
        <f>IF(OR(U114="",T114=""),"",IF(T114&lt;=0,"",IFERROR(U114/T114-1,"")))</f>
        <v/>
      </c>
      <c r="V115" s="17">
        <f>IF(OR(V114="",U114=""),"",IF(U114&lt;=0,"",IFERROR(V114/U114-1,"")))</f>
        <v/>
      </c>
      <c r="W115" s="17">
        <f>IF(OR(W114="",V114=""),"",IF(V114&lt;=0,"",IFERROR(W114/V114-1,"")))</f>
        <v/>
      </c>
      <c r="X115" s="17">
        <f>IF(OR(X114="",W114=""),"",IF(W114&lt;=0,"",IFERROR(X114/W114-1,"")))</f>
        <v/>
      </c>
    </row>
    <row r="116">
      <c r="A116" s="9" t="inlineStr">
        <is>
          <t>지배주주 순이익</t>
        </is>
      </c>
      <c r="C116" s="12" t="n">
        <v>16072</v>
      </c>
      <c r="D116" s="12" t="n">
        <v>35425</v>
      </c>
      <c r="E116" s="12" t="n">
        <v>23713</v>
      </c>
      <c r="F116" s="12" t="n">
        <v>29730</v>
      </c>
      <c r="G116" s="12" t="n">
        <v>31809</v>
      </c>
      <c r="H116" s="12" t="n">
        <v>38639</v>
      </c>
      <c r="I116" s="12" t="n">
        <v>23767</v>
      </c>
      <c r="J116" s="12" t="n">
        <v>32146</v>
      </c>
      <c r="K116" s="12" t="n">
        <v>36726</v>
      </c>
      <c r="L116" s="12" t="n">
        <v>42882</v>
      </c>
      <c r="M116" s="12" t="n">
        <v>34221</v>
      </c>
      <c r="N116" s="12" t="n">
        <v>46145</v>
      </c>
      <c r="T116" s="12" t="n">
        <v>20697</v>
      </c>
      <c r="U116" s="12" t="n">
        <v>25672</v>
      </c>
      <c r="V116" s="12" t="n">
        <v>35425</v>
      </c>
      <c r="W116" s="12" t="n">
        <v>38639</v>
      </c>
      <c r="X116" s="12" t="n">
        <v>42882</v>
      </c>
    </row>
    <row r="117">
      <c r="A117" s="45" t="inlineStr">
        <is>
          <t>YoY</t>
        </is>
      </c>
      <c r="B117" s="3" t="inlineStr">
        <is>
          <t>전년 같은 분기·전년 대비</t>
        </is>
      </c>
      <c r="G117" s="17">
        <f>IF(OR(G116="",C116=""),"",IF(C116&lt;=0,"",IFERROR(G116/C116-1,"")))</f>
        <v/>
      </c>
      <c r="H117" s="17">
        <f>IF(OR(H116="",D116=""),"",IF(D116&lt;=0,"",IFERROR(H116/D116-1,"")))</f>
        <v/>
      </c>
      <c r="I117" s="17">
        <f>IF(OR(I116="",E116=""),"",IF(E116&lt;=0,"",IFERROR(I116/E116-1,"")))</f>
        <v/>
      </c>
      <c r="J117" s="17">
        <f>IF(OR(J116="",F116=""),"",IF(F116&lt;=0,"",IFERROR(J116/F116-1,"")))</f>
        <v/>
      </c>
      <c r="K117" s="17">
        <f>IF(OR(K116="",G116=""),"",IF(G116&lt;=0,"",IFERROR(K116/G116-1,"")))</f>
        <v/>
      </c>
      <c r="L117" s="17">
        <f>IF(OR(L116="",H116=""),"",IF(H116&lt;=0,"",IFERROR(L116/H116-1,"")))</f>
        <v/>
      </c>
      <c r="M117" s="17">
        <f>IF(OR(M116="",I116=""),"",IF(I116&lt;=0,"",IFERROR(M116/I116-1,"")))</f>
        <v/>
      </c>
      <c r="N117" s="17">
        <f>IF(OR(N116="",J116=""),"",IF(J116&lt;=0,"",IFERROR(N116/J116-1,"")))</f>
        <v/>
      </c>
      <c r="T117" s="17">
        <f>IF(OR(T116="",S116=""),"",IF(S116&lt;=0,"",IFERROR(T116/S116-1,"")))</f>
        <v/>
      </c>
      <c r="U117" s="17">
        <f>IF(OR(U116="",T116=""),"",IF(T116&lt;=0,"",IFERROR(U116/T116-1,"")))</f>
        <v/>
      </c>
      <c r="V117" s="17">
        <f>IF(OR(V116="",U116=""),"",IF(U116&lt;=0,"",IFERROR(V116/U116-1,"")))</f>
        <v/>
      </c>
      <c r="W117" s="17">
        <f>IF(OR(W116="",V116=""),"",IF(V116&lt;=0,"",IFERROR(W116/V116-1,"")))</f>
        <v/>
      </c>
      <c r="X117" s="17">
        <f>IF(OR(X116="",W116=""),"",IF(W116&lt;=0,"",IFERROR(X116/W116-1,"")))</f>
        <v/>
      </c>
    </row>
    <row r="118">
      <c r="A118" s="9" t="inlineStr">
        <is>
          <t>비지배주주 순이익</t>
        </is>
      </c>
      <c r="C118" s="12" t="n">
        <v>4</v>
      </c>
      <c r="D118" s="12" t="n">
        <v>17</v>
      </c>
      <c r="E118" s="12" t="n">
        <v>57</v>
      </c>
      <c r="F118" s="12" t="n">
        <v>47</v>
      </c>
      <c r="G118" s="12" t="n">
        <v>36</v>
      </c>
      <c r="H118" s="12" t="n">
        <v>44</v>
      </c>
      <c r="I118" s="12" t="n">
        <v>4</v>
      </c>
      <c r="J118" s="12" t="n">
        <v>48</v>
      </c>
      <c r="K118" s="12" t="n">
        <v>13</v>
      </c>
      <c r="L118" s="12" t="n">
        <v>16</v>
      </c>
      <c r="M118" s="12" t="n">
        <v>60</v>
      </c>
      <c r="N118" s="12" t="n">
        <v>55</v>
      </c>
      <c r="T118" s="12" t="n">
        <v>11</v>
      </c>
      <c r="U118" s="12" t="n">
        <v>11</v>
      </c>
      <c r="V118" s="12" t="n">
        <v>17</v>
      </c>
      <c r="W118" s="12" t="n">
        <v>44</v>
      </c>
      <c r="X118" s="12" t="n">
        <v>16</v>
      </c>
    </row>
    <row r="119">
      <c r="A119" s="20" t="inlineStr">
        <is>
          <t>해외사업환산조정</t>
        </is>
      </c>
      <c r="C119" s="22" t="n">
        <v>1464</v>
      </c>
      <c r="D119" s="22" t="n">
        <v>1247</v>
      </c>
      <c r="E119" s="22" t="n">
        <v>1369</v>
      </c>
      <c r="F119" s="22" t="n">
        <v>-792</v>
      </c>
      <c r="G119" s="22" t="n">
        <v>-385</v>
      </c>
      <c r="H119" s="22" t="n">
        <v>-51</v>
      </c>
      <c r="I119" s="22" t="n">
        <v>-58</v>
      </c>
      <c r="J119" s="22" t="n">
        <v>231</v>
      </c>
      <c r="K119" s="22" t="n">
        <v>1915</v>
      </c>
      <c r="L119" s="22" t="n">
        <v>1547</v>
      </c>
      <c r="M119" s="22" t="n">
        <v>801</v>
      </c>
      <c r="N119" s="22" t="n">
        <v>186</v>
      </c>
      <c r="T119" s="22" t="n">
        <v>1429</v>
      </c>
      <c r="U119" s="22" t="n">
        <v>-780</v>
      </c>
      <c r="V119" s="22" t="n">
        <v>1247</v>
      </c>
      <c r="W119" s="22" t="n">
        <v>-51</v>
      </c>
      <c r="X119" s="22" t="n">
        <v>1547</v>
      </c>
    </row>
    <row r="120">
      <c r="A120" s="20" t="inlineStr">
        <is>
          <t>퇴직급여 조정액</t>
        </is>
      </c>
      <c r="C120" s="22" t="n">
        <v>7</v>
      </c>
      <c r="D120" s="22" t="n">
        <v>12</v>
      </c>
      <c r="E120" s="22" t="n">
        <v>-3</v>
      </c>
      <c r="F120" s="22" t="n">
        <v>-3</v>
      </c>
      <c r="G120" s="22" t="n">
        <v>-3</v>
      </c>
      <c r="H120" s="22" t="n">
        <v>-45</v>
      </c>
      <c r="I120" s="22" t="n">
        <v>4</v>
      </c>
      <c r="J120" s="22" t="n">
        <v>5</v>
      </c>
      <c r="K120" s="22" t="n">
        <v>5</v>
      </c>
      <c r="L120" s="22" t="n">
        <v>724</v>
      </c>
      <c r="M120" s="22" t="n">
        <v>-56</v>
      </c>
      <c r="N120" s="22" t="n">
        <v>-57</v>
      </c>
      <c r="T120" s="22" t="n">
        <v>57</v>
      </c>
      <c r="U120" s="22" t="n">
        <v>-15</v>
      </c>
      <c r="V120" s="22" t="n">
        <v>12</v>
      </c>
      <c r="W120" s="22" t="n">
        <v>-45</v>
      </c>
      <c r="X120" s="22" t="n">
        <v>724</v>
      </c>
    </row>
    <row r="121">
      <c r="A121" s="20" t="inlineStr">
        <is>
          <t>지분법 적용회사 지분 해당액</t>
        </is>
      </c>
      <c r="C121" s="22" t="n">
        <v>18</v>
      </c>
      <c r="D121" s="22" t="n">
        <v>114</v>
      </c>
      <c r="E121" s="22" t="n">
        <v>366</v>
      </c>
      <c r="F121" s="22" t="n">
        <v>257</v>
      </c>
      <c r="G121" s="22" t="n">
        <v>-509</v>
      </c>
      <c r="H121" s="22" t="n">
        <v>-216</v>
      </c>
      <c r="I121" s="22" t="n">
        <v>-191</v>
      </c>
      <c r="J121" s="22" t="n">
        <v>158</v>
      </c>
      <c r="K121" s="22" t="n">
        <v>212</v>
      </c>
      <c r="L121" s="22" t="n">
        <v>120</v>
      </c>
      <c r="M121" s="22" t="n">
        <v>169</v>
      </c>
      <c r="N121" s="22" t="n">
        <v>-252</v>
      </c>
      <c r="T121" s="22" t="n">
        <v>112</v>
      </c>
      <c r="U121" s="22" t="n">
        <v>114</v>
      </c>
      <c r="V121" s="22" t="n">
        <v>114</v>
      </c>
      <c r="W121" s="22" t="n">
        <v>-216</v>
      </c>
      <c r="X121" s="22" t="n">
        <v>120</v>
      </c>
    </row>
    <row r="122">
      <c r="A122" s="20" t="inlineStr">
        <is>
          <t>기타포괄손익 합계</t>
        </is>
      </c>
      <c r="C122" s="22" t="n">
        <v>1489</v>
      </c>
      <c r="D122" s="22" t="n">
        <v>1373</v>
      </c>
      <c r="E122" s="22" t="n">
        <v>1733</v>
      </c>
      <c r="F122" s="22" t="n">
        <v>-538</v>
      </c>
      <c r="G122" s="22" t="n">
        <v>-898</v>
      </c>
      <c r="H122" s="22" t="n">
        <v>-311</v>
      </c>
      <c r="I122" s="22" t="n">
        <v>-245</v>
      </c>
      <c r="J122" s="22" t="n">
        <v>394</v>
      </c>
      <c r="K122" s="22" t="n">
        <v>2133</v>
      </c>
      <c r="L122" s="22" t="n">
        <v>2390</v>
      </c>
      <c r="M122" s="22" t="n">
        <v>913</v>
      </c>
      <c r="N122" s="22" t="n">
        <v>-123</v>
      </c>
      <c r="T122" s="22" t="n">
        <v>1599</v>
      </c>
      <c r="U122" s="22" t="n">
        <v>-679</v>
      </c>
      <c r="V122" s="22" t="n">
        <v>1373</v>
      </c>
      <c r="W122" s="22" t="n">
        <v>-311</v>
      </c>
      <c r="X122" s="22" t="n">
        <v>2390</v>
      </c>
    </row>
    <row r="123">
      <c r="A123" s="9" t="inlineStr">
        <is>
          <t>포괄이익</t>
        </is>
      </c>
      <c r="C123" s="12" t="n">
        <v>17563</v>
      </c>
      <c r="D123" s="12" t="n">
        <v>36818</v>
      </c>
      <c r="E123" s="12" t="n">
        <v>25504</v>
      </c>
      <c r="F123" s="12" t="n">
        <v>29239</v>
      </c>
      <c r="G123" s="12" t="n">
        <v>30947</v>
      </c>
      <c r="H123" s="12" t="n">
        <v>38371</v>
      </c>
      <c r="I123" s="12" t="n">
        <v>23526</v>
      </c>
      <c r="J123" s="12" t="n">
        <v>32589</v>
      </c>
      <c r="K123" s="12" t="n">
        <v>38873</v>
      </c>
      <c r="L123" s="12" t="n">
        <v>45288</v>
      </c>
      <c r="M123" s="12" t="n">
        <v>35196</v>
      </c>
      <c r="N123" s="12" t="n">
        <v>46075</v>
      </c>
      <c r="T123" s="12" t="n">
        <v>22306</v>
      </c>
      <c r="U123" s="12" t="n">
        <v>25004</v>
      </c>
      <c r="V123" s="12" t="n">
        <v>36818</v>
      </c>
      <c r="W123" s="12" t="n">
        <v>38371</v>
      </c>
      <c r="X123" s="12" t="n">
        <v>45288</v>
      </c>
    </row>
    <row r="124">
      <c r="A124" s="9" t="inlineStr">
        <is>
          <t>지배주주 포괄이익</t>
        </is>
      </c>
      <c r="C124" s="12" t="n">
        <v>17561</v>
      </c>
      <c r="D124" s="12" t="n">
        <v>36796</v>
      </c>
      <c r="E124" s="12" t="n">
        <v>25439</v>
      </c>
      <c r="F124" s="12" t="n">
        <v>29207</v>
      </c>
      <c r="G124" s="12" t="n">
        <v>30917</v>
      </c>
      <c r="H124" s="12" t="n">
        <v>38344</v>
      </c>
      <c r="I124" s="12" t="n">
        <v>23507</v>
      </c>
      <c r="J124" s="12" t="n">
        <v>32540</v>
      </c>
      <c r="K124" s="12" t="n">
        <v>38850</v>
      </c>
      <c r="L124" s="12" t="n">
        <v>45287</v>
      </c>
      <c r="M124" s="12" t="n">
        <v>35135</v>
      </c>
      <c r="N124" s="12" t="n">
        <v>45984</v>
      </c>
      <c r="T124" s="12" t="n">
        <v>22285</v>
      </c>
      <c r="U124" s="12" t="n">
        <v>24998</v>
      </c>
      <c r="V124" s="12" t="n">
        <v>36796</v>
      </c>
      <c r="W124" s="12" t="n">
        <v>38344</v>
      </c>
      <c r="X124" s="12" t="n">
        <v>45287</v>
      </c>
    </row>
    <row r="125">
      <c r="A125" s="9" t="inlineStr">
        <is>
          <t>비지배주주 포괄이익</t>
        </is>
      </c>
      <c r="C125" s="12" t="n">
        <v>1</v>
      </c>
      <c r="D125" s="12" t="n">
        <v>22</v>
      </c>
      <c r="E125" s="12" t="n">
        <v>65</v>
      </c>
      <c r="F125" s="12" t="n">
        <v>31</v>
      </c>
      <c r="G125" s="12" t="n">
        <v>31</v>
      </c>
      <c r="H125" s="12" t="n">
        <v>26</v>
      </c>
      <c r="I125" s="12" t="n">
        <v>19</v>
      </c>
      <c r="J125" s="12" t="n">
        <v>48</v>
      </c>
      <c r="K125" s="12" t="n">
        <v>23</v>
      </c>
      <c r="L125" s="12" t="n">
        <v>1</v>
      </c>
      <c r="M125" s="12" t="n">
        <v>60</v>
      </c>
      <c r="N125" s="12" t="n">
        <v>92</v>
      </c>
      <c r="T125" s="12" t="n">
        <v>22</v>
      </c>
      <c r="U125" s="12" t="n">
        <v>6</v>
      </c>
      <c r="V125" s="12" t="n">
        <v>22</v>
      </c>
      <c r="W125" s="12" t="n">
        <v>26</v>
      </c>
      <c r="X125" s="12" t="n">
        <v>1</v>
      </c>
    </row>
    <row r="127">
      <c r="A127" s="18" t="inlineStr">
        <is>
          <t>현금흐름표 · 전 항목</t>
        </is>
      </c>
      <c r="B127" s="44" t="inlineStr">
        <is>
          <t>분기 = 결산기 첫날부터 누계(공시 그대로)</t>
        </is>
      </c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</row>
    <row r="128">
      <c r="A128" s="5" t="inlineStr">
        <is>
          <t>항목</t>
        </is>
      </c>
      <c r="B128" s="5" t="inlineStr">
        <is>
          <t>참고</t>
        </is>
      </c>
      <c r="C128" s="5" t="inlineStr">
        <is>
          <t>2024.3Q</t>
        </is>
      </c>
      <c r="D128" s="5" t="inlineStr">
        <is>
          <t>2024.4Q</t>
        </is>
      </c>
      <c r="E128" s="5" t="inlineStr">
        <is>
          <t>2025.1Q</t>
        </is>
      </c>
      <c r="F128" s="5" t="inlineStr">
        <is>
          <t>2025.2Q</t>
        </is>
      </c>
      <c r="G128" s="5" t="inlineStr">
        <is>
          <t>2025.3Q</t>
        </is>
      </c>
      <c r="H128" s="5" t="inlineStr">
        <is>
          <t>2025.4Q</t>
        </is>
      </c>
      <c r="I128" s="5" t="inlineStr">
        <is>
          <t>2026.1Q</t>
        </is>
      </c>
      <c r="J128" s="5" t="inlineStr">
        <is>
          <t>2026.2Q</t>
        </is>
      </c>
      <c r="K128" s="5" t="inlineStr">
        <is>
          <t>2026.3Q</t>
        </is>
      </c>
      <c r="L128" s="5" t="inlineStr">
        <is>
          <t>2026.4Q</t>
        </is>
      </c>
      <c r="M128" s="5" t="inlineStr">
        <is>
          <t>2027.1Q</t>
        </is>
      </c>
      <c r="N128" s="5" t="inlineStr">
        <is>
          <t>2027.2Q</t>
        </is>
      </c>
      <c r="O128" s="5" t="inlineStr">
        <is>
          <t>2017</t>
        </is>
      </c>
      <c r="P128" s="5" t="inlineStr">
        <is>
          <t>2018</t>
        </is>
      </c>
      <c r="Q128" s="5" t="inlineStr">
        <is>
          <t>2019</t>
        </is>
      </c>
      <c r="R128" s="5" t="inlineStr">
        <is>
          <t>2020</t>
        </is>
      </c>
      <c r="S128" s="5" t="inlineStr">
        <is>
          <t>2021</t>
        </is>
      </c>
      <c r="T128" s="5" t="inlineStr">
        <is>
          <t>2022</t>
        </is>
      </c>
      <c r="U128" s="5" t="inlineStr">
        <is>
          <t>2023</t>
        </is>
      </c>
      <c r="V128" s="5" t="inlineStr">
        <is>
          <t>2024</t>
        </is>
      </c>
      <c r="W128" s="5" t="inlineStr">
        <is>
          <t>2025</t>
        </is>
      </c>
      <c r="X128" s="5" t="inlineStr">
        <is>
          <t>2026</t>
        </is>
      </c>
      <c r="Y128" s="5" t="inlineStr">
        <is>
          <t>2027(MW)</t>
        </is>
      </c>
      <c r="Z128" s="5" t="inlineStr">
        <is>
          <t>2028(MW)</t>
        </is>
      </c>
      <c r="AA128" s="5" t="inlineStr">
        <is>
          <t>2029(MW)</t>
        </is>
      </c>
      <c r="AB128" s="5" t="inlineStr">
        <is>
          <t>2030(MW)</t>
        </is>
      </c>
      <c r="AC128" s="5" t="inlineStr">
        <is>
          <t>2031(MW)</t>
        </is>
      </c>
    </row>
    <row r="129">
      <c r="A129" s="9" t="inlineStr">
        <is>
          <t>법인세차감전 순이익</t>
        </is>
      </c>
      <c r="D129" s="12" t="n">
        <v>114576</v>
      </c>
      <c r="F129" s="12" t="n">
        <v>74775</v>
      </c>
      <c r="H129" s="12" t="n">
        <v>168146</v>
      </c>
      <c r="J129" s="12" t="n">
        <v>78571</v>
      </c>
      <c r="L129" s="12" t="n">
        <v>183811</v>
      </c>
      <c r="N129" s="12" t="n">
        <v>113753</v>
      </c>
      <c r="O129" s="12" t="n">
        <v>30566</v>
      </c>
      <c r="P129" s="12" t="n">
        <v>50724</v>
      </c>
      <c r="Q129" s="12" t="n">
        <v>38256</v>
      </c>
      <c r="R129" s="12" t="n">
        <v>38277</v>
      </c>
      <c r="S129" s="12" t="n">
        <v>53434</v>
      </c>
      <c r="T129" s="12" t="n">
        <v>92251</v>
      </c>
      <c r="U129" s="12" t="n">
        <v>112785</v>
      </c>
      <c r="V129" s="12" t="n">
        <v>114576</v>
      </c>
      <c r="W129" s="12" t="n">
        <v>168146</v>
      </c>
      <c r="X129" s="12" t="n">
        <v>183811</v>
      </c>
    </row>
    <row r="130">
      <c r="A130" s="20" t="inlineStr">
        <is>
          <t>감가상각비</t>
        </is>
      </c>
      <c r="D130" s="22" t="n">
        <v>11031</v>
      </c>
      <c r="F130" s="22" t="n">
        <v>5680</v>
      </c>
      <c r="H130" s="22" t="n">
        <v>12198</v>
      </c>
      <c r="J130" s="22" t="n">
        <v>6990</v>
      </c>
      <c r="L130" s="22" t="n">
        <v>14821</v>
      </c>
      <c r="N130" s="22" t="n">
        <v>7809</v>
      </c>
      <c r="O130" s="22" t="n">
        <v>5987</v>
      </c>
      <c r="P130" s="22" t="n">
        <v>6053</v>
      </c>
      <c r="Q130" s="22" t="n">
        <v>6095</v>
      </c>
      <c r="R130" s="22" t="n">
        <v>6612</v>
      </c>
      <c r="S130" s="22" t="n">
        <v>6815</v>
      </c>
      <c r="T130" s="22" t="n">
        <v>8551</v>
      </c>
      <c r="U130" s="22" t="n">
        <v>10371</v>
      </c>
      <c r="V130" s="22" t="n">
        <v>11031</v>
      </c>
      <c r="W130" s="22" t="n">
        <v>12198</v>
      </c>
      <c r="X130" s="22" t="n">
        <v>14821</v>
      </c>
    </row>
    <row r="131">
      <c r="A131" s="20" t="inlineStr">
        <is>
          <t>손상차손</t>
        </is>
      </c>
      <c r="D131" s="22" t="n">
        <v>7530</v>
      </c>
      <c r="H131" s="22" t="n">
        <v>0</v>
      </c>
      <c r="J131" s="22" t="n">
        <v>0</v>
      </c>
      <c r="N131" s="22" t="n">
        <v>636</v>
      </c>
      <c r="O131" s="22" t="n">
        <v>514</v>
      </c>
      <c r="P131" s="22" t="n">
        <v>1191</v>
      </c>
      <c r="Q131" s="22" t="n">
        <v>58</v>
      </c>
      <c r="R131" s="22" t="n">
        <v>0</v>
      </c>
      <c r="T131" s="22" t="n">
        <v>0</v>
      </c>
      <c r="U131" s="22" t="n">
        <v>63</v>
      </c>
      <c r="V131" s="22" t="n">
        <v>7530</v>
      </c>
      <c r="W131" s="22" t="n">
        <v>0</v>
      </c>
    </row>
    <row r="132">
      <c r="A132" s="20" t="inlineStr">
        <is>
          <t>건물 해체 비용</t>
        </is>
      </c>
      <c r="D132" s="22" t="n">
        <v>202</v>
      </c>
      <c r="F132" s="22" t="n">
        <v>245</v>
      </c>
      <c r="H132" s="22" t="n">
        <v>730</v>
      </c>
      <c r="J132" s="22" t="n">
        <v>817</v>
      </c>
      <c r="L132" s="22" t="n">
        <v>817</v>
      </c>
      <c r="N132" s="22" t="n">
        <v>0</v>
      </c>
      <c r="U132" s="22" t="n">
        <v>0</v>
      </c>
      <c r="V132" s="22" t="n">
        <v>202</v>
      </c>
      <c r="W132" s="22" t="n">
        <v>730</v>
      </c>
      <c r="X132" s="22" t="n">
        <v>817</v>
      </c>
    </row>
    <row r="133">
      <c r="A133" s="20" t="inlineStr">
        <is>
          <t>투자유가증권 매각손익</t>
        </is>
      </c>
      <c r="D133" s="22" t="n">
        <v>0</v>
      </c>
      <c r="O133" s="22" t="n">
        <v>0</v>
      </c>
      <c r="P133" s="22" t="n">
        <v>1</v>
      </c>
      <c r="Q133" s="22" t="n">
        <v>0</v>
      </c>
      <c r="S133" s="22" t="n">
        <v>0</v>
      </c>
      <c r="T133" s="22" t="n">
        <v>-0</v>
      </c>
      <c r="U133" s="22" t="n">
        <v>-10</v>
      </c>
      <c r="V133" s="22" t="n">
        <v>0</v>
      </c>
    </row>
    <row r="134">
      <c r="A134" s="20" t="inlineStr">
        <is>
          <t>투자유가증권 평가손익</t>
        </is>
      </c>
      <c r="O134" s="22" t="n">
        <v>273</v>
      </c>
      <c r="P134" s="22" t="n">
        <v>26</v>
      </c>
      <c r="Q134" s="22" t="n">
        <v>0</v>
      </c>
      <c r="R134" s="22" t="n">
        <v>0</v>
      </c>
      <c r="S134" s="22" t="n">
        <v>19</v>
      </c>
      <c r="T134" s="22" t="n">
        <v>0</v>
      </c>
      <c r="U134" s="22" t="n">
        <v>0</v>
      </c>
    </row>
    <row r="135">
      <c r="A135" s="20" t="inlineStr">
        <is>
          <t>지분법손익</t>
        </is>
      </c>
      <c r="D135" s="22" t="n">
        <v>-141</v>
      </c>
      <c r="F135" s="22" t="n">
        <v>-183</v>
      </c>
      <c r="H135" s="22" t="n">
        <v>-267</v>
      </c>
      <c r="J135" s="22" t="n">
        <v>-82</v>
      </c>
      <c r="L135" s="22" t="n">
        <v>-135</v>
      </c>
      <c r="N135" s="22" t="n">
        <v>-137</v>
      </c>
      <c r="O135" s="22" t="n">
        <v>-94</v>
      </c>
      <c r="P135" s="22" t="n">
        <v>-177</v>
      </c>
      <c r="Q135" s="22" t="n">
        <v>-293</v>
      </c>
      <c r="R135" s="22" t="n">
        <v>-398</v>
      </c>
      <c r="S135" s="22" t="n">
        <v>-289</v>
      </c>
      <c r="T135" s="22" t="n">
        <v>-461</v>
      </c>
      <c r="U135" s="22" t="n">
        <v>-192</v>
      </c>
      <c r="V135" s="22" t="n">
        <v>-141</v>
      </c>
      <c r="W135" s="22" t="n">
        <v>-267</v>
      </c>
      <c r="X135" s="22" t="n">
        <v>-135</v>
      </c>
    </row>
    <row r="136">
      <c r="A136" s="20" t="inlineStr">
        <is>
          <t>대손충당금 증감</t>
        </is>
      </c>
      <c r="D136" s="22" t="n">
        <v>16</v>
      </c>
      <c r="F136" s="22" t="n">
        <v>16</v>
      </c>
      <c r="H136" s="22" t="n">
        <v>30</v>
      </c>
      <c r="J136" s="22" t="n">
        <v>23</v>
      </c>
      <c r="L136" s="22" t="n">
        <v>639</v>
      </c>
      <c r="N136" s="22" t="n">
        <v>35</v>
      </c>
      <c r="O136" s="22" t="n">
        <v>-126</v>
      </c>
      <c r="P136" s="22" t="n">
        <v>-2</v>
      </c>
      <c r="Q136" s="22" t="n">
        <v>1</v>
      </c>
      <c r="R136" s="22" t="n">
        <v>-0</v>
      </c>
      <c r="S136" s="22" t="n">
        <v>13</v>
      </c>
      <c r="T136" s="22" t="n">
        <v>7</v>
      </c>
      <c r="U136" s="22" t="n">
        <v>-16</v>
      </c>
      <c r="V136" s="22" t="n">
        <v>16</v>
      </c>
      <c r="W136" s="22" t="n">
        <v>30</v>
      </c>
      <c r="X136" s="22" t="n">
        <v>639</v>
      </c>
    </row>
    <row r="137">
      <c r="A137" s="20" t="inlineStr">
        <is>
          <t>상여충당금 증감</t>
        </is>
      </c>
      <c r="D137" s="22" t="n">
        <v>3437</v>
      </c>
      <c r="F137" s="22" t="n">
        <v>-9477</v>
      </c>
      <c r="H137" s="22" t="n">
        <v>10849</v>
      </c>
      <c r="J137" s="22" t="n">
        <v>-19181</v>
      </c>
      <c r="L137" s="22" t="n">
        <v>1523</v>
      </c>
      <c r="N137" s="22" t="n">
        <v>-11644</v>
      </c>
      <c r="O137" s="22" t="n">
        <v>1093</v>
      </c>
      <c r="P137" s="22" t="n">
        <v>3389</v>
      </c>
      <c r="Q137" s="22" t="n">
        <v>-858</v>
      </c>
      <c r="R137" s="22" t="n">
        <v>2125</v>
      </c>
      <c r="S137" s="22" t="n">
        <v>5107</v>
      </c>
      <c r="T137" s="22" t="n">
        <v>7809</v>
      </c>
      <c r="U137" s="22" t="n">
        <v>3430</v>
      </c>
      <c r="V137" s="22" t="n">
        <v>3437</v>
      </c>
      <c r="W137" s="22" t="n">
        <v>10849</v>
      </c>
      <c r="X137" s="22" t="n">
        <v>1523</v>
      </c>
    </row>
    <row r="138">
      <c r="A138" s="20" t="inlineStr">
        <is>
          <t>임원 상여충당금 증감</t>
        </is>
      </c>
      <c r="D138" s="22" t="n">
        <v>0</v>
      </c>
      <c r="O138" s="22" t="n">
        <v>140</v>
      </c>
      <c r="P138" s="22" t="n">
        <v>-278</v>
      </c>
      <c r="Q138" s="22" t="n">
        <v>18</v>
      </c>
      <c r="R138" s="22" t="n">
        <v>-46</v>
      </c>
      <c r="S138" s="22" t="n">
        <v>50</v>
      </c>
      <c r="T138" s="22" t="n">
        <v>-38</v>
      </c>
      <c r="U138" s="22" t="n">
        <v>-142</v>
      </c>
      <c r="V138" s="22" t="n">
        <v>0</v>
      </c>
    </row>
    <row r="139">
      <c r="A139" s="20" t="inlineStr">
        <is>
          <t>제품보증 충당금 증감</t>
        </is>
      </c>
      <c r="D139" s="22" t="n">
        <v>517</v>
      </c>
      <c r="H139" s="22" t="n">
        <v>263</v>
      </c>
      <c r="L139" s="22" t="n">
        <v>141</v>
      </c>
      <c r="O139" s="22" t="n">
        <v>-62</v>
      </c>
      <c r="P139" s="22" t="n">
        <v>39</v>
      </c>
      <c r="Q139" s="22" t="n">
        <v>-33</v>
      </c>
      <c r="R139" s="22" t="n">
        <v>-110</v>
      </c>
      <c r="S139" s="22" t="n">
        <v>342</v>
      </c>
      <c r="T139" s="22" t="n">
        <v>186</v>
      </c>
      <c r="U139" s="22" t="n">
        <v>85</v>
      </c>
      <c r="V139" s="22" t="n">
        <v>517</v>
      </c>
      <c r="W139" s="22" t="n">
        <v>263</v>
      </c>
      <c r="X139" s="22" t="n">
        <v>141</v>
      </c>
    </row>
    <row r="140">
      <c r="A140" s="20" t="inlineStr">
        <is>
          <t>퇴직급여 자산·부채 증감</t>
        </is>
      </c>
      <c r="D140" s="22" t="n">
        <v>-86</v>
      </c>
      <c r="H140" s="22" t="n">
        <v>-19</v>
      </c>
      <c r="L140" s="22" t="n">
        <v>-54</v>
      </c>
      <c r="O140" s="22" t="n">
        <v>-112</v>
      </c>
      <c r="P140" s="22" t="n">
        <v>-81</v>
      </c>
      <c r="Q140" s="22" t="n">
        <v>-209</v>
      </c>
      <c r="R140" s="22" t="n">
        <v>-89</v>
      </c>
      <c r="S140" s="22" t="n">
        <v>66</v>
      </c>
      <c r="T140" s="22" t="n">
        <v>-138</v>
      </c>
      <c r="U140" s="22" t="n">
        <v>-42</v>
      </c>
      <c r="V140" s="22" t="n">
        <v>-86</v>
      </c>
      <c r="W140" s="22" t="n">
        <v>-19</v>
      </c>
      <c r="X140" s="22" t="n">
        <v>-54</v>
      </c>
    </row>
    <row r="141">
      <c r="A141" s="20" t="inlineStr">
        <is>
          <t>관계회사 주식 매각손익</t>
        </is>
      </c>
      <c r="O141" s="22" t="n">
        <v>0</v>
      </c>
      <c r="P141" s="22" t="n">
        <v>680</v>
      </c>
      <c r="Q141" s="22" t="n">
        <v>0</v>
      </c>
      <c r="R141" s="22" t="n">
        <v>-268</v>
      </c>
      <c r="S141" s="22" t="n">
        <v>0</v>
      </c>
    </row>
    <row r="142">
      <c r="A142" s="20" t="inlineStr">
        <is>
          <t>유형자산 제각·매각손익</t>
        </is>
      </c>
      <c r="D142" s="22" t="n">
        <v>59</v>
      </c>
      <c r="F142" s="22" t="n">
        <v>20</v>
      </c>
      <c r="H142" s="22" t="n">
        <v>49</v>
      </c>
      <c r="J142" s="22" t="n">
        <v>67</v>
      </c>
      <c r="L142" s="22" t="n">
        <v>127</v>
      </c>
      <c r="N142" s="22" t="n">
        <v>25</v>
      </c>
      <c r="O142" s="22" t="n">
        <v>109</v>
      </c>
      <c r="P142" s="22" t="n">
        <v>68</v>
      </c>
      <c r="Q142" s="22" t="n">
        <v>44</v>
      </c>
      <c r="R142" s="22" t="n">
        <v>69</v>
      </c>
      <c r="S142" s="22" t="n">
        <v>34</v>
      </c>
      <c r="T142" s="22" t="n">
        <v>74</v>
      </c>
      <c r="U142" s="22" t="n">
        <v>-565</v>
      </c>
      <c r="V142" s="22" t="n">
        <v>59</v>
      </c>
      <c r="W142" s="22" t="n">
        <v>49</v>
      </c>
      <c r="X142" s="22" t="n">
        <v>127</v>
      </c>
    </row>
    <row r="143">
      <c r="A143" s="20" t="inlineStr">
        <is>
          <t>보조금 수입</t>
        </is>
      </c>
      <c r="D143" s="22" t="n">
        <v>-1031</v>
      </c>
      <c r="F143" s="22" t="n">
        <v>-332</v>
      </c>
      <c r="H143" s="22" t="n">
        <v>-582</v>
      </c>
      <c r="J143" s="22" t="n">
        <v>-574</v>
      </c>
      <c r="L143" s="22" t="n">
        <v>-821</v>
      </c>
      <c r="N143" s="22" t="n">
        <v>-9</v>
      </c>
      <c r="O143" s="22" t="n">
        <v>-230</v>
      </c>
      <c r="P143" s="22" t="n">
        <v>-1629</v>
      </c>
      <c r="Q143" s="22" t="n">
        <v>-490</v>
      </c>
      <c r="R143" s="22" t="n">
        <v>-374</v>
      </c>
      <c r="S143" s="22" t="n">
        <v>-355</v>
      </c>
      <c r="T143" s="22" t="n">
        <v>-1262</v>
      </c>
      <c r="U143" s="22" t="n">
        <v>-626</v>
      </c>
      <c r="V143" s="22" t="n">
        <v>-1031</v>
      </c>
      <c r="W143" s="22" t="n">
        <v>-582</v>
      </c>
      <c r="X143" s="22" t="n">
        <v>-821</v>
      </c>
    </row>
    <row r="144">
      <c r="A144" s="20" t="inlineStr">
        <is>
          <t>보험금 수익</t>
        </is>
      </c>
      <c r="O144" s="22" t="n">
        <v>0</v>
      </c>
      <c r="P144" s="22" t="n">
        <v>-87</v>
      </c>
      <c r="Q144" s="22" t="n">
        <v>-208</v>
      </c>
      <c r="R144" s="22" t="n">
        <v>0</v>
      </c>
    </row>
    <row r="145">
      <c r="A145" s="20" t="inlineStr">
        <is>
          <t>이자·배당금 수익</t>
        </is>
      </c>
      <c r="D145" s="22" t="n">
        <v>-108</v>
      </c>
      <c r="F145" s="22" t="n">
        <v>-28</v>
      </c>
      <c r="H145" s="22" t="n">
        <v>-84</v>
      </c>
      <c r="J145" s="22" t="n">
        <v>-47</v>
      </c>
      <c r="L145" s="22" t="n">
        <v>-282</v>
      </c>
      <c r="N145" s="22" t="n">
        <v>-846</v>
      </c>
      <c r="O145" s="22" t="n">
        <v>-47</v>
      </c>
      <c r="P145" s="22" t="n">
        <v>-57</v>
      </c>
      <c r="Q145" s="22" t="n">
        <v>-93</v>
      </c>
      <c r="R145" s="22" t="n">
        <v>-68</v>
      </c>
      <c r="S145" s="22" t="n">
        <v>-45</v>
      </c>
      <c r="T145" s="22" t="n">
        <v>-49</v>
      </c>
      <c r="U145" s="22" t="n">
        <v>-46</v>
      </c>
      <c r="V145" s="22" t="n">
        <v>-108</v>
      </c>
      <c r="W145" s="22" t="n">
        <v>-84</v>
      </c>
      <c r="X145" s="22" t="n">
        <v>-282</v>
      </c>
    </row>
    <row r="146">
      <c r="A146" s="20" t="inlineStr">
        <is>
          <t>이자비용</t>
        </is>
      </c>
      <c r="O146" s="22" t="n">
        <v>42</v>
      </c>
      <c r="P146" s="22" t="n">
        <v>22</v>
      </c>
      <c r="Q146" s="22" t="n">
        <v>3</v>
      </c>
    </row>
    <row r="147">
      <c r="A147" s="20" t="inlineStr">
        <is>
          <t>재해손실</t>
        </is>
      </c>
      <c r="P147" s="22" t="n">
        <v>0</v>
      </c>
      <c r="Q147" s="22" t="n">
        <v>407</v>
      </c>
      <c r="R147" s="22" t="n">
        <v>0</v>
      </c>
    </row>
    <row r="148">
      <c r="A148" s="20" t="inlineStr">
        <is>
          <t>매출채권 증감</t>
        </is>
      </c>
      <c r="D148" s="22" t="n">
        <v>-2650</v>
      </c>
      <c r="F148" s="22" t="n">
        <v>5105</v>
      </c>
      <c r="H148" s="22" t="n">
        <v>2874</v>
      </c>
      <c r="J148" s="22" t="n">
        <v>-9402</v>
      </c>
      <c r="L148" s="22" t="n">
        <v>-11009</v>
      </c>
      <c r="N148" s="22" t="n">
        <v>-496</v>
      </c>
      <c r="O148" s="22" t="n">
        <v>-5536</v>
      </c>
      <c r="P148" s="22" t="n">
        <v>-4974</v>
      </c>
      <c r="Q148" s="22" t="n">
        <v>8695</v>
      </c>
      <c r="R148" s="22" t="n">
        <v>-5202</v>
      </c>
      <c r="S148" s="22" t="n">
        <v>-6058</v>
      </c>
      <c r="T148" s="22" t="n">
        <v>-2923</v>
      </c>
      <c r="U148" s="22" t="n">
        <v>-1398</v>
      </c>
      <c r="V148" s="22" t="n">
        <v>-2650</v>
      </c>
      <c r="W148" s="22" t="n">
        <v>2874</v>
      </c>
      <c r="X148" s="22" t="n">
        <v>-11009</v>
      </c>
    </row>
    <row r="149">
      <c r="A149" s="20" t="inlineStr">
        <is>
          <t>재고자산 증감</t>
        </is>
      </c>
      <c r="D149" s="22" t="n">
        <v>-22226</v>
      </c>
      <c r="F149" s="22" t="n">
        <v>-16721</v>
      </c>
      <c r="H149" s="22" t="n">
        <v>-24596</v>
      </c>
      <c r="J149" s="22" t="n">
        <v>759</v>
      </c>
      <c r="L149" s="22" t="n">
        <v>-207</v>
      </c>
      <c r="N149" s="22" t="n">
        <v>-19496</v>
      </c>
      <c r="O149" s="22" t="n">
        <v>1502</v>
      </c>
      <c r="P149" s="22" t="n">
        <v>-2981</v>
      </c>
      <c r="Q149" s="22" t="n">
        <v>-3744</v>
      </c>
      <c r="R149" s="22" t="n">
        <v>-33</v>
      </c>
      <c r="S149" s="22" t="n">
        <v>-3825</v>
      </c>
      <c r="T149" s="22" t="n">
        <v>-9594</v>
      </c>
      <c r="U149" s="22" t="n">
        <v>-21682</v>
      </c>
      <c r="V149" s="22" t="n">
        <v>-22226</v>
      </c>
      <c r="W149" s="22" t="n">
        <v>-24596</v>
      </c>
      <c r="X149" s="22" t="n">
        <v>-207</v>
      </c>
    </row>
    <row r="150">
      <c r="A150" s="20" t="inlineStr">
        <is>
          <t>매입채무 증감</t>
        </is>
      </c>
      <c r="D150" s="22" t="n">
        <v>9591</v>
      </c>
      <c r="F150" s="22" t="n">
        <v>-537</v>
      </c>
      <c r="H150" s="22" t="n">
        <v>-4795</v>
      </c>
      <c r="J150" s="22" t="n">
        <v>-8138</v>
      </c>
      <c r="L150" s="22" t="n">
        <v>-10694</v>
      </c>
      <c r="N150" s="22" t="n">
        <v>9011</v>
      </c>
      <c r="O150" s="22" t="n">
        <v>4530</v>
      </c>
      <c r="P150" s="22" t="n">
        <v>2714</v>
      </c>
      <c r="Q150" s="22" t="n">
        <v>-3785</v>
      </c>
      <c r="R150" s="22" t="n">
        <v>-466</v>
      </c>
      <c r="S150" s="22" t="n">
        <v>6412</v>
      </c>
      <c r="T150" s="22" t="n">
        <v>6476</v>
      </c>
      <c r="U150" s="22" t="n">
        <v>-2364</v>
      </c>
      <c r="V150" s="22" t="n">
        <v>9591</v>
      </c>
      <c r="W150" s="22" t="n">
        <v>-4795</v>
      </c>
      <c r="X150" s="22" t="n">
        <v>-10694</v>
      </c>
    </row>
    <row r="151">
      <c r="A151" s="20" t="inlineStr">
        <is>
          <t>계약부채 증감</t>
        </is>
      </c>
      <c r="S151" s="22" t="n">
        <v>0</v>
      </c>
      <c r="T151" s="22" t="n">
        <v>7467</v>
      </c>
      <c r="U151" s="22" t="n">
        <v>11107</v>
      </c>
    </row>
    <row r="152">
      <c r="A152" s="20" t="inlineStr">
        <is>
          <t>미지급금 증감</t>
        </is>
      </c>
      <c r="D152" s="22" t="n">
        <v>1477</v>
      </c>
      <c r="H152" s="22" t="n">
        <v>-819</v>
      </c>
      <c r="L152" s="22" t="n">
        <v>1555</v>
      </c>
      <c r="O152" s="22" t="n">
        <v>587</v>
      </c>
      <c r="P152" s="22" t="n">
        <v>2216</v>
      </c>
      <c r="Q152" s="22" t="n">
        <v>672</v>
      </c>
      <c r="R152" s="22" t="n">
        <v>-1863</v>
      </c>
      <c r="S152" s="22" t="n">
        <v>344</v>
      </c>
      <c r="T152" s="22" t="n">
        <v>-55</v>
      </c>
      <c r="U152" s="22" t="n">
        <v>503</v>
      </c>
      <c r="V152" s="22" t="n">
        <v>1477</v>
      </c>
      <c r="W152" s="22" t="n">
        <v>-819</v>
      </c>
      <c r="X152" s="22" t="n">
        <v>1555</v>
      </c>
    </row>
    <row r="153">
      <c r="A153" s="20" t="inlineStr">
        <is>
          <t>선수금 증감</t>
        </is>
      </c>
      <c r="R153" s="22" t="n">
        <v>-501</v>
      </c>
      <c r="S153" s="22" t="n">
        <v>5606</v>
      </c>
      <c r="T153" s="22" t="n">
        <v>0</v>
      </c>
    </row>
    <row r="154">
      <c r="A154" s="20" t="inlineStr">
        <is>
          <t>계약부채 증감</t>
        </is>
      </c>
      <c r="D154" s="22" t="n">
        <v>5784</v>
      </c>
      <c r="F154" s="22" t="n">
        <v>17346</v>
      </c>
      <c r="H154" s="22" t="n">
        <v>-3856</v>
      </c>
      <c r="J154" s="22" t="n">
        <v>10384</v>
      </c>
      <c r="L154" s="22" t="n">
        <v>1566</v>
      </c>
      <c r="N154" s="22" t="n">
        <v>29872</v>
      </c>
      <c r="U154" s="22" t="n">
        <v>11107</v>
      </c>
      <c r="V154" s="22" t="n">
        <v>5784</v>
      </c>
      <c r="W154" s="22" t="n">
        <v>-3856</v>
      </c>
      <c r="X154" s="22" t="n">
        <v>1566</v>
      </c>
    </row>
    <row r="155">
      <c r="A155" s="20" t="inlineStr">
        <is>
          <t>기타</t>
        </is>
      </c>
      <c r="D155" s="22" t="n">
        <v>104</v>
      </c>
      <c r="F155" s="22" t="n">
        <v>4337</v>
      </c>
      <c r="H155" s="22" t="n">
        <v>-2892</v>
      </c>
      <c r="J155" s="22" t="n">
        <v>10109</v>
      </c>
      <c r="L155" s="22" t="n">
        <v>5875</v>
      </c>
      <c r="N155" s="22" t="n">
        <v>5653</v>
      </c>
      <c r="O155" s="22" t="n">
        <v>1448</v>
      </c>
      <c r="P155" s="22" t="n">
        <v>650</v>
      </c>
      <c r="Q155" s="22" t="n">
        <v>-939</v>
      </c>
      <c r="R155" s="22" t="n">
        <v>-1680</v>
      </c>
      <c r="S155" s="22" t="n">
        <v>-4929</v>
      </c>
      <c r="T155" s="22" t="n">
        <v>-4788</v>
      </c>
      <c r="U155" s="22" t="n">
        <v>3022</v>
      </c>
      <c r="V155" s="22" t="n">
        <v>104</v>
      </c>
      <c r="W155" s="22" t="n">
        <v>-2892</v>
      </c>
      <c r="X155" s="22" t="n">
        <v>5875</v>
      </c>
    </row>
    <row r="156">
      <c r="A156" s="20" t="inlineStr">
        <is>
          <t>소계</t>
        </is>
      </c>
      <c r="D156" s="22" t="n">
        <v>128083</v>
      </c>
      <c r="F156" s="22" t="n">
        <v>80247</v>
      </c>
      <c r="H156" s="22" t="n">
        <v>157227</v>
      </c>
      <c r="J156" s="22" t="n">
        <v>70297</v>
      </c>
      <c r="L156" s="22" t="n">
        <v>187676</v>
      </c>
      <c r="N156" s="22" t="n">
        <v>134167</v>
      </c>
      <c r="O156" s="22" t="n">
        <v>40586</v>
      </c>
      <c r="P156" s="22" t="n">
        <v>57510</v>
      </c>
      <c r="Q156" s="22" t="n">
        <v>43592</v>
      </c>
      <c r="R156" s="22" t="n">
        <v>35980</v>
      </c>
      <c r="S156" s="22" t="n">
        <v>62743</v>
      </c>
      <c r="T156" s="22" t="n">
        <v>103512</v>
      </c>
      <c r="U156" s="22" t="n">
        <v>114280</v>
      </c>
      <c r="V156" s="22" t="n">
        <v>128083</v>
      </c>
      <c r="W156" s="22" t="n">
        <v>157227</v>
      </c>
      <c r="X156" s="22" t="n">
        <v>187676</v>
      </c>
    </row>
    <row r="157">
      <c r="A157" s="20" t="inlineStr">
        <is>
          <t>보조금 수취</t>
        </is>
      </c>
      <c r="D157" s="22" t="n">
        <v>963</v>
      </c>
      <c r="F157" s="22" t="n">
        <v>532</v>
      </c>
      <c r="H157" s="22" t="n">
        <v>782</v>
      </c>
      <c r="J157" s="22" t="n">
        <v>640</v>
      </c>
      <c r="L157" s="22" t="n">
        <v>886</v>
      </c>
      <c r="N157" s="22" t="n">
        <v>9</v>
      </c>
      <c r="O157" s="22" t="n">
        <v>215</v>
      </c>
      <c r="P157" s="22" t="n">
        <v>57</v>
      </c>
      <c r="Q157" s="22" t="n">
        <v>1028</v>
      </c>
      <c r="R157" s="22" t="n">
        <v>670</v>
      </c>
      <c r="S157" s="22" t="n">
        <v>638</v>
      </c>
      <c r="T157" s="22" t="n">
        <v>1218</v>
      </c>
      <c r="U157" s="22" t="n">
        <v>926</v>
      </c>
      <c r="V157" s="22" t="n">
        <v>963</v>
      </c>
      <c r="W157" s="22" t="n">
        <v>782</v>
      </c>
      <c r="X157" s="22" t="n">
        <v>886</v>
      </c>
    </row>
    <row r="158">
      <c r="A158" s="20" t="inlineStr">
        <is>
          <t>보험금 수취</t>
        </is>
      </c>
      <c r="O158" s="22" t="n">
        <v>0</v>
      </c>
      <c r="P158" s="22" t="n">
        <v>87</v>
      </c>
      <c r="Q158" s="22" t="n">
        <v>203</v>
      </c>
      <c r="R158" s="22" t="n">
        <v>0</v>
      </c>
    </row>
    <row r="159">
      <c r="A159" s="20" t="inlineStr">
        <is>
          <t>이자·배당금 수취</t>
        </is>
      </c>
      <c r="D159" s="22" t="n">
        <v>77</v>
      </c>
      <c r="F159" s="22" t="n">
        <v>32</v>
      </c>
      <c r="H159" s="22" t="n">
        <v>93</v>
      </c>
      <c r="J159" s="22" t="n">
        <v>55</v>
      </c>
      <c r="L159" s="22" t="n">
        <v>91</v>
      </c>
      <c r="N159" s="22" t="n">
        <v>659</v>
      </c>
      <c r="O159" s="22" t="n">
        <v>54</v>
      </c>
      <c r="P159" s="22" t="n">
        <v>53</v>
      </c>
      <c r="Q159" s="22" t="n">
        <v>98</v>
      </c>
      <c r="R159" s="22" t="n">
        <v>73</v>
      </c>
      <c r="S159" s="22" t="n">
        <v>48</v>
      </c>
      <c r="T159" s="22" t="n">
        <v>49</v>
      </c>
      <c r="U159" s="22" t="n">
        <v>39</v>
      </c>
      <c r="V159" s="22" t="n">
        <v>77</v>
      </c>
      <c r="W159" s="22" t="n">
        <v>93</v>
      </c>
      <c r="X159" s="22" t="n">
        <v>91</v>
      </c>
    </row>
    <row r="160">
      <c r="A160" s="20" t="inlineStr">
        <is>
          <t>이자 지급</t>
        </is>
      </c>
      <c r="O160" s="22" t="n">
        <v>-39</v>
      </c>
      <c r="P160" s="22" t="n">
        <v>-23</v>
      </c>
      <c r="Q160" s="22" t="n">
        <v>-3</v>
      </c>
    </row>
    <row r="161">
      <c r="A161" s="20" t="inlineStr">
        <is>
          <t>재해손실 지급</t>
        </is>
      </c>
      <c r="P161" s="22" t="n">
        <v>0</v>
      </c>
      <c r="Q161" s="22" t="n">
        <v>-407</v>
      </c>
      <c r="R161" s="22" t="n">
        <v>0</v>
      </c>
    </row>
    <row r="162">
      <c r="A162" s="20" t="inlineStr">
        <is>
          <t>지분법 적용 회사로부터의 배당금 수령액</t>
        </is>
      </c>
      <c r="R162" s="22" t="n">
        <v>0</v>
      </c>
      <c r="S162" s="22" t="n">
        <v>138</v>
      </c>
      <c r="T162" s="22" t="n">
        <v>56</v>
      </c>
      <c r="U162" s="22" t="n">
        <v>0</v>
      </c>
    </row>
    <row r="163">
      <c r="A163" s="20" t="inlineStr">
        <is>
          <t>법인세 납부·환급</t>
        </is>
      </c>
      <c r="D163" s="22" t="n">
        <v>-31600</v>
      </c>
      <c r="F163" s="22" t="n">
        <v>-19864</v>
      </c>
      <c r="H163" s="22" t="n">
        <v>-37738</v>
      </c>
      <c r="J163" s="22" t="n">
        <v>-31310</v>
      </c>
      <c r="L163" s="22" t="n">
        <v>-55110</v>
      </c>
      <c r="N163" s="22" t="n">
        <v>-23127</v>
      </c>
      <c r="O163" s="22" t="n">
        <v>-7910</v>
      </c>
      <c r="P163" s="22" t="n">
        <v>-6952</v>
      </c>
      <c r="Q163" s="22" t="n">
        <v>-17204</v>
      </c>
      <c r="R163" s="22" t="n">
        <v>-5425</v>
      </c>
      <c r="S163" s="22" t="n">
        <v>-6860</v>
      </c>
      <c r="T163" s="22" t="n">
        <v>-21182</v>
      </c>
      <c r="U163" s="22" t="n">
        <v>-33463</v>
      </c>
      <c r="V163" s="22" t="n">
        <v>-31600</v>
      </c>
      <c r="W163" s="22" t="n">
        <v>-37738</v>
      </c>
      <c r="X163" s="22" t="n">
        <v>-55110</v>
      </c>
    </row>
    <row r="164">
      <c r="A164" s="9" t="inlineStr">
        <is>
          <t>영업활동 현금흐름</t>
        </is>
      </c>
      <c r="D164" s="12" t="n">
        <v>97524</v>
      </c>
      <c r="F164" s="12" t="n">
        <v>60948</v>
      </c>
      <c r="H164" s="12" t="n">
        <v>120364</v>
      </c>
      <c r="J164" s="12" t="n">
        <v>39683</v>
      </c>
      <c r="L164" s="12" t="n">
        <v>133543</v>
      </c>
      <c r="N164" s="12" t="n">
        <v>111708</v>
      </c>
      <c r="O164" s="12" t="n">
        <v>32905</v>
      </c>
      <c r="P164" s="12" t="n">
        <v>50731</v>
      </c>
      <c r="Q164" s="12" t="n">
        <v>27311</v>
      </c>
      <c r="R164" s="12" t="n">
        <v>31299</v>
      </c>
      <c r="S164" s="12" t="n">
        <v>56709</v>
      </c>
      <c r="T164" s="12" t="n">
        <v>83654</v>
      </c>
      <c r="U164" s="12" t="n">
        <v>81783</v>
      </c>
      <c r="V164" s="12" t="n">
        <v>97524</v>
      </c>
      <c r="W164" s="12" t="n">
        <v>120364</v>
      </c>
      <c r="X164" s="12" t="n">
        <v>133543</v>
      </c>
    </row>
    <row r="165">
      <c r="A165" s="20" t="inlineStr">
        <is>
          <t>유형자산 취득(설비투자)</t>
        </is>
      </c>
      <c r="D165" s="22" t="n">
        <v>-16140</v>
      </c>
      <c r="F165" s="22" t="n">
        <v>-7121</v>
      </c>
      <c r="H165" s="22" t="n">
        <v>-66861</v>
      </c>
      <c r="J165" s="22" t="n">
        <v>-14907</v>
      </c>
      <c r="L165" s="22" t="n">
        <v>-35143</v>
      </c>
      <c r="N165" s="22" t="n">
        <v>-12896</v>
      </c>
      <c r="O165" s="22" t="n">
        <v>-10091</v>
      </c>
      <c r="P165" s="22" t="n">
        <v>-11494</v>
      </c>
      <c r="Q165" s="22" t="n">
        <v>-14436</v>
      </c>
      <c r="R165" s="22" t="n">
        <v>-24868</v>
      </c>
      <c r="S165" s="22" t="n">
        <v>-21026</v>
      </c>
      <c r="T165" s="22" t="n">
        <v>-43576</v>
      </c>
      <c r="U165" s="22" t="n">
        <v>-14208</v>
      </c>
      <c r="V165" s="22" t="n">
        <v>-16140</v>
      </c>
      <c r="W165" s="22" t="n">
        <v>-66861</v>
      </c>
      <c r="X165" s="22" t="n">
        <v>-35143</v>
      </c>
    </row>
    <row r="166">
      <c r="A166" s="20" t="inlineStr">
        <is>
          <t>유형자산 매각</t>
        </is>
      </c>
      <c r="D166" s="22" t="n">
        <v>24</v>
      </c>
      <c r="F166" s="22" t="n">
        <v>5</v>
      </c>
      <c r="H166" s="22" t="n">
        <v>22</v>
      </c>
      <c r="J166" s="22" t="n">
        <v>7</v>
      </c>
      <c r="L166" s="22" t="n">
        <v>27</v>
      </c>
      <c r="N166" s="22" t="n">
        <v>15</v>
      </c>
      <c r="O166" s="22" t="n">
        <v>43</v>
      </c>
      <c r="P166" s="22" t="n">
        <v>31</v>
      </c>
      <c r="Q166" s="22" t="n">
        <v>51</v>
      </c>
      <c r="R166" s="22" t="n">
        <v>4</v>
      </c>
      <c r="S166" s="22" t="n">
        <v>75</v>
      </c>
      <c r="T166" s="22" t="n">
        <v>9</v>
      </c>
      <c r="U166" s="22" t="n">
        <v>1115</v>
      </c>
      <c r="V166" s="22" t="n">
        <v>24</v>
      </c>
      <c r="W166" s="22" t="n">
        <v>22</v>
      </c>
      <c r="X166" s="22" t="n">
        <v>27</v>
      </c>
    </row>
    <row r="167">
      <c r="A167" s="20" t="inlineStr">
        <is>
          <t>유형자산 해체에 따른 지출</t>
        </is>
      </c>
      <c r="D167" s="22" t="n">
        <v>-74</v>
      </c>
      <c r="F167" s="22" t="n">
        <v>-31</v>
      </c>
      <c r="H167" s="22" t="n">
        <v>-1091</v>
      </c>
      <c r="J167" s="22" t="n">
        <v>-316</v>
      </c>
      <c r="L167" s="22" t="n">
        <v>-571</v>
      </c>
      <c r="N167" s="22" t="n">
        <v>0</v>
      </c>
      <c r="U167" s="22" t="n">
        <v>0</v>
      </c>
      <c r="V167" s="22" t="n">
        <v>-74</v>
      </c>
      <c r="W167" s="22" t="n">
        <v>-1091</v>
      </c>
      <c r="X167" s="22" t="n">
        <v>-571</v>
      </c>
    </row>
    <row r="168">
      <c r="A168" s="20" t="inlineStr">
        <is>
          <t>무형자산 취득</t>
        </is>
      </c>
      <c r="D168" s="22" t="n">
        <v>-111</v>
      </c>
      <c r="F168" s="22" t="n">
        <v>-36</v>
      </c>
      <c r="H168" s="22" t="n">
        <v>-69</v>
      </c>
      <c r="J168" s="22" t="n">
        <v>-38</v>
      </c>
      <c r="L168" s="22" t="n">
        <v>-84</v>
      </c>
      <c r="N168" s="22" t="n">
        <v>-59</v>
      </c>
      <c r="O168" s="22" t="n">
        <v>-272</v>
      </c>
      <c r="P168" s="22" t="n">
        <v>-111</v>
      </c>
      <c r="Q168" s="22" t="n">
        <v>-79</v>
      </c>
      <c r="R168" s="22" t="n">
        <v>-94</v>
      </c>
      <c r="S168" s="22" t="n">
        <v>-87</v>
      </c>
      <c r="T168" s="22" t="n">
        <v>-56</v>
      </c>
      <c r="U168" s="22" t="n">
        <v>-43</v>
      </c>
      <c r="V168" s="22" t="n">
        <v>-111</v>
      </c>
      <c r="W168" s="22" t="n">
        <v>-69</v>
      </c>
      <c r="X168" s="22" t="n">
        <v>-84</v>
      </c>
    </row>
    <row r="169">
      <c r="A169" s="20" t="inlineStr">
        <is>
          <t>투자유가증권 취득</t>
        </is>
      </c>
      <c r="O169" s="22" t="n">
        <v>-0</v>
      </c>
      <c r="P169" s="22" t="n">
        <v>0</v>
      </c>
    </row>
    <row r="170">
      <c r="A170" s="20" t="inlineStr">
        <is>
          <t>관계회사 주식 매각</t>
        </is>
      </c>
      <c r="Q170" s="22" t="n">
        <v>0</v>
      </c>
      <c r="R170" s="22" t="n">
        <v>1117</v>
      </c>
      <c r="S170" s="22" t="n">
        <v>0</v>
      </c>
    </row>
    <row r="171">
      <c r="A171" s="20" t="inlineStr">
        <is>
          <t>투자유가증권 매각</t>
        </is>
      </c>
      <c r="D171" s="22" t="n">
        <v>0</v>
      </c>
      <c r="O171" s="22" t="n">
        <v>0</v>
      </c>
      <c r="P171" s="22" t="n">
        <v>3</v>
      </c>
      <c r="Q171" s="22" t="n">
        <v>0</v>
      </c>
      <c r="S171" s="22" t="n">
        <v>0</v>
      </c>
      <c r="T171" s="22" t="n">
        <v>0</v>
      </c>
      <c r="U171" s="22" t="n">
        <v>29</v>
      </c>
      <c r="V171" s="22" t="n">
        <v>0</v>
      </c>
    </row>
    <row r="172">
      <c r="A172" s="20" t="inlineStr">
        <is>
          <t>연결범위 변경 자회사 주식 매각(지출)</t>
        </is>
      </c>
      <c r="O172" s="22" t="n">
        <v>0</v>
      </c>
      <c r="P172" s="22" t="n">
        <v>-254</v>
      </c>
      <c r="Q172" s="22" t="n">
        <v>0</v>
      </c>
    </row>
    <row r="173">
      <c r="A173" s="20" t="inlineStr">
        <is>
          <t>단기대여금 순증감</t>
        </is>
      </c>
      <c r="O173" s="22" t="n">
        <v>32</v>
      </c>
      <c r="P173" s="22" t="n">
        <v>0</v>
      </c>
      <c r="Q173" s="22" t="n">
        <v>0</v>
      </c>
    </row>
    <row r="174">
      <c r="A174" s="20" t="inlineStr">
        <is>
          <t>장기대여</t>
        </is>
      </c>
      <c r="D174" s="22" t="n">
        <v>-106</v>
      </c>
      <c r="F174" s="22" t="n">
        <v>-1</v>
      </c>
      <c r="H174" s="22" t="n">
        <v>-8</v>
      </c>
      <c r="J174" s="22" t="n">
        <v>-1</v>
      </c>
      <c r="L174" s="22" t="n">
        <v>-25</v>
      </c>
      <c r="N174" s="22" t="n">
        <v>-31</v>
      </c>
      <c r="O174" s="22" t="n">
        <v>-295</v>
      </c>
      <c r="P174" s="22" t="n">
        <v>-799</v>
      </c>
      <c r="Q174" s="22" t="n">
        <v>-287</v>
      </c>
      <c r="R174" s="22" t="n">
        <v>-20</v>
      </c>
      <c r="S174" s="22" t="n">
        <v>-227</v>
      </c>
      <c r="T174" s="22" t="n">
        <v>-9</v>
      </c>
      <c r="U174" s="22" t="n">
        <v>-1</v>
      </c>
      <c r="V174" s="22" t="n">
        <v>-106</v>
      </c>
      <c r="W174" s="22" t="n">
        <v>-8</v>
      </c>
      <c r="X174" s="22" t="n">
        <v>-25</v>
      </c>
    </row>
    <row r="175">
      <c r="A175" s="20" t="inlineStr">
        <is>
          <t>장기대여금 회수</t>
        </is>
      </c>
      <c r="D175" s="22" t="n">
        <v>37</v>
      </c>
      <c r="F175" s="22" t="n">
        <v>19</v>
      </c>
      <c r="H175" s="22" t="n">
        <v>39</v>
      </c>
      <c r="J175" s="22" t="n">
        <v>21</v>
      </c>
      <c r="L175" s="22" t="n">
        <v>44</v>
      </c>
      <c r="N175" s="22" t="n">
        <v>23</v>
      </c>
      <c r="O175" s="22" t="n">
        <v>222</v>
      </c>
      <c r="P175" s="22" t="n">
        <v>9</v>
      </c>
      <c r="Q175" s="22" t="n">
        <v>9</v>
      </c>
      <c r="R175" s="22" t="n">
        <v>328</v>
      </c>
      <c r="S175" s="22" t="n">
        <v>12</v>
      </c>
      <c r="T175" s="22" t="n">
        <v>93</v>
      </c>
      <c r="U175" s="22" t="n">
        <v>43</v>
      </c>
      <c r="V175" s="22" t="n">
        <v>37</v>
      </c>
      <c r="W175" s="22" t="n">
        <v>39</v>
      </c>
      <c r="X175" s="22" t="n">
        <v>44</v>
      </c>
    </row>
    <row r="176">
      <c r="A176" s="20" t="inlineStr">
        <is>
          <t>정기예금 인출</t>
        </is>
      </c>
      <c r="O176" s="22" t="n">
        <v>10000</v>
      </c>
      <c r="P176" s="22" t="n">
        <v>6000</v>
      </c>
      <c r="Q176" s="22" t="n">
        <v>6000</v>
      </c>
      <c r="R176" s="22" t="n">
        <v>6000</v>
      </c>
      <c r="S176" s="22" t="n">
        <v>8126</v>
      </c>
      <c r="T176" s="22" t="n">
        <v>0</v>
      </c>
    </row>
    <row r="177">
      <c r="A177" s="20" t="inlineStr">
        <is>
          <t>정기예금 예입</t>
        </is>
      </c>
      <c r="H177" s="22" t="n">
        <v>0</v>
      </c>
      <c r="L177" s="22" t="n">
        <v>-100000</v>
      </c>
      <c r="O177" s="22" t="n">
        <v>-6000</v>
      </c>
      <c r="P177" s="22" t="n">
        <v>-6001</v>
      </c>
      <c r="Q177" s="22" t="n">
        <v>-6000</v>
      </c>
      <c r="R177" s="22" t="n">
        <v>-8125</v>
      </c>
      <c r="S177" s="22" t="n">
        <v>0</v>
      </c>
      <c r="W177" s="22" t="n">
        <v>0</v>
      </c>
      <c r="X177" s="22" t="n">
        <v>-100000</v>
      </c>
    </row>
    <row r="178">
      <c r="A178" s="20" t="inlineStr">
        <is>
          <t>정기예금 증감</t>
        </is>
      </c>
      <c r="J178" s="22" t="n">
        <v>0</v>
      </c>
      <c r="N178" s="22" t="n">
        <v>-41844</v>
      </c>
    </row>
    <row r="179">
      <c r="A179" s="20" t="inlineStr">
        <is>
          <t>기타</t>
        </is>
      </c>
      <c r="D179" s="22" t="n">
        <v>-34</v>
      </c>
      <c r="F179" s="22" t="n">
        <v>51</v>
      </c>
      <c r="H179" s="22" t="n">
        <v>-33</v>
      </c>
      <c r="J179" s="22" t="n">
        <v>-40</v>
      </c>
      <c r="L179" s="22" t="n">
        <v>-14</v>
      </c>
      <c r="N179" s="22" t="n">
        <v>-22</v>
      </c>
      <c r="O179" s="22" t="n">
        <v>18</v>
      </c>
      <c r="P179" s="22" t="n">
        <v>-57</v>
      </c>
      <c r="Q179" s="22" t="n">
        <v>229</v>
      </c>
      <c r="R179" s="22" t="n">
        <v>-2</v>
      </c>
      <c r="S179" s="22" t="n">
        <v>18</v>
      </c>
      <c r="T179" s="22" t="n">
        <v>-52</v>
      </c>
      <c r="U179" s="22" t="n">
        <v>-12</v>
      </c>
      <c r="V179" s="22" t="n">
        <v>-34</v>
      </c>
      <c r="W179" s="22" t="n">
        <v>-33</v>
      </c>
      <c r="X179" s="22" t="n">
        <v>-14</v>
      </c>
    </row>
    <row r="180">
      <c r="A180" s="9" t="inlineStr">
        <is>
          <t>투자활동 현금흐름</t>
        </is>
      </c>
      <c r="D180" s="12" t="n">
        <v>-16403</v>
      </c>
      <c r="F180" s="12" t="n">
        <v>-7114</v>
      </c>
      <c r="H180" s="12" t="n">
        <v>-68002</v>
      </c>
      <c r="J180" s="12" t="n">
        <v>-15274</v>
      </c>
      <c r="L180" s="12" t="n">
        <v>-135769</v>
      </c>
      <c r="N180" s="12" t="n">
        <v>-54814</v>
      </c>
      <c r="O180" s="12" t="n">
        <v>-6342</v>
      </c>
      <c r="P180" s="12" t="n">
        <v>-12673</v>
      </c>
      <c r="Q180" s="12" t="n">
        <v>-14513</v>
      </c>
      <c r="R180" s="12" t="n">
        <v>-25660</v>
      </c>
      <c r="S180" s="12" t="n">
        <v>-13107</v>
      </c>
      <c r="T180" s="12" t="n">
        <v>-43591</v>
      </c>
      <c r="U180" s="12" t="n">
        <v>-13077</v>
      </c>
      <c r="V180" s="12" t="n">
        <v>-16403</v>
      </c>
      <c r="W180" s="12" t="n">
        <v>-68002</v>
      </c>
      <c r="X180" s="12" t="n">
        <v>-135769</v>
      </c>
    </row>
    <row r="181">
      <c r="A181" s="20" t="inlineStr">
        <is>
          <t>장기차입금 상환</t>
        </is>
      </c>
      <c r="O181" s="22" t="n">
        <v>-1247</v>
      </c>
      <c r="P181" s="22" t="n">
        <v>-9000</v>
      </c>
      <c r="Q181" s="22" t="n">
        <v>0</v>
      </c>
    </row>
    <row r="182">
      <c r="A182" s="20" t="inlineStr">
        <is>
          <t>주식 발행</t>
        </is>
      </c>
      <c r="D182" s="22" t="n">
        <v>260</v>
      </c>
      <c r="F182" s="22" t="n">
        <v>65</v>
      </c>
      <c r="H182" s="22" t="n">
        <v>323</v>
      </c>
      <c r="J182" s="22" t="n">
        <v>144</v>
      </c>
      <c r="L182" s="22" t="n">
        <v>349</v>
      </c>
      <c r="N182" s="22" t="n">
        <v>225</v>
      </c>
      <c r="O182" s="22" t="n">
        <v>493</v>
      </c>
      <c r="P182" s="22" t="n">
        <v>445</v>
      </c>
      <c r="Q182" s="22" t="n">
        <v>18</v>
      </c>
      <c r="R182" s="22" t="n">
        <v>210</v>
      </c>
      <c r="S182" s="22" t="n">
        <v>829</v>
      </c>
      <c r="T182" s="22" t="n">
        <v>209</v>
      </c>
      <c r="U182" s="22" t="n">
        <v>115</v>
      </c>
      <c r="V182" s="22" t="n">
        <v>260</v>
      </c>
      <c r="W182" s="22" t="n">
        <v>323</v>
      </c>
      <c r="X182" s="22" t="n">
        <v>349</v>
      </c>
    </row>
    <row r="183">
      <c r="A183" s="20" t="inlineStr">
        <is>
          <t>자기주식 취득</t>
        </is>
      </c>
      <c r="F183" s="22" t="n">
        <v>-3</v>
      </c>
      <c r="O183" s="22" t="n">
        <v>-3</v>
      </c>
      <c r="P183" s="22" t="n">
        <v>-6</v>
      </c>
      <c r="Q183" s="22" t="n">
        <v>0</v>
      </c>
      <c r="R183" s="22" t="n">
        <v>-4</v>
      </c>
      <c r="S183" s="22" t="n">
        <v>-1</v>
      </c>
      <c r="T183" s="22" t="n">
        <v>-0</v>
      </c>
    </row>
    <row r="184">
      <c r="A184" s="20" t="inlineStr">
        <is>
          <t>배당금 지급</t>
        </is>
      </c>
      <c r="D184" s="22" t="n">
        <v>-31115</v>
      </c>
      <c r="F184" s="22" t="n">
        <v>-24996</v>
      </c>
      <c r="H184" s="22" t="n">
        <v>-38467</v>
      </c>
      <c r="J184" s="22" t="n">
        <v>-31321</v>
      </c>
      <c r="L184" s="22" t="n">
        <v>-45309</v>
      </c>
      <c r="N184" s="22" t="n">
        <v>-40768</v>
      </c>
      <c r="O184" s="22" t="n">
        <v>-11198</v>
      </c>
      <c r="P184" s="22" t="n">
        <v>-15492</v>
      </c>
      <c r="Q184" s="22" t="n">
        <v>-13001</v>
      </c>
      <c r="R184" s="22" t="n">
        <v>-10741</v>
      </c>
      <c r="S184" s="22" t="n">
        <v>-16653</v>
      </c>
      <c r="T184" s="22" t="n">
        <v>-27401</v>
      </c>
      <c r="U184" s="22" t="n">
        <v>-32154</v>
      </c>
      <c r="V184" s="22" t="n">
        <v>-31115</v>
      </c>
      <c r="W184" s="22" t="n">
        <v>-38467</v>
      </c>
      <c r="X184" s="22" t="n">
        <v>-45309</v>
      </c>
    </row>
    <row r="185">
      <c r="A185" s="20" t="inlineStr">
        <is>
          <t>비지배주주 배당금 지급</t>
        </is>
      </c>
      <c r="D185" s="22" t="n">
        <v>-74</v>
      </c>
      <c r="F185" s="22" t="n">
        <v>0</v>
      </c>
      <c r="H185" s="22" t="n">
        <v>0</v>
      </c>
      <c r="J185" s="22" t="n">
        <v>-73</v>
      </c>
      <c r="L185" s="22" t="n">
        <v>-73</v>
      </c>
      <c r="N185" s="22" t="n">
        <v>-74</v>
      </c>
      <c r="Q185" s="22" t="n">
        <v>0</v>
      </c>
      <c r="R185" s="22" t="n">
        <v>-44</v>
      </c>
      <c r="S185" s="22" t="n">
        <v>0</v>
      </c>
      <c r="T185" s="22" t="n">
        <v>0</v>
      </c>
      <c r="U185" s="22" t="n">
        <v>-51</v>
      </c>
      <c r="V185" s="22" t="n">
        <v>-74</v>
      </c>
      <c r="W185" s="22" t="n">
        <v>0</v>
      </c>
      <c r="X185" s="22" t="n">
        <v>-73</v>
      </c>
    </row>
    <row r="186">
      <c r="A186" s="20" t="inlineStr">
        <is>
          <t>기타</t>
        </is>
      </c>
      <c r="D186" s="22" t="n">
        <v>-8</v>
      </c>
      <c r="F186" s="22" t="n">
        <v>-3</v>
      </c>
      <c r="H186" s="22" t="n">
        <v>-5</v>
      </c>
      <c r="J186" s="22" t="n">
        <v>0</v>
      </c>
      <c r="L186" s="22" t="n">
        <v>-1</v>
      </c>
      <c r="T186" s="22" t="n">
        <v>-0</v>
      </c>
      <c r="U186" s="22" t="n">
        <v>-0</v>
      </c>
      <c r="V186" s="22" t="n">
        <v>-8</v>
      </c>
      <c r="W186" s="22" t="n">
        <v>-5</v>
      </c>
      <c r="X186" s="22" t="n">
        <v>-1</v>
      </c>
    </row>
    <row r="187">
      <c r="A187" s="9" t="inlineStr">
        <is>
          <t>재무활동 현금흐름</t>
        </is>
      </c>
      <c r="D187" s="12" t="n">
        <v>-30938</v>
      </c>
      <c r="F187" s="12" t="n">
        <v>-24934</v>
      </c>
      <c r="H187" s="12" t="n">
        <v>-38150</v>
      </c>
      <c r="J187" s="12" t="n">
        <v>-31249</v>
      </c>
      <c r="L187" s="12" t="n">
        <v>-45035</v>
      </c>
      <c r="N187" s="12" t="n">
        <v>-40617</v>
      </c>
      <c r="O187" s="12" t="n">
        <v>-11956</v>
      </c>
      <c r="P187" s="12" t="n">
        <v>-24053</v>
      </c>
      <c r="Q187" s="12" t="n">
        <v>-12982</v>
      </c>
      <c r="R187" s="12" t="n">
        <v>-10580</v>
      </c>
      <c r="S187" s="12" t="n">
        <v>-15825</v>
      </c>
      <c r="T187" s="12" t="n">
        <v>-27193</v>
      </c>
      <c r="U187" s="12" t="n">
        <v>-32090</v>
      </c>
      <c r="V187" s="12" t="n">
        <v>-30938</v>
      </c>
      <c r="W187" s="12" t="n">
        <v>-38150</v>
      </c>
      <c r="X187" s="12" t="n">
        <v>-45035</v>
      </c>
    </row>
    <row r="188">
      <c r="A188" s="20" t="inlineStr">
        <is>
          <t>현금성자산 환산차이</t>
        </is>
      </c>
      <c r="D188" s="22" t="n">
        <v>2251</v>
      </c>
      <c r="F188" s="22" t="n">
        <v>-815</v>
      </c>
      <c r="H188" s="22" t="n">
        <v>-531</v>
      </c>
      <c r="J188" s="22" t="n">
        <v>583</v>
      </c>
      <c r="L188" s="22" t="n">
        <v>2669</v>
      </c>
      <c r="N188" s="22" t="n">
        <v>-224</v>
      </c>
      <c r="O188" s="22" t="n">
        <v>-78</v>
      </c>
      <c r="P188" s="22" t="n">
        <v>-149</v>
      </c>
      <c r="Q188" s="22" t="n">
        <v>-9</v>
      </c>
      <c r="R188" s="22" t="n">
        <v>-628</v>
      </c>
      <c r="S188" s="22" t="n">
        <v>2249</v>
      </c>
      <c r="T188" s="22" t="n">
        <v>3091</v>
      </c>
      <c r="U188" s="22" t="n">
        <v>666</v>
      </c>
      <c r="V188" s="22" t="n">
        <v>2251</v>
      </c>
      <c r="W188" s="22" t="n">
        <v>-531</v>
      </c>
      <c r="X188" s="22" t="n">
        <v>2669</v>
      </c>
    </row>
    <row r="189">
      <c r="A189" s="20" t="inlineStr">
        <is>
          <t>현금성자산 증감</t>
        </is>
      </c>
      <c r="D189" s="22" t="n">
        <v>52433</v>
      </c>
      <c r="F189" s="22" t="n">
        <v>28084</v>
      </c>
      <c r="H189" s="22" t="n">
        <v>13680</v>
      </c>
      <c r="J189" s="22" t="n">
        <v>-6257</v>
      </c>
      <c r="L189" s="22" t="n">
        <v>-44591</v>
      </c>
      <c r="N189" s="22" t="n">
        <v>16052</v>
      </c>
      <c r="O189" s="22" t="n">
        <v>14528</v>
      </c>
      <c r="P189" s="22" t="n">
        <v>13854</v>
      </c>
      <c r="Q189" s="22" t="n">
        <v>-193</v>
      </c>
      <c r="R189" s="22" t="n">
        <v>-5568</v>
      </c>
      <c r="S189" s="22" t="n">
        <v>30026</v>
      </c>
      <c r="T189" s="22" t="n">
        <v>15961</v>
      </c>
      <c r="U189" s="22" t="n">
        <v>37281</v>
      </c>
      <c r="V189" s="22" t="n">
        <v>52433</v>
      </c>
      <c r="W189" s="22" t="n">
        <v>13680</v>
      </c>
      <c r="X189" s="22" t="n">
        <v>-44591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디스코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421647</v>
      </c>
      <c r="D5" s="12" t="n">
        <v>446956</v>
      </c>
      <c r="E5" s="12" t="n">
        <v>494572</v>
      </c>
      <c r="F5" s="12" t="n">
        <v>503423</v>
      </c>
      <c r="G5" s="12" t="n">
        <v>572766</v>
      </c>
      <c r="H5" s="11" t="n">
        <v>244933</v>
      </c>
      <c r="I5" s="12" t="n">
        <v>305118</v>
      </c>
      <c r="J5" s="12" t="n">
        <v>386945</v>
      </c>
      <c r="K5" s="12" t="n">
        <v>424502</v>
      </c>
      <c r="L5" s="12" t="n">
        <v>494572</v>
      </c>
    </row>
    <row r="6">
      <c r="A6" s="20" t="inlineStr">
        <is>
          <t>현금및현금성자산</t>
        </is>
      </c>
      <c r="B6" s="10" t="n"/>
      <c r="C6" s="21" t="n">
        <v>222909</v>
      </c>
      <c r="D6" s="22" t="n">
        <v>246143</v>
      </c>
      <c r="E6" s="22" t="n">
        <v>284575</v>
      </c>
      <c r="F6" s="22" t="n">
        <v>283892</v>
      </c>
      <c r="G6" s="22" t="n">
        <v>342411</v>
      </c>
      <c r="H6" s="21" t="n">
        <v>125771</v>
      </c>
      <c r="I6" s="22" t="n">
        <v>163053</v>
      </c>
      <c r="J6" s="22" t="n">
        <v>215486</v>
      </c>
      <c r="K6" s="22" t="n">
        <v>229167</v>
      </c>
      <c r="L6" s="22" t="n">
        <v>284575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53785</v>
      </c>
      <c r="D8" s="22" t="n">
        <v>50761</v>
      </c>
      <c r="E8" s="22" t="n">
        <v>57477</v>
      </c>
      <c r="F8" s="22" t="n">
        <v>58596</v>
      </c>
      <c r="G8" s="22" t="n">
        <v>57767</v>
      </c>
      <c r="H8" s="21" t="n">
        <v>38689</v>
      </c>
      <c r="I8" s="22" t="n">
        <v>41356</v>
      </c>
      <c r="J8" s="22" t="n">
        <v>46807</v>
      </c>
      <c r="K8" s="22" t="n">
        <v>43178</v>
      </c>
      <c r="L8" s="22" t="n">
        <v>57477</v>
      </c>
    </row>
    <row r="9">
      <c r="A9" s="20" t="inlineStr">
        <is>
          <t>재고자산</t>
        </is>
      </c>
      <c r="B9" s="10" t="n"/>
      <c r="C9" s="21" t="n">
        <v>138740</v>
      </c>
      <c r="D9" s="22" t="n">
        <v>141595</v>
      </c>
      <c r="E9" s="22" t="n">
        <v>141325</v>
      </c>
      <c r="F9" s="22" t="n">
        <v>152952</v>
      </c>
      <c r="G9" s="22" t="n">
        <v>160818</v>
      </c>
      <c r="H9" s="21" t="n">
        <v>68477</v>
      </c>
      <c r="I9" s="22" t="n">
        <v>91383</v>
      </c>
      <c r="J9" s="22" t="n">
        <v>114991</v>
      </c>
      <c r="K9" s="22" t="n">
        <v>139002</v>
      </c>
      <c r="L9" s="22" t="n">
        <v>141325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229746</v>
      </c>
      <c r="D11" s="12" t="n">
        <v>231307</v>
      </c>
      <c r="E11" s="12" t="n">
        <v>248838</v>
      </c>
      <c r="F11" s="12" t="n">
        <v>247735</v>
      </c>
      <c r="G11" s="12" t="n">
        <v>251817</v>
      </c>
      <c r="H11" s="11" t="n">
        <v>159606</v>
      </c>
      <c r="I11" s="12" t="n">
        <v>163678</v>
      </c>
      <c r="J11" s="12" t="n">
        <v>169112</v>
      </c>
      <c r="K11" s="12" t="n">
        <v>229585</v>
      </c>
      <c r="L11" s="12" t="n">
        <v>248838</v>
      </c>
    </row>
    <row r="12">
      <c r="A12" s="20" t="inlineStr">
        <is>
          <t>유형자산</t>
        </is>
      </c>
      <c r="B12" s="10" t="n"/>
      <c r="C12" s="21" t="n">
        <v>210997</v>
      </c>
      <c r="D12" s="22" t="n">
        <v>211567</v>
      </c>
      <c r="E12" s="22" t="n">
        <v>223241</v>
      </c>
      <c r="F12" s="22" t="n">
        <v>223925</v>
      </c>
      <c r="G12" s="22" t="n">
        <v>226925</v>
      </c>
      <c r="H12" s="21" t="n">
        <v>144427</v>
      </c>
      <c r="I12" s="22" t="n">
        <v>147541</v>
      </c>
      <c r="J12" s="22" t="n">
        <v>147451</v>
      </c>
      <c r="K12" s="22" t="n">
        <v>204014</v>
      </c>
      <c r="L12" s="22" t="n">
        <v>223241</v>
      </c>
    </row>
    <row r="13">
      <c r="A13" s="20" t="inlineStr">
        <is>
          <t>무형자산</t>
        </is>
      </c>
      <c r="B13" s="10" t="n"/>
      <c r="C13" s="21" t="n">
        <v>243</v>
      </c>
      <c r="D13" s="22" t="n">
        <v>227</v>
      </c>
      <c r="E13" s="22" t="n">
        <v>250</v>
      </c>
      <c r="F13" s="22" t="n">
        <v>235</v>
      </c>
      <c r="G13" s="22" t="n">
        <v>268</v>
      </c>
      <c r="H13" s="21" t="n">
        <v>256</v>
      </c>
      <c r="I13" s="22" t="n">
        <v>231</v>
      </c>
      <c r="J13" s="22" t="n">
        <v>261</v>
      </c>
      <c r="K13" s="22" t="n">
        <v>246</v>
      </c>
      <c r="L13" s="22" t="n">
        <v>250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651394</v>
      </c>
      <c r="D16" s="12" t="n">
        <v>678263</v>
      </c>
      <c r="E16" s="12" t="n">
        <v>743410</v>
      </c>
      <c r="F16" s="12" t="n">
        <v>751159</v>
      </c>
      <c r="G16" s="12" t="n">
        <v>824584</v>
      </c>
      <c r="H16" s="11" t="n">
        <v>404540</v>
      </c>
      <c r="I16" s="12" t="n">
        <v>468797</v>
      </c>
      <c r="J16" s="12" t="n">
        <v>556058</v>
      </c>
      <c r="K16" s="12" t="n">
        <v>654087</v>
      </c>
      <c r="L16" s="12" t="n">
        <v>743410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132726</v>
      </c>
      <c r="D18" s="12" t="n">
        <v>134719</v>
      </c>
      <c r="E18" s="12" t="n">
        <v>154458</v>
      </c>
      <c r="F18" s="12" t="n">
        <v>167542</v>
      </c>
      <c r="G18" s="12" t="n">
        <v>194576</v>
      </c>
      <c r="H18" s="11" t="n">
        <v>109851</v>
      </c>
      <c r="I18" s="12" t="n">
        <v>119974</v>
      </c>
      <c r="J18" s="12" t="n">
        <v>148715</v>
      </c>
      <c r="K18" s="12" t="n">
        <v>160392</v>
      </c>
      <c r="L18" s="12" t="n">
        <v>154458</v>
      </c>
    </row>
    <row r="19">
      <c r="A19" s="20" t="inlineStr">
        <is>
          <t>매입채무</t>
        </is>
      </c>
      <c r="B19" s="10" t="n"/>
      <c r="C19" s="21" t="n">
        <v>6478</v>
      </c>
      <c r="D19" s="22" t="n">
        <v>6925</v>
      </c>
      <c r="E19" s="22" t="n">
        <v>9053</v>
      </c>
      <c r="F19" s="22" t="n">
        <v>10165</v>
      </c>
      <c r="G19" s="22" t="n">
        <v>11571</v>
      </c>
      <c r="H19" s="21" t="n">
        <v>8048</v>
      </c>
      <c r="I19" s="22" t="n">
        <v>6942</v>
      </c>
      <c r="J19" s="22" t="n">
        <v>7748</v>
      </c>
      <c r="K19" s="22" t="n">
        <v>7950</v>
      </c>
      <c r="L19" s="22" t="n">
        <v>9053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960</v>
      </c>
      <c r="D23" s="12" t="n">
        <v>932</v>
      </c>
      <c r="E23" s="12" t="n">
        <v>826</v>
      </c>
      <c r="F23" s="12" t="n">
        <v>1093</v>
      </c>
      <c r="G23" s="12" t="n">
        <v>994</v>
      </c>
      <c r="H23" s="11" t="n">
        <v>876</v>
      </c>
      <c r="I23" s="12" t="n">
        <v>781</v>
      </c>
      <c r="J23" s="12" t="n">
        <v>781</v>
      </c>
      <c r="K23" s="12" t="n">
        <v>991</v>
      </c>
      <c r="L23" s="12" t="n">
        <v>826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133687</v>
      </c>
      <c r="D27" s="12" t="n">
        <v>135652</v>
      </c>
      <c r="E27" s="12" t="n">
        <v>155285</v>
      </c>
      <c r="F27" s="12" t="n">
        <v>168636</v>
      </c>
      <c r="G27" s="12" t="n">
        <v>195570</v>
      </c>
      <c r="H27" s="11" t="n">
        <v>110728</v>
      </c>
      <c r="I27" s="12" t="n">
        <v>120755</v>
      </c>
      <c r="J27" s="12" t="n">
        <v>149497</v>
      </c>
      <c r="K27" s="12" t="n">
        <v>161383</v>
      </c>
      <c r="L27" s="12" t="n">
        <v>155285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516161</v>
      </c>
      <c r="D31" s="12" t="n">
        <v>541022</v>
      </c>
      <c r="E31" s="12" t="n">
        <v>586575</v>
      </c>
      <c r="F31" s="12" t="n">
        <v>580974</v>
      </c>
      <c r="G31" s="12" t="n">
        <v>627480</v>
      </c>
      <c r="H31" s="11" t="n">
        <v>292659</v>
      </c>
      <c r="I31" s="12" t="n">
        <v>346799</v>
      </c>
      <c r="J31" s="12" t="n">
        <v>405229</v>
      </c>
      <c r="K31" s="12" t="n">
        <v>491167</v>
      </c>
      <c r="L31" s="12" t="n">
        <v>586575</v>
      </c>
    </row>
    <row r="32">
      <c r="A32" s="20" t="inlineStr">
        <is>
          <t>자본금</t>
        </is>
      </c>
      <c r="B32" s="10" t="n"/>
      <c r="C32" s="21" t="n">
        <v>22227</v>
      </c>
      <c r="D32" s="22" t="n">
        <v>22227</v>
      </c>
      <c r="E32" s="22" t="n">
        <v>22359</v>
      </c>
      <c r="F32" s="22" t="n">
        <v>22382</v>
      </c>
      <c r="G32" s="22" t="n">
        <v>22643</v>
      </c>
      <c r="H32" s="21" t="n">
        <v>21608</v>
      </c>
      <c r="I32" s="22" t="n">
        <v>21681</v>
      </c>
      <c r="J32" s="22" t="n">
        <v>21838</v>
      </c>
      <c r="K32" s="22" t="n">
        <v>22089</v>
      </c>
      <c r="L32" s="22" t="n">
        <v>22359</v>
      </c>
    </row>
    <row r="33">
      <c r="A33" s="20" t="inlineStr">
        <is>
          <t>이익잉여금</t>
        </is>
      </c>
      <c r="B33" s="10" t="n"/>
      <c r="C33" s="21" t="n">
        <v>456303</v>
      </c>
      <c r="D33" s="22" t="n">
        <v>479042</v>
      </c>
      <c r="E33" s="22" t="n">
        <v>521924</v>
      </c>
      <c r="F33" s="22" t="n">
        <v>515364</v>
      </c>
      <c r="G33" s="22" t="n">
        <v>561508</v>
      </c>
      <c r="H33" s="21" t="n">
        <v>242475</v>
      </c>
      <c r="I33" s="22" t="n">
        <v>293209</v>
      </c>
      <c r="J33" s="22" t="n">
        <v>346293</v>
      </c>
      <c r="K33" s="22" t="n">
        <v>431718</v>
      </c>
      <c r="L33" s="22" t="n">
        <v>521924</v>
      </c>
    </row>
    <row r="34">
      <c r="A34" s="20" t="inlineStr">
        <is>
          <t>비지배지분</t>
        </is>
      </c>
      <c r="B34" s="10" t="n"/>
      <c r="C34" s="21" t="n">
        <v>342</v>
      </c>
      <c r="D34" s="22" t="n">
        <v>365</v>
      </c>
      <c r="E34" s="22" t="n">
        <v>366</v>
      </c>
      <c r="F34" s="22" t="n">
        <v>352</v>
      </c>
      <c r="G34" s="22" t="n">
        <v>443</v>
      </c>
      <c r="H34" s="21" t="n">
        <v>269</v>
      </c>
      <c r="I34" s="22" t="n">
        <v>245</v>
      </c>
      <c r="J34" s="22" t="n">
        <v>195</v>
      </c>
      <c r="K34" s="22" t="n">
        <v>348</v>
      </c>
      <c r="L34" s="22" t="n">
        <v>366</v>
      </c>
    </row>
    <row r="35">
      <c r="A35" s="9" t="inlineStr">
        <is>
          <t>자본총계</t>
        </is>
      </c>
      <c r="B35" s="10" t="n"/>
      <c r="C35" s="11" t="n">
        <v>517706</v>
      </c>
      <c r="D35" s="12" t="n">
        <v>542611</v>
      </c>
      <c r="E35" s="12" t="n">
        <v>588125</v>
      </c>
      <c r="F35" s="12" t="n">
        <v>582523</v>
      </c>
      <c r="G35" s="12" t="n">
        <v>629013</v>
      </c>
      <c r="H35" s="11" t="n">
        <v>293812</v>
      </c>
      <c r="I35" s="12" t="n">
        <v>348041</v>
      </c>
      <c r="J35" s="12" t="n">
        <v>406560</v>
      </c>
      <c r="K35" s="12" t="n">
        <v>492703</v>
      </c>
      <c r="L35" s="12" t="n">
        <v>588125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99099</v>
      </c>
      <c r="D37" s="12" t="n"/>
      <c r="E37" s="12" t="n">
        <v>133543</v>
      </c>
      <c r="F37" s="12" t="n"/>
      <c r="G37" s="12" t="n">
        <v>205568</v>
      </c>
      <c r="H37" s="11" t="n">
        <v>83654</v>
      </c>
      <c r="I37" s="12" t="n">
        <v>81783</v>
      </c>
      <c r="J37" s="12" t="n">
        <v>97524</v>
      </c>
      <c r="K37" s="12" t="n">
        <v>120364</v>
      </c>
      <c r="L37" s="12" t="n">
        <v>133543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74718</v>
      </c>
      <c r="D38" s="22" t="n"/>
      <c r="E38" s="22" t="n">
        <v>35227</v>
      </c>
      <c r="F38" s="22" t="n"/>
      <c r="G38" s="22" t="n">
        <v>33237</v>
      </c>
      <c r="H38" s="21" t="n">
        <v>43632</v>
      </c>
      <c r="I38" s="22" t="n">
        <v>14251</v>
      </c>
      <c r="J38" s="22" t="n">
        <v>16251</v>
      </c>
      <c r="K38" s="22" t="n">
        <v>66930</v>
      </c>
      <c r="L38" s="22" t="n">
        <v>35227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44792</v>
      </c>
      <c r="D40" s="22" t="n"/>
      <c r="E40" s="22" t="n">
        <v>45309</v>
      </c>
      <c r="F40" s="22" t="n"/>
      <c r="G40" s="22" t="n">
        <v>54756</v>
      </c>
      <c r="H40" s="21" t="n">
        <v>27401</v>
      </c>
      <c r="I40" s="22" t="n">
        <v>32154</v>
      </c>
      <c r="J40" s="22" t="n">
        <v>31115</v>
      </c>
      <c r="K40" s="22" t="n">
        <v>38467</v>
      </c>
      <c r="L40" s="22" t="n">
        <v>45309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222909</v>
      </c>
      <c r="D71" s="22" t="n">
        <v>246143</v>
      </c>
      <c r="E71" s="22" t="n">
        <v>284575</v>
      </c>
      <c r="F71" s="22" t="n">
        <v>283892</v>
      </c>
      <c r="G71" s="22" t="n">
        <v>342411</v>
      </c>
      <c r="H71" s="22" t="n">
        <v>125771</v>
      </c>
      <c r="I71" s="22" t="n">
        <v>163053</v>
      </c>
      <c r="J71" s="22" t="n">
        <v>215486</v>
      </c>
      <c r="K71" s="22" t="n">
        <v>229167</v>
      </c>
      <c r="L71" s="22" t="n">
        <v>284575</v>
      </c>
    </row>
    <row r="72">
      <c r="A72" s="20" t="inlineStr">
        <is>
          <t>받을어음·매출채권</t>
        </is>
      </c>
      <c r="H72" s="22" t="n">
        <v>0</v>
      </c>
    </row>
    <row r="73">
      <c r="A73" s="20" t="inlineStr">
        <is>
          <t>받을어음</t>
        </is>
      </c>
      <c r="E73" s="22" t="n">
        <v>4701</v>
      </c>
      <c r="H73" s="22" t="n">
        <v>1961</v>
      </c>
      <c r="I73" s="22" t="n">
        <v>2434</v>
      </c>
      <c r="J73" s="22" t="n">
        <v>3565</v>
      </c>
      <c r="K73" s="22" t="n">
        <v>3205</v>
      </c>
      <c r="L73" s="22" t="n">
        <v>4701</v>
      </c>
    </row>
    <row r="74">
      <c r="A74" s="20" t="inlineStr">
        <is>
          <t>매출채권</t>
        </is>
      </c>
      <c r="E74" s="22" t="n">
        <v>52776</v>
      </c>
      <c r="H74" s="22" t="n">
        <v>36728</v>
      </c>
      <c r="I74" s="22" t="n">
        <v>38921</v>
      </c>
      <c r="J74" s="22" t="n">
        <v>43242</v>
      </c>
      <c r="K74" s="22" t="n">
        <v>39972</v>
      </c>
      <c r="L74" s="22" t="n">
        <v>52776</v>
      </c>
    </row>
    <row r="75">
      <c r="A75" s="20" t="inlineStr">
        <is>
          <t>받을어음·매출채권·계약자산</t>
        </is>
      </c>
      <c r="C75" s="22" t="n">
        <v>53785</v>
      </c>
      <c r="D75" s="22" t="n">
        <v>50761</v>
      </c>
      <c r="E75" s="22" t="n">
        <v>57477</v>
      </c>
      <c r="F75" s="22" t="n">
        <v>58596</v>
      </c>
      <c r="G75" s="22" t="n">
        <v>57767</v>
      </c>
      <c r="H75" s="22" t="n">
        <v>38689</v>
      </c>
      <c r="I75" s="22" t="n">
        <v>41356</v>
      </c>
      <c r="J75" s="22" t="n">
        <v>46807</v>
      </c>
      <c r="K75" s="22" t="n">
        <v>43178</v>
      </c>
      <c r="L75" s="22" t="n">
        <v>57477</v>
      </c>
    </row>
    <row r="76">
      <c r="A76" s="20" t="inlineStr">
        <is>
          <t>상품·제품</t>
        </is>
      </c>
      <c r="C76" s="22" t="n">
        <v>37065</v>
      </c>
      <c r="D76" s="22" t="n">
        <v>41103</v>
      </c>
      <c r="E76" s="22" t="n">
        <v>39022</v>
      </c>
      <c r="F76" s="22" t="n">
        <v>47814</v>
      </c>
      <c r="G76" s="22" t="n">
        <v>47766</v>
      </c>
      <c r="H76" s="22" t="n">
        <v>21755</v>
      </c>
      <c r="I76" s="22" t="n">
        <v>24530</v>
      </c>
      <c r="J76" s="22" t="n">
        <v>28858</v>
      </c>
      <c r="K76" s="22" t="n">
        <v>32955</v>
      </c>
      <c r="L76" s="22" t="n">
        <v>39022</v>
      </c>
    </row>
    <row r="77">
      <c r="A77" s="20" t="inlineStr">
        <is>
          <t>재공품</t>
        </is>
      </c>
      <c r="C77" s="22" t="n">
        <v>40417</v>
      </c>
      <c r="D77" s="22" t="n">
        <v>41176</v>
      </c>
      <c r="E77" s="22" t="n">
        <v>43107</v>
      </c>
      <c r="F77" s="22" t="n">
        <v>41529</v>
      </c>
      <c r="G77" s="22" t="n">
        <v>43383</v>
      </c>
      <c r="H77" s="22" t="n">
        <v>18997</v>
      </c>
      <c r="I77" s="22" t="n">
        <v>23407</v>
      </c>
      <c r="J77" s="22" t="n">
        <v>35365</v>
      </c>
      <c r="K77" s="22" t="n">
        <v>44762</v>
      </c>
      <c r="L77" s="22" t="n">
        <v>43107</v>
      </c>
    </row>
    <row r="78">
      <c r="A78" s="20" t="inlineStr">
        <is>
          <t>원재료·저장품</t>
        </is>
      </c>
      <c r="C78" s="22" t="n">
        <v>61258</v>
      </c>
      <c r="D78" s="22" t="n">
        <v>59316</v>
      </c>
      <c r="E78" s="22" t="n">
        <v>59196</v>
      </c>
      <c r="F78" s="22" t="n">
        <v>63609</v>
      </c>
      <c r="G78" s="22" t="n">
        <v>69669</v>
      </c>
      <c r="H78" s="22" t="n">
        <v>27725</v>
      </c>
      <c r="I78" s="22" t="n">
        <v>43446</v>
      </c>
      <c r="J78" s="22" t="n">
        <v>50768</v>
      </c>
      <c r="K78" s="22" t="n">
        <v>61285</v>
      </c>
      <c r="L78" s="22" t="n">
        <v>59196</v>
      </c>
    </row>
    <row r="79">
      <c r="A79" s="20" t="inlineStr">
        <is>
          <t>기타</t>
        </is>
      </c>
      <c r="C79" s="22" t="n">
        <v>6371</v>
      </c>
      <c r="D79" s="22" t="n">
        <v>8609</v>
      </c>
      <c r="E79" s="22" t="n">
        <v>12010</v>
      </c>
      <c r="F79" s="22" t="n">
        <v>8803</v>
      </c>
      <c r="G79" s="22" t="n">
        <v>12610</v>
      </c>
      <c r="H79" s="22" t="n">
        <v>12093</v>
      </c>
      <c r="I79" s="22" t="n">
        <v>9420</v>
      </c>
      <c r="J79" s="22" t="n">
        <v>9776</v>
      </c>
      <c r="K79" s="22" t="n">
        <v>13293</v>
      </c>
      <c r="L79" s="22" t="n">
        <v>12010</v>
      </c>
    </row>
    <row r="80">
      <c r="A80" s="20" t="inlineStr">
        <is>
          <t>대손충당금</t>
        </is>
      </c>
      <c r="C80" s="22" t="n">
        <v>-160</v>
      </c>
      <c r="D80" s="22" t="n">
        <v>-155</v>
      </c>
      <c r="E80" s="22" t="n">
        <v>-817</v>
      </c>
      <c r="F80" s="22" t="n">
        <v>-822</v>
      </c>
      <c r="G80" s="22" t="n">
        <v>-842</v>
      </c>
      <c r="H80" s="22" t="n">
        <v>-98</v>
      </c>
      <c r="I80" s="22" t="n">
        <v>-95</v>
      </c>
      <c r="J80" s="22" t="n">
        <v>-116</v>
      </c>
      <c r="K80" s="22" t="n">
        <v>-140</v>
      </c>
      <c r="L80" s="22" t="n">
        <v>-817</v>
      </c>
    </row>
    <row r="81">
      <c r="A81" s="9" t="inlineStr">
        <is>
          <t>유동자산 합계</t>
        </is>
      </c>
      <c r="C81" s="12" t="n">
        <v>421647</v>
      </c>
      <c r="D81" s="12" t="n">
        <v>446956</v>
      </c>
      <c r="E81" s="12" t="n">
        <v>494572</v>
      </c>
      <c r="F81" s="12" t="n">
        <v>503423</v>
      </c>
      <c r="G81" s="12" t="n">
        <v>572766</v>
      </c>
      <c r="H81" s="12" t="n">
        <v>244933</v>
      </c>
      <c r="I81" s="12" t="n">
        <v>305118</v>
      </c>
      <c r="J81" s="12" t="n">
        <v>386945</v>
      </c>
      <c r="K81" s="12" t="n">
        <v>424502</v>
      </c>
      <c r="L81" s="12" t="n">
        <v>494572</v>
      </c>
    </row>
    <row r="82">
      <c r="A82" s="20" t="inlineStr">
        <is>
          <t>건물·구축물(순액)</t>
        </is>
      </c>
      <c r="C82" s="22" t="n">
        <v>103015</v>
      </c>
      <c r="D82" s="22" t="n">
        <v>102613</v>
      </c>
      <c r="E82" s="22" t="n">
        <v>101636</v>
      </c>
      <c r="F82" s="22" t="n">
        <v>101312</v>
      </c>
      <c r="G82" s="22" t="n">
        <v>99593</v>
      </c>
      <c r="H82" s="22" t="n">
        <v>94868</v>
      </c>
      <c r="I82" s="22" t="n">
        <v>95780</v>
      </c>
      <c r="J82" s="22" t="n">
        <v>89000</v>
      </c>
      <c r="K82" s="22" t="n">
        <v>103769</v>
      </c>
      <c r="L82" s="22" t="n">
        <v>101636</v>
      </c>
    </row>
    <row r="83">
      <c r="A83" s="20" t="inlineStr">
        <is>
          <t>기계장치·운반구(순액)</t>
        </is>
      </c>
      <c r="E83" s="22" t="n">
        <v>20007</v>
      </c>
      <c r="H83" s="22" t="n">
        <v>12028</v>
      </c>
      <c r="I83" s="22" t="n">
        <v>12543</v>
      </c>
      <c r="J83" s="22" t="n">
        <v>15245</v>
      </c>
      <c r="K83" s="22" t="n">
        <v>18539</v>
      </c>
      <c r="L83" s="22" t="n">
        <v>20007</v>
      </c>
    </row>
    <row r="84">
      <c r="A84" s="20" t="inlineStr">
        <is>
          <t>공구·기구·비품(순액)</t>
        </is>
      </c>
      <c r="E84" s="22" t="n">
        <v>2222</v>
      </c>
      <c r="H84" s="22" t="n">
        <v>903</v>
      </c>
      <c r="I84" s="22" t="n">
        <v>1052</v>
      </c>
      <c r="J84" s="22" t="n">
        <v>1675</v>
      </c>
      <c r="K84" s="22" t="n">
        <v>1942</v>
      </c>
      <c r="L84" s="22" t="n">
        <v>2222</v>
      </c>
    </row>
    <row r="85">
      <c r="A85" s="20" t="inlineStr">
        <is>
          <t>토지</t>
        </is>
      </c>
      <c r="C85" s="22" t="n">
        <v>65406</v>
      </c>
      <c r="D85" s="22" t="n">
        <v>65472</v>
      </c>
      <c r="E85" s="22" t="n">
        <v>65488</v>
      </c>
      <c r="F85" s="22" t="n">
        <v>65551</v>
      </c>
      <c r="G85" s="22" t="n">
        <v>65524</v>
      </c>
      <c r="H85" s="22" t="n">
        <v>26554</v>
      </c>
      <c r="I85" s="22" t="n">
        <v>26741</v>
      </c>
      <c r="J85" s="22" t="n">
        <v>27271</v>
      </c>
      <c r="K85" s="22" t="n">
        <v>62816</v>
      </c>
      <c r="L85" s="22" t="n">
        <v>65488</v>
      </c>
    </row>
    <row r="86">
      <c r="A86" s="20" t="inlineStr">
        <is>
          <t>건설중인자산</t>
        </is>
      </c>
      <c r="E86" s="22" t="n">
        <v>33885</v>
      </c>
      <c r="H86" s="22" t="n">
        <v>10073</v>
      </c>
      <c r="I86" s="22" t="n">
        <v>11422</v>
      </c>
      <c r="J86" s="22" t="n">
        <v>14258</v>
      </c>
      <c r="K86" s="22" t="n">
        <v>16946</v>
      </c>
      <c r="L86" s="22" t="n">
        <v>33885</v>
      </c>
    </row>
    <row r="87">
      <c r="A87" s="20" t="inlineStr">
        <is>
          <t>기타(순액)</t>
        </is>
      </c>
      <c r="C87" s="22" t="n">
        <v>42574</v>
      </c>
      <c r="D87" s="22" t="n">
        <v>43481</v>
      </c>
      <c r="E87" s="22" t="n">
        <v>56115</v>
      </c>
      <c r="F87" s="22" t="n">
        <v>57061</v>
      </c>
      <c r="G87" s="22" t="n">
        <v>61807</v>
      </c>
      <c r="H87" s="22" t="n">
        <v>49559</v>
      </c>
      <c r="I87" s="22" t="n">
        <v>51760</v>
      </c>
      <c r="J87" s="22" t="n">
        <v>58451</v>
      </c>
      <c r="K87" s="22" t="n">
        <v>37428</v>
      </c>
      <c r="L87" s="22" t="n">
        <v>56115</v>
      </c>
    </row>
    <row r="88">
      <c r="A88" s="20" t="inlineStr">
        <is>
          <t>유형자산 합계</t>
        </is>
      </c>
      <c r="C88" s="22" t="n">
        <v>210997</v>
      </c>
      <c r="D88" s="22" t="n">
        <v>211567</v>
      </c>
      <c r="E88" s="22" t="n">
        <v>223241</v>
      </c>
      <c r="F88" s="22" t="n">
        <v>223925</v>
      </c>
      <c r="G88" s="22" t="n">
        <v>226925</v>
      </c>
      <c r="H88" s="22" t="n">
        <v>144427</v>
      </c>
      <c r="I88" s="22" t="n">
        <v>147541</v>
      </c>
      <c r="J88" s="22" t="n">
        <v>147451</v>
      </c>
      <c r="K88" s="22" t="n">
        <v>204014</v>
      </c>
      <c r="L88" s="22" t="n">
        <v>223241</v>
      </c>
    </row>
    <row r="89">
      <c r="A89" s="20" t="inlineStr">
        <is>
          <t>무형자산</t>
        </is>
      </c>
      <c r="C89" s="22" t="n">
        <v>243</v>
      </c>
      <c r="D89" s="22" t="n">
        <v>227</v>
      </c>
      <c r="E89" s="22" t="n">
        <v>250</v>
      </c>
      <c r="F89" s="22" t="n">
        <v>235</v>
      </c>
      <c r="G89" s="22" t="n">
        <v>268</v>
      </c>
      <c r="H89" s="22" t="n">
        <v>256</v>
      </c>
      <c r="I89" s="22" t="n">
        <v>231</v>
      </c>
      <c r="J89" s="22" t="n">
        <v>261</v>
      </c>
      <c r="K89" s="22" t="n">
        <v>246</v>
      </c>
      <c r="L89" s="22" t="n">
        <v>250</v>
      </c>
    </row>
    <row r="90">
      <c r="A90" s="20" t="inlineStr">
        <is>
          <t>투자유가증권</t>
        </is>
      </c>
      <c r="E90" s="22" t="n">
        <v>3944</v>
      </c>
      <c r="H90" s="22" t="n">
        <v>2608</v>
      </c>
      <c r="I90" s="22" t="n">
        <v>2808</v>
      </c>
      <c r="J90" s="22" t="n">
        <v>3346</v>
      </c>
      <c r="K90" s="22" t="n">
        <v>3510</v>
      </c>
      <c r="L90" s="22" t="n">
        <v>3944</v>
      </c>
    </row>
    <row r="91">
      <c r="A91" s="20" t="inlineStr">
        <is>
          <t>이연법인세자산</t>
        </is>
      </c>
      <c r="E91" s="22" t="n">
        <v>16231</v>
      </c>
      <c r="H91" s="22" t="n">
        <v>8367</v>
      </c>
      <c r="I91" s="22" t="n">
        <v>9332</v>
      </c>
      <c r="J91" s="22" t="n">
        <v>14044</v>
      </c>
      <c r="K91" s="22" t="n">
        <v>17952</v>
      </c>
      <c r="L91" s="22" t="n">
        <v>16231</v>
      </c>
    </row>
    <row r="92">
      <c r="A92" s="20" t="inlineStr">
        <is>
          <t>퇴직급여자산</t>
        </is>
      </c>
      <c r="E92" s="22" t="n">
        <v>2263</v>
      </c>
      <c r="H92" s="22" t="n">
        <v>982</v>
      </c>
      <c r="I92" s="22" t="n">
        <v>1025</v>
      </c>
      <c r="J92" s="22" t="n">
        <v>1112</v>
      </c>
      <c r="K92" s="22" t="n">
        <v>1131</v>
      </c>
      <c r="L92" s="22" t="n">
        <v>2263</v>
      </c>
    </row>
    <row r="93">
      <c r="A93" s="20" t="inlineStr">
        <is>
          <t>기타</t>
        </is>
      </c>
      <c r="E93" s="22" t="n">
        <v>2906</v>
      </c>
      <c r="H93" s="22" t="n">
        <v>2973</v>
      </c>
      <c r="I93" s="22" t="n">
        <v>2738</v>
      </c>
      <c r="J93" s="22" t="n">
        <v>2895</v>
      </c>
      <c r="K93" s="22" t="n">
        <v>2729</v>
      </c>
      <c r="L93" s="22" t="n">
        <v>2906</v>
      </c>
    </row>
    <row r="94">
      <c r="A94" s="20" t="inlineStr">
        <is>
          <t>대손충당금</t>
        </is>
      </c>
      <c r="H94" s="22" t="n">
        <v>-10</v>
      </c>
      <c r="I94" s="22" t="n">
        <v>0</v>
      </c>
    </row>
    <row r="95">
      <c r="A95" s="20" t="inlineStr">
        <is>
          <t>투자 및 기타자산</t>
        </is>
      </c>
      <c r="C95" s="22" t="n">
        <v>18505</v>
      </c>
      <c r="D95" s="22" t="n">
        <v>19511</v>
      </c>
      <c r="E95" s="22" t="n">
        <v>25346</v>
      </c>
      <c r="F95" s="22" t="n">
        <v>23574</v>
      </c>
      <c r="G95" s="22" t="n">
        <v>24622</v>
      </c>
      <c r="H95" s="22" t="n">
        <v>14922</v>
      </c>
      <c r="I95" s="22" t="n">
        <v>15905</v>
      </c>
      <c r="J95" s="22" t="n">
        <v>21399</v>
      </c>
      <c r="K95" s="22" t="n">
        <v>25324</v>
      </c>
      <c r="L95" s="22" t="n">
        <v>25346</v>
      </c>
    </row>
    <row r="96">
      <c r="A96" s="9" t="inlineStr">
        <is>
          <t>비유동자산 합계</t>
        </is>
      </c>
      <c r="C96" s="12" t="n">
        <v>229746</v>
      </c>
      <c r="D96" s="12" t="n">
        <v>231307</v>
      </c>
      <c r="E96" s="12" t="n">
        <v>248838</v>
      </c>
      <c r="F96" s="12" t="n">
        <v>247735</v>
      </c>
      <c r="G96" s="12" t="n">
        <v>251817</v>
      </c>
      <c r="H96" s="12" t="n">
        <v>159606</v>
      </c>
      <c r="I96" s="12" t="n">
        <v>163678</v>
      </c>
      <c r="J96" s="12" t="n">
        <v>169112</v>
      </c>
      <c r="K96" s="12" t="n">
        <v>229585</v>
      </c>
      <c r="L96" s="12" t="n">
        <v>248838</v>
      </c>
    </row>
    <row r="97">
      <c r="A97" s="9" t="inlineStr">
        <is>
          <t>자산 합계</t>
        </is>
      </c>
      <c r="C97" s="12" t="n">
        <v>651394</v>
      </c>
      <c r="D97" s="12" t="n">
        <v>678263</v>
      </c>
      <c r="E97" s="12" t="n">
        <v>743410</v>
      </c>
      <c r="F97" s="12" t="n">
        <v>751159</v>
      </c>
      <c r="G97" s="12" t="n">
        <v>824584</v>
      </c>
      <c r="H97" s="12" t="n">
        <v>404540</v>
      </c>
      <c r="I97" s="12" t="n">
        <v>468797</v>
      </c>
      <c r="J97" s="12" t="n">
        <v>556058</v>
      </c>
      <c r="K97" s="12" t="n">
        <v>654087</v>
      </c>
      <c r="L97" s="12" t="n">
        <v>743410</v>
      </c>
    </row>
    <row r="98">
      <c r="A98" s="20" t="inlineStr">
        <is>
          <t>지급어음·매입채무</t>
        </is>
      </c>
      <c r="C98" s="22" t="n">
        <v>6478</v>
      </c>
      <c r="D98" s="22" t="n">
        <v>6925</v>
      </c>
      <c r="E98" s="22" t="n">
        <v>9053</v>
      </c>
      <c r="H98" s="22" t="n">
        <v>8048</v>
      </c>
      <c r="I98" s="22" t="n">
        <v>6942</v>
      </c>
      <c r="J98" s="22" t="n">
        <v>7748</v>
      </c>
      <c r="K98" s="22" t="n">
        <v>7950</v>
      </c>
      <c r="L98" s="22" t="n">
        <v>9053</v>
      </c>
    </row>
    <row r="99">
      <c r="A99" s="20" t="inlineStr">
        <is>
          <t>매입채무</t>
        </is>
      </c>
      <c r="E99" s="22" t="n">
        <v>9053</v>
      </c>
      <c r="F99" s="22" t="n">
        <v>10165</v>
      </c>
      <c r="G99" s="22" t="n">
        <v>11571</v>
      </c>
      <c r="L99" s="22" t="n">
        <v>9053</v>
      </c>
    </row>
    <row r="100">
      <c r="A100" s="20" t="inlineStr">
        <is>
          <t>전자기록채무</t>
        </is>
      </c>
      <c r="C100" s="22" t="n">
        <v>17128</v>
      </c>
      <c r="D100" s="22" t="n">
        <v>20943</v>
      </c>
      <c r="E100" s="22" t="n">
        <v>13884</v>
      </c>
      <c r="F100" s="22" t="n">
        <v>17513</v>
      </c>
      <c r="G100" s="22" t="n">
        <v>20021</v>
      </c>
      <c r="H100" s="22" t="n">
        <v>20902</v>
      </c>
      <c r="I100" s="22" t="n">
        <v>19658</v>
      </c>
      <c r="J100" s="22" t="n">
        <v>28481</v>
      </c>
      <c r="K100" s="22" t="n">
        <v>22918</v>
      </c>
      <c r="L100" s="22" t="n">
        <v>13884</v>
      </c>
    </row>
    <row r="101">
      <c r="A101" s="20" t="inlineStr">
        <is>
          <t>미지급법인세</t>
        </is>
      </c>
      <c r="C101" s="22" t="n">
        <v>14505</v>
      </c>
      <c r="D101" s="22" t="n">
        <v>2989</v>
      </c>
      <c r="E101" s="22" t="n">
        <v>22523</v>
      </c>
      <c r="F101" s="22" t="n">
        <v>14010</v>
      </c>
      <c r="G101" s="22" t="n">
        <v>31814</v>
      </c>
      <c r="H101" s="22" t="n">
        <v>19946</v>
      </c>
      <c r="I101" s="22" t="n">
        <v>16497</v>
      </c>
      <c r="J101" s="22" t="n">
        <v>19463</v>
      </c>
      <c r="K101" s="22" t="n">
        <v>30175</v>
      </c>
      <c r="L101" s="22" t="n">
        <v>22523</v>
      </c>
    </row>
    <row r="102">
      <c r="A102" s="20" t="inlineStr">
        <is>
          <t>선수금</t>
        </is>
      </c>
      <c r="H102" s="22" t="n">
        <v>0</v>
      </c>
    </row>
    <row r="103">
      <c r="A103" s="20" t="inlineStr">
        <is>
          <t>계약부채</t>
        </is>
      </c>
      <c r="C103" s="22" t="n">
        <v>55691</v>
      </c>
      <c r="D103" s="22" t="n">
        <v>62225</v>
      </c>
      <c r="E103" s="22" t="n">
        <v>50006</v>
      </c>
      <c r="F103" s="22" t="n">
        <v>72970</v>
      </c>
      <c r="G103" s="22" t="n">
        <v>79623</v>
      </c>
      <c r="H103" s="22" t="n">
        <v>27622</v>
      </c>
      <c r="I103" s="22" t="n">
        <v>39164</v>
      </c>
      <c r="J103" s="22" t="n">
        <v>48467</v>
      </c>
      <c r="K103" s="22" t="n">
        <v>43933</v>
      </c>
      <c r="L103" s="22" t="n">
        <v>50006</v>
      </c>
    </row>
    <row r="104">
      <c r="A104" s="20" t="inlineStr">
        <is>
          <t>상여충당금</t>
        </is>
      </c>
      <c r="C104" s="22" t="n">
        <v>22748</v>
      </c>
      <c r="D104" s="22" t="n">
        <v>26598</v>
      </c>
      <c r="E104" s="22" t="n">
        <v>44229</v>
      </c>
      <c r="F104" s="22" t="n">
        <v>33176</v>
      </c>
      <c r="G104" s="22" t="n">
        <v>32578</v>
      </c>
      <c r="H104" s="22" t="n">
        <v>23315</v>
      </c>
      <c r="I104" s="22" t="n">
        <v>26958</v>
      </c>
      <c r="J104" s="22" t="n">
        <v>31055</v>
      </c>
      <c r="K104" s="22" t="n">
        <v>41639</v>
      </c>
      <c r="L104" s="22" t="n">
        <v>44229</v>
      </c>
    </row>
    <row r="105">
      <c r="A105" s="20" t="inlineStr">
        <is>
          <t>임원 상여충당금</t>
        </is>
      </c>
      <c r="H105" s="22" t="n">
        <v>142</v>
      </c>
      <c r="I105" s="22" t="n">
        <v>0</v>
      </c>
    </row>
    <row r="106">
      <c r="A106" s="20" t="inlineStr">
        <is>
          <t>제품보증 충당금</t>
        </is>
      </c>
      <c r="E106" s="22" t="n">
        <v>2121</v>
      </c>
      <c r="H106" s="22" t="n">
        <v>942</v>
      </c>
      <c r="I106" s="22" t="n">
        <v>1042</v>
      </c>
      <c r="J106" s="22" t="n">
        <v>1621</v>
      </c>
      <c r="K106" s="22" t="n">
        <v>1866</v>
      </c>
      <c r="L106" s="22" t="n">
        <v>2121</v>
      </c>
    </row>
    <row r="107">
      <c r="A107" s="20" t="inlineStr">
        <is>
          <t>자산복구부채</t>
        </is>
      </c>
      <c r="I107" s="22" t="n">
        <v>0</v>
      </c>
      <c r="J107" s="22" t="n">
        <v>32</v>
      </c>
      <c r="K107" s="22" t="n">
        <v>0</v>
      </c>
    </row>
    <row r="108">
      <c r="A108" s="20" t="inlineStr">
        <is>
          <t>기타 충당금</t>
        </is>
      </c>
      <c r="C108" s="22" t="n">
        <v>2436</v>
      </c>
      <c r="D108" s="22" t="n">
        <v>2798</v>
      </c>
      <c r="E108" s="22" t="n">
        <v>2121</v>
      </c>
      <c r="F108" s="22" t="n">
        <v>2571</v>
      </c>
      <c r="G108" s="22" t="n">
        <v>2947</v>
      </c>
      <c r="H108" s="22" t="n">
        <v>1085</v>
      </c>
      <c r="I108" s="22" t="n">
        <v>1042</v>
      </c>
      <c r="J108" s="22" t="n">
        <v>1621</v>
      </c>
      <c r="K108" s="22" t="n">
        <v>1866</v>
      </c>
      <c r="L108" s="22" t="n">
        <v>2121</v>
      </c>
    </row>
    <row r="109">
      <c r="A109" s="20" t="inlineStr">
        <is>
          <t>기타</t>
        </is>
      </c>
      <c r="C109" s="22" t="n">
        <v>13737</v>
      </c>
      <c r="D109" s="22" t="n">
        <v>12238</v>
      </c>
      <c r="E109" s="22" t="n">
        <v>12638</v>
      </c>
      <c r="F109" s="22" t="n">
        <v>17135</v>
      </c>
      <c r="G109" s="22" t="n">
        <v>16019</v>
      </c>
      <c r="H109" s="22" t="n">
        <v>8930</v>
      </c>
      <c r="I109" s="22" t="n">
        <v>9710</v>
      </c>
      <c r="J109" s="22" t="n">
        <v>11844</v>
      </c>
      <c r="K109" s="22" t="n">
        <v>11909</v>
      </c>
      <c r="L109" s="22" t="n">
        <v>12638</v>
      </c>
    </row>
    <row r="110">
      <c r="A110" s="9" t="inlineStr">
        <is>
          <t>유동부채 합계</t>
        </is>
      </c>
      <c r="C110" s="12" t="n">
        <v>132726</v>
      </c>
      <c r="D110" s="12" t="n">
        <v>134719</v>
      </c>
      <c r="E110" s="12" t="n">
        <v>154458</v>
      </c>
      <c r="F110" s="12" t="n">
        <v>167542</v>
      </c>
      <c r="G110" s="12" t="n">
        <v>194576</v>
      </c>
      <c r="H110" s="12" t="n">
        <v>109851</v>
      </c>
      <c r="I110" s="12" t="n">
        <v>119974</v>
      </c>
      <c r="J110" s="12" t="n">
        <v>148715</v>
      </c>
      <c r="K110" s="12" t="n">
        <v>160392</v>
      </c>
      <c r="L110" s="12" t="n">
        <v>154458</v>
      </c>
    </row>
    <row r="111">
      <c r="A111" s="20" t="inlineStr">
        <is>
          <t>자산복구부채</t>
        </is>
      </c>
      <c r="E111" s="22" t="n">
        <v>629</v>
      </c>
      <c r="H111" s="22" t="n">
        <v>565</v>
      </c>
      <c r="I111" s="22" t="n">
        <v>574</v>
      </c>
      <c r="J111" s="22" t="n">
        <v>565</v>
      </c>
      <c r="K111" s="22" t="n">
        <v>593</v>
      </c>
      <c r="L111" s="22" t="n">
        <v>629</v>
      </c>
    </row>
    <row r="112">
      <c r="A112" s="20" t="inlineStr">
        <is>
          <t>기타</t>
        </is>
      </c>
      <c r="E112" s="22" t="n">
        <v>197</v>
      </c>
      <c r="H112" s="22" t="n">
        <v>310</v>
      </c>
      <c r="I112" s="22" t="n">
        <v>206</v>
      </c>
      <c r="J112" s="22" t="n">
        <v>215</v>
      </c>
      <c r="K112" s="22" t="n">
        <v>397</v>
      </c>
      <c r="L112" s="22" t="n">
        <v>197</v>
      </c>
    </row>
    <row r="113">
      <c r="A113" s="9" t="inlineStr">
        <is>
          <t>비유동부채</t>
        </is>
      </c>
      <c r="C113" s="12" t="n">
        <v>960</v>
      </c>
      <c r="D113" s="12" t="n">
        <v>932</v>
      </c>
      <c r="E113" s="12" t="n">
        <v>826</v>
      </c>
      <c r="F113" s="12" t="n">
        <v>1093</v>
      </c>
      <c r="G113" s="12" t="n">
        <v>994</v>
      </c>
      <c r="H113" s="12" t="n">
        <v>876</v>
      </c>
      <c r="I113" s="12" t="n">
        <v>781</v>
      </c>
      <c r="J113" s="12" t="n">
        <v>781</v>
      </c>
      <c r="K113" s="12" t="n">
        <v>991</v>
      </c>
      <c r="L113" s="12" t="n">
        <v>826</v>
      </c>
    </row>
    <row r="114">
      <c r="A114" s="9" t="inlineStr">
        <is>
          <t>부채 합계</t>
        </is>
      </c>
      <c r="C114" s="12" t="n">
        <v>133687</v>
      </c>
      <c r="D114" s="12" t="n">
        <v>135652</v>
      </c>
      <c r="E114" s="12" t="n">
        <v>155285</v>
      </c>
      <c r="F114" s="12" t="n">
        <v>168636</v>
      </c>
      <c r="G114" s="12" t="n">
        <v>195570</v>
      </c>
      <c r="H114" s="12" t="n">
        <v>110728</v>
      </c>
      <c r="I114" s="12" t="n">
        <v>120755</v>
      </c>
      <c r="J114" s="12" t="n">
        <v>149497</v>
      </c>
      <c r="K114" s="12" t="n">
        <v>161383</v>
      </c>
      <c r="L114" s="12" t="n">
        <v>155285</v>
      </c>
    </row>
    <row r="115">
      <c r="A115" s="20" t="inlineStr">
        <is>
          <t>자본금</t>
        </is>
      </c>
      <c r="C115" s="22" t="n">
        <v>22227</v>
      </c>
      <c r="D115" s="22" t="n">
        <v>22227</v>
      </c>
      <c r="E115" s="22" t="n">
        <v>22359</v>
      </c>
      <c r="F115" s="22" t="n">
        <v>22382</v>
      </c>
      <c r="G115" s="22" t="n">
        <v>22643</v>
      </c>
      <c r="H115" s="22" t="n">
        <v>21608</v>
      </c>
      <c r="I115" s="22" t="n">
        <v>21681</v>
      </c>
      <c r="J115" s="22" t="n">
        <v>21838</v>
      </c>
      <c r="K115" s="22" t="n">
        <v>22089</v>
      </c>
      <c r="L115" s="22" t="n">
        <v>22359</v>
      </c>
    </row>
    <row r="116">
      <c r="A116" s="20" t="inlineStr">
        <is>
          <t>자본잉여금</t>
        </is>
      </c>
      <c r="C116" s="22" t="n">
        <v>24215</v>
      </c>
      <c r="D116" s="22" t="n">
        <v>24215</v>
      </c>
      <c r="E116" s="22" t="n">
        <v>24348</v>
      </c>
      <c r="F116" s="22" t="n">
        <v>24370</v>
      </c>
      <c r="G116" s="22" t="n">
        <v>24631</v>
      </c>
      <c r="H116" s="22" t="n">
        <v>23596</v>
      </c>
      <c r="I116" s="22" t="n">
        <v>23670</v>
      </c>
      <c r="J116" s="22" t="n">
        <v>23826</v>
      </c>
      <c r="K116" s="22" t="n">
        <v>24077</v>
      </c>
      <c r="L116" s="22" t="n">
        <v>24348</v>
      </c>
    </row>
    <row r="117">
      <c r="A117" s="20" t="inlineStr">
        <is>
          <t>이익잉여금</t>
        </is>
      </c>
      <c r="C117" s="22" t="n">
        <v>456303</v>
      </c>
      <c r="D117" s="22" t="n">
        <v>479042</v>
      </c>
      <c r="E117" s="22" t="n">
        <v>521924</v>
      </c>
      <c r="F117" s="22" t="n">
        <v>515364</v>
      </c>
      <c r="G117" s="22" t="n">
        <v>561508</v>
      </c>
      <c r="H117" s="22" t="n">
        <v>242475</v>
      </c>
      <c r="I117" s="22" t="n">
        <v>293209</v>
      </c>
      <c r="J117" s="22" t="n">
        <v>346293</v>
      </c>
      <c r="K117" s="22" t="n">
        <v>431718</v>
      </c>
      <c r="L117" s="22" t="n">
        <v>521924</v>
      </c>
    </row>
    <row r="118">
      <c r="A118" s="20" t="inlineStr">
        <is>
          <t>자기주식</t>
        </is>
      </c>
      <c r="C118" s="22" t="n">
        <v>-47</v>
      </c>
      <c r="D118" s="22" t="n">
        <v>-48</v>
      </c>
      <c r="E118" s="22" t="n">
        <v>-48</v>
      </c>
      <c r="F118" s="22" t="n">
        <v>-48</v>
      </c>
      <c r="G118" s="22" t="n">
        <v>-48</v>
      </c>
      <c r="H118" s="22" t="n">
        <v>-32</v>
      </c>
      <c r="I118" s="22" t="n">
        <v>-32</v>
      </c>
      <c r="J118" s="22" t="n">
        <v>-41</v>
      </c>
      <c r="K118" s="22" t="n">
        <v>-47</v>
      </c>
      <c r="L118" s="22" t="n">
        <v>-48</v>
      </c>
    </row>
    <row r="119">
      <c r="A119" s="9" t="inlineStr">
        <is>
          <t>주주자본 합계</t>
        </is>
      </c>
      <c r="C119" s="12" t="n">
        <v>502698</v>
      </c>
      <c r="D119" s="12" t="n">
        <v>525436</v>
      </c>
      <c r="E119" s="12" t="n">
        <v>568583</v>
      </c>
      <c r="F119" s="12" t="n">
        <v>562068</v>
      </c>
      <c r="G119" s="12" t="n">
        <v>608735</v>
      </c>
      <c r="H119" s="12" t="n">
        <v>287648</v>
      </c>
      <c r="I119" s="12" t="n">
        <v>338528</v>
      </c>
      <c r="J119" s="12" t="n">
        <v>391917</v>
      </c>
      <c r="K119" s="12" t="n">
        <v>477838</v>
      </c>
      <c r="L119" s="12" t="n">
        <v>568583</v>
      </c>
    </row>
    <row r="120">
      <c r="A120" s="20" t="inlineStr">
        <is>
          <t>기타유가증권 평가차액</t>
        </is>
      </c>
      <c r="C120" s="22" t="n">
        <v>339</v>
      </c>
      <c r="D120" s="22" t="n">
        <v>563</v>
      </c>
      <c r="E120" s="22" t="n">
        <v>600</v>
      </c>
      <c r="F120" s="22" t="n">
        <v>900</v>
      </c>
      <c r="G120" s="22" t="n">
        <v>649</v>
      </c>
      <c r="H120" s="22" t="n">
        <v>269</v>
      </c>
      <c r="I120" s="22" t="n">
        <v>98</v>
      </c>
      <c r="J120" s="22" t="n">
        <v>365</v>
      </c>
      <c r="K120" s="22" t="n">
        <v>348</v>
      </c>
      <c r="L120" s="22" t="n">
        <v>600</v>
      </c>
    </row>
    <row r="121">
      <c r="A121" s="20" t="inlineStr">
        <is>
          <t>해외사업환산조정</t>
        </is>
      </c>
      <c r="C121" s="22" t="n">
        <v>13158</v>
      </c>
      <c r="D121" s="22" t="n">
        <v>15052</v>
      </c>
      <c r="E121" s="22" t="n">
        <v>16698</v>
      </c>
      <c r="F121" s="22" t="n">
        <v>17368</v>
      </c>
      <c r="G121" s="22" t="n">
        <v>17515</v>
      </c>
      <c r="H121" s="22" t="n">
        <v>4765</v>
      </c>
      <c r="I121" s="22" t="n">
        <v>8196</v>
      </c>
      <c r="J121" s="22" t="n">
        <v>12936</v>
      </c>
      <c r="K121" s="22" t="n">
        <v>13023</v>
      </c>
      <c r="L121" s="22" t="n">
        <v>16698</v>
      </c>
    </row>
    <row r="122">
      <c r="A122" s="20" t="inlineStr">
        <is>
          <t>퇴직급여 조정누계액</t>
        </is>
      </c>
      <c r="C122" s="22" t="n">
        <v>-35</v>
      </c>
      <c r="D122" s="22" t="n">
        <v>-30</v>
      </c>
      <c r="E122" s="22" t="n">
        <v>692</v>
      </c>
      <c r="F122" s="22" t="n">
        <v>636</v>
      </c>
      <c r="G122" s="22" t="n">
        <v>579</v>
      </c>
      <c r="H122" s="22" t="n">
        <v>-25</v>
      </c>
      <c r="I122" s="22" t="n">
        <v>-23</v>
      </c>
      <c r="J122" s="22" t="n">
        <v>8</v>
      </c>
      <c r="K122" s="22" t="n">
        <v>-45</v>
      </c>
      <c r="L122" s="22" t="n">
        <v>692</v>
      </c>
    </row>
    <row r="123">
      <c r="A123" s="20" t="inlineStr">
        <is>
          <t>기타포괄손익누계액 합계</t>
        </is>
      </c>
      <c r="C123" s="22" t="n">
        <v>13462</v>
      </c>
      <c r="D123" s="22" t="n">
        <v>15585</v>
      </c>
      <c r="E123" s="22" t="n">
        <v>17991</v>
      </c>
      <c r="F123" s="22" t="n">
        <v>18904</v>
      </c>
      <c r="G123" s="22" t="n">
        <v>18744</v>
      </c>
      <c r="H123" s="22" t="n">
        <v>5009</v>
      </c>
      <c r="I123" s="22" t="n">
        <v>8270</v>
      </c>
      <c r="J123" s="22" t="n">
        <v>13310</v>
      </c>
      <c r="K123" s="22" t="n">
        <v>13327</v>
      </c>
      <c r="L123" s="22" t="n">
        <v>17991</v>
      </c>
    </row>
    <row r="124">
      <c r="A124" s="20" t="inlineStr">
        <is>
          <t>신주예약권</t>
        </is>
      </c>
      <c r="C124" s="22" t="n">
        <v>1203</v>
      </c>
      <c r="D124" s="22" t="n">
        <v>1224</v>
      </c>
      <c r="E124" s="22" t="n">
        <v>1184</v>
      </c>
      <c r="F124" s="22" t="n">
        <v>1197</v>
      </c>
      <c r="G124" s="22" t="n">
        <v>1090</v>
      </c>
      <c r="H124" s="22" t="n">
        <v>884</v>
      </c>
      <c r="I124" s="22" t="n">
        <v>997</v>
      </c>
      <c r="J124" s="22" t="n">
        <v>1136</v>
      </c>
      <c r="K124" s="22" t="n">
        <v>1188</v>
      </c>
      <c r="L124" s="22" t="n">
        <v>1184</v>
      </c>
    </row>
    <row r="125">
      <c r="A125" s="20" t="inlineStr">
        <is>
          <t>비지배지분</t>
        </is>
      </c>
      <c r="C125" s="22" t="n">
        <v>342</v>
      </c>
      <c r="D125" s="22" t="n">
        <v>365</v>
      </c>
      <c r="E125" s="22" t="n">
        <v>366</v>
      </c>
      <c r="F125" s="22" t="n">
        <v>352</v>
      </c>
      <c r="G125" s="22" t="n">
        <v>443</v>
      </c>
      <c r="H125" s="22" t="n">
        <v>269</v>
      </c>
      <c r="I125" s="22" t="n">
        <v>245</v>
      </c>
      <c r="J125" s="22" t="n">
        <v>195</v>
      </c>
      <c r="K125" s="22" t="n">
        <v>348</v>
      </c>
      <c r="L125" s="22" t="n">
        <v>366</v>
      </c>
    </row>
    <row r="126">
      <c r="A126" s="9" t="inlineStr">
        <is>
          <t>순자산 합계</t>
        </is>
      </c>
      <c r="C126" s="12" t="n">
        <v>517706</v>
      </c>
      <c r="D126" s="12" t="n">
        <v>542611</v>
      </c>
      <c r="E126" s="12" t="n">
        <v>588125</v>
      </c>
      <c r="F126" s="12" t="n">
        <v>582523</v>
      </c>
      <c r="G126" s="12" t="n">
        <v>629013</v>
      </c>
      <c r="H126" s="12" t="n">
        <v>293812</v>
      </c>
      <c r="I126" s="12" t="n">
        <v>348041</v>
      </c>
      <c r="J126" s="12" t="n">
        <v>406560</v>
      </c>
      <c r="K126" s="12" t="n">
        <v>492703</v>
      </c>
      <c r="L126" s="12" t="n">
        <v>588125</v>
      </c>
    </row>
    <row r="127">
      <c r="A127" s="9" t="inlineStr">
        <is>
          <t>부채·순자산 합계</t>
        </is>
      </c>
      <c r="C127" s="12" t="n">
        <v>651394</v>
      </c>
      <c r="D127" s="12" t="n">
        <v>678263</v>
      </c>
      <c r="E127" s="12" t="n">
        <v>743410</v>
      </c>
      <c r="F127" s="12" t="n">
        <v>751159</v>
      </c>
      <c r="G127" s="12" t="n">
        <v>824584</v>
      </c>
      <c r="H127" s="12" t="n">
        <v>404540</v>
      </c>
      <c r="I127" s="12" t="n">
        <v>468797</v>
      </c>
      <c r="J127" s="12" t="n">
        <v>556058</v>
      </c>
      <c r="K127" s="12" t="n">
        <v>654087</v>
      </c>
      <c r="L127" s="12" t="n">
        <v>743410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44" customWidth="1" min="15" max="15"/>
  </cols>
  <sheetData>
    <row r="1">
      <c r="A1" s="52" t="inlineStr">
        <is>
          <t>디스코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shipments q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</row>
    <row r="5">
      <c r="A5" s="55" t="inlineStr">
        <is>
          <t>항목</t>
        </is>
      </c>
      <c r="B5" s="55" t="inlineStr">
        <is>
          <t>값</t>
        </is>
      </c>
      <c r="O5" s="55" t="inlineStr">
        <is>
          <t>출처</t>
        </is>
      </c>
    </row>
    <row r="6">
      <c r="A6" s="56" t="inlineStr">
        <is>
          <t>2024-Q3</t>
        </is>
      </c>
      <c r="B6" s="57" t="n">
        <v>773.4</v>
      </c>
      <c r="O6" s="58" t="inlineStr">
        <is>
          <t>2단계 보고서 자료(회사 설명회 자료·공시)</t>
        </is>
      </c>
    </row>
    <row r="7">
      <c r="A7" s="56" t="inlineStr">
        <is>
          <t>2024-Q4</t>
        </is>
      </c>
      <c r="B7" s="57" t="n">
        <v>949.9</v>
      </c>
    </row>
    <row r="8">
      <c r="A8" s="56" t="inlineStr">
        <is>
          <t>2025-Q1</t>
        </is>
      </c>
      <c r="B8" s="57" t="n">
        <v>1011</v>
      </c>
    </row>
    <row r="9">
      <c r="A9" s="56" t="inlineStr">
        <is>
          <t>2025-Q2</t>
        </is>
      </c>
      <c r="B9" s="57" t="n">
        <v>976.1</v>
      </c>
    </row>
    <row r="10">
      <c r="A10" s="56" t="inlineStr">
        <is>
          <t>2025-Q3</t>
        </is>
      </c>
      <c r="B10" s="57" t="n">
        <v>1102.8</v>
      </c>
    </row>
    <row r="11">
      <c r="A11" s="56" t="inlineStr">
        <is>
          <t>2025-Q4</t>
        </is>
      </c>
      <c r="B11" s="57" t="n">
        <v>925.2</v>
      </c>
    </row>
    <row r="12">
      <c r="A12" s="56" t="inlineStr">
        <is>
          <t>2026-Q1</t>
        </is>
      </c>
      <c r="B12" s="57" t="n">
        <v>1111.4</v>
      </c>
    </row>
    <row r="13">
      <c r="A13" s="56" t="inlineStr">
        <is>
          <t>2026-Q2</t>
        </is>
      </c>
      <c r="B13" s="57" t="n">
        <v>963.5</v>
      </c>
    </row>
    <row r="14">
      <c r="A14" s="56" t="inlineStr">
        <is>
          <t>2026-Q3</t>
        </is>
      </c>
      <c r="B14" s="57" t="n">
        <v>1136.7</v>
      </c>
    </row>
    <row r="15">
      <c r="A15" s="56" t="inlineStr">
        <is>
          <t>2026-Q4</t>
        </is>
      </c>
      <c r="B15" s="57" t="n">
        <v>1216.6</v>
      </c>
    </row>
    <row r="16">
      <c r="A16" s="56" t="inlineStr">
        <is>
          <t>2027-Q1</t>
        </is>
      </c>
      <c r="B16" s="57" t="n">
        <v>1359.1</v>
      </c>
    </row>
    <row r="17">
      <c r="A17" s="56" t="inlineStr">
        <is>
          <t>2027-Q2</t>
        </is>
      </c>
      <c r="B17" s="57" t="n">
        <v>1486.8</v>
      </c>
    </row>
    <row r="19">
      <c r="A19" s="54" t="inlineStr">
        <is>
          <t>contract liab</t>
        </is>
      </c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</row>
    <row r="20">
      <c r="A20" s="55" t="inlineStr">
        <is>
          <t>항목</t>
        </is>
      </c>
      <c r="B20" s="55" t="inlineStr">
        <is>
          <t>값</t>
        </is>
      </c>
      <c r="O20" s="55" t="inlineStr">
        <is>
          <t>출처</t>
        </is>
      </c>
    </row>
    <row r="21">
      <c r="A21" s="56" t="inlineStr">
        <is>
          <t>25.3월말</t>
        </is>
      </c>
      <c r="B21" s="57" t="n">
        <v>439.3</v>
      </c>
      <c r="O21" s="58" t="inlineStr">
        <is>
          <t>2단계 보고서 자료(회사 설명회 자료·공시)</t>
        </is>
      </c>
    </row>
    <row r="22">
      <c r="A22" s="56" t="inlineStr">
        <is>
          <t>25.6월말</t>
        </is>
      </c>
      <c r="B22" s="57" t="n">
        <v>559.3</v>
      </c>
    </row>
    <row r="23">
      <c r="A23" s="56" t="inlineStr">
        <is>
          <t>25.9월말</t>
        </is>
      </c>
      <c r="B23" s="57" t="n">
        <v>556.9</v>
      </c>
    </row>
    <row r="24">
      <c r="A24" s="56" t="inlineStr">
        <is>
          <t>25.12월말</t>
        </is>
      </c>
      <c r="B24" s="57" t="n">
        <v>622.3</v>
      </c>
    </row>
    <row r="25">
      <c r="A25" s="56" t="inlineStr">
        <is>
          <t>26.3월말</t>
        </is>
      </c>
      <c r="B25" s="57" t="n">
        <v>500.1</v>
      </c>
    </row>
    <row r="26">
      <c r="A26" s="56" t="inlineStr">
        <is>
          <t>26.6월말</t>
        </is>
      </c>
      <c r="B26" s="57" t="n">
        <v>729.7</v>
      </c>
    </row>
    <row r="27">
      <c r="A27" s="56" t="inlineStr">
        <is>
          <t>26.9월말</t>
        </is>
      </c>
      <c r="B27" s="57" t="n">
        <v>796.2</v>
      </c>
    </row>
    <row r="29">
      <c r="A29" s="54" t="inlineStr">
        <is>
          <t>가이던스 vs 실적 영업이익</t>
        </is>
      </c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</row>
    <row r="30">
      <c r="A30" s="55" t="inlineStr">
        <is>
          <t>항목</t>
        </is>
      </c>
      <c r="B30" s="55" t="inlineStr">
        <is>
          <t>2024.3Q</t>
        </is>
      </c>
      <c r="C30" s="55" t="inlineStr">
        <is>
          <t>2024.4Q</t>
        </is>
      </c>
      <c r="D30" s="55" t="inlineStr">
        <is>
          <t>2025.1Q</t>
        </is>
      </c>
      <c r="E30" s="55" t="inlineStr">
        <is>
          <t>2025.2Q</t>
        </is>
      </c>
      <c r="F30" s="55" t="inlineStr">
        <is>
          <t>2025.3Q</t>
        </is>
      </c>
      <c r="G30" s="55" t="inlineStr">
        <is>
          <t>2025.4Q</t>
        </is>
      </c>
      <c r="H30" s="55" t="inlineStr">
        <is>
          <t>2026.1Q</t>
        </is>
      </c>
      <c r="I30" s="55" t="inlineStr">
        <is>
          <t>2026.2Q</t>
        </is>
      </c>
      <c r="J30" s="55" t="inlineStr">
        <is>
          <t>2026.3Q</t>
        </is>
      </c>
      <c r="K30" s="55" t="inlineStr">
        <is>
          <t>2026.4Q</t>
        </is>
      </c>
      <c r="L30" s="55" t="inlineStr">
        <is>
          <t>2027.1Q</t>
        </is>
      </c>
      <c r="M30" s="55" t="inlineStr">
        <is>
          <t>2027.2Q</t>
        </is>
      </c>
      <c r="N30" s="55" t="inlineStr">
        <is>
          <t>2027.3Q</t>
        </is>
      </c>
      <c r="O30" s="55" t="inlineStr">
        <is>
          <t>출처</t>
        </is>
      </c>
    </row>
    <row r="31">
      <c r="A31" s="56" t="inlineStr">
        <is>
          <t>guide</t>
        </is>
      </c>
      <c r="B31" s="57" t="n">
        <v>283.9</v>
      </c>
      <c r="C31" s="57" t="n">
        <v>332.4</v>
      </c>
      <c r="D31" s="59" t="n">
        <v>271</v>
      </c>
      <c r="E31" s="57" t="n">
        <v>322.2</v>
      </c>
      <c r="F31" s="57" t="n">
        <v>292.5</v>
      </c>
      <c r="G31" s="57" t="n">
        <v>377</v>
      </c>
      <c r="H31" s="59" t="n">
        <v>238</v>
      </c>
      <c r="I31" s="57" t="n">
        <v>332.2</v>
      </c>
      <c r="J31" s="57" t="n">
        <v>328.3</v>
      </c>
      <c r="K31" s="57" t="n">
        <v>458.9</v>
      </c>
      <c r="L31" s="59" t="n">
        <v>420</v>
      </c>
      <c r="M31" s="57" t="n">
        <v>558.7</v>
      </c>
      <c r="N31" s="57" t="n">
        <v>580.6</v>
      </c>
      <c r="O31" s="58" t="inlineStr">
        <is>
          <t>2단계 보고서 자료(회사 설명회 자료·공시)</t>
        </is>
      </c>
    </row>
    <row r="32">
      <c r="A32" s="56" t="inlineStr">
        <is>
          <t>실적</t>
        </is>
      </c>
      <c r="B32" s="57" t="n">
        <v>303.5</v>
      </c>
      <c r="C32" s="57" t="n">
        <v>461.3</v>
      </c>
      <c r="D32" s="57" t="n">
        <v>333.8</v>
      </c>
      <c r="E32" s="57" t="n">
        <v>425.8</v>
      </c>
      <c r="F32" s="57" t="n">
        <v>391.5</v>
      </c>
      <c r="G32" s="57" t="n">
        <v>517.4</v>
      </c>
      <c r="H32" s="57" t="n">
        <v>344.8</v>
      </c>
      <c r="I32" s="57" t="n">
        <v>443.9</v>
      </c>
      <c r="J32" s="57" t="n">
        <v>473.4</v>
      </c>
      <c r="K32" s="57" t="n">
        <v>587.8</v>
      </c>
      <c r="L32" s="57" t="n">
        <v>490.3</v>
      </c>
      <c r="M32" s="57" t="n">
        <v>676.1</v>
      </c>
      <c r="N32" s="60" t="n"/>
    </row>
    <row r="34">
      <c r="A34" s="54" t="inlineStr">
        <is>
          <t>3Q guide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</row>
    <row r="35">
      <c r="A35" s="55" t="inlineStr">
        <is>
          <t>항목</t>
        </is>
      </c>
      <c r="B35" s="55" t="inlineStr">
        <is>
          <t>값</t>
        </is>
      </c>
      <c r="O35" s="55" t="inlineStr">
        <is>
          <t>출처</t>
        </is>
      </c>
    </row>
    <row r="36">
      <c r="A36" s="56" t="inlineStr">
        <is>
          <t>매출</t>
        </is>
      </c>
      <c r="B36" s="57" t="n">
        <v>1324.4</v>
      </c>
      <c r="O36" s="58" t="inlineStr">
        <is>
          <t>2단계 보고서 자료(회사 설명회 자료·공시)</t>
        </is>
      </c>
    </row>
    <row r="37">
      <c r="A37" s="56" t="inlineStr">
        <is>
          <t>영업이익</t>
        </is>
      </c>
      <c r="B37" s="57" t="n">
        <v>580.6</v>
      </c>
    </row>
    <row r="38">
      <c r="A38" s="56" t="inlineStr">
        <is>
          <t>순이익</t>
        </is>
      </c>
      <c r="B38" s="57" t="n">
        <v>415.3</v>
      </c>
    </row>
    <row r="39">
      <c r="A39" s="56" t="inlineStr">
        <is>
          <t>EPS</t>
        </is>
      </c>
      <c r="B39" s="57" t="n">
        <v>382.59</v>
      </c>
    </row>
    <row r="40">
      <c r="A40" s="56" t="inlineStr">
        <is>
          <t>ship</t>
        </is>
      </c>
      <c r="B40" s="59" t="n">
        <v>1496</v>
      </c>
    </row>
    <row r="41">
      <c r="A41" s="56" t="inlineStr">
        <is>
          <t>환율 달러</t>
        </is>
      </c>
      <c r="B41" s="59" t="n">
        <v>151</v>
      </c>
    </row>
    <row r="43">
      <c r="A43" s="54" t="inlineStr">
        <is>
          <t>컨센서스</t>
        </is>
      </c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  <c r="O43" s="54" t="n"/>
    </row>
    <row r="44">
      <c r="A44" s="55" t="inlineStr">
        <is>
          <t>항목</t>
        </is>
      </c>
      <c r="B44" s="55" t="inlineStr">
        <is>
          <t>값</t>
        </is>
      </c>
      <c r="O44" s="55" t="inlineStr">
        <is>
          <t>출처</t>
        </is>
      </c>
    </row>
    <row r="45">
      <c r="A45" s="56" t="inlineStr">
        <is>
          <t>3Q EPS</t>
        </is>
      </c>
      <c r="B45" s="57" t="n">
        <v>454.46</v>
      </c>
      <c r="O45" s="58" t="inlineStr">
        <is>
          <t>2단계 보고서 자료(회사 설명회 자료·공시)</t>
        </is>
      </c>
    </row>
    <row r="46">
      <c r="A46" s="56" t="inlineStr">
        <is>
          <t>3Q 매출</t>
        </is>
      </c>
      <c r="B46" s="57" t="n">
        <v>1457</v>
      </c>
    </row>
    <row r="47">
      <c r="A47" s="56" t="inlineStr">
        <is>
          <t>fy27 EPS</t>
        </is>
      </c>
      <c r="B47" s="57" t="n">
        <v>1731.83</v>
      </c>
    </row>
    <row r="48">
      <c r="A48" s="56" t="inlineStr">
        <is>
          <t>fy27 매출</t>
        </is>
      </c>
      <c r="B48" s="57" t="n">
        <v>5669.9</v>
      </c>
    </row>
    <row r="49">
      <c r="A49" s="56" t="inlineStr">
        <is>
          <t>fy28 EPS</t>
        </is>
      </c>
      <c r="B49" s="57" t="n">
        <v>2181.04</v>
      </c>
    </row>
    <row r="50">
      <c r="A50" s="56" t="inlineStr">
        <is>
          <t>tp 평균</t>
        </is>
      </c>
      <c r="B50" s="59" t="n">
        <v>77205</v>
      </c>
    </row>
    <row r="51">
      <c r="A51" s="56" t="inlineStr">
        <is>
          <t>애널리스트 수 tp</t>
        </is>
      </c>
      <c r="B51" s="59" t="n">
        <v>20</v>
      </c>
    </row>
    <row r="52">
      <c r="A52" s="56" t="inlineStr">
        <is>
          <t>2Q EPS 추정</t>
        </is>
      </c>
      <c r="B52" s="57" t="n">
        <v>459.93</v>
      </c>
    </row>
    <row r="54">
      <c r="A54" s="54" t="inlineStr">
        <is>
          <t>PER band</t>
        </is>
      </c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</row>
    <row r="55">
      <c r="A55" s="55" t="inlineStr">
        <is>
          <t>항목</t>
        </is>
      </c>
      <c r="B55" s="55" t="inlineStr">
        <is>
          <t>값</t>
        </is>
      </c>
      <c r="O55" s="55" t="inlineStr">
        <is>
          <t>출처</t>
        </is>
      </c>
    </row>
    <row r="56">
      <c r="A56" s="56" t="inlineStr">
        <is>
          <t>lo</t>
        </is>
      </c>
      <c r="B56" s="57" t="n">
        <v>25.68631215204454</v>
      </c>
      <c r="O56" s="58" t="inlineStr">
        <is>
          <t>2단계 보고서 자료(회사 설명회 자료·공시)</t>
        </is>
      </c>
    </row>
    <row r="57">
      <c r="A57" s="56" t="inlineStr">
        <is>
          <t>avg</t>
        </is>
      </c>
      <c r="B57" s="57" t="n">
        <v>48.73991962974053</v>
      </c>
    </row>
    <row r="58">
      <c r="A58" s="56" t="inlineStr">
        <is>
          <t>hi</t>
        </is>
      </c>
      <c r="B58" s="57" t="n">
        <v>83.29080330713484</v>
      </c>
    </row>
    <row r="60">
      <c r="A60" s="54" t="inlineStr">
        <is>
          <t>reactions</t>
        </is>
      </c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54" t="n"/>
      <c r="N60" s="54" t="n"/>
      <c r="O60" s="54" t="n"/>
    </row>
    <row r="61">
      <c r="A61" s="55" t="inlineStr">
        <is>
          <t>항목</t>
        </is>
      </c>
      <c r="B61" s="55" t="inlineStr">
        <is>
          <t>기준일</t>
        </is>
      </c>
      <c r="C61" s="55" t="inlineStr">
        <is>
          <t>다음날</t>
        </is>
      </c>
      <c r="D61" s="55" t="inlineStr">
        <is>
          <t>등락%</t>
        </is>
      </c>
      <c r="O61" s="55" t="inlineStr">
        <is>
          <t>출처</t>
        </is>
      </c>
    </row>
    <row r="62">
      <c r="A62" s="56" t="inlineStr">
        <is>
          <t>2025-01-23</t>
        </is>
      </c>
      <c r="B62" s="60" t="inlineStr">
        <is>
          <t>2025-01-23</t>
        </is>
      </c>
      <c r="C62" s="60" t="inlineStr">
        <is>
          <t>2025-01-24</t>
        </is>
      </c>
      <c r="D62" s="57" t="n">
        <v>-6.7</v>
      </c>
      <c r="O62" s="58" t="inlineStr">
        <is>
          <t>2단계 보고서 자료(회사 설명회 자료·공시)</t>
        </is>
      </c>
    </row>
    <row r="63">
      <c r="A63" s="56" t="inlineStr">
        <is>
          <t>2025-04-17</t>
        </is>
      </c>
      <c r="B63" s="60" t="inlineStr">
        <is>
          <t>2025-04-17</t>
        </is>
      </c>
      <c r="C63" s="60" t="inlineStr">
        <is>
          <t>2025-04-18</t>
        </is>
      </c>
      <c r="D63" s="57" t="n">
        <v>0.9</v>
      </c>
    </row>
    <row r="64">
      <c r="A64" s="56" t="inlineStr">
        <is>
          <t>2025-07-17</t>
        </is>
      </c>
      <c r="B64" s="60" t="inlineStr">
        <is>
          <t>2025-07-17</t>
        </is>
      </c>
      <c r="C64" s="60" t="inlineStr">
        <is>
          <t>2025-07-18</t>
        </is>
      </c>
      <c r="D64" s="57" t="n">
        <v>-8.800000000000001</v>
      </c>
    </row>
    <row r="65">
      <c r="A65" s="56" t="inlineStr">
        <is>
          <t>2025-10-29</t>
        </is>
      </c>
      <c r="B65" s="60" t="inlineStr">
        <is>
          <t>2025-10-29</t>
        </is>
      </c>
      <c r="C65" s="60" t="inlineStr">
        <is>
          <t>2025-10-30</t>
        </is>
      </c>
      <c r="D65" s="57" t="n">
        <v>-8.199999999999999</v>
      </c>
    </row>
    <row r="66">
      <c r="A66" s="56" t="inlineStr">
        <is>
          <t>2026-01-21</t>
        </is>
      </c>
      <c r="B66" s="60" t="inlineStr">
        <is>
          <t>2026-01-21</t>
        </is>
      </c>
      <c r="C66" s="60" t="inlineStr">
        <is>
          <t>2026-01-22</t>
        </is>
      </c>
      <c r="D66" s="57" t="n">
        <v>17.1</v>
      </c>
    </row>
    <row r="67">
      <c r="A67" s="56" t="inlineStr">
        <is>
          <t>2026-04-22</t>
        </is>
      </c>
      <c r="B67" s="60" t="inlineStr">
        <is>
          <t>2026-04-22</t>
        </is>
      </c>
      <c r="C67" s="60" t="inlineStr">
        <is>
          <t>2026-04-23</t>
        </is>
      </c>
      <c r="D67" s="57" t="n">
        <v>-3.8</v>
      </c>
    </row>
    <row r="68">
      <c r="A68" s="56" t="inlineStr">
        <is>
          <t>2026-07-23</t>
        </is>
      </c>
      <c r="B68" s="60" t="inlineStr">
        <is>
          <t>2026-07-23</t>
        </is>
      </c>
      <c r="C68" s="60" t="inlineStr">
        <is>
          <t>2026-07-24</t>
        </is>
      </c>
      <c r="D68" s="57" t="n">
        <v>-12.3</v>
      </c>
    </row>
    <row r="69">
      <c r="A69" s="56" t="inlineStr">
        <is>
          <t>2026-10-22</t>
        </is>
      </c>
      <c r="B69" s="60" t="inlineStr">
        <is>
          <t>2026-10-22</t>
        </is>
      </c>
      <c r="C69" s="60" t="inlineStr">
        <is>
          <t>2026-10-23</t>
        </is>
      </c>
      <c r="D69" s="57" t="n">
        <v>-3.8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2026-10-22</t>
        </is>
      </c>
      <c r="B4" t="inlineStr">
        <is>
          <t>2027년 3월 결산기 2분기 결산단신</t>
        </is>
      </c>
      <c r="C4" t="inlineStr">
        <is>
          <t>https://www2.jpx.co.jp/disc/61460/140120261021554279.pdf</t>
        </is>
      </c>
    </row>
    <row r="5">
      <c r="A5" t="inlineStr">
        <is>
          <t>2026-07-23</t>
        </is>
      </c>
      <c r="B5" t="inlineStr">
        <is>
          <t>2027년 3월 결산기 1분기 결산단신</t>
        </is>
      </c>
      <c r="C5" t="inlineStr">
        <is>
          <t>https://www2.jpx.co.jp/disc/61460/140120260721597094.pdf</t>
        </is>
      </c>
    </row>
    <row r="6">
      <c r="A6" t="inlineStr">
        <is>
          <t>2026-04-22</t>
        </is>
      </c>
      <c r="B6" t="inlineStr">
        <is>
          <t>2026년 3월 결산기 연간 결산단신</t>
        </is>
      </c>
      <c r="C6" t="inlineStr">
        <is>
          <t>https://www2.jpx.co.jp/disc/61460/140120260420506569.pdf</t>
        </is>
      </c>
    </row>
    <row r="7">
      <c r="A7" t="inlineStr">
        <is>
          <t>2026-01-21</t>
        </is>
      </c>
      <c r="B7" t="inlineStr">
        <is>
          <t>2026년 3월 결산기 3분기 결산단신</t>
        </is>
      </c>
      <c r="C7" t="inlineStr">
        <is>
          <t>https://www2.jpx.co.jp/disc/61460/140120260120535984.pdf</t>
        </is>
      </c>
    </row>
    <row r="8">
      <c r="A8" t="inlineStr">
        <is>
          <t>2025-10-29</t>
        </is>
      </c>
      <c r="B8" t="inlineStr">
        <is>
          <t>2026년 3월 결산기 2분기 결산단신</t>
        </is>
      </c>
      <c r="C8" t="inlineStr">
        <is>
          <t>https://www2.jpx.co.jp/disc/61460/140120251028579963.pdf</t>
        </is>
      </c>
    </row>
    <row r="9">
      <c r="A9" t="inlineStr">
        <is>
          <t>2025-07-17</t>
        </is>
      </c>
      <c r="B9" t="inlineStr">
        <is>
          <t>2026년 3월 결산기 1분기 결산단신</t>
        </is>
      </c>
      <c r="C9" t="inlineStr">
        <is>
          <t>https://www2.jpx.co.jp/disc/61460/140120250716515409.pdf</t>
        </is>
      </c>
    </row>
    <row r="10">
      <c r="A10" t="inlineStr">
        <is>
          <t>2025-04-17</t>
        </is>
      </c>
      <c r="B10" t="inlineStr">
        <is>
          <t>2025년 3월 결산기 연간 결산단신</t>
        </is>
      </c>
      <c r="C10" t="inlineStr">
        <is>
          <t>https://www2.jpx.co.jp/disc/61460/140120250416517196.pdf</t>
        </is>
      </c>
    </row>
    <row r="11">
      <c r="A11" t="inlineStr">
        <is>
          <t>2025-01-23</t>
        </is>
      </c>
      <c r="B11" t="inlineStr">
        <is>
          <t>2025년 3월 결산기 3분기 결산단신</t>
        </is>
      </c>
      <c r="C11" t="inlineStr">
        <is>
          <t>https://www2.jpx.co.jp/disc/61460/140120250120552689.pdf</t>
        </is>
      </c>
    </row>
    <row r="12">
      <c r="A12" t="inlineStr">
        <is>
          <t>2024-10-17</t>
        </is>
      </c>
      <c r="B12" t="inlineStr">
        <is>
          <t>2025년 3월 결산기 2분기 결산단신</t>
        </is>
      </c>
      <c r="C12" t="inlineStr">
        <is>
          <t>https://www2.jpx.co.jp/disc/61460/140120241016599094.pdf</t>
        </is>
      </c>
    </row>
    <row r="13">
      <c r="A13" t="inlineStr">
        <is>
          <t>2024-07-18</t>
        </is>
      </c>
      <c r="B13" t="inlineStr">
        <is>
          <t>2025년 3월 결산기 1분기 결산단신</t>
        </is>
      </c>
      <c r="C13" t="inlineStr">
        <is>
          <t>https://www2.jpx.co.jp/disc/61460/140120240716550073.pdf</t>
        </is>
      </c>
    </row>
    <row r="14">
      <c r="A14" t="inlineStr">
        <is>
          <t>2024-04-25</t>
        </is>
      </c>
      <c r="B14" t="inlineStr">
        <is>
          <t>2024년 3월 결산기 연간 결산단신</t>
        </is>
      </c>
      <c r="C14" t="inlineStr">
        <is>
          <t>https://www2.jpx.co.jp/disc/61460/140120240424574298.pdf</t>
        </is>
      </c>
    </row>
    <row r="15">
      <c r="A15" t="inlineStr">
        <is>
          <t>2024-01-24</t>
        </is>
      </c>
      <c r="B15" t="inlineStr">
        <is>
          <t>2024년 3월 결산기 3분기 결산단신</t>
        </is>
      </c>
      <c r="C15" t="inlineStr">
        <is>
          <t>https://www2.jpx.co.jp/disc/61460/140120240119517003.pdf</t>
        </is>
      </c>
    </row>
    <row r="16">
      <c r="A16" t="inlineStr">
        <is>
          <t>2023-10-19</t>
        </is>
      </c>
      <c r="B16" t="inlineStr">
        <is>
          <t>2024년 3월 결산기 2분기 결산단신</t>
        </is>
      </c>
      <c r="C16" t="inlineStr">
        <is>
          <t>https://www2.jpx.co.jp/disc/61460/140120231016567693.pdf</t>
        </is>
      </c>
    </row>
    <row r="17">
      <c r="A17" t="inlineStr">
        <is>
          <t>2023-07-20</t>
        </is>
      </c>
      <c r="B17" t="inlineStr">
        <is>
          <t>2024년 3월 결산기 1분기 결산단신</t>
        </is>
      </c>
      <c r="C17" t="inlineStr">
        <is>
          <t>https://www2.jpx.co.jp/disc/61460/140120230718523778.pdf</t>
        </is>
      </c>
    </row>
    <row r="18">
      <c r="A18" t="inlineStr">
        <is>
          <t>2023-04-20</t>
        </is>
      </c>
      <c r="B18" t="inlineStr">
        <is>
          <t>2023년 3월 결산기 연간 결산단신</t>
        </is>
      </c>
      <c r="C18" t="inlineStr">
        <is>
          <t>https://www2.jpx.co.jp/disc/61460/140120230418548908.pdf</t>
        </is>
      </c>
    </row>
    <row r="19">
      <c r="A19" t="inlineStr">
        <is>
          <t>2023-01-24</t>
        </is>
      </c>
      <c r="B19" t="inlineStr">
        <is>
          <t>2022년 3월 결산기 3분기 결산단신</t>
        </is>
      </c>
      <c r="C19" t="inlineStr">
        <is>
          <t>https://www2.jpx.co.jp/disc/61460/140120230123592090.pdf</t>
        </is>
      </c>
    </row>
    <row r="20">
      <c r="A20" t="inlineStr">
        <is>
          <t>2022-04-21</t>
        </is>
      </c>
      <c r="B20" t="inlineStr">
        <is>
          <t>2022년 3월 결산기 연간 결산단신</t>
        </is>
      </c>
      <c r="C20" t="inlineStr">
        <is>
          <t>https://www2.jpx.co.jp/disc/61460/140120220418523507.pdf</t>
        </is>
      </c>
    </row>
    <row r="21">
      <c r="A21" t="inlineStr">
        <is>
          <t>2021-04-22</t>
        </is>
      </c>
      <c r="B21" t="inlineStr">
        <is>
          <t>2021년 3월 결산기 연간 결산단신</t>
        </is>
      </c>
      <c r="C21" t="inlineStr">
        <is>
          <t>https://www2.jpx.co.jp/disc/61460/140120210315479159.pdf</t>
        </is>
      </c>
    </row>
    <row r="22">
      <c r="A22" t="inlineStr">
        <is>
          <t>2020-04-23</t>
        </is>
      </c>
      <c r="B22" t="inlineStr">
        <is>
          <t>2020년 3월 결산기 연간 결산단신</t>
        </is>
      </c>
      <c r="C22" t="inlineStr">
        <is>
          <t>https://www2.jpx.co.jp/disc/61460/140120200417495851.pdf</t>
        </is>
      </c>
    </row>
    <row r="23">
      <c r="A23" t="inlineStr">
        <is>
          <t>2019-05-08</t>
        </is>
      </c>
      <c r="B23" t="inlineStr">
        <is>
          <t>2019년 3월 결산기 연간 결산단신</t>
        </is>
      </c>
      <c r="C23" t="inlineStr">
        <is>
          <t>https://www2.jpx.co.jp/disc/61460/140120190422408225.pdf</t>
        </is>
      </c>
    </row>
    <row r="24">
      <c r="A24" t="inlineStr">
        <is>
          <t>2018-05-09</t>
        </is>
      </c>
      <c r="B24" t="inlineStr">
        <is>
          <t>2018년 3월 결산기 연간 결산단신</t>
        </is>
      </c>
      <c r="C24" t="inlineStr">
        <is>
          <t>https://www2.jpx.co.jp/disc/61460/140120180425419562.pdf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2026-10-27T04:52:21Z</dcterms:created>
  <dcterms:modified xmlns:dcterms="http://purl.org/dc/terms/" xmlns:xsi="http://www.w3.org/2001/XMLSchema-instance" xsi:type="dcterms:W3CDTF">2026-10-27T04:52:21Z</dcterms:modified>
</cp:coreProperties>
</file>