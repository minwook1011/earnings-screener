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6516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29593</v>
      </c>
      <c r="D4" s="12" t="n">
        <v>25902</v>
      </c>
      <c r="E4" s="12" t="n">
        <v>26348</v>
      </c>
      <c r="F4" s="12" t="n">
        <v>23158</v>
      </c>
      <c r="G4" s="12" t="n">
        <v>23368</v>
      </c>
      <c r="H4" s="12" t="n">
        <v>25188</v>
      </c>
      <c r="I4" s="12" t="n">
        <v>26133</v>
      </c>
      <c r="J4" s="12" t="n">
        <v>24151</v>
      </c>
      <c r="K4" s="12" t="n">
        <v>26633</v>
      </c>
      <c r="L4" s="12" t="n">
        <v>27320</v>
      </c>
      <c r="M4" s="12" t="n">
        <v>29242</v>
      </c>
      <c r="N4" s="12" t="n">
        <v>32237</v>
      </c>
      <c r="O4" s="11" t="n">
        <v>60702</v>
      </c>
      <c r="P4" s="12" t="n">
        <v>89188</v>
      </c>
      <c r="Q4" s="12" t="n">
        <v>84678</v>
      </c>
      <c r="R4" s="12" t="n">
        <v>70706</v>
      </c>
      <c r="S4" s="12" t="n">
        <v>77506</v>
      </c>
      <c r="T4" s="12" t="n">
        <v>101123</v>
      </c>
      <c r="U4" s="12" t="n">
        <v>120803</v>
      </c>
      <c r="V4" s="12" t="n">
        <v>112904</v>
      </c>
      <c r="W4" s="12" t="n">
        <v>97847</v>
      </c>
      <c r="X4" s="12" t="n">
        <v>107346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SanAceCompanyReportableSegmentMember</t>
        </is>
      </c>
      <c r="B7" s="10" t="n"/>
      <c r="C7" s="19" t="n">
        <v>11136</v>
      </c>
      <c r="D7" s="20" t="n">
        <v>9325</v>
      </c>
      <c r="E7" s="20" t="n">
        <v>9556</v>
      </c>
      <c r="F7" s="20" t="n">
        <v>8847</v>
      </c>
      <c r="G7" s="20" t="n">
        <v>9231</v>
      </c>
      <c r="H7" s="20" t="n">
        <v>10166</v>
      </c>
      <c r="I7" s="20" t="n">
        <v>9818</v>
      </c>
      <c r="J7" s="20" t="n">
        <v>9727</v>
      </c>
      <c r="K7" s="20" t="n">
        <v>10577</v>
      </c>
      <c r="L7" s="20" t="n">
        <v>10032</v>
      </c>
      <c r="M7" s="20" t="n">
        <v>10490</v>
      </c>
      <c r="N7" s="20" t="n">
        <v>11638</v>
      </c>
      <c r="O7" s="19" t="n"/>
      <c r="P7" s="20" t="n"/>
      <c r="Q7" s="20" t="n"/>
      <c r="R7" s="20" t="n"/>
      <c r="S7" s="20" t="n"/>
      <c r="T7" s="20" t="n"/>
      <c r="U7" s="20" t="n"/>
      <c r="V7" s="20" t="n">
        <v>42984</v>
      </c>
      <c r="W7" s="20" t="n">
        <v>38062</v>
      </c>
      <c r="X7" s="20" t="n">
        <v>40826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ElectronicsCompanyReportableSegmentMember</t>
        </is>
      </c>
      <c r="B10" s="10" t="n"/>
      <c r="C10" s="19" t="n">
        <v>6140</v>
      </c>
      <c r="D10" s="20" t="n">
        <v>5988</v>
      </c>
      <c r="E10" s="20" t="n">
        <v>6286</v>
      </c>
      <c r="F10" s="20" t="n">
        <v>4955</v>
      </c>
      <c r="G10" s="20" t="n">
        <v>4977</v>
      </c>
      <c r="H10" s="20" t="n">
        <v>5248</v>
      </c>
      <c r="I10" s="20" t="n">
        <v>5969</v>
      </c>
      <c r="J10" s="20" t="n">
        <v>4418</v>
      </c>
      <c r="K10" s="20" t="n">
        <v>5882</v>
      </c>
      <c r="L10" s="20" t="n">
        <v>6326</v>
      </c>
      <c r="M10" s="20" t="n">
        <v>6623</v>
      </c>
      <c r="N10" s="20" t="n">
        <v>6318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23814</v>
      </c>
      <c r="W10" s="20" t="n">
        <v>21149</v>
      </c>
      <c r="X10" s="20" t="n">
        <v>23249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MotionCompanyReportableSegmentMember</t>
        </is>
      </c>
      <c r="B13" s="10" t="n"/>
      <c r="C13" s="19" t="n">
        <v>10789</v>
      </c>
      <c r="D13" s="20" t="n">
        <v>9292</v>
      </c>
      <c r="E13" s="20" t="n">
        <v>9060</v>
      </c>
      <c r="F13" s="20" t="n">
        <v>8083</v>
      </c>
      <c r="G13" s="20" t="n">
        <v>7877</v>
      </c>
      <c r="H13" s="20" t="n">
        <v>8409</v>
      </c>
      <c r="I13" s="20" t="n">
        <v>8602</v>
      </c>
      <c r="J13" s="20" t="n">
        <v>8702</v>
      </c>
      <c r="K13" s="20" t="n">
        <v>8885</v>
      </c>
      <c r="L13" s="20" t="n">
        <v>9644</v>
      </c>
      <c r="M13" s="20" t="n">
        <v>10312</v>
      </c>
      <c r="N13" s="20" t="n">
        <v>12727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40365</v>
      </c>
      <c r="W13" s="20" t="n">
        <v>32971</v>
      </c>
      <c r="X13" s="20" t="n">
        <v>37543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OtherReportableSegmentsMember</t>
        </is>
      </c>
      <c r="B16" s="10" t="n"/>
      <c r="C16" s="19" t="n">
        <v>1528</v>
      </c>
      <c r="D16" s="20" t="n">
        <v>1297</v>
      </c>
      <c r="E16" s="20" t="n">
        <v>1446</v>
      </c>
      <c r="F16" s="20" t="n">
        <v>1272</v>
      </c>
      <c r="G16" s="20" t="n">
        <v>1282</v>
      </c>
      <c r="H16" s="20" t="n">
        <v>1366</v>
      </c>
      <c r="I16" s="20" t="n">
        <v>1743</v>
      </c>
      <c r="J16" s="20" t="n">
        <v>1303</v>
      </c>
      <c r="K16" s="20" t="n">
        <v>1289</v>
      </c>
      <c r="L16" s="20" t="n">
        <v>1318</v>
      </c>
      <c r="M16" s="20" t="n">
        <v>1815</v>
      </c>
      <c r="N16" s="20" t="n">
        <v>1553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5740</v>
      </c>
      <c r="W16" s="20" t="n">
        <v>5663</v>
      </c>
      <c r="X16" s="20" t="n">
        <v>5725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23158</v>
      </c>
      <c r="G19" s="20" t="n"/>
      <c r="H19" s="20" t="n"/>
      <c r="I19" s="20" t="n"/>
      <c r="J19" s="20" t="n">
        <v>24151</v>
      </c>
      <c r="K19" s="20" t="n"/>
      <c r="L19" s="20" t="n"/>
      <c r="M19" s="20" t="n"/>
      <c r="N19" s="20" t="n">
        <v>32237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21802</v>
      </c>
      <c r="D23" s="20" t="n">
        <v>19400</v>
      </c>
      <c r="E23" s="20" t="n">
        <v>20068</v>
      </c>
      <c r="F23" s="20" t="n">
        <v>17187</v>
      </c>
      <c r="G23" s="20" t="n">
        <v>17501</v>
      </c>
      <c r="H23" s="20" t="n">
        <v>19000</v>
      </c>
      <c r="I23" s="20" t="n">
        <v>19033</v>
      </c>
      <c r="J23" s="20" t="n">
        <v>17774</v>
      </c>
      <c r="K23" s="20" t="n">
        <v>18987</v>
      </c>
      <c r="L23" s="20" t="n">
        <v>19729</v>
      </c>
      <c r="M23" s="20" t="n">
        <v>20902</v>
      </c>
      <c r="N23" s="20" t="n">
        <v>22765</v>
      </c>
      <c r="O23" s="19" t="n">
        <v>49716</v>
      </c>
      <c r="P23" s="20" t="n">
        <v>66284</v>
      </c>
      <c r="Q23" s="20" t="n">
        <v>63662</v>
      </c>
      <c r="R23" s="20" t="n">
        <v>56757</v>
      </c>
      <c r="S23" s="20" t="n">
        <v>60469</v>
      </c>
      <c r="T23" s="20" t="n">
        <v>75524</v>
      </c>
      <c r="U23" s="20" t="n">
        <v>89586</v>
      </c>
      <c r="V23" s="20" t="n">
        <v>84001</v>
      </c>
      <c r="W23" s="20" t="n">
        <v>72721</v>
      </c>
      <c r="X23" s="20" t="n">
        <v>77392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4609</v>
      </c>
      <c r="D27" s="20" t="n">
        <v>4518</v>
      </c>
      <c r="E27" s="20" t="n">
        <v>4197</v>
      </c>
      <c r="F27" s="20" t="n">
        <v>4666</v>
      </c>
      <c r="G27" s="20" t="n">
        <v>4442</v>
      </c>
      <c r="H27" s="20" t="n">
        <v>4392</v>
      </c>
      <c r="I27" s="20" t="n">
        <v>4260</v>
      </c>
      <c r="J27" s="20" t="n">
        <v>4668</v>
      </c>
      <c r="K27" s="20" t="n">
        <v>4618</v>
      </c>
      <c r="L27" s="20" t="n">
        <v>4953</v>
      </c>
      <c r="M27" s="20" t="n">
        <v>5040</v>
      </c>
      <c r="N27" s="20" t="n">
        <v>5299</v>
      </c>
      <c r="O27" s="19" t="n">
        <v>7924</v>
      </c>
      <c r="P27" s="20" t="n">
        <v>14237</v>
      </c>
      <c r="Q27" s="20" t="n">
        <v>14596</v>
      </c>
      <c r="R27" s="20" t="n">
        <v>13052</v>
      </c>
      <c r="S27" s="20" t="n">
        <v>12416</v>
      </c>
      <c r="T27" s="20" t="n">
        <v>14744</v>
      </c>
      <c r="U27" s="20" t="n">
        <v>17896</v>
      </c>
      <c r="V27" s="20" t="n">
        <v>17911</v>
      </c>
      <c r="W27" s="20" t="n">
        <v>17760</v>
      </c>
      <c r="X27" s="20" t="n">
        <v>19279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3123</v>
      </c>
      <c r="D28" s="12" t="n">
        <v>2751</v>
      </c>
      <c r="E28" s="12" t="n">
        <v>2137</v>
      </c>
      <c r="F28" s="12" t="n">
        <v>1453</v>
      </c>
      <c r="G28" s="12" t="n">
        <v>1593</v>
      </c>
      <c r="H28" s="12" t="n">
        <v>1858</v>
      </c>
      <c r="I28" s="12" t="n">
        <v>3032</v>
      </c>
      <c r="J28" s="12" t="n">
        <v>1767</v>
      </c>
      <c r="K28" s="12" t="n">
        <v>3081</v>
      </c>
      <c r="L28" s="12" t="n">
        <v>2694</v>
      </c>
      <c r="M28" s="12" t="n">
        <v>3343</v>
      </c>
      <c r="N28" s="12" t="n">
        <v>4209</v>
      </c>
      <c r="O28" s="11" t="n">
        <v>3061</v>
      </c>
      <c r="P28" s="12" t="n">
        <v>8784</v>
      </c>
      <c r="Q28" s="12" t="n">
        <v>6590</v>
      </c>
      <c r="R28" s="12" t="n">
        <v>1043</v>
      </c>
      <c r="S28" s="12" t="n">
        <v>4830</v>
      </c>
      <c r="T28" s="12" t="n">
        <v>10971</v>
      </c>
      <c r="U28" s="12" t="n">
        <v>13421</v>
      </c>
      <c r="V28" s="12" t="n">
        <v>11811</v>
      </c>
      <c r="W28" s="12" t="n">
        <v>7936</v>
      </c>
      <c r="X28" s="12" t="n">
        <v>10885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기타이익</t>
        </is>
      </c>
      <c r="B44" s="10" t="n"/>
      <c r="C44" s="19" t="n">
        <v>47</v>
      </c>
      <c r="D44" s="20" t="n">
        <v>786</v>
      </c>
      <c r="E44" s="20" t="n">
        <v>61</v>
      </c>
      <c r="F44" s="20" t="n">
        <v>152</v>
      </c>
      <c r="G44" s="20" t="n">
        <v>169</v>
      </c>
      <c r="H44" s="20" t="n">
        <v>76</v>
      </c>
      <c r="I44" s="20" t="n">
        <v>197</v>
      </c>
      <c r="J44" s="20" t="n">
        <v>62</v>
      </c>
      <c r="K44" s="20" t="n">
        <v>56</v>
      </c>
      <c r="L44" s="20" t="n">
        <v>55</v>
      </c>
      <c r="M44" s="20" t="n">
        <v>50</v>
      </c>
      <c r="N44" s="20" t="n">
        <v>39</v>
      </c>
      <c r="O44" s="19" t="n">
        <v>0</v>
      </c>
      <c r="P44" s="20" t="n">
        <v>168</v>
      </c>
      <c r="Q44" s="20" t="n">
        <v>179</v>
      </c>
      <c r="R44" s="20" t="n">
        <v>176</v>
      </c>
      <c r="S44" s="20" t="n">
        <v>227</v>
      </c>
      <c r="T44" s="20" t="n">
        <v>152</v>
      </c>
      <c r="U44" s="20" t="n">
        <v>249</v>
      </c>
      <c r="V44" s="20" t="n">
        <v>953</v>
      </c>
      <c r="W44" s="20" t="n">
        <v>594</v>
      </c>
      <c r="X44" s="20" t="n">
        <v>223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기타손실</t>
        </is>
      </c>
      <c r="B46" s="10" t="n"/>
      <c r="C46" s="19" t="n">
        <v>105</v>
      </c>
      <c r="D46" s="20" t="n">
        <v>20</v>
      </c>
      <c r="E46" s="20" t="n">
        <v>7</v>
      </c>
      <c r="F46" s="20" t="n">
        <v>2</v>
      </c>
      <c r="G46" s="20" t="n">
        <v>3</v>
      </c>
      <c r="H46" s="20" t="n">
        <v>13</v>
      </c>
      <c r="I46" s="20" t="n">
        <v>5</v>
      </c>
      <c r="J46" s="20" t="n">
        <v>3</v>
      </c>
      <c r="K46" s="20" t="n">
        <v>3</v>
      </c>
      <c r="L46" s="20" t="n">
        <v>-1</v>
      </c>
      <c r="M46" s="20" t="n">
        <v>7</v>
      </c>
      <c r="N46" s="20" t="n">
        <v>2</v>
      </c>
      <c r="O46" s="19" t="n">
        <v>56</v>
      </c>
      <c r="P46" s="20" t="n">
        <v>50</v>
      </c>
      <c r="Q46" s="20" t="n">
        <v>9</v>
      </c>
      <c r="R46" s="20" t="n">
        <v>28</v>
      </c>
      <c r="S46" s="20" t="n">
        <v>17</v>
      </c>
      <c r="T46" s="20" t="n">
        <v>35</v>
      </c>
      <c r="U46" s="20" t="n">
        <v>148</v>
      </c>
      <c r="V46" s="20" t="n">
        <v>134</v>
      </c>
      <c r="W46" s="20" t="n">
        <v>23</v>
      </c>
      <c r="X46" s="20" t="n">
        <v>12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금융수익</t>
        </is>
      </c>
      <c r="B48" s="10" t="n"/>
      <c r="C48" s="19" t="n">
        <v>380</v>
      </c>
      <c r="D48" s="20" t="n">
        <v>-332</v>
      </c>
      <c r="E48" s="20" t="n">
        <v>607</v>
      </c>
      <c r="F48" s="20" t="n">
        <v>730</v>
      </c>
      <c r="G48" s="20" t="n">
        <v>-393</v>
      </c>
      <c r="H48" s="20" t="n">
        <v>423</v>
      </c>
      <c r="I48" s="20" t="n">
        <v>-116</v>
      </c>
      <c r="J48" s="20" t="n">
        <v>231</v>
      </c>
      <c r="K48" s="20" t="n">
        <v>89</v>
      </c>
      <c r="L48" s="20" t="n">
        <v>311</v>
      </c>
      <c r="M48" s="20" t="n">
        <v>275</v>
      </c>
      <c r="N48" s="20" t="n">
        <v>281</v>
      </c>
      <c r="O48" s="19" t="n">
        <v>837</v>
      </c>
      <c r="P48" s="20" t="n">
        <v>196</v>
      </c>
      <c r="Q48" s="20" t="n">
        <v>404</v>
      </c>
      <c r="R48" s="20" t="n">
        <v>245</v>
      </c>
      <c r="S48" s="20" t="n">
        <v>274</v>
      </c>
      <c r="T48" s="20" t="n">
        <v>917</v>
      </c>
      <c r="U48" s="20" t="n">
        <v>994</v>
      </c>
      <c r="V48" s="20" t="n">
        <v>1714</v>
      </c>
      <c r="W48" s="20" t="n">
        <v>644</v>
      </c>
      <c r="X48" s="20" t="n">
        <v>906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금융원가</t>
        </is>
      </c>
      <c r="B50" s="10" t="n"/>
      <c r="C50" s="19" t="n">
        <v>39</v>
      </c>
      <c r="D50" s="20" t="n">
        <v>37</v>
      </c>
      <c r="E50" s="20" t="n">
        <v>84</v>
      </c>
      <c r="F50" s="20" t="n">
        <v>58</v>
      </c>
      <c r="G50" s="20" t="n">
        <v>750</v>
      </c>
      <c r="H50" s="20" t="n">
        <v>-636</v>
      </c>
      <c r="I50" s="20" t="n">
        <v>405</v>
      </c>
      <c r="J50" s="20" t="n">
        <v>493</v>
      </c>
      <c r="K50" s="20" t="n">
        <v>-262</v>
      </c>
      <c r="L50" s="20" t="n">
        <v>-204</v>
      </c>
      <c r="M50" s="20" t="n">
        <v>18</v>
      </c>
      <c r="N50" s="20" t="n">
        <v>60</v>
      </c>
      <c r="O50" s="19" t="n">
        <v>24</v>
      </c>
      <c r="P50" s="20" t="n">
        <v>440</v>
      </c>
      <c r="Q50" s="20" t="n">
        <v>104</v>
      </c>
      <c r="R50" s="20" t="n">
        <v>303</v>
      </c>
      <c r="S50" s="20" t="n">
        <v>108</v>
      </c>
      <c r="T50" s="20" t="n">
        <v>101</v>
      </c>
      <c r="U50" s="20" t="n">
        <v>189</v>
      </c>
      <c r="V50" s="20" t="n">
        <v>202</v>
      </c>
      <c r="W50" s="20" t="n">
        <v>577</v>
      </c>
      <c r="X50" s="20" t="n">
        <v>45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3465</v>
      </c>
      <c r="D52" s="12" t="n">
        <v>2381</v>
      </c>
      <c r="E52" s="12" t="n">
        <v>2660</v>
      </c>
      <c r="F52" s="12" t="n">
        <v>2125</v>
      </c>
      <c r="G52" s="12" t="n">
        <v>450</v>
      </c>
      <c r="H52" s="12" t="n">
        <v>2917</v>
      </c>
      <c r="I52" s="12" t="n">
        <v>2511</v>
      </c>
      <c r="J52" s="12" t="n">
        <v>1505</v>
      </c>
      <c r="K52" s="12" t="n">
        <v>3432</v>
      </c>
      <c r="L52" s="12" t="n">
        <v>3209</v>
      </c>
      <c r="M52" s="12" t="n">
        <v>3601</v>
      </c>
      <c r="N52" s="12" t="n">
        <v>4430</v>
      </c>
      <c r="O52" s="11" t="n">
        <v>3818</v>
      </c>
      <c r="P52" s="12" t="n">
        <v>8540</v>
      </c>
      <c r="Q52" s="12" t="n">
        <v>6890</v>
      </c>
      <c r="R52" s="12" t="n">
        <v>986</v>
      </c>
      <c r="S52" s="12" t="n">
        <v>4996</v>
      </c>
      <c r="T52" s="12" t="n">
        <v>11787</v>
      </c>
      <c r="U52" s="12" t="n">
        <v>14226</v>
      </c>
      <c r="V52" s="12" t="n">
        <v>13323</v>
      </c>
      <c r="W52" s="12" t="n">
        <v>8003</v>
      </c>
      <c r="X52" s="12" t="n">
        <v>11747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1115</v>
      </c>
      <c r="D53" s="20" t="n">
        <v>363</v>
      </c>
      <c r="E53" s="20" t="n">
        <v>-3</v>
      </c>
      <c r="F53" s="20" t="n">
        <v>764</v>
      </c>
      <c r="G53" s="20" t="n">
        <v>210</v>
      </c>
      <c r="H53" s="20" t="n">
        <v>516</v>
      </c>
      <c r="I53" s="20" t="n">
        <v>875</v>
      </c>
      <c r="J53" s="20" t="n">
        <v>453</v>
      </c>
      <c r="K53" s="20" t="n">
        <v>975</v>
      </c>
      <c r="L53" s="20" t="n">
        <v>961</v>
      </c>
      <c r="M53" s="20" t="n">
        <v>697</v>
      </c>
      <c r="N53" s="20" t="n">
        <v>1436</v>
      </c>
      <c r="O53" s="19" t="n">
        <v>863</v>
      </c>
      <c r="P53" s="20" t="n">
        <v>2124</v>
      </c>
      <c r="Q53" s="20" t="n">
        <v>1906</v>
      </c>
      <c r="R53" s="20" t="n">
        <v>559</v>
      </c>
      <c r="S53" s="20" t="n">
        <v>1053</v>
      </c>
      <c r="T53" s="20" t="n">
        <v>2770</v>
      </c>
      <c r="U53" s="20" t="n">
        <v>2814</v>
      </c>
      <c r="V53" s="20" t="n">
        <v>2844</v>
      </c>
      <c r="W53" s="20" t="n">
        <v>2365</v>
      </c>
      <c r="X53" s="20" t="n">
        <v>3086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2350</v>
      </c>
      <c r="D55" s="12" t="n">
        <v>2017</v>
      </c>
      <c r="E55" s="12" t="n">
        <v>2664</v>
      </c>
      <c r="F55" s="12" t="n">
        <v>1361</v>
      </c>
      <c r="G55" s="12" t="n">
        <v>239</v>
      </c>
      <c r="H55" s="12" t="n">
        <v>2402</v>
      </c>
      <c r="I55" s="12" t="n">
        <v>1636</v>
      </c>
      <c r="J55" s="12" t="n">
        <v>1051</v>
      </c>
      <c r="K55" s="12" t="n">
        <v>2458</v>
      </c>
      <c r="L55" s="12" t="n">
        <v>2248</v>
      </c>
      <c r="M55" s="12" t="n">
        <v>2904</v>
      </c>
      <c r="N55" s="12" t="n">
        <v>2994</v>
      </c>
      <c r="O55" s="11" t="n">
        <v>2955</v>
      </c>
      <c r="P55" s="12" t="n">
        <v>6416</v>
      </c>
      <c r="Q55" s="12" t="n">
        <v>4984</v>
      </c>
      <c r="R55" s="12" t="n">
        <v>426</v>
      </c>
      <c r="S55" s="12" t="n">
        <v>3942</v>
      </c>
      <c r="T55" s="12" t="n">
        <v>9016</v>
      </c>
      <c r="U55" s="12" t="n">
        <v>11412</v>
      </c>
      <c r="V55" s="12" t="n">
        <v>10479</v>
      </c>
      <c r="W55" s="12" t="n">
        <v>5638</v>
      </c>
      <c r="X55" s="12" t="n">
        <v>8661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2349</v>
      </c>
      <c r="D56" s="12" t="n">
        <v>2018</v>
      </c>
      <c r="E56" s="12" t="n">
        <v>2663</v>
      </c>
      <c r="F56" s="12" t="n">
        <v>1360</v>
      </c>
      <c r="G56" s="12" t="n">
        <v>240</v>
      </c>
      <c r="H56" s="12" t="n">
        <v>2401</v>
      </c>
      <c r="I56" s="12" t="n">
        <v>1636</v>
      </c>
      <c r="J56" s="12" t="n">
        <v>1051</v>
      </c>
      <c r="K56" s="12" t="n">
        <v>2458</v>
      </c>
      <c r="L56" s="12" t="n">
        <v>2248</v>
      </c>
      <c r="M56" s="12" t="n">
        <v>2904</v>
      </c>
      <c r="N56" s="12" t="n">
        <v>2994</v>
      </c>
      <c r="O56" s="11" t="n"/>
      <c r="P56" s="12" t="n">
        <v>6415</v>
      </c>
      <c r="Q56" s="12" t="n">
        <v>4983</v>
      </c>
      <c r="R56" s="12" t="n">
        <v>426</v>
      </c>
      <c r="S56" s="12" t="n">
        <v>3942</v>
      </c>
      <c r="T56" s="12" t="n">
        <v>9015</v>
      </c>
      <c r="U56" s="12" t="n">
        <v>11410</v>
      </c>
      <c r="V56" s="12" t="n">
        <v>10477</v>
      </c>
      <c r="W56" s="12" t="n">
        <v>5637</v>
      </c>
      <c r="X56" s="12" t="n">
        <v>8661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(2026.10.26)</t>
        </is>
      </c>
      <c r="B59" s="27" t="n">
        <v>4790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38916561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2026.10.26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매출수익</t>
        </is>
      </c>
      <c r="C90" s="12" t="n">
        <v>29593</v>
      </c>
      <c r="D90" s="12" t="n">
        <v>25902</v>
      </c>
      <c r="E90" s="12" t="n">
        <v>26348</v>
      </c>
      <c r="F90" s="12" t="n">
        <v>23158</v>
      </c>
      <c r="G90" s="12" t="n">
        <v>23368</v>
      </c>
      <c r="H90" s="12" t="n">
        <v>25188</v>
      </c>
      <c r="I90" s="12" t="n">
        <v>26133</v>
      </c>
      <c r="J90" s="12" t="n">
        <v>24151</v>
      </c>
      <c r="K90" s="12" t="n">
        <v>26633</v>
      </c>
      <c r="L90" s="12" t="n">
        <v>27320</v>
      </c>
      <c r="M90" s="12" t="n">
        <v>29242</v>
      </c>
      <c r="N90" s="12" t="n">
        <v>32237</v>
      </c>
      <c r="T90" s="12" t="n">
        <v>26579</v>
      </c>
      <c r="U90" s="12" t="n">
        <v>31500</v>
      </c>
      <c r="V90" s="12" t="n">
        <v>26348</v>
      </c>
      <c r="W90" s="12" t="n">
        <v>26133</v>
      </c>
      <c r="X90" s="12" t="n">
        <v>29242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매출원가</t>
        </is>
      </c>
      <c r="C92" s="20" t="n">
        <v>21802</v>
      </c>
      <c r="D92" s="20" t="n">
        <v>19400</v>
      </c>
      <c r="E92" s="20" t="n">
        <v>20068</v>
      </c>
      <c r="F92" s="20" t="n">
        <v>17187</v>
      </c>
      <c r="G92" s="20" t="n">
        <v>17501</v>
      </c>
      <c r="H92" s="20" t="n">
        <v>19000</v>
      </c>
      <c r="I92" s="20" t="n">
        <v>19033</v>
      </c>
      <c r="J92" s="20" t="n">
        <v>17774</v>
      </c>
      <c r="K92" s="20" t="n">
        <v>18987</v>
      </c>
      <c r="L92" s="20" t="n">
        <v>19729</v>
      </c>
      <c r="M92" s="20" t="n">
        <v>20902</v>
      </c>
      <c r="N92" s="20" t="n">
        <v>22765</v>
      </c>
      <c r="T92" s="20" t="n">
        <v>19425</v>
      </c>
      <c r="U92" s="20" t="n">
        <v>23381</v>
      </c>
      <c r="V92" s="20" t="n">
        <v>20068</v>
      </c>
      <c r="W92" s="20" t="n">
        <v>19033</v>
      </c>
      <c r="X92" s="20" t="n">
        <v>20902</v>
      </c>
    </row>
    <row r="93">
      <c r="A93" s="9" t="inlineStr">
        <is>
          <t>매출총이익</t>
        </is>
      </c>
      <c r="C93" s="12" t="n">
        <v>7791</v>
      </c>
      <c r="D93" s="12" t="n">
        <v>6502</v>
      </c>
      <c r="E93" s="12" t="n">
        <v>6280</v>
      </c>
      <c r="F93" s="12" t="n">
        <v>5970</v>
      </c>
      <c r="G93" s="12" t="n">
        <v>5868</v>
      </c>
      <c r="H93" s="12" t="n">
        <v>6188</v>
      </c>
      <c r="I93" s="12" t="n">
        <v>7099</v>
      </c>
      <c r="J93" s="12" t="n">
        <v>6377</v>
      </c>
      <c r="K93" s="12" t="n">
        <v>7646</v>
      </c>
      <c r="L93" s="12" t="n">
        <v>7590</v>
      </c>
      <c r="M93" s="12" t="n">
        <v>8340</v>
      </c>
      <c r="N93" s="12" t="n">
        <v>9471</v>
      </c>
      <c r="T93" s="12" t="n">
        <v>7155</v>
      </c>
      <c r="U93" s="12" t="n">
        <v>8119</v>
      </c>
      <c r="V93" s="12" t="n">
        <v>6280</v>
      </c>
      <c r="W93" s="12" t="n">
        <v>7099</v>
      </c>
      <c r="X93" s="12" t="n">
        <v>8340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판매비와 관리비</t>
        </is>
      </c>
      <c r="C95" s="20" t="n">
        <v>4609</v>
      </c>
      <c r="D95" s="20" t="n">
        <v>4518</v>
      </c>
      <c r="E95" s="20" t="n">
        <v>4197</v>
      </c>
      <c r="F95" s="20" t="n">
        <v>4666</v>
      </c>
      <c r="G95" s="20" t="n">
        <v>4442</v>
      </c>
      <c r="H95" s="20" t="n">
        <v>4392</v>
      </c>
      <c r="I95" s="20" t="n">
        <v>4260</v>
      </c>
      <c r="J95" s="20" t="n">
        <v>4668</v>
      </c>
      <c r="K95" s="20" t="n">
        <v>4618</v>
      </c>
      <c r="L95" s="20" t="n">
        <v>4953</v>
      </c>
      <c r="M95" s="20" t="n">
        <v>5040</v>
      </c>
      <c r="N95" s="20" t="n">
        <v>5299</v>
      </c>
      <c r="T95" s="20" t="n">
        <v>3829</v>
      </c>
      <c r="U95" s="20" t="n">
        <v>4471</v>
      </c>
      <c r="V95" s="20" t="n">
        <v>4197</v>
      </c>
      <c r="W95" s="20" t="n">
        <v>4260</v>
      </c>
      <c r="X95" s="20" t="n">
        <v>5040</v>
      </c>
    </row>
    <row r="96">
      <c r="A96" s="18" t="inlineStr">
        <is>
          <t>Other Income</t>
        </is>
      </c>
      <c r="C96" s="20" t="n">
        <v>47</v>
      </c>
      <c r="D96" s="20" t="n">
        <v>786</v>
      </c>
      <c r="E96" s="20" t="n">
        <v>61</v>
      </c>
      <c r="F96" s="20" t="n">
        <v>152</v>
      </c>
      <c r="G96" s="20" t="n">
        <v>169</v>
      </c>
      <c r="H96" s="20" t="n">
        <v>76</v>
      </c>
      <c r="I96" s="20" t="n">
        <v>197</v>
      </c>
      <c r="J96" s="20" t="n">
        <v>62</v>
      </c>
      <c r="K96" s="20" t="n">
        <v>56</v>
      </c>
      <c r="L96" s="20" t="n">
        <v>55</v>
      </c>
      <c r="M96" s="20" t="n">
        <v>50</v>
      </c>
      <c r="N96" s="20" t="n">
        <v>39</v>
      </c>
      <c r="T96" s="20" t="n">
        <v>35</v>
      </c>
      <c r="U96" s="20" t="n">
        <v>146</v>
      </c>
      <c r="V96" s="20" t="n">
        <v>61</v>
      </c>
      <c r="W96" s="20" t="n">
        <v>197</v>
      </c>
      <c r="X96" s="20" t="n">
        <v>50</v>
      </c>
    </row>
    <row r="97">
      <c r="A97" s="18" t="inlineStr">
        <is>
          <t>기타비용</t>
        </is>
      </c>
      <c r="C97" s="20" t="n">
        <v>105</v>
      </c>
      <c r="D97" s="20" t="n">
        <v>20</v>
      </c>
      <c r="E97" s="20" t="n">
        <v>7</v>
      </c>
      <c r="F97" s="20" t="n">
        <v>2</v>
      </c>
      <c r="G97" s="20" t="n">
        <v>3</v>
      </c>
      <c r="H97" s="20" t="n">
        <v>13</v>
      </c>
      <c r="I97" s="20" t="n">
        <v>5</v>
      </c>
      <c r="J97" s="20" t="n">
        <v>3</v>
      </c>
      <c r="K97" s="20" t="n">
        <v>3</v>
      </c>
      <c r="L97" s="20" t="n">
        <v>-1</v>
      </c>
      <c r="M97" s="20" t="n">
        <v>7</v>
      </c>
      <c r="N97" s="20" t="n">
        <v>2</v>
      </c>
      <c r="T97" s="20" t="n">
        <v>24</v>
      </c>
      <c r="U97" s="20" t="n">
        <v>88</v>
      </c>
      <c r="V97" s="20" t="n">
        <v>7</v>
      </c>
      <c r="W97" s="20" t="n">
        <v>5</v>
      </c>
      <c r="X97" s="20" t="n">
        <v>7</v>
      </c>
    </row>
    <row r="98">
      <c r="A98" s="18" t="inlineStr">
        <is>
          <t>영업이익</t>
        </is>
      </c>
      <c r="C98" s="20" t="n">
        <v>3123</v>
      </c>
      <c r="D98" s="20" t="n">
        <v>2751</v>
      </c>
      <c r="E98" s="20" t="n">
        <v>2137</v>
      </c>
      <c r="F98" s="20" t="n">
        <v>1453</v>
      </c>
      <c r="G98" s="20" t="n">
        <v>1593</v>
      </c>
      <c r="H98" s="20" t="n">
        <v>1858</v>
      </c>
      <c r="I98" s="20" t="n">
        <v>3032</v>
      </c>
      <c r="J98" s="20" t="n">
        <v>1767</v>
      </c>
      <c r="K98" s="20" t="n">
        <v>3081</v>
      </c>
      <c r="L98" s="20" t="n">
        <v>2694</v>
      </c>
      <c r="M98" s="20" t="n">
        <v>3343</v>
      </c>
      <c r="N98" s="20" t="n">
        <v>4209</v>
      </c>
      <c r="T98" s="20" t="n">
        <v>3336</v>
      </c>
      <c r="U98" s="20" t="n">
        <v>3705</v>
      </c>
      <c r="V98" s="20" t="n">
        <v>2137</v>
      </c>
      <c r="W98" s="20" t="n">
        <v>3032</v>
      </c>
      <c r="X98" s="20" t="n">
        <v>3343</v>
      </c>
    </row>
    <row r="99">
      <c r="A99" s="43" t="inlineStr">
        <is>
          <t>OPM</t>
        </is>
      </c>
      <c r="B99" s="3" t="inlineStr">
        <is>
          <t>영업이익 ÷ 매출</t>
        </is>
      </c>
      <c r="C99" s="15">
        <f>IF(OR(C98="",C90=""),"",IF(C90&lt;=0,"",IFERROR(C98/C90,"")))</f>
        <v/>
      </c>
      <c r="D99" s="15">
        <f>IF(OR(D98="",D90=""),"",IF(D90&lt;=0,"",IFERROR(D98/D90,"")))</f>
        <v/>
      </c>
      <c r="E99" s="15">
        <f>IF(OR(E98="",E90=""),"",IF(E90&lt;=0,"",IFERROR(E98/E90,"")))</f>
        <v/>
      </c>
      <c r="F99" s="15">
        <f>IF(OR(F98="",F90=""),"",IF(F90&lt;=0,"",IFERROR(F98/F90,"")))</f>
        <v/>
      </c>
      <c r="G99" s="15">
        <f>IF(OR(G98="",G90=""),"",IF(G90&lt;=0,"",IFERROR(G98/G90,"")))</f>
        <v/>
      </c>
      <c r="H99" s="15">
        <f>IF(OR(H98="",H90=""),"",IF(H90&lt;=0,"",IFERROR(H98/H90,"")))</f>
        <v/>
      </c>
      <c r="I99" s="15">
        <f>IF(OR(I98="",I90=""),"",IF(I90&lt;=0,"",IFERROR(I98/I90,"")))</f>
        <v/>
      </c>
      <c r="J99" s="15">
        <f>IF(OR(J98="",J90=""),"",IF(J90&lt;=0,"",IFERROR(J98/J90,"")))</f>
        <v/>
      </c>
      <c r="K99" s="15">
        <f>IF(OR(K98="",K90=""),"",IF(K90&lt;=0,"",IFERROR(K98/K90,"")))</f>
        <v/>
      </c>
      <c r="L99" s="15">
        <f>IF(OR(L98="",L90=""),"",IF(L90&lt;=0,"",IFERROR(L98/L90,"")))</f>
        <v/>
      </c>
      <c r="M99" s="15">
        <f>IF(OR(M98="",M90=""),"",IF(M90&lt;=0,"",IFERROR(M98/M90,"")))</f>
        <v/>
      </c>
      <c r="N99" s="15">
        <f>IF(OR(N98="",N90=""),"",IF(N90&lt;=0,"",IFERROR(N98/N90,"")))</f>
        <v/>
      </c>
      <c r="T99" s="15">
        <f>IF(OR(T98="",T90=""),"",IF(T90&lt;=0,"",IFERROR(T98/T90,"")))</f>
        <v/>
      </c>
      <c r="U99" s="15">
        <f>IF(OR(U98="",U90=""),"",IF(U90&lt;=0,"",IFERROR(U98/U90,"")))</f>
        <v/>
      </c>
      <c r="V99" s="15">
        <f>IF(OR(V98="",V90=""),"",IF(V90&lt;=0,"",IFERROR(V98/V90,"")))</f>
        <v/>
      </c>
      <c r="W99" s="15">
        <f>IF(OR(W98="",W90=""),"",IF(W90&lt;=0,"",IFERROR(W98/W90,"")))</f>
        <v/>
      </c>
      <c r="X99" s="15">
        <f>IF(OR(X98="",X90=""),"",IF(X90&lt;=0,"",IFERROR(X98/X90,"")))</f>
        <v/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IF(OR(G98="",C98=""),"",IF(C98&lt;=0,"",IFERROR(G98/C98-1,"")))</f>
        <v/>
      </c>
      <c r="H100" s="15">
        <f>IF(OR(H98="",D98=""),"",IF(D98&lt;=0,"",IFERROR(H98/D98-1,"")))</f>
        <v/>
      </c>
      <c r="I100" s="15">
        <f>IF(OR(I98="",E98=""),"",IF(E98&lt;=0,"",IFERROR(I98/E98-1,"")))</f>
        <v/>
      </c>
      <c r="J100" s="15">
        <f>IF(OR(J98="",F98=""),"",IF(F98&lt;=0,"",IFERROR(J98/F98-1,"")))</f>
        <v/>
      </c>
      <c r="K100" s="15">
        <f>IF(OR(K98="",G98=""),"",IF(G98&lt;=0,"",IFERROR(K98/G98-1,"")))</f>
        <v/>
      </c>
      <c r="L100" s="15">
        <f>IF(OR(L98="",H98=""),"",IF(H98&lt;=0,"",IFERROR(L98/H98-1,"")))</f>
        <v/>
      </c>
      <c r="M100" s="15">
        <f>IF(OR(M98="",I98=""),"",IF(I98&lt;=0,"",IFERROR(M98/I98-1,"")))</f>
        <v/>
      </c>
      <c r="N100" s="15">
        <f>IF(OR(N98="",J98=""),"",IF(J98&lt;=0,"",IFERROR(N98/J98-1,"")))</f>
        <v/>
      </c>
      <c r="T100" s="15">
        <f>IF(OR(T98="",S98=""),"",IF(S98&lt;=0,"",IFERROR(T98/S98-1,"")))</f>
        <v/>
      </c>
      <c r="U100" s="15">
        <f>IF(OR(U98="",T98=""),"",IF(T98&lt;=0,"",IFERROR(U98/T98-1,"")))</f>
        <v/>
      </c>
      <c r="V100" s="15">
        <f>IF(OR(V98="",U98=""),"",IF(U98&lt;=0,"",IFERROR(V98/U98-1,"")))</f>
        <v/>
      </c>
      <c r="W100" s="15">
        <f>IF(OR(W98="",V98=""),"",IF(V98&lt;=0,"",IFERROR(W98/V98-1,"")))</f>
        <v/>
      </c>
      <c r="X100" s="15">
        <f>IF(OR(X98="",W98=""),"",IF(W98&lt;=0,"",IFERROR(X98/W98-1,"")))</f>
        <v/>
      </c>
    </row>
    <row r="101">
      <c r="A101" s="18" t="inlineStr">
        <is>
          <t>금융수익</t>
        </is>
      </c>
      <c r="C101" s="20" t="n">
        <v>380</v>
      </c>
      <c r="D101" s="20" t="n">
        <v>-332</v>
      </c>
      <c r="E101" s="20" t="n">
        <v>607</v>
      </c>
      <c r="F101" s="20" t="n">
        <v>730</v>
      </c>
      <c r="G101" s="20" t="n">
        <v>-393</v>
      </c>
      <c r="H101" s="20" t="n">
        <v>423</v>
      </c>
      <c r="I101" s="20" t="n">
        <v>-116</v>
      </c>
      <c r="J101" s="20" t="n">
        <v>231</v>
      </c>
      <c r="K101" s="20" t="n">
        <v>89</v>
      </c>
      <c r="L101" s="20" t="n">
        <v>311</v>
      </c>
      <c r="M101" s="20" t="n">
        <v>275</v>
      </c>
      <c r="N101" s="20" t="n">
        <v>281</v>
      </c>
      <c r="T101" s="20" t="n">
        <v>408</v>
      </c>
      <c r="U101" s="20" t="n">
        <v>117</v>
      </c>
      <c r="V101" s="20" t="n">
        <v>607</v>
      </c>
      <c r="W101" s="20" t="n">
        <v>-116</v>
      </c>
      <c r="X101" s="20" t="n">
        <v>275</v>
      </c>
    </row>
    <row r="102">
      <c r="A102" s="18" t="inlineStr">
        <is>
          <t>금융비용</t>
        </is>
      </c>
      <c r="C102" s="20" t="n">
        <v>39</v>
      </c>
      <c r="D102" s="20" t="n">
        <v>37</v>
      </c>
      <c r="E102" s="20" t="n">
        <v>84</v>
      </c>
      <c r="F102" s="20" t="n">
        <v>58</v>
      </c>
      <c r="G102" s="20" t="n">
        <v>750</v>
      </c>
      <c r="H102" s="20" t="n">
        <v>-636</v>
      </c>
      <c r="I102" s="20" t="n">
        <v>405</v>
      </c>
      <c r="J102" s="20" t="n">
        <v>493</v>
      </c>
      <c r="K102" s="20" t="n">
        <v>-262</v>
      </c>
      <c r="L102" s="20" t="n">
        <v>-204</v>
      </c>
      <c r="M102" s="20" t="n">
        <v>18</v>
      </c>
      <c r="N102" s="20" t="n">
        <v>60</v>
      </c>
      <c r="T102" s="20" t="n">
        <v>31</v>
      </c>
      <c r="U102" s="20" t="n">
        <v>72</v>
      </c>
      <c r="V102" s="20" t="n">
        <v>84</v>
      </c>
      <c r="W102" s="20" t="n">
        <v>405</v>
      </c>
      <c r="X102" s="20" t="n">
        <v>18</v>
      </c>
    </row>
    <row r="103">
      <c r="A103" s="9" t="inlineStr">
        <is>
          <t>법인세비용차감전 중간이익</t>
        </is>
      </c>
      <c r="C103" s="12" t="n">
        <v>3465</v>
      </c>
      <c r="D103" s="12" t="n">
        <v>2381</v>
      </c>
      <c r="E103" s="12" t="n">
        <v>2660</v>
      </c>
      <c r="F103" s="12" t="n">
        <v>2125</v>
      </c>
      <c r="G103" s="12" t="n">
        <v>450</v>
      </c>
      <c r="H103" s="12" t="n">
        <v>2917</v>
      </c>
      <c r="I103" s="12" t="n">
        <v>2511</v>
      </c>
      <c r="J103" s="12" t="n">
        <v>1505</v>
      </c>
      <c r="K103" s="12" t="n">
        <v>3432</v>
      </c>
      <c r="L103" s="12" t="n">
        <v>3209</v>
      </c>
      <c r="M103" s="12" t="n">
        <v>3601</v>
      </c>
      <c r="N103" s="12" t="n">
        <v>4430</v>
      </c>
      <c r="T103" s="12" t="n">
        <v>3713</v>
      </c>
      <c r="U103" s="12" t="n">
        <v>3751</v>
      </c>
      <c r="V103" s="12" t="n">
        <v>2660</v>
      </c>
      <c r="W103" s="12" t="n">
        <v>2511</v>
      </c>
      <c r="X103" s="12" t="n">
        <v>3601</v>
      </c>
    </row>
    <row r="104">
      <c r="A104" s="18" t="inlineStr">
        <is>
          <t>Income Tax Expense</t>
        </is>
      </c>
      <c r="C104" s="20" t="n">
        <v>1115</v>
      </c>
      <c r="D104" s="20" t="n">
        <v>363</v>
      </c>
      <c r="E104" s="20" t="n">
        <v>-3</v>
      </c>
      <c r="F104" s="20" t="n">
        <v>764</v>
      </c>
      <c r="G104" s="20" t="n">
        <v>210</v>
      </c>
      <c r="H104" s="20" t="n">
        <v>516</v>
      </c>
      <c r="I104" s="20" t="n">
        <v>875</v>
      </c>
      <c r="J104" s="20" t="n">
        <v>453</v>
      </c>
      <c r="K104" s="20" t="n">
        <v>975</v>
      </c>
      <c r="L104" s="20" t="n">
        <v>961</v>
      </c>
      <c r="M104" s="20" t="n">
        <v>697</v>
      </c>
      <c r="N104" s="20" t="n">
        <v>1436</v>
      </c>
      <c r="T104" s="20" t="n">
        <v>741</v>
      </c>
      <c r="U104" s="20" t="n">
        <v>551</v>
      </c>
      <c r="V104" s="20" t="n">
        <v>-3</v>
      </c>
      <c r="W104" s="20" t="n">
        <v>875</v>
      </c>
      <c r="X104" s="20" t="n">
        <v>697</v>
      </c>
    </row>
    <row r="105">
      <c r="A105" s="9" t="inlineStr">
        <is>
          <t>중간이익</t>
        </is>
      </c>
      <c r="C105" s="12" t="n">
        <v>2350</v>
      </c>
      <c r="D105" s="12" t="n">
        <v>2017</v>
      </c>
      <c r="E105" s="12" t="n">
        <v>2664</v>
      </c>
      <c r="F105" s="12" t="n">
        <v>1361</v>
      </c>
      <c r="G105" s="12" t="n">
        <v>239</v>
      </c>
      <c r="H105" s="12" t="n">
        <v>2402</v>
      </c>
      <c r="I105" s="12" t="n">
        <v>1636</v>
      </c>
      <c r="J105" s="12" t="n">
        <v>1051</v>
      </c>
      <c r="K105" s="12" t="n">
        <v>2458</v>
      </c>
      <c r="L105" s="12" t="n">
        <v>2248</v>
      </c>
      <c r="M105" s="12" t="n">
        <v>2904</v>
      </c>
      <c r="N105" s="12" t="n">
        <v>2994</v>
      </c>
      <c r="T105" s="12" t="n">
        <v>2972</v>
      </c>
      <c r="U105" s="12" t="n">
        <v>3200</v>
      </c>
      <c r="V105" s="12" t="n">
        <v>2664</v>
      </c>
      <c r="W105" s="12" t="n">
        <v>1636</v>
      </c>
      <c r="X105" s="12" t="n">
        <v>2904</v>
      </c>
    </row>
    <row r="106">
      <c r="A106" s="18" t="inlineStr">
        <is>
          <t>Basic Earnings Loss Per Share</t>
        </is>
      </c>
      <c r="C106" s="20" t="n">
        <v>0.00019392</v>
      </c>
      <c r="D106" s="20" t="n">
        <v>0.00016657</v>
      </c>
      <c r="E106" s="20" t="n">
        <v>0.00022215</v>
      </c>
      <c r="F106" s="20" t="n">
        <v>0.00011418</v>
      </c>
      <c r="G106" s="20" t="n">
        <v>-6.943e-05</v>
      </c>
      <c r="H106" s="20" t="n">
        <v>6.712999999999999e-05</v>
      </c>
      <c r="I106" s="20" t="n">
        <v>4.572e-05</v>
      </c>
      <c r="J106" s="20" t="n">
        <v>2.957e-05</v>
      </c>
      <c r="K106" s="20" t="n">
        <v>6.918999999999999e-05</v>
      </c>
      <c r="L106" s="20" t="n">
        <v>6.332999999999999e-05</v>
      </c>
      <c r="M106" s="20" t="n">
        <v>8.179999999999998e-05</v>
      </c>
      <c r="N106" s="20" t="n">
        <v>8.436e-05</v>
      </c>
      <c r="T106" s="20" t="n">
        <v>0.00024552</v>
      </c>
      <c r="U106" s="20" t="n">
        <v>0.0002644</v>
      </c>
      <c r="V106" s="20" t="n">
        <v>0.00022215</v>
      </c>
      <c r="W106" s="20" t="n">
        <v>4.572e-05</v>
      </c>
      <c r="X106" s="20" t="n">
        <v>8.179999999999998e-05</v>
      </c>
    </row>
    <row r="107">
      <c r="A107" s="18" t="inlineStr">
        <is>
          <t>Diluted Earnings Loss Per Share</t>
        </is>
      </c>
      <c r="C107" s="20" t="n">
        <v>0.00019413</v>
      </c>
      <c r="D107" s="20" t="n">
        <v>0.00016657</v>
      </c>
      <c r="E107" s="20" t="n">
        <v>0.00022215</v>
      </c>
      <c r="F107" s="20" t="n">
        <v>0.00011412</v>
      </c>
      <c r="G107" s="20" t="n">
        <v>-6.937999999999999e-05</v>
      </c>
      <c r="H107" s="20" t="n">
        <v>6.710999999999999e-05</v>
      </c>
      <c r="I107" s="20" t="n">
        <v>4.568000000000001e-05</v>
      </c>
      <c r="J107" s="20" t="n">
        <v>2.956e-05</v>
      </c>
      <c r="K107" s="20" t="n">
        <v>6.918e-05</v>
      </c>
      <c r="L107" s="20" t="n">
        <v>6.328000000000002e-05</v>
      </c>
      <c r="M107" s="20" t="n">
        <v>8.173999999999999e-05</v>
      </c>
      <c r="N107" s="20" t="n">
        <v>8.43e-05</v>
      </c>
      <c r="T107" s="20" t="n">
        <v>0</v>
      </c>
      <c r="U107" s="20" t="n">
        <v>0.00026407</v>
      </c>
      <c r="V107" s="20" t="n">
        <v>0.00022215</v>
      </c>
      <c r="W107" s="20" t="n">
        <v>4.568000000000001e-05</v>
      </c>
      <c r="X107" s="20" t="n">
        <v>8.173999999999999e-05</v>
      </c>
    </row>
    <row r="108">
      <c r="A108" s="9" t="inlineStr">
        <is>
          <t>Profit Loss Attributable To Owners Of Parent</t>
        </is>
      </c>
      <c r="C108" s="12" t="n">
        <v>2349</v>
      </c>
      <c r="D108" s="12" t="n">
        <v>2018</v>
      </c>
      <c r="E108" s="12" t="n">
        <v>2663</v>
      </c>
      <c r="F108" s="12" t="n">
        <v>1360</v>
      </c>
      <c r="G108" s="12" t="n">
        <v>240</v>
      </c>
      <c r="H108" s="12" t="n">
        <v>2401</v>
      </c>
      <c r="I108" s="12" t="n">
        <v>1636</v>
      </c>
      <c r="J108" s="12" t="n">
        <v>1051</v>
      </c>
      <c r="K108" s="12" t="n">
        <v>2458</v>
      </c>
      <c r="L108" s="12" t="n">
        <v>2248</v>
      </c>
      <c r="M108" s="12" t="n">
        <v>2904</v>
      </c>
      <c r="N108" s="12" t="n">
        <v>2994</v>
      </c>
      <c r="T108" s="12" t="n">
        <v>2971</v>
      </c>
      <c r="U108" s="12" t="n">
        <v>3199</v>
      </c>
      <c r="V108" s="12" t="n">
        <v>2663</v>
      </c>
      <c r="W108" s="12" t="n">
        <v>1636</v>
      </c>
      <c r="X108" s="12" t="n">
        <v>2904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IF(OR(G108="",C108=""),"",IF(C108&lt;=0,"",IFERROR(G108/C108-1,"")))</f>
        <v/>
      </c>
      <c r="H109" s="15">
        <f>IF(OR(H108="",D108=""),"",IF(D108&lt;=0,"",IFERROR(H108/D108-1,"")))</f>
        <v/>
      </c>
      <c r="I109" s="15">
        <f>IF(OR(I108="",E108=""),"",IF(E108&lt;=0,"",IFERROR(I108/E108-1,"")))</f>
        <v/>
      </c>
      <c r="J109" s="15">
        <f>IF(OR(J108="",F108=""),"",IF(F108&lt;=0,"",IFERROR(J108/F108-1,"")))</f>
        <v/>
      </c>
      <c r="K109" s="15">
        <f>IF(OR(K108="",G108=""),"",IF(G108&lt;=0,"",IFERROR(K108/G108-1,"")))</f>
        <v/>
      </c>
      <c r="L109" s="15">
        <f>IF(OR(L108="",H108=""),"",IF(H108&lt;=0,"",IFERROR(L108/H108-1,"")))</f>
        <v/>
      </c>
      <c r="M109" s="15">
        <f>IF(OR(M108="",I108=""),"",IF(I108&lt;=0,"",IFERROR(M108/I108-1,"")))</f>
        <v/>
      </c>
      <c r="N109" s="15">
        <f>IF(OR(N108="",J108=""),"",IF(J108&lt;=0,"",IFERROR(N108/J108-1,"")))</f>
        <v/>
      </c>
      <c r="T109" s="15">
        <f>IF(OR(T108="",S108=""),"",IF(S108&lt;=0,"",IFERROR(T108/S108-1,"")))</f>
        <v/>
      </c>
      <c r="U109" s="15">
        <f>IF(OR(U108="",T108=""),"",IF(T108&lt;=0,"",IFERROR(U108/T108-1,"")))</f>
        <v/>
      </c>
      <c r="V109" s="15">
        <f>IF(OR(V108="",U108=""),"",IF(U108&lt;=0,"",IFERROR(V108/U108-1,"")))</f>
        <v/>
      </c>
      <c r="W109" s="15">
        <f>IF(OR(W108="",V108=""),"",IF(V108&lt;=0,"",IFERROR(W108/V108-1,"")))</f>
        <v/>
      </c>
      <c r="X109" s="15">
        <f>IF(OR(X108="",W108=""),"",IF(W108&lt;=0,"",IFERROR(X108/W108-1,"")))</f>
        <v/>
      </c>
    </row>
    <row r="110">
      <c r="A110" s="9" t="inlineStr">
        <is>
          <t>비지배지분</t>
        </is>
      </c>
      <c r="C110" s="12" t="n">
        <v>1</v>
      </c>
      <c r="D110" s="12" t="n">
        <v>0</v>
      </c>
      <c r="E110" s="12" t="n">
        <v>1</v>
      </c>
      <c r="F110" s="12" t="n">
        <v>0</v>
      </c>
      <c r="G110" s="12" t="n">
        <v>0</v>
      </c>
      <c r="H110" s="12" t="n">
        <v>0</v>
      </c>
      <c r="I110" s="12" t="n">
        <v>0</v>
      </c>
      <c r="J110" s="12" t="n">
        <v>-0</v>
      </c>
      <c r="K110" s="12" t="n">
        <v>0</v>
      </c>
      <c r="L110" s="12" t="n">
        <v>0</v>
      </c>
      <c r="M110" s="12" t="n">
        <v>0</v>
      </c>
      <c r="N110" s="12" t="n">
        <v>0</v>
      </c>
      <c r="T110" s="12" t="n">
        <v>0</v>
      </c>
      <c r="U110" s="12" t="n">
        <v>0</v>
      </c>
      <c r="V110" s="12" t="n">
        <v>1</v>
      </c>
      <c r="W110" s="12" t="n">
        <v>0</v>
      </c>
      <c r="X110" s="12" t="n">
        <v>0</v>
      </c>
    </row>
    <row r="112">
      <c r="A112" s="16" t="inlineStr">
        <is>
          <t>포괄손익 · 전 항목</t>
        </is>
      </c>
      <c r="B112" s="42" t="inlineStr">
        <is>
          <t>분기 = 3개월 단독</t>
        </is>
      </c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</row>
    <row r="113">
      <c r="A113" s="5" t="inlineStr">
        <is>
          <t>항목</t>
        </is>
      </c>
      <c r="B113" s="5" t="inlineStr">
        <is>
          <t>참고</t>
        </is>
      </c>
      <c r="C113" s="5" t="inlineStr">
        <is>
          <t>2024.2Q</t>
        </is>
      </c>
      <c r="D113" s="5" t="inlineStr">
        <is>
          <t>2024.3Q</t>
        </is>
      </c>
      <c r="E113" s="5" t="inlineStr">
        <is>
          <t>2024.4Q</t>
        </is>
      </c>
      <c r="F113" s="5" t="inlineStr">
        <is>
          <t>2025.1Q</t>
        </is>
      </c>
      <c r="G113" s="5" t="inlineStr">
        <is>
          <t>2025.2Q</t>
        </is>
      </c>
      <c r="H113" s="5" t="inlineStr">
        <is>
          <t>2025.3Q</t>
        </is>
      </c>
      <c r="I113" s="5" t="inlineStr">
        <is>
          <t>2025.4Q</t>
        </is>
      </c>
      <c r="J113" s="5" t="inlineStr">
        <is>
          <t>2026.1Q</t>
        </is>
      </c>
      <c r="K113" s="5" t="inlineStr">
        <is>
          <t>2026.2Q</t>
        </is>
      </c>
      <c r="L113" s="5" t="inlineStr">
        <is>
          <t>2026.3Q</t>
        </is>
      </c>
      <c r="M113" s="5" t="inlineStr">
        <is>
          <t>2026.4Q</t>
        </is>
      </c>
      <c r="N113" s="5" t="inlineStr">
        <is>
          <t>2027.1Q</t>
        </is>
      </c>
      <c r="O113" s="5" t="inlineStr">
        <is>
          <t>2017</t>
        </is>
      </c>
      <c r="P113" s="5" t="inlineStr">
        <is>
          <t>2018</t>
        </is>
      </c>
      <c r="Q113" s="5" t="inlineStr">
        <is>
          <t>2019</t>
        </is>
      </c>
      <c r="R113" s="5" t="inlineStr">
        <is>
          <t>2020</t>
        </is>
      </c>
      <c r="S113" s="5" t="inlineStr">
        <is>
          <t>2021</t>
        </is>
      </c>
      <c r="T113" s="5" t="inlineStr">
        <is>
          <t>2022</t>
        </is>
      </c>
      <c r="U113" s="5" t="inlineStr">
        <is>
          <t>2023</t>
        </is>
      </c>
      <c r="V113" s="5" t="inlineStr">
        <is>
          <t>2024</t>
        </is>
      </c>
      <c r="W113" s="5" t="inlineStr">
        <is>
          <t>2025</t>
        </is>
      </c>
      <c r="X113" s="5" t="inlineStr">
        <is>
          <t>2026</t>
        </is>
      </c>
      <c r="Y113" s="5" t="inlineStr">
        <is>
          <t>2027(MW)</t>
        </is>
      </c>
      <c r="Z113" s="5" t="inlineStr">
        <is>
          <t>2028(MW)</t>
        </is>
      </c>
      <c r="AA113" s="5" t="inlineStr">
        <is>
          <t>2029(MW)</t>
        </is>
      </c>
      <c r="AB113" s="5" t="inlineStr">
        <is>
          <t>2030(MW)</t>
        </is>
      </c>
      <c r="AC113" s="5" t="inlineStr">
        <is>
          <t>2031(MW)</t>
        </is>
      </c>
    </row>
    <row r="114">
      <c r="A114" s="9" t="inlineStr">
        <is>
          <t>중간이익</t>
        </is>
      </c>
      <c r="C114" s="12" t="n">
        <v>2350</v>
      </c>
      <c r="D114" s="12" t="n">
        <v>2017</v>
      </c>
      <c r="E114" s="12" t="n">
        <v>2664</v>
      </c>
      <c r="F114" s="12" t="n">
        <v>1361</v>
      </c>
      <c r="G114" s="12" t="n">
        <v>239</v>
      </c>
      <c r="H114" s="12" t="n">
        <v>2402</v>
      </c>
      <c r="I114" s="12" t="n">
        <v>1636</v>
      </c>
      <c r="J114" s="12" t="n">
        <v>1051</v>
      </c>
      <c r="K114" s="12" t="n">
        <v>2458</v>
      </c>
      <c r="L114" s="12" t="n">
        <v>2248</v>
      </c>
      <c r="M114" s="12" t="n">
        <v>2904</v>
      </c>
      <c r="N114" s="12" t="n">
        <v>2994</v>
      </c>
      <c r="T114" s="12" t="n">
        <v>2972</v>
      </c>
      <c r="U114" s="12" t="n">
        <v>3200</v>
      </c>
      <c r="V114" s="12" t="n">
        <v>2664</v>
      </c>
      <c r="W114" s="12" t="n">
        <v>1636</v>
      </c>
      <c r="X114" s="12" t="n">
        <v>2904</v>
      </c>
    </row>
    <row r="115">
      <c r="A115" s="18" t="inlineStr">
        <is>
          <t>기타포괄손익-공정가치 측정 금융자산</t>
        </is>
      </c>
      <c r="C115" s="20" t="n">
        <v>-63</v>
      </c>
      <c r="D115" s="20" t="n">
        <v>205</v>
      </c>
      <c r="E115" s="20" t="n">
        <v>1372</v>
      </c>
      <c r="F115" s="20" t="n">
        <v>-153</v>
      </c>
      <c r="G115" s="20" t="n">
        <v>-1033</v>
      </c>
      <c r="H115" s="20" t="n">
        <v>525</v>
      </c>
      <c r="I115" s="20" t="n">
        <v>-630</v>
      </c>
      <c r="J115" s="20" t="n">
        <v>604</v>
      </c>
      <c r="K115" s="20" t="n">
        <v>828</v>
      </c>
      <c r="L115" s="20" t="n">
        <v>855</v>
      </c>
      <c r="M115" s="20" t="n">
        <v>376</v>
      </c>
      <c r="N115" s="20" t="n">
        <v>3101</v>
      </c>
      <c r="T115" s="20" t="n">
        <v>-464</v>
      </c>
      <c r="U115" s="20" t="n">
        <v>664</v>
      </c>
      <c r="V115" s="20" t="n">
        <v>1372</v>
      </c>
      <c r="W115" s="20" t="n">
        <v>-630</v>
      </c>
      <c r="X115" s="20" t="n">
        <v>376</v>
      </c>
    </row>
    <row r="116">
      <c r="A116" s="18" t="inlineStr">
        <is>
          <t>확정급여제도 재측정</t>
        </is>
      </c>
      <c r="C116" s="20" t="n">
        <v>-161</v>
      </c>
      <c r="D116" s="20" t="n">
        <v>259</v>
      </c>
      <c r="E116" s="20" t="n">
        <v>1934</v>
      </c>
      <c r="F116" s="20" t="n">
        <v>92</v>
      </c>
      <c r="G116" s="20" t="n">
        <v>-356</v>
      </c>
      <c r="H116" s="20" t="n">
        <v>432</v>
      </c>
      <c r="I116" s="20" t="n">
        <v>831</v>
      </c>
      <c r="J116" s="20" t="n">
        <v>350</v>
      </c>
      <c r="K116" s="20" t="n">
        <v>640</v>
      </c>
      <c r="L116" s="20" t="n">
        <v>564</v>
      </c>
      <c r="M116" s="20" t="n">
        <v>999</v>
      </c>
      <c r="N116" s="20" t="n">
        <v>1009</v>
      </c>
      <c r="T116" s="20" t="n">
        <v>-155</v>
      </c>
      <c r="U116" s="20" t="n">
        <v>1141</v>
      </c>
      <c r="V116" s="20" t="n">
        <v>1934</v>
      </c>
      <c r="W116" s="20" t="n">
        <v>831</v>
      </c>
      <c r="X116" s="20" t="n">
        <v>999</v>
      </c>
    </row>
    <row r="117">
      <c r="A117" s="18" t="inlineStr">
        <is>
          <t>Exchange Differences On Translation Of Foreign Operations Net Of Tax Items That May Be Reclassified To Profit Or Loss OCI</t>
        </is>
      </c>
      <c r="C117" s="20" t="n">
        <v>951</v>
      </c>
      <c r="D117" s="20" t="n">
        <v>-1583</v>
      </c>
      <c r="E117" s="20" t="n">
        <v>2207</v>
      </c>
      <c r="F117" s="20" t="n">
        <v>2474</v>
      </c>
      <c r="G117" s="20" t="n">
        <v>-4343</v>
      </c>
      <c r="H117" s="20" t="n">
        <v>3505</v>
      </c>
      <c r="I117" s="20" t="n">
        <v>-2245</v>
      </c>
      <c r="J117" s="20" t="n">
        <v>-665</v>
      </c>
      <c r="K117" s="20" t="n">
        <v>1149</v>
      </c>
      <c r="L117" s="20" t="n">
        <v>2402</v>
      </c>
      <c r="M117" s="20" t="n">
        <v>913</v>
      </c>
      <c r="N117" s="20" t="n">
        <v>953</v>
      </c>
      <c r="T117" s="20" t="n">
        <v>1561</v>
      </c>
      <c r="U117" s="20" t="n">
        <v>370</v>
      </c>
      <c r="V117" s="20" t="n">
        <v>2207</v>
      </c>
      <c r="W117" s="20" t="n">
        <v>-2245</v>
      </c>
      <c r="X117" s="20" t="n">
        <v>913</v>
      </c>
    </row>
    <row r="118">
      <c r="A118" s="18" t="inlineStr">
        <is>
          <t>기타포괄손익 합계</t>
        </is>
      </c>
      <c r="C118" s="20" t="n">
        <v>727</v>
      </c>
      <c r="D118" s="20" t="n">
        <v>-1119</v>
      </c>
      <c r="E118" s="20" t="n">
        <v>5513</v>
      </c>
      <c r="F118" s="20" t="n">
        <v>2413</v>
      </c>
      <c r="G118" s="20" t="n">
        <v>-5733</v>
      </c>
      <c r="H118" s="20" t="n">
        <v>4463</v>
      </c>
      <c r="I118" s="20" t="n">
        <v>-2045</v>
      </c>
      <c r="J118" s="20" t="n">
        <v>288</v>
      </c>
      <c r="K118" s="20" t="n">
        <v>2619</v>
      </c>
      <c r="L118" s="20" t="n">
        <v>3822</v>
      </c>
      <c r="M118" s="20" t="n">
        <v>2287</v>
      </c>
      <c r="N118" s="20" t="n">
        <v>5064</v>
      </c>
      <c r="T118" s="20" t="n">
        <v>942</v>
      </c>
      <c r="U118" s="20" t="n">
        <v>2178</v>
      </c>
      <c r="V118" s="20" t="n">
        <v>5513</v>
      </c>
      <c r="W118" s="20" t="n">
        <v>-2045</v>
      </c>
      <c r="X118" s="20" t="n">
        <v>2287</v>
      </c>
    </row>
    <row r="119">
      <c r="A119" s="9" t="inlineStr">
        <is>
          <t>포괄이익</t>
        </is>
      </c>
      <c r="C119" s="12" t="n">
        <v>3077</v>
      </c>
      <c r="D119" s="12" t="n">
        <v>899</v>
      </c>
      <c r="E119" s="12" t="n">
        <v>8176</v>
      </c>
      <c r="F119" s="12" t="n">
        <v>3774</v>
      </c>
      <c r="G119" s="12" t="n">
        <v>-5493</v>
      </c>
      <c r="H119" s="12" t="n">
        <v>6865</v>
      </c>
      <c r="I119" s="12" t="n">
        <v>-411</v>
      </c>
      <c r="J119" s="12" t="n">
        <v>1340</v>
      </c>
      <c r="K119" s="12" t="n">
        <v>5076</v>
      </c>
      <c r="L119" s="12" t="n">
        <v>6070</v>
      </c>
      <c r="M119" s="12" t="n">
        <v>5191</v>
      </c>
      <c r="N119" s="12" t="n">
        <v>8058</v>
      </c>
      <c r="T119" s="12" t="n">
        <v>3914</v>
      </c>
      <c r="U119" s="12" t="n">
        <v>5377</v>
      </c>
      <c r="V119" s="12" t="n">
        <v>8176</v>
      </c>
      <c r="W119" s="12" t="n">
        <v>-411</v>
      </c>
      <c r="X119" s="12" t="n">
        <v>5191</v>
      </c>
    </row>
    <row r="120">
      <c r="A120" s="9" t="inlineStr">
        <is>
          <t>Comprehensive Income Attributable To Owners Of Parent</t>
        </is>
      </c>
      <c r="C120" s="12" t="n">
        <v>3075</v>
      </c>
      <c r="D120" s="12" t="n">
        <v>899</v>
      </c>
      <c r="E120" s="12" t="n">
        <v>8176</v>
      </c>
      <c r="F120" s="12" t="n">
        <v>3773</v>
      </c>
      <c r="G120" s="12" t="n">
        <v>-5492</v>
      </c>
      <c r="H120" s="12" t="n">
        <v>6864</v>
      </c>
      <c r="I120" s="12" t="n">
        <v>-410</v>
      </c>
      <c r="J120" s="12" t="n">
        <v>1340</v>
      </c>
      <c r="K120" s="12" t="n">
        <v>5076</v>
      </c>
      <c r="L120" s="12" t="n">
        <v>6069</v>
      </c>
      <c r="M120" s="12" t="n">
        <v>5192</v>
      </c>
      <c r="N120" s="12" t="n">
        <v>8058</v>
      </c>
      <c r="T120" s="12" t="n">
        <v>3913</v>
      </c>
      <c r="U120" s="12" t="n">
        <v>5377</v>
      </c>
      <c r="V120" s="12" t="n">
        <v>8176</v>
      </c>
      <c r="W120" s="12" t="n">
        <v>-410</v>
      </c>
      <c r="X120" s="12" t="n">
        <v>5192</v>
      </c>
    </row>
    <row r="121">
      <c r="A121" s="9" t="inlineStr">
        <is>
          <t>비지배지분</t>
        </is>
      </c>
      <c r="C121" s="12" t="n">
        <v>1</v>
      </c>
      <c r="D121" s="12" t="n">
        <v>0</v>
      </c>
      <c r="E121" s="12" t="n">
        <v>1</v>
      </c>
      <c r="F121" s="12" t="n">
        <v>1</v>
      </c>
      <c r="G121" s="12" t="n">
        <v>-1</v>
      </c>
      <c r="H121" s="12" t="n">
        <v>0</v>
      </c>
      <c r="I121" s="12" t="n">
        <v>0</v>
      </c>
      <c r="J121" s="12" t="n">
        <v>0</v>
      </c>
      <c r="K121" s="12" t="n">
        <v>0</v>
      </c>
      <c r="L121" s="12" t="n">
        <v>0</v>
      </c>
      <c r="M121" s="12" t="n">
        <v>0</v>
      </c>
      <c r="N121" s="12" t="n">
        <v>0</v>
      </c>
      <c r="T121" s="12" t="n">
        <v>1</v>
      </c>
      <c r="U121" s="12" t="n">
        <v>1</v>
      </c>
      <c r="V121" s="12" t="n">
        <v>1</v>
      </c>
      <c r="W121" s="12" t="n">
        <v>0</v>
      </c>
      <c r="X121" s="12" t="n">
        <v>0</v>
      </c>
    </row>
    <row r="123">
      <c r="A123" s="16" t="inlineStr">
        <is>
          <t>부문 · 전 항목</t>
        </is>
      </c>
      <c r="B123" s="42" t="inlineStr">
        <is>
          <t>부문 · 항목</t>
        </is>
      </c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</row>
    <row r="124">
      <c r="A124" s="5" t="inlineStr">
        <is>
          <t>항목</t>
        </is>
      </c>
      <c r="B124" s="5" t="inlineStr">
        <is>
          <t>참고</t>
        </is>
      </c>
      <c r="C124" s="5" t="inlineStr">
        <is>
          <t>2024.2Q</t>
        </is>
      </c>
      <c r="D124" s="5" t="inlineStr">
        <is>
          <t>2024.3Q</t>
        </is>
      </c>
      <c r="E124" s="5" t="inlineStr">
        <is>
          <t>2024.4Q</t>
        </is>
      </c>
      <c r="F124" s="5" t="inlineStr">
        <is>
          <t>2025.1Q</t>
        </is>
      </c>
      <c r="G124" s="5" t="inlineStr">
        <is>
          <t>2025.2Q</t>
        </is>
      </c>
      <c r="H124" s="5" t="inlineStr">
        <is>
          <t>2025.3Q</t>
        </is>
      </c>
      <c r="I124" s="5" t="inlineStr">
        <is>
          <t>2025.4Q</t>
        </is>
      </c>
      <c r="J124" s="5" t="inlineStr">
        <is>
          <t>2026.1Q</t>
        </is>
      </c>
      <c r="K124" s="5" t="inlineStr">
        <is>
          <t>2026.2Q</t>
        </is>
      </c>
      <c r="L124" s="5" t="inlineStr">
        <is>
          <t>2026.3Q</t>
        </is>
      </c>
      <c r="M124" s="5" t="inlineStr">
        <is>
          <t>2026.4Q</t>
        </is>
      </c>
      <c r="N124" s="5" t="inlineStr">
        <is>
          <t>2027.1Q</t>
        </is>
      </c>
      <c r="O124" s="5" t="inlineStr">
        <is>
          <t>2017</t>
        </is>
      </c>
      <c r="P124" s="5" t="inlineStr">
        <is>
          <t>2018</t>
        </is>
      </c>
      <c r="Q124" s="5" t="inlineStr">
        <is>
          <t>2019</t>
        </is>
      </c>
      <c r="R124" s="5" t="inlineStr">
        <is>
          <t>2020</t>
        </is>
      </c>
      <c r="S124" s="5" t="inlineStr">
        <is>
          <t>2021</t>
        </is>
      </c>
      <c r="T124" s="5" t="inlineStr">
        <is>
          <t>2022</t>
        </is>
      </c>
      <c r="U124" s="5" t="inlineStr">
        <is>
          <t>2023</t>
        </is>
      </c>
      <c r="V124" s="5" t="inlineStr">
        <is>
          <t>2024</t>
        </is>
      </c>
      <c r="W124" s="5" t="inlineStr">
        <is>
          <t>2025</t>
        </is>
      </c>
      <c r="X124" s="5" t="inlineStr">
        <is>
          <t>2026</t>
        </is>
      </c>
      <c r="Y124" s="5" t="inlineStr">
        <is>
          <t>2027(MW)</t>
        </is>
      </c>
      <c r="Z124" s="5" t="inlineStr">
        <is>
          <t>2028(MW)</t>
        </is>
      </c>
      <c r="AA124" s="5" t="inlineStr">
        <is>
          <t>2029(MW)</t>
        </is>
      </c>
      <c r="AB124" s="5" t="inlineStr">
        <is>
          <t>2030(MW)</t>
        </is>
      </c>
      <c r="AC124" s="5" t="inlineStr">
        <is>
          <t>2031(MW)</t>
        </is>
      </c>
    </row>
    <row r="125">
      <c r="A125" s="18" t="inlineStr">
        <is>
          <t>SanAceCompanyReportableSegmentMember · Revenue From External Customers</t>
        </is>
      </c>
      <c r="C125" s="20" t="n">
        <v>11136</v>
      </c>
      <c r="D125" s="20" t="n">
        <v>9325</v>
      </c>
      <c r="E125" s="20" t="n">
        <v>9556</v>
      </c>
      <c r="F125" s="20" t="n">
        <v>8847</v>
      </c>
      <c r="G125" s="20" t="n">
        <v>9231</v>
      </c>
      <c r="H125" s="20" t="n">
        <v>10166</v>
      </c>
      <c r="I125" s="20" t="n">
        <v>9818</v>
      </c>
      <c r="J125" s="20" t="n">
        <v>9727</v>
      </c>
      <c r="K125" s="20" t="n">
        <v>10577</v>
      </c>
      <c r="L125" s="20" t="n">
        <v>10032</v>
      </c>
      <c r="M125" s="20" t="n">
        <v>10490</v>
      </c>
      <c r="N125" s="20" t="n">
        <v>11638</v>
      </c>
      <c r="V125" s="20" t="n">
        <v>9556</v>
      </c>
      <c r="W125" s="20" t="n">
        <v>9818</v>
      </c>
      <c r="X125" s="20" t="n">
        <v>10490</v>
      </c>
    </row>
    <row r="126">
      <c r="A126" s="43" t="inlineStr">
        <is>
          <t>YoY</t>
        </is>
      </c>
      <c r="B126" s="3" t="inlineStr">
        <is>
          <t>전년 같은 분기·전년 대비</t>
        </is>
      </c>
      <c r="G126" s="15">
        <f>IF(OR(G125="",C125=""),"",IF(C125&lt;=0,"",IFERROR(G125/C125-1,"")))</f>
        <v/>
      </c>
      <c r="H126" s="15">
        <f>IF(OR(H125="",D125=""),"",IF(D125&lt;=0,"",IFERROR(H125/D125-1,"")))</f>
        <v/>
      </c>
      <c r="I126" s="15">
        <f>IF(OR(I125="",E125=""),"",IF(E125&lt;=0,"",IFERROR(I125/E125-1,"")))</f>
        <v/>
      </c>
      <c r="J126" s="15">
        <f>IF(OR(J125="",F125=""),"",IF(F125&lt;=0,"",IFERROR(J125/F125-1,"")))</f>
        <v/>
      </c>
      <c r="K126" s="15">
        <f>IF(OR(K125="",G125=""),"",IF(G125&lt;=0,"",IFERROR(K125/G125-1,"")))</f>
        <v/>
      </c>
      <c r="L126" s="15">
        <f>IF(OR(L125="",H125=""),"",IF(H125&lt;=0,"",IFERROR(L125/H125-1,"")))</f>
        <v/>
      </c>
      <c r="M126" s="15">
        <f>IF(OR(M125="",I125=""),"",IF(I125&lt;=0,"",IFERROR(M125/I125-1,"")))</f>
        <v/>
      </c>
      <c r="N126" s="15">
        <f>IF(OR(N125="",J125=""),"",IF(J125&lt;=0,"",IFERROR(N125/J125-1,"")))</f>
        <v/>
      </c>
      <c r="V126" s="15">
        <f>IF(OR(V125="",U125=""),"",IF(U125&lt;=0,"",IFERROR(V125/U125-1,"")))</f>
        <v/>
      </c>
      <c r="W126" s="15">
        <f>IF(OR(W125="",V125=""),"",IF(V125&lt;=0,"",IFERROR(W125/V125-1,"")))</f>
        <v/>
      </c>
      <c r="X126" s="15">
        <f>IF(OR(X125="",W125=""),"",IF(W125&lt;=0,"",IFERROR(X125/W125-1,"")))</f>
        <v/>
      </c>
    </row>
    <row r="127">
      <c r="A127" s="18" t="inlineStr">
        <is>
          <t>ElectronicsCompanyReportableSegmentMember · Revenue From External Customers</t>
        </is>
      </c>
      <c r="C127" s="20" t="n">
        <v>6140</v>
      </c>
      <c r="D127" s="20" t="n">
        <v>5988</v>
      </c>
      <c r="E127" s="20" t="n">
        <v>6286</v>
      </c>
      <c r="F127" s="20" t="n">
        <v>4955</v>
      </c>
      <c r="G127" s="20" t="n">
        <v>4977</v>
      </c>
      <c r="H127" s="20" t="n">
        <v>5248</v>
      </c>
      <c r="I127" s="20" t="n">
        <v>5969</v>
      </c>
      <c r="J127" s="20" t="n">
        <v>4418</v>
      </c>
      <c r="K127" s="20" t="n">
        <v>5882</v>
      </c>
      <c r="L127" s="20" t="n">
        <v>6326</v>
      </c>
      <c r="M127" s="20" t="n">
        <v>6623</v>
      </c>
      <c r="N127" s="20" t="n">
        <v>6318</v>
      </c>
      <c r="V127" s="20" t="n">
        <v>6286</v>
      </c>
      <c r="W127" s="20" t="n">
        <v>5969</v>
      </c>
      <c r="X127" s="20" t="n">
        <v>6623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IF(OR(G127="",C127=""),"",IF(C127&lt;=0,"",IFERROR(G127/C127-1,"")))</f>
        <v/>
      </c>
      <c r="H128" s="15">
        <f>IF(OR(H127="",D127=""),"",IF(D127&lt;=0,"",IFERROR(H127/D127-1,"")))</f>
        <v/>
      </c>
      <c r="I128" s="15">
        <f>IF(OR(I127="",E127=""),"",IF(E127&lt;=0,"",IFERROR(I127/E127-1,"")))</f>
        <v/>
      </c>
      <c r="J128" s="15">
        <f>IF(OR(J127="",F127=""),"",IF(F127&lt;=0,"",IFERROR(J127/F127-1,"")))</f>
        <v/>
      </c>
      <c r="K128" s="15">
        <f>IF(OR(K127="",G127=""),"",IF(G127&lt;=0,"",IFERROR(K127/G127-1,"")))</f>
        <v/>
      </c>
      <c r="L128" s="15">
        <f>IF(OR(L127="",H127=""),"",IF(H127&lt;=0,"",IFERROR(L127/H127-1,"")))</f>
        <v/>
      </c>
      <c r="M128" s="15">
        <f>IF(OR(M127="",I127=""),"",IF(I127&lt;=0,"",IFERROR(M127/I127-1,"")))</f>
        <v/>
      </c>
      <c r="N128" s="15">
        <f>IF(OR(N127="",J127=""),"",IF(J127&lt;=0,"",IFERROR(N127/J127-1,"")))</f>
        <v/>
      </c>
      <c r="V128" s="15">
        <f>IF(OR(V127="",U127=""),"",IF(U127&lt;=0,"",IFERROR(V127/U127-1,"")))</f>
        <v/>
      </c>
      <c r="W128" s="15">
        <f>IF(OR(W127="",V127=""),"",IF(V127&lt;=0,"",IFERROR(W127/V127-1,"")))</f>
        <v/>
      </c>
      <c r="X128" s="15">
        <f>IF(OR(X127="",W127=""),"",IF(W127&lt;=0,"",IFERROR(X127/W127-1,"")))</f>
        <v/>
      </c>
    </row>
    <row r="129">
      <c r="A129" s="18" t="inlineStr">
        <is>
          <t>MotionCompanyReportableSegmentMember · Revenue From External Customers</t>
        </is>
      </c>
      <c r="C129" s="20" t="n">
        <v>10789</v>
      </c>
      <c r="D129" s="20" t="n">
        <v>9292</v>
      </c>
      <c r="E129" s="20" t="n">
        <v>9060</v>
      </c>
      <c r="F129" s="20" t="n">
        <v>8083</v>
      </c>
      <c r="G129" s="20" t="n">
        <v>7877</v>
      </c>
      <c r="H129" s="20" t="n">
        <v>8409</v>
      </c>
      <c r="I129" s="20" t="n">
        <v>8602</v>
      </c>
      <c r="J129" s="20" t="n">
        <v>8702</v>
      </c>
      <c r="K129" s="20" t="n">
        <v>8885</v>
      </c>
      <c r="L129" s="20" t="n">
        <v>9644</v>
      </c>
      <c r="M129" s="20" t="n">
        <v>10312</v>
      </c>
      <c r="N129" s="20" t="n">
        <v>12727</v>
      </c>
      <c r="V129" s="20" t="n">
        <v>9060</v>
      </c>
      <c r="W129" s="20" t="n">
        <v>8602</v>
      </c>
      <c r="X129" s="20" t="n">
        <v>10312</v>
      </c>
    </row>
    <row r="130">
      <c r="A130" s="43" t="inlineStr">
        <is>
          <t>YoY</t>
        </is>
      </c>
      <c r="B130" s="3" t="inlineStr">
        <is>
          <t>전년 같은 분기·전년 대비</t>
        </is>
      </c>
      <c r="G130" s="15">
        <f>IF(OR(G129="",C129=""),"",IF(C129&lt;=0,"",IFERROR(G129/C129-1,"")))</f>
        <v/>
      </c>
      <c r="H130" s="15">
        <f>IF(OR(H129="",D129=""),"",IF(D129&lt;=0,"",IFERROR(H129/D129-1,"")))</f>
        <v/>
      </c>
      <c r="I130" s="15">
        <f>IF(OR(I129="",E129=""),"",IF(E129&lt;=0,"",IFERROR(I129/E129-1,"")))</f>
        <v/>
      </c>
      <c r="J130" s="15">
        <f>IF(OR(J129="",F129=""),"",IF(F129&lt;=0,"",IFERROR(J129/F129-1,"")))</f>
        <v/>
      </c>
      <c r="K130" s="15">
        <f>IF(OR(K129="",G129=""),"",IF(G129&lt;=0,"",IFERROR(K129/G129-1,"")))</f>
        <v/>
      </c>
      <c r="L130" s="15">
        <f>IF(OR(L129="",H129=""),"",IF(H129&lt;=0,"",IFERROR(L129/H129-1,"")))</f>
        <v/>
      </c>
      <c r="M130" s="15">
        <f>IF(OR(M129="",I129=""),"",IF(I129&lt;=0,"",IFERROR(M129/I129-1,"")))</f>
        <v/>
      </c>
      <c r="N130" s="15">
        <f>IF(OR(N129="",J129=""),"",IF(J129&lt;=0,"",IFERROR(N129/J129-1,"")))</f>
        <v/>
      </c>
      <c r="V130" s="15">
        <f>IF(OR(V129="",U129=""),"",IF(U129&lt;=0,"",IFERROR(V129/U129-1,"")))</f>
        <v/>
      </c>
      <c r="W130" s="15">
        <f>IF(OR(W129="",V129=""),"",IF(V129&lt;=0,"",IFERROR(W129/V129-1,"")))</f>
        <v/>
      </c>
      <c r="X130" s="15">
        <f>IF(OR(X129="",W129=""),"",IF(W129&lt;=0,"",IFERROR(X129/W129-1,"")))</f>
        <v/>
      </c>
    </row>
    <row r="131">
      <c r="A131" s="18" t="inlineStr">
        <is>
          <t>OtherReportableSegmentsMember · Revenue From External Customers</t>
        </is>
      </c>
      <c r="C131" s="20" t="n">
        <v>1528</v>
      </c>
      <c r="D131" s="20" t="n">
        <v>1297</v>
      </c>
      <c r="E131" s="20" t="n">
        <v>1446</v>
      </c>
      <c r="F131" s="20" t="n">
        <v>1272</v>
      </c>
      <c r="G131" s="20" t="n">
        <v>1282</v>
      </c>
      <c r="H131" s="20" t="n">
        <v>1366</v>
      </c>
      <c r="I131" s="20" t="n">
        <v>1743</v>
      </c>
      <c r="J131" s="20" t="n">
        <v>1303</v>
      </c>
      <c r="K131" s="20" t="n">
        <v>1289</v>
      </c>
      <c r="L131" s="20" t="n">
        <v>1318</v>
      </c>
      <c r="M131" s="20" t="n">
        <v>1815</v>
      </c>
      <c r="N131" s="20" t="n">
        <v>1553</v>
      </c>
      <c r="V131" s="20" t="n">
        <v>1446</v>
      </c>
      <c r="W131" s="20" t="n">
        <v>1743</v>
      </c>
      <c r="X131" s="20" t="n">
        <v>1815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IF(OR(G131="",C131=""),"",IF(C131&lt;=0,"",IFERROR(G131/C131-1,"")))</f>
        <v/>
      </c>
      <c r="H132" s="15">
        <f>IF(OR(H131="",D131=""),"",IF(D131&lt;=0,"",IFERROR(H131/D131-1,"")))</f>
        <v/>
      </c>
      <c r="I132" s="15">
        <f>IF(OR(I131="",E131=""),"",IF(E131&lt;=0,"",IFERROR(I131/E131-1,"")))</f>
        <v/>
      </c>
      <c r="J132" s="15">
        <f>IF(OR(J131="",F131=""),"",IF(F131&lt;=0,"",IFERROR(J131/F131-1,"")))</f>
        <v/>
      </c>
      <c r="K132" s="15">
        <f>IF(OR(K131="",G131=""),"",IF(G131&lt;=0,"",IFERROR(K131/G131-1,"")))</f>
        <v/>
      </c>
      <c r="L132" s="15">
        <f>IF(OR(L131="",H131=""),"",IF(H131&lt;=0,"",IFERROR(L131/H131-1,"")))</f>
        <v/>
      </c>
      <c r="M132" s="15">
        <f>IF(OR(M131="",I131=""),"",IF(I131&lt;=0,"",IFERROR(M131/I131-1,"")))</f>
        <v/>
      </c>
      <c r="N132" s="15">
        <f>IF(OR(N131="",J131=""),"",IF(J131&lt;=0,"",IFERROR(N131/J131-1,"")))</f>
        <v/>
      </c>
      <c r="V132" s="15">
        <f>IF(OR(V131="",U131=""),"",IF(U131&lt;=0,"",IFERROR(V131/U131-1,"")))</f>
        <v/>
      </c>
      <c r="W132" s="15">
        <f>IF(OR(W131="",V131=""),"",IF(V131&lt;=0,"",IFERROR(W131/V131-1,"")))</f>
        <v/>
      </c>
      <c r="X132" s="15">
        <f>IF(OR(X131="",W131=""),"",IF(W131&lt;=0,"",IFERROR(X131/W131-1,"")))</f>
        <v/>
      </c>
    </row>
    <row r="133">
      <c r="A133" s="18" t="inlineStr">
        <is>
          <t>합계 · Revenue From External Customers</t>
        </is>
      </c>
      <c r="C133" s="20" t="n">
        <v>29593</v>
      </c>
      <c r="D133" s="20" t="n">
        <v>25902</v>
      </c>
      <c r="E133" s="20" t="n">
        <v>26348</v>
      </c>
      <c r="F133" s="20" t="n">
        <v>23158</v>
      </c>
      <c r="G133" s="20" t="n">
        <v>23368</v>
      </c>
      <c r="H133" s="20" t="n">
        <v>25188</v>
      </c>
      <c r="I133" s="20" t="n">
        <v>26133</v>
      </c>
      <c r="J133" s="20" t="n">
        <v>24151</v>
      </c>
      <c r="K133" s="20" t="n">
        <v>26633</v>
      </c>
      <c r="L133" s="20" t="n">
        <v>27320</v>
      </c>
      <c r="M133" s="20" t="n">
        <v>29242</v>
      </c>
      <c r="N133" s="20" t="n">
        <v>32237</v>
      </c>
      <c r="V133" s="20" t="n">
        <v>26348</v>
      </c>
      <c r="W133" s="20" t="n">
        <v>26133</v>
      </c>
      <c r="X133" s="20" t="n">
        <v>29242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18" t="inlineStr">
        <is>
          <t>조정액 · Revenue From External Customers</t>
        </is>
      </c>
      <c r="C135" s="20" t="n">
        <v>0</v>
      </c>
      <c r="D135" s="20" t="n">
        <v>0</v>
      </c>
      <c r="E135" s="20" t="n">
        <v>0</v>
      </c>
      <c r="F135" s="20" t="n">
        <v>0</v>
      </c>
      <c r="G135" s="20" t="n">
        <v>0</v>
      </c>
      <c r="H135" s="20" t="n">
        <v>0</v>
      </c>
      <c r="I135" s="20" t="n">
        <v>0</v>
      </c>
      <c r="J135" s="20" t="n">
        <v>0</v>
      </c>
      <c r="K135" s="20" t="n">
        <v>0</v>
      </c>
      <c r="L135" s="20" t="n">
        <v>0</v>
      </c>
      <c r="M135" s="20" t="n">
        <v>0</v>
      </c>
      <c r="N135" s="20" t="n">
        <v>0</v>
      </c>
      <c r="V135" s="20" t="n">
        <v>0</v>
      </c>
      <c r="W135" s="20" t="n">
        <v>0</v>
      </c>
      <c r="X135" s="20" t="n">
        <v>0</v>
      </c>
    </row>
    <row r="136">
      <c r="A136" s="9" t="inlineStr">
        <is>
          <t>Revenue From External Customers</t>
        </is>
      </c>
      <c r="C136" s="12" t="n">
        <v>29593</v>
      </c>
      <c r="D136" s="12" t="n">
        <v>25902</v>
      </c>
      <c r="E136" s="12" t="n">
        <v>26348</v>
      </c>
      <c r="F136" s="12" t="n">
        <v>23158</v>
      </c>
      <c r="G136" s="12" t="n">
        <v>23368</v>
      </c>
      <c r="H136" s="12" t="n">
        <v>25188</v>
      </c>
      <c r="I136" s="12" t="n">
        <v>26133</v>
      </c>
      <c r="V136" s="12" t="n">
        <v>26348</v>
      </c>
      <c r="W136" s="12" t="n">
        <v>26133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IF(OR(G136="",C136=""),"",IF(C136&lt;=0,"",IFERROR(G136/C136-1,"")))</f>
        <v/>
      </c>
      <c r="H137" s="15">
        <f>IF(OR(H136="",D136=""),"",IF(D136&lt;=0,"",IFERROR(H136/D136-1,"")))</f>
        <v/>
      </c>
      <c r="I137" s="15">
        <f>IF(OR(I136="",E136=""),"",IF(E136&lt;=0,"",IFERROR(I136/E136-1,"")))</f>
        <v/>
      </c>
      <c r="V137" s="15">
        <f>IF(OR(V136="",U136=""),"",IF(U136&lt;=0,"",IFERROR(V136/U136-1,"")))</f>
        <v/>
      </c>
      <c r="W137" s="15">
        <f>IF(OR(W136="",V136=""),"",IF(V136&lt;=0,"",IFERROR(W136/V136-1,"")))</f>
        <v/>
      </c>
    </row>
    <row r="138">
      <c r="A138" s="18" t="inlineStr">
        <is>
          <t>EntityTotalMember · Revenue From External Customers</t>
        </is>
      </c>
      <c r="F138" s="20" t="n">
        <v>23158</v>
      </c>
      <c r="J138" s="20" t="n">
        <v>24151</v>
      </c>
      <c r="N138" s="20" t="n">
        <v>32237</v>
      </c>
    </row>
    <row r="139">
      <c r="A139" s="18" t="inlineStr">
        <is>
          <t>SanAceCompanyReportableSegmentMember · Intersegment Revenue</t>
        </is>
      </c>
      <c r="C139" s="20" t="n">
        <v>0</v>
      </c>
      <c r="D139" s="20" t="n">
        <v>0</v>
      </c>
      <c r="E139" s="20" t="n">
        <v>0</v>
      </c>
      <c r="F139" s="20" t="n">
        <v>0</v>
      </c>
      <c r="G139" s="20" t="n">
        <v>0</v>
      </c>
      <c r="H139" s="20" t="n">
        <v>0</v>
      </c>
      <c r="I139" s="20" t="n">
        <v>0</v>
      </c>
      <c r="J139" s="20" t="n">
        <v>0</v>
      </c>
      <c r="K139" s="20" t="n">
        <v>0</v>
      </c>
      <c r="L139" s="20" t="n">
        <v>0</v>
      </c>
      <c r="M139" s="20" t="n">
        <v>0</v>
      </c>
      <c r="N139" s="20" t="n">
        <v>0</v>
      </c>
      <c r="V139" s="20" t="n">
        <v>0</v>
      </c>
      <c r="W139" s="20" t="n">
        <v>0</v>
      </c>
      <c r="X139" s="20" t="n">
        <v>0</v>
      </c>
    </row>
    <row r="140">
      <c r="A140" s="18" t="inlineStr">
        <is>
          <t>ElectronicsCompanyReportableSegmentMember · Intersegment Revenue</t>
        </is>
      </c>
      <c r="C140" s="20" t="n">
        <v>0</v>
      </c>
      <c r="D140" s="20" t="n">
        <v>0</v>
      </c>
      <c r="E140" s="20" t="n">
        <v>0</v>
      </c>
      <c r="F140" s="20" t="n">
        <v>0</v>
      </c>
      <c r="G140" s="20" t="n">
        <v>0</v>
      </c>
      <c r="H140" s="20" t="n">
        <v>0</v>
      </c>
      <c r="I140" s="20" t="n">
        <v>0</v>
      </c>
      <c r="J140" s="20" t="n">
        <v>0</v>
      </c>
      <c r="K140" s="20" t="n">
        <v>0</v>
      </c>
      <c r="L140" s="20" t="n">
        <v>0</v>
      </c>
      <c r="M140" s="20" t="n">
        <v>0</v>
      </c>
      <c r="N140" s="20" t="n">
        <v>0</v>
      </c>
      <c r="V140" s="20" t="n">
        <v>0</v>
      </c>
      <c r="W140" s="20" t="n">
        <v>0</v>
      </c>
      <c r="X140" s="20" t="n">
        <v>0</v>
      </c>
    </row>
    <row r="141">
      <c r="A141" s="18" t="inlineStr">
        <is>
          <t>MotionCompanyReportableSegmentMember · Intersegment Revenue</t>
        </is>
      </c>
      <c r="C141" s="20" t="n">
        <v>0</v>
      </c>
      <c r="D141" s="20" t="n">
        <v>0</v>
      </c>
      <c r="E141" s="20" t="n">
        <v>0</v>
      </c>
      <c r="F141" s="20" t="n">
        <v>0</v>
      </c>
      <c r="G141" s="20" t="n">
        <v>0</v>
      </c>
      <c r="H141" s="20" t="n">
        <v>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0</v>
      </c>
      <c r="V141" s="20" t="n">
        <v>0</v>
      </c>
      <c r="W141" s="20" t="n">
        <v>0</v>
      </c>
      <c r="X141" s="20" t="n">
        <v>0</v>
      </c>
    </row>
    <row r="142">
      <c r="A142" s="18" t="inlineStr">
        <is>
          <t>OtherReportableSegmentsMember · Intersegment Revenue</t>
        </is>
      </c>
      <c r="C142" s="20" t="n">
        <v>621</v>
      </c>
      <c r="D142" s="20" t="n">
        <v>553</v>
      </c>
      <c r="E142" s="20" t="n">
        <v>459</v>
      </c>
      <c r="F142" s="20" t="n">
        <v>465</v>
      </c>
      <c r="G142" s="20" t="n">
        <v>360</v>
      </c>
      <c r="H142" s="20" t="n">
        <v>524</v>
      </c>
      <c r="I142" s="20" t="n">
        <v>519</v>
      </c>
      <c r="J142" s="20" t="n">
        <v>522</v>
      </c>
      <c r="K142" s="20" t="n">
        <v>692</v>
      </c>
      <c r="L142" s="20" t="n">
        <v>648</v>
      </c>
      <c r="M142" s="20" t="n">
        <v>811</v>
      </c>
      <c r="N142" s="20" t="n">
        <v>733</v>
      </c>
      <c r="V142" s="20" t="n">
        <v>459</v>
      </c>
      <c r="W142" s="20" t="n">
        <v>519</v>
      </c>
      <c r="X142" s="20" t="n">
        <v>811</v>
      </c>
    </row>
    <row r="143">
      <c r="A143" s="18" t="inlineStr">
        <is>
          <t>합계 · Intersegment Revenue</t>
        </is>
      </c>
      <c r="C143" s="20" t="n">
        <v>621</v>
      </c>
      <c r="D143" s="20" t="n">
        <v>553</v>
      </c>
      <c r="E143" s="20" t="n">
        <v>459</v>
      </c>
      <c r="F143" s="20" t="n">
        <v>465</v>
      </c>
      <c r="G143" s="20" t="n">
        <v>360</v>
      </c>
      <c r="H143" s="20" t="n">
        <v>524</v>
      </c>
      <c r="I143" s="20" t="n">
        <v>519</v>
      </c>
      <c r="J143" s="20" t="n">
        <v>522</v>
      </c>
      <c r="K143" s="20" t="n">
        <v>692</v>
      </c>
      <c r="L143" s="20" t="n">
        <v>648</v>
      </c>
      <c r="M143" s="20" t="n">
        <v>811</v>
      </c>
      <c r="N143" s="20" t="n">
        <v>733</v>
      </c>
      <c r="V143" s="20" t="n">
        <v>459</v>
      </c>
      <c r="W143" s="20" t="n">
        <v>519</v>
      </c>
      <c r="X143" s="20" t="n">
        <v>811</v>
      </c>
    </row>
    <row r="144">
      <c r="A144" s="18" t="inlineStr">
        <is>
          <t>조정액 · Intersegment Revenue</t>
        </is>
      </c>
      <c r="C144" s="20" t="n">
        <v>-621</v>
      </c>
      <c r="D144" s="20" t="n">
        <v>-553</v>
      </c>
      <c r="E144" s="20" t="n">
        <v>-459</v>
      </c>
      <c r="F144" s="20" t="n">
        <v>-465</v>
      </c>
      <c r="G144" s="20" t="n">
        <v>-360</v>
      </c>
      <c r="H144" s="20" t="n">
        <v>-524</v>
      </c>
      <c r="I144" s="20" t="n">
        <v>-519</v>
      </c>
      <c r="J144" s="20" t="n">
        <v>-522</v>
      </c>
      <c r="K144" s="20" t="n">
        <v>-692</v>
      </c>
      <c r="L144" s="20" t="n">
        <v>-648</v>
      </c>
      <c r="M144" s="20" t="n">
        <v>-811</v>
      </c>
      <c r="N144" s="20" t="n">
        <v>-733</v>
      </c>
      <c r="V144" s="20" t="n">
        <v>-459</v>
      </c>
      <c r="W144" s="20" t="n">
        <v>-519</v>
      </c>
      <c r="X144" s="20" t="n">
        <v>-811</v>
      </c>
    </row>
    <row r="145">
      <c r="A145" s="18" t="inlineStr">
        <is>
          <t>Intersegment Revenue</t>
        </is>
      </c>
      <c r="C145" s="20" t="n">
        <v>0</v>
      </c>
      <c r="D145" s="20" t="n">
        <v>0</v>
      </c>
      <c r="E145" s="20" t="n">
        <v>0</v>
      </c>
      <c r="F145" s="20" t="n">
        <v>0</v>
      </c>
      <c r="G145" s="20" t="n">
        <v>0</v>
      </c>
      <c r="H145" s="20" t="n">
        <v>0</v>
      </c>
      <c r="I145" s="20" t="n">
        <v>0</v>
      </c>
      <c r="V145" s="20" t="n">
        <v>0</v>
      </c>
      <c r="W145" s="20" t="n">
        <v>0</v>
      </c>
    </row>
    <row r="146">
      <c r="A146" s="18" t="inlineStr">
        <is>
          <t>EntityTotalMember · Intersegment Revenue</t>
        </is>
      </c>
      <c r="F146" s="20" t="n">
        <v>0</v>
      </c>
      <c r="J146" s="20" t="n">
        <v>0</v>
      </c>
      <c r="N146" s="20" t="n">
        <v>0</v>
      </c>
    </row>
    <row r="147">
      <c r="A147" s="18" t="inlineStr">
        <is>
          <t>SanAceCompanyReportableSegmentMember · 계</t>
        </is>
      </c>
      <c r="C147" s="20" t="n">
        <v>11136</v>
      </c>
      <c r="D147" s="20" t="n">
        <v>9325</v>
      </c>
      <c r="E147" s="20" t="n">
        <v>9556</v>
      </c>
      <c r="F147" s="20" t="n">
        <v>8847</v>
      </c>
      <c r="G147" s="20" t="n">
        <v>9231</v>
      </c>
      <c r="H147" s="20" t="n">
        <v>10166</v>
      </c>
      <c r="I147" s="20" t="n">
        <v>9818</v>
      </c>
      <c r="J147" s="20" t="n">
        <v>9727</v>
      </c>
      <c r="K147" s="20" t="n">
        <v>10577</v>
      </c>
      <c r="L147" s="20" t="n">
        <v>10032</v>
      </c>
      <c r="M147" s="20" t="n">
        <v>10490</v>
      </c>
      <c r="N147" s="20" t="n">
        <v>11638</v>
      </c>
      <c r="V147" s="20" t="n">
        <v>9556</v>
      </c>
      <c r="W147" s="20" t="n">
        <v>9818</v>
      </c>
      <c r="X147" s="20" t="n">
        <v>10490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M148" s="15">
        <f>IF(OR(M147="",I147=""),"",IF(I147&lt;=0,"",IFERROR(M147/I147-1,"")))</f>
        <v/>
      </c>
      <c r="N148" s="15">
        <f>IF(OR(N147="",J147=""),"",IF(J147&lt;=0,"",IFERROR(N147/J147-1,"")))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49">
      <c r="A149" s="18" t="inlineStr">
        <is>
          <t>ElectronicsCompanyReportableSegmentMember · 계</t>
        </is>
      </c>
      <c r="C149" s="20" t="n">
        <v>6140</v>
      </c>
      <c r="D149" s="20" t="n">
        <v>5988</v>
      </c>
      <c r="E149" s="20" t="n">
        <v>6286</v>
      </c>
      <c r="F149" s="20" t="n">
        <v>4955</v>
      </c>
      <c r="G149" s="20" t="n">
        <v>4977</v>
      </c>
      <c r="H149" s="20" t="n">
        <v>5248</v>
      </c>
      <c r="I149" s="20" t="n">
        <v>5969</v>
      </c>
      <c r="J149" s="20" t="n">
        <v>4418</v>
      </c>
      <c r="K149" s="20" t="n">
        <v>5882</v>
      </c>
      <c r="L149" s="20" t="n">
        <v>6326</v>
      </c>
      <c r="M149" s="20" t="n">
        <v>6623</v>
      </c>
      <c r="N149" s="20" t="n">
        <v>6318</v>
      </c>
      <c r="V149" s="20" t="n">
        <v>6286</v>
      </c>
      <c r="W149" s="20" t="n">
        <v>5969</v>
      </c>
      <c r="X149" s="20" t="n">
        <v>6623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MotionCompanyReportableSegmentMember · 계</t>
        </is>
      </c>
      <c r="C151" s="20" t="n">
        <v>10789</v>
      </c>
      <c r="D151" s="20" t="n">
        <v>9292</v>
      </c>
      <c r="E151" s="20" t="n">
        <v>9060</v>
      </c>
      <c r="F151" s="20" t="n">
        <v>8083</v>
      </c>
      <c r="G151" s="20" t="n">
        <v>7877</v>
      </c>
      <c r="H151" s="20" t="n">
        <v>8409</v>
      </c>
      <c r="I151" s="20" t="n">
        <v>8602</v>
      </c>
      <c r="J151" s="20" t="n">
        <v>8702</v>
      </c>
      <c r="K151" s="20" t="n">
        <v>8885</v>
      </c>
      <c r="L151" s="20" t="n">
        <v>9644</v>
      </c>
      <c r="M151" s="20" t="n">
        <v>10312</v>
      </c>
      <c r="N151" s="20" t="n">
        <v>12727</v>
      </c>
      <c r="V151" s="20" t="n">
        <v>9060</v>
      </c>
      <c r="W151" s="20" t="n">
        <v>8602</v>
      </c>
      <c r="X151" s="20" t="n">
        <v>10312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OtherReportableSegmentsMember · 계</t>
        </is>
      </c>
      <c r="C153" s="20" t="n">
        <v>2150</v>
      </c>
      <c r="D153" s="20" t="n">
        <v>1850</v>
      </c>
      <c r="E153" s="20" t="n">
        <v>1904</v>
      </c>
      <c r="F153" s="20" t="n">
        <v>1737</v>
      </c>
      <c r="G153" s="20" t="n">
        <v>1643</v>
      </c>
      <c r="H153" s="20" t="n">
        <v>1889</v>
      </c>
      <c r="I153" s="20" t="n">
        <v>2263</v>
      </c>
      <c r="J153" s="20" t="n">
        <v>1826</v>
      </c>
      <c r="K153" s="20" t="n">
        <v>1980</v>
      </c>
      <c r="L153" s="20" t="n">
        <v>1966</v>
      </c>
      <c r="M153" s="20" t="n">
        <v>2626</v>
      </c>
      <c r="N153" s="20" t="n">
        <v>2286</v>
      </c>
      <c r="V153" s="20" t="n">
        <v>1904</v>
      </c>
      <c r="W153" s="20" t="n">
        <v>2263</v>
      </c>
      <c r="X153" s="20" t="n">
        <v>2626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합계 · 계</t>
        </is>
      </c>
      <c r="C155" s="20" t="n">
        <v>30214</v>
      </c>
      <c r="D155" s="20" t="n">
        <v>26455</v>
      </c>
      <c r="E155" s="20" t="n">
        <v>26807</v>
      </c>
      <c r="F155" s="20" t="n">
        <v>23623</v>
      </c>
      <c r="G155" s="20" t="n">
        <v>23729</v>
      </c>
      <c r="H155" s="20" t="n">
        <v>25712</v>
      </c>
      <c r="I155" s="20" t="n">
        <v>26651</v>
      </c>
      <c r="J155" s="20" t="n">
        <v>24674</v>
      </c>
      <c r="K155" s="20" t="n">
        <v>27325</v>
      </c>
      <c r="L155" s="20" t="n">
        <v>27967</v>
      </c>
      <c r="M155" s="20" t="n">
        <v>30053</v>
      </c>
      <c r="N155" s="20" t="n">
        <v>32970</v>
      </c>
      <c r="V155" s="20" t="n">
        <v>26807</v>
      </c>
      <c r="W155" s="20" t="n">
        <v>26651</v>
      </c>
      <c r="X155" s="20" t="n">
        <v>30053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조정액 · 계</t>
        </is>
      </c>
      <c r="C157" s="20" t="n">
        <v>-621</v>
      </c>
      <c r="D157" s="20" t="n">
        <v>-553</v>
      </c>
      <c r="E157" s="20" t="n">
        <v>-459</v>
      </c>
      <c r="F157" s="20" t="n">
        <v>-465</v>
      </c>
      <c r="G157" s="20" t="n">
        <v>-360</v>
      </c>
      <c r="H157" s="20" t="n">
        <v>-524</v>
      </c>
      <c r="I157" s="20" t="n">
        <v>-519</v>
      </c>
      <c r="J157" s="20" t="n">
        <v>-522</v>
      </c>
      <c r="K157" s="20" t="n">
        <v>-692</v>
      </c>
      <c r="L157" s="20" t="n">
        <v>-648</v>
      </c>
      <c r="M157" s="20" t="n">
        <v>-811</v>
      </c>
      <c r="N157" s="20" t="n">
        <v>-733</v>
      </c>
      <c r="V157" s="20" t="n">
        <v>-459</v>
      </c>
      <c r="W157" s="20" t="n">
        <v>-519</v>
      </c>
      <c r="X157" s="20" t="n">
        <v>-811</v>
      </c>
    </row>
    <row r="158">
      <c r="A158" s="9" t="inlineStr">
        <is>
          <t>계</t>
        </is>
      </c>
      <c r="C158" s="12" t="n">
        <v>29593</v>
      </c>
      <c r="D158" s="12" t="n">
        <v>25902</v>
      </c>
      <c r="E158" s="12" t="n">
        <v>26348</v>
      </c>
      <c r="F158" s="12" t="n">
        <v>23158</v>
      </c>
      <c r="G158" s="12" t="n">
        <v>23368</v>
      </c>
      <c r="H158" s="12" t="n">
        <v>25188</v>
      </c>
      <c r="I158" s="12" t="n">
        <v>26133</v>
      </c>
      <c r="V158" s="12" t="n">
        <v>26348</v>
      </c>
      <c r="W158" s="12" t="n">
        <v>26133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</row>
    <row r="160">
      <c r="A160" s="18" t="inlineStr">
        <is>
          <t>EntityTotalMember · 계</t>
        </is>
      </c>
      <c r="F160" s="20" t="n">
        <v>23158</v>
      </c>
      <c r="J160" s="20" t="n">
        <v>24151</v>
      </c>
      <c r="N160" s="20" t="n">
        <v>32237</v>
      </c>
    </row>
    <row r="161">
      <c r="A161" s="18" t="inlineStr">
        <is>
          <t>SanAceCompanyReportableSegmentMember · Operating Profit Loss</t>
        </is>
      </c>
      <c r="C161" s="20" t="n">
        <v>2275</v>
      </c>
      <c r="D161" s="20" t="n">
        <v>2040</v>
      </c>
      <c r="E161" s="20" t="n">
        <v>1220</v>
      </c>
      <c r="F161" s="20" t="n">
        <v>1286</v>
      </c>
      <c r="G161" s="20" t="n">
        <v>1651</v>
      </c>
      <c r="H161" s="20" t="n">
        <v>1697</v>
      </c>
      <c r="I161" s="20" t="n">
        <v>2222</v>
      </c>
      <c r="J161" s="20" t="n">
        <v>1549</v>
      </c>
      <c r="K161" s="20" t="n">
        <v>2296</v>
      </c>
      <c r="L161" s="20" t="n">
        <v>1876</v>
      </c>
      <c r="M161" s="20" t="n">
        <v>2474</v>
      </c>
      <c r="N161" s="20" t="n">
        <v>2741</v>
      </c>
      <c r="V161" s="20" t="n">
        <v>1220</v>
      </c>
      <c r="W161" s="20" t="n">
        <v>2222</v>
      </c>
      <c r="X161" s="20" t="n">
        <v>2474</v>
      </c>
    </row>
    <row r="162">
      <c r="A162" s="43" t="inlineStr">
        <is>
          <t>OPM</t>
        </is>
      </c>
      <c r="B162" s="3" t="inlineStr">
        <is>
          <t>영업이익 ÷ 매출</t>
        </is>
      </c>
      <c r="C162" s="15">
        <f>IF(OR(C161="",C147=""),"",IF(C147&lt;=0,"",IFERROR(C161/C147,"")))</f>
        <v/>
      </c>
      <c r="D162" s="15">
        <f>IF(OR(D161="",D147=""),"",IF(D147&lt;=0,"",IFERROR(D161/D147,"")))</f>
        <v/>
      </c>
      <c r="E162" s="15">
        <f>IF(OR(E161="",E147=""),"",IF(E147&lt;=0,"",IFERROR(E161/E147,"")))</f>
        <v/>
      </c>
      <c r="F162" s="15">
        <f>IF(OR(F161="",F147=""),"",IF(F147&lt;=0,"",IFERROR(F161/F147,"")))</f>
        <v/>
      </c>
      <c r="G162" s="15">
        <f>IF(OR(G161="",G147=""),"",IF(G147&lt;=0,"",IFERROR(G161/G147,"")))</f>
        <v/>
      </c>
      <c r="H162" s="15">
        <f>IF(OR(H161="",H147=""),"",IF(H147&lt;=0,"",IFERROR(H161/H147,"")))</f>
        <v/>
      </c>
      <c r="I162" s="15">
        <f>IF(OR(I161="",I147=""),"",IF(I147&lt;=0,"",IFERROR(I161/I147,"")))</f>
        <v/>
      </c>
      <c r="J162" s="15">
        <f>IF(OR(J161="",J147=""),"",IF(J147&lt;=0,"",IFERROR(J161/J147,"")))</f>
        <v/>
      </c>
      <c r="K162" s="15">
        <f>IF(OR(K161="",K147=""),"",IF(K147&lt;=0,"",IFERROR(K161/K147,"")))</f>
        <v/>
      </c>
      <c r="L162" s="15">
        <f>IF(OR(L161="",L147=""),"",IF(L147&lt;=0,"",IFERROR(L161/L147,"")))</f>
        <v/>
      </c>
      <c r="M162" s="15">
        <f>IF(OR(M161="",M147=""),"",IF(M147&lt;=0,"",IFERROR(M161/M147,"")))</f>
        <v/>
      </c>
      <c r="N162" s="15">
        <f>IF(OR(N161="",N147=""),"",IF(N147&lt;=0,"",IFERROR(N161/N147,"")))</f>
        <v/>
      </c>
      <c r="V162" s="15">
        <f>IF(OR(V161="",V147=""),"",IF(V147&lt;=0,"",IFERROR(V161/V147,"")))</f>
        <v/>
      </c>
      <c r="W162" s="15">
        <f>IF(OR(W161="",W147=""),"",IF(W147&lt;=0,"",IFERROR(W161/W147,"")))</f>
        <v/>
      </c>
      <c r="X162" s="15">
        <f>IF(OR(X161="",X147=""),"",IF(X147&lt;=0,"",IFERROR(X161/X147,"")))</f>
        <v/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IF(OR(G161="",C161=""),"",IF(C161&lt;=0,"",IFERROR(G161/C161-1,"")))</f>
        <v/>
      </c>
      <c r="H163" s="15">
        <f>IF(OR(H161="",D161=""),"",IF(D161&lt;=0,"",IFERROR(H161/D161-1,"")))</f>
        <v/>
      </c>
      <c r="I163" s="15">
        <f>IF(OR(I161="",E161=""),"",IF(E161&lt;=0,"",IFERROR(I161/E161-1,"")))</f>
        <v/>
      </c>
      <c r="J163" s="15">
        <f>IF(OR(J161="",F161=""),"",IF(F161&lt;=0,"",IFERROR(J161/F161-1,"")))</f>
        <v/>
      </c>
      <c r="K163" s="15">
        <f>IF(OR(K161="",G161=""),"",IF(G161&lt;=0,"",IFERROR(K161/G161-1,"")))</f>
        <v/>
      </c>
      <c r="L163" s="15">
        <f>IF(OR(L161="",H161=""),"",IF(H161&lt;=0,"",IFERROR(L161/H161-1,"")))</f>
        <v/>
      </c>
      <c r="M163" s="15">
        <f>IF(OR(M161="",I161=""),"",IF(I161&lt;=0,"",IFERROR(M161/I161-1,"")))</f>
        <v/>
      </c>
      <c r="N163" s="15">
        <f>IF(OR(N161="",J161=""),"",IF(J161&lt;=0,"",IFERROR(N161/J161-1,"")))</f>
        <v/>
      </c>
      <c r="V163" s="15">
        <f>IF(OR(V161="",U161=""),"",IF(U161&lt;=0,"",IFERROR(V161/U161-1,"")))</f>
        <v/>
      </c>
      <c r="W163" s="15">
        <f>IF(OR(W161="",V161=""),"",IF(V161&lt;=0,"",IFERROR(W161/V161-1,"")))</f>
        <v/>
      </c>
      <c r="X163" s="15">
        <f>IF(OR(X161="",W161=""),"",IF(W161&lt;=0,"",IFERROR(X161/W161-1,"")))</f>
        <v/>
      </c>
    </row>
    <row r="164">
      <c r="A164" s="18" t="inlineStr">
        <is>
          <t>ElectronicsCompanyReportableSegmentMember · Operating Profit Loss</t>
        </is>
      </c>
      <c r="C164" s="20" t="n">
        <v>363</v>
      </c>
      <c r="D164" s="20" t="n">
        <v>508</v>
      </c>
      <c r="E164" s="20" t="n">
        <v>346</v>
      </c>
      <c r="F164" s="20" t="n">
        <v>139</v>
      </c>
      <c r="G164" s="20" t="n">
        <v>-36</v>
      </c>
      <c r="H164" s="20" t="n">
        <v>-27</v>
      </c>
      <c r="I164" s="20" t="n">
        <v>407</v>
      </c>
      <c r="J164" s="20" t="n">
        <v>-250</v>
      </c>
      <c r="K164" s="20" t="n">
        <v>371</v>
      </c>
      <c r="L164" s="20" t="n">
        <v>415</v>
      </c>
      <c r="M164" s="20" t="n">
        <v>606</v>
      </c>
      <c r="N164" s="20" t="n">
        <v>619</v>
      </c>
      <c r="V164" s="20" t="n">
        <v>346</v>
      </c>
      <c r="W164" s="20" t="n">
        <v>407</v>
      </c>
      <c r="X164" s="20" t="n">
        <v>606</v>
      </c>
    </row>
    <row r="165">
      <c r="A165" s="43" t="inlineStr">
        <is>
          <t>OPM</t>
        </is>
      </c>
      <c r="B165" s="3" t="inlineStr">
        <is>
          <t>영업이익 ÷ 매출</t>
        </is>
      </c>
      <c r="C165" s="15">
        <f>IF(OR(C164="",C149=""),"",IF(C149&lt;=0,"",IFERROR(C164/C149,"")))</f>
        <v/>
      </c>
      <c r="D165" s="15">
        <f>IF(OR(D164="",D149=""),"",IF(D149&lt;=0,"",IFERROR(D164/D149,"")))</f>
        <v/>
      </c>
      <c r="E165" s="15">
        <f>IF(OR(E164="",E149=""),"",IF(E149&lt;=0,"",IFERROR(E164/E149,"")))</f>
        <v/>
      </c>
      <c r="F165" s="15">
        <f>IF(OR(F164="",F149=""),"",IF(F149&lt;=0,"",IFERROR(F164/F149,"")))</f>
        <v/>
      </c>
      <c r="G165" s="15">
        <f>IF(OR(G164="",G149=""),"",IF(G149&lt;=0,"",IFERROR(G164/G149,"")))</f>
        <v/>
      </c>
      <c r="H165" s="15">
        <f>IF(OR(H164="",H149=""),"",IF(H149&lt;=0,"",IFERROR(H164/H149,"")))</f>
        <v/>
      </c>
      <c r="I165" s="15">
        <f>IF(OR(I164="",I149=""),"",IF(I149&lt;=0,"",IFERROR(I164/I149,"")))</f>
        <v/>
      </c>
      <c r="J165" s="15">
        <f>IF(OR(J164="",J149=""),"",IF(J149&lt;=0,"",IFERROR(J164/J149,"")))</f>
        <v/>
      </c>
      <c r="K165" s="15">
        <f>IF(OR(K164="",K149=""),"",IF(K149&lt;=0,"",IFERROR(K164/K149,"")))</f>
        <v/>
      </c>
      <c r="L165" s="15">
        <f>IF(OR(L164="",L149=""),"",IF(L149&lt;=0,"",IFERROR(L164/L149,"")))</f>
        <v/>
      </c>
      <c r="M165" s="15">
        <f>IF(OR(M164="",M149=""),"",IF(M149&lt;=0,"",IFERROR(M164/M149,"")))</f>
        <v/>
      </c>
      <c r="N165" s="15">
        <f>IF(OR(N164="",N149=""),"",IF(N149&lt;=0,"",IFERROR(N164/N149,"")))</f>
        <v/>
      </c>
      <c r="V165" s="15">
        <f>IF(OR(V164="",V149=""),"",IF(V149&lt;=0,"",IFERROR(V164/V149,"")))</f>
        <v/>
      </c>
      <c r="W165" s="15">
        <f>IF(OR(W164="",W149=""),"",IF(W149&lt;=0,"",IFERROR(W164/W149,"")))</f>
        <v/>
      </c>
      <c r="X165" s="15">
        <f>IF(OR(X164="",X149=""),"",IF(X149&lt;=0,"",IFERROR(X164/X149,"")))</f>
        <v/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IF(OR(G164="",C164=""),"",IF(C164&lt;=0,"",IFERROR(G164/C164-1,"")))</f>
        <v/>
      </c>
      <c r="H166" s="15">
        <f>IF(OR(H164="",D164=""),"",IF(D164&lt;=0,"",IFERROR(H164/D164-1,"")))</f>
        <v/>
      </c>
      <c r="I166" s="15">
        <f>IF(OR(I164="",E164=""),"",IF(E164&lt;=0,"",IFERROR(I164/E164-1,"")))</f>
        <v/>
      </c>
      <c r="J166" s="15">
        <f>IF(OR(J164="",F164=""),"",IF(F164&lt;=0,"",IFERROR(J164/F164-1,"")))</f>
        <v/>
      </c>
      <c r="K166" s="15">
        <f>IF(OR(K164="",G164=""),"",IF(G164&lt;=0,"",IFERROR(K164/G164-1,"")))</f>
        <v/>
      </c>
      <c r="L166" s="15">
        <f>IF(OR(L164="",H164=""),"",IF(H164&lt;=0,"",IFERROR(L164/H164-1,"")))</f>
        <v/>
      </c>
      <c r="M166" s="15">
        <f>IF(OR(M164="",I164=""),"",IF(I164&lt;=0,"",IFERROR(M164/I164-1,"")))</f>
        <v/>
      </c>
      <c r="N166" s="15">
        <f>IF(OR(N164="",J164=""),"",IF(J164&lt;=0,"",IFERROR(N164/J164-1,"")))</f>
        <v/>
      </c>
      <c r="V166" s="15">
        <f>IF(OR(V164="",U164=""),"",IF(U164&lt;=0,"",IFERROR(V164/U164-1,"")))</f>
        <v/>
      </c>
      <c r="W166" s="15">
        <f>IF(OR(W164="",V164=""),"",IF(V164&lt;=0,"",IFERROR(W164/V164-1,"")))</f>
        <v/>
      </c>
      <c r="X166" s="15">
        <f>IF(OR(X164="",W164=""),"",IF(W164&lt;=0,"",IFERROR(X164/W164-1,"")))</f>
        <v/>
      </c>
    </row>
    <row r="167">
      <c r="A167" s="18" t="inlineStr">
        <is>
          <t>MotionCompanyReportableSegmentMember · Operating Profit Loss</t>
        </is>
      </c>
      <c r="C167" s="20" t="n">
        <v>453</v>
      </c>
      <c r="D167" s="20" t="n">
        <v>186</v>
      </c>
      <c r="E167" s="20" t="n">
        <v>562</v>
      </c>
      <c r="F167" s="20" t="n">
        <v>47</v>
      </c>
      <c r="G167" s="20" t="n">
        <v>-58</v>
      </c>
      <c r="H167" s="20" t="n">
        <v>118</v>
      </c>
      <c r="I167" s="20" t="n">
        <v>184</v>
      </c>
      <c r="J167" s="20" t="n">
        <v>417</v>
      </c>
      <c r="K167" s="20" t="n">
        <v>328</v>
      </c>
      <c r="L167" s="20" t="n">
        <v>332</v>
      </c>
      <c r="M167" s="20" t="n">
        <v>148</v>
      </c>
      <c r="N167" s="20" t="n">
        <v>768</v>
      </c>
      <c r="V167" s="20" t="n">
        <v>562</v>
      </c>
      <c r="W167" s="20" t="n">
        <v>184</v>
      </c>
      <c r="X167" s="20" t="n">
        <v>148</v>
      </c>
    </row>
    <row r="168">
      <c r="A168" s="43" t="inlineStr">
        <is>
          <t>OPM</t>
        </is>
      </c>
      <c r="B168" s="3" t="inlineStr">
        <is>
          <t>영업이익 ÷ 매출</t>
        </is>
      </c>
      <c r="C168" s="15">
        <f>IF(OR(C167="",C151=""),"",IF(C151&lt;=0,"",IFERROR(C167/C151,"")))</f>
        <v/>
      </c>
      <c r="D168" s="15">
        <f>IF(OR(D167="",D151=""),"",IF(D151&lt;=0,"",IFERROR(D167/D151,"")))</f>
        <v/>
      </c>
      <c r="E168" s="15">
        <f>IF(OR(E167="",E151=""),"",IF(E151&lt;=0,"",IFERROR(E167/E151,"")))</f>
        <v/>
      </c>
      <c r="F168" s="15">
        <f>IF(OR(F167="",F151=""),"",IF(F151&lt;=0,"",IFERROR(F167/F151,"")))</f>
        <v/>
      </c>
      <c r="G168" s="15">
        <f>IF(OR(G167="",G151=""),"",IF(G151&lt;=0,"",IFERROR(G167/G151,"")))</f>
        <v/>
      </c>
      <c r="H168" s="15">
        <f>IF(OR(H167="",H151=""),"",IF(H151&lt;=0,"",IFERROR(H167/H151,"")))</f>
        <v/>
      </c>
      <c r="I168" s="15">
        <f>IF(OR(I167="",I151=""),"",IF(I151&lt;=0,"",IFERROR(I167/I151,"")))</f>
        <v/>
      </c>
      <c r="J168" s="15">
        <f>IF(OR(J167="",J151=""),"",IF(J151&lt;=0,"",IFERROR(J167/J151,"")))</f>
        <v/>
      </c>
      <c r="K168" s="15">
        <f>IF(OR(K167="",K151=""),"",IF(K151&lt;=0,"",IFERROR(K167/K151,"")))</f>
        <v/>
      </c>
      <c r="L168" s="15">
        <f>IF(OR(L167="",L151=""),"",IF(L151&lt;=0,"",IFERROR(L167/L151,"")))</f>
        <v/>
      </c>
      <c r="M168" s="15">
        <f>IF(OR(M167="",M151=""),"",IF(M151&lt;=0,"",IFERROR(M167/M151,"")))</f>
        <v/>
      </c>
      <c r="N168" s="15">
        <f>IF(OR(N167="",N151=""),"",IF(N151&lt;=0,"",IFERROR(N167/N151,"")))</f>
        <v/>
      </c>
      <c r="V168" s="15">
        <f>IF(OR(V167="",V151=""),"",IF(V151&lt;=0,"",IFERROR(V167/V151,"")))</f>
        <v/>
      </c>
      <c r="W168" s="15">
        <f>IF(OR(W167="",W151=""),"",IF(W151&lt;=0,"",IFERROR(W167/W151,"")))</f>
        <v/>
      </c>
      <c r="X168" s="15">
        <f>IF(OR(X167="",X151=""),"",IF(X151&lt;=0,"",IFERROR(X167/X151,"")))</f>
        <v/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IF(OR(G167="",C167=""),"",IF(C167&lt;=0,"",IFERROR(G167/C167-1,"")))</f>
        <v/>
      </c>
      <c r="H169" s="15">
        <f>IF(OR(H167="",D167=""),"",IF(D167&lt;=0,"",IFERROR(H167/D167-1,"")))</f>
        <v/>
      </c>
      <c r="I169" s="15">
        <f>IF(OR(I167="",E167=""),"",IF(E167&lt;=0,"",IFERROR(I167/E167-1,"")))</f>
        <v/>
      </c>
      <c r="J169" s="15">
        <f>IF(OR(J167="",F167=""),"",IF(F167&lt;=0,"",IFERROR(J167/F167-1,"")))</f>
        <v/>
      </c>
      <c r="K169" s="15">
        <f>IF(OR(K167="",G167=""),"",IF(G167&lt;=0,"",IFERROR(K167/G167-1,"")))</f>
        <v/>
      </c>
      <c r="L169" s="15">
        <f>IF(OR(L167="",H167=""),"",IF(H167&lt;=0,"",IFERROR(L167/H167-1,"")))</f>
        <v/>
      </c>
      <c r="M169" s="15">
        <f>IF(OR(M167="",I167=""),"",IF(I167&lt;=0,"",IFERROR(M167/I167-1,"")))</f>
        <v/>
      </c>
      <c r="N169" s="15">
        <f>IF(OR(N167="",J167=""),"",IF(J167&lt;=0,"",IFERROR(N167/J167-1,"")))</f>
        <v/>
      </c>
      <c r="V169" s="15">
        <f>IF(OR(V167="",U167=""),"",IF(U167&lt;=0,"",IFERROR(V167/U167-1,"")))</f>
        <v/>
      </c>
      <c r="W169" s="15">
        <f>IF(OR(W167="",V167=""),"",IF(V167&lt;=0,"",IFERROR(W167/V167-1,"")))</f>
        <v/>
      </c>
      <c r="X169" s="15">
        <f>IF(OR(X167="",W167=""),"",IF(W167&lt;=0,"",IFERROR(X167/W167-1,"")))</f>
        <v/>
      </c>
    </row>
    <row r="170">
      <c r="A170" s="18" t="inlineStr">
        <is>
          <t>OtherReportableSegmentsMember · Operating Profit Loss</t>
        </is>
      </c>
      <c r="C170" s="20" t="n">
        <v>58</v>
      </c>
      <c r="D170" s="20" t="n">
        <v>-20</v>
      </c>
      <c r="E170" s="20" t="n">
        <v>-32</v>
      </c>
      <c r="F170" s="20" t="n">
        <v>-42</v>
      </c>
      <c r="G170" s="20" t="n">
        <v>-27</v>
      </c>
      <c r="H170" s="20" t="n">
        <v>81</v>
      </c>
      <c r="I170" s="20" t="n">
        <v>264</v>
      </c>
      <c r="J170" s="20" t="n">
        <v>90</v>
      </c>
      <c r="K170" s="20" t="n">
        <v>292</v>
      </c>
      <c r="L170" s="20" t="n">
        <v>45</v>
      </c>
      <c r="M170" s="20" t="n">
        <v>216</v>
      </c>
      <c r="N170" s="20" t="n">
        <v>158</v>
      </c>
      <c r="V170" s="20" t="n">
        <v>-32</v>
      </c>
      <c r="W170" s="20" t="n">
        <v>264</v>
      </c>
      <c r="X170" s="20" t="n">
        <v>216</v>
      </c>
    </row>
    <row r="171">
      <c r="A171" s="43" t="inlineStr">
        <is>
          <t>OPM</t>
        </is>
      </c>
      <c r="B171" s="3" t="inlineStr">
        <is>
          <t>영업이익 ÷ 매출</t>
        </is>
      </c>
      <c r="C171" s="15">
        <f>IF(OR(C170="",C153=""),"",IF(C153&lt;=0,"",IFERROR(C170/C153,"")))</f>
        <v/>
      </c>
      <c r="D171" s="15">
        <f>IF(OR(D170="",D153=""),"",IF(D153&lt;=0,"",IFERROR(D170/D153,"")))</f>
        <v/>
      </c>
      <c r="E171" s="15">
        <f>IF(OR(E170="",E153=""),"",IF(E153&lt;=0,"",IFERROR(E170/E153,"")))</f>
        <v/>
      </c>
      <c r="F171" s="15">
        <f>IF(OR(F170="",F153=""),"",IF(F153&lt;=0,"",IFERROR(F170/F153,"")))</f>
        <v/>
      </c>
      <c r="G171" s="15">
        <f>IF(OR(G170="",G153=""),"",IF(G153&lt;=0,"",IFERROR(G170/G153,"")))</f>
        <v/>
      </c>
      <c r="H171" s="15">
        <f>IF(OR(H170="",H153=""),"",IF(H153&lt;=0,"",IFERROR(H170/H153,"")))</f>
        <v/>
      </c>
      <c r="I171" s="15">
        <f>IF(OR(I170="",I153=""),"",IF(I153&lt;=0,"",IFERROR(I170/I153,"")))</f>
        <v/>
      </c>
      <c r="J171" s="15">
        <f>IF(OR(J170="",J153=""),"",IF(J153&lt;=0,"",IFERROR(J170/J153,"")))</f>
        <v/>
      </c>
      <c r="K171" s="15">
        <f>IF(OR(K170="",K153=""),"",IF(K153&lt;=0,"",IFERROR(K170/K153,"")))</f>
        <v/>
      </c>
      <c r="L171" s="15">
        <f>IF(OR(L170="",L153=""),"",IF(L153&lt;=0,"",IFERROR(L170/L153,"")))</f>
        <v/>
      </c>
      <c r="M171" s="15">
        <f>IF(OR(M170="",M153=""),"",IF(M153&lt;=0,"",IFERROR(M170/M153,"")))</f>
        <v/>
      </c>
      <c r="N171" s="15">
        <f>IF(OR(N170="",N153=""),"",IF(N153&lt;=0,"",IFERROR(N170/N153,"")))</f>
        <v/>
      </c>
      <c r="V171" s="15">
        <f>IF(OR(V170="",V153=""),"",IF(V153&lt;=0,"",IFERROR(V170/V153,"")))</f>
        <v/>
      </c>
      <c r="W171" s="15">
        <f>IF(OR(W170="",W153=""),"",IF(W153&lt;=0,"",IFERROR(W170/W153,"")))</f>
        <v/>
      </c>
      <c r="X171" s="15">
        <f>IF(OR(X170="",X153=""),"",IF(X153&lt;=0,"",IFERROR(X170/X153,"")))</f>
        <v/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IF(OR(G170="",C170=""),"",IF(C170&lt;=0,"",IFERROR(G170/C170-1,"")))</f>
        <v/>
      </c>
      <c r="H172" s="15">
        <f>IF(OR(H170="",D170=""),"",IF(D170&lt;=0,"",IFERROR(H170/D170-1,"")))</f>
        <v/>
      </c>
      <c r="I172" s="15">
        <f>IF(OR(I170="",E170=""),"",IF(E170&lt;=0,"",IFERROR(I170/E170-1,"")))</f>
        <v/>
      </c>
      <c r="J172" s="15">
        <f>IF(OR(J170="",F170=""),"",IF(F170&lt;=0,"",IFERROR(J170/F170-1,"")))</f>
        <v/>
      </c>
      <c r="K172" s="15">
        <f>IF(OR(K170="",G170=""),"",IF(G170&lt;=0,"",IFERROR(K170/G170-1,"")))</f>
        <v/>
      </c>
      <c r="L172" s="15">
        <f>IF(OR(L170="",H170=""),"",IF(H170&lt;=0,"",IFERROR(L170/H170-1,"")))</f>
        <v/>
      </c>
      <c r="M172" s="15">
        <f>IF(OR(M170="",I170=""),"",IF(I170&lt;=0,"",IFERROR(M170/I170-1,"")))</f>
        <v/>
      </c>
      <c r="N172" s="15">
        <f>IF(OR(N170="",J170=""),"",IF(J170&lt;=0,"",IFERROR(N170/J170-1,"")))</f>
        <v/>
      </c>
      <c r="V172" s="15">
        <f>IF(OR(V170="",U170=""),"",IF(U170&lt;=0,"",IFERROR(V170/U170-1,"")))</f>
        <v/>
      </c>
      <c r="W172" s="15">
        <f>IF(OR(W170="",V170=""),"",IF(V170&lt;=0,"",IFERROR(W170/V170-1,"")))</f>
        <v/>
      </c>
      <c r="X172" s="15">
        <f>IF(OR(X170="",W170=""),"",IF(W170&lt;=0,"",IFERROR(X170/W170-1,"")))</f>
        <v/>
      </c>
    </row>
    <row r="173">
      <c r="A173" s="18" t="inlineStr">
        <is>
          <t>합계 · Operating Profit Loss</t>
        </is>
      </c>
      <c r="C173" s="20" t="n">
        <v>3147</v>
      </c>
      <c r="D173" s="20" t="n">
        <v>2714</v>
      </c>
      <c r="E173" s="20" t="n">
        <v>2096</v>
      </c>
      <c r="F173" s="20" t="n">
        <v>1431</v>
      </c>
      <c r="G173" s="20" t="n">
        <v>1529</v>
      </c>
      <c r="H173" s="20" t="n">
        <v>1870</v>
      </c>
      <c r="I173" s="20" t="n">
        <v>3078</v>
      </c>
      <c r="J173" s="20" t="n">
        <v>1807</v>
      </c>
      <c r="K173" s="20" t="n">
        <v>3288</v>
      </c>
      <c r="L173" s="20" t="n">
        <v>2668</v>
      </c>
      <c r="M173" s="20" t="n">
        <v>3443</v>
      </c>
      <c r="N173" s="20" t="n">
        <v>4287</v>
      </c>
      <c r="V173" s="20" t="n">
        <v>2096</v>
      </c>
      <c r="W173" s="20" t="n">
        <v>3078</v>
      </c>
      <c r="X173" s="20" t="n">
        <v>3443</v>
      </c>
    </row>
    <row r="174">
      <c r="A174" s="43" t="inlineStr">
        <is>
          <t>OPM</t>
        </is>
      </c>
      <c r="B174" s="3" t="inlineStr">
        <is>
          <t>영업이익 ÷ 매출</t>
        </is>
      </c>
      <c r="C174" s="15">
        <f>IF(OR(C173="",C155=""),"",IF(C155&lt;=0,"",IFERROR(C173/C155,"")))</f>
        <v/>
      </c>
      <c r="D174" s="15">
        <f>IF(OR(D173="",D155=""),"",IF(D155&lt;=0,"",IFERROR(D173/D155,"")))</f>
        <v/>
      </c>
      <c r="E174" s="15">
        <f>IF(OR(E173="",E155=""),"",IF(E155&lt;=0,"",IFERROR(E173/E155,"")))</f>
        <v/>
      </c>
      <c r="F174" s="15">
        <f>IF(OR(F173="",F155=""),"",IF(F155&lt;=0,"",IFERROR(F173/F155,"")))</f>
        <v/>
      </c>
      <c r="G174" s="15">
        <f>IF(OR(G173="",G155=""),"",IF(G155&lt;=0,"",IFERROR(G173/G155,"")))</f>
        <v/>
      </c>
      <c r="H174" s="15">
        <f>IF(OR(H173="",H155=""),"",IF(H155&lt;=0,"",IFERROR(H173/H155,"")))</f>
        <v/>
      </c>
      <c r="I174" s="15">
        <f>IF(OR(I173="",I155=""),"",IF(I155&lt;=0,"",IFERROR(I173/I155,"")))</f>
        <v/>
      </c>
      <c r="J174" s="15">
        <f>IF(OR(J173="",J155=""),"",IF(J155&lt;=0,"",IFERROR(J173/J155,"")))</f>
        <v/>
      </c>
      <c r="K174" s="15">
        <f>IF(OR(K173="",K155=""),"",IF(K155&lt;=0,"",IFERROR(K173/K155,"")))</f>
        <v/>
      </c>
      <c r="L174" s="15">
        <f>IF(OR(L173="",L155=""),"",IF(L155&lt;=0,"",IFERROR(L173/L155,"")))</f>
        <v/>
      </c>
      <c r="M174" s="15">
        <f>IF(OR(M173="",M155=""),"",IF(M155&lt;=0,"",IFERROR(M173/M155,"")))</f>
        <v/>
      </c>
      <c r="N174" s="15">
        <f>IF(OR(N173="",N155=""),"",IF(N155&lt;=0,"",IFERROR(N173/N155,"")))</f>
        <v/>
      </c>
      <c r="V174" s="15">
        <f>IF(OR(V173="",V155=""),"",IF(V155&lt;=0,"",IFERROR(V173/V155,"")))</f>
        <v/>
      </c>
      <c r="W174" s="15">
        <f>IF(OR(W173="",W155=""),"",IF(W155&lt;=0,"",IFERROR(W173/W155,"")))</f>
        <v/>
      </c>
      <c r="X174" s="15">
        <f>IF(OR(X173="",X155=""),"",IF(X155&lt;=0,"",IFERROR(X173/X155,"")))</f>
        <v/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IF(OR(G173="",C173=""),"",IF(C173&lt;=0,"",IFERROR(G173/C173-1,"")))</f>
        <v/>
      </c>
      <c r="H175" s="15">
        <f>IF(OR(H173="",D173=""),"",IF(D173&lt;=0,"",IFERROR(H173/D173-1,"")))</f>
        <v/>
      </c>
      <c r="I175" s="15">
        <f>IF(OR(I173="",E173=""),"",IF(E173&lt;=0,"",IFERROR(I173/E173-1,"")))</f>
        <v/>
      </c>
      <c r="J175" s="15">
        <f>IF(OR(J173="",F173=""),"",IF(F173&lt;=0,"",IFERROR(J173/F173-1,"")))</f>
        <v/>
      </c>
      <c r="K175" s="15">
        <f>IF(OR(K173="",G173=""),"",IF(G173&lt;=0,"",IFERROR(K173/G173-1,"")))</f>
        <v/>
      </c>
      <c r="L175" s="15">
        <f>IF(OR(L173="",H173=""),"",IF(H173&lt;=0,"",IFERROR(L173/H173-1,"")))</f>
        <v/>
      </c>
      <c r="M175" s="15">
        <f>IF(OR(M173="",I173=""),"",IF(I173&lt;=0,"",IFERROR(M173/I173-1,"")))</f>
        <v/>
      </c>
      <c r="N175" s="15">
        <f>IF(OR(N173="",J173=""),"",IF(J173&lt;=0,"",IFERROR(N173/J173-1,"")))</f>
        <v/>
      </c>
      <c r="V175" s="15">
        <f>IF(OR(V173="",U173=""),"",IF(U173&lt;=0,"",IFERROR(V173/U173-1,"")))</f>
        <v/>
      </c>
      <c r="W175" s="15">
        <f>IF(OR(W173="",V173=""),"",IF(V173&lt;=0,"",IFERROR(W173/V173-1,"")))</f>
        <v/>
      </c>
      <c r="X175" s="15">
        <f>IF(OR(X173="",W173=""),"",IF(W173&lt;=0,"",IFERROR(X173/W173-1,"")))</f>
        <v/>
      </c>
    </row>
    <row r="176">
      <c r="A176" s="18" t="inlineStr">
        <is>
          <t>조정액 · Operating Profit Loss</t>
        </is>
      </c>
      <c r="C176" s="20" t="n">
        <v>-24</v>
      </c>
      <c r="D176" s="20" t="n">
        <v>36</v>
      </c>
      <c r="E176" s="20" t="n">
        <v>41</v>
      </c>
      <c r="F176" s="20" t="n">
        <v>22</v>
      </c>
      <c r="G176" s="20" t="n">
        <v>63</v>
      </c>
      <c r="H176" s="20" t="n">
        <v>-12</v>
      </c>
      <c r="I176" s="20" t="n">
        <v>-45</v>
      </c>
      <c r="J176" s="20" t="n">
        <v>-39</v>
      </c>
      <c r="K176" s="20" t="n">
        <v>-208</v>
      </c>
      <c r="L176" s="20" t="n">
        <v>26</v>
      </c>
      <c r="M176" s="20" t="n">
        <v>-100</v>
      </c>
      <c r="N176" s="20" t="n">
        <v>-78</v>
      </c>
      <c r="V176" s="20" t="n">
        <v>41</v>
      </c>
      <c r="W176" s="20" t="n">
        <v>-45</v>
      </c>
      <c r="X176" s="20" t="n">
        <v>-100</v>
      </c>
    </row>
    <row r="177">
      <c r="A177" s="18" t="inlineStr">
        <is>
          <t>부문 이익</t>
        </is>
      </c>
      <c r="C177" s="20" t="n">
        <v>3123</v>
      </c>
      <c r="D177" s="20" t="n">
        <v>2751</v>
      </c>
      <c r="E177" s="20" t="n">
        <v>2137</v>
      </c>
      <c r="F177" s="20" t="n">
        <v>1453</v>
      </c>
      <c r="G177" s="20" t="n">
        <v>1593</v>
      </c>
      <c r="H177" s="20" t="n">
        <v>1858</v>
      </c>
      <c r="I177" s="20" t="n">
        <v>3032</v>
      </c>
      <c r="V177" s="20" t="n">
        <v>2137</v>
      </c>
      <c r="W177" s="20" t="n">
        <v>3032</v>
      </c>
    </row>
    <row r="178">
      <c r="A178" s="43" t="inlineStr">
        <is>
          <t>OPM</t>
        </is>
      </c>
      <c r="B178" s="3" t="inlineStr">
        <is>
          <t>영업이익 ÷ 매출</t>
        </is>
      </c>
      <c r="C178" s="15">
        <f>IF(OR(C177="",C136=""),"",IF(C136&lt;=0,"",IFERROR(C177/C136,"")))</f>
        <v/>
      </c>
      <c r="D178" s="15">
        <f>IF(OR(D177="",D136=""),"",IF(D136&lt;=0,"",IFERROR(D177/D136,"")))</f>
        <v/>
      </c>
      <c r="E178" s="15">
        <f>IF(OR(E177="",E136=""),"",IF(E136&lt;=0,"",IFERROR(E177/E136,"")))</f>
        <v/>
      </c>
      <c r="F178" s="15">
        <f>IF(OR(F177="",F136=""),"",IF(F136&lt;=0,"",IFERROR(F177/F136,"")))</f>
        <v/>
      </c>
      <c r="G178" s="15">
        <f>IF(OR(G177="",G136=""),"",IF(G136&lt;=0,"",IFERROR(G177/G136,"")))</f>
        <v/>
      </c>
      <c r="H178" s="15">
        <f>IF(OR(H177="",H136=""),"",IF(H136&lt;=0,"",IFERROR(H177/H136,"")))</f>
        <v/>
      </c>
      <c r="I178" s="15">
        <f>IF(OR(I177="",I136=""),"",IF(I136&lt;=0,"",IFERROR(I177/I136,"")))</f>
        <v/>
      </c>
      <c r="V178" s="15">
        <f>IF(OR(V177="",V136=""),"",IF(V136&lt;=0,"",IFERROR(V177/V136,"")))</f>
        <v/>
      </c>
      <c r="W178" s="15">
        <f>IF(OR(W177="",W136=""),"",IF(W136&lt;=0,"",IFERROR(W177/W136,"")))</f>
        <v/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IF(OR(G177="",C177=""),"",IF(C177&lt;=0,"",IFERROR(G177/C177-1,"")))</f>
        <v/>
      </c>
      <c r="H179" s="15">
        <f>IF(OR(H177="",D177=""),"",IF(D177&lt;=0,"",IFERROR(H177/D177-1,"")))</f>
        <v/>
      </c>
      <c r="I179" s="15">
        <f>IF(OR(I177="",E177=""),"",IF(E177&lt;=0,"",IFERROR(I177/E177-1,"")))</f>
        <v/>
      </c>
      <c r="V179" s="15">
        <f>IF(OR(V177="",U177=""),"",IF(U177&lt;=0,"",IFERROR(V177/U177-1,"")))</f>
        <v/>
      </c>
      <c r="W179" s="15">
        <f>IF(OR(W177="",V177=""),"",IF(V177&lt;=0,"",IFERROR(W177/V177-1,"")))</f>
        <v/>
      </c>
    </row>
    <row r="180">
      <c r="A180" s="18" t="inlineStr">
        <is>
          <t>EntityTotalMember · Operating Profit Loss</t>
        </is>
      </c>
      <c r="F180" s="20" t="n">
        <v>1453</v>
      </c>
      <c r="J180" s="20" t="n">
        <v>1767</v>
      </c>
      <c r="N180" s="20" t="n">
        <v>4209</v>
      </c>
    </row>
    <row r="181">
      <c r="A181" s="18" t="inlineStr">
        <is>
          <t>SanAceCompanyReportableSegmentMember · 금융수익</t>
        </is>
      </c>
      <c r="C181" s="20" t="n">
        <v>0</v>
      </c>
      <c r="D181" s="20" t="n">
        <v>0</v>
      </c>
      <c r="E181" s="20" t="n">
        <v>0</v>
      </c>
      <c r="F181" s="20" t="n">
        <v>0</v>
      </c>
      <c r="G181" s="20" t="n">
        <v>0</v>
      </c>
      <c r="H181" s="20" t="n">
        <v>0</v>
      </c>
      <c r="I181" s="20" t="n">
        <v>0</v>
      </c>
      <c r="J181" s="20" t="n">
        <v>0</v>
      </c>
      <c r="K181" s="20" t="n">
        <v>0</v>
      </c>
      <c r="L181" s="20" t="n">
        <v>0</v>
      </c>
      <c r="M181" s="20" t="n">
        <v>0</v>
      </c>
      <c r="N181" s="20" t="n">
        <v>0</v>
      </c>
      <c r="V181" s="20" t="n">
        <v>0</v>
      </c>
      <c r="W181" s="20" t="n">
        <v>0</v>
      </c>
      <c r="X181" s="20" t="n">
        <v>0</v>
      </c>
    </row>
    <row r="182">
      <c r="A182" s="18" t="inlineStr">
        <is>
          <t>ElectronicsCompanyReportableSegmentMember · 금융수익</t>
        </is>
      </c>
      <c r="C182" s="20" t="n">
        <v>0</v>
      </c>
      <c r="D182" s="20" t="n">
        <v>0</v>
      </c>
      <c r="E182" s="20" t="n">
        <v>0</v>
      </c>
      <c r="F182" s="20" t="n">
        <v>0</v>
      </c>
      <c r="G182" s="20" t="n">
        <v>0</v>
      </c>
      <c r="H182" s="20" t="n">
        <v>0</v>
      </c>
      <c r="I182" s="20" t="n">
        <v>0</v>
      </c>
      <c r="J182" s="20" t="n">
        <v>0</v>
      </c>
      <c r="K182" s="20" t="n">
        <v>0</v>
      </c>
      <c r="L182" s="20" t="n">
        <v>0</v>
      </c>
      <c r="M182" s="20" t="n">
        <v>0</v>
      </c>
      <c r="N182" s="20" t="n">
        <v>0</v>
      </c>
      <c r="V182" s="20" t="n">
        <v>0</v>
      </c>
      <c r="W182" s="20" t="n">
        <v>0</v>
      </c>
      <c r="X182" s="20" t="n">
        <v>0</v>
      </c>
    </row>
    <row r="183">
      <c r="A183" s="18" t="inlineStr">
        <is>
          <t>MotionCompanyReportableSegmentMember · 금융수익</t>
        </is>
      </c>
      <c r="C183" s="20" t="n">
        <v>0</v>
      </c>
      <c r="D183" s="20" t="n">
        <v>0</v>
      </c>
      <c r="E183" s="20" t="n">
        <v>0</v>
      </c>
      <c r="F183" s="20" t="n">
        <v>0</v>
      </c>
      <c r="G183" s="20" t="n">
        <v>0</v>
      </c>
      <c r="H183" s="20" t="n">
        <v>0</v>
      </c>
      <c r="I183" s="20" t="n">
        <v>0</v>
      </c>
      <c r="J183" s="20" t="n">
        <v>0</v>
      </c>
      <c r="K183" s="20" t="n">
        <v>0</v>
      </c>
      <c r="L183" s="20" t="n">
        <v>0</v>
      </c>
      <c r="M183" s="20" t="n">
        <v>0</v>
      </c>
      <c r="N183" s="20" t="n">
        <v>0</v>
      </c>
      <c r="V183" s="20" t="n">
        <v>0</v>
      </c>
      <c r="W183" s="20" t="n">
        <v>0</v>
      </c>
      <c r="X183" s="20" t="n">
        <v>0</v>
      </c>
    </row>
    <row r="184">
      <c r="A184" s="18" t="inlineStr">
        <is>
          <t>OtherReportableSegmentsMember · 금융수익</t>
        </is>
      </c>
      <c r="C184" s="20" t="n">
        <v>0</v>
      </c>
      <c r="D184" s="20" t="n">
        <v>0</v>
      </c>
      <c r="E184" s="20" t="n">
        <v>0</v>
      </c>
      <c r="F184" s="20" t="n">
        <v>0</v>
      </c>
      <c r="G184" s="20" t="n">
        <v>0</v>
      </c>
      <c r="H184" s="20" t="n">
        <v>0</v>
      </c>
      <c r="I184" s="20" t="n">
        <v>0</v>
      </c>
      <c r="J184" s="20" t="n">
        <v>0</v>
      </c>
      <c r="K184" s="20" t="n">
        <v>0</v>
      </c>
      <c r="L184" s="20" t="n">
        <v>0</v>
      </c>
      <c r="M184" s="20" t="n">
        <v>0</v>
      </c>
      <c r="N184" s="20" t="n">
        <v>0</v>
      </c>
      <c r="V184" s="20" t="n">
        <v>0</v>
      </c>
      <c r="W184" s="20" t="n">
        <v>0</v>
      </c>
      <c r="X184" s="20" t="n">
        <v>0</v>
      </c>
    </row>
    <row r="185">
      <c r="A185" s="18" t="inlineStr">
        <is>
          <t>합계 · 금융수익</t>
        </is>
      </c>
      <c r="C185" s="20" t="n">
        <v>0</v>
      </c>
      <c r="D185" s="20" t="n">
        <v>0</v>
      </c>
      <c r="E185" s="20" t="n">
        <v>0</v>
      </c>
      <c r="F185" s="20" t="n">
        <v>0</v>
      </c>
      <c r="G185" s="20" t="n">
        <v>0</v>
      </c>
      <c r="H185" s="20" t="n">
        <v>0</v>
      </c>
      <c r="I185" s="20" t="n">
        <v>0</v>
      </c>
      <c r="J185" s="20" t="n">
        <v>0</v>
      </c>
      <c r="K185" s="20" t="n">
        <v>0</v>
      </c>
      <c r="L185" s="20" t="n">
        <v>0</v>
      </c>
      <c r="M185" s="20" t="n">
        <v>0</v>
      </c>
      <c r="N185" s="20" t="n">
        <v>0</v>
      </c>
      <c r="V185" s="20" t="n">
        <v>0</v>
      </c>
      <c r="W185" s="20" t="n">
        <v>0</v>
      </c>
      <c r="X185" s="20" t="n">
        <v>0</v>
      </c>
    </row>
    <row r="186">
      <c r="A186" s="18" t="inlineStr">
        <is>
          <t>조정액 · 금융수익</t>
        </is>
      </c>
      <c r="C186" s="20" t="n">
        <v>0</v>
      </c>
      <c r="D186" s="20" t="n">
        <v>0</v>
      </c>
      <c r="E186" s="20" t="n">
        <v>0</v>
      </c>
      <c r="F186" s="20" t="n">
        <v>0</v>
      </c>
      <c r="G186" s="20" t="n">
        <v>0</v>
      </c>
      <c r="H186" s="20" t="n">
        <v>0</v>
      </c>
      <c r="I186" s="20" t="n">
        <v>0</v>
      </c>
      <c r="J186" s="20" t="n">
        <v>0</v>
      </c>
      <c r="K186" s="20" t="n">
        <v>0</v>
      </c>
      <c r="L186" s="20" t="n">
        <v>0</v>
      </c>
      <c r="M186" s="20" t="n">
        <v>0</v>
      </c>
      <c r="N186" s="20" t="n">
        <v>0</v>
      </c>
      <c r="V186" s="20" t="n">
        <v>0</v>
      </c>
      <c r="W186" s="20" t="n">
        <v>0</v>
      </c>
      <c r="X186" s="20" t="n">
        <v>0</v>
      </c>
    </row>
    <row r="187">
      <c r="A187" s="18" t="inlineStr">
        <is>
          <t>금융수익</t>
        </is>
      </c>
      <c r="C187" s="20" t="n">
        <v>380</v>
      </c>
      <c r="D187" s="20" t="n">
        <v>-332</v>
      </c>
      <c r="E187" s="20" t="n">
        <v>607</v>
      </c>
      <c r="F187" s="20" t="n">
        <v>730</v>
      </c>
      <c r="G187" s="20" t="n">
        <v>-393</v>
      </c>
      <c r="H187" s="20" t="n">
        <v>423</v>
      </c>
      <c r="I187" s="20" t="n">
        <v>-116</v>
      </c>
      <c r="V187" s="20" t="n">
        <v>607</v>
      </c>
      <c r="W187" s="20" t="n">
        <v>-116</v>
      </c>
    </row>
    <row r="188">
      <c r="A188" s="18" t="inlineStr">
        <is>
          <t>EntityTotalMember · 금융수익</t>
        </is>
      </c>
      <c r="F188" s="20" t="n">
        <v>730</v>
      </c>
      <c r="J188" s="20" t="n">
        <v>231</v>
      </c>
      <c r="N188" s="20" t="n">
        <v>281</v>
      </c>
    </row>
    <row r="189">
      <c r="A189" s="18" t="inlineStr">
        <is>
          <t>SanAceCompanyReportableSegmentMember · 금융비용</t>
        </is>
      </c>
      <c r="C189" s="20" t="n">
        <v>0</v>
      </c>
      <c r="D189" s="20" t="n">
        <v>0</v>
      </c>
      <c r="E189" s="20" t="n">
        <v>0</v>
      </c>
      <c r="F189" s="20" t="n">
        <v>0</v>
      </c>
      <c r="G189" s="20" t="n">
        <v>0</v>
      </c>
      <c r="H189" s="20" t="n">
        <v>0</v>
      </c>
      <c r="I189" s="20" t="n">
        <v>0</v>
      </c>
      <c r="J189" s="20" t="n">
        <v>0</v>
      </c>
      <c r="K189" s="20" t="n">
        <v>0</v>
      </c>
      <c r="L189" s="20" t="n">
        <v>0</v>
      </c>
      <c r="M189" s="20" t="n">
        <v>0</v>
      </c>
      <c r="N189" s="20" t="n">
        <v>0</v>
      </c>
      <c r="V189" s="20" t="n">
        <v>0</v>
      </c>
      <c r="W189" s="20" t="n">
        <v>0</v>
      </c>
      <c r="X189" s="20" t="n">
        <v>0</v>
      </c>
    </row>
    <row r="190">
      <c r="A190" s="18" t="inlineStr">
        <is>
          <t>ElectronicsCompanyReportableSegmentMember · 금융비용</t>
        </is>
      </c>
      <c r="C190" s="20" t="n">
        <v>0</v>
      </c>
      <c r="D190" s="20" t="n">
        <v>0</v>
      </c>
      <c r="E190" s="20" t="n">
        <v>0</v>
      </c>
      <c r="F190" s="20" t="n">
        <v>0</v>
      </c>
      <c r="G190" s="20" t="n">
        <v>0</v>
      </c>
      <c r="H190" s="20" t="n">
        <v>0</v>
      </c>
      <c r="I190" s="20" t="n">
        <v>0</v>
      </c>
      <c r="J190" s="20" t="n">
        <v>0</v>
      </c>
      <c r="K190" s="20" t="n">
        <v>0</v>
      </c>
      <c r="L190" s="20" t="n">
        <v>0</v>
      </c>
      <c r="M190" s="20" t="n">
        <v>0</v>
      </c>
      <c r="N190" s="20" t="n">
        <v>0</v>
      </c>
      <c r="V190" s="20" t="n">
        <v>0</v>
      </c>
      <c r="W190" s="20" t="n">
        <v>0</v>
      </c>
      <c r="X190" s="20" t="n">
        <v>0</v>
      </c>
    </row>
    <row r="191">
      <c r="A191" s="18" t="inlineStr">
        <is>
          <t>MotionCompanyReportableSegmentMember · 금융비용</t>
        </is>
      </c>
      <c r="C191" s="20" t="n">
        <v>0</v>
      </c>
      <c r="D191" s="20" t="n">
        <v>0</v>
      </c>
      <c r="E191" s="20" t="n">
        <v>0</v>
      </c>
      <c r="F191" s="20" t="n">
        <v>0</v>
      </c>
      <c r="G191" s="20" t="n">
        <v>0</v>
      </c>
      <c r="H191" s="20" t="n">
        <v>0</v>
      </c>
      <c r="I191" s="20" t="n">
        <v>0</v>
      </c>
      <c r="J191" s="20" t="n">
        <v>0</v>
      </c>
      <c r="K191" s="20" t="n">
        <v>0</v>
      </c>
      <c r="L191" s="20" t="n">
        <v>0</v>
      </c>
      <c r="M191" s="20" t="n">
        <v>0</v>
      </c>
      <c r="N191" s="20" t="n">
        <v>0</v>
      </c>
      <c r="V191" s="20" t="n">
        <v>0</v>
      </c>
      <c r="W191" s="20" t="n">
        <v>0</v>
      </c>
      <c r="X191" s="20" t="n">
        <v>0</v>
      </c>
    </row>
    <row r="192">
      <c r="A192" s="18" t="inlineStr">
        <is>
          <t>OtherReportableSegmentsMember · 금융비용</t>
        </is>
      </c>
      <c r="C192" s="20" t="n">
        <v>0</v>
      </c>
      <c r="D192" s="20" t="n">
        <v>0</v>
      </c>
      <c r="E192" s="20" t="n">
        <v>0</v>
      </c>
      <c r="F192" s="20" t="n">
        <v>0</v>
      </c>
      <c r="G192" s="20" t="n">
        <v>0</v>
      </c>
      <c r="H192" s="20" t="n">
        <v>0</v>
      </c>
      <c r="I192" s="20" t="n">
        <v>0</v>
      </c>
      <c r="J192" s="20" t="n">
        <v>0</v>
      </c>
      <c r="K192" s="20" t="n">
        <v>0</v>
      </c>
      <c r="L192" s="20" t="n">
        <v>0</v>
      </c>
      <c r="M192" s="20" t="n">
        <v>0</v>
      </c>
      <c r="N192" s="20" t="n">
        <v>0</v>
      </c>
      <c r="V192" s="20" t="n">
        <v>0</v>
      </c>
      <c r="W192" s="20" t="n">
        <v>0</v>
      </c>
      <c r="X192" s="20" t="n">
        <v>0</v>
      </c>
    </row>
    <row r="193">
      <c r="A193" s="18" t="inlineStr">
        <is>
          <t>합계 · 금융비용</t>
        </is>
      </c>
      <c r="C193" s="20" t="n">
        <v>0</v>
      </c>
      <c r="D193" s="20" t="n">
        <v>0</v>
      </c>
      <c r="E193" s="20" t="n">
        <v>0</v>
      </c>
      <c r="F193" s="20" t="n">
        <v>0</v>
      </c>
      <c r="G193" s="20" t="n">
        <v>0</v>
      </c>
      <c r="H193" s="20" t="n">
        <v>0</v>
      </c>
      <c r="I193" s="20" t="n">
        <v>0</v>
      </c>
      <c r="J193" s="20" t="n">
        <v>0</v>
      </c>
      <c r="K193" s="20" t="n">
        <v>0</v>
      </c>
      <c r="L193" s="20" t="n">
        <v>0</v>
      </c>
      <c r="M193" s="20" t="n">
        <v>0</v>
      </c>
      <c r="N193" s="20" t="n">
        <v>0</v>
      </c>
      <c r="V193" s="20" t="n">
        <v>0</v>
      </c>
      <c r="W193" s="20" t="n">
        <v>0</v>
      </c>
      <c r="X193" s="20" t="n">
        <v>0</v>
      </c>
    </row>
    <row r="194">
      <c r="A194" s="18" t="inlineStr">
        <is>
          <t>조정액 · 금융비용</t>
        </is>
      </c>
      <c r="C194" s="20" t="n">
        <v>0</v>
      </c>
      <c r="D194" s="20" t="n">
        <v>0</v>
      </c>
      <c r="E194" s="20" t="n">
        <v>0</v>
      </c>
      <c r="F194" s="20" t="n">
        <v>0</v>
      </c>
      <c r="G194" s="20" t="n">
        <v>0</v>
      </c>
      <c r="H194" s="20" t="n">
        <v>0</v>
      </c>
      <c r="I194" s="20" t="n">
        <v>0</v>
      </c>
      <c r="J194" s="20" t="n">
        <v>0</v>
      </c>
      <c r="K194" s="20" t="n">
        <v>0</v>
      </c>
      <c r="L194" s="20" t="n">
        <v>0</v>
      </c>
      <c r="M194" s="20" t="n">
        <v>0</v>
      </c>
      <c r="N194" s="20" t="n">
        <v>0</v>
      </c>
      <c r="V194" s="20" t="n">
        <v>0</v>
      </c>
      <c r="W194" s="20" t="n">
        <v>0</v>
      </c>
      <c r="X194" s="20" t="n">
        <v>0</v>
      </c>
    </row>
    <row r="195">
      <c r="A195" s="18" t="inlineStr">
        <is>
          <t>금융비용</t>
        </is>
      </c>
      <c r="C195" s="20" t="n">
        <v>39</v>
      </c>
      <c r="D195" s="20" t="n">
        <v>37</v>
      </c>
      <c r="E195" s="20" t="n">
        <v>84</v>
      </c>
      <c r="F195" s="20" t="n">
        <v>58</v>
      </c>
      <c r="G195" s="20" t="n">
        <v>750</v>
      </c>
      <c r="H195" s="20" t="n">
        <v>-636</v>
      </c>
      <c r="I195" s="20" t="n">
        <v>405</v>
      </c>
      <c r="V195" s="20" t="n">
        <v>84</v>
      </c>
      <c r="W195" s="20" t="n">
        <v>405</v>
      </c>
    </row>
    <row r="196">
      <c r="A196" s="18" t="inlineStr">
        <is>
          <t>EntityTotalMember · 금융비용</t>
        </is>
      </c>
      <c r="F196" s="20" t="n">
        <v>58</v>
      </c>
      <c r="J196" s="20" t="n">
        <v>493</v>
      </c>
      <c r="N196" s="20" t="n">
        <v>60</v>
      </c>
    </row>
    <row r="197">
      <c r="A197" s="18" t="inlineStr">
        <is>
          <t>SanAceCompanyReportableSegmentMember · 법인세비용차감전 중간이익</t>
        </is>
      </c>
      <c r="C197" s="20" t="n">
        <v>0</v>
      </c>
      <c r="D197" s="20" t="n">
        <v>0</v>
      </c>
      <c r="E197" s="20" t="n">
        <v>0</v>
      </c>
      <c r="F197" s="20" t="n">
        <v>0</v>
      </c>
      <c r="G197" s="20" t="n">
        <v>0</v>
      </c>
      <c r="H197" s="20" t="n">
        <v>0</v>
      </c>
      <c r="I197" s="20" t="n">
        <v>0</v>
      </c>
      <c r="J197" s="20" t="n">
        <v>0</v>
      </c>
      <c r="K197" s="20" t="n">
        <v>0</v>
      </c>
      <c r="L197" s="20" t="n">
        <v>0</v>
      </c>
      <c r="M197" s="20" t="n">
        <v>0</v>
      </c>
      <c r="N197" s="20" t="n">
        <v>0</v>
      </c>
      <c r="V197" s="20" t="n">
        <v>0</v>
      </c>
      <c r="W197" s="20" t="n">
        <v>0</v>
      </c>
      <c r="X197" s="20" t="n">
        <v>0</v>
      </c>
    </row>
    <row r="198">
      <c r="A198" s="43" t="inlineStr">
        <is>
          <t>OPM</t>
        </is>
      </c>
      <c r="B198" s="3" t="inlineStr">
        <is>
          <t>영업이익 ÷ 매출</t>
        </is>
      </c>
      <c r="C198" s="15">
        <f>IF(OR(C197="",C147=""),"",IF(C147&lt;=0,"",IFERROR(C197/C147,"")))</f>
        <v/>
      </c>
      <c r="D198" s="15">
        <f>IF(OR(D197="",D147=""),"",IF(D147&lt;=0,"",IFERROR(D197/D147,"")))</f>
        <v/>
      </c>
      <c r="E198" s="15">
        <f>IF(OR(E197="",E147=""),"",IF(E147&lt;=0,"",IFERROR(E197/E147,"")))</f>
        <v/>
      </c>
      <c r="F198" s="15">
        <f>IF(OR(F197="",F147=""),"",IF(F147&lt;=0,"",IFERROR(F197/F147,"")))</f>
        <v/>
      </c>
      <c r="G198" s="15">
        <f>IF(OR(G197="",G147=""),"",IF(G147&lt;=0,"",IFERROR(G197/G147,"")))</f>
        <v/>
      </c>
      <c r="H198" s="15">
        <f>IF(OR(H197="",H147=""),"",IF(H147&lt;=0,"",IFERROR(H197/H147,"")))</f>
        <v/>
      </c>
      <c r="I198" s="15">
        <f>IF(OR(I197="",I147=""),"",IF(I147&lt;=0,"",IFERROR(I197/I147,"")))</f>
        <v/>
      </c>
      <c r="J198" s="15">
        <f>IF(OR(J197="",J147=""),"",IF(J147&lt;=0,"",IFERROR(J197/J147,"")))</f>
        <v/>
      </c>
      <c r="K198" s="15">
        <f>IF(OR(K197="",K147=""),"",IF(K147&lt;=0,"",IFERROR(K197/K147,"")))</f>
        <v/>
      </c>
      <c r="L198" s="15">
        <f>IF(OR(L197="",L147=""),"",IF(L147&lt;=0,"",IFERROR(L197/L147,"")))</f>
        <v/>
      </c>
      <c r="M198" s="15">
        <f>IF(OR(M197="",M147=""),"",IF(M147&lt;=0,"",IFERROR(M197/M147,"")))</f>
        <v/>
      </c>
      <c r="N198" s="15">
        <f>IF(OR(N197="",N147=""),"",IF(N147&lt;=0,"",IFERROR(N197/N147,"")))</f>
        <v/>
      </c>
      <c r="V198" s="15">
        <f>IF(OR(V197="",V147=""),"",IF(V147&lt;=0,"",IFERROR(V197/V147,"")))</f>
        <v/>
      </c>
      <c r="W198" s="15">
        <f>IF(OR(W197="",W147=""),"",IF(W147&lt;=0,"",IFERROR(W197/W147,"")))</f>
        <v/>
      </c>
      <c r="X198" s="15">
        <f>IF(OR(X197="",X147=""),"",IF(X147&lt;=0,"",IFERROR(X197/X147,"")))</f>
        <v/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IF(OR(G197="",C197=""),"",IF(C197&lt;=0,"",IFERROR(G197/C197-1,"")))</f>
        <v/>
      </c>
      <c r="H199" s="15">
        <f>IF(OR(H197="",D197=""),"",IF(D197&lt;=0,"",IFERROR(H197/D197-1,"")))</f>
        <v/>
      </c>
      <c r="I199" s="15">
        <f>IF(OR(I197="",E197=""),"",IF(E197&lt;=0,"",IFERROR(I197/E197-1,"")))</f>
        <v/>
      </c>
      <c r="J199" s="15">
        <f>IF(OR(J197="",F197=""),"",IF(F197&lt;=0,"",IFERROR(J197/F197-1,"")))</f>
        <v/>
      </c>
      <c r="K199" s="15">
        <f>IF(OR(K197="",G197=""),"",IF(G197&lt;=0,"",IFERROR(K197/G197-1,"")))</f>
        <v/>
      </c>
      <c r="L199" s="15">
        <f>IF(OR(L197="",H197=""),"",IF(H197&lt;=0,"",IFERROR(L197/H197-1,"")))</f>
        <v/>
      </c>
      <c r="M199" s="15">
        <f>IF(OR(M197="",I197=""),"",IF(I197&lt;=0,"",IFERROR(M197/I197-1,"")))</f>
        <v/>
      </c>
      <c r="N199" s="15">
        <f>IF(OR(N197="",J197=""),"",IF(J197&lt;=0,"",IFERROR(N197/J197-1,"")))</f>
        <v/>
      </c>
      <c r="V199" s="15">
        <f>IF(OR(V197="",U197=""),"",IF(U197&lt;=0,"",IFERROR(V197/U197-1,"")))</f>
        <v/>
      </c>
      <c r="W199" s="15">
        <f>IF(OR(W197="",V197=""),"",IF(V197&lt;=0,"",IFERROR(W197/V197-1,"")))</f>
        <v/>
      </c>
      <c r="X199" s="15">
        <f>IF(OR(X197="",W197=""),"",IF(W197&lt;=0,"",IFERROR(X197/W197-1,"")))</f>
        <v/>
      </c>
    </row>
    <row r="200">
      <c r="A200" s="18" t="inlineStr">
        <is>
          <t>ElectronicsCompanyReportableSegmentMember · 법인세비용차감전 중간이익</t>
        </is>
      </c>
      <c r="C200" s="20" t="n">
        <v>0</v>
      </c>
      <c r="D200" s="20" t="n">
        <v>0</v>
      </c>
      <c r="E200" s="20" t="n">
        <v>0</v>
      </c>
      <c r="F200" s="20" t="n">
        <v>0</v>
      </c>
      <c r="G200" s="20" t="n">
        <v>0</v>
      </c>
      <c r="H200" s="20" t="n">
        <v>0</v>
      </c>
      <c r="I200" s="20" t="n">
        <v>0</v>
      </c>
      <c r="J200" s="20" t="n">
        <v>0</v>
      </c>
      <c r="K200" s="20" t="n">
        <v>0</v>
      </c>
      <c r="L200" s="20" t="n">
        <v>0</v>
      </c>
      <c r="M200" s="20" t="n">
        <v>0</v>
      </c>
      <c r="N200" s="20" t="n">
        <v>0</v>
      </c>
      <c r="V200" s="20" t="n">
        <v>0</v>
      </c>
      <c r="W200" s="20" t="n">
        <v>0</v>
      </c>
      <c r="X200" s="20" t="n">
        <v>0</v>
      </c>
    </row>
    <row r="201">
      <c r="A201" s="43" t="inlineStr">
        <is>
          <t>OPM</t>
        </is>
      </c>
      <c r="B201" s="3" t="inlineStr">
        <is>
          <t>영업이익 ÷ 매출</t>
        </is>
      </c>
      <c r="C201" s="15">
        <f>IF(OR(C200="",C149=""),"",IF(C149&lt;=0,"",IFERROR(C200/C149,"")))</f>
        <v/>
      </c>
      <c r="D201" s="15">
        <f>IF(OR(D200="",D149=""),"",IF(D149&lt;=0,"",IFERROR(D200/D149,"")))</f>
        <v/>
      </c>
      <c r="E201" s="15">
        <f>IF(OR(E200="",E149=""),"",IF(E149&lt;=0,"",IFERROR(E200/E149,"")))</f>
        <v/>
      </c>
      <c r="F201" s="15">
        <f>IF(OR(F200="",F149=""),"",IF(F149&lt;=0,"",IFERROR(F200/F149,"")))</f>
        <v/>
      </c>
      <c r="G201" s="15">
        <f>IF(OR(G200="",G149=""),"",IF(G149&lt;=0,"",IFERROR(G200/G149,"")))</f>
        <v/>
      </c>
      <c r="H201" s="15">
        <f>IF(OR(H200="",H149=""),"",IF(H149&lt;=0,"",IFERROR(H200/H149,"")))</f>
        <v/>
      </c>
      <c r="I201" s="15">
        <f>IF(OR(I200="",I149=""),"",IF(I149&lt;=0,"",IFERROR(I200/I149,"")))</f>
        <v/>
      </c>
      <c r="J201" s="15">
        <f>IF(OR(J200="",J149=""),"",IF(J149&lt;=0,"",IFERROR(J200/J149,"")))</f>
        <v/>
      </c>
      <c r="K201" s="15">
        <f>IF(OR(K200="",K149=""),"",IF(K149&lt;=0,"",IFERROR(K200/K149,"")))</f>
        <v/>
      </c>
      <c r="L201" s="15">
        <f>IF(OR(L200="",L149=""),"",IF(L149&lt;=0,"",IFERROR(L200/L149,"")))</f>
        <v/>
      </c>
      <c r="M201" s="15">
        <f>IF(OR(M200="",M149=""),"",IF(M149&lt;=0,"",IFERROR(M200/M149,"")))</f>
        <v/>
      </c>
      <c r="N201" s="15">
        <f>IF(OR(N200="",N149=""),"",IF(N149&lt;=0,"",IFERROR(N200/N149,"")))</f>
        <v/>
      </c>
      <c r="V201" s="15">
        <f>IF(OR(V200="",V149=""),"",IF(V149&lt;=0,"",IFERROR(V200/V149,"")))</f>
        <v/>
      </c>
      <c r="W201" s="15">
        <f>IF(OR(W200="",W149=""),"",IF(W149&lt;=0,"",IFERROR(W200/W149,"")))</f>
        <v/>
      </c>
      <c r="X201" s="15">
        <f>IF(OR(X200="",X149=""),"",IF(X149&lt;=0,"",IFERROR(X200/X149,"")))</f>
        <v/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G202" s="15">
        <f>IF(OR(G200="",C200=""),"",IF(C200&lt;=0,"",IFERROR(G200/C200-1,"")))</f>
        <v/>
      </c>
      <c r="H202" s="15">
        <f>IF(OR(H200="",D200=""),"",IF(D200&lt;=0,"",IFERROR(H200/D200-1,"")))</f>
        <v/>
      </c>
      <c r="I202" s="15">
        <f>IF(OR(I200="",E200=""),"",IF(E200&lt;=0,"",IFERROR(I200/E200-1,"")))</f>
        <v/>
      </c>
      <c r="J202" s="15">
        <f>IF(OR(J200="",F200=""),"",IF(F200&lt;=0,"",IFERROR(J200/F200-1,"")))</f>
        <v/>
      </c>
      <c r="K202" s="15">
        <f>IF(OR(K200="",G200=""),"",IF(G200&lt;=0,"",IFERROR(K200/G200-1,"")))</f>
        <v/>
      </c>
      <c r="L202" s="15">
        <f>IF(OR(L200="",H200=""),"",IF(H200&lt;=0,"",IFERROR(L200/H200-1,"")))</f>
        <v/>
      </c>
      <c r="M202" s="15">
        <f>IF(OR(M200="",I200=""),"",IF(I200&lt;=0,"",IFERROR(M200/I200-1,"")))</f>
        <v/>
      </c>
      <c r="N202" s="15">
        <f>IF(OR(N200="",J200=""),"",IF(J200&lt;=0,"",IFERROR(N200/J200-1,"")))</f>
        <v/>
      </c>
      <c r="V202" s="15">
        <f>IF(OR(V200="",U200=""),"",IF(U200&lt;=0,"",IFERROR(V200/U200-1,"")))</f>
        <v/>
      </c>
      <c r="W202" s="15">
        <f>IF(OR(W200="",V200=""),"",IF(V200&lt;=0,"",IFERROR(W200/V200-1,"")))</f>
        <v/>
      </c>
      <c r="X202" s="15">
        <f>IF(OR(X200="",W200=""),"",IF(W200&lt;=0,"",IFERROR(X200/W200-1,"")))</f>
        <v/>
      </c>
    </row>
    <row r="203">
      <c r="A203" s="18" t="inlineStr">
        <is>
          <t>MotionCompanyReportableSegmentMember · 법인세비용차감전 중간이익</t>
        </is>
      </c>
      <c r="C203" s="20" t="n">
        <v>0</v>
      </c>
      <c r="D203" s="20" t="n">
        <v>0</v>
      </c>
      <c r="E203" s="20" t="n">
        <v>0</v>
      </c>
      <c r="F203" s="20" t="n">
        <v>0</v>
      </c>
      <c r="G203" s="20" t="n">
        <v>0</v>
      </c>
      <c r="H203" s="20" t="n">
        <v>0</v>
      </c>
      <c r="I203" s="20" t="n">
        <v>0</v>
      </c>
      <c r="J203" s="20" t="n">
        <v>0</v>
      </c>
      <c r="K203" s="20" t="n">
        <v>0</v>
      </c>
      <c r="L203" s="20" t="n">
        <v>0</v>
      </c>
      <c r="M203" s="20" t="n">
        <v>0</v>
      </c>
      <c r="N203" s="20" t="n">
        <v>0</v>
      </c>
      <c r="V203" s="20" t="n">
        <v>0</v>
      </c>
      <c r="W203" s="20" t="n">
        <v>0</v>
      </c>
      <c r="X203" s="20" t="n">
        <v>0</v>
      </c>
    </row>
    <row r="204">
      <c r="A204" s="43" t="inlineStr">
        <is>
          <t>OPM</t>
        </is>
      </c>
      <c r="B204" s="3" t="inlineStr">
        <is>
          <t>영업이익 ÷ 매출</t>
        </is>
      </c>
      <c r="C204" s="15">
        <f>IF(OR(C203="",C151=""),"",IF(C151&lt;=0,"",IFERROR(C203/C151,"")))</f>
        <v/>
      </c>
      <c r="D204" s="15">
        <f>IF(OR(D203="",D151=""),"",IF(D151&lt;=0,"",IFERROR(D203/D151,"")))</f>
        <v/>
      </c>
      <c r="E204" s="15">
        <f>IF(OR(E203="",E151=""),"",IF(E151&lt;=0,"",IFERROR(E203/E151,"")))</f>
        <v/>
      </c>
      <c r="F204" s="15">
        <f>IF(OR(F203="",F151=""),"",IF(F151&lt;=0,"",IFERROR(F203/F151,"")))</f>
        <v/>
      </c>
      <c r="G204" s="15">
        <f>IF(OR(G203="",G151=""),"",IF(G151&lt;=0,"",IFERROR(G203/G151,"")))</f>
        <v/>
      </c>
      <c r="H204" s="15">
        <f>IF(OR(H203="",H151=""),"",IF(H151&lt;=0,"",IFERROR(H203/H151,"")))</f>
        <v/>
      </c>
      <c r="I204" s="15">
        <f>IF(OR(I203="",I151=""),"",IF(I151&lt;=0,"",IFERROR(I203/I151,"")))</f>
        <v/>
      </c>
      <c r="J204" s="15">
        <f>IF(OR(J203="",J151=""),"",IF(J151&lt;=0,"",IFERROR(J203/J151,"")))</f>
        <v/>
      </c>
      <c r="K204" s="15">
        <f>IF(OR(K203="",K151=""),"",IF(K151&lt;=0,"",IFERROR(K203/K151,"")))</f>
        <v/>
      </c>
      <c r="L204" s="15">
        <f>IF(OR(L203="",L151=""),"",IF(L151&lt;=0,"",IFERROR(L203/L151,"")))</f>
        <v/>
      </c>
      <c r="M204" s="15">
        <f>IF(OR(M203="",M151=""),"",IF(M151&lt;=0,"",IFERROR(M203/M151,"")))</f>
        <v/>
      </c>
      <c r="N204" s="15">
        <f>IF(OR(N203="",N151=""),"",IF(N151&lt;=0,"",IFERROR(N203/N151,"")))</f>
        <v/>
      </c>
      <c r="V204" s="15">
        <f>IF(OR(V203="",V151=""),"",IF(V151&lt;=0,"",IFERROR(V203/V151,"")))</f>
        <v/>
      </c>
      <c r="W204" s="15">
        <f>IF(OR(W203="",W151=""),"",IF(W151&lt;=0,"",IFERROR(W203/W151,"")))</f>
        <v/>
      </c>
      <c r="X204" s="15">
        <f>IF(OR(X203="",X151=""),"",IF(X151&lt;=0,"",IFERROR(X203/X151,"")))</f>
        <v/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IF(OR(G203="",C203=""),"",IF(C203&lt;=0,"",IFERROR(G203/C203-1,"")))</f>
        <v/>
      </c>
      <c r="H205" s="15">
        <f>IF(OR(H203="",D203=""),"",IF(D203&lt;=0,"",IFERROR(H203/D203-1,"")))</f>
        <v/>
      </c>
      <c r="I205" s="15">
        <f>IF(OR(I203="",E203=""),"",IF(E203&lt;=0,"",IFERROR(I203/E203-1,"")))</f>
        <v/>
      </c>
      <c r="J205" s="15">
        <f>IF(OR(J203="",F203=""),"",IF(F203&lt;=0,"",IFERROR(J203/F203-1,"")))</f>
        <v/>
      </c>
      <c r="K205" s="15">
        <f>IF(OR(K203="",G203=""),"",IF(G203&lt;=0,"",IFERROR(K203/G203-1,"")))</f>
        <v/>
      </c>
      <c r="L205" s="15">
        <f>IF(OR(L203="",H203=""),"",IF(H203&lt;=0,"",IFERROR(L203/H203-1,"")))</f>
        <v/>
      </c>
      <c r="M205" s="15">
        <f>IF(OR(M203="",I203=""),"",IF(I203&lt;=0,"",IFERROR(M203/I203-1,"")))</f>
        <v/>
      </c>
      <c r="N205" s="15">
        <f>IF(OR(N203="",J203=""),"",IF(J203&lt;=0,"",IFERROR(N203/J203-1,"")))</f>
        <v/>
      </c>
      <c r="V205" s="15">
        <f>IF(OR(V203="",U203=""),"",IF(U203&lt;=0,"",IFERROR(V203/U203-1,"")))</f>
        <v/>
      </c>
      <c r="W205" s="15">
        <f>IF(OR(W203="",V203=""),"",IF(V203&lt;=0,"",IFERROR(W203/V203-1,"")))</f>
        <v/>
      </c>
      <c r="X205" s="15">
        <f>IF(OR(X203="",W203=""),"",IF(W203&lt;=0,"",IFERROR(X203/W203-1,"")))</f>
        <v/>
      </c>
    </row>
    <row r="206">
      <c r="A206" s="18" t="inlineStr">
        <is>
          <t>OtherReportableSegmentsMember · 법인세비용차감전 중간이익</t>
        </is>
      </c>
      <c r="C206" s="20" t="n">
        <v>0</v>
      </c>
      <c r="D206" s="20" t="n">
        <v>0</v>
      </c>
      <c r="E206" s="20" t="n">
        <v>0</v>
      </c>
      <c r="F206" s="20" t="n">
        <v>0</v>
      </c>
      <c r="G206" s="20" t="n">
        <v>0</v>
      </c>
      <c r="H206" s="20" t="n">
        <v>0</v>
      </c>
      <c r="I206" s="20" t="n">
        <v>0</v>
      </c>
      <c r="J206" s="20" t="n">
        <v>0</v>
      </c>
      <c r="K206" s="20" t="n">
        <v>0</v>
      </c>
      <c r="L206" s="20" t="n">
        <v>0</v>
      </c>
      <c r="M206" s="20" t="n">
        <v>0</v>
      </c>
      <c r="N206" s="20" t="n">
        <v>0</v>
      </c>
      <c r="V206" s="20" t="n">
        <v>0</v>
      </c>
      <c r="W206" s="20" t="n">
        <v>0</v>
      </c>
      <c r="X206" s="20" t="n">
        <v>0</v>
      </c>
    </row>
    <row r="207">
      <c r="A207" s="43" t="inlineStr">
        <is>
          <t>OPM</t>
        </is>
      </c>
      <c r="B207" s="3" t="inlineStr">
        <is>
          <t>영업이익 ÷ 매출</t>
        </is>
      </c>
      <c r="C207" s="15">
        <f>IF(OR(C206="",C153=""),"",IF(C153&lt;=0,"",IFERROR(C206/C153,"")))</f>
        <v/>
      </c>
      <c r="D207" s="15">
        <f>IF(OR(D206="",D153=""),"",IF(D153&lt;=0,"",IFERROR(D206/D153,"")))</f>
        <v/>
      </c>
      <c r="E207" s="15">
        <f>IF(OR(E206="",E153=""),"",IF(E153&lt;=0,"",IFERROR(E206/E153,"")))</f>
        <v/>
      </c>
      <c r="F207" s="15">
        <f>IF(OR(F206="",F153=""),"",IF(F153&lt;=0,"",IFERROR(F206/F153,"")))</f>
        <v/>
      </c>
      <c r="G207" s="15">
        <f>IF(OR(G206="",G153=""),"",IF(G153&lt;=0,"",IFERROR(G206/G153,"")))</f>
        <v/>
      </c>
      <c r="H207" s="15">
        <f>IF(OR(H206="",H153=""),"",IF(H153&lt;=0,"",IFERROR(H206/H153,"")))</f>
        <v/>
      </c>
      <c r="I207" s="15">
        <f>IF(OR(I206="",I153=""),"",IF(I153&lt;=0,"",IFERROR(I206/I153,"")))</f>
        <v/>
      </c>
      <c r="J207" s="15">
        <f>IF(OR(J206="",J153=""),"",IF(J153&lt;=0,"",IFERROR(J206/J153,"")))</f>
        <v/>
      </c>
      <c r="K207" s="15">
        <f>IF(OR(K206="",K153=""),"",IF(K153&lt;=0,"",IFERROR(K206/K153,"")))</f>
        <v/>
      </c>
      <c r="L207" s="15">
        <f>IF(OR(L206="",L153=""),"",IF(L153&lt;=0,"",IFERROR(L206/L153,"")))</f>
        <v/>
      </c>
      <c r="M207" s="15">
        <f>IF(OR(M206="",M153=""),"",IF(M153&lt;=0,"",IFERROR(M206/M153,"")))</f>
        <v/>
      </c>
      <c r="N207" s="15">
        <f>IF(OR(N206="",N153=""),"",IF(N153&lt;=0,"",IFERROR(N206/N153,"")))</f>
        <v/>
      </c>
      <c r="V207" s="15">
        <f>IF(OR(V206="",V153=""),"",IF(V153&lt;=0,"",IFERROR(V206/V153,"")))</f>
        <v/>
      </c>
      <c r="W207" s="15">
        <f>IF(OR(W206="",W153=""),"",IF(W153&lt;=0,"",IFERROR(W206/W153,"")))</f>
        <v/>
      </c>
      <c r="X207" s="15">
        <f>IF(OR(X206="",X153=""),"",IF(X153&lt;=0,"",IFERROR(X206/X153,"")))</f>
        <v/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G208" s="15">
        <f>IF(OR(G206="",C206=""),"",IF(C206&lt;=0,"",IFERROR(G206/C206-1,"")))</f>
        <v/>
      </c>
      <c r="H208" s="15">
        <f>IF(OR(H206="",D206=""),"",IF(D206&lt;=0,"",IFERROR(H206/D206-1,"")))</f>
        <v/>
      </c>
      <c r="I208" s="15">
        <f>IF(OR(I206="",E206=""),"",IF(E206&lt;=0,"",IFERROR(I206/E206-1,"")))</f>
        <v/>
      </c>
      <c r="J208" s="15">
        <f>IF(OR(J206="",F206=""),"",IF(F206&lt;=0,"",IFERROR(J206/F206-1,"")))</f>
        <v/>
      </c>
      <c r="K208" s="15">
        <f>IF(OR(K206="",G206=""),"",IF(G206&lt;=0,"",IFERROR(K206/G206-1,"")))</f>
        <v/>
      </c>
      <c r="L208" s="15">
        <f>IF(OR(L206="",H206=""),"",IF(H206&lt;=0,"",IFERROR(L206/H206-1,"")))</f>
        <v/>
      </c>
      <c r="M208" s="15">
        <f>IF(OR(M206="",I206=""),"",IF(I206&lt;=0,"",IFERROR(M206/I206-1,"")))</f>
        <v/>
      </c>
      <c r="N208" s="15">
        <f>IF(OR(N206="",J206=""),"",IF(J206&lt;=0,"",IFERROR(N206/J206-1,"")))</f>
        <v/>
      </c>
      <c r="V208" s="15">
        <f>IF(OR(V206="",U206=""),"",IF(U206&lt;=0,"",IFERROR(V206/U206-1,"")))</f>
        <v/>
      </c>
      <c r="W208" s="15">
        <f>IF(OR(W206="",V206=""),"",IF(V206&lt;=0,"",IFERROR(W206/V206-1,"")))</f>
        <v/>
      </c>
      <c r="X208" s="15">
        <f>IF(OR(X206="",W206=""),"",IF(W206&lt;=0,"",IFERROR(X206/W206-1,"")))</f>
        <v/>
      </c>
    </row>
    <row r="209">
      <c r="A209" s="18" t="inlineStr">
        <is>
          <t>합계 · 법인세비용차감전 중간이익</t>
        </is>
      </c>
      <c r="C209" s="20" t="n">
        <v>0</v>
      </c>
      <c r="D209" s="20" t="n">
        <v>0</v>
      </c>
      <c r="E209" s="20" t="n">
        <v>0</v>
      </c>
      <c r="F209" s="20" t="n">
        <v>0</v>
      </c>
      <c r="G209" s="20" t="n">
        <v>0</v>
      </c>
      <c r="H209" s="20" t="n">
        <v>0</v>
      </c>
      <c r="I209" s="20" t="n">
        <v>0</v>
      </c>
      <c r="J209" s="20" t="n">
        <v>0</v>
      </c>
      <c r="K209" s="20" t="n">
        <v>0</v>
      </c>
      <c r="L209" s="20" t="n">
        <v>0</v>
      </c>
      <c r="M209" s="20" t="n">
        <v>0</v>
      </c>
      <c r="N209" s="20" t="n">
        <v>0</v>
      </c>
      <c r="V209" s="20" t="n">
        <v>0</v>
      </c>
      <c r="W209" s="20" t="n">
        <v>0</v>
      </c>
      <c r="X209" s="20" t="n">
        <v>0</v>
      </c>
    </row>
    <row r="210">
      <c r="A210" s="43" t="inlineStr">
        <is>
          <t>OPM</t>
        </is>
      </c>
      <c r="B210" s="3" t="inlineStr">
        <is>
          <t>영업이익 ÷ 매출</t>
        </is>
      </c>
      <c r="C210" s="15">
        <f>IF(OR(C209="",C155=""),"",IF(C155&lt;=0,"",IFERROR(C209/C155,"")))</f>
        <v/>
      </c>
      <c r="D210" s="15">
        <f>IF(OR(D209="",D155=""),"",IF(D155&lt;=0,"",IFERROR(D209/D155,"")))</f>
        <v/>
      </c>
      <c r="E210" s="15">
        <f>IF(OR(E209="",E155=""),"",IF(E155&lt;=0,"",IFERROR(E209/E155,"")))</f>
        <v/>
      </c>
      <c r="F210" s="15">
        <f>IF(OR(F209="",F155=""),"",IF(F155&lt;=0,"",IFERROR(F209/F155,"")))</f>
        <v/>
      </c>
      <c r="G210" s="15">
        <f>IF(OR(G209="",G155=""),"",IF(G155&lt;=0,"",IFERROR(G209/G155,"")))</f>
        <v/>
      </c>
      <c r="H210" s="15">
        <f>IF(OR(H209="",H155=""),"",IF(H155&lt;=0,"",IFERROR(H209/H155,"")))</f>
        <v/>
      </c>
      <c r="I210" s="15">
        <f>IF(OR(I209="",I155=""),"",IF(I155&lt;=0,"",IFERROR(I209/I155,"")))</f>
        <v/>
      </c>
      <c r="J210" s="15">
        <f>IF(OR(J209="",J155=""),"",IF(J155&lt;=0,"",IFERROR(J209/J155,"")))</f>
        <v/>
      </c>
      <c r="K210" s="15">
        <f>IF(OR(K209="",K155=""),"",IF(K155&lt;=0,"",IFERROR(K209/K155,"")))</f>
        <v/>
      </c>
      <c r="L210" s="15">
        <f>IF(OR(L209="",L155=""),"",IF(L155&lt;=0,"",IFERROR(L209/L155,"")))</f>
        <v/>
      </c>
      <c r="M210" s="15">
        <f>IF(OR(M209="",M155=""),"",IF(M155&lt;=0,"",IFERROR(M209/M155,"")))</f>
        <v/>
      </c>
      <c r="N210" s="15">
        <f>IF(OR(N209="",N155=""),"",IF(N155&lt;=0,"",IFERROR(N209/N155,"")))</f>
        <v/>
      </c>
      <c r="V210" s="15">
        <f>IF(OR(V209="",V155=""),"",IF(V155&lt;=0,"",IFERROR(V209/V155,"")))</f>
        <v/>
      </c>
      <c r="W210" s="15">
        <f>IF(OR(W209="",W155=""),"",IF(W155&lt;=0,"",IFERROR(W209/W155,"")))</f>
        <v/>
      </c>
      <c r="X210" s="15">
        <f>IF(OR(X209="",X155=""),"",IF(X155&lt;=0,"",IFERROR(X209/X155,"")))</f>
        <v/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IF(OR(G209="",C209=""),"",IF(C209&lt;=0,"",IFERROR(G209/C209-1,"")))</f>
        <v/>
      </c>
      <c r="H211" s="15">
        <f>IF(OR(H209="",D209=""),"",IF(D209&lt;=0,"",IFERROR(H209/D209-1,"")))</f>
        <v/>
      </c>
      <c r="I211" s="15">
        <f>IF(OR(I209="",E209=""),"",IF(E209&lt;=0,"",IFERROR(I209/E209-1,"")))</f>
        <v/>
      </c>
      <c r="J211" s="15">
        <f>IF(OR(J209="",F209=""),"",IF(F209&lt;=0,"",IFERROR(J209/F209-1,"")))</f>
        <v/>
      </c>
      <c r="K211" s="15">
        <f>IF(OR(K209="",G209=""),"",IF(G209&lt;=0,"",IFERROR(K209/G209-1,"")))</f>
        <v/>
      </c>
      <c r="L211" s="15">
        <f>IF(OR(L209="",H209=""),"",IF(H209&lt;=0,"",IFERROR(L209/H209-1,"")))</f>
        <v/>
      </c>
      <c r="M211" s="15">
        <f>IF(OR(M209="",I209=""),"",IF(I209&lt;=0,"",IFERROR(M209/I209-1,"")))</f>
        <v/>
      </c>
      <c r="N211" s="15">
        <f>IF(OR(N209="",J209=""),"",IF(J209&lt;=0,"",IFERROR(N209/J209-1,"")))</f>
        <v/>
      </c>
      <c r="V211" s="15">
        <f>IF(OR(V209="",U209=""),"",IF(U209&lt;=0,"",IFERROR(V209/U209-1,"")))</f>
        <v/>
      </c>
      <c r="W211" s="15">
        <f>IF(OR(W209="",V209=""),"",IF(V209&lt;=0,"",IFERROR(W209/V209-1,"")))</f>
        <v/>
      </c>
      <c r="X211" s="15">
        <f>IF(OR(X209="",W209=""),"",IF(W209&lt;=0,"",IFERROR(X209/W209-1,"")))</f>
        <v/>
      </c>
    </row>
    <row r="212">
      <c r="A212" s="18" t="inlineStr">
        <is>
          <t>조정액 · 법인세비용차감전 중간이익</t>
        </is>
      </c>
      <c r="C212" s="20" t="n">
        <v>0</v>
      </c>
      <c r="D212" s="20" t="n">
        <v>0</v>
      </c>
      <c r="E212" s="20" t="n">
        <v>0</v>
      </c>
      <c r="F212" s="20" t="n">
        <v>0</v>
      </c>
      <c r="G212" s="20" t="n">
        <v>0</v>
      </c>
      <c r="H212" s="20" t="n">
        <v>0</v>
      </c>
      <c r="I212" s="20" t="n">
        <v>0</v>
      </c>
      <c r="J212" s="20" t="n">
        <v>0</v>
      </c>
      <c r="K212" s="20" t="n">
        <v>0</v>
      </c>
      <c r="L212" s="20" t="n">
        <v>0</v>
      </c>
      <c r="M212" s="20" t="n">
        <v>0</v>
      </c>
      <c r="N212" s="20" t="n">
        <v>0</v>
      </c>
      <c r="V212" s="20" t="n">
        <v>0</v>
      </c>
      <c r="W212" s="20" t="n">
        <v>0</v>
      </c>
      <c r="X212" s="20" t="n">
        <v>0</v>
      </c>
    </row>
    <row r="213">
      <c r="A213" s="9" t="inlineStr">
        <is>
          <t>법인세비용차감전 당기이익</t>
        </is>
      </c>
      <c r="C213" s="12" t="n">
        <v>3465</v>
      </c>
      <c r="D213" s="12" t="n">
        <v>2381</v>
      </c>
      <c r="E213" s="12" t="n">
        <v>2660</v>
      </c>
      <c r="F213" s="12" t="n">
        <v>2125</v>
      </c>
      <c r="G213" s="12" t="n">
        <v>450</v>
      </c>
      <c r="H213" s="12" t="n">
        <v>2917</v>
      </c>
      <c r="I213" s="12" t="n">
        <v>2511</v>
      </c>
      <c r="V213" s="12" t="n">
        <v>2660</v>
      </c>
      <c r="W213" s="12" t="n">
        <v>2511</v>
      </c>
    </row>
    <row r="214">
      <c r="A214" s="18" t="inlineStr">
        <is>
          <t>EntityTotalMember · 법인세비용차감전 중간이익</t>
        </is>
      </c>
      <c r="F214" s="20" t="n">
        <v>2125</v>
      </c>
      <c r="J214" s="20" t="n">
        <v>1505</v>
      </c>
      <c r="N214" s="20" t="n">
        <v>4430</v>
      </c>
    </row>
    <row r="216">
      <c r="A216" s="16" t="inlineStr">
        <is>
          <t>현금흐름표 · 전 항목</t>
        </is>
      </c>
      <c r="B216" s="42" t="inlineStr">
        <is>
          <t>분기 = 결산기 첫날부터 누계(공시 그대로)</t>
        </is>
      </c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  <c r="AA216" s="16" t="n"/>
      <c r="AB216" s="16" t="n"/>
      <c r="AC216" s="16" t="n"/>
    </row>
    <row r="217">
      <c r="A217" s="5" t="inlineStr">
        <is>
          <t>항목</t>
        </is>
      </c>
      <c r="B217" s="5" t="inlineStr">
        <is>
          <t>참고</t>
        </is>
      </c>
      <c r="C217" s="5" t="inlineStr">
        <is>
          <t>2024.2Q</t>
        </is>
      </c>
      <c r="D217" s="5" t="inlineStr">
        <is>
          <t>2024.3Q</t>
        </is>
      </c>
      <c r="E217" s="5" t="inlineStr">
        <is>
          <t>2024.4Q</t>
        </is>
      </c>
      <c r="F217" s="5" t="inlineStr">
        <is>
          <t>2025.1Q</t>
        </is>
      </c>
      <c r="G217" s="5" t="inlineStr">
        <is>
          <t>2025.2Q</t>
        </is>
      </c>
      <c r="H217" s="5" t="inlineStr">
        <is>
          <t>2025.3Q</t>
        </is>
      </c>
      <c r="I217" s="5" t="inlineStr">
        <is>
          <t>2025.4Q</t>
        </is>
      </c>
      <c r="J217" s="5" t="inlineStr">
        <is>
          <t>2026.1Q</t>
        </is>
      </c>
      <c r="K217" s="5" t="inlineStr">
        <is>
          <t>2026.2Q</t>
        </is>
      </c>
      <c r="L217" s="5" t="inlineStr">
        <is>
          <t>2026.3Q</t>
        </is>
      </c>
      <c r="M217" s="5" t="inlineStr">
        <is>
          <t>2026.4Q</t>
        </is>
      </c>
      <c r="N217" s="5" t="inlineStr">
        <is>
          <t>2027.1Q</t>
        </is>
      </c>
      <c r="O217" s="5" t="inlineStr">
        <is>
          <t>2017</t>
        </is>
      </c>
      <c r="P217" s="5" t="inlineStr">
        <is>
          <t>2018</t>
        </is>
      </c>
      <c r="Q217" s="5" t="inlineStr">
        <is>
          <t>2019</t>
        </is>
      </c>
      <c r="R217" s="5" t="inlineStr">
        <is>
          <t>2020</t>
        </is>
      </c>
      <c r="S217" s="5" t="inlineStr">
        <is>
          <t>2021</t>
        </is>
      </c>
      <c r="T217" s="5" t="inlineStr">
        <is>
          <t>2022</t>
        </is>
      </c>
      <c r="U217" s="5" t="inlineStr">
        <is>
          <t>2023</t>
        </is>
      </c>
      <c r="V217" s="5" t="inlineStr">
        <is>
          <t>2024</t>
        </is>
      </c>
      <c r="W217" s="5" t="inlineStr">
        <is>
          <t>2025</t>
        </is>
      </c>
      <c r="X217" s="5" t="inlineStr">
        <is>
          <t>2026</t>
        </is>
      </c>
      <c r="Y217" s="5" t="inlineStr">
        <is>
          <t>2027(MW)</t>
        </is>
      </c>
      <c r="Z217" s="5" t="inlineStr">
        <is>
          <t>2028(MW)</t>
        </is>
      </c>
      <c r="AA217" s="5" t="inlineStr">
        <is>
          <t>2029(MW)</t>
        </is>
      </c>
      <c r="AB217" s="5" t="inlineStr">
        <is>
          <t>2030(MW)</t>
        </is>
      </c>
      <c r="AC217" s="5" t="inlineStr">
        <is>
          <t>2031(MW)</t>
        </is>
      </c>
    </row>
    <row r="218">
      <c r="A218" s="9" t="inlineStr">
        <is>
          <t>법인세비용차감전 중간이익</t>
        </is>
      </c>
      <c r="C218" s="12" t="n">
        <v>8282</v>
      </c>
      <c r="D218" s="12" t="n">
        <v>10663</v>
      </c>
      <c r="E218" s="12" t="n">
        <v>13323</v>
      </c>
      <c r="F218" s="12" t="n">
        <v>2125</v>
      </c>
      <c r="G218" s="12" t="n">
        <v>2575</v>
      </c>
      <c r="H218" s="12" t="n">
        <v>5492</v>
      </c>
      <c r="I218" s="12" t="n">
        <v>8003</v>
      </c>
      <c r="J218" s="12" t="n">
        <v>1505</v>
      </c>
      <c r="K218" s="12" t="n">
        <v>4937</v>
      </c>
      <c r="L218" s="12" t="n">
        <v>8146</v>
      </c>
      <c r="M218" s="12" t="n">
        <v>11747</v>
      </c>
      <c r="N218" s="12" t="n">
        <v>4430</v>
      </c>
      <c r="P218" s="12" t="n">
        <v>8540</v>
      </c>
      <c r="Q218" s="12" t="n">
        <v>6890</v>
      </c>
      <c r="R218" s="12" t="n">
        <v>986</v>
      </c>
      <c r="S218" s="12" t="n">
        <v>4996</v>
      </c>
      <c r="T218" s="12" t="n">
        <v>11787</v>
      </c>
      <c r="U218" s="12" t="n">
        <v>14226</v>
      </c>
      <c r="V218" s="12" t="n">
        <v>13323</v>
      </c>
      <c r="W218" s="12" t="n">
        <v>8003</v>
      </c>
      <c r="X218" s="12" t="n">
        <v>11747</v>
      </c>
    </row>
    <row r="219">
      <c r="A219" s="18" t="inlineStr">
        <is>
          <t>감가상각비 및 상각비</t>
        </is>
      </c>
      <c r="C219" s="20" t="n">
        <v>2860</v>
      </c>
      <c r="D219" s="20" t="n">
        <v>4326</v>
      </c>
      <c r="E219" s="20" t="n">
        <v>5841</v>
      </c>
      <c r="F219" s="20" t="n">
        <v>1470</v>
      </c>
      <c r="G219" s="20" t="n">
        <v>2943</v>
      </c>
      <c r="H219" s="20" t="n">
        <v>4451</v>
      </c>
      <c r="I219" s="20" t="n">
        <v>5959</v>
      </c>
      <c r="J219" s="20" t="n">
        <v>1323</v>
      </c>
      <c r="K219" s="20" t="n">
        <v>2660</v>
      </c>
      <c r="L219" s="20" t="n">
        <v>4008</v>
      </c>
      <c r="M219" s="20" t="n">
        <v>5376</v>
      </c>
      <c r="N219" s="20" t="n">
        <v>1268</v>
      </c>
      <c r="P219" s="20" t="n">
        <v>3538</v>
      </c>
      <c r="Q219" s="20" t="n">
        <v>4157</v>
      </c>
      <c r="R219" s="20" t="n">
        <v>5223</v>
      </c>
      <c r="S219" s="20" t="n">
        <v>5429</v>
      </c>
      <c r="T219" s="20" t="n">
        <v>5651</v>
      </c>
      <c r="U219" s="20" t="n">
        <v>6014</v>
      </c>
      <c r="V219" s="20" t="n">
        <v>5841</v>
      </c>
      <c r="W219" s="20" t="n">
        <v>5959</v>
      </c>
      <c r="X219" s="20" t="n">
        <v>5376</v>
      </c>
    </row>
    <row r="220">
      <c r="A220" s="18" t="inlineStr">
        <is>
          <t>이자·배당금 수익</t>
        </is>
      </c>
      <c r="C220" s="20" t="n">
        <v>-248</v>
      </c>
      <c r="D220" s="20" t="n">
        <v>-429</v>
      </c>
      <c r="E220" s="20" t="n">
        <v>-512</v>
      </c>
      <c r="F220" s="20" t="n">
        <v>-246</v>
      </c>
      <c r="G220" s="20" t="n">
        <v>-337</v>
      </c>
      <c r="H220" s="20" t="n">
        <v>-561</v>
      </c>
      <c r="I220" s="20" t="n">
        <v>-634</v>
      </c>
      <c r="J220" s="20" t="n">
        <v>-205</v>
      </c>
      <c r="K220" s="20" t="n">
        <v>-320</v>
      </c>
      <c r="L220" s="20" t="n">
        <v>-538</v>
      </c>
      <c r="M220" s="20" t="n">
        <v>-616</v>
      </c>
      <c r="N220" s="20" t="n">
        <v>-281</v>
      </c>
      <c r="P220" s="20" t="n">
        <v>-196</v>
      </c>
      <c r="Q220" s="20" t="n">
        <v>-243</v>
      </c>
      <c r="R220" s="20" t="n">
        <v>-245</v>
      </c>
      <c r="S220" s="20" t="n">
        <v>-193</v>
      </c>
      <c r="T220" s="20" t="n">
        <v>-257</v>
      </c>
      <c r="U220" s="20" t="n">
        <v>-369</v>
      </c>
      <c r="V220" s="20" t="n">
        <v>-512</v>
      </c>
      <c r="W220" s="20" t="n">
        <v>-634</v>
      </c>
      <c r="X220" s="20" t="n">
        <v>-616</v>
      </c>
    </row>
    <row r="221">
      <c r="A221" s="18" t="inlineStr">
        <is>
          <t>이자비용</t>
        </is>
      </c>
      <c r="C221" s="20" t="n">
        <v>80</v>
      </c>
      <c r="D221" s="20" t="n">
        <v>116</v>
      </c>
      <c r="E221" s="20" t="n">
        <v>200</v>
      </c>
      <c r="F221" s="20" t="n">
        <v>58</v>
      </c>
      <c r="G221" s="20" t="n">
        <v>127</v>
      </c>
      <c r="H221" s="20" t="n">
        <v>171</v>
      </c>
      <c r="I221" s="20" t="n">
        <v>299</v>
      </c>
      <c r="J221" s="20" t="n">
        <v>10</v>
      </c>
      <c r="K221" s="20" t="n">
        <v>13</v>
      </c>
      <c r="L221" s="20" t="n">
        <v>23</v>
      </c>
      <c r="M221" s="20" t="n">
        <v>35</v>
      </c>
      <c r="N221" s="20" t="n">
        <v>13</v>
      </c>
      <c r="P221" s="20" t="n">
        <v>18</v>
      </c>
      <c r="Q221" s="20" t="n">
        <v>102</v>
      </c>
      <c r="R221" s="20" t="n">
        <v>128</v>
      </c>
      <c r="S221" s="20" t="n">
        <v>98</v>
      </c>
      <c r="T221" s="20" t="n">
        <v>99</v>
      </c>
      <c r="U221" s="20" t="n">
        <v>187</v>
      </c>
      <c r="V221" s="20" t="n">
        <v>200</v>
      </c>
      <c r="W221" s="20" t="n">
        <v>299</v>
      </c>
      <c r="X221" s="20" t="n">
        <v>35</v>
      </c>
    </row>
    <row r="222">
      <c r="A222" s="18" t="inlineStr">
        <is>
          <t>영업채권 및 기타채권 증감액</t>
        </is>
      </c>
      <c r="C222" s="20" t="n">
        <v>1499</v>
      </c>
      <c r="D222" s="20" t="n">
        <v>5238</v>
      </c>
      <c r="E222" s="20" t="n">
        <v>7067</v>
      </c>
      <c r="F222" s="20" t="n">
        <v>4616</v>
      </c>
      <c r="G222" s="20" t="n">
        <v>3030</v>
      </c>
      <c r="H222" s="20" t="n">
        <v>2306</v>
      </c>
      <c r="I222" s="20" t="n">
        <v>2878</v>
      </c>
      <c r="J222" s="20" t="n">
        <v>90</v>
      </c>
      <c r="K222" s="20" t="n">
        <v>127</v>
      </c>
      <c r="L222" s="20" t="n">
        <v>-1051</v>
      </c>
      <c r="M222" s="20" t="n">
        <v>-1813</v>
      </c>
      <c r="N222" s="20" t="n">
        <v>-2632</v>
      </c>
      <c r="P222" s="20" t="n">
        <v>-4581</v>
      </c>
      <c r="Q222" s="20" t="n">
        <v>3273</v>
      </c>
      <c r="R222" s="20" t="n">
        <v>2601</v>
      </c>
      <c r="S222" s="20" t="n">
        <v>-2820</v>
      </c>
      <c r="T222" s="20" t="n">
        <v>-2731</v>
      </c>
      <c r="U222" s="20" t="n">
        <v>-4363</v>
      </c>
      <c r="V222" s="20" t="n">
        <v>7067</v>
      </c>
      <c r="W222" s="20" t="n">
        <v>2878</v>
      </c>
      <c r="X222" s="20" t="n">
        <v>-1813</v>
      </c>
    </row>
    <row r="223">
      <c r="A223" s="18" t="inlineStr">
        <is>
          <t>재고자산 증감액</t>
        </is>
      </c>
      <c r="C223" s="20" t="n">
        <v>1105</v>
      </c>
      <c r="D223" s="20" t="n">
        <v>2615</v>
      </c>
      <c r="E223" s="20" t="n">
        <v>5612</v>
      </c>
      <c r="F223" s="20" t="n">
        <v>-439</v>
      </c>
      <c r="G223" s="20" t="n">
        <v>802</v>
      </c>
      <c r="H223" s="20" t="n">
        <v>1497</v>
      </c>
      <c r="I223" s="20" t="n">
        <v>2507</v>
      </c>
      <c r="J223" s="20" t="n">
        <v>-661</v>
      </c>
      <c r="K223" s="20" t="n">
        <v>-922</v>
      </c>
      <c r="L223" s="20" t="n">
        <v>-2572</v>
      </c>
      <c r="M223" s="20" t="n">
        <v>-4248</v>
      </c>
      <c r="N223" s="20" t="n">
        <v>-3125</v>
      </c>
      <c r="P223" s="20" t="n">
        <v>-5070</v>
      </c>
      <c r="Q223" s="20" t="n">
        <v>-1215</v>
      </c>
      <c r="R223" s="20" t="n">
        <v>275</v>
      </c>
      <c r="S223" s="20" t="n">
        <v>-2085</v>
      </c>
      <c r="T223" s="20" t="n">
        <v>-6672</v>
      </c>
      <c r="U223" s="20" t="n">
        <v>-6757</v>
      </c>
      <c r="V223" s="20" t="n">
        <v>5612</v>
      </c>
      <c r="W223" s="20" t="n">
        <v>2507</v>
      </c>
      <c r="X223" s="20" t="n">
        <v>-4248</v>
      </c>
    </row>
    <row r="224">
      <c r="A224" s="18" t="inlineStr">
        <is>
          <t>영업채무 및 기타채무 증감액</t>
        </is>
      </c>
      <c r="C224" s="20" t="n">
        <v>-946</v>
      </c>
      <c r="D224" s="20" t="n">
        <v>-4196</v>
      </c>
      <c r="E224" s="20" t="n">
        <v>-7296</v>
      </c>
      <c r="F224" s="20" t="n">
        <v>-1165</v>
      </c>
      <c r="G224" s="20" t="n">
        <v>1279</v>
      </c>
      <c r="H224" s="20" t="n">
        <v>1415</v>
      </c>
      <c r="I224" s="20" t="n">
        <v>176</v>
      </c>
      <c r="J224" s="20" t="n">
        <v>1044</v>
      </c>
      <c r="K224" s="20" t="n">
        <v>1347</v>
      </c>
      <c r="L224" s="20" t="n">
        <v>2120</v>
      </c>
      <c r="M224" s="20" t="n">
        <v>1927</v>
      </c>
      <c r="N224" s="20" t="n">
        <v>2516</v>
      </c>
      <c r="P224" s="20" t="n">
        <v>4984</v>
      </c>
      <c r="Q224" s="20" t="n">
        <v>-7631</v>
      </c>
      <c r="R224" s="20" t="n">
        <v>86</v>
      </c>
      <c r="S224" s="20" t="n">
        <v>258</v>
      </c>
      <c r="T224" s="20" t="n">
        <v>1022</v>
      </c>
      <c r="U224" s="20" t="n">
        <v>2586</v>
      </c>
      <c r="V224" s="20" t="n">
        <v>-7296</v>
      </c>
      <c r="W224" s="20" t="n">
        <v>176</v>
      </c>
      <c r="X224" s="20" t="n">
        <v>1927</v>
      </c>
    </row>
    <row r="225">
      <c r="A225" s="18" t="inlineStr">
        <is>
          <t>기타</t>
        </is>
      </c>
      <c r="P225" s="20" t="n">
        <v>353</v>
      </c>
      <c r="Q225" s="20" t="n">
        <v>443</v>
      </c>
    </row>
    <row r="226">
      <c r="A226" s="18" t="inlineStr">
        <is>
          <t>기타</t>
        </is>
      </c>
      <c r="C226" s="20" t="n">
        <v>-109</v>
      </c>
      <c r="D226" s="20" t="n">
        <v>552</v>
      </c>
      <c r="E226" s="20" t="n">
        <v>233</v>
      </c>
      <c r="F226" s="20" t="n">
        <v>-411</v>
      </c>
      <c r="G226" s="20" t="n">
        <v>-263</v>
      </c>
      <c r="H226" s="20" t="n">
        <v>-1428</v>
      </c>
      <c r="I226" s="20" t="n">
        <v>-936</v>
      </c>
      <c r="J226" s="20" t="n">
        <v>619</v>
      </c>
      <c r="K226" s="20" t="n">
        <v>-1</v>
      </c>
      <c r="L226" s="20" t="n">
        <v>-273</v>
      </c>
      <c r="M226" s="20" t="n">
        <v>-688</v>
      </c>
      <c r="N226" s="20" t="n">
        <v>417</v>
      </c>
      <c r="Q226" s="20" t="n">
        <v>443</v>
      </c>
      <c r="R226" s="20" t="n">
        <v>241</v>
      </c>
      <c r="S226" s="20" t="n">
        <v>-53</v>
      </c>
      <c r="T226" s="20" t="n">
        <v>382</v>
      </c>
      <c r="U226" s="20" t="n">
        <v>269</v>
      </c>
      <c r="V226" s="20" t="n">
        <v>233</v>
      </c>
      <c r="W226" s="20" t="n">
        <v>-936</v>
      </c>
      <c r="X226" s="20" t="n">
        <v>-688</v>
      </c>
    </row>
    <row r="227">
      <c r="A227" s="18" t="inlineStr">
        <is>
          <t>소계</t>
        </is>
      </c>
      <c r="C227" s="20" t="n">
        <v>12523</v>
      </c>
      <c r="D227" s="20" t="n">
        <v>18887</v>
      </c>
      <c r="E227" s="20" t="n">
        <v>24469</v>
      </c>
      <c r="F227" s="20" t="n">
        <v>6007</v>
      </c>
      <c r="G227" s="20" t="n">
        <v>10159</v>
      </c>
      <c r="H227" s="20" t="n">
        <v>13345</v>
      </c>
      <c r="I227" s="20" t="n">
        <v>18253</v>
      </c>
      <c r="J227" s="20" t="n">
        <v>3726</v>
      </c>
      <c r="K227" s="20" t="n">
        <v>7841</v>
      </c>
      <c r="L227" s="20" t="n">
        <v>9863</v>
      </c>
      <c r="M227" s="20" t="n">
        <v>11718</v>
      </c>
      <c r="N227" s="20" t="n">
        <v>2607</v>
      </c>
      <c r="P227" s="20" t="n">
        <v>7586</v>
      </c>
      <c r="Q227" s="20" t="n">
        <v>5776</v>
      </c>
      <c r="R227" s="20" t="n">
        <v>9297</v>
      </c>
      <c r="S227" s="20" t="n">
        <v>5630</v>
      </c>
      <c r="T227" s="20" t="n">
        <v>9281</v>
      </c>
      <c r="U227" s="20" t="n">
        <v>11793</v>
      </c>
      <c r="V227" s="20" t="n">
        <v>24469</v>
      </c>
      <c r="W227" s="20" t="n">
        <v>18253</v>
      </c>
      <c r="X227" s="20" t="n">
        <v>11718</v>
      </c>
    </row>
    <row r="228">
      <c r="A228" s="18" t="inlineStr">
        <is>
          <t>이자 수취</t>
        </is>
      </c>
      <c r="C228" s="20" t="n">
        <v>125</v>
      </c>
      <c r="D228" s="20" t="n">
        <v>206</v>
      </c>
      <c r="E228" s="20" t="n">
        <v>288</v>
      </c>
      <c r="F228" s="20" t="n">
        <v>95</v>
      </c>
      <c r="G228" s="20" t="n">
        <v>172</v>
      </c>
      <c r="H228" s="20" t="n">
        <v>268</v>
      </c>
      <c r="I228" s="20" t="n">
        <v>332</v>
      </c>
      <c r="J228" s="20" t="n">
        <v>78</v>
      </c>
      <c r="K228" s="20" t="n">
        <v>149</v>
      </c>
      <c r="L228" s="20" t="n">
        <v>201</v>
      </c>
      <c r="M228" s="20" t="n">
        <v>289</v>
      </c>
      <c r="N228" s="20" t="n">
        <v>105</v>
      </c>
      <c r="P228" s="20" t="n">
        <v>44</v>
      </c>
      <c r="Q228" s="20" t="n">
        <v>71</v>
      </c>
      <c r="R228" s="20" t="n">
        <v>65</v>
      </c>
      <c r="S228" s="20" t="n">
        <v>43</v>
      </c>
      <c r="T228" s="20" t="n">
        <v>63</v>
      </c>
      <c r="U228" s="20" t="n">
        <v>122</v>
      </c>
      <c r="V228" s="20" t="n">
        <v>288</v>
      </c>
      <c r="W228" s="20" t="n">
        <v>332</v>
      </c>
      <c r="X228" s="20" t="n">
        <v>289</v>
      </c>
    </row>
    <row r="229">
      <c r="A229" s="18" t="inlineStr">
        <is>
          <t>배당금 수취액</t>
        </is>
      </c>
      <c r="C229" s="20" t="n">
        <v>133</v>
      </c>
      <c r="D229" s="20" t="n">
        <v>230</v>
      </c>
      <c r="E229" s="20" t="n">
        <v>237</v>
      </c>
      <c r="F229" s="20" t="n">
        <v>148</v>
      </c>
      <c r="G229" s="20" t="n">
        <v>163</v>
      </c>
      <c r="H229" s="20" t="n">
        <v>282</v>
      </c>
      <c r="I229" s="20" t="n">
        <v>290</v>
      </c>
      <c r="J229" s="20" t="n">
        <v>161</v>
      </c>
      <c r="K229" s="20" t="n">
        <v>179</v>
      </c>
      <c r="L229" s="20" t="n">
        <v>294</v>
      </c>
      <c r="M229" s="20" t="n">
        <v>303</v>
      </c>
      <c r="N229" s="20" t="n">
        <v>204</v>
      </c>
      <c r="P229" s="20" t="n">
        <v>153</v>
      </c>
      <c r="Q229" s="20" t="n">
        <v>171</v>
      </c>
      <c r="R229" s="20" t="n">
        <v>179</v>
      </c>
      <c r="S229" s="20" t="n">
        <v>150</v>
      </c>
      <c r="T229" s="20" t="n">
        <v>193</v>
      </c>
      <c r="U229" s="20" t="n">
        <v>236</v>
      </c>
      <c r="V229" s="20" t="n">
        <v>237</v>
      </c>
      <c r="W229" s="20" t="n">
        <v>290</v>
      </c>
      <c r="X229" s="20" t="n">
        <v>303</v>
      </c>
    </row>
    <row r="230">
      <c r="A230" s="18" t="inlineStr">
        <is>
          <t>이자 지급</t>
        </is>
      </c>
      <c r="C230" s="20" t="n">
        <v>-89</v>
      </c>
      <c r="D230" s="20" t="n">
        <v>-120</v>
      </c>
      <c r="E230" s="20" t="n">
        <v>-203</v>
      </c>
      <c r="F230" s="20" t="n">
        <v>-59</v>
      </c>
      <c r="G230" s="20" t="n">
        <v>-131</v>
      </c>
      <c r="H230" s="20" t="n">
        <v>-179</v>
      </c>
      <c r="I230" s="20" t="n">
        <v>-311</v>
      </c>
      <c r="J230" s="20" t="n">
        <v>-9</v>
      </c>
      <c r="K230" s="20" t="n">
        <v>-13</v>
      </c>
      <c r="L230" s="20" t="n">
        <v>-19</v>
      </c>
      <c r="M230" s="20" t="n">
        <v>-38</v>
      </c>
      <c r="N230" s="20" t="n">
        <v>-14</v>
      </c>
      <c r="P230" s="20" t="n">
        <v>-22</v>
      </c>
      <c r="Q230" s="20" t="n">
        <v>-108</v>
      </c>
      <c r="R230" s="20" t="n">
        <v>-129</v>
      </c>
      <c r="S230" s="20" t="n">
        <v>-100</v>
      </c>
      <c r="T230" s="20" t="n">
        <v>-96</v>
      </c>
      <c r="U230" s="20" t="n">
        <v>-184</v>
      </c>
      <c r="V230" s="20" t="n">
        <v>-203</v>
      </c>
      <c r="W230" s="20" t="n">
        <v>-311</v>
      </c>
      <c r="X230" s="20" t="n">
        <v>-38</v>
      </c>
    </row>
    <row r="231">
      <c r="A231" s="18" t="inlineStr">
        <is>
          <t>Income Taxes Paid Ope CF</t>
        </is>
      </c>
      <c r="C231" s="20" t="n">
        <v>-2148</v>
      </c>
      <c r="D231" s="20" t="n">
        <v>-3234</v>
      </c>
      <c r="E231" s="20" t="n">
        <v>-3339</v>
      </c>
      <c r="F231" s="20" t="n">
        <v>-1492</v>
      </c>
      <c r="G231" s="20" t="n">
        <v>-1929</v>
      </c>
      <c r="H231" s="20" t="n">
        <v>-2236</v>
      </c>
      <c r="I231" s="20" t="n">
        <v>-2776</v>
      </c>
      <c r="J231" s="20" t="n">
        <v>-306</v>
      </c>
      <c r="K231" s="20" t="n">
        <v>-479</v>
      </c>
      <c r="L231" s="20" t="n">
        <v>-1246</v>
      </c>
      <c r="M231" s="20" t="n">
        <v>-1443</v>
      </c>
      <c r="N231" s="20" t="n">
        <v>-1914</v>
      </c>
      <c r="P231" s="20" t="n">
        <v>-1964</v>
      </c>
      <c r="Q231" s="20" t="n">
        <v>-2852</v>
      </c>
      <c r="R231" s="20" t="n">
        <v>-684</v>
      </c>
      <c r="S231" s="20" t="n">
        <v>-764</v>
      </c>
      <c r="T231" s="20" t="n">
        <v>-1208</v>
      </c>
      <c r="U231" s="20" t="n">
        <v>-3710</v>
      </c>
      <c r="V231" s="20" t="n">
        <v>-3339</v>
      </c>
      <c r="W231" s="20" t="n">
        <v>-2776</v>
      </c>
      <c r="X231" s="20" t="n">
        <v>-1443</v>
      </c>
    </row>
    <row r="232">
      <c r="A232" s="9" t="inlineStr">
        <is>
          <t>영업활동 현금흐름</t>
        </is>
      </c>
      <c r="C232" s="12" t="n">
        <v>10545</v>
      </c>
      <c r="D232" s="12" t="n">
        <v>15969</v>
      </c>
      <c r="E232" s="12" t="n">
        <v>21452</v>
      </c>
      <c r="F232" s="12" t="n">
        <v>4700</v>
      </c>
      <c r="G232" s="12" t="n">
        <v>8434</v>
      </c>
      <c r="H232" s="12" t="n">
        <v>11482</v>
      </c>
      <c r="I232" s="12" t="n">
        <v>15788</v>
      </c>
      <c r="J232" s="12" t="n">
        <v>3650</v>
      </c>
      <c r="K232" s="12" t="n">
        <v>7678</v>
      </c>
      <c r="L232" s="12" t="n">
        <v>9093</v>
      </c>
      <c r="M232" s="12" t="n">
        <v>10829</v>
      </c>
      <c r="N232" s="12" t="n">
        <v>988</v>
      </c>
      <c r="P232" s="12" t="n">
        <v>5797</v>
      </c>
      <c r="Q232" s="12" t="n">
        <v>3058</v>
      </c>
      <c r="R232" s="12" t="n">
        <v>8728</v>
      </c>
      <c r="S232" s="12" t="n">
        <v>4959</v>
      </c>
      <c r="T232" s="12" t="n">
        <v>8234</v>
      </c>
      <c r="U232" s="12" t="n">
        <v>8258</v>
      </c>
      <c r="V232" s="12" t="n">
        <v>21452</v>
      </c>
      <c r="W232" s="12" t="n">
        <v>15788</v>
      </c>
      <c r="X232" s="12" t="n">
        <v>10829</v>
      </c>
    </row>
    <row r="233">
      <c r="A233" s="18" t="inlineStr">
        <is>
          <t>유형자산 취득(설비투자)</t>
        </is>
      </c>
      <c r="C233" s="20" t="n">
        <v>-2788</v>
      </c>
      <c r="D233" s="20" t="n">
        <v>-5147</v>
      </c>
      <c r="E233" s="20" t="n">
        <v>-5731</v>
      </c>
      <c r="F233" s="20" t="n">
        <v>-1196</v>
      </c>
      <c r="G233" s="20" t="n">
        <v>-1630</v>
      </c>
      <c r="H233" s="20" t="n">
        <v>-2018</v>
      </c>
      <c r="I233" s="20" t="n">
        <v>-2666</v>
      </c>
      <c r="J233" s="20" t="n">
        <v>-354</v>
      </c>
      <c r="K233" s="20" t="n">
        <v>-609</v>
      </c>
      <c r="L233" s="20" t="n">
        <v>-1053</v>
      </c>
      <c r="M233" s="20" t="n">
        <v>-1467</v>
      </c>
      <c r="N233" s="20" t="n">
        <v>-723</v>
      </c>
      <c r="P233" s="20" t="n">
        <v>-6142</v>
      </c>
      <c r="Q233" s="20" t="n">
        <v>-6103</v>
      </c>
      <c r="R233" s="20" t="n">
        <v>-4135</v>
      </c>
      <c r="S233" s="20" t="n">
        <v>-3010</v>
      </c>
      <c r="T233" s="20" t="n">
        <v>-3278</v>
      </c>
      <c r="U233" s="20" t="n">
        <v>-3182</v>
      </c>
      <c r="V233" s="20" t="n">
        <v>-5731</v>
      </c>
      <c r="W233" s="20" t="n">
        <v>-2666</v>
      </c>
      <c r="X233" s="20" t="n">
        <v>-1467</v>
      </c>
    </row>
    <row r="234">
      <c r="A234" s="18" t="inlineStr">
        <is>
          <t>무형자산 취득 지출</t>
        </is>
      </c>
      <c r="C234" s="20" t="n">
        <v>-466</v>
      </c>
      <c r="D234" s="20" t="n">
        <v>-765</v>
      </c>
      <c r="E234" s="20" t="n">
        <v>-1028</v>
      </c>
      <c r="F234" s="20" t="n">
        <v>-220</v>
      </c>
      <c r="G234" s="20" t="n">
        <v>-485</v>
      </c>
      <c r="H234" s="20" t="n">
        <v>-819</v>
      </c>
      <c r="I234" s="20" t="n">
        <v>-1135</v>
      </c>
      <c r="J234" s="20" t="n">
        <v>-434</v>
      </c>
      <c r="K234" s="20" t="n">
        <v>-718</v>
      </c>
      <c r="L234" s="20" t="n">
        <v>-1112</v>
      </c>
      <c r="M234" s="20" t="n">
        <v>-1390</v>
      </c>
      <c r="N234" s="20" t="n">
        <v>-232</v>
      </c>
      <c r="P234" s="20" t="n">
        <v>-910</v>
      </c>
      <c r="Q234" s="20" t="n">
        <v>-2055</v>
      </c>
      <c r="R234" s="20" t="n">
        <v>-1570</v>
      </c>
      <c r="S234" s="20" t="n">
        <v>-1150</v>
      </c>
      <c r="T234" s="20" t="n">
        <v>-1416</v>
      </c>
      <c r="U234" s="20" t="n">
        <v>-844</v>
      </c>
      <c r="V234" s="20" t="n">
        <v>-1028</v>
      </c>
      <c r="W234" s="20" t="n">
        <v>-1135</v>
      </c>
      <c r="X234" s="20" t="n">
        <v>-1390</v>
      </c>
    </row>
    <row r="235">
      <c r="A235" s="18" t="inlineStr">
        <is>
          <t>유형·무형자산 처분 수입</t>
        </is>
      </c>
      <c r="C235" s="20" t="n">
        <v>108</v>
      </c>
      <c r="D235" s="20" t="n">
        <v>3</v>
      </c>
      <c r="E235" s="20" t="n">
        <v>2</v>
      </c>
      <c r="F235" s="20" t="n">
        <v>1</v>
      </c>
      <c r="G235" s="20" t="n">
        <v>3</v>
      </c>
      <c r="H235" s="20" t="n">
        <v>11</v>
      </c>
      <c r="I235" s="20" t="n">
        <v>204</v>
      </c>
      <c r="J235" s="20" t="n">
        <v>1</v>
      </c>
      <c r="K235" s="20" t="n">
        <v>1</v>
      </c>
      <c r="L235" s="20" t="n">
        <v>7</v>
      </c>
      <c r="M235" s="20" t="n">
        <v>3</v>
      </c>
      <c r="N235" s="20" t="n">
        <v>0</v>
      </c>
      <c r="P235" s="20" t="n">
        <v>0</v>
      </c>
      <c r="Q235" s="20" t="n">
        <v>38</v>
      </c>
      <c r="R235" s="20" t="n">
        <v>2</v>
      </c>
      <c r="S235" s="20" t="n">
        <v>1</v>
      </c>
      <c r="T235" s="20" t="n">
        <v>14</v>
      </c>
      <c r="U235" s="20" t="n">
        <v>1</v>
      </c>
      <c r="V235" s="20" t="n">
        <v>2</v>
      </c>
      <c r="W235" s="20" t="n">
        <v>204</v>
      </c>
      <c r="X235" s="20" t="n">
        <v>3</v>
      </c>
    </row>
    <row r="236">
      <c r="A236" s="18" t="inlineStr">
        <is>
          <t>Proceeds From Sale Of Other Financial Assets Inv CF</t>
        </is>
      </c>
      <c r="C236" s="20" t="n">
        <v>253</v>
      </c>
      <c r="D236" s="20" t="n">
        <v>280</v>
      </c>
      <c r="E236" s="20" t="n">
        <v>300</v>
      </c>
      <c r="F236" s="20" t="n">
        <v>0</v>
      </c>
      <c r="G236" s="20" t="n">
        <v>1</v>
      </c>
      <c r="H236" s="20" t="n">
        <v>40</v>
      </c>
      <c r="I236" s="20" t="n">
        <v>1006</v>
      </c>
      <c r="J236" s="20" t="n">
        <v>29</v>
      </c>
      <c r="K236" s="20" t="n">
        <v>71</v>
      </c>
      <c r="L236" s="20" t="n">
        <v>73</v>
      </c>
      <c r="M236" s="20" t="n">
        <v>336</v>
      </c>
      <c r="N236" s="20" t="n">
        <v>32</v>
      </c>
      <c r="P236" s="20" t="n">
        <v>456</v>
      </c>
      <c r="Q236" s="20" t="n">
        <v>565</v>
      </c>
      <c r="R236" s="20" t="n">
        <v>122</v>
      </c>
      <c r="S236" s="20" t="n">
        <v>18</v>
      </c>
      <c r="T236" s="20" t="n">
        <v>63</v>
      </c>
      <c r="U236" s="20" t="n">
        <v>23</v>
      </c>
      <c r="V236" s="20" t="n">
        <v>300</v>
      </c>
      <c r="W236" s="20" t="n">
        <v>1006</v>
      </c>
      <c r="X236" s="20" t="n">
        <v>336</v>
      </c>
    </row>
    <row r="237">
      <c r="A237" s="18" t="inlineStr">
        <is>
          <t>기타</t>
        </is>
      </c>
      <c r="C237" s="20" t="n">
        <v>52</v>
      </c>
      <c r="D237" s="20" t="n">
        <v>80</v>
      </c>
      <c r="E237" s="20" t="n">
        <v>-8</v>
      </c>
      <c r="F237" s="20" t="n">
        <v>-362</v>
      </c>
      <c r="G237" s="20" t="n">
        <v>-400</v>
      </c>
      <c r="H237" s="20" t="n">
        <v>-471</v>
      </c>
      <c r="I237" s="20" t="n">
        <v>-1142</v>
      </c>
      <c r="J237" s="20" t="n">
        <v>484</v>
      </c>
      <c r="K237" s="20" t="n">
        <v>-1847</v>
      </c>
      <c r="L237" s="20" t="n">
        <v>-2745</v>
      </c>
      <c r="M237" s="20" t="n">
        <v>-5140</v>
      </c>
      <c r="N237" s="20" t="n">
        <v>-551</v>
      </c>
      <c r="P237" s="20" t="n">
        <v>-174</v>
      </c>
      <c r="Q237" s="20" t="n">
        <v>-610</v>
      </c>
      <c r="R237" s="20" t="n">
        <v>250</v>
      </c>
      <c r="S237" s="20" t="n">
        <v>-153</v>
      </c>
      <c r="T237" s="20" t="n">
        <v>-209</v>
      </c>
      <c r="U237" s="20" t="n">
        <v>-420</v>
      </c>
      <c r="V237" s="20" t="n">
        <v>-8</v>
      </c>
      <c r="W237" s="20" t="n">
        <v>-1142</v>
      </c>
      <c r="X237" s="20" t="n">
        <v>-5140</v>
      </c>
    </row>
    <row r="238">
      <c r="A238" s="9" t="inlineStr">
        <is>
          <t>투자활동 현금흐름</t>
        </is>
      </c>
      <c r="C238" s="12" t="n">
        <v>-2839</v>
      </c>
      <c r="D238" s="12" t="n">
        <v>-5548</v>
      </c>
      <c r="E238" s="12" t="n">
        <v>-6466</v>
      </c>
      <c r="F238" s="12" t="n">
        <v>-1776</v>
      </c>
      <c r="G238" s="12" t="n">
        <v>-2511</v>
      </c>
      <c r="H238" s="12" t="n">
        <v>-3256</v>
      </c>
      <c r="I238" s="12" t="n">
        <v>-3734</v>
      </c>
      <c r="J238" s="12" t="n">
        <v>-273</v>
      </c>
      <c r="K238" s="12" t="n">
        <v>-3102</v>
      </c>
      <c r="L238" s="12" t="n">
        <v>-4830</v>
      </c>
      <c r="M238" s="12" t="n">
        <v>-7658</v>
      </c>
      <c r="N238" s="12" t="n">
        <v>-1475</v>
      </c>
      <c r="P238" s="12" t="n">
        <v>-6770</v>
      </c>
      <c r="Q238" s="12" t="n">
        <v>-8164</v>
      </c>
      <c r="R238" s="12" t="n">
        <v>-5330</v>
      </c>
      <c r="S238" s="12" t="n">
        <v>-4294</v>
      </c>
      <c r="T238" s="12" t="n">
        <v>-4826</v>
      </c>
      <c r="U238" s="12" t="n">
        <v>-4422</v>
      </c>
      <c r="V238" s="12" t="n">
        <v>-6466</v>
      </c>
      <c r="W238" s="12" t="n">
        <v>-3734</v>
      </c>
      <c r="X238" s="12" t="n">
        <v>-7658</v>
      </c>
    </row>
    <row r="239">
      <c r="A239" s="18" t="inlineStr">
        <is>
          <t>단기차입금 순증감액</t>
        </is>
      </c>
      <c r="C239" s="20" t="n">
        <v>-7512</v>
      </c>
      <c r="D239" s="20" t="n">
        <v>-6884</v>
      </c>
      <c r="E239" s="20" t="n">
        <v>-7173</v>
      </c>
      <c r="F239" s="20" t="n">
        <v>-467</v>
      </c>
      <c r="G239" s="20" t="n">
        <v>-915</v>
      </c>
      <c r="H239" s="20" t="n">
        <v>-1973</v>
      </c>
      <c r="I239" s="20" t="n">
        <v>-3435</v>
      </c>
      <c r="J239" s="20" t="n">
        <v>0</v>
      </c>
      <c r="K239" s="20" t="n">
        <v>-400</v>
      </c>
      <c r="L239" s="20" t="n">
        <v>-400</v>
      </c>
      <c r="M239" s="20" t="n">
        <v>52</v>
      </c>
      <c r="N239" s="20" t="n">
        <v>-478</v>
      </c>
      <c r="P239" s="20" t="n">
        <v>-1063</v>
      </c>
      <c r="Q239" s="20" t="n">
        <v>2447</v>
      </c>
      <c r="R239" s="20" t="n">
        <v>-200</v>
      </c>
      <c r="S239" s="20" t="n">
        <v>800</v>
      </c>
      <c r="T239" s="20" t="n">
        <v>2074</v>
      </c>
      <c r="U239" s="20" t="n">
        <v>1474</v>
      </c>
      <c r="V239" s="20" t="n">
        <v>-7173</v>
      </c>
      <c r="W239" s="20" t="n">
        <v>-3435</v>
      </c>
      <c r="X239" s="20" t="n">
        <v>52</v>
      </c>
    </row>
    <row r="240">
      <c r="A240" s="18" t="inlineStr">
        <is>
          <t>Proceeds From Long Term Borrowings Fin CF</t>
        </is>
      </c>
      <c r="C240" s="20" t="n">
        <v>1500</v>
      </c>
      <c r="D240" s="20" t="n">
        <v>2216</v>
      </c>
      <c r="E240" s="20" t="n">
        <v>2223</v>
      </c>
      <c r="F240" s="20" t="n">
        <v>0</v>
      </c>
      <c r="G240" s="20" t="n">
        <v>0</v>
      </c>
      <c r="H240" s="20" t="n">
        <v>0</v>
      </c>
      <c r="I240" s="20" t="n">
        <v>0</v>
      </c>
      <c r="L240" s="20" t="n">
        <v>100</v>
      </c>
      <c r="M240" s="20" t="n">
        <v>100</v>
      </c>
      <c r="P240" s="20" t="n">
        <v>4058</v>
      </c>
      <c r="Q240" s="20" t="n">
        <v>2987</v>
      </c>
      <c r="R240" s="20" t="n">
        <v>2000</v>
      </c>
      <c r="S240" s="20" t="n">
        <v>2300</v>
      </c>
      <c r="T240" s="20" t="n">
        <v>1123</v>
      </c>
      <c r="U240" s="20" t="n">
        <v>0</v>
      </c>
      <c r="V240" s="20" t="n">
        <v>2223</v>
      </c>
      <c r="W240" s="20" t="n">
        <v>0</v>
      </c>
      <c r="X240" s="20" t="n">
        <v>100</v>
      </c>
    </row>
    <row r="241">
      <c r="A241" s="18" t="inlineStr">
        <is>
          <t>장기차입금 상환</t>
        </is>
      </c>
      <c r="C241" s="20" t="n">
        <v>-1043</v>
      </c>
      <c r="D241" s="20" t="n">
        <v>-1605</v>
      </c>
      <c r="E241" s="20" t="n">
        <v>-2169</v>
      </c>
      <c r="F241" s="20" t="n">
        <v>-567</v>
      </c>
      <c r="G241" s="20" t="n">
        <v>-1152</v>
      </c>
      <c r="H241" s="20" t="n">
        <v>-1938</v>
      </c>
      <c r="I241" s="20" t="n">
        <v>-3710</v>
      </c>
      <c r="J241" s="20" t="n">
        <v>-309</v>
      </c>
      <c r="K241" s="20" t="n">
        <v>-590</v>
      </c>
      <c r="L241" s="20" t="n">
        <v>-849</v>
      </c>
      <c r="M241" s="20" t="n">
        <v>-1068</v>
      </c>
      <c r="N241" s="20" t="n">
        <v>-151</v>
      </c>
      <c r="P241" s="20" t="n">
        <v>-310</v>
      </c>
      <c r="Q241" s="20" t="n">
        <v>-326</v>
      </c>
      <c r="R241" s="20" t="n">
        <v>-1024</v>
      </c>
      <c r="S241" s="20" t="n">
        <v>-1586</v>
      </c>
      <c r="T241" s="20" t="n">
        <v>-1887</v>
      </c>
      <c r="U241" s="20" t="n">
        <v>-2006</v>
      </c>
      <c r="V241" s="20" t="n">
        <v>-2169</v>
      </c>
      <c r="W241" s="20" t="n">
        <v>-3710</v>
      </c>
      <c r="X241" s="20" t="n">
        <v>-1068</v>
      </c>
    </row>
    <row r="242">
      <c r="A242" s="18" t="inlineStr">
        <is>
          <t>자기주식 취득</t>
        </is>
      </c>
      <c r="C242" s="20" t="n">
        <v>-4</v>
      </c>
      <c r="D242" s="20" t="n">
        <v>-5</v>
      </c>
      <c r="E242" s="20" t="n">
        <v>-1145</v>
      </c>
      <c r="F242" s="20" t="n">
        <v>-1</v>
      </c>
      <c r="G242" s="20" t="n">
        <v>-3</v>
      </c>
      <c r="H242" s="20" t="n">
        <v>-4</v>
      </c>
      <c r="I242" s="20" t="n">
        <v>-6</v>
      </c>
      <c r="J242" s="20" t="n">
        <v>-974</v>
      </c>
      <c r="K242" s="20" t="n">
        <v>-976</v>
      </c>
      <c r="L242" s="20" t="n">
        <v>-977</v>
      </c>
      <c r="M242" s="20" t="n">
        <v>-977</v>
      </c>
      <c r="N242" s="20" t="n">
        <v>-0</v>
      </c>
      <c r="P242" s="20" t="n">
        <v>-969</v>
      </c>
      <c r="Q242" s="20" t="n">
        <v>-3</v>
      </c>
      <c r="R242" s="20" t="n">
        <v>-4</v>
      </c>
      <c r="S242" s="20" t="n">
        <v>-4</v>
      </c>
      <c r="T242" s="20" t="n">
        <v>-7</v>
      </c>
      <c r="U242" s="20" t="n">
        <v>-4</v>
      </c>
      <c r="V242" s="20" t="n">
        <v>-1145</v>
      </c>
      <c r="W242" s="20" t="n">
        <v>-6</v>
      </c>
      <c r="X242" s="20" t="n">
        <v>-977</v>
      </c>
    </row>
    <row r="243">
      <c r="A243" s="18" t="inlineStr">
        <is>
          <t>배당금 지급</t>
        </is>
      </c>
      <c r="C243" s="20" t="n">
        <v>-845</v>
      </c>
      <c r="D243" s="20" t="n">
        <v>-1694</v>
      </c>
      <c r="E243" s="20" t="n">
        <v>-1691</v>
      </c>
      <c r="F243" s="20" t="n">
        <v>-894</v>
      </c>
      <c r="G243" s="20" t="n">
        <v>-892</v>
      </c>
      <c r="H243" s="20" t="n">
        <v>-1787</v>
      </c>
      <c r="I243" s="20" t="n">
        <v>-1786</v>
      </c>
      <c r="J243" s="20" t="n">
        <v>-1074</v>
      </c>
      <c r="K243" s="20" t="n">
        <v>-1067</v>
      </c>
      <c r="L243" s="20" t="n">
        <v>-2251</v>
      </c>
      <c r="M243" s="20" t="n">
        <v>-2248</v>
      </c>
      <c r="N243" s="20" t="n">
        <v>-2490</v>
      </c>
      <c r="P243" s="20" t="n">
        <v>-1158</v>
      </c>
      <c r="Q243" s="20" t="n">
        <v>-1327</v>
      </c>
      <c r="R243" s="20" t="n">
        <v>-1270</v>
      </c>
      <c r="S243" s="20" t="n">
        <v>-908</v>
      </c>
      <c r="T243" s="20" t="n">
        <v>-1327</v>
      </c>
      <c r="U243" s="20" t="n">
        <v>-1509</v>
      </c>
      <c r="V243" s="20" t="n">
        <v>-1691</v>
      </c>
      <c r="W243" s="20" t="n">
        <v>-1786</v>
      </c>
      <c r="X243" s="20" t="n">
        <v>-2248</v>
      </c>
    </row>
    <row r="244">
      <c r="A244" s="18" t="inlineStr">
        <is>
          <t>기타</t>
        </is>
      </c>
      <c r="C244" s="20" t="n">
        <v>-343</v>
      </c>
      <c r="D244" s="20" t="n">
        <v>-534</v>
      </c>
      <c r="E244" s="20" t="n">
        <v>-710</v>
      </c>
      <c r="F244" s="20" t="n">
        <v>-196</v>
      </c>
      <c r="G244" s="20" t="n">
        <v>-385</v>
      </c>
      <c r="H244" s="20" t="n">
        <v>-558</v>
      </c>
      <c r="I244" s="20" t="n">
        <v>-749</v>
      </c>
      <c r="J244" s="20" t="n">
        <v>-188</v>
      </c>
      <c r="K244" s="20" t="n">
        <v>-400</v>
      </c>
      <c r="L244" s="20" t="n">
        <v>-585</v>
      </c>
      <c r="M244" s="20" t="n">
        <v>-780</v>
      </c>
      <c r="N244" s="20" t="n">
        <v>-194</v>
      </c>
      <c r="P244" s="20" t="n">
        <v>-133</v>
      </c>
      <c r="Q244" s="20" t="n">
        <v>-94</v>
      </c>
      <c r="R244" s="20" t="n">
        <v>-614</v>
      </c>
      <c r="S244" s="20" t="n">
        <v>-590</v>
      </c>
      <c r="T244" s="20" t="n">
        <v>-598</v>
      </c>
      <c r="U244" s="20" t="n">
        <v>-629</v>
      </c>
      <c r="V244" s="20" t="n">
        <v>-710</v>
      </c>
      <c r="W244" s="20" t="n">
        <v>-749</v>
      </c>
      <c r="X244" s="20" t="n">
        <v>-780</v>
      </c>
    </row>
    <row r="245">
      <c r="A245" s="9" t="inlineStr">
        <is>
          <t>재무활동 현금흐름</t>
        </is>
      </c>
      <c r="C245" s="12" t="n">
        <v>-8248</v>
      </c>
      <c r="D245" s="12" t="n">
        <v>-8507</v>
      </c>
      <c r="E245" s="12" t="n">
        <v>-10666</v>
      </c>
      <c r="F245" s="12" t="n">
        <v>-2127</v>
      </c>
      <c r="G245" s="12" t="n">
        <v>-3349</v>
      </c>
      <c r="H245" s="12" t="n">
        <v>-6262</v>
      </c>
      <c r="I245" s="12" t="n">
        <v>-9690</v>
      </c>
      <c r="J245" s="12" t="n">
        <v>-2546</v>
      </c>
      <c r="K245" s="12" t="n">
        <v>-3435</v>
      </c>
      <c r="L245" s="12" t="n">
        <v>-4963</v>
      </c>
      <c r="M245" s="12" t="n">
        <v>-4923</v>
      </c>
      <c r="N245" s="12" t="n">
        <v>-3315</v>
      </c>
      <c r="P245" s="12" t="n">
        <v>422</v>
      </c>
      <c r="Q245" s="12" t="n">
        <v>3682</v>
      </c>
      <c r="R245" s="12" t="n">
        <v>-1113</v>
      </c>
      <c r="S245" s="12" t="n">
        <v>10</v>
      </c>
      <c r="T245" s="12" t="n">
        <v>-622</v>
      </c>
      <c r="U245" s="12" t="n">
        <v>-2675</v>
      </c>
      <c r="V245" s="12" t="n">
        <v>-10666</v>
      </c>
      <c r="W245" s="12" t="n">
        <v>-9690</v>
      </c>
      <c r="X245" s="12" t="n">
        <v>-4923</v>
      </c>
    </row>
    <row r="246">
      <c r="A246" s="18" t="inlineStr">
        <is>
          <t>현금성자산 환산차이</t>
        </is>
      </c>
      <c r="C246" s="20" t="n">
        <v>1359</v>
      </c>
      <c r="D246" s="20" t="n">
        <v>811</v>
      </c>
      <c r="E246" s="20" t="n">
        <v>1819</v>
      </c>
      <c r="F246" s="20" t="n">
        <v>1147</v>
      </c>
      <c r="G246" s="20" t="n">
        <v>-755</v>
      </c>
      <c r="H246" s="20" t="n">
        <v>836</v>
      </c>
      <c r="I246" s="20" t="n">
        <v>-152</v>
      </c>
      <c r="J246" s="20" t="n">
        <v>-198</v>
      </c>
      <c r="K246" s="20" t="n">
        <v>288</v>
      </c>
      <c r="L246" s="20" t="n">
        <v>1232</v>
      </c>
      <c r="M246" s="20" t="n">
        <v>1573</v>
      </c>
      <c r="N246" s="20" t="n">
        <v>363</v>
      </c>
      <c r="P246" s="20" t="n">
        <v>-33</v>
      </c>
      <c r="Q246" s="20" t="n">
        <v>-66</v>
      </c>
      <c r="R246" s="20" t="n">
        <v>-335</v>
      </c>
      <c r="S246" s="20" t="n">
        <v>529</v>
      </c>
      <c r="T246" s="20" t="n">
        <v>1145</v>
      </c>
      <c r="U246" s="20" t="n">
        <v>609</v>
      </c>
      <c r="V246" s="20" t="n">
        <v>1819</v>
      </c>
      <c r="W246" s="20" t="n">
        <v>-152</v>
      </c>
      <c r="X246" s="20" t="n">
        <v>1573</v>
      </c>
    </row>
    <row r="247">
      <c r="A247" s="18" t="inlineStr">
        <is>
          <t>Net Increase Decrease In Cash And Cash Equivalents</t>
        </is>
      </c>
      <c r="C247" s="20" t="n">
        <v>815</v>
      </c>
      <c r="D247" s="20" t="n">
        <v>2725</v>
      </c>
      <c r="E247" s="20" t="n">
        <v>6138</v>
      </c>
      <c r="F247" s="20" t="n">
        <v>1944</v>
      </c>
      <c r="G247" s="20" t="n">
        <v>1818</v>
      </c>
      <c r="H247" s="20" t="n">
        <v>2798</v>
      </c>
      <c r="I247" s="20" t="n">
        <v>2211</v>
      </c>
      <c r="J247" s="20" t="n">
        <v>631</v>
      </c>
      <c r="K247" s="20" t="n">
        <v>1428</v>
      </c>
      <c r="L247" s="20" t="n">
        <v>531</v>
      </c>
      <c r="M247" s="20" t="n">
        <v>-178</v>
      </c>
      <c r="N247" s="20" t="n">
        <v>-3439</v>
      </c>
      <c r="P247" s="20" t="n">
        <v>-584</v>
      </c>
      <c r="Q247" s="20" t="n">
        <v>-1489</v>
      </c>
      <c r="R247" s="20" t="n">
        <v>1949</v>
      </c>
      <c r="S247" s="20" t="n">
        <v>1205</v>
      </c>
      <c r="T247" s="20" t="n">
        <v>3930</v>
      </c>
      <c r="U247" s="20" t="n">
        <v>1770</v>
      </c>
      <c r="V247" s="20" t="n">
        <v>6138</v>
      </c>
      <c r="W247" s="20" t="n">
        <v>2211</v>
      </c>
      <c r="X247" s="20" t="n">
        <v>-178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6516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94986</v>
      </c>
      <c r="D5" s="12" t="n">
        <v>99162</v>
      </c>
      <c r="E5" s="12" t="n">
        <v>104160</v>
      </c>
      <c r="F5" s="12" t="n">
        <v>107320</v>
      </c>
      <c r="G5" s="12" t="n">
        <v>110944</v>
      </c>
      <c r="H5" s="11" t="n">
        <v>84253</v>
      </c>
      <c r="I5" s="12" t="n">
        <v>99660</v>
      </c>
      <c r="J5" s="12" t="n">
        <v>96958</v>
      </c>
      <c r="K5" s="12" t="n">
        <v>94862</v>
      </c>
      <c r="L5" s="12" t="n">
        <v>107320</v>
      </c>
    </row>
    <row r="6">
      <c r="A6" s="18" t="inlineStr">
        <is>
          <t>현금및현금성자산</t>
        </is>
      </c>
      <c r="B6" s="10" t="n"/>
      <c r="C6" s="19" t="n">
        <v>29530</v>
      </c>
      <c r="D6" s="20" t="n">
        <v>30327</v>
      </c>
      <c r="E6" s="20" t="n">
        <v>29430</v>
      </c>
      <c r="F6" s="20" t="n">
        <v>28719</v>
      </c>
      <c r="G6" s="20" t="n">
        <v>25280</v>
      </c>
      <c r="H6" s="19" t="n">
        <v>18778</v>
      </c>
      <c r="I6" s="20" t="n">
        <v>20548</v>
      </c>
      <c r="J6" s="20" t="n">
        <v>26687</v>
      </c>
      <c r="K6" s="20" t="n">
        <v>28898</v>
      </c>
      <c r="L6" s="20" t="n">
        <v>28719</v>
      </c>
    </row>
    <row r="7">
      <c r="A7" s="18" t="inlineStr">
        <is>
          <t>단기금융상품</t>
        </is>
      </c>
      <c r="B7" s="10" t="n"/>
      <c r="C7" s="19" t="n">
        <v>1107</v>
      </c>
      <c r="D7" s="20" t="n">
        <v>3479</v>
      </c>
      <c r="E7" s="20" t="n">
        <v>4504</v>
      </c>
      <c r="F7" s="20" t="n">
        <v>5422</v>
      </c>
      <c r="G7" s="20" t="n">
        <v>6089</v>
      </c>
      <c r="H7" s="19" t="n">
        <v>267</v>
      </c>
      <c r="I7" s="20" t="n">
        <v>884</v>
      </c>
      <c r="J7" s="20" t="n">
        <v>691</v>
      </c>
      <c r="K7" s="20" t="n">
        <v>1594</v>
      </c>
      <c r="L7" s="20" t="n">
        <v>5422</v>
      </c>
    </row>
    <row r="8">
      <c r="A8" s="18" t="inlineStr">
        <is>
          <t>매출채권</t>
        </is>
      </c>
      <c r="B8" s="10" t="n"/>
      <c r="C8" s="19" t="n">
        <v>28610</v>
      </c>
      <c r="D8" s="20" t="n">
        <v>29025</v>
      </c>
      <c r="E8" s="20" t="n">
        <v>30675</v>
      </c>
      <c r="F8" s="20" t="n">
        <v>32044</v>
      </c>
      <c r="G8" s="20" t="n">
        <v>34127</v>
      </c>
      <c r="H8" s="19" t="n">
        <v>32374</v>
      </c>
      <c r="I8" s="20" t="n">
        <v>37303</v>
      </c>
      <c r="J8" s="20" t="n">
        <v>32095</v>
      </c>
      <c r="K8" s="20" t="n">
        <v>29143</v>
      </c>
      <c r="L8" s="20" t="n">
        <v>32044</v>
      </c>
    </row>
    <row r="9">
      <c r="A9" s="18" t="inlineStr">
        <is>
          <t>재고자산</t>
        </is>
      </c>
      <c r="B9" s="10" t="n"/>
      <c r="C9" s="19" t="n">
        <v>34397</v>
      </c>
      <c r="D9" s="20" t="n">
        <v>35119</v>
      </c>
      <c r="E9" s="20" t="n">
        <v>37736</v>
      </c>
      <c r="F9" s="20" t="n">
        <v>39860</v>
      </c>
      <c r="G9" s="20" t="n">
        <v>43353</v>
      </c>
      <c r="H9" s="19" t="n">
        <v>32286</v>
      </c>
      <c r="I9" s="20" t="n">
        <v>40123</v>
      </c>
      <c r="J9" s="20" t="n">
        <v>36848</v>
      </c>
      <c r="K9" s="20" t="n">
        <v>34151</v>
      </c>
      <c r="L9" s="20" t="n">
        <v>39860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51057</v>
      </c>
      <c r="D11" s="12" t="n">
        <v>53050</v>
      </c>
      <c r="E11" s="12" t="n">
        <v>55574</v>
      </c>
      <c r="F11" s="12" t="n">
        <v>59047</v>
      </c>
      <c r="G11" s="12" t="n">
        <v>64959</v>
      </c>
      <c r="H11" s="11" t="n">
        <v>44413</v>
      </c>
      <c r="I11" s="12" t="n">
        <v>44211</v>
      </c>
      <c r="J11" s="12" t="n">
        <v>53729</v>
      </c>
      <c r="K11" s="12" t="n">
        <v>50765</v>
      </c>
      <c r="L11" s="12" t="n">
        <v>59047</v>
      </c>
    </row>
    <row r="12">
      <c r="A12" s="18" t="inlineStr">
        <is>
          <t>유형자산</t>
        </is>
      </c>
      <c r="B12" s="10" t="n"/>
      <c r="C12" s="19" t="n">
        <v>23632</v>
      </c>
      <c r="D12" s="20" t="n">
        <v>23404</v>
      </c>
      <c r="E12" s="20" t="n">
        <v>23438</v>
      </c>
      <c r="F12" s="20" t="n">
        <v>23263</v>
      </c>
      <c r="G12" s="20" t="n">
        <v>23063</v>
      </c>
      <c r="H12" s="19" t="n">
        <v>24985</v>
      </c>
      <c r="I12" s="20" t="n">
        <v>24106</v>
      </c>
      <c r="J12" s="20" t="n">
        <v>27271</v>
      </c>
      <c r="K12" s="20" t="n">
        <v>24592</v>
      </c>
      <c r="L12" s="20" t="n">
        <v>23263</v>
      </c>
    </row>
    <row r="13">
      <c r="A13" s="18" t="inlineStr">
        <is>
          <t>무형자산</t>
        </is>
      </c>
      <c r="B13" s="10" t="n"/>
      <c r="C13" s="19" t="n">
        <v>5127</v>
      </c>
      <c r="D13" s="20" t="n">
        <v>5153</v>
      </c>
      <c r="E13" s="20" t="n">
        <v>5260</v>
      </c>
      <c r="F13" s="20" t="n">
        <v>5299</v>
      </c>
      <c r="G13" s="20" t="n">
        <v>5351</v>
      </c>
      <c r="H13" s="19" t="n">
        <v>5214</v>
      </c>
      <c r="I13" s="20" t="n">
        <v>4996</v>
      </c>
      <c r="J13" s="20" t="n">
        <v>4807</v>
      </c>
      <c r="K13" s="20" t="n">
        <v>4940</v>
      </c>
      <c r="L13" s="20" t="n">
        <v>5299</v>
      </c>
    </row>
    <row r="14">
      <c r="A14" s="18" t="inlineStr">
        <is>
          <t>투자부동산</t>
        </is>
      </c>
      <c r="B14" s="10" t="n"/>
      <c r="C14" s="19" t="n">
        <v>1503</v>
      </c>
      <c r="D14" s="20" t="n">
        <v>1503</v>
      </c>
      <c r="E14" s="20" t="n">
        <v>1503</v>
      </c>
      <c r="F14" s="20" t="n">
        <v>1503</v>
      </c>
      <c r="G14" s="20" t="n">
        <v>1503</v>
      </c>
      <c r="H14" s="19" t="n">
        <v>1503</v>
      </c>
      <c r="I14" s="20" t="n">
        <v>1503</v>
      </c>
      <c r="J14" s="20" t="n">
        <v>1503</v>
      </c>
      <c r="K14" s="20" t="n">
        <v>1503</v>
      </c>
      <c r="L14" s="20" t="n">
        <v>1503</v>
      </c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146044</v>
      </c>
      <c r="D16" s="12" t="n">
        <v>152213</v>
      </c>
      <c r="E16" s="12" t="n">
        <v>159734</v>
      </c>
      <c r="F16" s="12" t="n">
        <v>166367</v>
      </c>
      <c r="G16" s="12" t="n">
        <v>175904</v>
      </c>
      <c r="H16" s="11" t="n">
        <v>128667</v>
      </c>
      <c r="I16" s="12" t="n">
        <v>143871</v>
      </c>
      <c r="J16" s="12" t="n">
        <v>150688</v>
      </c>
      <c r="K16" s="12" t="n">
        <v>145628</v>
      </c>
      <c r="L16" s="12" t="n">
        <v>166367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24529</v>
      </c>
      <c r="D18" s="12" t="n">
        <v>25294</v>
      </c>
      <c r="E18" s="12" t="n">
        <v>26682</v>
      </c>
      <c r="F18" s="12" t="n">
        <v>27851</v>
      </c>
      <c r="G18" s="12" t="n">
        <v>30242</v>
      </c>
      <c r="H18" s="11" t="n">
        <v>36176</v>
      </c>
      <c r="I18" s="12" t="n">
        <v>41168</v>
      </c>
      <c r="J18" s="12" t="n">
        <v>30137</v>
      </c>
      <c r="K18" s="12" t="n">
        <v>23533</v>
      </c>
      <c r="L18" s="12" t="n">
        <v>27851</v>
      </c>
    </row>
    <row r="19">
      <c r="A19" s="18" t="inlineStr">
        <is>
          <t>매입채무</t>
        </is>
      </c>
      <c r="B19" s="10" t="n"/>
      <c r="C19" s="19" t="n">
        <v>17265</v>
      </c>
      <c r="D19" s="20" t="n">
        <v>18204</v>
      </c>
      <c r="E19" s="20" t="n">
        <v>19557</v>
      </c>
      <c r="F19" s="20" t="n">
        <v>19771</v>
      </c>
      <c r="G19" s="20" t="n">
        <v>22657</v>
      </c>
      <c r="H19" s="19" t="n">
        <v>18772</v>
      </c>
      <c r="I19" s="20" t="n">
        <v>21893</v>
      </c>
      <c r="J19" s="20" t="n">
        <v>17441</v>
      </c>
      <c r="K19" s="20" t="n">
        <v>16649</v>
      </c>
      <c r="L19" s="20" t="n">
        <v>19771</v>
      </c>
    </row>
    <row r="20">
      <c r="A20" s="18" t="inlineStr">
        <is>
          <t>단기차입금</t>
        </is>
      </c>
      <c r="B20" s="10" t="n"/>
      <c r="C20" s="19" t="n">
        <v>3100</v>
      </c>
      <c r="D20" s="20" t="n">
        <v>2567</v>
      </c>
      <c r="E20" s="20" t="n">
        <v>2475</v>
      </c>
      <c r="F20" s="20" t="n">
        <v>2887</v>
      </c>
      <c r="G20" s="20" t="n">
        <v>2407</v>
      </c>
      <c r="H20" s="19" t="n">
        <v>12862</v>
      </c>
      <c r="I20" s="20" t="n">
        <v>14440</v>
      </c>
      <c r="J20" s="20" t="n">
        <v>7984</v>
      </c>
      <c r="K20" s="20" t="n">
        <v>3263</v>
      </c>
      <c r="L20" s="20" t="n">
        <v>2887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>
        <v>607</v>
      </c>
      <c r="G21" s="20" t="n"/>
      <c r="H21" s="19" t="n">
        <v>1622</v>
      </c>
      <c r="I21" s="20" t="n">
        <v>1622</v>
      </c>
      <c r="J21" s="20" t="n">
        <v>1920</v>
      </c>
      <c r="K21" s="20" t="n">
        <v>1063</v>
      </c>
      <c r="L21" s="20" t="n">
        <v>607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8863</v>
      </c>
      <c r="D23" s="12" t="n">
        <v>9172</v>
      </c>
      <c r="E23" s="12" t="n">
        <v>10401</v>
      </c>
      <c r="F23" s="12" t="n">
        <v>10654</v>
      </c>
      <c r="G23" s="12" t="n">
        <v>12208</v>
      </c>
      <c r="H23" s="11" t="n">
        <v>11835</v>
      </c>
      <c r="I23" s="12" t="n">
        <v>9486</v>
      </c>
      <c r="J23" s="12" t="n">
        <v>10177</v>
      </c>
      <c r="K23" s="12" t="n">
        <v>8747</v>
      </c>
      <c r="L23" s="12" t="n">
        <v>10654</v>
      </c>
    </row>
    <row r="24">
      <c r="A24" s="18" t="inlineStr">
        <is>
          <t>장기차입금</t>
        </is>
      </c>
      <c r="B24" s="10" t="n"/>
      <c r="C24" s="19" t="n">
        <v>1390</v>
      </c>
      <c r="D24" s="20" t="n">
        <v>1243</v>
      </c>
      <c r="E24" s="20" t="n">
        <v>1176</v>
      </c>
      <c r="F24" s="20" t="n">
        <v>1025</v>
      </c>
      <c r="G24" s="20" t="n">
        <v>873</v>
      </c>
      <c r="H24" s="19" t="n">
        <v>5984</v>
      </c>
      <c r="I24" s="20" t="n">
        <v>4158</v>
      </c>
      <c r="J24" s="20" t="n">
        <v>3934</v>
      </c>
      <c r="K24" s="20" t="n">
        <v>1537</v>
      </c>
      <c r="L24" s="20" t="n">
        <v>1025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33392</v>
      </c>
      <c r="D27" s="12" t="n">
        <v>34467</v>
      </c>
      <c r="E27" s="12" t="n">
        <v>37084</v>
      </c>
      <c r="F27" s="12" t="n">
        <v>38506</v>
      </c>
      <c r="G27" s="12" t="n">
        <v>42450</v>
      </c>
      <c r="H27" s="11" t="n">
        <v>48012</v>
      </c>
      <c r="I27" s="12" t="n">
        <v>50654</v>
      </c>
      <c r="J27" s="12" t="n">
        <v>40314</v>
      </c>
      <c r="K27" s="12" t="n">
        <v>32280</v>
      </c>
      <c r="L27" s="12" t="n">
        <v>38506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112651</v>
      </c>
      <c r="D31" s="12" t="n">
        <v>117745</v>
      </c>
      <c r="E31" s="12" t="n">
        <v>122649</v>
      </c>
      <c r="F31" s="12" t="n">
        <v>127860</v>
      </c>
      <c r="G31" s="12" t="n">
        <v>133453</v>
      </c>
      <c r="H31" s="11" t="n">
        <v>80645</v>
      </c>
      <c r="I31" s="12" t="n">
        <v>93205</v>
      </c>
      <c r="J31" s="12" t="n">
        <v>110358</v>
      </c>
      <c r="K31" s="12" t="n">
        <v>113347</v>
      </c>
      <c r="L31" s="12" t="n">
        <v>127860</v>
      </c>
    </row>
    <row r="32">
      <c r="A32" s="18" t="inlineStr">
        <is>
          <t>자본금</t>
        </is>
      </c>
      <c r="B32" s="10" t="n"/>
      <c r="C32" s="19" t="n">
        <v>9926</v>
      </c>
      <c r="D32" s="20" t="n">
        <v>9926</v>
      </c>
      <c r="E32" s="20" t="n">
        <v>9926</v>
      </c>
      <c r="F32" s="20" t="n">
        <v>9926</v>
      </c>
      <c r="G32" s="20" t="n">
        <v>9926</v>
      </c>
      <c r="H32" s="19" t="n">
        <v>9926</v>
      </c>
      <c r="I32" s="20" t="n">
        <v>9926</v>
      </c>
      <c r="J32" s="20" t="n">
        <v>9926</v>
      </c>
      <c r="K32" s="20" t="n">
        <v>9926</v>
      </c>
      <c r="L32" s="20" t="n">
        <v>9926</v>
      </c>
    </row>
    <row r="33">
      <c r="A33" s="18" t="inlineStr">
        <is>
          <t>이익잉여금</t>
        </is>
      </c>
      <c r="B33" s="10" t="n"/>
      <c r="C33" s="19" t="n">
        <v>85055</v>
      </c>
      <c r="D33" s="20" t="n">
        <v>88175</v>
      </c>
      <c r="E33" s="20" t="n">
        <v>89802</v>
      </c>
      <c r="F33" s="20" t="n">
        <v>93698</v>
      </c>
      <c r="G33" s="20" t="n">
        <v>95216</v>
      </c>
      <c r="H33" s="19" t="n">
        <v>57198</v>
      </c>
      <c r="I33" s="20" t="n">
        <v>67631</v>
      </c>
      <c r="J33" s="20" t="n">
        <v>79373</v>
      </c>
      <c r="K33" s="20" t="n">
        <v>84726</v>
      </c>
      <c r="L33" s="20" t="n">
        <v>93698</v>
      </c>
    </row>
    <row r="34">
      <c r="A34" s="18" t="inlineStr">
        <is>
          <t>비지배지분</t>
        </is>
      </c>
      <c r="B34" s="10" t="n"/>
      <c r="C34" s="19" t="n">
        <v>0</v>
      </c>
      <c r="D34" s="20" t="n">
        <v>0</v>
      </c>
      <c r="E34" s="20" t="n">
        <v>0</v>
      </c>
      <c r="F34" s="20" t="n">
        <v>0</v>
      </c>
      <c r="G34" s="20" t="n">
        <v>0</v>
      </c>
      <c r="H34" s="19" t="n">
        <v>9</v>
      </c>
      <c r="I34" s="20" t="n">
        <v>11</v>
      </c>
      <c r="J34" s="20" t="n">
        <v>14</v>
      </c>
      <c r="K34" s="20" t="n">
        <v>0</v>
      </c>
      <c r="L34" s="20" t="n">
        <v>0</v>
      </c>
    </row>
    <row r="35">
      <c r="A35" s="9" t="inlineStr">
        <is>
          <t>자본총계</t>
        </is>
      </c>
      <c r="B35" s="10" t="n"/>
      <c r="C35" s="11" t="n">
        <v>112651</v>
      </c>
      <c r="D35" s="12" t="n">
        <v>117745</v>
      </c>
      <c r="E35" s="12" t="n">
        <v>122650</v>
      </c>
      <c r="F35" s="12" t="n">
        <v>127861</v>
      </c>
      <c r="G35" s="12" t="n">
        <v>133454</v>
      </c>
      <c r="H35" s="11" t="n">
        <v>80655</v>
      </c>
      <c r="I35" s="12" t="n">
        <v>93217</v>
      </c>
      <c r="J35" s="12" t="n">
        <v>110373</v>
      </c>
      <c r="K35" s="12" t="n">
        <v>113347</v>
      </c>
      <c r="L35" s="12" t="n">
        <v>127861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14738</v>
      </c>
      <c r="D37" s="12" t="n">
        <v>15032</v>
      </c>
      <c r="E37" s="12" t="n">
        <v>13399</v>
      </c>
      <c r="F37" s="12" t="n">
        <v>10829</v>
      </c>
      <c r="G37" s="12" t="n">
        <v>8167</v>
      </c>
      <c r="H37" s="11" t="n">
        <v>8234</v>
      </c>
      <c r="I37" s="12" t="n">
        <v>8258</v>
      </c>
      <c r="J37" s="12" t="n">
        <v>21452</v>
      </c>
      <c r="K37" s="12" t="n">
        <v>15788</v>
      </c>
      <c r="L37" s="12" t="n">
        <v>10829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3173</v>
      </c>
      <c r="D38" s="20" t="n">
        <v>3013</v>
      </c>
      <c r="E38" s="20" t="n">
        <v>3129</v>
      </c>
      <c r="F38" s="20" t="n">
        <v>2857</v>
      </c>
      <c r="G38" s="20" t="n">
        <v>3024</v>
      </c>
      <c r="H38" s="19" t="n">
        <v>4694</v>
      </c>
      <c r="I38" s="20" t="n">
        <v>4026</v>
      </c>
      <c r="J38" s="20" t="n">
        <v>6759</v>
      </c>
      <c r="K38" s="20" t="n">
        <v>3801</v>
      </c>
      <c r="L38" s="20" t="n">
        <v>2857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1966</v>
      </c>
      <c r="D40" s="20" t="n">
        <v>1961</v>
      </c>
      <c r="E40" s="20" t="n">
        <v>2250</v>
      </c>
      <c r="F40" s="20" t="n">
        <v>2248</v>
      </c>
      <c r="G40" s="20" t="n">
        <v>3664</v>
      </c>
      <c r="H40" s="19" t="n">
        <v>1327</v>
      </c>
      <c r="I40" s="20" t="n">
        <v>1509</v>
      </c>
      <c r="J40" s="20" t="n">
        <v>1691</v>
      </c>
      <c r="K40" s="20" t="n">
        <v>1786</v>
      </c>
      <c r="L40" s="20" t="n">
        <v>2248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IFERROR(IF((IF(COUNT('연간'!G56:J56)&lt;4,"",SUM('연간'!G56:J56)))&lt;=0,"적자",C28/(IF(COUNT('연간'!G56:J56)&lt;4,"",SUM('연간'!G56:J56)))),"")</f>
        <v/>
      </c>
      <c r="D49" s="47">
        <f>IFERROR(IF((IF(COUNT('연간'!H56:K56)&lt;4,"",SUM('연간'!H56:K56)))&lt;=0,"적자",D28/(IF(COUNT('연간'!H56:K56)&lt;4,"",SUM('연간'!H56:K56)))),"")</f>
        <v/>
      </c>
      <c r="E49" s="47">
        <f>IFERROR(IF((IF(COUNT('연간'!I56:L56)&lt;4,"",SUM('연간'!I56:L56)))&lt;=0,"적자",E28/(IF(COUNT('연간'!I56:L56)&lt;4,"",SUM('연간'!I56:L56)))),"")</f>
        <v/>
      </c>
      <c r="F49" s="47">
        <f>IFERROR(IF((IF(COUNT('연간'!J56:M56)&lt;4,"",SUM('연간'!J56:M56)))&lt;=0,"적자",F28/(IF(COUNT('연간'!J56:M56)&lt;4,"",SUM('연간'!J56:M56)))),"")</f>
        <v/>
      </c>
      <c r="G49" s="47">
        <f>IFERROR(IF((IF(COUNT('연간'!K56:N56)&lt;4,"",SUM('연간'!K56:N56)))&lt;=0,"적자",G28/(IF(COUNT('연간'!K56:N56)&lt;4,"",SUM('연간'!K56:N56)))),"")</f>
        <v/>
      </c>
      <c r="H49" s="46">
        <f>IFERROR(IF(('연간'!T56)&lt;=0,"적자",H28/('연간'!T56)),"")</f>
        <v/>
      </c>
      <c r="I49" s="47">
        <f>IFERROR(IF(('연간'!U56)&lt;=0,"적자",I28/('연간'!U56)),"")</f>
        <v/>
      </c>
      <c r="J49" s="47">
        <f>IFERROR(IF(('연간'!V56)&lt;=0,"적자",J28/('연간'!V56)),"")</f>
        <v/>
      </c>
      <c r="K49" s="47">
        <f>IFERROR(IF(('연간'!W56)&lt;=0,"적자",K28/('연간'!W56)),"")</f>
        <v/>
      </c>
      <c r="L49" s="47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29530</v>
      </c>
      <c r="D71" s="20" t="n">
        <v>30327</v>
      </c>
      <c r="E71" s="20" t="n">
        <v>29430</v>
      </c>
      <c r="F71" s="20" t="n">
        <v>28719</v>
      </c>
      <c r="G71" s="20" t="n">
        <v>25280</v>
      </c>
      <c r="H71" s="20" t="n">
        <v>18778</v>
      </c>
      <c r="I71" s="20" t="n">
        <v>20548</v>
      </c>
      <c r="J71" s="20" t="n">
        <v>26687</v>
      </c>
      <c r="K71" s="20" t="n">
        <v>28898</v>
      </c>
      <c r="L71" s="20" t="n">
        <v>28719</v>
      </c>
    </row>
    <row r="72">
      <c r="A72" s="18" t="inlineStr">
        <is>
          <t>영업채권 및 기타채권</t>
        </is>
      </c>
      <c r="C72" s="20" t="n">
        <v>28610</v>
      </c>
      <c r="D72" s="20" t="n">
        <v>29025</v>
      </c>
      <c r="E72" s="20" t="n">
        <v>30675</v>
      </c>
      <c r="F72" s="20" t="n">
        <v>32044</v>
      </c>
      <c r="G72" s="20" t="n">
        <v>34127</v>
      </c>
      <c r="H72" s="20" t="n">
        <v>32374</v>
      </c>
      <c r="I72" s="20" t="n">
        <v>37303</v>
      </c>
      <c r="J72" s="20" t="n">
        <v>32095</v>
      </c>
      <c r="K72" s="20" t="n">
        <v>29143</v>
      </c>
      <c r="L72" s="20" t="n">
        <v>32044</v>
      </c>
    </row>
    <row r="73">
      <c r="A73" s="18" t="inlineStr">
        <is>
          <t>기타금융자산</t>
        </is>
      </c>
      <c r="C73" s="20" t="n">
        <v>1107</v>
      </c>
      <c r="D73" s="20" t="n">
        <v>3479</v>
      </c>
      <c r="E73" s="20" t="n">
        <v>4504</v>
      </c>
      <c r="F73" s="20" t="n">
        <v>5422</v>
      </c>
      <c r="G73" s="20" t="n">
        <v>6089</v>
      </c>
      <c r="H73" s="20" t="n">
        <v>267</v>
      </c>
      <c r="I73" s="20" t="n">
        <v>884</v>
      </c>
      <c r="J73" s="20" t="n">
        <v>691</v>
      </c>
      <c r="K73" s="20" t="n">
        <v>1594</v>
      </c>
      <c r="L73" s="20" t="n">
        <v>5422</v>
      </c>
    </row>
    <row r="74">
      <c r="A74" s="18" t="inlineStr">
        <is>
          <t>재고자산</t>
        </is>
      </c>
      <c r="C74" s="20" t="n">
        <v>34397</v>
      </c>
      <c r="D74" s="20" t="n">
        <v>35119</v>
      </c>
      <c r="E74" s="20" t="n">
        <v>37736</v>
      </c>
      <c r="F74" s="20" t="n">
        <v>39860</v>
      </c>
      <c r="G74" s="20" t="n">
        <v>43353</v>
      </c>
      <c r="H74" s="20" t="n">
        <v>32286</v>
      </c>
      <c r="I74" s="20" t="n">
        <v>40123</v>
      </c>
      <c r="J74" s="20" t="n">
        <v>36848</v>
      </c>
      <c r="K74" s="20" t="n">
        <v>34151</v>
      </c>
      <c r="L74" s="20" t="n">
        <v>39860</v>
      </c>
    </row>
    <row r="75">
      <c r="A75" s="18" t="inlineStr">
        <is>
          <t>기타유동자산</t>
        </is>
      </c>
      <c r="C75" s="20" t="n">
        <v>1341</v>
      </c>
      <c r="D75" s="20" t="n">
        <v>1209</v>
      </c>
      <c r="E75" s="20" t="n">
        <v>1812</v>
      </c>
      <c r="F75" s="20" t="n">
        <v>1273</v>
      </c>
      <c r="G75" s="20" t="n">
        <v>2093</v>
      </c>
      <c r="H75" s="20" t="n">
        <v>547</v>
      </c>
      <c r="I75" s="20" t="n">
        <v>801</v>
      </c>
      <c r="J75" s="20" t="n">
        <v>635</v>
      </c>
      <c r="K75" s="20" t="n">
        <v>1074</v>
      </c>
      <c r="L75" s="20" t="n">
        <v>1273</v>
      </c>
    </row>
    <row r="76">
      <c r="A76" s="9" t="inlineStr">
        <is>
          <t>유동자산 합계</t>
        </is>
      </c>
      <c r="C76" s="12" t="n">
        <v>94986</v>
      </c>
      <c r="D76" s="12" t="n">
        <v>99162</v>
      </c>
      <c r="E76" s="12" t="n">
        <v>104160</v>
      </c>
      <c r="F76" s="12" t="n">
        <v>107320</v>
      </c>
      <c r="G76" s="12" t="n">
        <v>110944</v>
      </c>
      <c r="H76" s="12" t="n">
        <v>84253</v>
      </c>
      <c r="I76" s="12" t="n">
        <v>99660</v>
      </c>
      <c r="J76" s="12" t="n">
        <v>96958</v>
      </c>
      <c r="K76" s="12" t="n">
        <v>94862</v>
      </c>
      <c r="L76" s="12" t="n">
        <v>107320</v>
      </c>
    </row>
    <row r="77">
      <c r="A77" s="18" t="inlineStr">
        <is>
          <t>유형자산</t>
        </is>
      </c>
      <c r="C77" s="20" t="n">
        <v>23632</v>
      </c>
      <c r="D77" s="20" t="n">
        <v>23404</v>
      </c>
      <c r="E77" s="20" t="n">
        <v>23438</v>
      </c>
      <c r="F77" s="20" t="n">
        <v>23263</v>
      </c>
      <c r="G77" s="20" t="n">
        <v>23063</v>
      </c>
      <c r="H77" s="20" t="n">
        <v>24985</v>
      </c>
      <c r="I77" s="20" t="n">
        <v>24106</v>
      </c>
      <c r="J77" s="20" t="n">
        <v>27271</v>
      </c>
      <c r="K77" s="20" t="n">
        <v>24592</v>
      </c>
      <c r="L77" s="20" t="n">
        <v>23263</v>
      </c>
    </row>
    <row r="78">
      <c r="A78" s="18" t="inlineStr">
        <is>
          <t>무형자산</t>
        </is>
      </c>
      <c r="C78" s="20" t="n">
        <v>5127</v>
      </c>
      <c r="D78" s="20" t="n">
        <v>5153</v>
      </c>
      <c r="E78" s="20" t="n">
        <v>5260</v>
      </c>
      <c r="F78" s="20" t="n">
        <v>5299</v>
      </c>
      <c r="G78" s="20" t="n">
        <v>5351</v>
      </c>
      <c r="H78" s="20" t="n">
        <v>5214</v>
      </c>
      <c r="I78" s="20" t="n">
        <v>4996</v>
      </c>
      <c r="J78" s="20" t="n">
        <v>4807</v>
      </c>
      <c r="K78" s="20" t="n">
        <v>4940</v>
      </c>
      <c r="L78" s="20" t="n">
        <v>5299</v>
      </c>
    </row>
    <row r="79">
      <c r="A79" s="18" t="inlineStr">
        <is>
          <t>사용권자산</t>
        </is>
      </c>
      <c r="C79" s="20" t="n">
        <v>2456</v>
      </c>
      <c r="D79" s="20" t="n">
        <v>2317</v>
      </c>
      <c r="E79" s="20" t="n">
        <v>2331</v>
      </c>
      <c r="F79" s="20" t="n">
        <v>3493</v>
      </c>
      <c r="G79" s="20" t="n">
        <v>3449</v>
      </c>
      <c r="H79" s="20" t="n">
        <v>1604</v>
      </c>
      <c r="I79" s="20" t="n">
        <v>1766</v>
      </c>
      <c r="J79" s="20" t="n">
        <v>2854</v>
      </c>
      <c r="K79" s="20" t="n">
        <v>2699</v>
      </c>
      <c r="L79" s="20" t="n">
        <v>3493</v>
      </c>
    </row>
    <row r="80">
      <c r="A80" s="18" t="inlineStr">
        <is>
          <t>Investment Property</t>
        </is>
      </c>
      <c r="C80" s="20" t="n">
        <v>1503</v>
      </c>
      <c r="D80" s="20" t="n">
        <v>1503</v>
      </c>
      <c r="E80" s="20" t="n">
        <v>1503</v>
      </c>
      <c r="F80" s="20" t="n">
        <v>1503</v>
      </c>
      <c r="G80" s="20" t="n">
        <v>1503</v>
      </c>
      <c r="H80" s="20" t="n">
        <v>1503</v>
      </c>
      <c r="I80" s="20" t="n">
        <v>1503</v>
      </c>
      <c r="J80" s="20" t="n">
        <v>1503</v>
      </c>
      <c r="K80" s="20" t="n">
        <v>1503</v>
      </c>
      <c r="L80" s="20" t="n">
        <v>1503</v>
      </c>
    </row>
    <row r="81">
      <c r="A81" s="18" t="inlineStr">
        <is>
          <t>기타금융자산</t>
        </is>
      </c>
      <c r="C81" s="20" t="n">
        <v>12634</v>
      </c>
      <c r="D81" s="20" t="n">
        <v>13790</v>
      </c>
      <c r="E81" s="20" t="n">
        <v>15104</v>
      </c>
      <c r="F81" s="20" t="n">
        <v>15854</v>
      </c>
      <c r="G81" s="20" t="n">
        <v>20288</v>
      </c>
      <c r="H81" s="20" t="n">
        <v>10437</v>
      </c>
      <c r="I81" s="20" t="n">
        <v>11002</v>
      </c>
      <c r="J81" s="20" t="n">
        <v>14462</v>
      </c>
      <c r="K81" s="20" t="n">
        <v>11845</v>
      </c>
      <c r="L81" s="20" t="n">
        <v>15854</v>
      </c>
    </row>
    <row r="82">
      <c r="A82" s="18" t="inlineStr">
        <is>
          <t>퇴직급여자산</t>
        </is>
      </c>
      <c r="C82" s="20" t="n">
        <v>5065</v>
      </c>
      <c r="D82" s="20" t="n">
        <v>6137</v>
      </c>
      <c r="E82" s="20" t="n">
        <v>7053</v>
      </c>
      <c r="F82" s="20" t="n">
        <v>8561</v>
      </c>
      <c r="G82" s="20" t="n">
        <v>10144</v>
      </c>
      <c r="I82" s="20" t="n">
        <v>0</v>
      </c>
      <c r="J82" s="20" t="n">
        <v>2053</v>
      </c>
      <c r="K82" s="20" t="n">
        <v>4423</v>
      </c>
      <c r="L82" s="20" t="n">
        <v>8561</v>
      </c>
    </row>
    <row r="83">
      <c r="A83" s="18" t="inlineStr">
        <is>
          <t>이연법인세자산</t>
        </is>
      </c>
      <c r="C83" s="20" t="n">
        <v>542</v>
      </c>
      <c r="D83" s="20" t="n">
        <v>653</v>
      </c>
      <c r="E83" s="20" t="n">
        <v>716</v>
      </c>
      <c r="F83" s="20" t="n">
        <v>913</v>
      </c>
      <c r="G83" s="20" t="n">
        <v>1003</v>
      </c>
      <c r="H83" s="20" t="n">
        <v>420</v>
      </c>
      <c r="I83" s="20" t="n">
        <v>686</v>
      </c>
      <c r="J83" s="20" t="n">
        <v>643</v>
      </c>
      <c r="K83" s="20" t="n">
        <v>613</v>
      </c>
      <c r="L83" s="20" t="n">
        <v>913</v>
      </c>
    </row>
    <row r="84">
      <c r="A84" s="18" t="inlineStr">
        <is>
          <t>기타비유동자산</t>
        </is>
      </c>
      <c r="C84" s="20" t="n">
        <v>95</v>
      </c>
      <c r="D84" s="20" t="n">
        <v>89</v>
      </c>
      <c r="E84" s="20" t="n">
        <v>165</v>
      </c>
      <c r="F84" s="20" t="n">
        <v>157</v>
      </c>
      <c r="G84" s="20" t="n">
        <v>154</v>
      </c>
      <c r="H84" s="20" t="n">
        <v>247</v>
      </c>
      <c r="I84" s="20" t="n">
        <v>148</v>
      </c>
      <c r="J84" s="20" t="n">
        <v>133</v>
      </c>
      <c r="K84" s="20" t="n">
        <v>146</v>
      </c>
      <c r="L84" s="20" t="n">
        <v>157</v>
      </c>
    </row>
    <row r="85">
      <c r="A85" s="18" t="inlineStr">
        <is>
          <t>비유동자산 합계</t>
        </is>
      </c>
      <c r="C85" s="20" t="n">
        <v>51057</v>
      </c>
      <c r="D85" s="20" t="n">
        <v>53050</v>
      </c>
      <c r="E85" s="20" t="n">
        <v>55574</v>
      </c>
      <c r="F85" s="20" t="n">
        <v>59047</v>
      </c>
      <c r="G85" s="20" t="n">
        <v>64959</v>
      </c>
      <c r="H85" s="20" t="n">
        <v>44413</v>
      </c>
      <c r="I85" s="20" t="n">
        <v>44211</v>
      </c>
      <c r="J85" s="20" t="n">
        <v>53729</v>
      </c>
      <c r="K85" s="20" t="n">
        <v>50765</v>
      </c>
      <c r="L85" s="20" t="n">
        <v>59047</v>
      </c>
    </row>
    <row r="86">
      <c r="A86" s="18" t="inlineStr">
        <is>
          <t>자산 합계</t>
        </is>
      </c>
      <c r="C86" s="20" t="n">
        <v>146044</v>
      </c>
      <c r="D86" s="20" t="n">
        <v>152213</v>
      </c>
      <c r="E86" s="20" t="n">
        <v>159734</v>
      </c>
      <c r="F86" s="20" t="n">
        <v>166367</v>
      </c>
      <c r="G86" s="20" t="n">
        <v>175904</v>
      </c>
      <c r="H86" s="20" t="n">
        <v>128667</v>
      </c>
      <c r="I86" s="20" t="n">
        <v>143871</v>
      </c>
      <c r="J86" s="20" t="n">
        <v>150688</v>
      </c>
      <c r="K86" s="20" t="n">
        <v>145628</v>
      </c>
      <c r="L86" s="20" t="n">
        <v>166367</v>
      </c>
    </row>
    <row r="87">
      <c r="A87" s="18" t="inlineStr">
        <is>
          <t>영업채무 및 기타채무</t>
        </is>
      </c>
      <c r="C87" s="20" t="n">
        <v>17265</v>
      </c>
      <c r="D87" s="20" t="n">
        <v>18204</v>
      </c>
      <c r="E87" s="20" t="n">
        <v>19557</v>
      </c>
      <c r="F87" s="20" t="n">
        <v>19771</v>
      </c>
      <c r="G87" s="20" t="n">
        <v>22657</v>
      </c>
      <c r="H87" s="20" t="n">
        <v>18772</v>
      </c>
      <c r="I87" s="20" t="n">
        <v>21893</v>
      </c>
      <c r="J87" s="20" t="n">
        <v>17441</v>
      </c>
      <c r="K87" s="20" t="n">
        <v>16649</v>
      </c>
      <c r="L87" s="20" t="n">
        <v>19771</v>
      </c>
    </row>
    <row r="88">
      <c r="A88" s="18" t="inlineStr">
        <is>
          <t>차입금</t>
        </is>
      </c>
      <c r="C88" s="20" t="n">
        <v>3100</v>
      </c>
      <c r="D88" s="20" t="n">
        <v>2567</v>
      </c>
      <c r="E88" s="20" t="n">
        <v>2475</v>
      </c>
      <c r="F88" s="20" t="n">
        <v>2887</v>
      </c>
      <c r="G88" s="20" t="n">
        <v>2407</v>
      </c>
      <c r="H88" s="20" t="n">
        <v>12862</v>
      </c>
      <c r="I88" s="20" t="n">
        <v>14440</v>
      </c>
      <c r="J88" s="20" t="n">
        <v>7984</v>
      </c>
      <c r="K88" s="20" t="n">
        <v>3263</v>
      </c>
      <c r="L88" s="20" t="n">
        <v>2887</v>
      </c>
    </row>
    <row r="89">
      <c r="A89" s="18" t="inlineStr">
        <is>
          <t>리스부채</t>
        </is>
      </c>
      <c r="C89" s="20" t="n">
        <v>829</v>
      </c>
      <c r="D89" s="20" t="n">
        <v>824</v>
      </c>
      <c r="E89" s="20" t="n">
        <v>842</v>
      </c>
      <c r="F89" s="20" t="n">
        <v>821</v>
      </c>
      <c r="G89" s="20" t="n">
        <v>839</v>
      </c>
      <c r="H89" s="20" t="n">
        <v>651</v>
      </c>
      <c r="I89" s="20" t="n">
        <v>623</v>
      </c>
      <c r="J89" s="20" t="n">
        <v>795</v>
      </c>
      <c r="K89" s="20" t="n">
        <v>850</v>
      </c>
      <c r="L89" s="20" t="n">
        <v>821</v>
      </c>
    </row>
    <row r="90">
      <c r="A90" s="18" t="inlineStr">
        <is>
          <t>기타금융부채</t>
        </is>
      </c>
      <c r="C90" s="20" t="n">
        <v>127</v>
      </c>
      <c r="D90" s="20" t="n">
        <v>104</v>
      </c>
      <c r="E90" s="20" t="n">
        <v>68</v>
      </c>
      <c r="F90" s="20" t="n">
        <v>70</v>
      </c>
      <c r="G90" s="20" t="n">
        <v>106</v>
      </c>
      <c r="H90" s="20" t="n">
        <v>247</v>
      </c>
      <c r="I90" s="20" t="n">
        <v>199</v>
      </c>
      <c r="J90" s="20" t="n">
        <v>74</v>
      </c>
      <c r="K90" s="20" t="n">
        <v>36</v>
      </c>
      <c r="L90" s="20" t="n">
        <v>70</v>
      </c>
    </row>
    <row r="91">
      <c r="A91" s="18" t="inlineStr">
        <is>
          <t>미지급법인세 등</t>
        </is>
      </c>
      <c r="C91" s="20" t="n">
        <v>225</v>
      </c>
      <c r="D91" s="20" t="n">
        <v>1249</v>
      </c>
      <c r="E91" s="20" t="n">
        <v>1040</v>
      </c>
      <c r="F91" s="20" t="n">
        <v>2025</v>
      </c>
      <c r="G91" s="20" t="n">
        <v>1522</v>
      </c>
      <c r="H91" s="20" t="n">
        <v>1859</v>
      </c>
      <c r="I91" s="20" t="n">
        <v>1673</v>
      </c>
      <c r="J91" s="20" t="n">
        <v>1136</v>
      </c>
      <c r="K91" s="20" t="n">
        <v>368</v>
      </c>
      <c r="L91" s="20" t="n">
        <v>2025</v>
      </c>
    </row>
    <row r="92">
      <c r="A92" s="18" t="inlineStr">
        <is>
          <t>기타유동부채</t>
        </is>
      </c>
      <c r="C92" s="20" t="n">
        <v>2979</v>
      </c>
      <c r="D92" s="20" t="n">
        <v>2344</v>
      </c>
      <c r="E92" s="20" t="n">
        <v>2698</v>
      </c>
      <c r="F92" s="20" t="n">
        <v>2275</v>
      </c>
      <c r="G92" s="20" t="n">
        <v>2709</v>
      </c>
      <c r="H92" s="20" t="n">
        <v>1783</v>
      </c>
      <c r="I92" s="20" t="n">
        <v>2338</v>
      </c>
      <c r="J92" s="20" t="n">
        <v>2705</v>
      </c>
      <c r="K92" s="20" t="n">
        <v>2364</v>
      </c>
      <c r="L92" s="20" t="n">
        <v>2275</v>
      </c>
    </row>
    <row r="93">
      <c r="A93" s="18" t="inlineStr">
        <is>
          <t>유동부채 합계</t>
        </is>
      </c>
      <c r="C93" s="20" t="n">
        <v>24529</v>
      </c>
      <c r="D93" s="20" t="n">
        <v>25294</v>
      </c>
      <c r="E93" s="20" t="n">
        <v>26682</v>
      </c>
      <c r="F93" s="20" t="n">
        <v>27851</v>
      </c>
      <c r="G93" s="20" t="n">
        <v>30242</v>
      </c>
      <c r="H93" s="20" t="n">
        <v>36176</v>
      </c>
      <c r="I93" s="20" t="n">
        <v>41168</v>
      </c>
      <c r="J93" s="20" t="n">
        <v>30137</v>
      </c>
      <c r="K93" s="20" t="n">
        <v>23533</v>
      </c>
      <c r="L93" s="20" t="n">
        <v>27851</v>
      </c>
    </row>
    <row r="94">
      <c r="A94" s="18" t="inlineStr">
        <is>
          <t>차입금</t>
        </is>
      </c>
      <c r="C94" s="20" t="n">
        <v>1390</v>
      </c>
      <c r="D94" s="20" t="n">
        <v>1243</v>
      </c>
      <c r="E94" s="20" t="n">
        <v>1176</v>
      </c>
      <c r="F94" s="20" t="n">
        <v>1025</v>
      </c>
      <c r="G94" s="20" t="n">
        <v>873</v>
      </c>
      <c r="H94" s="20" t="n">
        <v>5984</v>
      </c>
      <c r="I94" s="20" t="n">
        <v>4158</v>
      </c>
      <c r="J94" s="20" t="n">
        <v>3934</v>
      </c>
      <c r="K94" s="20" t="n">
        <v>1537</v>
      </c>
      <c r="L94" s="20" t="n">
        <v>1025</v>
      </c>
    </row>
    <row r="95">
      <c r="A95" s="18" t="inlineStr">
        <is>
          <t>리스부채</t>
        </is>
      </c>
      <c r="C95" s="20" t="n">
        <v>1420</v>
      </c>
      <c r="D95" s="20" t="n">
        <v>1282</v>
      </c>
      <c r="E95" s="20" t="n">
        <v>1266</v>
      </c>
      <c r="F95" s="20" t="n">
        <v>1261</v>
      </c>
      <c r="G95" s="20" t="n">
        <v>1187</v>
      </c>
      <c r="H95" s="20" t="n">
        <v>755</v>
      </c>
      <c r="I95" s="20" t="n">
        <v>933</v>
      </c>
      <c r="J95" s="20" t="n">
        <v>1816</v>
      </c>
      <c r="K95" s="20" t="n">
        <v>1631</v>
      </c>
      <c r="L95" s="20" t="n">
        <v>1261</v>
      </c>
    </row>
    <row r="96">
      <c r="A96" s="18" t="inlineStr">
        <is>
          <t>퇴직급여부채</t>
        </is>
      </c>
      <c r="C96" s="20" t="n">
        <v>574</v>
      </c>
      <c r="D96" s="20" t="n">
        <v>574</v>
      </c>
      <c r="E96" s="20" t="n">
        <v>734</v>
      </c>
      <c r="F96" s="20" t="n">
        <v>743</v>
      </c>
      <c r="G96" s="20" t="n">
        <v>759</v>
      </c>
      <c r="H96" s="20" t="n">
        <v>3580</v>
      </c>
      <c r="I96" s="20" t="n">
        <v>2156</v>
      </c>
      <c r="J96" s="20" t="n">
        <v>0</v>
      </c>
      <c r="K96" s="20" t="n">
        <v>557</v>
      </c>
      <c r="L96" s="20" t="n">
        <v>743</v>
      </c>
    </row>
    <row r="97">
      <c r="A97" s="18" t="inlineStr">
        <is>
          <t>이연법인세부채</t>
        </is>
      </c>
      <c r="C97" s="20" t="n">
        <v>4541</v>
      </c>
      <c r="D97" s="20" t="n">
        <v>5084</v>
      </c>
      <c r="E97" s="20" t="n">
        <v>6246</v>
      </c>
      <c r="F97" s="20" t="n">
        <v>6628</v>
      </c>
      <c r="G97" s="20" t="n">
        <v>8397</v>
      </c>
      <c r="H97" s="20" t="n">
        <v>1348</v>
      </c>
      <c r="I97" s="20" t="n">
        <v>1349</v>
      </c>
      <c r="J97" s="20" t="n">
        <v>3556</v>
      </c>
      <c r="K97" s="20" t="n">
        <v>4080</v>
      </c>
      <c r="L97" s="20" t="n">
        <v>6628</v>
      </c>
    </row>
    <row r="98">
      <c r="A98" s="18" t="inlineStr">
        <is>
          <t>기타비유동부채</t>
        </is>
      </c>
      <c r="C98" s="20" t="n">
        <v>935</v>
      </c>
      <c r="D98" s="20" t="n">
        <v>987</v>
      </c>
      <c r="E98" s="20" t="n">
        <v>977</v>
      </c>
      <c r="F98" s="20" t="n">
        <v>997</v>
      </c>
      <c r="G98" s="20" t="n">
        <v>990</v>
      </c>
      <c r="H98" s="20" t="n">
        <v>166</v>
      </c>
      <c r="I98" s="20" t="n">
        <v>888</v>
      </c>
      <c r="J98" s="20" t="n">
        <v>869</v>
      </c>
      <c r="K98" s="20" t="n">
        <v>940</v>
      </c>
      <c r="L98" s="20" t="n">
        <v>997</v>
      </c>
    </row>
    <row r="99">
      <c r="A99" s="18" t="inlineStr">
        <is>
          <t>비유동부채 합계</t>
        </is>
      </c>
      <c r="C99" s="20" t="n">
        <v>8863</v>
      </c>
      <c r="D99" s="20" t="n">
        <v>9172</v>
      </c>
      <c r="E99" s="20" t="n">
        <v>10401</v>
      </c>
      <c r="F99" s="20" t="n">
        <v>10654</v>
      </c>
      <c r="G99" s="20" t="n">
        <v>12208</v>
      </c>
      <c r="H99" s="20" t="n">
        <v>11835</v>
      </c>
      <c r="I99" s="20" t="n">
        <v>9486</v>
      </c>
      <c r="J99" s="20" t="n">
        <v>10177</v>
      </c>
      <c r="K99" s="20" t="n">
        <v>8747</v>
      </c>
      <c r="L99" s="20" t="n">
        <v>10654</v>
      </c>
    </row>
    <row r="100">
      <c r="A100" s="18" t="inlineStr">
        <is>
          <t>부채 합계</t>
        </is>
      </c>
      <c r="C100" s="20" t="n">
        <v>33392</v>
      </c>
      <c r="D100" s="20" t="n">
        <v>34467</v>
      </c>
      <c r="E100" s="20" t="n">
        <v>37084</v>
      </c>
      <c r="F100" s="20" t="n">
        <v>38506</v>
      </c>
      <c r="G100" s="20" t="n">
        <v>42450</v>
      </c>
      <c r="H100" s="20" t="n">
        <v>48012</v>
      </c>
      <c r="I100" s="20" t="n">
        <v>50654</v>
      </c>
      <c r="J100" s="20" t="n">
        <v>40314</v>
      </c>
      <c r="K100" s="20" t="n">
        <v>32280</v>
      </c>
      <c r="L100" s="20" t="n">
        <v>38506</v>
      </c>
    </row>
    <row r="101">
      <c r="A101" s="18" t="inlineStr">
        <is>
          <t>자본금</t>
        </is>
      </c>
      <c r="C101" s="20" t="n">
        <v>9926</v>
      </c>
      <c r="D101" s="20" t="n">
        <v>9926</v>
      </c>
      <c r="E101" s="20" t="n">
        <v>9926</v>
      </c>
      <c r="F101" s="20" t="n">
        <v>9926</v>
      </c>
      <c r="G101" s="20" t="n">
        <v>9926</v>
      </c>
      <c r="H101" s="20" t="n">
        <v>9926</v>
      </c>
      <c r="I101" s="20" t="n">
        <v>9926</v>
      </c>
      <c r="J101" s="20" t="n">
        <v>9926</v>
      </c>
      <c r="K101" s="20" t="n">
        <v>9926</v>
      </c>
      <c r="L101" s="20" t="n">
        <v>9926</v>
      </c>
    </row>
    <row r="102">
      <c r="A102" s="18" t="inlineStr">
        <is>
          <t>자본잉여금</t>
        </is>
      </c>
      <c r="C102" s="20" t="n">
        <v>11530</v>
      </c>
      <c r="D102" s="20" t="n">
        <v>11514</v>
      </c>
      <c r="E102" s="20" t="n">
        <v>11534</v>
      </c>
      <c r="F102" s="20" t="n">
        <v>11554</v>
      </c>
      <c r="G102" s="20" t="n">
        <v>11574</v>
      </c>
      <c r="H102" s="20" t="n">
        <v>11460</v>
      </c>
      <c r="I102" s="20" t="n">
        <v>11467</v>
      </c>
      <c r="J102" s="20" t="n">
        <v>11494</v>
      </c>
      <c r="K102" s="20" t="n">
        <v>11518</v>
      </c>
      <c r="L102" s="20" t="n">
        <v>11554</v>
      </c>
    </row>
    <row r="103">
      <c r="A103" s="18" t="inlineStr">
        <is>
          <t>이익잉여금</t>
        </is>
      </c>
      <c r="C103" s="20" t="n">
        <v>85055</v>
      </c>
      <c r="D103" s="20" t="n">
        <v>88175</v>
      </c>
      <c r="E103" s="20" t="n">
        <v>89802</v>
      </c>
      <c r="F103" s="20" t="n">
        <v>93698</v>
      </c>
      <c r="G103" s="20" t="n">
        <v>95216</v>
      </c>
      <c r="H103" s="20" t="n">
        <v>57198</v>
      </c>
      <c r="I103" s="20" t="n">
        <v>67631</v>
      </c>
      <c r="J103" s="20" t="n">
        <v>79373</v>
      </c>
      <c r="K103" s="20" t="n">
        <v>84726</v>
      </c>
      <c r="L103" s="20" t="n">
        <v>93698</v>
      </c>
    </row>
    <row r="104">
      <c r="A104" s="18" t="inlineStr">
        <is>
          <t>자기주식</t>
        </is>
      </c>
      <c r="C104" s="20" t="n">
        <v>-4474</v>
      </c>
      <c r="D104" s="20" t="n">
        <v>-4441</v>
      </c>
      <c r="E104" s="20" t="n">
        <v>-4442</v>
      </c>
      <c r="F104" s="20" t="n">
        <v>-4442</v>
      </c>
      <c r="G104" s="20" t="n">
        <v>-4442</v>
      </c>
      <c r="H104" s="20" t="n">
        <v>-2426</v>
      </c>
      <c r="I104" s="20" t="n">
        <v>-2395</v>
      </c>
      <c r="J104" s="20" t="n">
        <v>-3518</v>
      </c>
      <c r="K104" s="20" t="n">
        <v>-3500</v>
      </c>
      <c r="L104" s="20" t="n">
        <v>-4442</v>
      </c>
    </row>
    <row r="105">
      <c r="A105" s="18" t="inlineStr">
        <is>
          <t>기타자본구성요소</t>
        </is>
      </c>
      <c r="C105" s="20" t="n">
        <v>10613</v>
      </c>
      <c r="D105" s="20" t="n">
        <v>12569</v>
      </c>
      <c r="E105" s="20" t="n">
        <v>15826</v>
      </c>
      <c r="F105" s="20" t="n">
        <v>17122</v>
      </c>
      <c r="G105" s="20" t="n">
        <v>21177</v>
      </c>
      <c r="H105" s="20" t="n">
        <v>4485</v>
      </c>
      <c r="I105" s="20" t="n">
        <v>6575</v>
      </c>
      <c r="J105" s="20" t="n">
        <v>13082</v>
      </c>
      <c r="K105" s="20" t="n">
        <v>10674</v>
      </c>
      <c r="L105" s="20" t="n">
        <v>17122</v>
      </c>
    </row>
    <row r="106">
      <c r="A106" s="18" t="inlineStr">
        <is>
          <t>지배기업 소유주 귀속 지분 합계</t>
        </is>
      </c>
      <c r="C106" s="20" t="n">
        <v>112651</v>
      </c>
      <c r="D106" s="20" t="n">
        <v>117745</v>
      </c>
      <c r="E106" s="20" t="n">
        <v>122649</v>
      </c>
      <c r="F106" s="20" t="n">
        <v>127860</v>
      </c>
      <c r="G106" s="20" t="n">
        <v>133453</v>
      </c>
      <c r="H106" s="20" t="n">
        <v>80645</v>
      </c>
      <c r="I106" s="20" t="n">
        <v>93205</v>
      </c>
      <c r="J106" s="20" t="n">
        <v>110358</v>
      </c>
      <c r="K106" s="20" t="n">
        <v>113347</v>
      </c>
      <c r="L106" s="20" t="n">
        <v>127860</v>
      </c>
    </row>
    <row r="107">
      <c r="A107" s="18" t="inlineStr">
        <is>
          <t>비지배지분</t>
        </is>
      </c>
      <c r="C107" s="20" t="n">
        <v>0</v>
      </c>
      <c r="D107" s="20" t="n">
        <v>0</v>
      </c>
      <c r="E107" s="20" t="n">
        <v>0</v>
      </c>
      <c r="F107" s="20" t="n">
        <v>0</v>
      </c>
      <c r="G107" s="20" t="n">
        <v>0</v>
      </c>
      <c r="H107" s="20" t="n">
        <v>9</v>
      </c>
      <c r="I107" s="20" t="n">
        <v>11</v>
      </c>
      <c r="J107" s="20" t="n">
        <v>14</v>
      </c>
      <c r="K107" s="20" t="n">
        <v>0</v>
      </c>
      <c r="L107" s="20" t="n">
        <v>0</v>
      </c>
    </row>
    <row r="108">
      <c r="A108" s="18" t="inlineStr">
        <is>
          <t>자본 합계</t>
        </is>
      </c>
      <c r="C108" s="20" t="n">
        <v>112651</v>
      </c>
      <c r="D108" s="20" t="n">
        <v>117745</v>
      </c>
      <c r="E108" s="20" t="n">
        <v>122650</v>
      </c>
      <c r="F108" s="20" t="n">
        <v>127861</v>
      </c>
      <c r="G108" s="20" t="n">
        <v>133454</v>
      </c>
      <c r="H108" s="20" t="n">
        <v>80655</v>
      </c>
      <c r="I108" s="20" t="n">
        <v>93217</v>
      </c>
      <c r="J108" s="20" t="n">
        <v>110373</v>
      </c>
      <c r="K108" s="20" t="n">
        <v>113347</v>
      </c>
      <c r="L108" s="20" t="n">
        <v>127861</v>
      </c>
    </row>
    <row r="109">
      <c r="A109" s="18" t="inlineStr">
        <is>
          <t>부채및자본 합계</t>
        </is>
      </c>
      <c r="C109" s="20" t="n">
        <v>146044</v>
      </c>
      <c r="D109" s="20" t="n">
        <v>152213</v>
      </c>
      <c r="E109" s="20" t="n">
        <v>159734</v>
      </c>
      <c r="F109" s="20" t="n">
        <v>166367</v>
      </c>
      <c r="G109" s="20" t="n">
        <v>175904</v>
      </c>
      <c r="H109" s="20" t="n">
        <v>128667</v>
      </c>
      <c r="I109" s="20" t="n">
        <v>143871</v>
      </c>
      <c r="J109" s="20" t="n">
        <v>150688</v>
      </c>
      <c r="K109" s="20" t="n">
        <v>145628</v>
      </c>
      <c r="L109" s="20" t="n">
        <v>166367</v>
      </c>
    </row>
    <row r="110">
      <c r="A110" s="18" t="inlineStr">
        <is>
          <t>현금 및 예금</t>
        </is>
      </c>
      <c r="F110" s="20" t="n">
        <v>3519</v>
      </c>
      <c r="H110" s="20" t="n">
        <v>2125</v>
      </c>
      <c r="I110" s="20" t="n">
        <v>1592</v>
      </c>
      <c r="J110" s="20" t="n">
        <v>3903</v>
      </c>
      <c r="K110" s="20" t="n">
        <v>8317</v>
      </c>
      <c r="L110" s="20" t="n">
        <v>3519</v>
      </c>
    </row>
    <row r="111">
      <c r="A111" s="18" t="inlineStr">
        <is>
          <t>받을어음</t>
        </is>
      </c>
      <c r="F111" s="20" t="n">
        <v>32</v>
      </c>
      <c r="H111" s="20" t="n">
        <v>190</v>
      </c>
      <c r="I111" s="20" t="n">
        <v>162</v>
      </c>
      <c r="J111" s="20" t="n">
        <v>128</v>
      </c>
      <c r="K111" s="20" t="n">
        <v>142</v>
      </c>
      <c r="L111" s="20" t="n">
        <v>32</v>
      </c>
    </row>
    <row r="112">
      <c r="A112" s="18" t="inlineStr">
        <is>
          <t>전자기록채권</t>
        </is>
      </c>
      <c r="F112" s="20" t="n">
        <v>6627</v>
      </c>
      <c r="H112" s="20" t="n">
        <v>7895</v>
      </c>
      <c r="I112" s="20" t="n">
        <v>8639</v>
      </c>
      <c r="J112" s="20" t="n">
        <v>7581</v>
      </c>
      <c r="K112" s="20" t="n">
        <v>6318</v>
      </c>
      <c r="L112" s="20" t="n">
        <v>6627</v>
      </c>
    </row>
    <row r="113">
      <c r="A113" s="18" t="inlineStr">
        <is>
          <t>매출채권</t>
        </is>
      </c>
      <c r="F113" s="20" t="n">
        <v>23656</v>
      </c>
      <c r="H113" s="20" t="n">
        <v>22837</v>
      </c>
      <c r="I113" s="20" t="n">
        <v>28849</v>
      </c>
      <c r="J113" s="20" t="n">
        <v>24334</v>
      </c>
      <c r="K113" s="20" t="n">
        <v>21042</v>
      </c>
      <c r="L113" s="20" t="n">
        <v>23656</v>
      </c>
    </row>
    <row r="114">
      <c r="A114" s="18" t="inlineStr">
        <is>
          <t>제품</t>
        </is>
      </c>
      <c r="F114" s="20" t="n">
        <v>4309</v>
      </c>
      <c r="H114" s="20" t="n">
        <v>3618</v>
      </c>
      <c r="I114" s="20" t="n">
        <v>4499</v>
      </c>
      <c r="J114" s="20" t="n">
        <v>3341</v>
      </c>
      <c r="K114" s="20" t="n">
        <v>3473</v>
      </c>
      <c r="L114" s="20" t="n">
        <v>4309</v>
      </c>
    </row>
    <row r="115">
      <c r="A115" s="18" t="inlineStr">
        <is>
          <t>원재료</t>
        </is>
      </c>
      <c r="F115" s="20" t="n">
        <v>11221</v>
      </c>
      <c r="H115" s="20" t="n">
        <v>10257</v>
      </c>
      <c r="I115" s="20" t="n">
        <v>11259</v>
      </c>
      <c r="J115" s="20" t="n">
        <v>10725</v>
      </c>
      <c r="K115" s="20" t="n">
        <v>10455</v>
      </c>
      <c r="L115" s="20" t="n">
        <v>11221</v>
      </c>
    </row>
    <row r="116">
      <c r="A116" s="18" t="inlineStr">
        <is>
          <t>재공품</t>
        </is>
      </c>
      <c r="F116" s="20" t="n">
        <v>3674</v>
      </c>
      <c r="H116" s="20" t="n">
        <v>3647</v>
      </c>
      <c r="I116" s="20" t="n">
        <v>3895</v>
      </c>
      <c r="J116" s="20" t="n">
        <v>2900</v>
      </c>
      <c r="K116" s="20" t="n">
        <v>2885</v>
      </c>
      <c r="L116" s="20" t="n">
        <v>3674</v>
      </c>
    </row>
    <row r="117">
      <c r="A117" s="18" t="inlineStr">
        <is>
          <t>저장품</t>
        </is>
      </c>
      <c r="F117" s="20" t="n">
        <v>70</v>
      </c>
      <c r="H117" s="20" t="n">
        <v>33</v>
      </c>
      <c r="I117" s="20" t="n">
        <v>48</v>
      </c>
      <c r="J117" s="20" t="n">
        <v>38</v>
      </c>
      <c r="K117" s="20" t="n">
        <v>62</v>
      </c>
      <c r="L117" s="20" t="n">
        <v>70</v>
      </c>
    </row>
    <row r="118">
      <c r="A118" s="18" t="inlineStr">
        <is>
          <t>선급비용</t>
        </is>
      </c>
      <c r="F118" s="20" t="n">
        <v>213</v>
      </c>
      <c r="H118" s="20" t="n">
        <v>105</v>
      </c>
      <c r="I118" s="20" t="n">
        <v>123</v>
      </c>
      <c r="J118" s="20" t="n">
        <v>142</v>
      </c>
      <c r="K118" s="20" t="n">
        <v>187</v>
      </c>
      <c r="L118" s="20" t="n">
        <v>213</v>
      </c>
    </row>
    <row r="119">
      <c r="A119" s="18" t="inlineStr">
        <is>
          <t>기타</t>
        </is>
      </c>
      <c r="F119" s="20" t="n">
        <v>2513</v>
      </c>
      <c r="H119" s="20" t="n">
        <v>2334</v>
      </c>
      <c r="I119" s="20" t="n">
        <v>2172</v>
      </c>
      <c r="J119" s="20" t="n">
        <v>2286</v>
      </c>
      <c r="K119" s="20" t="n">
        <v>1684</v>
      </c>
      <c r="L119" s="20" t="n">
        <v>2513</v>
      </c>
    </row>
    <row r="120">
      <c r="A120" s="18" t="inlineStr">
        <is>
          <t>대손충당금</t>
        </is>
      </c>
      <c r="F120" s="20" t="n">
        <v>-3</v>
      </c>
      <c r="H120" s="20" t="n">
        <v>-3</v>
      </c>
      <c r="I120" s="20" t="n">
        <v>-3</v>
      </c>
      <c r="J120" s="20" t="n">
        <v>-3</v>
      </c>
      <c r="K120" s="20" t="n">
        <v>-2</v>
      </c>
      <c r="L120" s="20" t="n">
        <v>-3</v>
      </c>
    </row>
    <row r="121">
      <c r="A121" s="9" t="inlineStr">
        <is>
          <t>유동자산 합계</t>
        </is>
      </c>
      <c r="F121" s="12" t="n">
        <v>55835</v>
      </c>
      <c r="H121" s="12" t="n">
        <v>53042</v>
      </c>
      <c r="I121" s="12" t="n">
        <v>61239</v>
      </c>
      <c r="J121" s="12" t="n">
        <v>55380</v>
      </c>
      <c r="K121" s="12" t="n">
        <v>54569</v>
      </c>
      <c r="L121" s="12" t="n">
        <v>55835</v>
      </c>
    </row>
    <row r="122">
      <c r="A122" s="18" t="inlineStr">
        <is>
          <t>건물</t>
        </is>
      </c>
      <c r="F122" s="20" t="n">
        <v>6625</v>
      </c>
      <c r="H122" s="20" t="n">
        <v>7786</v>
      </c>
      <c r="I122" s="20" t="n">
        <v>7404</v>
      </c>
      <c r="J122" s="20" t="n">
        <v>7264</v>
      </c>
      <c r="K122" s="20" t="n">
        <v>6801</v>
      </c>
      <c r="L122" s="20" t="n">
        <v>6625</v>
      </c>
    </row>
    <row r="123">
      <c r="A123" s="18" t="inlineStr">
        <is>
          <t>구축물</t>
        </is>
      </c>
      <c r="F123" s="20" t="n">
        <v>251</v>
      </c>
      <c r="H123" s="20" t="n">
        <v>291</v>
      </c>
      <c r="I123" s="20" t="n">
        <v>291</v>
      </c>
      <c r="J123" s="20" t="n">
        <v>268</v>
      </c>
      <c r="K123" s="20" t="n">
        <v>259</v>
      </c>
      <c r="L123" s="20" t="n">
        <v>251</v>
      </c>
    </row>
    <row r="124">
      <c r="A124" s="18" t="inlineStr">
        <is>
          <t>기계장치</t>
        </is>
      </c>
      <c r="F124" s="20" t="n">
        <v>1448</v>
      </c>
      <c r="H124" s="20" t="n">
        <v>5563</v>
      </c>
      <c r="I124" s="20" t="n">
        <v>4388</v>
      </c>
      <c r="J124" s="20" t="n">
        <v>3168</v>
      </c>
      <c r="K124" s="20" t="n">
        <v>2107</v>
      </c>
      <c r="L124" s="20" t="n">
        <v>1448</v>
      </c>
    </row>
    <row r="125">
      <c r="A125" s="18" t="inlineStr">
        <is>
          <t>차량운반구</t>
        </is>
      </c>
      <c r="F125" s="20" t="n">
        <v>23</v>
      </c>
      <c r="H125" s="20" t="n">
        <v>13</v>
      </c>
      <c r="I125" s="20" t="n">
        <v>11</v>
      </c>
      <c r="J125" s="20" t="n">
        <v>26</v>
      </c>
      <c r="K125" s="20" t="n">
        <v>21</v>
      </c>
      <c r="L125" s="20" t="n">
        <v>23</v>
      </c>
    </row>
    <row r="126">
      <c r="A126" s="18" t="inlineStr">
        <is>
          <t>공구·기구·비품</t>
        </is>
      </c>
      <c r="F126" s="20" t="n">
        <v>664</v>
      </c>
      <c r="H126" s="20" t="n">
        <v>955</v>
      </c>
      <c r="I126" s="20" t="n">
        <v>743</v>
      </c>
      <c r="J126" s="20" t="n">
        <v>602</v>
      </c>
      <c r="K126" s="20" t="n">
        <v>655</v>
      </c>
      <c r="L126" s="20" t="n">
        <v>664</v>
      </c>
    </row>
    <row r="127">
      <c r="A127" s="18" t="inlineStr">
        <is>
          <t>토지</t>
        </is>
      </c>
      <c r="F127" s="20" t="n">
        <v>6048</v>
      </c>
      <c r="H127" s="20" t="n">
        <v>6200</v>
      </c>
      <c r="I127" s="20" t="n">
        <v>6200</v>
      </c>
      <c r="J127" s="20" t="n">
        <v>6200</v>
      </c>
      <c r="K127" s="20" t="n">
        <v>6048</v>
      </c>
      <c r="L127" s="20" t="n">
        <v>6048</v>
      </c>
    </row>
    <row r="128">
      <c r="A128" s="18" t="inlineStr">
        <is>
          <t>건설중인자산</t>
        </is>
      </c>
      <c r="F128" s="20" t="n">
        <v>269</v>
      </c>
      <c r="H128" s="20" t="n">
        <v>360</v>
      </c>
      <c r="I128" s="20" t="n">
        <v>184</v>
      </c>
      <c r="J128" s="20" t="n">
        <v>187</v>
      </c>
      <c r="K128" s="20" t="n">
        <v>198</v>
      </c>
      <c r="L128" s="20" t="n">
        <v>269</v>
      </c>
    </row>
    <row r="129">
      <c r="A129" s="18" t="inlineStr">
        <is>
          <t>유형자산 합계</t>
        </is>
      </c>
      <c r="F129" s="20" t="n">
        <v>15330</v>
      </c>
      <c r="H129" s="20" t="n">
        <v>21171</v>
      </c>
      <c r="I129" s="20" t="n">
        <v>19223</v>
      </c>
      <c r="J129" s="20" t="n">
        <v>17718</v>
      </c>
      <c r="K129" s="20" t="n">
        <v>16091</v>
      </c>
      <c r="L129" s="20" t="n">
        <v>15330</v>
      </c>
    </row>
    <row r="130">
      <c r="A130" s="18" t="inlineStr">
        <is>
          <t>차지권</t>
        </is>
      </c>
      <c r="H130" s="20" t="n">
        <v>44</v>
      </c>
      <c r="I130" s="20" t="n">
        <v>44</v>
      </c>
      <c r="J130" s="20" t="n">
        <v>44</v>
      </c>
      <c r="K130" s="20" t="n">
        <v>0</v>
      </c>
    </row>
    <row r="131">
      <c r="A131" s="18" t="inlineStr">
        <is>
          <t>소프트웨어</t>
        </is>
      </c>
      <c r="F131" s="20" t="n">
        <v>2222</v>
      </c>
      <c r="H131" s="20" t="n">
        <v>1509</v>
      </c>
      <c r="I131" s="20" t="n">
        <v>1411</v>
      </c>
      <c r="J131" s="20" t="n">
        <v>1525</v>
      </c>
      <c r="K131" s="20" t="n">
        <v>1925</v>
      </c>
      <c r="L131" s="20" t="n">
        <v>2222</v>
      </c>
    </row>
    <row r="132">
      <c r="A132" s="18" t="inlineStr">
        <is>
          <t>기타</t>
        </is>
      </c>
      <c r="F132" s="20" t="n">
        <v>7</v>
      </c>
      <c r="H132" s="20" t="n">
        <v>9</v>
      </c>
      <c r="I132" s="20" t="n">
        <v>8</v>
      </c>
      <c r="J132" s="20" t="n">
        <v>8</v>
      </c>
      <c r="K132" s="20" t="n">
        <v>7</v>
      </c>
      <c r="L132" s="20" t="n">
        <v>7</v>
      </c>
    </row>
    <row r="133">
      <c r="A133" s="18" t="inlineStr">
        <is>
          <t>무형자산 합계</t>
        </is>
      </c>
      <c r="F133" s="20" t="n">
        <v>2229</v>
      </c>
      <c r="H133" s="20" t="n">
        <v>1562</v>
      </c>
      <c r="I133" s="20" t="n">
        <v>1464</v>
      </c>
      <c r="J133" s="20" t="n">
        <v>1577</v>
      </c>
      <c r="K133" s="20" t="n">
        <v>1933</v>
      </c>
      <c r="L133" s="20" t="n">
        <v>2229</v>
      </c>
    </row>
    <row r="134">
      <c r="A134" s="18" t="inlineStr">
        <is>
          <t>투자유가증권</t>
        </is>
      </c>
      <c r="F134" s="20" t="n">
        <v>11210</v>
      </c>
      <c r="H134" s="20" t="n">
        <v>6787</v>
      </c>
      <c r="I134" s="20" t="n">
        <v>7241</v>
      </c>
      <c r="J134" s="20" t="n">
        <v>10330</v>
      </c>
      <c r="K134" s="20" t="n">
        <v>7673</v>
      </c>
      <c r="L134" s="20" t="n">
        <v>11210</v>
      </c>
    </row>
    <row r="135">
      <c r="A135" s="18" t="inlineStr">
        <is>
          <t>관계회사 주식</t>
        </is>
      </c>
      <c r="F135" s="20" t="n">
        <v>2934</v>
      </c>
      <c r="H135" s="20" t="n">
        <v>2920</v>
      </c>
      <c r="I135" s="20" t="n">
        <v>2920</v>
      </c>
      <c r="J135" s="20" t="n">
        <v>2920</v>
      </c>
      <c r="K135" s="20" t="n">
        <v>2934</v>
      </c>
      <c r="L135" s="20" t="n">
        <v>2934</v>
      </c>
    </row>
    <row r="136">
      <c r="A136" s="18" t="inlineStr">
        <is>
          <t>관계회사 출자금</t>
        </is>
      </c>
      <c r="F136" s="20" t="n">
        <v>4126</v>
      </c>
      <c r="H136" s="20" t="n">
        <v>786</v>
      </c>
      <c r="I136" s="20" t="n">
        <v>786</v>
      </c>
      <c r="J136" s="20" t="n">
        <v>786</v>
      </c>
      <c r="K136" s="20" t="n">
        <v>927</v>
      </c>
      <c r="L136" s="20" t="n">
        <v>4126</v>
      </c>
    </row>
    <row r="137">
      <c r="A137" s="18" t="inlineStr">
        <is>
          <t>장기대여금</t>
        </is>
      </c>
      <c r="F137" s="20" t="n">
        <v>1</v>
      </c>
      <c r="H137" s="20" t="n">
        <v>15</v>
      </c>
      <c r="I137" s="20" t="n">
        <v>11</v>
      </c>
      <c r="J137" s="20" t="n">
        <v>6</v>
      </c>
      <c r="K137" s="20" t="n">
        <v>3</v>
      </c>
      <c r="L137" s="20" t="n">
        <v>1</v>
      </c>
    </row>
    <row r="138">
      <c r="A138" s="18" t="inlineStr">
        <is>
          <t>장기선급비용</t>
        </is>
      </c>
      <c r="F138" s="20" t="n">
        <v>77</v>
      </c>
      <c r="H138" s="20" t="n">
        <v>20</v>
      </c>
      <c r="I138" s="20" t="n">
        <v>67</v>
      </c>
      <c r="J138" s="20" t="n">
        <v>41</v>
      </c>
      <c r="K138" s="20" t="n">
        <v>23</v>
      </c>
      <c r="L138" s="20" t="n">
        <v>77</v>
      </c>
    </row>
    <row r="139">
      <c r="A139" s="18" t="inlineStr">
        <is>
          <t>이연법인세자산</t>
        </is>
      </c>
      <c r="H139" s="20" t="n">
        <v>139</v>
      </c>
      <c r="I139" s="20" t="n">
        <v>285</v>
      </c>
      <c r="J139" s="20" t="n">
        <v>0</v>
      </c>
    </row>
    <row r="140">
      <c r="A140" s="18" t="inlineStr">
        <is>
          <t>기타</t>
        </is>
      </c>
      <c r="F140" s="20" t="n">
        <v>2523</v>
      </c>
      <c r="H140" s="20" t="n">
        <v>2161</v>
      </c>
      <c r="I140" s="20" t="n">
        <v>2247</v>
      </c>
      <c r="J140" s="20" t="n">
        <v>2396</v>
      </c>
      <c r="K140" s="20" t="n">
        <v>2456</v>
      </c>
      <c r="L140" s="20" t="n">
        <v>2523</v>
      </c>
    </row>
    <row r="141">
      <c r="A141" s="18" t="inlineStr">
        <is>
          <t>대손충당금</t>
        </is>
      </c>
      <c r="F141" s="20" t="n">
        <v>-0</v>
      </c>
      <c r="H141" s="20" t="n">
        <v>-0</v>
      </c>
      <c r="I141" s="20" t="n">
        <v>-0</v>
      </c>
      <c r="J141" s="20" t="n">
        <v>-0</v>
      </c>
      <c r="K141" s="20" t="n">
        <v>-0</v>
      </c>
      <c r="L141" s="20" t="n">
        <v>-0</v>
      </c>
    </row>
    <row r="142">
      <c r="A142" s="18" t="inlineStr">
        <is>
          <t>투자 및 기타자산 합계</t>
        </is>
      </c>
      <c r="F142" s="20" t="n">
        <v>20873</v>
      </c>
      <c r="H142" s="20" t="n">
        <v>12832</v>
      </c>
      <c r="I142" s="20" t="n">
        <v>13559</v>
      </c>
      <c r="J142" s="20" t="n">
        <v>16481</v>
      </c>
      <c r="K142" s="20" t="n">
        <v>14018</v>
      </c>
      <c r="L142" s="20" t="n">
        <v>20873</v>
      </c>
    </row>
    <row r="143">
      <c r="A143" s="9" t="inlineStr">
        <is>
          <t>비유동자산 합계</t>
        </is>
      </c>
      <c r="F143" s="12" t="n">
        <v>38434</v>
      </c>
      <c r="H143" s="12" t="n">
        <v>35566</v>
      </c>
      <c r="I143" s="12" t="n">
        <v>34247</v>
      </c>
      <c r="J143" s="12" t="n">
        <v>35777</v>
      </c>
      <c r="K143" s="12" t="n">
        <v>32043</v>
      </c>
      <c r="L143" s="12" t="n">
        <v>38434</v>
      </c>
    </row>
    <row r="144">
      <c r="A144" s="9" t="inlineStr">
        <is>
          <t>자산 합계</t>
        </is>
      </c>
      <c r="F144" s="12" t="n">
        <v>94269</v>
      </c>
      <c r="H144" s="12" t="n">
        <v>88609</v>
      </c>
      <c r="I144" s="12" t="n">
        <v>95487</v>
      </c>
      <c r="J144" s="12" t="n">
        <v>91157</v>
      </c>
      <c r="K144" s="12" t="n">
        <v>86613</v>
      </c>
      <c r="L144" s="12" t="n">
        <v>94269</v>
      </c>
    </row>
    <row r="145">
      <c r="A145" s="18" t="inlineStr">
        <is>
          <t>지급어음</t>
        </is>
      </c>
      <c r="F145" s="20" t="n">
        <v>0</v>
      </c>
      <c r="H145" s="20" t="n">
        <v>540</v>
      </c>
      <c r="I145" s="20" t="n">
        <v>513</v>
      </c>
      <c r="J145" s="20" t="n">
        <v>490</v>
      </c>
      <c r="K145" s="20" t="n">
        <v>369</v>
      </c>
      <c r="L145" s="20" t="n">
        <v>0</v>
      </c>
    </row>
    <row r="146">
      <c r="A146" s="18" t="inlineStr">
        <is>
          <t>전자기록채무</t>
        </is>
      </c>
      <c r="F146" s="20" t="n">
        <v>3242</v>
      </c>
      <c r="H146" s="20" t="n">
        <v>3421</v>
      </c>
      <c r="I146" s="20" t="n">
        <v>4027</v>
      </c>
      <c r="J146" s="20" t="n">
        <v>2769</v>
      </c>
      <c r="K146" s="20" t="n">
        <v>2877</v>
      </c>
      <c r="L146" s="20" t="n">
        <v>3242</v>
      </c>
    </row>
    <row r="147">
      <c r="A147" s="18" t="inlineStr">
        <is>
          <t>매입채무</t>
        </is>
      </c>
      <c r="F147" s="20" t="n">
        <v>7455</v>
      </c>
      <c r="H147" s="20" t="n">
        <v>8159</v>
      </c>
      <c r="I147" s="20" t="n">
        <v>8747</v>
      </c>
      <c r="J147" s="20" t="n">
        <v>5813</v>
      </c>
      <c r="K147" s="20" t="n">
        <v>6046</v>
      </c>
      <c r="L147" s="20" t="n">
        <v>7455</v>
      </c>
    </row>
    <row r="148">
      <c r="A148" s="18" t="inlineStr">
        <is>
          <t>단기차입금</t>
        </is>
      </c>
      <c r="F148" s="20" t="n">
        <v>4449</v>
      </c>
      <c r="H148" s="20" t="n">
        <v>11061</v>
      </c>
      <c r="I148" s="20" t="n">
        <v>12291</v>
      </c>
      <c r="J148" s="20" t="n">
        <v>5602</v>
      </c>
      <c r="K148" s="20" t="n">
        <v>4797</v>
      </c>
      <c r="L148" s="20" t="n">
        <v>4449</v>
      </c>
    </row>
    <row r="149">
      <c r="A149" s="18" t="inlineStr">
        <is>
          <t>1년 내 상환 장기차입금</t>
        </is>
      </c>
      <c r="F149" s="20" t="n">
        <v>607</v>
      </c>
      <c r="H149" s="20" t="n">
        <v>1622</v>
      </c>
      <c r="I149" s="20" t="n">
        <v>1622</v>
      </c>
      <c r="J149" s="20" t="n">
        <v>1920</v>
      </c>
      <c r="K149" s="20" t="n">
        <v>1063</v>
      </c>
      <c r="L149" s="20" t="n">
        <v>607</v>
      </c>
    </row>
    <row r="150">
      <c r="A150" s="18" t="inlineStr">
        <is>
          <t>리스부채</t>
        </is>
      </c>
      <c r="H150" s="20" t="n">
        <v>0</v>
      </c>
    </row>
    <row r="151">
      <c r="A151" s="18" t="inlineStr">
        <is>
          <t>미지급금</t>
        </is>
      </c>
      <c r="F151" s="20" t="n">
        <v>540</v>
      </c>
      <c r="H151" s="20" t="n">
        <v>782</v>
      </c>
      <c r="I151" s="20" t="n">
        <v>928</v>
      </c>
      <c r="J151" s="20" t="n">
        <v>1627</v>
      </c>
      <c r="K151" s="20" t="n">
        <v>1046</v>
      </c>
      <c r="L151" s="20" t="n">
        <v>540</v>
      </c>
    </row>
    <row r="152">
      <c r="A152" s="18" t="inlineStr">
        <is>
          <t>미지급비용</t>
        </is>
      </c>
      <c r="F152" s="20" t="n">
        <v>3138</v>
      </c>
      <c r="H152" s="20" t="n">
        <v>2437</v>
      </c>
      <c r="I152" s="20" t="n">
        <v>3027</v>
      </c>
      <c r="J152" s="20" t="n">
        <v>2245</v>
      </c>
      <c r="K152" s="20" t="n">
        <v>2208</v>
      </c>
      <c r="L152" s="20" t="n">
        <v>3138</v>
      </c>
    </row>
    <row r="153">
      <c r="A153" s="18" t="inlineStr">
        <is>
          <t>미지급법인세</t>
        </is>
      </c>
      <c r="F153" s="20" t="n">
        <v>1437</v>
      </c>
      <c r="H153" s="20" t="n">
        <v>1309</v>
      </c>
      <c r="I153" s="20" t="n">
        <v>1140</v>
      </c>
      <c r="J153" s="20" t="n">
        <v>542</v>
      </c>
      <c r="K153" s="20" t="n">
        <v>37</v>
      </c>
      <c r="L153" s="20" t="n">
        <v>1437</v>
      </c>
    </row>
    <row r="154">
      <c r="A154" s="18" t="inlineStr">
        <is>
          <t>선수금</t>
        </is>
      </c>
      <c r="F154" s="20" t="n">
        <v>13</v>
      </c>
      <c r="H154" s="20" t="n">
        <v>28</v>
      </c>
      <c r="I154" s="20" t="n">
        <v>18</v>
      </c>
      <c r="J154" s="20" t="n">
        <v>12</v>
      </c>
      <c r="K154" s="20" t="n">
        <v>14</v>
      </c>
      <c r="L154" s="20" t="n">
        <v>13</v>
      </c>
    </row>
    <row r="155">
      <c r="A155" s="18" t="inlineStr">
        <is>
          <t>예수금</t>
        </is>
      </c>
      <c r="F155" s="20" t="n">
        <v>826</v>
      </c>
      <c r="H155" s="20" t="n">
        <v>555</v>
      </c>
      <c r="I155" s="20" t="n">
        <v>742</v>
      </c>
      <c r="J155" s="20" t="n">
        <v>622</v>
      </c>
      <c r="K155" s="20" t="n">
        <v>582</v>
      </c>
      <c r="L155" s="20" t="n">
        <v>826</v>
      </c>
    </row>
    <row r="156">
      <c r="A156" s="18" t="inlineStr">
        <is>
          <t>설비관련 지급어음</t>
        </is>
      </c>
      <c r="F156" s="20" t="n">
        <v>230</v>
      </c>
      <c r="H156" s="20" t="n">
        <v>366</v>
      </c>
      <c r="I156" s="20" t="n">
        <v>284</v>
      </c>
      <c r="J156" s="20" t="n">
        <v>837</v>
      </c>
      <c r="K156" s="20" t="n">
        <v>74</v>
      </c>
      <c r="L156" s="20" t="n">
        <v>230</v>
      </c>
    </row>
    <row r="157">
      <c r="A157" s="18" t="inlineStr">
        <is>
          <t>임원 상여충당금</t>
        </is>
      </c>
      <c r="F157" s="20" t="n">
        <v>45</v>
      </c>
      <c r="H157" s="20" t="n">
        <v>45</v>
      </c>
      <c r="I157" s="20" t="n">
        <v>45</v>
      </c>
      <c r="J157" s="20" t="n">
        <v>45</v>
      </c>
      <c r="K157" s="20" t="n">
        <v>45</v>
      </c>
      <c r="L157" s="20" t="n">
        <v>45</v>
      </c>
    </row>
    <row r="158">
      <c r="A158" s="9" t="inlineStr">
        <is>
          <t>유동부채 합계</t>
        </is>
      </c>
      <c r="F158" s="12" t="n">
        <v>21987</v>
      </c>
      <c r="H158" s="12" t="n">
        <v>30328</v>
      </c>
      <c r="I158" s="12" t="n">
        <v>33389</v>
      </c>
      <c r="J158" s="12" t="n">
        <v>22529</v>
      </c>
      <c r="K158" s="12" t="n">
        <v>19163</v>
      </c>
      <c r="L158" s="12" t="n">
        <v>21987</v>
      </c>
    </row>
    <row r="159">
      <c r="A159" s="18" t="inlineStr">
        <is>
          <t>장기차입금</t>
        </is>
      </c>
      <c r="F159" s="20" t="n">
        <v>1025</v>
      </c>
      <c r="H159" s="20" t="n">
        <v>4964</v>
      </c>
      <c r="I159" s="20" t="n">
        <v>3342</v>
      </c>
      <c r="J159" s="20" t="n">
        <v>2696</v>
      </c>
      <c r="K159" s="20" t="n">
        <v>1537</v>
      </c>
      <c r="L159" s="20" t="n">
        <v>1025</v>
      </c>
    </row>
    <row r="160">
      <c r="A160" s="18" t="inlineStr">
        <is>
          <t>이연법인세부채</t>
        </is>
      </c>
      <c r="F160" s="20" t="n">
        <v>1485</v>
      </c>
      <c r="H160" s="20" t="n">
        <v>0</v>
      </c>
      <c r="I160" s="20" t="n">
        <v>0</v>
      </c>
      <c r="J160" s="20" t="n">
        <v>691</v>
      </c>
      <c r="K160" s="20" t="n">
        <v>390</v>
      </c>
      <c r="L160" s="20" t="n">
        <v>1485</v>
      </c>
    </row>
    <row r="161">
      <c r="A161" s="18" t="inlineStr">
        <is>
          <t>재평가 관련 이연법인세부채</t>
        </is>
      </c>
      <c r="F161" s="20" t="n">
        <v>849</v>
      </c>
      <c r="H161" s="20" t="n">
        <v>840</v>
      </c>
      <c r="I161" s="20" t="n">
        <v>840</v>
      </c>
      <c r="J161" s="20" t="n">
        <v>840</v>
      </c>
      <c r="K161" s="20" t="n">
        <v>849</v>
      </c>
      <c r="L161" s="20" t="n">
        <v>849</v>
      </c>
    </row>
    <row r="162">
      <c r="A162" s="18" t="inlineStr">
        <is>
          <t>퇴직급여충당금</t>
        </is>
      </c>
      <c r="F162" s="20" t="n">
        <v>205</v>
      </c>
      <c r="H162" s="20" t="n">
        <v>2059</v>
      </c>
      <c r="I162" s="20" t="n">
        <v>1912</v>
      </c>
      <c r="J162" s="20" t="n">
        <v>1668</v>
      </c>
      <c r="K162" s="20" t="n">
        <v>939</v>
      </c>
      <c r="L162" s="20" t="n">
        <v>205</v>
      </c>
    </row>
    <row r="163">
      <c r="A163" s="18" t="inlineStr">
        <is>
          <t>임원 퇴직위로 충당금</t>
        </is>
      </c>
      <c r="H163" s="20" t="n">
        <v>681</v>
      </c>
      <c r="I163" s="20" t="n">
        <v>0</v>
      </c>
    </row>
    <row r="164">
      <c r="A164" s="18" t="inlineStr">
        <is>
          <t>장기미지급금</t>
        </is>
      </c>
      <c r="F164" s="20" t="n">
        <v>602</v>
      </c>
      <c r="H164" s="20" t="n">
        <v>0</v>
      </c>
      <c r="I164" s="20" t="n">
        <v>729</v>
      </c>
      <c r="J164" s="20" t="n">
        <v>626</v>
      </c>
      <c r="K164" s="20" t="n">
        <v>618</v>
      </c>
      <c r="L164" s="20" t="n">
        <v>602</v>
      </c>
    </row>
    <row r="165">
      <c r="A165" s="9" t="inlineStr">
        <is>
          <t>비유동부채 합계</t>
        </is>
      </c>
      <c r="F165" s="12" t="n">
        <v>4168</v>
      </c>
      <c r="H165" s="12" t="n">
        <v>8546</v>
      </c>
      <c r="I165" s="12" t="n">
        <v>6823</v>
      </c>
      <c r="J165" s="12" t="n">
        <v>6523</v>
      </c>
      <c r="K165" s="12" t="n">
        <v>4336</v>
      </c>
      <c r="L165" s="12" t="n">
        <v>4168</v>
      </c>
    </row>
    <row r="166">
      <c r="A166" s="9" t="inlineStr">
        <is>
          <t>부채 합계</t>
        </is>
      </c>
      <c r="F166" s="12" t="n">
        <v>26155</v>
      </c>
      <c r="H166" s="12" t="n">
        <v>38874</v>
      </c>
      <c r="I166" s="12" t="n">
        <v>40213</v>
      </c>
      <c r="J166" s="12" t="n">
        <v>29053</v>
      </c>
      <c r="K166" s="12" t="n">
        <v>23500</v>
      </c>
      <c r="L166" s="12" t="n">
        <v>26155</v>
      </c>
    </row>
    <row r="167">
      <c r="A167" s="18" t="inlineStr">
        <is>
          <t>자본금</t>
        </is>
      </c>
      <c r="F167" s="20" t="n">
        <v>9926</v>
      </c>
      <c r="H167" s="20" t="n">
        <v>9926</v>
      </c>
      <c r="I167" s="20" t="n">
        <v>9926</v>
      </c>
      <c r="J167" s="20" t="n">
        <v>9926</v>
      </c>
      <c r="K167" s="20" t="n">
        <v>9926</v>
      </c>
      <c r="L167" s="20" t="n">
        <v>9926</v>
      </c>
    </row>
    <row r="168">
      <c r="A168" s="18" t="inlineStr">
        <is>
          <t>자본준비금</t>
        </is>
      </c>
      <c r="F168" s="20" t="n">
        <v>11458</v>
      </c>
      <c r="H168" s="20" t="n">
        <v>11458</v>
      </c>
      <c r="I168" s="20" t="n">
        <v>11458</v>
      </c>
      <c r="J168" s="20" t="n">
        <v>11458</v>
      </c>
      <c r="K168" s="20" t="n">
        <v>11458</v>
      </c>
      <c r="L168" s="20" t="n">
        <v>11458</v>
      </c>
    </row>
    <row r="169">
      <c r="A169" s="18" t="inlineStr">
        <is>
          <t>기타자본잉여금</t>
        </is>
      </c>
      <c r="F169" s="20" t="n">
        <v>116</v>
      </c>
      <c r="H169" s="20" t="n">
        <v>2</v>
      </c>
      <c r="I169" s="20" t="n">
        <v>20</v>
      </c>
      <c r="J169" s="20" t="n">
        <v>47</v>
      </c>
      <c r="K169" s="20" t="n">
        <v>72</v>
      </c>
      <c r="L169" s="20" t="n">
        <v>116</v>
      </c>
    </row>
    <row r="170">
      <c r="A170" s="18" t="inlineStr">
        <is>
          <t>자본잉여금 합계</t>
        </is>
      </c>
      <c r="F170" s="20" t="n">
        <v>11575</v>
      </c>
      <c r="H170" s="20" t="n">
        <v>11460</v>
      </c>
      <c r="I170" s="20" t="n">
        <v>11479</v>
      </c>
      <c r="J170" s="20" t="n">
        <v>11506</v>
      </c>
      <c r="K170" s="20" t="n">
        <v>11531</v>
      </c>
      <c r="L170" s="20" t="n">
        <v>11575</v>
      </c>
    </row>
    <row r="171">
      <c r="A171" s="18" t="inlineStr">
        <is>
          <t>이익준비금</t>
        </is>
      </c>
      <c r="F171" s="20" t="n">
        <v>1032</v>
      </c>
      <c r="H171" s="20" t="n">
        <v>1032</v>
      </c>
      <c r="I171" s="20" t="n">
        <v>1032</v>
      </c>
      <c r="J171" s="20" t="n">
        <v>1032</v>
      </c>
      <c r="K171" s="20" t="n">
        <v>1032</v>
      </c>
      <c r="L171" s="20" t="n">
        <v>1032</v>
      </c>
    </row>
    <row r="172">
      <c r="A172" s="18" t="inlineStr">
        <is>
          <t>기타 이익잉여금</t>
        </is>
      </c>
      <c r="F172" s="20" t="n">
        <v>43890</v>
      </c>
      <c r="H172" s="20" t="n">
        <v>26726</v>
      </c>
      <c r="I172" s="20" t="n">
        <v>31908</v>
      </c>
      <c r="J172" s="20" t="n">
        <v>37661</v>
      </c>
      <c r="K172" s="20" t="n">
        <v>40434</v>
      </c>
      <c r="L172" s="20" t="n">
        <v>43890</v>
      </c>
    </row>
    <row r="173">
      <c r="A173" s="18" t="inlineStr">
        <is>
          <t>Reserve For Retirement Allowance2</t>
        </is>
      </c>
      <c r="F173" s="20" t="n">
        <v>900</v>
      </c>
      <c r="H173" s="20" t="n">
        <v>900</v>
      </c>
      <c r="I173" s="20" t="n">
        <v>900</v>
      </c>
      <c r="J173" s="20" t="n">
        <v>900</v>
      </c>
      <c r="K173" s="20" t="n">
        <v>900</v>
      </c>
      <c r="L173" s="20" t="n">
        <v>900</v>
      </c>
    </row>
    <row r="174">
      <c r="A174" s="18" t="inlineStr">
        <is>
          <t>Reserve For Dividends3</t>
        </is>
      </c>
      <c r="F174" s="20" t="n">
        <v>790</v>
      </c>
      <c r="H174" s="20" t="n">
        <v>790</v>
      </c>
      <c r="I174" s="20" t="n">
        <v>790</v>
      </c>
      <c r="J174" s="20" t="n">
        <v>790</v>
      </c>
      <c r="K174" s="20" t="n">
        <v>790</v>
      </c>
      <c r="L174" s="20" t="n">
        <v>790</v>
      </c>
    </row>
    <row r="175">
      <c r="A175" s="18" t="inlineStr">
        <is>
          <t>고정자산 압축적립금</t>
        </is>
      </c>
      <c r="F175" s="20" t="n">
        <v>62</v>
      </c>
      <c r="H175" s="20" t="n">
        <v>62</v>
      </c>
      <c r="I175" s="20" t="n">
        <v>62</v>
      </c>
      <c r="J175" s="20" t="n">
        <v>62</v>
      </c>
      <c r="K175" s="20" t="n">
        <v>62</v>
      </c>
      <c r="L175" s="20" t="n">
        <v>62</v>
      </c>
    </row>
    <row r="176">
      <c r="A176" s="18" t="inlineStr">
        <is>
          <t>별도적립금</t>
        </is>
      </c>
      <c r="F176" s="20" t="n">
        <v>1500</v>
      </c>
      <c r="H176" s="20" t="n">
        <v>1500</v>
      </c>
      <c r="I176" s="20" t="n">
        <v>1500</v>
      </c>
      <c r="J176" s="20" t="n">
        <v>1500</v>
      </c>
      <c r="K176" s="20" t="n">
        <v>1500</v>
      </c>
      <c r="L176" s="20" t="n">
        <v>1500</v>
      </c>
    </row>
    <row r="177">
      <c r="A177" s="18" t="inlineStr">
        <is>
          <t>이월이익잉여금</t>
        </is>
      </c>
      <c r="F177" s="20" t="n">
        <v>40638</v>
      </c>
      <c r="H177" s="20" t="n">
        <v>23473</v>
      </c>
      <c r="I177" s="20" t="n">
        <v>28656</v>
      </c>
      <c r="J177" s="20" t="n">
        <v>34408</v>
      </c>
      <c r="K177" s="20" t="n">
        <v>37182</v>
      </c>
      <c r="L177" s="20" t="n">
        <v>40638</v>
      </c>
    </row>
    <row r="178">
      <c r="A178" s="18" t="inlineStr">
        <is>
          <t>이익잉여금 합계</t>
        </is>
      </c>
      <c r="F178" s="20" t="n">
        <v>44922</v>
      </c>
      <c r="H178" s="20" t="n">
        <v>27758</v>
      </c>
      <c r="I178" s="20" t="n">
        <v>32940</v>
      </c>
      <c r="J178" s="20" t="n">
        <v>38693</v>
      </c>
      <c r="K178" s="20" t="n">
        <v>41466</v>
      </c>
      <c r="L178" s="20" t="n">
        <v>44922</v>
      </c>
    </row>
    <row r="179">
      <c r="A179" s="18" t="inlineStr">
        <is>
          <t>자기주식</t>
        </is>
      </c>
      <c r="F179" s="20" t="n">
        <v>-4932</v>
      </c>
      <c r="H179" s="20" t="n">
        <v>-2916</v>
      </c>
      <c r="I179" s="20" t="n">
        <v>-2884</v>
      </c>
      <c r="J179" s="20" t="n">
        <v>-4008</v>
      </c>
      <c r="K179" s="20" t="n">
        <v>-3989</v>
      </c>
      <c r="L179" s="20" t="n">
        <v>-4932</v>
      </c>
    </row>
    <row r="180">
      <c r="A180" s="9" t="inlineStr">
        <is>
          <t>주주자본 합계</t>
        </is>
      </c>
      <c r="F180" s="12" t="n">
        <v>61492</v>
      </c>
      <c r="H180" s="12" t="n">
        <v>46229</v>
      </c>
      <c r="I180" s="12" t="n">
        <v>51461</v>
      </c>
      <c r="J180" s="12" t="n">
        <v>56118</v>
      </c>
      <c r="K180" s="12" t="n">
        <v>58934</v>
      </c>
      <c r="L180" s="12" t="n">
        <v>61492</v>
      </c>
    </row>
    <row r="181">
      <c r="A181" s="18" t="inlineStr">
        <is>
          <t>기타유가증권 평가차액</t>
        </is>
      </c>
      <c r="F181" s="20" t="n">
        <v>5745</v>
      </c>
      <c r="H181" s="20" t="n">
        <v>2568</v>
      </c>
      <c r="I181" s="20" t="n">
        <v>2875</v>
      </c>
      <c r="J181" s="20" t="n">
        <v>5049</v>
      </c>
      <c r="K181" s="20" t="n">
        <v>3302</v>
      </c>
      <c r="L181" s="20" t="n">
        <v>5745</v>
      </c>
    </row>
    <row r="182">
      <c r="A182" s="18" t="inlineStr">
        <is>
          <t>토지재평가차액금</t>
        </is>
      </c>
      <c r="F182" s="20" t="n">
        <v>876</v>
      </c>
      <c r="H182" s="20" t="n">
        <v>936</v>
      </c>
      <c r="I182" s="20" t="n">
        <v>936</v>
      </c>
      <c r="J182" s="20" t="n">
        <v>936</v>
      </c>
      <c r="K182" s="20" t="n">
        <v>876</v>
      </c>
      <c r="L182" s="20" t="n">
        <v>876</v>
      </c>
    </row>
    <row r="183">
      <c r="A183" s="18" t="inlineStr">
        <is>
          <t>평가·환산차액 합계</t>
        </is>
      </c>
      <c r="F183" s="20" t="n">
        <v>6621</v>
      </c>
      <c r="H183" s="20" t="n">
        <v>3504</v>
      </c>
      <c r="I183" s="20" t="n">
        <v>3811</v>
      </c>
      <c r="J183" s="20" t="n">
        <v>5985</v>
      </c>
      <c r="K183" s="20" t="n">
        <v>4178</v>
      </c>
      <c r="L183" s="20" t="n">
        <v>6621</v>
      </c>
    </row>
    <row r="184">
      <c r="A184" s="9" t="inlineStr">
        <is>
          <t>순자산 합계</t>
        </is>
      </c>
      <c r="F184" s="12" t="n">
        <v>68114</v>
      </c>
      <c r="H184" s="12" t="n">
        <v>49734</v>
      </c>
      <c r="I184" s="12" t="n">
        <v>55273</v>
      </c>
      <c r="J184" s="12" t="n">
        <v>62104</v>
      </c>
      <c r="K184" s="12" t="n">
        <v>63112</v>
      </c>
      <c r="L184" s="12" t="n">
        <v>68114</v>
      </c>
    </row>
    <row r="185">
      <c r="A185" s="9" t="inlineStr">
        <is>
          <t>부채·순자산 합계</t>
        </is>
      </c>
      <c r="F185" s="12" t="n">
        <v>94269</v>
      </c>
      <c r="H185" s="12" t="n">
        <v>88609</v>
      </c>
      <c r="I185" s="12" t="n">
        <v>95487</v>
      </c>
      <c r="J185" s="12" t="n">
        <v>91157</v>
      </c>
      <c r="K185" s="12" t="n">
        <v>86613</v>
      </c>
      <c r="L185" s="12" t="n">
        <v>94269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1분기 결산단신</t>
        </is>
      </c>
      <c r="C4" t="inlineStr">
        <is>
          <t>https://www2.jpx.co.jp/disc/65160/140120260729501574.pdf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https://www2.jpx.co.jp/disc/65160/140120260424509870.pdf</t>
        </is>
      </c>
    </row>
    <row r="6">
      <c r="A6" t="inlineStr">
        <is>
          <t>2026-01-29</t>
        </is>
      </c>
      <c r="B6" t="inlineStr">
        <is>
          <t>2026년 3월 결산기 3분기 결산단신</t>
        </is>
      </c>
      <c r="C6" t="inlineStr">
        <is>
          <t>https://www2.jpx.co.jp/disc/65160/140120260128539930.pdf</t>
        </is>
      </c>
    </row>
    <row r="7">
      <c r="A7" t="inlineStr">
        <is>
          <t>2025-10-31</t>
        </is>
      </c>
      <c r="B7" t="inlineStr">
        <is>
          <t>2026년 3월 결산기 2분기 결산단신</t>
        </is>
      </c>
      <c r="C7" t="inlineStr">
        <is>
          <t>https://www2.jpx.co.jp/disc/65160/140120251030582971.pdf</t>
        </is>
      </c>
    </row>
    <row r="8">
      <c r="A8" t="inlineStr">
        <is>
          <t>2025-07-30</t>
        </is>
      </c>
      <c r="B8" t="inlineStr">
        <is>
          <t>2026년 3월 결산기 1분기 결산단신</t>
        </is>
      </c>
      <c r="C8" t="inlineStr">
        <is>
          <t>https://www2.jpx.co.jp/disc/65160/140120250725520252.pdf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https://www2.jpx.co.jp/disc/65160/140120250424522005.pdf</t>
        </is>
      </c>
    </row>
    <row r="10">
      <c r="A10" t="inlineStr">
        <is>
          <t>2025-01-30</t>
        </is>
      </c>
      <c r="B10" t="inlineStr">
        <is>
          <t>2025년 3월 결산기 3분기 결산단신</t>
        </is>
      </c>
      <c r="C10" t="inlineStr">
        <is>
          <t>https://www2.jpx.co.jp/disc/65160/140120250129557224.pdf</t>
        </is>
      </c>
    </row>
    <row r="11">
      <c r="A11" t="inlineStr">
        <is>
          <t>2024-10-31</t>
        </is>
      </c>
      <c r="B11" t="inlineStr">
        <is>
          <t>2025년 3월 결산기 2분기 결산단신</t>
        </is>
      </c>
      <c r="C11" t="inlineStr">
        <is>
          <t>https://www2.jpx.co.jp/disc/65160/140120241030505997.pdf</t>
        </is>
      </c>
    </row>
    <row r="12">
      <c r="A12" t="inlineStr">
        <is>
          <t>2024-07-31</t>
        </is>
      </c>
      <c r="B12" t="inlineStr">
        <is>
          <t>2025년 3월 결산기 1분기 결산단신</t>
        </is>
      </c>
      <c r="C12" t="inlineStr">
        <is>
          <t>https://www2.jpx.co.jp/disc/65160/140120240726555430.pdf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https://www2.jpx.co.jp/disc/65160/140120240424575220.pdf</t>
        </is>
      </c>
    </row>
    <row r="14">
      <c r="A14" t="inlineStr">
        <is>
          <t>2024-01-31</t>
        </is>
      </c>
      <c r="B14" t="inlineStr">
        <is>
          <t>2024년 3월 결산기 3분기 결산단신</t>
        </is>
      </c>
      <c r="C14" t="inlineStr">
        <is>
          <t>https://www2.jpx.co.jp/disc/65160/140120240130521570.pdf</t>
        </is>
      </c>
    </row>
    <row r="15">
      <c r="A15" t="inlineStr">
        <is>
          <t>2023-10-31</t>
        </is>
      </c>
      <c r="B15" t="inlineStr">
        <is>
          <t>2024년 3월 결산기 2분기 결산단신</t>
        </is>
      </c>
      <c r="C15" t="inlineStr">
        <is>
          <t>https://www2.jpx.co.jp/disc/65160/140120231030574488.pdf</t>
        </is>
      </c>
    </row>
    <row r="16">
      <c r="A16" t="inlineStr">
        <is>
          <t>2023-07-31</t>
        </is>
      </c>
      <c r="B16" t="inlineStr">
        <is>
          <t>2024년 3월 결산기 1분기 결산단신</t>
        </is>
      </c>
      <c r="C16" t="inlineStr">
        <is>
          <t>https://www2.jpx.co.jp/disc/65160/140120230726527077.pdf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https://www2.jpx.co.jp/disc/65160/140120230426553592.pdf</t>
        </is>
      </c>
    </row>
    <row r="18">
      <c r="A18" t="inlineStr">
        <is>
          <t>2023-01-31</t>
        </is>
      </c>
      <c r="B18" t="inlineStr">
        <is>
          <t>2023년 3월 결산기 3분기 결산단신</t>
        </is>
      </c>
      <c r="C18" t="inlineStr">
        <is>
          <t>https://www2.jpx.co.jp/disc/65160/140120230130596001.pdf</t>
        </is>
      </c>
    </row>
    <row r="19">
      <c r="A19" t="inlineStr">
        <is>
          <t>2022-10-31</t>
        </is>
      </c>
      <c r="B19" t="inlineStr">
        <is>
          <t>2023년 3월 결산기 2분기 결산단신</t>
        </is>
      </c>
      <c r="C19" t="inlineStr">
        <is>
          <t>https://www2.jpx.co.jp/disc/65160/140120221028552202.pdf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https://www2.jpx.co.jp/disc/65160/140120220426527664.pdf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https://www2.jpx.co.jp/disc/65160/140120210426400190.pdf</t>
        </is>
      </c>
    </row>
    <row r="22">
      <c r="A22" t="inlineStr">
        <is>
          <t>2020-05-11</t>
        </is>
      </c>
      <c r="B22" t="inlineStr">
        <is>
          <t>2020년 3월 결산기 연간 결산단신</t>
        </is>
      </c>
      <c r="C22" t="inlineStr">
        <is>
          <t>https://www2.jpx.co.jp/disc/65160/140120200511407852.pdf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https://www2.jpx.co.jp/disc/65160/140120190424409940.pdf</t>
        </is>
      </c>
    </row>
    <row r="24">
      <c r="A24" t="inlineStr">
        <is>
          <t>2018-04-26</t>
        </is>
      </c>
      <c r="B24" t="inlineStr">
        <is>
          <t>2018년 3월 결산기 연간 결산단신</t>
        </is>
      </c>
      <c r="C24" t="inlineStr">
        <is>
          <t>https://www2.jpx.co.jp/disc/65160/140120180426420657.pdf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2026-10-26T10:55:39Z</dcterms:created>
  <dcterms:modified xmlns:dcterms="http://purl.org/dc/terms/" xmlns:xsi="http://www.w3.org/2001/XMLSchema-instance" xsi:type="dcterms:W3CDTF">2026-10-26T10:55:39Z</dcterms:modified>
</cp:coreProperties>
</file>