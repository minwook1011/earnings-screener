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6516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29593</v>
      </c>
      <c r="D4" s="12" t="n">
        <v>25902</v>
      </c>
      <c r="E4" s="12" t="n">
        <v>26348</v>
      </c>
      <c r="F4" s="12" t="n">
        <v>23158</v>
      </c>
      <c r="G4" s="12" t="n">
        <v>23368</v>
      </c>
      <c r="H4" s="12" t="n">
        <v>25188</v>
      </c>
      <c r="I4" s="12" t="n">
        <v>26133</v>
      </c>
      <c r="J4" s="12" t="n">
        <v>24151</v>
      </c>
      <c r="K4" s="12" t="n">
        <v>26633</v>
      </c>
      <c r="L4" s="12" t="n">
        <v>27320</v>
      </c>
      <c r="M4" s="12" t="n">
        <v>29242</v>
      </c>
      <c r="N4" s="12" t="n">
        <v>32237</v>
      </c>
      <c r="O4" s="11" t="n">
        <v>60702</v>
      </c>
      <c r="P4" s="12" t="n">
        <v>89188</v>
      </c>
      <c r="Q4" s="12" t="n">
        <v>84678</v>
      </c>
      <c r="R4" s="12" t="n">
        <v>70706</v>
      </c>
      <c r="S4" s="12" t="n">
        <v>77506</v>
      </c>
      <c r="T4" s="12" t="n">
        <v>101123</v>
      </c>
      <c r="U4" s="12" t="n">
        <v>120803</v>
      </c>
      <c r="V4" s="12" t="n">
        <v>112904</v>
      </c>
      <c r="W4" s="12" t="n">
        <v>97847</v>
      </c>
      <c r="X4" s="12" t="n">
        <v>107346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SanAceCompanyReportableSegmentMember</t>
        </is>
      </c>
      <c r="B7" s="10" t="n"/>
      <c r="C7" s="19" t="n">
        <v>11136</v>
      </c>
      <c r="D7" s="20" t="n">
        <v>9325</v>
      </c>
      <c r="E7" s="20" t="n">
        <v>9556</v>
      </c>
      <c r="F7" s="20" t="n">
        <v>8847</v>
      </c>
      <c r="G7" s="20" t="n">
        <v>9231</v>
      </c>
      <c r="H7" s="20" t="n">
        <v>10166</v>
      </c>
      <c r="I7" s="20" t="n">
        <v>9818</v>
      </c>
      <c r="J7" s="20" t="n">
        <v>9727</v>
      </c>
      <c r="K7" s="20" t="n">
        <v>10577</v>
      </c>
      <c r="L7" s="20" t="n">
        <v>10032</v>
      </c>
      <c r="M7" s="20" t="n">
        <v>10490</v>
      </c>
      <c r="N7" s="20" t="n">
        <v>11638</v>
      </c>
      <c r="O7" s="19" t="n"/>
      <c r="P7" s="20" t="n"/>
      <c r="Q7" s="20" t="n"/>
      <c r="R7" s="20" t="n"/>
      <c r="S7" s="20" t="n"/>
      <c r="T7" s="20" t="n"/>
      <c r="U7" s="20" t="n"/>
      <c r="V7" s="20" t="n">
        <v>42984</v>
      </c>
      <c r="W7" s="20" t="n">
        <v>38062</v>
      </c>
      <c r="X7" s="20" t="n">
        <v>40826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ElectronicsCompanyReportableSegmentMember</t>
        </is>
      </c>
      <c r="B10" s="10" t="n"/>
      <c r="C10" s="19" t="n">
        <v>6140</v>
      </c>
      <c r="D10" s="20" t="n">
        <v>5988</v>
      </c>
      <c r="E10" s="20" t="n">
        <v>6286</v>
      </c>
      <c r="F10" s="20" t="n">
        <v>4955</v>
      </c>
      <c r="G10" s="20" t="n">
        <v>4977</v>
      </c>
      <c r="H10" s="20" t="n">
        <v>5248</v>
      </c>
      <c r="I10" s="20" t="n">
        <v>5969</v>
      </c>
      <c r="J10" s="20" t="n">
        <v>4418</v>
      </c>
      <c r="K10" s="20" t="n">
        <v>5882</v>
      </c>
      <c r="L10" s="20" t="n">
        <v>6326</v>
      </c>
      <c r="M10" s="20" t="n">
        <v>6623</v>
      </c>
      <c r="N10" s="20" t="n">
        <v>6318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23814</v>
      </c>
      <c r="W10" s="20" t="n">
        <v>21149</v>
      </c>
      <c r="X10" s="20" t="n">
        <v>23249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MotionCompanyReportableSegmentMember</t>
        </is>
      </c>
      <c r="B13" s="10" t="n"/>
      <c r="C13" s="19" t="n">
        <v>10789</v>
      </c>
      <c r="D13" s="20" t="n">
        <v>9292</v>
      </c>
      <c r="E13" s="20" t="n">
        <v>9060</v>
      </c>
      <c r="F13" s="20" t="n">
        <v>8083</v>
      </c>
      <c r="G13" s="20" t="n">
        <v>7877</v>
      </c>
      <c r="H13" s="20" t="n">
        <v>8409</v>
      </c>
      <c r="I13" s="20" t="n">
        <v>8602</v>
      </c>
      <c r="J13" s="20" t="n">
        <v>8702</v>
      </c>
      <c r="K13" s="20" t="n">
        <v>8885</v>
      </c>
      <c r="L13" s="20" t="n">
        <v>9644</v>
      </c>
      <c r="M13" s="20" t="n">
        <v>10312</v>
      </c>
      <c r="N13" s="20" t="n">
        <v>12727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40365</v>
      </c>
      <c r="W13" s="20" t="n">
        <v>32971</v>
      </c>
      <c r="X13" s="20" t="n">
        <v>37543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OtherReportableSegmentsMember</t>
        </is>
      </c>
      <c r="B16" s="10" t="n"/>
      <c r="C16" s="19" t="n">
        <v>1528</v>
      </c>
      <c r="D16" s="20" t="n">
        <v>1297</v>
      </c>
      <c r="E16" s="20" t="n">
        <v>1446</v>
      </c>
      <c r="F16" s="20" t="n">
        <v>1272</v>
      </c>
      <c r="G16" s="20" t="n">
        <v>1282</v>
      </c>
      <c r="H16" s="20" t="n">
        <v>1366</v>
      </c>
      <c r="I16" s="20" t="n">
        <v>1743</v>
      </c>
      <c r="J16" s="20" t="n">
        <v>1303</v>
      </c>
      <c r="K16" s="20" t="n">
        <v>1289</v>
      </c>
      <c r="L16" s="20" t="n">
        <v>1318</v>
      </c>
      <c r="M16" s="20" t="n">
        <v>1815</v>
      </c>
      <c r="N16" s="20" t="n">
        <v>1553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5740</v>
      </c>
      <c r="W16" s="20" t="n">
        <v>5663</v>
      </c>
      <c r="X16" s="20" t="n">
        <v>5725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23158</v>
      </c>
      <c r="G19" s="20" t="n"/>
      <c r="H19" s="20" t="n"/>
      <c r="I19" s="20" t="n"/>
      <c r="J19" s="20" t="n">
        <v>24151</v>
      </c>
      <c r="K19" s="20" t="n"/>
      <c r="L19" s="20" t="n"/>
      <c r="M19" s="20" t="n"/>
      <c r="N19" s="20" t="n">
        <v>32237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21802</v>
      </c>
      <c r="D23" s="20" t="n">
        <v>19400</v>
      </c>
      <c r="E23" s="20" t="n">
        <v>20068</v>
      </c>
      <c r="F23" s="20" t="n">
        <v>17187</v>
      </c>
      <c r="G23" s="20" t="n">
        <v>17501</v>
      </c>
      <c r="H23" s="20" t="n">
        <v>19000</v>
      </c>
      <c r="I23" s="20" t="n">
        <v>19033</v>
      </c>
      <c r="J23" s="20" t="n">
        <v>17774</v>
      </c>
      <c r="K23" s="20" t="n">
        <v>18987</v>
      </c>
      <c r="L23" s="20" t="n">
        <v>19729</v>
      </c>
      <c r="M23" s="20" t="n">
        <v>20902</v>
      </c>
      <c r="N23" s="20" t="n">
        <v>22765</v>
      </c>
      <c r="O23" s="19" t="n">
        <v>49716</v>
      </c>
      <c r="P23" s="20" t="n">
        <v>66284</v>
      </c>
      <c r="Q23" s="20" t="n">
        <v>63662</v>
      </c>
      <c r="R23" s="20" t="n">
        <v>56757</v>
      </c>
      <c r="S23" s="20" t="n">
        <v>60469</v>
      </c>
      <c r="T23" s="20" t="n">
        <v>75524</v>
      </c>
      <c r="U23" s="20" t="n">
        <v>89586</v>
      </c>
      <c r="V23" s="20" t="n">
        <v>84001</v>
      </c>
      <c r="W23" s="20" t="n">
        <v>72721</v>
      </c>
      <c r="X23" s="20" t="n">
        <v>77392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4609</v>
      </c>
      <c r="D29" s="20" t="n">
        <v>4518</v>
      </c>
      <c r="E29" s="20" t="n">
        <v>4197</v>
      </c>
      <c r="F29" s="20" t="n">
        <v>4666</v>
      </c>
      <c r="G29" s="20" t="n">
        <v>4442</v>
      </c>
      <c r="H29" s="20" t="n">
        <v>4392</v>
      </c>
      <c r="I29" s="20" t="n">
        <v>4260</v>
      </c>
      <c r="J29" s="20" t="n">
        <v>4668</v>
      </c>
      <c r="K29" s="20" t="n">
        <v>4618</v>
      </c>
      <c r="L29" s="20" t="n">
        <v>4953</v>
      </c>
      <c r="M29" s="20" t="n">
        <v>5040</v>
      </c>
      <c r="N29" s="20" t="n">
        <v>5299</v>
      </c>
      <c r="O29" s="19" t="n">
        <v>7924</v>
      </c>
      <c r="P29" s="20" t="n">
        <v>14237</v>
      </c>
      <c r="Q29" s="20" t="n">
        <v>14596</v>
      </c>
      <c r="R29" s="20" t="n">
        <v>13052</v>
      </c>
      <c r="S29" s="20" t="n">
        <v>12416</v>
      </c>
      <c r="T29" s="20" t="n">
        <v>14744</v>
      </c>
      <c r="U29" s="20" t="n">
        <v>17896</v>
      </c>
      <c r="V29" s="20" t="n">
        <v>17911</v>
      </c>
      <c r="W29" s="20" t="n">
        <v>17760</v>
      </c>
      <c r="X29" s="20" t="n">
        <v>19279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3123</v>
      </c>
      <c r="D31" s="12" t="n">
        <v>2751</v>
      </c>
      <c r="E31" s="12" t="n">
        <v>2137</v>
      </c>
      <c r="F31" s="12" t="n">
        <v>1453</v>
      </c>
      <c r="G31" s="12" t="n">
        <v>1593</v>
      </c>
      <c r="H31" s="12" t="n">
        <v>1858</v>
      </c>
      <c r="I31" s="12" t="n">
        <v>3032</v>
      </c>
      <c r="J31" s="12" t="n">
        <v>1767</v>
      </c>
      <c r="K31" s="12" t="n">
        <v>3081</v>
      </c>
      <c r="L31" s="12" t="n">
        <v>2694</v>
      </c>
      <c r="M31" s="12" t="n">
        <v>3343</v>
      </c>
      <c r="N31" s="12" t="n">
        <v>4209</v>
      </c>
      <c r="O31" s="11" t="n">
        <v>3061</v>
      </c>
      <c r="P31" s="12" t="n">
        <v>8784</v>
      </c>
      <c r="Q31" s="12" t="n">
        <v>6590</v>
      </c>
      <c r="R31" s="12" t="n">
        <v>1043</v>
      </c>
      <c r="S31" s="12" t="n">
        <v>4830</v>
      </c>
      <c r="T31" s="12" t="n">
        <v>10971</v>
      </c>
      <c r="U31" s="12" t="n">
        <v>13421</v>
      </c>
      <c r="V31" s="12" t="n">
        <v>11811</v>
      </c>
      <c r="W31" s="12" t="n">
        <v>7936</v>
      </c>
      <c r="X31" s="12" t="n">
        <v>10885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기타이익</t>
        </is>
      </c>
      <c r="B47" s="10" t="n"/>
      <c r="C47" s="19" t="n">
        <v>47</v>
      </c>
      <c r="D47" s="20" t="n">
        <v>786</v>
      </c>
      <c r="E47" s="20" t="n">
        <v>61</v>
      </c>
      <c r="F47" s="20" t="n">
        <v>152</v>
      </c>
      <c r="G47" s="20" t="n">
        <v>169</v>
      </c>
      <c r="H47" s="20" t="n">
        <v>76</v>
      </c>
      <c r="I47" s="20" t="n">
        <v>197</v>
      </c>
      <c r="J47" s="20" t="n">
        <v>62</v>
      </c>
      <c r="K47" s="20" t="n">
        <v>56</v>
      </c>
      <c r="L47" s="20" t="n">
        <v>55</v>
      </c>
      <c r="M47" s="20" t="n">
        <v>50</v>
      </c>
      <c r="N47" s="20" t="n">
        <v>39</v>
      </c>
      <c r="O47" s="19" t="n">
        <v>0</v>
      </c>
      <c r="P47" s="20" t="n">
        <v>168</v>
      </c>
      <c r="Q47" s="20" t="n">
        <v>179</v>
      </c>
      <c r="R47" s="20" t="n">
        <v>176</v>
      </c>
      <c r="S47" s="20" t="n">
        <v>227</v>
      </c>
      <c r="T47" s="20" t="n">
        <v>152</v>
      </c>
      <c r="U47" s="20" t="n">
        <v>249</v>
      </c>
      <c r="V47" s="20" t="n">
        <v>953</v>
      </c>
      <c r="W47" s="20" t="n">
        <v>594</v>
      </c>
      <c r="X47" s="20" t="n">
        <v>223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기타손실</t>
        </is>
      </c>
      <c r="B49" s="10" t="n"/>
      <c r="C49" s="19" t="n">
        <v>105</v>
      </c>
      <c r="D49" s="20" t="n">
        <v>20</v>
      </c>
      <c r="E49" s="20" t="n">
        <v>7</v>
      </c>
      <c r="F49" s="20" t="n">
        <v>2</v>
      </c>
      <c r="G49" s="20" t="n">
        <v>3</v>
      </c>
      <c r="H49" s="20" t="n">
        <v>13</v>
      </c>
      <c r="I49" s="20" t="n">
        <v>5</v>
      </c>
      <c r="J49" s="20" t="n">
        <v>3</v>
      </c>
      <c r="K49" s="20" t="n">
        <v>3</v>
      </c>
      <c r="L49" s="20" t="n">
        <v>-1</v>
      </c>
      <c r="M49" s="20" t="n">
        <v>7</v>
      </c>
      <c r="N49" s="20" t="n">
        <v>2</v>
      </c>
      <c r="O49" s="19" t="n">
        <v>56</v>
      </c>
      <c r="P49" s="20" t="n">
        <v>50</v>
      </c>
      <c r="Q49" s="20" t="n">
        <v>9</v>
      </c>
      <c r="R49" s="20" t="n">
        <v>28</v>
      </c>
      <c r="S49" s="20" t="n">
        <v>17</v>
      </c>
      <c r="T49" s="20" t="n">
        <v>35</v>
      </c>
      <c r="U49" s="20" t="n">
        <v>148</v>
      </c>
      <c r="V49" s="20" t="n">
        <v>134</v>
      </c>
      <c r="W49" s="20" t="n">
        <v>23</v>
      </c>
      <c r="X49" s="20" t="n">
        <v>12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금융수익</t>
        </is>
      </c>
      <c r="B51" s="10" t="n"/>
      <c r="C51" s="19" t="n">
        <v>380</v>
      </c>
      <c r="D51" s="20" t="n">
        <v>-332</v>
      </c>
      <c r="E51" s="20" t="n">
        <v>607</v>
      </c>
      <c r="F51" s="20" t="n">
        <v>730</v>
      </c>
      <c r="G51" s="20" t="n">
        <v>-393</v>
      </c>
      <c r="H51" s="20" t="n">
        <v>423</v>
      </c>
      <c r="I51" s="20" t="n">
        <v>-116</v>
      </c>
      <c r="J51" s="20" t="n">
        <v>231</v>
      </c>
      <c r="K51" s="20" t="n">
        <v>89</v>
      </c>
      <c r="L51" s="20" t="n">
        <v>311</v>
      </c>
      <c r="M51" s="20" t="n">
        <v>275</v>
      </c>
      <c r="N51" s="20" t="n">
        <v>281</v>
      </c>
      <c r="O51" s="19" t="n">
        <v>837</v>
      </c>
      <c r="P51" s="20" t="n">
        <v>196</v>
      </c>
      <c r="Q51" s="20" t="n">
        <v>404</v>
      </c>
      <c r="R51" s="20" t="n">
        <v>245</v>
      </c>
      <c r="S51" s="20" t="n">
        <v>274</v>
      </c>
      <c r="T51" s="20" t="n">
        <v>917</v>
      </c>
      <c r="U51" s="20" t="n">
        <v>994</v>
      </c>
      <c r="V51" s="20" t="n">
        <v>1714</v>
      </c>
      <c r="W51" s="20" t="n">
        <v>644</v>
      </c>
      <c r="X51" s="20" t="n">
        <v>906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금융원가</t>
        </is>
      </c>
      <c r="B53" s="10" t="n"/>
      <c r="C53" s="19" t="n">
        <v>39</v>
      </c>
      <c r="D53" s="20" t="n">
        <v>37</v>
      </c>
      <c r="E53" s="20" t="n">
        <v>84</v>
      </c>
      <c r="F53" s="20" t="n">
        <v>58</v>
      </c>
      <c r="G53" s="20" t="n">
        <v>750</v>
      </c>
      <c r="H53" s="20" t="n">
        <v>-636</v>
      </c>
      <c r="I53" s="20" t="n">
        <v>405</v>
      </c>
      <c r="J53" s="20" t="n">
        <v>493</v>
      </c>
      <c r="K53" s="20" t="n">
        <v>-262</v>
      </c>
      <c r="L53" s="20" t="n">
        <v>-204</v>
      </c>
      <c r="M53" s="20" t="n">
        <v>18</v>
      </c>
      <c r="N53" s="20" t="n">
        <v>60</v>
      </c>
      <c r="O53" s="19" t="n">
        <v>24</v>
      </c>
      <c r="P53" s="20" t="n">
        <v>440</v>
      </c>
      <c r="Q53" s="20" t="n">
        <v>104</v>
      </c>
      <c r="R53" s="20" t="n">
        <v>303</v>
      </c>
      <c r="S53" s="20" t="n">
        <v>108</v>
      </c>
      <c r="T53" s="20" t="n">
        <v>101</v>
      </c>
      <c r="U53" s="20" t="n">
        <v>189</v>
      </c>
      <c r="V53" s="20" t="n">
        <v>202</v>
      </c>
      <c r="W53" s="20" t="n">
        <v>577</v>
      </c>
      <c r="X53" s="20" t="n">
        <v>45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3465</v>
      </c>
      <c r="D55" s="12" t="n">
        <v>2381</v>
      </c>
      <c r="E55" s="12" t="n">
        <v>2660</v>
      </c>
      <c r="F55" s="12" t="n">
        <v>2125</v>
      </c>
      <c r="G55" s="12" t="n">
        <v>450</v>
      </c>
      <c r="H55" s="12" t="n">
        <v>2917</v>
      </c>
      <c r="I55" s="12" t="n">
        <v>2511</v>
      </c>
      <c r="J55" s="12" t="n">
        <v>1505</v>
      </c>
      <c r="K55" s="12" t="n">
        <v>3432</v>
      </c>
      <c r="L55" s="12" t="n">
        <v>3209</v>
      </c>
      <c r="M55" s="12" t="n">
        <v>3601</v>
      </c>
      <c r="N55" s="12" t="n">
        <v>4430</v>
      </c>
      <c r="O55" s="11" t="n">
        <v>3818</v>
      </c>
      <c r="P55" s="12" t="n">
        <v>8540</v>
      </c>
      <c r="Q55" s="12" t="n">
        <v>6890</v>
      </c>
      <c r="R55" s="12" t="n">
        <v>986</v>
      </c>
      <c r="S55" s="12" t="n">
        <v>4996</v>
      </c>
      <c r="T55" s="12" t="n">
        <v>11787</v>
      </c>
      <c r="U55" s="12" t="n">
        <v>14226</v>
      </c>
      <c r="V55" s="12" t="n">
        <v>13323</v>
      </c>
      <c r="W55" s="12" t="n">
        <v>8003</v>
      </c>
      <c r="X55" s="12" t="n">
        <v>11747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1115</v>
      </c>
      <c r="D57" s="20" t="n">
        <v>363</v>
      </c>
      <c r="E57" s="20" t="n">
        <v>-3</v>
      </c>
      <c r="F57" s="20" t="n">
        <v>764</v>
      </c>
      <c r="G57" s="20" t="n">
        <v>210</v>
      </c>
      <c r="H57" s="20" t="n">
        <v>516</v>
      </c>
      <c r="I57" s="20" t="n">
        <v>875</v>
      </c>
      <c r="J57" s="20" t="n">
        <v>453</v>
      </c>
      <c r="K57" s="20" t="n">
        <v>975</v>
      </c>
      <c r="L57" s="20" t="n">
        <v>961</v>
      </c>
      <c r="M57" s="20" t="n">
        <v>697</v>
      </c>
      <c r="N57" s="20" t="n">
        <v>1436</v>
      </c>
      <c r="O57" s="19" t="n">
        <v>863</v>
      </c>
      <c r="P57" s="20" t="n">
        <v>2124</v>
      </c>
      <c r="Q57" s="20" t="n">
        <v>1906</v>
      </c>
      <c r="R57" s="20" t="n">
        <v>559</v>
      </c>
      <c r="S57" s="20" t="n">
        <v>1053</v>
      </c>
      <c r="T57" s="20" t="n">
        <v>2770</v>
      </c>
      <c r="U57" s="20" t="n">
        <v>2814</v>
      </c>
      <c r="V57" s="20" t="n">
        <v>2844</v>
      </c>
      <c r="W57" s="20" t="n">
        <v>2365</v>
      </c>
      <c r="X57" s="20" t="n">
        <v>3086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2350</v>
      </c>
      <c r="D59" s="12" t="n">
        <v>2017</v>
      </c>
      <c r="E59" s="12" t="n">
        <v>2664</v>
      </c>
      <c r="F59" s="12" t="n">
        <v>1361</v>
      </c>
      <c r="G59" s="12" t="n">
        <v>239</v>
      </c>
      <c r="H59" s="12" t="n">
        <v>2402</v>
      </c>
      <c r="I59" s="12" t="n">
        <v>1636</v>
      </c>
      <c r="J59" s="12" t="n">
        <v>1051</v>
      </c>
      <c r="K59" s="12" t="n">
        <v>2458</v>
      </c>
      <c r="L59" s="12" t="n">
        <v>2248</v>
      </c>
      <c r="M59" s="12" t="n">
        <v>2904</v>
      </c>
      <c r="N59" s="12" t="n">
        <v>2994</v>
      </c>
      <c r="O59" s="11" t="n">
        <v>2955</v>
      </c>
      <c r="P59" s="12" t="n">
        <v>6416</v>
      </c>
      <c r="Q59" s="12" t="n">
        <v>4984</v>
      </c>
      <c r="R59" s="12" t="n">
        <v>426</v>
      </c>
      <c r="S59" s="12" t="n">
        <v>3942</v>
      </c>
      <c r="T59" s="12" t="n">
        <v>9016</v>
      </c>
      <c r="U59" s="12" t="n">
        <v>11412</v>
      </c>
      <c r="V59" s="12" t="n">
        <v>10479</v>
      </c>
      <c r="W59" s="12" t="n">
        <v>5638</v>
      </c>
      <c r="X59" s="12" t="n">
        <v>8661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2349</v>
      </c>
      <c r="D61" s="12" t="n">
        <v>2018</v>
      </c>
      <c r="E61" s="12" t="n">
        <v>2663</v>
      </c>
      <c r="F61" s="12" t="n">
        <v>1360</v>
      </c>
      <c r="G61" s="12" t="n">
        <v>240</v>
      </c>
      <c r="H61" s="12" t="n">
        <v>2401</v>
      </c>
      <c r="I61" s="12" t="n">
        <v>1636</v>
      </c>
      <c r="J61" s="12" t="n">
        <v>1051</v>
      </c>
      <c r="K61" s="12" t="n">
        <v>2458</v>
      </c>
      <c r="L61" s="12" t="n">
        <v>2248</v>
      </c>
      <c r="M61" s="12" t="n">
        <v>2904</v>
      </c>
      <c r="N61" s="12" t="n">
        <v>2994</v>
      </c>
      <c r="O61" s="11" t="n"/>
      <c r="P61" s="12" t="n">
        <v>6415</v>
      </c>
      <c r="Q61" s="12" t="n">
        <v>4983</v>
      </c>
      <c r="R61" s="12" t="n">
        <v>426</v>
      </c>
      <c r="S61" s="12" t="n">
        <v>3942</v>
      </c>
      <c r="T61" s="12" t="n">
        <v>9015</v>
      </c>
      <c r="U61" s="12" t="n">
        <v>11410</v>
      </c>
      <c r="V61" s="12" t="n">
        <v>10477</v>
      </c>
      <c r="W61" s="12" t="n">
        <v>5637</v>
      </c>
      <c r="X61" s="12" t="n">
        <v>8661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5270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38916561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2024.2Q</t>
        </is>
      </c>
      <c r="D95" s="5" t="inlineStr">
        <is>
          <t>2024.3Q</t>
        </is>
      </c>
      <c r="E95" s="5" t="inlineStr">
        <is>
          <t>2024.4Q</t>
        </is>
      </c>
      <c r="F95" s="5" t="inlineStr">
        <is>
          <t>2025.1Q</t>
        </is>
      </c>
      <c r="G95" s="5" t="inlineStr">
        <is>
          <t>2025.2Q</t>
        </is>
      </c>
      <c r="H95" s="5" t="inlineStr">
        <is>
          <t>2025.3Q</t>
        </is>
      </c>
      <c r="I95" s="5" t="inlineStr">
        <is>
          <t>2025.4Q</t>
        </is>
      </c>
      <c r="J95" s="5" t="inlineStr">
        <is>
          <t>2026.1Q</t>
        </is>
      </c>
      <c r="K95" s="5" t="inlineStr">
        <is>
          <t>2026.2Q</t>
        </is>
      </c>
      <c r="L95" s="5" t="inlineStr">
        <is>
          <t>2026.3Q</t>
        </is>
      </c>
      <c r="M95" s="5" t="inlineStr">
        <is>
          <t>2026.4Q</t>
        </is>
      </c>
      <c r="N95" s="5" t="inlineStr">
        <is>
          <t>2027.1Q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매출수익</t>
        </is>
      </c>
      <c r="C96" s="12" t="n">
        <v>29593</v>
      </c>
      <c r="D96" s="12" t="n">
        <v>25902</v>
      </c>
      <c r="E96" s="12" t="n">
        <v>26348</v>
      </c>
      <c r="F96" s="12" t="n">
        <v>23158</v>
      </c>
      <c r="G96" s="12" t="n">
        <v>23368</v>
      </c>
      <c r="H96" s="12" t="n">
        <v>25188</v>
      </c>
      <c r="I96" s="12" t="n">
        <v>26133</v>
      </c>
      <c r="J96" s="12" t="n">
        <v>24151</v>
      </c>
      <c r="K96" s="12" t="n">
        <v>26633</v>
      </c>
      <c r="L96" s="12" t="n">
        <v>27320</v>
      </c>
      <c r="M96" s="12" t="n">
        <v>29242</v>
      </c>
      <c r="N96" s="12" t="n">
        <v>32237</v>
      </c>
      <c r="T96" s="12" t="n">
        <v>26579</v>
      </c>
      <c r="U96" s="12" t="n">
        <v>31500</v>
      </c>
      <c r="V96" s="12" t="n">
        <v>26348</v>
      </c>
      <c r="W96" s="12" t="n">
        <v>26133</v>
      </c>
      <c r="X96" s="12" t="n">
        <v>29242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21802</v>
      </c>
      <c r="D98" s="20" t="n">
        <v>19400</v>
      </c>
      <c r="E98" s="20" t="n">
        <v>20068</v>
      </c>
      <c r="F98" s="20" t="n">
        <v>17187</v>
      </c>
      <c r="G98" s="20" t="n">
        <v>17501</v>
      </c>
      <c r="H98" s="20" t="n">
        <v>19000</v>
      </c>
      <c r="I98" s="20" t="n">
        <v>19033</v>
      </c>
      <c r="J98" s="20" t="n">
        <v>17774</v>
      </c>
      <c r="K98" s="20" t="n">
        <v>18987</v>
      </c>
      <c r="L98" s="20" t="n">
        <v>19729</v>
      </c>
      <c r="M98" s="20" t="n">
        <v>20902</v>
      </c>
      <c r="N98" s="20" t="n">
        <v>22765</v>
      </c>
      <c r="T98" s="20" t="n">
        <v>19425</v>
      </c>
      <c r="U98" s="20" t="n">
        <v>23381</v>
      </c>
      <c r="V98" s="20" t="n">
        <v>20068</v>
      </c>
      <c r="W98" s="20" t="n">
        <v>19033</v>
      </c>
      <c r="X98" s="20" t="n">
        <v>20902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7791</v>
      </c>
      <c r="D100" s="12" t="n">
        <v>6502</v>
      </c>
      <c r="E100" s="12" t="n">
        <v>6280</v>
      </c>
      <c r="F100" s="12" t="n">
        <v>5970</v>
      </c>
      <c r="G100" s="12" t="n">
        <v>5868</v>
      </c>
      <c r="H100" s="12" t="n">
        <v>6188</v>
      </c>
      <c r="I100" s="12" t="n">
        <v>7099</v>
      </c>
      <c r="J100" s="12" t="n">
        <v>6377</v>
      </c>
      <c r="K100" s="12" t="n">
        <v>7646</v>
      </c>
      <c r="L100" s="12" t="n">
        <v>7590</v>
      </c>
      <c r="M100" s="12" t="n">
        <v>8340</v>
      </c>
      <c r="N100" s="12" t="n">
        <v>9471</v>
      </c>
      <c r="T100" s="12" t="n">
        <v>7155</v>
      </c>
      <c r="U100" s="12" t="n">
        <v>8119</v>
      </c>
      <c r="V100" s="12" t="n">
        <v>6280</v>
      </c>
      <c r="W100" s="12" t="n">
        <v>7099</v>
      </c>
      <c r="X100" s="12" t="n">
        <v>8340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4609</v>
      </c>
      <c r="D102" s="20" t="n">
        <v>4518</v>
      </c>
      <c r="E102" s="20" t="n">
        <v>4197</v>
      </c>
      <c r="F102" s="20" t="n">
        <v>4666</v>
      </c>
      <c r="G102" s="20" t="n">
        <v>4442</v>
      </c>
      <c r="H102" s="20" t="n">
        <v>4392</v>
      </c>
      <c r="I102" s="20" t="n">
        <v>4260</v>
      </c>
      <c r="J102" s="20" t="n">
        <v>4668</v>
      </c>
      <c r="K102" s="20" t="n">
        <v>4618</v>
      </c>
      <c r="L102" s="20" t="n">
        <v>4953</v>
      </c>
      <c r="M102" s="20" t="n">
        <v>5040</v>
      </c>
      <c r="N102" s="20" t="n">
        <v>5299</v>
      </c>
      <c r="T102" s="20" t="n">
        <v>3829</v>
      </c>
      <c r="U102" s="20" t="n">
        <v>4471</v>
      </c>
      <c r="V102" s="20" t="n">
        <v>4197</v>
      </c>
      <c r="W102" s="20" t="n">
        <v>4260</v>
      </c>
      <c r="X102" s="20" t="n">
        <v>5040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18" t="inlineStr">
        <is>
          <t>기타수익</t>
        </is>
      </c>
      <c r="C104" s="20" t="n">
        <v>47</v>
      </c>
      <c r="D104" s="20" t="n">
        <v>786</v>
      </c>
      <c r="E104" s="20" t="n">
        <v>61</v>
      </c>
      <c r="F104" s="20" t="n">
        <v>152</v>
      </c>
      <c r="G104" s="20" t="n">
        <v>169</v>
      </c>
      <c r="H104" s="20" t="n">
        <v>76</v>
      </c>
      <c r="I104" s="20" t="n">
        <v>197</v>
      </c>
      <c r="J104" s="20" t="n">
        <v>62</v>
      </c>
      <c r="K104" s="20" t="n">
        <v>56</v>
      </c>
      <c r="L104" s="20" t="n">
        <v>55</v>
      </c>
      <c r="M104" s="20" t="n">
        <v>50</v>
      </c>
      <c r="N104" s="20" t="n">
        <v>39</v>
      </c>
      <c r="T104" s="20" t="n">
        <v>35</v>
      </c>
      <c r="U104" s="20" t="n">
        <v>146</v>
      </c>
      <c r="V104" s="20" t="n">
        <v>61</v>
      </c>
      <c r="W104" s="20" t="n">
        <v>197</v>
      </c>
      <c r="X104" s="20" t="n">
        <v>50</v>
      </c>
    </row>
    <row r="105">
      <c r="A105" s="18" t="inlineStr">
        <is>
          <t>기타비용</t>
        </is>
      </c>
      <c r="C105" s="20" t="n">
        <v>105</v>
      </c>
      <c r="D105" s="20" t="n">
        <v>20</v>
      </c>
      <c r="E105" s="20" t="n">
        <v>7</v>
      </c>
      <c r="F105" s="20" t="n">
        <v>2</v>
      </c>
      <c r="G105" s="20" t="n">
        <v>3</v>
      </c>
      <c r="H105" s="20" t="n">
        <v>13</v>
      </c>
      <c r="I105" s="20" t="n">
        <v>5</v>
      </c>
      <c r="J105" s="20" t="n">
        <v>3</v>
      </c>
      <c r="K105" s="20" t="n">
        <v>3</v>
      </c>
      <c r="L105" s="20" t="n">
        <v>-1</v>
      </c>
      <c r="M105" s="20" t="n">
        <v>7</v>
      </c>
      <c r="N105" s="20" t="n">
        <v>2</v>
      </c>
      <c r="T105" s="20" t="n">
        <v>24</v>
      </c>
      <c r="U105" s="20" t="n">
        <v>88</v>
      </c>
      <c r="V105" s="20" t="n">
        <v>7</v>
      </c>
      <c r="W105" s="20" t="n">
        <v>5</v>
      </c>
      <c r="X105" s="20" t="n">
        <v>7</v>
      </c>
    </row>
    <row r="106">
      <c r="A106" s="18" t="inlineStr">
        <is>
          <t>영업이익</t>
        </is>
      </c>
      <c r="C106" s="20" t="n">
        <v>3123</v>
      </c>
      <c r="D106" s="20" t="n">
        <v>2751</v>
      </c>
      <c r="E106" s="20" t="n">
        <v>2137</v>
      </c>
      <c r="F106" s="20" t="n">
        <v>1453</v>
      </c>
      <c r="G106" s="20" t="n">
        <v>1593</v>
      </c>
      <c r="H106" s="20" t="n">
        <v>1858</v>
      </c>
      <c r="I106" s="20" t="n">
        <v>3032</v>
      </c>
      <c r="J106" s="20" t="n">
        <v>1767</v>
      </c>
      <c r="K106" s="20" t="n">
        <v>3081</v>
      </c>
      <c r="L106" s="20" t="n">
        <v>2694</v>
      </c>
      <c r="M106" s="20" t="n">
        <v>3343</v>
      </c>
      <c r="N106" s="20" t="n">
        <v>4209</v>
      </c>
      <c r="T106" s="20" t="n">
        <v>3336</v>
      </c>
      <c r="U106" s="20" t="n">
        <v>3705</v>
      </c>
      <c r="V106" s="20" t="n">
        <v>2137</v>
      </c>
      <c r="W106" s="20" t="n">
        <v>3032</v>
      </c>
      <c r="X106" s="20" t="n">
        <v>3343</v>
      </c>
    </row>
    <row r="107">
      <c r="A107" s="43" t="inlineStr">
        <is>
          <t>OPM</t>
        </is>
      </c>
      <c r="B107" s="3" t="inlineStr">
        <is>
          <t>영업이익 ÷ 매출</t>
        </is>
      </c>
      <c r="C107" s="15">
        <f>IF(OR(C106="",C96=""),"",IF(C96&lt;=0,"",IFERROR(C106/C96,"")))</f>
        <v/>
      </c>
      <c r="D107" s="15">
        <f>IF(OR(D106="",D96=""),"",IF(D96&lt;=0,"",IFERROR(D106/D96,"")))</f>
        <v/>
      </c>
      <c r="E107" s="15">
        <f>IF(OR(E106="",E96=""),"",IF(E96&lt;=0,"",IFERROR(E106/E96,"")))</f>
        <v/>
      </c>
      <c r="F107" s="15">
        <f>IF(OR(F106="",F96=""),"",IF(F96&lt;=0,"",IFERROR(F106/F96,"")))</f>
        <v/>
      </c>
      <c r="G107" s="15">
        <f>IF(OR(G106="",G96=""),"",IF(G96&lt;=0,"",IFERROR(G106/G96,"")))</f>
        <v/>
      </c>
      <c r="H107" s="15">
        <f>IF(OR(H106="",H96=""),"",IF(H96&lt;=0,"",IFERROR(H106/H96,"")))</f>
        <v/>
      </c>
      <c r="I107" s="15">
        <f>IF(OR(I106="",I96=""),"",IF(I96&lt;=0,"",IFERROR(I106/I96,"")))</f>
        <v/>
      </c>
      <c r="J107" s="15">
        <f>IF(OR(J106="",J96=""),"",IF(J96&lt;=0,"",IFERROR(J106/J96,"")))</f>
        <v/>
      </c>
      <c r="K107" s="15">
        <f>IF(OR(K106="",K96=""),"",IF(K96&lt;=0,"",IFERROR(K106/K96,"")))</f>
        <v/>
      </c>
      <c r="L107" s="15">
        <f>IF(OR(L106="",L96=""),"",IF(L96&lt;=0,"",IFERROR(L106/L96,"")))</f>
        <v/>
      </c>
      <c r="M107" s="15">
        <f>IF(OR(M106="",M96=""),"",IF(M96&lt;=0,"",IFERROR(M106/M96,"")))</f>
        <v/>
      </c>
      <c r="N107" s="15">
        <f>IF(OR(N106="",N96=""),"",IF(N96&lt;=0,"",IFERROR(N106/N96,"")))</f>
        <v/>
      </c>
      <c r="T107" s="15">
        <f>IF(OR(T106="",T96=""),"",IF(T96&lt;=0,"",IFERROR(T106/T96,"")))</f>
        <v/>
      </c>
      <c r="U107" s="15">
        <f>IF(OR(U106="",U96=""),"",IF(U96&lt;=0,"",IFERROR(U106/U96,"")))</f>
        <v/>
      </c>
      <c r="V107" s="15">
        <f>IF(OR(V106="",V96=""),"",IF(V96&lt;=0,"",IFERROR(V106/V96,"")))</f>
        <v/>
      </c>
      <c r="W107" s="15">
        <f>IF(OR(W106="",W96=""),"",IF(W96&lt;=0,"",IFERROR(W106/W96,"")))</f>
        <v/>
      </c>
      <c r="X107" s="15">
        <f>IF(OR(X106="",X96=""),"",IF(X96&lt;=0,"",IFERROR(X106/X96,"")))</f>
        <v/>
      </c>
    </row>
    <row r="108">
      <c r="A108" s="43" t="inlineStr">
        <is>
          <t>YoY</t>
        </is>
      </c>
      <c r="B108" s="3" t="inlineStr">
        <is>
          <t>전년 같은 분기·전년 대비</t>
        </is>
      </c>
      <c r="G108" s="15">
        <f>IF(OR(G106="",C106=""),"",IF(C106&lt;=0,"",IFERROR(G106/C106-1,"")))</f>
        <v/>
      </c>
      <c r="H108" s="15">
        <f>IF(OR(H106="",D106=""),"",IF(D106&lt;=0,"",IFERROR(H106/D106-1,"")))</f>
        <v/>
      </c>
      <c r="I108" s="15">
        <f>IF(OR(I106="",E106=""),"",IF(E106&lt;=0,"",IFERROR(I106/E106-1,"")))</f>
        <v/>
      </c>
      <c r="J108" s="15">
        <f>IF(OR(J106="",F106=""),"",IF(F106&lt;=0,"",IFERROR(J106/F106-1,"")))</f>
        <v/>
      </c>
      <c r="K108" s="15">
        <f>IF(OR(K106="",G106=""),"",IF(G106&lt;=0,"",IFERROR(K106/G106-1,"")))</f>
        <v/>
      </c>
      <c r="L108" s="15">
        <f>IF(OR(L106="",H106=""),"",IF(H106&lt;=0,"",IFERROR(L106/H106-1,"")))</f>
        <v/>
      </c>
      <c r="M108" s="15">
        <f>IF(OR(M106="",I106=""),"",IF(I106&lt;=0,"",IFERROR(M106/I106-1,"")))</f>
        <v/>
      </c>
      <c r="N108" s="15">
        <f>IF(OR(N106="",J106=""),"",IF(J106&lt;=0,"",IFERROR(N106/J106-1,"")))</f>
        <v/>
      </c>
      <c r="T108" s="15">
        <f>IF(OR(T106="",S106=""),"",IF(S106&lt;=0,"",IFERROR(T106/S106-1,"")))</f>
        <v/>
      </c>
      <c r="U108" s="15">
        <f>IF(OR(U106="",T106=""),"",IF(T106&lt;=0,"",IFERROR(U106/T106-1,"")))</f>
        <v/>
      </c>
      <c r="V108" s="15">
        <f>IF(OR(V106="",U106=""),"",IF(U106&lt;=0,"",IFERROR(V106/U106-1,"")))</f>
        <v/>
      </c>
      <c r="W108" s="15">
        <f>IF(OR(W106="",V106=""),"",IF(V106&lt;=0,"",IFERROR(W106/V106-1,"")))</f>
        <v/>
      </c>
      <c r="X108" s="15">
        <f>IF(OR(X106="",W106=""),"",IF(W106&lt;=0,"",IFERROR(X106/W106-1,"")))</f>
        <v/>
      </c>
    </row>
    <row r="109">
      <c r="A109" s="18" t="inlineStr">
        <is>
          <t>금융수익</t>
        </is>
      </c>
      <c r="C109" s="20" t="n">
        <v>380</v>
      </c>
      <c r="D109" s="20" t="n">
        <v>-332</v>
      </c>
      <c r="E109" s="20" t="n">
        <v>607</v>
      </c>
      <c r="F109" s="20" t="n">
        <v>730</v>
      </c>
      <c r="G109" s="20" t="n">
        <v>-393</v>
      </c>
      <c r="H109" s="20" t="n">
        <v>423</v>
      </c>
      <c r="I109" s="20" t="n">
        <v>-116</v>
      </c>
      <c r="J109" s="20" t="n">
        <v>231</v>
      </c>
      <c r="K109" s="20" t="n">
        <v>89</v>
      </c>
      <c r="L109" s="20" t="n">
        <v>311</v>
      </c>
      <c r="M109" s="20" t="n">
        <v>275</v>
      </c>
      <c r="N109" s="20" t="n">
        <v>281</v>
      </c>
      <c r="T109" s="20" t="n">
        <v>408</v>
      </c>
      <c r="U109" s="20" t="n">
        <v>117</v>
      </c>
      <c r="V109" s="20" t="n">
        <v>607</v>
      </c>
      <c r="W109" s="20" t="n">
        <v>-116</v>
      </c>
      <c r="X109" s="20" t="n">
        <v>275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IF(OR(G109="",C109=""),"",IF(G109*C109&lt;=0,"",IFERROR(G109/C109-1,"")))</f>
        <v/>
      </c>
      <c r="H110" s="15">
        <f>IF(OR(H109="",D109=""),"",IF(H109*D109&lt;=0,"",IFERROR(H109/D109-1,"")))</f>
        <v/>
      </c>
      <c r="I110" s="15">
        <f>IF(OR(I109="",E109=""),"",IF(I109*E109&lt;=0,"",IFERROR(I109/E109-1,"")))</f>
        <v/>
      </c>
      <c r="J110" s="15">
        <f>IF(OR(J109="",F109=""),"",IF(J109*F109&lt;=0,"",IFERROR(J109/F109-1,"")))</f>
        <v/>
      </c>
      <c r="K110" s="15">
        <f>IF(OR(K109="",G109=""),"",IF(K109*G109&lt;=0,"",IFERROR(K109/G109-1,"")))</f>
        <v/>
      </c>
      <c r="L110" s="15">
        <f>IF(OR(L109="",H109=""),"",IF(L109*H109&lt;=0,"",IFERROR(L109/H109-1,"")))</f>
        <v/>
      </c>
      <c r="M110" s="15">
        <f>IF(OR(M109="",I109=""),"",IF(M109*I109&lt;=0,"",IFERROR(M109/I109-1,"")))</f>
        <v/>
      </c>
      <c r="N110" s="15">
        <f>IF(OR(N109="",J109=""),"",IF(N109*J109&lt;=0,"",IFERROR(N109/J109-1,"")))</f>
        <v/>
      </c>
      <c r="T110" s="15">
        <f>IF(OR(T109="",S109=""),"",IF(T109*S109&lt;=0,"",IFERROR(T109/S109-1,"")))</f>
        <v/>
      </c>
      <c r="U110" s="15">
        <f>IF(OR(U109="",T109=""),"",IF(U109*T109&lt;=0,"",IFERROR(U109/T109-1,"")))</f>
        <v/>
      </c>
      <c r="V110" s="15">
        <f>IF(OR(V109="",U109=""),"",IF(V109*U109&lt;=0,"",IFERROR(V109/U109-1,"")))</f>
        <v/>
      </c>
      <c r="W110" s="15">
        <f>IF(OR(W109="",V109=""),"",IF(W109*V109&lt;=0,"",IFERROR(W109/V109-1,"")))</f>
        <v/>
      </c>
      <c r="X110" s="15">
        <f>IF(OR(X109="",W109=""),"",IF(X109*W109&lt;=0,"",IFERROR(X109/W109-1,"")))</f>
        <v/>
      </c>
    </row>
    <row r="111">
      <c r="A111" s="18" t="inlineStr">
        <is>
          <t>금융비용</t>
        </is>
      </c>
      <c r="C111" s="20" t="n">
        <v>39</v>
      </c>
      <c r="D111" s="20" t="n">
        <v>37</v>
      </c>
      <c r="E111" s="20" t="n">
        <v>84</v>
      </c>
      <c r="F111" s="20" t="n">
        <v>58</v>
      </c>
      <c r="G111" s="20" t="n">
        <v>750</v>
      </c>
      <c r="H111" s="20" t="n">
        <v>-636</v>
      </c>
      <c r="I111" s="20" t="n">
        <v>405</v>
      </c>
      <c r="J111" s="20" t="n">
        <v>493</v>
      </c>
      <c r="K111" s="20" t="n">
        <v>-262</v>
      </c>
      <c r="L111" s="20" t="n">
        <v>-204</v>
      </c>
      <c r="M111" s="20" t="n">
        <v>18</v>
      </c>
      <c r="N111" s="20" t="n">
        <v>60</v>
      </c>
      <c r="T111" s="20" t="n">
        <v>31</v>
      </c>
      <c r="U111" s="20" t="n">
        <v>72</v>
      </c>
      <c r="V111" s="20" t="n">
        <v>84</v>
      </c>
      <c r="W111" s="20" t="n">
        <v>405</v>
      </c>
      <c r="X111" s="20" t="n">
        <v>18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IF(OR(G111="",C111=""),"",IF(G111*C111&lt;=0,"",IFERROR(G111/C111-1,"")))</f>
        <v/>
      </c>
      <c r="H112" s="15">
        <f>IF(OR(H111="",D111=""),"",IF(H111*D111&lt;=0,"",IFERROR(H111/D111-1,"")))</f>
        <v/>
      </c>
      <c r="I112" s="15">
        <f>IF(OR(I111="",E111=""),"",IF(I111*E111&lt;=0,"",IFERROR(I111/E111-1,"")))</f>
        <v/>
      </c>
      <c r="J112" s="15">
        <f>IF(OR(J111="",F111=""),"",IF(J111*F111&lt;=0,"",IFERROR(J111/F111-1,"")))</f>
        <v/>
      </c>
      <c r="K112" s="15">
        <f>IF(OR(K111="",G111=""),"",IF(K111*G111&lt;=0,"",IFERROR(K111/G111-1,"")))</f>
        <v/>
      </c>
      <c r="L112" s="15">
        <f>IF(OR(L111="",H111=""),"",IF(L111*H111&lt;=0,"",IFERROR(L111/H111-1,"")))</f>
        <v/>
      </c>
      <c r="M112" s="15">
        <f>IF(OR(M111="",I111=""),"",IF(M111*I111&lt;=0,"",IFERROR(M111/I111-1,"")))</f>
        <v/>
      </c>
      <c r="N112" s="15">
        <f>IF(OR(N111="",J111=""),"",IF(N111*J111&lt;=0,"",IFERROR(N111/J111-1,"")))</f>
        <v/>
      </c>
      <c r="T112" s="15">
        <f>IF(OR(T111="",S111=""),"",IF(T111*S111&lt;=0,"",IFERROR(T111/S111-1,"")))</f>
        <v/>
      </c>
      <c r="U112" s="15">
        <f>IF(OR(U111="",T111=""),"",IF(U111*T111&lt;=0,"",IFERROR(U111/T111-1,"")))</f>
        <v/>
      </c>
      <c r="V112" s="15">
        <f>IF(OR(V111="",U111=""),"",IF(V111*U111&lt;=0,"",IFERROR(V111/U111-1,"")))</f>
        <v/>
      </c>
      <c r="W112" s="15">
        <f>IF(OR(W111="",V111=""),"",IF(W111*V111&lt;=0,"",IFERROR(W111/V111-1,"")))</f>
        <v/>
      </c>
      <c r="X112" s="15">
        <f>IF(OR(X111="",W111=""),"",IF(X111*W111&lt;=0,"",IFERROR(X111/W111-1,"")))</f>
        <v/>
      </c>
    </row>
    <row r="113">
      <c r="A113" s="9" t="inlineStr">
        <is>
          <t>법인세비용차감전 중간이익</t>
        </is>
      </c>
      <c r="C113" s="12" t="n">
        <v>3465</v>
      </c>
      <c r="D113" s="12" t="n">
        <v>2381</v>
      </c>
      <c r="E113" s="12" t="n">
        <v>2660</v>
      </c>
      <c r="F113" s="12" t="n">
        <v>2125</v>
      </c>
      <c r="G113" s="12" t="n">
        <v>450</v>
      </c>
      <c r="H113" s="12" t="n">
        <v>2917</v>
      </c>
      <c r="I113" s="12" t="n">
        <v>2511</v>
      </c>
      <c r="J113" s="12" t="n">
        <v>1505</v>
      </c>
      <c r="K113" s="12" t="n">
        <v>3432</v>
      </c>
      <c r="L113" s="12" t="n">
        <v>3209</v>
      </c>
      <c r="M113" s="12" t="n">
        <v>3601</v>
      </c>
      <c r="N113" s="12" t="n">
        <v>4430</v>
      </c>
      <c r="T113" s="12" t="n">
        <v>3713</v>
      </c>
      <c r="U113" s="12" t="n">
        <v>3751</v>
      </c>
      <c r="V113" s="12" t="n">
        <v>2660</v>
      </c>
      <c r="W113" s="12" t="n">
        <v>2511</v>
      </c>
      <c r="X113" s="12" t="n">
        <v>3601</v>
      </c>
    </row>
    <row r="114">
      <c r="A114" s="18" t="inlineStr">
        <is>
          <t>법인소득세 비용</t>
        </is>
      </c>
      <c r="C114" s="20" t="n">
        <v>1115</v>
      </c>
      <c r="D114" s="20" t="n">
        <v>363</v>
      </c>
      <c r="E114" s="20" t="n">
        <v>-3</v>
      </c>
      <c r="F114" s="20" t="n">
        <v>764</v>
      </c>
      <c r="G114" s="20" t="n">
        <v>210</v>
      </c>
      <c r="H114" s="20" t="n">
        <v>516</v>
      </c>
      <c r="I114" s="20" t="n">
        <v>875</v>
      </c>
      <c r="J114" s="20" t="n">
        <v>453</v>
      </c>
      <c r="K114" s="20" t="n">
        <v>975</v>
      </c>
      <c r="L114" s="20" t="n">
        <v>961</v>
      </c>
      <c r="M114" s="20" t="n">
        <v>697</v>
      </c>
      <c r="N114" s="20" t="n">
        <v>1436</v>
      </c>
      <c r="T114" s="20" t="n">
        <v>741</v>
      </c>
      <c r="U114" s="20" t="n">
        <v>551</v>
      </c>
      <c r="V114" s="20" t="n">
        <v>-3</v>
      </c>
      <c r="W114" s="20" t="n">
        <v>875</v>
      </c>
      <c r="X114" s="20" t="n">
        <v>697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IF(OR(G114="",C114=""),"",IF(G114*C114&lt;=0,"",IFERROR(G114/C114-1,"")))</f>
        <v/>
      </c>
      <c r="H115" s="15">
        <f>IF(OR(H114="",D114=""),"",IF(H114*D114&lt;=0,"",IFERROR(H114/D114-1,"")))</f>
        <v/>
      </c>
      <c r="I115" s="15">
        <f>IF(OR(I114="",E114=""),"",IF(I114*E114&lt;=0,"",IFERROR(I114/E114-1,"")))</f>
        <v/>
      </c>
      <c r="J115" s="15">
        <f>IF(OR(J114="",F114=""),"",IF(J114*F114&lt;=0,"",IFERROR(J114/F114-1,"")))</f>
        <v/>
      </c>
      <c r="K115" s="15">
        <f>IF(OR(K114="",G114=""),"",IF(K114*G114&lt;=0,"",IFERROR(K114/G114-1,"")))</f>
        <v/>
      </c>
      <c r="L115" s="15">
        <f>IF(OR(L114="",H114=""),"",IF(L114*H114&lt;=0,"",IFERROR(L114/H114-1,"")))</f>
        <v/>
      </c>
      <c r="M115" s="15">
        <f>IF(OR(M114="",I114=""),"",IF(M114*I114&lt;=0,"",IFERROR(M114/I114-1,"")))</f>
        <v/>
      </c>
      <c r="N115" s="15">
        <f>IF(OR(N114="",J114=""),"",IF(N114*J114&lt;=0,"",IFERROR(N114/J114-1,"")))</f>
        <v/>
      </c>
      <c r="T115" s="15">
        <f>IF(OR(T114="",S114=""),"",IF(T114*S114&lt;=0,"",IFERROR(T114/S114-1,"")))</f>
        <v/>
      </c>
      <c r="U115" s="15">
        <f>IF(OR(U114="",T114=""),"",IF(U114*T114&lt;=0,"",IFERROR(U114/T114-1,"")))</f>
        <v/>
      </c>
      <c r="V115" s="15">
        <f>IF(OR(V114="",U114=""),"",IF(V114*U114&lt;=0,"",IFERROR(V114/U114-1,"")))</f>
        <v/>
      </c>
      <c r="W115" s="15">
        <f>IF(OR(W114="",V114=""),"",IF(W114*V114&lt;=0,"",IFERROR(W114/V114-1,"")))</f>
        <v/>
      </c>
      <c r="X115" s="15">
        <f>IF(OR(X114="",W114=""),"",IF(X114*W114&lt;=0,"",IFERROR(X114/W114-1,"")))</f>
        <v/>
      </c>
    </row>
    <row r="116">
      <c r="A116" s="9" t="inlineStr">
        <is>
          <t>중간이익</t>
        </is>
      </c>
      <c r="C116" s="12" t="n">
        <v>2350</v>
      </c>
      <c r="D116" s="12" t="n">
        <v>2017</v>
      </c>
      <c r="E116" s="12" t="n">
        <v>2664</v>
      </c>
      <c r="F116" s="12" t="n">
        <v>1361</v>
      </c>
      <c r="G116" s="12" t="n">
        <v>239</v>
      </c>
      <c r="H116" s="12" t="n">
        <v>2402</v>
      </c>
      <c r="I116" s="12" t="n">
        <v>1636</v>
      </c>
      <c r="J116" s="12" t="n">
        <v>1051</v>
      </c>
      <c r="K116" s="12" t="n">
        <v>2458</v>
      </c>
      <c r="L116" s="12" t="n">
        <v>2248</v>
      </c>
      <c r="M116" s="12" t="n">
        <v>2904</v>
      </c>
      <c r="N116" s="12" t="n">
        <v>2994</v>
      </c>
      <c r="T116" s="12" t="n">
        <v>2972</v>
      </c>
      <c r="U116" s="12" t="n">
        <v>3200</v>
      </c>
      <c r="V116" s="12" t="n">
        <v>2664</v>
      </c>
      <c r="W116" s="12" t="n">
        <v>1636</v>
      </c>
      <c r="X116" s="12" t="n">
        <v>2904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IF(OR(G116="",C116=""),"",IF(C116&lt;=0,"",IFERROR(G116/C116-1,"")))</f>
        <v/>
      </c>
      <c r="H117" s="15">
        <f>IF(OR(H116="",D116=""),"",IF(D116&lt;=0,"",IFERROR(H116/D116-1,"")))</f>
        <v/>
      </c>
      <c r="I117" s="15">
        <f>IF(OR(I116="",E116=""),"",IF(E116&lt;=0,"",IFERROR(I116/E116-1,"")))</f>
        <v/>
      </c>
      <c r="J117" s="15">
        <f>IF(OR(J116="",F116=""),"",IF(F116&lt;=0,"",IFERROR(J116/F116-1,"")))</f>
        <v/>
      </c>
      <c r="K117" s="15">
        <f>IF(OR(K116="",G116=""),"",IF(G116&lt;=0,"",IFERROR(K116/G116-1,"")))</f>
        <v/>
      </c>
      <c r="L117" s="15">
        <f>IF(OR(L116="",H116=""),"",IF(H116&lt;=0,"",IFERROR(L116/H116-1,"")))</f>
        <v/>
      </c>
      <c r="M117" s="15">
        <f>IF(OR(M116="",I116=""),"",IF(I116&lt;=0,"",IFERROR(M116/I116-1,"")))</f>
        <v/>
      </c>
      <c r="N117" s="15">
        <f>IF(OR(N116="",J116=""),"",IF(J116&lt;=0,"",IFERROR(N116/J116-1,"")))</f>
        <v/>
      </c>
      <c r="T117" s="15">
        <f>IF(OR(T116="",S116=""),"",IF(S116&lt;=0,"",IFERROR(T116/S116-1,"")))</f>
        <v/>
      </c>
      <c r="U117" s="15">
        <f>IF(OR(U116="",T116=""),"",IF(T116&lt;=0,"",IFERROR(U116/T116-1,"")))</f>
        <v/>
      </c>
      <c r="V117" s="15">
        <f>IF(OR(V116="",U116=""),"",IF(U116&lt;=0,"",IFERROR(V116/U116-1,"")))</f>
        <v/>
      </c>
      <c r="W117" s="15">
        <f>IF(OR(W116="",V116=""),"",IF(V116&lt;=0,"",IFERROR(W116/V116-1,"")))</f>
        <v/>
      </c>
      <c r="X117" s="15">
        <f>IF(OR(X116="",W116=""),"",IF(W116&lt;=0,"",IFERROR(X116/W116-1,"")))</f>
        <v/>
      </c>
    </row>
    <row r="118">
      <c r="A118" s="18" t="inlineStr">
        <is>
          <t>Basic Earnings Loss Per Share</t>
        </is>
      </c>
      <c r="C118" s="20" t="n">
        <v>0.00019392</v>
      </c>
      <c r="D118" s="20" t="n">
        <v>0.00016657</v>
      </c>
      <c r="E118" s="20" t="n">
        <v>0.00022215</v>
      </c>
      <c r="F118" s="20" t="n">
        <v>0.00011418</v>
      </c>
      <c r="G118" s="20" t="n">
        <v>-6.943e-05</v>
      </c>
      <c r="H118" s="20" t="n">
        <v>6.712999999999999e-05</v>
      </c>
      <c r="I118" s="20" t="n">
        <v>4.572e-05</v>
      </c>
      <c r="J118" s="20" t="n">
        <v>2.957e-05</v>
      </c>
      <c r="K118" s="20" t="n">
        <v>6.918999999999999e-05</v>
      </c>
      <c r="L118" s="20" t="n">
        <v>6.332999999999999e-05</v>
      </c>
      <c r="M118" s="20" t="n">
        <v>8.179999999999998e-05</v>
      </c>
      <c r="N118" s="20" t="n">
        <v>8.436e-05</v>
      </c>
      <c r="T118" s="20" t="n">
        <v>0.00024552</v>
      </c>
      <c r="U118" s="20" t="n">
        <v>0.0002644</v>
      </c>
      <c r="V118" s="20" t="n">
        <v>0.00022215</v>
      </c>
      <c r="W118" s="20" t="n">
        <v>4.572e-05</v>
      </c>
      <c r="X118" s="20" t="n">
        <v>8.179999999999998e-05</v>
      </c>
    </row>
    <row r="119">
      <c r="A119" s="18" t="inlineStr">
        <is>
          <t>Diluted Earnings Loss Per Share</t>
        </is>
      </c>
      <c r="C119" s="20" t="n">
        <v>0.00019413</v>
      </c>
      <c r="D119" s="20" t="n">
        <v>0.00016657</v>
      </c>
      <c r="E119" s="20" t="n">
        <v>0.00022215</v>
      </c>
      <c r="F119" s="20" t="n">
        <v>0.00011412</v>
      </c>
      <c r="G119" s="20" t="n">
        <v>-6.937999999999999e-05</v>
      </c>
      <c r="H119" s="20" t="n">
        <v>6.710999999999999e-05</v>
      </c>
      <c r="I119" s="20" t="n">
        <v>4.568000000000001e-05</v>
      </c>
      <c r="J119" s="20" t="n">
        <v>2.956e-05</v>
      </c>
      <c r="K119" s="20" t="n">
        <v>6.918e-05</v>
      </c>
      <c r="L119" s="20" t="n">
        <v>6.328000000000002e-05</v>
      </c>
      <c r="M119" s="20" t="n">
        <v>8.173999999999999e-05</v>
      </c>
      <c r="N119" s="20" t="n">
        <v>8.43e-05</v>
      </c>
      <c r="T119" s="20" t="n">
        <v>0</v>
      </c>
      <c r="U119" s="20" t="n">
        <v>0.00026407</v>
      </c>
      <c r="V119" s="20" t="n">
        <v>0.00022215</v>
      </c>
      <c r="W119" s="20" t="n">
        <v>4.568000000000001e-05</v>
      </c>
      <c r="X119" s="20" t="n">
        <v>8.173999999999999e-05</v>
      </c>
    </row>
    <row r="120">
      <c r="A120" s="9" t="inlineStr">
        <is>
          <t>지배기업 소유주</t>
        </is>
      </c>
      <c r="C120" s="12" t="n">
        <v>2349</v>
      </c>
      <c r="D120" s="12" t="n">
        <v>2018</v>
      </c>
      <c r="E120" s="12" t="n">
        <v>2663</v>
      </c>
      <c r="F120" s="12" t="n">
        <v>1360</v>
      </c>
      <c r="G120" s="12" t="n">
        <v>240</v>
      </c>
      <c r="H120" s="12" t="n">
        <v>2401</v>
      </c>
      <c r="I120" s="12" t="n">
        <v>1636</v>
      </c>
      <c r="J120" s="12" t="n">
        <v>1051</v>
      </c>
      <c r="K120" s="12" t="n">
        <v>2458</v>
      </c>
      <c r="L120" s="12" t="n">
        <v>2248</v>
      </c>
      <c r="M120" s="12" t="n">
        <v>2904</v>
      </c>
      <c r="N120" s="12" t="n">
        <v>2994</v>
      </c>
      <c r="T120" s="12" t="n">
        <v>2971</v>
      </c>
      <c r="U120" s="12" t="n">
        <v>3199</v>
      </c>
      <c r="V120" s="12" t="n">
        <v>2663</v>
      </c>
      <c r="W120" s="12" t="n">
        <v>1636</v>
      </c>
      <c r="X120" s="12" t="n">
        <v>2904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T121" s="15">
        <f>IF(OR(T120="",S120=""),"",IF(S120&lt;=0,"",IFERROR(T120/S120-1,"")))</f>
        <v/>
      </c>
      <c r="U121" s="15">
        <f>IF(OR(U120="",T120=""),"",IF(T120&lt;=0,"",IFERROR(U120/T120-1,"")))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2">
      <c r="A122" s="9" t="inlineStr">
        <is>
          <t>비지배지분</t>
        </is>
      </c>
      <c r="C122" s="12" t="n">
        <v>1</v>
      </c>
      <c r="D122" s="12" t="n">
        <v>0</v>
      </c>
      <c r="E122" s="12" t="n">
        <v>1</v>
      </c>
      <c r="F122" s="12" t="n">
        <v>0</v>
      </c>
      <c r="G122" s="12" t="n">
        <v>0</v>
      </c>
      <c r="H122" s="12" t="n">
        <v>0</v>
      </c>
      <c r="I122" s="12" t="n">
        <v>0</v>
      </c>
      <c r="J122" s="12" t="n">
        <v>-0</v>
      </c>
      <c r="K122" s="12" t="n">
        <v>0</v>
      </c>
      <c r="L122" s="12" t="n">
        <v>0</v>
      </c>
      <c r="M122" s="12" t="n">
        <v>0</v>
      </c>
      <c r="N122" s="12" t="n">
        <v>0</v>
      </c>
      <c r="T122" s="12" t="n">
        <v>0</v>
      </c>
      <c r="U122" s="12" t="n">
        <v>0</v>
      </c>
      <c r="V122" s="12" t="n">
        <v>1</v>
      </c>
      <c r="W122" s="12" t="n">
        <v>0</v>
      </c>
      <c r="X122" s="12" t="n">
        <v>0</v>
      </c>
    </row>
    <row r="124">
      <c r="A124" s="16" t="inlineStr">
        <is>
          <t>포괄손익 · 전 항목</t>
        </is>
      </c>
      <c r="B124" s="42" t="inlineStr">
        <is>
          <t>분기 = 3개월 단독</t>
        </is>
      </c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2024.2Q</t>
        </is>
      </c>
      <c r="D125" s="5" t="inlineStr">
        <is>
          <t>2024.3Q</t>
        </is>
      </c>
      <c r="E125" s="5" t="inlineStr">
        <is>
          <t>2024.4Q</t>
        </is>
      </c>
      <c r="F125" s="5" t="inlineStr">
        <is>
          <t>2025.1Q</t>
        </is>
      </c>
      <c r="G125" s="5" t="inlineStr">
        <is>
          <t>2025.2Q</t>
        </is>
      </c>
      <c r="H125" s="5" t="inlineStr">
        <is>
          <t>2025.3Q</t>
        </is>
      </c>
      <c r="I125" s="5" t="inlineStr">
        <is>
          <t>2025.4Q</t>
        </is>
      </c>
      <c r="J125" s="5" t="inlineStr">
        <is>
          <t>2026.1Q</t>
        </is>
      </c>
      <c r="K125" s="5" t="inlineStr">
        <is>
          <t>2026.2Q</t>
        </is>
      </c>
      <c r="L125" s="5" t="inlineStr">
        <is>
          <t>2026.3Q</t>
        </is>
      </c>
      <c r="M125" s="5" t="inlineStr">
        <is>
          <t>2026.4Q</t>
        </is>
      </c>
      <c r="N125" s="5" t="inlineStr">
        <is>
          <t>2027.1Q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9" t="inlineStr">
        <is>
          <t>중간이익</t>
        </is>
      </c>
      <c r="C126" s="12" t="n">
        <v>2350</v>
      </c>
      <c r="D126" s="12" t="n">
        <v>2017</v>
      </c>
      <c r="E126" s="12" t="n">
        <v>2664</v>
      </c>
      <c r="F126" s="12" t="n">
        <v>1361</v>
      </c>
      <c r="G126" s="12" t="n">
        <v>239</v>
      </c>
      <c r="H126" s="12" t="n">
        <v>2402</v>
      </c>
      <c r="I126" s="12" t="n">
        <v>1636</v>
      </c>
      <c r="J126" s="12" t="n">
        <v>1051</v>
      </c>
      <c r="K126" s="12" t="n">
        <v>2458</v>
      </c>
      <c r="L126" s="12" t="n">
        <v>2248</v>
      </c>
      <c r="M126" s="12" t="n">
        <v>2904</v>
      </c>
      <c r="N126" s="12" t="n">
        <v>2994</v>
      </c>
      <c r="T126" s="12" t="n">
        <v>2972</v>
      </c>
      <c r="U126" s="12" t="n">
        <v>3200</v>
      </c>
      <c r="V126" s="12" t="n">
        <v>2664</v>
      </c>
      <c r="W126" s="12" t="n">
        <v>1636</v>
      </c>
      <c r="X126" s="12" t="n">
        <v>2904</v>
      </c>
    </row>
    <row r="127">
      <c r="A127" s="18" t="inlineStr">
        <is>
          <t>기타포괄손익-공정가치 측정 금융자산</t>
        </is>
      </c>
      <c r="C127" s="20" t="n">
        <v>-63</v>
      </c>
      <c r="D127" s="20" t="n">
        <v>205</v>
      </c>
      <c r="E127" s="20" t="n">
        <v>1372</v>
      </c>
      <c r="F127" s="20" t="n">
        <v>-153</v>
      </c>
      <c r="G127" s="20" t="n">
        <v>-1033</v>
      </c>
      <c r="H127" s="20" t="n">
        <v>525</v>
      </c>
      <c r="I127" s="20" t="n">
        <v>-630</v>
      </c>
      <c r="J127" s="20" t="n">
        <v>604</v>
      </c>
      <c r="K127" s="20" t="n">
        <v>828</v>
      </c>
      <c r="L127" s="20" t="n">
        <v>855</v>
      </c>
      <c r="M127" s="20" t="n">
        <v>376</v>
      </c>
      <c r="N127" s="20" t="n">
        <v>3101</v>
      </c>
      <c r="T127" s="20" t="n">
        <v>-464</v>
      </c>
      <c r="U127" s="20" t="n">
        <v>664</v>
      </c>
      <c r="V127" s="20" t="n">
        <v>1372</v>
      </c>
      <c r="W127" s="20" t="n">
        <v>-630</v>
      </c>
      <c r="X127" s="20" t="n">
        <v>376</v>
      </c>
    </row>
    <row r="128">
      <c r="A128" s="18" t="inlineStr">
        <is>
          <t>확정급여제도 재측정</t>
        </is>
      </c>
      <c r="C128" s="20" t="n">
        <v>-161</v>
      </c>
      <c r="D128" s="20" t="n">
        <v>259</v>
      </c>
      <c r="E128" s="20" t="n">
        <v>1934</v>
      </c>
      <c r="F128" s="20" t="n">
        <v>92</v>
      </c>
      <c r="G128" s="20" t="n">
        <v>-356</v>
      </c>
      <c r="H128" s="20" t="n">
        <v>432</v>
      </c>
      <c r="I128" s="20" t="n">
        <v>831</v>
      </c>
      <c r="J128" s="20" t="n">
        <v>350</v>
      </c>
      <c r="K128" s="20" t="n">
        <v>640</v>
      </c>
      <c r="L128" s="20" t="n">
        <v>564</v>
      </c>
      <c r="M128" s="20" t="n">
        <v>999</v>
      </c>
      <c r="N128" s="20" t="n">
        <v>1009</v>
      </c>
      <c r="T128" s="20" t="n">
        <v>-155</v>
      </c>
      <c r="U128" s="20" t="n">
        <v>1141</v>
      </c>
      <c r="V128" s="20" t="n">
        <v>1934</v>
      </c>
      <c r="W128" s="20" t="n">
        <v>831</v>
      </c>
      <c r="X128" s="20" t="n">
        <v>999</v>
      </c>
    </row>
    <row r="129">
      <c r="A129" s="18" t="inlineStr">
        <is>
          <t>해외사업 환산차액</t>
        </is>
      </c>
      <c r="C129" s="20" t="n">
        <v>951</v>
      </c>
      <c r="D129" s="20" t="n">
        <v>-1583</v>
      </c>
      <c r="E129" s="20" t="n">
        <v>2207</v>
      </c>
      <c r="F129" s="20" t="n">
        <v>2474</v>
      </c>
      <c r="G129" s="20" t="n">
        <v>-4343</v>
      </c>
      <c r="H129" s="20" t="n">
        <v>3505</v>
      </c>
      <c r="I129" s="20" t="n">
        <v>-2245</v>
      </c>
      <c r="J129" s="20" t="n">
        <v>-665</v>
      </c>
      <c r="K129" s="20" t="n">
        <v>1149</v>
      </c>
      <c r="L129" s="20" t="n">
        <v>2402</v>
      </c>
      <c r="M129" s="20" t="n">
        <v>913</v>
      </c>
      <c r="N129" s="20" t="n">
        <v>953</v>
      </c>
      <c r="T129" s="20" t="n">
        <v>1561</v>
      </c>
      <c r="U129" s="20" t="n">
        <v>370</v>
      </c>
      <c r="V129" s="20" t="n">
        <v>2207</v>
      </c>
      <c r="W129" s="20" t="n">
        <v>-2245</v>
      </c>
      <c r="X129" s="20" t="n">
        <v>913</v>
      </c>
    </row>
    <row r="130">
      <c r="A130" s="18" t="inlineStr">
        <is>
          <t>기타포괄손익 합계</t>
        </is>
      </c>
      <c r="C130" s="20" t="n">
        <v>727</v>
      </c>
      <c r="D130" s="20" t="n">
        <v>-1119</v>
      </c>
      <c r="E130" s="20" t="n">
        <v>5513</v>
      </c>
      <c r="F130" s="20" t="n">
        <v>2413</v>
      </c>
      <c r="G130" s="20" t="n">
        <v>-5733</v>
      </c>
      <c r="H130" s="20" t="n">
        <v>4463</v>
      </c>
      <c r="I130" s="20" t="n">
        <v>-2045</v>
      </c>
      <c r="J130" s="20" t="n">
        <v>288</v>
      </c>
      <c r="K130" s="20" t="n">
        <v>2619</v>
      </c>
      <c r="L130" s="20" t="n">
        <v>3822</v>
      </c>
      <c r="M130" s="20" t="n">
        <v>2287</v>
      </c>
      <c r="N130" s="20" t="n">
        <v>5064</v>
      </c>
      <c r="T130" s="20" t="n">
        <v>942</v>
      </c>
      <c r="U130" s="20" t="n">
        <v>2178</v>
      </c>
      <c r="V130" s="20" t="n">
        <v>5513</v>
      </c>
      <c r="W130" s="20" t="n">
        <v>-2045</v>
      </c>
      <c r="X130" s="20" t="n">
        <v>2287</v>
      </c>
    </row>
    <row r="131">
      <c r="A131" s="9" t="inlineStr">
        <is>
          <t>포괄이익</t>
        </is>
      </c>
      <c r="C131" s="12" t="n">
        <v>3077</v>
      </c>
      <c r="D131" s="12" t="n">
        <v>899</v>
      </c>
      <c r="E131" s="12" t="n">
        <v>8176</v>
      </c>
      <c r="F131" s="12" t="n">
        <v>3774</v>
      </c>
      <c r="G131" s="12" t="n">
        <v>-5493</v>
      </c>
      <c r="H131" s="12" t="n">
        <v>6865</v>
      </c>
      <c r="I131" s="12" t="n">
        <v>-411</v>
      </c>
      <c r="J131" s="12" t="n">
        <v>1340</v>
      </c>
      <c r="K131" s="12" t="n">
        <v>5076</v>
      </c>
      <c r="L131" s="12" t="n">
        <v>6070</v>
      </c>
      <c r="M131" s="12" t="n">
        <v>5191</v>
      </c>
      <c r="N131" s="12" t="n">
        <v>8058</v>
      </c>
      <c r="T131" s="12" t="n">
        <v>3914</v>
      </c>
      <c r="U131" s="12" t="n">
        <v>5377</v>
      </c>
      <c r="V131" s="12" t="n">
        <v>8176</v>
      </c>
      <c r="W131" s="12" t="n">
        <v>-411</v>
      </c>
      <c r="X131" s="12" t="n">
        <v>5191</v>
      </c>
    </row>
    <row r="132">
      <c r="A132" s="9" t="inlineStr">
        <is>
          <t>지배기업 소유주</t>
        </is>
      </c>
      <c r="C132" s="12" t="n">
        <v>3075</v>
      </c>
      <c r="D132" s="12" t="n">
        <v>899</v>
      </c>
      <c r="E132" s="12" t="n">
        <v>8176</v>
      </c>
      <c r="F132" s="12" t="n">
        <v>3773</v>
      </c>
      <c r="G132" s="12" t="n">
        <v>-5492</v>
      </c>
      <c r="H132" s="12" t="n">
        <v>6864</v>
      </c>
      <c r="I132" s="12" t="n">
        <v>-410</v>
      </c>
      <c r="J132" s="12" t="n">
        <v>1340</v>
      </c>
      <c r="K132" s="12" t="n">
        <v>5076</v>
      </c>
      <c r="L132" s="12" t="n">
        <v>6069</v>
      </c>
      <c r="M132" s="12" t="n">
        <v>5192</v>
      </c>
      <c r="N132" s="12" t="n">
        <v>8058</v>
      </c>
      <c r="T132" s="12" t="n">
        <v>3913</v>
      </c>
      <c r="U132" s="12" t="n">
        <v>5377</v>
      </c>
      <c r="V132" s="12" t="n">
        <v>8176</v>
      </c>
      <c r="W132" s="12" t="n">
        <v>-410</v>
      </c>
      <c r="X132" s="12" t="n">
        <v>5192</v>
      </c>
    </row>
    <row r="133">
      <c r="A133" s="9" t="inlineStr">
        <is>
          <t>비지배지분</t>
        </is>
      </c>
      <c r="C133" s="12" t="n">
        <v>1</v>
      </c>
      <c r="D133" s="12" t="n">
        <v>0</v>
      </c>
      <c r="E133" s="12" t="n">
        <v>1</v>
      </c>
      <c r="F133" s="12" t="n">
        <v>1</v>
      </c>
      <c r="G133" s="12" t="n">
        <v>-1</v>
      </c>
      <c r="H133" s="12" t="n">
        <v>0</v>
      </c>
      <c r="I133" s="12" t="n">
        <v>0</v>
      </c>
      <c r="J133" s="12" t="n">
        <v>0</v>
      </c>
      <c r="K133" s="12" t="n">
        <v>0</v>
      </c>
      <c r="L133" s="12" t="n">
        <v>0</v>
      </c>
      <c r="M133" s="12" t="n">
        <v>0</v>
      </c>
      <c r="N133" s="12" t="n">
        <v>0</v>
      </c>
      <c r="T133" s="12" t="n">
        <v>1</v>
      </c>
      <c r="U133" s="12" t="n">
        <v>1</v>
      </c>
      <c r="V133" s="12" t="n">
        <v>1</v>
      </c>
      <c r="W133" s="12" t="n">
        <v>0</v>
      </c>
      <c r="X133" s="12" t="n">
        <v>0</v>
      </c>
    </row>
    <row r="135">
      <c r="A135" s="16" t="inlineStr">
        <is>
          <t>부문 · 전 항목</t>
        </is>
      </c>
      <c r="B135" s="42" t="inlineStr">
        <is>
          <t>부문 · 항목</t>
        </is>
      </c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</row>
    <row r="136">
      <c r="A136" s="5" t="inlineStr">
        <is>
          <t>항목</t>
        </is>
      </c>
      <c r="B136" s="5" t="inlineStr">
        <is>
          <t>참고</t>
        </is>
      </c>
      <c r="C136" s="5" t="inlineStr">
        <is>
          <t>2024.2Q</t>
        </is>
      </c>
      <c r="D136" s="5" t="inlineStr">
        <is>
          <t>2024.3Q</t>
        </is>
      </c>
      <c r="E136" s="5" t="inlineStr">
        <is>
          <t>2024.4Q</t>
        </is>
      </c>
      <c r="F136" s="5" t="inlineStr">
        <is>
          <t>2025.1Q</t>
        </is>
      </c>
      <c r="G136" s="5" t="inlineStr">
        <is>
          <t>2025.2Q</t>
        </is>
      </c>
      <c r="H136" s="5" t="inlineStr">
        <is>
          <t>2025.3Q</t>
        </is>
      </c>
      <c r="I136" s="5" t="inlineStr">
        <is>
          <t>2025.4Q</t>
        </is>
      </c>
      <c r="J136" s="5" t="inlineStr">
        <is>
          <t>2026.1Q</t>
        </is>
      </c>
      <c r="K136" s="5" t="inlineStr">
        <is>
          <t>2026.2Q</t>
        </is>
      </c>
      <c r="L136" s="5" t="inlineStr">
        <is>
          <t>2026.3Q</t>
        </is>
      </c>
      <c r="M136" s="5" t="inlineStr">
        <is>
          <t>2026.4Q</t>
        </is>
      </c>
      <c r="N136" s="5" t="inlineStr">
        <is>
          <t>2027.1Q</t>
        </is>
      </c>
      <c r="O136" s="5" t="inlineStr">
        <is>
          <t>2017</t>
        </is>
      </c>
      <c r="P136" s="5" t="inlineStr">
        <is>
          <t>2018</t>
        </is>
      </c>
      <c r="Q136" s="5" t="inlineStr">
        <is>
          <t>2019</t>
        </is>
      </c>
      <c r="R136" s="5" t="inlineStr">
        <is>
          <t>2020</t>
        </is>
      </c>
      <c r="S136" s="5" t="inlineStr">
        <is>
          <t>2021</t>
        </is>
      </c>
      <c r="T136" s="5" t="inlineStr">
        <is>
          <t>2022</t>
        </is>
      </c>
      <c r="U136" s="5" t="inlineStr">
        <is>
          <t>2023</t>
        </is>
      </c>
      <c r="V136" s="5" t="inlineStr">
        <is>
          <t>2024</t>
        </is>
      </c>
      <c r="W136" s="5" t="inlineStr">
        <is>
          <t>2025</t>
        </is>
      </c>
      <c r="X136" s="5" t="inlineStr">
        <is>
          <t>2026</t>
        </is>
      </c>
      <c r="Y136" s="5" t="inlineStr">
        <is>
          <t>2027(MW)</t>
        </is>
      </c>
      <c r="Z136" s="5" t="inlineStr">
        <is>
          <t>2028(MW)</t>
        </is>
      </c>
      <c r="AA136" s="5" t="inlineStr">
        <is>
          <t>2029(MW)</t>
        </is>
      </c>
      <c r="AB136" s="5" t="inlineStr">
        <is>
          <t>2030(MW)</t>
        </is>
      </c>
      <c r="AC136" s="5" t="inlineStr">
        <is>
          <t>2031(MW)</t>
        </is>
      </c>
    </row>
    <row r="137">
      <c r="A137" s="18" t="inlineStr">
        <is>
          <t>SanAceCompanyReportableSegmentMember · Revenue From External Customers</t>
        </is>
      </c>
      <c r="C137" s="20" t="n">
        <v>11136</v>
      </c>
      <c r="D137" s="20" t="n">
        <v>9325</v>
      </c>
      <c r="E137" s="20" t="n">
        <v>9556</v>
      </c>
      <c r="F137" s="20" t="n">
        <v>8847</v>
      </c>
      <c r="G137" s="20" t="n">
        <v>9231</v>
      </c>
      <c r="H137" s="20" t="n">
        <v>10166</v>
      </c>
      <c r="I137" s="20" t="n">
        <v>9818</v>
      </c>
      <c r="J137" s="20" t="n">
        <v>9727</v>
      </c>
      <c r="K137" s="20" t="n">
        <v>10577</v>
      </c>
      <c r="L137" s="20" t="n">
        <v>10032</v>
      </c>
      <c r="M137" s="20" t="n">
        <v>10490</v>
      </c>
      <c r="N137" s="20" t="n">
        <v>11638</v>
      </c>
      <c r="V137" s="20" t="n">
        <v>9556</v>
      </c>
      <c r="W137" s="20" t="n">
        <v>9818</v>
      </c>
      <c r="X137" s="20" t="n">
        <v>10490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ElectronicsCompanyReportableSegmentMember · Revenue From External Customers</t>
        </is>
      </c>
      <c r="C139" s="20" t="n">
        <v>6140</v>
      </c>
      <c r="D139" s="20" t="n">
        <v>5988</v>
      </c>
      <c r="E139" s="20" t="n">
        <v>6286</v>
      </c>
      <c r="F139" s="20" t="n">
        <v>4955</v>
      </c>
      <c r="G139" s="20" t="n">
        <v>4977</v>
      </c>
      <c r="H139" s="20" t="n">
        <v>5248</v>
      </c>
      <c r="I139" s="20" t="n">
        <v>5969</v>
      </c>
      <c r="J139" s="20" t="n">
        <v>4418</v>
      </c>
      <c r="K139" s="20" t="n">
        <v>5882</v>
      </c>
      <c r="L139" s="20" t="n">
        <v>6326</v>
      </c>
      <c r="M139" s="20" t="n">
        <v>6623</v>
      </c>
      <c r="N139" s="20" t="n">
        <v>6318</v>
      </c>
      <c r="V139" s="20" t="n">
        <v>6286</v>
      </c>
      <c r="W139" s="20" t="n">
        <v>5969</v>
      </c>
      <c r="X139" s="20" t="n">
        <v>6623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MotionCompanyReportableSegmentMember · Revenue From External Customers</t>
        </is>
      </c>
      <c r="C141" s="20" t="n">
        <v>10789</v>
      </c>
      <c r="D141" s="20" t="n">
        <v>9292</v>
      </c>
      <c r="E141" s="20" t="n">
        <v>9060</v>
      </c>
      <c r="F141" s="20" t="n">
        <v>8083</v>
      </c>
      <c r="G141" s="20" t="n">
        <v>7877</v>
      </c>
      <c r="H141" s="20" t="n">
        <v>8409</v>
      </c>
      <c r="I141" s="20" t="n">
        <v>8602</v>
      </c>
      <c r="J141" s="20" t="n">
        <v>8702</v>
      </c>
      <c r="K141" s="20" t="n">
        <v>8885</v>
      </c>
      <c r="L141" s="20" t="n">
        <v>9644</v>
      </c>
      <c r="M141" s="20" t="n">
        <v>10312</v>
      </c>
      <c r="N141" s="20" t="n">
        <v>12727</v>
      </c>
      <c r="V141" s="20" t="n">
        <v>9060</v>
      </c>
      <c r="W141" s="20" t="n">
        <v>8602</v>
      </c>
      <c r="X141" s="20" t="n">
        <v>10312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OtherReportableSegmentsMember · Revenue From External Customers</t>
        </is>
      </c>
      <c r="C143" s="20" t="n">
        <v>1528</v>
      </c>
      <c r="D143" s="20" t="n">
        <v>1297</v>
      </c>
      <c r="E143" s="20" t="n">
        <v>1446</v>
      </c>
      <c r="F143" s="20" t="n">
        <v>1272</v>
      </c>
      <c r="G143" s="20" t="n">
        <v>1282</v>
      </c>
      <c r="H143" s="20" t="n">
        <v>1366</v>
      </c>
      <c r="I143" s="20" t="n">
        <v>1743</v>
      </c>
      <c r="J143" s="20" t="n">
        <v>1303</v>
      </c>
      <c r="K143" s="20" t="n">
        <v>1289</v>
      </c>
      <c r="L143" s="20" t="n">
        <v>1318</v>
      </c>
      <c r="M143" s="20" t="n">
        <v>1815</v>
      </c>
      <c r="N143" s="20" t="n">
        <v>1553</v>
      </c>
      <c r="V143" s="20" t="n">
        <v>1446</v>
      </c>
      <c r="W143" s="20" t="n">
        <v>1743</v>
      </c>
      <c r="X143" s="20" t="n">
        <v>1815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합계 · Revenue From External Customers</t>
        </is>
      </c>
      <c r="C145" s="20" t="n">
        <v>29593</v>
      </c>
      <c r="D145" s="20" t="n">
        <v>25902</v>
      </c>
      <c r="E145" s="20" t="n">
        <v>26348</v>
      </c>
      <c r="F145" s="20" t="n">
        <v>23158</v>
      </c>
      <c r="G145" s="20" t="n">
        <v>23368</v>
      </c>
      <c r="H145" s="20" t="n">
        <v>25188</v>
      </c>
      <c r="I145" s="20" t="n">
        <v>26133</v>
      </c>
      <c r="J145" s="20" t="n">
        <v>24151</v>
      </c>
      <c r="K145" s="20" t="n">
        <v>26633</v>
      </c>
      <c r="L145" s="20" t="n">
        <v>27320</v>
      </c>
      <c r="M145" s="20" t="n">
        <v>29242</v>
      </c>
      <c r="N145" s="20" t="n">
        <v>32237</v>
      </c>
      <c r="V145" s="20" t="n">
        <v>26348</v>
      </c>
      <c r="W145" s="20" t="n">
        <v>26133</v>
      </c>
      <c r="X145" s="20" t="n">
        <v>29242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조정액 · Revenue From External Customers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9" t="inlineStr">
        <is>
          <t>Revenue From External Customers</t>
        </is>
      </c>
      <c r="C148" s="12" t="n">
        <v>29593</v>
      </c>
      <c r="D148" s="12" t="n">
        <v>25902</v>
      </c>
      <c r="E148" s="12" t="n">
        <v>26348</v>
      </c>
      <c r="F148" s="12" t="n">
        <v>23158</v>
      </c>
      <c r="G148" s="12" t="n">
        <v>23368</v>
      </c>
      <c r="H148" s="12" t="n">
        <v>25188</v>
      </c>
      <c r="I148" s="12" t="n">
        <v>26133</v>
      </c>
      <c r="V148" s="12" t="n">
        <v>26348</v>
      </c>
      <c r="W148" s="12" t="n">
        <v>26133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</row>
    <row r="150">
      <c r="A150" s="18" t="inlineStr">
        <is>
          <t>EntityTotalMember · Revenue From External Customers</t>
        </is>
      </c>
      <c r="F150" s="20" t="n">
        <v>23158</v>
      </c>
      <c r="J150" s="20" t="n">
        <v>24151</v>
      </c>
      <c r="N150" s="20" t="n">
        <v>32237</v>
      </c>
    </row>
    <row r="151">
      <c r="A151" s="18" t="inlineStr">
        <is>
          <t>SanAceCompanyReportableSegmentMember · Intersegment Revenue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0</v>
      </c>
      <c r="V151" s="20" t="n">
        <v>0</v>
      </c>
      <c r="W151" s="20" t="n">
        <v>0</v>
      </c>
      <c r="X151" s="20" t="n">
        <v>0</v>
      </c>
    </row>
    <row r="152">
      <c r="A152" s="18" t="inlineStr">
        <is>
          <t>ElectronicsCompanyReportableSegmentMember · Intersegment Revenue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V152" s="20" t="n">
        <v>0</v>
      </c>
      <c r="W152" s="20" t="n">
        <v>0</v>
      </c>
      <c r="X152" s="20" t="n">
        <v>0</v>
      </c>
    </row>
    <row r="153">
      <c r="A153" s="18" t="inlineStr">
        <is>
          <t>MotionCompanyReportableSegmentMember · Intersegment Revenue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18" t="inlineStr">
        <is>
          <t>OtherReportableSegmentsMember · Intersegment Revenue</t>
        </is>
      </c>
      <c r="C154" s="20" t="n">
        <v>621</v>
      </c>
      <c r="D154" s="20" t="n">
        <v>553</v>
      </c>
      <c r="E154" s="20" t="n">
        <v>459</v>
      </c>
      <c r="F154" s="20" t="n">
        <v>465</v>
      </c>
      <c r="G154" s="20" t="n">
        <v>360</v>
      </c>
      <c r="H154" s="20" t="n">
        <v>524</v>
      </c>
      <c r="I154" s="20" t="n">
        <v>519</v>
      </c>
      <c r="J154" s="20" t="n">
        <v>522</v>
      </c>
      <c r="K154" s="20" t="n">
        <v>692</v>
      </c>
      <c r="L154" s="20" t="n">
        <v>648</v>
      </c>
      <c r="M154" s="20" t="n">
        <v>811</v>
      </c>
      <c r="N154" s="20" t="n">
        <v>733</v>
      </c>
      <c r="V154" s="20" t="n">
        <v>459</v>
      </c>
      <c r="W154" s="20" t="n">
        <v>519</v>
      </c>
      <c r="X154" s="20" t="n">
        <v>811</v>
      </c>
    </row>
    <row r="155">
      <c r="A155" s="18" t="inlineStr">
        <is>
          <t>합계 · Intersegment Revenue</t>
        </is>
      </c>
      <c r="C155" s="20" t="n">
        <v>621</v>
      </c>
      <c r="D155" s="20" t="n">
        <v>553</v>
      </c>
      <c r="E155" s="20" t="n">
        <v>459</v>
      </c>
      <c r="F155" s="20" t="n">
        <v>465</v>
      </c>
      <c r="G155" s="20" t="n">
        <v>360</v>
      </c>
      <c r="H155" s="20" t="n">
        <v>524</v>
      </c>
      <c r="I155" s="20" t="n">
        <v>519</v>
      </c>
      <c r="J155" s="20" t="n">
        <v>522</v>
      </c>
      <c r="K155" s="20" t="n">
        <v>692</v>
      </c>
      <c r="L155" s="20" t="n">
        <v>648</v>
      </c>
      <c r="M155" s="20" t="n">
        <v>811</v>
      </c>
      <c r="N155" s="20" t="n">
        <v>733</v>
      </c>
      <c r="V155" s="20" t="n">
        <v>459</v>
      </c>
      <c r="W155" s="20" t="n">
        <v>519</v>
      </c>
      <c r="X155" s="20" t="n">
        <v>811</v>
      </c>
    </row>
    <row r="156">
      <c r="A156" s="18" t="inlineStr">
        <is>
          <t>조정액 · Intersegment Revenue</t>
        </is>
      </c>
      <c r="C156" s="20" t="n">
        <v>-621</v>
      </c>
      <c r="D156" s="20" t="n">
        <v>-553</v>
      </c>
      <c r="E156" s="20" t="n">
        <v>-459</v>
      </c>
      <c r="F156" s="20" t="n">
        <v>-465</v>
      </c>
      <c r="G156" s="20" t="n">
        <v>-360</v>
      </c>
      <c r="H156" s="20" t="n">
        <v>-524</v>
      </c>
      <c r="I156" s="20" t="n">
        <v>-519</v>
      </c>
      <c r="J156" s="20" t="n">
        <v>-522</v>
      </c>
      <c r="K156" s="20" t="n">
        <v>-692</v>
      </c>
      <c r="L156" s="20" t="n">
        <v>-648</v>
      </c>
      <c r="M156" s="20" t="n">
        <v>-811</v>
      </c>
      <c r="N156" s="20" t="n">
        <v>-733</v>
      </c>
      <c r="V156" s="20" t="n">
        <v>-459</v>
      </c>
      <c r="W156" s="20" t="n">
        <v>-519</v>
      </c>
      <c r="X156" s="20" t="n">
        <v>-811</v>
      </c>
    </row>
    <row r="157">
      <c r="A157" s="18" t="inlineStr">
        <is>
          <t>Intersegment Revenue</t>
        </is>
      </c>
      <c r="C157" s="20" t="n">
        <v>0</v>
      </c>
      <c r="D157" s="20" t="n">
        <v>0</v>
      </c>
      <c r="E157" s="20" t="n">
        <v>0</v>
      </c>
      <c r="F157" s="20" t="n">
        <v>0</v>
      </c>
      <c r="G157" s="20" t="n">
        <v>0</v>
      </c>
      <c r="H157" s="20" t="n">
        <v>0</v>
      </c>
      <c r="I157" s="20" t="n">
        <v>0</v>
      </c>
      <c r="V157" s="20" t="n">
        <v>0</v>
      </c>
      <c r="W157" s="20" t="n">
        <v>0</v>
      </c>
    </row>
    <row r="158">
      <c r="A158" s="18" t="inlineStr">
        <is>
          <t>EntityTotalMember · Intersegment Revenue</t>
        </is>
      </c>
      <c r="F158" s="20" t="n">
        <v>0</v>
      </c>
      <c r="J158" s="20" t="n">
        <v>0</v>
      </c>
      <c r="N158" s="20" t="n">
        <v>0</v>
      </c>
    </row>
    <row r="159">
      <c r="A159" s="18" t="inlineStr">
        <is>
          <t>SanAceCompanyReportableSegmentMember · 계</t>
        </is>
      </c>
      <c r="C159" s="20" t="n">
        <v>11136</v>
      </c>
      <c r="D159" s="20" t="n">
        <v>9325</v>
      </c>
      <c r="E159" s="20" t="n">
        <v>9556</v>
      </c>
      <c r="F159" s="20" t="n">
        <v>8847</v>
      </c>
      <c r="G159" s="20" t="n">
        <v>9231</v>
      </c>
      <c r="H159" s="20" t="n">
        <v>10166</v>
      </c>
      <c r="I159" s="20" t="n">
        <v>9818</v>
      </c>
      <c r="J159" s="20" t="n">
        <v>9727</v>
      </c>
      <c r="K159" s="20" t="n">
        <v>10577</v>
      </c>
      <c r="L159" s="20" t="n">
        <v>10032</v>
      </c>
      <c r="M159" s="20" t="n">
        <v>10490</v>
      </c>
      <c r="N159" s="20" t="n">
        <v>11638</v>
      </c>
      <c r="V159" s="20" t="n">
        <v>9556</v>
      </c>
      <c r="W159" s="20" t="n">
        <v>9818</v>
      </c>
      <c r="X159" s="20" t="n">
        <v>10490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ElectronicsCompanyReportableSegmentMember · 계</t>
        </is>
      </c>
      <c r="C161" s="20" t="n">
        <v>6140</v>
      </c>
      <c r="D161" s="20" t="n">
        <v>5988</v>
      </c>
      <c r="E161" s="20" t="n">
        <v>6286</v>
      </c>
      <c r="F161" s="20" t="n">
        <v>4955</v>
      </c>
      <c r="G161" s="20" t="n">
        <v>4977</v>
      </c>
      <c r="H161" s="20" t="n">
        <v>5248</v>
      </c>
      <c r="I161" s="20" t="n">
        <v>5969</v>
      </c>
      <c r="J161" s="20" t="n">
        <v>4418</v>
      </c>
      <c r="K161" s="20" t="n">
        <v>5882</v>
      </c>
      <c r="L161" s="20" t="n">
        <v>6326</v>
      </c>
      <c r="M161" s="20" t="n">
        <v>6623</v>
      </c>
      <c r="N161" s="20" t="n">
        <v>6318</v>
      </c>
      <c r="V161" s="20" t="n">
        <v>6286</v>
      </c>
      <c r="W161" s="20" t="n">
        <v>5969</v>
      </c>
      <c r="X161" s="20" t="n">
        <v>6623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MotionCompanyReportableSegmentMember · 계</t>
        </is>
      </c>
      <c r="C163" s="20" t="n">
        <v>10789</v>
      </c>
      <c r="D163" s="20" t="n">
        <v>9292</v>
      </c>
      <c r="E163" s="20" t="n">
        <v>9060</v>
      </c>
      <c r="F163" s="20" t="n">
        <v>8083</v>
      </c>
      <c r="G163" s="20" t="n">
        <v>7877</v>
      </c>
      <c r="H163" s="20" t="n">
        <v>8409</v>
      </c>
      <c r="I163" s="20" t="n">
        <v>8602</v>
      </c>
      <c r="J163" s="20" t="n">
        <v>8702</v>
      </c>
      <c r="K163" s="20" t="n">
        <v>8885</v>
      </c>
      <c r="L163" s="20" t="n">
        <v>9644</v>
      </c>
      <c r="M163" s="20" t="n">
        <v>10312</v>
      </c>
      <c r="N163" s="20" t="n">
        <v>12727</v>
      </c>
      <c r="V163" s="20" t="n">
        <v>9060</v>
      </c>
      <c r="W163" s="20" t="n">
        <v>8602</v>
      </c>
      <c r="X163" s="20" t="n">
        <v>10312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OtherReportableSegmentsMember · 계</t>
        </is>
      </c>
      <c r="C165" s="20" t="n">
        <v>2150</v>
      </c>
      <c r="D165" s="20" t="n">
        <v>1850</v>
      </c>
      <c r="E165" s="20" t="n">
        <v>1904</v>
      </c>
      <c r="F165" s="20" t="n">
        <v>1737</v>
      </c>
      <c r="G165" s="20" t="n">
        <v>1643</v>
      </c>
      <c r="H165" s="20" t="n">
        <v>1889</v>
      </c>
      <c r="I165" s="20" t="n">
        <v>2263</v>
      </c>
      <c r="J165" s="20" t="n">
        <v>1826</v>
      </c>
      <c r="K165" s="20" t="n">
        <v>1980</v>
      </c>
      <c r="L165" s="20" t="n">
        <v>1966</v>
      </c>
      <c r="M165" s="20" t="n">
        <v>2626</v>
      </c>
      <c r="N165" s="20" t="n">
        <v>2286</v>
      </c>
      <c r="V165" s="20" t="n">
        <v>1904</v>
      </c>
      <c r="W165" s="20" t="n">
        <v>2263</v>
      </c>
      <c r="X165" s="20" t="n">
        <v>2626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합계 · 계</t>
        </is>
      </c>
      <c r="C167" s="20" t="n">
        <v>30214</v>
      </c>
      <c r="D167" s="20" t="n">
        <v>26455</v>
      </c>
      <c r="E167" s="20" t="n">
        <v>26807</v>
      </c>
      <c r="F167" s="20" t="n">
        <v>23623</v>
      </c>
      <c r="G167" s="20" t="n">
        <v>23729</v>
      </c>
      <c r="H167" s="20" t="n">
        <v>25712</v>
      </c>
      <c r="I167" s="20" t="n">
        <v>26651</v>
      </c>
      <c r="J167" s="20" t="n">
        <v>24674</v>
      </c>
      <c r="K167" s="20" t="n">
        <v>27325</v>
      </c>
      <c r="L167" s="20" t="n">
        <v>27967</v>
      </c>
      <c r="M167" s="20" t="n">
        <v>30053</v>
      </c>
      <c r="N167" s="20" t="n">
        <v>32970</v>
      </c>
      <c r="V167" s="20" t="n">
        <v>26807</v>
      </c>
      <c r="W167" s="20" t="n">
        <v>26651</v>
      </c>
      <c r="X167" s="20" t="n">
        <v>30053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조정액 · 계</t>
        </is>
      </c>
      <c r="C169" s="20" t="n">
        <v>-621</v>
      </c>
      <c r="D169" s="20" t="n">
        <v>-553</v>
      </c>
      <c r="E169" s="20" t="n">
        <v>-459</v>
      </c>
      <c r="F169" s="20" t="n">
        <v>-465</v>
      </c>
      <c r="G169" s="20" t="n">
        <v>-360</v>
      </c>
      <c r="H169" s="20" t="n">
        <v>-524</v>
      </c>
      <c r="I169" s="20" t="n">
        <v>-519</v>
      </c>
      <c r="J169" s="20" t="n">
        <v>-522</v>
      </c>
      <c r="K169" s="20" t="n">
        <v>-692</v>
      </c>
      <c r="L169" s="20" t="n">
        <v>-648</v>
      </c>
      <c r="M169" s="20" t="n">
        <v>-811</v>
      </c>
      <c r="N169" s="20" t="n">
        <v>-733</v>
      </c>
      <c r="V169" s="20" t="n">
        <v>-459</v>
      </c>
      <c r="W169" s="20" t="n">
        <v>-519</v>
      </c>
      <c r="X169" s="20" t="n">
        <v>-811</v>
      </c>
    </row>
    <row r="170">
      <c r="A170" s="9" t="inlineStr">
        <is>
          <t>계</t>
        </is>
      </c>
      <c r="C170" s="12" t="n">
        <v>29593</v>
      </c>
      <c r="D170" s="12" t="n">
        <v>25902</v>
      </c>
      <c r="E170" s="12" t="n">
        <v>26348</v>
      </c>
      <c r="F170" s="12" t="n">
        <v>23158</v>
      </c>
      <c r="G170" s="12" t="n">
        <v>23368</v>
      </c>
      <c r="H170" s="12" t="n">
        <v>25188</v>
      </c>
      <c r="I170" s="12" t="n">
        <v>26133</v>
      </c>
      <c r="V170" s="12" t="n">
        <v>26348</v>
      </c>
      <c r="W170" s="12" t="n">
        <v>26133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</row>
    <row r="172">
      <c r="A172" s="18" t="inlineStr">
        <is>
          <t>EntityTotalMember · 계</t>
        </is>
      </c>
      <c r="F172" s="20" t="n">
        <v>23158</v>
      </c>
      <c r="J172" s="20" t="n">
        <v>24151</v>
      </c>
      <c r="N172" s="20" t="n">
        <v>32237</v>
      </c>
    </row>
    <row r="173">
      <c r="A173" s="18" t="inlineStr">
        <is>
          <t>SanAceCompanyReportableSegmentMember · Operating Profit Loss</t>
        </is>
      </c>
      <c r="C173" s="20" t="n">
        <v>2275</v>
      </c>
      <c r="D173" s="20" t="n">
        <v>2040</v>
      </c>
      <c r="E173" s="20" t="n">
        <v>1220</v>
      </c>
      <c r="F173" s="20" t="n">
        <v>1286</v>
      </c>
      <c r="G173" s="20" t="n">
        <v>1651</v>
      </c>
      <c r="H173" s="20" t="n">
        <v>1697</v>
      </c>
      <c r="I173" s="20" t="n">
        <v>2222</v>
      </c>
      <c r="J173" s="20" t="n">
        <v>1549</v>
      </c>
      <c r="K173" s="20" t="n">
        <v>2296</v>
      </c>
      <c r="L173" s="20" t="n">
        <v>1876</v>
      </c>
      <c r="M173" s="20" t="n">
        <v>2474</v>
      </c>
      <c r="N173" s="20" t="n">
        <v>2741</v>
      </c>
      <c r="V173" s="20" t="n">
        <v>1220</v>
      </c>
      <c r="W173" s="20" t="n">
        <v>2222</v>
      </c>
      <c r="X173" s="20" t="n">
        <v>2474</v>
      </c>
    </row>
    <row r="174">
      <c r="A174" s="43" t="inlineStr">
        <is>
          <t>OPM</t>
        </is>
      </c>
      <c r="B174" s="3" t="inlineStr">
        <is>
          <t>영업이익 ÷ 매출</t>
        </is>
      </c>
      <c r="C174" s="15">
        <f>IF(OR(C173="",C159=""),"",IF(C159&lt;=0,"",IFERROR(C173/C159,"")))</f>
        <v/>
      </c>
      <c r="D174" s="15">
        <f>IF(OR(D173="",D159=""),"",IF(D159&lt;=0,"",IFERROR(D173/D159,"")))</f>
        <v/>
      </c>
      <c r="E174" s="15">
        <f>IF(OR(E173="",E159=""),"",IF(E159&lt;=0,"",IFERROR(E173/E159,"")))</f>
        <v/>
      </c>
      <c r="F174" s="15">
        <f>IF(OR(F173="",F159=""),"",IF(F159&lt;=0,"",IFERROR(F173/F159,"")))</f>
        <v/>
      </c>
      <c r="G174" s="15">
        <f>IF(OR(G173="",G159=""),"",IF(G159&lt;=0,"",IFERROR(G173/G159,"")))</f>
        <v/>
      </c>
      <c r="H174" s="15">
        <f>IF(OR(H173="",H159=""),"",IF(H159&lt;=0,"",IFERROR(H173/H159,"")))</f>
        <v/>
      </c>
      <c r="I174" s="15">
        <f>IF(OR(I173="",I159=""),"",IF(I159&lt;=0,"",IFERROR(I173/I159,"")))</f>
        <v/>
      </c>
      <c r="J174" s="15">
        <f>IF(OR(J173="",J159=""),"",IF(J159&lt;=0,"",IFERROR(J173/J159,"")))</f>
        <v/>
      </c>
      <c r="K174" s="15">
        <f>IF(OR(K173="",K159=""),"",IF(K159&lt;=0,"",IFERROR(K173/K159,"")))</f>
        <v/>
      </c>
      <c r="L174" s="15">
        <f>IF(OR(L173="",L159=""),"",IF(L159&lt;=0,"",IFERROR(L173/L159,"")))</f>
        <v/>
      </c>
      <c r="M174" s="15">
        <f>IF(OR(M173="",M159=""),"",IF(M159&lt;=0,"",IFERROR(M173/M159,"")))</f>
        <v/>
      </c>
      <c r="N174" s="15">
        <f>IF(OR(N173="",N159=""),"",IF(N159&lt;=0,"",IFERROR(N173/N159,"")))</f>
        <v/>
      </c>
      <c r="V174" s="15">
        <f>IF(OR(V173="",V159=""),"",IF(V159&lt;=0,"",IFERROR(V173/V159,"")))</f>
        <v/>
      </c>
      <c r="W174" s="15">
        <f>IF(OR(W173="",W159=""),"",IF(W159&lt;=0,"",IFERROR(W173/W159,"")))</f>
        <v/>
      </c>
      <c r="X174" s="15">
        <f>IF(OR(X173="",X159=""),"",IF(X159&lt;=0,"",IFERROR(X173/X159,"")))</f>
        <v/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IF(OR(G173="",C173=""),"",IF(C173&lt;=0,"",IFERROR(G173/C173-1,"")))</f>
        <v/>
      </c>
      <c r="H175" s="15">
        <f>IF(OR(H173="",D173=""),"",IF(D173&lt;=0,"",IFERROR(H173/D173-1,"")))</f>
        <v/>
      </c>
      <c r="I175" s="15">
        <f>IF(OR(I173="",E173=""),"",IF(E173&lt;=0,"",IFERROR(I173/E173-1,"")))</f>
        <v/>
      </c>
      <c r="J175" s="15">
        <f>IF(OR(J173="",F173=""),"",IF(F173&lt;=0,"",IFERROR(J173/F173-1,"")))</f>
        <v/>
      </c>
      <c r="K175" s="15">
        <f>IF(OR(K173="",G173=""),"",IF(G173&lt;=0,"",IFERROR(K173/G173-1,"")))</f>
        <v/>
      </c>
      <c r="L175" s="15">
        <f>IF(OR(L173="",H173=""),"",IF(H173&lt;=0,"",IFERROR(L173/H173-1,"")))</f>
        <v/>
      </c>
      <c r="M175" s="15">
        <f>IF(OR(M173="",I173=""),"",IF(I173&lt;=0,"",IFERROR(M173/I173-1,"")))</f>
        <v/>
      </c>
      <c r="N175" s="15">
        <f>IF(OR(N173="",J173=""),"",IF(J173&lt;=0,"",IFERROR(N173/J173-1,"")))</f>
        <v/>
      </c>
      <c r="V175" s="15">
        <f>IF(OR(V173="",U173=""),"",IF(U173&lt;=0,"",IFERROR(V173/U173-1,"")))</f>
        <v/>
      </c>
      <c r="W175" s="15">
        <f>IF(OR(W173="",V173=""),"",IF(V173&lt;=0,"",IFERROR(W173/V173-1,"")))</f>
        <v/>
      </c>
      <c r="X175" s="15">
        <f>IF(OR(X173="",W173=""),"",IF(W173&lt;=0,"",IFERROR(X173/W173-1,"")))</f>
        <v/>
      </c>
    </row>
    <row r="176">
      <c r="A176" s="18" t="inlineStr">
        <is>
          <t>ElectronicsCompanyReportableSegmentMember · Operating Profit Loss</t>
        </is>
      </c>
      <c r="C176" s="20" t="n">
        <v>363</v>
      </c>
      <c r="D176" s="20" t="n">
        <v>508</v>
      </c>
      <c r="E176" s="20" t="n">
        <v>346</v>
      </c>
      <c r="F176" s="20" t="n">
        <v>139</v>
      </c>
      <c r="G176" s="20" t="n">
        <v>-36</v>
      </c>
      <c r="H176" s="20" t="n">
        <v>-27</v>
      </c>
      <c r="I176" s="20" t="n">
        <v>407</v>
      </c>
      <c r="J176" s="20" t="n">
        <v>-250</v>
      </c>
      <c r="K176" s="20" t="n">
        <v>371</v>
      </c>
      <c r="L176" s="20" t="n">
        <v>415</v>
      </c>
      <c r="M176" s="20" t="n">
        <v>606</v>
      </c>
      <c r="N176" s="20" t="n">
        <v>619</v>
      </c>
      <c r="V176" s="20" t="n">
        <v>346</v>
      </c>
      <c r="W176" s="20" t="n">
        <v>407</v>
      </c>
      <c r="X176" s="20" t="n">
        <v>606</v>
      </c>
    </row>
    <row r="177">
      <c r="A177" s="43" t="inlineStr">
        <is>
          <t>OPM</t>
        </is>
      </c>
      <c r="B177" s="3" t="inlineStr">
        <is>
          <t>영업이익 ÷ 매출</t>
        </is>
      </c>
      <c r="C177" s="15">
        <f>IF(OR(C176="",C161=""),"",IF(C161&lt;=0,"",IFERROR(C176/C161,"")))</f>
        <v/>
      </c>
      <c r="D177" s="15">
        <f>IF(OR(D176="",D161=""),"",IF(D161&lt;=0,"",IFERROR(D176/D161,"")))</f>
        <v/>
      </c>
      <c r="E177" s="15">
        <f>IF(OR(E176="",E161=""),"",IF(E161&lt;=0,"",IFERROR(E176/E161,"")))</f>
        <v/>
      </c>
      <c r="F177" s="15">
        <f>IF(OR(F176="",F161=""),"",IF(F161&lt;=0,"",IFERROR(F176/F161,"")))</f>
        <v/>
      </c>
      <c r="G177" s="15">
        <f>IF(OR(G176="",G161=""),"",IF(G161&lt;=0,"",IFERROR(G176/G161,"")))</f>
        <v/>
      </c>
      <c r="H177" s="15">
        <f>IF(OR(H176="",H161=""),"",IF(H161&lt;=0,"",IFERROR(H176/H161,"")))</f>
        <v/>
      </c>
      <c r="I177" s="15">
        <f>IF(OR(I176="",I161=""),"",IF(I161&lt;=0,"",IFERROR(I176/I161,"")))</f>
        <v/>
      </c>
      <c r="J177" s="15">
        <f>IF(OR(J176="",J161=""),"",IF(J161&lt;=0,"",IFERROR(J176/J161,"")))</f>
        <v/>
      </c>
      <c r="K177" s="15">
        <f>IF(OR(K176="",K161=""),"",IF(K161&lt;=0,"",IFERROR(K176/K161,"")))</f>
        <v/>
      </c>
      <c r="L177" s="15">
        <f>IF(OR(L176="",L161=""),"",IF(L161&lt;=0,"",IFERROR(L176/L161,"")))</f>
        <v/>
      </c>
      <c r="M177" s="15">
        <f>IF(OR(M176="",M161=""),"",IF(M161&lt;=0,"",IFERROR(M176/M161,"")))</f>
        <v/>
      </c>
      <c r="N177" s="15">
        <f>IF(OR(N176="",N161=""),"",IF(N161&lt;=0,"",IFERROR(N176/N161,"")))</f>
        <v/>
      </c>
      <c r="V177" s="15">
        <f>IF(OR(V176="",V161=""),"",IF(V161&lt;=0,"",IFERROR(V176/V161,"")))</f>
        <v/>
      </c>
      <c r="W177" s="15">
        <f>IF(OR(W176="",W161=""),"",IF(W161&lt;=0,"",IFERROR(W176/W161,"")))</f>
        <v/>
      </c>
      <c r="X177" s="15">
        <f>IF(OR(X176="",X161=""),"",IF(X161&lt;=0,"",IFERROR(X176/X161,"")))</f>
        <v/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IF(OR(G176="",C176=""),"",IF(C176&lt;=0,"",IFERROR(G176/C176-1,"")))</f>
        <v/>
      </c>
      <c r="H178" s="15">
        <f>IF(OR(H176="",D176=""),"",IF(D176&lt;=0,"",IFERROR(H176/D176-1,"")))</f>
        <v/>
      </c>
      <c r="I178" s="15">
        <f>IF(OR(I176="",E176=""),"",IF(E176&lt;=0,"",IFERROR(I176/E176-1,"")))</f>
        <v/>
      </c>
      <c r="J178" s="15">
        <f>IF(OR(J176="",F176=""),"",IF(F176&lt;=0,"",IFERROR(J176/F176-1,"")))</f>
        <v/>
      </c>
      <c r="K178" s="15">
        <f>IF(OR(K176="",G176=""),"",IF(G176&lt;=0,"",IFERROR(K176/G176-1,"")))</f>
        <v/>
      </c>
      <c r="L178" s="15">
        <f>IF(OR(L176="",H176=""),"",IF(H176&lt;=0,"",IFERROR(L176/H176-1,"")))</f>
        <v/>
      </c>
      <c r="M178" s="15">
        <f>IF(OR(M176="",I176=""),"",IF(I176&lt;=0,"",IFERROR(M176/I176-1,"")))</f>
        <v/>
      </c>
      <c r="N178" s="15">
        <f>IF(OR(N176="",J176=""),"",IF(J176&lt;=0,"",IFERROR(N176/J176-1,"")))</f>
        <v/>
      </c>
      <c r="V178" s="15">
        <f>IF(OR(V176="",U176=""),"",IF(U176&lt;=0,"",IFERROR(V176/U176-1,"")))</f>
        <v/>
      </c>
      <c r="W178" s="15">
        <f>IF(OR(W176="",V176=""),"",IF(V176&lt;=0,"",IFERROR(W176/V176-1,"")))</f>
        <v/>
      </c>
      <c r="X178" s="15">
        <f>IF(OR(X176="",W176=""),"",IF(W176&lt;=0,"",IFERROR(X176/W176-1,"")))</f>
        <v/>
      </c>
    </row>
    <row r="179">
      <c r="A179" s="18" t="inlineStr">
        <is>
          <t>MotionCompanyReportableSegmentMember · Operating Profit Loss</t>
        </is>
      </c>
      <c r="C179" s="20" t="n">
        <v>453</v>
      </c>
      <c r="D179" s="20" t="n">
        <v>186</v>
      </c>
      <c r="E179" s="20" t="n">
        <v>562</v>
      </c>
      <c r="F179" s="20" t="n">
        <v>47</v>
      </c>
      <c r="G179" s="20" t="n">
        <v>-58</v>
      </c>
      <c r="H179" s="20" t="n">
        <v>118</v>
      </c>
      <c r="I179" s="20" t="n">
        <v>184</v>
      </c>
      <c r="J179" s="20" t="n">
        <v>417</v>
      </c>
      <c r="K179" s="20" t="n">
        <v>328</v>
      </c>
      <c r="L179" s="20" t="n">
        <v>332</v>
      </c>
      <c r="M179" s="20" t="n">
        <v>148</v>
      </c>
      <c r="N179" s="20" t="n">
        <v>768</v>
      </c>
      <c r="V179" s="20" t="n">
        <v>562</v>
      </c>
      <c r="W179" s="20" t="n">
        <v>184</v>
      </c>
      <c r="X179" s="20" t="n">
        <v>148</v>
      </c>
    </row>
    <row r="180">
      <c r="A180" s="43" t="inlineStr">
        <is>
          <t>OPM</t>
        </is>
      </c>
      <c r="B180" s="3" t="inlineStr">
        <is>
          <t>영업이익 ÷ 매출</t>
        </is>
      </c>
      <c r="C180" s="15">
        <f>IF(OR(C179="",C163=""),"",IF(C163&lt;=0,"",IFERROR(C179/C163,"")))</f>
        <v/>
      </c>
      <c r="D180" s="15">
        <f>IF(OR(D179="",D163=""),"",IF(D163&lt;=0,"",IFERROR(D179/D163,"")))</f>
        <v/>
      </c>
      <c r="E180" s="15">
        <f>IF(OR(E179="",E163=""),"",IF(E163&lt;=0,"",IFERROR(E179/E163,"")))</f>
        <v/>
      </c>
      <c r="F180" s="15">
        <f>IF(OR(F179="",F163=""),"",IF(F163&lt;=0,"",IFERROR(F179/F163,"")))</f>
        <v/>
      </c>
      <c r="G180" s="15">
        <f>IF(OR(G179="",G163=""),"",IF(G163&lt;=0,"",IFERROR(G179/G163,"")))</f>
        <v/>
      </c>
      <c r="H180" s="15">
        <f>IF(OR(H179="",H163=""),"",IF(H163&lt;=0,"",IFERROR(H179/H163,"")))</f>
        <v/>
      </c>
      <c r="I180" s="15">
        <f>IF(OR(I179="",I163=""),"",IF(I163&lt;=0,"",IFERROR(I179/I163,"")))</f>
        <v/>
      </c>
      <c r="J180" s="15">
        <f>IF(OR(J179="",J163=""),"",IF(J163&lt;=0,"",IFERROR(J179/J163,"")))</f>
        <v/>
      </c>
      <c r="K180" s="15">
        <f>IF(OR(K179="",K163=""),"",IF(K163&lt;=0,"",IFERROR(K179/K163,"")))</f>
        <v/>
      </c>
      <c r="L180" s="15">
        <f>IF(OR(L179="",L163=""),"",IF(L163&lt;=0,"",IFERROR(L179/L163,"")))</f>
        <v/>
      </c>
      <c r="M180" s="15">
        <f>IF(OR(M179="",M163=""),"",IF(M163&lt;=0,"",IFERROR(M179/M163,"")))</f>
        <v/>
      </c>
      <c r="N180" s="15">
        <f>IF(OR(N179="",N163=""),"",IF(N163&lt;=0,"",IFERROR(N179/N163,"")))</f>
        <v/>
      </c>
      <c r="V180" s="15">
        <f>IF(OR(V179="",V163=""),"",IF(V163&lt;=0,"",IFERROR(V179/V163,"")))</f>
        <v/>
      </c>
      <c r="W180" s="15">
        <f>IF(OR(W179="",W163=""),"",IF(W163&lt;=0,"",IFERROR(W179/W163,"")))</f>
        <v/>
      </c>
      <c r="X180" s="15">
        <f>IF(OR(X179="",X163=""),"",IF(X163&lt;=0,"",IFERROR(X179/X163,"")))</f>
        <v/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IF(OR(G179="",C179=""),"",IF(C179&lt;=0,"",IFERROR(G179/C179-1,"")))</f>
        <v/>
      </c>
      <c r="H181" s="15">
        <f>IF(OR(H179="",D179=""),"",IF(D179&lt;=0,"",IFERROR(H179/D179-1,"")))</f>
        <v/>
      </c>
      <c r="I181" s="15">
        <f>IF(OR(I179="",E179=""),"",IF(E179&lt;=0,"",IFERROR(I179/E179-1,"")))</f>
        <v/>
      </c>
      <c r="J181" s="15">
        <f>IF(OR(J179="",F179=""),"",IF(F179&lt;=0,"",IFERROR(J179/F179-1,"")))</f>
        <v/>
      </c>
      <c r="K181" s="15">
        <f>IF(OR(K179="",G179=""),"",IF(G179&lt;=0,"",IFERROR(K179/G179-1,"")))</f>
        <v/>
      </c>
      <c r="L181" s="15">
        <f>IF(OR(L179="",H179=""),"",IF(H179&lt;=0,"",IFERROR(L179/H179-1,"")))</f>
        <v/>
      </c>
      <c r="M181" s="15">
        <f>IF(OR(M179="",I179=""),"",IF(I179&lt;=0,"",IFERROR(M179/I179-1,"")))</f>
        <v/>
      </c>
      <c r="N181" s="15">
        <f>IF(OR(N179="",J179=""),"",IF(J179&lt;=0,"",IFERROR(N179/J179-1,"")))</f>
        <v/>
      </c>
      <c r="V181" s="15">
        <f>IF(OR(V179="",U179=""),"",IF(U179&lt;=0,"",IFERROR(V179/U179-1,"")))</f>
        <v/>
      </c>
      <c r="W181" s="15">
        <f>IF(OR(W179="",V179=""),"",IF(V179&lt;=0,"",IFERROR(W179/V179-1,"")))</f>
        <v/>
      </c>
      <c r="X181" s="15">
        <f>IF(OR(X179="",W179=""),"",IF(W179&lt;=0,"",IFERROR(X179/W179-1,"")))</f>
        <v/>
      </c>
    </row>
    <row r="182">
      <c r="A182" s="18" t="inlineStr">
        <is>
          <t>OtherReportableSegmentsMember · Operating Profit Loss</t>
        </is>
      </c>
      <c r="C182" s="20" t="n">
        <v>58</v>
      </c>
      <c r="D182" s="20" t="n">
        <v>-20</v>
      </c>
      <c r="E182" s="20" t="n">
        <v>-32</v>
      </c>
      <c r="F182" s="20" t="n">
        <v>-42</v>
      </c>
      <c r="G182" s="20" t="n">
        <v>-27</v>
      </c>
      <c r="H182" s="20" t="n">
        <v>81</v>
      </c>
      <c r="I182" s="20" t="n">
        <v>264</v>
      </c>
      <c r="J182" s="20" t="n">
        <v>90</v>
      </c>
      <c r="K182" s="20" t="n">
        <v>292</v>
      </c>
      <c r="L182" s="20" t="n">
        <v>45</v>
      </c>
      <c r="M182" s="20" t="n">
        <v>216</v>
      </c>
      <c r="N182" s="20" t="n">
        <v>158</v>
      </c>
      <c r="V182" s="20" t="n">
        <v>-32</v>
      </c>
      <c r="W182" s="20" t="n">
        <v>264</v>
      </c>
      <c r="X182" s="20" t="n">
        <v>216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IF(OR(C182="",C165=""),"",IF(C165&lt;=0,"",IFERROR(C182/C165,"")))</f>
        <v/>
      </c>
      <c r="D183" s="15">
        <f>IF(OR(D182="",D165=""),"",IF(D165&lt;=0,"",IFERROR(D182/D165,"")))</f>
        <v/>
      </c>
      <c r="E183" s="15">
        <f>IF(OR(E182="",E165=""),"",IF(E165&lt;=0,"",IFERROR(E182/E165,"")))</f>
        <v/>
      </c>
      <c r="F183" s="15">
        <f>IF(OR(F182="",F165=""),"",IF(F165&lt;=0,"",IFERROR(F182/F165,"")))</f>
        <v/>
      </c>
      <c r="G183" s="15">
        <f>IF(OR(G182="",G165=""),"",IF(G165&lt;=0,"",IFERROR(G182/G165,"")))</f>
        <v/>
      </c>
      <c r="H183" s="15">
        <f>IF(OR(H182="",H165=""),"",IF(H165&lt;=0,"",IFERROR(H182/H165,"")))</f>
        <v/>
      </c>
      <c r="I183" s="15">
        <f>IF(OR(I182="",I165=""),"",IF(I165&lt;=0,"",IFERROR(I182/I165,"")))</f>
        <v/>
      </c>
      <c r="J183" s="15">
        <f>IF(OR(J182="",J165=""),"",IF(J165&lt;=0,"",IFERROR(J182/J165,"")))</f>
        <v/>
      </c>
      <c r="K183" s="15">
        <f>IF(OR(K182="",K165=""),"",IF(K165&lt;=0,"",IFERROR(K182/K165,"")))</f>
        <v/>
      </c>
      <c r="L183" s="15">
        <f>IF(OR(L182="",L165=""),"",IF(L165&lt;=0,"",IFERROR(L182/L165,"")))</f>
        <v/>
      </c>
      <c r="M183" s="15">
        <f>IF(OR(M182="",M165=""),"",IF(M165&lt;=0,"",IFERROR(M182/M165,"")))</f>
        <v/>
      </c>
      <c r="N183" s="15">
        <f>IF(OR(N182="",N165=""),"",IF(N165&lt;=0,"",IFERROR(N182/N165,"")))</f>
        <v/>
      </c>
      <c r="V183" s="15">
        <f>IF(OR(V182="",V165=""),"",IF(V165&lt;=0,"",IFERROR(V182/V165,"")))</f>
        <v/>
      </c>
      <c r="W183" s="15">
        <f>IF(OR(W182="",W165=""),"",IF(W165&lt;=0,"",IFERROR(W182/W165,"")))</f>
        <v/>
      </c>
      <c r="X183" s="15">
        <f>IF(OR(X182="",X165=""),"",IF(X165&lt;=0,"",IFERROR(X182/X165,"")))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5">
      <c r="A185" s="18" t="inlineStr">
        <is>
          <t>합계 · Operating Profit Loss</t>
        </is>
      </c>
      <c r="C185" s="20" t="n">
        <v>3147</v>
      </c>
      <c r="D185" s="20" t="n">
        <v>2714</v>
      </c>
      <c r="E185" s="20" t="n">
        <v>2096</v>
      </c>
      <c r="F185" s="20" t="n">
        <v>1431</v>
      </c>
      <c r="G185" s="20" t="n">
        <v>1529</v>
      </c>
      <c r="H185" s="20" t="n">
        <v>1870</v>
      </c>
      <c r="I185" s="20" t="n">
        <v>3078</v>
      </c>
      <c r="J185" s="20" t="n">
        <v>1807</v>
      </c>
      <c r="K185" s="20" t="n">
        <v>3288</v>
      </c>
      <c r="L185" s="20" t="n">
        <v>2668</v>
      </c>
      <c r="M185" s="20" t="n">
        <v>3443</v>
      </c>
      <c r="N185" s="20" t="n">
        <v>4287</v>
      </c>
      <c r="V185" s="20" t="n">
        <v>2096</v>
      </c>
      <c r="W185" s="20" t="n">
        <v>3078</v>
      </c>
      <c r="X185" s="20" t="n">
        <v>3443</v>
      </c>
    </row>
    <row r="186">
      <c r="A186" s="43" t="inlineStr">
        <is>
          <t>OPM</t>
        </is>
      </c>
      <c r="B186" s="3" t="inlineStr">
        <is>
          <t>영업이익 ÷ 매출</t>
        </is>
      </c>
      <c r="C186" s="15">
        <f>IF(OR(C185="",C167=""),"",IF(C167&lt;=0,"",IFERROR(C185/C167,"")))</f>
        <v/>
      </c>
      <c r="D186" s="15">
        <f>IF(OR(D185="",D167=""),"",IF(D167&lt;=0,"",IFERROR(D185/D167,"")))</f>
        <v/>
      </c>
      <c r="E186" s="15">
        <f>IF(OR(E185="",E167=""),"",IF(E167&lt;=0,"",IFERROR(E185/E167,"")))</f>
        <v/>
      </c>
      <c r="F186" s="15">
        <f>IF(OR(F185="",F167=""),"",IF(F167&lt;=0,"",IFERROR(F185/F167,"")))</f>
        <v/>
      </c>
      <c r="G186" s="15">
        <f>IF(OR(G185="",G167=""),"",IF(G167&lt;=0,"",IFERROR(G185/G167,"")))</f>
        <v/>
      </c>
      <c r="H186" s="15">
        <f>IF(OR(H185="",H167=""),"",IF(H167&lt;=0,"",IFERROR(H185/H167,"")))</f>
        <v/>
      </c>
      <c r="I186" s="15">
        <f>IF(OR(I185="",I167=""),"",IF(I167&lt;=0,"",IFERROR(I185/I167,"")))</f>
        <v/>
      </c>
      <c r="J186" s="15">
        <f>IF(OR(J185="",J167=""),"",IF(J167&lt;=0,"",IFERROR(J185/J167,"")))</f>
        <v/>
      </c>
      <c r="K186" s="15">
        <f>IF(OR(K185="",K167=""),"",IF(K167&lt;=0,"",IFERROR(K185/K167,"")))</f>
        <v/>
      </c>
      <c r="L186" s="15">
        <f>IF(OR(L185="",L167=""),"",IF(L167&lt;=0,"",IFERROR(L185/L167,"")))</f>
        <v/>
      </c>
      <c r="M186" s="15">
        <f>IF(OR(M185="",M167=""),"",IF(M167&lt;=0,"",IFERROR(M185/M167,"")))</f>
        <v/>
      </c>
      <c r="N186" s="15">
        <f>IF(OR(N185="",N167=""),"",IF(N167&lt;=0,"",IFERROR(N185/N167,"")))</f>
        <v/>
      </c>
      <c r="V186" s="15">
        <f>IF(OR(V185="",V167=""),"",IF(V167&lt;=0,"",IFERROR(V185/V167,"")))</f>
        <v/>
      </c>
      <c r="W186" s="15">
        <f>IF(OR(W185="",W167=""),"",IF(W167&lt;=0,"",IFERROR(W185/W167,"")))</f>
        <v/>
      </c>
      <c r="X186" s="15">
        <f>IF(OR(X185="",X167=""),"",IF(X167&lt;=0,"",IFERROR(X185/X167,"")))</f>
        <v/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IF(OR(G185="",C185=""),"",IF(C185&lt;=0,"",IFERROR(G185/C185-1,"")))</f>
        <v/>
      </c>
      <c r="H187" s="15">
        <f>IF(OR(H185="",D185=""),"",IF(D185&lt;=0,"",IFERROR(H185/D185-1,"")))</f>
        <v/>
      </c>
      <c r="I187" s="15">
        <f>IF(OR(I185="",E185=""),"",IF(E185&lt;=0,"",IFERROR(I185/E185-1,"")))</f>
        <v/>
      </c>
      <c r="J187" s="15">
        <f>IF(OR(J185="",F185=""),"",IF(F185&lt;=0,"",IFERROR(J185/F185-1,"")))</f>
        <v/>
      </c>
      <c r="K187" s="15">
        <f>IF(OR(K185="",G185=""),"",IF(G185&lt;=0,"",IFERROR(K185/G185-1,"")))</f>
        <v/>
      </c>
      <c r="L187" s="15">
        <f>IF(OR(L185="",H185=""),"",IF(H185&lt;=0,"",IFERROR(L185/H185-1,"")))</f>
        <v/>
      </c>
      <c r="M187" s="15">
        <f>IF(OR(M185="",I185=""),"",IF(I185&lt;=0,"",IFERROR(M185/I185-1,"")))</f>
        <v/>
      </c>
      <c r="N187" s="15">
        <f>IF(OR(N185="",J185=""),"",IF(J185&lt;=0,"",IFERROR(N185/J185-1,"")))</f>
        <v/>
      </c>
      <c r="V187" s="15">
        <f>IF(OR(V185="",U185=""),"",IF(U185&lt;=0,"",IFERROR(V185/U185-1,"")))</f>
        <v/>
      </c>
      <c r="W187" s="15">
        <f>IF(OR(W185="",V185=""),"",IF(V185&lt;=0,"",IFERROR(W185/V185-1,"")))</f>
        <v/>
      </c>
      <c r="X187" s="15">
        <f>IF(OR(X185="",W185=""),"",IF(W185&lt;=0,"",IFERROR(X185/W185-1,"")))</f>
        <v/>
      </c>
    </row>
    <row r="188">
      <c r="A188" s="18" t="inlineStr">
        <is>
          <t>조정액 · Operating Profit Loss</t>
        </is>
      </c>
      <c r="C188" s="20" t="n">
        <v>-24</v>
      </c>
      <c r="D188" s="20" t="n">
        <v>36</v>
      </c>
      <c r="E188" s="20" t="n">
        <v>41</v>
      </c>
      <c r="F188" s="20" t="n">
        <v>22</v>
      </c>
      <c r="G188" s="20" t="n">
        <v>63</v>
      </c>
      <c r="H188" s="20" t="n">
        <v>-12</v>
      </c>
      <c r="I188" s="20" t="n">
        <v>-45</v>
      </c>
      <c r="J188" s="20" t="n">
        <v>-39</v>
      </c>
      <c r="K188" s="20" t="n">
        <v>-208</v>
      </c>
      <c r="L188" s="20" t="n">
        <v>26</v>
      </c>
      <c r="M188" s="20" t="n">
        <v>-100</v>
      </c>
      <c r="N188" s="20" t="n">
        <v>-78</v>
      </c>
      <c r="V188" s="20" t="n">
        <v>41</v>
      </c>
      <c r="W188" s="20" t="n">
        <v>-45</v>
      </c>
      <c r="X188" s="20" t="n">
        <v>-100</v>
      </c>
    </row>
    <row r="189">
      <c r="A189" s="18" t="inlineStr">
        <is>
          <t>부문 이익</t>
        </is>
      </c>
      <c r="C189" s="20" t="n">
        <v>3123</v>
      </c>
      <c r="D189" s="20" t="n">
        <v>2751</v>
      </c>
      <c r="E189" s="20" t="n">
        <v>2137</v>
      </c>
      <c r="F189" s="20" t="n">
        <v>1453</v>
      </c>
      <c r="G189" s="20" t="n">
        <v>1593</v>
      </c>
      <c r="H189" s="20" t="n">
        <v>1858</v>
      </c>
      <c r="I189" s="20" t="n">
        <v>3032</v>
      </c>
      <c r="V189" s="20" t="n">
        <v>2137</v>
      </c>
      <c r="W189" s="20" t="n">
        <v>3032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IF(OR(C189="",C148=""),"",IF(C148&lt;=0,"",IFERROR(C189/C148,"")))</f>
        <v/>
      </c>
      <c r="D190" s="15">
        <f>IF(OR(D189="",D148=""),"",IF(D148&lt;=0,"",IFERROR(D189/D148,"")))</f>
        <v/>
      </c>
      <c r="E190" s="15">
        <f>IF(OR(E189="",E148=""),"",IF(E148&lt;=0,"",IFERROR(E189/E148,"")))</f>
        <v/>
      </c>
      <c r="F190" s="15">
        <f>IF(OR(F189="",F148=""),"",IF(F148&lt;=0,"",IFERROR(F189/F148,"")))</f>
        <v/>
      </c>
      <c r="G190" s="15">
        <f>IF(OR(G189="",G148=""),"",IF(G148&lt;=0,"",IFERROR(G189/G148,"")))</f>
        <v/>
      </c>
      <c r="H190" s="15">
        <f>IF(OR(H189="",H148=""),"",IF(H148&lt;=0,"",IFERROR(H189/H148,"")))</f>
        <v/>
      </c>
      <c r="I190" s="15">
        <f>IF(OR(I189="",I148=""),"",IF(I148&lt;=0,"",IFERROR(I189/I148,"")))</f>
        <v/>
      </c>
      <c r="V190" s="15">
        <f>IF(OR(V189="",V148=""),"",IF(V148&lt;=0,"",IFERROR(V189/V148,"")))</f>
        <v/>
      </c>
      <c r="W190" s="15">
        <f>IF(OR(W189="",W148=""),"",IF(W148&lt;=0,"",IFERROR(W189/W148,"")))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</row>
    <row r="192">
      <c r="A192" s="18" t="inlineStr">
        <is>
          <t>EntityTotalMember · Operating Profit Loss</t>
        </is>
      </c>
      <c r="F192" s="20" t="n">
        <v>1453</v>
      </c>
      <c r="J192" s="20" t="n">
        <v>1767</v>
      </c>
      <c r="N192" s="20" t="n">
        <v>4209</v>
      </c>
    </row>
    <row r="193">
      <c r="A193" s="18" t="inlineStr">
        <is>
          <t>SanAceCompanyReportableSegmentMember · 금융수익</t>
        </is>
      </c>
      <c r="C193" s="20" t="n">
        <v>0</v>
      </c>
      <c r="D193" s="20" t="n">
        <v>0</v>
      </c>
      <c r="E193" s="20" t="n">
        <v>0</v>
      </c>
      <c r="F193" s="20" t="n">
        <v>0</v>
      </c>
      <c r="G193" s="20" t="n">
        <v>0</v>
      </c>
      <c r="H193" s="20" t="n">
        <v>0</v>
      </c>
      <c r="I193" s="20" t="n">
        <v>0</v>
      </c>
      <c r="J193" s="20" t="n">
        <v>0</v>
      </c>
      <c r="K193" s="20" t="n">
        <v>0</v>
      </c>
      <c r="L193" s="20" t="n">
        <v>0</v>
      </c>
      <c r="M193" s="20" t="n">
        <v>0</v>
      </c>
      <c r="N193" s="20" t="n">
        <v>0</v>
      </c>
      <c r="V193" s="20" t="n">
        <v>0</v>
      </c>
      <c r="W193" s="20" t="n">
        <v>0</v>
      </c>
      <c r="X193" s="20" t="n">
        <v>0</v>
      </c>
    </row>
    <row r="194">
      <c r="A194" s="18" t="inlineStr">
        <is>
          <t>ElectronicsCompanyReportableSegmentMember · 금융수익</t>
        </is>
      </c>
      <c r="C194" s="20" t="n">
        <v>0</v>
      </c>
      <c r="D194" s="20" t="n">
        <v>0</v>
      </c>
      <c r="E194" s="20" t="n">
        <v>0</v>
      </c>
      <c r="F194" s="20" t="n">
        <v>0</v>
      </c>
      <c r="G194" s="20" t="n">
        <v>0</v>
      </c>
      <c r="H194" s="20" t="n">
        <v>0</v>
      </c>
      <c r="I194" s="20" t="n">
        <v>0</v>
      </c>
      <c r="J194" s="20" t="n">
        <v>0</v>
      </c>
      <c r="K194" s="20" t="n">
        <v>0</v>
      </c>
      <c r="L194" s="20" t="n">
        <v>0</v>
      </c>
      <c r="M194" s="20" t="n">
        <v>0</v>
      </c>
      <c r="N194" s="20" t="n">
        <v>0</v>
      </c>
      <c r="V194" s="20" t="n">
        <v>0</v>
      </c>
      <c r="W194" s="20" t="n">
        <v>0</v>
      </c>
      <c r="X194" s="20" t="n">
        <v>0</v>
      </c>
    </row>
    <row r="195">
      <c r="A195" s="18" t="inlineStr">
        <is>
          <t>MotionCompanyReportableSegmentMember · 금융수익</t>
        </is>
      </c>
      <c r="C195" s="20" t="n">
        <v>0</v>
      </c>
      <c r="D195" s="20" t="n">
        <v>0</v>
      </c>
      <c r="E195" s="20" t="n">
        <v>0</v>
      </c>
      <c r="F195" s="20" t="n">
        <v>0</v>
      </c>
      <c r="G195" s="20" t="n">
        <v>0</v>
      </c>
      <c r="H195" s="20" t="n">
        <v>0</v>
      </c>
      <c r="I195" s="20" t="n">
        <v>0</v>
      </c>
      <c r="J195" s="20" t="n">
        <v>0</v>
      </c>
      <c r="K195" s="20" t="n">
        <v>0</v>
      </c>
      <c r="L195" s="20" t="n">
        <v>0</v>
      </c>
      <c r="M195" s="20" t="n">
        <v>0</v>
      </c>
      <c r="N195" s="20" t="n">
        <v>0</v>
      </c>
      <c r="V195" s="20" t="n">
        <v>0</v>
      </c>
      <c r="W195" s="20" t="n">
        <v>0</v>
      </c>
      <c r="X195" s="20" t="n">
        <v>0</v>
      </c>
    </row>
    <row r="196">
      <c r="A196" s="18" t="inlineStr">
        <is>
          <t>OtherReportableSegmentsMember · 금융수익</t>
        </is>
      </c>
      <c r="C196" s="20" t="n">
        <v>0</v>
      </c>
      <c r="D196" s="20" t="n">
        <v>0</v>
      </c>
      <c r="E196" s="20" t="n">
        <v>0</v>
      </c>
      <c r="F196" s="20" t="n">
        <v>0</v>
      </c>
      <c r="G196" s="20" t="n">
        <v>0</v>
      </c>
      <c r="H196" s="20" t="n">
        <v>0</v>
      </c>
      <c r="I196" s="20" t="n">
        <v>0</v>
      </c>
      <c r="J196" s="20" t="n">
        <v>0</v>
      </c>
      <c r="K196" s="20" t="n">
        <v>0</v>
      </c>
      <c r="L196" s="20" t="n">
        <v>0</v>
      </c>
      <c r="M196" s="20" t="n">
        <v>0</v>
      </c>
      <c r="N196" s="20" t="n">
        <v>0</v>
      </c>
      <c r="V196" s="20" t="n">
        <v>0</v>
      </c>
      <c r="W196" s="20" t="n">
        <v>0</v>
      </c>
      <c r="X196" s="20" t="n">
        <v>0</v>
      </c>
    </row>
    <row r="197">
      <c r="A197" s="18" t="inlineStr">
        <is>
          <t>합계 · 금융수익</t>
        </is>
      </c>
      <c r="C197" s="20" t="n">
        <v>0</v>
      </c>
      <c r="D197" s="20" t="n">
        <v>0</v>
      </c>
      <c r="E197" s="20" t="n">
        <v>0</v>
      </c>
      <c r="F197" s="20" t="n">
        <v>0</v>
      </c>
      <c r="G197" s="20" t="n">
        <v>0</v>
      </c>
      <c r="H197" s="20" t="n">
        <v>0</v>
      </c>
      <c r="I197" s="20" t="n">
        <v>0</v>
      </c>
      <c r="J197" s="20" t="n">
        <v>0</v>
      </c>
      <c r="K197" s="20" t="n">
        <v>0</v>
      </c>
      <c r="L197" s="20" t="n">
        <v>0</v>
      </c>
      <c r="M197" s="20" t="n">
        <v>0</v>
      </c>
      <c r="N197" s="20" t="n">
        <v>0</v>
      </c>
      <c r="V197" s="20" t="n">
        <v>0</v>
      </c>
      <c r="W197" s="20" t="n">
        <v>0</v>
      </c>
      <c r="X197" s="20" t="n">
        <v>0</v>
      </c>
    </row>
    <row r="198">
      <c r="A198" s="18" t="inlineStr">
        <is>
          <t>조정액 · 금융수익</t>
        </is>
      </c>
      <c r="C198" s="20" t="n">
        <v>0</v>
      </c>
      <c r="D198" s="20" t="n">
        <v>0</v>
      </c>
      <c r="E198" s="20" t="n">
        <v>0</v>
      </c>
      <c r="F198" s="20" t="n">
        <v>0</v>
      </c>
      <c r="G198" s="20" t="n">
        <v>0</v>
      </c>
      <c r="H198" s="20" t="n">
        <v>0</v>
      </c>
      <c r="I198" s="20" t="n">
        <v>0</v>
      </c>
      <c r="J198" s="20" t="n">
        <v>0</v>
      </c>
      <c r="K198" s="20" t="n">
        <v>0</v>
      </c>
      <c r="L198" s="20" t="n">
        <v>0</v>
      </c>
      <c r="M198" s="20" t="n">
        <v>0</v>
      </c>
      <c r="N198" s="20" t="n">
        <v>0</v>
      </c>
      <c r="V198" s="20" t="n">
        <v>0</v>
      </c>
      <c r="W198" s="20" t="n">
        <v>0</v>
      </c>
      <c r="X198" s="20" t="n">
        <v>0</v>
      </c>
    </row>
    <row r="199">
      <c r="A199" s="18" t="inlineStr">
        <is>
          <t>금융수익</t>
        </is>
      </c>
      <c r="C199" s="20" t="n">
        <v>380</v>
      </c>
      <c r="D199" s="20" t="n">
        <v>-332</v>
      </c>
      <c r="E199" s="20" t="n">
        <v>607</v>
      </c>
      <c r="F199" s="20" t="n">
        <v>730</v>
      </c>
      <c r="G199" s="20" t="n">
        <v>-393</v>
      </c>
      <c r="H199" s="20" t="n">
        <v>423</v>
      </c>
      <c r="I199" s="20" t="n">
        <v>-116</v>
      </c>
      <c r="V199" s="20" t="n">
        <v>607</v>
      </c>
      <c r="W199" s="20" t="n">
        <v>-116</v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IF(OR(G199="",C199=""),"",IF(G199*C199&lt;=0,"",IFERROR(G199/C199-1,"")))</f>
        <v/>
      </c>
      <c r="H200" s="15">
        <f>IF(OR(H199="",D199=""),"",IF(H199*D199&lt;=0,"",IFERROR(H199/D199-1,"")))</f>
        <v/>
      </c>
      <c r="I200" s="15">
        <f>IF(OR(I199="",E199=""),"",IF(I199*E199&lt;=0,"",IFERROR(I199/E199-1,"")))</f>
        <v/>
      </c>
      <c r="V200" s="15">
        <f>IF(OR(V199="",U199=""),"",IF(V199*U199&lt;=0,"",IFERROR(V199/U199-1,"")))</f>
        <v/>
      </c>
      <c r="W200" s="15">
        <f>IF(OR(W199="",V199=""),"",IF(W199*V199&lt;=0,"",IFERROR(W199/V199-1,"")))</f>
        <v/>
      </c>
    </row>
    <row r="201">
      <c r="A201" s="18" t="inlineStr">
        <is>
          <t>EntityTotalMember · 금융수익</t>
        </is>
      </c>
      <c r="F201" s="20" t="n">
        <v>730</v>
      </c>
      <c r="J201" s="20" t="n">
        <v>231</v>
      </c>
      <c r="N201" s="20" t="n">
        <v>281</v>
      </c>
    </row>
    <row r="202">
      <c r="A202" s="18" t="inlineStr">
        <is>
          <t>SanAceCompanyReportableSegmentMember · 금융비용</t>
        </is>
      </c>
      <c r="C202" s="20" t="n">
        <v>0</v>
      </c>
      <c r="D202" s="20" t="n">
        <v>0</v>
      </c>
      <c r="E202" s="20" t="n">
        <v>0</v>
      </c>
      <c r="F202" s="20" t="n">
        <v>0</v>
      </c>
      <c r="G202" s="20" t="n">
        <v>0</v>
      </c>
      <c r="H202" s="20" t="n">
        <v>0</v>
      </c>
      <c r="I202" s="20" t="n">
        <v>0</v>
      </c>
      <c r="J202" s="20" t="n">
        <v>0</v>
      </c>
      <c r="K202" s="20" t="n">
        <v>0</v>
      </c>
      <c r="L202" s="20" t="n">
        <v>0</v>
      </c>
      <c r="M202" s="20" t="n">
        <v>0</v>
      </c>
      <c r="N202" s="20" t="n">
        <v>0</v>
      </c>
      <c r="V202" s="20" t="n">
        <v>0</v>
      </c>
      <c r="W202" s="20" t="n">
        <v>0</v>
      </c>
      <c r="X202" s="20" t="n">
        <v>0</v>
      </c>
    </row>
    <row r="203">
      <c r="A203" s="18" t="inlineStr">
        <is>
          <t>ElectronicsCompanyReportableSegmentMember · 금융비용</t>
        </is>
      </c>
      <c r="C203" s="20" t="n">
        <v>0</v>
      </c>
      <c r="D203" s="20" t="n">
        <v>0</v>
      </c>
      <c r="E203" s="20" t="n">
        <v>0</v>
      </c>
      <c r="F203" s="20" t="n">
        <v>0</v>
      </c>
      <c r="G203" s="20" t="n">
        <v>0</v>
      </c>
      <c r="H203" s="20" t="n">
        <v>0</v>
      </c>
      <c r="I203" s="20" t="n">
        <v>0</v>
      </c>
      <c r="J203" s="20" t="n">
        <v>0</v>
      </c>
      <c r="K203" s="20" t="n">
        <v>0</v>
      </c>
      <c r="L203" s="20" t="n">
        <v>0</v>
      </c>
      <c r="M203" s="20" t="n">
        <v>0</v>
      </c>
      <c r="N203" s="20" t="n">
        <v>0</v>
      </c>
      <c r="V203" s="20" t="n">
        <v>0</v>
      </c>
      <c r="W203" s="20" t="n">
        <v>0</v>
      </c>
      <c r="X203" s="20" t="n">
        <v>0</v>
      </c>
    </row>
    <row r="204">
      <c r="A204" s="18" t="inlineStr">
        <is>
          <t>MotionCompanyReportableSegmentMember · 금융비용</t>
        </is>
      </c>
      <c r="C204" s="20" t="n">
        <v>0</v>
      </c>
      <c r="D204" s="20" t="n">
        <v>0</v>
      </c>
      <c r="E204" s="20" t="n">
        <v>0</v>
      </c>
      <c r="F204" s="20" t="n">
        <v>0</v>
      </c>
      <c r="G204" s="20" t="n">
        <v>0</v>
      </c>
      <c r="H204" s="20" t="n">
        <v>0</v>
      </c>
      <c r="I204" s="20" t="n">
        <v>0</v>
      </c>
      <c r="J204" s="20" t="n">
        <v>0</v>
      </c>
      <c r="K204" s="20" t="n">
        <v>0</v>
      </c>
      <c r="L204" s="20" t="n">
        <v>0</v>
      </c>
      <c r="M204" s="20" t="n">
        <v>0</v>
      </c>
      <c r="N204" s="20" t="n">
        <v>0</v>
      </c>
      <c r="V204" s="20" t="n">
        <v>0</v>
      </c>
      <c r="W204" s="20" t="n">
        <v>0</v>
      </c>
      <c r="X204" s="20" t="n">
        <v>0</v>
      </c>
    </row>
    <row r="205">
      <c r="A205" s="18" t="inlineStr">
        <is>
          <t>OtherReportableSegmentsMember · 금융비용</t>
        </is>
      </c>
      <c r="C205" s="20" t="n">
        <v>0</v>
      </c>
      <c r="D205" s="20" t="n">
        <v>0</v>
      </c>
      <c r="E205" s="20" t="n">
        <v>0</v>
      </c>
      <c r="F205" s="20" t="n">
        <v>0</v>
      </c>
      <c r="G205" s="20" t="n">
        <v>0</v>
      </c>
      <c r="H205" s="20" t="n">
        <v>0</v>
      </c>
      <c r="I205" s="20" t="n">
        <v>0</v>
      </c>
      <c r="J205" s="20" t="n">
        <v>0</v>
      </c>
      <c r="K205" s="20" t="n">
        <v>0</v>
      </c>
      <c r="L205" s="20" t="n">
        <v>0</v>
      </c>
      <c r="M205" s="20" t="n">
        <v>0</v>
      </c>
      <c r="N205" s="20" t="n">
        <v>0</v>
      </c>
      <c r="V205" s="20" t="n">
        <v>0</v>
      </c>
      <c r="W205" s="20" t="n">
        <v>0</v>
      </c>
      <c r="X205" s="20" t="n">
        <v>0</v>
      </c>
    </row>
    <row r="206">
      <c r="A206" s="18" t="inlineStr">
        <is>
          <t>합계 · 금융비용</t>
        </is>
      </c>
      <c r="C206" s="20" t="n">
        <v>0</v>
      </c>
      <c r="D206" s="20" t="n">
        <v>0</v>
      </c>
      <c r="E206" s="20" t="n">
        <v>0</v>
      </c>
      <c r="F206" s="20" t="n">
        <v>0</v>
      </c>
      <c r="G206" s="20" t="n">
        <v>0</v>
      </c>
      <c r="H206" s="20" t="n">
        <v>0</v>
      </c>
      <c r="I206" s="20" t="n">
        <v>0</v>
      </c>
      <c r="J206" s="20" t="n">
        <v>0</v>
      </c>
      <c r="K206" s="20" t="n">
        <v>0</v>
      </c>
      <c r="L206" s="20" t="n">
        <v>0</v>
      </c>
      <c r="M206" s="20" t="n">
        <v>0</v>
      </c>
      <c r="N206" s="20" t="n">
        <v>0</v>
      </c>
      <c r="V206" s="20" t="n">
        <v>0</v>
      </c>
      <c r="W206" s="20" t="n">
        <v>0</v>
      </c>
      <c r="X206" s="20" t="n">
        <v>0</v>
      </c>
    </row>
    <row r="207">
      <c r="A207" s="18" t="inlineStr">
        <is>
          <t>조정액 · 금융비용</t>
        </is>
      </c>
      <c r="C207" s="20" t="n">
        <v>0</v>
      </c>
      <c r="D207" s="20" t="n">
        <v>0</v>
      </c>
      <c r="E207" s="20" t="n">
        <v>0</v>
      </c>
      <c r="F207" s="20" t="n">
        <v>0</v>
      </c>
      <c r="G207" s="20" t="n">
        <v>0</v>
      </c>
      <c r="H207" s="20" t="n">
        <v>0</v>
      </c>
      <c r="I207" s="20" t="n">
        <v>0</v>
      </c>
      <c r="J207" s="20" t="n">
        <v>0</v>
      </c>
      <c r="K207" s="20" t="n">
        <v>0</v>
      </c>
      <c r="L207" s="20" t="n">
        <v>0</v>
      </c>
      <c r="M207" s="20" t="n">
        <v>0</v>
      </c>
      <c r="N207" s="20" t="n">
        <v>0</v>
      </c>
      <c r="V207" s="20" t="n">
        <v>0</v>
      </c>
      <c r="W207" s="20" t="n">
        <v>0</v>
      </c>
      <c r="X207" s="20" t="n">
        <v>0</v>
      </c>
    </row>
    <row r="208">
      <c r="A208" s="18" t="inlineStr">
        <is>
          <t>금융비용</t>
        </is>
      </c>
      <c r="C208" s="20" t="n">
        <v>39</v>
      </c>
      <c r="D208" s="20" t="n">
        <v>37</v>
      </c>
      <c r="E208" s="20" t="n">
        <v>84</v>
      </c>
      <c r="F208" s="20" t="n">
        <v>58</v>
      </c>
      <c r="G208" s="20" t="n">
        <v>750</v>
      </c>
      <c r="H208" s="20" t="n">
        <v>-636</v>
      </c>
      <c r="I208" s="20" t="n">
        <v>405</v>
      </c>
      <c r="V208" s="20" t="n">
        <v>84</v>
      </c>
      <c r="W208" s="20" t="n">
        <v>405</v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IF(OR(G208="",C208=""),"",IF(G208*C208&lt;=0,"",IFERROR(G208/C208-1,"")))</f>
        <v/>
      </c>
      <c r="H209" s="15">
        <f>IF(OR(H208="",D208=""),"",IF(H208*D208&lt;=0,"",IFERROR(H208/D208-1,"")))</f>
        <v/>
      </c>
      <c r="I209" s="15">
        <f>IF(OR(I208="",E208=""),"",IF(I208*E208&lt;=0,"",IFERROR(I208/E208-1,"")))</f>
        <v/>
      </c>
      <c r="V209" s="15">
        <f>IF(OR(V208="",U208=""),"",IF(V208*U208&lt;=0,"",IFERROR(V208/U208-1,"")))</f>
        <v/>
      </c>
      <c r="W209" s="15">
        <f>IF(OR(W208="",V208=""),"",IF(W208*V208&lt;=0,"",IFERROR(W208/V208-1,"")))</f>
        <v/>
      </c>
    </row>
    <row r="210">
      <c r="A210" s="18" t="inlineStr">
        <is>
          <t>EntityTotalMember · 금융비용</t>
        </is>
      </c>
      <c r="F210" s="20" t="n">
        <v>58</v>
      </c>
      <c r="J210" s="20" t="n">
        <v>493</v>
      </c>
      <c r="N210" s="20" t="n">
        <v>60</v>
      </c>
    </row>
    <row r="211">
      <c r="A211" s="18" t="inlineStr">
        <is>
          <t>SanAceCompanyReportableSegmentMember · 법인세비용차감전 중간이익</t>
        </is>
      </c>
      <c r="C211" s="20" t="n">
        <v>0</v>
      </c>
      <c r="D211" s="20" t="n">
        <v>0</v>
      </c>
      <c r="E211" s="20" t="n">
        <v>0</v>
      </c>
      <c r="F211" s="20" t="n">
        <v>0</v>
      </c>
      <c r="G211" s="20" t="n">
        <v>0</v>
      </c>
      <c r="H211" s="20" t="n">
        <v>0</v>
      </c>
      <c r="I211" s="20" t="n">
        <v>0</v>
      </c>
      <c r="J211" s="20" t="n">
        <v>0</v>
      </c>
      <c r="K211" s="20" t="n">
        <v>0</v>
      </c>
      <c r="L211" s="20" t="n">
        <v>0</v>
      </c>
      <c r="M211" s="20" t="n">
        <v>0</v>
      </c>
      <c r="N211" s="20" t="n">
        <v>0</v>
      </c>
      <c r="V211" s="20" t="n">
        <v>0</v>
      </c>
      <c r="W211" s="20" t="n">
        <v>0</v>
      </c>
      <c r="X211" s="20" t="n">
        <v>0</v>
      </c>
    </row>
    <row r="212">
      <c r="A212" s="43" t="inlineStr">
        <is>
          <t>OPM</t>
        </is>
      </c>
      <c r="B212" s="3" t="inlineStr">
        <is>
          <t>영업이익 ÷ 매출</t>
        </is>
      </c>
      <c r="C212" s="15">
        <f>IF(OR(C211="",C159=""),"",IF(C159&lt;=0,"",IFERROR(C211/C159,"")))</f>
        <v/>
      </c>
      <c r="D212" s="15">
        <f>IF(OR(D211="",D159=""),"",IF(D159&lt;=0,"",IFERROR(D211/D159,"")))</f>
        <v/>
      </c>
      <c r="E212" s="15">
        <f>IF(OR(E211="",E159=""),"",IF(E159&lt;=0,"",IFERROR(E211/E159,"")))</f>
        <v/>
      </c>
      <c r="F212" s="15">
        <f>IF(OR(F211="",F159=""),"",IF(F159&lt;=0,"",IFERROR(F211/F159,"")))</f>
        <v/>
      </c>
      <c r="G212" s="15">
        <f>IF(OR(G211="",G159=""),"",IF(G159&lt;=0,"",IFERROR(G211/G159,"")))</f>
        <v/>
      </c>
      <c r="H212" s="15">
        <f>IF(OR(H211="",H159=""),"",IF(H159&lt;=0,"",IFERROR(H211/H159,"")))</f>
        <v/>
      </c>
      <c r="I212" s="15">
        <f>IF(OR(I211="",I159=""),"",IF(I159&lt;=0,"",IFERROR(I211/I159,"")))</f>
        <v/>
      </c>
      <c r="J212" s="15">
        <f>IF(OR(J211="",J159=""),"",IF(J159&lt;=0,"",IFERROR(J211/J159,"")))</f>
        <v/>
      </c>
      <c r="K212" s="15">
        <f>IF(OR(K211="",K159=""),"",IF(K159&lt;=0,"",IFERROR(K211/K159,"")))</f>
        <v/>
      </c>
      <c r="L212" s="15">
        <f>IF(OR(L211="",L159=""),"",IF(L159&lt;=0,"",IFERROR(L211/L159,"")))</f>
        <v/>
      </c>
      <c r="M212" s="15">
        <f>IF(OR(M211="",M159=""),"",IF(M159&lt;=0,"",IFERROR(M211/M159,"")))</f>
        <v/>
      </c>
      <c r="N212" s="15">
        <f>IF(OR(N211="",N159=""),"",IF(N159&lt;=0,"",IFERROR(N211/N159,"")))</f>
        <v/>
      </c>
      <c r="V212" s="15">
        <f>IF(OR(V211="",V159=""),"",IF(V159&lt;=0,"",IFERROR(V211/V159,"")))</f>
        <v/>
      </c>
      <c r="W212" s="15">
        <f>IF(OR(W211="",W159=""),"",IF(W159&lt;=0,"",IFERROR(W211/W159,"")))</f>
        <v/>
      </c>
      <c r="X212" s="15">
        <f>IF(OR(X211="",X159=""),"",IF(X159&lt;=0,"",IFERROR(X211/X159,"")))</f>
        <v/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IF(OR(G211="",C211=""),"",IF(C211&lt;=0,"",IFERROR(G211/C211-1,"")))</f>
        <v/>
      </c>
      <c r="H213" s="15">
        <f>IF(OR(H211="",D211=""),"",IF(D211&lt;=0,"",IFERROR(H211/D211-1,"")))</f>
        <v/>
      </c>
      <c r="I213" s="15">
        <f>IF(OR(I211="",E211=""),"",IF(E211&lt;=0,"",IFERROR(I211/E211-1,"")))</f>
        <v/>
      </c>
      <c r="J213" s="15">
        <f>IF(OR(J211="",F211=""),"",IF(F211&lt;=0,"",IFERROR(J211/F211-1,"")))</f>
        <v/>
      </c>
      <c r="K213" s="15">
        <f>IF(OR(K211="",G211=""),"",IF(G211&lt;=0,"",IFERROR(K211/G211-1,"")))</f>
        <v/>
      </c>
      <c r="L213" s="15">
        <f>IF(OR(L211="",H211=""),"",IF(H211&lt;=0,"",IFERROR(L211/H211-1,"")))</f>
        <v/>
      </c>
      <c r="M213" s="15">
        <f>IF(OR(M211="",I211=""),"",IF(I211&lt;=0,"",IFERROR(M211/I211-1,"")))</f>
        <v/>
      </c>
      <c r="N213" s="15">
        <f>IF(OR(N211="",J211=""),"",IF(J211&lt;=0,"",IFERROR(N211/J211-1,"")))</f>
        <v/>
      </c>
      <c r="V213" s="15">
        <f>IF(OR(V211="",U211=""),"",IF(U211&lt;=0,"",IFERROR(V211/U211-1,"")))</f>
        <v/>
      </c>
      <c r="W213" s="15">
        <f>IF(OR(W211="",V211=""),"",IF(V211&lt;=0,"",IFERROR(W211/V211-1,"")))</f>
        <v/>
      </c>
      <c r="X213" s="15">
        <f>IF(OR(X211="",W211=""),"",IF(W211&lt;=0,"",IFERROR(X211/W211-1,"")))</f>
        <v/>
      </c>
    </row>
    <row r="214">
      <c r="A214" s="18" t="inlineStr">
        <is>
          <t>ElectronicsCompanyReportableSegmentMember · 법인세비용차감전 중간이익</t>
        </is>
      </c>
      <c r="C214" s="20" t="n">
        <v>0</v>
      </c>
      <c r="D214" s="20" t="n">
        <v>0</v>
      </c>
      <c r="E214" s="20" t="n">
        <v>0</v>
      </c>
      <c r="F214" s="20" t="n">
        <v>0</v>
      </c>
      <c r="G214" s="20" t="n">
        <v>0</v>
      </c>
      <c r="H214" s="20" t="n">
        <v>0</v>
      </c>
      <c r="I214" s="20" t="n">
        <v>0</v>
      </c>
      <c r="J214" s="20" t="n">
        <v>0</v>
      </c>
      <c r="K214" s="20" t="n">
        <v>0</v>
      </c>
      <c r="L214" s="20" t="n">
        <v>0</v>
      </c>
      <c r="M214" s="20" t="n">
        <v>0</v>
      </c>
      <c r="N214" s="20" t="n">
        <v>0</v>
      </c>
      <c r="V214" s="20" t="n">
        <v>0</v>
      </c>
      <c r="W214" s="20" t="n">
        <v>0</v>
      </c>
      <c r="X214" s="20" t="n">
        <v>0</v>
      </c>
    </row>
    <row r="215">
      <c r="A215" s="43" t="inlineStr">
        <is>
          <t>OPM</t>
        </is>
      </c>
      <c r="B215" s="3" t="inlineStr">
        <is>
          <t>영업이익 ÷ 매출</t>
        </is>
      </c>
      <c r="C215" s="15">
        <f>IF(OR(C214="",C161=""),"",IF(C161&lt;=0,"",IFERROR(C214/C161,"")))</f>
        <v/>
      </c>
      <c r="D215" s="15">
        <f>IF(OR(D214="",D161=""),"",IF(D161&lt;=0,"",IFERROR(D214/D161,"")))</f>
        <v/>
      </c>
      <c r="E215" s="15">
        <f>IF(OR(E214="",E161=""),"",IF(E161&lt;=0,"",IFERROR(E214/E161,"")))</f>
        <v/>
      </c>
      <c r="F215" s="15">
        <f>IF(OR(F214="",F161=""),"",IF(F161&lt;=0,"",IFERROR(F214/F161,"")))</f>
        <v/>
      </c>
      <c r="G215" s="15">
        <f>IF(OR(G214="",G161=""),"",IF(G161&lt;=0,"",IFERROR(G214/G161,"")))</f>
        <v/>
      </c>
      <c r="H215" s="15">
        <f>IF(OR(H214="",H161=""),"",IF(H161&lt;=0,"",IFERROR(H214/H161,"")))</f>
        <v/>
      </c>
      <c r="I215" s="15">
        <f>IF(OR(I214="",I161=""),"",IF(I161&lt;=0,"",IFERROR(I214/I161,"")))</f>
        <v/>
      </c>
      <c r="J215" s="15">
        <f>IF(OR(J214="",J161=""),"",IF(J161&lt;=0,"",IFERROR(J214/J161,"")))</f>
        <v/>
      </c>
      <c r="K215" s="15">
        <f>IF(OR(K214="",K161=""),"",IF(K161&lt;=0,"",IFERROR(K214/K161,"")))</f>
        <v/>
      </c>
      <c r="L215" s="15">
        <f>IF(OR(L214="",L161=""),"",IF(L161&lt;=0,"",IFERROR(L214/L161,"")))</f>
        <v/>
      </c>
      <c r="M215" s="15">
        <f>IF(OR(M214="",M161=""),"",IF(M161&lt;=0,"",IFERROR(M214/M161,"")))</f>
        <v/>
      </c>
      <c r="N215" s="15">
        <f>IF(OR(N214="",N161=""),"",IF(N161&lt;=0,"",IFERROR(N214/N161,"")))</f>
        <v/>
      </c>
      <c r="V215" s="15">
        <f>IF(OR(V214="",V161=""),"",IF(V161&lt;=0,"",IFERROR(V214/V161,"")))</f>
        <v/>
      </c>
      <c r="W215" s="15">
        <f>IF(OR(W214="",W161=""),"",IF(W161&lt;=0,"",IFERROR(W214/W161,"")))</f>
        <v/>
      </c>
      <c r="X215" s="15">
        <f>IF(OR(X214="",X161=""),"",IF(X161&lt;=0,"",IFERROR(X214/X161,"")))</f>
        <v/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G216" s="15">
        <f>IF(OR(G214="",C214=""),"",IF(C214&lt;=0,"",IFERROR(G214/C214-1,"")))</f>
        <v/>
      </c>
      <c r="H216" s="15">
        <f>IF(OR(H214="",D214=""),"",IF(D214&lt;=0,"",IFERROR(H214/D214-1,"")))</f>
        <v/>
      </c>
      <c r="I216" s="15">
        <f>IF(OR(I214="",E214=""),"",IF(E214&lt;=0,"",IFERROR(I214/E214-1,"")))</f>
        <v/>
      </c>
      <c r="J216" s="15">
        <f>IF(OR(J214="",F214=""),"",IF(F214&lt;=0,"",IFERROR(J214/F214-1,"")))</f>
        <v/>
      </c>
      <c r="K216" s="15">
        <f>IF(OR(K214="",G214=""),"",IF(G214&lt;=0,"",IFERROR(K214/G214-1,"")))</f>
        <v/>
      </c>
      <c r="L216" s="15">
        <f>IF(OR(L214="",H214=""),"",IF(H214&lt;=0,"",IFERROR(L214/H214-1,"")))</f>
        <v/>
      </c>
      <c r="M216" s="15">
        <f>IF(OR(M214="",I214=""),"",IF(I214&lt;=0,"",IFERROR(M214/I214-1,"")))</f>
        <v/>
      </c>
      <c r="N216" s="15">
        <f>IF(OR(N214="",J214=""),"",IF(J214&lt;=0,"",IFERROR(N214/J214-1,"")))</f>
        <v/>
      </c>
      <c r="V216" s="15">
        <f>IF(OR(V214="",U214=""),"",IF(U214&lt;=0,"",IFERROR(V214/U214-1,"")))</f>
        <v/>
      </c>
      <c r="W216" s="15">
        <f>IF(OR(W214="",V214=""),"",IF(V214&lt;=0,"",IFERROR(W214/V214-1,"")))</f>
        <v/>
      </c>
      <c r="X216" s="15">
        <f>IF(OR(X214="",W214=""),"",IF(W214&lt;=0,"",IFERROR(X214/W214-1,"")))</f>
        <v/>
      </c>
    </row>
    <row r="217">
      <c r="A217" s="18" t="inlineStr">
        <is>
          <t>MotionCompanyReportableSegmentMember · 법인세비용차감전 중간이익</t>
        </is>
      </c>
      <c r="C217" s="20" t="n">
        <v>0</v>
      </c>
      <c r="D217" s="20" t="n">
        <v>0</v>
      </c>
      <c r="E217" s="20" t="n">
        <v>0</v>
      </c>
      <c r="F217" s="20" t="n">
        <v>0</v>
      </c>
      <c r="G217" s="20" t="n">
        <v>0</v>
      </c>
      <c r="H217" s="20" t="n">
        <v>0</v>
      </c>
      <c r="I217" s="20" t="n">
        <v>0</v>
      </c>
      <c r="J217" s="20" t="n">
        <v>0</v>
      </c>
      <c r="K217" s="20" t="n">
        <v>0</v>
      </c>
      <c r="L217" s="20" t="n">
        <v>0</v>
      </c>
      <c r="M217" s="20" t="n">
        <v>0</v>
      </c>
      <c r="N217" s="20" t="n">
        <v>0</v>
      </c>
      <c r="V217" s="20" t="n">
        <v>0</v>
      </c>
      <c r="W217" s="20" t="n">
        <v>0</v>
      </c>
      <c r="X217" s="20" t="n">
        <v>0</v>
      </c>
    </row>
    <row r="218">
      <c r="A218" s="43" t="inlineStr">
        <is>
          <t>OPM</t>
        </is>
      </c>
      <c r="B218" s="3" t="inlineStr">
        <is>
          <t>영업이익 ÷ 매출</t>
        </is>
      </c>
      <c r="C218" s="15">
        <f>IF(OR(C217="",C163=""),"",IF(C163&lt;=0,"",IFERROR(C217/C163,"")))</f>
        <v/>
      </c>
      <c r="D218" s="15">
        <f>IF(OR(D217="",D163=""),"",IF(D163&lt;=0,"",IFERROR(D217/D163,"")))</f>
        <v/>
      </c>
      <c r="E218" s="15">
        <f>IF(OR(E217="",E163=""),"",IF(E163&lt;=0,"",IFERROR(E217/E163,"")))</f>
        <v/>
      </c>
      <c r="F218" s="15">
        <f>IF(OR(F217="",F163=""),"",IF(F163&lt;=0,"",IFERROR(F217/F163,"")))</f>
        <v/>
      </c>
      <c r="G218" s="15">
        <f>IF(OR(G217="",G163=""),"",IF(G163&lt;=0,"",IFERROR(G217/G163,"")))</f>
        <v/>
      </c>
      <c r="H218" s="15">
        <f>IF(OR(H217="",H163=""),"",IF(H163&lt;=0,"",IFERROR(H217/H163,"")))</f>
        <v/>
      </c>
      <c r="I218" s="15">
        <f>IF(OR(I217="",I163=""),"",IF(I163&lt;=0,"",IFERROR(I217/I163,"")))</f>
        <v/>
      </c>
      <c r="J218" s="15">
        <f>IF(OR(J217="",J163=""),"",IF(J163&lt;=0,"",IFERROR(J217/J163,"")))</f>
        <v/>
      </c>
      <c r="K218" s="15">
        <f>IF(OR(K217="",K163=""),"",IF(K163&lt;=0,"",IFERROR(K217/K163,"")))</f>
        <v/>
      </c>
      <c r="L218" s="15">
        <f>IF(OR(L217="",L163=""),"",IF(L163&lt;=0,"",IFERROR(L217/L163,"")))</f>
        <v/>
      </c>
      <c r="M218" s="15">
        <f>IF(OR(M217="",M163=""),"",IF(M163&lt;=0,"",IFERROR(M217/M163,"")))</f>
        <v/>
      </c>
      <c r="N218" s="15">
        <f>IF(OR(N217="",N163=""),"",IF(N163&lt;=0,"",IFERROR(N217/N163,"")))</f>
        <v/>
      </c>
      <c r="V218" s="15">
        <f>IF(OR(V217="",V163=""),"",IF(V163&lt;=0,"",IFERROR(V217/V163,"")))</f>
        <v/>
      </c>
      <c r="W218" s="15">
        <f>IF(OR(W217="",W163=""),"",IF(W163&lt;=0,"",IFERROR(W217/W163,"")))</f>
        <v/>
      </c>
      <c r="X218" s="15">
        <f>IF(OR(X217="",X163=""),"",IF(X163&lt;=0,"",IFERROR(X217/X163,"")))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IF(OR(G217="",C217=""),"",IF(C217&lt;=0,"",IFERROR(G217/C217-1,"")))</f>
        <v/>
      </c>
      <c r="H219" s="15">
        <f>IF(OR(H217="",D217=""),"",IF(D217&lt;=0,"",IFERROR(H217/D217-1,"")))</f>
        <v/>
      </c>
      <c r="I219" s="15">
        <f>IF(OR(I217="",E217=""),"",IF(E217&lt;=0,"",IFERROR(I217/E217-1,"")))</f>
        <v/>
      </c>
      <c r="J219" s="15">
        <f>IF(OR(J217="",F217=""),"",IF(F217&lt;=0,"",IFERROR(J217/F217-1,"")))</f>
        <v/>
      </c>
      <c r="K219" s="15">
        <f>IF(OR(K217="",G217=""),"",IF(G217&lt;=0,"",IFERROR(K217/G217-1,"")))</f>
        <v/>
      </c>
      <c r="L219" s="15">
        <f>IF(OR(L217="",H217=""),"",IF(H217&lt;=0,"",IFERROR(L217/H217-1,"")))</f>
        <v/>
      </c>
      <c r="M219" s="15">
        <f>IF(OR(M217="",I217=""),"",IF(I217&lt;=0,"",IFERROR(M217/I217-1,"")))</f>
        <v/>
      </c>
      <c r="N219" s="15">
        <f>IF(OR(N217="",J217=""),"",IF(J217&lt;=0,"",IFERROR(N217/J217-1,"")))</f>
        <v/>
      </c>
      <c r="V219" s="15">
        <f>IF(OR(V217="",U217=""),"",IF(U217&lt;=0,"",IFERROR(V217/U217-1,"")))</f>
        <v/>
      </c>
      <c r="W219" s="15">
        <f>IF(OR(W217="",V217=""),"",IF(V217&lt;=0,"",IFERROR(W217/V217-1,"")))</f>
        <v/>
      </c>
      <c r="X219" s="15">
        <f>IF(OR(X217="",W217=""),"",IF(W217&lt;=0,"",IFERROR(X217/W217-1,"")))</f>
        <v/>
      </c>
    </row>
    <row r="220">
      <c r="A220" s="18" t="inlineStr">
        <is>
          <t>OtherReportableSegmentsMember · 법인세비용차감전 중간이익</t>
        </is>
      </c>
      <c r="C220" s="20" t="n">
        <v>0</v>
      </c>
      <c r="D220" s="20" t="n">
        <v>0</v>
      </c>
      <c r="E220" s="20" t="n">
        <v>0</v>
      </c>
      <c r="F220" s="20" t="n">
        <v>0</v>
      </c>
      <c r="G220" s="20" t="n">
        <v>0</v>
      </c>
      <c r="H220" s="20" t="n">
        <v>0</v>
      </c>
      <c r="I220" s="20" t="n">
        <v>0</v>
      </c>
      <c r="J220" s="20" t="n">
        <v>0</v>
      </c>
      <c r="K220" s="20" t="n">
        <v>0</v>
      </c>
      <c r="L220" s="20" t="n">
        <v>0</v>
      </c>
      <c r="M220" s="20" t="n">
        <v>0</v>
      </c>
      <c r="N220" s="20" t="n">
        <v>0</v>
      </c>
      <c r="V220" s="20" t="n">
        <v>0</v>
      </c>
      <c r="W220" s="20" t="n">
        <v>0</v>
      </c>
      <c r="X220" s="20" t="n">
        <v>0</v>
      </c>
    </row>
    <row r="221">
      <c r="A221" s="43" t="inlineStr">
        <is>
          <t>OPM</t>
        </is>
      </c>
      <c r="B221" s="3" t="inlineStr">
        <is>
          <t>영업이익 ÷ 매출</t>
        </is>
      </c>
      <c r="C221" s="15">
        <f>IF(OR(C220="",C165=""),"",IF(C165&lt;=0,"",IFERROR(C220/C165,"")))</f>
        <v/>
      </c>
      <c r="D221" s="15">
        <f>IF(OR(D220="",D165=""),"",IF(D165&lt;=0,"",IFERROR(D220/D165,"")))</f>
        <v/>
      </c>
      <c r="E221" s="15">
        <f>IF(OR(E220="",E165=""),"",IF(E165&lt;=0,"",IFERROR(E220/E165,"")))</f>
        <v/>
      </c>
      <c r="F221" s="15">
        <f>IF(OR(F220="",F165=""),"",IF(F165&lt;=0,"",IFERROR(F220/F165,"")))</f>
        <v/>
      </c>
      <c r="G221" s="15">
        <f>IF(OR(G220="",G165=""),"",IF(G165&lt;=0,"",IFERROR(G220/G165,"")))</f>
        <v/>
      </c>
      <c r="H221" s="15">
        <f>IF(OR(H220="",H165=""),"",IF(H165&lt;=0,"",IFERROR(H220/H165,"")))</f>
        <v/>
      </c>
      <c r="I221" s="15">
        <f>IF(OR(I220="",I165=""),"",IF(I165&lt;=0,"",IFERROR(I220/I165,"")))</f>
        <v/>
      </c>
      <c r="J221" s="15">
        <f>IF(OR(J220="",J165=""),"",IF(J165&lt;=0,"",IFERROR(J220/J165,"")))</f>
        <v/>
      </c>
      <c r="K221" s="15">
        <f>IF(OR(K220="",K165=""),"",IF(K165&lt;=0,"",IFERROR(K220/K165,"")))</f>
        <v/>
      </c>
      <c r="L221" s="15">
        <f>IF(OR(L220="",L165=""),"",IF(L165&lt;=0,"",IFERROR(L220/L165,"")))</f>
        <v/>
      </c>
      <c r="M221" s="15">
        <f>IF(OR(M220="",M165=""),"",IF(M165&lt;=0,"",IFERROR(M220/M165,"")))</f>
        <v/>
      </c>
      <c r="N221" s="15">
        <f>IF(OR(N220="",N165=""),"",IF(N165&lt;=0,"",IFERROR(N220/N165,"")))</f>
        <v/>
      </c>
      <c r="V221" s="15">
        <f>IF(OR(V220="",V165=""),"",IF(V165&lt;=0,"",IFERROR(V220/V165,"")))</f>
        <v/>
      </c>
      <c r="W221" s="15">
        <f>IF(OR(W220="",W165=""),"",IF(W165&lt;=0,"",IFERROR(W220/W165,"")))</f>
        <v/>
      </c>
      <c r="X221" s="15">
        <f>IF(OR(X220="",X165=""),"",IF(X165&lt;=0,"",IFERROR(X220/X165,"")))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IF(OR(G220="",C220=""),"",IF(C220&lt;=0,"",IFERROR(G220/C220-1,"")))</f>
        <v/>
      </c>
      <c r="H222" s="15">
        <f>IF(OR(H220="",D220=""),"",IF(D220&lt;=0,"",IFERROR(H220/D220-1,"")))</f>
        <v/>
      </c>
      <c r="I222" s="15">
        <f>IF(OR(I220="",E220=""),"",IF(E220&lt;=0,"",IFERROR(I220/E220-1,"")))</f>
        <v/>
      </c>
      <c r="J222" s="15">
        <f>IF(OR(J220="",F220=""),"",IF(F220&lt;=0,"",IFERROR(J220/F220-1,"")))</f>
        <v/>
      </c>
      <c r="K222" s="15">
        <f>IF(OR(K220="",G220=""),"",IF(G220&lt;=0,"",IFERROR(K220/G220-1,"")))</f>
        <v/>
      </c>
      <c r="L222" s="15">
        <f>IF(OR(L220="",H220=""),"",IF(H220&lt;=0,"",IFERROR(L220/H220-1,"")))</f>
        <v/>
      </c>
      <c r="M222" s="15">
        <f>IF(OR(M220="",I220=""),"",IF(I220&lt;=0,"",IFERROR(M220/I220-1,"")))</f>
        <v/>
      </c>
      <c r="N222" s="15">
        <f>IF(OR(N220="",J220=""),"",IF(J220&lt;=0,"",IFERROR(N220/J220-1,"")))</f>
        <v/>
      </c>
      <c r="V222" s="15">
        <f>IF(OR(V220="",U220=""),"",IF(U220&lt;=0,"",IFERROR(V220/U220-1,"")))</f>
        <v/>
      </c>
      <c r="W222" s="15">
        <f>IF(OR(W220="",V220=""),"",IF(V220&lt;=0,"",IFERROR(W220/V220-1,"")))</f>
        <v/>
      </c>
      <c r="X222" s="15">
        <f>IF(OR(X220="",W220=""),"",IF(W220&lt;=0,"",IFERROR(X220/W220-1,"")))</f>
        <v/>
      </c>
    </row>
    <row r="223">
      <c r="A223" s="18" t="inlineStr">
        <is>
          <t>합계 · 법인세비용차감전 중간이익</t>
        </is>
      </c>
      <c r="C223" s="20" t="n">
        <v>0</v>
      </c>
      <c r="D223" s="20" t="n">
        <v>0</v>
      </c>
      <c r="E223" s="20" t="n">
        <v>0</v>
      </c>
      <c r="F223" s="20" t="n">
        <v>0</v>
      </c>
      <c r="G223" s="20" t="n">
        <v>0</v>
      </c>
      <c r="H223" s="20" t="n">
        <v>0</v>
      </c>
      <c r="I223" s="20" t="n">
        <v>0</v>
      </c>
      <c r="J223" s="20" t="n">
        <v>0</v>
      </c>
      <c r="K223" s="20" t="n">
        <v>0</v>
      </c>
      <c r="L223" s="20" t="n">
        <v>0</v>
      </c>
      <c r="M223" s="20" t="n">
        <v>0</v>
      </c>
      <c r="N223" s="20" t="n">
        <v>0</v>
      </c>
      <c r="V223" s="20" t="n">
        <v>0</v>
      </c>
      <c r="W223" s="20" t="n">
        <v>0</v>
      </c>
      <c r="X223" s="20" t="n">
        <v>0</v>
      </c>
    </row>
    <row r="224">
      <c r="A224" s="43" t="inlineStr">
        <is>
          <t>OPM</t>
        </is>
      </c>
      <c r="B224" s="3" t="inlineStr">
        <is>
          <t>영업이익 ÷ 매출</t>
        </is>
      </c>
      <c r="C224" s="15">
        <f>IF(OR(C223="",C167=""),"",IF(C167&lt;=0,"",IFERROR(C223/C167,"")))</f>
        <v/>
      </c>
      <c r="D224" s="15">
        <f>IF(OR(D223="",D167=""),"",IF(D167&lt;=0,"",IFERROR(D223/D167,"")))</f>
        <v/>
      </c>
      <c r="E224" s="15">
        <f>IF(OR(E223="",E167=""),"",IF(E167&lt;=0,"",IFERROR(E223/E167,"")))</f>
        <v/>
      </c>
      <c r="F224" s="15">
        <f>IF(OR(F223="",F167=""),"",IF(F167&lt;=0,"",IFERROR(F223/F167,"")))</f>
        <v/>
      </c>
      <c r="G224" s="15">
        <f>IF(OR(G223="",G167=""),"",IF(G167&lt;=0,"",IFERROR(G223/G167,"")))</f>
        <v/>
      </c>
      <c r="H224" s="15">
        <f>IF(OR(H223="",H167=""),"",IF(H167&lt;=0,"",IFERROR(H223/H167,"")))</f>
        <v/>
      </c>
      <c r="I224" s="15">
        <f>IF(OR(I223="",I167=""),"",IF(I167&lt;=0,"",IFERROR(I223/I167,"")))</f>
        <v/>
      </c>
      <c r="J224" s="15">
        <f>IF(OR(J223="",J167=""),"",IF(J167&lt;=0,"",IFERROR(J223/J167,"")))</f>
        <v/>
      </c>
      <c r="K224" s="15">
        <f>IF(OR(K223="",K167=""),"",IF(K167&lt;=0,"",IFERROR(K223/K167,"")))</f>
        <v/>
      </c>
      <c r="L224" s="15">
        <f>IF(OR(L223="",L167=""),"",IF(L167&lt;=0,"",IFERROR(L223/L167,"")))</f>
        <v/>
      </c>
      <c r="M224" s="15">
        <f>IF(OR(M223="",M167=""),"",IF(M167&lt;=0,"",IFERROR(M223/M167,"")))</f>
        <v/>
      </c>
      <c r="N224" s="15">
        <f>IF(OR(N223="",N167=""),"",IF(N167&lt;=0,"",IFERROR(N223/N167,"")))</f>
        <v/>
      </c>
      <c r="V224" s="15">
        <f>IF(OR(V223="",V167=""),"",IF(V167&lt;=0,"",IFERROR(V223/V167,"")))</f>
        <v/>
      </c>
      <c r="W224" s="15">
        <f>IF(OR(W223="",W167=""),"",IF(W167&lt;=0,"",IFERROR(W223/W167,"")))</f>
        <v/>
      </c>
      <c r="X224" s="15">
        <f>IF(OR(X223="",X167=""),"",IF(X167&lt;=0,"",IFERROR(X223/X167,"")))</f>
        <v/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G225" s="15">
        <f>IF(OR(G223="",C223=""),"",IF(C223&lt;=0,"",IFERROR(G223/C223-1,"")))</f>
        <v/>
      </c>
      <c r="H225" s="15">
        <f>IF(OR(H223="",D223=""),"",IF(D223&lt;=0,"",IFERROR(H223/D223-1,"")))</f>
        <v/>
      </c>
      <c r="I225" s="15">
        <f>IF(OR(I223="",E223=""),"",IF(E223&lt;=0,"",IFERROR(I223/E223-1,"")))</f>
        <v/>
      </c>
      <c r="J225" s="15">
        <f>IF(OR(J223="",F223=""),"",IF(F223&lt;=0,"",IFERROR(J223/F223-1,"")))</f>
        <v/>
      </c>
      <c r="K225" s="15">
        <f>IF(OR(K223="",G223=""),"",IF(G223&lt;=0,"",IFERROR(K223/G223-1,"")))</f>
        <v/>
      </c>
      <c r="L225" s="15">
        <f>IF(OR(L223="",H223=""),"",IF(H223&lt;=0,"",IFERROR(L223/H223-1,"")))</f>
        <v/>
      </c>
      <c r="M225" s="15">
        <f>IF(OR(M223="",I223=""),"",IF(I223&lt;=0,"",IFERROR(M223/I223-1,"")))</f>
        <v/>
      </c>
      <c r="N225" s="15">
        <f>IF(OR(N223="",J223=""),"",IF(J223&lt;=0,"",IFERROR(N223/J223-1,"")))</f>
        <v/>
      </c>
      <c r="V225" s="15">
        <f>IF(OR(V223="",U223=""),"",IF(U223&lt;=0,"",IFERROR(V223/U223-1,"")))</f>
        <v/>
      </c>
      <c r="W225" s="15">
        <f>IF(OR(W223="",V223=""),"",IF(V223&lt;=0,"",IFERROR(W223/V223-1,"")))</f>
        <v/>
      </c>
      <c r="X225" s="15">
        <f>IF(OR(X223="",W223=""),"",IF(W223&lt;=0,"",IFERROR(X223/W223-1,"")))</f>
        <v/>
      </c>
    </row>
    <row r="226">
      <c r="A226" s="18" t="inlineStr">
        <is>
          <t>조정액 · 법인세비용차감전 중간이익</t>
        </is>
      </c>
      <c r="C226" s="20" t="n">
        <v>0</v>
      </c>
      <c r="D226" s="20" t="n">
        <v>0</v>
      </c>
      <c r="E226" s="20" t="n">
        <v>0</v>
      </c>
      <c r="F226" s="20" t="n">
        <v>0</v>
      </c>
      <c r="G226" s="20" t="n">
        <v>0</v>
      </c>
      <c r="H226" s="20" t="n">
        <v>0</v>
      </c>
      <c r="I226" s="20" t="n">
        <v>0</v>
      </c>
      <c r="J226" s="20" t="n">
        <v>0</v>
      </c>
      <c r="K226" s="20" t="n">
        <v>0</v>
      </c>
      <c r="L226" s="20" t="n">
        <v>0</v>
      </c>
      <c r="M226" s="20" t="n">
        <v>0</v>
      </c>
      <c r="N226" s="20" t="n">
        <v>0</v>
      </c>
      <c r="V226" s="20" t="n">
        <v>0</v>
      </c>
      <c r="W226" s="20" t="n">
        <v>0</v>
      </c>
      <c r="X226" s="20" t="n">
        <v>0</v>
      </c>
    </row>
    <row r="227">
      <c r="A227" s="9" t="inlineStr">
        <is>
          <t>법인세비용차감전 당기이익</t>
        </is>
      </c>
      <c r="C227" s="12" t="n">
        <v>3465</v>
      </c>
      <c r="D227" s="12" t="n">
        <v>2381</v>
      </c>
      <c r="E227" s="12" t="n">
        <v>2660</v>
      </c>
      <c r="F227" s="12" t="n">
        <v>2125</v>
      </c>
      <c r="G227" s="12" t="n">
        <v>450</v>
      </c>
      <c r="H227" s="12" t="n">
        <v>2917</v>
      </c>
      <c r="I227" s="12" t="n">
        <v>2511</v>
      </c>
      <c r="V227" s="12" t="n">
        <v>2660</v>
      </c>
      <c r="W227" s="12" t="n">
        <v>2511</v>
      </c>
    </row>
    <row r="228">
      <c r="A228" s="18" t="inlineStr">
        <is>
          <t>EntityTotalMember · 법인세비용차감전 중간이익</t>
        </is>
      </c>
      <c r="F228" s="20" t="n">
        <v>2125</v>
      </c>
      <c r="J228" s="20" t="n">
        <v>1505</v>
      </c>
      <c r="N228" s="20" t="n">
        <v>4430</v>
      </c>
    </row>
    <row r="230">
      <c r="A230" s="16" t="inlineStr">
        <is>
          <t>현금흐름표 · 전 항목</t>
        </is>
      </c>
      <c r="B230" s="42" t="inlineStr">
        <is>
          <t>분기 = 결산기 첫날부터 누계(공시 그대로)</t>
        </is>
      </c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  <c r="AA230" s="16" t="n"/>
      <c r="AB230" s="16" t="n"/>
      <c r="AC230" s="16" t="n"/>
    </row>
    <row r="231">
      <c r="A231" s="5" t="inlineStr">
        <is>
          <t>항목</t>
        </is>
      </c>
      <c r="B231" s="5" t="inlineStr">
        <is>
          <t>참고</t>
        </is>
      </c>
      <c r="C231" s="5" t="inlineStr">
        <is>
          <t>2024.2Q</t>
        </is>
      </c>
      <c r="D231" s="5" t="inlineStr">
        <is>
          <t>2024.3Q</t>
        </is>
      </c>
      <c r="E231" s="5" t="inlineStr">
        <is>
          <t>2024.4Q</t>
        </is>
      </c>
      <c r="F231" s="5" t="inlineStr">
        <is>
          <t>2025.1Q</t>
        </is>
      </c>
      <c r="G231" s="5" t="inlineStr">
        <is>
          <t>2025.2Q</t>
        </is>
      </c>
      <c r="H231" s="5" t="inlineStr">
        <is>
          <t>2025.3Q</t>
        </is>
      </c>
      <c r="I231" s="5" t="inlineStr">
        <is>
          <t>2025.4Q</t>
        </is>
      </c>
      <c r="J231" s="5" t="inlineStr">
        <is>
          <t>2026.1Q</t>
        </is>
      </c>
      <c r="K231" s="5" t="inlineStr">
        <is>
          <t>2026.2Q</t>
        </is>
      </c>
      <c r="L231" s="5" t="inlineStr">
        <is>
          <t>2026.3Q</t>
        </is>
      </c>
      <c r="M231" s="5" t="inlineStr">
        <is>
          <t>2026.4Q</t>
        </is>
      </c>
      <c r="N231" s="5" t="inlineStr">
        <is>
          <t>2027.1Q</t>
        </is>
      </c>
      <c r="O231" s="5" t="inlineStr">
        <is>
          <t>2017</t>
        </is>
      </c>
      <c r="P231" s="5" t="inlineStr">
        <is>
          <t>2018</t>
        </is>
      </c>
      <c r="Q231" s="5" t="inlineStr">
        <is>
          <t>2019</t>
        </is>
      </c>
      <c r="R231" s="5" t="inlineStr">
        <is>
          <t>2020</t>
        </is>
      </c>
      <c r="S231" s="5" t="inlineStr">
        <is>
          <t>2021</t>
        </is>
      </c>
      <c r="T231" s="5" t="inlineStr">
        <is>
          <t>2022</t>
        </is>
      </c>
      <c r="U231" s="5" t="inlineStr">
        <is>
          <t>2023</t>
        </is>
      </c>
      <c r="V231" s="5" t="inlineStr">
        <is>
          <t>2024</t>
        </is>
      </c>
      <c r="W231" s="5" t="inlineStr">
        <is>
          <t>2025</t>
        </is>
      </c>
      <c r="X231" s="5" t="inlineStr">
        <is>
          <t>2026</t>
        </is>
      </c>
      <c r="Y231" s="5" t="inlineStr">
        <is>
          <t>2027(MW)</t>
        </is>
      </c>
      <c r="Z231" s="5" t="inlineStr">
        <is>
          <t>2028(MW)</t>
        </is>
      </c>
      <c r="AA231" s="5" t="inlineStr">
        <is>
          <t>2029(MW)</t>
        </is>
      </c>
      <c r="AB231" s="5" t="inlineStr">
        <is>
          <t>2030(MW)</t>
        </is>
      </c>
      <c r="AC231" s="5" t="inlineStr">
        <is>
          <t>2031(MW)</t>
        </is>
      </c>
    </row>
    <row r="232">
      <c r="A232" s="9" t="inlineStr">
        <is>
          <t>법인세비용차감전 중간이익</t>
        </is>
      </c>
      <c r="C232" s="12" t="n">
        <v>8282</v>
      </c>
      <c r="D232" s="12" t="n">
        <v>10663</v>
      </c>
      <c r="E232" s="12" t="n">
        <v>13323</v>
      </c>
      <c r="F232" s="12" t="n">
        <v>2125</v>
      </c>
      <c r="G232" s="12" t="n">
        <v>2575</v>
      </c>
      <c r="H232" s="12" t="n">
        <v>5492</v>
      </c>
      <c r="I232" s="12" t="n">
        <v>8003</v>
      </c>
      <c r="J232" s="12" t="n">
        <v>1505</v>
      </c>
      <c r="K232" s="12" t="n">
        <v>4937</v>
      </c>
      <c r="L232" s="12" t="n">
        <v>8146</v>
      </c>
      <c r="M232" s="12" t="n">
        <v>11747</v>
      </c>
      <c r="N232" s="12" t="n">
        <v>4430</v>
      </c>
      <c r="P232" s="12" t="n">
        <v>8540</v>
      </c>
      <c r="Q232" s="12" t="n">
        <v>6890</v>
      </c>
      <c r="R232" s="12" t="n">
        <v>986</v>
      </c>
      <c r="S232" s="12" t="n">
        <v>4996</v>
      </c>
      <c r="T232" s="12" t="n">
        <v>11787</v>
      </c>
      <c r="U232" s="12" t="n">
        <v>14226</v>
      </c>
      <c r="V232" s="12" t="n">
        <v>13323</v>
      </c>
      <c r="W232" s="12" t="n">
        <v>8003</v>
      </c>
      <c r="X232" s="12" t="n">
        <v>11747</v>
      </c>
    </row>
    <row r="233">
      <c r="A233" s="18" t="inlineStr">
        <is>
          <t>감가상각비 및 상각비</t>
        </is>
      </c>
      <c r="C233" s="20" t="n">
        <v>2860</v>
      </c>
      <c r="D233" s="20" t="n">
        <v>4326</v>
      </c>
      <c r="E233" s="20" t="n">
        <v>5841</v>
      </c>
      <c r="F233" s="20" t="n">
        <v>1470</v>
      </c>
      <c r="G233" s="20" t="n">
        <v>2943</v>
      </c>
      <c r="H233" s="20" t="n">
        <v>4451</v>
      </c>
      <c r="I233" s="20" t="n">
        <v>5959</v>
      </c>
      <c r="J233" s="20" t="n">
        <v>1323</v>
      </c>
      <c r="K233" s="20" t="n">
        <v>2660</v>
      </c>
      <c r="L233" s="20" t="n">
        <v>4008</v>
      </c>
      <c r="M233" s="20" t="n">
        <v>5376</v>
      </c>
      <c r="N233" s="20" t="n">
        <v>1268</v>
      </c>
      <c r="P233" s="20" t="n">
        <v>3538</v>
      </c>
      <c r="Q233" s="20" t="n">
        <v>4157</v>
      </c>
      <c r="R233" s="20" t="n">
        <v>5223</v>
      </c>
      <c r="S233" s="20" t="n">
        <v>5429</v>
      </c>
      <c r="T233" s="20" t="n">
        <v>5651</v>
      </c>
      <c r="U233" s="20" t="n">
        <v>6014</v>
      </c>
      <c r="V233" s="20" t="n">
        <v>5841</v>
      </c>
      <c r="W233" s="20" t="n">
        <v>5959</v>
      </c>
      <c r="X233" s="20" t="n">
        <v>5376</v>
      </c>
    </row>
    <row r="234">
      <c r="A234" s="18" t="inlineStr">
        <is>
          <t>이자·배당금 수익</t>
        </is>
      </c>
      <c r="C234" s="20" t="n">
        <v>-248</v>
      </c>
      <c r="D234" s="20" t="n">
        <v>-429</v>
      </c>
      <c r="E234" s="20" t="n">
        <v>-512</v>
      </c>
      <c r="F234" s="20" t="n">
        <v>-246</v>
      </c>
      <c r="G234" s="20" t="n">
        <v>-337</v>
      </c>
      <c r="H234" s="20" t="n">
        <v>-561</v>
      </c>
      <c r="I234" s="20" t="n">
        <v>-634</v>
      </c>
      <c r="J234" s="20" t="n">
        <v>-205</v>
      </c>
      <c r="K234" s="20" t="n">
        <v>-320</v>
      </c>
      <c r="L234" s="20" t="n">
        <v>-538</v>
      </c>
      <c r="M234" s="20" t="n">
        <v>-616</v>
      </c>
      <c r="N234" s="20" t="n">
        <v>-281</v>
      </c>
      <c r="P234" s="20" t="n">
        <v>-196</v>
      </c>
      <c r="Q234" s="20" t="n">
        <v>-243</v>
      </c>
      <c r="R234" s="20" t="n">
        <v>-245</v>
      </c>
      <c r="S234" s="20" t="n">
        <v>-193</v>
      </c>
      <c r="T234" s="20" t="n">
        <v>-257</v>
      </c>
      <c r="U234" s="20" t="n">
        <v>-369</v>
      </c>
      <c r="V234" s="20" t="n">
        <v>-512</v>
      </c>
      <c r="W234" s="20" t="n">
        <v>-634</v>
      </c>
      <c r="X234" s="20" t="n">
        <v>-616</v>
      </c>
    </row>
    <row r="235">
      <c r="A235" s="18" t="inlineStr">
        <is>
          <t>이자비용</t>
        </is>
      </c>
      <c r="C235" s="20" t="n">
        <v>80</v>
      </c>
      <c r="D235" s="20" t="n">
        <v>116</v>
      </c>
      <c r="E235" s="20" t="n">
        <v>200</v>
      </c>
      <c r="F235" s="20" t="n">
        <v>58</v>
      </c>
      <c r="G235" s="20" t="n">
        <v>127</v>
      </c>
      <c r="H235" s="20" t="n">
        <v>171</v>
      </c>
      <c r="I235" s="20" t="n">
        <v>299</v>
      </c>
      <c r="J235" s="20" t="n">
        <v>10</v>
      </c>
      <c r="K235" s="20" t="n">
        <v>13</v>
      </c>
      <c r="L235" s="20" t="n">
        <v>23</v>
      </c>
      <c r="M235" s="20" t="n">
        <v>35</v>
      </c>
      <c r="N235" s="20" t="n">
        <v>13</v>
      </c>
      <c r="P235" s="20" t="n">
        <v>18</v>
      </c>
      <c r="Q235" s="20" t="n">
        <v>102</v>
      </c>
      <c r="R235" s="20" t="n">
        <v>128</v>
      </c>
      <c r="S235" s="20" t="n">
        <v>98</v>
      </c>
      <c r="T235" s="20" t="n">
        <v>99</v>
      </c>
      <c r="U235" s="20" t="n">
        <v>187</v>
      </c>
      <c r="V235" s="20" t="n">
        <v>200</v>
      </c>
      <c r="W235" s="20" t="n">
        <v>299</v>
      </c>
      <c r="X235" s="20" t="n">
        <v>35</v>
      </c>
    </row>
    <row r="236">
      <c r="A236" s="18" t="inlineStr">
        <is>
          <t>영업채권 및 기타채권 증감액</t>
        </is>
      </c>
      <c r="C236" s="20" t="n">
        <v>1499</v>
      </c>
      <c r="D236" s="20" t="n">
        <v>5238</v>
      </c>
      <c r="E236" s="20" t="n">
        <v>7067</v>
      </c>
      <c r="F236" s="20" t="n">
        <v>4616</v>
      </c>
      <c r="G236" s="20" t="n">
        <v>3030</v>
      </c>
      <c r="H236" s="20" t="n">
        <v>2306</v>
      </c>
      <c r="I236" s="20" t="n">
        <v>2878</v>
      </c>
      <c r="J236" s="20" t="n">
        <v>90</v>
      </c>
      <c r="K236" s="20" t="n">
        <v>127</v>
      </c>
      <c r="L236" s="20" t="n">
        <v>-1051</v>
      </c>
      <c r="M236" s="20" t="n">
        <v>-1813</v>
      </c>
      <c r="N236" s="20" t="n">
        <v>-2632</v>
      </c>
      <c r="P236" s="20" t="n">
        <v>-4581</v>
      </c>
      <c r="Q236" s="20" t="n">
        <v>3273</v>
      </c>
      <c r="R236" s="20" t="n">
        <v>2601</v>
      </c>
      <c r="S236" s="20" t="n">
        <v>-2820</v>
      </c>
      <c r="T236" s="20" t="n">
        <v>-2731</v>
      </c>
      <c r="U236" s="20" t="n">
        <v>-4363</v>
      </c>
      <c r="V236" s="20" t="n">
        <v>7067</v>
      </c>
      <c r="W236" s="20" t="n">
        <v>2878</v>
      </c>
      <c r="X236" s="20" t="n">
        <v>-1813</v>
      </c>
    </row>
    <row r="237">
      <c r="A237" s="18" t="inlineStr">
        <is>
          <t>재고자산 증감액</t>
        </is>
      </c>
      <c r="C237" s="20" t="n">
        <v>1105</v>
      </c>
      <c r="D237" s="20" t="n">
        <v>2615</v>
      </c>
      <c r="E237" s="20" t="n">
        <v>5612</v>
      </c>
      <c r="F237" s="20" t="n">
        <v>-439</v>
      </c>
      <c r="G237" s="20" t="n">
        <v>802</v>
      </c>
      <c r="H237" s="20" t="n">
        <v>1497</v>
      </c>
      <c r="I237" s="20" t="n">
        <v>2507</v>
      </c>
      <c r="J237" s="20" t="n">
        <v>-661</v>
      </c>
      <c r="K237" s="20" t="n">
        <v>-922</v>
      </c>
      <c r="L237" s="20" t="n">
        <v>-2572</v>
      </c>
      <c r="M237" s="20" t="n">
        <v>-4248</v>
      </c>
      <c r="N237" s="20" t="n">
        <v>-3125</v>
      </c>
      <c r="P237" s="20" t="n">
        <v>-5070</v>
      </c>
      <c r="Q237" s="20" t="n">
        <v>-1215</v>
      </c>
      <c r="R237" s="20" t="n">
        <v>275</v>
      </c>
      <c r="S237" s="20" t="n">
        <v>-2085</v>
      </c>
      <c r="T237" s="20" t="n">
        <v>-6672</v>
      </c>
      <c r="U237" s="20" t="n">
        <v>-6757</v>
      </c>
      <c r="V237" s="20" t="n">
        <v>5612</v>
      </c>
      <c r="W237" s="20" t="n">
        <v>2507</v>
      </c>
      <c r="X237" s="20" t="n">
        <v>-4248</v>
      </c>
    </row>
    <row r="238">
      <c r="A238" s="18" t="inlineStr">
        <is>
          <t>영업채무 및 기타채무 증감액</t>
        </is>
      </c>
      <c r="C238" s="20" t="n">
        <v>-946</v>
      </c>
      <c r="D238" s="20" t="n">
        <v>-4196</v>
      </c>
      <c r="E238" s="20" t="n">
        <v>-7296</v>
      </c>
      <c r="F238" s="20" t="n">
        <v>-1165</v>
      </c>
      <c r="G238" s="20" t="n">
        <v>1279</v>
      </c>
      <c r="H238" s="20" t="n">
        <v>1415</v>
      </c>
      <c r="I238" s="20" t="n">
        <v>176</v>
      </c>
      <c r="J238" s="20" t="n">
        <v>1044</v>
      </c>
      <c r="K238" s="20" t="n">
        <v>1347</v>
      </c>
      <c r="L238" s="20" t="n">
        <v>2120</v>
      </c>
      <c r="M238" s="20" t="n">
        <v>1927</v>
      </c>
      <c r="N238" s="20" t="n">
        <v>2516</v>
      </c>
      <c r="P238" s="20" t="n">
        <v>4984</v>
      </c>
      <c r="Q238" s="20" t="n">
        <v>-7631</v>
      </c>
      <c r="R238" s="20" t="n">
        <v>86</v>
      </c>
      <c r="S238" s="20" t="n">
        <v>258</v>
      </c>
      <c r="T238" s="20" t="n">
        <v>1022</v>
      </c>
      <c r="U238" s="20" t="n">
        <v>2586</v>
      </c>
      <c r="V238" s="20" t="n">
        <v>-7296</v>
      </c>
      <c r="W238" s="20" t="n">
        <v>176</v>
      </c>
      <c r="X238" s="20" t="n">
        <v>1927</v>
      </c>
    </row>
    <row r="239">
      <c r="A239" s="18" t="inlineStr">
        <is>
          <t>기타</t>
        </is>
      </c>
      <c r="P239" s="20" t="n">
        <v>353</v>
      </c>
      <c r="Q239" s="20" t="n">
        <v>443</v>
      </c>
    </row>
    <row r="240">
      <c r="A240" s="18" t="inlineStr">
        <is>
          <t>기타</t>
        </is>
      </c>
      <c r="C240" s="20" t="n">
        <v>-109</v>
      </c>
      <c r="D240" s="20" t="n">
        <v>552</v>
      </c>
      <c r="E240" s="20" t="n">
        <v>233</v>
      </c>
      <c r="F240" s="20" t="n">
        <v>-411</v>
      </c>
      <c r="G240" s="20" t="n">
        <v>-263</v>
      </c>
      <c r="H240" s="20" t="n">
        <v>-1428</v>
      </c>
      <c r="I240" s="20" t="n">
        <v>-936</v>
      </c>
      <c r="J240" s="20" t="n">
        <v>619</v>
      </c>
      <c r="K240" s="20" t="n">
        <v>-1</v>
      </c>
      <c r="L240" s="20" t="n">
        <v>-273</v>
      </c>
      <c r="M240" s="20" t="n">
        <v>-688</v>
      </c>
      <c r="N240" s="20" t="n">
        <v>417</v>
      </c>
      <c r="Q240" s="20" t="n">
        <v>443</v>
      </c>
      <c r="R240" s="20" t="n">
        <v>241</v>
      </c>
      <c r="S240" s="20" t="n">
        <v>-53</v>
      </c>
      <c r="T240" s="20" t="n">
        <v>382</v>
      </c>
      <c r="U240" s="20" t="n">
        <v>269</v>
      </c>
      <c r="V240" s="20" t="n">
        <v>233</v>
      </c>
      <c r="W240" s="20" t="n">
        <v>-936</v>
      </c>
      <c r="X240" s="20" t="n">
        <v>-688</v>
      </c>
    </row>
    <row r="241">
      <c r="A241" s="18" t="inlineStr">
        <is>
          <t>소계</t>
        </is>
      </c>
      <c r="C241" s="20" t="n">
        <v>12523</v>
      </c>
      <c r="D241" s="20" t="n">
        <v>18887</v>
      </c>
      <c r="E241" s="20" t="n">
        <v>24469</v>
      </c>
      <c r="F241" s="20" t="n">
        <v>6007</v>
      </c>
      <c r="G241" s="20" t="n">
        <v>10159</v>
      </c>
      <c r="H241" s="20" t="n">
        <v>13345</v>
      </c>
      <c r="I241" s="20" t="n">
        <v>18253</v>
      </c>
      <c r="J241" s="20" t="n">
        <v>3726</v>
      </c>
      <c r="K241" s="20" t="n">
        <v>7841</v>
      </c>
      <c r="L241" s="20" t="n">
        <v>9863</v>
      </c>
      <c r="M241" s="20" t="n">
        <v>11718</v>
      </c>
      <c r="N241" s="20" t="n">
        <v>2607</v>
      </c>
      <c r="P241" s="20" t="n">
        <v>7586</v>
      </c>
      <c r="Q241" s="20" t="n">
        <v>5776</v>
      </c>
      <c r="R241" s="20" t="n">
        <v>9297</v>
      </c>
      <c r="S241" s="20" t="n">
        <v>5630</v>
      </c>
      <c r="T241" s="20" t="n">
        <v>9281</v>
      </c>
      <c r="U241" s="20" t="n">
        <v>11793</v>
      </c>
      <c r="V241" s="20" t="n">
        <v>24469</v>
      </c>
      <c r="W241" s="20" t="n">
        <v>18253</v>
      </c>
      <c r="X241" s="20" t="n">
        <v>11718</v>
      </c>
    </row>
    <row r="242">
      <c r="A242" s="18" t="inlineStr">
        <is>
          <t>이자 수취</t>
        </is>
      </c>
      <c r="C242" s="20" t="n">
        <v>125</v>
      </c>
      <c r="D242" s="20" t="n">
        <v>206</v>
      </c>
      <c r="E242" s="20" t="n">
        <v>288</v>
      </c>
      <c r="F242" s="20" t="n">
        <v>95</v>
      </c>
      <c r="G242" s="20" t="n">
        <v>172</v>
      </c>
      <c r="H242" s="20" t="n">
        <v>268</v>
      </c>
      <c r="I242" s="20" t="n">
        <v>332</v>
      </c>
      <c r="J242" s="20" t="n">
        <v>78</v>
      </c>
      <c r="K242" s="20" t="n">
        <v>149</v>
      </c>
      <c r="L242" s="20" t="n">
        <v>201</v>
      </c>
      <c r="M242" s="20" t="n">
        <v>289</v>
      </c>
      <c r="N242" s="20" t="n">
        <v>105</v>
      </c>
      <c r="P242" s="20" t="n">
        <v>44</v>
      </c>
      <c r="Q242" s="20" t="n">
        <v>71</v>
      </c>
      <c r="R242" s="20" t="n">
        <v>65</v>
      </c>
      <c r="S242" s="20" t="n">
        <v>43</v>
      </c>
      <c r="T242" s="20" t="n">
        <v>63</v>
      </c>
      <c r="U242" s="20" t="n">
        <v>122</v>
      </c>
      <c r="V242" s="20" t="n">
        <v>288</v>
      </c>
      <c r="W242" s="20" t="n">
        <v>332</v>
      </c>
      <c r="X242" s="20" t="n">
        <v>289</v>
      </c>
    </row>
    <row r="243">
      <c r="A243" s="18" t="inlineStr">
        <is>
          <t>배당금 수취액</t>
        </is>
      </c>
      <c r="C243" s="20" t="n">
        <v>133</v>
      </c>
      <c r="D243" s="20" t="n">
        <v>230</v>
      </c>
      <c r="E243" s="20" t="n">
        <v>237</v>
      </c>
      <c r="F243" s="20" t="n">
        <v>148</v>
      </c>
      <c r="G243" s="20" t="n">
        <v>163</v>
      </c>
      <c r="H243" s="20" t="n">
        <v>282</v>
      </c>
      <c r="I243" s="20" t="n">
        <v>290</v>
      </c>
      <c r="J243" s="20" t="n">
        <v>161</v>
      </c>
      <c r="K243" s="20" t="n">
        <v>179</v>
      </c>
      <c r="L243" s="20" t="n">
        <v>294</v>
      </c>
      <c r="M243" s="20" t="n">
        <v>303</v>
      </c>
      <c r="N243" s="20" t="n">
        <v>204</v>
      </c>
      <c r="P243" s="20" t="n">
        <v>153</v>
      </c>
      <c r="Q243" s="20" t="n">
        <v>171</v>
      </c>
      <c r="R243" s="20" t="n">
        <v>179</v>
      </c>
      <c r="S243" s="20" t="n">
        <v>150</v>
      </c>
      <c r="T243" s="20" t="n">
        <v>193</v>
      </c>
      <c r="U243" s="20" t="n">
        <v>236</v>
      </c>
      <c r="V243" s="20" t="n">
        <v>237</v>
      </c>
      <c r="W243" s="20" t="n">
        <v>290</v>
      </c>
      <c r="X243" s="20" t="n">
        <v>303</v>
      </c>
    </row>
    <row r="244">
      <c r="A244" s="18" t="inlineStr">
        <is>
          <t>이자 지급</t>
        </is>
      </c>
      <c r="C244" s="20" t="n">
        <v>-89</v>
      </c>
      <c r="D244" s="20" t="n">
        <v>-120</v>
      </c>
      <c r="E244" s="20" t="n">
        <v>-203</v>
      </c>
      <c r="F244" s="20" t="n">
        <v>-59</v>
      </c>
      <c r="G244" s="20" t="n">
        <v>-131</v>
      </c>
      <c r="H244" s="20" t="n">
        <v>-179</v>
      </c>
      <c r="I244" s="20" t="n">
        <v>-311</v>
      </c>
      <c r="J244" s="20" t="n">
        <v>-9</v>
      </c>
      <c r="K244" s="20" t="n">
        <v>-13</v>
      </c>
      <c r="L244" s="20" t="n">
        <v>-19</v>
      </c>
      <c r="M244" s="20" t="n">
        <v>-38</v>
      </c>
      <c r="N244" s="20" t="n">
        <v>-14</v>
      </c>
      <c r="P244" s="20" t="n">
        <v>-22</v>
      </c>
      <c r="Q244" s="20" t="n">
        <v>-108</v>
      </c>
      <c r="R244" s="20" t="n">
        <v>-129</v>
      </c>
      <c r="S244" s="20" t="n">
        <v>-100</v>
      </c>
      <c r="T244" s="20" t="n">
        <v>-96</v>
      </c>
      <c r="U244" s="20" t="n">
        <v>-184</v>
      </c>
      <c r="V244" s="20" t="n">
        <v>-203</v>
      </c>
      <c r="W244" s="20" t="n">
        <v>-311</v>
      </c>
      <c r="X244" s="20" t="n">
        <v>-38</v>
      </c>
    </row>
    <row r="245">
      <c r="A245" s="18" t="inlineStr">
        <is>
          <t>Income Taxes Paid Ope CF</t>
        </is>
      </c>
      <c r="C245" s="20" t="n">
        <v>-2148</v>
      </c>
      <c r="D245" s="20" t="n">
        <v>-3234</v>
      </c>
      <c r="E245" s="20" t="n">
        <v>-3339</v>
      </c>
      <c r="F245" s="20" t="n">
        <v>-1492</v>
      </c>
      <c r="G245" s="20" t="n">
        <v>-1929</v>
      </c>
      <c r="H245" s="20" t="n">
        <v>-2236</v>
      </c>
      <c r="I245" s="20" t="n">
        <v>-2776</v>
      </c>
      <c r="J245" s="20" t="n">
        <v>-306</v>
      </c>
      <c r="K245" s="20" t="n">
        <v>-479</v>
      </c>
      <c r="L245" s="20" t="n">
        <v>-1246</v>
      </c>
      <c r="M245" s="20" t="n">
        <v>-1443</v>
      </c>
      <c r="N245" s="20" t="n">
        <v>-1914</v>
      </c>
      <c r="P245" s="20" t="n">
        <v>-1964</v>
      </c>
      <c r="Q245" s="20" t="n">
        <v>-2852</v>
      </c>
      <c r="R245" s="20" t="n">
        <v>-684</v>
      </c>
      <c r="S245" s="20" t="n">
        <v>-764</v>
      </c>
      <c r="T245" s="20" t="n">
        <v>-1208</v>
      </c>
      <c r="U245" s="20" t="n">
        <v>-3710</v>
      </c>
      <c r="V245" s="20" t="n">
        <v>-3339</v>
      </c>
      <c r="W245" s="20" t="n">
        <v>-2776</v>
      </c>
      <c r="X245" s="20" t="n">
        <v>-1443</v>
      </c>
    </row>
    <row r="246">
      <c r="A246" s="9" t="inlineStr">
        <is>
          <t>영업활동 현금흐름</t>
        </is>
      </c>
      <c r="C246" s="12" t="n">
        <v>10545</v>
      </c>
      <c r="D246" s="12" t="n">
        <v>15969</v>
      </c>
      <c r="E246" s="12" t="n">
        <v>21452</v>
      </c>
      <c r="F246" s="12" t="n">
        <v>4700</v>
      </c>
      <c r="G246" s="12" t="n">
        <v>8434</v>
      </c>
      <c r="H246" s="12" t="n">
        <v>11482</v>
      </c>
      <c r="I246" s="12" t="n">
        <v>15788</v>
      </c>
      <c r="J246" s="12" t="n">
        <v>3650</v>
      </c>
      <c r="K246" s="12" t="n">
        <v>7678</v>
      </c>
      <c r="L246" s="12" t="n">
        <v>9093</v>
      </c>
      <c r="M246" s="12" t="n">
        <v>10829</v>
      </c>
      <c r="N246" s="12" t="n">
        <v>988</v>
      </c>
      <c r="P246" s="12" t="n">
        <v>5797</v>
      </c>
      <c r="Q246" s="12" t="n">
        <v>3058</v>
      </c>
      <c r="R246" s="12" t="n">
        <v>8728</v>
      </c>
      <c r="S246" s="12" t="n">
        <v>4959</v>
      </c>
      <c r="T246" s="12" t="n">
        <v>8234</v>
      </c>
      <c r="U246" s="12" t="n">
        <v>8258</v>
      </c>
      <c r="V246" s="12" t="n">
        <v>21452</v>
      </c>
      <c r="W246" s="12" t="n">
        <v>15788</v>
      </c>
      <c r="X246" s="12" t="n">
        <v>10829</v>
      </c>
    </row>
    <row r="247">
      <c r="A247" s="18" t="inlineStr">
        <is>
          <t>유형자산 취득(설비투자)</t>
        </is>
      </c>
      <c r="C247" s="20" t="n">
        <v>-2788</v>
      </c>
      <c r="D247" s="20" t="n">
        <v>-5147</v>
      </c>
      <c r="E247" s="20" t="n">
        <v>-5731</v>
      </c>
      <c r="F247" s="20" t="n">
        <v>-1196</v>
      </c>
      <c r="G247" s="20" t="n">
        <v>-1630</v>
      </c>
      <c r="H247" s="20" t="n">
        <v>-2018</v>
      </c>
      <c r="I247" s="20" t="n">
        <v>-2666</v>
      </c>
      <c r="J247" s="20" t="n">
        <v>-354</v>
      </c>
      <c r="K247" s="20" t="n">
        <v>-609</v>
      </c>
      <c r="L247" s="20" t="n">
        <v>-1053</v>
      </c>
      <c r="M247" s="20" t="n">
        <v>-1467</v>
      </c>
      <c r="N247" s="20" t="n">
        <v>-723</v>
      </c>
      <c r="P247" s="20" t="n">
        <v>-6142</v>
      </c>
      <c r="Q247" s="20" t="n">
        <v>-6103</v>
      </c>
      <c r="R247" s="20" t="n">
        <v>-4135</v>
      </c>
      <c r="S247" s="20" t="n">
        <v>-3010</v>
      </c>
      <c r="T247" s="20" t="n">
        <v>-3278</v>
      </c>
      <c r="U247" s="20" t="n">
        <v>-3182</v>
      </c>
      <c r="V247" s="20" t="n">
        <v>-5731</v>
      </c>
      <c r="W247" s="20" t="n">
        <v>-2666</v>
      </c>
      <c r="X247" s="20" t="n">
        <v>-1467</v>
      </c>
    </row>
    <row r="248">
      <c r="A248" s="18" t="inlineStr">
        <is>
          <t>무형자산 취득 지출</t>
        </is>
      </c>
      <c r="C248" s="20" t="n">
        <v>-466</v>
      </c>
      <c r="D248" s="20" t="n">
        <v>-765</v>
      </c>
      <c r="E248" s="20" t="n">
        <v>-1028</v>
      </c>
      <c r="F248" s="20" t="n">
        <v>-220</v>
      </c>
      <c r="G248" s="20" t="n">
        <v>-485</v>
      </c>
      <c r="H248" s="20" t="n">
        <v>-819</v>
      </c>
      <c r="I248" s="20" t="n">
        <v>-1135</v>
      </c>
      <c r="J248" s="20" t="n">
        <v>-434</v>
      </c>
      <c r="K248" s="20" t="n">
        <v>-718</v>
      </c>
      <c r="L248" s="20" t="n">
        <v>-1112</v>
      </c>
      <c r="M248" s="20" t="n">
        <v>-1390</v>
      </c>
      <c r="N248" s="20" t="n">
        <v>-232</v>
      </c>
      <c r="P248" s="20" t="n">
        <v>-910</v>
      </c>
      <c r="Q248" s="20" t="n">
        <v>-2055</v>
      </c>
      <c r="R248" s="20" t="n">
        <v>-1570</v>
      </c>
      <c r="S248" s="20" t="n">
        <v>-1150</v>
      </c>
      <c r="T248" s="20" t="n">
        <v>-1416</v>
      </c>
      <c r="U248" s="20" t="n">
        <v>-844</v>
      </c>
      <c r="V248" s="20" t="n">
        <v>-1028</v>
      </c>
      <c r="W248" s="20" t="n">
        <v>-1135</v>
      </c>
      <c r="X248" s="20" t="n">
        <v>-1390</v>
      </c>
    </row>
    <row r="249">
      <c r="A249" s="18" t="inlineStr">
        <is>
          <t>유형·무형자산 처분 수입</t>
        </is>
      </c>
      <c r="C249" s="20" t="n">
        <v>108</v>
      </c>
      <c r="D249" s="20" t="n">
        <v>3</v>
      </c>
      <c r="E249" s="20" t="n">
        <v>2</v>
      </c>
      <c r="F249" s="20" t="n">
        <v>1</v>
      </c>
      <c r="G249" s="20" t="n">
        <v>3</v>
      </c>
      <c r="H249" s="20" t="n">
        <v>11</v>
      </c>
      <c r="I249" s="20" t="n">
        <v>204</v>
      </c>
      <c r="J249" s="20" t="n">
        <v>1</v>
      </c>
      <c r="K249" s="20" t="n">
        <v>1</v>
      </c>
      <c r="L249" s="20" t="n">
        <v>7</v>
      </c>
      <c r="M249" s="20" t="n">
        <v>3</v>
      </c>
      <c r="N249" s="20" t="n">
        <v>0</v>
      </c>
      <c r="P249" s="20" t="n">
        <v>0</v>
      </c>
      <c r="Q249" s="20" t="n">
        <v>38</v>
      </c>
      <c r="R249" s="20" t="n">
        <v>2</v>
      </c>
      <c r="S249" s="20" t="n">
        <v>1</v>
      </c>
      <c r="T249" s="20" t="n">
        <v>14</v>
      </c>
      <c r="U249" s="20" t="n">
        <v>1</v>
      </c>
      <c r="V249" s="20" t="n">
        <v>2</v>
      </c>
      <c r="W249" s="20" t="n">
        <v>204</v>
      </c>
      <c r="X249" s="20" t="n">
        <v>3</v>
      </c>
    </row>
    <row r="250">
      <c r="A250" s="18" t="inlineStr">
        <is>
          <t>Proceeds From Sale Of Other Financial Assets Inv CF</t>
        </is>
      </c>
      <c r="C250" s="20" t="n">
        <v>253</v>
      </c>
      <c r="D250" s="20" t="n">
        <v>280</v>
      </c>
      <c r="E250" s="20" t="n">
        <v>300</v>
      </c>
      <c r="F250" s="20" t="n">
        <v>0</v>
      </c>
      <c r="G250" s="20" t="n">
        <v>1</v>
      </c>
      <c r="H250" s="20" t="n">
        <v>40</v>
      </c>
      <c r="I250" s="20" t="n">
        <v>1006</v>
      </c>
      <c r="J250" s="20" t="n">
        <v>29</v>
      </c>
      <c r="K250" s="20" t="n">
        <v>71</v>
      </c>
      <c r="L250" s="20" t="n">
        <v>73</v>
      </c>
      <c r="M250" s="20" t="n">
        <v>336</v>
      </c>
      <c r="N250" s="20" t="n">
        <v>32</v>
      </c>
      <c r="P250" s="20" t="n">
        <v>456</v>
      </c>
      <c r="Q250" s="20" t="n">
        <v>565</v>
      </c>
      <c r="R250" s="20" t="n">
        <v>122</v>
      </c>
      <c r="S250" s="20" t="n">
        <v>18</v>
      </c>
      <c r="T250" s="20" t="n">
        <v>63</v>
      </c>
      <c r="U250" s="20" t="n">
        <v>23</v>
      </c>
      <c r="V250" s="20" t="n">
        <v>300</v>
      </c>
      <c r="W250" s="20" t="n">
        <v>1006</v>
      </c>
      <c r="X250" s="20" t="n">
        <v>336</v>
      </c>
    </row>
    <row r="251">
      <c r="A251" s="18" t="inlineStr">
        <is>
          <t>기타</t>
        </is>
      </c>
      <c r="C251" s="20" t="n">
        <v>52</v>
      </c>
      <c r="D251" s="20" t="n">
        <v>80</v>
      </c>
      <c r="E251" s="20" t="n">
        <v>-8</v>
      </c>
      <c r="F251" s="20" t="n">
        <v>-362</v>
      </c>
      <c r="G251" s="20" t="n">
        <v>-400</v>
      </c>
      <c r="H251" s="20" t="n">
        <v>-471</v>
      </c>
      <c r="I251" s="20" t="n">
        <v>-1142</v>
      </c>
      <c r="J251" s="20" t="n">
        <v>484</v>
      </c>
      <c r="K251" s="20" t="n">
        <v>-1847</v>
      </c>
      <c r="L251" s="20" t="n">
        <v>-2745</v>
      </c>
      <c r="M251" s="20" t="n">
        <v>-5140</v>
      </c>
      <c r="N251" s="20" t="n">
        <v>-551</v>
      </c>
      <c r="P251" s="20" t="n">
        <v>-174</v>
      </c>
      <c r="Q251" s="20" t="n">
        <v>-610</v>
      </c>
      <c r="R251" s="20" t="n">
        <v>250</v>
      </c>
      <c r="S251" s="20" t="n">
        <v>-153</v>
      </c>
      <c r="T251" s="20" t="n">
        <v>-209</v>
      </c>
      <c r="U251" s="20" t="n">
        <v>-420</v>
      </c>
      <c r="V251" s="20" t="n">
        <v>-8</v>
      </c>
      <c r="W251" s="20" t="n">
        <v>-1142</v>
      </c>
      <c r="X251" s="20" t="n">
        <v>-5140</v>
      </c>
    </row>
    <row r="252">
      <c r="A252" s="9" t="inlineStr">
        <is>
          <t>투자활동 현금흐름</t>
        </is>
      </c>
      <c r="C252" s="12" t="n">
        <v>-2839</v>
      </c>
      <c r="D252" s="12" t="n">
        <v>-5548</v>
      </c>
      <c r="E252" s="12" t="n">
        <v>-6466</v>
      </c>
      <c r="F252" s="12" t="n">
        <v>-1776</v>
      </c>
      <c r="G252" s="12" t="n">
        <v>-2511</v>
      </c>
      <c r="H252" s="12" t="n">
        <v>-3256</v>
      </c>
      <c r="I252" s="12" t="n">
        <v>-3734</v>
      </c>
      <c r="J252" s="12" t="n">
        <v>-273</v>
      </c>
      <c r="K252" s="12" t="n">
        <v>-3102</v>
      </c>
      <c r="L252" s="12" t="n">
        <v>-4830</v>
      </c>
      <c r="M252" s="12" t="n">
        <v>-7658</v>
      </c>
      <c r="N252" s="12" t="n">
        <v>-1475</v>
      </c>
      <c r="P252" s="12" t="n">
        <v>-6770</v>
      </c>
      <c r="Q252" s="12" t="n">
        <v>-8164</v>
      </c>
      <c r="R252" s="12" t="n">
        <v>-5330</v>
      </c>
      <c r="S252" s="12" t="n">
        <v>-4294</v>
      </c>
      <c r="T252" s="12" t="n">
        <v>-4826</v>
      </c>
      <c r="U252" s="12" t="n">
        <v>-4422</v>
      </c>
      <c r="V252" s="12" t="n">
        <v>-6466</v>
      </c>
      <c r="W252" s="12" t="n">
        <v>-3734</v>
      </c>
      <c r="X252" s="12" t="n">
        <v>-7658</v>
      </c>
    </row>
    <row r="253">
      <c r="A253" s="18" t="inlineStr">
        <is>
          <t>단기차입금 순증감액</t>
        </is>
      </c>
      <c r="C253" s="20" t="n">
        <v>-7512</v>
      </c>
      <c r="D253" s="20" t="n">
        <v>-6884</v>
      </c>
      <c r="E253" s="20" t="n">
        <v>-7173</v>
      </c>
      <c r="F253" s="20" t="n">
        <v>-467</v>
      </c>
      <c r="G253" s="20" t="n">
        <v>-915</v>
      </c>
      <c r="H253" s="20" t="n">
        <v>-1973</v>
      </c>
      <c r="I253" s="20" t="n">
        <v>-3435</v>
      </c>
      <c r="J253" s="20" t="n">
        <v>0</v>
      </c>
      <c r="K253" s="20" t="n">
        <v>-400</v>
      </c>
      <c r="L253" s="20" t="n">
        <v>-400</v>
      </c>
      <c r="M253" s="20" t="n">
        <v>52</v>
      </c>
      <c r="N253" s="20" t="n">
        <v>-478</v>
      </c>
      <c r="P253" s="20" t="n">
        <v>-1063</v>
      </c>
      <c r="Q253" s="20" t="n">
        <v>2447</v>
      </c>
      <c r="R253" s="20" t="n">
        <v>-200</v>
      </c>
      <c r="S253" s="20" t="n">
        <v>800</v>
      </c>
      <c r="T253" s="20" t="n">
        <v>2074</v>
      </c>
      <c r="U253" s="20" t="n">
        <v>1474</v>
      </c>
      <c r="V253" s="20" t="n">
        <v>-7173</v>
      </c>
      <c r="W253" s="20" t="n">
        <v>-3435</v>
      </c>
      <c r="X253" s="20" t="n">
        <v>52</v>
      </c>
    </row>
    <row r="254">
      <c r="A254" s="18" t="inlineStr">
        <is>
          <t>Proceeds From Long Term Borrowings Fin CF</t>
        </is>
      </c>
      <c r="C254" s="20" t="n">
        <v>1500</v>
      </c>
      <c r="D254" s="20" t="n">
        <v>2216</v>
      </c>
      <c r="E254" s="20" t="n">
        <v>2223</v>
      </c>
      <c r="F254" s="20" t="n">
        <v>0</v>
      </c>
      <c r="G254" s="20" t="n">
        <v>0</v>
      </c>
      <c r="H254" s="20" t="n">
        <v>0</v>
      </c>
      <c r="I254" s="20" t="n">
        <v>0</v>
      </c>
      <c r="L254" s="20" t="n">
        <v>100</v>
      </c>
      <c r="M254" s="20" t="n">
        <v>100</v>
      </c>
      <c r="P254" s="20" t="n">
        <v>4058</v>
      </c>
      <c r="Q254" s="20" t="n">
        <v>2987</v>
      </c>
      <c r="R254" s="20" t="n">
        <v>2000</v>
      </c>
      <c r="S254" s="20" t="n">
        <v>2300</v>
      </c>
      <c r="T254" s="20" t="n">
        <v>1123</v>
      </c>
      <c r="U254" s="20" t="n">
        <v>0</v>
      </c>
      <c r="V254" s="20" t="n">
        <v>2223</v>
      </c>
      <c r="W254" s="20" t="n">
        <v>0</v>
      </c>
      <c r="X254" s="20" t="n">
        <v>100</v>
      </c>
    </row>
    <row r="255">
      <c r="A255" s="18" t="inlineStr">
        <is>
          <t>장기차입금 상환</t>
        </is>
      </c>
      <c r="C255" s="20" t="n">
        <v>-1043</v>
      </c>
      <c r="D255" s="20" t="n">
        <v>-1605</v>
      </c>
      <c r="E255" s="20" t="n">
        <v>-2169</v>
      </c>
      <c r="F255" s="20" t="n">
        <v>-567</v>
      </c>
      <c r="G255" s="20" t="n">
        <v>-1152</v>
      </c>
      <c r="H255" s="20" t="n">
        <v>-1938</v>
      </c>
      <c r="I255" s="20" t="n">
        <v>-3710</v>
      </c>
      <c r="J255" s="20" t="n">
        <v>-309</v>
      </c>
      <c r="K255" s="20" t="n">
        <v>-590</v>
      </c>
      <c r="L255" s="20" t="n">
        <v>-849</v>
      </c>
      <c r="M255" s="20" t="n">
        <v>-1068</v>
      </c>
      <c r="N255" s="20" t="n">
        <v>-151</v>
      </c>
      <c r="P255" s="20" t="n">
        <v>-310</v>
      </c>
      <c r="Q255" s="20" t="n">
        <v>-326</v>
      </c>
      <c r="R255" s="20" t="n">
        <v>-1024</v>
      </c>
      <c r="S255" s="20" t="n">
        <v>-1586</v>
      </c>
      <c r="T255" s="20" t="n">
        <v>-1887</v>
      </c>
      <c r="U255" s="20" t="n">
        <v>-2006</v>
      </c>
      <c r="V255" s="20" t="n">
        <v>-2169</v>
      </c>
      <c r="W255" s="20" t="n">
        <v>-3710</v>
      </c>
      <c r="X255" s="20" t="n">
        <v>-1068</v>
      </c>
    </row>
    <row r="256">
      <c r="A256" s="18" t="inlineStr">
        <is>
          <t>자기주식 취득</t>
        </is>
      </c>
      <c r="C256" s="20" t="n">
        <v>-4</v>
      </c>
      <c r="D256" s="20" t="n">
        <v>-5</v>
      </c>
      <c r="E256" s="20" t="n">
        <v>-1145</v>
      </c>
      <c r="F256" s="20" t="n">
        <v>-1</v>
      </c>
      <c r="G256" s="20" t="n">
        <v>-3</v>
      </c>
      <c r="H256" s="20" t="n">
        <v>-4</v>
      </c>
      <c r="I256" s="20" t="n">
        <v>-6</v>
      </c>
      <c r="J256" s="20" t="n">
        <v>-974</v>
      </c>
      <c r="K256" s="20" t="n">
        <v>-976</v>
      </c>
      <c r="L256" s="20" t="n">
        <v>-977</v>
      </c>
      <c r="M256" s="20" t="n">
        <v>-977</v>
      </c>
      <c r="N256" s="20" t="n">
        <v>-0</v>
      </c>
      <c r="P256" s="20" t="n">
        <v>-969</v>
      </c>
      <c r="Q256" s="20" t="n">
        <v>-3</v>
      </c>
      <c r="R256" s="20" t="n">
        <v>-4</v>
      </c>
      <c r="S256" s="20" t="n">
        <v>-4</v>
      </c>
      <c r="T256" s="20" t="n">
        <v>-7</v>
      </c>
      <c r="U256" s="20" t="n">
        <v>-4</v>
      </c>
      <c r="V256" s="20" t="n">
        <v>-1145</v>
      </c>
      <c r="W256" s="20" t="n">
        <v>-6</v>
      </c>
      <c r="X256" s="20" t="n">
        <v>-977</v>
      </c>
    </row>
    <row r="257">
      <c r="A257" s="18" t="inlineStr">
        <is>
          <t>배당금 지급</t>
        </is>
      </c>
      <c r="C257" s="20" t="n">
        <v>-845</v>
      </c>
      <c r="D257" s="20" t="n">
        <v>-1694</v>
      </c>
      <c r="E257" s="20" t="n">
        <v>-1691</v>
      </c>
      <c r="F257" s="20" t="n">
        <v>-894</v>
      </c>
      <c r="G257" s="20" t="n">
        <v>-892</v>
      </c>
      <c r="H257" s="20" t="n">
        <v>-1787</v>
      </c>
      <c r="I257" s="20" t="n">
        <v>-1786</v>
      </c>
      <c r="J257" s="20" t="n">
        <v>-1074</v>
      </c>
      <c r="K257" s="20" t="n">
        <v>-1067</v>
      </c>
      <c r="L257" s="20" t="n">
        <v>-2251</v>
      </c>
      <c r="M257" s="20" t="n">
        <v>-2248</v>
      </c>
      <c r="N257" s="20" t="n">
        <v>-2490</v>
      </c>
      <c r="P257" s="20" t="n">
        <v>-1158</v>
      </c>
      <c r="Q257" s="20" t="n">
        <v>-1327</v>
      </c>
      <c r="R257" s="20" t="n">
        <v>-1270</v>
      </c>
      <c r="S257" s="20" t="n">
        <v>-908</v>
      </c>
      <c r="T257" s="20" t="n">
        <v>-1327</v>
      </c>
      <c r="U257" s="20" t="n">
        <v>-1509</v>
      </c>
      <c r="V257" s="20" t="n">
        <v>-1691</v>
      </c>
      <c r="W257" s="20" t="n">
        <v>-1786</v>
      </c>
      <c r="X257" s="20" t="n">
        <v>-2248</v>
      </c>
    </row>
    <row r="258">
      <c r="A258" s="18" t="inlineStr">
        <is>
          <t>기타</t>
        </is>
      </c>
      <c r="C258" s="20" t="n">
        <v>-343</v>
      </c>
      <c r="D258" s="20" t="n">
        <v>-534</v>
      </c>
      <c r="E258" s="20" t="n">
        <v>-710</v>
      </c>
      <c r="F258" s="20" t="n">
        <v>-196</v>
      </c>
      <c r="G258" s="20" t="n">
        <v>-385</v>
      </c>
      <c r="H258" s="20" t="n">
        <v>-558</v>
      </c>
      <c r="I258" s="20" t="n">
        <v>-749</v>
      </c>
      <c r="J258" s="20" t="n">
        <v>-188</v>
      </c>
      <c r="K258" s="20" t="n">
        <v>-400</v>
      </c>
      <c r="L258" s="20" t="n">
        <v>-585</v>
      </c>
      <c r="M258" s="20" t="n">
        <v>-780</v>
      </c>
      <c r="N258" s="20" t="n">
        <v>-194</v>
      </c>
      <c r="P258" s="20" t="n">
        <v>-133</v>
      </c>
      <c r="Q258" s="20" t="n">
        <v>-94</v>
      </c>
      <c r="R258" s="20" t="n">
        <v>-614</v>
      </c>
      <c r="S258" s="20" t="n">
        <v>-590</v>
      </c>
      <c r="T258" s="20" t="n">
        <v>-598</v>
      </c>
      <c r="U258" s="20" t="n">
        <v>-629</v>
      </c>
      <c r="V258" s="20" t="n">
        <v>-710</v>
      </c>
      <c r="W258" s="20" t="n">
        <v>-749</v>
      </c>
      <c r="X258" s="20" t="n">
        <v>-780</v>
      </c>
    </row>
    <row r="259">
      <c r="A259" s="9" t="inlineStr">
        <is>
          <t>재무활동 현금흐름</t>
        </is>
      </c>
      <c r="C259" s="12" t="n">
        <v>-8248</v>
      </c>
      <c r="D259" s="12" t="n">
        <v>-8507</v>
      </c>
      <c r="E259" s="12" t="n">
        <v>-10666</v>
      </c>
      <c r="F259" s="12" t="n">
        <v>-2127</v>
      </c>
      <c r="G259" s="12" t="n">
        <v>-3349</v>
      </c>
      <c r="H259" s="12" t="n">
        <v>-6262</v>
      </c>
      <c r="I259" s="12" t="n">
        <v>-9690</v>
      </c>
      <c r="J259" s="12" t="n">
        <v>-2546</v>
      </c>
      <c r="K259" s="12" t="n">
        <v>-3435</v>
      </c>
      <c r="L259" s="12" t="n">
        <v>-4963</v>
      </c>
      <c r="M259" s="12" t="n">
        <v>-4923</v>
      </c>
      <c r="N259" s="12" t="n">
        <v>-3315</v>
      </c>
      <c r="P259" s="12" t="n">
        <v>422</v>
      </c>
      <c r="Q259" s="12" t="n">
        <v>3682</v>
      </c>
      <c r="R259" s="12" t="n">
        <v>-1113</v>
      </c>
      <c r="S259" s="12" t="n">
        <v>10</v>
      </c>
      <c r="T259" s="12" t="n">
        <v>-622</v>
      </c>
      <c r="U259" s="12" t="n">
        <v>-2675</v>
      </c>
      <c r="V259" s="12" t="n">
        <v>-10666</v>
      </c>
      <c r="W259" s="12" t="n">
        <v>-9690</v>
      </c>
      <c r="X259" s="12" t="n">
        <v>-4923</v>
      </c>
    </row>
    <row r="260">
      <c r="A260" s="18" t="inlineStr">
        <is>
          <t>현금성자산 환산차이</t>
        </is>
      </c>
      <c r="C260" s="20" t="n">
        <v>1359</v>
      </c>
      <c r="D260" s="20" t="n">
        <v>811</v>
      </c>
      <c r="E260" s="20" t="n">
        <v>1819</v>
      </c>
      <c r="F260" s="20" t="n">
        <v>1147</v>
      </c>
      <c r="G260" s="20" t="n">
        <v>-755</v>
      </c>
      <c r="H260" s="20" t="n">
        <v>836</v>
      </c>
      <c r="I260" s="20" t="n">
        <v>-152</v>
      </c>
      <c r="J260" s="20" t="n">
        <v>-198</v>
      </c>
      <c r="K260" s="20" t="n">
        <v>288</v>
      </c>
      <c r="L260" s="20" t="n">
        <v>1232</v>
      </c>
      <c r="M260" s="20" t="n">
        <v>1573</v>
      </c>
      <c r="N260" s="20" t="n">
        <v>363</v>
      </c>
      <c r="P260" s="20" t="n">
        <v>-33</v>
      </c>
      <c r="Q260" s="20" t="n">
        <v>-66</v>
      </c>
      <c r="R260" s="20" t="n">
        <v>-335</v>
      </c>
      <c r="S260" s="20" t="n">
        <v>529</v>
      </c>
      <c r="T260" s="20" t="n">
        <v>1145</v>
      </c>
      <c r="U260" s="20" t="n">
        <v>609</v>
      </c>
      <c r="V260" s="20" t="n">
        <v>1819</v>
      </c>
      <c r="W260" s="20" t="n">
        <v>-152</v>
      </c>
      <c r="X260" s="20" t="n">
        <v>1573</v>
      </c>
    </row>
    <row r="261">
      <c r="A261" s="18" t="inlineStr">
        <is>
          <t>Net Increase Decrease In Cash And Cash Equivalents</t>
        </is>
      </c>
      <c r="C261" s="20" t="n">
        <v>815</v>
      </c>
      <c r="D261" s="20" t="n">
        <v>2725</v>
      </c>
      <c r="E261" s="20" t="n">
        <v>6138</v>
      </c>
      <c r="F261" s="20" t="n">
        <v>1944</v>
      </c>
      <c r="G261" s="20" t="n">
        <v>1818</v>
      </c>
      <c r="H261" s="20" t="n">
        <v>2798</v>
      </c>
      <c r="I261" s="20" t="n">
        <v>2211</v>
      </c>
      <c r="J261" s="20" t="n">
        <v>631</v>
      </c>
      <c r="K261" s="20" t="n">
        <v>1428</v>
      </c>
      <c r="L261" s="20" t="n">
        <v>531</v>
      </c>
      <c r="M261" s="20" t="n">
        <v>-178</v>
      </c>
      <c r="N261" s="20" t="n">
        <v>-3439</v>
      </c>
      <c r="P261" s="20" t="n">
        <v>-584</v>
      </c>
      <c r="Q261" s="20" t="n">
        <v>-1489</v>
      </c>
      <c r="R261" s="20" t="n">
        <v>1949</v>
      </c>
      <c r="S261" s="20" t="n">
        <v>1205</v>
      </c>
      <c r="T261" s="20" t="n">
        <v>3930</v>
      </c>
      <c r="U261" s="20" t="n">
        <v>1770</v>
      </c>
      <c r="V261" s="20" t="n">
        <v>6138</v>
      </c>
      <c r="W261" s="20" t="n">
        <v>2211</v>
      </c>
      <c r="X261" s="20" t="n">
        <v>-178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6516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94986</v>
      </c>
      <c r="D5" s="12" t="n">
        <v>99162</v>
      </c>
      <c r="E5" s="12" t="n">
        <v>104160</v>
      </c>
      <c r="F5" s="12" t="n">
        <v>107320</v>
      </c>
      <c r="G5" s="12" t="n">
        <v>110944</v>
      </c>
      <c r="H5" s="11" t="n">
        <v>84253</v>
      </c>
      <c r="I5" s="12" t="n">
        <v>99660</v>
      </c>
      <c r="J5" s="12" t="n">
        <v>96958</v>
      </c>
      <c r="K5" s="12" t="n">
        <v>94862</v>
      </c>
      <c r="L5" s="12" t="n">
        <v>107320</v>
      </c>
    </row>
    <row r="6">
      <c r="A6" s="18" t="inlineStr">
        <is>
          <t>현금및현금성자산</t>
        </is>
      </c>
      <c r="B6" s="10" t="n"/>
      <c r="C6" s="19" t="n">
        <v>29530</v>
      </c>
      <c r="D6" s="20" t="n">
        <v>30327</v>
      </c>
      <c r="E6" s="20" t="n">
        <v>29430</v>
      </c>
      <c r="F6" s="20" t="n">
        <v>28719</v>
      </c>
      <c r="G6" s="20" t="n">
        <v>25280</v>
      </c>
      <c r="H6" s="19" t="n">
        <v>18778</v>
      </c>
      <c r="I6" s="20" t="n">
        <v>20548</v>
      </c>
      <c r="J6" s="20" t="n">
        <v>26687</v>
      </c>
      <c r="K6" s="20" t="n">
        <v>28898</v>
      </c>
      <c r="L6" s="20" t="n">
        <v>28719</v>
      </c>
    </row>
    <row r="7">
      <c r="A7" s="18" t="inlineStr">
        <is>
          <t>단기금융상품</t>
        </is>
      </c>
      <c r="B7" s="10" t="n"/>
      <c r="C7" s="19" t="n">
        <v>1107</v>
      </c>
      <c r="D7" s="20" t="n">
        <v>3479</v>
      </c>
      <c r="E7" s="20" t="n">
        <v>4504</v>
      </c>
      <c r="F7" s="20" t="n">
        <v>5422</v>
      </c>
      <c r="G7" s="20" t="n">
        <v>6089</v>
      </c>
      <c r="H7" s="19" t="n">
        <v>267</v>
      </c>
      <c r="I7" s="20" t="n">
        <v>884</v>
      </c>
      <c r="J7" s="20" t="n">
        <v>691</v>
      </c>
      <c r="K7" s="20" t="n">
        <v>1594</v>
      </c>
      <c r="L7" s="20" t="n">
        <v>5422</v>
      </c>
    </row>
    <row r="8">
      <c r="A8" s="18" t="inlineStr">
        <is>
          <t>매출채권</t>
        </is>
      </c>
      <c r="B8" s="10" t="n"/>
      <c r="C8" s="19" t="n">
        <v>28610</v>
      </c>
      <c r="D8" s="20" t="n">
        <v>29025</v>
      </c>
      <c r="E8" s="20" t="n">
        <v>30675</v>
      </c>
      <c r="F8" s="20" t="n">
        <v>32044</v>
      </c>
      <c r="G8" s="20" t="n">
        <v>34127</v>
      </c>
      <c r="H8" s="19" t="n">
        <v>32374</v>
      </c>
      <c r="I8" s="20" t="n">
        <v>37303</v>
      </c>
      <c r="J8" s="20" t="n">
        <v>32095</v>
      </c>
      <c r="K8" s="20" t="n">
        <v>29143</v>
      </c>
      <c r="L8" s="20" t="n">
        <v>32044</v>
      </c>
    </row>
    <row r="9">
      <c r="A9" s="18" t="inlineStr">
        <is>
          <t>재고자산</t>
        </is>
      </c>
      <c r="B9" s="10" t="n"/>
      <c r="C9" s="19" t="n">
        <v>34397</v>
      </c>
      <c r="D9" s="20" t="n">
        <v>35119</v>
      </c>
      <c r="E9" s="20" t="n">
        <v>37736</v>
      </c>
      <c r="F9" s="20" t="n">
        <v>39860</v>
      </c>
      <c r="G9" s="20" t="n">
        <v>43353</v>
      </c>
      <c r="H9" s="19" t="n">
        <v>32286</v>
      </c>
      <c r="I9" s="20" t="n">
        <v>40123</v>
      </c>
      <c r="J9" s="20" t="n">
        <v>36848</v>
      </c>
      <c r="K9" s="20" t="n">
        <v>34151</v>
      </c>
      <c r="L9" s="20" t="n">
        <v>39860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51057</v>
      </c>
      <c r="D11" s="12" t="n">
        <v>53050</v>
      </c>
      <c r="E11" s="12" t="n">
        <v>55574</v>
      </c>
      <c r="F11" s="12" t="n">
        <v>59047</v>
      </c>
      <c r="G11" s="12" t="n">
        <v>64959</v>
      </c>
      <c r="H11" s="11" t="n">
        <v>44413</v>
      </c>
      <c r="I11" s="12" t="n">
        <v>44211</v>
      </c>
      <c r="J11" s="12" t="n">
        <v>53729</v>
      </c>
      <c r="K11" s="12" t="n">
        <v>50765</v>
      </c>
      <c r="L11" s="12" t="n">
        <v>59047</v>
      </c>
    </row>
    <row r="12">
      <c r="A12" s="18" t="inlineStr">
        <is>
          <t>유형자산</t>
        </is>
      </c>
      <c r="B12" s="10" t="n"/>
      <c r="C12" s="19" t="n">
        <v>23632</v>
      </c>
      <c r="D12" s="20" t="n">
        <v>23404</v>
      </c>
      <c r="E12" s="20" t="n">
        <v>23438</v>
      </c>
      <c r="F12" s="20" t="n">
        <v>23263</v>
      </c>
      <c r="G12" s="20" t="n">
        <v>23063</v>
      </c>
      <c r="H12" s="19" t="n">
        <v>24985</v>
      </c>
      <c r="I12" s="20" t="n">
        <v>24106</v>
      </c>
      <c r="J12" s="20" t="n">
        <v>27271</v>
      </c>
      <c r="K12" s="20" t="n">
        <v>24592</v>
      </c>
      <c r="L12" s="20" t="n">
        <v>23263</v>
      </c>
    </row>
    <row r="13">
      <c r="A13" s="18" t="inlineStr">
        <is>
          <t>무형자산</t>
        </is>
      </c>
      <c r="B13" s="10" t="n"/>
      <c r="C13" s="19" t="n">
        <v>5127</v>
      </c>
      <c r="D13" s="20" t="n">
        <v>5153</v>
      </c>
      <c r="E13" s="20" t="n">
        <v>5260</v>
      </c>
      <c r="F13" s="20" t="n">
        <v>5299</v>
      </c>
      <c r="G13" s="20" t="n">
        <v>5351</v>
      </c>
      <c r="H13" s="19" t="n">
        <v>5214</v>
      </c>
      <c r="I13" s="20" t="n">
        <v>4996</v>
      </c>
      <c r="J13" s="20" t="n">
        <v>4807</v>
      </c>
      <c r="K13" s="20" t="n">
        <v>4940</v>
      </c>
      <c r="L13" s="20" t="n">
        <v>5299</v>
      </c>
    </row>
    <row r="14">
      <c r="A14" s="18" t="inlineStr">
        <is>
          <t>투자부동산</t>
        </is>
      </c>
      <c r="B14" s="10" t="n"/>
      <c r="C14" s="19" t="n">
        <v>1503</v>
      </c>
      <c r="D14" s="20" t="n">
        <v>1503</v>
      </c>
      <c r="E14" s="20" t="n">
        <v>1503</v>
      </c>
      <c r="F14" s="20" t="n">
        <v>1503</v>
      </c>
      <c r="G14" s="20" t="n">
        <v>1503</v>
      </c>
      <c r="H14" s="19" t="n">
        <v>1503</v>
      </c>
      <c r="I14" s="20" t="n">
        <v>1503</v>
      </c>
      <c r="J14" s="20" t="n">
        <v>1503</v>
      </c>
      <c r="K14" s="20" t="n">
        <v>1503</v>
      </c>
      <c r="L14" s="20" t="n">
        <v>1503</v>
      </c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146044</v>
      </c>
      <c r="D16" s="12" t="n">
        <v>152213</v>
      </c>
      <c r="E16" s="12" t="n">
        <v>159734</v>
      </c>
      <c r="F16" s="12" t="n">
        <v>166367</v>
      </c>
      <c r="G16" s="12" t="n">
        <v>175904</v>
      </c>
      <c r="H16" s="11" t="n">
        <v>128667</v>
      </c>
      <c r="I16" s="12" t="n">
        <v>143871</v>
      </c>
      <c r="J16" s="12" t="n">
        <v>150688</v>
      </c>
      <c r="K16" s="12" t="n">
        <v>145628</v>
      </c>
      <c r="L16" s="12" t="n">
        <v>166367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24529</v>
      </c>
      <c r="D18" s="12" t="n">
        <v>25294</v>
      </c>
      <c r="E18" s="12" t="n">
        <v>26682</v>
      </c>
      <c r="F18" s="12" t="n">
        <v>27851</v>
      </c>
      <c r="G18" s="12" t="n">
        <v>30242</v>
      </c>
      <c r="H18" s="11" t="n">
        <v>36176</v>
      </c>
      <c r="I18" s="12" t="n">
        <v>41168</v>
      </c>
      <c r="J18" s="12" t="n">
        <v>30137</v>
      </c>
      <c r="K18" s="12" t="n">
        <v>23533</v>
      </c>
      <c r="L18" s="12" t="n">
        <v>27851</v>
      </c>
    </row>
    <row r="19">
      <c r="A19" s="18" t="inlineStr">
        <is>
          <t>매입채무</t>
        </is>
      </c>
      <c r="B19" s="10" t="n"/>
      <c r="C19" s="19" t="n">
        <v>17265</v>
      </c>
      <c r="D19" s="20" t="n">
        <v>18204</v>
      </c>
      <c r="E19" s="20" t="n">
        <v>19557</v>
      </c>
      <c r="F19" s="20" t="n">
        <v>19771</v>
      </c>
      <c r="G19" s="20" t="n">
        <v>22657</v>
      </c>
      <c r="H19" s="19" t="n">
        <v>18772</v>
      </c>
      <c r="I19" s="20" t="n">
        <v>21893</v>
      </c>
      <c r="J19" s="20" t="n">
        <v>17441</v>
      </c>
      <c r="K19" s="20" t="n">
        <v>16649</v>
      </c>
      <c r="L19" s="20" t="n">
        <v>19771</v>
      </c>
    </row>
    <row r="20">
      <c r="A20" s="18" t="inlineStr">
        <is>
          <t>단기차입금</t>
        </is>
      </c>
      <c r="B20" s="10" t="n"/>
      <c r="C20" s="19" t="n">
        <v>3100</v>
      </c>
      <c r="D20" s="20" t="n">
        <v>2567</v>
      </c>
      <c r="E20" s="20" t="n">
        <v>2475</v>
      </c>
      <c r="F20" s="20" t="n">
        <v>2887</v>
      </c>
      <c r="G20" s="20" t="n">
        <v>2407</v>
      </c>
      <c r="H20" s="19" t="n">
        <v>12862</v>
      </c>
      <c r="I20" s="20" t="n">
        <v>14440</v>
      </c>
      <c r="J20" s="20" t="n">
        <v>7984</v>
      </c>
      <c r="K20" s="20" t="n">
        <v>3263</v>
      </c>
      <c r="L20" s="20" t="n">
        <v>2887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>
        <v>607</v>
      </c>
      <c r="G21" s="20" t="n"/>
      <c r="H21" s="19" t="n">
        <v>1622</v>
      </c>
      <c r="I21" s="20" t="n">
        <v>1622</v>
      </c>
      <c r="J21" s="20" t="n">
        <v>1920</v>
      </c>
      <c r="K21" s="20" t="n">
        <v>1063</v>
      </c>
      <c r="L21" s="20" t="n">
        <v>607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8863</v>
      </c>
      <c r="D23" s="12" t="n">
        <v>9172</v>
      </c>
      <c r="E23" s="12" t="n">
        <v>10401</v>
      </c>
      <c r="F23" s="12" t="n">
        <v>10654</v>
      </c>
      <c r="G23" s="12" t="n">
        <v>12208</v>
      </c>
      <c r="H23" s="11" t="n">
        <v>11835</v>
      </c>
      <c r="I23" s="12" t="n">
        <v>9486</v>
      </c>
      <c r="J23" s="12" t="n">
        <v>10177</v>
      </c>
      <c r="K23" s="12" t="n">
        <v>8747</v>
      </c>
      <c r="L23" s="12" t="n">
        <v>10654</v>
      </c>
    </row>
    <row r="24">
      <c r="A24" s="18" t="inlineStr">
        <is>
          <t>장기차입금</t>
        </is>
      </c>
      <c r="B24" s="10" t="n"/>
      <c r="C24" s="19" t="n">
        <v>1390</v>
      </c>
      <c r="D24" s="20" t="n">
        <v>1243</v>
      </c>
      <c r="E24" s="20" t="n">
        <v>1176</v>
      </c>
      <c r="F24" s="20" t="n">
        <v>1025</v>
      </c>
      <c r="G24" s="20" t="n">
        <v>873</v>
      </c>
      <c r="H24" s="19" t="n">
        <v>5984</v>
      </c>
      <c r="I24" s="20" t="n">
        <v>4158</v>
      </c>
      <c r="J24" s="20" t="n">
        <v>3934</v>
      </c>
      <c r="K24" s="20" t="n">
        <v>1537</v>
      </c>
      <c r="L24" s="20" t="n">
        <v>1025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33392</v>
      </c>
      <c r="D27" s="12" t="n">
        <v>34467</v>
      </c>
      <c r="E27" s="12" t="n">
        <v>37084</v>
      </c>
      <c r="F27" s="12" t="n">
        <v>38506</v>
      </c>
      <c r="G27" s="12" t="n">
        <v>42450</v>
      </c>
      <c r="H27" s="11" t="n">
        <v>48012</v>
      </c>
      <c r="I27" s="12" t="n">
        <v>50654</v>
      </c>
      <c r="J27" s="12" t="n">
        <v>40314</v>
      </c>
      <c r="K27" s="12" t="n">
        <v>32280</v>
      </c>
      <c r="L27" s="12" t="n">
        <v>38506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112651</v>
      </c>
      <c r="D31" s="12" t="n">
        <v>117745</v>
      </c>
      <c r="E31" s="12" t="n">
        <v>122649</v>
      </c>
      <c r="F31" s="12" t="n">
        <v>127860</v>
      </c>
      <c r="G31" s="12" t="n">
        <v>133453</v>
      </c>
      <c r="H31" s="11" t="n">
        <v>80645</v>
      </c>
      <c r="I31" s="12" t="n">
        <v>93205</v>
      </c>
      <c r="J31" s="12" t="n">
        <v>110358</v>
      </c>
      <c r="K31" s="12" t="n">
        <v>113347</v>
      </c>
      <c r="L31" s="12" t="n">
        <v>127860</v>
      </c>
    </row>
    <row r="32">
      <c r="A32" s="18" t="inlineStr">
        <is>
          <t>자본금</t>
        </is>
      </c>
      <c r="B32" s="10" t="n"/>
      <c r="C32" s="19" t="n">
        <v>9926</v>
      </c>
      <c r="D32" s="20" t="n">
        <v>9926</v>
      </c>
      <c r="E32" s="20" t="n">
        <v>9926</v>
      </c>
      <c r="F32" s="20" t="n">
        <v>9926</v>
      </c>
      <c r="G32" s="20" t="n">
        <v>9926</v>
      </c>
      <c r="H32" s="19" t="n">
        <v>9926</v>
      </c>
      <c r="I32" s="20" t="n">
        <v>9926</v>
      </c>
      <c r="J32" s="20" t="n">
        <v>9926</v>
      </c>
      <c r="K32" s="20" t="n">
        <v>9926</v>
      </c>
      <c r="L32" s="20" t="n">
        <v>9926</v>
      </c>
    </row>
    <row r="33">
      <c r="A33" s="18" t="inlineStr">
        <is>
          <t>이익잉여금</t>
        </is>
      </c>
      <c r="B33" s="10" t="n"/>
      <c r="C33" s="19" t="n">
        <v>85055</v>
      </c>
      <c r="D33" s="20" t="n">
        <v>88175</v>
      </c>
      <c r="E33" s="20" t="n">
        <v>89802</v>
      </c>
      <c r="F33" s="20" t="n">
        <v>93698</v>
      </c>
      <c r="G33" s="20" t="n">
        <v>95216</v>
      </c>
      <c r="H33" s="19" t="n">
        <v>57198</v>
      </c>
      <c r="I33" s="20" t="n">
        <v>67631</v>
      </c>
      <c r="J33" s="20" t="n">
        <v>79373</v>
      </c>
      <c r="K33" s="20" t="n">
        <v>84726</v>
      </c>
      <c r="L33" s="20" t="n">
        <v>93698</v>
      </c>
    </row>
    <row r="34">
      <c r="A34" s="18" t="inlineStr">
        <is>
          <t>비지배지분</t>
        </is>
      </c>
      <c r="B34" s="10" t="n"/>
      <c r="C34" s="19" t="n">
        <v>0</v>
      </c>
      <c r="D34" s="20" t="n">
        <v>0</v>
      </c>
      <c r="E34" s="20" t="n">
        <v>0</v>
      </c>
      <c r="F34" s="20" t="n">
        <v>0</v>
      </c>
      <c r="G34" s="20" t="n">
        <v>0</v>
      </c>
      <c r="H34" s="19" t="n">
        <v>9</v>
      </c>
      <c r="I34" s="20" t="n">
        <v>11</v>
      </c>
      <c r="J34" s="20" t="n">
        <v>14</v>
      </c>
      <c r="K34" s="20" t="n">
        <v>0</v>
      </c>
      <c r="L34" s="20" t="n">
        <v>0</v>
      </c>
    </row>
    <row r="35">
      <c r="A35" s="9" t="inlineStr">
        <is>
          <t>자본총계</t>
        </is>
      </c>
      <c r="B35" s="10" t="n"/>
      <c r="C35" s="11" t="n">
        <v>112651</v>
      </c>
      <c r="D35" s="12" t="n">
        <v>117745</v>
      </c>
      <c r="E35" s="12" t="n">
        <v>122650</v>
      </c>
      <c r="F35" s="12" t="n">
        <v>127861</v>
      </c>
      <c r="G35" s="12" t="n">
        <v>133454</v>
      </c>
      <c r="H35" s="11" t="n">
        <v>80655</v>
      </c>
      <c r="I35" s="12" t="n">
        <v>93217</v>
      </c>
      <c r="J35" s="12" t="n">
        <v>110373</v>
      </c>
      <c r="K35" s="12" t="n">
        <v>113347</v>
      </c>
      <c r="L35" s="12" t="n">
        <v>127861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14738</v>
      </c>
      <c r="D37" s="12" t="n">
        <v>15032</v>
      </c>
      <c r="E37" s="12" t="n">
        <v>13399</v>
      </c>
      <c r="F37" s="12" t="n">
        <v>10829</v>
      </c>
      <c r="G37" s="12" t="n">
        <v>8167</v>
      </c>
      <c r="H37" s="11" t="n">
        <v>8234</v>
      </c>
      <c r="I37" s="12" t="n">
        <v>8258</v>
      </c>
      <c r="J37" s="12" t="n">
        <v>21452</v>
      </c>
      <c r="K37" s="12" t="n">
        <v>15788</v>
      </c>
      <c r="L37" s="12" t="n">
        <v>10829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3173</v>
      </c>
      <c r="D38" s="20" t="n">
        <v>3013</v>
      </c>
      <c r="E38" s="20" t="n">
        <v>3129</v>
      </c>
      <c r="F38" s="20" t="n">
        <v>2857</v>
      </c>
      <c r="G38" s="20" t="n">
        <v>3024</v>
      </c>
      <c r="H38" s="19" t="n">
        <v>4694</v>
      </c>
      <c r="I38" s="20" t="n">
        <v>4026</v>
      </c>
      <c r="J38" s="20" t="n">
        <v>6759</v>
      </c>
      <c r="K38" s="20" t="n">
        <v>3801</v>
      </c>
      <c r="L38" s="20" t="n">
        <v>2857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1966</v>
      </c>
      <c r="D40" s="20" t="n">
        <v>1961</v>
      </c>
      <c r="E40" s="20" t="n">
        <v>2250</v>
      </c>
      <c r="F40" s="20" t="n">
        <v>2248</v>
      </c>
      <c r="G40" s="20" t="n">
        <v>3664</v>
      </c>
      <c r="H40" s="19" t="n">
        <v>1327</v>
      </c>
      <c r="I40" s="20" t="n">
        <v>1509</v>
      </c>
      <c r="J40" s="20" t="n">
        <v>1691</v>
      </c>
      <c r="K40" s="20" t="n">
        <v>1786</v>
      </c>
      <c r="L40" s="20" t="n">
        <v>2248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29530</v>
      </c>
      <c r="D71" s="20" t="n">
        <v>30327</v>
      </c>
      <c r="E71" s="20" t="n">
        <v>29430</v>
      </c>
      <c r="F71" s="20" t="n">
        <v>28719</v>
      </c>
      <c r="G71" s="20" t="n">
        <v>25280</v>
      </c>
      <c r="H71" s="20" t="n">
        <v>18778</v>
      </c>
      <c r="I71" s="20" t="n">
        <v>20548</v>
      </c>
      <c r="J71" s="20" t="n">
        <v>26687</v>
      </c>
      <c r="K71" s="20" t="n">
        <v>28898</v>
      </c>
      <c r="L71" s="20" t="n">
        <v>28719</v>
      </c>
    </row>
    <row r="72">
      <c r="A72" s="18" t="inlineStr">
        <is>
          <t>영업채권 및 기타채권</t>
        </is>
      </c>
      <c r="C72" s="20" t="n">
        <v>28610</v>
      </c>
      <c r="D72" s="20" t="n">
        <v>29025</v>
      </c>
      <c r="E72" s="20" t="n">
        <v>30675</v>
      </c>
      <c r="F72" s="20" t="n">
        <v>32044</v>
      </c>
      <c r="G72" s="20" t="n">
        <v>34127</v>
      </c>
      <c r="H72" s="20" t="n">
        <v>32374</v>
      </c>
      <c r="I72" s="20" t="n">
        <v>37303</v>
      </c>
      <c r="J72" s="20" t="n">
        <v>32095</v>
      </c>
      <c r="K72" s="20" t="n">
        <v>29143</v>
      </c>
      <c r="L72" s="20" t="n">
        <v>32044</v>
      </c>
    </row>
    <row r="73">
      <c r="A73" s="18" t="inlineStr">
        <is>
          <t>기타금융자산</t>
        </is>
      </c>
      <c r="C73" s="20" t="n">
        <v>1107</v>
      </c>
      <c r="D73" s="20" t="n">
        <v>3479</v>
      </c>
      <c r="E73" s="20" t="n">
        <v>4504</v>
      </c>
      <c r="F73" s="20" t="n">
        <v>5422</v>
      </c>
      <c r="G73" s="20" t="n">
        <v>6089</v>
      </c>
      <c r="H73" s="20" t="n">
        <v>267</v>
      </c>
      <c r="I73" s="20" t="n">
        <v>884</v>
      </c>
      <c r="J73" s="20" t="n">
        <v>691</v>
      </c>
      <c r="K73" s="20" t="n">
        <v>1594</v>
      </c>
      <c r="L73" s="20" t="n">
        <v>5422</v>
      </c>
    </row>
    <row r="74">
      <c r="A74" s="18" t="inlineStr">
        <is>
          <t>재고자산</t>
        </is>
      </c>
      <c r="C74" s="20" t="n">
        <v>34397</v>
      </c>
      <c r="D74" s="20" t="n">
        <v>35119</v>
      </c>
      <c r="E74" s="20" t="n">
        <v>37736</v>
      </c>
      <c r="F74" s="20" t="n">
        <v>39860</v>
      </c>
      <c r="G74" s="20" t="n">
        <v>43353</v>
      </c>
      <c r="H74" s="20" t="n">
        <v>32286</v>
      </c>
      <c r="I74" s="20" t="n">
        <v>40123</v>
      </c>
      <c r="J74" s="20" t="n">
        <v>36848</v>
      </c>
      <c r="K74" s="20" t="n">
        <v>34151</v>
      </c>
      <c r="L74" s="20" t="n">
        <v>39860</v>
      </c>
    </row>
    <row r="75">
      <c r="A75" s="18" t="inlineStr">
        <is>
          <t>기타유동자산</t>
        </is>
      </c>
      <c r="C75" s="20" t="n">
        <v>1341</v>
      </c>
      <c r="D75" s="20" t="n">
        <v>1209</v>
      </c>
      <c r="E75" s="20" t="n">
        <v>1812</v>
      </c>
      <c r="F75" s="20" t="n">
        <v>1273</v>
      </c>
      <c r="G75" s="20" t="n">
        <v>2093</v>
      </c>
      <c r="H75" s="20" t="n">
        <v>547</v>
      </c>
      <c r="I75" s="20" t="n">
        <v>801</v>
      </c>
      <c r="J75" s="20" t="n">
        <v>635</v>
      </c>
      <c r="K75" s="20" t="n">
        <v>1074</v>
      </c>
      <c r="L75" s="20" t="n">
        <v>1273</v>
      </c>
    </row>
    <row r="76">
      <c r="A76" s="9" t="inlineStr">
        <is>
          <t>유동자산 합계</t>
        </is>
      </c>
      <c r="C76" s="12" t="n">
        <v>94986</v>
      </c>
      <c r="D76" s="12" t="n">
        <v>99162</v>
      </c>
      <c r="E76" s="12" t="n">
        <v>104160</v>
      </c>
      <c r="F76" s="12" t="n">
        <v>107320</v>
      </c>
      <c r="G76" s="12" t="n">
        <v>110944</v>
      </c>
      <c r="H76" s="12" t="n">
        <v>84253</v>
      </c>
      <c r="I76" s="12" t="n">
        <v>99660</v>
      </c>
      <c r="J76" s="12" t="n">
        <v>96958</v>
      </c>
      <c r="K76" s="12" t="n">
        <v>94862</v>
      </c>
      <c r="L76" s="12" t="n">
        <v>107320</v>
      </c>
    </row>
    <row r="77">
      <c r="A77" s="18" t="inlineStr">
        <is>
          <t>유형자산</t>
        </is>
      </c>
      <c r="C77" s="20" t="n">
        <v>23632</v>
      </c>
      <c r="D77" s="20" t="n">
        <v>23404</v>
      </c>
      <c r="E77" s="20" t="n">
        <v>23438</v>
      </c>
      <c r="F77" s="20" t="n">
        <v>23263</v>
      </c>
      <c r="G77" s="20" t="n">
        <v>23063</v>
      </c>
      <c r="H77" s="20" t="n">
        <v>24985</v>
      </c>
      <c r="I77" s="20" t="n">
        <v>24106</v>
      </c>
      <c r="J77" s="20" t="n">
        <v>27271</v>
      </c>
      <c r="K77" s="20" t="n">
        <v>24592</v>
      </c>
      <c r="L77" s="20" t="n">
        <v>23263</v>
      </c>
    </row>
    <row r="78">
      <c r="A78" s="18" t="inlineStr">
        <is>
          <t>무형자산</t>
        </is>
      </c>
      <c r="C78" s="20" t="n">
        <v>5127</v>
      </c>
      <c r="D78" s="20" t="n">
        <v>5153</v>
      </c>
      <c r="E78" s="20" t="n">
        <v>5260</v>
      </c>
      <c r="F78" s="20" t="n">
        <v>5299</v>
      </c>
      <c r="G78" s="20" t="n">
        <v>5351</v>
      </c>
      <c r="H78" s="20" t="n">
        <v>5214</v>
      </c>
      <c r="I78" s="20" t="n">
        <v>4996</v>
      </c>
      <c r="J78" s="20" t="n">
        <v>4807</v>
      </c>
      <c r="K78" s="20" t="n">
        <v>4940</v>
      </c>
      <c r="L78" s="20" t="n">
        <v>5299</v>
      </c>
    </row>
    <row r="79">
      <c r="A79" s="18" t="inlineStr">
        <is>
          <t>사용권자산</t>
        </is>
      </c>
      <c r="C79" s="20" t="n">
        <v>2456</v>
      </c>
      <c r="D79" s="20" t="n">
        <v>2317</v>
      </c>
      <c r="E79" s="20" t="n">
        <v>2331</v>
      </c>
      <c r="F79" s="20" t="n">
        <v>3493</v>
      </c>
      <c r="G79" s="20" t="n">
        <v>3449</v>
      </c>
      <c r="H79" s="20" t="n">
        <v>1604</v>
      </c>
      <c r="I79" s="20" t="n">
        <v>1766</v>
      </c>
      <c r="J79" s="20" t="n">
        <v>2854</v>
      </c>
      <c r="K79" s="20" t="n">
        <v>2699</v>
      </c>
      <c r="L79" s="20" t="n">
        <v>3493</v>
      </c>
    </row>
    <row r="80">
      <c r="A80" s="18" t="inlineStr">
        <is>
          <t>Investment Property</t>
        </is>
      </c>
      <c r="C80" s="20" t="n">
        <v>1503</v>
      </c>
      <c r="D80" s="20" t="n">
        <v>1503</v>
      </c>
      <c r="E80" s="20" t="n">
        <v>1503</v>
      </c>
      <c r="F80" s="20" t="n">
        <v>1503</v>
      </c>
      <c r="G80" s="20" t="n">
        <v>1503</v>
      </c>
      <c r="H80" s="20" t="n">
        <v>1503</v>
      </c>
      <c r="I80" s="20" t="n">
        <v>1503</v>
      </c>
      <c r="J80" s="20" t="n">
        <v>1503</v>
      </c>
      <c r="K80" s="20" t="n">
        <v>1503</v>
      </c>
      <c r="L80" s="20" t="n">
        <v>1503</v>
      </c>
    </row>
    <row r="81">
      <c r="A81" s="18" t="inlineStr">
        <is>
          <t>기타금융자산</t>
        </is>
      </c>
      <c r="C81" s="20" t="n">
        <v>12634</v>
      </c>
      <c r="D81" s="20" t="n">
        <v>13790</v>
      </c>
      <c r="E81" s="20" t="n">
        <v>15104</v>
      </c>
      <c r="F81" s="20" t="n">
        <v>15854</v>
      </c>
      <c r="G81" s="20" t="n">
        <v>20288</v>
      </c>
      <c r="H81" s="20" t="n">
        <v>10437</v>
      </c>
      <c r="I81" s="20" t="n">
        <v>11002</v>
      </c>
      <c r="J81" s="20" t="n">
        <v>14462</v>
      </c>
      <c r="K81" s="20" t="n">
        <v>11845</v>
      </c>
      <c r="L81" s="20" t="n">
        <v>15854</v>
      </c>
    </row>
    <row r="82">
      <c r="A82" s="18" t="inlineStr">
        <is>
          <t>퇴직급여자산</t>
        </is>
      </c>
      <c r="C82" s="20" t="n">
        <v>5065</v>
      </c>
      <c r="D82" s="20" t="n">
        <v>6137</v>
      </c>
      <c r="E82" s="20" t="n">
        <v>7053</v>
      </c>
      <c r="F82" s="20" t="n">
        <v>8561</v>
      </c>
      <c r="G82" s="20" t="n">
        <v>10144</v>
      </c>
      <c r="I82" s="20" t="n">
        <v>0</v>
      </c>
      <c r="J82" s="20" t="n">
        <v>2053</v>
      </c>
      <c r="K82" s="20" t="n">
        <v>4423</v>
      </c>
      <c r="L82" s="20" t="n">
        <v>8561</v>
      </c>
    </row>
    <row r="83">
      <c r="A83" s="18" t="inlineStr">
        <is>
          <t>이연법인세자산</t>
        </is>
      </c>
      <c r="C83" s="20" t="n">
        <v>542</v>
      </c>
      <c r="D83" s="20" t="n">
        <v>653</v>
      </c>
      <c r="E83" s="20" t="n">
        <v>716</v>
      </c>
      <c r="F83" s="20" t="n">
        <v>913</v>
      </c>
      <c r="G83" s="20" t="n">
        <v>1003</v>
      </c>
      <c r="H83" s="20" t="n">
        <v>420</v>
      </c>
      <c r="I83" s="20" t="n">
        <v>686</v>
      </c>
      <c r="J83" s="20" t="n">
        <v>643</v>
      </c>
      <c r="K83" s="20" t="n">
        <v>613</v>
      </c>
      <c r="L83" s="20" t="n">
        <v>913</v>
      </c>
    </row>
    <row r="84">
      <c r="A84" s="18" t="inlineStr">
        <is>
          <t>기타비유동자산</t>
        </is>
      </c>
      <c r="C84" s="20" t="n">
        <v>95</v>
      </c>
      <c r="D84" s="20" t="n">
        <v>89</v>
      </c>
      <c r="E84" s="20" t="n">
        <v>165</v>
      </c>
      <c r="F84" s="20" t="n">
        <v>157</v>
      </c>
      <c r="G84" s="20" t="n">
        <v>154</v>
      </c>
      <c r="H84" s="20" t="n">
        <v>247</v>
      </c>
      <c r="I84" s="20" t="n">
        <v>148</v>
      </c>
      <c r="J84" s="20" t="n">
        <v>133</v>
      </c>
      <c r="K84" s="20" t="n">
        <v>146</v>
      </c>
      <c r="L84" s="20" t="n">
        <v>157</v>
      </c>
    </row>
    <row r="85">
      <c r="A85" s="18" t="inlineStr">
        <is>
          <t>비유동자산 합계</t>
        </is>
      </c>
      <c r="C85" s="20" t="n">
        <v>51057</v>
      </c>
      <c r="D85" s="20" t="n">
        <v>53050</v>
      </c>
      <c r="E85" s="20" t="n">
        <v>55574</v>
      </c>
      <c r="F85" s="20" t="n">
        <v>59047</v>
      </c>
      <c r="G85" s="20" t="n">
        <v>64959</v>
      </c>
      <c r="H85" s="20" t="n">
        <v>44413</v>
      </c>
      <c r="I85" s="20" t="n">
        <v>44211</v>
      </c>
      <c r="J85" s="20" t="n">
        <v>53729</v>
      </c>
      <c r="K85" s="20" t="n">
        <v>50765</v>
      </c>
      <c r="L85" s="20" t="n">
        <v>59047</v>
      </c>
    </row>
    <row r="86">
      <c r="A86" s="18" t="inlineStr">
        <is>
          <t>자산 합계</t>
        </is>
      </c>
      <c r="C86" s="20" t="n">
        <v>146044</v>
      </c>
      <c r="D86" s="20" t="n">
        <v>152213</v>
      </c>
      <c r="E86" s="20" t="n">
        <v>159734</v>
      </c>
      <c r="F86" s="20" t="n">
        <v>166367</v>
      </c>
      <c r="G86" s="20" t="n">
        <v>175904</v>
      </c>
      <c r="H86" s="20" t="n">
        <v>128667</v>
      </c>
      <c r="I86" s="20" t="n">
        <v>143871</v>
      </c>
      <c r="J86" s="20" t="n">
        <v>150688</v>
      </c>
      <c r="K86" s="20" t="n">
        <v>145628</v>
      </c>
      <c r="L86" s="20" t="n">
        <v>166367</v>
      </c>
    </row>
    <row r="87">
      <c r="A87" s="18" t="inlineStr">
        <is>
          <t>영업채무 및 기타채무</t>
        </is>
      </c>
      <c r="C87" s="20" t="n">
        <v>17265</v>
      </c>
      <c r="D87" s="20" t="n">
        <v>18204</v>
      </c>
      <c r="E87" s="20" t="n">
        <v>19557</v>
      </c>
      <c r="F87" s="20" t="n">
        <v>19771</v>
      </c>
      <c r="G87" s="20" t="n">
        <v>22657</v>
      </c>
      <c r="H87" s="20" t="n">
        <v>18772</v>
      </c>
      <c r="I87" s="20" t="n">
        <v>21893</v>
      </c>
      <c r="J87" s="20" t="n">
        <v>17441</v>
      </c>
      <c r="K87" s="20" t="n">
        <v>16649</v>
      </c>
      <c r="L87" s="20" t="n">
        <v>19771</v>
      </c>
    </row>
    <row r="88">
      <c r="A88" s="18" t="inlineStr">
        <is>
          <t>차입금</t>
        </is>
      </c>
      <c r="C88" s="20" t="n">
        <v>3100</v>
      </c>
      <c r="D88" s="20" t="n">
        <v>2567</v>
      </c>
      <c r="E88" s="20" t="n">
        <v>2475</v>
      </c>
      <c r="F88" s="20" t="n">
        <v>2887</v>
      </c>
      <c r="G88" s="20" t="n">
        <v>2407</v>
      </c>
      <c r="H88" s="20" t="n">
        <v>12862</v>
      </c>
      <c r="I88" s="20" t="n">
        <v>14440</v>
      </c>
      <c r="J88" s="20" t="n">
        <v>7984</v>
      </c>
      <c r="K88" s="20" t="n">
        <v>3263</v>
      </c>
      <c r="L88" s="20" t="n">
        <v>2887</v>
      </c>
    </row>
    <row r="89">
      <c r="A89" s="18" t="inlineStr">
        <is>
          <t>리스부채</t>
        </is>
      </c>
      <c r="C89" s="20" t="n">
        <v>829</v>
      </c>
      <c r="D89" s="20" t="n">
        <v>824</v>
      </c>
      <c r="E89" s="20" t="n">
        <v>842</v>
      </c>
      <c r="F89" s="20" t="n">
        <v>821</v>
      </c>
      <c r="G89" s="20" t="n">
        <v>839</v>
      </c>
      <c r="H89" s="20" t="n">
        <v>651</v>
      </c>
      <c r="I89" s="20" t="n">
        <v>623</v>
      </c>
      <c r="J89" s="20" t="n">
        <v>795</v>
      </c>
      <c r="K89" s="20" t="n">
        <v>850</v>
      </c>
      <c r="L89" s="20" t="n">
        <v>821</v>
      </c>
    </row>
    <row r="90">
      <c r="A90" s="18" t="inlineStr">
        <is>
          <t>기타금융부채</t>
        </is>
      </c>
      <c r="C90" s="20" t="n">
        <v>127</v>
      </c>
      <c r="D90" s="20" t="n">
        <v>104</v>
      </c>
      <c r="E90" s="20" t="n">
        <v>68</v>
      </c>
      <c r="F90" s="20" t="n">
        <v>70</v>
      </c>
      <c r="G90" s="20" t="n">
        <v>106</v>
      </c>
      <c r="H90" s="20" t="n">
        <v>247</v>
      </c>
      <c r="I90" s="20" t="n">
        <v>199</v>
      </c>
      <c r="J90" s="20" t="n">
        <v>74</v>
      </c>
      <c r="K90" s="20" t="n">
        <v>36</v>
      </c>
      <c r="L90" s="20" t="n">
        <v>70</v>
      </c>
    </row>
    <row r="91">
      <c r="A91" s="18" t="inlineStr">
        <is>
          <t>미지급법인세 등</t>
        </is>
      </c>
      <c r="C91" s="20" t="n">
        <v>225</v>
      </c>
      <c r="D91" s="20" t="n">
        <v>1249</v>
      </c>
      <c r="E91" s="20" t="n">
        <v>1040</v>
      </c>
      <c r="F91" s="20" t="n">
        <v>2025</v>
      </c>
      <c r="G91" s="20" t="n">
        <v>1522</v>
      </c>
      <c r="H91" s="20" t="n">
        <v>1859</v>
      </c>
      <c r="I91" s="20" t="n">
        <v>1673</v>
      </c>
      <c r="J91" s="20" t="n">
        <v>1136</v>
      </c>
      <c r="K91" s="20" t="n">
        <v>368</v>
      </c>
      <c r="L91" s="20" t="n">
        <v>2025</v>
      </c>
    </row>
    <row r="92">
      <c r="A92" s="18" t="inlineStr">
        <is>
          <t>기타유동부채</t>
        </is>
      </c>
      <c r="C92" s="20" t="n">
        <v>2979</v>
      </c>
      <c r="D92" s="20" t="n">
        <v>2344</v>
      </c>
      <c r="E92" s="20" t="n">
        <v>2698</v>
      </c>
      <c r="F92" s="20" t="n">
        <v>2275</v>
      </c>
      <c r="G92" s="20" t="n">
        <v>2709</v>
      </c>
      <c r="H92" s="20" t="n">
        <v>1783</v>
      </c>
      <c r="I92" s="20" t="n">
        <v>2338</v>
      </c>
      <c r="J92" s="20" t="n">
        <v>2705</v>
      </c>
      <c r="K92" s="20" t="n">
        <v>2364</v>
      </c>
      <c r="L92" s="20" t="n">
        <v>2275</v>
      </c>
    </row>
    <row r="93">
      <c r="A93" s="18" t="inlineStr">
        <is>
          <t>유동부채 합계</t>
        </is>
      </c>
      <c r="C93" s="20" t="n">
        <v>24529</v>
      </c>
      <c r="D93" s="20" t="n">
        <v>25294</v>
      </c>
      <c r="E93" s="20" t="n">
        <v>26682</v>
      </c>
      <c r="F93" s="20" t="n">
        <v>27851</v>
      </c>
      <c r="G93" s="20" t="n">
        <v>30242</v>
      </c>
      <c r="H93" s="20" t="n">
        <v>36176</v>
      </c>
      <c r="I93" s="20" t="n">
        <v>41168</v>
      </c>
      <c r="J93" s="20" t="n">
        <v>30137</v>
      </c>
      <c r="K93" s="20" t="n">
        <v>23533</v>
      </c>
      <c r="L93" s="20" t="n">
        <v>27851</v>
      </c>
    </row>
    <row r="94">
      <c r="A94" s="18" t="inlineStr">
        <is>
          <t>차입금</t>
        </is>
      </c>
      <c r="C94" s="20" t="n">
        <v>1390</v>
      </c>
      <c r="D94" s="20" t="n">
        <v>1243</v>
      </c>
      <c r="E94" s="20" t="n">
        <v>1176</v>
      </c>
      <c r="F94" s="20" t="n">
        <v>1025</v>
      </c>
      <c r="G94" s="20" t="n">
        <v>873</v>
      </c>
      <c r="H94" s="20" t="n">
        <v>5984</v>
      </c>
      <c r="I94" s="20" t="n">
        <v>4158</v>
      </c>
      <c r="J94" s="20" t="n">
        <v>3934</v>
      </c>
      <c r="K94" s="20" t="n">
        <v>1537</v>
      </c>
      <c r="L94" s="20" t="n">
        <v>1025</v>
      </c>
    </row>
    <row r="95">
      <c r="A95" s="18" t="inlineStr">
        <is>
          <t>리스부채</t>
        </is>
      </c>
      <c r="C95" s="20" t="n">
        <v>1420</v>
      </c>
      <c r="D95" s="20" t="n">
        <v>1282</v>
      </c>
      <c r="E95" s="20" t="n">
        <v>1266</v>
      </c>
      <c r="F95" s="20" t="n">
        <v>1261</v>
      </c>
      <c r="G95" s="20" t="n">
        <v>1187</v>
      </c>
      <c r="H95" s="20" t="n">
        <v>755</v>
      </c>
      <c r="I95" s="20" t="n">
        <v>933</v>
      </c>
      <c r="J95" s="20" t="n">
        <v>1816</v>
      </c>
      <c r="K95" s="20" t="n">
        <v>1631</v>
      </c>
      <c r="L95" s="20" t="n">
        <v>1261</v>
      </c>
    </row>
    <row r="96">
      <c r="A96" s="18" t="inlineStr">
        <is>
          <t>퇴직급여부채</t>
        </is>
      </c>
      <c r="C96" s="20" t="n">
        <v>574</v>
      </c>
      <c r="D96" s="20" t="n">
        <v>574</v>
      </c>
      <c r="E96" s="20" t="n">
        <v>734</v>
      </c>
      <c r="F96" s="20" t="n">
        <v>743</v>
      </c>
      <c r="G96" s="20" t="n">
        <v>759</v>
      </c>
      <c r="H96" s="20" t="n">
        <v>3580</v>
      </c>
      <c r="I96" s="20" t="n">
        <v>2156</v>
      </c>
      <c r="J96" s="20" t="n">
        <v>0</v>
      </c>
      <c r="K96" s="20" t="n">
        <v>557</v>
      </c>
      <c r="L96" s="20" t="n">
        <v>743</v>
      </c>
    </row>
    <row r="97">
      <c r="A97" s="18" t="inlineStr">
        <is>
          <t>이연법인세부채</t>
        </is>
      </c>
      <c r="C97" s="20" t="n">
        <v>4541</v>
      </c>
      <c r="D97" s="20" t="n">
        <v>5084</v>
      </c>
      <c r="E97" s="20" t="n">
        <v>6246</v>
      </c>
      <c r="F97" s="20" t="n">
        <v>6628</v>
      </c>
      <c r="G97" s="20" t="n">
        <v>8397</v>
      </c>
      <c r="H97" s="20" t="n">
        <v>1348</v>
      </c>
      <c r="I97" s="20" t="n">
        <v>1349</v>
      </c>
      <c r="J97" s="20" t="n">
        <v>3556</v>
      </c>
      <c r="K97" s="20" t="n">
        <v>4080</v>
      </c>
      <c r="L97" s="20" t="n">
        <v>6628</v>
      </c>
    </row>
    <row r="98">
      <c r="A98" s="18" t="inlineStr">
        <is>
          <t>기타비유동부채</t>
        </is>
      </c>
      <c r="C98" s="20" t="n">
        <v>935</v>
      </c>
      <c r="D98" s="20" t="n">
        <v>987</v>
      </c>
      <c r="E98" s="20" t="n">
        <v>977</v>
      </c>
      <c r="F98" s="20" t="n">
        <v>997</v>
      </c>
      <c r="G98" s="20" t="n">
        <v>990</v>
      </c>
      <c r="H98" s="20" t="n">
        <v>166</v>
      </c>
      <c r="I98" s="20" t="n">
        <v>888</v>
      </c>
      <c r="J98" s="20" t="n">
        <v>869</v>
      </c>
      <c r="K98" s="20" t="n">
        <v>940</v>
      </c>
      <c r="L98" s="20" t="n">
        <v>997</v>
      </c>
    </row>
    <row r="99">
      <c r="A99" s="18" t="inlineStr">
        <is>
          <t>비유동부채 합계</t>
        </is>
      </c>
      <c r="C99" s="20" t="n">
        <v>8863</v>
      </c>
      <c r="D99" s="20" t="n">
        <v>9172</v>
      </c>
      <c r="E99" s="20" t="n">
        <v>10401</v>
      </c>
      <c r="F99" s="20" t="n">
        <v>10654</v>
      </c>
      <c r="G99" s="20" t="n">
        <v>12208</v>
      </c>
      <c r="H99" s="20" t="n">
        <v>11835</v>
      </c>
      <c r="I99" s="20" t="n">
        <v>9486</v>
      </c>
      <c r="J99" s="20" t="n">
        <v>10177</v>
      </c>
      <c r="K99" s="20" t="n">
        <v>8747</v>
      </c>
      <c r="L99" s="20" t="n">
        <v>10654</v>
      </c>
    </row>
    <row r="100">
      <c r="A100" s="18" t="inlineStr">
        <is>
          <t>부채 합계</t>
        </is>
      </c>
      <c r="C100" s="20" t="n">
        <v>33392</v>
      </c>
      <c r="D100" s="20" t="n">
        <v>34467</v>
      </c>
      <c r="E100" s="20" t="n">
        <v>37084</v>
      </c>
      <c r="F100" s="20" t="n">
        <v>38506</v>
      </c>
      <c r="G100" s="20" t="n">
        <v>42450</v>
      </c>
      <c r="H100" s="20" t="n">
        <v>48012</v>
      </c>
      <c r="I100" s="20" t="n">
        <v>50654</v>
      </c>
      <c r="J100" s="20" t="n">
        <v>40314</v>
      </c>
      <c r="K100" s="20" t="n">
        <v>32280</v>
      </c>
      <c r="L100" s="20" t="n">
        <v>38506</v>
      </c>
    </row>
    <row r="101">
      <c r="A101" s="18" t="inlineStr">
        <is>
          <t>자본금</t>
        </is>
      </c>
      <c r="C101" s="20" t="n">
        <v>9926</v>
      </c>
      <c r="D101" s="20" t="n">
        <v>9926</v>
      </c>
      <c r="E101" s="20" t="n">
        <v>9926</v>
      </c>
      <c r="F101" s="20" t="n">
        <v>9926</v>
      </c>
      <c r="G101" s="20" t="n">
        <v>9926</v>
      </c>
      <c r="H101" s="20" t="n">
        <v>9926</v>
      </c>
      <c r="I101" s="20" t="n">
        <v>9926</v>
      </c>
      <c r="J101" s="20" t="n">
        <v>9926</v>
      </c>
      <c r="K101" s="20" t="n">
        <v>9926</v>
      </c>
      <c r="L101" s="20" t="n">
        <v>9926</v>
      </c>
    </row>
    <row r="102">
      <c r="A102" s="18" t="inlineStr">
        <is>
          <t>자본잉여금</t>
        </is>
      </c>
      <c r="C102" s="20" t="n">
        <v>11530</v>
      </c>
      <c r="D102" s="20" t="n">
        <v>11514</v>
      </c>
      <c r="E102" s="20" t="n">
        <v>11534</v>
      </c>
      <c r="F102" s="20" t="n">
        <v>11554</v>
      </c>
      <c r="G102" s="20" t="n">
        <v>11574</v>
      </c>
      <c r="H102" s="20" t="n">
        <v>11460</v>
      </c>
      <c r="I102" s="20" t="n">
        <v>11467</v>
      </c>
      <c r="J102" s="20" t="n">
        <v>11494</v>
      </c>
      <c r="K102" s="20" t="n">
        <v>11518</v>
      </c>
      <c r="L102" s="20" t="n">
        <v>11554</v>
      </c>
    </row>
    <row r="103">
      <c r="A103" s="18" t="inlineStr">
        <is>
          <t>이익잉여금</t>
        </is>
      </c>
      <c r="C103" s="20" t="n">
        <v>85055</v>
      </c>
      <c r="D103" s="20" t="n">
        <v>88175</v>
      </c>
      <c r="E103" s="20" t="n">
        <v>89802</v>
      </c>
      <c r="F103" s="20" t="n">
        <v>93698</v>
      </c>
      <c r="G103" s="20" t="n">
        <v>95216</v>
      </c>
      <c r="H103" s="20" t="n">
        <v>57198</v>
      </c>
      <c r="I103" s="20" t="n">
        <v>67631</v>
      </c>
      <c r="J103" s="20" t="n">
        <v>79373</v>
      </c>
      <c r="K103" s="20" t="n">
        <v>84726</v>
      </c>
      <c r="L103" s="20" t="n">
        <v>93698</v>
      </c>
    </row>
    <row r="104">
      <c r="A104" s="18" t="inlineStr">
        <is>
          <t>자기주식</t>
        </is>
      </c>
      <c r="C104" s="20" t="n">
        <v>-4474</v>
      </c>
      <c r="D104" s="20" t="n">
        <v>-4441</v>
      </c>
      <c r="E104" s="20" t="n">
        <v>-4442</v>
      </c>
      <c r="F104" s="20" t="n">
        <v>-4442</v>
      </c>
      <c r="G104" s="20" t="n">
        <v>-4442</v>
      </c>
      <c r="H104" s="20" t="n">
        <v>-2426</v>
      </c>
      <c r="I104" s="20" t="n">
        <v>-2395</v>
      </c>
      <c r="J104" s="20" t="n">
        <v>-3518</v>
      </c>
      <c r="K104" s="20" t="n">
        <v>-3500</v>
      </c>
      <c r="L104" s="20" t="n">
        <v>-4442</v>
      </c>
    </row>
    <row r="105">
      <c r="A105" s="18" t="inlineStr">
        <is>
          <t>기타자본구성요소</t>
        </is>
      </c>
      <c r="C105" s="20" t="n">
        <v>10613</v>
      </c>
      <c r="D105" s="20" t="n">
        <v>12569</v>
      </c>
      <c r="E105" s="20" t="n">
        <v>15826</v>
      </c>
      <c r="F105" s="20" t="n">
        <v>17122</v>
      </c>
      <c r="G105" s="20" t="n">
        <v>21177</v>
      </c>
      <c r="H105" s="20" t="n">
        <v>4485</v>
      </c>
      <c r="I105" s="20" t="n">
        <v>6575</v>
      </c>
      <c r="J105" s="20" t="n">
        <v>13082</v>
      </c>
      <c r="K105" s="20" t="n">
        <v>10674</v>
      </c>
      <c r="L105" s="20" t="n">
        <v>17122</v>
      </c>
    </row>
    <row r="106">
      <c r="A106" s="18" t="inlineStr">
        <is>
          <t>지배기업 소유주 귀속 지분 합계</t>
        </is>
      </c>
      <c r="C106" s="20" t="n">
        <v>112651</v>
      </c>
      <c r="D106" s="20" t="n">
        <v>117745</v>
      </c>
      <c r="E106" s="20" t="n">
        <v>122649</v>
      </c>
      <c r="F106" s="20" t="n">
        <v>127860</v>
      </c>
      <c r="G106" s="20" t="n">
        <v>133453</v>
      </c>
      <c r="H106" s="20" t="n">
        <v>80645</v>
      </c>
      <c r="I106" s="20" t="n">
        <v>93205</v>
      </c>
      <c r="J106" s="20" t="n">
        <v>110358</v>
      </c>
      <c r="K106" s="20" t="n">
        <v>113347</v>
      </c>
      <c r="L106" s="20" t="n">
        <v>127860</v>
      </c>
    </row>
    <row r="107">
      <c r="A107" s="18" t="inlineStr">
        <is>
          <t>비지배지분</t>
        </is>
      </c>
      <c r="C107" s="20" t="n">
        <v>0</v>
      </c>
      <c r="D107" s="20" t="n">
        <v>0</v>
      </c>
      <c r="E107" s="20" t="n">
        <v>0</v>
      </c>
      <c r="F107" s="20" t="n">
        <v>0</v>
      </c>
      <c r="G107" s="20" t="n">
        <v>0</v>
      </c>
      <c r="H107" s="20" t="n">
        <v>9</v>
      </c>
      <c r="I107" s="20" t="n">
        <v>11</v>
      </c>
      <c r="J107" s="20" t="n">
        <v>14</v>
      </c>
      <c r="K107" s="20" t="n">
        <v>0</v>
      </c>
      <c r="L107" s="20" t="n">
        <v>0</v>
      </c>
    </row>
    <row r="108">
      <c r="A108" s="18" t="inlineStr">
        <is>
          <t>자본 합계</t>
        </is>
      </c>
      <c r="C108" s="20" t="n">
        <v>112651</v>
      </c>
      <c r="D108" s="20" t="n">
        <v>117745</v>
      </c>
      <c r="E108" s="20" t="n">
        <v>122650</v>
      </c>
      <c r="F108" s="20" t="n">
        <v>127861</v>
      </c>
      <c r="G108" s="20" t="n">
        <v>133454</v>
      </c>
      <c r="H108" s="20" t="n">
        <v>80655</v>
      </c>
      <c r="I108" s="20" t="n">
        <v>93217</v>
      </c>
      <c r="J108" s="20" t="n">
        <v>110373</v>
      </c>
      <c r="K108" s="20" t="n">
        <v>113347</v>
      </c>
      <c r="L108" s="20" t="n">
        <v>127861</v>
      </c>
    </row>
    <row r="109">
      <c r="A109" s="18" t="inlineStr">
        <is>
          <t>부채및자본 합계</t>
        </is>
      </c>
      <c r="C109" s="20" t="n">
        <v>146044</v>
      </c>
      <c r="D109" s="20" t="n">
        <v>152213</v>
      </c>
      <c r="E109" s="20" t="n">
        <v>159734</v>
      </c>
      <c r="F109" s="20" t="n">
        <v>166367</v>
      </c>
      <c r="G109" s="20" t="n">
        <v>175904</v>
      </c>
      <c r="H109" s="20" t="n">
        <v>128667</v>
      </c>
      <c r="I109" s="20" t="n">
        <v>143871</v>
      </c>
      <c r="J109" s="20" t="n">
        <v>150688</v>
      </c>
      <c r="K109" s="20" t="n">
        <v>145628</v>
      </c>
      <c r="L109" s="20" t="n">
        <v>166367</v>
      </c>
    </row>
    <row r="110">
      <c r="A110" s="18" t="inlineStr">
        <is>
          <t>현금 및 예금</t>
        </is>
      </c>
      <c r="F110" s="20" t="n">
        <v>3519</v>
      </c>
      <c r="H110" s="20" t="n">
        <v>2125</v>
      </c>
      <c r="I110" s="20" t="n">
        <v>1592</v>
      </c>
      <c r="J110" s="20" t="n">
        <v>3903</v>
      </c>
      <c r="K110" s="20" t="n">
        <v>8317</v>
      </c>
      <c r="L110" s="20" t="n">
        <v>3519</v>
      </c>
    </row>
    <row r="111">
      <c r="A111" s="18" t="inlineStr">
        <is>
          <t>받을어음</t>
        </is>
      </c>
      <c r="F111" s="20" t="n">
        <v>32</v>
      </c>
      <c r="H111" s="20" t="n">
        <v>190</v>
      </c>
      <c r="I111" s="20" t="n">
        <v>162</v>
      </c>
      <c r="J111" s="20" t="n">
        <v>128</v>
      </c>
      <c r="K111" s="20" t="n">
        <v>142</v>
      </c>
      <c r="L111" s="20" t="n">
        <v>32</v>
      </c>
    </row>
    <row r="112">
      <c r="A112" s="18" t="inlineStr">
        <is>
          <t>전자기록채권</t>
        </is>
      </c>
      <c r="F112" s="20" t="n">
        <v>6627</v>
      </c>
      <c r="H112" s="20" t="n">
        <v>7895</v>
      </c>
      <c r="I112" s="20" t="n">
        <v>8639</v>
      </c>
      <c r="J112" s="20" t="n">
        <v>7581</v>
      </c>
      <c r="K112" s="20" t="n">
        <v>6318</v>
      </c>
      <c r="L112" s="20" t="n">
        <v>6627</v>
      </c>
    </row>
    <row r="113">
      <c r="A113" s="18" t="inlineStr">
        <is>
          <t>매출채권</t>
        </is>
      </c>
      <c r="F113" s="20" t="n">
        <v>23656</v>
      </c>
      <c r="H113" s="20" t="n">
        <v>22837</v>
      </c>
      <c r="I113" s="20" t="n">
        <v>28849</v>
      </c>
      <c r="J113" s="20" t="n">
        <v>24334</v>
      </c>
      <c r="K113" s="20" t="n">
        <v>21042</v>
      </c>
      <c r="L113" s="20" t="n">
        <v>23656</v>
      </c>
    </row>
    <row r="114">
      <c r="A114" s="18" t="inlineStr">
        <is>
          <t>제품</t>
        </is>
      </c>
      <c r="F114" s="20" t="n">
        <v>4309</v>
      </c>
      <c r="H114" s="20" t="n">
        <v>3618</v>
      </c>
      <c r="I114" s="20" t="n">
        <v>4499</v>
      </c>
      <c r="J114" s="20" t="n">
        <v>3341</v>
      </c>
      <c r="K114" s="20" t="n">
        <v>3473</v>
      </c>
      <c r="L114" s="20" t="n">
        <v>4309</v>
      </c>
    </row>
    <row r="115">
      <c r="A115" s="18" t="inlineStr">
        <is>
          <t>원재료</t>
        </is>
      </c>
      <c r="F115" s="20" t="n">
        <v>11221</v>
      </c>
      <c r="H115" s="20" t="n">
        <v>10257</v>
      </c>
      <c r="I115" s="20" t="n">
        <v>11259</v>
      </c>
      <c r="J115" s="20" t="n">
        <v>10725</v>
      </c>
      <c r="K115" s="20" t="n">
        <v>10455</v>
      </c>
      <c r="L115" s="20" t="n">
        <v>11221</v>
      </c>
    </row>
    <row r="116">
      <c r="A116" s="18" t="inlineStr">
        <is>
          <t>재공품</t>
        </is>
      </c>
      <c r="F116" s="20" t="n">
        <v>3674</v>
      </c>
      <c r="H116" s="20" t="n">
        <v>3647</v>
      </c>
      <c r="I116" s="20" t="n">
        <v>3895</v>
      </c>
      <c r="J116" s="20" t="n">
        <v>2900</v>
      </c>
      <c r="K116" s="20" t="n">
        <v>2885</v>
      </c>
      <c r="L116" s="20" t="n">
        <v>3674</v>
      </c>
    </row>
    <row r="117">
      <c r="A117" s="18" t="inlineStr">
        <is>
          <t>저장품</t>
        </is>
      </c>
      <c r="F117" s="20" t="n">
        <v>70</v>
      </c>
      <c r="H117" s="20" t="n">
        <v>33</v>
      </c>
      <c r="I117" s="20" t="n">
        <v>48</v>
      </c>
      <c r="J117" s="20" t="n">
        <v>38</v>
      </c>
      <c r="K117" s="20" t="n">
        <v>62</v>
      </c>
      <c r="L117" s="20" t="n">
        <v>70</v>
      </c>
    </row>
    <row r="118">
      <c r="A118" s="18" t="inlineStr">
        <is>
          <t>선급비용</t>
        </is>
      </c>
      <c r="F118" s="20" t="n">
        <v>213</v>
      </c>
      <c r="H118" s="20" t="n">
        <v>105</v>
      </c>
      <c r="I118" s="20" t="n">
        <v>123</v>
      </c>
      <c r="J118" s="20" t="n">
        <v>142</v>
      </c>
      <c r="K118" s="20" t="n">
        <v>187</v>
      </c>
      <c r="L118" s="20" t="n">
        <v>213</v>
      </c>
    </row>
    <row r="119">
      <c r="A119" s="18" t="inlineStr">
        <is>
          <t>기타</t>
        </is>
      </c>
      <c r="F119" s="20" t="n">
        <v>2513</v>
      </c>
      <c r="H119" s="20" t="n">
        <v>2334</v>
      </c>
      <c r="I119" s="20" t="n">
        <v>2172</v>
      </c>
      <c r="J119" s="20" t="n">
        <v>2286</v>
      </c>
      <c r="K119" s="20" t="n">
        <v>1684</v>
      </c>
      <c r="L119" s="20" t="n">
        <v>2513</v>
      </c>
    </row>
    <row r="120">
      <c r="A120" s="18" t="inlineStr">
        <is>
          <t>대손충당금</t>
        </is>
      </c>
      <c r="F120" s="20" t="n">
        <v>-3</v>
      </c>
      <c r="H120" s="20" t="n">
        <v>-3</v>
      </c>
      <c r="I120" s="20" t="n">
        <v>-3</v>
      </c>
      <c r="J120" s="20" t="n">
        <v>-3</v>
      </c>
      <c r="K120" s="20" t="n">
        <v>-2</v>
      </c>
      <c r="L120" s="20" t="n">
        <v>-3</v>
      </c>
    </row>
    <row r="121">
      <c r="A121" s="9" t="inlineStr">
        <is>
          <t>유동자산 합계</t>
        </is>
      </c>
      <c r="F121" s="12" t="n">
        <v>55835</v>
      </c>
      <c r="H121" s="12" t="n">
        <v>53042</v>
      </c>
      <c r="I121" s="12" t="n">
        <v>61239</v>
      </c>
      <c r="J121" s="12" t="n">
        <v>55380</v>
      </c>
      <c r="K121" s="12" t="n">
        <v>54569</v>
      </c>
      <c r="L121" s="12" t="n">
        <v>55835</v>
      </c>
    </row>
    <row r="122">
      <c r="A122" s="18" t="inlineStr">
        <is>
          <t>건물</t>
        </is>
      </c>
      <c r="F122" s="20" t="n">
        <v>6625</v>
      </c>
      <c r="H122" s="20" t="n">
        <v>7786</v>
      </c>
      <c r="I122" s="20" t="n">
        <v>7404</v>
      </c>
      <c r="J122" s="20" t="n">
        <v>7264</v>
      </c>
      <c r="K122" s="20" t="n">
        <v>6801</v>
      </c>
      <c r="L122" s="20" t="n">
        <v>6625</v>
      </c>
    </row>
    <row r="123">
      <c r="A123" s="18" t="inlineStr">
        <is>
          <t>구축물</t>
        </is>
      </c>
      <c r="F123" s="20" t="n">
        <v>251</v>
      </c>
      <c r="H123" s="20" t="n">
        <v>291</v>
      </c>
      <c r="I123" s="20" t="n">
        <v>291</v>
      </c>
      <c r="J123" s="20" t="n">
        <v>268</v>
      </c>
      <c r="K123" s="20" t="n">
        <v>259</v>
      </c>
      <c r="L123" s="20" t="n">
        <v>251</v>
      </c>
    </row>
    <row r="124">
      <c r="A124" s="18" t="inlineStr">
        <is>
          <t>기계장치</t>
        </is>
      </c>
      <c r="F124" s="20" t="n">
        <v>1448</v>
      </c>
      <c r="H124" s="20" t="n">
        <v>5563</v>
      </c>
      <c r="I124" s="20" t="n">
        <v>4388</v>
      </c>
      <c r="J124" s="20" t="n">
        <v>3168</v>
      </c>
      <c r="K124" s="20" t="n">
        <v>2107</v>
      </c>
      <c r="L124" s="20" t="n">
        <v>1448</v>
      </c>
    </row>
    <row r="125">
      <c r="A125" s="18" t="inlineStr">
        <is>
          <t>차량운반구</t>
        </is>
      </c>
      <c r="F125" s="20" t="n">
        <v>23</v>
      </c>
      <c r="H125" s="20" t="n">
        <v>13</v>
      </c>
      <c r="I125" s="20" t="n">
        <v>11</v>
      </c>
      <c r="J125" s="20" t="n">
        <v>26</v>
      </c>
      <c r="K125" s="20" t="n">
        <v>21</v>
      </c>
      <c r="L125" s="20" t="n">
        <v>23</v>
      </c>
    </row>
    <row r="126">
      <c r="A126" s="18" t="inlineStr">
        <is>
          <t>공구·기구·비품</t>
        </is>
      </c>
      <c r="F126" s="20" t="n">
        <v>664</v>
      </c>
      <c r="H126" s="20" t="n">
        <v>955</v>
      </c>
      <c r="I126" s="20" t="n">
        <v>743</v>
      </c>
      <c r="J126" s="20" t="n">
        <v>602</v>
      </c>
      <c r="K126" s="20" t="n">
        <v>655</v>
      </c>
      <c r="L126" s="20" t="n">
        <v>664</v>
      </c>
    </row>
    <row r="127">
      <c r="A127" s="18" t="inlineStr">
        <is>
          <t>토지</t>
        </is>
      </c>
      <c r="F127" s="20" t="n">
        <v>6048</v>
      </c>
      <c r="H127" s="20" t="n">
        <v>6200</v>
      </c>
      <c r="I127" s="20" t="n">
        <v>6200</v>
      </c>
      <c r="J127" s="20" t="n">
        <v>6200</v>
      </c>
      <c r="K127" s="20" t="n">
        <v>6048</v>
      </c>
      <c r="L127" s="20" t="n">
        <v>6048</v>
      </c>
    </row>
    <row r="128">
      <c r="A128" s="18" t="inlineStr">
        <is>
          <t>건설중인자산</t>
        </is>
      </c>
      <c r="F128" s="20" t="n">
        <v>269</v>
      </c>
      <c r="H128" s="20" t="n">
        <v>360</v>
      </c>
      <c r="I128" s="20" t="n">
        <v>184</v>
      </c>
      <c r="J128" s="20" t="n">
        <v>187</v>
      </c>
      <c r="K128" s="20" t="n">
        <v>198</v>
      </c>
      <c r="L128" s="20" t="n">
        <v>269</v>
      </c>
    </row>
    <row r="129">
      <c r="A129" s="18" t="inlineStr">
        <is>
          <t>유형자산 합계</t>
        </is>
      </c>
      <c r="F129" s="20" t="n">
        <v>15330</v>
      </c>
      <c r="H129" s="20" t="n">
        <v>21171</v>
      </c>
      <c r="I129" s="20" t="n">
        <v>19223</v>
      </c>
      <c r="J129" s="20" t="n">
        <v>17718</v>
      </c>
      <c r="K129" s="20" t="n">
        <v>16091</v>
      </c>
      <c r="L129" s="20" t="n">
        <v>15330</v>
      </c>
    </row>
    <row r="130">
      <c r="A130" s="18" t="inlineStr">
        <is>
          <t>차지권</t>
        </is>
      </c>
      <c r="H130" s="20" t="n">
        <v>44</v>
      </c>
      <c r="I130" s="20" t="n">
        <v>44</v>
      </c>
      <c r="J130" s="20" t="n">
        <v>44</v>
      </c>
      <c r="K130" s="20" t="n">
        <v>0</v>
      </c>
    </row>
    <row r="131">
      <c r="A131" s="18" t="inlineStr">
        <is>
          <t>소프트웨어</t>
        </is>
      </c>
      <c r="F131" s="20" t="n">
        <v>2222</v>
      </c>
      <c r="H131" s="20" t="n">
        <v>1509</v>
      </c>
      <c r="I131" s="20" t="n">
        <v>1411</v>
      </c>
      <c r="J131" s="20" t="n">
        <v>1525</v>
      </c>
      <c r="K131" s="20" t="n">
        <v>1925</v>
      </c>
      <c r="L131" s="20" t="n">
        <v>2222</v>
      </c>
    </row>
    <row r="132">
      <c r="A132" s="18" t="inlineStr">
        <is>
          <t>기타</t>
        </is>
      </c>
      <c r="F132" s="20" t="n">
        <v>7</v>
      </c>
      <c r="H132" s="20" t="n">
        <v>9</v>
      </c>
      <c r="I132" s="20" t="n">
        <v>8</v>
      </c>
      <c r="J132" s="20" t="n">
        <v>8</v>
      </c>
      <c r="K132" s="20" t="n">
        <v>7</v>
      </c>
      <c r="L132" s="20" t="n">
        <v>7</v>
      </c>
    </row>
    <row r="133">
      <c r="A133" s="18" t="inlineStr">
        <is>
          <t>무형자산 합계</t>
        </is>
      </c>
      <c r="F133" s="20" t="n">
        <v>2229</v>
      </c>
      <c r="H133" s="20" t="n">
        <v>1562</v>
      </c>
      <c r="I133" s="20" t="n">
        <v>1464</v>
      </c>
      <c r="J133" s="20" t="n">
        <v>1577</v>
      </c>
      <c r="K133" s="20" t="n">
        <v>1933</v>
      </c>
      <c r="L133" s="20" t="n">
        <v>2229</v>
      </c>
    </row>
    <row r="134">
      <c r="A134" s="18" t="inlineStr">
        <is>
          <t>투자유가증권</t>
        </is>
      </c>
      <c r="F134" s="20" t="n">
        <v>11210</v>
      </c>
      <c r="H134" s="20" t="n">
        <v>6787</v>
      </c>
      <c r="I134" s="20" t="n">
        <v>7241</v>
      </c>
      <c r="J134" s="20" t="n">
        <v>10330</v>
      </c>
      <c r="K134" s="20" t="n">
        <v>7673</v>
      </c>
      <c r="L134" s="20" t="n">
        <v>11210</v>
      </c>
    </row>
    <row r="135">
      <c r="A135" s="18" t="inlineStr">
        <is>
          <t>관계회사 주식</t>
        </is>
      </c>
      <c r="F135" s="20" t="n">
        <v>2934</v>
      </c>
      <c r="H135" s="20" t="n">
        <v>2920</v>
      </c>
      <c r="I135" s="20" t="n">
        <v>2920</v>
      </c>
      <c r="J135" s="20" t="n">
        <v>2920</v>
      </c>
      <c r="K135" s="20" t="n">
        <v>2934</v>
      </c>
      <c r="L135" s="20" t="n">
        <v>2934</v>
      </c>
    </row>
    <row r="136">
      <c r="A136" s="18" t="inlineStr">
        <is>
          <t>관계회사 출자금</t>
        </is>
      </c>
      <c r="F136" s="20" t="n">
        <v>4126</v>
      </c>
      <c r="H136" s="20" t="n">
        <v>786</v>
      </c>
      <c r="I136" s="20" t="n">
        <v>786</v>
      </c>
      <c r="J136" s="20" t="n">
        <v>786</v>
      </c>
      <c r="K136" s="20" t="n">
        <v>927</v>
      </c>
      <c r="L136" s="20" t="n">
        <v>4126</v>
      </c>
    </row>
    <row r="137">
      <c r="A137" s="18" t="inlineStr">
        <is>
          <t>장기대여금</t>
        </is>
      </c>
      <c r="F137" s="20" t="n">
        <v>1</v>
      </c>
      <c r="H137" s="20" t="n">
        <v>15</v>
      </c>
      <c r="I137" s="20" t="n">
        <v>11</v>
      </c>
      <c r="J137" s="20" t="n">
        <v>6</v>
      </c>
      <c r="K137" s="20" t="n">
        <v>3</v>
      </c>
      <c r="L137" s="20" t="n">
        <v>1</v>
      </c>
    </row>
    <row r="138">
      <c r="A138" s="18" t="inlineStr">
        <is>
          <t>장기선급비용</t>
        </is>
      </c>
      <c r="F138" s="20" t="n">
        <v>77</v>
      </c>
      <c r="H138" s="20" t="n">
        <v>20</v>
      </c>
      <c r="I138" s="20" t="n">
        <v>67</v>
      </c>
      <c r="J138" s="20" t="n">
        <v>41</v>
      </c>
      <c r="K138" s="20" t="n">
        <v>23</v>
      </c>
      <c r="L138" s="20" t="n">
        <v>77</v>
      </c>
    </row>
    <row r="139">
      <c r="A139" s="18" t="inlineStr">
        <is>
          <t>이연법인세자산</t>
        </is>
      </c>
      <c r="H139" s="20" t="n">
        <v>139</v>
      </c>
      <c r="I139" s="20" t="n">
        <v>285</v>
      </c>
      <c r="J139" s="20" t="n">
        <v>0</v>
      </c>
    </row>
    <row r="140">
      <c r="A140" s="18" t="inlineStr">
        <is>
          <t>기타</t>
        </is>
      </c>
      <c r="F140" s="20" t="n">
        <v>2523</v>
      </c>
      <c r="H140" s="20" t="n">
        <v>2161</v>
      </c>
      <c r="I140" s="20" t="n">
        <v>2247</v>
      </c>
      <c r="J140" s="20" t="n">
        <v>2396</v>
      </c>
      <c r="K140" s="20" t="n">
        <v>2456</v>
      </c>
      <c r="L140" s="20" t="n">
        <v>2523</v>
      </c>
    </row>
    <row r="141">
      <c r="A141" s="18" t="inlineStr">
        <is>
          <t>대손충당금</t>
        </is>
      </c>
      <c r="F141" s="20" t="n">
        <v>-0</v>
      </c>
      <c r="H141" s="20" t="n">
        <v>-0</v>
      </c>
      <c r="I141" s="20" t="n">
        <v>-0</v>
      </c>
      <c r="J141" s="20" t="n">
        <v>-0</v>
      </c>
      <c r="K141" s="20" t="n">
        <v>-0</v>
      </c>
      <c r="L141" s="20" t="n">
        <v>-0</v>
      </c>
    </row>
    <row r="142">
      <c r="A142" s="18" t="inlineStr">
        <is>
          <t>투자 및 기타자산 합계</t>
        </is>
      </c>
      <c r="F142" s="20" t="n">
        <v>20873</v>
      </c>
      <c r="H142" s="20" t="n">
        <v>12832</v>
      </c>
      <c r="I142" s="20" t="n">
        <v>13559</v>
      </c>
      <c r="J142" s="20" t="n">
        <v>16481</v>
      </c>
      <c r="K142" s="20" t="n">
        <v>14018</v>
      </c>
      <c r="L142" s="20" t="n">
        <v>20873</v>
      </c>
    </row>
    <row r="143">
      <c r="A143" s="9" t="inlineStr">
        <is>
          <t>비유동자산 합계</t>
        </is>
      </c>
      <c r="F143" s="12" t="n">
        <v>38434</v>
      </c>
      <c r="H143" s="12" t="n">
        <v>35566</v>
      </c>
      <c r="I143" s="12" t="n">
        <v>34247</v>
      </c>
      <c r="J143" s="12" t="n">
        <v>35777</v>
      </c>
      <c r="K143" s="12" t="n">
        <v>32043</v>
      </c>
      <c r="L143" s="12" t="n">
        <v>38434</v>
      </c>
    </row>
    <row r="144">
      <c r="A144" s="9" t="inlineStr">
        <is>
          <t>자산 합계</t>
        </is>
      </c>
      <c r="F144" s="12" t="n">
        <v>94269</v>
      </c>
      <c r="H144" s="12" t="n">
        <v>88609</v>
      </c>
      <c r="I144" s="12" t="n">
        <v>95487</v>
      </c>
      <c r="J144" s="12" t="n">
        <v>91157</v>
      </c>
      <c r="K144" s="12" t="n">
        <v>86613</v>
      </c>
      <c r="L144" s="12" t="n">
        <v>94269</v>
      </c>
    </row>
    <row r="145">
      <c r="A145" s="18" t="inlineStr">
        <is>
          <t>지급어음</t>
        </is>
      </c>
      <c r="F145" s="20" t="n">
        <v>0</v>
      </c>
      <c r="H145" s="20" t="n">
        <v>540</v>
      </c>
      <c r="I145" s="20" t="n">
        <v>513</v>
      </c>
      <c r="J145" s="20" t="n">
        <v>490</v>
      </c>
      <c r="K145" s="20" t="n">
        <v>369</v>
      </c>
      <c r="L145" s="20" t="n">
        <v>0</v>
      </c>
    </row>
    <row r="146">
      <c r="A146" s="18" t="inlineStr">
        <is>
          <t>전자기록채무</t>
        </is>
      </c>
      <c r="F146" s="20" t="n">
        <v>3242</v>
      </c>
      <c r="H146" s="20" t="n">
        <v>3421</v>
      </c>
      <c r="I146" s="20" t="n">
        <v>4027</v>
      </c>
      <c r="J146" s="20" t="n">
        <v>2769</v>
      </c>
      <c r="K146" s="20" t="n">
        <v>2877</v>
      </c>
      <c r="L146" s="20" t="n">
        <v>3242</v>
      </c>
    </row>
    <row r="147">
      <c r="A147" s="18" t="inlineStr">
        <is>
          <t>매입채무</t>
        </is>
      </c>
      <c r="F147" s="20" t="n">
        <v>7455</v>
      </c>
      <c r="H147" s="20" t="n">
        <v>8159</v>
      </c>
      <c r="I147" s="20" t="n">
        <v>8747</v>
      </c>
      <c r="J147" s="20" t="n">
        <v>5813</v>
      </c>
      <c r="K147" s="20" t="n">
        <v>6046</v>
      </c>
      <c r="L147" s="20" t="n">
        <v>7455</v>
      </c>
    </row>
    <row r="148">
      <c r="A148" s="18" t="inlineStr">
        <is>
          <t>단기차입금</t>
        </is>
      </c>
      <c r="F148" s="20" t="n">
        <v>4449</v>
      </c>
      <c r="H148" s="20" t="n">
        <v>11061</v>
      </c>
      <c r="I148" s="20" t="n">
        <v>12291</v>
      </c>
      <c r="J148" s="20" t="n">
        <v>5602</v>
      </c>
      <c r="K148" s="20" t="n">
        <v>4797</v>
      </c>
      <c r="L148" s="20" t="n">
        <v>4449</v>
      </c>
    </row>
    <row r="149">
      <c r="A149" s="18" t="inlineStr">
        <is>
          <t>1년 내 상환 장기차입금</t>
        </is>
      </c>
      <c r="F149" s="20" t="n">
        <v>607</v>
      </c>
      <c r="H149" s="20" t="n">
        <v>1622</v>
      </c>
      <c r="I149" s="20" t="n">
        <v>1622</v>
      </c>
      <c r="J149" s="20" t="n">
        <v>1920</v>
      </c>
      <c r="K149" s="20" t="n">
        <v>1063</v>
      </c>
      <c r="L149" s="20" t="n">
        <v>607</v>
      </c>
    </row>
    <row r="150">
      <c r="A150" s="18" t="inlineStr">
        <is>
          <t>리스부채</t>
        </is>
      </c>
      <c r="H150" s="20" t="n">
        <v>0</v>
      </c>
    </row>
    <row r="151">
      <c r="A151" s="18" t="inlineStr">
        <is>
          <t>미지급금</t>
        </is>
      </c>
      <c r="F151" s="20" t="n">
        <v>540</v>
      </c>
      <c r="H151" s="20" t="n">
        <v>782</v>
      </c>
      <c r="I151" s="20" t="n">
        <v>928</v>
      </c>
      <c r="J151" s="20" t="n">
        <v>1627</v>
      </c>
      <c r="K151" s="20" t="n">
        <v>1046</v>
      </c>
      <c r="L151" s="20" t="n">
        <v>540</v>
      </c>
    </row>
    <row r="152">
      <c r="A152" s="18" t="inlineStr">
        <is>
          <t>미지급비용</t>
        </is>
      </c>
      <c r="F152" s="20" t="n">
        <v>3138</v>
      </c>
      <c r="H152" s="20" t="n">
        <v>2437</v>
      </c>
      <c r="I152" s="20" t="n">
        <v>3027</v>
      </c>
      <c r="J152" s="20" t="n">
        <v>2245</v>
      </c>
      <c r="K152" s="20" t="n">
        <v>2208</v>
      </c>
      <c r="L152" s="20" t="n">
        <v>3138</v>
      </c>
    </row>
    <row r="153">
      <c r="A153" s="18" t="inlineStr">
        <is>
          <t>미지급법인세</t>
        </is>
      </c>
      <c r="F153" s="20" t="n">
        <v>1437</v>
      </c>
      <c r="H153" s="20" t="n">
        <v>1309</v>
      </c>
      <c r="I153" s="20" t="n">
        <v>1140</v>
      </c>
      <c r="J153" s="20" t="n">
        <v>542</v>
      </c>
      <c r="K153" s="20" t="n">
        <v>37</v>
      </c>
      <c r="L153" s="20" t="n">
        <v>1437</v>
      </c>
    </row>
    <row r="154">
      <c r="A154" s="18" t="inlineStr">
        <is>
          <t>선수금</t>
        </is>
      </c>
      <c r="F154" s="20" t="n">
        <v>13</v>
      </c>
      <c r="H154" s="20" t="n">
        <v>28</v>
      </c>
      <c r="I154" s="20" t="n">
        <v>18</v>
      </c>
      <c r="J154" s="20" t="n">
        <v>12</v>
      </c>
      <c r="K154" s="20" t="n">
        <v>14</v>
      </c>
      <c r="L154" s="20" t="n">
        <v>13</v>
      </c>
    </row>
    <row r="155">
      <c r="A155" s="18" t="inlineStr">
        <is>
          <t>예수금</t>
        </is>
      </c>
      <c r="F155" s="20" t="n">
        <v>826</v>
      </c>
      <c r="H155" s="20" t="n">
        <v>555</v>
      </c>
      <c r="I155" s="20" t="n">
        <v>742</v>
      </c>
      <c r="J155" s="20" t="n">
        <v>622</v>
      </c>
      <c r="K155" s="20" t="n">
        <v>582</v>
      </c>
      <c r="L155" s="20" t="n">
        <v>826</v>
      </c>
    </row>
    <row r="156">
      <c r="A156" s="18" t="inlineStr">
        <is>
          <t>설비관련 지급어음</t>
        </is>
      </c>
      <c r="F156" s="20" t="n">
        <v>230</v>
      </c>
      <c r="H156" s="20" t="n">
        <v>366</v>
      </c>
      <c r="I156" s="20" t="n">
        <v>284</v>
      </c>
      <c r="J156" s="20" t="n">
        <v>837</v>
      </c>
      <c r="K156" s="20" t="n">
        <v>74</v>
      </c>
      <c r="L156" s="20" t="n">
        <v>230</v>
      </c>
    </row>
    <row r="157">
      <c r="A157" s="18" t="inlineStr">
        <is>
          <t>임원 상여충당금</t>
        </is>
      </c>
      <c r="F157" s="20" t="n">
        <v>45</v>
      </c>
      <c r="H157" s="20" t="n">
        <v>45</v>
      </c>
      <c r="I157" s="20" t="n">
        <v>45</v>
      </c>
      <c r="J157" s="20" t="n">
        <v>45</v>
      </c>
      <c r="K157" s="20" t="n">
        <v>45</v>
      </c>
      <c r="L157" s="20" t="n">
        <v>45</v>
      </c>
    </row>
    <row r="158">
      <c r="A158" s="9" t="inlineStr">
        <is>
          <t>유동부채 합계</t>
        </is>
      </c>
      <c r="F158" s="12" t="n">
        <v>21987</v>
      </c>
      <c r="H158" s="12" t="n">
        <v>30328</v>
      </c>
      <c r="I158" s="12" t="n">
        <v>33389</v>
      </c>
      <c r="J158" s="12" t="n">
        <v>22529</v>
      </c>
      <c r="K158" s="12" t="n">
        <v>19163</v>
      </c>
      <c r="L158" s="12" t="n">
        <v>21987</v>
      </c>
    </row>
    <row r="159">
      <c r="A159" s="18" t="inlineStr">
        <is>
          <t>장기차입금</t>
        </is>
      </c>
      <c r="F159" s="20" t="n">
        <v>1025</v>
      </c>
      <c r="H159" s="20" t="n">
        <v>4964</v>
      </c>
      <c r="I159" s="20" t="n">
        <v>3342</v>
      </c>
      <c r="J159" s="20" t="n">
        <v>2696</v>
      </c>
      <c r="K159" s="20" t="n">
        <v>1537</v>
      </c>
      <c r="L159" s="20" t="n">
        <v>1025</v>
      </c>
    </row>
    <row r="160">
      <c r="A160" s="18" t="inlineStr">
        <is>
          <t>이연법인세부채</t>
        </is>
      </c>
      <c r="F160" s="20" t="n">
        <v>1485</v>
      </c>
      <c r="H160" s="20" t="n">
        <v>0</v>
      </c>
      <c r="I160" s="20" t="n">
        <v>0</v>
      </c>
      <c r="J160" s="20" t="n">
        <v>691</v>
      </c>
      <c r="K160" s="20" t="n">
        <v>390</v>
      </c>
      <c r="L160" s="20" t="n">
        <v>1485</v>
      </c>
    </row>
    <row r="161">
      <c r="A161" s="18" t="inlineStr">
        <is>
          <t>재평가 관련 이연법인세부채</t>
        </is>
      </c>
      <c r="F161" s="20" t="n">
        <v>849</v>
      </c>
      <c r="H161" s="20" t="n">
        <v>840</v>
      </c>
      <c r="I161" s="20" t="n">
        <v>840</v>
      </c>
      <c r="J161" s="20" t="n">
        <v>840</v>
      </c>
      <c r="K161" s="20" t="n">
        <v>849</v>
      </c>
      <c r="L161" s="20" t="n">
        <v>849</v>
      </c>
    </row>
    <row r="162">
      <c r="A162" s="18" t="inlineStr">
        <is>
          <t>퇴직급여충당금</t>
        </is>
      </c>
      <c r="F162" s="20" t="n">
        <v>205</v>
      </c>
      <c r="H162" s="20" t="n">
        <v>2059</v>
      </c>
      <c r="I162" s="20" t="n">
        <v>1912</v>
      </c>
      <c r="J162" s="20" t="n">
        <v>1668</v>
      </c>
      <c r="K162" s="20" t="n">
        <v>939</v>
      </c>
      <c r="L162" s="20" t="n">
        <v>205</v>
      </c>
    </row>
    <row r="163">
      <c r="A163" s="18" t="inlineStr">
        <is>
          <t>임원 퇴직위로 충당금</t>
        </is>
      </c>
      <c r="H163" s="20" t="n">
        <v>681</v>
      </c>
      <c r="I163" s="20" t="n">
        <v>0</v>
      </c>
    </row>
    <row r="164">
      <c r="A164" s="18" t="inlineStr">
        <is>
          <t>장기미지급금</t>
        </is>
      </c>
      <c r="F164" s="20" t="n">
        <v>602</v>
      </c>
      <c r="H164" s="20" t="n">
        <v>0</v>
      </c>
      <c r="I164" s="20" t="n">
        <v>729</v>
      </c>
      <c r="J164" s="20" t="n">
        <v>626</v>
      </c>
      <c r="K164" s="20" t="n">
        <v>618</v>
      </c>
      <c r="L164" s="20" t="n">
        <v>602</v>
      </c>
    </row>
    <row r="165">
      <c r="A165" s="9" t="inlineStr">
        <is>
          <t>비유동부채 합계</t>
        </is>
      </c>
      <c r="F165" s="12" t="n">
        <v>4168</v>
      </c>
      <c r="H165" s="12" t="n">
        <v>8546</v>
      </c>
      <c r="I165" s="12" t="n">
        <v>6823</v>
      </c>
      <c r="J165" s="12" t="n">
        <v>6523</v>
      </c>
      <c r="K165" s="12" t="n">
        <v>4336</v>
      </c>
      <c r="L165" s="12" t="n">
        <v>4168</v>
      </c>
    </row>
    <row r="166">
      <c r="A166" s="9" t="inlineStr">
        <is>
          <t>부채 합계</t>
        </is>
      </c>
      <c r="F166" s="12" t="n">
        <v>26155</v>
      </c>
      <c r="H166" s="12" t="n">
        <v>38874</v>
      </c>
      <c r="I166" s="12" t="n">
        <v>40213</v>
      </c>
      <c r="J166" s="12" t="n">
        <v>29053</v>
      </c>
      <c r="K166" s="12" t="n">
        <v>23500</v>
      </c>
      <c r="L166" s="12" t="n">
        <v>26155</v>
      </c>
    </row>
    <row r="167">
      <c r="A167" s="18" t="inlineStr">
        <is>
          <t>자본금</t>
        </is>
      </c>
      <c r="F167" s="20" t="n">
        <v>9926</v>
      </c>
      <c r="H167" s="20" t="n">
        <v>9926</v>
      </c>
      <c r="I167" s="20" t="n">
        <v>9926</v>
      </c>
      <c r="J167" s="20" t="n">
        <v>9926</v>
      </c>
      <c r="K167" s="20" t="n">
        <v>9926</v>
      </c>
      <c r="L167" s="20" t="n">
        <v>9926</v>
      </c>
    </row>
    <row r="168">
      <c r="A168" s="18" t="inlineStr">
        <is>
          <t>자본준비금</t>
        </is>
      </c>
      <c r="F168" s="20" t="n">
        <v>11458</v>
      </c>
      <c r="H168" s="20" t="n">
        <v>11458</v>
      </c>
      <c r="I168" s="20" t="n">
        <v>11458</v>
      </c>
      <c r="J168" s="20" t="n">
        <v>11458</v>
      </c>
      <c r="K168" s="20" t="n">
        <v>11458</v>
      </c>
      <c r="L168" s="20" t="n">
        <v>11458</v>
      </c>
    </row>
    <row r="169">
      <c r="A169" s="18" t="inlineStr">
        <is>
          <t>기타자본잉여금</t>
        </is>
      </c>
      <c r="F169" s="20" t="n">
        <v>116</v>
      </c>
      <c r="H169" s="20" t="n">
        <v>2</v>
      </c>
      <c r="I169" s="20" t="n">
        <v>20</v>
      </c>
      <c r="J169" s="20" t="n">
        <v>47</v>
      </c>
      <c r="K169" s="20" t="n">
        <v>72</v>
      </c>
      <c r="L169" s="20" t="n">
        <v>116</v>
      </c>
    </row>
    <row r="170">
      <c r="A170" s="18" t="inlineStr">
        <is>
          <t>자본잉여금 합계</t>
        </is>
      </c>
      <c r="F170" s="20" t="n">
        <v>11575</v>
      </c>
      <c r="H170" s="20" t="n">
        <v>11460</v>
      </c>
      <c r="I170" s="20" t="n">
        <v>11479</v>
      </c>
      <c r="J170" s="20" t="n">
        <v>11506</v>
      </c>
      <c r="K170" s="20" t="n">
        <v>11531</v>
      </c>
      <c r="L170" s="20" t="n">
        <v>11575</v>
      </c>
    </row>
    <row r="171">
      <c r="A171" s="18" t="inlineStr">
        <is>
          <t>이익준비금</t>
        </is>
      </c>
      <c r="F171" s="20" t="n">
        <v>1032</v>
      </c>
      <c r="H171" s="20" t="n">
        <v>1032</v>
      </c>
      <c r="I171" s="20" t="n">
        <v>1032</v>
      </c>
      <c r="J171" s="20" t="n">
        <v>1032</v>
      </c>
      <c r="K171" s="20" t="n">
        <v>1032</v>
      </c>
      <c r="L171" s="20" t="n">
        <v>1032</v>
      </c>
    </row>
    <row r="172">
      <c r="A172" s="18" t="inlineStr">
        <is>
          <t>기타 이익잉여금</t>
        </is>
      </c>
      <c r="F172" s="20" t="n">
        <v>43890</v>
      </c>
      <c r="H172" s="20" t="n">
        <v>26726</v>
      </c>
      <c r="I172" s="20" t="n">
        <v>31908</v>
      </c>
      <c r="J172" s="20" t="n">
        <v>37661</v>
      </c>
      <c r="K172" s="20" t="n">
        <v>40434</v>
      </c>
      <c r="L172" s="20" t="n">
        <v>43890</v>
      </c>
    </row>
    <row r="173">
      <c r="A173" s="18" t="inlineStr">
        <is>
          <t>Reserve For Retirement Allowance2</t>
        </is>
      </c>
      <c r="F173" s="20" t="n">
        <v>900</v>
      </c>
      <c r="H173" s="20" t="n">
        <v>900</v>
      </c>
      <c r="I173" s="20" t="n">
        <v>900</v>
      </c>
      <c r="J173" s="20" t="n">
        <v>900</v>
      </c>
      <c r="K173" s="20" t="n">
        <v>900</v>
      </c>
      <c r="L173" s="20" t="n">
        <v>900</v>
      </c>
    </row>
    <row r="174">
      <c r="A174" s="18" t="inlineStr">
        <is>
          <t>Reserve For Dividends3</t>
        </is>
      </c>
      <c r="F174" s="20" t="n">
        <v>790</v>
      </c>
      <c r="H174" s="20" t="n">
        <v>790</v>
      </c>
      <c r="I174" s="20" t="n">
        <v>790</v>
      </c>
      <c r="J174" s="20" t="n">
        <v>790</v>
      </c>
      <c r="K174" s="20" t="n">
        <v>790</v>
      </c>
      <c r="L174" s="20" t="n">
        <v>790</v>
      </c>
    </row>
    <row r="175">
      <c r="A175" s="18" t="inlineStr">
        <is>
          <t>고정자산 압축적립금</t>
        </is>
      </c>
      <c r="F175" s="20" t="n">
        <v>62</v>
      </c>
      <c r="H175" s="20" t="n">
        <v>62</v>
      </c>
      <c r="I175" s="20" t="n">
        <v>62</v>
      </c>
      <c r="J175" s="20" t="n">
        <v>62</v>
      </c>
      <c r="K175" s="20" t="n">
        <v>62</v>
      </c>
      <c r="L175" s="20" t="n">
        <v>62</v>
      </c>
    </row>
    <row r="176">
      <c r="A176" s="18" t="inlineStr">
        <is>
          <t>별도적립금</t>
        </is>
      </c>
      <c r="F176" s="20" t="n">
        <v>1500</v>
      </c>
      <c r="H176" s="20" t="n">
        <v>1500</v>
      </c>
      <c r="I176" s="20" t="n">
        <v>1500</v>
      </c>
      <c r="J176" s="20" t="n">
        <v>1500</v>
      </c>
      <c r="K176" s="20" t="n">
        <v>1500</v>
      </c>
      <c r="L176" s="20" t="n">
        <v>1500</v>
      </c>
    </row>
    <row r="177">
      <c r="A177" s="18" t="inlineStr">
        <is>
          <t>이월이익잉여금</t>
        </is>
      </c>
      <c r="F177" s="20" t="n">
        <v>40638</v>
      </c>
      <c r="H177" s="20" t="n">
        <v>23473</v>
      </c>
      <c r="I177" s="20" t="n">
        <v>28656</v>
      </c>
      <c r="J177" s="20" t="n">
        <v>34408</v>
      </c>
      <c r="K177" s="20" t="n">
        <v>37182</v>
      </c>
      <c r="L177" s="20" t="n">
        <v>40638</v>
      </c>
    </row>
    <row r="178">
      <c r="A178" s="18" t="inlineStr">
        <is>
          <t>이익잉여금 합계</t>
        </is>
      </c>
      <c r="F178" s="20" t="n">
        <v>44922</v>
      </c>
      <c r="H178" s="20" t="n">
        <v>27758</v>
      </c>
      <c r="I178" s="20" t="n">
        <v>32940</v>
      </c>
      <c r="J178" s="20" t="n">
        <v>38693</v>
      </c>
      <c r="K178" s="20" t="n">
        <v>41466</v>
      </c>
      <c r="L178" s="20" t="n">
        <v>44922</v>
      </c>
    </row>
    <row r="179">
      <c r="A179" s="18" t="inlineStr">
        <is>
          <t>자기주식</t>
        </is>
      </c>
      <c r="F179" s="20" t="n">
        <v>-4932</v>
      </c>
      <c r="H179" s="20" t="n">
        <v>-2916</v>
      </c>
      <c r="I179" s="20" t="n">
        <v>-2884</v>
      </c>
      <c r="J179" s="20" t="n">
        <v>-4008</v>
      </c>
      <c r="K179" s="20" t="n">
        <v>-3989</v>
      </c>
      <c r="L179" s="20" t="n">
        <v>-4932</v>
      </c>
    </row>
    <row r="180">
      <c r="A180" s="9" t="inlineStr">
        <is>
          <t>주주자본 합계</t>
        </is>
      </c>
      <c r="F180" s="12" t="n">
        <v>61492</v>
      </c>
      <c r="H180" s="12" t="n">
        <v>46229</v>
      </c>
      <c r="I180" s="12" t="n">
        <v>51461</v>
      </c>
      <c r="J180" s="12" t="n">
        <v>56118</v>
      </c>
      <c r="K180" s="12" t="n">
        <v>58934</v>
      </c>
      <c r="L180" s="12" t="n">
        <v>61492</v>
      </c>
    </row>
    <row r="181">
      <c r="A181" s="18" t="inlineStr">
        <is>
          <t>기타유가증권 평가차액</t>
        </is>
      </c>
      <c r="F181" s="20" t="n">
        <v>5745</v>
      </c>
      <c r="H181" s="20" t="n">
        <v>2568</v>
      </c>
      <c r="I181" s="20" t="n">
        <v>2875</v>
      </c>
      <c r="J181" s="20" t="n">
        <v>5049</v>
      </c>
      <c r="K181" s="20" t="n">
        <v>3302</v>
      </c>
      <c r="L181" s="20" t="n">
        <v>5745</v>
      </c>
    </row>
    <row r="182">
      <c r="A182" s="18" t="inlineStr">
        <is>
          <t>토지재평가차액금</t>
        </is>
      </c>
      <c r="F182" s="20" t="n">
        <v>876</v>
      </c>
      <c r="H182" s="20" t="n">
        <v>936</v>
      </c>
      <c r="I182" s="20" t="n">
        <v>936</v>
      </c>
      <c r="J182" s="20" t="n">
        <v>936</v>
      </c>
      <c r="K182" s="20" t="n">
        <v>876</v>
      </c>
      <c r="L182" s="20" t="n">
        <v>876</v>
      </c>
    </row>
    <row r="183">
      <c r="A183" s="18" t="inlineStr">
        <is>
          <t>평가·환산차액 합계</t>
        </is>
      </c>
      <c r="F183" s="20" t="n">
        <v>6621</v>
      </c>
      <c r="H183" s="20" t="n">
        <v>3504</v>
      </c>
      <c r="I183" s="20" t="n">
        <v>3811</v>
      </c>
      <c r="J183" s="20" t="n">
        <v>5985</v>
      </c>
      <c r="K183" s="20" t="n">
        <v>4178</v>
      </c>
      <c r="L183" s="20" t="n">
        <v>6621</v>
      </c>
    </row>
    <row r="184">
      <c r="A184" s="9" t="inlineStr">
        <is>
          <t>순자산 합계</t>
        </is>
      </c>
      <c r="F184" s="12" t="n">
        <v>68114</v>
      </c>
      <c r="H184" s="12" t="n">
        <v>49734</v>
      </c>
      <c r="I184" s="12" t="n">
        <v>55273</v>
      </c>
      <c r="J184" s="12" t="n">
        <v>62104</v>
      </c>
      <c r="K184" s="12" t="n">
        <v>63112</v>
      </c>
      <c r="L184" s="12" t="n">
        <v>68114</v>
      </c>
    </row>
    <row r="185">
      <c r="A185" s="9" t="inlineStr">
        <is>
          <t>부채·순자산 합계</t>
        </is>
      </c>
      <c r="F185" s="12" t="n">
        <v>94269</v>
      </c>
      <c r="H185" s="12" t="n">
        <v>88609</v>
      </c>
      <c r="I185" s="12" t="n">
        <v>95487</v>
      </c>
      <c r="J185" s="12" t="n">
        <v>91157</v>
      </c>
      <c r="K185" s="12" t="n">
        <v>86613</v>
      </c>
      <c r="L185" s="12" t="n">
        <v>94269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https://www2.jpx.co.jp/disc/65160/140120260729501574.pdf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https://www2.jpx.co.jp/disc/65160/140120260424509870.pdf</t>
        </is>
      </c>
    </row>
    <row r="6">
      <c r="A6" t="inlineStr">
        <is>
          <t>2026-01-29</t>
        </is>
      </c>
      <c r="B6" t="inlineStr">
        <is>
          <t>2026년 3월 결산기 3분기 결산단신</t>
        </is>
      </c>
      <c r="C6" t="inlineStr">
        <is>
          <t>https://www2.jpx.co.jp/disc/65160/140120260128539930.pdf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https://www2.jpx.co.jp/disc/65160/140120251030582971.pdf</t>
        </is>
      </c>
    </row>
    <row r="8">
      <c r="A8" t="inlineStr">
        <is>
          <t>2025-07-30</t>
        </is>
      </c>
      <c r="B8" t="inlineStr">
        <is>
          <t>2026년 3월 결산기 1분기 결산단신</t>
        </is>
      </c>
      <c r="C8" t="inlineStr">
        <is>
          <t>https://www2.jpx.co.jp/disc/65160/140120250725520252.pdf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https://www2.jpx.co.jp/disc/65160/140120250424522005.pdf</t>
        </is>
      </c>
    </row>
    <row r="10">
      <c r="A10" t="inlineStr">
        <is>
          <t>2025-01-30</t>
        </is>
      </c>
      <c r="B10" t="inlineStr">
        <is>
          <t>2025년 3월 결산기 3분기 결산단신</t>
        </is>
      </c>
      <c r="C10" t="inlineStr">
        <is>
          <t>https://www2.jpx.co.jp/disc/65160/140120250129557224.pdf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https://www2.jpx.co.jp/disc/65160/140120241030505997.pdf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https://www2.jpx.co.jp/disc/65160/140120240726555430.pdf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https://www2.jpx.co.jp/disc/65160/140120240424575220.pdf</t>
        </is>
      </c>
    </row>
    <row r="14">
      <c r="A14" t="inlineStr">
        <is>
          <t>2024-01-31</t>
        </is>
      </c>
      <c r="B14" t="inlineStr">
        <is>
          <t>2024년 3월 결산기 3분기 결산단신</t>
        </is>
      </c>
      <c r="C14" t="inlineStr">
        <is>
          <t>https://www2.jpx.co.jp/disc/65160/140120240130521570.pdf</t>
        </is>
      </c>
    </row>
    <row r="15">
      <c r="A15" t="inlineStr">
        <is>
          <t>2023-10-31</t>
        </is>
      </c>
      <c r="B15" t="inlineStr">
        <is>
          <t>2024년 3월 결산기 2분기 결산단신</t>
        </is>
      </c>
      <c r="C15" t="inlineStr">
        <is>
          <t>https://www2.jpx.co.jp/disc/65160/140120231030574488.pdf</t>
        </is>
      </c>
    </row>
    <row r="16">
      <c r="A16" t="inlineStr">
        <is>
          <t>2023-07-31</t>
        </is>
      </c>
      <c r="B16" t="inlineStr">
        <is>
          <t>2024년 3월 결산기 1분기 결산단신</t>
        </is>
      </c>
      <c r="C16" t="inlineStr">
        <is>
          <t>https://www2.jpx.co.jp/disc/65160/140120230726527077.pdf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https://www2.jpx.co.jp/disc/65160/140120230426553592.pdf</t>
        </is>
      </c>
    </row>
    <row r="18">
      <c r="A18" t="inlineStr">
        <is>
          <t>2023-01-31</t>
        </is>
      </c>
      <c r="B18" t="inlineStr">
        <is>
          <t>2023년 3월 결산기 3분기 결산단신</t>
        </is>
      </c>
      <c r="C18" t="inlineStr">
        <is>
          <t>https://www2.jpx.co.jp/disc/65160/140120230130596001.pdf</t>
        </is>
      </c>
    </row>
    <row r="19">
      <c r="A19" t="inlineStr">
        <is>
          <t>2022-10-31</t>
        </is>
      </c>
      <c r="B19" t="inlineStr">
        <is>
          <t>2023년 3월 결산기 2분기 결산단신</t>
        </is>
      </c>
      <c r="C19" t="inlineStr">
        <is>
          <t>https://www2.jpx.co.jp/disc/65160/140120221028552202.pdf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https://www2.jpx.co.jp/disc/65160/140120220426527664.pdf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https://www2.jpx.co.jp/disc/65160/140120210426400190.pdf</t>
        </is>
      </c>
    </row>
    <row r="22">
      <c r="A22" t="inlineStr">
        <is>
          <t>2020-05-11</t>
        </is>
      </c>
      <c r="B22" t="inlineStr">
        <is>
          <t>2020년 3월 결산기 연간 결산단신</t>
        </is>
      </c>
      <c r="C22" t="inlineStr">
        <is>
          <t>https://www2.jpx.co.jp/disc/65160/140120200511407852.pdf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https://www2.jpx.co.jp/disc/65160/140120190424409940.pdf</t>
        </is>
      </c>
    </row>
    <row r="24">
      <c r="A24" t="inlineStr">
        <is>
          <t>2018-04-26</t>
        </is>
      </c>
      <c r="B24" t="inlineStr">
        <is>
          <t>2018년 3월 결산기 연간 결산단신</t>
        </is>
      </c>
      <c r="C24" t="inlineStr">
        <is>
          <t>https://www2.jpx.co.jp/disc/65160/140120180426420657.pdf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2026-10-28T07:04:27Z</dcterms:created>
  <dcterms:modified xmlns:dcterms="http://purl.org/dc/terms/" xmlns:xsi="http://www.w3.org/2001/XMLSchema-instance" xsi:type="dcterms:W3CDTF">2026-10-28T07:04:27Z</dcterms:modified>
</cp:coreProperties>
</file>