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1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6516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2026.4Q = 2026년 3월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1" t="n">
        <v>60702</v>
      </c>
      <c r="P4" s="12" t="n">
        <v>75257</v>
      </c>
      <c r="Q4" s="12" t="n">
        <v>70261</v>
      </c>
      <c r="R4" s="12" t="n">
        <v>55917</v>
      </c>
      <c r="S4" s="12" t="n">
        <v>63664</v>
      </c>
      <c r="T4" s="12" t="n">
        <v>83040</v>
      </c>
      <c r="U4" s="12" t="n">
        <v>100620</v>
      </c>
      <c r="V4" s="12" t="n">
        <v>93357</v>
      </c>
      <c r="W4" s="12" t="n">
        <v>78503</v>
      </c>
      <c r="X4" s="12" t="n">
        <v>87056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SanAceCompanyReportableSegmentMember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42984</v>
      </c>
      <c r="W7" s="20" t="n">
        <v>38062</v>
      </c>
      <c r="X7" s="20" t="n">
        <v>40826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ElectronicsCompanyReportableSegmentMember</t>
        </is>
      </c>
      <c r="B10" s="10" t="n"/>
      <c r="C10" s="19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23814</v>
      </c>
      <c r="W10" s="20" t="n">
        <v>21149</v>
      </c>
      <c r="X10" s="20" t="n">
        <v>23249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MotionCompanyReportableSegmentMember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40365</v>
      </c>
      <c r="W13" s="20" t="n">
        <v>32971</v>
      </c>
      <c r="X13" s="20" t="n">
        <v>37543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OtherReportableSegmentsMember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5740</v>
      </c>
      <c r="W16" s="20" t="n">
        <v>5663</v>
      </c>
      <c r="X16" s="20" t="n">
        <v>5725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19" t="n">
        <v>49716</v>
      </c>
      <c r="P20" s="20" t="n">
        <v>59923</v>
      </c>
      <c r="Q20" s="20" t="n">
        <v>57220</v>
      </c>
      <c r="R20" s="20" t="n">
        <v>48091</v>
      </c>
      <c r="S20" s="20" t="n">
        <v>53721</v>
      </c>
      <c r="T20" s="20" t="n">
        <v>69202</v>
      </c>
      <c r="U20" s="20" t="n">
        <v>83131</v>
      </c>
      <c r="V20" s="20" t="n">
        <v>76901</v>
      </c>
      <c r="W20" s="20" t="n">
        <v>65237</v>
      </c>
      <c r="X20" s="20" t="n">
        <v>70455</v>
      </c>
      <c r="Y20" s="19" t="n"/>
      <c r="Z20" s="20" t="n"/>
      <c r="AA20" s="20" t="n"/>
      <c r="AB20" s="20" t="n"/>
      <c r="AC20" s="20" t="n"/>
    </row>
    <row r="21">
      <c r="A21" s="18" t="inlineStr">
        <is>
          <t>매출총이익</t>
        </is>
      </c>
      <c r="B21" s="10" t="n"/>
      <c r="C21" s="19">
        <f>IF(OR(C4="",C20=""),"",IFERROR(C4-C20,""))</f>
        <v/>
      </c>
      <c r="D21" s="20">
        <f>IF(OR(D4="",D20=""),"",IFERROR(D4-D20,""))</f>
        <v/>
      </c>
      <c r="E21" s="20">
        <f>IF(OR(E4="",E20=""),"",IFERROR(E4-E20,""))</f>
        <v/>
      </c>
      <c r="F21" s="20">
        <f>IF(OR(F4="",F20=""),"",IFERROR(F4-F20,""))</f>
        <v/>
      </c>
      <c r="G21" s="20">
        <f>IF(OR(G4="",G20=""),"",IFERROR(G4-G20,""))</f>
        <v/>
      </c>
      <c r="H21" s="20">
        <f>IF(OR(H4="",H20=""),"",IFERROR(H4-H20,""))</f>
        <v/>
      </c>
      <c r="I21" s="20">
        <f>IF(OR(I4="",I20=""),"",IFERROR(I4-I20,""))</f>
        <v/>
      </c>
      <c r="J21" s="20">
        <f>IF(OR(J4="",J20=""),"",IFERROR(J4-J20,""))</f>
        <v/>
      </c>
      <c r="K21" s="20">
        <f>IF(OR(K4="",K20=""),"",IFERROR(K4-K20,""))</f>
        <v/>
      </c>
      <c r="L21" s="20">
        <f>IF(OR(L4="",L20=""),"",IFERROR(L4-L20,""))</f>
        <v/>
      </c>
      <c r="M21" s="20">
        <f>IF(OR(M4="",M20=""),"",IFERROR(M4-M20,""))</f>
        <v/>
      </c>
      <c r="N21" s="20">
        <f>IF(OR(N4="",N20=""),"",IFERROR(N4-N20,""))</f>
        <v/>
      </c>
      <c r="O21" s="19">
        <f>IF(OR(O4="",O20=""),"",IFERROR(O4-O20,""))</f>
        <v/>
      </c>
      <c r="P21" s="20">
        <f>IF(OR(P4="",P20=""),"",IFERROR(P4-P20,""))</f>
        <v/>
      </c>
      <c r="Q21" s="20">
        <f>IF(OR(Q4="",Q20=""),"",IFERROR(Q4-Q20,""))</f>
        <v/>
      </c>
      <c r="R21" s="20">
        <f>IF(OR(R4="",R20=""),"",IFERROR(R4-R20,""))</f>
        <v/>
      </c>
      <c r="S21" s="20">
        <f>IF(OR(S4="",S20=""),"",IFERROR(S4-S20,""))</f>
        <v/>
      </c>
      <c r="T21" s="20">
        <f>IF(OR(T4="",T20=""),"",IFERROR(T4-T20,""))</f>
        <v/>
      </c>
      <c r="U21" s="20">
        <f>IF(OR(U4="",U20=""),"",IFERROR(U4-U20,""))</f>
        <v/>
      </c>
      <c r="V21" s="20">
        <f>IF(OR(V4="",V20=""),"",IFERROR(V4-V20,""))</f>
        <v/>
      </c>
      <c r="W21" s="20">
        <f>IF(OR(W4="",W20=""),"",IFERROR(W4-W20,""))</f>
        <v/>
      </c>
      <c r="X21" s="20">
        <f>IF(OR(X4="",X20=""),"",IFERROR(X4-X20,""))</f>
        <v/>
      </c>
      <c r="Y21" s="19" t="n"/>
      <c r="Z21" s="20" t="n"/>
      <c r="AA21" s="20" t="n"/>
      <c r="AB21" s="20" t="n"/>
      <c r="AC21" s="20" t="n"/>
    </row>
    <row r="22">
      <c r="A22" s="13" t="inlineStr">
        <is>
          <t>GPM</t>
        </is>
      </c>
      <c r="B22" s="10" t="n"/>
      <c r="C22" s="14">
        <f>IF(OR(C21="",C4=""),"",IFERROR(C21/C4,""))</f>
        <v/>
      </c>
      <c r="D22" s="15">
        <f>IF(OR(D21="",D4=""),"",IFERROR(D21/D4,""))</f>
        <v/>
      </c>
      <c r="E22" s="15">
        <f>IF(OR(E21="",E4=""),"",IFERROR(E21/E4,""))</f>
        <v/>
      </c>
      <c r="F22" s="15">
        <f>IF(OR(F21="",F4=""),"",IFERROR(F21/F4,""))</f>
        <v/>
      </c>
      <c r="G22" s="15">
        <f>IF(OR(G21="",G4=""),"",IFERROR(G21/G4,""))</f>
        <v/>
      </c>
      <c r="H22" s="15">
        <f>IF(OR(H21="",H4=""),"",IFERROR(H21/H4,""))</f>
        <v/>
      </c>
      <c r="I22" s="15">
        <f>IF(OR(I21="",I4=""),"",IFERROR(I21/I4,""))</f>
        <v/>
      </c>
      <c r="J22" s="15">
        <f>IF(OR(J21="",J4=""),"",IFERROR(J21/J4,""))</f>
        <v/>
      </c>
      <c r="K22" s="15">
        <f>IF(OR(K21="",K4=""),"",IFERROR(K21/K4,""))</f>
        <v/>
      </c>
      <c r="L22" s="15">
        <f>IF(OR(L21="",L4=""),"",IFERROR(L21/L4,""))</f>
        <v/>
      </c>
      <c r="M22" s="15">
        <f>IF(OR(M21="",M4=""),"",IFERROR(M21/M4,""))</f>
        <v/>
      </c>
      <c r="N22" s="15">
        <f>IF(OR(N21="",N4=""),"",IFERROR(N21/N4,""))</f>
        <v/>
      </c>
      <c r="O22" s="14">
        <f>IF(OR(O21="",O4=""),"",IFERROR(O21/O4,""))</f>
        <v/>
      </c>
      <c r="P22" s="15">
        <f>IF(OR(P21="",P4=""),"",IFERROR(P21/P4,""))</f>
        <v/>
      </c>
      <c r="Q22" s="15">
        <f>IF(OR(Q21="",Q4=""),"",IFERROR(Q21/Q4,""))</f>
        <v/>
      </c>
      <c r="R22" s="15">
        <f>IF(OR(R21="",R4=""),"",IFERROR(R21/R4,""))</f>
        <v/>
      </c>
      <c r="S22" s="15">
        <f>IF(OR(S21="",S4=""),"",IFERROR(S21/S4,""))</f>
        <v/>
      </c>
      <c r="T22" s="15">
        <f>IF(OR(T21="",T4=""),"",IFERROR(T21/T4,""))</f>
        <v/>
      </c>
      <c r="U22" s="15">
        <f>IF(OR(U21="",U4=""),"",IFERROR(U21/U4,""))</f>
        <v/>
      </c>
      <c r="V22" s="15">
        <f>IF(OR(V21="",V4=""),"",IFERROR(V21/V4,""))</f>
        <v/>
      </c>
      <c r="W22" s="15">
        <f>IF(OR(W21="",W4=""),"",IFERROR(W21/W4,""))</f>
        <v/>
      </c>
      <c r="X22" s="15">
        <f>IF(OR(X21="",X4=""),"",IFERROR(X21/X4,""))</f>
        <v/>
      </c>
      <c r="Y22" s="14">
        <f>IF(OR(Y21="",Y4=""),"",IFERROR(Y21/Y4,""))</f>
        <v/>
      </c>
      <c r="Z22" s="15">
        <f>IF(OR(Z21="",Z4=""),"",IFERROR(Z21/Z4,""))</f>
        <v/>
      </c>
      <c r="AA22" s="15">
        <f>IF(OR(AA21="",AA4=""),"",IFERROR(AA21/AA4,""))</f>
        <v/>
      </c>
      <c r="AB22" s="15">
        <f>IF(OR(AB21="",AB4=""),"",IFERROR(AB21/AB4,""))</f>
        <v/>
      </c>
      <c r="AC22" s="15">
        <f>IF(OR(AC21="",AC4=""),"",IFERROR(AC21/AC4,""))</f>
        <v/>
      </c>
    </row>
    <row r="23">
      <c r="A23" s="23" t="inlineStr">
        <is>
          <t>판매관리비</t>
        </is>
      </c>
      <c r="B23" s="23" t="n"/>
      <c r="C23" s="24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4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4" t="n"/>
      <c r="Z23" s="23" t="n"/>
      <c r="AA23" s="23" t="n"/>
      <c r="AB23" s="23" t="n"/>
      <c r="AC23" s="23" t="n"/>
    </row>
    <row r="24">
      <c r="A24" s="18" t="inlineStr">
        <is>
          <t>전체 판관비</t>
        </is>
      </c>
      <c r="B24" s="10" t="n"/>
      <c r="C24" s="19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19" t="n">
        <v>7924</v>
      </c>
      <c r="P24" s="20" t="n">
        <v>9337</v>
      </c>
      <c r="Q24" s="20" t="n">
        <v>9541</v>
      </c>
      <c r="R24" s="20" t="n">
        <v>8686</v>
      </c>
      <c r="S24" s="20" t="n">
        <v>8185</v>
      </c>
      <c r="T24" s="20" t="n">
        <v>9313</v>
      </c>
      <c r="U24" s="20" t="n">
        <v>11175</v>
      </c>
      <c r="V24" s="20" t="n">
        <v>10735</v>
      </c>
      <c r="W24" s="20" t="n">
        <v>10740</v>
      </c>
      <c r="X24" s="20" t="n">
        <v>11461</v>
      </c>
      <c r="Y24" s="19" t="n"/>
      <c r="Z24" s="20" t="n"/>
      <c r="AA24" s="20" t="n"/>
      <c r="AB24" s="20" t="n"/>
      <c r="AC24" s="20" t="n"/>
    </row>
    <row r="25">
      <c r="A25" s="9" t="inlineStr">
        <is>
          <t>영업이익</t>
        </is>
      </c>
      <c r="B25" s="10" t="inlineStr">
        <is>
          <t>MW = 매출 × OPM</t>
        </is>
      </c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1" t="n">
        <v>3061</v>
      </c>
      <c r="P25" s="12" t="n">
        <v>5996</v>
      </c>
      <c r="Q25" s="12" t="n">
        <v>3499</v>
      </c>
      <c r="R25" s="12" t="n">
        <v>-860</v>
      </c>
      <c r="S25" s="12" t="n">
        <v>1757</v>
      </c>
      <c r="T25" s="12" t="n">
        <v>4525</v>
      </c>
      <c r="U25" s="12" t="n">
        <v>6314</v>
      </c>
      <c r="V25" s="12" t="n">
        <v>5720</v>
      </c>
      <c r="W25" s="12" t="n">
        <v>2525</v>
      </c>
      <c r="X25" s="12" t="n">
        <v>5140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IF(O24="","",O24)</f>
        <v/>
      </c>
      <c r="P29" s="12">
        <f>IF(P24="","",P24)</f>
        <v/>
      </c>
      <c r="Q29" s="12">
        <f>IF(Q24="","",Q24)</f>
        <v/>
      </c>
      <c r="R29" s="12">
        <f>IF(R24="","",R24)</f>
        <v/>
      </c>
      <c r="S29" s="12">
        <f>IF(S24="","",S24)</f>
        <v/>
      </c>
      <c r="T29" s="12">
        <f>IF(T24="","",T24)</f>
        <v/>
      </c>
      <c r="U29" s="12">
        <f>IF(U24="","",U24)</f>
        <v/>
      </c>
      <c r="V29" s="12">
        <f>IF(V24="","",V24)</f>
        <v/>
      </c>
      <c r="W29" s="12">
        <f>IF(W24="","",W24)</f>
        <v/>
      </c>
      <c r="X29" s="12">
        <f>IF(X24="","",X24)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기타이익</t>
        </is>
      </c>
      <c r="B41" s="10" t="n"/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>
        <v>0</v>
      </c>
      <c r="P41" s="20" t="n">
        <v>254</v>
      </c>
      <c r="Q41" s="20" t="n">
        <v>100</v>
      </c>
      <c r="R41" s="20" t="n">
        <v>31</v>
      </c>
      <c r="S41" s="20" t="n">
        <v>0</v>
      </c>
      <c r="T41" s="20" t="n">
        <v>0</v>
      </c>
      <c r="U41" s="20" t="n">
        <v>5</v>
      </c>
      <c r="V41" s="20" t="n">
        <v>21</v>
      </c>
      <c r="W41" s="20" t="n">
        <v>828</v>
      </c>
      <c r="X41" s="20" t="n">
        <v>29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기타손실</t>
        </is>
      </c>
      <c r="B43" s="10" t="n"/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>
        <v>56</v>
      </c>
      <c r="P43" s="20" t="n">
        <v>57</v>
      </c>
      <c r="Q43" s="20" t="n">
        <v>209</v>
      </c>
      <c r="R43" s="20" t="n">
        <v>26</v>
      </c>
      <c r="S43" s="20" t="n">
        <v>1</v>
      </c>
      <c r="T43" s="20" t="n">
        <v>0</v>
      </c>
      <c r="U43" s="20" t="n">
        <v>19</v>
      </c>
      <c r="V43" s="20" t="n">
        <v>2</v>
      </c>
      <c r="W43" s="20" t="n">
        <v>184</v>
      </c>
      <c r="X43" s="20" t="n">
        <v>1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금융수익</t>
        </is>
      </c>
      <c r="B45" s="10" t="n"/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>
        <v>837</v>
      </c>
      <c r="P45" s="20" t="n">
        <v>630</v>
      </c>
      <c r="Q45" s="20" t="n">
        <v>1195</v>
      </c>
      <c r="R45" s="20" t="n">
        <v>1229</v>
      </c>
      <c r="S45" s="20" t="n">
        <v>632</v>
      </c>
      <c r="T45" s="20" t="n">
        <v>1169</v>
      </c>
      <c r="U45" s="20" t="n">
        <v>1906</v>
      </c>
      <c r="V45" s="20" t="n">
        <v>3273</v>
      </c>
      <c r="W45" s="20" t="n">
        <v>2680</v>
      </c>
      <c r="X45" s="20" t="n">
        <v>2282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금융원가</t>
        </is>
      </c>
      <c r="B47" s="10" t="n"/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 t="n">
        <v>24</v>
      </c>
      <c r="P47" s="20" t="n">
        <v>226</v>
      </c>
      <c r="Q47" s="20" t="n">
        <v>37</v>
      </c>
      <c r="R47" s="20" t="n">
        <v>163</v>
      </c>
      <c r="S47" s="20" t="n">
        <v>51</v>
      </c>
      <c r="T47" s="20" t="n">
        <v>75</v>
      </c>
      <c r="U47" s="20" t="n">
        <v>51</v>
      </c>
      <c r="V47" s="20" t="n">
        <v>47</v>
      </c>
      <c r="W47" s="20" t="n">
        <v>220</v>
      </c>
      <c r="X47" s="20" t="n">
        <v>73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1" t="n">
        <v>3818</v>
      </c>
      <c r="P49" s="12" t="n">
        <v>6598</v>
      </c>
      <c r="Q49" s="12" t="n">
        <v>4548</v>
      </c>
      <c r="R49" s="12" t="n">
        <v>210</v>
      </c>
      <c r="S49" s="12" t="n">
        <v>2337</v>
      </c>
      <c r="T49" s="12" t="n">
        <v>5619</v>
      </c>
      <c r="U49" s="12" t="n">
        <v>8155</v>
      </c>
      <c r="V49" s="12" t="n">
        <v>8965</v>
      </c>
      <c r="W49" s="12" t="n">
        <v>5629</v>
      </c>
      <c r="X49" s="12" t="n">
        <v>7377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8" t="inlineStr">
        <is>
          <t>법인세비용(수익)</t>
        </is>
      </c>
      <c r="B50" s="10" t="n"/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 t="n">
        <v>863</v>
      </c>
      <c r="P50" s="20" t="n">
        <v>1633</v>
      </c>
      <c r="Q50" s="20" t="n">
        <v>1055</v>
      </c>
      <c r="R50" s="20" t="n">
        <v>58</v>
      </c>
      <c r="S50" s="20" t="n">
        <v>365</v>
      </c>
      <c r="T50" s="20" t="n">
        <v>1248</v>
      </c>
      <c r="U50" s="20" t="n">
        <v>1459</v>
      </c>
      <c r="V50" s="20" t="n">
        <v>1517</v>
      </c>
      <c r="W50" s="20" t="n">
        <v>1101</v>
      </c>
      <c r="X50" s="20" t="n">
        <v>1663</v>
      </c>
      <c r="Y50" s="19">
        <f>IF(OR(Y49="",Y51=""),"",IFERROR(MAX(Y49,0)*Y51,""))</f>
        <v/>
      </c>
      <c r="Z50" s="20">
        <f>IF(OR(Z49="",Z51=""),"",IFERROR(MAX(Z49,0)*Z51,""))</f>
        <v/>
      </c>
      <c r="AA50" s="20">
        <f>IF(OR(AA49="",AA51=""),"",IFERROR(MAX(AA49,0)*AA51,""))</f>
        <v/>
      </c>
      <c r="AB50" s="20">
        <f>IF(OR(AB49="",AB51=""),"",IFERROR(MAX(AB49,0)*AB51,""))</f>
        <v/>
      </c>
      <c r="AC50" s="20">
        <f>IF(OR(AC49="",AC51=""),"",IFERROR(MAX(AC49,0)*AC51,""))</f>
        <v/>
      </c>
    </row>
    <row r="51">
      <c r="A51" s="13" t="inlineStr">
        <is>
          <t>법인세율</t>
        </is>
      </c>
      <c r="B51" s="10" t="inlineStr">
        <is>
          <t>MW 기본 30%</t>
        </is>
      </c>
      <c r="C51" s="14">
        <f>IF(OR(C50="",C49=""),"",IFERROR(C50/C49,""))</f>
        <v/>
      </c>
      <c r="D51" s="15">
        <f>IF(OR(D50="",D49=""),"",IFERROR(D50/D49,""))</f>
        <v/>
      </c>
      <c r="E51" s="15">
        <f>IF(OR(E50="",E49=""),"",IFERROR(E50/E49,""))</f>
        <v/>
      </c>
      <c r="F51" s="15">
        <f>IF(OR(F50="",F49=""),"",IFERROR(F50/F49,""))</f>
        <v/>
      </c>
      <c r="G51" s="15">
        <f>IF(OR(G50="",G49=""),"",IFERROR(G50/G49,""))</f>
        <v/>
      </c>
      <c r="H51" s="15">
        <f>IF(OR(H50="",H49=""),"",IFERROR(H50/H49,""))</f>
        <v/>
      </c>
      <c r="I51" s="15">
        <f>IF(OR(I50="",I49=""),"",IFERROR(I50/I49,""))</f>
        <v/>
      </c>
      <c r="J51" s="15">
        <f>IF(OR(J50="",J49=""),"",IFERROR(J50/J49,""))</f>
        <v/>
      </c>
      <c r="K51" s="15">
        <f>IF(OR(K50="",K49=""),"",IFERROR(K50/K49,""))</f>
        <v/>
      </c>
      <c r="L51" s="15">
        <f>IF(OR(L50="",L49=""),"",IFERROR(L50/L49,""))</f>
        <v/>
      </c>
      <c r="M51" s="15">
        <f>IF(OR(M50="",M49=""),"",IFERROR(M50/M49,""))</f>
        <v/>
      </c>
      <c r="N51" s="15">
        <f>IF(OR(N50="",N49=""),"",IFERROR(N50/N49,""))</f>
        <v/>
      </c>
      <c r="O51" s="14">
        <f>IF(OR(O50="",O49=""),"",IFERROR(O50/O49,""))</f>
        <v/>
      </c>
      <c r="P51" s="15">
        <f>IF(OR(P50="",P49=""),"",IFERROR(P50/P49,""))</f>
        <v/>
      </c>
      <c r="Q51" s="15">
        <f>IF(OR(Q50="",Q49=""),"",IFERROR(Q50/Q49,""))</f>
        <v/>
      </c>
      <c r="R51" s="15">
        <f>IF(OR(R50="",R49=""),"",IFERROR(R50/R49,""))</f>
        <v/>
      </c>
      <c r="S51" s="15">
        <f>IF(OR(S50="",S49=""),"",IFERROR(S50/S49,""))</f>
        <v/>
      </c>
      <c r="T51" s="15">
        <f>IF(OR(T50="",T49=""),"",IFERROR(T50/T49,""))</f>
        <v/>
      </c>
      <c r="U51" s="15">
        <f>IF(OR(U50="",U49=""),"",IFERROR(U50/U49,""))</f>
        <v/>
      </c>
      <c r="V51" s="15">
        <f>IF(OR(V50="",V49=""),"",IFERROR(V50/V49,""))</f>
        <v/>
      </c>
      <c r="W51" s="15">
        <f>IF(OR(W50="",W49=""),"",IFERROR(W50/W49,""))</f>
        <v/>
      </c>
      <c r="X51" s="15">
        <f>IF(OR(X50="",X49=""),"",IFERROR(X50/X49,""))</f>
        <v/>
      </c>
      <c r="Y51" s="25" t="n">
        <v>0.3</v>
      </c>
      <c r="Z51" s="26" t="n">
        <v>0.3</v>
      </c>
      <c r="AA51" s="26" t="n">
        <v>0.3</v>
      </c>
      <c r="AB51" s="26" t="n">
        <v>0.3</v>
      </c>
      <c r="AC51" s="26" t="n">
        <v>0.3</v>
      </c>
    </row>
    <row r="52">
      <c r="A52" s="9" t="inlineStr">
        <is>
          <t>당기순이익(손실)</t>
        </is>
      </c>
      <c r="B52" s="10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1" t="n">
        <v>2955</v>
      </c>
      <c r="P52" s="12" t="n">
        <v>4964</v>
      </c>
      <c r="Q52" s="12" t="n">
        <v>3492</v>
      </c>
      <c r="R52" s="12" t="n">
        <v>152</v>
      </c>
      <c r="S52" s="12" t="n">
        <v>1971</v>
      </c>
      <c r="T52" s="12" t="n">
        <v>4370</v>
      </c>
      <c r="U52" s="12" t="n">
        <v>6695</v>
      </c>
      <c r="V52" s="12" t="n">
        <v>7448</v>
      </c>
      <c r="W52" s="12" t="n">
        <v>4527</v>
      </c>
      <c r="X52" s="12" t="n">
        <v>5713</v>
      </c>
      <c r="Y52" s="11">
        <f>IF(OR(Y49=""),"",IFERROR(Y49-Y50,""))</f>
        <v/>
      </c>
      <c r="Z52" s="12">
        <f>IF(OR(Z49=""),"",IFERROR(Z49-Z50,""))</f>
        <v/>
      </c>
      <c r="AA52" s="12">
        <f>IF(OR(AA49=""),"",IFERROR(AA49-AA50,""))</f>
        <v/>
      </c>
      <c r="AB52" s="12">
        <f>IF(OR(AB49=""),"",IFERROR(AB49-AB50,""))</f>
        <v/>
      </c>
      <c r="AC52" s="12">
        <f>IF(OR(AC49=""),"",IFERROR(AC49-AC50,""))</f>
        <v/>
      </c>
    </row>
    <row r="53">
      <c r="A53" s="9" t="inlineStr">
        <is>
          <t>지배주주 순이익</t>
        </is>
      </c>
      <c r="B53" s="10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1" t="n"/>
      <c r="P53" s="12" t="n">
        <v>6415</v>
      </c>
      <c r="Q53" s="12" t="n">
        <v>4983</v>
      </c>
      <c r="R53" s="12" t="n">
        <v>426</v>
      </c>
      <c r="S53" s="12" t="n">
        <v>3942</v>
      </c>
      <c r="T53" s="12" t="n">
        <v>9015</v>
      </c>
      <c r="U53" s="12" t="n">
        <v>11410</v>
      </c>
      <c r="V53" s="12" t="n">
        <v>10477</v>
      </c>
      <c r="W53" s="12" t="n">
        <v>5637</v>
      </c>
      <c r="X53" s="12" t="n">
        <v>8661</v>
      </c>
      <c r="Y53" s="11">
        <f>IF(OR(Y52="",Y54=""),"",IFERROR(Y52*Y54,""))</f>
        <v/>
      </c>
      <c r="Z53" s="12">
        <f>IF(OR(Z52="",Z54=""),"",IFERROR(Z52*Z54,""))</f>
        <v/>
      </c>
      <c r="AA53" s="12">
        <f>IF(OR(AA52="",AA54=""),"",IFERROR(AA52*AA54,""))</f>
        <v/>
      </c>
      <c r="AB53" s="12">
        <f>IF(OR(AB52="",AB54=""),"",IFERROR(AB52*AB54,""))</f>
        <v/>
      </c>
      <c r="AC53" s="12">
        <f>IF(OR(AC52="",AC54=""),"",IFERROR(AC52*AC54,""))</f>
        <v/>
      </c>
    </row>
    <row r="54">
      <c r="A54" s="13" t="inlineStr">
        <is>
          <t>지배주주 순이익률</t>
        </is>
      </c>
      <c r="B54" s="10" t="inlineStr">
        <is>
          <t>MW 기본 100%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1</v>
      </c>
      <c r="Z54" s="26" t="n">
        <v>1</v>
      </c>
      <c r="AA54" s="26" t="n">
        <v>1</v>
      </c>
      <c r="AB54" s="26" t="n">
        <v>1</v>
      </c>
      <c r="AC54" s="26" t="n">
        <v>1</v>
      </c>
    </row>
    <row r="55">
      <c r="A55" s="16" t="inlineStr">
        <is>
          <t>목표주가 산출</t>
        </is>
      </c>
      <c r="B55" s="16" t="n"/>
      <c r="C55" s="17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7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7" t="n"/>
      <c r="Z55" s="16" t="n"/>
      <c r="AA55" s="16" t="n"/>
      <c r="AB55" s="16" t="n"/>
      <c r="AC55" s="16" t="n"/>
    </row>
    <row r="56">
      <c r="A56" s="18" t="inlineStr">
        <is>
          <t>현재 주가 ()</t>
        </is>
      </c>
      <c r="B56" s="27" t="n"/>
      <c r="C56" s="28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29" t="n"/>
      <c r="N56" s="29" t="n"/>
      <c r="O56" s="28" t="n"/>
      <c r="P56" s="29" t="n"/>
      <c r="Q56" s="29" t="n"/>
      <c r="R56" s="29" t="n"/>
      <c r="S56" s="29" t="n"/>
      <c r="T56" s="29" t="n"/>
      <c r="U56" s="29" t="n"/>
      <c r="V56" s="29" t="n"/>
      <c r="W56" s="29" t="n"/>
      <c r="X56" s="29" t="n"/>
      <c r="Y56" s="28" t="n"/>
      <c r="Z56" s="29" t="n"/>
      <c r="AA56" s="29" t="n"/>
      <c r="AB56" s="29" t="n"/>
      <c r="AC56" s="29" t="n"/>
    </row>
    <row r="57">
      <c r="A57" s="18" t="inlineStr">
        <is>
          <t>발행주식수 (보통주)</t>
        </is>
      </c>
      <c r="B57" s="27" t="n"/>
      <c r="C57" s="28" t="n"/>
      <c r="D57" s="29" t="n"/>
      <c r="E57" s="29" t="n"/>
      <c r="F57" s="29" t="n"/>
      <c r="G57" s="29" t="n"/>
      <c r="H57" s="29" t="n"/>
      <c r="I57" s="29" t="n"/>
      <c r="J57" s="29" t="n"/>
      <c r="K57" s="29" t="n"/>
      <c r="L57" s="29" t="n"/>
      <c r="M57" s="29" t="n"/>
      <c r="N57" s="29" t="n"/>
      <c r="O57" s="28" t="n"/>
      <c r="P57" s="29" t="n"/>
      <c r="Q57" s="29" t="n"/>
      <c r="R57" s="29" t="n"/>
      <c r="S57" s="29" t="n"/>
      <c r="T57" s="29" t="n"/>
      <c r="U57" s="29" t="n"/>
      <c r="V57" s="29" t="n"/>
      <c r="W57" s="29" t="n"/>
      <c r="X57" s="29" t="n"/>
      <c r="Y57" s="28" t="n"/>
      <c r="Z57" s="29" t="n"/>
      <c r="AA57" s="29" t="n"/>
      <c r="AB57" s="29" t="n"/>
      <c r="AC57" s="29" t="n"/>
    </row>
    <row r="58">
      <c r="A58" s="18" t="inlineStr">
        <is>
          <t>시가총액 (백만엔)</t>
        </is>
      </c>
      <c r="B58" s="12">
        <f>IF(OR(B56="",B57=""),"",B56*B57/1000000.0)</f>
        <v/>
      </c>
      <c r="C58" s="19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19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19" t="n"/>
      <c r="Z58" s="20" t="n"/>
      <c r="AA58" s="20" t="n"/>
      <c r="AB58" s="20" t="n"/>
      <c r="AC58" s="20" t="n"/>
    </row>
    <row r="59">
      <c r="A59" s="13" t="inlineStr">
        <is>
          <t>OPM</t>
        </is>
      </c>
      <c r="B59" s="10" t="n"/>
      <c r="C59" s="14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4">
        <f>IF(O26="","",O26)</f>
        <v/>
      </c>
      <c r="P59" s="15">
        <f>IF(P26="","",P26)</f>
        <v/>
      </c>
      <c r="Q59" s="15">
        <f>IF(Q26="","",Q26)</f>
        <v/>
      </c>
      <c r="R59" s="15">
        <f>IF(R26="","",R26)</f>
        <v/>
      </c>
      <c r="S59" s="15">
        <f>IF(S26="","",S26)</f>
        <v/>
      </c>
      <c r="T59" s="15">
        <f>IF(T26="","",T26)</f>
        <v/>
      </c>
      <c r="U59" s="15">
        <f>IF(U26="","",U26)</f>
        <v/>
      </c>
      <c r="V59" s="15">
        <f>IF(V26="","",V26)</f>
        <v/>
      </c>
      <c r="W59" s="15">
        <f>IF(W26="","",W26)</f>
        <v/>
      </c>
      <c r="X59" s="15">
        <f>IF(X26="","",X26)</f>
        <v/>
      </c>
      <c r="Y59" s="14">
        <f>IF(Y26="","",Y26)</f>
        <v/>
      </c>
      <c r="Z59" s="15">
        <f>IF(Z26="","",Z26)</f>
        <v/>
      </c>
      <c r="AA59" s="15">
        <f>IF(AA26="","",AA26)</f>
        <v/>
      </c>
      <c r="AB59" s="15">
        <f>IF(AB26="","",AB26)</f>
        <v/>
      </c>
      <c r="AC59" s="15">
        <f>IF(AC26="","",AC26)</f>
        <v/>
      </c>
    </row>
    <row r="60">
      <c r="A60" s="13" t="inlineStr">
        <is>
          <t>지배주주 순이익 증가율</t>
        </is>
      </c>
      <c r="B60" s="10" t="n"/>
      <c r="C60" s="14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4" t="n"/>
      <c r="P60" s="15">
        <f>IF(OR(P53="",O53=""),"",IFERROR(P53/O53-1,""))</f>
        <v/>
      </c>
      <c r="Q60" s="15">
        <f>IF(OR(Q53="",P53=""),"",IFERROR(Q53/P53-1,""))</f>
        <v/>
      </c>
      <c r="R60" s="15">
        <f>IF(OR(R53="",Q53=""),"",IFERROR(R53/Q53-1,""))</f>
        <v/>
      </c>
      <c r="S60" s="15">
        <f>IF(OR(S53="",R53=""),"",IFERROR(S53/R53-1,""))</f>
        <v/>
      </c>
      <c r="T60" s="15">
        <f>IF(OR(T53="",S53=""),"",IFERROR(T53/S53-1,""))</f>
        <v/>
      </c>
      <c r="U60" s="15">
        <f>IF(OR(U53="",T53=""),"",IFERROR(U53/T53-1,""))</f>
        <v/>
      </c>
      <c r="V60" s="15">
        <f>IF(OR(V53="",U53=""),"",IFERROR(V53/U53-1,""))</f>
        <v/>
      </c>
      <c r="W60" s="15">
        <f>IF(OR(W53="",V53=""),"",IFERROR(W53/V53-1,""))</f>
        <v/>
      </c>
      <c r="X60" s="15">
        <f>IF(OR(X53="",W53=""),"",IFERROR(X53/W53-1,""))</f>
        <v/>
      </c>
      <c r="Y60" s="14">
        <f>IF(OR(Y53="",X53=""),"",IFERROR(Y53/X53-1,""))</f>
        <v/>
      </c>
      <c r="Z60" s="15">
        <f>IF(OR(Z53="",Y53=""),"",IFERROR(Z53/Y53-1,""))</f>
        <v/>
      </c>
      <c r="AA60" s="15">
        <f>IF(OR(AA53="",Z53=""),"",IFERROR(AA53/Z53-1,""))</f>
        <v/>
      </c>
      <c r="AB60" s="15">
        <f>IF(OR(AB53="",AA53=""),"",IFERROR(AB53/AA53-1,""))</f>
        <v/>
      </c>
      <c r="AC60" s="15">
        <f>IF(OR(AC53="",AB53=""),"",IFERROR(AC53/AB53-1,""))</f>
        <v/>
      </c>
    </row>
    <row r="61">
      <c r="A61" s="18" t="inlineStr">
        <is>
          <t>P/E (현재 주가)</t>
        </is>
      </c>
      <c r="B61" s="10" t="inlineStr">
        <is>
          <t>시총 ÷ 지배순이익</t>
        </is>
      </c>
      <c r="C61" s="30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0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>
        <f>IF(OR($B$58="",X53=""),"",IFERROR($B$58/X53,""))</f>
        <v/>
      </c>
      <c r="Y61" s="30">
        <f>IF(OR($B$58="",Y53=""),"",IFERROR($B$58/Y53,""))</f>
        <v/>
      </c>
      <c r="Z61" s="31">
        <f>IF(OR($B$58="",Z53=""),"",IFERROR($B$58/Z53,""))</f>
        <v/>
      </c>
      <c r="AA61" s="31">
        <f>IF(OR($B$58="",AA53=""),"",IFERROR($B$58/AA53,""))</f>
        <v/>
      </c>
      <c r="AB61" s="31">
        <f>IF(OR($B$58="",AB53=""),"",IFERROR($B$58/AB53,""))</f>
        <v/>
      </c>
      <c r="AC61" s="31">
        <f>IF(OR($B$58="",AC53=""),"",IFERROR($B$58/AC53,""))</f>
        <v/>
      </c>
    </row>
    <row r="62">
      <c r="A62" s="18" t="inlineStr">
        <is>
          <t>Target P/E</t>
        </is>
      </c>
      <c r="B62" s="10" t="inlineStr">
        <is>
          <t>직접 입력</t>
        </is>
      </c>
      <c r="C62" s="30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0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2" t="n"/>
      <c r="Z62" s="33" t="n"/>
      <c r="AA62" s="33" t="n"/>
      <c r="AB62" s="33" t="n"/>
      <c r="AC62" s="33" t="n"/>
    </row>
    <row r="63">
      <c r="A63" s="18" t="inlineStr">
        <is>
          <t>EPS</t>
        </is>
      </c>
      <c r="B63" s="10" t="inlineStr">
        <is>
          <t>지배순이익 ÷ 주식수</t>
        </is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>
        <f>IF(OR(O53="",$B$57=""),"",IFERROR(O53*1000000.0/$B$57,""))</f>
        <v/>
      </c>
      <c r="P63" s="29">
        <f>IF(OR(P53="",$B$57=""),"",IFERROR(P53*1000000.0/$B$57,""))</f>
        <v/>
      </c>
      <c r="Q63" s="29">
        <f>IF(OR(Q53="",$B$57=""),"",IFERROR(Q53*1000000.0/$B$57,""))</f>
        <v/>
      </c>
      <c r="R63" s="29">
        <f>IF(OR(R53="",$B$57=""),"",IFERROR(R53*1000000.0/$B$57,""))</f>
        <v/>
      </c>
      <c r="S63" s="29">
        <f>IF(OR(S53="",$B$57=""),"",IFERROR(S53*1000000.0/$B$57,""))</f>
        <v/>
      </c>
      <c r="T63" s="29">
        <f>IF(OR(T53="",$B$57=""),"",IFERROR(T53*1000000.0/$B$57,""))</f>
        <v/>
      </c>
      <c r="U63" s="29">
        <f>IF(OR(U53="",$B$57=""),"",IFERROR(U53*1000000.0/$B$57,""))</f>
        <v/>
      </c>
      <c r="V63" s="29">
        <f>IF(OR(V53="",$B$57=""),"",IFERROR(V53*1000000.0/$B$57,""))</f>
        <v/>
      </c>
      <c r="W63" s="29">
        <f>IF(OR(W53="",$B$57=""),"",IFERROR(W53*1000000.0/$B$57,""))</f>
        <v/>
      </c>
      <c r="X63" s="29">
        <f>IF(OR(X53="",$B$57=""),"",IFERROR(X53*1000000.0/$B$57,""))</f>
        <v/>
      </c>
      <c r="Y63" s="28">
        <f>IF(OR(Y53="",$B$57=""),"",IFERROR(Y53*1000000.0/$B$57,""))</f>
        <v/>
      </c>
      <c r="Z63" s="29">
        <f>IF(OR(Z53="",$B$57=""),"",IFERROR(Z53*1000000.0/$B$57,""))</f>
        <v/>
      </c>
      <c r="AA63" s="29">
        <f>IF(OR(AA53="",$B$57=""),"",IFERROR(AA53*1000000.0/$B$57,""))</f>
        <v/>
      </c>
      <c r="AB63" s="29">
        <f>IF(OR(AB53="",$B$57=""),"",IFERROR(AB53*1000000.0/$B$57,""))</f>
        <v/>
      </c>
      <c r="AC63" s="29">
        <f>IF(OR(AC53="",$B$57=""),"",IFERROR(AC53*1000000.0/$B$57,""))</f>
        <v/>
      </c>
    </row>
    <row r="64">
      <c r="A64" s="9" t="inlineStr">
        <is>
          <t>목표주가</t>
        </is>
      </c>
      <c r="B64" s="10" t="n"/>
      <c r="C64" s="34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34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34">
        <f>IF(OR(Y63="",Y62=""),"",IFERROR(Y63*Y62,""))</f>
        <v/>
      </c>
      <c r="Z64" s="27">
        <f>IF(OR(Z63="",Z62=""),"",IFERROR(Z63*Z62,""))</f>
        <v/>
      </c>
      <c r="AA64" s="27">
        <f>IF(OR(AA63="",AA62=""),"",IFERROR(AA63*AA62,""))</f>
        <v/>
      </c>
      <c r="AB64" s="27">
        <f>IF(OR(AB63="",AB62=""),"",IFERROR(AB63*AB62,""))</f>
        <v/>
      </c>
      <c r="AC64" s="27">
        <f>IF(OR(AC63="",AC62=""),"",IFERROR(AC63*AC62,""))</f>
        <v/>
      </c>
    </row>
    <row r="65">
      <c r="A65" s="18" t="inlineStr">
        <is>
          <t>상승여력</t>
        </is>
      </c>
      <c r="B65" s="10" t="n"/>
      <c r="C65" s="35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5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7">
        <f>IF(OR(Y64="",$B$56=""),"",IFERROR(Y64/$B$56-1,""))</f>
        <v/>
      </c>
      <c r="Z65" s="38">
        <f>IF(OR(Z64="",$B$56=""),"",IFERROR(Z64/$B$56-1,""))</f>
        <v/>
      </c>
      <c r="AA65" s="38">
        <f>IF(OR(AA64="",$B$56=""),"",IFERROR(AA64/$B$56-1,""))</f>
        <v/>
      </c>
      <c r="AB65" s="38">
        <f>IF(OR(AB64="",$B$56=""),"",IFERROR(AB64/$B$56-1,""))</f>
        <v/>
      </c>
      <c r="AC65" s="38">
        <f>IF(OR(AC64="",$B$56=""),"",IFERROR(AC64/$B$56-1,""))</f>
        <v/>
      </c>
    </row>
    <row r="66">
      <c r="A66" s="16" t="inlineStr">
        <is>
          <t>자산가치 산출</t>
        </is>
      </c>
      <c r="B66" s="16" t="inlineStr">
        <is>
          <t>최신 분기 BS</t>
        </is>
      </c>
      <c r="C66" s="17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7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7" t="n"/>
      <c r="Z66" s="16" t="n"/>
      <c r="AA66" s="16" t="n"/>
      <c r="AB66" s="16" t="n"/>
      <c r="AC66" s="16" t="n"/>
    </row>
    <row r="67">
      <c r="A67" s="18" t="inlineStr">
        <is>
          <t>현금및현금성자산</t>
        </is>
      </c>
      <c r="B67" s="10" t="n"/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>
        <f>'재무상태표'!G6</f>
        <v/>
      </c>
      <c r="Y67" s="19">
        <f>'재무상태표'!G6</f>
        <v/>
      </c>
      <c r="Z67" s="20">
        <f>'재무상태표'!G6</f>
        <v/>
      </c>
      <c r="AA67" s="20">
        <f>'재무상태표'!G6</f>
        <v/>
      </c>
      <c r="AB67" s="20">
        <f>'재무상태표'!G6</f>
        <v/>
      </c>
      <c r="AC67" s="20">
        <f>'재무상태표'!G6</f>
        <v/>
      </c>
    </row>
    <row r="68">
      <c r="A68" s="18" t="inlineStr">
        <is>
          <t>단기금융상품</t>
        </is>
      </c>
      <c r="B68" s="10" t="n"/>
      <c r="C68" s="19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19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>
        <f>'재무상태표'!G7</f>
        <v/>
      </c>
      <c r="Y68" s="19">
        <f>'재무상태표'!G7</f>
        <v/>
      </c>
      <c r="Z68" s="20">
        <f>'재무상태표'!G7</f>
        <v/>
      </c>
      <c r="AA68" s="20">
        <f>'재무상태표'!G7</f>
        <v/>
      </c>
      <c r="AB68" s="20">
        <f>'재무상태표'!G7</f>
        <v/>
      </c>
      <c r="AC68" s="20">
        <f>'재무상태표'!G7</f>
        <v/>
      </c>
    </row>
    <row r="69">
      <c r="A69" s="18" t="inlineStr">
        <is>
          <t>투자부동산</t>
        </is>
      </c>
      <c r="B69" s="10" t="n"/>
      <c r="C69" s="19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19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>
        <f>'재무상태표'!G14</f>
        <v/>
      </c>
      <c r="Y69" s="19">
        <f>'재무상태표'!G14</f>
        <v/>
      </c>
      <c r="Z69" s="20">
        <f>'재무상태표'!G14</f>
        <v/>
      </c>
      <c r="AA69" s="20">
        <f>'재무상태표'!G14</f>
        <v/>
      </c>
      <c r="AB69" s="20">
        <f>'재무상태표'!G14</f>
        <v/>
      </c>
      <c r="AC69" s="20">
        <f>'재무상태표'!G14</f>
        <v/>
      </c>
    </row>
    <row r="70">
      <c r="A70" s="18" t="inlineStr">
        <is>
          <t>지배자본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'재무상태표'!G31</f>
        <v/>
      </c>
      <c r="Y70" s="19">
        <f>'재무상태표'!G31</f>
        <v/>
      </c>
      <c r="Z70" s="20">
        <f>'재무상태표'!G31</f>
        <v/>
      </c>
      <c r="AA70" s="20">
        <f>'재무상태표'!G31</f>
        <v/>
      </c>
      <c r="AB70" s="20">
        <f>'재무상태표'!G31</f>
        <v/>
      </c>
      <c r="AC70" s="20">
        <f>'재무상태표'!G31</f>
        <v/>
      </c>
    </row>
    <row r="71">
      <c r="A71" s="18" t="inlineStr">
        <is>
          <t>부채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'재무상태표'!G27</f>
        <v/>
      </c>
      <c r="Y71" s="19">
        <f>'재무상태표'!G27</f>
        <v/>
      </c>
      <c r="Z71" s="20">
        <f>'재무상태표'!G27</f>
        <v/>
      </c>
      <c r="AA71" s="20">
        <f>'재무상태표'!G27</f>
        <v/>
      </c>
      <c r="AB71" s="20">
        <f>'재무상태표'!G27</f>
        <v/>
      </c>
      <c r="AC71" s="20">
        <f>'재무상태표'!G27</f>
        <v/>
      </c>
    </row>
    <row r="72">
      <c r="A72" s="13" t="inlineStr">
        <is>
          <t>부채비율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>
        <f>IF(OR(X71="",X70=""),"",IFERROR(X71/X70,""))</f>
        <v/>
      </c>
      <c r="Y72" s="14">
        <f>IF(OR(Y71="",Y70=""),"",IFERROR(Y71/Y70,""))</f>
        <v/>
      </c>
      <c r="Z72" s="15">
        <f>IF(OR(Z71="",Z70=""),"",IFERROR(Z71/Z70,""))</f>
        <v/>
      </c>
      <c r="AA72" s="15">
        <f>IF(OR(AA71="",AA70=""),"",IFERROR(AA71/AA70,""))</f>
        <v/>
      </c>
      <c r="AB72" s="15">
        <f>IF(OR(AB71="",AB70=""),"",IFERROR(AB71/AB70,""))</f>
        <v/>
      </c>
      <c r="AC72" s="15">
        <f>IF(OR(AC71="",AC70=""),"",IFERROR(AC71/AC70,""))</f>
        <v/>
      </c>
    </row>
    <row r="73">
      <c r="A73" s="9" t="inlineStr">
        <is>
          <t>자산가치</t>
        </is>
      </c>
      <c r="B73" s="10" t="inlineStr">
        <is>
          <t>현금+단기금융+투자부동산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>
        <f>SUM(X67,X68,X69)</f>
        <v/>
      </c>
      <c r="Y73" s="11">
        <f>SUM(Y67,Y68,Y69)</f>
        <v/>
      </c>
      <c r="Z73" s="12">
        <f>SUM(Z67,Z68,Z69)</f>
        <v/>
      </c>
      <c r="AA73" s="12">
        <f>SUM(AA67,AA68,AA69)</f>
        <v/>
      </c>
      <c r="AB73" s="12">
        <f>SUM(AB67,AB68,AB69)</f>
        <v/>
      </c>
      <c r="AC73" s="12">
        <f>SUM(AC67,AC68,AC69)</f>
        <v/>
      </c>
    </row>
    <row r="74">
      <c r="A74" s="16" t="inlineStr">
        <is>
          <t>기업가치 산출</t>
        </is>
      </c>
      <c r="B74" s="16" t="n"/>
      <c r="C74" s="17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7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7" t="n"/>
      <c r="Z74" s="16" t="n"/>
      <c r="AA74" s="16" t="n"/>
      <c r="AB74" s="16" t="n"/>
      <c r="AC74" s="16" t="n"/>
    </row>
    <row r="75">
      <c r="A75" s="18" t="inlineStr">
        <is>
          <t>목표 시가총액 (P/E)</t>
        </is>
      </c>
      <c r="B75" s="10" t="inlineStr">
        <is>
          <t>지배순이익 × Target P/E</t>
        </is>
      </c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 t="n"/>
      <c r="Y75" s="19">
        <f>IF(OR(Y53="",Y62=""),"",IFERROR(Y53*Y62,""))</f>
        <v/>
      </c>
      <c r="Z75" s="20">
        <f>IF(OR(Z53="",Z62=""),"",IFERROR(Z53*Z62,""))</f>
        <v/>
      </c>
      <c r="AA75" s="20">
        <f>IF(OR(AA53="",AA62=""),"",IFERROR(AA53*AA62,""))</f>
        <v/>
      </c>
      <c r="AB75" s="20">
        <f>IF(OR(AB53="",AB62=""),"",IFERROR(AB53*AB62,""))</f>
        <v/>
      </c>
      <c r="AC75" s="20">
        <f>IF(OR(AC53="",AC62=""),"",IFERROR(AC53*AC62,""))</f>
        <v/>
      </c>
    </row>
    <row r="76">
      <c r="A76" s="9" t="inlineStr">
        <is>
          <t>기업가치</t>
        </is>
      </c>
      <c r="B76" s="10" t="inlineStr">
        <is>
          <t>목표시총 + 자산가치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1">
        <f>IF(OR(Y75=""),"",IFERROR(Y75+Y73,""))</f>
        <v/>
      </c>
      <c r="Z76" s="12">
        <f>IF(OR(Z75=""),"",IFERROR(Z75+Z73,""))</f>
        <v/>
      </c>
      <c r="AA76" s="12">
        <f>IF(OR(AA75=""),"",IFERROR(AA75+AA73,""))</f>
        <v/>
      </c>
      <c r="AB76" s="12">
        <f>IF(OR(AB75=""),"",IFERROR(AB75+AB73,""))</f>
        <v/>
      </c>
      <c r="AC76" s="12">
        <f>IF(OR(AC75=""),"",IFERROR(AC75+AC73,""))</f>
        <v/>
      </c>
    </row>
    <row r="77">
      <c r="A77" s="18" t="inlineStr">
        <is>
          <t>현재 시가총액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19">
        <f>$B$58</f>
        <v/>
      </c>
      <c r="Z77" s="20">
        <f>$B$58</f>
        <v/>
      </c>
      <c r="AA77" s="20">
        <f>$B$58</f>
        <v/>
      </c>
      <c r="AB77" s="20">
        <f>$B$58</f>
        <v/>
      </c>
      <c r="AC77" s="20">
        <f>$B$58</f>
        <v/>
      </c>
    </row>
    <row r="78">
      <c r="A78" s="18" t="inlineStr">
        <is>
          <t>상승여력</t>
        </is>
      </c>
      <c r="B78" s="10" t="n"/>
      <c r="C78" s="35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5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7">
        <f>IF(OR(Y76="",Y77=""),"",IFERROR(Y76/Y77-1,""))</f>
        <v/>
      </c>
      <c r="Z78" s="38">
        <f>IF(OR(Z76="",Z77=""),"",IFERROR(Z76/Z77-1,""))</f>
        <v/>
      </c>
      <c r="AA78" s="38">
        <f>IF(OR(AA76="",AA77=""),"",IFERROR(AA76/AA77-1,""))</f>
        <v/>
      </c>
      <c r="AB78" s="38">
        <f>IF(OR(AB76="",AB77=""),"",IFERROR(AB76/AB77-1,""))</f>
        <v/>
      </c>
      <c r="AC78" s="38">
        <f>IF(OR(AC76="",AC77=""),"",IFERROR(AC76/AC77-1,""))</f>
        <v/>
      </c>
    </row>
    <row r="79">
      <c r="C79" s="39" t="n"/>
      <c r="O79" s="39" t="n"/>
      <c r="Y79" s="39" t="n"/>
    </row>
    <row r="80">
      <c r="A80" s="40" t="inlineStr">
        <is>
          <t>출처</t>
        </is>
      </c>
      <c r="C80" s="39" t="n"/>
      <c r="O80" s="39" t="n"/>
      <c r="Y80" s="39" t="n"/>
    </row>
    <row r="81">
      <c r="A81" s="41" t="inlineStr">
        <is>
          <t>결산단신 XBRL(TDnet·JPX 보관소) — 쓴 문서는 '출처' 시트</t>
        </is>
      </c>
      <c r="C81" s="39" t="n"/>
      <c r="O81" s="39" t="n"/>
      <c r="Y81" s="39" t="n"/>
    </row>
    <row r="82">
      <c r="A82" s="41" t="inlineStr">
        <is>
          <t>분기 = 누계에서 앞 분기를 뺀 3개월 값</t>
        </is>
      </c>
      <c r="C82" s="39" t="n"/>
      <c r="O82" s="39" t="n"/>
      <c r="Y82" s="39" t="n"/>
    </row>
    <row r="83">
      <c r="A83" s="41" t="inlineStr">
        <is>
          <t>주가: 야후 파이낸스 일봉</t>
        </is>
      </c>
      <c r="C83" s="39" t="n"/>
      <c r="O83" s="39" t="n"/>
      <c r="Y83" s="39" t="n"/>
    </row>
    <row r="85">
      <c r="A85" s="16" t="inlineStr">
        <is>
          <t>현금흐름표 · 전 항목</t>
        </is>
      </c>
      <c r="B85" s="42" t="inlineStr">
        <is>
          <t>분기 = 결산기 첫날부터 누계(공시 그대로)</t>
        </is>
      </c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  <c r="AA85" s="16" t="n"/>
      <c r="AB85" s="16" t="n"/>
      <c r="AC85" s="16" t="n"/>
    </row>
    <row r="86">
      <c r="A86" s="5" t="inlineStr">
        <is>
          <t>항목</t>
        </is>
      </c>
      <c r="B86" s="5" t="inlineStr">
        <is>
          <t>참고</t>
        </is>
      </c>
      <c r="C86" s="5" t="inlineStr">
        <is>
          <t>2024.1Q</t>
        </is>
      </c>
      <c r="D86" s="5" t="inlineStr">
        <is>
          <t>2024.2Q</t>
        </is>
      </c>
      <c r="E86" s="5" t="inlineStr">
        <is>
          <t>2024.3Q</t>
        </is>
      </c>
      <c r="F86" s="5" t="inlineStr">
        <is>
          <t>2024.4Q</t>
        </is>
      </c>
      <c r="G86" s="5" t="inlineStr">
        <is>
          <t>2025.1Q</t>
        </is>
      </c>
      <c r="H86" s="5" t="inlineStr">
        <is>
          <t>2025.2Q</t>
        </is>
      </c>
      <c r="I86" s="5" t="inlineStr">
        <is>
          <t>2025.3Q</t>
        </is>
      </c>
      <c r="J86" s="5" t="inlineStr">
        <is>
          <t>2025.4Q</t>
        </is>
      </c>
      <c r="K86" s="5" t="inlineStr">
        <is>
          <t>2026.1Q</t>
        </is>
      </c>
      <c r="L86" s="5" t="inlineStr">
        <is>
          <t>2026.2Q</t>
        </is>
      </c>
      <c r="M86" s="5" t="inlineStr">
        <is>
          <t>2026.3Q</t>
        </is>
      </c>
      <c r="N86" s="5" t="inlineStr">
        <is>
          <t>2026.4Q</t>
        </is>
      </c>
      <c r="O86" s="5" t="inlineStr">
        <is>
          <t>2017</t>
        </is>
      </c>
      <c r="P86" s="5" t="inlineStr">
        <is>
          <t>2018</t>
        </is>
      </c>
      <c r="Q86" s="5" t="inlineStr">
        <is>
          <t>2019</t>
        </is>
      </c>
      <c r="R86" s="5" t="inlineStr">
        <is>
          <t>2020</t>
        </is>
      </c>
      <c r="S86" s="5" t="inlineStr">
        <is>
          <t>2021</t>
        </is>
      </c>
      <c r="T86" s="5" t="inlineStr">
        <is>
          <t>2022</t>
        </is>
      </c>
      <c r="U86" s="5" t="inlineStr">
        <is>
          <t>2023</t>
        </is>
      </c>
      <c r="V86" s="5" t="inlineStr">
        <is>
          <t>2024</t>
        </is>
      </c>
      <c r="W86" s="5" t="inlineStr">
        <is>
          <t>2025</t>
        </is>
      </c>
      <c r="X86" s="5" t="inlineStr">
        <is>
          <t>2026</t>
        </is>
      </c>
      <c r="Y86" s="5" t="inlineStr">
        <is>
          <t>2027(MW)</t>
        </is>
      </c>
      <c r="Z86" s="5" t="inlineStr">
        <is>
          <t>2028(MW)</t>
        </is>
      </c>
      <c r="AA86" s="5" t="inlineStr">
        <is>
          <t>2029(MW)</t>
        </is>
      </c>
      <c r="AB86" s="5" t="inlineStr">
        <is>
          <t>2030(MW)</t>
        </is>
      </c>
      <c r="AC86" s="5" t="inlineStr">
        <is>
          <t>2031(MW)</t>
        </is>
      </c>
    </row>
    <row r="87">
      <c r="A87" s="9" t="inlineStr">
        <is>
          <t>법인세비용차감전 당기이익</t>
        </is>
      </c>
      <c r="F87" s="12" t="n">
        <v>13323</v>
      </c>
      <c r="J87" s="12" t="n">
        <v>8003</v>
      </c>
      <c r="N87" s="12" t="n">
        <v>11747</v>
      </c>
      <c r="P87" s="12" t="n">
        <v>8540</v>
      </c>
      <c r="Q87" s="12" t="n">
        <v>6890</v>
      </c>
      <c r="R87" s="12" t="n">
        <v>986</v>
      </c>
      <c r="S87" s="12" t="n">
        <v>4996</v>
      </c>
      <c r="T87" s="12" t="n">
        <v>11787</v>
      </c>
      <c r="U87" s="12" t="n">
        <v>14226</v>
      </c>
      <c r="V87" s="12" t="n">
        <v>13323</v>
      </c>
      <c r="W87" s="12" t="n">
        <v>8003</v>
      </c>
      <c r="X87" s="12" t="n">
        <v>11747</v>
      </c>
    </row>
    <row r="88">
      <c r="A88" s="18" t="inlineStr">
        <is>
          <t>감가상각비 및 상각비</t>
        </is>
      </c>
      <c r="F88" s="20" t="n">
        <v>5841</v>
      </c>
      <c r="J88" s="20" t="n">
        <v>5959</v>
      </c>
      <c r="N88" s="20" t="n">
        <v>5376</v>
      </c>
      <c r="P88" s="20" t="n">
        <v>3538</v>
      </c>
      <c r="Q88" s="20" t="n">
        <v>4157</v>
      </c>
      <c r="R88" s="20" t="n">
        <v>5223</v>
      </c>
      <c r="S88" s="20" t="n">
        <v>5429</v>
      </c>
      <c r="T88" s="20" t="n">
        <v>5651</v>
      </c>
      <c r="U88" s="20" t="n">
        <v>6014</v>
      </c>
      <c r="V88" s="20" t="n">
        <v>5841</v>
      </c>
      <c r="W88" s="20" t="n">
        <v>5959</v>
      </c>
      <c r="X88" s="20" t="n">
        <v>5376</v>
      </c>
    </row>
    <row r="89">
      <c r="A89" s="18" t="inlineStr">
        <is>
          <t>이자·배당금 수익</t>
        </is>
      </c>
      <c r="F89" s="20" t="n">
        <v>-512</v>
      </c>
      <c r="J89" s="20" t="n">
        <v>-634</v>
      </c>
      <c r="N89" s="20" t="n">
        <v>-616</v>
      </c>
      <c r="P89" s="20" t="n">
        <v>-196</v>
      </c>
      <c r="Q89" s="20" t="n">
        <v>-243</v>
      </c>
      <c r="R89" s="20" t="n">
        <v>-245</v>
      </c>
      <c r="S89" s="20" t="n">
        <v>-193</v>
      </c>
      <c r="T89" s="20" t="n">
        <v>-257</v>
      </c>
      <c r="U89" s="20" t="n">
        <v>-369</v>
      </c>
      <c r="V89" s="20" t="n">
        <v>-512</v>
      </c>
      <c r="W89" s="20" t="n">
        <v>-634</v>
      </c>
      <c r="X89" s="20" t="n">
        <v>-616</v>
      </c>
    </row>
    <row r="90">
      <c r="A90" s="18" t="inlineStr">
        <is>
          <t>이자비용</t>
        </is>
      </c>
      <c r="F90" s="20" t="n">
        <v>200</v>
      </c>
      <c r="J90" s="20" t="n">
        <v>299</v>
      </c>
      <c r="N90" s="20" t="n">
        <v>35</v>
      </c>
      <c r="P90" s="20" t="n">
        <v>18</v>
      </c>
      <c r="Q90" s="20" t="n">
        <v>102</v>
      </c>
      <c r="R90" s="20" t="n">
        <v>128</v>
      </c>
      <c r="S90" s="20" t="n">
        <v>98</v>
      </c>
      <c r="T90" s="20" t="n">
        <v>99</v>
      </c>
      <c r="U90" s="20" t="n">
        <v>187</v>
      </c>
      <c r="V90" s="20" t="n">
        <v>200</v>
      </c>
      <c r="W90" s="20" t="n">
        <v>299</v>
      </c>
      <c r="X90" s="20" t="n">
        <v>35</v>
      </c>
    </row>
    <row r="91">
      <c r="A91" s="18" t="inlineStr">
        <is>
          <t>영업채권 및 기타채권 증감액</t>
        </is>
      </c>
      <c r="F91" s="20" t="n">
        <v>7067</v>
      </c>
      <c r="J91" s="20" t="n">
        <v>2878</v>
      </c>
      <c r="N91" s="20" t="n">
        <v>-1813</v>
      </c>
      <c r="P91" s="20" t="n">
        <v>-4581</v>
      </c>
      <c r="Q91" s="20" t="n">
        <v>3273</v>
      </c>
      <c r="R91" s="20" t="n">
        <v>2601</v>
      </c>
      <c r="S91" s="20" t="n">
        <v>-2820</v>
      </c>
      <c r="T91" s="20" t="n">
        <v>-2731</v>
      </c>
      <c r="U91" s="20" t="n">
        <v>-4363</v>
      </c>
      <c r="V91" s="20" t="n">
        <v>7067</v>
      </c>
      <c r="W91" s="20" t="n">
        <v>2878</v>
      </c>
      <c r="X91" s="20" t="n">
        <v>-1813</v>
      </c>
    </row>
    <row r="92">
      <c r="A92" s="18" t="inlineStr">
        <is>
          <t>재고자산 증감액</t>
        </is>
      </c>
      <c r="F92" s="20" t="n">
        <v>5612</v>
      </c>
      <c r="J92" s="20" t="n">
        <v>2507</v>
      </c>
      <c r="N92" s="20" t="n">
        <v>-4248</v>
      </c>
      <c r="P92" s="20" t="n">
        <v>-5070</v>
      </c>
      <c r="Q92" s="20" t="n">
        <v>-1215</v>
      </c>
      <c r="R92" s="20" t="n">
        <v>275</v>
      </c>
      <c r="S92" s="20" t="n">
        <v>-2085</v>
      </c>
      <c r="T92" s="20" t="n">
        <v>-6672</v>
      </c>
      <c r="U92" s="20" t="n">
        <v>-6757</v>
      </c>
      <c r="V92" s="20" t="n">
        <v>5612</v>
      </c>
      <c r="W92" s="20" t="n">
        <v>2507</v>
      </c>
      <c r="X92" s="20" t="n">
        <v>-4248</v>
      </c>
    </row>
    <row r="93">
      <c r="A93" s="18" t="inlineStr">
        <is>
          <t>영업채무 및 기타채무 증감액</t>
        </is>
      </c>
      <c r="F93" s="20" t="n">
        <v>-7296</v>
      </c>
      <c r="J93" s="20" t="n">
        <v>176</v>
      </c>
      <c r="N93" s="20" t="n">
        <v>1927</v>
      </c>
      <c r="P93" s="20" t="n">
        <v>4984</v>
      </c>
      <c r="Q93" s="20" t="n">
        <v>-7631</v>
      </c>
      <c r="R93" s="20" t="n">
        <v>86</v>
      </c>
      <c r="S93" s="20" t="n">
        <v>258</v>
      </c>
      <c r="T93" s="20" t="n">
        <v>1022</v>
      </c>
      <c r="U93" s="20" t="n">
        <v>2586</v>
      </c>
      <c r="V93" s="20" t="n">
        <v>-7296</v>
      </c>
      <c r="W93" s="20" t="n">
        <v>176</v>
      </c>
      <c r="X93" s="20" t="n">
        <v>1927</v>
      </c>
    </row>
    <row r="94">
      <c r="A94" s="18" t="inlineStr">
        <is>
          <t>기타</t>
        </is>
      </c>
      <c r="P94" s="20" t="n">
        <v>353</v>
      </c>
      <c r="Q94" s="20" t="n">
        <v>443</v>
      </c>
    </row>
    <row r="95">
      <c r="A95" s="18" t="inlineStr">
        <is>
          <t>기타</t>
        </is>
      </c>
      <c r="F95" s="20" t="n">
        <v>233</v>
      </c>
      <c r="J95" s="20" t="n">
        <v>-936</v>
      </c>
      <c r="N95" s="20" t="n">
        <v>-688</v>
      </c>
      <c r="Q95" s="20" t="n">
        <v>443</v>
      </c>
      <c r="R95" s="20" t="n">
        <v>241</v>
      </c>
      <c r="S95" s="20" t="n">
        <v>-53</v>
      </c>
      <c r="T95" s="20" t="n">
        <v>382</v>
      </c>
      <c r="U95" s="20" t="n">
        <v>269</v>
      </c>
      <c r="V95" s="20" t="n">
        <v>233</v>
      </c>
      <c r="W95" s="20" t="n">
        <v>-936</v>
      </c>
      <c r="X95" s="20" t="n">
        <v>-688</v>
      </c>
    </row>
    <row r="96">
      <c r="A96" s="18" t="inlineStr">
        <is>
          <t>소계</t>
        </is>
      </c>
      <c r="F96" s="20" t="n">
        <v>24469</v>
      </c>
      <c r="J96" s="20" t="n">
        <v>18253</v>
      </c>
      <c r="N96" s="20" t="n">
        <v>11718</v>
      </c>
      <c r="P96" s="20" t="n">
        <v>7586</v>
      </c>
      <c r="Q96" s="20" t="n">
        <v>5776</v>
      </c>
      <c r="R96" s="20" t="n">
        <v>9297</v>
      </c>
      <c r="S96" s="20" t="n">
        <v>5630</v>
      </c>
      <c r="T96" s="20" t="n">
        <v>9281</v>
      </c>
      <c r="U96" s="20" t="n">
        <v>11793</v>
      </c>
      <c r="V96" s="20" t="n">
        <v>24469</v>
      </c>
      <c r="W96" s="20" t="n">
        <v>18253</v>
      </c>
      <c r="X96" s="20" t="n">
        <v>11718</v>
      </c>
    </row>
    <row r="97">
      <c r="A97" s="18" t="inlineStr">
        <is>
          <t>이자 수취</t>
        </is>
      </c>
      <c r="F97" s="20" t="n">
        <v>288</v>
      </c>
      <c r="J97" s="20" t="n">
        <v>332</v>
      </c>
      <c r="N97" s="20" t="n">
        <v>289</v>
      </c>
      <c r="P97" s="20" t="n">
        <v>44</v>
      </c>
      <c r="Q97" s="20" t="n">
        <v>71</v>
      </c>
      <c r="R97" s="20" t="n">
        <v>65</v>
      </c>
      <c r="S97" s="20" t="n">
        <v>43</v>
      </c>
      <c r="T97" s="20" t="n">
        <v>63</v>
      </c>
      <c r="U97" s="20" t="n">
        <v>122</v>
      </c>
      <c r="V97" s="20" t="n">
        <v>288</v>
      </c>
      <c r="W97" s="20" t="n">
        <v>332</v>
      </c>
      <c r="X97" s="20" t="n">
        <v>289</v>
      </c>
    </row>
    <row r="98">
      <c r="A98" s="18" t="inlineStr">
        <is>
          <t>배당금 수취액</t>
        </is>
      </c>
      <c r="F98" s="20" t="n">
        <v>237</v>
      </c>
      <c r="J98" s="20" t="n">
        <v>290</v>
      </c>
      <c r="N98" s="20" t="n">
        <v>303</v>
      </c>
      <c r="P98" s="20" t="n">
        <v>153</v>
      </c>
      <c r="Q98" s="20" t="n">
        <v>171</v>
      </c>
      <c r="R98" s="20" t="n">
        <v>179</v>
      </c>
      <c r="S98" s="20" t="n">
        <v>150</v>
      </c>
      <c r="T98" s="20" t="n">
        <v>193</v>
      </c>
      <c r="U98" s="20" t="n">
        <v>236</v>
      </c>
      <c r="V98" s="20" t="n">
        <v>237</v>
      </c>
      <c r="W98" s="20" t="n">
        <v>290</v>
      </c>
      <c r="X98" s="20" t="n">
        <v>303</v>
      </c>
    </row>
    <row r="99">
      <c r="A99" s="18" t="inlineStr">
        <is>
          <t>이자 지급</t>
        </is>
      </c>
      <c r="F99" s="20" t="n">
        <v>-203</v>
      </c>
      <c r="J99" s="20" t="n">
        <v>-311</v>
      </c>
      <c r="N99" s="20" t="n">
        <v>-38</v>
      </c>
      <c r="P99" s="20" t="n">
        <v>-22</v>
      </c>
      <c r="Q99" s="20" t="n">
        <v>-108</v>
      </c>
      <c r="R99" s="20" t="n">
        <v>-129</v>
      </c>
      <c r="S99" s="20" t="n">
        <v>-100</v>
      </c>
      <c r="T99" s="20" t="n">
        <v>-96</v>
      </c>
      <c r="U99" s="20" t="n">
        <v>-184</v>
      </c>
      <c r="V99" s="20" t="n">
        <v>-203</v>
      </c>
      <c r="W99" s="20" t="n">
        <v>-311</v>
      </c>
      <c r="X99" s="20" t="n">
        <v>-38</v>
      </c>
    </row>
    <row r="100">
      <c r="A100" s="18" t="inlineStr">
        <is>
          <t>Income Taxes Paid Ope CF</t>
        </is>
      </c>
      <c r="F100" s="20" t="n">
        <v>-3339</v>
      </c>
      <c r="J100" s="20" t="n">
        <v>-2776</v>
      </c>
      <c r="N100" s="20" t="n">
        <v>-1443</v>
      </c>
      <c r="P100" s="20" t="n">
        <v>-1964</v>
      </c>
      <c r="Q100" s="20" t="n">
        <v>-2852</v>
      </c>
      <c r="R100" s="20" t="n">
        <v>-684</v>
      </c>
      <c r="S100" s="20" t="n">
        <v>-764</v>
      </c>
      <c r="T100" s="20" t="n">
        <v>-1208</v>
      </c>
      <c r="U100" s="20" t="n">
        <v>-3710</v>
      </c>
      <c r="V100" s="20" t="n">
        <v>-3339</v>
      </c>
      <c r="W100" s="20" t="n">
        <v>-2776</v>
      </c>
      <c r="X100" s="20" t="n">
        <v>-1443</v>
      </c>
    </row>
    <row r="101">
      <c r="A101" s="9" t="inlineStr">
        <is>
          <t>영업활동 현금흐름</t>
        </is>
      </c>
      <c r="F101" s="12" t="n">
        <v>21452</v>
      </c>
      <c r="J101" s="12" t="n">
        <v>15788</v>
      </c>
      <c r="N101" s="12" t="n">
        <v>10829</v>
      </c>
      <c r="P101" s="12" t="n">
        <v>5797</v>
      </c>
      <c r="Q101" s="12" t="n">
        <v>3058</v>
      </c>
      <c r="R101" s="12" t="n">
        <v>8728</v>
      </c>
      <c r="S101" s="12" t="n">
        <v>4959</v>
      </c>
      <c r="T101" s="12" t="n">
        <v>8234</v>
      </c>
      <c r="U101" s="12" t="n">
        <v>8258</v>
      </c>
      <c r="V101" s="12" t="n">
        <v>21452</v>
      </c>
      <c r="W101" s="12" t="n">
        <v>15788</v>
      </c>
      <c r="X101" s="12" t="n">
        <v>10829</v>
      </c>
    </row>
    <row r="102">
      <c r="A102" s="18" t="inlineStr">
        <is>
          <t>유형자산 취득(설비투자)</t>
        </is>
      </c>
      <c r="F102" s="20" t="n">
        <v>-5731</v>
      </c>
      <c r="J102" s="20" t="n">
        <v>-2666</v>
      </c>
      <c r="N102" s="20" t="n">
        <v>-1467</v>
      </c>
      <c r="P102" s="20" t="n">
        <v>-6142</v>
      </c>
      <c r="Q102" s="20" t="n">
        <v>-6103</v>
      </c>
      <c r="R102" s="20" t="n">
        <v>-4135</v>
      </c>
      <c r="S102" s="20" t="n">
        <v>-3010</v>
      </c>
      <c r="T102" s="20" t="n">
        <v>-3278</v>
      </c>
      <c r="U102" s="20" t="n">
        <v>-3182</v>
      </c>
      <c r="V102" s="20" t="n">
        <v>-5731</v>
      </c>
      <c r="W102" s="20" t="n">
        <v>-2666</v>
      </c>
      <c r="X102" s="20" t="n">
        <v>-1467</v>
      </c>
    </row>
    <row r="103">
      <c r="A103" s="18" t="inlineStr">
        <is>
          <t>무형자산 취득 지출</t>
        </is>
      </c>
      <c r="F103" s="20" t="n">
        <v>-1028</v>
      </c>
      <c r="J103" s="20" t="n">
        <v>-1135</v>
      </c>
      <c r="N103" s="20" t="n">
        <v>-1390</v>
      </c>
      <c r="P103" s="20" t="n">
        <v>-910</v>
      </c>
      <c r="Q103" s="20" t="n">
        <v>-2055</v>
      </c>
      <c r="R103" s="20" t="n">
        <v>-1570</v>
      </c>
      <c r="S103" s="20" t="n">
        <v>-1150</v>
      </c>
      <c r="T103" s="20" t="n">
        <v>-1416</v>
      </c>
      <c r="U103" s="20" t="n">
        <v>-844</v>
      </c>
      <c r="V103" s="20" t="n">
        <v>-1028</v>
      </c>
      <c r="W103" s="20" t="n">
        <v>-1135</v>
      </c>
      <c r="X103" s="20" t="n">
        <v>-1390</v>
      </c>
    </row>
    <row r="104">
      <c r="A104" s="18" t="inlineStr">
        <is>
          <t>유형·무형자산 처분 수입</t>
        </is>
      </c>
      <c r="F104" s="20" t="n">
        <v>2</v>
      </c>
      <c r="J104" s="20" t="n">
        <v>204</v>
      </c>
      <c r="N104" s="20" t="n">
        <v>3</v>
      </c>
      <c r="P104" s="20" t="n">
        <v>0</v>
      </c>
      <c r="Q104" s="20" t="n">
        <v>38</v>
      </c>
      <c r="R104" s="20" t="n">
        <v>2</v>
      </c>
      <c r="S104" s="20" t="n">
        <v>1</v>
      </c>
      <c r="T104" s="20" t="n">
        <v>14</v>
      </c>
      <c r="U104" s="20" t="n">
        <v>1</v>
      </c>
      <c r="V104" s="20" t="n">
        <v>2</v>
      </c>
      <c r="W104" s="20" t="n">
        <v>204</v>
      </c>
      <c r="X104" s="20" t="n">
        <v>3</v>
      </c>
    </row>
    <row r="105">
      <c r="A105" s="18" t="inlineStr">
        <is>
          <t>Proceeds From Sale Of Other Financial Assets Inv CF</t>
        </is>
      </c>
      <c r="F105" s="20" t="n">
        <v>300</v>
      </c>
      <c r="J105" s="20" t="n">
        <v>1006</v>
      </c>
      <c r="N105" s="20" t="n">
        <v>336</v>
      </c>
      <c r="P105" s="20" t="n">
        <v>456</v>
      </c>
      <c r="Q105" s="20" t="n">
        <v>565</v>
      </c>
      <c r="R105" s="20" t="n">
        <v>122</v>
      </c>
      <c r="S105" s="20" t="n">
        <v>18</v>
      </c>
      <c r="T105" s="20" t="n">
        <v>63</v>
      </c>
      <c r="U105" s="20" t="n">
        <v>23</v>
      </c>
      <c r="V105" s="20" t="n">
        <v>300</v>
      </c>
      <c r="W105" s="20" t="n">
        <v>1006</v>
      </c>
      <c r="X105" s="20" t="n">
        <v>336</v>
      </c>
    </row>
    <row r="106">
      <c r="A106" s="18" t="inlineStr">
        <is>
          <t>기타</t>
        </is>
      </c>
      <c r="F106" s="20" t="n">
        <v>-8</v>
      </c>
      <c r="J106" s="20" t="n">
        <v>-1142</v>
      </c>
      <c r="N106" s="20" t="n">
        <v>-5140</v>
      </c>
      <c r="P106" s="20" t="n">
        <v>-174</v>
      </c>
      <c r="Q106" s="20" t="n">
        <v>-610</v>
      </c>
      <c r="R106" s="20" t="n">
        <v>250</v>
      </c>
      <c r="S106" s="20" t="n">
        <v>-153</v>
      </c>
      <c r="T106" s="20" t="n">
        <v>-209</v>
      </c>
      <c r="U106" s="20" t="n">
        <v>-420</v>
      </c>
      <c r="V106" s="20" t="n">
        <v>-8</v>
      </c>
      <c r="W106" s="20" t="n">
        <v>-1142</v>
      </c>
      <c r="X106" s="20" t="n">
        <v>-5140</v>
      </c>
    </row>
    <row r="107">
      <c r="A107" s="9" t="inlineStr">
        <is>
          <t>투자활동 현금흐름</t>
        </is>
      </c>
      <c r="F107" s="12" t="n">
        <v>-6466</v>
      </c>
      <c r="J107" s="12" t="n">
        <v>-3734</v>
      </c>
      <c r="N107" s="12" t="n">
        <v>-7658</v>
      </c>
      <c r="P107" s="12" t="n">
        <v>-6770</v>
      </c>
      <c r="Q107" s="12" t="n">
        <v>-8164</v>
      </c>
      <c r="R107" s="12" t="n">
        <v>-5330</v>
      </c>
      <c r="S107" s="12" t="n">
        <v>-4294</v>
      </c>
      <c r="T107" s="12" t="n">
        <v>-4826</v>
      </c>
      <c r="U107" s="12" t="n">
        <v>-4422</v>
      </c>
      <c r="V107" s="12" t="n">
        <v>-6466</v>
      </c>
      <c r="W107" s="12" t="n">
        <v>-3734</v>
      </c>
      <c r="X107" s="12" t="n">
        <v>-7658</v>
      </c>
    </row>
    <row r="108">
      <c r="A108" s="18" t="inlineStr">
        <is>
          <t>단기차입금 순증감액</t>
        </is>
      </c>
      <c r="F108" s="20" t="n">
        <v>-7173</v>
      </c>
      <c r="J108" s="20" t="n">
        <v>-3435</v>
      </c>
      <c r="N108" s="20" t="n">
        <v>52</v>
      </c>
      <c r="P108" s="20" t="n">
        <v>-1063</v>
      </c>
      <c r="Q108" s="20" t="n">
        <v>2447</v>
      </c>
      <c r="R108" s="20" t="n">
        <v>-200</v>
      </c>
      <c r="S108" s="20" t="n">
        <v>800</v>
      </c>
      <c r="T108" s="20" t="n">
        <v>2074</v>
      </c>
      <c r="U108" s="20" t="n">
        <v>1474</v>
      </c>
      <c r="V108" s="20" t="n">
        <v>-7173</v>
      </c>
      <c r="W108" s="20" t="n">
        <v>-3435</v>
      </c>
      <c r="X108" s="20" t="n">
        <v>52</v>
      </c>
    </row>
    <row r="109">
      <c r="A109" s="18" t="inlineStr">
        <is>
          <t>Proceeds From Long Term Borrowings Fin CF</t>
        </is>
      </c>
      <c r="F109" s="20" t="n">
        <v>2223</v>
      </c>
      <c r="J109" s="20" t="n">
        <v>0</v>
      </c>
      <c r="N109" s="20" t="n">
        <v>100</v>
      </c>
      <c r="P109" s="20" t="n">
        <v>4058</v>
      </c>
      <c r="Q109" s="20" t="n">
        <v>2987</v>
      </c>
      <c r="R109" s="20" t="n">
        <v>2000</v>
      </c>
      <c r="S109" s="20" t="n">
        <v>2300</v>
      </c>
      <c r="T109" s="20" t="n">
        <v>1123</v>
      </c>
      <c r="U109" s="20" t="n">
        <v>0</v>
      </c>
      <c r="V109" s="20" t="n">
        <v>2223</v>
      </c>
      <c r="W109" s="20" t="n">
        <v>0</v>
      </c>
      <c r="X109" s="20" t="n">
        <v>100</v>
      </c>
    </row>
    <row r="110">
      <c r="A110" s="18" t="inlineStr">
        <is>
          <t>장기차입금 상환</t>
        </is>
      </c>
      <c r="F110" s="20" t="n">
        <v>-2169</v>
      </c>
      <c r="J110" s="20" t="n">
        <v>-3710</v>
      </c>
      <c r="N110" s="20" t="n">
        <v>-1068</v>
      </c>
      <c r="P110" s="20" t="n">
        <v>-310</v>
      </c>
      <c r="Q110" s="20" t="n">
        <v>-326</v>
      </c>
      <c r="R110" s="20" t="n">
        <v>-1024</v>
      </c>
      <c r="S110" s="20" t="n">
        <v>-1586</v>
      </c>
      <c r="T110" s="20" t="n">
        <v>-1887</v>
      </c>
      <c r="U110" s="20" t="n">
        <v>-2006</v>
      </c>
      <c r="V110" s="20" t="n">
        <v>-2169</v>
      </c>
      <c r="W110" s="20" t="n">
        <v>-3710</v>
      </c>
      <c r="X110" s="20" t="n">
        <v>-1068</v>
      </c>
    </row>
    <row r="111">
      <c r="A111" s="18" t="inlineStr">
        <is>
          <t>자기주식 취득</t>
        </is>
      </c>
      <c r="F111" s="20" t="n">
        <v>-1145</v>
      </c>
      <c r="J111" s="20" t="n">
        <v>-6</v>
      </c>
      <c r="N111" s="20" t="n">
        <v>-977</v>
      </c>
      <c r="P111" s="20" t="n">
        <v>-969</v>
      </c>
      <c r="Q111" s="20" t="n">
        <v>-3</v>
      </c>
      <c r="R111" s="20" t="n">
        <v>-4</v>
      </c>
      <c r="S111" s="20" t="n">
        <v>-4</v>
      </c>
      <c r="T111" s="20" t="n">
        <v>-7</v>
      </c>
      <c r="U111" s="20" t="n">
        <v>-4</v>
      </c>
      <c r="V111" s="20" t="n">
        <v>-1145</v>
      </c>
      <c r="W111" s="20" t="n">
        <v>-6</v>
      </c>
      <c r="X111" s="20" t="n">
        <v>-977</v>
      </c>
    </row>
    <row r="112">
      <c r="A112" s="18" t="inlineStr">
        <is>
          <t>배당금 지급</t>
        </is>
      </c>
      <c r="F112" s="20" t="n">
        <v>-1691</v>
      </c>
      <c r="J112" s="20" t="n">
        <v>-1786</v>
      </c>
      <c r="N112" s="20" t="n">
        <v>-2248</v>
      </c>
      <c r="P112" s="20" t="n">
        <v>-1158</v>
      </c>
      <c r="Q112" s="20" t="n">
        <v>-1327</v>
      </c>
      <c r="R112" s="20" t="n">
        <v>-1270</v>
      </c>
      <c r="S112" s="20" t="n">
        <v>-908</v>
      </c>
      <c r="T112" s="20" t="n">
        <v>-1327</v>
      </c>
      <c r="U112" s="20" t="n">
        <v>-1509</v>
      </c>
      <c r="V112" s="20" t="n">
        <v>-1691</v>
      </c>
      <c r="W112" s="20" t="n">
        <v>-1786</v>
      </c>
      <c r="X112" s="20" t="n">
        <v>-2248</v>
      </c>
    </row>
    <row r="113">
      <c r="A113" s="18" t="inlineStr">
        <is>
          <t>기타</t>
        </is>
      </c>
      <c r="F113" s="20" t="n">
        <v>-710</v>
      </c>
      <c r="J113" s="20" t="n">
        <v>-749</v>
      </c>
      <c r="N113" s="20" t="n">
        <v>-780</v>
      </c>
      <c r="P113" s="20" t="n">
        <v>-133</v>
      </c>
      <c r="Q113" s="20" t="n">
        <v>-94</v>
      </c>
      <c r="R113" s="20" t="n">
        <v>-614</v>
      </c>
      <c r="S113" s="20" t="n">
        <v>-590</v>
      </c>
      <c r="T113" s="20" t="n">
        <v>-598</v>
      </c>
      <c r="U113" s="20" t="n">
        <v>-629</v>
      </c>
      <c r="V113" s="20" t="n">
        <v>-710</v>
      </c>
      <c r="W113" s="20" t="n">
        <v>-749</v>
      </c>
      <c r="X113" s="20" t="n">
        <v>-780</v>
      </c>
    </row>
    <row r="114">
      <c r="A114" s="9" t="inlineStr">
        <is>
          <t>재무활동 현금흐름</t>
        </is>
      </c>
      <c r="F114" s="12" t="n">
        <v>-10666</v>
      </c>
      <c r="J114" s="12" t="n">
        <v>-9690</v>
      </c>
      <c r="N114" s="12" t="n">
        <v>-4923</v>
      </c>
      <c r="P114" s="12" t="n">
        <v>422</v>
      </c>
      <c r="Q114" s="12" t="n">
        <v>3682</v>
      </c>
      <c r="R114" s="12" t="n">
        <v>-1113</v>
      </c>
      <c r="S114" s="12" t="n">
        <v>10</v>
      </c>
      <c r="T114" s="12" t="n">
        <v>-622</v>
      </c>
      <c r="U114" s="12" t="n">
        <v>-2675</v>
      </c>
      <c r="V114" s="12" t="n">
        <v>-10666</v>
      </c>
      <c r="W114" s="12" t="n">
        <v>-9690</v>
      </c>
      <c r="X114" s="12" t="n">
        <v>-4923</v>
      </c>
    </row>
    <row r="115">
      <c r="A115" s="18" t="inlineStr">
        <is>
          <t>현금성자산 환산차이</t>
        </is>
      </c>
      <c r="F115" s="20" t="n">
        <v>1819</v>
      </c>
      <c r="J115" s="20" t="n">
        <v>-152</v>
      </c>
      <c r="N115" s="20" t="n">
        <v>1573</v>
      </c>
      <c r="P115" s="20" t="n">
        <v>-33</v>
      </c>
      <c r="Q115" s="20" t="n">
        <v>-66</v>
      </c>
      <c r="R115" s="20" t="n">
        <v>-335</v>
      </c>
      <c r="S115" s="20" t="n">
        <v>529</v>
      </c>
      <c r="T115" s="20" t="n">
        <v>1145</v>
      </c>
      <c r="U115" s="20" t="n">
        <v>609</v>
      </c>
      <c r="V115" s="20" t="n">
        <v>1819</v>
      </c>
      <c r="W115" s="20" t="n">
        <v>-152</v>
      </c>
      <c r="X115" s="20" t="n">
        <v>1573</v>
      </c>
    </row>
    <row r="116">
      <c r="A116" s="18" t="inlineStr">
        <is>
          <t>Net Increase Decrease In Cash And Cash Equivalents</t>
        </is>
      </c>
      <c r="F116" s="20" t="n">
        <v>6138</v>
      </c>
      <c r="J116" s="20" t="n">
        <v>2211</v>
      </c>
      <c r="N116" s="20" t="n">
        <v>-178</v>
      </c>
      <c r="P116" s="20" t="n">
        <v>-584</v>
      </c>
      <c r="Q116" s="20" t="n">
        <v>-1489</v>
      </c>
      <c r="R116" s="20" t="n">
        <v>1949</v>
      </c>
      <c r="S116" s="20" t="n">
        <v>1205</v>
      </c>
      <c r="T116" s="20" t="n">
        <v>3930</v>
      </c>
      <c r="U116" s="20" t="n">
        <v>1770</v>
      </c>
      <c r="V116" s="20" t="n">
        <v>6138</v>
      </c>
      <c r="W116" s="20" t="n">
        <v>2211</v>
      </c>
      <c r="X116" s="20" t="n">
        <v>-178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6516 재무상태표</t>
        </is>
      </c>
    </row>
    <row r="2">
      <c r="A2" s="43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54569</v>
      </c>
      <c r="D5" s="12" t="n"/>
      <c r="E5" s="12" t="n"/>
      <c r="F5" s="12" t="n"/>
      <c r="G5" s="12" t="n">
        <v>55835</v>
      </c>
      <c r="H5" s="11" t="n">
        <v>53042</v>
      </c>
      <c r="I5" s="12" t="n">
        <v>61239</v>
      </c>
      <c r="J5" s="12" t="n">
        <v>55380</v>
      </c>
      <c r="K5" s="12" t="n">
        <v>54569</v>
      </c>
      <c r="L5" s="12" t="n">
        <v>55835</v>
      </c>
    </row>
    <row r="6">
      <c r="A6" s="18" t="inlineStr">
        <is>
          <t>현금및현금성자산</t>
        </is>
      </c>
      <c r="B6" s="10" t="n"/>
      <c r="C6" s="19" t="n">
        <v>8317</v>
      </c>
      <c r="D6" s="20" t="n"/>
      <c r="E6" s="20" t="n"/>
      <c r="F6" s="20" t="n"/>
      <c r="G6" s="20" t="n">
        <v>3519</v>
      </c>
      <c r="H6" s="19" t="n">
        <v>2125</v>
      </c>
      <c r="I6" s="20" t="n">
        <v>1592</v>
      </c>
      <c r="J6" s="20" t="n">
        <v>3903</v>
      </c>
      <c r="K6" s="20" t="n">
        <v>8317</v>
      </c>
      <c r="L6" s="20" t="n">
        <v>3519</v>
      </c>
    </row>
    <row r="7">
      <c r="A7" s="18" t="inlineStr">
        <is>
          <t>단기금융상품</t>
        </is>
      </c>
      <c r="B7" s="10" t="n"/>
      <c r="C7" s="19" t="n">
        <v>1594</v>
      </c>
      <c r="D7" s="20" t="n"/>
      <c r="E7" s="20" t="n"/>
      <c r="F7" s="20" t="n"/>
      <c r="G7" s="20" t="n">
        <v>5422</v>
      </c>
      <c r="H7" s="19" t="n">
        <v>267</v>
      </c>
      <c r="I7" s="20" t="n">
        <v>884</v>
      </c>
      <c r="J7" s="20" t="n">
        <v>691</v>
      </c>
      <c r="K7" s="20" t="n">
        <v>1594</v>
      </c>
      <c r="L7" s="20" t="n">
        <v>5422</v>
      </c>
    </row>
    <row r="8">
      <c r="A8" s="18" t="inlineStr">
        <is>
          <t>매출채권</t>
        </is>
      </c>
      <c r="B8" s="10" t="n"/>
      <c r="C8" s="19" t="n">
        <v>21042</v>
      </c>
      <c r="D8" s="20" t="n"/>
      <c r="E8" s="20" t="n"/>
      <c r="F8" s="20" t="n"/>
      <c r="G8" s="20" t="n">
        <v>23656</v>
      </c>
      <c r="H8" s="19" t="n">
        <v>22837</v>
      </c>
      <c r="I8" s="20" t="n">
        <v>28849</v>
      </c>
      <c r="J8" s="20" t="n">
        <v>24334</v>
      </c>
      <c r="K8" s="20" t="n">
        <v>21042</v>
      </c>
      <c r="L8" s="20" t="n">
        <v>23656</v>
      </c>
    </row>
    <row r="9">
      <c r="A9" s="18" t="inlineStr">
        <is>
          <t>재고자산</t>
        </is>
      </c>
      <c r="B9" s="10" t="n"/>
      <c r="C9" s="19" t="n">
        <v>34151</v>
      </c>
      <c r="D9" s="20" t="n"/>
      <c r="E9" s="20" t="n"/>
      <c r="F9" s="20" t="n"/>
      <c r="G9" s="20" t="n">
        <v>39860</v>
      </c>
      <c r="H9" s="19" t="n">
        <v>32286</v>
      </c>
      <c r="I9" s="20" t="n">
        <v>40123</v>
      </c>
      <c r="J9" s="20" t="n">
        <v>36848</v>
      </c>
      <c r="K9" s="20" t="n">
        <v>34151</v>
      </c>
      <c r="L9" s="20" t="n">
        <v>39860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32043</v>
      </c>
      <c r="D11" s="12" t="n"/>
      <c r="E11" s="12" t="n"/>
      <c r="F11" s="12" t="n"/>
      <c r="G11" s="12" t="n">
        <v>38434</v>
      </c>
      <c r="H11" s="11" t="n">
        <v>35566</v>
      </c>
      <c r="I11" s="12" t="n">
        <v>34247</v>
      </c>
      <c r="J11" s="12" t="n">
        <v>35777</v>
      </c>
      <c r="K11" s="12" t="n">
        <v>32043</v>
      </c>
      <c r="L11" s="12" t="n">
        <v>38434</v>
      </c>
    </row>
    <row r="12">
      <c r="A12" s="18" t="inlineStr">
        <is>
          <t>유형자산</t>
        </is>
      </c>
      <c r="B12" s="10" t="n"/>
      <c r="C12" s="19" t="n">
        <v>16091</v>
      </c>
      <c r="D12" s="20" t="n"/>
      <c r="E12" s="20" t="n"/>
      <c r="F12" s="20" t="n"/>
      <c r="G12" s="20" t="n">
        <v>15330</v>
      </c>
      <c r="H12" s="19" t="n">
        <v>21171</v>
      </c>
      <c r="I12" s="20" t="n">
        <v>19223</v>
      </c>
      <c r="J12" s="20" t="n">
        <v>17718</v>
      </c>
      <c r="K12" s="20" t="n">
        <v>16091</v>
      </c>
      <c r="L12" s="20" t="n">
        <v>15330</v>
      </c>
    </row>
    <row r="13">
      <c r="A13" s="18" t="inlineStr">
        <is>
          <t>무형자산</t>
        </is>
      </c>
      <c r="B13" s="10" t="n"/>
      <c r="C13" s="19" t="n">
        <v>1933</v>
      </c>
      <c r="D13" s="20" t="n"/>
      <c r="E13" s="20" t="n"/>
      <c r="F13" s="20" t="n"/>
      <c r="G13" s="20" t="n">
        <v>2229</v>
      </c>
      <c r="H13" s="19" t="n">
        <v>1562</v>
      </c>
      <c r="I13" s="20" t="n">
        <v>1464</v>
      </c>
      <c r="J13" s="20" t="n">
        <v>1577</v>
      </c>
      <c r="K13" s="20" t="n">
        <v>1933</v>
      </c>
      <c r="L13" s="20" t="n">
        <v>2229</v>
      </c>
    </row>
    <row r="14">
      <c r="A14" s="18" t="inlineStr">
        <is>
          <t>투자부동산</t>
        </is>
      </c>
      <c r="B14" s="10" t="n"/>
      <c r="C14" s="19" t="n">
        <v>1503</v>
      </c>
      <c r="D14" s="20" t="n"/>
      <c r="E14" s="20" t="n"/>
      <c r="F14" s="20" t="n"/>
      <c r="G14" s="20" t="n">
        <v>1503</v>
      </c>
      <c r="H14" s="19" t="n">
        <v>1503</v>
      </c>
      <c r="I14" s="20" t="n">
        <v>1503</v>
      </c>
      <c r="J14" s="20" t="n">
        <v>1503</v>
      </c>
      <c r="K14" s="20" t="n">
        <v>1503</v>
      </c>
      <c r="L14" s="20" t="n">
        <v>1503</v>
      </c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86613</v>
      </c>
      <c r="D16" s="12" t="n"/>
      <c r="E16" s="12" t="n"/>
      <c r="F16" s="12" t="n"/>
      <c r="G16" s="12" t="n">
        <v>94269</v>
      </c>
      <c r="H16" s="11" t="n">
        <v>88609</v>
      </c>
      <c r="I16" s="12" t="n">
        <v>95487</v>
      </c>
      <c r="J16" s="12" t="n">
        <v>91157</v>
      </c>
      <c r="K16" s="12" t="n">
        <v>86613</v>
      </c>
      <c r="L16" s="12" t="n">
        <v>94269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19163</v>
      </c>
      <c r="D18" s="12" t="n"/>
      <c r="E18" s="12" t="n"/>
      <c r="F18" s="12" t="n"/>
      <c r="G18" s="12" t="n">
        <v>21987</v>
      </c>
      <c r="H18" s="11" t="n">
        <v>30328</v>
      </c>
      <c r="I18" s="12" t="n">
        <v>33389</v>
      </c>
      <c r="J18" s="12" t="n">
        <v>22529</v>
      </c>
      <c r="K18" s="12" t="n">
        <v>19163</v>
      </c>
      <c r="L18" s="12" t="n">
        <v>21987</v>
      </c>
    </row>
    <row r="19">
      <c r="A19" s="18" t="inlineStr">
        <is>
          <t>매입채무</t>
        </is>
      </c>
      <c r="B19" s="10" t="n"/>
      <c r="C19" s="19" t="n">
        <v>6046</v>
      </c>
      <c r="D19" s="20" t="n"/>
      <c r="E19" s="20" t="n"/>
      <c r="F19" s="20" t="n"/>
      <c r="G19" s="20" t="n">
        <v>7455</v>
      </c>
      <c r="H19" s="19" t="n">
        <v>8159</v>
      </c>
      <c r="I19" s="20" t="n">
        <v>8747</v>
      </c>
      <c r="J19" s="20" t="n">
        <v>5813</v>
      </c>
      <c r="K19" s="20" t="n">
        <v>6046</v>
      </c>
      <c r="L19" s="20" t="n">
        <v>7455</v>
      </c>
    </row>
    <row r="20">
      <c r="A20" s="18" t="inlineStr">
        <is>
          <t>단기차입금</t>
        </is>
      </c>
      <c r="B20" s="10" t="n"/>
      <c r="C20" s="19" t="n">
        <v>4797</v>
      </c>
      <c r="D20" s="20" t="n"/>
      <c r="E20" s="20" t="n"/>
      <c r="F20" s="20" t="n"/>
      <c r="G20" s="20" t="n">
        <v>4449</v>
      </c>
      <c r="H20" s="19" t="n">
        <v>11061</v>
      </c>
      <c r="I20" s="20" t="n">
        <v>12291</v>
      </c>
      <c r="J20" s="20" t="n">
        <v>5602</v>
      </c>
      <c r="K20" s="20" t="n">
        <v>4797</v>
      </c>
      <c r="L20" s="20" t="n">
        <v>4449</v>
      </c>
    </row>
    <row r="21">
      <c r="A21" s="18" t="inlineStr">
        <is>
          <t>유동성장기부채</t>
        </is>
      </c>
      <c r="B21" s="10" t="n"/>
      <c r="C21" s="19" t="n">
        <v>1063</v>
      </c>
      <c r="D21" s="20" t="n"/>
      <c r="E21" s="20" t="n"/>
      <c r="F21" s="20" t="n"/>
      <c r="G21" s="20" t="n">
        <v>607</v>
      </c>
      <c r="H21" s="19" t="n">
        <v>1622</v>
      </c>
      <c r="I21" s="20" t="n">
        <v>1622</v>
      </c>
      <c r="J21" s="20" t="n">
        <v>1920</v>
      </c>
      <c r="K21" s="20" t="n">
        <v>1063</v>
      </c>
      <c r="L21" s="20" t="n">
        <v>607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4336</v>
      </c>
      <c r="D23" s="12" t="n"/>
      <c r="E23" s="12" t="n"/>
      <c r="F23" s="12" t="n"/>
      <c r="G23" s="12" t="n">
        <v>4168</v>
      </c>
      <c r="H23" s="11" t="n">
        <v>8546</v>
      </c>
      <c r="I23" s="12" t="n">
        <v>6823</v>
      </c>
      <c r="J23" s="12" t="n">
        <v>6523</v>
      </c>
      <c r="K23" s="12" t="n">
        <v>4336</v>
      </c>
      <c r="L23" s="12" t="n">
        <v>4168</v>
      </c>
    </row>
    <row r="24">
      <c r="A24" s="18" t="inlineStr">
        <is>
          <t>장기차입금</t>
        </is>
      </c>
      <c r="B24" s="10" t="n"/>
      <c r="C24" s="19" t="n">
        <v>1537</v>
      </c>
      <c r="D24" s="20" t="n"/>
      <c r="E24" s="20" t="n"/>
      <c r="F24" s="20" t="n"/>
      <c r="G24" s="20" t="n">
        <v>1025</v>
      </c>
      <c r="H24" s="19" t="n">
        <v>4964</v>
      </c>
      <c r="I24" s="20" t="n">
        <v>3342</v>
      </c>
      <c r="J24" s="20" t="n">
        <v>2696</v>
      </c>
      <c r="K24" s="20" t="n">
        <v>1537</v>
      </c>
      <c r="L24" s="20" t="n">
        <v>1025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23500</v>
      </c>
      <c r="D27" s="12" t="n"/>
      <c r="E27" s="12" t="n"/>
      <c r="F27" s="12" t="n"/>
      <c r="G27" s="12" t="n">
        <v>26155</v>
      </c>
      <c r="H27" s="11" t="n">
        <v>38874</v>
      </c>
      <c r="I27" s="12" t="n">
        <v>40213</v>
      </c>
      <c r="J27" s="12" t="n">
        <v>29053</v>
      </c>
      <c r="K27" s="12" t="n">
        <v>23500</v>
      </c>
      <c r="L27" s="12" t="n">
        <v>26155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113347</v>
      </c>
      <c r="D31" s="12" t="n"/>
      <c r="E31" s="12" t="n"/>
      <c r="F31" s="12" t="n"/>
      <c r="G31" s="12" t="n">
        <v>127860</v>
      </c>
      <c r="H31" s="11" t="n">
        <v>80645</v>
      </c>
      <c r="I31" s="12" t="n">
        <v>93205</v>
      </c>
      <c r="J31" s="12" t="n">
        <v>110358</v>
      </c>
      <c r="K31" s="12" t="n">
        <v>113347</v>
      </c>
      <c r="L31" s="12" t="n">
        <v>127860</v>
      </c>
    </row>
    <row r="32">
      <c r="A32" s="18" t="inlineStr">
        <is>
          <t>자본금</t>
        </is>
      </c>
      <c r="B32" s="10" t="n"/>
      <c r="C32" s="19" t="n">
        <v>9926</v>
      </c>
      <c r="D32" s="20" t="n"/>
      <c r="E32" s="20" t="n"/>
      <c r="F32" s="20" t="n"/>
      <c r="G32" s="20" t="n">
        <v>9926</v>
      </c>
      <c r="H32" s="19" t="n">
        <v>9926</v>
      </c>
      <c r="I32" s="20" t="n">
        <v>9926</v>
      </c>
      <c r="J32" s="20" t="n">
        <v>9926</v>
      </c>
      <c r="K32" s="20" t="n">
        <v>9926</v>
      </c>
      <c r="L32" s="20" t="n">
        <v>9926</v>
      </c>
    </row>
    <row r="33">
      <c r="A33" s="18" t="inlineStr">
        <is>
          <t>이익잉여금</t>
        </is>
      </c>
      <c r="B33" s="10" t="n"/>
      <c r="C33" s="19" t="n">
        <v>41466</v>
      </c>
      <c r="D33" s="20" t="n"/>
      <c r="E33" s="20" t="n"/>
      <c r="F33" s="20" t="n"/>
      <c r="G33" s="20" t="n">
        <v>44922</v>
      </c>
      <c r="H33" s="19" t="n">
        <v>27758</v>
      </c>
      <c r="I33" s="20" t="n">
        <v>32940</v>
      </c>
      <c r="J33" s="20" t="n">
        <v>38693</v>
      </c>
      <c r="K33" s="20" t="n">
        <v>41466</v>
      </c>
      <c r="L33" s="20" t="n">
        <v>44922</v>
      </c>
    </row>
    <row r="34">
      <c r="A34" s="18" t="inlineStr">
        <is>
          <t>비지배지분</t>
        </is>
      </c>
      <c r="B34" s="10" t="n"/>
      <c r="C34" s="19" t="n">
        <v>0</v>
      </c>
      <c r="D34" s="20" t="n"/>
      <c r="E34" s="20" t="n"/>
      <c r="F34" s="20" t="n"/>
      <c r="G34" s="20" t="n">
        <v>0</v>
      </c>
      <c r="H34" s="19" t="n">
        <v>9</v>
      </c>
      <c r="I34" s="20" t="n">
        <v>11</v>
      </c>
      <c r="J34" s="20" t="n">
        <v>14</v>
      </c>
      <c r="K34" s="20" t="n">
        <v>0</v>
      </c>
      <c r="L34" s="20" t="n">
        <v>0</v>
      </c>
    </row>
    <row r="35">
      <c r="A35" s="9" t="inlineStr">
        <is>
          <t>자본총계</t>
        </is>
      </c>
      <c r="B35" s="10" t="n"/>
      <c r="C35" s="11" t="n">
        <v>63112</v>
      </c>
      <c r="D35" s="12" t="n"/>
      <c r="E35" s="12" t="n"/>
      <c r="F35" s="12" t="n"/>
      <c r="G35" s="12" t="n">
        <v>68114</v>
      </c>
      <c r="H35" s="11" t="n">
        <v>49734</v>
      </c>
      <c r="I35" s="12" t="n">
        <v>55273</v>
      </c>
      <c r="J35" s="12" t="n">
        <v>62104</v>
      </c>
      <c r="K35" s="12" t="n">
        <v>63112</v>
      </c>
      <c r="L35" s="12" t="n">
        <v>68114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15788</v>
      </c>
      <c r="D37" s="12" t="n"/>
      <c r="E37" s="12" t="n"/>
      <c r="F37" s="12" t="n"/>
      <c r="G37" s="12" t="n">
        <v>10829</v>
      </c>
      <c r="H37" s="11" t="n">
        <v>8234</v>
      </c>
      <c r="I37" s="12" t="n">
        <v>8258</v>
      </c>
      <c r="J37" s="12" t="n">
        <v>21452</v>
      </c>
      <c r="K37" s="12" t="n">
        <v>15788</v>
      </c>
      <c r="L37" s="12" t="n">
        <v>10829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3801</v>
      </c>
      <c r="D38" s="20" t="n"/>
      <c r="E38" s="20" t="n"/>
      <c r="F38" s="20" t="n"/>
      <c r="G38" s="20" t="n">
        <v>2857</v>
      </c>
      <c r="H38" s="19" t="n">
        <v>4694</v>
      </c>
      <c r="I38" s="20" t="n">
        <v>4026</v>
      </c>
      <c r="J38" s="20" t="n">
        <v>6759</v>
      </c>
      <c r="K38" s="20" t="n">
        <v>3801</v>
      </c>
      <c r="L38" s="20" t="n">
        <v>2857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1786</v>
      </c>
      <c r="D40" s="20" t="n"/>
      <c r="E40" s="20" t="n"/>
      <c r="F40" s="20" t="n"/>
      <c r="G40" s="20" t="n">
        <v>2248</v>
      </c>
      <c r="H40" s="19" t="n">
        <v>1327</v>
      </c>
      <c r="I40" s="20" t="n">
        <v>1509</v>
      </c>
      <c r="J40" s="20" t="n">
        <v>1691</v>
      </c>
      <c r="K40" s="20" t="n">
        <v>1786</v>
      </c>
      <c r="L40" s="20" t="n">
        <v>2248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4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4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4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4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4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4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4" t="inlineStr">
        <is>
          <t>차입금 상환연수</t>
        </is>
      </c>
      <c r="B49" s="10" t="inlineStr">
        <is>
          <t>4년↓ (버핏)</t>
        </is>
      </c>
      <c r="C49" s="45">
        <f>IFERROR(IF((IF(COUNT('연간'!G53:J53)&lt;4,"",SUM('연간'!G53:J53)))&lt;=0,"적자",C28/(IF(COUNT('연간'!G53:J53)&lt;4,"",SUM('연간'!G53:J53)))),"")</f>
        <v/>
      </c>
      <c r="D49" s="46">
        <f>IFERROR(IF((IF(COUNT('연간'!H53:K53)&lt;4,"",SUM('연간'!H53:K53)))&lt;=0,"적자",D28/(IF(COUNT('연간'!H53:K53)&lt;4,"",SUM('연간'!H53:K53)))),"")</f>
        <v/>
      </c>
      <c r="E49" s="46">
        <f>IFERROR(IF((IF(COUNT('연간'!I53:L53)&lt;4,"",SUM('연간'!I53:L53)))&lt;=0,"적자",E28/(IF(COUNT('연간'!I53:L53)&lt;4,"",SUM('연간'!I53:L53)))),"")</f>
        <v/>
      </c>
      <c r="F49" s="46">
        <f>IFERROR(IF((IF(COUNT('연간'!J53:M53)&lt;4,"",SUM('연간'!J53:M53)))&lt;=0,"적자",F28/(IF(COUNT('연간'!J53:M53)&lt;4,"",SUM('연간'!J53:M53)))),"")</f>
        <v/>
      </c>
      <c r="G49" s="46">
        <f>IFERROR(IF((IF(COUNT('연간'!K53:N53)&lt;4,"",SUM('연간'!K53:N53)))&lt;=0,"적자",G28/(IF(COUNT('연간'!K53:N53)&lt;4,"",SUM('연간'!K53:N53)))),"")</f>
        <v/>
      </c>
      <c r="H49" s="45">
        <f>IFERROR(IF(('연간'!T53)&lt;=0,"적자",H28/('연간'!T53)),"")</f>
        <v/>
      </c>
      <c r="I49" s="46">
        <f>IFERROR(IF(('연간'!U53)&lt;=0,"적자",I28/('연간'!U53)),"")</f>
        <v/>
      </c>
      <c r="J49" s="46">
        <f>IFERROR(IF(('연간'!V53)&lt;=0,"적자",J28/('연간'!V53)),"")</f>
        <v/>
      </c>
      <c r="K49" s="46">
        <f>IFERROR(IF(('연간'!W53)&lt;=0,"적자",K28/('연간'!W53)),"")</f>
        <v/>
      </c>
      <c r="L49" s="46">
        <f>IFERROR(IF(('연간'!X53)&lt;=0,"적자",L28/('연간'!X53)),"")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4" t="inlineStr">
        <is>
          <t>ROE</t>
        </is>
      </c>
      <c r="B51" s="10" t="inlineStr">
        <is>
          <t>15%↑ (버핏)</t>
        </is>
      </c>
      <c r="C51" s="35">
        <f>IFERROR((IF(COUNT('연간'!G53:J53)&lt;4,"",SUM('연간'!G53:J53)))/C31,"")</f>
        <v/>
      </c>
      <c r="D51" s="36">
        <f>IFERROR((IF(COUNT('연간'!H53:K53)&lt;4,"",SUM('연간'!H53:K53)))/D31,"")</f>
        <v/>
      </c>
      <c r="E51" s="36">
        <f>IFERROR((IF(COUNT('연간'!I53:L53)&lt;4,"",SUM('연간'!I53:L53)))/E31,"")</f>
        <v/>
      </c>
      <c r="F51" s="36">
        <f>IFERROR((IF(COUNT('연간'!J53:M53)&lt;4,"",SUM('연간'!J53:M53)))/F31,"")</f>
        <v/>
      </c>
      <c r="G51" s="36">
        <f>IFERROR((IF(COUNT('연간'!K53:N53)&lt;4,"",SUM('연간'!K53:N53)))/G31,"")</f>
        <v/>
      </c>
      <c r="H51" s="35">
        <f>IFERROR(('연간'!T53)/H31,"")</f>
        <v/>
      </c>
      <c r="I51" s="36">
        <f>IFERROR(('연간'!U53)/I31,"")</f>
        <v/>
      </c>
      <c r="J51" s="36">
        <f>IFERROR(('연간'!V53)/J31,"")</f>
        <v/>
      </c>
      <c r="K51" s="36">
        <f>IFERROR(('연간'!W53)/K31,"")</f>
        <v/>
      </c>
      <c r="L51" s="36">
        <f>IFERROR(('연간'!X53)/L31,"")</f>
        <v/>
      </c>
    </row>
    <row r="52">
      <c r="A52" s="44" t="inlineStr">
        <is>
          <t>ROA</t>
        </is>
      </c>
      <c r="B52" s="10" t="inlineStr">
        <is>
          <t>5%↑</t>
        </is>
      </c>
      <c r="C52" s="35">
        <f>IFERROR((IF(COUNT('연간'!G52:J52)&lt;4,"",SUM('연간'!G52:J52)))/C16,"")</f>
        <v/>
      </c>
      <c r="D52" s="36">
        <f>IFERROR((IF(COUNT('연간'!H52:K52)&lt;4,"",SUM('연간'!H52:K52)))/D16,"")</f>
        <v/>
      </c>
      <c r="E52" s="36">
        <f>IFERROR((IF(COUNT('연간'!I52:L52)&lt;4,"",SUM('연간'!I52:L52)))/E16,"")</f>
        <v/>
      </c>
      <c r="F52" s="36">
        <f>IFERROR((IF(COUNT('연간'!J52:M52)&lt;4,"",SUM('연간'!J52:M52)))/F16,"")</f>
        <v/>
      </c>
      <c r="G52" s="36">
        <f>IFERROR((IF(COUNT('연간'!K52:N52)&lt;4,"",SUM('연간'!K52:N52)))/G16,"")</f>
        <v/>
      </c>
      <c r="H52" s="35">
        <f>IFERROR(('연간'!T52)/H16,"")</f>
        <v/>
      </c>
      <c r="I52" s="36">
        <f>IFERROR(('연간'!U52)/I16,"")</f>
        <v/>
      </c>
      <c r="J52" s="36">
        <f>IFERROR(('연간'!V52)/J16,"")</f>
        <v/>
      </c>
      <c r="K52" s="36">
        <f>IFERROR(('연간'!W52)/K16,"")</f>
        <v/>
      </c>
      <c r="L52" s="36">
        <f>IFERROR(('연간'!X52)/L16,"")</f>
        <v/>
      </c>
    </row>
    <row r="53">
      <c r="A53" s="44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4" t="inlineStr">
        <is>
          <t>매출총이익률 (GPM)</t>
        </is>
      </c>
      <c r="B54" s="10" t="inlineStr">
        <is>
          <t>40%↑ (해자 신호)</t>
        </is>
      </c>
      <c r="C54" s="35">
        <f>IFERROR((IF(COUNT('연간'!G21:J21)&lt;4,"",SUM('연간'!G21:J21)))/(IF(COUNT('연간'!G4:J4)&lt;4,"",SUM('연간'!G4:J4))),"")</f>
        <v/>
      </c>
      <c r="D54" s="36">
        <f>IFERROR((IF(COUNT('연간'!H21:K21)&lt;4,"",SUM('연간'!H21:K21)))/(IF(COUNT('연간'!H4:K4)&lt;4,"",SUM('연간'!H4:K4))),"")</f>
        <v/>
      </c>
      <c r="E54" s="36">
        <f>IFERROR((IF(COUNT('연간'!I21:L21)&lt;4,"",SUM('연간'!I21:L21)))/(IF(COUNT('연간'!I4:L4)&lt;4,"",SUM('연간'!I4:L4))),"")</f>
        <v/>
      </c>
      <c r="F54" s="36">
        <f>IFERROR((IF(COUNT('연간'!J21:M21)&lt;4,"",SUM('연간'!J21:M21)))/(IF(COUNT('연간'!J4:M4)&lt;4,"",SUM('연간'!J4:M4))),"")</f>
        <v/>
      </c>
      <c r="G54" s="36">
        <f>IFERROR((IF(COUNT('연간'!K21:N21)&lt;4,"",SUM('연간'!K21:N21)))/(IF(COUNT('연간'!K4:N4)&lt;4,"",SUM('연간'!K4:N4))),"")</f>
        <v/>
      </c>
      <c r="H54" s="35">
        <f>IFERROR(('연간'!T21)/('연간'!T4),"")</f>
        <v/>
      </c>
      <c r="I54" s="36">
        <f>IFERROR(('연간'!U21)/('연간'!U4),"")</f>
        <v/>
      </c>
      <c r="J54" s="36">
        <f>IFERROR(('연간'!V21)/('연간'!V4),"")</f>
        <v/>
      </c>
      <c r="K54" s="36">
        <f>IFERROR(('연간'!W21)/('연간'!W4),"")</f>
        <v/>
      </c>
      <c r="L54" s="36">
        <f>IFERROR(('연간'!X21)/('연간'!X4),"")</f>
        <v/>
      </c>
    </row>
    <row r="55">
      <c r="A55" s="44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4" t="inlineStr">
        <is>
          <t>순이익률</t>
        </is>
      </c>
      <c r="B56" s="10" t="inlineStr">
        <is>
          <t>10%↑</t>
        </is>
      </c>
      <c r="C56" s="35">
        <f>IFERROR((IF(COUNT('연간'!G52:J52)&lt;4,"",SUM('연간'!G52:J52)))/(IF(COUNT('연간'!G4:J4)&lt;4,"",SUM('연간'!G4:J4))),"")</f>
        <v/>
      </c>
      <c r="D56" s="36">
        <f>IFERROR((IF(COUNT('연간'!H52:K52)&lt;4,"",SUM('연간'!H52:K52)))/(IF(COUNT('연간'!H4:K4)&lt;4,"",SUM('연간'!H4:K4))),"")</f>
        <v/>
      </c>
      <c r="E56" s="36">
        <f>IFERROR((IF(COUNT('연간'!I52:L52)&lt;4,"",SUM('연간'!I52:L52)))/(IF(COUNT('연간'!I4:L4)&lt;4,"",SUM('연간'!I4:L4))),"")</f>
        <v/>
      </c>
      <c r="F56" s="36">
        <f>IFERROR((IF(COUNT('연간'!J52:M52)&lt;4,"",SUM('연간'!J52:M52)))/(IF(COUNT('연간'!J4:M4)&lt;4,"",SUM('연간'!J4:M4))),"")</f>
        <v/>
      </c>
      <c r="G56" s="36">
        <f>IFERROR((IF(COUNT('연간'!K52:N52)&lt;4,"",SUM('연간'!K52:N52)))/(IF(COUNT('연간'!K4:N4)&lt;4,"",SUM('연간'!K4:N4))),"")</f>
        <v/>
      </c>
      <c r="H56" s="35">
        <f>IFERROR(('연간'!T52)/('연간'!T4),"")</f>
        <v/>
      </c>
      <c r="I56" s="36">
        <f>IFERROR(('연간'!U52)/('연간'!U4),"")</f>
        <v/>
      </c>
      <c r="J56" s="36">
        <f>IFERROR(('연간'!V52)/('연간'!V4),"")</f>
        <v/>
      </c>
      <c r="K56" s="36">
        <f>IFERROR(('연간'!W52)/('연간'!W4),"")</f>
        <v/>
      </c>
      <c r="L56" s="36">
        <f>IFERROR(('연간'!X52)/('연간'!X4),"")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4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4" t="inlineStr">
        <is>
          <t>매출채권회전일수</t>
        </is>
      </c>
      <c r="B59" s="10" t="inlineStr">
        <is>
          <t>짧을수록↑</t>
        </is>
      </c>
      <c r="C59" s="47">
        <f>IFERROR(C8/(IF(COUNT('연간'!G4:J4)&lt;4,"",SUM('연간'!G4:J4)))*365,"")</f>
        <v/>
      </c>
      <c r="D59" s="48">
        <f>IFERROR(D8/(IF(COUNT('연간'!H4:K4)&lt;4,"",SUM('연간'!H4:K4)))*365,"")</f>
        <v/>
      </c>
      <c r="E59" s="48">
        <f>IFERROR(E8/(IF(COUNT('연간'!I4:L4)&lt;4,"",SUM('연간'!I4:L4)))*365,"")</f>
        <v/>
      </c>
      <c r="F59" s="48">
        <f>IFERROR(F8/(IF(COUNT('연간'!J4:M4)&lt;4,"",SUM('연간'!J4:M4)))*365,"")</f>
        <v/>
      </c>
      <c r="G59" s="48">
        <f>IFERROR(G8/(IF(COUNT('연간'!K4:N4)&lt;4,"",SUM('연간'!K4:N4)))*365,"")</f>
        <v/>
      </c>
      <c r="H59" s="47">
        <f>IFERROR(H8/('연간'!T4)*365,"")</f>
        <v/>
      </c>
      <c r="I59" s="48">
        <f>IFERROR(I8/('연간'!U4)*365,"")</f>
        <v/>
      </c>
      <c r="J59" s="48">
        <f>IFERROR(J8/('연간'!V4)*365,"")</f>
        <v/>
      </c>
      <c r="K59" s="48">
        <f>IFERROR(K8/('연간'!W4)*365,"")</f>
        <v/>
      </c>
      <c r="L59" s="48">
        <f>IFERROR(L8/('연간'!X4)*365,"")</f>
        <v/>
      </c>
    </row>
    <row r="60">
      <c r="A60" s="44" t="inlineStr">
        <is>
          <t>재고자산회전일수</t>
        </is>
      </c>
      <c r="B60" s="10" t="inlineStr">
        <is>
          <t>짧을수록↑</t>
        </is>
      </c>
      <c r="C60" s="47">
        <f>IFERROR(C9/(IF(COUNT('연간'!G20:J20)&lt;4,"",SUM('연간'!G20:J20)))*365,"")</f>
        <v/>
      </c>
      <c r="D60" s="48">
        <f>IFERROR(D9/(IF(COUNT('연간'!H20:K20)&lt;4,"",SUM('연간'!H20:K20)))*365,"")</f>
        <v/>
      </c>
      <c r="E60" s="48">
        <f>IFERROR(E9/(IF(COUNT('연간'!I20:L20)&lt;4,"",SUM('연간'!I20:L20)))*365,"")</f>
        <v/>
      </c>
      <c r="F60" s="48">
        <f>IFERROR(F9/(IF(COUNT('연간'!J20:M20)&lt;4,"",SUM('연간'!J20:M20)))*365,"")</f>
        <v/>
      </c>
      <c r="G60" s="48">
        <f>IFERROR(G9/(IF(COUNT('연간'!K20:N20)&lt;4,"",SUM('연간'!K20:N20)))*365,"")</f>
        <v/>
      </c>
      <c r="H60" s="47">
        <f>IFERROR(H9/('연간'!T20)*365,"")</f>
        <v/>
      </c>
      <c r="I60" s="48">
        <f>IFERROR(I9/('연간'!U20)*365,"")</f>
        <v/>
      </c>
      <c r="J60" s="48">
        <f>IFERROR(J9/('연간'!V20)*365,"")</f>
        <v/>
      </c>
      <c r="K60" s="48">
        <f>IFERROR(K9/('연간'!W20)*365,"")</f>
        <v/>
      </c>
      <c r="L60" s="48">
        <f>IFERROR(L9/('연간'!X20)*365,"")</f>
        <v/>
      </c>
    </row>
    <row r="61">
      <c r="A61" s="44" t="inlineStr">
        <is>
          <t>매입채무회전일수</t>
        </is>
      </c>
      <c r="B61" s="10" t="inlineStr">
        <is>
          <t>길수록 유리</t>
        </is>
      </c>
      <c r="C61" s="47">
        <f>IFERROR(C19/(IF(COUNT('연간'!G20:J20)&lt;4,"",SUM('연간'!G20:J20)))*365,"")</f>
        <v/>
      </c>
      <c r="D61" s="48">
        <f>IFERROR(D19/(IF(COUNT('연간'!H20:K20)&lt;4,"",SUM('연간'!H20:K20)))*365,"")</f>
        <v/>
      </c>
      <c r="E61" s="48">
        <f>IFERROR(E19/(IF(COUNT('연간'!I20:L20)&lt;4,"",SUM('연간'!I20:L20)))*365,"")</f>
        <v/>
      </c>
      <c r="F61" s="48">
        <f>IFERROR(F19/(IF(COUNT('연간'!J20:M20)&lt;4,"",SUM('연간'!J20:M20)))*365,"")</f>
        <v/>
      </c>
      <c r="G61" s="48">
        <f>IFERROR(G19/(IF(COUNT('연간'!K20:N20)&lt;4,"",SUM('연간'!K20:N20)))*365,"")</f>
        <v/>
      </c>
      <c r="H61" s="47">
        <f>IFERROR(H19/('연간'!T20)*365,"")</f>
        <v/>
      </c>
      <c r="I61" s="48">
        <f>IFERROR(I19/('연간'!U20)*365,"")</f>
        <v/>
      </c>
      <c r="J61" s="48">
        <f>IFERROR(J19/('연간'!V20)*365,"")</f>
        <v/>
      </c>
      <c r="K61" s="48">
        <f>IFERROR(K19/('연간'!W20)*365,"")</f>
        <v/>
      </c>
      <c r="L61" s="48">
        <f>IFERROR(L19/('연간'!X20)*365,"")</f>
        <v/>
      </c>
    </row>
    <row r="62">
      <c r="A62" s="44" t="inlineStr">
        <is>
          <t>현금전환주기 (CCC)</t>
        </is>
      </c>
      <c r="B62" s="10" t="inlineStr">
        <is>
          <t>짧을수록↑</t>
        </is>
      </c>
      <c r="C62" s="47">
        <f>IF(OR(C59="",C60="",C61=""),"",IFERROR(C59+C60-C61,""))</f>
        <v/>
      </c>
      <c r="D62" s="48">
        <f>IF(OR(D59="",D60="",D61=""),"",IFERROR(D59+D60-D61,""))</f>
        <v/>
      </c>
      <c r="E62" s="48">
        <f>IF(OR(E59="",E60="",E61=""),"",IFERROR(E59+E60-E61,""))</f>
        <v/>
      </c>
      <c r="F62" s="48">
        <f>IF(OR(F59="",F60="",F61=""),"",IFERROR(F59+F60-F61,""))</f>
        <v/>
      </c>
      <c r="G62" s="48">
        <f>IF(OR(G59="",G60="",G61=""),"",IFERROR(G59+G60-G61,""))</f>
        <v/>
      </c>
      <c r="H62" s="47">
        <f>IF(OR(H59="",H60="",H61=""),"",IFERROR(H59+H60-H61,""))</f>
        <v/>
      </c>
      <c r="I62" s="48">
        <f>IF(OR(I59="",I60="",I61=""),"",IFERROR(I59+I60-I61,""))</f>
        <v/>
      </c>
      <c r="J62" s="48">
        <f>IF(OR(J59="",J60="",J61=""),"",IFERROR(J59+J60-J61,""))</f>
        <v/>
      </c>
      <c r="K62" s="48">
        <f>IF(OR(K59="",K60="",K61=""),"",IFERROR(K59+K60-K61,""))</f>
        <v/>
      </c>
      <c r="L62" s="48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4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IF(C37="","",IFERROR(C37/(IF(COUNT('연간'!G52:J52)&lt;4,"",SUM('연간'!G52:J52))),""))</f>
        <v/>
      </c>
      <c r="D64" s="31">
        <f>IF(D37="","",IFERROR(D37/(IF(COUNT('연간'!H52:K52)&lt;4,"",SUM('연간'!H52:K52))),""))</f>
        <v/>
      </c>
      <c r="E64" s="31">
        <f>IF(E37="","",IFERROR(E37/(IF(COUNT('연간'!I52:L52)&lt;4,"",SUM('연간'!I52:L52))),""))</f>
        <v/>
      </c>
      <c r="F64" s="31">
        <f>IF(F37="","",IFERROR(F37/(IF(COUNT('연간'!J52:M52)&lt;4,"",SUM('연간'!J52:M52))),""))</f>
        <v/>
      </c>
      <c r="G64" s="31">
        <f>IF(G37="","",IFERROR(G37/(IF(COUNT('연간'!K52:N52)&lt;4,"",SUM('연간'!K52:N52))),""))</f>
        <v/>
      </c>
      <c r="H64" s="30">
        <f>IF(H37="","",IFERROR(H37/('연간'!T52),""))</f>
        <v/>
      </c>
      <c r="I64" s="31">
        <f>IF(I37="","",IFERROR(I37/('연간'!U52),""))</f>
        <v/>
      </c>
      <c r="J64" s="31">
        <f>IF(J37="","",IFERROR(J37/('연간'!V52),""))</f>
        <v/>
      </c>
      <c r="K64" s="31">
        <f>IF(K37="","",IFERROR(K37/('연간'!W52),""))</f>
        <v/>
      </c>
      <c r="L64" s="31">
        <f>IF(L37="","",IFERROR(L37/('연간'!X52),""))</f>
        <v/>
      </c>
    </row>
    <row r="65">
      <c r="A65" s="44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4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4" t="inlineStr">
        <is>
          <t>배당성향</t>
        </is>
      </c>
      <c r="B67" s="10" t="inlineStr">
        <is>
          <t>참고</t>
        </is>
      </c>
      <c r="C67" s="35">
        <f>IF(C40="","",IFERROR(C40/(IF(COUNT('연간'!G53:J53)&lt;4,"",SUM('연간'!G53:J53))),""))</f>
        <v/>
      </c>
      <c r="D67" s="36">
        <f>IF(D40="","",IFERROR(D40/(IF(COUNT('연간'!H53:K53)&lt;4,"",SUM('연간'!H53:K53))),""))</f>
        <v/>
      </c>
      <c r="E67" s="36">
        <f>IF(E40="","",IFERROR(E40/(IF(COUNT('연간'!I53:L53)&lt;4,"",SUM('연간'!I53:L53))),""))</f>
        <v/>
      </c>
      <c r="F67" s="36">
        <f>IF(F40="","",IFERROR(F40/(IF(COUNT('연간'!J53:M53)&lt;4,"",SUM('연간'!J53:M53))),""))</f>
        <v/>
      </c>
      <c r="G67" s="36">
        <f>IF(G40="","",IFERROR(G40/(IF(COUNT('연간'!K53:N53)&lt;4,"",SUM('연간'!K53:N53))),""))</f>
        <v/>
      </c>
      <c r="H67" s="35">
        <f>IF(H40="","",IFERROR(H40/('연간'!T53),""))</f>
        <v/>
      </c>
      <c r="I67" s="36">
        <f>IF(I40="","",IFERROR(I40/('연간'!U53),""))</f>
        <v/>
      </c>
      <c r="J67" s="36">
        <f>IF(J40="","",IFERROR(J40/('연간'!V53),""))</f>
        <v/>
      </c>
      <c r="K67" s="36">
        <f>IF(K40="","",IFERROR(K40/('연간'!W53),""))</f>
        <v/>
      </c>
      <c r="L67" s="36">
        <f>IF(L40="","",IFERROR(L40/('연간'!X53),""))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8317</v>
      </c>
      <c r="G71" s="20" t="n">
        <v>3519</v>
      </c>
      <c r="H71" s="20" t="n">
        <v>2125</v>
      </c>
      <c r="I71" s="20" t="n">
        <v>1592</v>
      </c>
      <c r="J71" s="20" t="n">
        <v>3903</v>
      </c>
      <c r="K71" s="20" t="n">
        <v>8317</v>
      </c>
      <c r="L71" s="20" t="n">
        <v>3519</v>
      </c>
    </row>
    <row r="72">
      <c r="A72" s="18" t="inlineStr">
        <is>
          <t>받을어음</t>
        </is>
      </c>
      <c r="C72" s="20" t="n">
        <v>142</v>
      </c>
      <c r="G72" s="20" t="n">
        <v>32</v>
      </c>
      <c r="H72" s="20" t="n">
        <v>190</v>
      </c>
      <c r="I72" s="20" t="n">
        <v>162</v>
      </c>
      <c r="J72" s="20" t="n">
        <v>128</v>
      </c>
      <c r="K72" s="20" t="n">
        <v>142</v>
      </c>
      <c r="L72" s="20" t="n">
        <v>32</v>
      </c>
    </row>
    <row r="73">
      <c r="A73" s="18" t="inlineStr">
        <is>
          <t>전자기록채권</t>
        </is>
      </c>
      <c r="C73" s="20" t="n">
        <v>6318</v>
      </c>
      <c r="G73" s="20" t="n">
        <v>6627</v>
      </c>
      <c r="H73" s="20" t="n">
        <v>7895</v>
      </c>
      <c r="I73" s="20" t="n">
        <v>8639</v>
      </c>
      <c r="J73" s="20" t="n">
        <v>7581</v>
      </c>
      <c r="K73" s="20" t="n">
        <v>6318</v>
      </c>
      <c r="L73" s="20" t="n">
        <v>6627</v>
      </c>
    </row>
    <row r="74">
      <c r="A74" s="18" t="inlineStr">
        <is>
          <t>매출채권</t>
        </is>
      </c>
      <c r="C74" s="20" t="n">
        <v>21042</v>
      </c>
      <c r="G74" s="20" t="n">
        <v>23656</v>
      </c>
      <c r="H74" s="20" t="n">
        <v>22837</v>
      </c>
      <c r="I74" s="20" t="n">
        <v>28849</v>
      </c>
      <c r="J74" s="20" t="n">
        <v>24334</v>
      </c>
      <c r="K74" s="20" t="n">
        <v>21042</v>
      </c>
      <c r="L74" s="20" t="n">
        <v>23656</v>
      </c>
    </row>
    <row r="75">
      <c r="A75" s="18" t="inlineStr">
        <is>
          <t>제품</t>
        </is>
      </c>
      <c r="C75" s="20" t="n">
        <v>3473</v>
      </c>
      <c r="G75" s="20" t="n">
        <v>4309</v>
      </c>
      <c r="H75" s="20" t="n">
        <v>3618</v>
      </c>
      <c r="I75" s="20" t="n">
        <v>4499</v>
      </c>
      <c r="J75" s="20" t="n">
        <v>3341</v>
      </c>
      <c r="K75" s="20" t="n">
        <v>3473</v>
      </c>
      <c r="L75" s="20" t="n">
        <v>4309</v>
      </c>
    </row>
    <row r="76">
      <c r="A76" s="18" t="inlineStr">
        <is>
          <t>원재료</t>
        </is>
      </c>
      <c r="C76" s="20" t="n">
        <v>10455</v>
      </c>
      <c r="G76" s="20" t="n">
        <v>11221</v>
      </c>
      <c r="H76" s="20" t="n">
        <v>10257</v>
      </c>
      <c r="I76" s="20" t="n">
        <v>11259</v>
      </c>
      <c r="J76" s="20" t="n">
        <v>10725</v>
      </c>
      <c r="K76" s="20" t="n">
        <v>10455</v>
      </c>
      <c r="L76" s="20" t="n">
        <v>11221</v>
      </c>
    </row>
    <row r="77">
      <c r="A77" s="18" t="inlineStr">
        <is>
          <t>재공품</t>
        </is>
      </c>
      <c r="C77" s="20" t="n">
        <v>2885</v>
      </c>
      <c r="G77" s="20" t="n">
        <v>3674</v>
      </c>
      <c r="H77" s="20" t="n">
        <v>3647</v>
      </c>
      <c r="I77" s="20" t="n">
        <v>3895</v>
      </c>
      <c r="J77" s="20" t="n">
        <v>2900</v>
      </c>
      <c r="K77" s="20" t="n">
        <v>2885</v>
      </c>
      <c r="L77" s="20" t="n">
        <v>3674</v>
      </c>
    </row>
    <row r="78">
      <c r="A78" s="18" t="inlineStr">
        <is>
          <t>저장품</t>
        </is>
      </c>
      <c r="C78" s="20" t="n">
        <v>62</v>
      </c>
      <c r="G78" s="20" t="n">
        <v>70</v>
      </c>
      <c r="H78" s="20" t="n">
        <v>33</v>
      </c>
      <c r="I78" s="20" t="n">
        <v>48</v>
      </c>
      <c r="J78" s="20" t="n">
        <v>38</v>
      </c>
      <c r="K78" s="20" t="n">
        <v>62</v>
      </c>
      <c r="L78" s="20" t="n">
        <v>70</v>
      </c>
    </row>
    <row r="79">
      <c r="A79" s="18" t="inlineStr">
        <is>
          <t>선급비용</t>
        </is>
      </c>
      <c r="C79" s="20" t="n">
        <v>187</v>
      </c>
      <c r="G79" s="20" t="n">
        <v>213</v>
      </c>
      <c r="H79" s="20" t="n">
        <v>105</v>
      </c>
      <c r="I79" s="20" t="n">
        <v>123</v>
      </c>
      <c r="J79" s="20" t="n">
        <v>142</v>
      </c>
      <c r="K79" s="20" t="n">
        <v>187</v>
      </c>
      <c r="L79" s="20" t="n">
        <v>213</v>
      </c>
    </row>
    <row r="80">
      <c r="A80" s="18" t="inlineStr">
        <is>
          <t>기타</t>
        </is>
      </c>
      <c r="C80" s="20" t="n">
        <v>1684</v>
      </c>
      <c r="G80" s="20" t="n">
        <v>2513</v>
      </c>
      <c r="H80" s="20" t="n">
        <v>2334</v>
      </c>
      <c r="I80" s="20" t="n">
        <v>2172</v>
      </c>
      <c r="J80" s="20" t="n">
        <v>2286</v>
      </c>
      <c r="K80" s="20" t="n">
        <v>1684</v>
      </c>
      <c r="L80" s="20" t="n">
        <v>2513</v>
      </c>
    </row>
    <row r="81">
      <c r="A81" s="18" t="inlineStr">
        <is>
          <t>대손충당금</t>
        </is>
      </c>
      <c r="C81" s="20" t="n">
        <v>-2</v>
      </c>
      <c r="G81" s="20" t="n">
        <v>-3</v>
      </c>
      <c r="H81" s="20" t="n">
        <v>-3</v>
      </c>
      <c r="I81" s="20" t="n">
        <v>-3</v>
      </c>
      <c r="J81" s="20" t="n">
        <v>-3</v>
      </c>
      <c r="K81" s="20" t="n">
        <v>-2</v>
      </c>
      <c r="L81" s="20" t="n">
        <v>-3</v>
      </c>
    </row>
    <row r="82">
      <c r="A82" s="9" t="inlineStr">
        <is>
          <t>유동자산 합계</t>
        </is>
      </c>
      <c r="C82" s="12" t="n">
        <v>54569</v>
      </c>
      <c r="G82" s="12" t="n">
        <v>55835</v>
      </c>
      <c r="H82" s="12" t="n">
        <v>53042</v>
      </c>
      <c r="I82" s="12" t="n">
        <v>61239</v>
      </c>
      <c r="J82" s="12" t="n">
        <v>55380</v>
      </c>
      <c r="K82" s="12" t="n">
        <v>54569</v>
      </c>
      <c r="L82" s="12" t="n">
        <v>55835</v>
      </c>
    </row>
    <row r="83">
      <c r="A83" s="18" t="inlineStr">
        <is>
          <t>건물</t>
        </is>
      </c>
      <c r="C83" s="20" t="n">
        <v>6801</v>
      </c>
      <c r="G83" s="20" t="n">
        <v>6625</v>
      </c>
      <c r="H83" s="20" t="n">
        <v>7786</v>
      </c>
      <c r="I83" s="20" t="n">
        <v>7404</v>
      </c>
      <c r="J83" s="20" t="n">
        <v>7264</v>
      </c>
      <c r="K83" s="20" t="n">
        <v>6801</v>
      </c>
      <c r="L83" s="20" t="n">
        <v>6625</v>
      </c>
    </row>
    <row r="84">
      <c r="A84" s="18" t="inlineStr">
        <is>
          <t>구축물</t>
        </is>
      </c>
      <c r="C84" s="20" t="n">
        <v>259</v>
      </c>
      <c r="G84" s="20" t="n">
        <v>251</v>
      </c>
      <c r="H84" s="20" t="n">
        <v>291</v>
      </c>
      <c r="I84" s="20" t="n">
        <v>291</v>
      </c>
      <c r="J84" s="20" t="n">
        <v>268</v>
      </c>
      <c r="K84" s="20" t="n">
        <v>259</v>
      </c>
      <c r="L84" s="20" t="n">
        <v>251</v>
      </c>
    </row>
    <row r="85">
      <c r="A85" s="18" t="inlineStr">
        <is>
          <t>기계장치</t>
        </is>
      </c>
      <c r="C85" s="20" t="n">
        <v>2107</v>
      </c>
      <c r="G85" s="20" t="n">
        <v>1448</v>
      </c>
      <c r="H85" s="20" t="n">
        <v>5563</v>
      </c>
      <c r="I85" s="20" t="n">
        <v>4388</v>
      </c>
      <c r="J85" s="20" t="n">
        <v>3168</v>
      </c>
      <c r="K85" s="20" t="n">
        <v>2107</v>
      </c>
      <c r="L85" s="20" t="n">
        <v>1448</v>
      </c>
    </row>
    <row r="86">
      <c r="A86" s="18" t="inlineStr">
        <is>
          <t>차량운반구</t>
        </is>
      </c>
      <c r="C86" s="20" t="n">
        <v>21</v>
      </c>
      <c r="G86" s="20" t="n">
        <v>23</v>
      </c>
      <c r="H86" s="20" t="n">
        <v>13</v>
      </c>
      <c r="I86" s="20" t="n">
        <v>11</v>
      </c>
      <c r="J86" s="20" t="n">
        <v>26</v>
      </c>
      <c r="K86" s="20" t="n">
        <v>21</v>
      </c>
      <c r="L86" s="20" t="n">
        <v>23</v>
      </c>
    </row>
    <row r="87">
      <c r="A87" s="18" t="inlineStr">
        <is>
          <t>공구·기구·비품</t>
        </is>
      </c>
      <c r="C87" s="20" t="n">
        <v>655</v>
      </c>
      <c r="G87" s="20" t="n">
        <v>664</v>
      </c>
      <c r="H87" s="20" t="n">
        <v>955</v>
      </c>
      <c r="I87" s="20" t="n">
        <v>743</v>
      </c>
      <c r="J87" s="20" t="n">
        <v>602</v>
      </c>
      <c r="K87" s="20" t="n">
        <v>655</v>
      </c>
      <c r="L87" s="20" t="n">
        <v>664</v>
      </c>
    </row>
    <row r="88">
      <c r="A88" s="18" t="inlineStr">
        <is>
          <t>토지</t>
        </is>
      </c>
      <c r="C88" s="20" t="n">
        <v>6048</v>
      </c>
      <c r="G88" s="20" t="n">
        <v>6048</v>
      </c>
      <c r="H88" s="20" t="n">
        <v>6200</v>
      </c>
      <c r="I88" s="20" t="n">
        <v>6200</v>
      </c>
      <c r="J88" s="20" t="n">
        <v>6200</v>
      </c>
      <c r="K88" s="20" t="n">
        <v>6048</v>
      </c>
      <c r="L88" s="20" t="n">
        <v>6048</v>
      </c>
    </row>
    <row r="89">
      <c r="A89" s="18" t="inlineStr">
        <is>
          <t>건설중인자산</t>
        </is>
      </c>
      <c r="C89" s="20" t="n">
        <v>198</v>
      </c>
      <c r="G89" s="20" t="n">
        <v>269</v>
      </c>
      <c r="H89" s="20" t="n">
        <v>360</v>
      </c>
      <c r="I89" s="20" t="n">
        <v>184</v>
      </c>
      <c r="J89" s="20" t="n">
        <v>187</v>
      </c>
      <c r="K89" s="20" t="n">
        <v>198</v>
      </c>
      <c r="L89" s="20" t="n">
        <v>269</v>
      </c>
    </row>
    <row r="90">
      <c r="A90" s="18" t="inlineStr">
        <is>
          <t>유형자산 합계</t>
        </is>
      </c>
      <c r="C90" s="20" t="n">
        <v>16091</v>
      </c>
      <c r="G90" s="20" t="n">
        <v>15330</v>
      </c>
      <c r="H90" s="20" t="n">
        <v>21171</v>
      </c>
      <c r="I90" s="20" t="n">
        <v>19223</v>
      </c>
      <c r="J90" s="20" t="n">
        <v>17718</v>
      </c>
      <c r="K90" s="20" t="n">
        <v>16091</v>
      </c>
      <c r="L90" s="20" t="n">
        <v>15330</v>
      </c>
    </row>
    <row r="91">
      <c r="A91" s="18" t="inlineStr">
        <is>
          <t>차지권</t>
        </is>
      </c>
      <c r="C91" s="20" t="n">
        <v>0</v>
      </c>
      <c r="H91" s="20" t="n">
        <v>44</v>
      </c>
      <c r="I91" s="20" t="n">
        <v>44</v>
      </c>
      <c r="J91" s="20" t="n">
        <v>44</v>
      </c>
      <c r="K91" s="20" t="n">
        <v>0</v>
      </c>
    </row>
    <row r="92">
      <c r="A92" s="18" t="inlineStr">
        <is>
          <t>소프트웨어</t>
        </is>
      </c>
      <c r="C92" s="20" t="n">
        <v>1925</v>
      </c>
      <c r="G92" s="20" t="n">
        <v>2222</v>
      </c>
      <c r="H92" s="20" t="n">
        <v>1509</v>
      </c>
      <c r="I92" s="20" t="n">
        <v>1411</v>
      </c>
      <c r="J92" s="20" t="n">
        <v>1525</v>
      </c>
      <c r="K92" s="20" t="n">
        <v>1925</v>
      </c>
      <c r="L92" s="20" t="n">
        <v>2222</v>
      </c>
    </row>
    <row r="93">
      <c r="A93" s="18" t="inlineStr">
        <is>
          <t>기타</t>
        </is>
      </c>
      <c r="C93" s="20" t="n">
        <v>7</v>
      </c>
      <c r="G93" s="20" t="n">
        <v>7</v>
      </c>
      <c r="H93" s="20" t="n">
        <v>9</v>
      </c>
      <c r="I93" s="20" t="n">
        <v>8</v>
      </c>
      <c r="J93" s="20" t="n">
        <v>8</v>
      </c>
      <c r="K93" s="20" t="n">
        <v>7</v>
      </c>
      <c r="L93" s="20" t="n">
        <v>7</v>
      </c>
    </row>
    <row r="94">
      <c r="A94" s="18" t="inlineStr">
        <is>
          <t>무형자산 합계</t>
        </is>
      </c>
      <c r="C94" s="20" t="n">
        <v>1933</v>
      </c>
      <c r="G94" s="20" t="n">
        <v>2229</v>
      </c>
      <c r="H94" s="20" t="n">
        <v>1562</v>
      </c>
      <c r="I94" s="20" t="n">
        <v>1464</v>
      </c>
      <c r="J94" s="20" t="n">
        <v>1577</v>
      </c>
      <c r="K94" s="20" t="n">
        <v>1933</v>
      </c>
      <c r="L94" s="20" t="n">
        <v>2229</v>
      </c>
    </row>
    <row r="95">
      <c r="A95" s="18" t="inlineStr">
        <is>
          <t>투자유가증권</t>
        </is>
      </c>
      <c r="C95" s="20" t="n">
        <v>7673</v>
      </c>
      <c r="G95" s="20" t="n">
        <v>11210</v>
      </c>
      <c r="H95" s="20" t="n">
        <v>6787</v>
      </c>
      <c r="I95" s="20" t="n">
        <v>7241</v>
      </c>
      <c r="J95" s="20" t="n">
        <v>10330</v>
      </c>
      <c r="K95" s="20" t="n">
        <v>7673</v>
      </c>
      <c r="L95" s="20" t="n">
        <v>11210</v>
      </c>
    </row>
    <row r="96">
      <c r="A96" s="18" t="inlineStr">
        <is>
          <t>관계회사 주식</t>
        </is>
      </c>
      <c r="C96" s="20" t="n">
        <v>2934</v>
      </c>
      <c r="G96" s="20" t="n">
        <v>2934</v>
      </c>
      <c r="H96" s="20" t="n">
        <v>2920</v>
      </c>
      <c r="I96" s="20" t="n">
        <v>2920</v>
      </c>
      <c r="J96" s="20" t="n">
        <v>2920</v>
      </c>
      <c r="K96" s="20" t="n">
        <v>2934</v>
      </c>
      <c r="L96" s="20" t="n">
        <v>2934</v>
      </c>
    </row>
    <row r="97">
      <c r="A97" s="18" t="inlineStr">
        <is>
          <t>관계회사 출자금</t>
        </is>
      </c>
      <c r="C97" s="20" t="n">
        <v>927</v>
      </c>
      <c r="G97" s="20" t="n">
        <v>4126</v>
      </c>
      <c r="H97" s="20" t="n">
        <v>786</v>
      </c>
      <c r="I97" s="20" t="n">
        <v>786</v>
      </c>
      <c r="J97" s="20" t="n">
        <v>786</v>
      </c>
      <c r="K97" s="20" t="n">
        <v>927</v>
      </c>
      <c r="L97" s="20" t="n">
        <v>4126</v>
      </c>
    </row>
    <row r="98">
      <c r="A98" s="18" t="inlineStr">
        <is>
          <t>장기대여금</t>
        </is>
      </c>
      <c r="C98" s="20" t="n">
        <v>3</v>
      </c>
      <c r="G98" s="20" t="n">
        <v>1</v>
      </c>
      <c r="H98" s="20" t="n">
        <v>15</v>
      </c>
      <c r="I98" s="20" t="n">
        <v>11</v>
      </c>
      <c r="J98" s="20" t="n">
        <v>6</v>
      </c>
      <c r="K98" s="20" t="n">
        <v>3</v>
      </c>
      <c r="L98" s="20" t="n">
        <v>1</v>
      </c>
    </row>
    <row r="99">
      <c r="A99" s="18" t="inlineStr">
        <is>
          <t>장기선급비용</t>
        </is>
      </c>
      <c r="C99" s="20" t="n">
        <v>23</v>
      </c>
      <c r="G99" s="20" t="n">
        <v>77</v>
      </c>
      <c r="H99" s="20" t="n">
        <v>20</v>
      </c>
      <c r="I99" s="20" t="n">
        <v>67</v>
      </c>
      <c r="J99" s="20" t="n">
        <v>41</v>
      </c>
      <c r="K99" s="20" t="n">
        <v>23</v>
      </c>
      <c r="L99" s="20" t="n">
        <v>77</v>
      </c>
    </row>
    <row r="100">
      <c r="A100" s="18" t="inlineStr">
        <is>
          <t>이연법인세자산</t>
        </is>
      </c>
      <c r="H100" s="20" t="n">
        <v>139</v>
      </c>
      <c r="I100" s="20" t="n">
        <v>285</v>
      </c>
      <c r="J100" s="20" t="n">
        <v>0</v>
      </c>
    </row>
    <row r="101">
      <c r="A101" s="18" t="inlineStr">
        <is>
          <t>기타</t>
        </is>
      </c>
      <c r="C101" s="20" t="n">
        <v>2456</v>
      </c>
      <c r="G101" s="20" t="n">
        <v>2523</v>
      </c>
      <c r="H101" s="20" t="n">
        <v>2161</v>
      </c>
      <c r="I101" s="20" t="n">
        <v>2247</v>
      </c>
      <c r="J101" s="20" t="n">
        <v>2396</v>
      </c>
      <c r="K101" s="20" t="n">
        <v>2456</v>
      </c>
      <c r="L101" s="20" t="n">
        <v>2523</v>
      </c>
    </row>
    <row r="102">
      <c r="A102" s="18" t="inlineStr">
        <is>
          <t>대손충당금</t>
        </is>
      </c>
      <c r="C102" s="20" t="n">
        <v>-0</v>
      </c>
      <c r="G102" s="20" t="n">
        <v>-0</v>
      </c>
      <c r="H102" s="20" t="n">
        <v>-0</v>
      </c>
      <c r="I102" s="20" t="n">
        <v>-0</v>
      </c>
      <c r="J102" s="20" t="n">
        <v>-0</v>
      </c>
      <c r="K102" s="20" t="n">
        <v>-0</v>
      </c>
      <c r="L102" s="20" t="n">
        <v>-0</v>
      </c>
    </row>
    <row r="103">
      <c r="A103" s="18" t="inlineStr">
        <is>
          <t>투자 및 기타자산 합계</t>
        </is>
      </c>
      <c r="C103" s="20" t="n">
        <v>14018</v>
      </c>
      <c r="G103" s="20" t="n">
        <v>20873</v>
      </c>
      <c r="H103" s="20" t="n">
        <v>12832</v>
      </c>
      <c r="I103" s="20" t="n">
        <v>13559</v>
      </c>
      <c r="J103" s="20" t="n">
        <v>16481</v>
      </c>
      <c r="K103" s="20" t="n">
        <v>14018</v>
      </c>
      <c r="L103" s="20" t="n">
        <v>20873</v>
      </c>
    </row>
    <row r="104">
      <c r="A104" s="9" t="inlineStr">
        <is>
          <t>비유동자산 합계</t>
        </is>
      </c>
      <c r="C104" s="12" t="n">
        <v>32043</v>
      </c>
      <c r="G104" s="12" t="n">
        <v>38434</v>
      </c>
      <c r="H104" s="12" t="n">
        <v>35566</v>
      </c>
      <c r="I104" s="12" t="n">
        <v>34247</v>
      </c>
      <c r="J104" s="12" t="n">
        <v>35777</v>
      </c>
      <c r="K104" s="12" t="n">
        <v>32043</v>
      </c>
      <c r="L104" s="12" t="n">
        <v>38434</v>
      </c>
    </row>
    <row r="105">
      <c r="A105" s="9" t="inlineStr">
        <is>
          <t>자산 합계</t>
        </is>
      </c>
      <c r="C105" s="12" t="n">
        <v>86613</v>
      </c>
      <c r="G105" s="12" t="n">
        <v>94269</v>
      </c>
      <c r="H105" s="12" t="n">
        <v>88609</v>
      </c>
      <c r="I105" s="12" t="n">
        <v>95487</v>
      </c>
      <c r="J105" s="12" t="n">
        <v>91157</v>
      </c>
      <c r="K105" s="12" t="n">
        <v>86613</v>
      </c>
      <c r="L105" s="12" t="n">
        <v>94269</v>
      </c>
    </row>
    <row r="106">
      <c r="A106" s="18" t="inlineStr">
        <is>
          <t>지급어음</t>
        </is>
      </c>
      <c r="C106" s="20" t="n">
        <v>369</v>
      </c>
      <c r="G106" s="20" t="n">
        <v>0</v>
      </c>
      <c r="H106" s="20" t="n">
        <v>540</v>
      </c>
      <c r="I106" s="20" t="n">
        <v>513</v>
      </c>
      <c r="J106" s="20" t="n">
        <v>490</v>
      </c>
      <c r="K106" s="20" t="n">
        <v>369</v>
      </c>
      <c r="L106" s="20" t="n">
        <v>0</v>
      </c>
    </row>
    <row r="107">
      <c r="A107" s="18" t="inlineStr">
        <is>
          <t>전자기록채무</t>
        </is>
      </c>
      <c r="C107" s="20" t="n">
        <v>2877</v>
      </c>
      <c r="G107" s="20" t="n">
        <v>3242</v>
      </c>
      <c r="H107" s="20" t="n">
        <v>3421</v>
      </c>
      <c r="I107" s="20" t="n">
        <v>4027</v>
      </c>
      <c r="J107" s="20" t="n">
        <v>2769</v>
      </c>
      <c r="K107" s="20" t="n">
        <v>2877</v>
      </c>
      <c r="L107" s="20" t="n">
        <v>3242</v>
      </c>
    </row>
    <row r="108">
      <c r="A108" s="18" t="inlineStr">
        <is>
          <t>매입채무</t>
        </is>
      </c>
      <c r="C108" s="20" t="n">
        <v>6046</v>
      </c>
      <c r="G108" s="20" t="n">
        <v>7455</v>
      </c>
      <c r="H108" s="20" t="n">
        <v>8159</v>
      </c>
      <c r="I108" s="20" t="n">
        <v>8747</v>
      </c>
      <c r="J108" s="20" t="n">
        <v>5813</v>
      </c>
      <c r="K108" s="20" t="n">
        <v>6046</v>
      </c>
      <c r="L108" s="20" t="n">
        <v>7455</v>
      </c>
    </row>
    <row r="109">
      <c r="A109" s="18" t="inlineStr">
        <is>
          <t>단기차입금</t>
        </is>
      </c>
      <c r="C109" s="20" t="n">
        <v>4797</v>
      </c>
      <c r="G109" s="20" t="n">
        <v>4449</v>
      </c>
      <c r="H109" s="20" t="n">
        <v>11061</v>
      </c>
      <c r="I109" s="20" t="n">
        <v>12291</v>
      </c>
      <c r="J109" s="20" t="n">
        <v>5602</v>
      </c>
      <c r="K109" s="20" t="n">
        <v>4797</v>
      </c>
      <c r="L109" s="20" t="n">
        <v>4449</v>
      </c>
    </row>
    <row r="110">
      <c r="A110" s="18" t="inlineStr">
        <is>
          <t>1년 내 상환 장기차입금</t>
        </is>
      </c>
      <c r="C110" s="20" t="n">
        <v>1063</v>
      </c>
      <c r="G110" s="20" t="n">
        <v>607</v>
      </c>
      <c r="H110" s="20" t="n">
        <v>1622</v>
      </c>
      <c r="I110" s="20" t="n">
        <v>1622</v>
      </c>
      <c r="J110" s="20" t="n">
        <v>1920</v>
      </c>
      <c r="K110" s="20" t="n">
        <v>1063</v>
      </c>
      <c r="L110" s="20" t="n">
        <v>607</v>
      </c>
    </row>
    <row r="111">
      <c r="A111" s="18" t="inlineStr">
        <is>
          <t>리스부채</t>
        </is>
      </c>
      <c r="H111" s="20" t="n">
        <v>0</v>
      </c>
    </row>
    <row r="112">
      <c r="A112" s="18" t="inlineStr">
        <is>
          <t>미지급금</t>
        </is>
      </c>
      <c r="C112" s="20" t="n">
        <v>1046</v>
      </c>
      <c r="G112" s="20" t="n">
        <v>540</v>
      </c>
      <c r="H112" s="20" t="n">
        <v>782</v>
      </c>
      <c r="I112" s="20" t="n">
        <v>928</v>
      </c>
      <c r="J112" s="20" t="n">
        <v>1627</v>
      </c>
      <c r="K112" s="20" t="n">
        <v>1046</v>
      </c>
      <c r="L112" s="20" t="n">
        <v>540</v>
      </c>
    </row>
    <row r="113">
      <c r="A113" s="18" t="inlineStr">
        <is>
          <t>미지급비용</t>
        </is>
      </c>
      <c r="C113" s="20" t="n">
        <v>2208</v>
      </c>
      <c r="G113" s="20" t="n">
        <v>3138</v>
      </c>
      <c r="H113" s="20" t="n">
        <v>2437</v>
      </c>
      <c r="I113" s="20" t="n">
        <v>3027</v>
      </c>
      <c r="J113" s="20" t="n">
        <v>2245</v>
      </c>
      <c r="K113" s="20" t="n">
        <v>2208</v>
      </c>
      <c r="L113" s="20" t="n">
        <v>3138</v>
      </c>
    </row>
    <row r="114">
      <c r="A114" s="18" t="inlineStr">
        <is>
          <t>미지급법인세</t>
        </is>
      </c>
      <c r="C114" s="20" t="n">
        <v>37</v>
      </c>
      <c r="G114" s="20" t="n">
        <v>1437</v>
      </c>
      <c r="H114" s="20" t="n">
        <v>1309</v>
      </c>
      <c r="I114" s="20" t="n">
        <v>1140</v>
      </c>
      <c r="J114" s="20" t="n">
        <v>542</v>
      </c>
      <c r="K114" s="20" t="n">
        <v>37</v>
      </c>
      <c r="L114" s="20" t="n">
        <v>1437</v>
      </c>
    </row>
    <row r="115">
      <c r="A115" s="18" t="inlineStr">
        <is>
          <t>선수금</t>
        </is>
      </c>
      <c r="C115" s="20" t="n">
        <v>14</v>
      </c>
      <c r="G115" s="20" t="n">
        <v>13</v>
      </c>
      <c r="H115" s="20" t="n">
        <v>28</v>
      </c>
      <c r="I115" s="20" t="n">
        <v>18</v>
      </c>
      <c r="J115" s="20" t="n">
        <v>12</v>
      </c>
      <c r="K115" s="20" t="n">
        <v>14</v>
      </c>
      <c r="L115" s="20" t="n">
        <v>13</v>
      </c>
    </row>
    <row r="116">
      <c r="A116" s="18" t="inlineStr">
        <is>
          <t>예수금</t>
        </is>
      </c>
      <c r="C116" s="20" t="n">
        <v>582</v>
      </c>
      <c r="G116" s="20" t="n">
        <v>826</v>
      </c>
      <c r="H116" s="20" t="n">
        <v>555</v>
      </c>
      <c r="I116" s="20" t="n">
        <v>742</v>
      </c>
      <c r="J116" s="20" t="n">
        <v>622</v>
      </c>
      <c r="K116" s="20" t="n">
        <v>582</v>
      </c>
      <c r="L116" s="20" t="n">
        <v>826</v>
      </c>
    </row>
    <row r="117">
      <c r="A117" s="18" t="inlineStr">
        <is>
          <t>설비관련 지급어음</t>
        </is>
      </c>
      <c r="C117" s="20" t="n">
        <v>74</v>
      </c>
      <c r="G117" s="20" t="n">
        <v>230</v>
      </c>
      <c r="H117" s="20" t="n">
        <v>366</v>
      </c>
      <c r="I117" s="20" t="n">
        <v>284</v>
      </c>
      <c r="J117" s="20" t="n">
        <v>837</v>
      </c>
      <c r="K117" s="20" t="n">
        <v>74</v>
      </c>
      <c r="L117" s="20" t="n">
        <v>230</v>
      </c>
    </row>
    <row r="118">
      <c r="A118" s="18" t="inlineStr">
        <is>
          <t>임원 상여충당금</t>
        </is>
      </c>
      <c r="C118" s="20" t="n">
        <v>45</v>
      </c>
      <c r="G118" s="20" t="n">
        <v>45</v>
      </c>
      <c r="H118" s="20" t="n">
        <v>45</v>
      </c>
      <c r="I118" s="20" t="n">
        <v>45</v>
      </c>
      <c r="J118" s="20" t="n">
        <v>45</v>
      </c>
      <c r="K118" s="20" t="n">
        <v>45</v>
      </c>
      <c r="L118" s="20" t="n">
        <v>45</v>
      </c>
    </row>
    <row r="119">
      <c r="A119" s="9" t="inlineStr">
        <is>
          <t>유동부채 합계</t>
        </is>
      </c>
      <c r="C119" s="12" t="n">
        <v>19163</v>
      </c>
      <c r="G119" s="12" t="n">
        <v>21987</v>
      </c>
      <c r="H119" s="12" t="n">
        <v>30328</v>
      </c>
      <c r="I119" s="12" t="n">
        <v>33389</v>
      </c>
      <c r="J119" s="12" t="n">
        <v>22529</v>
      </c>
      <c r="K119" s="12" t="n">
        <v>19163</v>
      </c>
      <c r="L119" s="12" t="n">
        <v>21987</v>
      </c>
    </row>
    <row r="120">
      <c r="A120" s="18" t="inlineStr">
        <is>
          <t>장기차입금</t>
        </is>
      </c>
      <c r="C120" s="20" t="n">
        <v>1537</v>
      </c>
      <c r="G120" s="20" t="n">
        <v>1025</v>
      </c>
      <c r="H120" s="20" t="n">
        <v>4964</v>
      </c>
      <c r="I120" s="20" t="n">
        <v>3342</v>
      </c>
      <c r="J120" s="20" t="n">
        <v>2696</v>
      </c>
      <c r="K120" s="20" t="n">
        <v>1537</v>
      </c>
      <c r="L120" s="20" t="n">
        <v>1025</v>
      </c>
    </row>
    <row r="121">
      <c r="A121" s="18" t="inlineStr">
        <is>
          <t>이연법인세부채</t>
        </is>
      </c>
      <c r="C121" s="20" t="n">
        <v>390</v>
      </c>
      <c r="G121" s="20" t="n">
        <v>1485</v>
      </c>
      <c r="H121" s="20" t="n">
        <v>0</v>
      </c>
      <c r="I121" s="20" t="n">
        <v>0</v>
      </c>
      <c r="J121" s="20" t="n">
        <v>691</v>
      </c>
      <c r="K121" s="20" t="n">
        <v>390</v>
      </c>
      <c r="L121" s="20" t="n">
        <v>1485</v>
      </c>
    </row>
    <row r="122">
      <c r="A122" s="18" t="inlineStr">
        <is>
          <t>재평가 관련 이연법인세부채</t>
        </is>
      </c>
      <c r="C122" s="20" t="n">
        <v>849</v>
      </c>
      <c r="G122" s="20" t="n">
        <v>849</v>
      </c>
      <c r="H122" s="20" t="n">
        <v>840</v>
      </c>
      <c r="I122" s="20" t="n">
        <v>840</v>
      </c>
      <c r="J122" s="20" t="n">
        <v>840</v>
      </c>
      <c r="K122" s="20" t="n">
        <v>849</v>
      </c>
      <c r="L122" s="20" t="n">
        <v>849</v>
      </c>
    </row>
    <row r="123">
      <c r="A123" s="18" t="inlineStr">
        <is>
          <t>퇴직급여충당금</t>
        </is>
      </c>
      <c r="C123" s="20" t="n">
        <v>939</v>
      </c>
      <c r="G123" s="20" t="n">
        <v>205</v>
      </c>
      <c r="H123" s="20" t="n">
        <v>2059</v>
      </c>
      <c r="I123" s="20" t="n">
        <v>1912</v>
      </c>
      <c r="J123" s="20" t="n">
        <v>1668</v>
      </c>
      <c r="K123" s="20" t="n">
        <v>939</v>
      </c>
      <c r="L123" s="20" t="n">
        <v>205</v>
      </c>
    </row>
    <row r="124">
      <c r="A124" s="18" t="inlineStr">
        <is>
          <t>임원 퇴직위로 충당금</t>
        </is>
      </c>
      <c r="H124" s="20" t="n">
        <v>681</v>
      </c>
      <c r="I124" s="20" t="n">
        <v>0</v>
      </c>
    </row>
    <row r="125">
      <c r="A125" s="18" t="inlineStr">
        <is>
          <t>장기미지급금</t>
        </is>
      </c>
      <c r="C125" s="20" t="n">
        <v>618</v>
      </c>
      <c r="G125" s="20" t="n">
        <v>602</v>
      </c>
      <c r="H125" s="20" t="n">
        <v>0</v>
      </c>
      <c r="I125" s="20" t="n">
        <v>729</v>
      </c>
      <c r="J125" s="20" t="n">
        <v>626</v>
      </c>
      <c r="K125" s="20" t="n">
        <v>618</v>
      </c>
      <c r="L125" s="20" t="n">
        <v>602</v>
      </c>
    </row>
    <row r="126">
      <c r="A126" s="9" t="inlineStr">
        <is>
          <t>비유동부채 합계</t>
        </is>
      </c>
      <c r="C126" s="12" t="n">
        <v>4336</v>
      </c>
      <c r="G126" s="12" t="n">
        <v>4168</v>
      </c>
      <c r="H126" s="12" t="n">
        <v>8546</v>
      </c>
      <c r="I126" s="12" t="n">
        <v>6823</v>
      </c>
      <c r="J126" s="12" t="n">
        <v>6523</v>
      </c>
      <c r="K126" s="12" t="n">
        <v>4336</v>
      </c>
      <c r="L126" s="12" t="n">
        <v>4168</v>
      </c>
    </row>
    <row r="127">
      <c r="A127" s="9" t="inlineStr">
        <is>
          <t>부채 합계</t>
        </is>
      </c>
      <c r="C127" s="12" t="n">
        <v>23500</v>
      </c>
      <c r="G127" s="12" t="n">
        <v>26155</v>
      </c>
      <c r="H127" s="12" t="n">
        <v>38874</v>
      </c>
      <c r="I127" s="12" t="n">
        <v>40213</v>
      </c>
      <c r="J127" s="12" t="n">
        <v>29053</v>
      </c>
      <c r="K127" s="12" t="n">
        <v>23500</v>
      </c>
      <c r="L127" s="12" t="n">
        <v>26155</v>
      </c>
    </row>
    <row r="128">
      <c r="A128" s="18" t="inlineStr">
        <is>
          <t>자본금</t>
        </is>
      </c>
      <c r="C128" s="20" t="n">
        <v>9926</v>
      </c>
      <c r="G128" s="20" t="n">
        <v>9926</v>
      </c>
      <c r="H128" s="20" t="n">
        <v>9926</v>
      </c>
      <c r="I128" s="20" t="n">
        <v>9926</v>
      </c>
      <c r="J128" s="20" t="n">
        <v>9926</v>
      </c>
      <c r="K128" s="20" t="n">
        <v>9926</v>
      </c>
      <c r="L128" s="20" t="n">
        <v>9926</v>
      </c>
    </row>
    <row r="129">
      <c r="A129" s="18" t="inlineStr">
        <is>
          <t>자본준비금</t>
        </is>
      </c>
      <c r="C129" s="20" t="n">
        <v>11458</v>
      </c>
      <c r="G129" s="20" t="n">
        <v>11458</v>
      </c>
      <c r="H129" s="20" t="n">
        <v>11458</v>
      </c>
      <c r="I129" s="20" t="n">
        <v>11458</v>
      </c>
      <c r="J129" s="20" t="n">
        <v>11458</v>
      </c>
      <c r="K129" s="20" t="n">
        <v>11458</v>
      </c>
      <c r="L129" s="20" t="n">
        <v>11458</v>
      </c>
    </row>
    <row r="130">
      <c r="A130" s="18" t="inlineStr">
        <is>
          <t>기타자본잉여금</t>
        </is>
      </c>
      <c r="C130" s="20" t="n">
        <v>72</v>
      </c>
      <c r="G130" s="20" t="n">
        <v>116</v>
      </c>
      <c r="H130" s="20" t="n">
        <v>2</v>
      </c>
      <c r="I130" s="20" t="n">
        <v>20</v>
      </c>
      <c r="J130" s="20" t="n">
        <v>47</v>
      </c>
      <c r="K130" s="20" t="n">
        <v>72</v>
      </c>
      <c r="L130" s="20" t="n">
        <v>116</v>
      </c>
    </row>
    <row r="131">
      <c r="A131" s="18" t="inlineStr">
        <is>
          <t>자본잉여금 합계</t>
        </is>
      </c>
      <c r="C131" s="20" t="n">
        <v>11531</v>
      </c>
      <c r="G131" s="20" t="n">
        <v>11575</v>
      </c>
      <c r="H131" s="20" t="n">
        <v>11460</v>
      </c>
      <c r="I131" s="20" t="n">
        <v>11479</v>
      </c>
      <c r="J131" s="20" t="n">
        <v>11506</v>
      </c>
      <c r="K131" s="20" t="n">
        <v>11531</v>
      </c>
      <c r="L131" s="20" t="n">
        <v>11575</v>
      </c>
    </row>
    <row r="132">
      <c r="A132" s="18" t="inlineStr">
        <is>
          <t>이익준비금</t>
        </is>
      </c>
      <c r="C132" s="20" t="n">
        <v>1032</v>
      </c>
      <c r="G132" s="20" t="n">
        <v>1032</v>
      </c>
      <c r="H132" s="20" t="n">
        <v>1032</v>
      </c>
      <c r="I132" s="20" t="n">
        <v>1032</v>
      </c>
      <c r="J132" s="20" t="n">
        <v>1032</v>
      </c>
      <c r="K132" s="20" t="n">
        <v>1032</v>
      </c>
      <c r="L132" s="20" t="n">
        <v>1032</v>
      </c>
    </row>
    <row r="133">
      <c r="A133" s="18" t="inlineStr">
        <is>
          <t>기타 이익잉여금</t>
        </is>
      </c>
      <c r="C133" s="20" t="n">
        <v>40434</v>
      </c>
      <c r="G133" s="20" t="n">
        <v>43890</v>
      </c>
      <c r="H133" s="20" t="n">
        <v>26726</v>
      </c>
      <c r="I133" s="20" t="n">
        <v>31908</v>
      </c>
      <c r="J133" s="20" t="n">
        <v>37661</v>
      </c>
      <c r="K133" s="20" t="n">
        <v>40434</v>
      </c>
      <c r="L133" s="20" t="n">
        <v>43890</v>
      </c>
    </row>
    <row r="134">
      <c r="A134" s="18" t="inlineStr">
        <is>
          <t>Reserve For Retirement Allowance2</t>
        </is>
      </c>
      <c r="C134" s="20" t="n">
        <v>900</v>
      </c>
      <c r="G134" s="20" t="n">
        <v>900</v>
      </c>
      <c r="H134" s="20" t="n">
        <v>900</v>
      </c>
      <c r="I134" s="20" t="n">
        <v>900</v>
      </c>
      <c r="J134" s="20" t="n">
        <v>900</v>
      </c>
      <c r="K134" s="20" t="n">
        <v>900</v>
      </c>
      <c r="L134" s="20" t="n">
        <v>900</v>
      </c>
    </row>
    <row r="135">
      <c r="A135" s="18" t="inlineStr">
        <is>
          <t>Reserve For Dividends3</t>
        </is>
      </c>
      <c r="C135" s="20" t="n">
        <v>790</v>
      </c>
      <c r="G135" s="20" t="n">
        <v>790</v>
      </c>
      <c r="H135" s="20" t="n">
        <v>790</v>
      </c>
      <c r="I135" s="20" t="n">
        <v>790</v>
      </c>
      <c r="J135" s="20" t="n">
        <v>790</v>
      </c>
      <c r="K135" s="20" t="n">
        <v>790</v>
      </c>
      <c r="L135" s="20" t="n">
        <v>790</v>
      </c>
    </row>
    <row r="136">
      <c r="A136" s="18" t="inlineStr">
        <is>
          <t>고정자산 압축적립금</t>
        </is>
      </c>
      <c r="C136" s="20" t="n">
        <v>62</v>
      </c>
      <c r="G136" s="20" t="n">
        <v>62</v>
      </c>
      <c r="H136" s="20" t="n">
        <v>62</v>
      </c>
      <c r="I136" s="20" t="n">
        <v>62</v>
      </c>
      <c r="J136" s="20" t="n">
        <v>62</v>
      </c>
      <c r="K136" s="20" t="n">
        <v>62</v>
      </c>
      <c r="L136" s="20" t="n">
        <v>62</v>
      </c>
    </row>
    <row r="137">
      <c r="A137" s="18" t="inlineStr">
        <is>
          <t>별도적립금</t>
        </is>
      </c>
      <c r="C137" s="20" t="n">
        <v>1500</v>
      </c>
      <c r="G137" s="20" t="n">
        <v>1500</v>
      </c>
      <c r="H137" s="20" t="n">
        <v>1500</v>
      </c>
      <c r="I137" s="20" t="n">
        <v>1500</v>
      </c>
      <c r="J137" s="20" t="n">
        <v>1500</v>
      </c>
      <c r="K137" s="20" t="n">
        <v>1500</v>
      </c>
      <c r="L137" s="20" t="n">
        <v>1500</v>
      </c>
    </row>
    <row r="138">
      <c r="A138" s="18" t="inlineStr">
        <is>
          <t>이월이익잉여금</t>
        </is>
      </c>
      <c r="C138" s="20" t="n">
        <v>37182</v>
      </c>
      <c r="G138" s="20" t="n">
        <v>40638</v>
      </c>
      <c r="H138" s="20" t="n">
        <v>23473</v>
      </c>
      <c r="I138" s="20" t="n">
        <v>28656</v>
      </c>
      <c r="J138" s="20" t="n">
        <v>34408</v>
      </c>
      <c r="K138" s="20" t="n">
        <v>37182</v>
      </c>
      <c r="L138" s="20" t="n">
        <v>40638</v>
      </c>
    </row>
    <row r="139">
      <c r="A139" s="18" t="inlineStr">
        <is>
          <t>이익잉여금 합계</t>
        </is>
      </c>
      <c r="C139" s="20" t="n">
        <v>41466</v>
      </c>
      <c r="G139" s="20" t="n">
        <v>44922</v>
      </c>
      <c r="H139" s="20" t="n">
        <v>27758</v>
      </c>
      <c r="I139" s="20" t="n">
        <v>32940</v>
      </c>
      <c r="J139" s="20" t="n">
        <v>38693</v>
      </c>
      <c r="K139" s="20" t="n">
        <v>41466</v>
      </c>
      <c r="L139" s="20" t="n">
        <v>44922</v>
      </c>
    </row>
    <row r="140">
      <c r="A140" s="18" t="inlineStr">
        <is>
          <t>자기주식</t>
        </is>
      </c>
      <c r="C140" s="20" t="n">
        <v>-3989</v>
      </c>
      <c r="G140" s="20" t="n">
        <v>-4932</v>
      </c>
      <c r="H140" s="20" t="n">
        <v>-2916</v>
      </c>
      <c r="I140" s="20" t="n">
        <v>-2884</v>
      </c>
      <c r="J140" s="20" t="n">
        <v>-4008</v>
      </c>
      <c r="K140" s="20" t="n">
        <v>-3989</v>
      </c>
      <c r="L140" s="20" t="n">
        <v>-4932</v>
      </c>
    </row>
    <row r="141">
      <c r="A141" s="9" t="inlineStr">
        <is>
          <t>주주자본 합계</t>
        </is>
      </c>
      <c r="C141" s="12" t="n">
        <v>58934</v>
      </c>
      <c r="G141" s="12" t="n">
        <v>61492</v>
      </c>
      <c r="H141" s="12" t="n">
        <v>46229</v>
      </c>
      <c r="I141" s="12" t="n">
        <v>51461</v>
      </c>
      <c r="J141" s="12" t="n">
        <v>56118</v>
      </c>
      <c r="K141" s="12" t="n">
        <v>58934</v>
      </c>
      <c r="L141" s="12" t="n">
        <v>61492</v>
      </c>
    </row>
    <row r="142">
      <c r="A142" s="18" t="inlineStr">
        <is>
          <t>기타유가증권 평가차액</t>
        </is>
      </c>
      <c r="C142" s="20" t="n">
        <v>3302</v>
      </c>
      <c r="G142" s="20" t="n">
        <v>5745</v>
      </c>
      <c r="H142" s="20" t="n">
        <v>2568</v>
      </c>
      <c r="I142" s="20" t="n">
        <v>2875</v>
      </c>
      <c r="J142" s="20" t="n">
        <v>5049</v>
      </c>
      <c r="K142" s="20" t="n">
        <v>3302</v>
      </c>
      <c r="L142" s="20" t="n">
        <v>5745</v>
      </c>
    </row>
    <row r="143">
      <c r="A143" s="18" t="inlineStr">
        <is>
          <t>토지재평가차액금</t>
        </is>
      </c>
      <c r="C143" s="20" t="n">
        <v>876</v>
      </c>
      <c r="G143" s="20" t="n">
        <v>876</v>
      </c>
      <c r="H143" s="20" t="n">
        <v>936</v>
      </c>
      <c r="I143" s="20" t="n">
        <v>936</v>
      </c>
      <c r="J143" s="20" t="n">
        <v>936</v>
      </c>
      <c r="K143" s="20" t="n">
        <v>876</v>
      </c>
      <c r="L143" s="20" t="n">
        <v>876</v>
      </c>
    </row>
    <row r="144">
      <c r="A144" s="18" t="inlineStr">
        <is>
          <t>평가·환산차액 합계</t>
        </is>
      </c>
      <c r="C144" s="20" t="n">
        <v>4178</v>
      </c>
      <c r="G144" s="20" t="n">
        <v>6621</v>
      </c>
      <c r="H144" s="20" t="n">
        <v>3504</v>
      </c>
      <c r="I144" s="20" t="n">
        <v>3811</v>
      </c>
      <c r="J144" s="20" t="n">
        <v>5985</v>
      </c>
      <c r="K144" s="20" t="n">
        <v>4178</v>
      </c>
      <c r="L144" s="20" t="n">
        <v>6621</v>
      </c>
    </row>
    <row r="145">
      <c r="A145" s="9" t="inlineStr">
        <is>
          <t>순자산 합계</t>
        </is>
      </c>
      <c r="C145" s="12" t="n">
        <v>63112</v>
      </c>
      <c r="G145" s="12" t="n">
        <v>68114</v>
      </c>
      <c r="H145" s="12" t="n">
        <v>49734</v>
      </c>
      <c r="I145" s="12" t="n">
        <v>55273</v>
      </c>
      <c r="J145" s="12" t="n">
        <v>62104</v>
      </c>
      <c r="K145" s="12" t="n">
        <v>63112</v>
      </c>
      <c r="L145" s="12" t="n">
        <v>68114</v>
      </c>
    </row>
    <row r="146">
      <c r="A146" s="9" t="inlineStr">
        <is>
          <t>부채·순자산 합계</t>
        </is>
      </c>
      <c r="C146" s="12" t="n">
        <v>86613</v>
      </c>
      <c r="G146" s="12" t="n">
        <v>94269</v>
      </c>
      <c r="H146" s="12" t="n">
        <v>88609</v>
      </c>
      <c r="I146" s="12" t="n">
        <v>95487</v>
      </c>
      <c r="J146" s="12" t="n">
        <v>91157</v>
      </c>
      <c r="K146" s="12" t="n">
        <v>86613</v>
      </c>
      <c r="L146" s="12" t="n">
        <v>94269</v>
      </c>
    </row>
    <row r="147">
      <c r="A147" s="18" t="inlineStr">
        <is>
          <t>현금및현금성자산</t>
        </is>
      </c>
      <c r="C147" s="20" t="n">
        <v>28898</v>
      </c>
      <c r="G147" s="20" t="n">
        <v>28719</v>
      </c>
      <c r="H147" s="20" t="n">
        <v>18778</v>
      </c>
      <c r="I147" s="20" t="n">
        <v>20548</v>
      </c>
      <c r="J147" s="20" t="n">
        <v>26687</v>
      </c>
      <c r="K147" s="20" t="n">
        <v>28898</v>
      </c>
      <c r="L147" s="20" t="n">
        <v>28719</v>
      </c>
    </row>
    <row r="148">
      <c r="A148" s="18" t="inlineStr">
        <is>
          <t>영업채권 및 기타채권</t>
        </is>
      </c>
      <c r="C148" s="20" t="n">
        <v>29143</v>
      </c>
      <c r="G148" s="20" t="n">
        <v>32044</v>
      </c>
      <c r="H148" s="20" t="n">
        <v>32374</v>
      </c>
      <c r="I148" s="20" t="n">
        <v>37303</v>
      </c>
      <c r="J148" s="20" t="n">
        <v>32095</v>
      </c>
      <c r="K148" s="20" t="n">
        <v>29143</v>
      </c>
      <c r="L148" s="20" t="n">
        <v>32044</v>
      </c>
    </row>
    <row r="149">
      <c r="A149" s="18" t="inlineStr">
        <is>
          <t>기타금융자산</t>
        </is>
      </c>
      <c r="C149" s="20" t="n">
        <v>1594</v>
      </c>
      <c r="G149" s="20" t="n">
        <v>5422</v>
      </c>
      <c r="H149" s="20" t="n">
        <v>267</v>
      </c>
      <c r="I149" s="20" t="n">
        <v>884</v>
      </c>
      <c r="J149" s="20" t="n">
        <v>691</v>
      </c>
      <c r="K149" s="20" t="n">
        <v>1594</v>
      </c>
      <c r="L149" s="20" t="n">
        <v>5422</v>
      </c>
    </row>
    <row r="150">
      <c r="A150" s="18" t="inlineStr">
        <is>
          <t>재고자산</t>
        </is>
      </c>
      <c r="C150" s="20" t="n">
        <v>34151</v>
      </c>
      <c r="G150" s="20" t="n">
        <v>39860</v>
      </c>
      <c r="H150" s="20" t="n">
        <v>32286</v>
      </c>
      <c r="I150" s="20" t="n">
        <v>40123</v>
      </c>
      <c r="J150" s="20" t="n">
        <v>36848</v>
      </c>
      <c r="K150" s="20" t="n">
        <v>34151</v>
      </c>
      <c r="L150" s="20" t="n">
        <v>39860</v>
      </c>
    </row>
    <row r="151">
      <c r="A151" s="18" t="inlineStr">
        <is>
          <t>기타유동자산</t>
        </is>
      </c>
      <c r="C151" s="20" t="n">
        <v>1074</v>
      </c>
      <c r="G151" s="20" t="n">
        <v>1273</v>
      </c>
      <c r="H151" s="20" t="n">
        <v>547</v>
      </c>
      <c r="I151" s="20" t="n">
        <v>801</v>
      </c>
      <c r="J151" s="20" t="n">
        <v>635</v>
      </c>
      <c r="K151" s="20" t="n">
        <v>1074</v>
      </c>
      <c r="L151" s="20" t="n">
        <v>1273</v>
      </c>
    </row>
    <row r="152">
      <c r="A152" s="9" t="inlineStr">
        <is>
          <t>유동자산 합계</t>
        </is>
      </c>
      <c r="C152" s="12" t="n">
        <v>94862</v>
      </c>
      <c r="G152" s="12" t="n">
        <v>107320</v>
      </c>
      <c r="H152" s="12" t="n">
        <v>84253</v>
      </c>
      <c r="I152" s="12" t="n">
        <v>99660</v>
      </c>
      <c r="J152" s="12" t="n">
        <v>96958</v>
      </c>
      <c r="K152" s="12" t="n">
        <v>94862</v>
      </c>
      <c r="L152" s="12" t="n">
        <v>107320</v>
      </c>
    </row>
    <row r="153">
      <c r="A153" s="18" t="inlineStr">
        <is>
          <t>유형자산</t>
        </is>
      </c>
      <c r="C153" s="20" t="n">
        <v>24592</v>
      </c>
      <c r="G153" s="20" t="n">
        <v>23263</v>
      </c>
      <c r="H153" s="20" t="n">
        <v>24985</v>
      </c>
      <c r="I153" s="20" t="n">
        <v>24106</v>
      </c>
      <c r="J153" s="20" t="n">
        <v>27271</v>
      </c>
      <c r="K153" s="20" t="n">
        <v>24592</v>
      </c>
      <c r="L153" s="20" t="n">
        <v>23263</v>
      </c>
    </row>
    <row r="154">
      <c r="A154" s="18" t="inlineStr">
        <is>
          <t>무형자산</t>
        </is>
      </c>
      <c r="C154" s="20" t="n">
        <v>4940</v>
      </c>
      <c r="G154" s="20" t="n">
        <v>5299</v>
      </c>
      <c r="H154" s="20" t="n">
        <v>5214</v>
      </c>
      <c r="I154" s="20" t="n">
        <v>4996</v>
      </c>
      <c r="J154" s="20" t="n">
        <v>4807</v>
      </c>
      <c r="K154" s="20" t="n">
        <v>4940</v>
      </c>
      <c r="L154" s="20" t="n">
        <v>5299</v>
      </c>
    </row>
    <row r="155">
      <c r="A155" s="18" t="inlineStr">
        <is>
          <t>사용권자산</t>
        </is>
      </c>
      <c r="C155" s="20" t="n">
        <v>2699</v>
      </c>
      <c r="G155" s="20" t="n">
        <v>3493</v>
      </c>
      <c r="H155" s="20" t="n">
        <v>1604</v>
      </c>
      <c r="I155" s="20" t="n">
        <v>1766</v>
      </c>
      <c r="J155" s="20" t="n">
        <v>2854</v>
      </c>
      <c r="K155" s="20" t="n">
        <v>2699</v>
      </c>
      <c r="L155" s="20" t="n">
        <v>3493</v>
      </c>
    </row>
    <row r="156">
      <c r="A156" s="18" t="inlineStr">
        <is>
          <t>Investment Property</t>
        </is>
      </c>
      <c r="C156" s="20" t="n">
        <v>1503</v>
      </c>
      <c r="G156" s="20" t="n">
        <v>1503</v>
      </c>
      <c r="H156" s="20" t="n">
        <v>1503</v>
      </c>
      <c r="I156" s="20" t="n">
        <v>1503</v>
      </c>
      <c r="J156" s="20" t="n">
        <v>1503</v>
      </c>
      <c r="K156" s="20" t="n">
        <v>1503</v>
      </c>
      <c r="L156" s="20" t="n">
        <v>1503</v>
      </c>
    </row>
    <row r="157">
      <c r="A157" s="18" t="inlineStr">
        <is>
          <t>기타금융자산</t>
        </is>
      </c>
      <c r="C157" s="20" t="n">
        <v>11845</v>
      </c>
      <c r="G157" s="20" t="n">
        <v>15854</v>
      </c>
      <c r="H157" s="20" t="n">
        <v>10437</v>
      </c>
      <c r="I157" s="20" t="n">
        <v>11002</v>
      </c>
      <c r="J157" s="20" t="n">
        <v>14462</v>
      </c>
      <c r="K157" s="20" t="n">
        <v>11845</v>
      </c>
      <c r="L157" s="20" t="n">
        <v>15854</v>
      </c>
    </row>
    <row r="158">
      <c r="A158" s="18" t="inlineStr">
        <is>
          <t>퇴직급여자산</t>
        </is>
      </c>
      <c r="C158" s="20" t="n">
        <v>4423</v>
      </c>
      <c r="G158" s="20" t="n">
        <v>8561</v>
      </c>
      <c r="I158" s="20" t="n">
        <v>0</v>
      </c>
      <c r="J158" s="20" t="n">
        <v>2053</v>
      </c>
      <c r="K158" s="20" t="n">
        <v>4423</v>
      </c>
      <c r="L158" s="20" t="n">
        <v>8561</v>
      </c>
    </row>
    <row r="159">
      <c r="A159" s="18" t="inlineStr">
        <is>
          <t>이연법인세자산</t>
        </is>
      </c>
      <c r="C159" s="20" t="n">
        <v>613</v>
      </c>
      <c r="G159" s="20" t="n">
        <v>913</v>
      </c>
      <c r="H159" s="20" t="n">
        <v>420</v>
      </c>
      <c r="I159" s="20" t="n">
        <v>686</v>
      </c>
      <c r="J159" s="20" t="n">
        <v>643</v>
      </c>
      <c r="K159" s="20" t="n">
        <v>613</v>
      </c>
      <c r="L159" s="20" t="n">
        <v>913</v>
      </c>
    </row>
    <row r="160">
      <c r="A160" s="18" t="inlineStr">
        <is>
          <t>기타비유동자산</t>
        </is>
      </c>
      <c r="C160" s="20" t="n">
        <v>146</v>
      </c>
      <c r="G160" s="20" t="n">
        <v>157</v>
      </c>
      <c r="H160" s="20" t="n">
        <v>247</v>
      </c>
      <c r="I160" s="20" t="n">
        <v>148</v>
      </c>
      <c r="J160" s="20" t="n">
        <v>133</v>
      </c>
      <c r="K160" s="20" t="n">
        <v>146</v>
      </c>
      <c r="L160" s="20" t="n">
        <v>157</v>
      </c>
    </row>
    <row r="161">
      <c r="A161" s="18" t="inlineStr">
        <is>
          <t>비유동자산 합계</t>
        </is>
      </c>
      <c r="C161" s="20" t="n">
        <v>50765</v>
      </c>
      <c r="G161" s="20" t="n">
        <v>59047</v>
      </c>
      <c r="H161" s="20" t="n">
        <v>44413</v>
      </c>
      <c r="I161" s="20" t="n">
        <v>44211</v>
      </c>
      <c r="J161" s="20" t="n">
        <v>53729</v>
      </c>
      <c r="K161" s="20" t="n">
        <v>50765</v>
      </c>
      <c r="L161" s="20" t="n">
        <v>59047</v>
      </c>
    </row>
    <row r="162">
      <c r="A162" s="18" t="inlineStr">
        <is>
          <t>자산 합계</t>
        </is>
      </c>
      <c r="C162" s="20" t="n">
        <v>145628</v>
      </c>
      <c r="G162" s="20" t="n">
        <v>166367</v>
      </c>
      <c r="H162" s="20" t="n">
        <v>128667</v>
      </c>
      <c r="I162" s="20" t="n">
        <v>143871</v>
      </c>
      <c r="J162" s="20" t="n">
        <v>150688</v>
      </c>
      <c r="K162" s="20" t="n">
        <v>145628</v>
      </c>
      <c r="L162" s="20" t="n">
        <v>166367</v>
      </c>
    </row>
    <row r="163">
      <c r="A163" s="18" t="inlineStr">
        <is>
          <t>영업채무 및 기타채무</t>
        </is>
      </c>
      <c r="C163" s="20" t="n">
        <v>16649</v>
      </c>
      <c r="G163" s="20" t="n">
        <v>19771</v>
      </c>
      <c r="H163" s="20" t="n">
        <v>18772</v>
      </c>
      <c r="I163" s="20" t="n">
        <v>21893</v>
      </c>
      <c r="J163" s="20" t="n">
        <v>17441</v>
      </c>
      <c r="K163" s="20" t="n">
        <v>16649</v>
      </c>
      <c r="L163" s="20" t="n">
        <v>19771</v>
      </c>
    </row>
    <row r="164">
      <c r="A164" s="18" t="inlineStr">
        <is>
          <t>차입금</t>
        </is>
      </c>
      <c r="C164" s="20" t="n">
        <v>3263</v>
      </c>
      <c r="G164" s="20" t="n">
        <v>2887</v>
      </c>
      <c r="H164" s="20" t="n">
        <v>12862</v>
      </c>
      <c r="I164" s="20" t="n">
        <v>14440</v>
      </c>
      <c r="J164" s="20" t="n">
        <v>7984</v>
      </c>
      <c r="K164" s="20" t="n">
        <v>3263</v>
      </c>
      <c r="L164" s="20" t="n">
        <v>2887</v>
      </c>
    </row>
    <row r="165">
      <c r="A165" s="18" t="inlineStr">
        <is>
          <t>리스부채</t>
        </is>
      </c>
      <c r="C165" s="20" t="n">
        <v>850</v>
      </c>
      <c r="G165" s="20" t="n">
        <v>821</v>
      </c>
      <c r="H165" s="20" t="n">
        <v>651</v>
      </c>
      <c r="I165" s="20" t="n">
        <v>623</v>
      </c>
      <c r="J165" s="20" t="n">
        <v>795</v>
      </c>
      <c r="K165" s="20" t="n">
        <v>850</v>
      </c>
      <c r="L165" s="20" t="n">
        <v>821</v>
      </c>
    </row>
    <row r="166">
      <c r="A166" s="18" t="inlineStr">
        <is>
          <t>기타금융부채</t>
        </is>
      </c>
      <c r="C166" s="20" t="n">
        <v>36</v>
      </c>
      <c r="G166" s="20" t="n">
        <v>70</v>
      </c>
      <c r="H166" s="20" t="n">
        <v>247</v>
      </c>
      <c r="I166" s="20" t="n">
        <v>199</v>
      </c>
      <c r="J166" s="20" t="n">
        <v>74</v>
      </c>
      <c r="K166" s="20" t="n">
        <v>36</v>
      </c>
      <c r="L166" s="20" t="n">
        <v>70</v>
      </c>
    </row>
    <row r="167">
      <c r="A167" s="18" t="inlineStr">
        <is>
          <t>미지급법인세 등</t>
        </is>
      </c>
      <c r="C167" s="20" t="n">
        <v>368</v>
      </c>
      <c r="G167" s="20" t="n">
        <v>2025</v>
      </c>
      <c r="H167" s="20" t="n">
        <v>1859</v>
      </c>
      <c r="I167" s="20" t="n">
        <v>1673</v>
      </c>
      <c r="J167" s="20" t="n">
        <v>1136</v>
      </c>
      <c r="K167" s="20" t="n">
        <v>368</v>
      </c>
      <c r="L167" s="20" t="n">
        <v>2025</v>
      </c>
    </row>
    <row r="168">
      <c r="A168" s="18" t="inlineStr">
        <is>
          <t>기타유동부채</t>
        </is>
      </c>
      <c r="C168" s="20" t="n">
        <v>2364</v>
      </c>
      <c r="G168" s="20" t="n">
        <v>2275</v>
      </c>
      <c r="H168" s="20" t="n">
        <v>1783</v>
      </c>
      <c r="I168" s="20" t="n">
        <v>2338</v>
      </c>
      <c r="J168" s="20" t="n">
        <v>2705</v>
      </c>
      <c r="K168" s="20" t="n">
        <v>2364</v>
      </c>
      <c r="L168" s="20" t="n">
        <v>2275</v>
      </c>
    </row>
    <row r="169">
      <c r="A169" s="18" t="inlineStr">
        <is>
          <t>유동부채 합계</t>
        </is>
      </c>
      <c r="C169" s="20" t="n">
        <v>23533</v>
      </c>
      <c r="G169" s="20" t="n">
        <v>27851</v>
      </c>
      <c r="H169" s="20" t="n">
        <v>36176</v>
      </c>
      <c r="I169" s="20" t="n">
        <v>41168</v>
      </c>
      <c r="J169" s="20" t="n">
        <v>30137</v>
      </c>
      <c r="K169" s="20" t="n">
        <v>23533</v>
      </c>
      <c r="L169" s="20" t="n">
        <v>27851</v>
      </c>
    </row>
    <row r="170">
      <c r="A170" s="18" t="inlineStr">
        <is>
          <t>차입금</t>
        </is>
      </c>
      <c r="C170" s="20" t="n">
        <v>1537</v>
      </c>
      <c r="G170" s="20" t="n">
        <v>1025</v>
      </c>
      <c r="H170" s="20" t="n">
        <v>5984</v>
      </c>
      <c r="I170" s="20" t="n">
        <v>4158</v>
      </c>
      <c r="J170" s="20" t="n">
        <v>3934</v>
      </c>
      <c r="K170" s="20" t="n">
        <v>1537</v>
      </c>
      <c r="L170" s="20" t="n">
        <v>1025</v>
      </c>
    </row>
    <row r="171">
      <c r="A171" s="18" t="inlineStr">
        <is>
          <t>리스부채</t>
        </is>
      </c>
      <c r="C171" s="20" t="n">
        <v>1631</v>
      </c>
      <c r="G171" s="20" t="n">
        <v>1261</v>
      </c>
      <c r="H171" s="20" t="n">
        <v>755</v>
      </c>
      <c r="I171" s="20" t="n">
        <v>933</v>
      </c>
      <c r="J171" s="20" t="n">
        <v>1816</v>
      </c>
      <c r="K171" s="20" t="n">
        <v>1631</v>
      </c>
      <c r="L171" s="20" t="n">
        <v>1261</v>
      </c>
    </row>
    <row r="172">
      <c r="A172" s="18" t="inlineStr">
        <is>
          <t>퇴직급여부채</t>
        </is>
      </c>
      <c r="C172" s="20" t="n">
        <v>557</v>
      </c>
      <c r="G172" s="20" t="n">
        <v>743</v>
      </c>
      <c r="H172" s="20" t="n">
        <v>3580</v>
      </c>
      <c r="I172" s="20" t="n">
        <v>2156</v>
      </c>
      <c r="J172" s="20" t="n">
        <v>0</v>
      </c>
      <c r="K172" s="20" t="n">
        <v>557</v>
      </c>
      <c r="L172" s="20" t="n">
        <v>743</v>
      </c>
    </row>
    <row r="173">
      <c r="A173" s="18" t="inlineStr">
        <is>
          <t>이연법인세부채</t>
        </is>
      </c>
      <c r="C173" s="20" t="n">
        <v>4080</v>
      </c>
      <c r="G173" s="20" t="n">
        <v>6628</v>
      </c>
      <c r="H173" s="20" t="n">
        <v>1348</v>
      </c>
      <c r="I173" s="20" t="n">
        <v>1349</v>
      </c>
      <c r="J173" s="20" t="n">
        <v>3556</v>
      </c>
      <c r="K173" s="20" t="n">
        <v>4080</v>
      </c>
      <c r="L173" s="20" t="n">
        <v>6628</v>
      </c>
    </row>
    <row r="174">
      <c r="A174" s="18" t="inlineStr">
        <is>
          <t>기타비유동부채</t>
        </is>
      </c>
      <c r="C174" s="20" t="n">
        <v>940</v>
      </c>
      <c r="G174" s="20" t="n">
        <v>997</v>
      </c>
      <c r="H174" s="20" t="n">
        <v>166</v>
      </c>
      <c r="I174" s="20" t="n">
        <v>888</v>
      </c>
      <c r="J174" s="20" t="n">
        <v>869</v>
      </c>
      <c r="K174" s="20" t="n">
        <v>940</v>
      </c>
      <c r="L174" s="20" t="n">
        <v>997</v>
      </c>
    </row>
    <row r="175">
      <c r="A175" s="18" t="inlineStr">
        <is>
          <t>비유동부채 합계</t>
        </is>
      </c>
      <c r="C175" s="20" t="n">
        <v>8747</v>
      </c>
      <c r="G175" s="20" t="n">
        <v>10654</v>
      </c>
      <c r="H175" s="20" t="n">
        <v>11835</v>
      </c>
      <c r="I175" s="20" t="n">
        <v>9486</v>
      </c>
      <c r="J175" s="20" t="n">
        <v>10177</v>
      </c>
      <c r="K175" s="20" t="n">
        <v>8747</v>
      </c>
      <c r="L175" s="20" t="n">
        <v>10654</v>
      </c>
    </row>
    <row r="176">
      <c r="A176" s="18" t="inlineStr">
        <is>
          <t>부채 합계</t>
        </is>
      </c>
      <c r="C176" s="20" t="n">
        <v>32280</v>
      </c>
      <c r="G176" s="20" t="n">
        <v>38506</v>
      </c>
      <c r="H176" s="20" t="n">
        <v>48012</v>
      </c>
      <c r="I176" s="20" t="n">
        <v>50654</v>
      </c>
      <c r="J176" s="20" t="n">
        <v>40314</v>
      </c>
      <c r="K176" s="20" t="n">
        <v>32280</v>
      </c>
      <c r="L176" s="20" t="n">
        <v>38506</v>
      </c>
    </row>
    <row r="177">
      <c r="A177" s="18" t="inlineStr">
        <is>
          <t>자본금</t>
        </is>
      </c>
      <c r="C177" s="20" t="n">
        <v>9926</v>
      </c>
      <c r="G177" s="20" t="n">
        <v>9926</v>
      </c>
      <c r="H177" s="20" t="n">
        <v>9926</v>
      </c>
      <c r="I177" s="20" t="n">
        <v>9926</v>
      </c>
      <c r="J177" s="20" t="n">
        <v>9926</v>
      </c>
      <c r="K177" s="20" t="n">
        <v>9926</v>
      </c>
      <c r="L177" s="20" t="n">
        <v>9926</v>
      </c>
    </row>
    <row r="178">
      <c r="A178" s="18" t="inlineStr">
        <is>
          <t>자본잉여금</t>
        </is>
      </c>
      <c r="C178" s="20" t="n">
        <v>11518</v>
      </c>
      <c r="G178" s="20" t="n">
        <v>11554</v>
      </c>
      <c r="H178" s="20" t="n">
        <v>11460</v>
      </c>
      <c r="I178" s="20" t="n">
        <v>11467</v>
      </c>
      <c r="J178" s="20" t="n">
        <v>11494</v>
      </c>
      <c r="K178" s="20" t="n">
        <v>11518</v>
      </c>
      <c r="L178" s="20" t="n">
        <v>11554</v>
      </c>
    </row>
    <row r="179">
      <c r="A179" s="18" t="inlineStr">
        <is>
          <t>이익잉여금</t>
        </is>
      </c>
      <c r="C179" s="20" t="n">
        <v>84726</v>
      </c>
      <c r="G179" s="20" t="n">
        <v>93698</v>
      </c>
      <c r="H179" s="20" t="n">
        <v>57198</v>
      </c>
      <c r="I179" s="20" t="n">
        <v>67631</v>
      </c>
      <c r="J179" s="20" t="n">
        <v>79373</v>
      </c>
      <c r="K179" s="20" t="n">
        <v>84726</v>
      </c>
      <c r="L179" s="20" t="n">
        <v>93698</v>
      </c>
    </row>
    <row r="180">
      <c r="A180" s="18" t="inlineStr">
        <is>
          <t>자기주식</t>
        </is>
      </c>
      <c r="C180" s="20" t="n">
        <v>-3500</v>
      </c>
      <c r="G180" s="20" t="n">
        <v>-4442</v>
      </c>
      <c r="H180" s="20" t="n">
        <v>-2426</v>
      </c>
      <c r="I180" s="20" t="n">
        <v>-2395</v>
      </c>
      <c r="J180" s="20" t="n">
        <v>-3518</v>
      </c>
      <c r="K180" s="20" t="n">
        <v>-3500</v>
      </c>
      <c r="L180" s="20" t="n">
        <v>-4442</v>
      </c>
    </row>
    <row r="181">
      <c r="A181" s="18" t="inlineStr">
        <is>
          <t>기타자본구성요소</t>
        </is>
      </c>
      <c r="C181" s="20" t="n">
        <v>10674</v>
      </c>
      <c r="G181" s="20" t="n">
        <v>17122</v>
      </c>
      <c r="H181" s="20" t="n">
        <v>4485</v>
      </c>
      <c r="I181" s="20" t="n">
        <v>6575</v>
      </c>
      <c r="J181" s="20" t="n">
        <v>13082</v>
      </c>
      <c r="K181" s="20" t="n">
        <v>10674</v>
      </c>
      <c r="L181" s="20" t="n">
        <v>17122</v>
      </c>
    </row>
    <row r="182">
      <c r="A182" s="18" t="inlineStr">
        <is>
          <t>지배기업 소유주 귀속 지분 합계</t>
        </is>
      </c>
      <c r="C182" s="20" t="n">
        <v>113347</v>
      </c>
      <c r="G182" s="20" t="n">
        <v>127860</v>
      </c>
      <c r="H182" s="20" t="n">
        <v>80645</v>
      </c>
      <c r="I182" s="20" t="n">
        <v>93205</v>
      </c>
      <c r="J182" s="20" t="n">
        <v>110358</v>
      </c>
      <c r="K182" s="20" t="n">
        <v>113347</v>
      </c>
      <c r="L182" s="20" t="n">
        <v>127860</v>
      </c>
    </row>
    <row r="183">
      <c r="A183" s="18" t="inlineStr">
        <is>
          <t>비지배지분</t>
        </is>
      </c>
      <c r="C183" s="20" t="n">
        <v>0</v>
      </c>
      <c r="G183" s="20" t="n">
        <v>0</v>
      </c>
      <c r="H183" s="20" t="n">
        <v>9</v>
      </c>
      <c r="I183" s="20" t="n">
        <v>11</v>
      </c>
      <c r="J183" s="20" t="n">
        <v>14</v>
      </c>
      <c r="K183" s="20" t="n">
        <v>0</v>
      </c>
      <c r="L183" s="20" t="n">
        <v>0</v>
      </c>
    </row>
    <row r="184">
      <c r="A184" s="18" t="inlineStr">
        <is>
          <t>자본 합계</t>
        </is>
      </c>
      <c r="C184" s="20" t="n">
        <v>113347</v>
      </c>
      <c r="G184" s="20" t="n">
        <v>127861</v>
      </c>
      <c r="H184" s="20" t="n">
        <v>80655</v>
      </c>
      <c r="I184" s="20" t="n">
        <v>93217</v>
      </c>
      <c r="J184" s="20" t="n">
        <v>110373</v>
      </c>
      <c r="K184" s="20" t="n">
        <v>113347</v>
      </c>
      <c r="L184" s="20" t="n">
        <v>127861</v>
      </c>
    </row>
    <row r="185">
      <c r="A185" s="18" t="inlineStr">
        <is>
          <t>부채및자본 합계</t>
        </is>
      </c>
      <c r="C185" s="20" t="n">
        <v>145628</v>
      </c>
      <c r="G185" s="20" t="n">
        <v>166367</v>
      </c>
      <c r="H185" s="20" t="n">
        <v>128667</v>
      </c>
      <c r="I185" s="20" t="n">
        <v>143871</v>
      </c>
      <c r="J185" s="20" t="n">
        <v>150688</v>
      </c>
      <c r="K185" s="20" t="n">
        <v>145628</v>
      </c>
      <c r="L185" s="20" t="n">
        <v>166367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49" t="inlineStr">
        <is>
          <t>출처 · 쓴 결산단신</t>
        </is>
      </c>
    </row>
    <row r="3">
      <c r="A3" s="50" t="inlineStr">
        <is>
          <t>공시일</t>
        </is>
      </c>
      <c r="B3" s="50" t="inlineStr">
        <is>
          <t>문서</t>
        </is>
      </c>
      <c r="C3" s="50" t="inlineStr">
        <is>
          <t>PDF</t>
        </is>
      </c>
    </row>
    <row r="4">
      <c r="A4" t="inlineStr">
        <is>
          <t>2026-04-27</t>
        </is>
      </c>
      <c r="B4" t="inlineStr">
        <is>
          <t>2026년 3월 결산기 연간 결산단신</t>
        </is>
      </c>
      <c r="C4" t="inlineStr">
        <is>
          <t>https://www2.jpx.co.jp/disc/65160/140120260424509870.pdf</t>
        </is>
      </c>
    </row>
    <row r="5">
      <c r="A5" t="inlineStr">
        <is>
          <t>2025-04-25</t>
        </is>
      </c>
      <c r="B5" t="inlineStr">
        <is>
          <t>2025년 3월 결산기 연간 결산단신</t>
        </is>
      </c>
      <c r="C5" t="inlineStr">
        <is>
          <t>https://www2.jpx.co.jp/disc/65160/140120250424522005.pdf</t>
        </is>
      </c>
    </row>
    <row r="6">
      <c r="A6" t="inlineStr">
        <is>
          <t>2024-04-25</t>
        </is>
      </c>
      <c r="B6" t="inlineStr">
        <is>
          <t>2024년 3월 결산기 연간 결산단신</t>
        </is>
      </c>
      <c r="C6" t="inlineStr">
        <is>
          <t>https://www2.jpx.co.jp/disc/65160/140120240424575220.pdf</t>
        </is>
      </c>
    </row>
    <row r="7">
      <c r="A7" t="inlineStr">
        <is>
          <t>2023-04-27</t>
        </is>
      </c>
      <c r="B7" t="inlineStr">
        <is>
          <t>2023년 3월 결산기 연간 결산단신</t>
        </is>
      </c>
      <c r="C7" t="inlineStr">
        <is>
          <t>https://www2.jpx.co.jp/disc/65160/140120230426553592.pdf</t>
        </is>
      </c>
    </row>
    <row r="8">
      <c r="A8" t="inlineStr">
        <is>
          <t>2022-04-27</t>
        </is>
      </c>
      <c r="B8" t="inlineStr">
        <is>
          <t>2022년 3월 결산기 연간 결산단신</t>
        </is>
      </c>
      <c r="C8" t="inlineStr">
        <is>
          <t>https://www2.jpx.co.jp/disc/65160/140120220426527664.pdf</t>
        </is>
      </c>
    </row>
    <row r="9">
      <c r="A9" t="inlineStr">
        <is>
          <t>2021-04-27</t>
        </is>
      </c>
      <c r="B9" t="inlineStr">
        <is>
          <t>2021년 3월 결산기 연간 결산단신</t>
        </is>
      </c>
      <c r="C9" t="inlineStr">
        <is>
          <t>https://www2.jpx.co.jp/disc/65160/140120210426400190.pdf</t>
        </is>
      </c>
    </row>
    <row r="10">
      <c r="A10" t="inlineStr">
        <is>
          <t>2020-05-11</t>
        </is>
      </c>
      <c r="B10" t="inlineStr">
        <is>
          <t>2020년 3월 결산기 연간 결산단신</t>
        </is>
      </c>
      <c r="C10" t="inlineStr">
        <is>
          <t>https://www2.jpx.co.jp/disc/65160/140120200511407852.pdf</t>
        </is>
      </c>
    </row>
    <row r="11">
      <c r="A11" t="inlineStr">
        <is>
          <t>2019-04-25</t>
        </is>
      </c>
      <c r="B11" t="inlineStr">
        <is>
          <t>2019년 3월 결산기 연간 결산단신</t>
        </is>
      </c>
      <c r="C11" t="inlineStr">
        <is>
          <t>https://www2.jpx.co.jp/disc/65160/140120190424409940.pdf</t>
        </is>
      </c>
    </row>
    <row r="12">
      <c r="A12" t="inlineStr">
        <is>
          <t>2018-04-26</t>
        </is>
      </c>
      <c r="B12" t="inlineStr">
        <is>
          <t>2018년 3월 결산기 연간 결산단신</t>
        </is>
      </c>
      <c r="C12" t="inlineStr">
        <is>
          <t>https://www2.jpx.co.jp/disc/65160/140120180426420657.pdf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2026-10-25T13:18:13Z</dcterms:created>
  <dcterms:modified xmlns:dcterms="http://purl.org/dc/terms/" xmlns:xsi="http://www.w3.org/2001/XMLSchema-instance" xsi:type="dcterms:W3CDTF">2026-10-25T13:18:13Z</dcterms:modified>
</cp:coreProperties>
</file>