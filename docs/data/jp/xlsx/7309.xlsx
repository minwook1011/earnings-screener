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</numFmts>
  <fonts count="21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0" borderId="0" pivotButton="0" quotePrefix="0" xfId="0"/>
    <xf numFmtId="0" fontId="17" fillId="6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9" fillId="0" borderId="0" pivotButton="0" quotePrefix="0" xfId="0"/>
    <xf numFmtId="169" fontId="19" fillId="0" borderId="0" applyAlignment="1" pivotButton="0" quotePrefix="0" xfId="0">
      <alignment horizontal="center" vertical="center"/>
    </xf>
    <xf numFmtId="0" fontId="20" fillId="0" borderId="0" pivotButton="0" quotePrefix="0" xfId="0"/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8" fillId="7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5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시마노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12월 결산 · 일본 기준 · 2026.3Q = 2026년 12월 결산기 3분기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2023.4Q</t>
        </is>
      </c>
      <c r="D3" s="5" t="inlineStr">
        <is>
          <t>2024.1Q</t>
        </is>
      </c>
      <c r="E3" s="5" t="inlineStr">
        <is>
          <t>2024.2Q</t>
        </is>
      </c>
      <c r="F3" s="5" t="inlineStr">
        <is>
          <t>2024.3Q</t>
        </is>
      </c>
      <c r="G3" s="5" t="inlineStr">
        <is>
          <t>2024.4Q</t>
        </is>
      </c>
      <c r="H3" s="5" t="inlineStr">
        <is>
          <t>2025.1Q</t>
        </is>
      </c>
      <c r="I3" s="5" t="inlineStr">
        <is>
          <t>2025.2Q</t>
        </is>
      </c>
      <c r="J3" s="5" t="inlineStr">
        <is>
          <t>2025.3Q</t>
        </is>
      </c>
      <c r="K3" s="5" t="inlineStr">
        <is>
          <t>2025.4Q</t>
        </is>
      </c>
      <c r="L3" s="5" t="inlineStr">
        <is>
          <t>2026.1Q</t>
        </is>
      </c>
      <c r="M3" s="5" t="inlineStr">
        <is>
          <t>2026.2Q</t>
        </is>
      </c>
      <c r="N3" s="5" t="inlineStr">
        <is>
          <t>2026.3Q</t>
        </is>
      </c>
      <c r="O3" s="6" t="inlineStr">
        <is>
          <t>2016</t>
        </is>
      </c>
      <c r="P3" s="5" t="inlineStr">
        <is>
          <t>2017</t>
        </is>
      </c>
      <c r="Q3" s="5" t="inlineStr">
        <is>
          <t>2018</t>
        </is>
      </c>
      <c r="R3" s="5" t="inlineStr">
        <is>
          <t>2019</t>
        </is>
      </c>
      <c r="S3" s="5" t="inlineStr">
        <is>
          <t>2020</t>
        </is>
      </c>
      <c r="T3" s="5" t="inlineStr">
        <is>
          <t>2021</t>
        </is>
      </c>
      <c r="U3" s="5" t="inlineStr">
        <is>
          <t>2022</t>
        </is>
      </c>
      <c r="V3" s="5" t="inlineStr">
        <is>
          <t>2023</t>
        </is>
      </c>
      <c r="W3" s="5" t="inlineStr">
        <is>
          <t>2024</t>
        </is>
      </c>
      <c r="X3" s="5" t="inlineStr">
        <is>
          <t>2025</t>
        </is>
      </c>
      <c r="Y3" s="7" t="inlineStr">
        <is>
          <t>2026(MW)</t>
        </is>
      </c>
      <c r="Z3" s="8" t="inlineStr">
        <is>
          <t>2027(MW)</t>
        </is>
      </c>
      <c r="AA3" s="8" t="inlineStr">
        <is>
          <t>2028(MW)</t>
        </is>
      </c>
      <c r="AB3" s="8" t="inlineStr">
        <is>
          <t>2029(MW)</t>
        </is>
      </c>
      <c r="AC3" s="8" t="inlineStr">
        <is>
          <t>2030(MW)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99098</v>
      </c>
      <c r="D4" s="12" t="n">
        <v>100557</v>
      </c>
      <c r="E4" s="12" t="n">
        <v>116330</v>
      </c>
      <c r="F4" s="12" t="n">
        <v>117992</v>
      </c>
      <c r="G4" s="12" t="n">
        <v>116114</v>
      </c>
      <c r="H4" s="12" t="n">
        <v>113539</v>
      </c>
      <c r="I4" s="12" t="n">
        <v>123870</v>
      </c>
      <c r="J4" s="12" t="n">
        <v>113611</v>
      </c>
      <c r="K4" s="12" t="n">
        <v>115223</v>
      </c>
      <c r="L4" s="12" t="n">
        <v>117644</v>
      </c>
      <c r="M4" s="12" t="n">
        <v>129415</v>
      </c>
      <c r="N4" s="12" t="n">
        <v>128189</v>
      </c>
      <c r="O4" s="11" t="n">
        <v>322998</v>
      </c>
      <c r="P4" s="12" t="n">
        <v>335800</v>
      </c>
      <c r="Q4" s="12" t="n">
        <v>348035</v>
      </c>
      <c r="R4" s="12" t="n">
        <v>363230</v>
      </c>
      <c r="S4" s="12" t="n">
        <v>378040</v>
      </c>
      <c r="T4" s="12" t="n">
        <v>546515</v>
      </c>
      <c r="U4" s="12" t="n">
        <v>628909</v>
      </c>
      <c r="V4" s="12" t="n">
        <v>474362</v>
      </c>
      <c r="W4" s="12" t="n">
        <v>450993</v>
      </c>
      <c r="X4" s="12" t="n">
        <v>466243</v>
      </c>
      <c r="Y4" s="11">
        <f>IF(COUNT(Y7,Y10,Y13,Y16,Y19,Y22)=0,"",SUM(Y7,Y10,Y13,Y16,Y19,Y22))</f>
        <v/>
      </c>
      <c r="Z4" s="12">
        <f>IF(COUNT(Z7,Z10,Z13,Z16,Z19,Z22)=0,"",SUM(Z7,Z10,Z13,Z16,Z19,Z22))</f>
        <v/>
      </c>
      <c r="AA4" s="12">
        <f>IF(COUNT(AA7,AA10,AA13,AA16,AA19,AA22)=0,"",SUM(AA7,AA10,AA13,AA16,AA19,AA22))</f>
        <v/>
      </c>
      <c r="AB4" s="12">
        <f>IF(COUNT(AB7,AB10,AB13,AB16,AB19,AB22)=0,"",SUM(AB7,AB10,AB13,AB16,AB19,AB22))</f>
        <v/>
      </c>
      <c r="AC4" s="12">
        <f>IF(COUNT(AC7,AC10,AC13,AC16,AC19,AC22)=0,"",SUM(AC7,AC10,AC13,AC16,AC19,AC22))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BicycleComponentsReportableSegmentMember</t>
        </is>
      </c>
      <c r="B7" s="10" t="n"/>
      <c r="C7" s="19" t="n">
        <v>75236</v>
      </c>
      <c r="D7" s="20" t="n">
        <v>76090</v>
      </c>
      <c r="E7" s="20" t="n"/>
      <c r="F7" s="20" t="n"/>
      <c r="G7" s="20" t="n">
        <v>91692</v>
      </c>
      <c r="H7" s="20" t="n">
        <v>87972</v>
      </c>
      <c r="I7" s="20" t="n"/>
      <c r="J7" s="20" t="n"/>
      <c r="K7" s="20" t="n">
        <v>88729</v>
      </c>
      <c r="L7" s="20" t="n">
        <v>87361</v>
      </c>
      <c r="M7" s="20" t="n"/>
      <c r="N7" s="20" t="n"/>
      <c r="O7" s="19" t="n"/>
      <c r="P7" s="20" t="n"/>
      <c r="Q7" s="20" t="n"/>
      <c r="R7" s="20" t="n"/>
      <c r="S7" s="20" t="n"/>
      <c r="T7" s="20" t="n"/>
      <c r="U7" s="20" t="n"/>
      <c r="V7" s="20" t="n">
        <v>364679</v>
      </c>
      <c r="W7" s="20" t="n">
        <v>345553</v>
      </c>
      <c r="X7" s="20" t="n">
        <v>354972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FishingTackleReportableSegmentMember</t>
        </is>
      </c>
      <c r="B10" s="10" t="n"/>
      <c r="C10" s="19" t="n">
        <v>23753</v>
      </c>
      <c r="D10" s="20" t="n">
        <v>24369</v>
      </c>
      <c r="E10" s="20" t="n"/>
      <c r="F10" s="20" t="n"/>
      <c r="G10" s="20" t="n">
        <v>24300</v>
      </c>
      <c r="H10" s="20" t="n">
        <v>25468</v>
      </c>
      <c r="I10" s="20" t="n"/>
      <c r="J10" s="20" t="n"/>
      <c r="K10" s="20" t="n">
        <v>26397</v>
      </c>
      <c r="L10" s="20" t="n">
        <v>30175</v>
      </c>
      <c r="M10" s="20" t="n"/>
      <c r="N10" s="20" t="n"/>
      <c r="O10" s="19" t="n"/>
      <c r="P10" s="20" t="n"/>
      <c r="Q10" s="20" t="n"/>
      <c r="R10" s="20" t="n"/>
      <c r="S10" s="20" t="n"/>
      <c r="T10" s="20" t="n"/>
      <c r="U10" s="20" t="n"/>
      <c r="V10" s="20" t="n">
        <v>109225</v>
      </c>
      <c r="W10" s="20" t="n">
        <v>104990</v>
      </c>
      <c r="X10" s="20" t="n">
        <v>110832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OtherReportableSegmentsMember</t>
        </is>
      </c>
      <c r="B13" s="10" t="n"/>
      <c r="C13" s="19" t="n">
        <v>109</v>
      </c>
      <c r="D13" s="20" t="n">
        <v>97</v>
      </c>
      <c r="E13" s="20" t="n">
        <v>125</v>
      </c>
      <c r="F13" s="20" t="n">
        <v>105</v>
      </c>
      <c r="G13" s="20" t="n">
        <v>122</v>
      </c>
      <c r="H13" s="20" t="n">
        <v>98</v>
      </c>
      <c r="I13" s="20" t="n">
        <v>135</v>
      </c>
      <c r="J13" s="20" t="n">
        <v>109</v>
      </c>
      <c r="K13" s="20" t="n">
        <v>97</v>
      </c>
      <c r="L13" s="20" t="n">
        <v>108</v>
      </c>
      <c r="M13" s="20" t="n">
        <v>105</v>
      </c>
      <c r="N13" s="20" t="n">
        <v>101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457</v>
      </c>
      <c r="W13" s="20" t="n">
        <v>449</v>
      </c>
      <c r="X13" s="20" t="n">
        <v>439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EntityTotalMember</t>
        </is>
      </c>
      <c r="B16" s="10" t="n"/>
      <c r="C16" s="19" t="n"/>
      <c r="D16" s="20" t="n"/>
      <c r="E16" s="20" t="n"/>
      <c r="F16" s="20" t="n"/>
      <c r="G16" s="20" t="n"/>
      <c r="H16" s="20" t="n">
        <v>113539</v>
      </c>
      <c r="I16" s="20" t="n"/>
      <c r="J16" s="20" t="n"/>
      <c r="K16" s="20" t="n"/>
      <c r="L16" s="20" t="n">
        <v>117644</v>
      </c>
      <c r="M16" s="20" t="n"/>
      <c r="N16" s="20" t="n"/>
      <c r="O16" s="19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BicycleComponentsReportableSegmentsMember</t>
        </is>
      </c>
      <c r="B19" s="10" t="n"/>
      <c r="C19" s="19" t="n"/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19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8" t="inlineStr">
        <is>
          <t>FishingTackleReportableSegmentsMember</t>
        </is>
      </c>
      <c r="B22" s="10" t="n"/>
      <c r="C22" s="19" t="n"/>
      <c r="D22" s="20" t="n"/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19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1" t="n"/>
      <c r="Z22" s="22" t="n"/>
      <c r="AA22" s="22" t="n"/>
      <c r="AB22" s="22" t="n"/>
      <c r="AC22" s="22" t="n"/>
    </row>
    <row r="23">
      <c r="A23" s="13" t="inlineStr">
        <is>
          <t>비중</t>
        </is>
      </c>
      <c r="B23" s="10" t="n"/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14">
        <f>IF(OR(Y22="",Y4=""),"",IFERROR(Y22/Y4,""))</f>
        <v/>
      </c>
      <c r="Z23" s="15">
        <f>IF(OR(Z22="",Z4=""),"",IFERROR(Z22/Z4,""))</f>
        <v/>
      </c>
      <c r="AA23" s="15">
        <f>IF(OR(AA22="",AA4=""),"",IFERROR(AA22/AA4,""))</f>
        <v/>
      </c>
      <c r="AB23" s="15">
        <f>IF(OR(AB22="",AB4=""),"",IFERROR(AB22/AB4,""))</f>
        <v/>
      </c>
      <c r="AC23" s="15">
        <f>IF(OR(AC22="",AC4=""),"",IFERROR(AC22/AC4,""))</f>
        <v/>
      </c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6" t="inlineStr">
        <is>
          <t>매출원가</t>
        </is>
      </c>
      <c r="B25" s="16" t="n"/>
      <c r="C25" s="17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7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7" t="n"/>
      <c r="Z25" s="16" t="n"/>
      <c r="AA25" s="16" t="n"/>
      <c r="AB25" s="16" t="n"/>
      <c r="AC25" s="16" t="n"/>
    </row>
    <row r="26">
      <c r="A26" s="18" t="inlineStr">
        <is>
          <t>전체 매출원가</t>
        </is>
      </c>
      <c r="B26" s="10" t="n"/>
      <c r="C26" s="19" t="n">
        <v>63160</v>
      </c>
      <c r="D26" s="20" t="n">
        <v>61513</v>
      </c>
      <c r="E26" s="20" t="n">
        <v>71436</v>
      </c>
      <c r="F26" s="20" t="n">
        <v>71453</v>
      </c>
      <c r="G26" s="20" t="n">
        <v>74288</v>
      </c>
      <c r="H26" s="20" t="n">
        <v>68442</v>
      </c>
      <c r="I26" s="20" t="n">
        <v>82330</v>
      </c>
      <c r="J26" s="20" t="n">
        <v>75449</v>
      </c>
      <c r="K26" s="20" t="n">
        <v>73406</v>
      </c>
      <c r="L26" s="20" t="n">
        <v>75787</v>
      </c>
      <c r="M26" s="20" t="n">
        <v>82724</v>
      </c>
      <c r="N26" s="20" t="n">
        <v>82069</v>
      </c>
      <c r="O26" s="19" t="n">
        <v>191461</v>
      </c>
      <c r="P26" s="20" t="n">
        <v>198344</v>
      </c>
      <c r="Q26" s="20" t="n">
        <v>211463</v>
      </c>
      <c r="R26" s="20" t="n">
        <v>222638</v>
      </c>
      <c r="S26" s="20" t="n">
        <v>224956</v>
      </c>
      <c r="T26" s="20" t="n">
        <v>315097</v>
      </c>
      <c r="U26" s="20" t="n">
        <v>363264</v>
      </c>
      <c r="V26" s="20" t="n">
        <v>291847</v>
      </c>
      <c r="W26" s="20" t="n">
        <v>278690</v>
      </c>
      <c r="X26" s="20" t="n">
        <v>299627</v>
      </c>
      <c r="Y26" s="19" t="n"/>
      <c r="Z26" s="20" t="n"/>
      <c r="AA26" s="20" t="n"/>
      <c r="AB26" s="20" t="n"/>
      <c r="AC26" s="20" t="n"/>
    </row>
    <row r="27">
      <c r="A27" s="18" t="inlineStr">
        <is>
          <t>매출총이익</t>
        </is>
      </c>
      <c r="B27" s="10" t="n"/>
      <c r="C27" s="19">
        <f>IF(OR(C4="",C26=""),"",IFERROR(C4-C26,""))</f>
        <v/>
      </c>
      <c r="D27" s="20">
        <f>IF(OR(D4="",D26=""),"",IFERROR(D4-D26,""))</f>
        <v/>
      </c>
      <c r="E27" s="20">
        <f>IF(OR(E4="",E26=""),"",IFERROR(E4-E26,""))</f>
        <v/>
      </c>
      <c r="F27" s="20">
        <f>IF(OR(F4="",F26=""),"",IFERROR(F4-F26,""))</f>
        <v/>
      </c>
      <c r="G27" s="20">
        <f>IF(OR(G4="",G26=""),"",IFERROR(G4-G26,""))</f>
        <v/>
      </c>
      <c r="H27" s="20">
        <f>IF(OR(H4="",H26=""),"",IFERROR(H4-H26,""))</f>
        <v/>
      </c>
      <c r="I27" s="20">
        <f>IF(OR(I4="",I26=""),"",IFERROR(I4-I26,""))</f>
        <v/>
      </c>
      <c r="J27" s="20">
        <f>IF(OR(J4="",J26=""),"",IFERROR(J4-J26,""))</f>
        <v/>
      </c>
      <c r="K27" s="20">
        <f>IF(OR(K4="",K26=""),"",IFERROR(K4-K26,""))</f>
        <v/>
      </c>
      <c r="L27" s="20">
        <f>IF(OR(L4="",L26=""),"",IFERROR(L4-L26,""))</f>
        <v/>
      </c>
      <c r="M27" s="20">
        <f>IF(OR(M4="",M26=""),"",IFERROR(M4-M26,""))</f>
        <v/>
      </c>
      <c r="N27" s="20">
        <f>IF(OR(N4="",N26=""),"",IFERROR(N4-N26,""))</f>
        <v/>
      </c>
      <c r="O27" s="19">
        <f>IF(OR(O4="",O26=""),"",IFERROR(O4-O26,""))</f>
        <v/>
      </c>
      <c r="P27" s="20">
        <f>IF(OR(P4="",P26=""),"",IFERROR(P4-P26,""))</f>
        <v/>
      </c>
      <c r="Q27" s="20">
        <f>IF(OR(Q4="",Q26=""),"",IFERROR(Q4-Q26,""))</f>
        <v/>
      </c>
      <c r="R27" s="20">
        <f>IF(OR(R4="",R26=""),"",IFERROR(R4-R26,""))</f>
        <v/>
      </c>
      <c r="S27" s="20">
        <f>IF(OR(S4="",S26=""),"",IFERROR(S4-S26,""))</f>
        <v/>
      </c>
      <c r="T27" s="20">
        <f>IF(OR(T4="",T26=""),"",IFERROR(T4-T26,""))</f>
        <v/>
      </c>
      <c r="U27" s="20">
        <f>IF(OR(U4="",U26=""),"",IFERROR(U4-U26,""))</f>
        <v/>
      </c>
      <c r="V27" s="20">
        <f>IF(OR(V4="",V26=""),"",IFERROR(V4-V26,""))</f>
        <v/>
      </c>
      <c r="W27" s="20">
        <f>IF(OR(W4="",W26=""),"",IFERROR(W4-W26,""))</f>
        <v/>
      </c>
      <c r="X27" s="20">
        <f>IF(OR(X4="",X26=""),"",IFERROR(X4-X26,""))</f>
        <v/>
      </c>
      <c r="Y27" s="19" t="n"/>
      <c r="Z27" s="20" t="n"/>
      <c r="AA27" s="20" t="n"/>
      <c r="AB27" s="20" t="n"/>
      <c r="AC27" s="20" t="n"/>
    </row>
    <row r="28">
      <c r="A28" s="13" t="inlineStr">
        <is>
          <t>GPM</t>
        </is>
      </c>
      <c r="B28" s="10" t="n"/>
      <c r="C28" s="14">
        <f>IF(OR(C27="",C4=""),"",IFERROR(C27/C4,""))</f>
        <v/>
      </c>
      <c r="D28" s="15">
        <f>IF(OR(D27="",D4=""),"",IFERROR(D27/D4,""))</f>
        <v/>
      </c>
      <c r="E28" s="15">
        <f>IF(OR(E27="",E4=""),"",IFERROR(E27/E4,""))</f>
        <v/>
      </c>
      <c r="F28" s="15">
        <f>IF(OR(F27="",F4=""),"",IFERROR(F27/F4,""))</f>
        <v/>
      </c>
      <c r="G28" s="15">
        <f>IF(OR(G27="",G4=""),"",IFERROR(G27/G4,""))</f>
        <v/>
      </c>
      <c r="H28" s="15">
        <f>IF(OR(H27="",H4=""),"",IFERROR(H27/H4,""))</f>
        <v/>
      </c>
      <c r="I28" s="15">
        <f>IF(OR(I27="",I4=""),"",IFERROR(I27/I4,""))</f>
        <v/>
      </c>
      <c r="J28" s="15">
        <f>IF(OR(J27="",J4=""),"",IFERROR(J27/J4,""))</f>
        <v/>
      </c>
      <c r="K28" s="15">
        <f>IF(OR(K27="",K4=""),"",IFERROR(K27/K4,""))</f>
        <v/>
      </c>
      <c r="L28" s="15">
        <f>IF(OR(L27="",L4=""),"",IFERROR(L27/L4,""))</f>
        <v/>
      </c>
      <c r="M28" s="15">
        <f>IF(OR(M27="",M4=""),"",IFERROR(M27/M4,""))</f>
        <v/>
      </c>
      <c r="N28" s="15">
        <f>IF(OR(N27="",N4=""),"",IFERROR(N27/N4,""))</f>
        <v/>
      </c>
      <c r="O28" s="14">
        <f>IF(OR(O27="",O4=""),"",IFERROR(O27/O4,""))</f>
        <v/>
      </c>
      <c r="P28" s="15">
        <f>IF(OR(P27="",P4=""),"",IFERROR(P27/P4,""))</f>
        <v/>
      </c>
      <c r="Q28" s="15">
        <f>IF(OR(Q27="",Q4=""),"",IFERROR(Q27/Q4,""))</f>
        <v/>
      </c>
      <c r="R28" s="15">
        <f>IF(OR(R27="",R4=""),"",IFERROR(R27/R4,""))</f>
        <v/>
      </c>
      <c r="S28" s="15">
        <f>IF(OR(S27="",S4=""),"",IFERROR(S27/S4,""))</f>
        <v/>
      </c>
      <c r="T28" s="15">
        <f>IF(OR(T27="",T4=""),"",IFERROR(T27/T4,""))</f>
        <v/>
      </c>
      <c r="U28" s="15">
        <f>IF(OR(U27="",U4=""),"",IFERROR(U27/U4,""))</f>
        <v/>
      </c>
      <c r="V28" s="15">
        <f>IF(OR(V27="",V4=""),"",IFERROR(V27/V4,""))</f>
        <v/>
      </c>
      <c r="W28" s="15">
        <f>IF(OR(W27="",W4=""),"",IFERROR(W27/W4,""))</f>
        <v/>
      </c>
      <c r="X28" s="15">
        <f>IF(OR(X27="",X4=""),"",IFERROR(X27/X4,""))</f>
        <v/>
      </c>
      <c r="Y28" s="14">
        <f>IF(OR(Y27="",Y4=""),"",IFERROR(Y27/Y4,""))</f>
        <v/>
      </c>
      <c r="Z28" s="15">
        <f>IF(OR(Z27="",Z4=""),"",IFERROR(Z27/Z4,""))</f>
        <v/>
      </c>
      <c r="AA28" s="15">
        <f>IF(OR(AA27="",AA4=""),"",IFERROR(AA27/AA4,""))</f>
        <v/>
      </c>
      <c r="AB28" s="15">
        <f>IF(OR(AB27="",AB4=""),"",IFERROR(AB27/AB4,""))</f>
        <v/>
      </c>
      <c r="AC28" s="15">
        <f>IF(OR(AC27="",AC4=""),"",IFERROR(AC27/AC4,""))</f>
        <v/>
      </c>
    </row>
    <row r="29">
      <c r="A29" s="23" t="inlineStr">
        <is>
          <t>판매관리비</t>
        </is>
      </c>
      <c r="B29" s="23" t="n"/>
      <c r="C29" s="24" t="n"/>
      <c r="D29" s="23" t="n"/>
      <c r="E29" s="23" t="n"/>
      <c r="F29" s="23" t="n"/>
      <c r="G29" s="23" t="n"/>
      <c r="H29" s="23" t="n"/>
      <c r="I29" s="23" t="n"/>
      <c r="J29" s="23" t="n"/>
      <c r="K29" s="23" t="n"/>
      <c r="L29" s="23" t="n"/>
      <c r="M29" s="23" t="n"/>
      <c r="N29" s="23" t="n"/>
      <c r="O29" s="24" t="n"/>
      <c r="P29" s="23" t="n"/>
      <c r="Q29" s="23" t="n"/>
      <c r="R29" s="23" t="n"/>
      <c r="S29" s="23" t="n"/>
      <c r="T29" s="23" t="n"/>
      <c r="U29" s="23" t="n"/>
      <c r="V29" s="23" t="n"/>
      <c r="W29" s="23" t="n"/>
      <c r="X29" s="23" t="n"/>
      <c r="Y29" s="24" t="n"/>
      <c r="Z29" s="23" t="n"/>
      <c r="AA29" s="23" t="n"/>
      <c r="AB29" s="23" t="n"/>
      <c r="AC29" s="23" t="n"/>
    </row>
    <row r="30">
      <c r="A30" s="18" t="inlineStr">
        <is>
          <t>전체 판관비</t>
        </is>
      </c>
      <c r="B30" s="10" t="n"/>
      <c r="C30" s="19" t="n">
        <v>24372</v>
      </c>
      <c r="D30" s="20" t="n">
        <v>25623</v>
      </c>
      <c r="E30" s="20" t="n">
        <v>27358</v>
      </c>
      <c r="F30" s="20" t="n">
        <v>26844</v>
      </c>
      <c r="G30" s="20" t="n">
        <v>27392</v>
      </c>
      <c r="H30" s="20" t="n">
        <v>28955</v>
      </c>
      <c r="I30" s="20" t="n">
        <v>29558</v>
      </c>
      <c r="J30" s="20" t="n">
        <v>29720</v>
      </c>
      <c r="K30" s="20" t="n">
        <v>26705</v>
      </c>
      <c r="L30" s="20" t="n">
        <v>31456</v>
      </c>
      <c r="M30" s="20" t="n">
        <v>29841</v>
      </c>
      <c r="N30" s="20" t="n">
        <v>28838</v>
      </c>
      <c r="O30" s="19" t="n">
        <v>66991</v>
      </c>
      <c r="P30" s="20" t="n">
        <v>73105</v>
      </c>
      <c r="Q30" s="20" t="n">
        <v>70884</v>
      </c>
      <c r="R30" s="20" t="n">
        <v>72581</v>
      </c>
      <c r="S30" s="20" t="n">
        <v>70382</v>
      </c>
      <c r="T30" s="20" t="n">
        <v>83129</v>
      </c>
      <c r="U30" s="20" t="n">
        <v>96486</v>
      </c>
      <c r="V30" s="20" t="n">
        <v>98861</v>
      </c>
      <c r="W30" s="20" t="n">
        <v>107217</v>
      </c>
      <c r="X30" s="20" t="n">
        <v>114938</v>
      </c>
      <c r="Y30" s="19" t="n"/>
      <c r="Z30" s="20" t="n"/>
      <c r="AA30" s="20" t="n"/>
      <c r="AB30" s="20" t="n"/>
      <c r="AC30" s="20" t="n"/>
    </row>
    <row r="31">
      <c r="A31" s="9" t="inlineStr">
        <is>
          <t>영업이익</t>
        </is>
      </c>
      <c r="B31" s="10" t="inlineStr">
        <is>
          <t>MW = 매출 × OPM</t>
        </is>
      </c>
      <c r="C31" s="11" t="n">
        <v>11567</v>
      </c>
      <c r="D31" s="12" t="n">
        <v>13421</v>
      </c>
      <c r="E31" s="12" t="n">
        <v>17534</v>
      </c>
      <c r="F31" s="12" t="n">
        <v>19696</v>
      </c>
      <c r="G31" s="12" t="n">
        <v>14434</v>
      </c>
      <c r="H31" s="12" t="n">
        <v>16142</v>
      </c>
      <c r="I31" s="12" t="n">
        <v>11981</v>
      </c>
      <c r="J31" s="12" t="n">
        <v>8442</v>
      </c>
      <c r="K31" s="12" t="n">
        <v>15112</v>
      </c>
      <c r="L31" s="12" t="n">
        <v>10400</v>
      </c>
      <c r="M31" s="12" t="n">
        <v>16849</v>
      </c>
      <c r="N31" s="12" t="n">
        <v>17283</v>
      </c>
      <c r="O31" s="11" t="n">
        <v>64546</v>
      </c>
      <c r="P31" s="12" t="n">
        <v>64351</v>
      </c>
      <c r="Q31" s="12" t="n">
        <v>65687</v>
      </c>
      <c r="R31" s="12" t="n">
        <v>68010</v>
      </c>
      <c r="S31" s="12" t="n">
        <v>82701</v>
      </c>
      <c r="T31" s="12" t="n">
        <v>148287</v>
      </c>
      <c r="U31" s="12" t="n">
        <v>169158</v>
      </c>
      <c r="V31" s="12" t="n">
        <v>83653</v>
      </c>
      <c r="W31" s="12" t="n">
        <v>65085</v>
      </c>
      <c r="X31" s="12" t="n">
        <v>51677</v>
      </c>
      <c r="Y31" s="11">
        <f>IF(OR(Y4="",Y32=""),"",IFERROR(Y4*Y32,""))</f>
        <v/>
      </c>
      <c r="Z31" s="12">
        <f>IF(OR(Z4="",Z32=""),"",IFERROR(Z4*Z32,""))</f>
        <v/>
      </c>
      <c r="AA31" s="12">
        <f>IF(OR(AA4="",AA32=""),"",IFERROR(AA4*AA32,""))</f>
        <v/>
      </c>
      <c r="AB31" s="12">
        <f>IF(OR(AB4="",AB32=""),"",IFERROR(AB4*AB32,""))</f>
        <v/>
      </c>
      <c r="AC31" s="12">
        <f>IF(OR(AC4="",AC32=""),"",IFERROR(AC4*AC32,""))</f>
        <v/>
      </c>
    </row>
    <row r="32">
      <c r="A32" s="13" t="inlineStr">
        <is>
          <t>OPM</t>
        </is>
      </c>
      <c r="B32" s="10" t="inlineStr">
        <is>
          <t>MW 입력</t>
        </is>
      </c>
      <c r="C32" s="14">
        <f>IF(OR(C31="",C4=""),"",IFERROR(C31/C4,""))</f>
        <v/>
      </c>
      <c r="D32" s="15">
        <f>IF(OR(D31="",D4=""),"",IFERROR(D31/D4,""))</f>
        <v/>
      </c>
      <c r="E32" s="15">
        <f>IF(OR(E31="",E4=""),"",IFERROR(E31/E4,""))</f>
        <v/>
      </c>
      <c r="F32" s="15">
        <f>IF(OR(F31="",F4=""),"",IFERROR(F31/F4,""))</f>
        <v/>
      </c>
      <c r="G32" s="15">
        <f>IF(OR(G31="",G4=""),"",IFERROR(G31/G4,""))</f>
        <v/>
      </c>
      <c r="H32" s="15">
        <f>IF(OR(H31="",H4=""),"",IFERROR(H31/H4,""))</f>
        <v/>
      </c>
      <c r="I32" s="15">
        <f>IF(OR(I31="",I4=""),"",IFERROR(I31/I4,""))</f>
        <v/>
      </c>
      <c r="J32" s="15">
        <f>IF(OR(J31="",J4=""),"",IFERROR(J31/J4,""))</f>
        <v/>
      </c>
      <c r="K32" s="15">
        <f>IF(OR(K31="",K4=""),"",IFERROR(K31/K4,""))</f>
        <v/>
      </c>
      <c r="L32" s="15">
        <f>IF(OR(L31="",L4=""),"",IFERROR(L31/L4,""))</f>
        <v/>
      </c>
      <c r="M32" s="15">
        <f>IF(OR(M31="",M4=""),"",IFERROR(M31/M4,""))</f>
        <v/>
      </c>
      <c r="N32" s="15">
        <f>IF(OR(N31="",N4=""),"",IFERROR(N31/N4,""))</f>
        <v/>
      </c>
      <c r="O32" s="14">
        <f>IF(OR(O31="",O4=""),"",IFERROR(O31/O4,""))</f>
        <v/>
      </c>
      <c r="P32" s="15">
        <f>IF(OR(P31="",P4=""),"",IFERROR(P31/P4,""))</f>
        <v/>
      </c>
      <c r="Q32" s="15">
        <f>IF(OR(Q31="",Q4=""),"",IFERROR(Q31/Q4,""))</f>
        <v/>
      </c>
      <c r="R32" s="15">
        <f>IF(OR(R31="",R4=""),"",IFERROR(R31/R4,""))</f>
        <v/>
      </c>
      <c r="S32" s="15">
        <f>IF(OR(S31="",S4=""),"",IFERROR(S31/S4,""))</f>
        <v/>
      </c>
      <c r="T32" s="15">
        <f>IF(OR(T31="",T4=""),"",IFERROR(T31/T4,""))</f>
        <v/>
      </c>
      <c r="U32" s="15">
        <f>IF(OR(U31="",U4=""),"",IFERROR(U31/U4,""))</f>
        <v/>
      </c>
      <c r="V32" s="15">
        <f>IF(OR(V31="",V4=""),"",IFERROR(V31/V4,""))</f>
        <v/>
      </c>
      <c r="W32" s="15">
        <f>IF(OR(W31="",W4=""),"",IFERROR(W31/W4,""))</f>
        <v/>
      </c>
      <c r="X32" s="15">
        <f>IF(OR(X31="",X4=""),"",IFERROR(X31/X4,""))</f>
        <v/>
      </c>
      <c r="Y32" s="25" t="n"/>
      <c r="Z32" s="26" t="n"/>
      <c r="AA32" s="26" t="n"/>
      <c r="AB32" s="26" t="n"/>
      <c r="AC32" s="26" t="n"/>
    </row>
    <row r="33">
      <c r="A33" s="13" t="inlineStr">
        <is>
          <t>증가율</t>
        </is>
      </c>
      <c r="B33" s="10" t="n"/>
      <c r="C33" s="14" t="n"/>
      <c r="D33" s="15" t="n"/>
      <c r="E33" s="15" t="n"/>
      <c r="F33" s="15" t="n"/>
      <c r="G33" s="15">
        <f>IF(OR(G31="",C31=""),"",IFERROR(G31/C31-1,""))</f>
        <v/>
      </c>
      <c r="H33" s="15">
        <f>IF(OR(H31="",D31=""),"",IFERROR(H31/D31-1,""))</f>
        <v/>
      </c>
      <c r="I33" s="15">
        <f>IF(OR(I31="",E31=""),"",IFERROR(I31/E31-1,""))</f>
        <v/>
      </c>
      <c r="J33" s="15">
        <f>IF(OR(J31="",F31=""),"",IFERROR(J31/F31-1,""))</f>
        <v/>
      </c>
      <c r="K33" s="15">
        <f>IF(OR(K31="",G31=""),"",IFERROR(K31/G31-1,""))</f>
        <v/>
      </c>
      <c r="L33" s="15">
        <f>IF(OR(L31="",H31=""),"",IFERROR(L31/H31-1,""))</f>
        <v/>
      </c>
      <c r="M33" s="15">
        <f>IF(OR(M31="",I31=""),"",IFERROR(M31/I31-1,""))</f>
        <v/>
      </c>
      <c r="N33" s="15">
        <f>IF(OR(N31="",J31=""),"",IFERROR(N31/J31-1,""))</f>
        <v/>
      </c>
      <c r="O33" s="14" t="n"/>
      <c r="P33" s="15">
        <f>IF(OR(P31="",O31=""),"",IFERROR(P31/O31-1,""))</f>
        <v/>
      </c>
      <c r="Q33" s="15">
        <f>IF(OR(Q31="",P31=""),"",IFERROR(Q31/P31-1,""))</f>
        <v/>
      </c>
      <c r="R33" s="15">
        <f>IF(OR(R31="",Q31=""),"",IFERROR(R31/Q31-1,""))</f>
        <v/>
      </c>
      <c r="S33" s="15">
        <f>IF(OR(S31="",R31=""),"",IFERROR(S31/R31-1,""))</f>
        <v/>
      </c>
      <c r="T33" s="15">
        <f>IF(OR(T31="",S31=""),"",IFERROR(T31/S31-1,""))</f>
        <v/>
      </c>
      <c r="U33" s="15">
        <f>IF(OR(U31="",T31=""),"",IFERROR(U31/T31-1,""))</f>
        <v/>
      </c>
      <c r="V33" s="15">
        <f>IF(OR(V31="",U31=""),"",IFERROR(V31/U31-1,""))</f>
        <v/>
      </c>
      <c r="W33" s="15">
        <f>IF(OR(W31="",V31=""),"",IFERROR(W31/V31-1,""))</f>
        <v/>
      </c>
      <c r="X33" s="15">
        <f>IF(OR(X31="",W31=""),"",IFERROR(X31/W31-1,""))</f>
        <v/>
      </c>
      <c r="Y33" s="14">
        <f>IF(OR(Y31="",X31=""),"",IFERROR(Y31/X31-1,""))</f>
        <v/>
      </c>
      <c r="Z33" s="15">
        <f>IF(OR(Z31="",Y31=""),"",IFERROR(Z31/Y31-1,""))</f>
        <v/>
      </c>
      <c r="AA33" s="15">
        <f>IF(OR(AA31="",Z31=""),"",IFERROR(AA31/Z31-1,""))</f>
        <v/>
      </c>
      <c r="AB33" s="15">
        <f>IF(OR(AB31="",AA31=""),"",IFERROR(AB31/AA31-1,""))</f>
        <v/>
      </c>
      <c r="AC33" s="15">
        <f>IF(OR(AC31="",AB31=""),"",IFERROR(AC31/AB31-1,""))</f>
        <v/>
      </c>
    </row>
    <row r="34">
      <c r="A34" s="16" t="inlineStr">
        <is>
          <t>비용의 성격별 분류</t>
        </is>
      </c>
      <c r="B34" s="16" t="inlineStr">
        <is>
          <t>참고 데이터</t>
        </is>
      </c>
      <c r="C34" s="17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7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7" t="n"/>
      <c r="Z34" s="16" t="n"/>
      <c r="AA34" s="16" t="n"/>
      <c r="AB34" s="16" t="n"/>
      <c r="AC34" s="16" t="n"/>
    </row>
    <row r="35">
      <c r="A35" s="9" t="inlineStr">
        <is>
          <t>총 판관비</t>
        </is>
      </c>
      <c r="B35" s="10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1">
        <f>IF(O30="","",O30)</f>
        <v/>
      </c>
      <c r="P35" s="12">
        <f>IF(P30="","",P30)</f>
        <v/>
      </c>
      <c r="Q35" s="12">
        <f>IF(Q30="","",Q30)</f>
        <v/>
      </c>
      <c r="R35" s="12">
        <f>IF(R30="","",R30)</f>
        <v/>
      </c>
      <c r="S35" s="12">
        <f>IF(S30="","",S30)</f>
        <v/>
      </c>
      <c r="T35" s="12">
        <f>IF(T30="","",T30)</f>
        <v/>
      </c>
      <c r="U35" s="12">
        <f>IF(U30="","",U30)</f>
        <v/>
      </c>
      <c r="V35" s="12">
        <f>IF(V30="","",V30)</f>
        <v/>
      </c>
      <c r="W35" s="12">
        <f>IF(W30="","",W30)</f>
        <v/>
      </c>
      <c r="X35" s="12">
        <f>IF(X30="","",X30)</f>
        <v/>
      </c>
      <c r="Y35" s="11" t="n"/>
      <c r="Z35" s="12" t="n"/>
      <c r="AA35" s="12" t="n"/>
      <c r="AB35" s="12" t="n"/>
      <c r="AC35" s="12" t="n"/>
    </row>
    <row r="36">
      <c r="A36" s="18" t="inlineStr">
        <is>
          <t>급여</t>
        </is>
      </c>
      <c r="B36" s="10" t="inlineStr">
        <is>
          <t>고정비</t>
        </is>
      </c>
      <c r="C36" s="19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19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19" t="n"/>
      <c r="Z36" s="20" t="n"/>
      <c r="AA36" s="20" t="n"/>
      <c r="AB36" s="20" t="n"/>
      <c r="AC36" s="20" t="n"/>
    </row>
    <row r="37">
      <c r="A37" s="13" t="inlineStr">
        <is>
          <t>% of Sales</t>
        </is>
      </c>
      <c r="B37" s="10" t="n"/>
      <c r="C37" s="14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4">
        <f>IF(OR(O36="",O4=""),"",IFERROR(O36/O4,""))</f>
        <v/>
      </c>
      <c r="P37" s="15">
        <f>IF(OR(P36="",P4=""),"",IFERROR(P36/P4,""))</f>
        <v/>
      </c>
      <c r="Q37" s="15">
        <f>IF(OR(Q36="",Q4=""),"",IFERROR(Q36/Q4,""))</f>
        <v/>
      </c>
      <c r="R37" s="15">
        <f>IF(OR(R36="",R4=""),"",IFERROR(R36/R4,""))</f>
        <v/>
      </c>
      <c r="S37" s="15">
        <f>IF(OR(S36="",S4=""),"",IFERROR(S36/S4,""))</f>
        <v/>
      </c>
      <c r="T37" s="15">
        <f>IF(OR(T36="",T4=""),"",IFERROR(T36/T4,""))</f>
        <v/>
      </c>
      <c r="U37" s="15">
        <f>IF(OR(U36="",U4=""),"",IFERROR(U36/U4,""))</f>
        <v/>
      </c>
      <c r="V37" s="15">
        <f>IF(OR(V36="",V4=""),"",IFERROR(V36/V4,""))</f>
        <v/>
      </c>
      <c r="W37" s="15">
        <f>IF(OR(W36="",W4=""),"",IFERROR(W36/W4,""))</f>
        <v/>
      </c>
      <c r="X37" s="15">
        <f>IF(OR(X36="",X4=""),"",IFERROR(X36/X4,""))</f>
        <v/>
      </c>
      <c r="Y37" s="14" t="n"/>
      <c r="Z37" s="15" t="n"/>
      <c r="AA37" s="15" t="n"/>
      <c r="AB37" s="15" t="n"/>
      <c r="AC37" s="15" t="n"/>
    </row>
    <row r="38">
      <c r="A38" s="18" t="inlineStr">
        <is>
          <t>감가상각비</t>
        </is>
      </c>
      <c r="B38" s="10" t="inlineStr">
        <is>
          <t>고정비</t>
        </is>
      </c>
      <c r="C38" s="19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19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19" t="n"/>
      <c r="Z38" s="20" t="n"/>
      <c r="AA38" s="20" t="n"/>
      <c r="AB38" s="20" t="n"/>
      <c r="AC38" s="20" t="n"/>
    </row>
    <row r="39">
      <c r="A39" s="13" t="inlineStr">
        <is>
          <t>% of Sales</t>
        </is>
      </c>
      <c r="B39" s="10" t="n"/>
      <c r="C39" s="14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14" t="n"/>
      <c r="Z39" s="15" t="n"/>
      <c r="AA39" s="15" t="n"/>
      <c r="AB39" s="15" t="n"/>
      <c r="AC39" s="15" t="n"/>
    </row>
    <row r="40">
      <c r="A40" s="18" t="inlineStr">
        <is>
          <t>지급수수료</t>
        </is>
      </c>
      <c r="B40" s="10" t="inlineStr">
        <is>
          <t>고정비</t>
        </is>
      </c>
      <c r="C40" s="19" t="n"/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19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19" t="n"/>
      <c r="Z40" s="20" t="n"/>
      <c r="AA40" s="20" t="n"/>
      <c r="AB40" s="20" t="n"/>
      <c r="AC40" s="20" t="n"/>
    </row>
    <row r="41">
      <c r="A41" s="13" t="inlineStr">
        <is>
          <t>% of Sales</t>
        </is>
      </c>
      <c r="B41" s="10" t="n"/>
      <c r="C41" s="14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4">
        <f>IF(OR(O40="",O4=""),"",IFERROR(O40/O4,""))</f>
        <v/>
      </c>
      <c r="P41" s="15">
        <f>IF(OR(P40="",P4=""),"",IFERROR(P40/P4,""))</f>
        <v/>
      </c>
      <c r="Q41" s="15">
        <f>IF(OR(Q40="",Q4=""),"",IFERROR(Q40/Q4,""))</f>
        <v/>
      </c>
      <c r="R41" s="15">
        <f>IF(OR(R40="",R4=""),"",IFERROR(R40/R4,""))</f>
        <v/>
      </c>
      <c r="S41" s="15">
        <f>IF(OR(S40="",S4=""),"",IFERROR(S40/S4,""))</f>
        <v/>
      </c>
      <c r="T41" s="15">
        <f>IF(OR(T40="",T4=""),"",IFERROR(T40/T4,""))</f>
        <v/>
      </c>
      <c r="U41" s="15">
        <f>IF(OR(U40="",U4=""),"",IFERROR(U40/U4,""))</f>
        <v/>
      </c>
      <c r="V41" s="15">
        <f>IF(OR(V40="",V4=""),"",IFERROR(V40/V4,""))</f>
        <v/>
      </c>
      <c r="W41" s="15">
        <f>IF(OR(W40="",W4=""),"",IFERROR(W40/W4,""))</f>
        <v/>
      </c>
      <c r="X41" s="15">
        <f>IF(OR(X40="",X4=""),"",IFERROR(X40/X4,""))</f>
        <v/>
      </c>
      <c r="Y41" s="14" t="n"/>
      <c r="Z41" s="15" t="n"/>
      <c r="AA41" s="15" t="n"/>
      <c r="AB41" s="15" t="n"/>
      <c r="AC41" s="15" t="n"/>
    </row>
    <row r="42">
      <c r="A42" s="18" t="inlineStr">
        <is>
          <t>연구개발비</t>
        </is>
      </c>
      <c r="B42" s="10" t="inlineStr">
        <is>
          <t>변동비</t>
        </is>
      </c>
      <c r="C42" s="19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19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19" t="n"/>
      <c r="Z42" s="20" t="n"/>
      <c r="AA42" s="20" t="n"/>
      <c r="AB42" s="20" t="n"/>
      <c r="AC42" s="20" t="n"/>
    </row>
    <row r="43">
      <c r="A43" s="13" t="inlineStr">
        <is>
          <t>% of Sales</t>
        </is>
      </c>
      <c r="B43" s="10" t="n"/>
      <c r="C43" s="14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4">
        <f>IF(OR(O42="",O4=""),"",IFERROR(O42/O4,""))</f>
        <v/>
      </c>
      <c r="P43" s="15">
        <f>IF(OR(P42="",P4=""),"",IFERROR(P42/P4,""))</f>
        <v/>
      </c>
      <c r="Q43" s="15">
        <f>IF(OR(Q42="",Q4=""),"",IFERROR(Q42/Q4,""))</f>
        <v/>
      </c>
      <c r="R43" s="15">
        <f>IF(OR(R42="",R4=""),"",IFERROR(R42/R4,""))</f>
        <v/>
      </c>
      <c r="S43" s="15">
        <f>IF(OR(S42="",S4=""),"",IFERROR(S42/S4,""))</f>
        <v/>
      </c>
      <c r="T43" s="15">
        <f>IF(OR(T42="",T4=""),"",IFERROR(T42/T4,""))</f>
        <v/>
      </c>
      <c r="U43" s="15">
        <f>IF(OR(U42="",U4=""),"",IFERROR(U42/U4,""))</f>
        <v/>
      </c>
      <c r="V43" s="15">
        <f>IF(OR(V42="",V4=""),"",IFERROR(V42/V4,""))</f>
        <v/>
      </c>
      <c r="W43" s="15">
        <f>IF(OR(W42="",W4=""),"",IFERROR(W42/W4,""))</f>
        <v/>
      </c>
      <c r="X43" s="15">
        <f>IF(OR(X42="",X4=""),"",IFERROR(X42/X4,""))</f>
        <v/>
      </c>
      <c r="Y43" s="14" t="n"/>
      <c r="Z43" s="15" t="n"/>
      <c r="AA43" s="15" t="n"/>
      <c r="AB43" s="15" t="n"/>
      <c r="AC43" s="15" t="n"/>
    </row>
    <row r="44">
      <c r="A44" s="18" t="inlineStr">
        <is>
          <t>기타비용</t>
        </is>
      </c>
      <c r="B44" s="10" t="inlineStr">
        <is>
          <t>변동비</t>
        </is>
      </c>
      <c r="C44" s="19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19">
        <f>IF(OR(O35="",O36="",O38="",O40="",O42=""),"",IFERROR(O35-O36-O38-O40-O42,""))</f>
        <v/>
      </c>
      <c r="P44" s="20">
        <f>IF(OR(P35="",P36="",P38="",P40="",P42=""),"",IFERROR(P35-P36-P38-P40-P42,""))</f>
        <v/>
      </c>
      <c r="Q44" s="20">
        <f>IF(OR(Q35="",Q36="",Q38="",Q40="",Q42=""),"",IFERROR(Q35-Q36-Q38-Q40-Q42,""))</f>
        <v/>
      </c>
      <c r="R44" s="20">
        <f>IF(OR(R35="",R36="",R38="",R40="",R42=""),"",IFERROR(R35-R36-R38-R40-R42,""))</f>
        <v/>
      </c>
      <c r="S44" s="20">
        <f>IF(OR(S35="",S36="",S38="",S40="",S42=""),"",IFERROR(S35-S36-S38-S40-S42,""))</f>
        <v/>
      </c>
      <c r="T44" s="20">
        <f>IF(OR(T35="",T36="",T38="",T40="",T42=""),"",IFERROR(T35-T36-T38-T40-T42,""))</f>
        <v/>
      </c>
      <c r="U44" s="20">
        <f>IF(OR(U35="",U36="",U38="",U40="",U42=""),"",IFERROR(U35-U36-U38-U40-U42,""))</f>
        <v/>
      </c>
      <c r="V44" s="20">
        <f>IF(OR(V35="",V36="",V38="",V40="",V42=""),"",IFERROR(V35-V36-V38-V40-V42,""))</f>
        <v/>
      </c>
      <c r="W44" s="20">
        <f>IF(OR(W35="",W36="",W38="",W40="",W42=""),"",IFERROR(W35-W36-W38-W40-W42,""))</f>
        <v/>
      </c>
      <c r="X44" s="20">
        <f>IF(OR(X35="",X36="",X38="",X40="",X42=""),"",IFERROR(X35-X36-X38-X40-X42,""))</f>
        <v/>
      </c>
      <c r="Y44" s="19" t="n"/>
      <c r="Z44" s="20" t="n"/>
      <c r="AA44" s="20" t="n"/>
      <c r="AB44" s="20" t="n"/>
      <c r="AC44" s="20" t="n"/>
    </row>
    <row r="45">
      <c r="A45" s="13" t="inlineStr">
        <is>
          <t>% of Sales</t>
        </is>
      </c>
      <c r="B45" s="10" t="n"/>
      <c r="C45" s="14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14" t="n"/>
      <c r="Z45" s="15" t="n"/>
      <c r="AA45" s="15" t="n"/>
      <c r="AB45" s="15" t="n"/>
      <c r="AC45" s="15" t="n"/>
    </row>
    <row r="46">
      <c r="A46" s="16" t="inlineStr">
        <is>
          <t>당기순이익 추정</t>
        </is>
      </c>
      <c r="B46" s="16" t="n"/>
      <c r="C46" s="17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7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7" t="n"/>
      <c r="Z46" s="16" t="n"/>
      <c r="AA46" s="16" t="n"/>
      <c r="AB46" s="16" t="n"/>
      <c r="AC46" s="16" t="n"/>
    </row>
    <row r="47">
      <c r="A47" s="18" t="inlineStr">
        <is>
          <t>특별이익</t>
        </is>
      </c>
      <c r="B47" s="10" t="n"/>
      <c r="C47" s="19" t="n"/>
      <c r="D47" s="20" t="n"/>
      <c r="E47" s="20" t="n"/>
      <c r="F47" s="20" t="n"/>
      <c r="G47" s="20" t="n"/>
      <c r="H47" s="20" t="n">
        <v>0</v>
      </c>
      <c r="I47" s="20" t="n">
        <v>0</v>
      </c>
      <c r="J47" s="20" t="n">
        <v>0</v>
      </c>
      <c r="K47" s="20" t="n">
        <v>9507</v>
      </c>
      <c r="L47" s="20" t="n">
        <v>3143</v>
      </c>
      <c r="M47" s="20" t="n">
        <v>0</v>
      </c>
      <c r="N47" s="20" t="n">
        <v>0</v>
      </c>
      <c r="O47" s="19" t="n"/>
      <c r="P47" s="20" t="n">
        <v>0</v>
      </c>
      <c r="Q47" s="20" t="n">
        <v>766</v>
      </c>
      <c r="R47" s="20" t="n">
        <v>2559</v>
      </c>
      <c r="S47" s="20" t="n">
        <v>3619</v>
      </c>
      <c r="T47" s="20" t="n">
        <v>1627</v>
      </c>
      <c r="U47" s="20" t="n">
        <v>0</v>
      </c>
      <c r="V47" s="20" t="n"/>
      <c r="W47" s="20" t="n">
        <v>0</v>
      </c>
      <c r="X47" s="20" t="n">
        <v>9507</v>
      </c>
      <c r="Y47" s="19">
        <f>IF(OR(Y4="",Y48=""),"",IFERROR(Y4*Y48,""))</f>
        <v/>
      </c>
      <c r="Z47" s="20">
        <f>IF(OR(Z4="",Z48=""),"",IFERROR(Z4*Z48,""))</f>
        <v/>
      </c>
      <c r="AA47" s="20">
        <f>IF(OR(AA4="",AA48=""),"",IFERROR(AA4*AA48,""))</f>
        <v/>
      </c>
      <c r="AB47" s="20">
        <f>IF(OR(AB4="",AB48=""),"",IFERROR(AB4*AB48,""))</f>
        <v/>
      </c>
      <c r="AC47" s="20">
        <f>IF(OR(AC4="",AC48=""),"",IFERROR(AC4*AC48,""))</f>
        <v/>
      </c>
    </row>
    <row r="48">
      <c r="A48" s="13" t="inlineStr">
        <is>
          <t>% of Sales</t>
        </is>
      </c>
      <c r="B48" s="10" t="inlineStr">
        <is>
          <t>MW = 최근 3년 평균</t>
        </is>
      </c>
      <c r="C48" s="14">
        <f>IF(OR(C47="",C4=""),"",IFERROR(C47/C4,""))</f>
        <v/>
      </c>
      <c r="D48" s="15">
        <f>IF(OR(D47="",D4=""),"",IFERROR(D47/D4,""))</f>
        <v/>
      </c>
      <c r="E48" s="15">
        <f>IF(OR(E47="",E4=""),"",IFERROR(E47/E4,""))</f>
        <v/>
      </c>
      <c r="F48" s="15">
        <f>IF(OR(F47="",F4=""),"",IFERROR(F47/F4,""))</f>
        <v/>
      </c>
      <c r="G48" s="15">
        <f>IF(OR(G47="",G4=""),"",IFERROR(G47/G4,""))</f>
        <v/>
      </c>
      <c r="H48" s="15">
        <f>IF(OR(H47="",H4=""),"",IFERROR(H47/H4,""))</f>
        <v/>
      </c>
      <c r="I48" s="15">
        <f>IF(OR(I47="",I4=""),"",IFERROR(I47/I4,""))</f>
        <v/>
      </c>
      <c r="J48" s="15">
        <f>IF(OR(J47="",J4=""),"",IFERROR(J47/J4,""))</f>
        <v/>
      </c>
      <c r="K48" s="15">
        <f>IF(OR(K47="",K4=""),"",IFERROR(K47/K4,""))</f>
        <v/>
      </c>
      <c r="L48" s="15">
        <f>IF(OR(L47="",L4=""),"",IFERROR(L47/L4,""))</f>
        <v/>
      </c>
      <c r="M48" s="15">
        <f>IF(OR(M47="",M4=""),"",IFERROR(M47/M4,""))</f>
        <v/>
      </c>
      <c r="N48" s="15">
        <f>IF(OR(N47="",N4=""),"",IFERROR(N47/N4,""))</f>
        <v/>
      </c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25">
        <f>IFERROR(AVERAGE(V48,W48,X48),"")</f>
        <v/>
      </c>
      <c r="Z48" s="26">
        <f>Y48</f>
        <v/>
      </c>
      <c r="AA48" s="26">
        <f>Z48</f>
        <v/>
      </c>
      <c r="AB48" s="26">
        <f>AA48</f>
        <v/>
      </c>
      <c r="AC48" s="26">
        <f>AB48</f>
        <v/>
      </c>
    </row>
    <row r="49">
      <c r="A49" s="18" t="inlineStr">
        <is>
          <t>특별손실</t>
        </is>
      </c>
      <c r="B49" s="10" t="n"/>
      <c r="C49" s="19" t="n">
        <v>2023</v>
      </c>
      <c r="D49" s="20" t="n">
        <v>60</v>
      </c>
      <c r="E49" s="20" t="n">
        <v>3</v>
      </c>
      <c r="F49" s="20" t="n">
        <v>3</v>
      </c>
      <c r="G49" s="20" t="n">
        <v>14</v>
      </c>
      <c r="H49" s="20" t="n">
        <v>7</v>
      </c>
      <c r="I49" s="20" t="n">
        <v>13</v>
      </c>
      <c r="J49" s="20" t="n">
        <v>121</v>
      </c>
      <c r="K49" s="20" t="n">
        <v>38</v>
      </c>
      <c r="L49" s="20" t="n">
        <v>385</v>
      </c>
      <c r="M49" s="20" t="n">
        <v>25</v>
      </c>
      <c r="N49" s="20" t="n">
        <v>696</v>
      </c>
      <c r="O49" s="19" t="n">
        <v>1600</v>
      </c>
      <c r="P49" s="20" t="n">
        <v>1184</v>
      </c>
      <c r="Q49" s="20" t="n">
        <v>3130</v>
      </c>
      <c r="R49" s="20" t="n">
        <v>637</v>
      </c>
      <c r="S49" s="20" t="n">
        <v>271</v>
      </c>
      <c r="T49" s="20" t="n">
        <v>461</v>
      </c>
      <c r="U49" s="20" t="n">
        <v>2456</v>
      </c>
      <c r="V49" s="20" t="n">
        <v>19931</v>
      </c>
      <c r="W49" s="20" t="n">
        <v>80</v>
      </c>
      <c r="X49" s="20" t="n">
        <v>179</v>
      </c>
      <c r="Y49" s="19">
        <f>IF(OR(Y4="",Y50=""),"",IFERROR(Y4*Y50,""))</f>
        <v/>
      </c>
      <c r="Z49" s="20">
        <f>IF(OR(Z4="",Z50=""),"",IFERROR(Z4*Z50,""))</f>
        <v/>
      </c>
      <c r="AA49" s="20">
        <f>IF(OR(AA4="",AA50=""),"",IFERROR(AA4*AA50,""))</f>
        <v/>
      </c>
      <c r="AB49" s="20">
        <f>IF(OR(AB4="",AB50=""),"",IFERROR(AB4*AB50,""))</f>
        <v/>
      </c>
      <c r="AC49" s="20">
        <f>IF(OR(AC4="",AC50=""),"",IFERROR(AC4*AC50,""))</f>
        <v/>
      </c>
    </row>
    <row r="50">
      <c r="A50" s="13" t="inlineStr">
        <is>
          <t>% of Sales</t>
        </is>
      </c>
      <c r="B50" s="10" t="n"/>
      <c r="C50" s="14">
        <f>IF(OR(C49="",C4=""),"",IFERROR(C49/C4,""))</f>
        <v/>
      </c>
      <c r="D50" s="15">
        <f>IF(OR(D49="",D4=""),"",IFERROR(D49/D4,""))</f>
        <v/>
      </c>
      <c r="E50" s="15">
        <f>IF(OR(E49="",E4=""),"",IFERROR(E49/E4,""))</f>
        <v/>
      </c>
      <c r="F50" s="15">
        <f>IF(OR(F49="",F4=""),"",IFERROR(F49/F4,""))</f>
        <v/>
      </c>
      <c r="G50" s="15">
        <f>IF(OR(G49="",G4=""),"",IFERROR(G49/G4,""))</f>
        <v/>
      </c>
      <c r="H50" s="15">
        <f>IF(OR(H49="",H4=""),"",IFERROR(H49/H4,""))</f>
        <v/>
      </c>
      <c r="I50" s="15">
        <f>IF(OR(I49="",I4=""),"",IFERROR(I49/I4,""))</f>
        <v/>
      </c>
      <c r="J50" s="15">
        <f>IF(OR(J49="",J4=""),"",IFERROR(J49/J4,""))</f>
        <v/>
      </c>
      <c r="K50" s="15">
        <f>IF(OR(K49="",K4=""),"",IFERROR(K49/K4,""))</f>
        <v/>
      </c>
      <c r="L50" s="15">
        <f>IF(OR(L49="",L4=""),"",IFERROR(L49/L4,""))</f>
        <v/>
      </c>
      <c r="M50" s="15">
        <f>IF(OR(M49="",M4=""),"",IFERROR(M49/M4,""))</f>
        <v/>
      </c>
      <c r="N50" s="15">
        <f>IF(OR(N49="",N4=""),"",IFERROR(N49/N4,""))</f>
        <v/>
      </c>
      <c r="O50" s="14">
        <f>IF(OR(O49="",O4=""),"",IFERROR(O49/O4,""))</f>
        <v/>
      </c>
      <c r="P50" s="15">
        <f>IF(OR(P49="",P4=""),"",IFERROR(P49/P4,""))</f>
        <v/>
      </c>
      <c r="Q50" s="15">
        <f>IF(OR(Q49="",Q4=""),"",IFERROR(Q49/Q4,""))</f>
        <v/>
      </c>
      <c r="R50" s="15">
        <f>IF(OR(R49="",R4=""),"",IFERROR(R49/R4,""))</f>
        <v/>
      </c>
      <c r="S50" s="15">
        <f>IF(OR(S49="",S4=""),"",IFERROR(S49/S4,""))</f>
        <v/>
      </c>
      <c r="T50" s="15">
        <f>IF(OR(T49="",T4=""),"",IFERROR(T49/T4,""))</f>
        <v/>
      </c>
      <c r="U50" s="15">
        <f>IF(OR(U49="",U4=""),"",IFERROR(U49/U4,""))</f>
        <v/>
      </c>
      <c r="V50" s="15">
        <f>IF(OR(V49="",V4=""),"",IFERROR(V49/V4,""))</f>
        <v/>
      </c>
      <c r="W50" s="15">
        <f>IF(OR(W49="",W4=""),"",IFERROR(W49/W4,""))</f>
        <v/>
      </c>
      <c r="X50" s="15">
        <f>IF(OR(X49="",X4=""),"",IFERROR(X49/X4,""))</f>
        <v/>
      </c>
      <c r="Y50" s="25">
        <f>IFERROR(AVERAGE(V50,W50,X50),"")</f>
        <v/>
      </c>
      <c r="Z50" s="26">
        <f>Y50</f>
        <v/>
      </c>
      <c r="AA50" s="26">
        <f>Z50</f>
        <v/>
      </c>
      <c r="AB50" s="26">
        <f>AA50</f>
        <v/>
      </c>
      <c r="AC50" s="26">
        <f>AB50</f>
        <v/>
      </c>
    </row>
    <row r="51">
      <c r="A51" s="18" t="inlineStr">
        <is>
          <t>영업외수익</t>
        </is>
      </c>
      <c r="B51" s="10" t="n"/>
      <c r="C51" s="19" t="n">
        <v>-3527</v>
      </c>
      <c r="D51" s="20" t="n">
        <v>15733</v>
      </c>
      <c r="E51" s="20" t="n">
        <v>10160</v>
      </c>
      <c r="F51" s="20" t="n">
        <v>-6316</v>
      </c>
      <c r="G51" s="20" t="n">
        <v>17829</v>
      </c>
      <c r="H51" s="20" t="n">
        <v>4878</v>
      </c>
      <c r="I51" s="20" t="n">
        <v>4964</v>
      </c>
      <c r="J51" s="20" t="n">
        <v>4697</v>
      </c>
      <c r="K51" s="20" t="n">
        <v>5050</v>
      </c>
      <c r="L51" s="20" t="n">
        <v>4870</v>
      </c>
      <c r="M51" s="20" t="n">
        <v>4789</v>
      </c>
      <c r="N51" s="20" t="n">
        <v>1543</v>
      </c>
      <c r="O51" s="19" t="n">
        <v>7112</v>
      </c>
      <c r="P51" s="20" t="n">
        <v>3241</v>
      </c>
      <c r="Q51" s="20" t="n">
        <v>9261</v>
      </c>
      <c r="R51" s="20" t="n">
        <v>5598</v>
      </c>
      <c r="S51" s="20" t="n">
        <v>3247</v>
      </c>
      <c r="T51" s="20" t="n">
        <v>6294</v>
      </c>
      <c r="U51" s="20" t="n">
        <v>11022</v>
      </c>
      <c r="V51" s="20" t="n">
        <v>21905</v>
      </c>
      <c r="W51" s="20" t="n">
        <v>37406</v>
      </c>
      <c r="X51" s="20" t="n">
        <v>19589</v>
      </c>
      <c r="Y51" s="19">
        <f>IF(OR(Y4="",Y52=""),"",IFERROR(Y4*Y52,""))</f>
        <v/>
      </c>
      <c r="Z51" s="20">
        <f>IF(OR(Z4="",Z52=""),"",IFERROR(Z4*Z52,""))</f>
        <v/>
      </c>
      <c r="AA51" s="20">
        <f>IF(OR(AA4="",AA52=""),"",IFERROR(AA4*AA52,""))</f>
        <v/>
      </c>
      <c r="AB51" s="20">
        <f>IF(OR(AB4="",AB52=""),"",IFERROR(AB4*AB52,""))</f>
        <v/>
      </c>
      <c r="AC51" s="20">
        <f>IF(OR(AC4="",AC52=""),"",IFERROR(AC4*AC52,""))</f>
        <v/>
      </c>
    </row>
    <row r="52">
      <c r="A52" s="13" t="inlineStr">
        <is>
          <t>% of Sales</t>
        </is>
      </c>
      <c r="B52" s="10" t="n"/>
      <c r="C52" s="14">
        <f>IF(OR(C51="",C4=""),"",IFERROR(C51/C4,""))</f>
        <v/>
      </c>
      <c r="D52" s="15">
        <f>IF(OR(D51="",D4=""),"",IFERROR(D51/D4,""))</f>
        <v/>
      </c>
      <c r="E52" s="15">
        <f>IF(OR(E51="",E4=""),"",IFERROR(E51/E4,""))</f>
        <v/>
      </c>
      <c r="F52" s="15">
        <f>IF(OR(F51="",F4=""),"",IFERROR(F51/F4,""))</f>
        <v/>
      </c>
      <c r="G52" s="15">
        <f>IF(OR(G51="",G4=""),"",IFERROR(G51/G4,""))</f>
        <v/>
      </c>
      <c r="H52" s="15">
        <f>IF(OR(H51="",H4=""),"",IFERROR(H51/H4,""))</f>
        <v/>
      </c>
      <c r="I52" s="15">
        <f>IF(OR(I51="",I4=""),"",IFERROR(I51/I4,""))</f>
        <v/>
      </c>
      <c r="J52" s="15">
        <f>IF(OR(J51="",J4=""),"",IFERROR(J51/J4,""))</f>
        <v/>
      </c>
      <c r="K52" s="15">
        <f>IF(OR(K51="",K4=""),"",IFERROR(K51/K4,""))</f>
        <v/>
      </c>
      <c r="L52" s="15">
        <f>IF(OR(L51="",L4=""),"",IFERROR(L51/L4,""))</f>
        <v/>
      </c>
      <c r="M52" s="15">
        <f>IF(OR(M51="",M4=""),"",IFERROR(M51/M4,""))</f>
        <v/>
      </c>
      <c r="N52" s="15">
        <f>IF(OR(N51="",N4=""),"",IFERROR(N51/N4,""))</f>
        <v/>
      </c>
      <c r="O52" s="14">
        <f>IF(OR(O51="",O4=""),"",IFERROR(O51/O4,""))</f>
        <v/>
      </c>
      <c r="P52" s="15">
        <f>IF(OR(P51="",P4=""),"",IFERROR(P51/P4,""))</f>
        <v/>
      </c>
      <c r="Q52" s="15">
        <f>IF(OR(Q51="",Q4=""),"",IFERROR(Q51/Q4,""))</f>
        <v/>
      </c>
      <c r="R52" s="15">
        <f>IF(OR(R51="",R4=""),"",IFERROR(R51/R4,""))</f>
        <v/>
      </c>
      <c r="S52" s="15">
        <f>IF(OR(S51="",S4=""),"",IFERROR(S51/S4,""))</f>
        <v/>
      </c>
      <c r="T52" s="15">
        <f>IF(OR(T51="",T4=""),"",IFERROR(T51/T4,""))</f>
        <v/>
      </c>
      <c r="U52" s="15">
        <f>IF(OR(U51="",U4=""),"",IFERROR(U51/U4,""))</f>
        <v/>
      </c>
      <c r="V52" s="15">
        <f>IF(OR(V51="",V4=""),"",IFERROR(V51/V4,""))</f>
        <v/>
      </c>
      <c r="W52" s="15">
        <f>IF(OR(W51="",W4=""),"",IFERROR(W51/W4,""))</f>
        <v/>
      </c>
      <c r="X52" s="15">
        <f>IF(OR(X51="",X4=""),"",IFERROR(X51/X4,""))</f>
        <v/>
      </c>
      <c r="Y52" s="25">
        <f>IFERROR(AVERAGE(V52,W52,X52),"")</f>
        <v/>
      </c>
      <c r="Z52" s="26">
        <f>Y52</f>
        <v/>
      </c>
      <c r="AA52" s="26">
        <f>Z52</f>
        <v/>
      </c>
      <c r="AB52" s="26">
        <f>AA52</f>
        <v/>
      </c>
      <c r="AC52" s="26">
        <f>AB52</f>
        <v/>
      </c>
    </row>
    <row r="53">
      <c r="A53" s="18" t="inlineStr">
        <is>
          <t>영업외비용</t>
        </is>
      </c>
      <c r="B53" s="10" t="n"/>
      <c r="C53" s="19" t="n">
        <v>890</v>
      </c>
      <c r="D53" s="20" t="n">
        <v>301</v>
      </c>
      <c r="E53" s="20" t="n">
        <v>921</v>
      </c>
      <c r="F53" s="20" t="n">
        <v>10744</v>
      </c>
      <c r="G53" s="20" t="n">
        <v>-8149</v>
      </c>
      <c r="H53" s="20" t="n">
        <v>5615</v>
      </c>
      <c r="I53" s="20" t="n">
        <v>18312</v>
      </c>
      <c r="J53" s="20" t="n">
        <v>-3071</v>
      </c>
      <c r="K53" s="20" t="n">
        <v>3381</v>
      </c>
      <c r="L53" s="20" t="n">
        <v>385</v>
      </c>
      <c r="M53" s="20" t="n">
        <v>1199</v>
      </c>
      <c r="N53" s="20" t="n">
        <v>2285</v>
      </c>
      <c r="O53" s="19" t="n">
        <v>1656</v>
      </c>
      <c r="P53" s="20" t="n">
        <v>11844</v>
      </c>
      <c r="Q53" s="20" t="n">
        <v>1361</v>
      </c>
      <c r="R53" s="20" t="n">
        <v>4138</v>
      </c>
      <c r="S53" s="20" t="n">
        <v>4476</v>
      </c>
      <c r="T53" s="20" t="n">
        <v>2020</v>
      </c>
      <c r="U53" s="20" t="n">
        <v>3612</v>
      </c>
      <c r="V53" s="20" t="n">
        <v>2188</v>
      </c>
      <c r="W53" s="20" t="n">
        <v>3817</v>
      </c>
      <c r="X53" s="20" t="n">
        <v>24237</v>
      </c>
      <c r="Y53" s="19">
        <f>IF(OR(Y4="",Y54=""),"",IFERROR(Y4*Y54,""))</f>
        <v/>
      </c>
      <c r="Z53" s="20">
        <f>IF(OR(Z4="",Z54=""),"",IFERROR(Z4*Z54,""))</f>
        <v/>
      </c>
      <c r="AA53" s="20">
        <f>IF(OR(AA4="",AA54=""),"",IFERROR(AA4*AA54,""))</f>
        <v/>
      </c>
      <c r="AB53" s="20">
        <f>IF(OR(AB4="",AB54=""),"",IFERROR(AB4*AB54,""))</f>
        <v/>
      </c>
      <c r="AC53" s="20">
        <f>IF(OR(AC4="",AC54=""),"",IFERROR(AC4*AC54,""))</f>
        <v/>
      </c>
    </row>
    <row r="54">
      <c r="A54" s="13" t="inlineStr">
        <is>
          <t>% of Sales</t>
        </is>
      </c>
      <c r="B54" s="10" t="n"/>
      <c r="C54" s="14">
        <f>IF(OR(C53="",C4=""),"",IFERROR(C53/C4,""))</f>
        <v/>
      </c>
      <c r="D54" s="15">
        <f>IF(OR(D53="",D4=""),"",IFERROR(D53/D4,""))</f>
        <v/>
      </c>
      <c r="E54" s="15">
        <f>IF(OR(E53="",E4=""),"",IFERROR(E53/E4,""))</f>
        <v/>
      </c>
      <c r="F54" s="15">
        <f>IF(OR(F53="",F4=""),"",IFERROR(F53/F4,""))</f>
        <v/>
      </c>
      <c r="G54" s="15">
        <f>IF(OR(G53="",G4=""),"",IFERROR(G53/G4,""))</f>
        <v/>
      </c>
      <c r="H54" s="15">
        <f>IF(OR(H53="",H4=""),"",IFERROR(H53/H4,""))</f>
        <v/>
      </c>
      <c r="I54" s="15">
        <f>IF(OR(I53="",I4=""),"",IFERROR(I53/I4,""))</f>
        <v/>
      </c>
      <c r="J54" s="15">
        <f>IF(OR(J53="",J4=""),"",IFERROR(J53/J4,""))</f>
        <v/>
      </c>
      <c r="K54" s="15">
        <f>IF(OR(K53="",K4=""),"",IFERROR(K53/K4,""))</f>
        <v/>
      </c>
      <c r="L54" s="15">
        <f>IF(OR(L53="",L4=""),"",IFERROR(L53/L4,""))</f>
        <v/>
      </c>
      <c r="M54" s="15">
        <f>IF(OR(M53="",M4=""),"",IFERROR(M53/M4,""))</f>
        <v/>
      </c>
      <c r="N54" s="15">
        <f>IF(OR(N53="",N4=""),"",IFERROR(N53/N4,""))</f>
        <v/>
      </c>
      <c r="O54" s="14">
        <f>IF(OR(O53="",O4=""),"",IFERROR(O53/O4,""))</f>
        <v/>
      </c>
      <c r="P54" s="15">
        <f>IF(OR(P53="",P4=""),"",IFERROR(P53/P4,""))</f>
        <v/>
      </c>
      <c r="Q54" s="15">
        <f>IF(OR(Q53="",Q4=""),"",IFERROR(Q53/Q4,""))</f>
        <v/>
      </c>
      <c r="R54" s="15">
        <f>IF(OR(R53="",R4=""),"",IFERROR(R53/R4,""))</f>
        <v/>
      </c>
      <c r="S54" s="15">
        <f>IF(OR(S53="",S4=""),"",IFERROR(S53/S4,""))</f>
        <v/>
      </c>
      <c r="T54" s="15">
        <f>IF(OR(T53="",T4=""),"",IFERROR(T53/T4,""))</f>
        <v/>
      </c>
      <c r="U54" s="15">
        <f>IF(OR(U53="",U4=""),"",IFERROR(U53/U4,""))</f>
        <v/>
      </c>
      <c r="V54" s="15">
        <f>IF(OR(V53="",V4=""),"",IFERROR(V53/V4,""))</f>
        <v/>
      </c>
      <c r="W54" s="15">
        <f>IF(OR(W53="",W4=""),"",IFERROR(W53/W4,""))</f>
        <v/>
      </c>
      <c r="X54" s="15">
        <f>IF(OR(X53="",X4=""),"",IFERROR(X53/X4,""))</f>
        <v/>
      </c>
      <c r="Y54" s="25">
        <f>IFERROR(AVERAGE(V54,W54,X54),"")</f>
        <v/>
      </c>
      <c r="Z54" s="26">
        <f>Y54</f>
        <v/>
      </c>
      <c r="AA54" s="26">
        <f>Z54</f>
        <v/>
      </c>
      <c r="AB54" s="26">
        <f>AA54</f>
        <v/>
      </c>
      <c r="AC54" s="26">
        <f>AB54</f>
        <v/>
      </c>
    </row>
    <row r="55">
      <c r="A55" s="9" t="inlineStr">
        <is>
          <t>법인세비용차감전순이익(손실)</t>
        </is>
      </c>
      <c r="B55" s="10" t="n"/>
      <c r="C55" s="11" t="n">
        <v>5126</v>
      </c>
      <c r="D55" s="12" t="n">
        <v>28792</v>
      </c>
      <c r="E55" s="12" t="n">
        <v>26770</v>
      </c>
      <c r="F55" s="12" t="n">
        <v>2634</v>
      </c>
      <c r="G55" s="12" t="n">
        <v>40398</v>
      </c>
      <c r="H55" s="12" t="n">
        <v>15397</v>
      </c>
      <c r="I55" s="12" t="n">
        <v>-1380</v>
      </c>
      <c r="J55" s="12" t="n">
        <v>16090</v>
      </c>
      <c r="K55" s="12" t="n">
        <v>26251</v>
      </c>
      <c r="L55" s="12" t="n">
        <v>17643</v>
      </c>
      <c r="M55" s="12" t="n">
        <v>20414</v>
      </c>
      <c r="N55" s="12" t="n">
        <v>15844</v>
      </c>
      <c r="O55" s="11" t="n">
        <v>68402</v>
      </c>
      <c r="P55" s="12" t="n">
        <v>54563</v>
      </c>
      <c r="Q55" s="12" t="n">
        <v>71224</v>
      </c>
      <c r="R55" s="12" t="n">
        <v>71393</v>
      </c>
      <c r="S55" s="12" t="n">
        <v>84820</v>
      </c>
      <c r="T55" s="12" t="n">
        <v>153728</v>
      </c>
      <c r="U55" s="12" t="n">
        <v>174112</v>
      </c>
      <c r="V55" s="12" t="n">
        <v>83438</v>
      </c>
      <c r="W55" s="12" t="n">
        <v>98594</v>
      </c>
      <c r="X55" s="12" t="n">
        <v>56358</v>
      </c>
      <c r="Y55" s="11">
        <f>IF(OR(Y31=""),"",IFERROR(Y31+N(Y47)-N(Y49)+N(Y51)-N(Y53),""))</f>
        <v/>
      </c>
      <c r="Z55" s="12">
        <f>IF(OR(Z31=""),"",IFERROR(Z31+N(Z47)-N(Z49)+N(Z51)-N(Z53),""))</f>
        <v/>
      </c>
      <c r="AA55" s="12">
        <f>IF(OR(AA31=""),"",IFERROR(AA31+N(AA47)-N(AA49)+N(AA51)-N(AA53),""))</f>
        <v/>
      </c>
      <c r="AB55" s="12">
        <f>IF(OR(AB31=""),"",IFERROR(AB31+N(AB47)-N(AB49)+N(AB51)-N(AB53),""))</f>
        <v/>
      </c>
      <c r="AC55" s="12">
        <f>IF(OR(AC31=""),"",IFERROR(AC31+N(AC47)-N(AC49)+N(AC51)-N(AC53),""))</f>
        <v/>
      </c>
    </row>
    <row r="56">
      <c r="A56" s="18" t="inlineStr">
        <is>
          <t>법인세비용(수익)</t>
        </is>
      </c>
      <c r="B56" s="10" t="n"/>
      <c r="C56" s="19" t="n">
        <v>4140</v>
      </c>
      <c r="D56" s="20" t="n">
        <v>5003</v>
      </c>
      <c r="E56" s="20" t="n">
        <v>6688</v>
      </c>
      <c r="F56" s="20" t="n">
        <v>4967</v>
      </c>
      <c r="G56" s="20" t="n">
        <v>5363</v>
      </c>
      <c r="H56" s="20" t="n">
        <v>5613</v>
      </c>
      <c r="I56" s="20" t="n">
        <v>4423</v>
      </c>
      <c r="J56" s="20" t="n">
        <v>3866</v>
      </c>
      <c r="K56" s="20" t="n">
        <v>8299</v>
      </c>
      <c r="L56" s="20" t="n">
        <v>4784</v>
      </c>
      <c r="M56" s="20" t="n">
        <v>5168</v>
      </c>
      <c r="N56" s="20" t="n">
        <v>3674</v>
      </c>
      <c r="O56" s="19" t="n">
        <v>17508</v>
      </c>
      <c r="P56" s="20" t="n">
        <v>16098</v>
      </c>
      <c r="Q56" s="20" t="n">
        <v>17285</v>
      </c>
      <c r="R56" s="20" t="n">
        <v>19535</v>
      </c>
      <c r="S56" s="20" t="n">
        <v>21294</v>
      </c>
      <c r="T56" s="20" t="n">
        <v>37596</v>
      </c>
      <c r="U56" s="20" t="n">
        <v>45676</v>
      </c>
      <c r="V56" s="20" t="n">
        <v>22085</v>
      </c>
      <c r="W56" s="20" t="n">
        <v>22021</v>
      </c>
      <c r="X56" s="20" t="n">
        <v>22201</v>
      </c>
      <c r="Y56" s="19">
        <f>IF(OR(Y55="",Y57=""),"",IFERROR(MAX(Y55,0)*Y57,""))</f>
        <v/>
      </c>
      <c r="Z56" s="20">
        <f>IF(OR(Z55="",Z57=""),"",IFERROR(MAX(Z55,0)*Z57,""))</f>
        <v/>
      </c>
      <c r="AA56" s="20">
        <f>IF(OR(AA55="",AA57=""),"",IFERROR(MAX(AA55,0)*AA57,""))</f>
        <v/>
      </c>
      <c r="AB56" s="20">
        <f>IF(OR(AB55="",AB57=""),"",IFERROR(MAX(AB55,0)*AB57,""))</f>
        <v/>
      </c>
      <c r="AC56" s="20">
        <f>IF(OR(AC55="",AC57=""),"",IFERROR(MAX(AC55,0)*AC57,""))</f>
        <v/>
      </c>
    </row>
    <row r="57">
      <c r="A57" s="13" t="inlineStr">
        <is>
          <t>법인세율</t>
        </is>
      </c>
      <c r="B57" s="10" t="inlineStr">
        <is>
          <t>MW 기본 30%</t>
        </is>
      </c>
      <c r="C57" s="14">
        <f>IF(OR(C56="",C55=""),"",IFERROR(C56/C55,""))</f>
        <v/>
      </c>
      <c r="D57" s="15">
        <f>IF(OR(D56="",D55=""),"",IFERROR(D56/D55,""))</f>
        <v/>
      </c>
      <c r="E57" s="15">
        <f>IF(OR(E56="",E55=""),"",IFERROR(E56/E55,""))</f>
        <v/>
      </c>
      <c r="F57" s="15">
        <f>IF(OR(F56="",F55=""),"",IFERROR(F56/F55,""))</f>
        <v/>
      </c>
      <c r="G57" s="15">
        <f>IF(OR(G56="",G55=""),"",IFERROR(G56/G55,""))</f>
        <v/>
      </c>
      <c r="H57" s="15">
        <f>IF(OR(H56="",H55=""),"",IFERROR(H56/H55,""))</f>
        <v/>
      </c>
      <c r="I57" s="15">
        <f>IF(OR(I56="",I55=""),"",IFERROR(I56/I55,""))</f>
        <v/>
      </c>
      <c r="J57" s="15">
        <f>IF(OR(J56="",J55=""),"",IFERROR(J56/J55,""))</f>
        <v/>
      </c>
      <c r="K57" s="15">
        <f>IF(OR(K56="",K55=""),"",IFERROR(K56/K55,""))</f>
        <v/>
      </c>
      <c r="L57" s="15">
        <f>IF(OR(L56="",L55=""),"",IFERROR(L56/L55,""))</f>
        <v/>
      </c>
      <c r="M57" s="15">
        <f>IF(OR(M56="",M55=""),"",IFERROR(M56/M55,""))</f>
        <v/>
      </c>
      <c r="N57" s="15">
        <f>IF(OR(N56="",N55=""),"",IFERROR(N56/N55,""))</f>
        <v/>
      </c>
      <c r="O57" s="14">
        <f>IF(OR(O56="",O55=""),"",IFERROR(O56/O55,""))</f>
        <v/>
      </c>
      <c r="P57" s="15">
        <f>IF(OR(P56="",P55=""),"",IFERROR(P56/P55,""))</f>
        <v/>
      </c>
      <c r="Q57" s="15">
        <f>IF(OR(Q56="",Q55=""),"",IFERROR(Q56/Q55,""))</f>
        <v/>
      </c>
      <c r="R57" s="15">
        <f>IF(OR(R56="",R55=""),"",IFERROR(R56/R55,""))</f>
        <v/>
      </c>
      <c r="S57" s="15">
        <f>IF(OR(S56="",S55=""),"",IFERROR(S56/S55,""))</f>
        <v/>
      </c>
      <c r="T57" s="15">
        <f>IF(OR(T56="",T55=""),"",IFERROR(T56/T55,""))</f>
        <v/>
      </c>
      <c r="U57" s="15">
        <f>IF(OR(U56="",U55=""),"",IFERROR(U56/U55,""))</f>
        <v/>
      </c>
      <c r="V57" s="15">
        <f>IF(OR(V56="",V55=""),"",IFERROR(V56/V55,""))</f>
        <v/>
      </c>
      <c r="W57" s="15">
        <f>IF(OR(W56="",W55=""),"",IFERROR(W56/W55,""))</f>
        <v/>
      </c>
      <c r="X57" s="15">
        <f>IF(OR(X56="",X55=""),"",IFERROR(X56/X55,""))</f>
        <v/>
      </c>
      <c r="Y57" s="25" t="n">
        <v>0.3</v>
      </c>
      <c r="Z57" s="26" t="n">
        <v>0.3</v>
      </c>
      <c r="AA57" s="26" t="n">
        <v>0.3</v>
      </c>
      <c r="AB57" s="26" t="n">
        <v>0.3</v>
      </c>
      <c r="AC57" s="26" t="n">
        <v>0.3</v>
      </c>
    </row>
    <row r="58">
      <c r="A58" s="9" t="inlineStr">
        <is>
          <t>당기순이익(손실)</t>
        </is>
      </c>
      <c r="B58" s="10" t="n"/>
      <c r="C58" s="11" t="n">
        <v>985</v>
      </c>
      <c r="D58" s="12" t="n">
        <v>23788</v>
      </c>
      <c r="E58" s="12" t="n">
        <v>20082</v>
      </c>
      <c r="F58" s="12" t="n">
        <v>-2332</v>
      </c>
      <c r="G58" s="12" t="n">
        <v>35035</v>
      </c>
      <c r="H58" s="12" t="n">
        <v>9783</v>
      </c>
      <c r="I58" s="12" t="n">
        <v>-5802</v>
      </c>
      <c r="J58" s="12" t="n">
        <v>12223</v>
      </c>
      <c r="K58" s="12" t="n">
        <v>17952</v>
      </c>
      <c r="L58" s="12" t="n">
        <v>12858</v>
      </c>
      <c r="M58" s="12" t="n">
        <v>15247</v>
      </c>
      <c r="N58" s="12" t="n">
        <v>12170</v>
      </c>
      <c r="O58" s="11" t="n">
        <v>50894</v>
      </c>
      <c r="P58" s="12" t="n">
        <v>38464</v>
      </c>
      <c r="Q58" s="12" t="n">
        <v>53939</v>
      </c>
      <c r="R58" s="12" t="n">
        <v>51857</v>
      </c>
      <c r="S58" s="12" t="n">
        <v>63525</v>
      </c>
      <c r="T58" s="12" t="n">
        <v>116132</v>
      </c>
      <c r="U58" s="12" t="n">
        <v>128436</v>
      </c>
      <c r="V58" s="12" t="n">
        <v>61352</v>
      </c>
      <c r="W58" s="12" t="n">
        <v>76573</v>
      </c>
      <c r="X58" s="12" t="n">
        <v>34156</v>
      </c>
      <c r="Y58" s="11">
        <f>IF(OR(Y55=""),"",IFERROR(Y55-Y56,""))</f>
        <v/>
      </c>
      <c r="Z58" s="12">
        <f>IF(OR(Z55=""),"",IFERROR(Z55-Z56,""))</f>
        <v/>
      </c>
      <c r="AA58" s="12">
        <f>IF(OR(AA55=""),"",IFERROR(AA55-AA56,""))</f>
        <v/>
      </c>
      <c r="AB58" s="12">
        <f>IF(OR(AB55=""),"",IFERROR(AB55-AB56,""))</f>
        <v/>
      </c>
      <c r="AC58" s="12">
        <f>IF(OR(AC55=""),"",IFERROR(AC55-AC56,""))</f>
        <v/>
      </c>
    </row>
    <row r="59">
      <c r="A59" s="9" t="inlineStr">
        <is>
          <t>지배주주 순이익</t>
        </is>
      </c>
      <c r="B59" s="10" t="n"/>
      <c r="C59" s="11" t="n">
        <v>973</v>
      </c>
      <c r="D59" s="12" t="n">
        <v>23687</v>
      </c>
      <c r="E59" s="12" t="n">
        <v>20017</v>
      </c>
      <c r="F59" s="12" t="n">
        <v>-2361</v>
      </c>
      <c r="G59" s="12" t="n">
        <v>34986</v>
      </c>
      <c r="H59" s="12" t="n">
        <v>9786</v>
      </c>
      <c r="I59" s="12" t="n">
        <v>-5825</v>
      </c>
      <c r="J59" s="12" t="n">
        <v>12144</v>
      </c>
      <c r="K59" s="12" t="n">
        <v>17886</v>
      </c>
      <c r="L59" s="12" t="n">
        <v>12814</v>
      </c>
      <c r="M59" s="12" t="n">
        <v>15136</v>
      </c>
      <c r="N59" s="12" t="n">
        <v>12072</v>
      </c>
      <c r="O59" s="11" t="n">
        <v>50964</v>
      </c>
      <c r="P59" s="12" t="n">
        <v>38443</v>
      </c>
      <c r="Q59" s="12" t="n">
        <v>53931</v>
      </c>
      <c r="R59" s="12" t="n">
        <v>51833</v>
      </c>
      <c r="S59" s="12" t="n">
        <v>63472</v>
      </c>
      <c r="T59" s="12" t="n">
        <v>115937</v>
      </c>
      <c r="U59" s="12" t="n">
        <v>128178</v>
      </c>
      <c r="V59" s="12" t="n">
        <v>61142</v>
      </c>
      <c r="W59" s="12" t="n">
        <v>76329</v>
      </c>
      <c r="X59" s="12" t="n">
        <v>33991</v>
      </c>
      <c r="Y59" s="11">
        <f>IF(OR(Y58="",Y60=""),"",IFERROR(Y58*Y60,""))</f>
        <v/>
      </c>
      <c r="Z59" s="12">
        <f>IF(OR(Z58="",Z60=""),"",IFERROR(Z58*Z60,""))</f>
        <v/>
      </c>
      <c r="AA59" s="12">
        <f>IF(OR(AA58="",AA60=""),"",IFERROR(AA58*AA60,""))</f>
        <v/>
      </c>
      <c r="AB59" s="12">
        <f>IF(OR(AB58="",AB60=""),"",IFERROR(AB58*AB60,""))</f>
        <v/>
      </c>
      <c r="AC59" s="12">
        <f>IF(OR(AC58="",AC60=""),"",IFERROR(AC58*AC60,""))</f>
        <v/>
      </c>
    </row>
    <row r="60">
      <c r="A60" s="13" t="inlineStr">
        <is>
          <t>지배주주 순이익률</t>
        </is>
      </c>
      <c r="B60" s="10" t="inlineStr">
        <is>
          <t>MW 기본 100%</t>
        </is>
      </c>
      <c r="C60" s="14">
        <f>IF(OR(C59="",C58=""),"",IFERROR(C59/C58,""))</f>
        <v/>
      </c>
      <c r="D60" s="15">
        <f>IF(OR(D59="",D58=""),"",IFERROR(D59/D58,""))</f>
        <v/>
      </c>
      <c r="E60" s="15">
        <f>IF(OR(E59="",E58=""),"",IFERROR(E59/E58,""))</f>
        <v/>
      </c>
      <c r="F60" s="15">
        <f>IF(OR(F59="",F58=""),"",IFERROR(F59/F58,""))</f>
        <v/>
      </c>
      <c r="G60" s="15">
        <f>IF(OR(G59="",G58=""),"",IFERROR(G59/G58,""))</f>
        <v/>
      </c>
      <c r="H60" s="15">
        <f>IF(OR(H59="",H58=""),"",IFERROR(H59/H58,""))</f>
        <v/>
      </c>
      <c r="I60" s="15">
        <f>IF(OR(I59="",I58=""),"",IFERROR(I59/I58,""))</f>
        <v/>
      </c>
      <c r="J60" s="15">
        <f>IF(OR(J59="",J58=""),"",IFERROR(J59/J58,""))</f>
        <v/>
      </c>
      <c r="K60" s="15">
        <f>IF(OR(K59="",K58=""),"",IFERROR(K59/K58,""))</f>
        <v/>
      </c>
      <c r="L60" s="15">
        <f>IF(OR(L59="",L58=""),"",IFERROR(L59/L58,""))</f>
        <v/>
      </c>
      <c r="M60" s="15">
        <f>IF(OR(M59="",M58=""),"",IFERROR(M59/M58,""))</f>
        <v/>
      </c>
      <c r="N60" s="15">
        <f>IF(OR(N59="",N58=""),"",IFERROR(N59/N58,""))</f>
        <v/>
      </c>
      <c r="O60" s="14">
        <f>IF(OR(O59="",O58=""),"",IFERROR(O59/O58,""))</f>
        <v/>
      </c>
      <c r="P60" s="15">
        <f>IF(OR(P59="",P58=""),"",IFERROR(P59/P58,""))</f>
        <v/>
      </c>
      <c r="Q60" s="15">
        <f>IF(OR(Q59="",Q58=""),"",IFERROR(Q59/Q58,""))</f>
        <v/>
      </c>
      <c r="R60" s="15">
        <f>IF(OR(R59="",R58=""),"",IFERROR(R59/R58,""))</f>
        <v/>
      </c>
      <c r="S60" s="15">
        <f>IF(OR(S59="",S58=""),"",IFERROR(S59/S58,""))</f>
        <v/>
      </c>
      <c r="T60" s="15">
        <f>IF(OR(T59="",T58=""),"",IFERROR(T59/T58,""))</f>
        <v/>
      </c>
      <c r="U60" s="15">
        <f>IF(OR(U59="",U58=""),"",IFERROR(U59/U58,""))</f>
        <v/>
      </c>
      <c r="V60" s="15">
        <f>IF(OR(V59="",V58=""),"",IFERROR(V59/V58,""))</f>
        <v/>
      </c>
      <c r="W60" s="15">
        <f>IF(OR(W59="",W58=""),"",IFERROR(W59/W58,""))</f>
        <v/>
      </c>
      <c r="X60" s="15">
        <f>IF(OR(X59="",X58=""),"",IFERROR(X59/X58,""))</f>
        <v/>
      </c>
      <c r="Y60" s="25" t="n">
        <v>1</v>
      </c>
      <c r="Z60" s="26" t="n">
        <v>1</v>
      </c>
      <c r="AA60" s="26" t="n">
        <v>1</v>
      </c>
      <c r="AB60" s="26" t="n">
        <v>1</v>
      </c>
      <c r="AC60" s="26" t="n">
        <v>1</v>
      </c>
    </row>
    <row r="61">
      <c r="A61" s="16" t="inlineStr">
        <is>
          <t>목표주가 산출</t>
        </is>
      </c>
      <c r="B61" s="16" t="n"/>
      <c r="C61" s="17" t="n"/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7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7" t="n"/>
      <c r="Z61" s="16" t="n"/>
      <c r="AA61" s="16" t="n"/>
      <c r="AB61" s="16" t="n"/>
      <c r="AC61" s="16" t="n"/>
    </row>
    <row r="62">
      <c r="A62" s="18" t="inlineStr">
        <is>
          <t>현재 주가 (2026.10.27)</t>
        </is>
      </c>
      <c r="B62" s="27" t="n">
        <v>18450</v>
      </c>
      <c r="C62" s="28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8" t="n"/>
      <c r="P62" s="29" t="n"/>
      <c r="Q62" s="29" t="n"/>
      <c r="R62" s="29" t="n"/>
      <c r="S62" s="29" t="n"/>
      <c r="T62" s="29" t="n"/>
      <c r="U62" s="29" t="n"/>
      <c r="V62" s="29" t="n"/>
      <c r="W62" s="29" t="n"/>
      <c r="X62" s="29" t="n"/>
      <c r="Y62" s="28" t="n"/>
      <c r="Z62" s="29" t="n"/>
      <c r="AA62" s="29" t="n"/>
      <c r="AB62" s="29" t="n"/>
      <c r="AC62" s="29" t="n"/>
    </row>
    <row r="63">
      <c r="A63" s="18" t="inlineStr">
        <is>
          <t>발행주식수 (보통주)</t>
        </is>
      </c>
      <c r="B63" s="27" t="n">
        <v>86530000</v>
      </c>
      <c r="C63" s="28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8" t="n"/>
      <c r="P63" s="29" t="n"/>
      <c r="Q63" s="29" t="n"/>
      <c r="R63" s="29" t="n"/>
      <c r="S63" s="29" t="n"/>
      <c r="T63" s="29" t="n"/>
      <c r="U63" s="29" t="n"/>
      <c r="V63" s="29" t="n"/>
      <c r="W63" s="29" t="n"/>
      <c r="X63" s="29" t="n"/>
      <c r="Y63" s="28" t="n"/>
      <c r="Z63" s="29" t="n"/>
      <c r="AA63" s="29" t="n"/>
      <c r="AB63" s="29" t="n"/>
      <c r="AC63" s="29" t="n"/>
    </row>
    <row r="64">
      <c r="A64" s="18" t="inlineStr">
        <is>
          <t>시가총액 (백만엔)</t>
        </is>
      </c>
      <c r="B64" s="12">
        <f>IF(OR(B62="",B63=""),"",B62*B63/1000000.0)</f>
        <v/>
      </c>
      <c r="C64" s="19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19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19" t="n"/>
      <c r="Z64" s="20" t="n"/>
      <c r="AA64" s="20" t="n"/>
      <c r="AB64" s="20" t="n"/>
      <c r="AC64" s="20" t="n"/>
    </row>
    <row r="65">
      <c r="A65" s="13" t="inlineStr">
        <is>
          <t>OPM</t>
        </is>
      </c>
      <c r="B65" s="10" t="n"/>
      <c r="C65" s="14" t="n"/>
      <c r="D65" s="15" t="n"/>
      <c r="E65" s="15" t="n"/>
      <c r="F65" s="15" t="n"/>
      <c r="G65" s="15" t="n"/>
      <c r="H65" s="15" t="n"/>
      <c r="I65" s="15" t="n"/>
      <c r="J65" s="15" t="n"/>
      <c r="K65" s="15" t="n"/>
      <c r="L65" s="15" t="n"/>
      <c r="M65" s="15" t="n"/>
      <c r="N65" s="15" t="n"/>
      <c r="O65" s="14">
        <f>IF(O32="","",O32)</f>
        <v/>
      </c>
      <c r="P65" s="15">
        <f>IF(P32="","",P32)</f>
        <v/>
      </c>
      <c r="Q65" s="15">
        <f>IF(Q32="","",Q32)</f>
        <v/>
      </c>
      <c r="R65" s="15">
        <f>IF(R32="","",R32)</f>
        <v/>
      </c>
      <c r="S65" s="15">
        <f>IF(S32="","",S32)</f>
        <v/>
      </c>
      <c r="T65" s="15">
        <f>IF(T32="","",T32)</f>
        <v/>
      </c>
      <c r="U65" s="15">
        <f>IF(U32="","",U32)</f>
        <v/>
      </c>
      <c r="V65" s="15">
        <f>IF(V32="","",V32)</f>
        <v/>
      </c>
      <c r="W65" s="15">
        <f>IF(W32="","",W32)</f>
        <v/>
      </c>
      <c r="X65" s="15">
        <f>IF(X32="","",X32)</f>
        <v/>
      </c>
      <c r="Y65" s="14">
        <f>IF(Y32="","",Y32)</f>
        <v/>
      </c>
      <c r="Z65" s="15">
        <f>IF(Z32="","",Z32)</f>
        <v/>
      </c>
      <c r="AA65" s="15">
        <f>IF(AA32="","",AA32)</f>
        <v/>
      </c>
      <c r="AB65" s="15">
        <f>IF(AB32="","",AB32)</f>
        <v/>
      </c>
      <c r="AC65" s="15">
        <f>IF(AC32="","",AC32)</f>
        <v/>
      </c>
    </row>
    <row r="66">
      <c r="A66" s="13" t="inlineStr">
        <is>
          <t>지배주주 순이익 증가율</t>
        </is>
      </c>
      <c r="B66" s="10" t="n"/>
      <c r="C66" s="14" t="n"/>
      <c r="D66" s="15" t="n"/>
      <c r="E66" s="15" t="n"/>
      <c r="F66" s="15" t="n"/>
      <c r="G66" s="15" t="n"/>
      <c r="H66" s="15" t="n"/>
      <c r="I66" s="15" t="n"/>
      <c r="J66" s="15" t="n"/>
      <c r="K66" s="15" t="n"/>
      <c r="L66" s="15" t="n"/>
      <c r="M66" s="15" t="n"/>
      <c r="N66" s="15" t="n"/>
      <c r="O66" s="14" t="n"/>
      <c r="P66" s="15">
        <f>IF(OR(P59="",O59=""),"",IFERROR(P59/O59-1,""))</f>
        <v/>
      </c>
      <c r="Q66" s="15">
        <f>IF(OR(Q59="",P59=""),"",IFERROR(Q59/P59-1,""))</f>
        <v/>
      </c>
      <c r="R66" s="15">
        <f>IF(OR(R59="",Q59=""),"",IFERROR(R59/Q59-1,""))</f>
        <v/>
      </c>
      <c r="S66" s="15">
        <f>IF(OR(S59="",R59=""),"",IFERROR(S59/R59-1,""))</f>
        <v/>
      </c>
      <c r="T66" s="15">
        <f>IF(OR(T59="",S59=""),"",IFERROR(T59/S59-1,""))</f>
        <v/>
      </c>
      <c r="U66" s="15">
        <f>IF(OR(U59="",T59=""),"",IFERROR(U59/T59-1,""))</f>
        <v/>
      </c>
      <c r="V66" s="15">
        <f>IF(OR(V59="",U59=""),"",IFERROR(V59/U59-1,""))</f>
        <v/>
      </c>
      <c r="W66" s="15">
        <f>IF(OR(W59="",V59=""),"",IFERROR(W59/V59-1,""))</f>
        <v/>
      </c>
      <c r="X66" s="15">
        <f>IF(OR(X59="",W59=""),"",IFERROR(X59/W59-1,""))</f>
        <v/>
      </c>
      <c r="Y66" s="14">
        <f>IF(OR(Y59="",X59=""),"",IFERROR(Y59/X59-1,""))</f>
        <v/>
      </c>
      <c r="Z66" s="15">
        <f>IF(OR(Z59="",Y59=""),"",IFERROR(Z59/Y59-1,""))</f>
        <v/>
      </c>
      <c r="AA66" s="15">
        <f>IF(OR(AA59="",Z59=""),"",IFERROR(AA59/Z59-1,""))</f>
        <v/>
      </c>
      <c r="AB66" s="15">
        <f>IF(OR(AB59="",AA59=""),"",IFERROR(AB59/AA59-1,""))</f>
        <v/>
      </c>
      <c r="AC66" s="15">
        <f>IF(OR(AC59="",AB59=""),"",IFERROR(AC59/AB59-1,""))</f>
        <v/>
      </c>
    </row>
    <row r="67">
      <c r="A67" s="18" t="inlineStr">
        <is>
          <t>P/E (현재 주가)</t>
        </is>
      </c>
      <c r="B67" s="10" t="inlineStr">
        <is>
          <t>시총 ÷ 지배순이익</t>
        </is>
      </c>
      <c r="C67" s="30" t="n"/>
      <c r="D67" s="31" t="n"/>
      <c r="E67" s="31" t="n"/>
      <c r="F67" s="31" t="n"/>
      <c r="G67" s="31" t="n"/>
      <c r="H67" s="31" t="n"/>
      <c r="I67" s="31" t="n"/>
      <c r="J67" s="31" t="n"/>
      <c r="K67" s="31" t="n"/>
      <c r="L67" s="31" t="n"/>
      <c r="M67" s="31" t="n"/>
      <c r="N67" s="31" t="n"/>
      <c r="O67" s="30" t="n"/>
      <c r="P67" s="31" t="n"/>
      <c r="Q67" s="31" t="n"/>
      <c r="R67" s="31" t="n"/>
      <c r="S67" s="31" t="n"/>
      <c r="T67" s="31" t="n"/>
      <c r="U67" s="31" t="n"/>
      <c r="V67" s="31" t="n"/>
      <c r="W67" s="31" t="n"/>
      <c r="X67" s="31">
        <f>IF(OR($B$64="",X59=""),"",IFERROR($B$64/X59,""))</f>
        <v/>
      </c>
      <c r="Y67" s="30">
        <f>IF(OR($B$64="",Y59=""),"",IFERROR($B$64/Y59,""))</f>
        <v/>
      </c>
      <c r="Z67" s="31">
        <f>IF(OR($B$64="",Z59=""),"",IFERROR($B$64/Z59,""))</f>
        <v/>
      </c>
      <c r="AA67" s="31">
        <f>IF(OR($B$64="",AA59=""),"",IFERROR($B$64/AA59,""))</f>
        <v/>
      </c>
      <c r="AB67" s="31">
        <f>IF(OR($B$64="",AB59=""),"",IFERROR($B$64/AB59,""))</f>
        <v/>
      </c>
      <c r="AC67" s="31">
        <f>IF(OR($B$64="",AC59=""),"",IFERROR($B$64/AC59,""))</f>
        <v/>
      </c>
    </row>
    <row r="68">
      <c r="A68" s="18" t="inlineStr">
        <is>
          <t>Target P/E</t>
        </is>
      </c>
      <c r="B68" s="10" t="inlineStr">
        <is>
          <t>직접 입력</t>
        </is>
      </c>
      <c r="C68" s="30" t="n"/>
      <c r="D68" s="31" t="n"/>
      <c r="E68" s="31" t="n"/>
      <c r="F68" s="31" t="n"/>
      <c r="G68" s="31" t="n"/>
      <c r="H68" s="31" t="n"/>
      <c r="I68" s="31" t="n"/>
      <c r="J68" s="31" t="n"/>
      <c r="K68" s="31" t="n"/>
      <c r="L68" s="31" t="n"/>
      <c r="M68" s="31" t="n"/>
      <c r="N68" s="31" t="n"/>
      <c r="O68" s="30" t="n"/>
      <c r="P68" s="31" t="n"/>
      <c r="Q68" s="31" t="n"/>
      <c r="R68" s="31" t="n"/>
      <c r="S68" s="31" t="n"/>
      <c r="T68" s="31" t="n"/>
      <c r="U68" s="31" t="n"/>
      <c r="V68" s="31" t="n"/>
      <c r="W68" s="31" t="n"/>
      <c r="X68" s="31" t="n"/>
      <c r="Y68" s="32" t="n"/>
      <c r="Z68" s="33" t="n"/>
      <c r="AA68" s="33" t="n"/>
      <c r="AB68" s="33" t="n"/>
      <c r="AC68" s="33" t="n"/>
    </row>
    <row r="69">
      <c r="A69" s="18" t="inlineStr">
        <is>
          <t>EPS</t>
        </is>
      </c>
      <c r="B69" s="10" t="inlineStr">
        <is>
          <t>지배순이익 ÷ 주식수</t>
        </is>
      </c>
      <c r="C69" s="28" t="n"/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8">
        <f>IF(OR(O59="",$B$63=""),"",IFERROR(O59*1000000.0/$B$63,""))</f>
        <v/>
      </c>
      <c r="P69" s="29">
        <f>IF(OR(P59="",$B$63=""),"",IFERROR(P59*1000000.0/$B$63,""))</f>
        <v/>
      </c>
      <c r="Q69" s="29">
        <f>IF(OR(Q59="",$B$63=""),"",IFERROR(Q59*1000000.0/$B$63,""))</f>
        <v/>
      </c>
      <c r="R69" s="29">
        <f>IF(OR(R59="",$B$63=""),"",IFERROR(R59*1000000.0/$B$63,""))</f>
        <v/>
      </c>
      <c r="S69" s="29">
        <f>IF(OR(S59="",$B$63=""),"",IFERROR(S59*1000000.0/$B$63,""))</f>
        <v/>
      </c>
      <c r="T69" s="29">
        <f>IF(OR(T59="",$B$63=""),"",IFERROR(T59*1000000.0/$B$63,""))</f>
        <v/>
      </c>
      <c r="U69" s="29">
        <f>IF(OR(U59="",$B$63=""),"",IFERROR(U59*1000000.0/$B$63,""))</f>
        <v/>
      </c>
      <c r="V69" s="29">
        <f>IF(OR(V59="",$B$63=""),"",IFERROR(V59*1000000.0/$B$63,""))</f>
        <v/>
      </c>
      <c r="W69" s="29">
        <f>IF(OR(W59="",$B$63=""),"",IFERROR(W59*1000000.0/$B$63,""))</f>
        <v/>
      </c>
      <c r="X69" s="29">
        <f>IF(OR(X59="",$B$63=""),"",IFERROR(X59*1000000.0/$B$63,""))</f>
        <v/>
      </c>
      <c r="Y69" s="28">
        <f>IF(OR(Y59="",$B$63=""),"",IFERROR(Y59*1000000.0/$B$63,""))</f>
        <v/>
      </c>
      <c r="Z69" s="29">
        <f>IF(OR(Z59="",$B$63=""),"",IFERROR(Z59*1000000.0/$B$63,""))</f>
        <v/>
      </c>
      <c r="AA69" s="29">
        <f>IF(OR(AA59="",$B$63=""),"",IFERROR(AA59*1000000.0/$B$63,""))</f>
        <v/>
      </c>
      <c r="AB69" s="29">
        <f>IF(OR(AB59="",$B$63=""),"",IFERROR(AB59*1000000.0/$B$63,""))</f>
        <v/>
      </c>
      <c r="AC69" s="29">
        <f>IF(OR(AC59="",$B$63=""),"",IFERROR(AC59*1000000.0/$B$63,""))</f>
        <v/>
      </c>
    </row>
    <row r="70">
      <c r="A70" s="9" t="inlineStr">
        <is>
          <t>목표주가</t>
        </is>
      </c>
      <c r="B70" s="10" t="n"/>
      <c r="C70" s="34" t="n"/>
      <c r="D70" s="27" t="n"/>
      <c r="E70" s="27" t="n"/>
      <c r="F70" s="27" t="n"/>
      <c r="G70" s="27" t="n"/>
      <c r="H70" s="27" t="n"/>
      <c r="I70" s="27" t="n"/>
      <c r="J70" s="27" t="n"/>
      <c r="K70" s="27" t="n"/>
      <c r="L70" s="27" t="n"/>
      <c r="M70" s="27" t="n"/>
      <c r="N70" s="27" t="n"/>
      <c r="O70" s="34" t="n"/>
      <c r="P70" s="27" t="n"/>
      <c r="Q70" s="27" t="n"/>
      <c r="R70" s="27" t="n"/>
      <c r="S70" s="27" t="n"/>
      <c r="T70" s="27" t="n"/>
      <c r="U70" s="27" t="n"/>
      <c r="V70" s="27" t="n"/>
      <c r="W70" s="27" t="n"/>
      <c r="X70" s="27" t="n"/>
      <c r="Y70" s="34">
        <f>IF(OR(Y69="",Y68=""),"",IFERROR(Y69*Y68,""))</f>
        <v/>
      </c>
      <c r="Z70" s="27">
        <f>IF(OR(Z69="",Z68=""),"",IFERROR(Z69*Z68,""))</f>
        <v/>
      </c>
      <c r="AA70" s="27">
        <f>IF(OR(AA69="",AA68=""),"",IFERROR(AA69*AA68,""))</f>
        <v/>
      </c>
      <c r="AB70" s="27">
        <f>IF(OR(AB69="",AB68=""),"",IFERROR(AB69*AB68,""))</f>
        <v/>
      </c>
      <c r="AC70" s="27">
        <f>IF(OR(AC69="",AC68=""),"",IFERROR(AC69*AC68,""))</f>
        <v/>
      </c>
    </row>
    <row r="71">
      <c r="A71" s="18" t="inlineStr">
        <is>
          <t>상승여력</t>
        </is>
      </c>
      <c r="B71" s="10" t="n"/>
      <c r="C71" s="35" t="n"/>
      <c r="D71" s="36" t="n"/>
      <c r="E71" s="36" t="n"/>
      <c r="F71" s="36" t="n"/>
      <c r="G71" s="36" t="n"/>
      <c r="H71" s="36" t="n"/>
      <c r="I71" s="36" t="n"/>
      <c r="J71" s="36" t="n"/>
      <c r="K71" s="36" t="n"/>
      <c r="L71" s="36" t="n"/>
      <c r="M71" s="36" t="n"/>
      <c r="N71" s="36" t="n"/>
      <c r="O71" s="35" t="n"/>
      <c r="P71" s="36" t="n"/>
      <c r="Q71" s="36" t="n"/>
      <c r="R71" s="36" t="n"/>
      <c r="S71" s="36" t="n"/>
      <c r="T71" s="36" t="n"/>
      <c r="U71" s="36" t="n"/>
      <c r="V71" s="36" t="n"/>
      <c r="W71" s="36" t="n"/>
      <c r="X71" s="36" t="n"/>
      <c r="Y71" s="37">
        <f>IF(OR(Y70="",$B$62=""),"",IFERROR(Y70/$B$62-1,""))</f>
        <v/>
      </c>
      <c r="Z71" s="38">
        <f>IF(OR(Z70="",$B$62=""),"",IFERROR(Z70/$B$62-1,""))</f>
        <v/>
      </c>
      <c r="AA71" s="38">
        <f>IF(OR(AA70="",$B$62=""),"",IFERROR(AA70/$B$62-1,""))</f>
        <v/>
      </c>
      <c r="AB71" s="38">
        <f>IF(OR(AB70="",$B$62=""),"",IFERROR(AB70/$B$62-1,""))</f>
        <v/>
      </c>
      <c r="AC71" s="38">
        <f>IF(OR(AC70="",$B$62=""),"",IFERROR(AC70/$B$62-1,""))</f>
        <v/>
      </c>
    </row>
    <row r="72">
      <c r="A72" s="16" t="inlineStr">
        <is>
          <t>자산가치 산출</t>
        </is>
      </c>
      <c r="B72" s="16" t="inlineStr">
        <is>
          <t>최신 분기 BS</t>
        </is>
      </c>
      <c r="C72" s="17" t="n"/>
      <c r="D72" s="16" t="n"/>
      <c r="E72" s="16" t="n"/>
      <c r="F72" s="16" t="n"/>
      <c r="G72" s="16" t="n"/>
      <c r="H72" s="16" t="n"/>
      <c r="I72" s="16" t="n"/>
      <c r="J72" s="16" t="n"/>
      <c r="K72" s="16" t="n"/>
      <c r="L72" s="16" t="n"/>
      <c r="M72" s="16" t="n"/>
      <c r="N72" s="16" t="n"/>
      <c r="O72" s="17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7" t="n"/>
      <c r="Z72" s="16" t="n"/>
      <c r="AA72" s="16" t="n"/>
      <c r="AB72" s="16" t="n"/>
      <c r="AC72" s="16" t="n"/>
    </row>
    <row r="73">
      <c r="A73" s="18" t="inlineStr">
        <is>
          <t>현금및현금성자산</t>
        </is>
      </c>
      <c r="B73" s="10" t="n"/>
      <c r="C73" s="19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19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>
        <f>'재무상태표'!G6</f>
        <v/>
      </c>
      <c r="Y73" s="19">
        <f>'재무상태표'!G6</f>
        <v/>
      </c>
      <c r="Z73" s="20">
        <f>'재무상태표'!G6</f>
        <v/>
      </c>
      <c r="AA73" s="20">
        <f>'재무상태표'!G6</f>
        <v/>
      </c>
      <c r="AB73" s="20">
        <f>'재무상태표'!G6</f>
        <v/>
      </c>
      <c r="AC73" s="20">
        <f>'재무상태표'!G6</f>
        <v/>
      </c>
    </row>
    <row r="74">
      <c r="A74" s="18" t="inlineStr">
        <is>
          <t>단기금융상품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>
        <f>'재무상태표'!G7</f>
        <v/>
      </c>
      <c r="Y74" s="19">
        <f>'재무상태표'!G7</f>
        <v/>
      </c>
      <c r="Z74" s="20">
        <f>'재무상태표'!G7</f>
        <v/>
      </c>
      <c r="AA74" s="20">
        <f>'재무상태표'!G7</f>
        <v/>
      </c>
      <c r="AB74" s="20">
        <f>'재무상태표'!G7</f>
        <v/>
      </c>
      <c r="AC74" s="20">
        <f>'재무상태표'!G7</f>
        <v/>
      </c>
    </row>
    <row r="75">
      <c r="A75" s="18" t="inlineStr">
        <is>
          <t>투자부동산</t>
        </is>
      </c>
      <c r="B75" s="10" t="n"/>
      <c r="C75" s="19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19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>
        <f>'재무상태표'!G14</f>
        <v/>
      </c>
      <c r="Y75" s="19">
        <f>'재무상태표'!G14</f>
        <v/>
      </c>
      <c r="Z75" s="20">
        <f>'재무상태표'!G14</f>
        <v/>
      </c>
      <c r="AA75" s="20">
        <f>'재무상태표'!G14</f>
        <v/>
      </c>
      <c r="AB75" s="20">
        <f>'재무상태표'!G14</f>
        <v/>
      </c>
      <c r="AC75" s="20">
        <f>'재무상태표'!G14</f>
        <v/>
      </c>
    </row>
    <row r="76">
      <c r="A76" s="18" t="inlineStr">
        <is>
          <t>지배자본</t>
        </is>
      </c>
      <c r="B76" s="10" t="n"/>
      <c r="C76" s="19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19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>
        <f>'재무상태표'!G31</f>
        <v/>
      </c>
      <c r="Y76" s="19">
        <f>'재무상태표'!G31</f>
        <v/>
      </c>
      <c r="Z76" s="20">
        <f>'재무상태표'!G31</f>
        <v/>
      </c>
      <c r="AA76" s="20">
        <f>'재무상태표'!G31</f>
        <v/>
      </c>
      <c r="AB76" s="20">
        <f>'재무상태표'!G31</f>
        <v/>
      </c>
      <c r="AC76" s="20">
        <f>'재무상태표'!G31</f>
        <v/>
      </c>
    </row>
    <row r="77">
      <c r="A77" s="18" t="inlineStr">
        <is>
          <t>부채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>
        <f>'재무상태표'!G27</f>
        <v/>
      </c>
      <c r="Y77" s="19">
        <f>'재무상태표'!G27</f>
        <v/>
      </c>
      <c r="Z77" s="20">
        <f>'재무상태표'!G27</f>
        <v/>
      </c>
      <c r="AA77" s="20">
        <f>'재무상태표'!G27</f>
        <v/>
      </c>
      <c r="AB77" s="20">
        <f>'재무상태표'!G27</f>
        <v/>
      </c>
      <c r="AC77" s="20">
        <f>'재무상태표'!G27</f>
        <v/>
      </c>
    </row>
    <row r="78">
      <c r="A78" s="13" t="inlineStr">
        <is>
          <t>부채비율</t>
        </is>
      </c>
      <c r="B78" s="10" t="n"/>
      <c r="C78" s="14" t="n"/>
      <c r="D78" s="15" t="n"/>
      <c r="E78" s="15" t="n"/>
      <c r="F78" s="15" t="n"/>
      <c r="G78" s="15" t="n"/>
      <c r="H78" s="15" t="n"/>
      <c r="I78" s="15" t="n"/>
      <c r="J78" s="15" t="n"/>
      <c r="K78" s="15" t="n"/>
      <c r="L78" s="15" t="n"/>
      <c r="M78" s="15" t="n"/>
      <c r="N78" s="15" t="n"/>
      <c r="O78" s="14" t="n"/>
      <c r="P78" s="15" t="n"/>
      <c r="Q78" s="15" t="n"/>
      <c r="R78" s="15" t="n"/>
      <c r="S78" s="15" t="n"/>
      <c r="T78" s="15" t="n"/>
      <c r="U78" s="15" t="n"/>
      <c r="V78" s="15" t="n"/>
      <c r="W78" s="15" t="n"/>
      <c r="X78" s="15">
        <f>IF(OR(X77="",X76=""),"",IFERROR(X77/X76,""))</f>
        <v/>
      </c>
      <c r="Y78" s="14">
        <f>IF(OR(Y77="",Y76=""),"",IFERROR(Y77/Y76,""))</f>
        <v/>
      </c>
      <c r="Z78" s="15">
        <f>IF(OR(Z77="",Z76=""),"",IFERROR(Z77/Z76,""))</f>
        <v/>
      </c>
      <c r="AA78" s="15">
        <f>IF(OR(AA77="",AA76=""),"",IFERROR(AA77/AA76,""))</f>
        <v/>
      </c>
      <c r="AB78" s="15">
        <f>IF(OR(AB77="",AB76=""),"",IFERROR(AB77/AB76,""))</f>
        <v/>
      </c>
      <c r="AC78" s="15">
        <f>IF(OR(AC77="",AC76=""),"",IFERROR(AC77/AC76,""))</f>
        <v/>
      </c>
    </row>
    <row r="79">
      <c r="A79" s="9" t="inlineStr">
        <is>
          <t>자산가치</t>
        </is>
      </c>
      <c r="B79" s="10" t="inlineStr">
        <is>
          <t>현금+단기금융+투자부동산</t>
        </is>
      </c>
      <c r="C79" s="11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1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>
        <f>SUM(X73,X74,X75)</f>
        <v/>
      </c>
      <c r="Y79" s="11">
        <f>SUM(Y73,Y74,Y75)</f>
        <v/>
      </c>
      <c r="Z79" s="12">
        <f>SUM(Z73,Z74,Z75)</f>
        <v/>
      </c>
      <c r="AA79" s="12">
        <f>SUM(AA73,AA74,AA75)</f>
        <v/>
      </c>
      <c r="AB79" s="12">
        <f>SUM(AB73,AB74,AB75)</f>
        <v/>
      </c>
      <c r="AC79" s="12">
        <f>SUM(AC73,AC74,AC75)</f>
        <v/>
      </c>
    </row>
    <row r="80">
      <c r="A80" s="16" t="inlineStr">
        <is>
          <t>기업가치 산출</t>
        </is>
      </c>
      <c r="B80" s="16" t="n"/>
      <c r="C80" s="17" t="n"/>
      <c r="D80" s="16" t="n"/>
      <c r="E80" s="16" t="n"/>
      <c r="F80" s="16" t="n"/>
      <c r="G80" s="16" t="n"/>
      <c r="H80" s="16" t="n"/>
      <c r="I80" s="16" t="n"/>
      <c r="J80" s="16" t="n"/>
      <c r="K80" s="16" t="n"/>
      <c r="L80" s="16" t="n"/>
      <c r="M80" s="16" t="n"/>
      <c r="N80" s="16" t="n"/>
      <c r="O80" s="17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7" t="n"/>
      <c r="Z80" s="16" t="n"/>
      <c r="AA80" s="16" t="n"/>
      <c r="AB80" s="16" t="n"/>
      <c r="AC80" s="16" t="n"/>
    </row>
    <row r="81">
      <c r="A81" s="18" t="inlineStr">
        <is>
          <t>목표 시가총액 (P/E)</t>
        </is>
      </c>
      <c r="B81" s="10" t="inlineStr">
        <is>
          <t>지배순이익 × Target P/E</t>
        </is>
      </c>
      <c r="C81" s="19" t="n"/>
      <c r="D81" s="20" t="n"/>
      <c r="E81" s="20" t="n"/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/>
      <c r="O81" s="19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19">
        <f>IF(OR(Y59="",Y68=""),"",IFERROR(Y59*Y68,""))</f>
        <v/>
      </c>
      <c r="Z81" s="20">
        <f>IF(OR(Z59="",Z68=""),"",IFERROR(Z59*Z68,""))</f>
        <v/>
      </c>
      <c r="AA81" s="20">
        <f>IF(OR(AA59="",AA68=""),"",IFERROR(AA59*AA68,""))</f>
        <v/>
      </c>
      <c r="AB81" s="20">
        <f>IF(OR(AB59="",AB68=""),"",IFERROR(AB59*AB68,""))</f>
        <v/>
      </c>
      <c r="AC81" s="20">
        <f>IF(OR(AC59="",AC68=""),"",IFERROR(AC59*AC68,""))</f>
        <v/>
      </c>
    </row>
    <row r="82">
      <c r="A82" s="9" t="inlineStr">
        <is>
          <t>기업가치</t>
        </is>
      </c>
      <c r="B82" s="10" t="inlineStr">
        <is>
          <t>목표시총 + 자산가치</t>
        </is>
      </c>
      <c r="C82" s="11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1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 t="n"/>
      <c r="Y82" s="11">
        <f>IF(OR(Y81=""),"",IFERROR(Y81+Y79,""))</f>
        <v/>
      </c>
      <c r="Z82" s="12">
        <f>IF(OR(Z81=""),"",IFERROR(Z81+Z79,""))</f>
        <v/>
      </c>
      <c r="AA82" s="12">
        <f>IF(OR(AA81=""),"",IFERROR(AA81+AA79,""))</f>
        <v/>
      </c>
      <c r="AB82" s="12">
        <f>IF(OR(AB81=""),"",IFERROR(AB81+AB79,""))</f>
        <v/>
      </c>
      <c r="AC82" s="12">
        <f>IF(OR(AC81=""),"",IFERROR(AC81+AC79,""))</f>
        <v/>
      </c>
    </row>
    <row r="83">
      <c r="A83" s="18" t="inlineStr">
        <is>
          <t>현재 시가총액</t>
        </is>
      </c>
      <c r="B83" s="10" t="n"/>
      <c r="C83" s="19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19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19">
        <f>$B$64</f>
        <v/>
      </c>
      <c r="Z83" s="20">
        <f>$B$64</f>
        <v/>
      </c>
      <c r="AA83" s="20">
        <f>$B$64</f>
        <v/>
      </c>
      <c r="AB83" s="20">
        <f>$B$64</f>
        <v/>
      </c>
      <c r="AC83" s="20">
        <f>$B$64</f>
        <v/>
      </c>
    </row>
    <row r="84">
      <c r="A84" s="18" t="inlineStr">
        <is>
          <t>상승여력</t>
        </is>
      </c>
      <c r="B84" s="10" t="n"/>
      <c r="C84" s="35" t="n"/>
      <c r="D84" s="36" t="n"/>
      <c r="E84" s="36" t="n"/>
      <c r="F84" s="36" t="n"/>
      <c r="G84" s="36" t="n"/>
      <c r="H84" s="36" t="n"/>
      <c r="I84" s="36" t="n"/>
      <c r="J84" s="36" t="n"/>
      <c r="K84" s="36" t="n"/>
      <c r="L84" s="36" t="n"/>
      <c r="M84" s="36" t="n"/>
      <c r="N84" s="36" t="n"/>
      <c r="O84" s="35" t="n"/>
      <c r="P84" s="36" t="n"/>
      <c r="Q84" s="36" t="n"/>
      <c r="R84" s="36" t="n"/>
      <c r="S84" s="36" t="n"/>
      <c r="T84" s="36" t="n"/>
      <c r="U84" s="36" t="n"/>
      <c r="V84" s="36" t="n"/>
      <c r="W84" s="36" t="n"/>
      <c r="X84" s="36" t="n"/>
      <c r="Y84" s="37">
        <f>IF(OR(Y82="",Y83=""),"",IFERROR(Y82/Y83-1,""))</f>
        <v/>
      </c>
      <c r="Z84" s="38">
        <f>IF(OR(Z82="",Z83=""),"",IFERROR(Z82/Z83-1,""))</f>
        <v/>
      </c>
      <c r="AA84" s="38">
        <f>IF(OR(AA82="",AA83=""),"",IFERROR(AA82/AA83-1,""))</f>
        <v/>
      </c>
      <c r="AB84" s="38">
        <f>IF(OR(AB82="",AB83=""),"",IFERROR(AB82/AB83-1,""))</f>
        <v/>
      </c>
      <c r="AC84" s="38">
        <f>IF(OR(AC82="",AC83=""),"",IFERROR(AC82/AC83-1,""))</f>
        <v/>
      </c>
    </row>
    <row r="85">
      <c r="C85" s="39" t="n"/>
      <c r="O85" s="39" t="n"/>
      <c r="Y85" s="39" t="n"/>
    </row>
    <row r="86">
      <c r="A86" s="40" t="inlineStr">
        <is>
          <t>출처</t>
        </is>
      </c>
      <c r="C86" s="39" t="n"/>
      <c r="O86" s="39" t="n"/>
      <c r="Y86" s="39" t="n"/>
    </row>
    <row r="87">
      <c r="A87" s="41" t="inlineStr">
        <is>
          <t>결산단신 XBRL(TDnet·JPX 보관소) — 쓴 문서는 '출처' 시트</t>
        </is>
      </c>
      <c r="C87" s="39" t="n"/>
      <c r="O87" s="39" t="n"/>
      <c r="Y87" s="39" t="n"/>
    </row>
    <row r="88">
      <c r="A88" s="41" t="inlineStr">
        <is>
          <t>분기 = 누계에서 앞 분기를 뺀 3개월 값</t>
        </is>
      </c>
      <c r="C88" s="39" t="n"/>
      <c r="O88" s="39" t="n"/>
      <c r="Y88" s="39" t="n"/>
    </row>
    <row r="89">
      <c r="A89" s="41" t="inlineStr">
        <is>
          <t>주가: 야후 파이낸스 일봉 2026.10.27</t>
        </is>
      </c>
      <c r="C89" s="39" t="n"/>
      <c r="O89" s="39" t="n"/>
      <c r="Y89" s="39" t="n"/>
    </row>
    <row r="91">
      <c r="A91" s="16" t="inlineStr">
        <is>
          <t>손익계산서 · 전 항목</t>
        </is>
      </c>
      <c r="B91" s="42" t="inlineStr">
        <is>
          <t>분기 = 3개월 단독</t>
        </is>
      </c>
      <c r="C91" s="16" t="n"/>
      <c r="D91" s="16" t="n"/>
      <c r="E91" s="16" t="n"/>
      <c r="F91" s="16" t="n"/>
      <c r="G91" s="16" t="n"/>
      <c r="H91" s="16" t="n"/>
      <c r="I91" s="16" t="n"/>
      <c r="J91" s="16" t="n"/>
      <c r="K91" s="16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  <c r="AA91" s="16" t="n"/>
      <c r="AB91" s="16" t="n"/>
      <c r="AC91" s="16" t="n"/>
    </row>
    <row r="92">
      <c r="A92" s="5" t="inlineStr">
        <is>
          <t>항목</t>
        </is>
      </c>
      <c r="B92" s="5" t="inlineStr">
        <is>
          <t>참고</t>
        </is>
      </c>
      <c r="C92" s="5" t="inlineStr">
        <is>
          <t>2023.4Q</t>
        </is>
      </c>
      <c r="D92" s="5" t="inlineStr">
        <is>
          <t>2024.1Q</t>
        </is>
      </c>
      <c r="E92" s="5" t="inlineStr">
        <is>
          <t>2024.2Q</t>
        </is>
      </c>
      <c r="F92" s="5" t="inlineStr">
        <is>
          <t>2024.3Q</t>
        </is>
      </c>
      <c r="G92" s="5" t="inlineStr">
        <is>
          <t>2024.4Q</t>
        </is>
      </c>
      <c r="H92" s="5" t="inlineStr">
        <is>
          <t>2025.1Q</t>
        </is>
      </c>
      <c r="I92" s="5" t="inlineStr">
        <is>
          <t>2025.2Q</t>
        </is>
      </c>
      <c r="J92" s="5" t="inlineStr">
        <is>
          <t>2025.3Q</t>
        </is>
      </c>
      <c r="K92" s="5" t="inlineStr">
        <is>
          <t>2025.4Q</t>
        </is>
      </c>
      <c r="L92" s="5" t="inlineStr">
        <is>
          <t>2026.1Q</t>
        </is>
      </c>
      <c r="M92" s="5" t="inlineStr">
        <is>
          <t>2026.2Q</t>
        </is>
      </c>
      <c r="N92" s="5" t="inlineStr">
        <is>
          <t>2026.3Q</t>
        </is>
      </c>
      <c r="O92" s="5" t="inlineStr">
        <is>
          <t>2016</t>
        </is>
      </c>
      <c r="P92" s="5" t="inlineStr">
        <is>
          <t>2017</t>
        </is>
      </c>
      <c r="Q92" s="5" t="inlineStr">
        <is>
          <t>2018</t>
        </is>
      </c>
      <c r="R92" s="5" t="inlineStr">
        <is>
          <t>2019</t>
        </is>
      </c>
      <c r="S92" s="5" t="inlineStr">
        <is>
          <t>2020</t>
        </is>
      </c>
      <c r="T92" s="5" t="inlineStr">
        <is>
          <t>2021</t>
        </is>
      </c>
      <c r="U92" s="5" t="inlineStr">
        <is>
          <t>2022</t>
        </is>
      </c>
      <c r="V92" s="5" t="inlineStr">
        <is>
          <t>2023</t>
        </is>
      </c>
      <c r="W92" s="5" t="inlineStr">
        <is>
          <t>2024</t>
        </is>
      </c>
      <c r="X92" s="5" t="inlineStr">
        <is>
          <t>2025</t>
        </is>
      </c>
      <c r="Y92" s="5" t="inlineStr">
        <is>
          <t>2026(MW)</t>
        </is>
      </c>
      <c r="Z92" s="5" t="inlineStr">
        <is>
          <t>2027(MW)</t>
        </is>
      </c>
      <c r="AA92" s="5" t="inlineStr">
        <is>
          <t>2028(MW)</t>
        </is>
      </c>
      <c r="AB92" s="5" t="inlineStr">
        <is>
          <t>2029(MW)</t>
        </is>
      </c>
      <c r="AC92" s="5" t="inlineStr">
        <is>
          <t>2030(MW)</t>
        </is>
      </c>
    </row>
    <row r="93">
      <c r="A93" s="9" t="inlineStr">
        <is>
          <t>매출액</t>
        </is>
      </c>
      <c r="C93" s="12" t="n">
        <v>99098</v>
      </c>
      <c r="D93" s="12" t="n">
        <v>100557</v>
      </c>
      <c r="E93" s="12" t="n">
        <v>116330</v>
      </c>
      <c r="F93" s="12" t="n">
        <v>117992</v>
      </c>
      <c r="G93" s="12" t="n">
        <v>116114</v>
      </c>
      <c r="H93" s="12" t="n">
        <v>113539</v>
      </c>
      <c r="I93" s="12" t="n">
        <v>123870</v>
      </c>
      <c r="J93" s="12" t="n">
        <v>113611</v>
      </c>
      <c r="K93" s="12" t="n">
        <v>115223</v>
      </c>
      <c r="L93" s="12" t="n">
        <v>117644</v>
      </c>
      <c r="M93" s="12" t="n">
        <v>129415</v>
      </c>
      <c r="N93" s="12" t="n">
        <v>128189</v>
      </c>
      <c r="U93" s="12" t="n">
        <v>161244</v>
      </c>
      <c r="V93" s="12" t="n">
        <v>99098</v>
      </c>
      <c r="W93" s="12" t="n">
        <v>116114</v>
      </c>
      <c r="X93" s="12" t="n">
        <v>115223</v>
      </c>
    </row>
    <row r="94">
      <c r="A94" s="43" t="inlineStr">
        <is>
          <t>YoY</t>
        </is>
      </c>
      <c r="B94" s="3" t="inlineStr">
        <is>
          <t>전년 같은 분기·전년 대비</t>
        </is>
      </c>
      <c r="G94" s="15">
        <f>IF(OR(G93="",C93=""),"",IF(C93&lt;=0,"",IFERROR(G93/C93-1,"")))</f>
        <v/>
      </c>
      <c r="H94" s="15">
        <f>IF(OR(H93="",D93=""),"",IF(D93&lt;=0,"",IFERROR(H93/D93-1,"")))</f>
        <v/>
      </c>
      <c r="I94" s="15">
        <f>IF(OR(I93="",E93=""),"",IF(E93&lt;=0,"",IFERROR(I93/E93-1,"")))</f>
        <v/>
      </c>
      <c r="J94" s="15">
        <f>IF(OR(J93="",F93=""),"",IF(F93&lt;=0,"",IFERROR(J93/F93-1,"")))</f>
        <v/>
      </c>
      <c r="K94" s="15">
        <f>IF(OR(K93="",G93=""),"",IF(G93&lt;=0,"",IFERROR(K93/G93-1,"")))</f>
        <v/>
      </c>
      <c r="L94" s="15">
        <f>IF(OR(L93="",H93=""),"",IF(H93&lt;=0,"",IFERROR(L93/H93-1,"")))</f>
        <v/>
      </c>
      <c r="M94" s="15">
        <f>IF(OR(M93="",I93=""),"",IF(I93&lt;=0,"",IFERROR(M93/I93-1,"")))</f>
        <v/>
      </c>
      <c r="N94" s="15">
        <f>IF(OR(N93="",J93=""),"",IF(J93&lt;=0,"",IFERROR(N93/J93-1,"")))</f>
        <v/>
      </c>
      <c r="U94" s="15">
        <f>IF(OR(U93="",T93=""),"",IF(T93&lt;=0,"",IFERROR(U93/T93-1,"")))</f>
        <v/>
      </c>
      <c r="V94" s="15">
        <f>IF(OR(V93="",U93=""),"",IF(U93&lt;=0,"",IFERROR(V93/U93-1,"")))</f>
        <v/>
      </c>
      <c r="W94" s="15">
        <f>IF(OR(W93="",V93=""),"",IF(V93&lt;=0,"",IFERROR(W93/V93-1,"")))</f>
        <v/>
      </c>
      <c r="X94" s="15">
        <f>IF(OR(X93="",W93=""),"",IF(W93&lt;=0,"",IFERROR(X93/W93-1,"")))</f>
        <v/>
      </c>
    </row>
    <row r="95">
      <c r="A95" s="18" t="inlineStr">
        <is>
          <t>매출원가</t>
        </is>
      </c>
      <c r="C95" s="20" t="n">
        <v>63160</v>
      </c>
      <c r="D95" s="20" t="n">
        <v>61513</v>
      </c>
      <c r="E95" s="20" t="n">
        <v>71436</v>
      </c>
      <c r="F95" s="20" t="n">
        <v>71453</v>
      </c>
      <c r="G95" s="20" t="n">
        <v>74288</v>
      </c>
      <c r="H95" s="20" t="n">
        <v>68442</v>
      </c>
      <c r="I95" s="20" t="n">
        <v>82330</v>
      </c>
      <c r="J95" s="20" t="n">
        <v>75449</v>
      </c>
      <c r="K95" s="20" t="n">
        <v>73406</v>
      </c>
      <c r="L95" s="20" t="n">
        <v>75787</v>
      </c>
      <c r="M95" s="20" t="n">
        <v>82724</v>
      </c>
      <c r="N95" s="20" t="n">
        <v>82069</v>
      </c>
      <c r="U95" s="20" t="n">
        <v>93879</v>
      </c>
      <c r="V95" s="20" t="n">
        <v>63160</v>
      </c>
      <c r="W95" s="20" t="n">
        <v>74288</v>
      </c>
      <c r="X95" s="20" t="n">
        <v>73406</v>
      </c>
    </row>
    <row r="96">
      <c r="A96" s="9" t="inlineStr">
        <is>
          <t>매출총이익</t>
        </is>
      </c>
      <c r="C96" s="12" t="n">
        <v>35939</v>
      </c>
      <c r="D96" s="12" t="n">
        <v>39044</v>
      </c>
      <c r="E96" s="12" t="n">
        <v>44893</v>
      </c>
      <c r="F96" s="12" t="n">
        <v>46539</v>
      </c>
      <c r="G96" s="12" t="n">
        <v>41827</v>
      </c>
      <c r="H96" s="12" t="n">
        <v>45097</v>
      </c>
      <c r="I96" s="12" t="n">
        <v>41539</v>
      </c>
      <c r="J96" s="12" t="n">
        <v>38163</v>
      </c>
      <c r="K96" s="12" t="n">
        <v>41817</v>
      </c>
      <c r="L96" s="12" t="n">
        <v>41857</v>
      </c>
      <c r="M96" s="12" t="n">
        <v>46690</v>
      </c>
      <c r="N96" s="12" t="n">
        <v>46120</v>
      </c>
      <c r="U96" s="12" t="n">
        <v>67366</v>
      </c>
      <c r="V96" s="12" t="n">
        <v>35939</v>
      </c>
      <c r="W96" s="12" t="n">
        <v>41827</v>
      </c>
      <c r="X96" s="12" t="n">
        <v>41817</v>
      </c>
    </row>
    <row r="97">
      <c r="A97" s="43" t="inlineStr">
        <is>
          <t>YoY</t>
        </is>
      </c>
      <c r="B97" s="3" t="inlineStr">
        <is>
          <t>전년 같은 분기·전년 대비</t>
        </is>
      </c>
      <c r="G97" s="15">
        <f>IF(OR(G96="",C96=""),"",IF(C96&lt;=0,"",IFERROR(G96/C96-1,"")))</f>
        <v/>
      </c>
      <c r="H97" s="15">
        <f>IF(OR(H96="",D96=""),"",IF(D96&lt;=0,"",IFERROR(H96/D96-1,"")))</f>
        <v/>
      </c>
      <c r="I97" s="15">
        <f>IF(OR(I96="",E96=""),"",IF(E96&lt;=0,"",IFERROR(I96/E96-1,"")))</f>
        <v/>
      </c>
      <c r="J97" s="15">
        <f>IF(OR(J96="",F96=""),"",IF(F96&lt;=0,"",IFERROR(J96/F96-1,"")))</f>
        <v/>
      </c>
      <c r="K97" s="15">
        <f>IF(OR(K96="",G96=""),"",IF(G96&lt;=0,"",IFERROR(K96/G96-1,"")))</f>
        <v/>
      </c>
      <c r="L97" s="15">
        <f>IF(OR(L96="",H96=""),"",IF(H96&lt;=0,"",IFERROR(L96/H96-1,"")))</f>
        <v/>
      </c>
      <c r="M97" s="15">
        <f>IF(OR(M96="",I96=""),"",IF(I96&lt;=0,"",IFERROR(M96/I96-1,"")))</f>
        <v/>
      </c>
      <c r="N97" s="15">
        <f>IF(OR(N96="",J96=""),"",IF(J96&lt;=0,"",IFERROR(N96/J96-1,"")))</f>
        <v/>
      </c>
      <c r="U97" s="15">
        <f>IF(OR(U96="",T96=""),"",IF(T96&lt;=0,"",IFERROR(U96/T96-1,"")))</f>
        <v/>
      </c>
      <c r="V97" s="15">
        <f>IF(OR(V96="",U96=""),"",IF(U96&lt;=0,"",IFERROR(V96/U96-1,"")))</f>
        <v/>
      </c>
      <c r="W97" s="15">
        <f>IF(OR(W96="",V96=""),"",IF(V96&lt;=0,"",IFERROR(W96/V96-1,"")))</f>
        <v/>
      </c>
      <c r="X97" s="15">
        <f>IF(OR(X96="",W96=""),"",IF(W96&lt;=0,"",IFERROR(X96/W96-1,"")))</f>
        <v/>
      </c>
    </row>
    <row r="98">
      <c r="A98" s="18" t="inlineStr">
        <is>
          <t>판매비와 관리비</t>
        </is>
      </c>
      <c r="C98" s="20" t="n">
        <v>24372</v>
      </c>
      <c r="D98" s="20" t="n">
        <v>25623</v>
      </c>
      <c r="E98" s="20" t="n">
        <v>27358</v>
      </c>
      <c r="F98" s="20" t="n">
        <v>26844</v>
      </c>
      <c r="G98" s="20" t="n">
        <v>27392</v>
      </c>
      <c r="H98" s="20" t="n">
        <v>28955</v>
      </c>
      <c r="I98" s="20" t="n">
        <v>29558</v>
      </c>
      <c r="J98" s="20" t="n">
        <v>29720</v>
      </c>
      <c r="K98" s="20" t="n">
        <v>26705</v>
      </c>
      <c r="L98" s="20" t="n">
        <v>31456</v>
      </c>
      <c r="M98" s="20" t="n">
        <v>29841</v>
      </c>
      <c r="N98" s="20" t="n">
        <v>28838</v>
      </c>
      <c r="U98" s="20" t="n">
        <v>24784</v>
      </c>
      <c r="V98" s="20" t="n">
        <v>24372</v>
      </c>
      <c r="W98" s="20" t="n">
        <v>27392</v>
      </c>
      <c r="X98" s="20" t="n">
        <v>26705</v>
      </c>
    </row>
    <row r="99">
      <c r="A99" s="9" t="inlineStr">
        <is>
          <t>영업이익</t>
        </is>
      </c>
      <c r="C99" s="12" t="n">
        <v>11567</v>
      </c>
      <c r="D99" s="12" t="n">
        <v>13421</v>
      </c>
      <c r="E99" s="12" t="n">
        <v>17534</v>
      </c>
      <c r="F99" s="12" t="n">
        <v>19696</v>
      </c>
      <c r="G99" s="12" t="n">
        <v>14434</v>
      </c>
      <c r="H99" s="12" t="n">
        <v>16142</v>
      </c>
      <c r="I99" s="12" t="n">
        <v>11981</v>
      </c>
      <c r="J99" s="12" t="n">
        <v>8442</v>
      </c>
      <c r="K99" s="12" t="n">
        <v>15112</v>
      </c>
      <c r="L99" s="12" t="n">
        <v>10400</v>
      </c>
      <c r="M99" s="12" t="n">
        <v>16849</v>
      </c>
      <c r="N99" s="12" t="n">
        <v>17283</v>
      </c>
      <c r="U99" s="12" t="n">
        <v>42582</v>
      </c>
      <c r="V99" s="12" t="n">
        <v>11567</v>
      </c>
      <c r="W99" s="12" t="n">
        <v>14434</v>
      </c>
      <c r="X99" s="12" t="n">
        <v>15112</v>
      </c>
    </row>
    <row r="100">
      <c r="A100" s="43" t="inlineStr">
        <is>
          <t>OPM</t>
        </is>
      </c>
      <c r="B100" s="3" t="inlineStr">
        <is>
          <t>영업이익 ÷ 매출</t>
        </is>
      </c>
      <c r="C100" s="15">
        <f>IF(OR(C99="",C93=""),"",IF(C93&lt;=0,"",IFERROR(C99/C93,"")))</f>
        <v/>
      </c>
      <c r="D100" s="15">
        <f>IF(OR(D99="",D93=""),"",IF(D93&lt;=0,"",IFERROR(D99/D93,"")))</f>
        <v/>
      </c>
      <c r="E100" s="15">
        <f>IF(OR(E99="",E93=""),"",IF(E93&lt;=0,"",IFERROR(E99/E93,"")))</f>
        <v/>
      </c>
      <c r="F100" s="15">
        <f>IF(OR(F99="",F93=""),"",IF(F93&lt;=0,"",IFERROR(F99/F93,"")))</f>
        <v/>
      </c>
      <c r="G100" s="15">
        <f>IF(OR(G99="",G93=""),"",IF(G93&lt;=0,"",IFERROR(G99/G93,"")))</f>
        <v/>
      </c>
      <c r="H100" s="15">
        <f>IF(OR(H99="",H93=""),"",IF(H93&lt;=0,"",IFERROR(H99/H93,"")))</f>
        <v/>
      </c>
      <c r="I100" s="15">
        <f>IF(OR(I99="",I93=""),"",IF(I93&lt;=0,"",IFERROR(I99/I93,"")))</f>
        <v/>
      </c>
      <c r="J100" s="15">
        <f>IF(OR(J99="",J93=""),"",IF(J93&lt;=0,"",IFERROR(J99/J93,"")))</f>
        <v/>
      </c>
      <c r="K100" s="15">
        <f>IF(OR(K99="",K93=""),"",IF(K93&lt;=0,"",IFERROR(K99/K93,"")))</f>
        <v/>
      </c>
      <c r="L100" s="15">
        <f>IF(OR(L99="",L93=""),"",IF(L93&lt;=0,"",IFERROR(L99/L93,"")))</f>
        <v/>
      </c>
      <c r="M100" s="15">
        <f>IF(OR(M99="",M93=""),"",IF(M93&lt;=0,"",IFERROR(M99/M93,"")))</f>
        <v/>
      </c>
      <c r="N100" s="15">
        <f>IF(OR(N99="",N93=""),"",IF(N93&lt;=0,"",IFERROR(N99/N93,"")))</f>
        <v/>
      </c>
      <c r="U100" s="15">
        <f>IF(OR(U99="",U93=""),"",IF(U93&lt;=0,"",IFERROR(U99/U93,"")))</f>
        <v/>
      </c>
      <c r="V100" s="15">
        <f>IF(OR(V99="",V93=""),"",IF(V93&lt;=0,"",IFERROR(V99/V93,"")))</f>
        <v/>
      </c>
      <c r="W100" s="15">
        <f>IF(OR(W99="",W93=""),"",IF(W93&lt;=0,"",IFERROR(W99/W93,"")))</f>
        <v/>
      </c>
      <c r="X100" s="15">
        <f>IF(OR(X99="",X93=""),"",IF(X93&lt;=0,"",IFERROR(X99/X93,"")))</f>
        <v/>
      </c>
    </row>
    <row r="101">
      <c r="A101" s="43" t="inlineStr">
        <is>
          <t>YoY</t>
        </is>
      </c>
      <c r="B101" s="3" t="inlineStr">
        <is>
          <t>전년 같은 분기·전년 대비</t>
        </is>
      </c>
      <c r="G101" s="15">
        <f>IF(OR(G99="",C99=""),"",IF(C99&lt;=0,"",IFERROR(G99/C99-1,"")))</f>
        <v/>
      </c>
      <c r="H101" s="15">
        <f>IF(OR(H99="",D99=""),"",IF(D99&lt;=0,"",IFERROR(H99/D99-1,"")))</f>
        <v/>
      </c>
      <c r="I101" s="15">
        <f>IF(OR(I99="",E99=""),"",IF(E99&lt;=0,"",IFERROR(I99/E99-1,"")))</f>
        <v/>
      </c>
      <c r="J101" s="15">
        <f>IF(OR(J99="",F99=""),"",IF(F99&lt;=0,"",IFERROR(J99/F99-1,"")))</f>
        <v/>
      </c>
      <c r="K101" s="15">
        <f>IF(OR(K99="",G99=""),"",IF(G99&lt;=0,"",IFERROR(K99/G99-1,"")))</f>
        <v/>
      </c>
      <c r="L101" s="15">
        <f>IF(OR(L99="",H99=""),"",IF(H99&lt;=0,"",IFERROR(L99/H99-1,"")))</f>
        <v/>
      </c>
      <c r="M101" s="15">
        <f>IF(OR(M99="",I99=""),"",IF(I99&lt;=0,"",IFERROR(M99/I99-1,"")))</f>
        <v/>
      </c>
      <c r="N101" s="15">
        <f>IF(OR(N99="",J99=""),"",IF(J99&lt;=0,"",IFERROR(N99/J99-1,"")))</f>
        <v/>
      </c>
      <c r="U101" s="15">
        <f>IF(OR(U99="",T99=""),"",IF(T99&lt;=0,"",IFERROR(U99/T99-1,"")))</f>
        <v/>
      </c>
      <c r="V101" s="15">
        <f>IF(OR(V99="",U99=""),"",IF(U99&lt;=0,"",IFERROR(V99/U99-1,"")))</f>
        <v/>
      </c>
      <c r="W101" s="15">
        <f>IF(OR(W99="",V99=""),"",IF(V99&lt;=0,"",IFERROR(W99/V99-1,"")))</f>
        <v/>
      </c>
      <c r="X101" s="15">
        <f>IF(OR(X99="",W99=""),"",IF(W99&lt;=0,"",IFERROR(X99/W99-1,"")))</f>
        <v/>
      </c>
    </row>
    <row r="102">
      <c r="A102" s="18" t="inlineStr">
        <is>
          <t>이자수익</t>
        </is>
      </c>
      <c r="C102" s="20" t="n">
        <v>6329</v>
      </c>
      <c r="D102" s="20" t="n">
        <v>5907</v>
      </c>
      <c r="E102" s="20" t="n">
        <v>6120</v>
      </c>
      <c r="F102" s="20" t="n">
        <v>5626</v>
      </c>
      <c r="G102" s="20" t="n">
        <v>5164</v>
      </c>
      <c r="H102" s="20" t="n">
        <v>4608</v>
      </c>
      <c r="I102" s="20" t="n">
        <v>4065</v>
      </c>
      <c r="J102" s="20" t="n">
        <v>4181</v>
      </c>
      <c r="K102" s="20" t="n">
        <v>3882</v>
      </c>
      <c r="L102" s="20" t="n">
        <v>3263</v>
      </c>
      <c r="M102" s="20" t="n">
        <v>3008</v>
      </c>
      <c r="N102" s="20" t="n">
        <v>3196</v>
      </c>
      <c r="U102" s="20" t="n">
        <v>3107</v>
      </c>
      <c r="V102" s="20" t="n">
        <v>6329</v>
      </c>
      <c r="W102" s="20" t="n">
        <v>5164</v>
      </c>
      <c r="X102" s="20" t="n">
        <v>3882</v>
      </c>
    </row>
    <row r="103">
      <c r="A103" s="18" t="inlineStr">
        <is>
          <t>배당금수익</t>
        </is>
      </c>
      <c r="C103" s="20" t="n">
        <v>394</v>
      </c>
      <c r="D103" s="20" t="n">
        <v>109</v>
      </c>
      <c r="E103" s="20" t="n">
        <v>237</v>
      </c>
      <c r="F103" s="20" t="n">
        <v>135</v>
      </c>
      <c r="G103" s="20" t="n">
        <v>231</v>
      </c>
      <c r="H103" s="20" t="n">
        <v>92</v>
      </c>
      <c r="I103" s="20" t="n">
        <v>504</v>
      </c>
      <c r="J103" s="20" t="n">
        <v>127</v>
      </c>
      <c r="K103" s="20" t="n">
        <v>389</v>
      </c>
      <c r="L103" s="20" t="n">
        <v>153</v>
      </c>
      <c r="M103" s="20" t="n">
        <v>355</v>
      </c>
      <c r="N103" s="20" t="n">
        <v>70</v>
      </c>
      <c r="U103" s="20" t="n">
        <v>164</v>
      </c>
      <c r="V103" s="20" t="n">
        <v>394</v>
      </c>
      <c r="W103" s="20" t="n">
        <v>231</v>
      </c>
      <c r="X103" s="20" t="n">
        <v>389</v>
      </c>
    </row>
    <row r="104">
      <c r="A104" s="18" t="inlineStr">
        <is>
          <t>외환차익</t>
        </is>
      </c>
      <c r="C104" s="20" t="n">
        <v>-10227</v>
      </c>
      <c r="D104" s="20" t="n">
        <v>9401</v>
      </c>
      <c r="E104" s="20" t="n">
        <v>3695</v>
      </c>
      <c r="F104" s="20" t="n">
        <v>-13096</v>
      </c>
      <c r="G104" s="20" t="n">
        <v>12227</v>
      </c>
      <c r="H104" s="20" t="n">
        <v>0</v>
      </c>
      <c r="I104" s="20" t="n">
        <v>0</v>
      </c>
      <c r="L104" s="20" t="n">
        <v>1003</v>
      </c>
      <c r="M104" s="20" t="n">
        <v>806</v>
      </c>
      <c r="U104" s="20" t="n">
        <v>-17611</v>
      </c>
      <c r="V104" s="20" t="n">
        <v>-10227</v>
      </c>
      <c r="W104" s="20" t="n">
        <v>12227</v>
      </c>
    </row>
    <row r="105">
      <c r="A105" s="18" t="inlineStr">
        <is>
          <t>기타</t>
        </is>
      </c>
      <c r="C105" s="20" t="n">
        <v>-24</v>
      </c>
      <c r="D105" s="20" t="n">
        <v>314</v>
      </c>
      <c r="E105" s="20" t="n">
        <v>108</v>
      </c>
      <c r="F105" s="20" t="n">
        <v>1020</v>
      </c>
      <c r="G105" s="20" t="n">
        <v>207</v>
      </c>
      <c r="H105" s="20" t="n">
        <v>176</v>
      </c>
      <c r="I105" s="20" t="n">
        <v>397</v>
      </c>
      <c r="J105" s="20" t="n">
        <v>388</v>
      </c>
      <c r="K105" s="20" t="n">
        <v>779</v>
      </c>
      <c r="L105" s="20" t="n">
        <v>449</v>
      </c>
      <c r="M105" s="20" t="n">
        <v>620</v>
      </c>
      <c r="N105" s="20" t="n">
        <v>87</v>
      </c>
      <c r="U105" s="20" t="n">
        <v>145</v>
      </c>
      <c r="V105" s="20" t="n">
        <v>-24</v>
      </c>
      <c r="W105" s="20" t="n">
        <v>207</v>
      </c>
      <c r="X105" s="20" t="n">
        <v>779</v>
      </c>
    </row>
    <row r="106">
      <c r="A106" s="18" t="inlineStr">
        <is>
          <t>영업외수익 합계</t>
        </is>
      </c>
      <c r="C106" s="20" t="n">
        <v>-3527</v>
      </c>
      <c r="D106" s="20" t="n">
        <v>15733</v>
      </c>
      <c r="E106" s="20" t="n">
        <v>10160</v>
      </c>
      <c r="F106" s="20" t="n">
        <v>-6316</v>
      </c>
      <c r="G106" s="20" t="n">
        <v>17829</v>
      </c>
      <c r="H106" s="20" t="n">
        <v>4878</v>
      </c>
      <c r="I106" s="20" t="n">
        <v>4964</v>
      </c>
      <c r="J106" s="20" t="n">
        <v>4697</v>
      </c>
      <c r="K106" s="20" t="n">
        <v>5050</v>
      </c>
      <c r="L106" s="20" t="n">
        <v>4870</v>
      </c>
      <c r="M106" s="20" t="n">
        <v>4789</v>
      </c>
      <c r="N106" s="20" t="n">
        <v>1543</v>
      </c>
      <c r="U106" s="20" t="n">
        <v>-14194</v>
      </c>
      <c r="V106" s="20" t="n">
        <v>-3527</v>
      </c>
      <c r="W106" s="20" t="n">
        <v>17829</v>
      </c>
      <c r="X106" s="20" t="n">
        <v>5050</v>
      </c>
    </row>
    <row r="107">
      <c r="A107" s="18" t="inlineStr">
        <is>
          <t>이자비용</t>
        </is>
      </c>
      <c r="C107" s="20" t="n">
        <v>59</v>
      </c>
      <c r="D107" s="20" t="n">
        <v>8</v>
      </c>
      <c r="E107" s="20" t="n">
        <v>45</v>
      </c>
      <c r="F107" s="20" t="n">
        <v>27</v>
      </c>
      <c r="G107" s="20" t="n">
        <v>37</v>
      </c>
      <c r="H107" s="20" t="n">
        <v>28</v>
      </c>
      <c r="I107" s="20" t="n">
        <v>25</v>
      </c>
      <c r="J107" s="20" t="n">
        <v>26</v>
      </c>
      <c r="K107" s="20" t="n">
        <v>30</v>
      </c>
      <c r="L107" s="20" t="n">
        <v>23</v>
      </c>
      <c r="M107" s="20" t="n">
        <v>23</v>
      </c>
      <c r="N107" s="20" t="n">
        <v>37</v>
      </c>
      <c r="U107" s="20" t="n">
        <v>54</v>
      </c>
      <c r="V107" s="20" t="n">
        <v>59</v>
      </c>
      <c r="W107" s="20" t="n">
        <v>37</v>
      </c>
      <c r="X107" s="20" t="n">
        <v>30</v>
      </c>
    </row>
    <row r="108">
      <c r="A108" s="18" t="inlineStr">
        <is>
          <t>기부금</t>
        </is>
      </c>
      <c r="C108" s="20" t="n">
        <v>12</v>
      </c>
      <c r="F108" s="20" t="n">
        <v>350</v>
      </c>
      <c r="G108" s="20" t="n">
        <v>125</v>
      </c>
      <c r="H108" s="20" t="n">
        <v>11</v>
      </c>
      <c r="I108" s="20" t="n">
        <v>590</v>
      </c>
      <c r="L108" s="20" t="n">
        <v>124</v>
      </c>
      <c r="M108" s="20" t="n">
        <v>329</v>
      </c>
      <c r="U108" s="20" t="n">
        <v>20</v>
      </c>
      <c r="V108" s="20" t="n">
        <v>12</v>
      </c>
      <c r="W108" s="20" t="n">
        <v>125</v>
      </c>
    </row>
    <row r="109">
      <c r="A109" s="18" t="inlineStr">
        <is>
          <t>외환차손</t>
        </is>
      </c>
      <c r="C109" s="20" t="n">
        <v>54</v>
      </c>
      <c r="D109" s="20" t="n">
        <v>0</v>
      </c>
      <c r="E109" s="20" t="n">
        <v>0</v>
      </c>
      <c r="F109" s="20" t="n">
        <v>9037</v>
      </c>
      <c r="G109" s="20" t="n">
        <v>-9037</v>
      </c>
      <c r="H109" s="20" t="n">
        <v>5451</v>
      </c>
      <c r="I109" s="20" t="n">
        <v>16239</v>
      </c>
      <c r="J109" s="20" t="n">
        <v>-3303</v>
      </c>
      <c r="K109" s="20" t="n">
        <v>1239</v>
      </c>
      <c r="L109" s="20" t="n">
        <v>0</v>
      </c>
      <c r="M109" s="20" t="n">
        <v>0</v>
      </c>
      <c r="N109" s="20" t="n">
        <v>1710</v>
      </c>
      <c r="V109" s="20" t="n">
        <v>54</v>
      </c>
      <c r="W109" s="20" t="n">
        <v>-9037</v>
      </c>
      <c r="X109" s="20" t="n">
        <v>1239</v>
      </c>
    </row>
    <row r="110">
      <c r="A110" s="18" t="inlineStr">
        <is>
          <t>자발적 리콜 비용</t>
        </is>
      </c>
      <c r="C110" s="20" t="n">
        <v>197</v>
      </c>
      <c r="D110" s="20" t="n">
        <v>136</v>
      </c>
      <c r="E110" s="20" t="n">
        <v>122</v>
      </c>
      <c r="H110" s="20" t="n">
        <v>2</v>
      </c>
      <c r="I110" s="20" t="n">
        <v>204</v>
      </c>
      <c r="U110" s="20" t="n">
        <v>918</v>
      </c>
      <c r="V110" s="20" t="n">
        <v>197</v>
      </c>
    </row>
    <row r="111">
      <c r="A111" s="18" t="inlineStr">
        <is>
          <t>기타</t>
        </is>
      </c>
      <c r="C111" s="20" t="n">
        <v>424</v>
      </c>
      <c r="D111" s="20" t="n">
        <v>157</v>
      </c>
      <c r="E111" s="20" t="n">
        <v>228</v>
      </c>
      <c r="F111" s="20" t="n">
        <v>2464</v>
      </c>
      <c r="G111" s="20" t="n">
        <v>-1187</v>
      </c>
      <c r="H111" s="20" t="n">
        <v>123</v>
      </c>
      <c r="I111" s="20" t="n">
        <v>1459</v>
      </c>
      <c r="J111" s="20" t="n">
        <v>807</v>
      </c>
      <c r="K111" s="20" t="n">
        <v>345</v>
      </c>
      <c r="L111" s="20" t="n">
        <v>237</v>
      </c>
      <c r="M111" s="20" t="n">
        <v>847</v>
      </c>
      <c r="N111" s="20" t="n">
        <v>991</v>
      </c>
      <c r="U111" s="20" t="n">
        <v>689</v>
      </c>
      <c r="V111" s="20" t="n">
        <v>424</v>
      </c>
      <c r="W111" s="20" t="n">
        <v>-1187</v>
      </c>
      <c r="X111" s="20" t="n">
        <v>345</v>
      </c>
    </row>
    <row r="112">
      <c r="A112" s="18" t="inlineStr">
        <is>
          <t>영업외비용 합계</t>
        </is>
      </c>
      <c r="C112" s="20" t="n">
        <v>890</v>
      </c>
      <c r="D112" s="20" t="n">
        <v>301</v>
      </c>
      <c r="E112" s="20" t="n">
        <v>921</v>
      </c>
      <c r="F112" s="20" t="n">
        <v>10744</v>
      </c>
      <c r="G112" s="20" t="n">
        <v>-8149</v>
      </c>
      <c r="H112" s="20" t="n">
        <v>5615</v>
      </c>
      <c r="I112" s="20" t="n">
        <v>18312</v>
      </c>
      <c r="J112" s="20" t="n">
        <v>-3071</v>
      </c>
      <c r="K112" s="20" t="n">
        <v>3381</v>
      </c>
      <c r="L112" s="20" t="n">
        <v>385</v>
      </c>
      <c r="M112" s="20" t="n">
        <v>1199</v>
      </c>
      <c r="N112" s="20" t="n">
        <v>2285</v>
      </c>
      <c r="U112" s="20" t="n">
        <v>1682</v>
      </c>
      <c r="V112" s="20" t="n">
        <v>890</v>
      </c>
      <c r="W112" s="20" t="n">
        <v>-8149</v>
      </c>
      <c r="X112" s="20" t="n">
        <v>3381</v>
      </c>
    </row>
    <row r="113">
      <c r="A113" s="9" t="inlineStr">
        <is>
          <t>경상이익</t>
        </is>
      </c>
      <c r="C113" s="12" t="n">
        <v>7148</v>
      </c>
      <c r="D113" s="12" t="n">
        <v>28852</v>
      </c>
      <c r="E113" s="12" t="n">
        <v>26773</v>
      </c>
      <c r="F113" s="12" t="n">
        <v>2637</v>
      </c>
      <c r="G113" s="12" t="n">
        <v>40412</v>
      </c>
      <c r="H113" s="12" t="n">
        <v>15404</v>
      </c>
      <c r="I113" s="12" t="n">
        <v>-1366</v>
      </c>
      <c r="J113" s="12" t="n">
        <v>16210</v>
      </c>
      <c r="K113" s="12" t="n">
        <v>16781</v>
      </c>
      <c r="L113" s="12" t="n">
        <v>14885</v>
      </c>
      <c r="M113" s="12" t="n">
        <v>20439</v>
      </c>
      <c r="N113" s="12" t="n">
        <v>16540</v>
      </c>
      <c r="U113" s="12" t="n">
        <v>26706</v>
      </c>
      <c r="V113" s="12" t="n">
        <v>7148</v>
      </c>
      <c r="W113" s="12" t="n">
        <v>40412</v>
      </c>
      <c r="X113" s="12" t="n">
        <v>16781</v>
      </c>
    </row>
    <row r="114">
      <c r="A114" s="43" t="inlineStr">
        <is>
          <t>YoY</t>
        </is>
      </c>
      <c r="B114" s="3" t="inlineStr">
        <is>
          <t>전년 같은 분기·전년 대비</t>
        </is>
      </c>
      <c r="G114" s="15">
        <f>IF(OR(G113="",C113=""),"",IF(C113&lt;=0,"",IFERROR(G113/C113-1,"")))</f>
        <v/>
      </c>
      <c r="H114" s="15">
        <f>IF(OR(H113="",D113=""),"",IF(D113&lt;=0,"",IFERROR(H113/D113-1,"")))</f>
        <v/>
      </c>
      <c r="I114" s="15">
        <f>IF(OR(I113="",E113=""),"",IF(E113&lt;=0,"",IFERROR(I113/E113-1,"")))</f>
        <v/>
      </c>
      <c r="J114" s="15">
        <f>IF(OR(J113="",F113=""),"",IF(F113&lt;=0,"",IFERROR(J113/F113-1,"")))</f>
        <v/>
      </c>
      <c r="K114" s="15">
        <f>IF(OR(K113="",G113=""),"",IF(G113&lt;=0,"",IFERROR(K113/G113-1,"")))</f>
        <v/>
      </c>
      <c r="L114" s="15">
        <f>IF(OR(L113="",H113=""),"",IF(H113&lt;=0,"",IFERROR(L113/H113-1,"")))</f>
        <v/>
      </c>
      <c r="M114" s="15">
        <f>IF(OR(M113="",I113=""),"",IF(I113&lt;=0,"",IFERROR(M113/I113-1,"")))</f>
        <v/>
      </c>
      <c r="N114" s="15">
        <f>IF(OR(N113="",J113=""),"",IF(J113&lt;=0,"",IFERROR(N113/J113-1,"")))</f>
        <v/>
      </c>
      <c r="U114" s="15">
        <f>IF(OR(U113="",T113=""),"",IF(T113&lt;=0,"",IFERROR(U113/T113-1,"")))</f>
        <v/>
      </c>
      <c r="V114" s="15">
        <f>IF(OR(V113="",U113=""),"",IF(U113&lt;=0,"",IFERROR(V113/U113-1,"")))</f>
        <v/>
      </c>
      <c r="W114" s="15">
        <f>IF(OR(W113="",V113=""),"",IF(V113&lt;=0,"",IFERROR(W113/V113-1,"")))</f>
        <v/>
      </c>
      <c r="X114" s="15">
        <f>IF(OR(X113="",W113=""),"",IF(W113&lt;=0,"",IFERROR(X113/W113-1,"")))</f>
        <v/>
      </c>
    </row>
    <row r="115">
      <c r="A115" s="18" t="inlineStr">
        <is>
          <t>무상 점검 관련 비용</t>
        </is>
      </c>
      <c r="C115" s="20" t="n">
        <v>551</v>
      </c>
      <c r="G115" s="20" t="n">
        <v>0</v>
      </c>
      <c r="U115" s="20" t="n">
        <v>0</v>
      </c>
      <c r="V115" s="20" t="n">
        <v>551</v>
      </c>
      <c r="W115" s="20" t="n">
        <v>0</v>
      </c>
    </row>
    <row r="116">
      <c r="A116" s="18" t="inlineStr">
        <is>
          <t>손상차손</t>
        </is>
      </c>
      <c r="C116" s="20" t="n">
        <v>909</v>
      </c>
      <c r="U116" s="20" t="n">
        <v>115</v>
      </c>
      <c r="V116" s="20" t="n">
        <v>909</v>
      </c>
    </row>
    <row r="117">
      <c r="A117" s="18" t="inlineStr">
        <is>
          <t>자회사 재구축 비용</t>
        </is>
      </c>
      <c r="C117" s="20" t="n">
        <v>0</v>
      </c>
      <c r="U117" s="20" t="n">
        <v>31</v>
      </c>
      <c r="V117" s="20" t="n">
        <v>0</v>
      </c>
    </row>
    <row r="118">
      <c r="A118" s="18" t="inlineStr">
        <is>
          <t>자회사 주식 매각손실</t>
        </is>
      </c>
      <c r="C118" s="20" t="n">
        <v>0</v>
      </c>
      <c r="U118" s="20" t="n">
        <v>0</v>
      </c>
      <c r="V118" s="20" t="n">
        <v>0</v>
      </c>
    </row>
    <row r="119">
      <c r="A119" s="18" t="inlineStr">
        <is>
          <t>투자유가증권 매각이익</t>
        </is>
      </c>
      <c r="H119" s="20" t="n">
        <v>0</v>
      </c>
      <c r="I119" s="20" t="n">
        <v>0</v>
      </c>
      <c r="J119" s="20" t="n">
        <v>0</v>
      </c>
      <c r="K119" s="20" t="n">
        <v>3222</v>
      </c>
      <c r="L119" s="20" t="n">
        <v>3143</v>
      </c>
      <c r="M119" s="20" t="n">
        <v>0</v>
      </c>
      <c r="N119" s="20" t="n">
        <v>0</v>
      </c>
      <c r="X119" s="20" t="n">
        <v>3222</v>
      </c>
    </row>
    <row r="120">
      <c r="A120" s="18" t="inlineStr">
        <is>
          <t>특별이익 합계</t>
        </is>
      </c>
      <c r="H120" s="20" t="n">
        <v>0</v>
      </c>
      <c r="I120" s="20" t="n">
        <v>0</v>
      </c>
      <c r="J120" s="20" t="n">
        <v>0</v>
      </c>
      <c r="K120" s="20" t="n">
        <v>9507</v>
      </c>
      <c r="L120" s="20" t="n">
        <v>3143</v>
      </c>
      <c r="M120" s="20" t="n">
        <v>0</v>
      </c>
      <c r="N120" s="20" t="n">
        <v>0</v>
      </c>
      <c r="X120" s="20" t="n">
        <v>9507</v>
      </c>
    </row>
    <row r="121">
      <c r="A121" s="18" t="inlineStr">
        <is>
          <t>공장 재건축 관련 비용</t>
        </is>
      </c>
      <c r="C121" s="20" t="n">
        <v>563</v>
      </c>
      <c r="D121" s="20" t="n">
        <v>60</v>
      </c>
      <c r="E121" s="20" t="n">
        <v>3</v>
      </c>
      <c r="F121" s="20" t="n">
        <v>3</v>
      </c>
      <c r="G121" s="20" t="n">
        <v>14</v>
      </c>
      <c r="H121" s="20" t="n">
        <v>7</v>
      </c>
      <c r="I121" s="20" t="n">
        <v>13</v>
      </c>
      <c r="J121" s="20" t="n">
        <v>121</v>
      </c>
      <c r="K121" s="20" t="n">
        <v>38</v>
      </c>
      <c r="L121" s="20" t="n">
        <v>385</v>
      </c>
      <c r="M121" s="20" t="n">
        <v>25</v>
      </c>
      <c r="N121" s="20" t="n">
        <v>696</v>
      </c>
      <c r="U121" s="20" t="n">
        <v>331</v>
      </c>
      <c r="V121" s="20" t="n">
        <v>563</v>
      </c>
      <c r="W121" s="20" t="n">
        <v>14</v>
      </c>
      <c r="X121" s="20" t="n">
        <v>38</v>
      </c>
    </row>
    <row r="122">
      <c r="A122" s="18" t="inlineStr">
        <is>
          <t>특별손실 합계</t>
        </is>
      </c>
      <c r="C122" s="20" t="n">
        <v>2023</v>
      </c>
      <c r="D122" s="20" t="n">
        <v>60</v>
      </c>
      <c r="E122" s="20" t="n">
        <v>3</v>
      </c>
      <c r="F122" s="20" t="n">
        <v>3</v>
      </c>
      <c r="G122" s="20" t="n">
        <v>14</v>
      </c>
      <c r="H122" s="20" t="n">
        <v>7</v>
      </c>
      <c r="I122" s="20" t="n">
        <v>13</v>
      </c>
      <c r="J122" s="20" t="n">
        <v>121</v>
      </c>
      <c r="K122" s="20" t="n">
        <v>38</v>
      </c>
      <c r="L122" s="20" t="n">
        <v>385</v>
      </c>
      <c r="M122" s="20" t="n">
        <v>25</v>
      </c>
      <c r="N122" s="20" t="n">
        <v>696</v>
      </c>
      <c r="U122" s="20" t="n">
        <v>477</v>
      </c>
      <c r="V122" s="20" t="n">
        <v>2023</v>
      </c>
      <c r="W122" s="20" t="n">
        <v>14</v>
      </c>
      <c r="X122" s="20" t="n">
        <v>38</v>
      </c>
    </row>
    <row r="123">
      <c r="A123" s="9" t="inlineStr">
        <is>
          <t>법인세차감전 순이익</t>
        </is>
      </c>
      <c r="C123" s="12" t="n">
        <v>5126</v>
      </c>
      <c r="D123" s="12" t="n">
        <v>28792</v>
      </c>
      <c r="E123" s="12" t="n">
        <v>26770</v>
      </c>
      <c r="F123" s="12" t="n">
        <v>2634</v>
      </c>
      <c r="G123" s="12" t="n">
        <v>40398</v>
      </c>
      <c r="H123" s="12" t="n">
        <v>15397</v>
      </c>
      <c r="I123" s="12" t="n">
        <v>-1380</v>
      </c>
      <c r="J123" s="12" t="n">
        <v>16090</v>
      </c>
      <c r="K123" s="12" t="n">
        <v>26251</v>
      </c>
      <c r="L123" s="12" t="n">
        <v>17643</v>
      </c>
      <c r="M123" s="12" t="n">
        <v>20414</v>
      </c>
      <c r="N123" s="12" t="n">
        <v>15844</v>
      </c>
      <c r="U123" s="12" t="n">
        <v>26229</v>
      </c>
      <c r="V123" s="12" t="n">
        <v>5126</v>
      </c>
      <c r="W123" s="12" t="n">
        <v>40398</v>
      </c>
      <c r="X123" s="12" t="n">
        <v>26251</v>
      </c>
    </row>
    <row r="124">
      <c r="A124" s="18" t="inlineStr">
        <is>
          <t>법인세·주민세·사업세</t>
        </is>
      </c>
      <c r="C124" s="20" t="n">
        <v>3123</v>
      </c>
      <c r="D124" s="20" t="n">
        <v>5679</v>
      </c>
      <c r="E124" s="20" t="n">
        <v>6494</v>
      </c>
      <c r="F124" s="20" t="n">
        <v>4273</v>
      </c>
      <c r="G124" s="20" t="n">
        <v>5658</v>
      </c>
      <c r="H124" s="20" t="n">
        <v>5891</v>
      </c>
      <c r="I124" s="20" t="n">
        <v>4948</v>
      </c>
      <c r="J124" s="20" t="n">
        <v>3237</v>
      </c>
      <c r="K124" s="20" t="n">
        <v>5075</v>
      </c>
      <c r="L124" s="20" t="n">
        <v>3713</v>
      </c>
      <c r="M124" s="20" t="n">
        <v>4509</v>
      </c>
      <c r="N124" s="20" t="n">
        <v>4489</v>
      </c>
      <c r="U124" s="20" t="n">
        <v>10821</v>
      </c>
      <c r="V124" s="20" t="n">
        <v>3123</v>
      </c>
      <c r="W124" s="20" t="n">
        <v>5658</v>
      </c>
      <c r="X124" s="20" t="n">
        <v>5075</v>
      </c>
    </row>
    <row r="125">
      <c r="A125" s="18" t="inlineStr">
        <is>
          <t>법인세 조정액</t>
        </is>
      </c>
      <c r="C125" s="20" t="n">
        <v>1018</v>
      </c>
      <c r="D125" s="20" t="n">
        <v>-675</v>
      </c>
      <c r="E125" s="20" t="n">
        <v>194</v>
      </c>
      <c r="F125" s="20" t="n">
        <v>692</v>
      </c>
      <c r="G125" s="20" t="n">
        <v>-293</v>
      </c>
      <c r="H125" s="20" t="n">
        <v>-278</v>
      </c>
      <c r="I125" s="20" t="n">
        <v>-525</v>
      </c>
      <c r="J125" s="20" t="n">
        <v>629</v>
      </c>
      <c r="K125" s="20" t="n">
        <v>3223</v>
      </c>
      <c r="L125" s="20" t="n">
        <v>1070</v>
      </c>
      <c r="M125" s="20" t="n">
        <v>660</v>
      </c>
      <c r="N125" s="20" t="n">
        <v>-816</v>
      </c>
      <c r="U125" s="20" t="n">
        <v>651</v>
      </c>
      <c r="V125" s="20" t="n">
        <v>1018</v>
      </c>
      <c r="W125" s="20" t="n">
        <v>-293</v>
      </c>
      <c r="X125" s="20" t="n">
        <v>3223</v>
      </c>
    </row>
    <row r="126">
      <c r="A126" s="18" t="inlineStr">
        <is>
          <t>법인세 등 합계</t>
        </is>
      </c>
      <c r="C126" s="20" t="n">
        <v>4140</v>
      </c>
      <c r="D126" s="20" t="n">
        <v>5003</v>
      </c>
      <c r="E126" s="20" t="n">
        <v>6688</v>
      </c>
      <c r="F126" s="20" t="n">
        <v>4967</v>
      </c>
      <c r="G126" s="20" t="n">
        <v>5363</v>
      </c>
      <c r="H126" s="20" t="n">
        <v>5613</v>
      </c>
      <c r="I126" s="20" t="n">
        <v>4423</v>
      </c>
      <c r="J126" s="20" t="n">
        <v>3866</v>
      </c>
      <c r="K126" s="20" t="n">
        <v>8299</v>
      </c>
      <c r="L126" s="20" t="n">
        <v>4784</v>
      </c>
      <c r="M126" s="20" t="n">
        <v>5168</v>
      </c>
      <c r="N126" s="20" t="n">
        <v>3674</v>
      </c>
      <c r="U126" s="20" t="n">
        <v>11473</v>
      </c>
      <c r="V126" s="20" t="n">
        <v>4140</v>
      </c>
      <c r="W126" s="20" t="n">
        <v>5363</v>
      </c>
      <c r="X126" s="20" t="n">
        <v>8299</v>
      </c>
    </row>
    <row r="127">
      <c r="A127" s="9" t="inlineStr">
        <is>
          <t>순이익</t>
        </is>
      </c>
      <c r="C127" s="12" t="n">
        <v>985</v>
      </c>
      <c r="D127" s="12" t="n">
        <v>23788</v>
      </c>
      <c r="E127" s="12" t="n">
        <v>20082</v>
      </c>
      <c r="F127" s="12" t="n">
        <v>-2332</v>
      </c>
      <c r="G127" s="12" t="n">
        <v>35035</v>
      </c>
      <c r="H127" s="12" t="n">
        <v>9783</v>
      </c>
      <c r="I127" s="12" t="n">
        <v>-5802</v>
      </c>
      <c r="J127" s="12" t="n">
        <v>12223</v>
      </c>
      <c r="K127" s="12" t="n">
        <v>17952</v>
      </c>
      <c r="L127" s="12" t="n">
        <v>12858</v>
      </c>
      <c r="M127" s="12" t="n">
        <v>15247</v>
      </c>
      <c r="N127" s="12" t="n">
        <v>12170</v>
      </c>
      <c r="U127" s="12" t="n">
        <v>14757</v>
      </c>
      <c r="V127" s="12" t="n">
        <v>985</v>
      </c>
      <c r="W127" s="12" t="n">
        <v>35035</v>
      </c>
      <c r="X127" s="12" t="n">
        <v>17952</v>
      </c>
    </row>
    <row r="128">
      <c r="A128" s="43" t="inlineStr">
        <is>
          <t>YoY</t>
        </is>
      </c>
      <c r="B128" s="3" t="inlineStr">
        <is>
          <t>전년 같은 분기·전년 대비</t>
        </is>
      </c>
      <c r="G128" s="15">
        <f>IF(OR(G127="",C127=""),"",IF(C127&lt;=0,"",IFERROR(G127/C127-1,"")))</f>
        <v/>
      </c>
      <c r="H128" s="15">
        <f>IF(OR(H127="",D127=""),"",IF(D127&lt;=0,"",IFERROR(H127/D127-1,"")))</f>
        <v/>
      </c>
      <c r="I128" s="15">
        <f>IF(OR(I127="",E127=""),"",IF(E127&lt;=0,"",IFERROR(I127/E127-1,"")))</f>
        <v/>
      </c>
      <c r="J128" s="15">
        <f>IF(OR(J127="",F127=""),"",IF(F127&lt;=0,"",IFERROR(J127/F127-1,"")))</f>
        <v/>
      </c>
      <c r="K128" s="15">
        <f>IF(OR(K127="",G127=""),"",IF(G127&lt;=0,"",IFERROR(K127/G127-1,"")))</f>
        <v/>
      </c>
      <c r="L128" s="15">
        <f>IF(OR(L127="",H127=""),"",IF(H127&lt;=0,"",IFERROR(L127/H127-1,"")))</f>
        <v/>
      </c>
      <c r="M128" s="15">
        <f>IF(OR(M127="",I127=""),"",IF(I127&lt;=0,"",IFERROR(M127/I127-1,"")))</f>
        <v/>
      </c>
      <c r="N128" s="15">
        <f>IF(OR(N127="",J127=""),"",IF(J127&lt;=0,"",IFERROR(N127/J127-1,"")))</f>
        <v/>
      </c>
      <c r="U128" s="15">
        <f>IF(OR(U127="",T127=""),"",IF(T127&lt;=0,"",IFERROR(U127/T127-1,"")))</f>
        <v/>
      </c>
      <c r="V128" s="15">
        <f>IF(OR(V127="",U127=""),"",IF(U127&lt;=0,"",IFERROR(V127/U127-1,"")))</f>
        <v/>
      </c>
      <c r="W128" s="15">
        <f>IF(OR(W127="",V127=""),"",IF(V127&lt;=0,"",IFERROR(W127/V127-1,"")))</f>
        <v/>
      </c>
      <c r="X128" s="15">
        <f>IF(OR(X127="",W127=""),"",IF(W127&lt;=0,"",IFERROR(X127/W127-1,"")))</f>
        <v/>
      </c>
    </row>
    <row r="129">
      <c r="A129" s="9" t="inlineStr">
        <is>
          <t>비지배주주 순이익</t>
        </is>
      </c>
      <c r="C129" s="12" t="n">
        <v>12</v>
      </c>
      <c r="D129" s="12" t="n">
        <v>100</v>
      </c>
      <c r="E129" s="12" t="n">
        <v>66</v>
      </c>
      <c r="F129" s="12" t="n">
        <v>29</v>
      </c>
      <c r="G129" s="12" t="n">
        <v>48</v>
      </c>
      <c r="H129" s="12" t="n">
        <v>-2</v>
      </c>
      <c r="I129" s="12" t="n">
        <v>22</v>
      </c>
      <c r="J129" s="12" t="n">
        <v>78</v>
      </c>
      <c r="K129" s="12" t="n">
        <v>67</v>
      </c>
      <c r="L129" s="12" t="n">
        <v>43</v>
      </c>
      <c r="M129" s="12" t="n">
        <v>111</v>
      </c>
      <c r="N129" s="12" t="n">
        <v>99</v>
      </c>
      <c r="U129" s="12" t="n">
        <v>64</v>
      </c>
      <c r="V129" s="12" t="n">
        <v>12</v>
      </c>
      <c r="W129" s="12" t="n">
        <v>48</v>
      </c>
      <c r="X129" s="12" t="n">
        <v>67</v>
      </c>
    </row>
    <row r="130">
      <c r="A130" s="9" t="inlineStr">
        <is>
          <t>지배주주 순이익</t>
        </is>
      </c>
      <c r="C130" s="12" t="n">
        <v>973</v>
      </c>
      <c r="D130" s="12" t="n">
        <v>23687</v>
      </c>
      <c r="E130" s="12" t="n">
        <v>20017</v>
      </c>
      <c r="F130" s="12" t="n">
        <v>-2361</v>
      </c>
      <c r="G130" s="12" t="n">
        <v>34986</v>
      </c>
      <c r="H130" s="12" t="n">
        <v>9786</v>
      </c>
      <c r="I130" s="12" t="n">
        <v>-5825</v>
      </c>
      <c r="J130" s="12" t="n">
        <v>12144</v>
      </c>
      <c r="K130" s="12" t="n">
        <v>17886</v>
      </c>
      <c r="L130" s="12" t="n">
        <v>12814</v>
      </c>
      <c r="M130" s="12" t="n">
        <v>15136</v>
      </c>
      <c r="N130" s="12" t="n">
        <v>12072</v>
      </c>
      <c r="U130" s="12" t="n">
        <v>14692</v>
      </c>
      <c r="V130" s="12" t="n">
        <v>973</v>
      </c>
      <c r="W130" s="12" t="n">
        <v>34986</v>
      </c>
      <c r="X130" s="12" t="n">
        <v>17886</v>
      </c>
    </row>
    <row r="131">
      <c r="A131" s="43" t="inlineStr">
        <is>
          <t>YoY</t>
        </is>
      </c>
      <c r="B131" s="3" t="inlineStr">
        <is>
          <t>전년 같은 분기·전년 대비</t>
        </is>
      </c>
      <c r="G131" s="15">
        <f>IF(OR(G130="",C130=""),"",IF(C130&lt;=0,"",IFERROR(G130/C130-1,"")))</f>
        <v/>
      </c>
      <c r="H131" s="15">
        <f>IF(OR(H130="",D130=""),"",IF(D130&lt;=0,"",IFERROR(H130/D130-1,"")))</f>
        <v/>
      </c>
      <c r="I131" s="15">
        <f>IF(OR(I130="",E130=""),"",IF(E130&lt;=0,"",IFERROR(I130/E130-1,"")))</f>
        <v/>
      </c>
      <c r="J131" s="15">
        <f>IF(OR(J130="",F130=""),"",IF(F130&lt;=0,"",IFERROR(J130/F130-1,"")))</f>
        <v/>
      </c>
      <c r="K131" s="15">
        <f>IF(OR(K130="",G130=""),"",IF(G130&lt;=0,"",IFERROR(K130/G130-1,"")))</f>
        <v/>
      </c>
      <c r="L131" s="15">
        <f>IF(OR(L130="",H130=""),"",IF(H130&lt;=0,"",IFERROR(L130/H130-1,"")))</f>
        <v/>
      </c>
      <c r="M131" s="15">
        <f>IF(OR(M130="",I130=""),"",IF(I130&lt;=0,"",IFERROR(M130/I130-1,"")))</f>
        <v/>
      </c>
      <c r="N131" s="15">
        <f>IF(OR(N130="",J130=""),"",IF(J130&lt;=0,"",IFERROR(N130/J130-1,"")))</f>
        <v/>
      </c>
      <c r="U131" s="15">
        <f>IF(OR(U130="",T130=""),"",IF(T130&lt;=0,"",IFERROR(U130/T130-1,"")))</f>
        <v/>
      </c>
      <c r="V131" s="15">
        <f>IF(OR(V130="",U130=""),"",IF(U130&lt;=0,"",IFERROR(V130/U130-1,"")))</f>
        <v/>
      </c>
      <c r="W131" s="15">
        <f>IF(OR(W130="",V130=""),"",IF(V130&lt;=0,"",IFERROR(W130/V130-1,"")))</f>
        <v/>
      </c>
      <c r="X131" s="15">
        <f>IF(OR(X130="",W130=""),"",IF(W130&lt;=0,"",IFERROR(X130/W130-1,"")))</f>
        <v/>
      </c>
    </row>
    <row r="133">
      <c r="A133" s="16" t="inlineStr">
        <is>
          <t>포괄손익 · 전 항목</t>
        </is>
      </c>
      <c r="B133" s="42" t="inlineStr">
        <is>
          <t>분기 = 3개월 단독</t>
        </is>
      </c>
      <c r="C133" s="16" t="n"/>
      <c r="D133" s="16" t="n"/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  <c r="AA133" s="16" t="n"/>
      <c r="AB133" s="16" t="n"/>
      <c r="AC133" s="16" t="n"/>
    </row>
    <row r="134">
      <c r="A134" s="5" t="inlineStr">
        <is>
          <t>항목</t>
        </is>
      </c>
      <c r="B134" s="5" t="inlineStr">
        <is>
          <t>참고</t>
        </is>
      </c>
      <c r="C134" s="5" t="inlineStr">
        <is>
          <t>2023.4Q</t>
        </is>
      </c>
      <c r="D134" s="5" t="inlineStr">
        <is>
          <t>2024.1Q</t>
        </is>
      </c>
      <c r="E134" s="5" t="inlineStr">
        <is>
          <t>2024.2Q</t>
        </is>
      </c>
      <c r="F134" s="5" t="inlineStr">
        <is>
          <t>2024.3Q</t>
        </is>
      </c>
      <c r="G134" s="5" t="inlineStr">
        <is>
          <t>2024.4Q</t>
        </is>
      </c>
      <c r="H134" s="5" t="inlineStr">
        <is>
          <t>2025.1Q</t>
        </is>
      </c>
      <c r="I134" s="5" t="inlineStr">
        <is>
          <t>2025.2Q</t>
        </is>
      </c>
      <c r="J134" s="5" t="inlineStr">
        <is>
          <t>2025.3Q</t>
        </is>
      </c>
      <c r="K134" s="5" t="inlineStr">
        <is>
          <t>2025.4Q</t>
        </is>
      </c>
      <c r="L134" s="5" t="inlineStr">
        <is>
          <t>2026.1Q</t>
        </is>
      </c>
      <c r="M134" s="5" t="inlineStr">
        <is>
          <t>2026.2Q</t>
        </is>
      </c>
      <c r="N134" s="5" t="inlineStr">
        <is>
          <t>2026.3Q</t>
        </is>
      </c>
      <c r="O134" s="5" t="inlineStr">
        <is>
          <t>2016</t>
        </is>
      </c>
      <c r="P134" s="5" t="inlineStr">
        <is>
          <t>2017</t>
        </is>
      </c>
      <c r="Q134" s="5" t="inlineStr">
        <is>
          <t>2018</t>
        </is>
      </c>
      <c r="R134" s="5" t="inlineStr">
        <is>
          <t>2019</t>
        </is>
      </c>
      <c r="S134" s="5" t="inlineStr">
        <is>
          <t>2020</t>
        </is>
      </c>
      <c r="T134" s="5" t="inlineStr">
        <is>
          <t>2021</t>
        </is>
      </c>
      <c r="U134" s="5" t="inlineStr">
        <is>
          <t>2022</t>
        </is>
      </c>
      <c r="V134" s="5" t="inlineStr">
        <is>
          <t>2023</t>
        </is>
      </c>
      <c r="W134" s="5" t="inlineStr">
        <is>
          <t>2024</t>
        </is>
      </c>
      <c r="X134" s="5" t="inlineStr">
        <is>
          <t>2025</t>
        </is>
      </c>
      <c r="Y134" s="5" t="inlineStr">
        <is>
          <t>2026(MW)</t>
        </is>
      </c>
      <c r="Z134" s="5" t="inlineStr">
        <is>
          <t>2027(MW)</t>
        </is>
      </c>
      <c r="AA134" s="5" t="inlineStr">
        <is>
          <t>2028(MW)</t>
        </is>
      </c>
      <c r="AB134" s="5" t="inlineStr">
        <is>
          <t>2029(MW)</t>
        </is>
      </c>
      <c r="AC134" s="5" t="inlineStr">
        <is>
          <t>2030(MW)</t>
        </is>
      </c>
    </row>
    <row r="135">
      <c r="A135" s="9" t="inlineStr">
        <is>
          <t>순이익</t>
        </is>
      </c>
      <c r="C135" s="12" t="n">
        <v>985</v>
      </c>
      <c r="D135" s="12" t="n">
        <v>23788</v>
      </c>
      <c r="E135" s="12" t="n">
        <v>20082</v>
      </c>
      <c r="F135" s="12" t="n">
        <v>-2332</v>
      </c>
      <c r="G135" s="12" t="n">
        <v>35035</v>
      </c>
      <c r="H135" s="12" t="n">
        <v>9783</v>
      </c>
      <c r="I135" s="12" t="n">
        <v>-5802</v>
      </c>
      <c r="J135" s="12" t="n">
        <v>12223</v>
      </c>
      <c r="K135" s="12" t="n">
        <v>17952</v>
      </c>
      <c r="L135" s="12" t="n">
        <v>12858</v>
      </c>
      <c r="M135" s="12" t="n">
        <v>15247</v>
      </c>
      <c r="N135" s="12" t="n">
        <v>12170</v>
      </c>
      <c r="U135" s="12" t="n">
        <v>14757</v>
      </c>
      <c r="V135" s="12" t="n">
        <v>985</v>
      </c>
      <c r="W135" s="12" t="n">
        <v>35035</v>
      </c>
      <c r="X135" s="12" t="n">
        <v>17952</v>
      </c>
    </row>
    <row r="136">
      <c r="A136" s="18" t="inlineStr">
        <is>
          <t>기타유가증권 평가차액</t>
        </is>
      </c>
      <c r="C136" s="20" t="n">
        <v>-394</v>
      </c>
      <c r="D136" s="20" t="n">
        <v>1892</v>
      </c>
      <c r="E136" s="20" t="n">
        <v>512</v>
      </c>
      <c r="F136" s="20" t="n">
        <v>-1444</v>
      </c>
      <c r="G136" s="20" t="n">
        <v>1276</v>
      </c>
      <c r="H136" s="20" t="n">
        <v>673</v>
      </c>
      <c r="I136" s="20" t="n">
        <v>49</v>
      </c>
      <c r="J136" s="20" t="n">
        <v>2104</v>
      </c>
      <c r="K136" s="20" t="n">
        <v>179</v>
      </c>
      <c r="L136" s="20" t="n">
        <v>-1608</v>
      </c>
      <c r="M136" s="20" t="n">
        <v>2398</v>
      </c>
      <c r="N136" s="20" t="n">
        <v>2252</v>
      </c>
      <c r="U136" s="20" t="n">
        <v>899</v>
      </c>
      <c r="V136" s="20" t="n">
        <v>-394</v>
      </c>
      <c r="W136" s="20" t="n">
        <v>1276</v>
      </c>
      <c r="X136" s="20" t="n">
        <v>179</v>
      </c>
    </row>
    <row r="137">
      <c r="A137" s="18" t="inlineStr">
        <is>
          <t>해외사업환산조정</t>
        </is>
      </c>
      <c r="C137" s="20" t="n">
        <v>-15789</v>
      </c>
      <c r="D137" s="20" t="n">
        <v>25895</v>
      </c>
      <c r="E137" s="20" t="n">
        <v>37025</v>
      </c>
      <c r="F137" s="20" t="n">
        <v>-40215</v>
      </c>
      <c r="G137" s="20" t="n">
        <v>27982</v>
      </c>
      <c r="H137" s="20" t="n">
        <v>-26608</v>
      </c>
      <c r="I137" s="20" t="n">
        <v>8959</v>
      </c>
      <c r="J137" s="20" t="n">
        <v>11669</v>
      </c>
      <c r="K137" s="20" t="n">
        <v>33774</v>
      </c>
      <c r="L137" s="20" t="n">
        <v>8909</v>
      </c>
      <c r="M137" s="20" t="n">
        <v>7486</v>
      </c>
      <c r="N137" s="20" t="n">
        <v>-14457</v>
      </c>
      <c r="U137" s="20" t="n">
        <v>-19327</v>
      </c>
      <c r="V137" s="20" t="n">
        <v>-15789</v>
      </c>
      <c r="W137" s="20" t="n">
        <v>27982</v>
      </c>
      <c r="X137" s="20" t="n">
        <v>33774</v>
      </c>
    </row>
    <row r="138">
      <c r="A138" s="18" t="inlineStr">
        <is>
          <t>기타포괄손익 합계</t>
        </is>
      </c>
      <c r="C138" s="20" t="n">
        <v>-16183</v>
      </c>
      <c r="D138" s="20" t="n">
        <v>27787</v>
      </c>
      <c r="E138" s="20" t="n">
        <v>37537</v>
      </c>
      <c r="F138" s="20" t="n">
        <v>-41658</v>
      </c>
      <c r="G138" s="20" t="n">
        <v>29257</v>
      </c>
      <c r="H138" s="20" t="n">
        <v>-25935</v>
      </c>
      <c r="I138" s="20" t="n">
        <v>9008</v>
      </c>
      <c r="J138" s="20" t="n">
        <v>13774</v>
      </c>
      <c r="K138" s="20" t="n">
        <v>33953</v>
      </c>
      <c r="L138" s="20" t="n">
        <v>7300</v>
      </c>
      <c r="M138" s="20" t="n">
        <v>9885</v>
      </c>
      <c r="N138" s="20" t="n">
        <v>-12204</v>
      </c>
      <c r="U138" s="20" t="n">
        <v>-18427</v>
      </c>
      <c r="V138" s="20" t="n">
        <v>-16183</v>
      </c>
      <c r="W138" s="20" t="n">
        <v>29257</v>
      </c>
      <c r="X138" s="20" t="n">
        <v>33953</v>
      </c>
    </row>
    <row r="139">
      <c r="A139" s="9" t="inlineStr">
        <is>
          <t>포괄이익</t>
        </is>
      </c>
      <c r="C139" s="12" t="n">
        <v>-15197</v>
      </c>
      <c r="D139" s="12" t="n">
        <v>51576</v>
      </c>
      <c r="E139" s="12" t="n">
        <v>57619</v>
      </c>
      <c r="F139" s="12" t="n">
        <v>-43991</v>
      </c>
      <c r="G139" s="12" t="n">
        <v>64293</v>
      </c>
      <c r="H139" s="12" t="n">
        <v>-16151</v>
      </c>
      <c r="I139" s="12" t="n">
        <v>3206</v>
      </c>
      <c r="J139" s="12" t="n">
        <v>25995</v>
      </c>
      <c r="K139" s="12" t="n">
        <v>51907</v>
      </c>
      <c r="L139" s="12" t="n">
        <v>20158</v>
      </c>
      <c r="M139" s="12" t="n">
        <v>25133</v>
      </c>
      <c r="N139" s="12" t="n">
        <v>-35</v>
      </c>
      <c r="U139" s="12" t="n">
        <v>-3671</v>
      </c>
      <c r="V139" s="12" t="n">
        <v>-15197</v>
      </c>
      <c r="W139" s="12" t="n">
        <v>64293</v>
      </c>
      <c r="X139" s="12" t="n">
        <v>51907</v>
      </c>
    </row>
    <row r="140">
      <c r="A140" s="9" t="inlineStr">
        <is>
          <t>지배주주 포괄이익</t>
        </is>
      </c>
      <c r="C140" s="12" t="n">
        <v>-15169</v>
      </c>
      <c r="D140" s="12" t="n">
        <v>51375</v>
      </c>
      <c r="E140" s="12" t="n">
        <v>57577</v>
      </c>
      <c r="F140" s="12" t="n">
        <v>-43826</v>
      </c>
      <c r="G140" s="12" t="n">
        <v>64158</v>
      </c>
      <c r="H140" s="12" t="n">
        <v>-16070</v>
      </c>
      <c r="I140" s="12" t="n">
        <v>3153</v>
      </c>
      <c r="J140" s="12" t="n">
        <v>25878</v>
      </c>
      <c r="K140" s="12" t="n">
        <v>51773</v>
      </c>
      <c r="L140" s="12" t="n">
        <v>20087</v>
      </c>
      <c r="M140" s="12" t="n">
        <v>24967</v>
      </c>
      <c r="N140" s="12" t="n">
        <v>-37</v>
      </c>
      <c r="U140" s="12" t="n">
        <v>-3665</v>
      </c>
      <c r="V140" s="12" t="n">
        <v>-15169</v>
      </c>
      <c r="W140" s="12" t="n">
        <v>64158</v>
      </c>
      <c r="X140" s="12" t="n">
        <v>51773</v>
      </c>
    </row>
    <row r="141">
      <c r="A141" s="9" t="inlineStr">
        <is>
          <t>비지배주주 포괄이익</t>
        </is>
      </c>
      <c r="C141" s="12" t="n">
        <v>-29</v>
      </c>
      <c r="D141" s="12" t="n">
        <v>200</v>
      </c>
      <c r="E141" s="12" t="n">
        <v>42</v>
      </c>
      <c r="F141" s="12" t="n">
        <v>-164</v>
      </c>
      <c r="G141" s="12" t="n">
        <v>134</v>
      </c>
      <c r="H141" s="12" t="n">
        <v>-80</v>
      </c>
      <c r="I141" s="12" t="n">
        <v>52</v>
      </c>
      <c r="J141" s="12" t="n">
        <v>117</v>
      </c>
      <c r="K141" s="12" t="n">
        <v>134</v>
      </c>
      <c r="L141" s="12" t="n">
        <v>71</v>
      </c>
      <c r="M141" s="12" t="n">
        <v>165</v>
      </c>
      <c r="N141" s="12" t="n">
        <v>3</v>
      </c>
      <c r="U141" s="12" t="n">
        <v>-6</v>
      </c>
      <c r="V141" s="12" t="n">
        <v>-29</v>
      </c>
      <c r="W141" s="12" t="n">
        <v>134</v>
      </c>
      <c r="X141" s="12" t="n">
        <v>134</v>
      </c>
    </row>
    <row r="143">
      <c r="A143" s="16" t="inlineStr">
        <is>
          <t>부문 · 전 항목</t>
        </is>
      </c>
      <c r="B143" s="42" t="inlineStr">
        <is>
          <t>부문 · 항목</t>
        </is>
      </c>
      <c r="C143" s="16" t="n"/>
      <c r="D143" s="16" t="n"/>
      <c r="E143" s="16" t="n"/>
      <c r="F143" s="1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  <c r="AA143" s="16" t="n"/>
      <c r="AB143" s="16" t="n"/>
      <c r="AC143" s="16" t="n"/>
    </row>
    <row r="144">
      <c r="A144" s="5" t="inlineStr">
        <is>
          <t>항목</t>
        </is>
      </c>
      <c r="B144" s="5" t="inlineStr">
        <is>
          <t>참고</t>
        </is>
      </c>
      <c r="C144" s="5" t="inlineStr">
        <is>
          <t>2023.4Q</t>
        </is>
      </c>
      <c r="D144" s="5" t="inlineStr">
        <is>
          <t>2024.1Q</t>
        </is>
      </c>
      <c r="E144" s="5" t="inlineStr">
        <is>
          <t>2024.2Q</t>
        </is>
      </c>
      <c r="F144" s="5" t="inlineStr">
        <is>
          <t>2024.3Q</t>
        </is>
      </c>
      <c r="G144" s="5" t="inlineStr">
        <is>
          <t>2024.4Q</t>
        </is>
      </c>
      <c r="H144" s="5" t="inlineStr">
        <is>
          <t>2025.1Q</t>
        </is>
      </c>
      <c r="I144" s="5" t="inlineStr">
        <is>
          <t>2025.2Q</t>
        </is>
      </c>
      <c r="J144" s="5" t="inlineStr">
        <is>
          <t>2025.3Q</t>
        </is>
      </c>
      <c r="K144" s="5" t="inlineStr">
        <is>
          <t>2025.4Q</t>
        </is>
      </c>
      <c r="L144" s="5" t="inlineStr">
        <is>
          <t>2026.1Q</t>
        </is>
      </c>
      <c r="M144" s="5" t="inlineStr">
        <is>
          <t>2026.2Q</t>
        </is>
      </c>
      <c r="N144" s="5" t="inlineStr">
        <is>
          <t>2026.3Q</t>
        </is>
      </c>
      <c r="O144" s="5" t="inlineStr">
        <is>
          <t>2016</t>
        </is>
      </c>
      <c r="P144" s="5" t="inlineStr">
        <is>
          <t>2017</t>
        </is>
      </c>
      <c r="Q144" s="5" t="inlineStr">
        <is>
          <t>2018</t>
        </is>
      </c>
      <c r="R144" s="5" t="inlineStr">
        <is>
          <t>2019</t>
        </is>
      </c>
      <c r="S144" s="5" t="inlineStr">
        <is>
          <t>2020</t>
        </is>
      </c>
      <c r="T144" s="5" t="inlineStr">
        <is>
          <t>2021</t>
        </is>
      </c>
      <c r="U144" s="5" t="inlineStr">
        <is>
          <t>2022</t>
        </is>
      </c>
      <c r="V144" s="5" t="inlineStr">
        <is>
          <t>2023</t>
        </is>
      </c>
      <c r="W144" s="5" t="inlineStr">
        <is>
          <t>2024</t>
        </is>
      </c>
      <c r="X144" s="5" t="inlineStr">
        <is>
          <t>2025</t>
        </is>
      </c>
      <c r="Y144" s="5" t="inlineStr">
        <is>
          <t>2026(MW)</t>
        </is>
      </c>
      <c r="Z144" s="5" t="inlineStr">
        <is>
          <t>2027(MW)</t>
        </is>
      </c>
      <c r="AA144" s="5" t="inlineStr">
        <is>
          <t>2028(MW)</t>
        </is>
      </c>
      <c r="AB144" s="5" t="inlineStr">
        <is>
          <t>2029(MW)</t>
        </is>
      </c>
      <c r="AC144" s="5" t="inlineStr">
        <is>
          <t>2030(MW)</t>
        </is>
      </c>
    </row>
    <row r="145">
      <c r="A145" s="18" t="inlineStr">
        <is>
          <t>BicycleComponentsReportableSegmentMember · 외부 고객 매출</t>
        </is>
      </c>
      <c r="C145" s="20" t="n">
        <v>75236</v>
      </c>
      <c r="D145" s="20" t="n">
        <v>76090</v>
      </c>
      <c r="G145" s="20" t="n">
        <v>91692</v>
      </c>
      <c r="H145" s="20" t="n">
        <v>87972</v>
      </c>
      <c r="K145" s="20" t="n">
        <v>88729</v>
      </c>
      <c r="L145" s="20" t="n">
        <v>87361</v>
      </c>
      <c r="V145" s="20" t="n">
        <v>75236</v>
      </c>
      <c r="W145" s="20" t="n">
        <v>91692</v>
      </c>
      <c r="X145" s="20" t="n">
        <v>88729</v>
      </c>
    </row>
    <row r="146">
      <c r="A146" s="43" t="inlineStr">
        <is>
          <t>YoY</t>
        </is>
      </c>
      <c r="B146" s="3" t="inlineStr">
        <is>
          <t>전년 같은 분기·전년 대비</t>
        </is>
      </c>
      <c r="G146" s="15">
        <f>IF(OR(G145="",C145=""),"",IF(C145&lt;=0,"",IFERROR(G145/C145-1,"")))</f>
        <v/>
      </c>
      <c r="H146" s="15">
        <f>IF(OR(H145="",D145=""),"",IF(D145&lt;=0,"",IFERROR(H145/D145-1,"")))</f>
        <v/>
      </c>
      <c r="K146" s="15">
        <f>IF(OR(K145="",G145=""),"",IF(G145&lt;=0,"",IFERROR(K145/G145-1,"")))</f>
        <v/>
      </c>
      <c r="L146" s="15">
        <f>IF(OR(L145="",H145=""),"",IF(H145&lt;=0,"",IFERROR(L145/H145-1,"")))</f>
        <v/>
      </c>
      <c r="V146" s="15">
        <f>IF(OR(V145="",U145=""),"",IF(U145&lt;=0,"",IFERROR(V145/U145-1,"")))</f>
        <v/>
      </c>
      <c r="W146" s="15">
        <f>IF(OR(W145="",V145=""),"",IF(V145&lt;=0,"",IFERROR(W145/V145-1,"")))</f>
        <v/>
      </c>
      <c r="X146" s="15">
        <f>IF(OR(X145="",W145=""),"",IF(W145&lt;=0,"",IFERROR(X145/W145-1,"")))</f>
        <v/>
      </c>
    </row>
    <row r="147">
      <c r="A147" s="18" t="inlineStr">
        <is>
          <t>FishingTackleReportableSegmentMember · 외부 고객 매출</t>
        </is>
      </c>
      <c r="C147" s="20" t="n">
        <v>23753</v>
      </c>
      <c r="D147" s="20" t="n">
        <v>24369</v>
      </c>
      <c r="G147" s="20" t="n">
        <v>24300</v>
      </c>
      <c r="H147" s="20" t="n">
        <v>25468</v>
      </c>
      <c r="K147" s="20" t="n">
        <v>26397</v>
      </c>
      <c r="L147" s="20" t="n">
        <v>30175</v>
      </c>
      <c r="V147" s="20" t="n">
        <v>23753</v>
      </c>
      <c r="W147" s="20" t="n">
        <v>24300</v>
      </c>
      <c r="X147" s="20" t="n">
        <v>26397</v>
      </c>
    </row>
    <row r="148">
      <c r="A148" s="43" t="inlineStr">
        <is>
          <t>YoY</t>
        </is>
      </c>
      <c r="B148" s="3" t="inlineStr">
        <is>
          <t>전년 같은 분기·전년 대비</t>
        </is>
      </c>
      <c r="G148" s="15">
        <f>IF(OR(G147="",C147=""),"",IF(C147&lt;=0,"",IFERROR(G147/C147-1,"")))</f>
        <v/>
      </c>
      <c r="H148" s="15">
        <f>IF(OR(H147="",D147=""),"",IF(D147&lt;=0,"",IFERROR(H147/D147-1,"")))</f>
        <v/>
      </c>
      <c r="K148" s="15">
        <f>IF(OR(K147="",G147=""),"",IF(G147&lt;=0,"",IFERROR(K147/G147-1,"")))</f>
        <v/>
      </c>
      <c r="L148" s="15">
        <f>IF(OR(L147="",H147=""),"",IF(H147&lt;=0,"",IFERROR(L147/H147-1,"")))</f>
        <v/>
      </c>
      <c r="V148" s="15">
        <f>IF(OR(V147="",U147=""),"",IF(U147&lt;=0,"",IFERROR(V147/U147-1,"")))</f>
        <v/>
      </c>
      <c r="W148" s="15">
        <f>IF(OR(W147="",V147=""),"",IF(V147&lt;=0,"",IFERROR(W147/V147-1,"")))</f>
        <v/>
      </c>
      <c r="X148" s="15">
        <f>IF(OR(X147="",W147=""),"",IF(W147&lt;=0,"",IFERROR(X147/W147-1,"")))</f>
        <v/>
      </c>
    </row>
    <row r="149">
      <c r="A149" s="18" t="inlineStr">
        <is>
          <t>OtherReportableSegmentsMember · 외부 고객 매출</t>
        </is>
      </c>
      <c r="C149" s="20" t="n">
        <v>109</v>
      </c>
      <c r="D149" s="20" t="n">
        <v>97</v>
      </c>
      <c r="E149" s="20" t="n">
        <v>125</v>
      </c>
      <c r="F149" s="20" t="n">
        <v>105</v>
      </c>
      <c r="G149" s="20" t="n">
        <v>122</v>
      </c>
      <c r="H149" s="20" t="n">
        <v>98</v>
      </c>
      <c r="I149" s="20" t="n">
        <v>135</v>
      </c>
      <c r="J149" s="20" t="n">
        <v>109</v>
      </c>
      <c r="K149" s="20" t="n">
        <v>97</v>
      </c>
      <c r="L149" s="20" t="n">
        <v>108</v>
      </c>
      <c r="M149" s="20" t="n">
        <v>105</v>
      </c>
      <c r="N149" s="20" t="n">
        <v>101</v>
      </c>
      <c r="V149" s="20" t="n">
        <v>109</v>
      </c>
      <c r="W149" s="20" t="n">
        <v>122</v>
      </c>
      <c r="X149" s="20" t="n">
        <v>97</v>
      </c>
    </row>
    <row r="150">
      <c r="A150" s="43" t="inlineStr">
        <is>
          <t>YoY</t>
        </is>
      </c>
      <c r="B150" s="3" t="inlineStr">
        <is>
          <t>전년 같은 분기·전년 대비</t>
        </is>
      </c>
      <c r="G150" s="15">
        <f>IF(OR(G149="",C149=""),"",IF(C149&lt;=0,"",IFERROR(G149/C149-1,"")))</f>
        <v/>
      </c>
      <c r="H150" s="15">
        <f>IF(OR(H149="",D149=""),"",IF(D149&lt;=0,"",IFERROR(H149/D149-1,"")))</f>
        <v/>
      </c>
      <c r="I150" s="15">
        <f>IF(OR(I149="",E149=""),"",IF(E149&lt;=0,"",IFERROR(I149/E149-1,"")))</f>
        <v/>
      </c>
      <c r="J150" s="15">
        <f>IF(OR(J149="",F149=""),"",IF(F149&lt;=0,"",IFERROR(J149/F149-1,"")))</f>
        <v/>
      </c>
      <c r="K150" s="15">
        <f>IF(OR(K149="",G149=""),"",IF(G149&lt;=0,"",IFERROR(K149/G149-1,"")))</f>
        <v/>
      </c>
      <c r="L150" s="15">
        <f>IF(OR(L149="",H149=""),"",IF(H149&lt;=0,"",IFERROR(L149/H149-1,"")))</f>
        <v/>
      </c>
      <c r="M150" s="15">
        <f>IF(OR(M149="",I149=""),"",IF(I149&lt;=0,"",IFERROR(M149/I149-1,"")))</f>
        <v/>
      </c>
      <c r="N150" s="15">
        <f>IF(OR(N149="",J149=""),"",IF(J149&lt;=0,"",IFERROR(N149/J149-1,"")))</f>
        <v/>
      </c>
      <c r="V150" s="15">
        <f>IF(OR(V149="",U149=""),"",IF(U149&lt;=0,"",IFERROR(V149/U149-1,"")))</f>
        <v/>
      </c>
      <c r="W150" s="15">
        <f>IF(OR(W149="",V149=""),"",IF(V149&lt;=0,"",IFERROR(W149/V149-1,"")))</f>
        <v/>
      </c>
      <c r="X150" s="15">
        <f>IF(OR(X149="",W149=""),"",IF(W149&lt;=0,"",IFERROR(X149/W149-1,"")))</f>
        <v/>
      </c>
    </row>
    <row r="151">
      <c r="A151" s="18" t="inlineStr">
        <is>
          <t>합계 · 외부 고객 매출</t>
        </is>
      </c>
      <c r="D151" s="20" t="n">
        <v>100557</v>
      </c>
      <c r="E151" s="20" t="n">
        <v>116330</v>
      </c>
      <c r="F151" s="20" t="n">
        <v>117992</v>
      </c>
      <c r="H151" s="20" t="n">
        <v>113539</v>
      </c>
      <c r="I151" s="20" t="n">
        <v>123870</v>
      </c>
      <c r="J151" s="20" t="n">
        <v>113611</v>
      </c>
      <c r="L151" s="20" t="n">
        <v>117644</v>
      </c>
      <c r="M151" s="20" t="n">
        <v>129415</v>
      </c>
      <c r="N151" s="20" t="n">
        <v>128189</v>
      </c>
    </row>
    <row r="152">
      <c r="A152" s="43" t="inlineStr">
        <is>
          <t>YoY</t>
        </is>
      </c>
      <c r="B152" s="3" t="inlineStr">
        <is>
          <t>전년 같은 분기·전년 대비</t>
        </is>
      </c>
      <c r="H152" s="15">
        <f>IF(OR(H151="",D151=""),"",IF(D151&lt;=0,"",IFERROR(H151/D151-1,"")))</f>
        <v/>
      </c>
      <c r="I152" s="15">
        <f>IF(OR(I151="",E151=""),"",IF(E151&lt;=0,"",IFERROR(I151/E151-1,"")))</f>
        <v/>
      </c>
      <c r="J152" s="15">
        <f>IF(OR(J151="",F151=""),"",IF(F151&lt;=0,"",IFERROR(J151/F151-1,"")))</f>
        <v/>
      </c>
      <c r="L152" s="15">
        <f>IF(OR(L151="",H151=""),"",IF(H151&lt;=0,"",IFERROR(L151/H151-1,"")))</f>
        <v/>
      </c>
      <c r="M152" s="15">
        <f>IF(OR(M151="",I151=""),"",IF(I151&lt;=0,"",IFERROR(M151/I151-1,"")))</f>
        <v/>
      </c>
      <c r="N152" s="15">
        <f>IF(OR(N151="",J151=""),"",IF(J151&lt;=0,"",IFERROR(N151/J151-1,"")))</f>
        <v/>
      </c>
    </row>
    <row r="153">
      <c r="A153" s="18" t="inlineStr">
        <is>
          <t>조정액 · 외부 고객 매출</t>
        </is>
      </c>
      <c r="C153" s="20" t="n">
        <v>0</v>
      </c>
      <c r="D153" s="20" t="n">
        <v>0</v>
      </c>
      <c r="E153" s="20" t="n">
        <v>0</v>
      </c>
      <c r="F153" s="20" t="n">
        <v>0</v>
      </c>
      <c r="G153" s="20" t="n">
        <v>0</v>
      </c>
      <c r="H153" s="20" t="n">
        <v>0</v>
      </c>
      <c r="I153" s="20" t="n">
        <v>0</v>
      </c>
      <c r="J153" s="20" t="n">
        <v>0</v>
      </c>
      <c r="K153" s="20" t="n">
        <v>0</v>
      </c>
      <c r="L153" s="20" t="n">
        <v>0</v>
      </c>
      <c r="M153" s="20" t="n">
        <v>0</v>
      </c>
      <c r="N153" s="20" t="n">
        <v>0</v>
      </c>
      <c r="V153" s="20" t="n">
        <v>0</v>
      </c>
      <c r="W153" s="20" t="n">
        <v>0</v>
      </c>
      <c r="X153" s="20" t="n">
        <v>0</v>
      </c>
    </row>
    <row r="154">
      <c r="A154" s="9" t="inlineStr">
        <is>
          <t>외부 고객 매출</t>
        </is>
      </c>
      <c r="C154" s="12" t="n">
        <v>99098</v>
      </c>
      <c r="D154" s="12" t="n">
        <v>100557</v>
      </c>
      <c r="E154" s="12" t="n">
        <v>116330</v>
      </c>
      <c r="F154" s="12" t="n">
        <v>117992</v>
      </c>
      <c r="G154" s="12" t="n">
        <v>116114</v>
      </c>
      <c r="H154" s="12" t="n">
        <v>113539</v>
      </c>
      <c r="I154" s="12" t="n">
        <v>123870</v>
      </c>
      <c r="J154" s="12" t="n">
        <v>113611</v>
      </c>
      <c r="K154" s="12" t="n">
        <v>115223</v>
      </c>
      <c r="V154" s="12" t="n">
        <v>99098</v>
      </c>
      <c r="W154" s="12" t="n">
        <v>116114</v>
      </c>
      <c r="X154" s="12" t="n">
        <v>115223</v>
      </c>
    </row>
    <row r="155">
      <c r="A155" s="43" t="inlineStr">
        <is>
          <t>YoY</t>
        </is>
      </c>
      <c r="B155" s="3" t="inlineStr">
        <is>
          <t>전년 같은 분기·전년 대비</t>
        </is>
      </c>
      <c r="G155" s="15">
        <f>IF(OR(G154="",C154=""),"",IF(C154&lt;=0,"",IFERROR(G154/C154-1,"")))</f>
        <v/>
      </c>
      <c r="H155" s="15">
        <f>IF(OR(H154="",D154=""),"",IF(D154&lt;=0,"",IFERROR(H154/D154-1,"")))</f>
        <v/>
      </c>
      <c r="I155" s="15">
        <f>IF(OR(I154="",E154=""),"",IF(E154&lt;=0,"",IFERROR(I154/E154-1,"")))</f>
        <v/>
      </c>
      <c r="J155" s="15">
        <f>IF(OR(J154="",F154=""),"",IF(F154&lt;=0,"",IFERROR(J154/F154-1,"")))</f>
        <v/>
      </c>
      <c r="K155" s="15">
        <f>IF(OR(K154="",G154=""),"",IF(G154&lt;=0,"",IFERROR(K154/G154-1,"")))</f>
        <v/>
      </c>
      <c r="V155" s="15">
        <f>IF(OR(V154="",U154=""),"",IF(U154&lt;=0,"",IFERROR(V154/U154-1,"")))</f>
        <v/>
      </c>
      <c r="W155" s="15">
        <f>IF(OR(W154="",V154=""),"",IF(V154&lt;=0,"",IFERROR(W154/V154-1,"")))</f>
        <v/>
      </c>
      <c r="X155" s="15">
        <f>IF(OR(X154="",W154=""),"",IF(W154&lt;=0,"",IFERROR(X154/W154-1,"")))</f>
        <v/>
      </c>
    </row>
    <row r="156">
      <c r="A156" s="18" t="inlineStr">
        <is>
          <t>EntityTotalMember · 외부 고객 매출</t>
        </is>
      </c>
      <c r="H156" s="20" t="n">
        <v>113539</v>
      </c>
      <c r="L156" s="20" t="n">
        <v>117644</v>
      </c>
    </row>
    <row r="157">
      <c r="A157" s="18" t="inlineStr">
        <is>
          <t>BicycleComponentsReportableSegmentMember · 부문 간 내부매출·대체</t>
        </is>
      </c>
      <c r="C157" s="20" t="n">
        <v>0</v>
      </c>
      <c r="D157" s="20" t="n">
        <v>0</v>
      </c>
      <c r="G157" s="20" t="n">
        <v>0</v>
      </c>
      <c r="H157" s="20" t="n">
        <v>0</v>
      </c>
      <c r="K157" s="20" t="n">
        <v>0</v>
      </c>
      <c r="L157" s="20" t="n">
        <v>0</v>
      </c>
      <c r="V157" s="20" t="n">
        <v>0</v>
      </c>
      <c r="W157" s="20" t="n">
        <v>0</v>
      </c>
      <c r="X157" s="20" t="n">
        <v>0</v>
      </c>
    </row>
    <row r="158">
      <c r="A158" s="18" t="inlineStr">
        <is>
          <t>FishingTackleReportableSegmentMember · 부문 간 내부매출·대체</t>
        </is>
      </c>
      <c r="C158" s="20" t="n">
        <v>0</v>
      </c>
      <c r="D158" s="20" t="n">
        <v>0</v>
      </c>
      <c r="G158" s="20" t="n">
        <v>0</v>
      </c>
      <c r="H158" s="20" t="n">
        <v>0</v>
      </c>
      <c r="K158" s="20" t="n">
        <v>0</v>
      </c>
      <c r="L158" s="20" t="n">
        <v>0</v>
      </c>
      <c r="V158" s="20" t="n">
        <v>0</v>
      </c>
      <c r="W158" s="20" t="n">
        <v>0</v>
      </c>
      <c r="X158" s="20" t="n">
        <v>0</v>
      </c>
    </row>
    <row r="159">
      <c r="A159" s="18" t="inlineStr">
        <is>
          <t>OtherReportableSegmentsMember · 부문 간 내부매출·대체</t>
        </is>
      </c>
      <c r="C159" s="20" t="n">
        <v>0</v>
      </c>
      <c r="D159" s="20" t="n">
        <v>0</v>
      </c>
      <c r="E159" s="20" t="n">
        <v>0</v>
      </c>
      <c r="F159" s="20" t="n">
        <v>0</v>
      </c>
      <c r="G159" s="20" t="n">
        <v>0</v>
      </c>
      <c r="H159" s="20" t="n">
        <v>0</v>
      </c>
      <c r="I159" s="20" t="n">
        <v>0</v>
      </c>
      <c r="J159" s="20" t="n">
        <v>0</v>
      </c>
      <c r="K159" s="20" t="n">
        <v>0</v>
      </c>
      <c r="L159" s="20" t="n">
        <v>0</v>
      </c>
      <c r="M159" s="20" t="n">
        <v>0</v>
      </c>
      <c r="N159" s="20" t="n">
        <v>0</v>
      </c>
      <c r="V159" s="20" t="n">
        <v>0</v>
      </c>
      <c r="W159" s="20" t="n">
        <v>0</v>
      </c>
      <c r="X159" s="20" t="n">
        <v>0</v>
      </c>
    </row>
    <row r="160">
      <c r="A160" s="18" t="inlineStr">
        <is>
          <t>합계 · 부문 간 내부매출·대체</t>
        </is>
      </c>
      <c r="D160" s="20" t="n">
        <v>0</v>
      </c>
      <c r="E160" s="20" t="n">
        <v>0</v>
      </c>
      <c r="F160" s="20" t="n">
        <v>0</v>
      </c>
      <c r="H160" s="20" t="n">
        <v>0</v>
      </c>
      <c r="I160" s="20" t="n">
        <v>0</v>
      </c>
      <c r="J160" s="20" t="n">
        <v>0</v>
      </c>
      <c r="L160" s="20" t="n">
        <v>0</v>
      </c>
      <c r="M160" s="20" t="n">
        <v>0</v>
      </c>
      <c r="N160" s="20" t="n">
        <v>0</v>
      </c>
    </row>
    <row r="161">
      <c r="A161" s="18" t="inlineStr">
        <is>
          <t>조정액 · 부문 간 내부매출·대체</t>
        </is>
      </c>
      <c r="C161" s="20" t="n">
        <v>0</v>
      </c>
      <c r="D161" s="20" t="n">
        <v>0</v>
      </c>
      <c r="E161" s="20" t="n">
        <v>0</v>
      </c>
      <c r="F161" s="20" t="n">
        <v>0</v>
      </c>
      <c r="G161" s="20" t="n">
        <v>0</v>
      </c>
      <c r="H161" s="20" t="n">
        <v>0</v>
      </c>
      <c r="I161" s="20" t="n">
        <v>0</v>
      </c>
      <c r="J161" s="20" t="n">
        <v>0</v>
      </c>
      <c r="K161" s="20" t="n">
        <v>0</v>
      </c>
      <c r="L161" s="20" t="n">
        <v>0</v>
      </c>
      <c r="M161" s="20" t="n">
        <v>0</v>
      </c>
      <c r="N161" s="20" t="n">
        <v>0</v>
      </c>
      <c r="V161" s="20" t="n">
        <v>0</v>
      </c>
      <c r="W161" s="20" t="n">
        <v>0</v>
      </c>
      <c r="X161" s="20" t="n">
        <v>0</v>
      </c>
    </row>
    <row r="162">
      <c r="A162" s="18" t="inlineStr">
        <is>
          <t>부문 간 내부매출·대체</t>
        </is>
      </c>
      <c r="C162" s="20" t="n">
        <v>0</v>
      </c>
      <c r="D162" s="20" t="n">
        <v>0</v>
      </c>
      <c r="E162" s="20" t="n">
        <v>0</v>
      </c>
      <c r="F162" s="20" t="n">
        <v>0</v>
      </c>
      <c r="G162" s="20" t="n">
        <v>0</v>
      </c>
      <c r="H162" s="20" t="n">
        <v>0</v>
      </c>
      <c r="I162" s="20" t="n">
        <v>0</v>
      </c>
      <c r="J162" s="20" t="n">
        <v>0</v>
      </c>
      <c r="K162" s="20" t="n">
        <v>0</v>
      </c>
      <c r="V162" s="20" t="n">
        <v>0</v>
      </c>
      <c r="W162" s="20" t="n">
        <v>0</v>
      </c>
      <c r="X162" s="20" t="n">
        <v>0</v>
      </c>
    </row>
    <row r="163">
      <c r="A163" s="18" t="inlineStr">
        <is>
          <t>EntityTotalMember · 부문 간 내부매출·대체</t>
        </is>
      </c>
      <c r="H163" s="20" t="n">
        <v>0</v>
      </c>
      <c r="L163" s="20" t="n">
        <v>0</v>
      </c>
    </row>
    <row r="164">
      <c r="A164" s="18" t="inlineStr">
        <is>
          <t>BicycleComponentsReportableSegmentMember · 계</t>
        </is>
      </c>
      <c r="C164" s="20" t="n">
        <v>75236</v>
      </c>
      <c r="D164" s="20" t="n">
        <v>76090</v>
      </c>
      <c r="G164" s="20" t="n">
        <v>91692</v>
      </c>
      <c r="H164" s="20" t="n">
        <v>87972</v>
      </c>
      <c r="K164" s="20" t="n">
        <v>88729</v>
      </c>
      <c r="L164" s="20" t="n">
        <v>87361</v>
      </c>
      <c r="V164" s="20" t="n">
        <v>75236</v>
      </c>
      <c r="W164" s="20" t="n">
        <v>91692</v>
      </c>
      <c r="X164" s="20" t="n">
        <v>88729</v>
      </c>
    </row>
    <row r="165">
      <c r="A165" s="43" t="inlineStr">
        <is>
          <t>YoY</t>
        </is>
      </c>
      <c r="B165" s="3" t="inlineStr">
        <is>
          <t>전년 같은 분기·전년 대비</t>
        </is>
      </c>
      <c r="G165" s="15">
        <f>IF(OR(G164="",C164=""),"",IF(C164&lt;=0,"",IFERROR(G164/C164-1,"")))</f>
        <v/>
      </c>
      <c r="H165" s="15">
        <f>IF(OR(H164="",D164=""),"",IF(D164&lt;=0,"",IFERROR(H164/D164-1,"")))</f>
        <v/>
      </c>
      <c r="K165" s="15">
        <f>IF(OR(K164="",G164=""),"",IF(G164&lt;=0,"",IFERROR(K164/G164-1,"")))</f>
        <v/>
      </c>
      <c r="L165" s="15">
        <f>IF(OR(L164="",H164=""),"",IF(H164&lt;=0,"",IFERROR(L164/H164-1,"")))</f>
        <v/>
      </c>
      <c r="V165" s="15">
        <f>IF(OR(V164="",U164=""),"",IF(U164&lt;=0,"",IFERROR(V164/U164-1,"")))</f>
        <v/>
      </c>
      <c r="W165" s="15">
        <f>IF(OR(W164="",V164=""),"",IF(V164&lt;=0,"",IFERROR(W164/V164-1,"")))</f>
        <v/>
      </c>
      <c r="X165" s="15">
        <f>IF(OR(X164="",W164=""),"",IF(W164&lt;=0,"",IFERROR(X164/W164-1,"")))</f>
        <v/>
      </c>
    </row>
    <row r="166">
      <c r="A166" s="18" t="inlineStr">
        <is>
          <t>FishingTackleReportableSegmentMember · 계</t>
        </is>
      </c>
      <c r="C166" s="20" t="n">
        <v>23753</v>
      </c>
      <c r="D166" s="20" t="n">
        <v>24369</v>
      </c>
      <c r="G166" s="20" t="n">
        <v>24300</v>
      </c>
      <c r="H166" s="20" t="n">
        <v>25468</v>
      </c>
      <c r="K166" s="20" t="n">
        <v>26397</v>
      </c>
      <c r="L166" s="20" t="n">
        <v>30175</v>
      </c>
      <c r="V166" s="20" t="n">
        <v>23753</v>
      </c>
      <c r="W166" s="20" t="n">
        <v>24300</v>
      </c>
      <c r="X166" s="20" t="n">
        <v>26397</v>
      </c>
    </row>
    <row r="167">
      <c r="A167" s="43" t="inlineStr">
        <is>
          <t>YoY</t>
        </is>
      </c>
      <c r="B167" s="3" t="inlineStr">
        <is>
          <t>전년 같은 분기·전년 대비</t>
        </is>
      </c>
      <c r="G167" s="15">
        <f>IF(OR(G166="",C166=""),"",IF(C166&lt;=0,"",IFERROR(G166/C166-1,"")))</f>
        <v/>
      </c>
      <c r="H167" s="15">
        <f>IF(OR(H166="",D166=""),"",IF(D166&lt;=0,"",IFERROR(H166/D166-1,"")))</f>
        <v/>
      </c>
      <c r="K167" s="15">
        <f>IF(OR(K166="",G166=""),"",IF(G166&lt;=0,"",IFERROR(K166/G166-1,"")))</f>
        <v/>
      </c>
      <c r="L167" s="15">
        <f>IF(OR(L166="",H166=""),"",IF(H166&lt;=0,"",IFERROR(L166/H166-1,"")))</f>
        <v/>
      </c>
      <c r="V167" s="15">
        <f>IF(OR(V166="",U166=""),"",IF(U166&lt;=0,"",IFERROR(V166/U166-1,"")))</f>
        <v/>
      </c>
      <c r="W167" s="15">
        <f>IF(OR(W166="",V166=""),"",IF(V166&lt;=0,"",IFERROR(W166/V166-1,"")))</f>
        <v/>
      </c>
      <c r="X167" s="15">
        <f>IF(OR(X166="",W166=""),"",IF(W166&lt;=0,"",IFERROR(X166/W166-1,"")))</f>
        <v/>
      </c>
    </row>
    <row r="168">
      <c r="A168" s="18" t="inlineStr">
        <is>
          <t>OtherReportableSegmentsMember · 계</t>
        </is>
      </c>
      <c r="C168" s="20" t="n">
        <v>109</v>
      </c>
      <c r="D168" s="20" t="n">
        <v>97</v>
      </c>
      <c r="E168" s="20" t="n">
        <v>125</v>
      </c>
      <c r="F168" s="20" t="n">
        <v>105</v>
      </c>
      <c r="G168" s="20" t="n">
        <v>122</v>
      </c>
      <c r="H168" s="20" t="n">
        <v>98</v>
      </c>
      <c r="I168" s="20" t="n">
        <v>135</v>
      </c>
      <c r="J168" s="20" t="n">
        <v>109</v>
      </c>
      <c r="K168" s="20" t="n">
        <v>97</v>
      </c>
      <c r="L168" s="20" t="n">
        <v>108</v>
      </c>
      <c r="M168" s="20" t="n">
        <v>105</v>
      </c>
      <c r="N168" s="20" t="n">
        <v>101</v>
      </c>
      <c r="V168" s="20" t="n">
        <v>109</v>
      </c>
      <c r="W168" s="20" t="n">
        <v>122</v>
      </c>
      <c r="X168" s="20" t="n">
        <v>97</v>
      </c>
    </row>
    <row r="169">
      <c r="A169" s="43" t="inlineStr">
        <is>
          <t>YoY</t>
        </is>
      </c>
      <c r="B169" s="3" t="inlineStr">
        <is>
          <t>전년 같은 분기·전년 대비</t>
        </is>
      </c>
      <c r="G169" s="15">
        <f>IF(OR(G168="",C168=""),"",IF(C168&lt;=0,"",IFERROR(G168/C168-1,"")))</f>
        <v/>
      </c>
      <c r="H169" s="15">
        <f>IF(OR(H168="",D168=""),"",IF(D168&lt;=0,"",IFERROR(H168/D168-1,"")))</f>
        <v/>
      </c>
      <c r="I169" s="15">
        <f>IF(OR(I168="",E168=""),"",IF(E168&lt;=0,"",IFERROR(I168/E168-1,"")))</f>
        <v/>
      </c>
      <c r="J169" s="15">
        <f>IF(OR(J168="",F168=""),"",IF(F168&lt;=0,"",IFERROR(J168/F168-1,"")))</f>
        <v/>
      </c>
      <c r="K169" s="15">
        <f>IF(OR(K168="",G168=""),"",IF(G168&lt;=0,"",IFERROR(K168/G168-1,"")))</f>
        <v/>
      </c>
      <c r="L169" s="15">
        <f>IF(OR(L168="",H168=""),"",IF(H168&lt;=0,"",IFERROR(L168/H168-1,"")))</f>
        <v/>
      </c>
      <c r="M169" s="15">
        <f>IF(OR(M168="",I168=""),"",IF(I168&lt;=0,"",IFERROR(M168/I168-1,"")))</f>
        <v/>
      </c>
      <c r="N169" s="15">
        <f>IF(OR(N168="",J168=""),"",IF(J168&lt;=0,"",IFERROR(N168/J168-1,"")))</f>
        <v/>
      </c>
      <c r="V169" s="15">
        <f>IF(OR(V168="",U168=""),"",IF(U168&lt;=0,"",IFERROR(V168/U168-1,"")))</f>
        <v/>
      </c>
      <c r="W169" s="15">
        <f>IF(OR(W168="",V168=""),"",IF(V168&lt;=0,"",IFERROR(W168/V168-1,"")))</f>
        <v/>
      </c>
      <c r="X169" s="15">
        <f>IF(OR(X168="",W168=""),"",IF(W168&lt;=0,"",IFERROR(X168/W168-1,"")))</f>
        <v/>
      </c>
    </row>
    <row r="170">
      <c r="A170" s="18" t="inlineStr">
        <is>
          <t>합계 · 계</t>
        </is>
      </c>
      <c r="D170" s="20" t="n">
        <v>100557</v>
      </c>
      <c r="E170" s="20" t="n">
        <v>116330</v>
      </c>
      <c r="F170" s="20" t="n">
        <v>117992</v>
      </c>
      <c r="H170" s="20" t="n">
        <v>113539</v>
      </c>
      <c r="I170" s="20" t="n">
        <v>123870</v>
      </c>
      <c r="J170" s="20" t="n">
        <v>113611</v>
      </c>
      <c r="L170" s="20" t="n">
        <v>117644</v>
      </c>
      <c r="M170" s="20" t="n">
        <v>129415</v>
      </c>
      <c r="N170" s="20" t="n">
        <v>128189</v>
      </c>
    </row>
    <row r="171">
      <c r="A171" s="43" t="inlineStr">
        <is>
          <t>YoY</t>
        </is>
      </c>
      <c r="B171" s="3" t="inlineStr">
        <is>
          <t>전년 같은 분기·전년 대비</t>
        </is>
      </c>
      <c r="H171" s="15">
        <f>IF(OR(H170="",D170=""),"",IF(D170&lt;=0,"",IFERROR(H170/D170-1,"")))</f>
        <v/>
      </c>
      <c r="I171" s="15">
        <f>IF(OR(I170="",E170=""),"",IF(E170&lt;=0,"",IFERROR(I170/E170-1,"")))</f>
        <v/>
      </c>
      <c r="J171" s="15">
        <f>IF(OR(J170="",F170=""),"",IF(F170&lt;=0,"",IFERROR(J170/F170-1,"")))</f>
        <v/>
      </c>
      <c r="L171" s="15">
        <f>IF(OR(L170="",H170=""),"",IF(H170&lt;=0,"",IFERROR(L170/H170-1,"")))</f>
        <v/>
      </c>
      <c r="M171" s="15">
        <f>IF(OR(M170="",I170=""),"",IF(I170&lt;=0,"",IFERROR(M170/I170-1,"")))</f>
        <v/>
      </c>
      <c r="N171" s="15">
        <f>IF(OR(N170="",J170=""),"",IF(J170&lt;=0,"",IFERROR(N170/J170-1,"")))</f>
        <v/>
      </c>
    </row>
    <row r="172">
      <c r="A172" s="18" t="inlineStr">
        <is>
          <t>조정액 · 계</t>
        </is>
      </c>
      <c r="C172" s="20" t="n">
        <v>0</v>
      </c>
      <c r="D172" s="20" t="n">
        <v>0</v>
      </c>
      <c r="E172" s="20" t="n">
        <v>0</v>
      </c>
      <c r="F172" s="20" t="n">
        <v>0</v>
      </c>
      <c r="G172" s="20" t="n">
        <v>0</v>
      </c>
      <c r="H172" s="20" t="n">
        <v>0</v>
      </c>
      <c r="I172" s="20" t="n">
        <v>0</v>
      </c>
      <c r="J172" s="20" t="n">
        <v>0</v>
      </c>
      <c r="K172" s="20" t="n">
        <v>0</v>
      </c>
      <c r="L172" s="20" t="n">
        <v>0</v>
      </c>
      <c r="M172" s="20" t="n">
        <v>0</v>
      </c>
      <c r="N172" s="20" t="n">
        <v>0</v>
      </c>
      <c r="V172" s="20" t="n">
        <v>0</v>
      </c>
      <c r="W172" s="20" t="n">
        <v>0</v>
      </c>
      <c r="X172" s="20" t="n">
        <v>0</v>
      </c>
    </row>
    <row r="173">
      <c r="A173" s="9" t="inlineStr">
        <is>
          <t>계</t>
        </is>
      </c>
      <c r="C173" s="12" t="n">
        <v>99098</v>
      </c>
      <c r="D173" s="12" t="n">
        <v>100557</v>
      </c>
      <c r="E173" s="12" t="n">
        <v>116330</v>
      </c>
      <c r="F173" s="12" t="n">
        <v>117992</v>
      </c>
      <c r="G173" s="12" t="n">
        <v>116114</v>
      </c>
      <c r="H173" s="12" t="n">
        <v>113539</v>
      </c>
      <c r="I173" s="12" t="n">
        <v>123870</v>
      </c>
      <c r="J173" s="12" t="n">
        <v>113611</v>
      </c>
      <c r="K173" s="12" t="n">
        <v>115223</v>
      </c>
      <c r="V173" s="12" t="n">
        <v>99098</v>
      </c>
      <c r="W173" s="12" t="n">
        <v>116114</v>
      </c>
      <c r="X173" s="12" t="n">
        <v>115223</v>
      </c>
    </row>
    <row r="174">
      <c r="A174" s="43" t="inlineStr">
        <is>
          <t>YoY</t>
        </is>
      </c>
      <c r="B174" s="3" t="inlineStr">
        <is>
          <t>전년 같은 분기·전년 대비</t>
        </is>
      </c>
      <c r="G174" s="15">
        <f>IF(OR(G173="",C173=""),"",IF(C173&lt;=0,"",IFERROR(G173/C173-1,"")))</f>
        <v/>
      </c>
      <c r="H174" s="15">
        <f>IF(OR(H173="",D173=""),"",IF(D173&lt;=0,"",IFERROR(H173/D173-1,"")))</f>
        <v/>
      </c>
      <c r="I174" s="15">
        <f>IF(OR(I173="",E173=""),"",IF(E173&lt;=0,"",IFERROR(I173/E173-1,"")))</f>
        <v/>
      </c>
      <c r="J174" s="15">
        <f>IF(OR(J173="",F173=""),"",IF(F173&lt;=0,"",IFERROR(J173/F173-1,"")))</f>
        <v/>
      </c>
      <c r="K174" s="15">
        <f>IF(OR(K173="",G173=""),"",IF(G173&lt;=0,"",IFERROR(K173/G173-1,"")))</f>
        <v/>
      </c>
      <c r="V174" s="15">
        <f>IF(OR(V173="",U173=""),"",IF(U173&lt;=0,"",IFERROR(V173/U173-1,"")))</f>
        <v/>
      </c>
      <c r="W174" s="15">
        <f>IF(OR(W173="",V173=""),"",IF(V173&lt;=0,"",IFERROR(W173/V173-1,"")))</f>
        <v/>
      </c>
      <c r="X174" s="15">
        <f>IF(OR(X173="",W173=""),"",IF(W173&lt;=0,"",IFERROR(X173/W173-1,"")))</f>
        <v/>
      </c>
    </row>
    <row r="175">
      <c r="A175" s="18" t="inlineStr">
        <is>
          <t>EntityTotalMember · 계</t>
        </is>
      </c>
      <c r="H175" s="20" t="n">
        <v>113539</v>
      </c>
      <c r="L175" s="20" t="n">
        <v>117644</v>
      </c>
    </row>
    <row r="176">
      <c r="A176" s="18" t="inlineStr">
        <is>
          <t>BicycleComponentsReportableSegmentMember · 부문 이익(손실)</t>
        </is>
      </c>
      <c r="C176" s="20" t="n">
        <v>9334</v>
      </c>
      <c r="D176" s="20" t="n">
        <v>10471</v>
      </c>
      <c r="G176" s="20" t="n">
        <v>12815</v>
      </c>
      <c r="H176" s="20" t="n">
        <v>14503</v>
      </c>
      <c r="K176" s="20" t="n">
        <v>12680</v>
      </c>
      <c r="L176" s="20" t="n">
        <v>7792</v>
      </c>
      <c r="V176" s="20" t="n">
        <v>9334</v>
      </c>
      <c r="W176" s="20" t="n">
        <v>12815</v>
      </c>
      <c r="X176" s="20" t="n">
        <v>12680</v>
      </c>
    </row>
    <row r="177">
      <c r="A177" s="43" t="inlineStr">
        <is>
          <t>OPM</t>
        </is>
      </c>
      <c r="B177" s="3" t="inlineStr">
        <is>
          <t>영업이익 ÷ 매출</t>
        </is>
      </c>
      <c r="C177" s="15">
        <f>IF(OR(C176="",C164=""),"",IF(C164&lt;=0,"",IFERROR(C176/C164,"")))</f>
        <v/>
      </c>
      <c r="D177" s="15">
        <f>IF(OR(D176="",D164=""),"",IF(D164&lt;=0,"",IFERROR(D176/D164,"")))</f>
        <v/>
      </c>
      <c r="G177" s="15">
        <f>IF(OR(G176="",G164=""),"",IF(G164&lt;=0,"",IFERROR(G176/G164,"")))</f>
        <v/>
      </c>
      <c r="H177" s="15">
        <f>IF(OR(H176="",H164=""),"",IF(H164&lt;=0,"",IFERROR(H176/H164,"")))</f>
        <v/>
      </c>
      <c r="K177" s="15">
        <f>IF(OR(K176="",K164=""),"",IF(K164&lt;=0,"",IFERROR(K176/K164,"")))</f>
        <v/>
      </c>
      <c r="L177" s="15">
        <f>IF(OR(L176="",L164=""),"",IF(L164&lt;=0,"",IFERROR(L176/L164,"")))</f>
        <v/>
      </c>
      <c r="V177" s="15">
        <f>IF(OR(V176="",V164=""),"",IF(V164&lt;=0,"",IFERROR(V176/V164,"")))</f>
        <v/>
      </c>
      <c r="W177" s="15">
        <f>IF(OR(W176="",W164=""),"",IF(W164&lt;=0,"",IFERROR(W176/W164,"")))</f>
        <v/>
      </c>
      <c r="X177" s="15">
        <f>IF(OR(X176="",X164=""),"",IF(X164&lt;=0,"",IFERROR(X176/X164,"")))</f>
        <v/>
      </c>
    </row>
    <row r="178">
      <c r="A178" s="43" t="inlineStr">
        <is>
          <t>YoY</t>
        </is>
      </c>
      <c r="B178" s="3" t="inlineStr">
        <is>
          <t>전년 같은 분기·전년 대비</t>
        </is>
      </c>
      <c r="G178" s="15">
        <f>IF(OR(G176="",C176=""),"",IF(C176&lt;=0,"",IFERROR(G176/C176-1,"")))</f>
        <v/>
      </c>
      <c r="H178" s="15">
        <f>IF(OR(H176="",D176=""),"",IF(D176&lt;=0,"",IFERROR(H176/D176-1,"")))</f>
        <v/>
      </c>
      <c r="K178" s="15">
        <f>IF(OR(K176="",G176=""),"",IF(G176&lt;=0,"",IFERROR(K176/G176-1,"")))</f>
        <v/>
      </c>
      <c r="L178" s="15">
        <f>IF(OR(L176="",H176=""),"",IF(H176&lt;=0,"",IFERROR(L176/H176-1,"")))</f>
        <v/>
      </c>
      <c r="V178" s="15">
        <f>IF(OR(V176="",U176=""),"",IF(U176&lt;=0,"",IFERROR(V176/U176-1,"")))</f>
        <v/>
      </c>
      <c r="W178" s="15">
        <f>IF(OR(W176="",V176=""),"",IF(V176&lt;=0,"",IFERROR(W176/V176-1,"")))</f>
        <v/>
      </c>
      <c r="X178" s="15">
        <f>IF(OR(X176="",W176=""),"",IF(W176&lt;=0,"",IFERROR(X176/W176-1,"")))</f>
        <v/>
      </c>
    </row>
    <row r="179">
      <c r="A179" s="18" t="inlineStr">
        <is>
          <t>FishingTackleReportableSegmentMember · 부문 이익(손실)</t>
        </is>
      </c>
      <c r="C179" s="20" t="n">
        <v>2213</v>
      </c>
      <c r="D179" s="20" t="n">
        <v>2961</v>
      </c>
      <c r="G179" s="20" t="n">
        <v>1606</v>
      </c>
      <c r="H179" s="20" t="n">
        <v>1636</v>
      </c>
      <c r="K179" s="20" t="n">
        <v>2456</v>
      </c>
      <c r="L179" s="20" t="n">
        <v>2596</v>
      </c>
      <c r="V179" s="20" t="n">
        <v>2213</v>
      </c>
      <c r="W179" s="20" t="n">
        <v>1606</v>
      </c>
      <c r="X179" s="20" t="n">
        <v>2456</v>
      </c>
    </row>
    <row r="180">
      <c r="A180" s="43" t="inlineStr">
        <is>
          <t>OPM</t>
        </is>
      </c>
      <c r="B180" s="3" t="inlineStr">
        <is>
          <t>영업이익 ÷ 매출</t>
        </is>
      </c>
      <c r="C180" s="15">
        <f>IF(OR(C179="",C166=""),"",IF(C166&lt;=0,"",IFERROR(C179/C166,"")))</f>
        <v/>
      </c>
      <c r="D180" s="15">
        <f>IF(OR(D179="",D166=""),"",IF(D166&lt;=0,"",IFERROR(D179/D166,"")))</f>
        <v/>
      </c>
      <c r="G180" s="15">
        <f>IF(OR(G179="",G166=""),"",IF(G166&lt;=0,"",IFERROR(G179/G166,"")))</f>
        <v/>
      </c>
      <c r="H180" s="15">
        <f>IF(OR(H179="",H166=""),"",IF(H166&lt;=0,"",IFERROR(H179/H166,"")))</f>
        <v/>
      </c>
      <c r="K180" s="15">
        <f>IF(OR(K179="",K166=""),"",IF(K166&lt;=0,"",IFERROR(K179/K166,"")))</f>
        <v/>
      </c>
      <c r="L180" s="15">
        <f>IF(OR(L179="",L166=""),"",IF(L166&lt;=0,"",IFERROR(L179/L166,"")))</f>
        <v/>
      </c>
      <c r="V180" s="15">
        <f>IF(OR(V179="",V166=""),"",IF(V166&lt;=0,"",IFERROR(V179/V166,"")))</f>
        <v/>
      </c>
      <c r="W180" s="15">
        <f>IF(OR(W179="",W166=""),"",IF(W166&lt;=0,"",IFERROR(W179/W166,"")))</f>
        <v/>
      </c>
      <c r="X180" s="15">
        <f>IF(OR(X179="",X166=""),"",IF(X166&lt;=0,"",IFERROR(X179/X166,"")))</f>
        <v/>
      </c>
    </row>
    <row r="181">
      <c r="A181" s="43" t="inlineStr">
        <is>
          <t>YoY</t>
        </is>
      </c>
      <c r="B181" s="3" t="inlineStr">
        <is>
          <t>전년 같은 분기·전년 대비</t>
        </is>
      </c>
      <c r="G181" s="15">
        <f>IF(OR(G179="",C179=""),"",IF(C179&lt;=0,"",IFERROR(G179/C179-1,"")))</f>
        <v/>
      </c>
      <c r="H181" s="15">
        <f>IF(OR(H179="",D179=""),"",IF(D179&lt;=0,"",IFERROR(H179/D179-1,"")))</f>
        <v/>
      </c>
      <c r="K181" s="15">
        <f>IF(OR(K179="",G179=""),"",IF(G179&lt;=0,"",IFERROR(K179/G179-1,"")))</f>
        <v/>
      </c>
      <c r="L181" s="15">
        <f>IF(OR(L179="",H179=""),"",IF(H179&lt;=0,"",IFERROR(L179/H179-1,"")))</f>
        <v/>
      </c>
      <c r="V181" s="15">
        <f>IF(OR(V179="",U179=""),"",IF(U179&lt;=0,"",IFERROR(V179/U179-1,"")))</f>
        <v/>
      </c>
      <c r="W181" s="15">
        <f>IF(OR(W179="",V179=""),"",IF(V179&lt;=0,"",IFERROR(W179/V179-1,"")))</f>
        <v/>
      </c>
      <c r="X181" s="15">
        <f>IF(OR(X179="",W179=""),"",IF(W179&lt;=0,"",IFERROR(X179/W179-1,"")))</f>
        <v/>
      </c>
    </row>
    <row r="182">
      <c r="A182" s="18" t="inlineStr">
        <is>
          <t>OtherReportableSegmentsMember · 부문 이익(손실)</t>
        </is>
      </c>
      <c r="C182" s="20" t="n">
        <v>20</v>
      </c>
      <c r="D182" s="20" t="n">
        <v>-11</v>
      </c>
      <c r="E182" s="20" t="n">
        <v>-13</v>
      </c>
      <c r="F182" s="20" t="n">
        <v>10</v>
      </c>
      <c r="G182" s="20" t="n">
        <v>13</v>
      </c>
      <c r="H182" s="20" t="n">
        <v>1</v>
      </c>
      <c r="I182" s="20" t="n">
        <v>-2</v>
      </c>
      <c r="J182" s="20" t="n">
        <v>-5</v>
      </c>
      <c r="K182" s="20" t="n">
        <v>-23</v>
      </c>
      <c r="L182" s="20" t="n">
        <v>12</v>
      </c>
      <c r="M182" s="20" t="n">
        <v>-6</v>
      </c>
      <c r="N182" s="20" t="n">
        <v>5</v>
      </c>
      <c r="V182" s="20" t="n">
        <v>20</v>
      </c>
      <c r="W182" s="20" t="n">
        <v>13</v>
      </c>
      <c r="X182" s="20" t="n">
        <v>-23</v>
      </c>
    </row>
    <row r="183">
      <c r="A183" s="43" t="inlineStr">
        <is>
          <t>OPM</t>
        </is>
      </c>
      <c r="B183" s="3" t="inlineStr">
        <is>
          <t>영업이익 ÷ 매출</t>
        </is>
      </c>
      <c r="C183" s="15">
        <f>IF(OR(C182="",C168=""),"",IF(C168&lt;=0,"",IFERROR(C182/C168,"")))</f>
        <v/>
      </c>
      <c r="D183" s="15">
        <f>IF(OR(D182="",D168=""),"",IF(D168&lt;=0,"",IFERROR(D182/D168,"")))</f>
        <v/>
      </c>
      <c r="E183" s="15">
        <f>IF(OR(E182="",E168=""),"",IF(E168&lt;=0,"",IFERROR(E182/E168,"")))</f>
        <v/>
      </c>
      <c r="F183" s="15">
        <f>IF(OR(F182="",F168=""),"",IF(F168&lt;=0,"",IFERROR(F182/F168,"")))</f>
        <v/>
      </c>
      <c r="G183" s="15">
        <f>IF(OR(G182="",G168=""),"",IF(G168&lt;=0,"",IFERROR(G182/G168,"")))</f>
        <v/>
      </c>
      <c r="H183" s="15">
        <f>IF(OR(H182="",H168=""),"",IF(H168&lt;=0,"",IFERROR(H182/H168,"")))</f>
        <v/>
      </c>
      <c r="I183" s="15">
        <f>IF(OR(I182="",I168=""),"",IF(I168&lt;=0,"",IFERROR(I182/I168,"")))</f>
        <v/>
      </c>
      <c r="J183" s="15">
        <f>IF(OR(J182="",J168=""),"",IF(J168&lt;=0,"",IFERROR(J182/J168,"")))</f>
        <v/>
      </c>
      <c r="K183" s="15">
        <f>IF(OR(K182="",K168=""),"",IF(K168&lt;=0,"",IFERROR(K182/K168,"")))</f>
        <v/>
      </c>
      <c r="L183" s="15">
        <f>IF(OR(L182="",L168=""),"",IF(L168&lt;=0,"",IFERROR(L182/L168,"")))</f>
        <v/>
      </c>
      <c r="M183" s="15">
        <f>IF(OR(M182="",M168=""),"",IF(M168&lt;=0,"",IFERROR(M182/M168,"")))</f>
        <v/>
      </c>
      <c r="N183" s="15">
        <f>IF(OR(N182="",N168=""),"",IF(N168&lt;=0,"",IFERROR(N182/N168,"")))</f>
        <v/>
      </c>
      <c r="V183" s="15">
        <f>IF(OR(V182="",V168=""),"",IF(V168&lt;=0,"",IFERROR(V182/V168,"")))</f>
        <v/>
      </c>
      <c r="W183" s="15">
        <f>IF(OR(W182="",W168=""),"",IF(W168&lt;=0,"",IFERROR(W182/W168,"")))</f>
        <v/>
      </c>
      <c r="X183" s="15">
        <f>IF(OR(X182="",X168=""),"",IF(X168&lt;=0,"",IFERROR(X182/X168,"")))</f>
        <v/>
      </c>
    </row>
    <row r="184">
      <c r="A184" s="43" t="inlineStr">
        <is>
          <t>YoY</t>
        </is>
      </c>
      <c r="B184" s="3" t="inlineStr">
        <is>
          <t>전년 같은 분기·전년 대비</t>
        </is>
      </c>
      <c r="G184" s="15">
        <f>IF(OR(G182="",C182=""),"",IF(C182&lt;=0,"",IFERROR(G182/C182-1,"")))</f>
        <v/>
      </c>
      <c r="H184" s="15">
        <f>IF(OR(H182="",D182=""),"",IF(D182&lt;=0,"",IFERROR(H182/D182-1,"")))</f>
        <v/>
      </c>
      <c r="I184" s="15">
        <f>IF(OR(I182="",E182=""),"",IF(E182&lt;=0,"",IFERROR(I182/E182-1,"")))</f>
        <v/>
      </c>
      <c r="J184" s="15">
        <f>IF(OR(J182="",F182=""),"",IF(F182&lt;=0,"",IFERROR(J182/F182-1,"")))</f>
        <v/>
      </c>
      <c r="K184" s="15">
        <f>IF(OR(K182="",G182=""),"",IF(G182&lt;=0,"",IFERROR(K182/G182-1,"")))</f>
        <v/>
      </c>
      <c r="L184" s="15">
        <f>IF(OR(L182="",H182=""),"",IF(H182&lt;=0,"",IFERROR(L182/H182-1,"")))</f>
        <v/>
      </c>
      <c r="M184" s="15">
        <f>IF(OR(M182="",I182=""),"",IF(I182&lt;=0,"",IFERROR(M182/I182-1,"")))</f>
        <v/>
      </c>
      <c r="N184" s="15">
        <f>IF(OR(N182="",J182=""),"",IF(J182&lt;=0,"",IFERROR(N182/J182-1,"")))</f>
        <v/>
      </c>
      <c r="V184" s="15">
        <f>IF(OR(V182="",U182=""),"",IF(U182&lt;=0,"",IFERROR(V182/U182-1,"")))</f>
        <v/>
      </c>
      <c r="W184" s="15">
        <f>IF(OR(W182="",V182=""),"",IF(V182&lt;=0,"",IFERROR(W182/V182-1,"")))</f>
        <v/>
      </c>
      <c r="X184" s="15">
        <f>IF(OR(X182="",W182=""),"",IF(W182&lt;=0,"",IFERROR(X182/W182-1,"")))</f>
        <v/>
      </c>
    </row>
    <row r="185">
      <c r="A185" s="18" t="inlineStr">
        <is>
          <t>합계 · 부문 이익(손실)</t>
        </is>
      </c>
      <c r="D185" s="20" t="n">
        <v>13421</v>
      </c>
      <c r="E185" s="20" t="n">
        <v>17534</v>
      </c>
      <c r="F185" s="20" t="n">
        <v>19696</v>
      </c>
      <c r="H185" s="20" t="n">
        <v>16142</v>
      </c>
      <c r="I185" s="20" t="n">
        <v>11981</v>
      </c>
      <c r="J185" s="20" t="n">
        <v>8442</v>
      </c>
      <c r="L185" s="20" t="n">
        <v>10400</v>
      </c>
      <c r="M185" s="20" t="n">
        <v>16849</v>
      </c>
      <c r="N185" s="20" t="n">
        <v>17283</v>
      </c>
    </row>
    <row r="186">
      <c r="A186" s="43" t="inlineStr">
        <is>
          <t>OPM</t>
        </is>
      </c>
      <c r="B186" s="3" t="inlineStr">
        <is>
          <t>영업이익 ÷ 매출</t>
        </is>
      </c>
      <c r="D186" s="15">
        <f>IF(OR(D185="",D170=""),"",IF(D170&lt;=0,"",IFERROR(D185/D170,"")))</f>
        <v/>
      </c>
      <c r="E186" s="15">
        <f>IF(OR(E185="",E170=""),"",IF(E170&lt;=0,"",IFERROR(E185/E170,"")))</f>
        <v/>
      </c>
      <c r="F186" s="15">
        <f>IF(OR(F185="",F170=""),"",IF(F170&lt;=0,"",IFERROR(F185/F170,"")))</f>
        <v/>
      </c>
      <c r="H186" s="15">
        <f>IF(OR(H185="",H170=""),"",IF(H170&lt;=0,"",IFERROR(H185/H170,"")))</f>
        <v/>
      </c>
      <c r="I186" s="15">
        <f>IF(OR(I185="",I170=""),"",IF(I170&lt;=0,"",IFERROR(I185/I170,"")))</f>
        <v/>
      </c>
      <c r="J186" s="15">
        <f>IF(OR(J185="",J170=""),"",IF(J170&lt;=0,"",IFERROR(J185/J170,"")))</f>
        <v/>
      </c>
      <c r="L186" s="15">
        <f>IF(OR(L185="",L170=""),"",IF(L170&lt;=0,"",IFERROR(L185/L170,"")))</f>
        <v/>
      </c>
      <c r="M186" s="15">
        <f>IF(OR(M185="",M170=""),"",IF(M170&lt;=0,"",IFERROR(M185/M170,"")))</f>
        <v/>
      </c>
      <c r="N186" s="15">
        <f>IF(OR(N185="",N170=""),"",IF(N170&lt;=0,"",IFERROR(N185/N170,"")))</f>
        <v/>
      </c>
    </row>
    <row r="187">
      <c r="A187" s="43" t="inlineStr">
        <is>
          <t>YoY</t>
        </is>
      </c>
      <c r="B187" s="3" t="inlineStr">
        <is>
          <t>전년 같은 분기·전년 대비</t>
        </is>
      </c>
      <c r="H187" s="15">
        <f>IF(OR(H185="",D185=""),"",IF(D185&lt;=0,"",IFERROR(H185/D185-1,"")))</f>
        <v/>
      </c>
      <c r="I187" s="15">
        <f>IF(OR(I185="",E185=""),"",IF(E185&lt;=0,"",IFERROR(I185/E185-1,"")))</f>
        <v/>
      </c>
      <c r="J187" s="15">
        <f>IF(OR(J185="",F185=""),"",IF(F185&lt;=0,"",IFERROR(J185/F185-1,"")))</f>
        <v/>
      </c>
      <c r="L187" s="15">
        <f>IF(OR(L185="",H185=""),"",IF(H185&lt;=0,"",IFERROR(L185/H185-1,"")))</f>
        <v/>
      </c>
      <c r="M187" s="15">
        <f>IF(OR(M185="",I185=""),"",IF(I185&lt;=0,"",IFERROR(M185/I185-1,"")))</f>
        <v/>
      </c>
      <c r="N187" s="15">
        <f>IF(OR(N185="",J185=""),"",IF(J185&lt;=0,"",IFERROR(N185/J185-1,"")))</f>
        <v/>
      </c>
    </row>
    <row r="188">
      <c r="A188" s="18" t="inlineStr">
        <is>
          <t>조정액 · 부문 이익(손실)</t>
        </is>
      </c>
      <c r="C188" s="20" t="n">
        <v>0</v>
      </c>
      <c r="D188" s="20" t="n">
        <v>0</v>
      </c>
      <c r="E188" s="20" t="n">
        <v>0</v>
      </c>
      <c r="F188" s="20" t="n">
        <v>0</v>
      </c>
      <c r="G188" s="20" t="n">
        <v>0</v>
      </c>
      <c r="H188" s="20" t="n">
        <v>0</v>
      </c>
      <c r="I188" s="20" t="n">
        <v>0</v>
      </c>
      <c r="J188" s="20" t="n">
        <v>0</v>
      </c>
      <c r="K188" s="20" t="n">
        <v>0</v>
      </c>
      <c r="L188" s="20" t="n">
        <v>0</v>
      </c>
      <c r="M188" s="20" t="n">
        <v>0</v>
      </c>
      <c r="N188" s="20" t="n">
        <v>0</v>
      </c>
      <c r="V188" s="20" t="n">
        <v>0</v>
      </c>
      <c r="W188" s="20" t="n">
        <v>0</v>
      </c>
      <c r="X188" s="20" t="n">
        <v>0</v>
      </c>
    </row>
    <row r="189">
      <c r="A189" s="9" t="inlineStr">
        <is>
          <t>부문 이익(손실)</t>
        </is>
      </c>
      <c r="C189" s="12" t="n">
        <v>11567</v>
      </c>
      <c r="D189" s="12" t="n">
        <v>13421</v>
      </c>
      <c r="E189" s="12" t="n">
        <v>17534</v>
      </c>
      <c r="F189" s="12" t="n">
        <v>19696</v>
      </c>
      <c r="G189" s="12" t="n">
        <v>14434</v>
      </c>
      <c r="H189" s="12" t="n">
        <v>16142</v>
      </c>
      <c r="I189" s="12" t="n">
        <v>11981</v>
      </c>
      <c r="J189" s="12" t="n">
        <v>8442</v>
      </c>
      <c r="K189" s="12" t="n">
        <v>15112</v>
      </c>
      <c r="V189" s="12" t="n">
        <v>11567</v>
      </c>
      <c r="W189" s="12" t="n">
        <v>14434</v>
      </c>
      <c r="X189" s="12" t="n">
        <v>15112</v>
      </c>
    </row>
    <row r="190">
      <c r="A190" s="43" t="inlineStr">
        <is>
          <t>OPM</t>
        </is>
      </c>
      <c r="B190" s="3" t="inlineStr">
        <is>
          <t>영업이익 ÷ 매출</t>
        </is>
      </c>
      <c r="C190" s="15">
        <f>IF(OR(C189="",C154=""),"",IF(C154&lt;=0,"",IFERROR(C189/C154,"")))</f>
        <v/>
      </c>
      <c r="D190" s="15">
        <f>IF(OR(D189="",D154=""),"",IF(D154&lt;=0,"",IFERROR(D189/D154,"")))</f>
        <v/>
      </c>
      <c r="E190" s="15">
        <f>IF(OR(E189="",E154=""),"",IF(E154&lt;=0,"",IFERROR(E189/E154,"")))</f>
        <v/>
      </c>
      <c r="F190" s="15">
        <f>IF(OR(F189="",F154=""),"",IF(F154&lt;=0,"",IFERROR(F189/F154,"")))</f>
        <v/>
      </c>
      <c r="G190" s="15">
        <f>IF(OR(G189="",G154=""),"",IF(G154&lt;=0,"",IFERROR(G189/G154,"")))</f>
        <v/>
      </c>
      <c r="H190" s="15">
        <f>IF(OR(H189="",H154=""),"",IF(H154&lt;=0,"",IFERROR(H189/H154,"")))</f>
        <v/>
      </c>
      <c r="I190" s="15">
        <f>IF(OR(I189="",I154=""),"",IF(I154&lt;=0,"",IFERROR(I189/I154,"")))</f>
        <v/>
      </c>
      <c r="J190" s="15">
        <f>IF(OR(J189="",J154=""),"",IF(J154&lt;=0,"",IFERROR(J189/J154,"")))</f>
        <v/>
      </c>
      <c r="K190" s="15">
        <f>IF(OR(K189="",K154=""),"",IF(K154&lt;=0,"",IFERROR(K189/K154,"")))</f>
        <v/>
      </c>
      <c r="V190" s="15">
        <f>IF(OR(V189="",V154=""),"",IF(V154&lt;=0,"",IFERROR(V189/V154,"")))</f>
        <v/>
      </c>
      <c r="W190" s="15">
        <f>IF(OR(W189="",W154=""),"",IF(W154&lt;=0,"",IFERROR(W189/W154,"")))</f>
        <v/>
      </c>
      <c r="X190" s="15">
        <f>IF(OR(X189="",X154=""),"",IF(X154&lt;=0,"",IFERROR(X189/X154,"")))</f>
        <v/>
      </c>
    </row>
    <row r="191">
      <c r="A191" s="43" t="inlineStr">
        <is>
          <t>YoY</t>
        </is>
      </c>
      <c r="B191" s="3" t="inlineStr">
        <is>
          <t>전년 같은 분기·전년 대비</t>
        </is>
      </c>
      <c r="G191" s="15">
        <f>IF(OR(G189="",C189=""),"",IF(C189&lt;=0,"",IFERROR(G189/C189-1,"")))</f>
        <v/>
      </c>
      <c r="H191" s="15">
        <f>IF(OR(H189="",D189=""),"",IF(D189&lt;=0,"",IFERROR(H189/D189-1,"")))</f>
        <v/>
      </c>
      <c r="I191" s="15">
        <f>IF(OR(I189="",E189=""),"",IF(E189&lt;=0,"",IFERROR(I189/E189-1,"")))</f>
        <v/>
      </c>
      <c r="J191" s="15">
        <f>IF(OR(J189="",F189=""),"",IF(F189&lt;=0,"",IFERROR(J189/F189-1,"")))</f>
        <v/>
      </c>
      <c r="K191" s="15">
        <f>IF(OR(K189="",G189=""),"",IF(G189&lt;=0,"",IFERROR(K189/G189-1,"")))</f>
        <v/>
      </c>
      <c r="V191" s="15">
        <f>IF(OR(V189="",U189=""),"",IF(U189&lt;=0,"",IFERROR(V189/U189-1,"")))</f>
        <v/>
      </c>
      <c r="W191" s="15">
        <f>IF(OR(W189="",V189=""),"",IF(V189&lt;=0,"",IFERROR(W189/V189-1,"")))</f>
        <v/>
      </c>
      <c r="X191" s="15">
        <f>IF(OR(X189="",W189=""),"",IF(W189&lt;=0,"",IFERROR(X189/W189-1,"")))</f>
        <v/>
      </c>
    </row>
    <row r="192">
      <c r="A192" s="18" t="inlineStr">
        <is>
          <t>EntityTotalMember · 부문 이익(손실)</t>
        </is>
      </c>
      <c r="H192" s="20" t="n">
        <v>16142</v>
      </c>
      <c r="L192" s="20" t="n">
        <v>10400</v>
      </c>
    </row>
    <row r="194">
      <c r="A194" s="16" t="inlineStr">
        <is>
          <t>현금흐름표 · 전 항목</t>
        </is>
      </c>
      <c r="B194" s="42" t="inlineStr">
        <is>
          <t>분기 = 결산기 첫날부터 누계(공시 그대로)</t>
        </is>
      </c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  <c r="AA194" s="16" t="n"/>
      <c r="AB194" s="16" t="n"/>
      <c r="AC194" s="16" t="n"/>
    </row>
    <row r="195">
      <c r="A195" s="5" t="inlineStr">
        <is>
          <t>항목</t>
        </is>
      </c>
      <c r="B195" s="5" t="inlineStr">
        <is>
          <t>참고</t>
        </is>
      </c>
      <c r="C195" s="5" t="inlineStr">
        <is>
          <t>2023.4Q</t>
        </is>
      </c>
      <c r="D195" s="5" t="inlineStr">
        <is>
          <t>2024.1Q</t>
        </is>
      </c>
      <c r="E195" s="5" t="inlineStr">
        <is>
          <t>2024.2Q</t>
        </is>
      </c>
      <c r="F195" s="5" t="inlineStr">
        <is>
          <t>2024.3Q</t>
        </is>
      </c>
      <c r="G195" s="5" t="inlineStr">
        <is>
          <t>2024.4Q</t>
        </is>
      </c>
      <c r="H195" s="5" t="inlineStr">
        <is>
          <t>2025.1Q</t>
        </is>
      </c>
      <c r="I195" s="5" t="inlineStr">
        <is>
          <t>2025.2Q</t>
        </is>
      </c>
      <c r="J195" s="5" t="inlineStr">
        <is>
          <t>2025.3Q</t>
        </is>
      </c>
      <c r="K195" s="5" t="inlineStr">
        <is>
          <t>2025.4Q</t>
        </is>
      </c>
      <c r="L195" s="5" t="inlineStr">
        <is>
          <t>2026.1Q</t>
        </is>
      </c>
      <c r="M195" s="5" t="inlineStr">
        <is>
          <t>2026.2Q</t>
        </is>
      </c>
      <c r="N195" s="5" t="inlineStr">
        <is>
          <t>2026.3Q</t>
        </is>
      </c>
      <c r="O195" s="5" t="inlineStr">
        <is>
          <t>2016</t>
        </is>
      </c>
      <c r="P195" s="5" t="inlineStr">
        <is>
          <t>2017</t>
        </is>
      </c>
      <c r="Q195" s="5" t="inlineStr">
        <is>
          <t>2018</t>
        </is>
      </c>
      <c r="R195" s="5" t="inlineStr">
        <is>
          <t>2019</t>
        </is>
      </c>
      <c r="S195" s="5" t="inlineStr">
        <is>
          <t>2020</t>
        </is>
      </c>
      <c r="T195" s="5" t="inlineStr">
        <is>
          <t>2021</t>
        </is>
      </c>
      <c r="U195" s="5" t="inlineStr">
        <is>
          <t>2022</t>
        </is>
      </c>
      <c r="V195" s="5" t="inlineStr">
        <is>
          <t>2023</t>
        </is>
      </c>
      <c r="W195" s="5" t="inlineStr">
        <is>
          <t>2024</t>
        </is>
      </c>
      <c r="X195" s="5" t="inlineStr">
        <is>
          <t>2025</t>
        </is>
      </c>
      <c r="Y195" s="5" t="inlineStr">
        <is>
          <t>2026(MW)</t>
        </is>
      </c>
      <c r="Z195" s="5" t="inlineStr">
        <is>
          <t>2027(MW)</t>
        </is>
      </c>
      <c r="AA195" s="5" t="inlineStr">
        <is>
          <t>2028(MW)</t>
        </is>
      </c>
      <c r="AB195" s="5" t="inlineStr">
        <is>
          <t>2029(MW)</t>
        </is>
      </c>
      <c r="AC195" s="5" t="inlineStr">
        <is>
          <t>2030(MW)</t>
        </is>
      </c>
    </row>
    <row r="196">
      <c r="A196" s="9" t="inlineStr">
        <is>
          <t>법인세차감전 순이익</t>
        </is>
      </c>
      <c r="C196" s="12" t="n">
        <v>83438</v>
      </c>
      <c r="E196" s="12" t="n">
        <v>55562</v>
      </c>
      <c r="G196" s="12" t="n">
        <v>98594</v>
      </c>
      <c r="I196" s="12" t="n">
        <v>14017</v>
      </c>
      <c r="K196" s="12" t="n">
        <v>56358</v>
      </c>
      <c r="M196" s="12" t="n">
        <v>38057</v>
      </c>
      <c r="O196" s="12" t="n">
        <v>68402</v>
      </c>
      <c r="P196" s="12" t="n">
        <v>54563</v>
      </c>
      <c r="Q196" s="12" t="n">
        <v>71224</v>
      </c>
      <c r="R196" s="12" t="n">
        <v>71393</v>
      </c>
      <c r="S196" s="12" t="n">
        <v>84820</v>
      </c>
      <c r="T196" s="12" t="n">
        <v>153728</v>
      </c>
      <c r="U196" s="12" t="n">
        <v>174112</v>
      </c>
      <c r="V196" s="12" t="n">
        <v>83438</v>
      </c>
      <c r="W196" s="12" t="n">
        <v>98594</v>
      </c>
      <c r="X196" s="12" t="n">
        <v>56358</v>
      </c>
    </row>
    <row r="197">
      <c r="A197" s="18" t="inlineStr">
        <is>
          <t>감가상각비</t>
        </is>
      </c>
      <c r="C197" s="20" t="n">
        <v>23937</v>
      </c>
      <c r="E197" s="20" t="n">
        <v>12645</v>
      </c>
      <c r="G197" s="20" t="n">
        <v>25037</v>
      </c>
      <c r="I197" s="20" t="n">
        <v>13087</v>
      </c>
      <c r="K197" s="20" t="n">
        <v>27208</v>
      </c>
      <c r="M197" s="20" t="n">
        <v>13922</v>
      </c>
      <c r="O197" s="20" t="n">
        <v>15534</v>
      </c>
      <c r="P197" s="20" t="n">
        <v>18805</v>
      </c>
      <c r="Q197" s="20" t="n">
        <v>17512</v>
      </c>
      <c r="R197" s="20" t="n">
        <v>18130</v>
      </c>
      <c r="S197" s="20" t="n">
        <v>18270</v>
      </c>
      <c r="T197" s="20" t="n">
        <v>18749</v>
      </c>
      <c r="U197" s="20" t="n">
        <v>20992</v>
      </c>
      <c r="V197" s="20" t="n">
        <v>23937</v>
      </c>
      <c r="W197" s="20" t="n">
        <v>25037</v>
      </c>
      <c r="X197" s="20" t="n">
        <v>27208</v>
      </c>
    </row>
    <row r="198">
      <c r="A198" s="18" t="inlineStr">
        <is>
          <t>손상차손</t>
        </is>
      </c>
      <c r="C198" s="20" t="n">
        <v>909</v>
      </c>
      <c r="G198" s="20" t="n">
        <v>0</v>
      </c>
      <c r="O198" s="20" t="n">
        <v>869</v>
      </c>
      <c r="P198" s="20" t="n">
        <v>144</v>
      </c>
      <c r="Q198" s="20" t="n">
        <v>266</v>
      </c>
      <c r="R198" s="20" t="n">
        <v>0</v>
      </c>
      <c r="T198" s="20" t="n">
        <v>0</v>
      </c>
      <c r="U198" s="20" t="n">
        <v>733</v>
      </c>
      <c r="V198" s="20" t="n">
        <v>909</v>
      </c>
      <c r="W198" s="20" t="n">
        <v>0</v>
      </c>
    </row>
    <row r="199">
      <c r="A199" s="18" t="inlineStr">
        <is>
          <t>사업 철수 손실</t>
        </is>
      </c>
      <c r="O199" s="20" t="n">
        <v>175</v>
      </c>
      <c r="P199" s="20" t="n">
        <v>0</v>
      </c>
    </row>
    <row r="200">
      <c r="A200" s="18" t="inlineStr">
        <is>
          <t>대손충당금 증감</t>
        </is>
      </c>
      <c r="C200" s="20" t="n">
        <v>13</v>
      </c>
      <c r="G200" s="20" t="n">
        <v>30</v>
      </c>
      <c r="K200" s="20" t="n">
        <v>107</v>
      </c>
      <c r="O200" s="20" t="n">
        <v>-54</v>
      </c>
      <c r="P200" s="20" t="n">
        <v>142</v>
      </c>
      <c r="Q200" s="20" t="n">
        <v>-53</v>
      </c>
      <c r="R200" s="20" t="n">
        <v>108</v>
      </c>
      <c r="S200" s="20" t="n">
        <v>40</v>
      </c>
      <c r="T200" s="20" t="n">
        <v>-207</v>
      </c>
      <c r="U200" s="20" t="n">
        <v>-39</v>
      </c>
      <c r="V200" s="20" t="n">
        <v>13</v>
      </c>
      <c r="W200" s="20" t="n">
        <v>30</v>
      </c>
      <c r="X200" s="20" t="n">
        <v>107</v>
      </c>
    </row>
    <row r="201">
      <c r="A201" s="18" t="inlineStr">
        <is>
          <t>보험금 수익</t>
        </is>
      </c>
      <c r="P201" s="20" t="n">
        <v>0</v>
      </c>
      <c r="Q201" s="20" t="n">
        <v>-25</v>
      </c>
      <c r="R201" s="20" t="n">
        <v>0</v>
      </c>
      <c r="S201" s="20" t="n">
        <v>-3619</v>
      </c>
      <c r="T201" s="20" t="n">
        <v>-345</v>
      </c>
      <c r="U201" s="20" t="n">
        <v>0</v>
      </c>
    </row>
    <row r="202">
      <c r="A202" s="18" t="inlineStr">
        <is>
          <t>무상 점검 관련 비용</t>
        </is>
      </c>
      <c r="C202" s="20" t="n">
        <v>2762</v>
      </c>
      <c r="E202" s="20" t="n">
        <v>1511</v>
      </c>
      <c r="G202" s="20" t="n">
        <v>2433</v>
      </c>
      <c r="I202" s="20" t="n">
        <v>623</v>
      </c>
      <c r="K202" s="20" t="n">
        <v>1370</v>
      </c>
      <c r="M202" s="20" t="n">
        <v>2574</v>
      </c>
      <c r="U202" s="20" t="n">
        <v>0</v>
      </c>
      <c r="V202" s="20" t="n">
        <v>2762</v>
      </c>
      <c r="W202" s="20" t="n">
        <v>2433</v>
      </c>
      <c r="X202" s="20" t="n">
        <v>1370</v>
      </c>
    </row>
    <row r="203">
      <c r="A203" s="18" t="inlineStr">
        <is>
          <t>이자·배당금 수익</t>
        </is>
      </c>
      <c r="C203" s="20" t="n">
        <v>-21112</v>
      </c>
      <c r="E203" s="20" t="n">
        <v>-12373</v>
      </c>
      <c r="G203" s="20" t="n">
        <v>-23529</v>
      </c>
      <c r="I203" s="20" t="n">
        <v>-9269</v>
      </c>
      <c r="K203" s="20" t="n">
        <v>-17849</v>
      </c>
      <c r="M203" s="20" t="n">
        <v>-6780</v>
      </c>
      <c r="O203" s="20" t="n">
        <v>-1915</v>
      </c>
      <c r="P203" s="20" t="n">
        <v>-2619</v>
      </c>
      <c r="Q203" s="20" t="n">
        <v>-4344</v>
      </c>
      <c r="R203" s="20" t="n">
        <v>-4692</v>
      </c>
      <c r="S203" s="20" t="n">
        <v>-2592</v>
      </c>
      <c r="T203" s="20" t="n">
        <v>-2238</v>
      </c>
      <c r="U203" s="20" t="n">
        <v>-6628</v>
      </c>
      <c r="V203" s="20" t="n">
        <v>-21112</v>
      </c>
      <c r="W203" s="20" t="n">
        <v>-23529</v>
      </c>
      <c r="X203" s="20" t="n">
        <v>-17849</v>
      </c>
    </row>
    <row r="204">
      <c r="A204" s="18" t="inlineStr">
        <is>
          <t>이자비용</t>
        </is>
      </c>
      <c r="C204" s="20" t="n">
        <v>211</v>
      </c>
      <c r="E204" s="20" t="n">
        <v>53</v>
      </c>
      <c r="G204" s="20" t="n">
        <v>117</v>
      </c>
      <c r="I204" s="20" t="n">
        <v>53</v>
      </c>
      <c r="K204" s="20" t="n">
        <v>109</v>
      </c>
      <c r="M204" s="20" t="n">
        <v>46</v>
      </c>
      <c r="O204" s="20" t="n">
        <v>161</v>
      </c>
      <c r="P204" s="20" t="n">
        <v>184</v>
      </c>
      <c r="Q204" s="20" t="n">
        <v>206</v>
      </c>
      <c r="R204" s="20" t="n">
        <v>101</v>
      </c>
      <c r="S204" s="20" t="n">
        <v>106</v>
      </c>
      <c r="T204" s="20" t="n">
        <v>116</v>
      </c>
      <c r="U204" s="20" t="n">
        <v>154</v>
      </c>
      <c r="V204" s="20" t="n">
        <v>211</v>
      </c>
      <c r="W204" s="20" t="n">
        <v>117</v>
      </c>
      <c r="X204" s="20" t="n">
        <v>109</v>
      </c>
    </row>
    <row r="205">
      <c r="A205" s="18" t="inlineStr">
        <is>
          <t>외환차손익</t>
        </is>
      </c>
      <c r="C205" s="20" t="n">
        <v>3581</v>
      </c>
      <c r="E205" s="20" t="n">
        <v>-9620</v>
      </c>
      <c r="G205" s="20" t="n">
        <v>-9618</v>
      </c>
      <c r="I205" s="20" t="n">
        <v>19957</v>
      </c>
      <c r="K205" s="20" t="n">
        <v>18538</v>
      </c>
      <c r="M205" s="20" t="n">
        <v>-1185</v>
      </c>
      <c r="O205" s="20" t="n">
        <v>-4517</v>
      </c>
      <c r="P205" s="20" t="n">
        <v>10062</v>
      </c>
      <c r="Q205" s="20" t="n">
        <v>-6855</v>
      </c>
      <c r="R205" s="20" t="n">
        <v>2295</v>
      </c>
      <c r="S205" s="20" t="n">
        <v>1966</v>
      </c>
      <c r="T205" s="20" t="n">
        <v>-3053</v>
      </c>
      <c r="U205" s="20" t="n">
        <v>-1065</v>
      </c>
      <c r="V205" s="20" t="n">
        <v>3581</v>
      </c>
      <c r="W205" s="20" t="n">
        <v>-9618</v>
      </c>
      <c r="X205" s="20" t="n">
        <v>18538</v>
      </c>
    </row>
    <row r="206">
      <c r="A206" s="18" t="inlineStr">
        <is>
          <t>매출채권 증감</t>
        </is>
      </c>
      <c r="C206" s="20" t="n">
        <v>25141</v>
      </c>
      <c r="E206" s="20" t="n">
        <v>-8006</v>
      </c>
      <c r="G206" s="20" t="n">
        <v>-6944</v>
      </c>
      <c r="I206" s="20" t="n">
        <v>-7141</v>
      </c>
      <c r="K206" s="20" t="n">
        <v>2551</v>
      </c>
      <c r="M206" s="20" t="n">
        <v>-6433</v>
      </c>
      <c r="O206" s="20" t="n">
        <v>2168</v>
      </c>
      <c r="P206" s="20" t="n">
        <v>-707</v>
      </c>
      <c r="Q206" s="20" t="n">
        <v>-4443</v>
      </c>
      <c r="R206" s="20" t="n">
        <v>2519</v>
      </c>
      <c r="S206" s="20" t="n">
        <v>-2340</v>
      </c>
      <c r="T206" s="20" t="n">
        <v>-12496</v>
      </c>
      <c r="U206" s="20" t="n">
        <v>-1594</v>
      </c>
      <c r="V206" s="20" t="n">
        <v>25141</v>
      </c>
      <c r="W206" s="20" t="n">
        <v>-6944</v>
      </c>
      <c r="X206" s="20" t="n">
        <v>2551</v>
      </c>
    </row>
    <row r="207">
      <c r="A207" s="18" t="inlineStr">
        <is>
          <t>재고자산 증감</t>
        </is>
      </c>
      <c r="C207" s="20" t="n">
        <v>20251</v>
      </c>
      <c r="E207" s="20" t="n">
        <v>5105</v>
      </c>
      <c r="G207" s="20" t="n">
        <v>-2221</v>
      </c>
      <c r="I207" s="20" t="n">
        <v>-2048</v>
      </c>
      <c r="K207" s="20" t="n">
        <v>-6968</v>
      </c>
      <c r="M207" s="20" t="n">
        <v>-2381</v>
      </c>
      <c r="O207" s="20" t="n">
        <v>3586</v>
      </c>
      <c r="P207" s="20" t="n">
        <v>-2399</v>
      </c>
      <c r="Q207" s="20" t="n">
        <v>-8526</v>
      </c>
      <c r="R207" s="20" t="n">
        <v>-5703</v>
      </c>
      <c r="S207" s="20" t="n">
        <v>-6212</v>
      </c>
      <c r="T207" s="20" t="n">
        <v>-24651</v>
      </c>
      <c r="U207" s="20" t="n">
        <v>-23939</v>
      </c>
      <c r="V207" s="20" t="n">
        <v>20251</v>
      </c>
      <c r="W207" s="20" t="n">
        <v>-2221</v>
      </c>
      <c r="X207" s="20" t="n">
        <v>-6968</v>
      </c>
    </row>
    <row r="208">
      <c r="A208" s="18" t="inlineStr">
        <is>
          <t>매입채무 증감</t>
        </is>
      </c>
      <c r="C208" s="20" t="n">
        <v>-10177</v>
      </c>
      <c r="E208" s="20" t="n">
        <v>3837</v>
      </c>
      <c r="G208" s="20" t="n">
        <v>4253</v>
      </c>
      <c r="I208" s="20" t="n">
        <v>1049</v>
      </c>
      <c r="K208" s="20" t="n">
        <v>-33</v>
      </c>
      <c r="M208" s="20" t="n">
        <v>1674</v>
      </c>
      <c r="O208" s="20" t="n">
        <v>903</v>
      </c>
      <c r="P208" s="20" t="n">
        <v>719</v>
      </c>
      <c r="Q208" s="20" t="n">
        <v>1258</v>
      </c>
      <c r="R208" s="20" t="n">
        <v>-274</v>
      </c>
      <c r="S208" s="20" t="n">
        <v>5348</v>
      </c>
      <c r="T208" s="20" t="n">
        <v>4384</v>
      </c>
      <c r="U208" s="20" t="n">
        <v>-4821</v>
      </c>
      <c r="V208" s="20" t="n">
        <v>-10177</v>
      </c>
      <c r="W208" s="20" t="n">
        <v>4253</v>
      </c>
      <c r="X208" s="20" t="n">
        <v>-33</v>
      </c>
    </row>
    <row r="209">
      <c r="A209" s="18" t="inlineStr">
        <is>
          <t>투자유가증권 매각손익</t>
        </is>
      </c>
      <c r="C209" s="20" t="n">
        <v>0</v>
      </c>
      <c r="G209" s="20" t="n">
        <v>-541</v>
      </c>
      <c r="I209" s="20" t="n">
        <v>0</v>
      </c>
      <c r="K209" s="20" t="n">
        <v>-3222</v>
      </c>
      <c r="M209" s="20" t="n">
        <v>-3092</v>
      </c>
      <c r="S209" s="20" t="n">
        <v>0</v>
      </c>
      <c r="T209" s="20" t="n">
        <v>-1282</v>
      </c>
      <c r="U209" s="20" t="n">
        <v>0</v>
      </c>
      <c r="V209" s="20" t="n">
        <v>0</v>
      </c>
      <c r="W209" s="20" t="n">
        <v>-541</v>
      </c>
      <c r="X209" s="20" t="n">
        <v>-3222</v>
      </c>
    </row>
    <row r="210">
      <c r="A210" s="18" t="inlineStr">
        <is>
          <t>퇴직급여자산 증감</t>
        </is>
      </c>
      <c r="C210" s="20" t="n">
        <v>-158</v>
      </c>
      <c r="E210" s="20" t="n">
        <v>204</v>
      </c>
      <c r="G210" s="20" t="n">
        <v>-95</v>
      </c>
      <c r="I210" s="20" t="n">
        <v>398</v>
      </c>
      <c r="K210" s="20" t="n">
        <v>-2650</v>
      </c>
      <c r="M210" s="20" t="n">
        <v>173</v>
      </c>
      <c r="T210" s="20" t="n">
        <v>0</v>
      </c>
      <c r="U210" s="20" t="n">
        <v>-2645</v>
      </c>
      <c r="V210" s="20" t="n">
        <v>-158</v>
      </c>
      <c r="W210" s="20" t="n">
        <v>-95</v>
      </c>
      <c r="X210" s="20" t="n">
        <v>-2650</v>
      </c>
    </row>
    <row r="211">
      <c r="A211" s="18" t="inlineStr">
        <is>
          <t>퇴직급여부채 증감</t>
        </is>
      </c>
      <c r="C211" s="20" t="n">
        <v>-48</v>
      </c>
      <c r="E211" s="20" t="n">
        <v>35</v>
      </c>
      <c r="G211" s="20" t="n">
        <v>0</v>
      </c>
      <c r="I211" s="20" t="n">
        <v>73</v>
      </c>
      <c r="K211" s="20" t="n">
        <v>171</v>
      </c>
      <c r="M211" s="20" t="n">
        <v>49</v>
      </c>
      <c r="O211" s="20" t="n">
        <v>1297</v>
      </c>
      <c r="P211" s="20" t="n">
        <v>32</v>
      </c>
      <c r="Q211" s="20" t="n">
        <v>-686</v>
      </c>
      <c r="R211" s="20" t="n">
        <v>-117</v>
      </c>
      <c r="S211" s="20" t="n">
        <v>-318</v>
      </c>
      <c r="T211" s="20" t="n">
        <v>-835</v>
      </c>
      <c r="U211" s="20" t="n">
        <v>-945</v>
      </c>
      <c r="V211" s="20" t="n">
        <v>-48</v>
      </c>
      <c r="W211" s="20" t="n">
        <v>0</v>
      </c>
      <c r="X211" s="20" t="n">
        <v>171</v>
      </c>
    </row>
    <row r="212">
      <c r="A212" s="18" t="inlineStr">
        <is>
          <t>공장 재건축 관련 비용</t>
        </is>
      </c>
      <c r="C212" s="20" t="n">
        <v>1396</v>
      </c>
      <c r="G212" s="20" t="n">
        <v>80</v>
      </c>
      <c r="K212" s="20" t="n">
        <v>179</v>
      </c>
      <c r="O212" s="20" t="n">
        <v>555</v>
      </c>
      <c r="P212" s="20" t="n">
        <v>1039</v>
      </c>
      <c r="Q212" s="20" t="n">
        <v>258</v>
      </c>
      <c r="R212" s="20" t="n">
        <v>184</v>
      </c>
      <c r="S212" s="20" t="n">
        <v>271</v>
      </c>
      <c r="T212" s="20" t="n">
        <v>461</v>
      </c>
      <c r="U212" s="20" t="n">
        <v>1132</v>
      </c>
      <c r="V212" s="20" t="n">
        <v>1396</v>
      </c>
      <c r="W212" s="20" t="n">
        <v>80</v>
      </c>
      <c r="X212" s="20" t="n">
        <v>179</v>
      </c>
    </row>
    <row r="213">
      <c r="A213" s="18" t="inlineStr">
        <is>
          <t>화재 손실 충당금 증감액</t>
        </is>
      </c>
      <c r="P213" s="20" t="n">
        <v>0</v>
      </c>
      <c r="Q213" s="20" t="n">
        <v>1609</v>
      </c>
      <c r="R213" s="20" t="n">
        <v>-1598</v>
      </c>
      <c r="S213" s="20" t="n">
        <v>-10</v>
      </c>
      <c r="T213" s="20" t="n">
        <v>0</v>
      </c>
    </row>
    <row r="214">
      <c r="A214" s="18" t="inlineStr">
        <is>
          <t>화재손실</t>
        </is>
      </c>
      <c r="P214" s="20" t="n">
        <v>0</v>
      </c>
      <c r="Q214" s="20" t="n">
        <v>996</v>
      </c>
      <c r="R214" s="20" t="n">
        <v>452</v>
      </c>
      <c r="S214" s="20" t="n">
        <v>0</v>
      </c>
    </row>
    <row r="215">
      <c r="A215" s="18" t="inlineStr">
        <is>
          <t>공장 재건축 관련 비용</t>
        </is>
      </c>
      <c r="E215" s="20" t="n">
        <v>63</v>
      </c>
      <c r="I215" s="20" t="n">
        <v>20</v>
      </c>
      <c r="M215" s="20" t="n">
        <v>410</v>
      </c>
    </row>
    <row r="216">
      <c r="A216" s="18" t="inlineStr">
        <is>
          <t>제품보증 충당금 증감</t>
        </is>
      </c>
      <c r="C216" s="20" t="n">
        <v>15459</v>
      </c>
      <c r="E216" s="20" t="n">
        <v>-1618</v>
      </c>
      <c r="G216" s="20" t="n">
        <v>-2738</v>
      </c>
      <c r="I216" s="20" t="n">
        <v>280</v>
      </c>
      <c r="K216" s="20" t="n">
        <v>-7449</v>
      </c>
      <c r="M216" s="20" t="n">
        <v>-2627</v>
      </c>
      <c r="U216" s="20" t="n">
        <v>990</v>
      </c>
      <c r="V216" s="20" t="n">
        <v>15459</v>
      </c>
      <c r="W216" s="20" t="n">
        <v>-2738</v>
      </c>
      <c r="X216" s="20" t="n">
        <v>-7449</v>
      </c>
    </row>
    <row r="217">
      <c r="A217" s="18" t="inlineStr">
        <is>
          <t>자회사 재구축 비용</t>
        </is>
      </c>
      <c r="C217" s="20" t="n">
        <v>0</v>
      </c>
      <c r="T217" s="20" t="n">
        <v>0</v>
      </c>
      <c r="U217" s="20" t="n">
        <v>491</v>
      </c>
      <c r="V217" s="20" t="n">
        <v>0</v>
      </c>
    </row>
    <row r="218">
      <c r="A218" s="18" t="inlineStr">
        <is>
          <t>자회사 주식 매각손익</t>
        </is>
      </c>
      <c r="C218" s="20" t="n">
        <v>0</v>
      </c>
      <c r="T218" s="20" t="n">
        <v>0</v>
      </c>
      <c r="U218" s="20" t="n">
        <v>98</v>
      </c>
      <c r="V218" s="20" t="n">
        <v>0</v>
      </c>
    </row>
    <row r="219">
      <c r="A219" s="18" t="inlineStr">
        <is>
          <t>유형자산 제각·매각손익</t>
        </is>
      </c>
      <c r="C219" s="20" t="n">
        <v>15</v>
      </c>
      <c r="E219" s="20" t="n">
        <v>22</v>
      </c>
      <c r="G219" s="20" t="n">
        <v>66</v>
      </c>
      <c r="I219" s="20" t="n">
        <v>23</v>
      </c>
      <c r="K219" s="20" t="n">
        <v>237</v>
      </c>
      <c r="M219" s="20" t="n">
        <v>226</v>
      </c>
      <c r="O219" s="20" t="n">
        <v>183</v>
      </c>
      <c r="P219" s="20" t="n">
        <v>101</v>
      </c>
      <c r="Q219" s="20" t="n">
        <v>-685</v>
      </c>
      <c r="R219" s="20" t="n">
        <v>-2238</v>
      </c>
      <c r="S219" s="20" t="n">
        <v>559</v>
      </c>
      <c r="T219" s="20" t="n">
        <v>465</v>
      </c>
      <c r="U219" s="20" t="n">
        <v>96</v>
      </c>
      <c r="V219" s="20" t="n">
        <v>15</v>
      </c>
      <c r="W219" s="20" t="n">
        <v>66</v>
      </c>
      <c r="X219" s="20" t="n">
        <v>237</v>
      </c>
    </row>
    <row r="220">
      <c r="A220" s="18" t="inlineStr">
        <is>
          <t>미지급 상여 증감액</t>
        </is>
      </c>
      <c r="E220" s="20" t="n">
        <v>2325</v>
      </c>
      <c r="I220" s="20" t="n">
        <v>2628</v>
      </c>
      <c r="M220" s="20" t="n">
        <v>2125</v>
      </c>
    </row>
    <row r="221">
      <c r="A221" s="18" t="inlineStr">
        <is>
          <t>기타</t>
        </is>
      </c>
      <c r="C221" s="20" t="n">
        <v>-6916</v>
      </c>
      <c r="E221" s="20" t="n">
        <v>-2094</v>
      </c>
      <c r="G221" s="20" t="n">
        <v>-1419</v>
      </c>
      <c r="I221" s="20" t="n">
        <v>-1168</v>
      </c>
      <c r="K221" s="20" t="n">
        <v>-2175</v>
      </c>
      <c r="M221" s="20" t="n">
        <v>8608</v>
      </c>
      <c r="O221" s="20" t="n">
        <v>-1212</v>
      </c>
      <c r="P221" s="20" t="n">
        <v>2579</v>
      </c>
      <c r="Q221" s="20" t="n">
        <v>-2466</v>
      </c>
      <c r="R221" s="20" t="n">
        <v>501</v>
      </c>
      <c r="S221" s="20" t="n">
        <v>5406</v>
      </c>
      <c r="T221" s="20" t="n">
        <v>3393</v>
      </c>
      <c r="U221" s="20" t="n">
        <v>-1763</v>
      </c>
      <c r="V221" s="20" t="n">
        <v>-6916</v>
      </c>
      <c r="W221" s="20" t="n">
        <v>-1419</v>
      </c>
      <c r="X221" s="20" t="n">
        <v>-2175</v>
      </c>
    </row>
    <row r="222">
      <c r="A222" s="18" t="inlineStr">
        <is>
          <t>소계</t>
        </is>
      </c>
      <c r="C222" s="20" t="n">
        <v>138705</v>
      </c>
      <c r="E222" s="20" t="n">
        <v>47653</v>
      </c>
      <c r="G222" s="20" t="n">
        <v>83503</v>
      </c>
      <c r="I222" s="20" t="n">
        <v>32585</v>
      </c>
      <c r="K222" s="20" t="n">
        <v>66482</v>
      </c>
      <c r="M222" s="20" t="n">
        <v>45368</v>
      </c>
      <c r="O222" s="20" t="n">
        <v>86137</v>
      </c>
      <c r="P222" s="20" t="n">
        <v>82649</v>
      </c>
      <c r="Q222" s="20" t="n">
        <v>65242</v>
      </c>
      <c r="R222" s="20" t="n">
        <v>81064</v>
      </c>
      <c r="S222" s="20" t="n">
        <v>101695</v>
      </c>
      <c r="T222" s="20" t="n">
        <v>136189</v>
      </c>
      <c r="U222" s="20" t="n">
        <v>155357</v>
      </c>
      <c r="V222" s="20" t="n">
        <v>138705</v>
      </c>
      <c r="W222" s="20" t="n">
        <v>83503</v>
      </c>
      <c r="X222" s="20" t="n">
        <v>66482</v>
      </c>
    </row>
    <row r="223">
      <c r="A223" s="18" t="inlineStr">
        <is>
          <t>이자·배당금 수취</t>
        </is>
      </c>
      <c r="C223" s="20" t="n">
        <v>20323</v>
      </c>
      <c r="E223" s="20" t="n">
        <v>13172</v>
      </c>
      <c r="G223" s="20" t="n">
        <v>24379</v>
      </c>
      <c r="I223" s="20" t="n">
        <v>10043</v>
      </c>
      <c r="K223" s="20" t="n">
        <v>19001</v>
      </c>
      <c r="M223" s="20" t="n">
        <v>7017</v>
      </c>
      <c r="O223" s="20" t="n">
        <v>1713</v>
      </c>
      <c r="P223" s="20" t="n">
        <v>2580</v>
      </c>
      <c r="Q223" s="20" t="n">
        <v>4023</v>
      </c>
      <c r="R223" s="20" t="n">
        <v>4817</v>
      </c>
      <c r="S223" s="20" t="n">
        <v>2945</v>
      </c>
      <c r="T223" s="20" t="n">
        <v>2226</v>
      </c>
      <c r="U223" s="20" t="n">
        <v>4940</v>
      </c>
      <c r="V223" s="20" t="n">
        <v>20323</v>
      </c>
      <c r="W223" s="20" t="n">
        <v>24379</v>
      </c>
      <c r="X223" s="20" t="n">
        <v>19001</v>
      </c>
    </row>
    <row r="224">
      <c r="A224" s="18" t="inlineStr">
        <is>
          <t>보험금 수취</t>
        </is>
      </c>
      <c r="P224" s="20" t="n">
        <v>0</v>
      </c>
      <c r="Q224" s="20" t="n">
        <v>25</v>
      </c>
      <c r="R224" s="20" t="n">
        <v>0</v>
      </c>
      <c r="S224" s="20" t="n">
        <v>3619</v>
      </c>
      <c r="T224" s="20" t="n">
        <v>345</v>
      </c>
      <c r="U224" s="20" t="n">
        <v>0</v>
      </c>
    </row>
    <row r="225">
      <c r="A225" s="18" t="inlineStr">
        <is>
          <t>화재 관련 지급액</t>
        </is>
      </c>
      <c r="P225" s="20" t="n">
        <v>0</v>
      </c>
      <c r="Q225" s="20" t="n">
        <v>-827</v>
      </c>
      <c r="R225" s="20" t="n">
        <v>-192</v>
      </c>
      <c r="S225" s="20" t="n">
        <v>-265</v>
      </c>
      <c r="T225" s="20" t="n">
        <v>0</v>
      </c>
    </row>
    <row r="226">
      <c r="A226" s="18" t="inlineStr">
        <is>
          <t>무상 점검 관련 비용 지급액</t>
        </is>
      </c>
      <c r="C226" s="20" t="n">
        <v>-986</v>
      </c>
      <c r="E226" s="20" t="n">
        <v>-1418</v>
      </c>
      <c r="G226" s="20" t="n">
        <v>-2259</v>
      </c>
      <c r="I226" s="20" t="n">
        <v>-541</v>
      </c>
      <c r="K226" s="20" t="n">
        <v>-1168</v>
      </c>
      <c r="M226" s="20" t="n">
        <v>-2603</v>
      </c>
      <c r="U226" s="20" t="n">
        <v>0</v>
      </c>
      <c r="V226" s="20" t="n">
        <v>-986</v>
      </c>
      <c r="W226" s="20" t="n">
        <v>-2259</v>
      </c>
      <c r="X226" s="20" t="n">
        <v>-1168</v>
      </c>
    </row>
    <row r="227">
      <c r="A227" s="18" t="inlineStr">
        <is>
          <t>이자 지급</t>
        </is>
      </c>
      <c r="C227" s="20" t="n">
        <v>-277</v>
      </c>
      <c r="E227" s="20" t="n">
        <v>2</v>
      </c>
      <c r="G227" s="20" t="n">
        <v>-115</v>
      </c>
      <c r="I227" s="20" t="n">
        <v>-53</v>
      </c>
      <c r="K227" s="20" t="n">
        <v>-109</v>
      </c>
      <c r="M227" s="20" t="n">
        <v>-47</v>
      </c>
      <c r="O227" s="20" t="n">
        <v>-173</v>
      </c>
      <c r="P227" s="20" t="n">
        <v>-189</v>
      </c>
      <c r="Q227" s="20" t="n">
        <v>-195</v>
      </c>
      <c r="R227" s="20" t="n">
        <v>-111</v>
      </c>
      <c r="S227" s="20" t="n">
        <v>-114</v>
      </c>
      <c r="T227" s="20" t="n">
        <v>-123</v>
      </c>
      <c r="U227" s="20" t="n">
        <v>-168</v>
      </c>
      <c r="V227" s="20" t="n">
        <v>-277</v>
      </c>
      <c r="W227" s="20" t="n">
        <v>-115</v>
      </c>
      <c r="X227" s="20" t="n">
        <v>-109</v>
      </c>
    </row>
    <row r="228">
      <c r="A228" s="18" t="inlineStr">
        <is>
          <t>법인세 납부</t>
        </is>
      </c>
      <c r="C228" s="20" t="n">
        <v>-43197</v>
      </c>
      <c r="E228" s="20" t="n">
        <v>-6951</v>
      </c>
      <c r="G228" s="20" t="n">
        <v>-18475</v>
      </c>
      <c r="I228" s="20" t="n">
        <v>-10522</v>
      </c>
      <c r="K228" s="20" t="n">
        <v>-20425</v>
      </c>
      <c r="M228" s="20" t="n">
        <v>-10153</v>
      </c>
      <c r="O228" s="20" t="n">
        <v>-23643</v>
      </c>
      <c r="P228" s="20" t="n">
        <v>-15775</v>
      </c>
      <c r="Q228" s="20" t="n">
        <v>-18676</v>
      </c>
      <c r="R228" s="20" t="n">
        <v>-17680</v>
      </c>
      <c r="S228" s="20" t="n">
        <v>-16831</v>
      </c>
      <c r="T228" s="20" t="n">
        <v>-26197</v>
      </c>
      <c r="U228" s="20" t="n">
        <v>-49445</v>
      </c>
      <c r="V228" s="20" t="n">
        <v>-43197</v>
      </c>
      <c r="W228" s="20" t="n">
        <v>-18475</v>
      </c>
      <c r="X228" s="20" t="n">
        <v>-20425</v>
      </c>
    </row>
    <row r="229">
      <c r="A229" s="9" t="inlineStr">
        <is>
          <t>영업활동 현금흐름</t>
        </is>
      </c>
      <c r="C229" s="12" t="n">
        <v>114567</v>
      </c>
      <c r="E229" s="12" t="n">
        <v>52458</v>
      </c>
      <c r="G229" s="12" t="n">
        <v>87032</v>
      </c>
      <c r="I229" s="12" t="n">
        <v>31512</v>
      </c>
      <c r="K229" s="12" t="n">
        <v>63780</v>
      </c>
      <c r="M229" s="12" t="n">
        <v>39581</v>
      </c>
      <c r="O229" s="12" t="n">
        <v>64034</v>
      </c>
      <c r="P229" s="12" t="n">
        <v>69265</v>
      </c>
      <c r="Q229" s="12" t="n">
        <v>49593</v>
      </c>
      <c r="R229" s="12" t="n">
        <v>67897</v>
      </c>
      <c r="S229" s="12" t="n">
        <v>91050</v>
      </c>
      <c r="T229" s="12" t="n">
        <v>112439</v>
      </c>
      <c r="U229" s="12" t="n">
        <v>110684</v>
      </c>
      <c r="V229" s="12" t="n">
        <v>114567</v>
      </c>
      <c r="W229" s="12" t="n">
        <v>87032</v>
      </c>
      <c r="X229" s="12" t="n">
        <v>63780</v>
      </c>
    </row>
    <row r="230">
      <c r="A230" s="18" t="inlineStr">
        <is>
          <t>정기예금 예입</t>
        </is>
      </c>
      <c r="C230" s="20" t="n">
        <v>-7891</v>
      </c>
      <c r="E230" s="20" t="n">
        <v>-1601</v>
      </c>
      <c r="G230" s="20" t="n">
        <v>-4226</v>
      </c>
      <c r="I230" s="20" t="n">
        <v>-2363</v>
      </c>
      <c r="K230" s="20" t="n">
        <v>-3103</v>
      </c>
      <c r="M230" s="20" t="n">
        <v>-1064</v>
      </c>
      <c r="O230" s="20" t="n">
        <v>-1471</v>
      </c>
      <c r="P230" s="20" t="n">
        <v>-59621</v>
      </c>
      <c r="Q230" s="20" t="n">
        <v>-122008</v>
      </c>
      <c r="R230" s="20" t="n">
        <v>-13234</v>
      </c>
      <c r="S230" s="20" t="n">
        <v>-2383</v>
      </c>
      <c r="T230" s="20" t="n">
        <v>-2260</v>
      </c>
      <c r="U230" s="20" t="n">
        <v>-8118</v>
      </c>
      <c r="V230" s="20" t="n">
        <v>-7891</v>
      </c>
      <c r="W230" s="20" t="n">
        <v>-4226</v>
      </c>
      <c r="X230" s="20" t="n">
        <v>-3103</v>
      </c>
    </row>
    <row r="231">
      <c r="A231" s="18" t="inlineStr">
        <is>
          <t>정기예금 인출</t>
        </is>
      </c>
      <c r="C231" s="20" t="n">
        <v>9756</v>
      </c>
      <c r="E231" s="20" t="n">
        <v>9659</v>
      </c>
      <c r="G231" s="20" t="n">
        <v>13076</v>
      </c>
      <c r="I231" s="20" t="n">
        <v>1108</v>
      </c>
      <c r="K231" s="20" t="n">
        <v>2478</v>
      </c>
      <c r="M231" s="20" t="n">
        <v>1250</v>
      </c>
      <c r="O231" s="20" t="n">
        <v>317</v>
      </c>
      <c r="P231" s="20" t="n">
        <v>21940</v>
      </c>
      <c r="Q231" s="20" t="n">
        <v>96515</v>
      </c>
      <c r="R231" s="20" t="n">
        <v>73130</v>
      </c>
      <c r="S231" s="20" t="n">
        <v>2276</v>
      </c>
      <c r="T231" s="20" t="n">
        <v>1635</v>
      </c>
      <c r="U231" s="20" t="n">
        <v>2090</v>
      </c>
      <c r="V231" s="20" t="n">
        <v>9756</v>
      </c>
      <c r="W231" s="20" t="n">
        <v>13076</v>
      </c>
      <c r="X231" s="20" t="n">
        <v>2478</v>
      </c>
    </row>
    <row r="232">
      <c r="A232" s="18" t="inlineStr">
        <is>
          <t>유형자산 취득(설비투자)</t>
        </is>
      </c>
      <c r="C232" s="20" t="n">
        <v>-24783</v>
      </c>
      <c r="E232" s="20" t="n">
        <v>-19253</v>
      </c>
      <c r="G232" s="20" t="n">
        <v>-36824</v>
      </c>
      <c r="I232" s="20" t="n">
        <v>-20636</v>
      </c>
      <c r="K232" s="20" t="n">
        <v>-35519</v>
      </c>
      <c r="M232" s="20" t="n">
        <v>-18057</v>
      </c>
      <c r="O232" s="20" t="n">
        <v>-29381</v>
      </c>
      <c r="P232" s="20" t="n">
        <v>-12858</v>
      </c>
      <c r="Q232" s="20" t="n">
        <v>-22252</v>
      </c>
      <c r="R232" s="20" t="n">
        <v>-23252</v>
      </c>
      <c r="S232" s="20" t="n">
        <v>-23360</v>
      </c>
      <c r="T232" s="20" t="n">
        <v>-16156</v>
      </c>
      <c r="U232" s="20" t="n">
        <v>-20247</v>
      </c>
      <c r="V232" s="20" t="n">
        <v>-24783</v>
      </c>
      <c r="W232" s="20" t="n">
        <v>-36824</v>
      </c>
      <c r="X232" s="20" t="n">
        <v>-35519</v>
      </c>
    </row>
    <row r="233">
      <c r="A233" s="18" t="inlineStr">
        <is>
          <t>유형자산 매각</t>
        </is>
      </c>
      <c r="C233" s="20" t="n">
        <v>95</v>
      </c>
      <c r="G233" s="20" t="n">
        <v>108</v>
      </c>
      <c r="K233" s="20" t="n">
        <v>2119</v>
      </c>
      <c r="O233" s="20" t="n">
        <v>2024</v>
      </c>
      <c r="P233" s="20" t="n">
        <v>1387</v>
      </c>
      <c r="Q233" s="20" t="n">
        <v>1637</v>
      </c>
      <c r="R233" s="20" t="n">
        <v>568</v>
      </c>
      <c r="S233" s="20" t="n">
        <v>73</v>
      </c>
      <c r="T233" s="20" t="n">
        <v>90</v>
      </c>
      <c r="U233" s="20" t="n">
        <v>160</v>
      </c>
      <c r="V233" s="20" t="n">
        <v>95</v>
      </c>
      <c r="W233" s="20" t="n">
        <v>108</v>
      </c>
      <c r="X233" s="20" t="n">
        <v>2119</v>
      </c>
    </row>
    <row r="234">
      <c r="A234" s="18" t="inlineStr">
        <is>
          <t>무형자산 취득</t>
        </is>
      </c>
      <c r="C234" s="20" t="n">
        <v>-6532</v>
      </c>
      <c r="E234" s="20" t="n">
        <v>-4738</v>
      </c>
      <c r="G234" s="20" t="n">
        <v>-8753</v>
      </c>
      <c r="I234" s="20" t="n">
        <v>-4328</v>
      </c>
      <c r="K234" s="20" t="n">
        <v>-10247</v>
      </c>
      <c r="M234" s="20" t="n">
        <v>-4814</v>
      </c>
      <c r="O234" s="20" t="n">
        <v>-2633</v>
      </c>
      <c r="P234" s="20" t="n">
        <v>-2803</v>
      </c>
      <c r="Q234" s="20" t="n">
        <v>-1943</v>
      </c>
      <c r="R234" s="20" t="n">
        <v>-2702</v>
      </c>
      <c r="S234" s="20" t="n">
        <v>-4205</v>
      </c>
      <c r="T234" s="20" t="n">
        <v>-3878</v>
      </c>
      <c r="U234" s="20" t="n">
        <v>-7265</v>
      </c>
      <c r="V234" s="20" t="n">
        <v>-6532</v>
      </c>
      <c r="W234" s="20" t="n">
        <v>-8753</v>
      </c>
      <c r="X234" s="20" t="n">
        <v>-10247</v>
      </c>
    </row>
    <row r="235">
      <c r="A235" s="18" t="inlineStr">
        <is>
          <t>공장 재건축 관련 비용 지급액</t>
        </is>
      </c>
      <c r="C235" s="20" t="n">
        <v>-1280</v>
      </c>
      <c r="G235" s="20" t="n">
        <v>-87</v>
      </c>
      <c r="K235" s="20" t="n">
        <v>-184</v>
      </c>
      <c r="O235" s="20" t="n">
        <v>-484</v>
      </c>
      <c r="P235" s="20" t="n">
        <v>-533</v>
      </c>
      <c r="Q235" s="20" t="n">
        <v>-301</v>
      </c>
      <c r="R235" s="20" t="n">
        <v>-125</v>
      </c>
      <c r="S235" s="20" t="n">
        <v>-292</v>
      </c>
      <c r="T235" s="20" t="n">
        <v>-432</v>
      </c>
      <c r="U235" s="20" t="n">
        <v>-626</v>
      </c>
      <c r="V235" s="20" t="n">
        <v>-1280</v>
      </c>
      <c r="W235" s="20" t="n">
        <v>-87</v>
      </c>
      <c r="X235" s="20" t="n">
        <v>-184</v>
      </c>
    </row>
    <row r="236">
      <c r="A236" s="18" t="inlineStr">
        <is>
          <t>공장 재건축 관련 비용 지급액</t>
        </is>
      </c>
      <c r="E236" s="20" t="n">
        <v>-77</v>
      </c>
      <c r="I236" s="20" t="n">
        <v>-21</v>
      </c>
      <c r="M236" s="20" t="n">
        <v>-410</v>
      </c>
    </row>
    <row r="237">
      <c r="A237" s="18" t="inlineStr">
        <is>
          <t>투자유가증권 취득</t>
        </is>
      </c>
      <c r="C237" s="20" t="n">
        <v>-1805</v>
      </c>
      <c r="E237" s="20" t="n">
        <v>0</v>
      </c>
      <c r="G237" s="20" t="n">
        <v>-3</v>
      </c>
      <c r="I237" s="20" t="n">
        <v>0</v>
      </c>
      <c r="K237" s="20" t="n">
        <v>-67</v>
      </c>
      <c r="M237" s="20" t="n">
        <v>-6741</v>
      </c>
      <c r="O237" s="20" t="n">
        <v>-198</v>
      </c>
      <c r="P237" s="20" t="n">
        <v>0</v>
      </c>
      <c r="R237" s="20" t="n">
        <v>0</v>
      </c>
      <c r="S237" s="20" t="n">
        <v>-1030</v>
      </c>
      <c r="T237" s="20" t="n">
        <v>-431</v>
      </c>
      <c r="U237" s="20" t="n">
        <v>-4999</v>
      </c>
      <c r="V237" s="20" t="n">
        <v>-1805</v>
      </c>
      <c r="W237" s="20" t="n">
        <v>-3</v>
      </c>
      <c r="X237" s="20" t="n">
        <v>-67</v>
      </c>
    </row>
    <row r="238">
      <c r="A238" s="18" t="inlineStr">
        <is>
          <t>투자유가증권 매각</t>
        </is>
      </c>
      <c r="C238" s="20" t="n">
        <v>0</v>
      </c>
      <c r="G238" s="20" t="n">
        <v>737</v>
      </c>
      <c r="I238" s="20" t="n">
        <v>0</v>
      </c>
      <c r="K238" s="20" t="n">
        <v>3382</v>
      </c>
      <c r="M238" s="20" t="n">
        <v>3901</v>
      </c>
      <c r="O238" s="20" t="n">
        <v>0</v>
      </c>
      <c r="P238" s="20" t="n">
        <v>209</v>
      </c>
      <c r="Q238" s="20" t="n">
        <v>0</v>
      </c>
      <c r="S238" s="20" t="n">
        <v>0</v>
      </c>
      <c r="T238" s="20" t="n">
        <v>1415</v>
      </c>
      <c r="U238" s="20" t="n">
        <v>0</v>
      </c>
      <c r="V238" s="20" t="n">
        <v>0</v>
      </c>
      <c r="W238" s="20" t="n">
        <v>737</v>
      </c>
      <c r="X238" s="20" t="n">
        <v>3382</v>
      </c>
    </row>
    <row r="239">
      <c r="A239" s="18" t="inlineStr">
        <is>
          <t>단기대여금 순증감</t>
        </is>
      </c>
      <c r="C239" s="20" t="n">
        <v>-198</v>
      </c>
      <c r="G239" s="20" t="n">
        <v>-125</v>
      </c>
      <c r="K239" s="20" t="n">
        <v>-44</v>
      </c>
      <c r="O239" s="20" t="n">
        <v>-84</v>
      </c>
      <c r="P239" s="20" t="n">
        <v>90</v>
      </c>
      <c r="Q239" s="20" t="n">
        <v>-15</v>
      </c>
      <c r="R239" s="20" t="n">
        <v>-0</v>
      </c>
      <c r="S239" s="20" t="n">
        <v>37</v>
      </c>
      <c r="T239" s="20" t="n">
        <v>-28</v>
      </c>
      <c r="U239" s="20" t="n">
        <v>-228</v>
      </c>
      <c r="V239" s="20" t="n">
        <v>-198</v>
      </c>
      <c r="W239" s="20" t="n">
        <v>-125</v>
      </c>
      <c r="X239" s="20" t="n">
        <v>-44</v>
      </c>
    </row>
    <row r="240">
      <c r="A240" s="18" t="inlineStr">
        <is>
          <t>연결범위 변경 자회사 주식 취득</t>
        </is>
      </c>
      <c r="O240" s="20" t="n">
        <v>-3367</v>
      </c>
      <c r="P240" s="20" t="n">
        <v>0</v>
      </c>
    </row>
    <row r="241">
      <c r="A241" s="18" t="inlineStr">
        <is>
          <t>연결범위 변경 자회사 주식 매각</t>
        </is>
      </c>
      <c r="C241" s="20" t="n">
        <v>0</v>
      </c>
      <c r="T241" s="20" t="n">
        <v>0</v>
      </c>
      <c r="U241" s="20" t="n">
        <v>5307</v>
      </c>
      <c r="V241" s="20" t="n">
        <v>0</v>
      </c>
    </row>
    <row r="242">
      <c r="A242" s="18" t="inlineStr">
        <is>
          <t>기타</t>
        </is>
      </c>
      <c r="C242" s="20" t="n">
        <v>880</v>
      </c>
      <c r="E242" s="20" t="n">
        <v>164</v>
      </c>
      <c r="G242" s="20" t="n">
        <v>288</v>
      </c>
      <c r="I242" s="20" t="n">
        <v>-478</v>
      </c>
      <c r="K242" s="20" t="n">
        <v>511</v>
      </c>
      <c r="M242" s="20" t="n">
        <v>310</v>
      </c>
      <c r="O242" s="20" t="n">
        <v>1224</v>
      </c>
      <c r="P242" s="20" t="n">
        <v>531</v>
      </c>
      <c r="Q242" s="20" t="n">
        <v>-640</v>
      </c>
      <c r="R242" s="20" t="n">
        <v>25</v>
      </c>
      <c r="S242" s="20" t="n">
        <v>556</v>
      </c>
      <c r="T242" s="20" t="n">
        <v>-84</v>
      </c>
      <c r="U242" s="20" t="n">
        <v>548</v>
      </c>
      <c r="V242" s="20" t="n">
        <v>880</v>
      </c>
      <c r="W242" s="20" t="n">
        <v>288</v>
      </c>
      <c r="X242" s="20" t="n">
        <v>511</v>
      </c>
    </row>
    <row r="243">
      <c r="A243" s="9" t="inlineStr">
        <is>
          <t>투자활동 현금흐름</t>
        </is>
      </c>
      <c r="C243" s="12" t="n">
        <v>-31760</v>
      </c>
      <c r="E243" s="12" t="n">
        <v>-15845</v>
      </c>
      <c r="G243" s="12" t="n">
        <v>-35810</v>
      </c>
      <c r="I243" s="12" t="n">
        <v>-26720</v>
      </c>
      <c r="K243" s="12" t="n">
        <v>-40675</v>
      </c>
      <c r="M243" s="12" t="n">
        <v>-25625</v>
      </c>
      <c r="O243" s="12" t="n">
        <v>-34054</v>
      </c>
      <c r="P243" s="12" t="n">
        <v>-51657</v>
      </c>
      <c r="Q243" s="12" t="n">
        <v>-49008</v>
      </c>
      <c r="R243" s="12" t="n">
        <v>34409</v>
      </c>
      <c r="S243" s="12" t="n">
        <v>-28328</v>
      </c>
      <c r="T243" s="12" t="n">
        <v>-20129</v>
      </c>
      <c r="U243" s="12" t="n">
        <v>-33378</v>
      </c>
      <c r="V243" s="12" t="n">
        <v>-31760</v>
      </c>
      <c r="W243" s="12" t="n">
        <v>-35810</v>
      </c>
      <c r="X243" s="12" t="n">
        <v>-40675</v>
      </c>
    </row>
    <row r="244">
      <c r="A244" s="18" t="inlineStr">
        <is>
          <t>단기차입금 순증감</t>
        </is>
      </c>
      <c r="C244" s="20" t="n">
        <v>-2280</v>
      </c>
      <c r="E244" s="20" t="n">
        <v>0</v>
      </c>
      <c r="G244" s="20" t="n">
        <v>0</v>
      </c>
      <c r="O244" s="20" t="n">
        <v>-415</v>
      </c>
      <c r="P244" s="20" t="n">
        <v>307</v>
      </c>
      <c r="Q244" s="20" t="n">
        <v>-6794</v>
      </c>
      <c r="R244" s="20" t="n">
        <v>2561</v>
      </c>
      <c r="S244" s="20" t="n">
        <v>-2623</v>
      </c>
      <c r="T244" s="20" t="n">
        <v>2987</v>
      </c>
      <c r="U244" s="20" t="n">
        <v>-1446</v>
      </c>
      <c r="V244" s="20" t="n">
        <v>-2280</v>
      </c>
      <c r="W244" s="20" t="n">
        <v>0</v>
      </c>
    </row>
    <row r="245">
      <c r="A245" s="18" t="inlineStr">
        <is>
          <t>장기차입</t>
        </is>
      </c>
      <c r="O245" s="20" t="n">
        <v>0</v>
      </c>
      <c r="P245" s="20" t="n">
        <v>79</v>
      </c>
      <c r="Q245" s="20" t="n">
        <v>0</v>
      </c>
      <c r="R245" s="20" t="n">
        <v>0</v>
      </c>
      <c r="S245" s="20" t="n">
        <v>21</v>
      </c>
      <c r="T245" s="20" t="n">
        <v>0</v>
      </c>
    </row>
    <row r="246">
      <c r="A246" s="18" t="inlineStr">
        <is>
          <t>장기차입금 상환</t>
        </is>
      </c>
      <c r="C246" s="20" t="n">
        <v>0</v>
      </c>
      <c r="O246" s="20" t="n">
        <v>-527</v>
      </c>
      <c r="P246" s="20" t="n">
        <v>-538</v>
      </c>
      <c r="Q246" s="20" t="n">
        <v>-506</v>
      </c>
      <c r="R246" s="20" t="n">
        <v>-472</v>
      </c>
      <c r="S246" s="20" t="n">
        <v>-459</v>
      </c>
      <c r="T246" s="20" t="n">
        <v>-7</v>
      </c>
      <c r="U246" s="20" t="n">
        <v>-6</v>
      </c>
      <c r="V246" s="20" t="n">
        <v>0</v>
      </c>
    </row>
    <row r="247">
      <c r="A247" s="18" t="inlineStr">
        <is>
          <t>금융리스부채 상환</t>
        </is>
      </c>
      <c r="O247" s="20" t="n">
        <v>-17</v>
      </c>
      <c r="P247" s="20" t="n">
        <v>-19</v>
      </c>
      <c r="Q247" s="20" t="n">
        <v>-22</v>
      </c>
    </row>
    <row r="248">
      <c r="A248" s="18" t="inlineStr">
        <is>
          <t>리스부채 상환</t>
        </is>
      </c>
      <c r="C248" s="20" t="n">
        <v>-1119</v>
      </c>
      <c r="E248" s="20" t="n">
        <v>-600</v>
      </c>
      <c r="G248" s="20" t="n">
        <v>-1180</v>
      </c>
      <c r="I248" s="20" t="n">
        <v>-641</v>
      </c>
      <c r="K248" s="20" t="n">
        <v>-1350</v>
      </c>
      <c r="M248" s="20" t="n">
        <v>-813</v>
      </c>
      <c r="Q248" s="20" t="n">
        <v>-22</v>
      </c>
      <c r="R248" s="20" t="n">
        <v>-535</v>
      </c>
      <c r="S248" s="20" t="n">
        <v>-752</v>
      </c>
      <c r="T248" s="20" t="n">
        <v>-888</v>
      </c>
      <c r="U248" s="20" t="n">
        <v>-1018</v>
      </c>
      <c r="V248" s="20" t="n">
        <v>-1119</v>
      </c>
      <c r="W248" s="20" t="n">
        <v>-1180</v>
      </c>
      <c r="X248" s="20" t="n">
        <v>-1350</v>
      </c>
    </row>
    <row r="249">
      <c r="A249" s="18" t="inlineStr">
        <is>
          <t>자기주식 취득</t>
        </is>
      </c>
      <c r="C249" s="20" t="n">
        <v>-14724</v>
      </c>
      <c r="E249" s="20" t="n">
        <v>-16009</v>
      </c>
      <c r="G249" s="20" t="n">
        <v>-21488</v>
      </c>
      <c r="I249" s="20" t="n">
        <v>-30019</v>
      </c>
      <c r="K249" s="20" t="n">
        <v>-50006</v>
      </c>
      <c r="M249" s="20" t="n">
        <v>-24604</v>
      </c>
      <c r="O249" s="20" t="n">
        <v>-6</v>
      </c>
      <c r="P249" s="20" t="n">
        <v>-6</v>
      </c>
      <c r="Q249" s="20" t="n">
        <v>-18</v>
      </c>
      <c r="R249" s="20" t="n">
        <v>-14</v>
      </c>
      <c r="S249" s="20" t="n">
        <v>-18</v>
      </c>
      <c r="T249" s="20" t="n">
        <v>-24235</v>
      </c>
      <c r="U249" s="20" t="n">
        <v>-34412</v>
      </c>
      <c r="V249" s="20" t="n">
        <v>-14724</v>
      </c>
      <c r="W249" s="20" t="n">
        <v>-21488</v>
      </c>
      <c r="X249" s="20" t="n">
        <v>-50006</v>
      </c>
    </row>
    <row r="250">
      <c r="A250" s="18" t="inlineStr">
        <is>
          <t>자기주식 처분</t>
        </is>
      </c>
      <c r="C250" s="20" t="n">
        <v>55</v>
      </c>
      <c r="G250" s="20" t="n">
        <v>55</v>
      </c>
      <c r="K250" s="20" t="n">
        <v>65</v>
      </c>
      <c r="T250" s="20" t="n">
        <v>0</v>
      </c>
      <c r="U250" s="20" t="n">
        <v>1</v>
      </c>
      <c r="V250" s="20" t="n">
        <v>55</v>
      </c>
      <c r="W250" s="20" t="n">
        <v>55</v>
      </c>
      <c r="X250" s="20" t="n">
        <v>65</v>
      </c>
    </row>
    <row r="251">
      <c r="A251" s="18" t="inlineStr">
        <is>
          <t>배당금 지급</t>
        </is>
      </c>
      <c r="C251" s="20" t="n">
        <v>-25804</v>
      </c>
      <c r="E251" s="20" t="n">
        <v>-12829</v>
      </c>
      <c r="G251" s="20" t="n">
        <v>-26630</v>
      </c>
      <c r="I251" s="20" t="n">
        <v>-13756</v>
      </c>
      <c r="K251" s="20" t="n">
        <v>-28609</v>
      </c>
      <c r="M251" s="20" t="n">
        <v>-14653</v>
      </c>
      <c r="O251" s="20" t="n">
        <v>-14365</v>
      </c>
      <c r="P251" s="20" t="n">
        <v>-14363</v>
      </c>
      <c r="Q251" s="20" t="n">
        <v>-14366</v>
      </c>
      <c r="R251" s="20" t="n">
        <v>-14367</v>
      </c>
      <c r="S251" s="20" t="n">
        <v>-14371</v>
      </c>
      <c r="T251" s="20" t="n">
        <v>-36596</v>
      </c>
      <c r="U251" s="20" t="n">
        <v>-21497</v>
      </c>
      <c r="V251" s="20" t="n">
        <v>-25804</v>
      </c>
      <c r="W251" s="20" t="n">
        <v>-26630</v>
      </c>
      <c r="X251" s="20" t="n">
        <v>-28609</v>
      </c>
    </row>
    <row r="252">
      <c r="A252" s="18" t="inlineStr">
        <is>
          <t>비지배주주 납입</t>
        </is>
      </c>
      <c r="O252" s="20" t="n">
        <v>41</v>
      </c>
      <c r="P252" s="20" t="n">
        <v>0</v>
      </c>
      <c r="R252" s="20" t="n">
        <v>0</v>
      </c>
      <c r="S252" s="20" t="n">
        <v>301</v>
      </c>
      <c r="T252" s="20" t="n">
        <v>0</v>
      </c>
    </row>
    <row r="253">
      <c r="A253" s="18" t="inlineStr">
        <is>
          <t>비지배주주 배당금 지급</t>
        </is>
      </c>
      <c r="C253" s="20" t="n">
        <v>-88</v>
      </c>
      <c r="E253" s="20" t="n">
        <v>-8</v>
      </c>
      <c r="G253" s="20" t="n">
        <v>-233</v>
      </c>
      <c r="I253" s="20" t="n">
        <v>-151</v>
      </c>
      <c r="K253" s="20" t="n">
        <v>-96</v>
      </c>
      <c r="M253" s="20" t="n">
        <v>-16</v>
      </c>
      <c r="O253" s="20" t="n">
        <v>-4</v>
      </c>
      <c r="P253" s="20" t="n">
        <v>-3</v>
      </c>
      <c r="Q253" s="20" t="n">
        <v>0</v>
      </c>
      <c r="R253" s="20" t="n">
        <v>-4</v>
      </c>
      <c r="S253" s="20" t="n">
        <v>-2</v>
      </c>
      <c r="T253" s="20" t="n">
        <v>-35</v>
      </c>
      <c r="U253" s="20" t="n">
        <v>-42</v>
      </c>
      <c r="V253" s="20" t="n">
        <v>-88</v>
      </c>
      <c r="W253" s="20" t="n">
        <v>-233</v>
      </c>
      <c r="X253" s="20" t="n">
        <v>-96</v>
      </c>
    </row>
    <row r="254">
      <c r="A254" s="18" t="inlineStr">
        <is>
          <t>연결범위 변경 없는 자회사 주식 취득</t>
        </is>
      </c>
      <c r="G254" s="20" t="n">
        <v>0</v>
      </c>
      <c r="K254" s="20" t="n">
        <v>-322</v>
      </c>
      <c r="O254" s="20" t="n">
        <v>-240</v>
      </c>
      <c r="P254" s="20" t="n">
        <v>-627</v>
      </c>
      <c r="Q254" s="20" t="n">
        <v>0</v>
      </c>
      <c r="W254" s="20" t="n">
        <v>0</v>
      </c>
      <c r="X254" s="20" t="n">
        <v>-322</v>
      </c>
    </row>
    <row r="255">
      <c r="A255" s="18" t="inlineStr">
        <is>
          <t>기타</t>
        </is>
      </c>
      <c r="E255" s="20" t="n">
        <v>55</v>
      </c>
      <c r="I255" s="20" t="n">
        <v>65</v>
      </c>
      <c r="M255" s="20" t="n">
        <v>63</v>
      </c>
    </row>
    <row r="256">
      <c r="A256" s="9" t="inlineStr">
        <is>
          <t>재무활동 현금흐름</t>
        </is>
      </c>
      <c r="C256" s="12" t="n">
        <v>-43961</v>
      </c>
      <c r="E256" s="12" t="n">
        <v>-29393</v>
      </c>
      <c r="G256" s="12" t="n">
        <v>-49476</v>
      </c>
      <c r="I256" s="12" t="n">
        <v>-44503</v>
      </c>
      <c r="K256" s="12" t="n">
        <v>-80319</v>
      </c>
      <c r="M256" s="12" t="n">
        <v>-40025</v>
      </c>
      <c r="O256" s="12" t="n">
        <v>-15536</v>
      </c>
      <c r="P256" s="12" t="n">
        <v>-15173</v>
      </c>
      <c r="Q256" s="12" t="n">
        <v>-21709</v>
      </c>
      <c r="R256" s="12" t="n">
        <v>-12832</v>
      </c>
      <c r="S256" s="12" t="n">
        <v>-17905</v>
      </c>
      <c r="T256" s="12" t="n">
        <v>-58774</v>
      </c>
      <c r="U256" s="12" t="n">
        <v>-58422</v>
      </c>
      <c r="V256" s="12" t="n">
        <v>-43961</v>
      </c>
      <c r="W256" s="12" t="n">
        <v>-49476</v>
      </c>
      <c r="X256" s="12" t="n">
        <v>-80319</v>
      </c>
    </row>
    <row r="257">
      <c r="A257" s="18" t="inlineStr">
        <is>
          <t>현금성자산 환산차이</t>
        </is>
      </c>
      <c r="C257" s="20" t="n">
        <v>25869</v>
      </c>
      <c r="E257" s="20" t="n">
        <v>55150</v>
      </c>
      <c r="G257" s="20" t="n">
        <v>46582</v>
      </c>
      <c r="I257" s="20" t="n">
        <v>-31854</v>
      </c>
      <c r="K257" s="20" t="n">
        <v>-294</v>
      </c>
      <c r="M257" s="20" t="n">
        <v>12384</v>
      </c>
      <c r="O257" s="20" t="n">
        <v>-5858</v>
      </c>
      <c r="P257" s="20" t="n">
        <v>873</v>
      </c>
      <c r="Q257" s="20" t="n">
        <v>-2246</v>
      </c>
      <c r="R257" s="20" t="n">
        <v>-1128</v>
      </c>
      <c r="S257" s="20" t="n">
        <v>-9356</v>
      </c>
      <c r="T257" s="20" t="n">
        <v>24041</v>
      </c>
      <c r="U257" s="20" t="n">
        <v>40608</v>
      </c>
      <c r="V257" s="20" t="n">
        <v>25869</v>
      </c>
      <c r="W257" s="20" t="n">
        <v>46582</v>
      </c>
      <c r="X257" s="20" t="n">
        <v>-294</v>
      </c>
    </row>
    <row r="258">
      <c r="A258" s="18" t="inlineStr">
        <is>
          <t>현금성자산 증감</t>
        </is>
      </c>
      <c r="C258" s="20" t="n">
        <v>64715</v>
      </c>
      <c r="E258" s="20" t="n">
        <v>62371</v>
      </c>
      <c r="G258" s="20" t="n">
        <v>48327</v>
      </c>
      <c r="I258" s="20" t="n">
        <v>-71566</v>
      </c>
      <c r="K258" s="20" t="n">
        <v>-57509</v>
      </c>
      <c r="M258" s="20" t="n">
        <v>-13684</v>
      </c>
      <c r="O258" s="20" t="n">
        <v>8584</v>
      </c>
      <c r="P258" s="20" t="n">
        <v>3308</v>
      </c>
      <c r="Q258" s="20" t="n">
        <v>-23370</v>
      </c>
      <c r="R258" s="20" t="n">
        <v>88346</v>
      </c>
      <c r="S258" s="20" t="n">
        <v>35458</v>
      </c>
      <c r="T258" s="20" t="n">
        <v>57576</v>
      </c>
      <c r="U258" s="20" t="n">
        <v>59492</v>
      </c>
      <c r="V258" s="20" t="n">
        <v>64715</v>
      </c>
      <c r="W258" s="20" t="n">
        <v>48327</v>
      </c>
      <c r="X258" s="20" t="n">
        <v>-57509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시마노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2025.3Q</t>
        </is>
      </c>
      <c r="D3" s="5" t="inlineStr">
        <is>
          <t>2025.4Q</t>
        </is>
      </c>
      <c r="E3" s="5" t="inlineStr">
        <is>
          <t>2026.1Q</t>
        </is>
      </c>
      <c r="F3" s="5" t="inlineStr">
        <is>
          <t>2026.2Q</t>
        </is>
      </c>
      <c r="G3" s="5" t="inlineStr">
        <is>
          <t>2026.3Q</t>
        </is>
      </c>
      <c r="H3" s="6" t="inlineStr">
        <is>
          <t>2021</t>
        </is>
      </c>
      <c r="I3" s="5" t="inlineStr">
        <is>
          <t>2022</t>
        </is>
      </c>
      <c r="J3" s="5" t="inlineStr">
        <is>
          <t>2023</t>
        </is>
      </c>
      <c r="K3" s="5" t="inlineStr">
        <is>
          <t>2024</t>
        </is>
      </c>
      <c r="L3" s="5" t="inlineStr">
        <is>
          <t>2025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634467</v>
      </c>
      <c r="D5" s="12" t="n">
        <v>666119</v>
      </c>
      <c r="E5" s="12" t="n">
        <v>653727</v>
      </c>
      <c r="F5" s="12" t="n">
        <v>660654</v>
      </c>
      <c r="G5" s="12" t="n">
        <v>627581</v>
      </c>
      <c r="H5" s="11" t="n">
        <v>528544</v>
      </c>
      <c r="I5" s="12" t="n">
        <v>628754</v>
      </c>
      <c r="J5" s="12" t="n">
        <v>652753</v>
      </c>
      <c r="K5" s="12" t="n">
        <v>711461</v>
      </c>
      <c r="L5" s="12" t="n">
        <v>666119</v>
      </c>
    </row>
    <row r="6">
      <c r="A6" s="18" t="inlineStr">
        <is>
          <t>현금및현금성자산</t>
        </is>
      </c>
      <c r="B6" s="10" t="n"/>
      <c r="C6" s="19" t="n">
        <v>454149</v>
      </c>
      <c r="D6" s="20" t="n">
        <v>477324</v>
      </c>
      <c r="E6" s="20" t="n">
        <v>450510</v>
      </c>
      <c r="F6" s="20" t="n">
        <v>463717</v>
      </c>
      <c r="G6" s="20" t="n">
        <v>431769</v>
      </c>
      <c r="H6" s="19" t="n">
        <v>364519</v>
      </c>
      <c r="I6" s="20" t="n">
        <v>430429</v>
      </c>
      <c r="J6" s="20" t="n">
        <v>493933</v>
      </c>
      <c r="K6" s="20" t="n">
        <v>534045</v>
      </c>
      <c r="L6" s="20" t="n">
        <v>477324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41749</v>
      </c>
      <c r="D8" s="20" t="n">
        <v>38460</v>
      </c>
      <c r="E8" s="20" t="n">
        <v>48588</v>
      </c>
      <c r="F8" s="20" t="n">
        <v>45673</v>
      </c>
      <c r="G8" s="20" t="n">
        <v>42465</v>
      </c>
      <c r="H8" s="19" t="n">
        <v>52186</v>
      </c>
      <c r="I8" s="20" t="n">
        <v>55201</v>
      </c>
      <c r="J8" s="20" t="n">
        <v>31602</v>
      </c>
      <c r="K8" s="20" t="n">
        <v>39902</v>
      </c>
      <c r="L8" s="20" t="n">
        <v>38460</v>
      </c>
    </row>
    <row r="9">
      <c r="A9" s="18" t="inlineStr">
        <is>
          <t>재고자산</t>
        </is>
      </c>
      <c r="B9" s="10" t="n"/>
      <c r="C9" s="19" t="n">
        <v>121488</v>
      </c>
      <c r="D9" s="20" t="n">
        <v>131996</v>
      </c>
      <c r="E9" s="20" t="n">
        <v>138147</v>
      </c>
      <c r="F9" s="20" t="n">
        <v>136952</v>
      </c>
      <c r="G9" s="20" t="n">
        <v>136657</v>
      </c>
      <c r="H9" s="19" t="n">
        <v>103258</v>
      </c>
      <c r="I9" s="20" t="n">
        <v>130908</v>
      </c>
      <c r="J9" s="20" t="n">
        <v>112488</v>
      </c>
      <c r="K9" s="20" t="n">
        <v>120641</v>
      </c>
      <c r="L9" s="20" t="n">
        <v>131996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262757</v>
      </c>
      <c r="D11" s="12" t="n">
        <v>272130</v>
      </c>
      <c r="E11" s="12" t="n">
        <v>283655</v>
      </c>
      <c r="F11" s="12" t="n">
        <v>288588</v>
      </c>
      <c r="G11" s="12" t="n">
        <v>288346</v>
      </c>
      <c r="H11" s="11" t="n">
        <v>176826</v>
      </c>
      <c r="I11" s="12" t="n">
        <v>197659</v>
      </c>
      <c r="J11" s="12" t="n">
        <v>218977</v>
      </c>
      <c r="K11" s="12" t="n">
        <v>247491</v>
      </c>
      <c r="L11" s="12" t="n">
        <v>272130</v>
      </c>
    </row>
    <row r="12">
      <c r="A12" s="18" t="inlineStr">
        <is>
          <t>유형자산</t>
        </is>
      </c>
      <c r="B12" s="10" t="n"/>
      <c r="C12" s="19" t="n">
        <v>193221</v>
      </c>
      <c r="D12" s="20" t="n">
        <v>201141</v>
      </c>
      <c r="E12" s="20" t="n">
        <v>209308</v>
      </c>
      <c r="F12" s="20" t="n">
        <v>210467</v>
      </c>
      <c r="G12" s="20" t="n">
        <v>206754</v>
      </c>
      <c r="H12" s="19" t="n">
        <v>139405</v>
      </c>
      <c r="I12" s="20" t="n">
        <v>147244</v>
      </c>
      <c r="J12" s="20" t="n">
        <v>157982</v>
      </c>
      <c r="K12" s="20" t="n">
        <v>182708</v>
      </c>
      <c r="L12" s="20" t="n">
        <v>201141</v>
      </c>
    </row>
    <row r="13">
      <c r="A13" s="18" t="inlineStr">
        <is>
          <t>무형자산</t>
        </is>
      </c>
      <c r="B13" s="10" t="n"/>
      <c r="C13" s="19" t="n">
        <v>27535</v>
      </c>
      <c r="D13" s="20" t="n">
        <v>29323</v>
      </c>
      <c r="E13" s="20" t="n">
        <v>30060</v>
      </c>
      <c r="F13" s="20" t="n">
        <v>31053</v>
      </c>
      <c r="G13" s="20" t="n">
        <v>31421</v>
      </c>
      <c r="H13" s="19" t="n">
        <v>16128</v>
      </c>
      <c r="I13" s="20" t="n">
        <v>19841</v>
      </c>
      <c r="J13" s="20" t="n">
        <v>21989</v>
      </c>
      <c r="K13" s="20" t="n">
        <v>24960</v>
      </c>
      <c r="L13" s="20" t="n">
        <v>29323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897224</v>
      </c>
      <c r="D16" s="12" t="n">
        <v>938250</v>
      </c>
      <c r="E16" s="12" t="n">
        <v>937382</v>
      </c>
      <c r="F16" s="12" t="n">
        <v>949242</v>
      </c>
      <c r="G16" s="12" t="n">
        <v>915928</v>
      </c>
      <c r="H16" s="11" t="n">
        <v>705370</v>
      </c>
      <c r="I16" s="12" t="n">
        <v>826413</v>
      </c>
      <c r="J16" s="12" t="n">
        <v>871731</v>
      </c>
      <c r="K16" s="12" t="n">
        <v>958953</v>
      </c>
      <c r="L16" s="12" t="n">
        <v>938250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53811</v>
      </c>
      <c r="D18" s="12" t="n">
        <v>58917</v>
      </c>
      <c r="E18" s="12" t="n">
        <v>59421</v>
      </c>
      <c r="F18" s="12" t="n">
        <v>63082</v>
      </c>
      <c r="G18" s="12" t="n">
        <v>61107</v>
      </c>
      <c r="H18" s="11" t="n">
        <v>81528</v>
      </c>
      <c r="I18" s="12" t="n">
        <v>78608</v>
      </c>
      <c r="J18" s="12" t="n">
        <v>61834</v>
      </c>
      <c r="K18" s="12" t="n">
        <v>55802</v>
      </c>
      <c r="L18" s="12" t="n">
        <v>58917</v>
      </c>
    </row>
    <row r="19">
      <c r="A19" s="18" t="inlineStr">
        <is>
          <t>매입채무</t>
        </is>
      </c>
      <c r="B19" s="10" t="n"/>
      <c r="C19" s="19" t="n">
        <v>15574</v>
      </c>
      <c r="D19" s="20" t="n">
        <v>16774</v>
      </c>
      <c r="E19" s="20" t="n">
        <v>18647</v>
      </c>
      <c r="F19" s="20" t="n">
        <v>18910</v>
      </c>
      <c r="G19" s="20" t="n">
        <v>19455</v>
      </c>
      <c r="H19" s="19" t="n">
        <v>24352</v>
      </c>
      <c r="I19" s="20" t="n">
        <v>20595</v>
      </c>
      <c r="J19" s="20" t="n">
        <v>11025</v>
      </c>
      <c r="K19" s="20" t="n">
        <v>16111</v>
      </c>
      <c r="L19" s="20" t="n">
        <v>16774</v>
      </c>
    </row>
    <row r="20">
      <c r="A20" s="18" t="inlineStr">
        <is>
          <t>단기차입금</t>
        </is>
      </c>
      <c r="B20" s="10" t="n"/>
      <c r="C20" s="19" t="n"/>
      <c r="D20" s="20" t="n"/>
      <c r="E20" s="20" t="n"/>
      <c r="F20" s="20" t="n"/>
      <c r="G20" s="20" t="n"/>
      <c r="H20" s="19" t="n">
        <v>3133</v>
      </c>
      <c r="I20" s="20" t="n">
        <v>2151</v>
      </c>
      <c r="J20" s="20" t="n">
        <v>0</v>
      </c>
      <c r="K20" s="20" t="n"/>
      <c r="L20" s="20" t="n"/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17828</v>
      </c>
      <c r="D23" s="12" t="n">
        <v>9830</v>
      </c>
      <c r="E23" s="12" t="n">
        <v>9971</v>
      </c>
      <c r="F23" s="12" t="n">
        <v>10493</v>
      </c>
      <c r="G23" s="12" t="n">
        <v>11419</v>
      </c>
      <c r="H23" s="11" t="n">
        <v>7191</v>
      </c>
      <c r="I23" s="12" t="n">
        <v>6709</v>
      </c>
      <c r="J23" s="12" t="n">
        <v>7500</v>
      </c>
      <c r="K23" s="12" t="n">
        <v>19537</v>
      </c>
      <c r="L23" s="12" t="n">
        <v>9830</v>
      </c>
    </row>
    <row r="24">
      <c r="A24" s="18" t="inlineStr">
        <is>
          <t>장기차입금</t>
        </is>
      </c>
      <c r="B24" s="10" t="n"/>
      <c r="C24" s="19" t="n"/>
      <c r="D24" s="20" t="n"/>
      <c r="E24" s="20" t="n"/>
      <c r="F24" s="20" t="n"/>
      <c r="G24" s="20" t="n"/>
      <c r="H24" s="19" t="n">
        <v>2</v>
      </c>
      <c r="I24" s="20" t="n">
        <v>0</v>
      </c>
      <c r="J24" s="20" t="n"/>
      <c r="K24" s="20" t="n"/>
      <c r="L24" s="20" t="n"/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71639</v>
      </c>
      <c r="D27" s="12" t="n">
        <v>68748</v>
      </c>
      <c r="E27" s="12" t="n">
        <v>69392</v>
      </c>
      <c r="F27" s="12" t="n">
        <v>73575</v>
      </c>
      <c r="G27" s="12" t="n">
        <v>72526</v>
      </c>
      <c r="H27" s="11" t="n">
        <v>88719</v>
      </c>
      <c r="I27" s="12" t="n">
        <v>85318</v>
      </c>
      <c r="J27" s="12" t="n">
        <v>69334</v>
      </c>
      <c r="K27" s="12" t="n">
        <v>75339</v>
      </c>
      <c r="L27" s="12" t="n">
        <v>68748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824474</v>
      </c>
      <c r="D31" s="12" t="n">
        <v>868256</v>
      </c>
      <c r="E31" s="12" t="n">
        <v>866601</v>
      </c>
      <c r="F31" s="12" t="n">
        <v>874114</v>
      </c>
      <c r="G31" s="12" t="n">
        <v>841846</v>
      </c>
      <c r="H31" s="11" t="n">
        <v>615992</v>
      </c>
      <c r="I31" s="12" t="n">
        <v>740109</v>
      </c>
      <c r="J31" s="12" t="n">
        <v>801166</v>
      </c>
      <c r="K31" s="12" t="n">
        <v>882398</v>
      </c>
      <c r="L31" s="12" t="n">
        <v>868256</v>
      </c>
    </row>
    <row r="32">
      <c r="A32" s="18" t="inlineStr">
        <is>
          <t>자본금</t>
        </is>
      </c>
      <c r="B32" s="10" t="n"/>
      <c r="C32" s="19" t="n">
        <v>35613</v>
      </c>
      <c r="D32" s="20" t="n">
        <v>35613</v>
      </c>
      <c r="E32" s="20" t="n">
        <v>35613</v>
      </c>
      <c r="F32" s="20" t="n">
        <v>35613</v>
      </c>
      <c r="G32" s="20" t="n">
        <v>35613</v>
      </c>
      <c r="H32" s="19" t="n">
        <v>35613</v>
      </c>
      <c r="I32" s="20" t="n">
        <v>35613</v>
      </c>
      <c r="J32" s="20" t="n">
        <v>35613</v>
      </c>
      <c r="K32" s="20" t="n">
        <v>35613</v>
      </c>
      <c r="L32" s="20" t="n">
        <v>35613</v>
      </c>
    </row>
    <row r="33">
      <c r="A33" s="18" t="inlineStr">
        <is>
          <t>이익잉여금</t>
        </is>
      </c>
      <c r="B33" s="10" t="n"/>
      <c r="C33" s="19" t="n">
        <v>632963</v>
      </c>
      <c r="D33" s="20" t="n">
        <v>630717</v>
      </c>
      <c r="E33" s="20" t="n">
        <v>628876</v>
      </c>
      <c r="F33" s="20" t="n">
        <v>644012</v>
      </c>
      <c r="G33" s="20" t="n">
        <v>640657</v>
      </c>
      <c r="H33" s="19" t="n">
        <v>566263</v>
      </c>
      <c r="I33" s="20" t="n">
        <v>638141</v>
      </c>
      <c r="J33" s="20" t="n">
        <v>647172</v>
      </c>
      <c r="K33" s="20" t="n">
        <v>675370</v>
      </c>
      <c r="L33" s="20" t="n">
        <v>630717</v>
      </c>
    </row>
    <row r="34">
      <c r="A34" s="18" t="inlineStr">
        <is>
          <t>비지배지분</t>
        </is>
      </c>
      <c r="B34" s="10" t="n"/>
      <c r="C34" s="19" t="n">
        <v>1110</v>
      </c>
      <c r="D34" s="20" t="n">
        <v>1245</v>
      </c>
      <c r="E34" s="20" t="n">
        <v>1389</v>
      </c>
      <c r="F34" s="20" t="n">
        <v>1552</v>
      </c>
      <c r="G34" s="20" t="n">
        <v>1555</v>
      </c>
      <c r="H34" s="19" t="n">
        <v>659</v>
      </c>
      <c r="I34" s="20" t="n">
        <v>986</v>
      </c>
      <c r="J34" s="20" t="n">
        <v>1230</v>
      </c>
      <c r="K34" s="20" t="n">
        <v>1215</v>
      </c>
      <c r="L34" s="20" t="n">
        <v>1245</v>
      </c>
    </row>
    <row r="35">
      <c r="A35" s="9" t="inlineStr">
        <is>
          <t>자본총계</t>
        </is>
      </c>
      <c r="B35" s="10" t="n"/>
      <c r="C35" s="11" t="n">
        <v>825584</v>
      </c>
      <c r="D35" s="12" t="n">
        <v>869501</v>
      </c>
      <c r="E35" s="12" t="n">
        <v>867990</v>
      </c>
      <c r="F35" s="12" t="n">
        <v>875666</v>
      </c>
      <c r="G35" s="12" t="n">
        <v>843401</v>
      </c>
      <c r="H35" s="11" t="n">
        <v>616651</v>
      </c>
      <c r="I35" s="12" t="n">
        <v>741095</v>
      </c>
      <c r="J35" s="12" t="n">
        <v>802396</v>
      </c>
      <c r="K35" s="12" t="n">
        <v>883613</v>
      </c>
      <c r="L35" s="12" t="n">
        <v>869501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>
        <v>63780</v>
      </c>
      <c r="E37" s="12" t="n"/>
      <c r="F37" s="12" t="n">
        <v>71849</v>
      </c>
      <c r="G37" s="12" t="n"/>
      <c r="H37" s="11" t="n">
        <v>112439</v>
      </c>
      <c r="I37" s="12" t="n">
        <v>110684</v>
      </c>
      <c r="J37" s="12" t="n">
        <v>114567</v>
      </c>
      <c r="K37" s="12" t="n">
        <v>87032</v>
      </c>
      <c r="L37" s="12" t="n">
        <v>63780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>
        <v>45766</v>
      </c>
      <c r="E38" s="20" t="n"/>
      <c r="F38" s="20" t="n">
        <v>43673</v>
      </c>
      <c r="G38" s="20" t="n"/>
      <c r="H38" s="19" t="n">
        <v>20034</v>
      </c>
      <c r="I38" s="20" t="n">
        <v>27512</v>
      </c>
      <c r="J38" s="20" t="n">
        <v>31315</v>
      </c>
      <c r="K38" s="20" t="n">
        <v>45577</v>
      </c>
      <c r="L38" s="20" t="n">
        <v>45766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>
        <v>28609</v>
      </c>
      <c r="E40" s="20" t="n"/>
      <c r="F40" s="20" t="n">
        <v>29506</v>
      </c>
      <c r="G40" s="20" t="n"/>
      <c r="H40" s="19" t="n">
        <v>36596</v>
      </c>
      <c r="I40" s="20" t="n">
        <v>21497</v>
      </c>
      <c r="J40" s="20" t="n">
        <v>25804</v>
      </c>
      <c r="K40" s="20" t="n">
        <v>26630</v>
      </c>
      <c r="L40" s="20" t="n">
        <v>28609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IFERROR((IF(COUNT('연간'!G31:J31)&lt;4,"",SUM('연간'!G31:J31)))/(IF(COUNT('연간'!G53:J53)&lt;4,"",SUM('연간'!G53:J53))),"")</f>
        <v/>
      </c>
      <c r="D48" s="31">
        <f>IFERROR((IF(COUNT('연간'!H31:K31)&lt;4,"",SUM('연간'!H31:K31)))/(IF(COUNT('연간'!H53:K53)&lt;4,"",SUM('연간'!H53:K53))),"")</f>
        <v/>
      </c>
      <c r="E48" s="31">
        <f>IFERROR((IF(COUNT('연간'!I31:L31)&lt;4,"",SUM('연간'!I31:L31)))/(IF(COUNT('연간'!I53:L53)&lt;4,"",SUM('연간'!I53:L53))),"")</f>
        <v/>
      </c>
      <c r="F48" s="31">
        <f>IFERROR((IF(COUNT('연간'!J31:M31)&lt;4,"",SUM('연간'!J31:M31)))/(IF(COUNT('연간'!J53:M53)&lt;4,"",SUM('연간'!J53:M53))),"")</f>
        <v/>
      </c>
      <c r="G48" s="31">
        <f>IFERROR((IF(COUNT('연간'!K31:N31)&lt;4,"",SUM('연간'!K31:N31)))/(IF(COUNT('연간'!K53:N53)&lt;4,"",SUM('연간'!K53:N53))),"")</f>
        <v/>
      </c>
      <c r="H48" s="30">
        <f>IFERROR(('연간'!T31)/('연간'!T53),"")</f>
        <v/>
      </c>
      <c r="I48" s="31">
        <f>IFERROR(('연간'!U31)/('연간'!U53),"")</f>
        <v/>
      </c>
      <c r="J48" s="31">
        <f>IFERROR(('연간'!V31)/('연간'!V53),"")</f>
        <v/>
      </c>
      <c r="K48" s="31">
        <f>IFERROR(('연간'!W31)/('연간'!W53),"")</f>
        <v/>
      </c>
      <c r="L48" s="31">
        <f>IFERROR(('연간'!X31)/('연간'!X53),"")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IFERROR(IF((IF(COUNT('연간'!G59:J59)&lt;4,"",SUM('연간'!G59:J59)))&lt;=0,"적자",C28/(IF(COUNT('연간'!G59:J59)&lt;4,"",SUM('연간'!G59:J59)))),"")</f>
        <v/>
      </c>
      <c r="D49" s="47">
        <f>IFERROR(IF((IF(COUNT('연간'!H59:K59)&lt;4,"",SUM('연간'!H59:K59)))&lt;=0,"적자",D28/(IF(COUNT('연간'!H59:K59)&lt;4,"",SUM('연간'!H59:K59)))),"")</f>
        <v/>
      </c>
      <c r="E49" s="47">
        <f>IFERROR(IF((IF(COUNT('연간'!I59:L59)&lt;4,"",SUM('연간'!I59:L59)))&lt;=0,"적자",E28/(IF(COUNT('연간'!I59:L59)&lt;4,"",SUM('연간'!I59:L59)))),"")</f>
        <v/>
      </c>
      <c r="F49" s="47">
        <f>IFERROR(IF((IF(COUNT('연간'!J59:M59)&lt;4,"",SUM('연간'!J59:M59)))&lt;=0,"적자",F28/(IF(COUNT('연간'!J59:M59)&lt;4,"",SUM('연간'!J59:M59)))),"")</f>
        <v/>
      </c>
      <c r="G49" s="47">
        <f>IFERROR(IF((IF(COUNT('연간'!K59:N59)&lt;4,"",SUM('연간'!K59:N59)))&lt;=0,"적자",G28/(IF(COUNT('연간'!K59:N59)&lt;4,"",SUM('연간'!K59:N59)))),"")</f>
        <v/>
      </c>
      <c r="H49" s="46">
        <f>IFERROR(IF(('연간'!T59)&lt;=0,"적자",H28/('연간'!T59)),"")</f>
        <v/>
      </c>
      <c r="I49" s="47">
        <f>IFERROR(IF(('연간'!U59)&lt;=0,"적자",I28/('연간'!U59)),"")</f>
        <v/>
      </c>
      <c r="J49" s="47">
        <f>IFERROR(IF(('연간'!V59)&lt;=0,"적자",J28/('연간'!V59)),"")</f>
        <v/>
      </c>
      <c r="K49" s="47">
        <f>IFERROR(IF(('연간'!W59)&lt;=0,"적자",K28/('연간'!W59)),"")</f>
        <v/>
      </c>
      <c r="L49" s="47">
        <f>IFERROR(IF(('연간'!X59)&lt;=0,"적자",L28/('연간'!X59)),"")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IFERROR((IF(COUNT('연간'!G59:J59)&lt;4,"",SUM('연간'!G59:J59)))/C31,"")</f>
        <v/>
      </c>
      <c r="D51" s="36">
        <f>IFERROR((IF(COUNT('연간'!H59:K59)&lt;4,"",SUM('연간'!H59:K59)))/D31,"")</f>
        <v/>
      </c>
      <c r="E51" s="36">
        <f>IFERROR((IF(COUNT('연간'!I59:L59)&lt;4,"",SUM('연간'!I59:L59)))/E31,"")</f>
        <v/>
      </c>
      <c r="F51" s="36">
        <f>IFERROR((IF(COUNT('연간'!J59:M59)&lt;4,"",SUM('연간'!J59:M59)))/F31,"")</f>
        <v/>
      </c>
      <c r="G51" s="36">
        <f>IFERROR((IF(COUNT('연간'!K59:N59)&lt;4,"",SUM('연간'!K59:N59)))/G31,"")</f>
        <v/>
      </c>
      <c r="H51" s="35">
        <f>IFERROR(('연간'!T59)/H31,"")</f>
        <v/>
      </c>
      <c r="I51" s="36">
        <f>IFERROR(('연간'!U59)/I31,"")</f>
        <v/>
      </c>
      <c r="J51" s="36">
        <f>IFERROR(('연간'!V59)/J31,"")</f>
        <v/>
      </c>
      <c r="K51" s="36">
        <f>IFERROR(('연간'!W59)/K31,"")</f>
        <v/>
      </c>
      <c r="L51" s="36">
        <f>IFERROR(('연간'!X59)/L31,"")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IFERROR((IF(COUNT('연간'!G58:J58)&lt;4,"",SUM('연간'!G58:J58)))/C16,"")</f>
        <v/>
      </c>
      <c r="D52" s="36">
        <f>IFERROR((IF(COUNT('연간'!H58:K58)&lt;4,"",SUM('연간'!H58:K58)))/D16,"")</f>
        <v/>
      </c>
      <c r="E52" s="36">
        <f>IFERROR((IF(COUNT('연간'!I58:L58)&lt;4,"",SUM('연간'!I58:L58)))/E16,"")</f>
        <v/>
      </c>
      <c r="F52" s="36">
        <f>IFERROR((IF(COUNT('연간'!J58:M58)&lt;4,"",SUM('연간'!J58:M58)))/F16,"")</f>
        <v/>
      </c>
      <c r="G52" s="36">
        <f>IFERROR((IF(COUNT('연간'!K58:N58)&lt;4,"",SUM('연간'!K58:N58)))/G16,"")</f>
        <v/>
      </c>
      <c r="H52" s="35">
        <f>IFERROR(('연간'!T58)/H16,"")</f>
        <v/>
      </c>
      <c r="I52" s="36">
        <f>IFERROR(('연간'!U58)/I16,"")</f>
        <v/>
      </c>
      <c r="J52" s="36">
        <f>IFERROR(('연간'!V58)/J16,"")</f>
        <v/>
      </c>
      <c r="K52" s="36">
        <f>IFERROR(('연간'!W58)/K16,"")</f>
        <v/>
      </c>
      <c r="L52" s="36">
        <f>IFERROR(('연간'!X58)/L16,"")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IFERROR((IF(COUNT('연간'!G31:J31)&lt;4,"",SUM('연간'!G31:J31)))*(1-0.3)/(C35+C29),"")</f>
        <v/>
      </c>
      <c r="D53" s="36">
        <f>IFERROR((IF(COUNT('연간'!H31:K31)&lt;4,"",SUM('연간'!H31:K31)))*(1-0.3)/(D35+D29),"")</f>
        <v/>
      </c>
      <c r="E53" s="36">
        <f>IFERROR((IF(COUNT('연간'!I31:L31)&lt;4,"",SUM('연간'!I31:L31)))*(1-0.3)/(E35+E29),"")</f>
        <v/>
      </c>
      <c r="F53" s="36">
        <f>IFERROR((IF(COUNT('연간'!J31:M31)&lt;4,"",SUM('연간'!J31:M31)))*(1-0.3)/(F35+F29),"")</f>
        <v/>
      </c>
      <c r="G53" s="36">
        <f>IFERROR((IF(COUNT('연간'!K31:N31)&lt;4,"",SUM('연간'!K31:N31)))*(1-0.3)/(G35+G29),"")</f>
        <v/>
      </c>
      <c r="H53" s="35">
        <f>IFERROR(('연간'!T31)*(1-0.3)/(H35+H29),"")</f>
        <v/>
      </c>
      <c r="I53" s="36">
        <f>IFERROR(('연간'!U31)*(1-0.3)/(I35+I29),"")</f>
        <v/>
      </c>
      <c r="J53" s="36">
        <f>IFERROR(('연간'!V31)*(1-0.3)/(J35+J29),"")</f>
        <v/>
      </c>
      <c r="K53" s="36">
        <f>IFERROR(('연간'!W31)*(1-0.3)/(K35+K29),"")</f>
        <v/>
      </c>
      <c r="L53" s="36">
        <f>IFERROR(('연간'!X31)*(1-0.3)/(L35+L29),"")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IFERROR((IF(COUNT('연간'!G27:J27)&lt;4,"",SUM('연간'!G27:J27)))/(IF(COUNT('연간'!G4:J4)&lt;4,"",SUM('연간'!G4:J4))),"")</f>
        <v/>
      </c>
      <c r="D54" s="36">
        <f>IFERROR((IF(COUNT('연간'!H27:K27)&lt;4,"",SUM('연간'!H27:K27)))/(IF(COUNT('연간'!H4:K4)&lt;4,"",SUM('연간'!H4:K4))),"")</f>
        <v/>
      </c>
      <c r="E54" s="36">
        <f>IFERROR((IF(COUNT('연간'!I27:L27)&lt;4,"",SUM('연간'!I27:L27)))/(IF(COUNT('연간'!I4:L4)&lt;4,"",SUM('연간'!I4:L4))),"")</f>
        <v/>
      </c>
      <c r="F54" s="36">
        <f>IFERROR((IF(COUNT('연간'!J27:M27)&lt;4,"",SUM('연간'!J27:M27)))/(IF(COUNT('연간'!J4:M4)&lt;4,"",SUM('연간'!J4:M4))),"")</f>
        <v/>
      </c>
      <c r="G54" s="36">
        <f>IFERROR((IF(COUNT('연간'!K27:N27)&lt;4,"",SUM('연간'!K27:N27)))/(IF(COUNT('연간'!K4:N4)&lt;4,"",SUM('연간'!K4:N4))),"")</f>
        <v/>
      </c>
      <c r="H54" s="35">
        <f>IFERROR(('연간'!T27)/('연간'!T4),"")</f>
        <v/>
      </c>
      <c r="I54" s="36">
        <f>IFERROR(('연간'!U27)/('연간'!U4),"")</f>
        <v/>
      </c>
      <c r="J54" s="36">
        <f>IFERROR(('연간'!V27)/('연간'!V4),"")</f>
        <v/>
      </c>
      <c r="K54" s="36">
        <f>IFERROR(('연간'!W27)/('연간'!W4),"")</f>
        <v/>
      </c>
      <c r="L54" s="36">
        <f>IFERROR(('연간'!X27)/('연간'!X4),"")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IFERROR((IF(COUNT('연간'!G31:J31)&lt;4,"",SUM('연간'!G31:J31)))/(IF(COUNT('연간'!G4:J4)&lt;4,"",SUM('연간'!G4:J4))),"")</f>
        <v/>
      </c>
      <c r="D55" s="36">
        <f>IFERROR((IF(COUNT('연간'!H31:K31)&lt;4,"",SUM('연간'!H31:K31)))/(IF(COUNT('연간'!H4:K4)&lt;4,"",SUM('연간'!H4:K4))),"")</f>
        <v/>
      </c>
      <c r="E55" s="36">
        <f>IFERROR((IF(COUNT('연간'!I31:L31)&lt;4,"",SUM('연간'!I31:L31)))/(IF(COUNT('연간'!I4:L4)&lt;4,"",SUM('연간'!I4:L4))),"")</f>
        <v/>
      </c>
      <c r="F55" s="36">
        <f>IFERROR((IF(COUNT('연간'!J31:M31)&lt;4,"",SUM('연간'!J31:M31)))/(IF(COUNT('연간'!J4:M4)&lt;4,"",SUM('연간'!J4:M4))),"")</f>
        <v/>
      </c>
      <c r="G55" s="36">
        <f>IFERROR((IF(COUNT('연간'!K31:N31)&lt;4,"",SUM('연간'!K31:N31)))/(IF(COUNT('연간'!K4:N4)&lt;4,"",SUM('연간'!K4:N4))),"")</f>
        <v/>
      </c>
      <c r="H55" s="35">
        <f>IFERROR(('연간'!T31)/('연간'!T4),"")</f>
        <v/>
      </c>
      <c r="I55" s="36">
        <f>IFERROR(('연간'!U31)/('연간'!U4),"")</f>
        <v/>
      </c>
      <c r="J55" s="36">
        <f>IFERROR(('연간'!V31)/('연간'!V4),"")</f>
        <v/>
      </c>
      <c r="K55" s="36">
        <f>IFERROR(('연간'!W31)/('연간'!W4),"")</f>
        <v/>
      </c>
      <c r="L55" s="36">
        <f>IFERROR(('연간'!X31)/('연간'!X4),"")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IFERROR((IF(COUNT('연간'!G58:J58)&lt;4,"",SUM('연간'!G58:J58)))/(IF(COUNT('연간'!G4:J4)&lt;4,"",SUM('연간'!G4:J4))),"")</f>
        <v/>
      </c>
      <c r="D56" s="36">
        <f>IFERROR((IF(COUNT('연간'!H58:K58)&lt;4,"",SUM('연간'!H58:K58)))/(IF(COUNT('연간'!H4:K4)&lt;4,"",SUM('연간'!H4:K4))),"")</f>
        <v/>
      </c>
      <c r="E56" s="36">
        <f>IFERROR((IF(COUNT('연간'!I58:L58)&lt;4,"",SUM('연간'!I58:L58)))/(IF(COUNT('연간'!I4:L4)&lt;4,"",SUM('연간'!I4:L4))),"")</f>
        <v/>
      </c>
      <c r="F56" s="36">
        <f>IFERROR((IF(COUNT('연간'!J58:M58)&lt;4,"",SUM('연간'!J58:M58)))/(IF(COUNT('연간'!J4:M4)&lt;4,"",SUM('연간'!J4:M4))),"")</f>
        <v/>
      </c>
      <c r="G56" s="36">
        <f>IFERROR((IF(COUNT('연간'!K58:N58)&lt;4,"",SUM('연간'!K58:N58)))/(IF(COUNT('연간'!K4:N4)&lt;4,"",SUM('연간'!K4:N4))),"")</f>
        <v/>
      </c>
      <c r="H56" s="35">
        <f>IFERROR(('연간'!T58)/('연간'!T4),"")</f>
        <v/>
      </c>
      <c r="I56" s="36">
        <f>IFERROR(('연간'!U58)/('연간'!U4),"")</f>
        <v/>
      </c>
      <c r="J56" s="36">
        <f>IFERROR(('연간'!V58)/('연간'!V4),"")</f>
        <v/>
      </c>
      <c r="K56" s="36">
        <f>IFERROR(('연간'!W58)/('연간'!W4),"")</f>
        <v/>
      </c>
      <c r="L56" s="36">
        <f>IFERROR(('연간'!X58)/('연간'!X4),"")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IFERROR(C9/(IF(COUNT('연간'!G26:J26)&lt;4,"",SUM('연간'!G26:J26)))*365,"")</f>
        <v/>
      </c>
      <c r="D60" s="49">
        <f>IFERROR(D9/(IF(COUNT('연간'!H26:K26)&lt;4,"",SUM('연간'!H26:K26)))*365,"")</f>
        <v/>
      </c>
      <c r="E60" s="49">
        <f>IFERROR(E9/(IF(COUNT('연간'!I26:L26)&lt;4,"",SUM('연간'!I26:L26)))*365,"")</f>
        <v/>
      </c>
      <c r="F60" s="49">
        <f>IFERROR(F9/(IF(COUNT('연간'!J26:M26)&lt;4,"",SUM('연간'!J26:M26)))*365,"")</f>
        <v/>
      </c>
      <c r="G60" s="49">
        <f>IFERROR(G9/(IF(COUNT('연간'!K26:N26)&lt;4,"",SUM('연간'!K26:N26)))*365,"")</f>
        <v/>
      </c>
      <c r="H60" s="48">
        <f>IFERROR(H9/('연간'!T26)*365,"")</f>
        <v/>
      </c>
      <c r="I60" s="49">
        <f>IFERROR(I9/('연간'!U26)*365,"")</f>
        <v/>
      </c>
      <c r="J60" s="49">
        <f>IFERROR(J9/('연간'!V26)*365,"")</f>
        <v/>
      </c>
      <c r="K60" s="49">
        <f>IFERROR(K9/('연간'!W26)*365,"")</f>
        <v/>
      </c>
      <c r="L60" s="49">
        <f>IFERROR(L9/('연간'!X26)*365,"")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IFERROR(C19/(IF(COUNT('연간'!G26:J26)&lt;4,"",SUM('연간'!G26:J26)))*365,"")</f>
        <v/>
      </c>
      <c r="D61" s="49">
        <f>IFERROR(D19/(IF(COUNT('연간'!H26:K26)&lt;4,"",SUM('연간'!H26:K26)))*365,"")</f>
        <v/>
      </c>
      <c r="E61" s="49">
        <f>IFERROR(E19/(IF(COUNT('연간'!I26:L26)&lt;4,"",SUM('연간'!I26:L26)))*365,"")</f>
        <v/>
      </c>
      <c r="F61" s="49">
        <f>IFERROR(F19/(IF(COUNT('연간'!J26:M26)&lt;4,"",SUM('연간'!J26:M26)))*365,"")</f>
        <v/>
      </c>
      <c r="G61" s="49">
        <f>IFERROR(G19/(IF(COUNT('연간'!K26:N26)&lt;4,"",SUM('연간'!K26:N26)))*365,"")</f>
        <v/>
      </c>
      <c r="H61" s="48">
        <f>IFERROR(H19/('연간'!T26)*365,"")</f>
        <v/>
      </c>
      <c r="I61" s="49">
        <f>IFERROR(I19/('연간'!U26)*365,"")</f>
        <v/>
      </c>
      <c r="J61" s="49">
        <f>IFERROR(J19/('연간'!V26)*365,"")</f>
        <v/>
      </c>
      <c r="K61" s="49">
        <f>IFERROR(K19/('연간'!W26)*365,"")</f>
        <v/>
      </c>
      <c r="L61" s="49">
        <f>IFERROR(L19/('연간'!X26)*365,"")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IF(C37="","",IFERROR(C37/(IF(COUNT('연간'!G58:J58)&lt;4,"",SUM('연간'!G58:J58))),""))</f>
        <v/>
      </c>
      <c r="D64" s="31">
        <f>IF(D37="","",IFERROR(D37/(IF(COUNT('연간'!H58:K58)&lt;4,"",SUM('연간'!H58:K58))),""))</f>
        <v/>
      </c>
      <c r="E64" s="31">
        <f>IF(E37="","",IFERROR(E37/(IF(COUNT('연간'!I58:L58)&lt;4,"",SUM('연간'!I58:L58))),""))</f>
        <v/>
      </c>
      <c r="F64" s="31">
        <f>IF(F37="","",IFERROR(F37/(IF(COUNT('연간'!J58:M58)&lt;4,"",SUM('연간'!J58:M58))),""))</f>
        <v/>
      </c>
      <c r="G64" s="31">
        <f>IF(G37="","",IFERROR(G37/(IF(COUNT('연간'!K58:N58)&lt;4,"",SUM('연간'!K58:N58))),""))</f>
        <v/>
      </c>
      <c r="H64" s="30">
        <f>IF(H37="","",IFERROR(H37/('연간'!T58),""))</f>
        <v/>
      </c>
      <c r="I64" s="31">
        <f>IF(I37="","",IFERROR(I37/('연간'!U58),""))</f>
        <v/>
      </c>
      <c r="J64" s="31">
        <f>IF(J37="","",IFERROR(J37/('연간'!V58),""))</f>
        <v/>
      </c>
      <c r="K64" s="31">
        <f>IF(K37="","",IFERROR(K37/('연간'!W58),""))</f>
        <v/>
      </c>
      <c r="L64" s="31">
        <f>IF(L37="","",IFERROR(L37/('연간'!X58),""))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IF(C40="","",IFERROR(C40/(IF(COUNT('연간'!G59:J59)&lt;4,"",SUM('연간'!G59:J59))),""))</f>
        <v/>
      </c>
      <c r="D67" s="36">
        <f>IF(D40="","",IFERROR(D40/(IF(COUNT('연간'!H59:K59)&lt;4,"",SUM('연간'!H59:K59))),""))</f>
        <v/>
      </c>
      <c r="E67" s="36">
        <f>IF(E40="","",IFERROR(E40/(IF(COUNT('연간'!I59:L59)&lt;4,"",SUM('연간'!I59:L59))),""))</f>
        <v/>
      </c>
      <c r="F67" s="36">
        <f>IF(F40="","",IFERROR(F40/(IF(COUNT('연간'!J59:M59)&lt;4,"",SUM('연간'!J59:M59))),""))</f>
        <v/>
      </c>
      <c r="G67" s="36">
        <f>IF(G40="","",IFERROR(G40/(IF(COUNT('연간'!K59:N59)&lt;4,"",SUM('연간'!K59:N59))),""))</f>
        <v/>
      </c>
      <c r="H67" s="35">
        <f>IF(H40="","",IFERROR(H40/('연간'!T59),""))</f>
        <v/>
      </c>
      <c r="I67" s="36">
        <f>IF(I40="","",IFERROR(I40/('연간'!U59),""))</f>
        <v/>
      </c>
      <c r="J67" s="36">
        <f>IF(J40="","",IFERROR(J40/('연간'!V59),""))</f>
        <v/>
      </c>
      <c r="K67" s="36">
        <f>IF(K40="","",IFERROR(K40/('연간'!W59),""))</f>
        <v/>
      </c>
      <c r="L67" s="36">
        <f>IF(L40="","",IFERROR(L40/('연간'!X59),""))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2025.3Q</t>
        </is>
      </c>
      <c r="D70" s="5" t="inlineStr">
        <is>
          <t>2025.4Q</t>
        </is>
      </c>
      <c r="E70" s="5" t="inlineStr">
        <is>
          <t>2026.1Q</t>
        </is>
      </c>
      <c r="F70" s="5" t="inlineStr">
        <is>
          <t>2026.2Q</t>
        </is>
      </c>
      <c r="G70" s="5" t="inlineStr">
        <is>
          <t>2026.3Q</t>
        </is>
      </c>
      <c r="H70" s="5" t="inlineStr">
        <is>
          <t>2021</t>
        </is>
      </c>
      <c r="I70" s="5" t="inlineStr">
        <is>
          <t>2022</t>
        </is>
      </c>
      <c r="J70" s="5" t="inlineStr">
        <is>
          <t>2023</t>
        </is>
      </c>
      <c r="K70" s="5" t="inlineStr">
        <is>
          <t>2024</t>
        </is>
      </c>
      <c r="L70" s="5" t="inlineStr">
        <is>
          <t>2025</t>
        </is>
      </c>
    </row>
    <row r="71">
      <c r="A71" s="18" t="inlineStr">
        <is>
          <t>현금 및 예금</t>
        </is>
      </c>
      <c r="C71" s="20" t="n">
        <v>454149</v>
      </c>
      <c r="D71" s="20" t="n">
        <v>477324</v>
      </c>
      <c r="E71" s="20" t="n">
        <v>450510</v>
      </c>
      <c r="F71" s="20" t="n">
        <v>463717</v>
      </c>
      <c r="G71" s="20" t="n">
        <v>431769</v>
      </c>
      <c r="H71" s="20" t="n">
        <v>364519</v>
      </c>
      <c r="I71" s="20" t="n">
        <v>430429</v>
      </c>
      <c r="J71" s="20" t="n">
        <v>493933</v>
      </c>
      <c r="K71" s="20" t="n">
        <v>534045</v>
      </c>
      <c r="L71" s="20" t="n">
        <v>477324</v>
      </c>
    </row>
    <row r="72">
      <c r="A72" s="18" t="inlineStr">
        <is>
          <t>받을어음·매출채권</t>
        </is>
      </c>
      <c r="C72" s="20" t="n">
        <v>41749</v>
      </c>
      <c r="D72" s="20" t="n">
        <v>38460</v>
      </c>
      <c r="E72" s="20" t="n">
        <v>48588</v>
      </c>
      <c r="F72" s="20" t="n">
        <v>45673</v>
      </c>
      <c r="G72" s="20" t="n">
        <v>42465</v>
      </c>
      <c r="H72" s="20" t="n">
        <v>52186</v>
      </c>
      <c r="I72" s="20" t="n">
        <v>55201</v>
      </c>
      <c r="J72" s="20" t="n">
        <v>31602</v>
      </c>
      <c r="K72" s="20" t="n">
        <v>39902</v>
      </c>
      <c r="L72" s="20" t="n">
        <v>38460</v>
      </c>
    </row>
    <row r="73">
      <c r="A73" s="18" t="inlineStr">
        <is>
          <t>상품·제품</t>
        </is>
      </c>
      <c r="C73" s="20" t="n">
        <v>77222</v>
      </c>
      <c r="D73" s="20" t="n">
        <v>83669</v>
      </c>
      <c r="E73" s="20" t="n">
        <v>89625</v>
      </c>
      <c r="F73" s="20" t="n">
        <v>88559</v>
      </c>
      <c r="G73" s="20" t="n">
        <v>85852</v>
      </c>
      <c r="H73" s="20" t="n">
        <v>55528</v>
      </c>
      <c r="I73" s="20" t="n">
        <v>79966</v>
      </c>
      <c r="J73" s="20" t="n">
        <v>74293</v>
      </c>
      <c r="K73" s="20" t="n">
        <v>73683</v>
      </c>
      <c r="L73" s="20" t="n">
        <v>83669</v>
      </c>
    </row>
    <row r="74">
      <c r="A74" s="18" t="inlineStr">
        <is>
          <t>재공품</t>
        </is>
      </c>
      <c r="C74" s="20" t="n">
        <v>37630</v>
      </c>
      <c r="D74" s="20" t="n">
        <v>40999</v>
      </c>
      <c r="E74" s="20" t="n">
        <v>41278</v>
      </c>
      <c r="F74" s="20" t="n">
        <v>40672</v>
      </c>
      <c r="G74" s="20" t="n">
        <v>42893</v>
      </c>
      <c r="H74" s="20" t="n">
        <v>39498</v>
      </c>
      <c r="I74" s="20" t="n">
        <v>42733</v>
      </c>
      <c r="J74" s="20" t="n">
        <v>31771</v>
      </c>
      <c r="K74" s="20" t="n">
        <v>39044</v>
      </c>
      <c r="L74" s="20" t="n">
        <v>40999</v>
      </c>
    </row>
    <row r="75">
      <c r="A75" s="18" t="inlineStr">
        <is>
          <t>원재료·저장품</t>
        </is>
      </c>
      <c r="C75" s="20" t="n">
        <v>6636</v>
      </c>
      <c r="D75" s="20" t="n">
        <v>7328</v>
      </c>
      <c r="E75" s="20" t="n">
        <v>7244</v>
      </c>
      <c r="F75" s="20" t="n">
        <v>7721</v>
      </c>
      <c r="G75" s="20" t="n">
        <v>7912</v>
      </c>
      <c r="H75" s="20" t="n">
        <v>8232</v>
      </c>
      <c r="I75" s="20" t="n">
        <v>8209</v>
      </c>
      <c r="J75" s="20" t="n">
        <v>6424</v>
      </c>
      <c r="K75" s="20" t="n">
        <v>7914</v>
      </c>
      <c r="L75" s="20" t="n">
        <v>7328</v>
      </c>
    </row>
    <row r="76">
      <c r="A76" s="18" t="inlineStr">
        <is>
          <t>기타</t>
        </is>
      </c>
      <c r="C76" s="20" t="n">
        <v>17539</v>
      </c>
      <c r="D76" s="20" t="n">
        <v>18837</v>
      </c>
      <c r="E76" s="20" t="n">
        <v>16993</v>
      </c>
      <c r="F76" s="20" t="n">
        <v>14779</v>
      </c>
      <c r="G76" s="20" t="n">
        <v>17198</v>
      </c>
      <c r="H76" s="20" t="n">
        <v>8876</v>
      </c>
      <c r="I76" s="20" t="n">
        <v>12523</v>
      </c>
      <c r="J76" s="20" t="n">
        <v>15071</v>
      </c>
      <c r="K76" s="20" t="n">
        <v>17265</v>
      </c>
      <c r="L76" s="20" t="n">
        <v>18837</v>
      </c>
    </row>
    <row r="77">
      <c r="A77" s="18" t="inlineStr">
        <is>
          <t>대손충당금</t>
        </is>
      </c>
      <c r="C77" s="20" t="n">
        <v>-460</v>
      </c>
      <c r="D77" s="20" t="n">
        <v>-501</v>
      </c>
      <c r="E77" s="20" t="n">
        <v>-513</v>
      </c>
      <c r="F77" s="20" t="n">
        <v>-469</v>
      </c>
      <c r="G77" s="20" t="n">
        <v>-510</v>
      </c>
      <c r="H77" s="20" t="n">
        <v>-298</v>
      </c>
      <c r="I77" s="20" t="n">
        <v>-310</v>
      </c>
      <c r="J77" s="20" t="n">
        <v>-342</v>
      </c>
      <c r="K77" s="20" t="n">
        <v>-395</v>
      </c>
      <c r="L77" s="20" t="n">
        <v>-501</v>
      </c>
    </row>
    <row r="78">
      <c r="A78" s="9" t="inlineStr">
        <is>
          <t>유동자산 합계</t>
        </is>
      </c>
      <c r="C78" s="12" t="n">
        <v>634467</v>
      </c>
      <c r="D78" s="12" t="n">
        <v>666119</v>
      </c>
      <c r="E78" s="12" t="n">
        <v>653727</v>
      </c>
      <c r="F78" s="12" t="n">
        <v>660654</v>
      </c>
      <c r="G78" s="12" t="n">
        <v>627581</v>
      </c>
      <c r="H78" s="12" t="n">
        <v>528544</v>
      </c>
      <c r="I78" s="12" t="n">
        <v>628754</v>
      </c>
      <c r="J78" s="12" t="n">
        <v>652753</v>
      </c>
      <c r="K78" s="12" t="n">
        <v>711461</v>
      </c>
      <c r="L78" s="12" t="n">
        <v>666119</v>
      </c>
    </row>
    <row r="79">
      <c r="A79" s="18" t="inlineStr">
        <is>
          <t>건물·구축물</t>
        </is>
      </c>
      <c r="D79" s="20" t="n">
        <v>157918</v>
      </c>
      <c r="H79" s="20" t="n">
        <v>112017</v>
      </c>
      <c r="I79" s="20" t="n">
        <v>124159</v>
      </c>
      <c r="J79" s="20" t="n">
        <v>126870</v>
      </c>
      <c r="K79" s="20" t="n">
        <v>137592</v>
      </c>
      <c r="L79" s="20" t="n">
        <v>157918</v>
      </c>
    </row>
    <row r="80">
      <c r="A80" s="18" t="inlineStr">
        <is>
          <t>감가상각누계액</t>
        </is>
      </c>
      <c r="D80" s="20" t="n">
        <v>-60238</v>
      </c>
      <c r="H80" s="20" t="n">
        <v>-44160</v>
      </c>
      <c r="I80" s="20" t="n">
        <v>-46153</v>
      </c>
      <c r="J80" s="20" t="n">
        <v>-49492</v>
      </c>
      <c r="K80" s="20" t="n">
        <v>-56102</v>
      </c>
      <c r="L80" s="20" t="n">
        <v>-60238</v>
      </c>
    </row>
    <row r="81">
      <c r="A81" s="18" t="inlineStr">
        <is>
          <t>손상차손누계액</t>
        </is>
      </c>
      <c r="D81" s="20" t="n">
        <v>-56</v>
      </c>
      <c r="H81" s="20" t="n">
        <v>-108</v>
      </c>
      <c r="I81" s="20" t="n">
        <v>-766</v>
      </c>
      <c r="J81" s="20" t="n">
        <v>-615</v>
      </c>
      <c r="K81" s="20" t="n">
        <v>-644</v>
      </c>
      <c r="L81" s="20" t="n">
        <v>-56</v>
      </c>
    </row>
    <row r="82">
      <c r="A82" s="18" t="inlineStr">
        <is>
          <t>건물·구축물(순액)</t>
        </is>
      </c>
      <c r="C82" s="20" t="n">
        <v>79362</v>
      </c>
      <c r="D82" s="20" t="n">
        <v>97623</v>
      </c>
      <c r="E82" s="20" t="n">
        <v>122021</v>
      </c>
      <c r="F82" s="20" t="n">
        <v>127853</v>
      </c>
      <c r="G82" s="20" t="n">
        <v>125300</v>
      </c>
      <c r="H82" s="20" t="n">
        <v>67748</v>
      </c>
      <c r="I82" s="20" t="n">
        <v>77239</v>
      </c>
      <c r="J82" s="20" t="n">
        <v>76763</v>
      </c>
      <c r="K82" s="20" t="n">
        <v>80844</v>
      </c>
      <c r="L82" s="20" t="n">
        <v>97623</v>
      </c>
    </row>
    <row r="83">
      <c r="A83" s="18" t="inlineStr">
        <is>
          <t>기계장치·운반구</t>
        </is>
      </c>
      <c r="D83" s="20" t="n">
        <v>131683</v>
      </c>
      <c r="H83" s="20" t="n">
        <v>89730</v>
      </c>
      <c r="I83" s="20" t="n">
        <v>102424</v>
      </c>
      <c r="J83" s="20" t="n">
        <v>114954</v>
      </c>
      <c r="K83" s="20" t="n">
        <v>123181</v>
      </c>
      <c r="L83" s="20" t="n">
        <v>131683</v>
      </c>
    </row>
    <row r="84">
      <c r="A84" s="18" t="inlineStr">
        <is>
          <t>감가상각누계액</t>
        </is>
      </c>
      <c r="D84" s="20" t="n">
        <v>-100052</v>
      </c>
      <c r="H84" s="20" t="n">
        <v>-68337</v>
      </c>
      <c r="I84" s="20" t="n">
        <v>-76673</v>
      </c>
      <c r="J84" s="20" t="n">
        <v>-81803</v>
      </c>
      <c r="K84" s="20" t="n">
        <v>-91928</v>
      </c>
      <c r="L84" s="20" t="n">
        <v>-100052</v>
      </c>
    </row>
    <row r="85">
      <c r="A85" s="18" t="inlineStr">
        <is>
          <t>손상차손누계액</t>
        </is>
      </c>
      <c r="D85" s="20" t="n">
        <v>-44</v>
      </c>
      <c r="H85" s="20" t="n">
        <v>-94</v>
      </c>
      <c r="I85" s="20" t="n">
        <v>-150</v>
      </c>
      <c r="J85" s="20" t="n">
        <v>-146</v>
      </c>
      <c r="K85" s="20" t="n">
        <v>-76</v>
      </c>
      <c r="L85" s="20" t="n">
        <v>-44</v>
      </c>
    </row>
    <row r="86">
      <c r="A86" s="18" t="inlineStr">
        <is>
          <t>기계장치·운반구(순액)</t>
        </is>
      </c>
      <c r="C86" s="20" t="n">
        <v>30747</v>
      </c>
      <c r="D86" s="20" t="n">
        <v>31587</v>
      </c>
      <c r="E86" s="20" t="n">
        <v>32793</v>
      </c>
      <c r="F86" s="20" t="n">
        <v>33250</v>
      </c>
      <c r="G86" s="20" t="n">
        <v>33092</v>
      </c>
      <c r="H86" s="20" t="n">
        <v>21298</v>
      </c>
      <c r="I86" s="20" t="n">
        <v>25600</v>
      </c>
      <c r="J86" s="20" t="n">
        <v>33005</v>
      </c>
      <c r="K86" s="20" t="n">
        <v>31176</v>
      </c>
      <c r="L86" s="20" t="n">
        <v>31587</v>
      </c>
    </row>
    <row r="87">
      <c r="A87" s="18" t="inlineStr">
        <is>
          <t>토지</t>
        </is>
      </c>
      <c r="C87" s="20" t="n">
        <v>15439</v>
      </c>
      <c r="D87" s="20" t="n">
        <v>15815</v>
      </c>
      <c r="E87" s="20" t="n">
        <v>17145</v>
      </c>
      <c r="F87" s="20" t="n">
        <v>17162</v>
      </c>
      <c r="G87" s="20" t="n">
        <v>16936</v>
      </c>
      <c r="H87" s="20" t="n">
        <v>13765</v>
      </c>
      <c r="I87" s="20" t="n">
        <v>13936</v>
      </c>
      <c r="J87" s="20" t="n">
        <v>14317</v>
      </c>
      <c r="K87" s="20" t="n">
        <v>15117</v>
      </c>
      <c r="L87" s="20" t="n">
        <v>15815</v>
      </c>
    </row>
    <row r="88">
      <c r="A88" s="18" t="inlineStr">
        <is>
          <t>리스자산</t>
        </is>
      </c>
      <c r="D88" s="20" t="n">
        <v>11064</v>
      </c>
      <c r="H88" s="20" t="n">
        <v>6932</v>
      </c>
      <c r="I88" s="20" t="n">
        <v>7826</v>
      </c>
      <c r="J88" s="20" t="n">
        <v>8815</v>
      </c>
      <c r="K88" s="20" t="n">
        <v>9937</v>
      </c>
      <c r="L88" s="20" t="n">
        <v>11064</v>
      </c>
    </row>
    <row r="89">
      <c r="A89" s="18" t="inlineStr">
        <is>
          <t>감가상각누계액</t>
        </is>
      </c>
      <c r="D89" s="20" t="n">
        <v>-5016</v>
      </c>
      <c r="H89" s="20" t="n">
        <v>-1953</v>
      </c>
      <c r="I89" s="20" t="n">
        <v>-2615</v>
      </c>
      <c r="J89" s="20" t="n">
        <v>-3376</v>
      </c>
      <c r="K89" s="20" t="n">
        <v>-4282</v>
      </c>
      <c r="L89" s="20" t="n">
        <v>-5016</v>
      </c>
    </row>
    <row r="90">
      <c r="A90" s="18" t="inlineStr">
        <is>
          <t>손상차손누계액</t>
        </is>
      </c>
      <c r="D90" s="20" t="n">
        <v>-6</v>
      </c>
      <c r="H90" s="20" t="n">
        <v>-4</v>
      </c>
      <c r="I90" s="20" t="n">
        <v>-5</v>
      </c>
      <c r="J90" s="20" t="n">
        <v>-5</v>
      </c>
      <c r="K90" s="20" t="n">
        <v>-6</v>
      </c>
      <c r="L90" s="20" t="n">
        <v>-6</v>
      </c>
    </row>
    <row r="91">
      <c r="A91" s="18" t="inlineStr">
        <is>
          <t>리스자산(순액)</t>
        </is>
      </c>
      <c r="C91" s="20" t="n">
        <v>5411</v>
      </c>
      <c r="D91" s="20" t="n">
        <v>6040</v>
      </c>
      <c r="E91" s="20" t="n">
        <v>6058</v>
      </c>
      <c r="F91" s="20" t="n">
        <v>5967</v>
      </c>
      <c r="G91" s="20" t="n">
        <v>5713</v>
      </c>
      <c r="H91" s="20" t="n">
        <v>4973</v>
      </c>
      <c r="I91" s="20" t="n">
        <v>5205</v>
      </c>
      <c r="J91" s="20" t="n">
        <v>5433</v>
      </c>
      <c r="K91" s="20" t="n">
        <v>5649</v>
      </c>
      <c r="L91" s="20" t="n">
        <v>6040</v>
      </c>
    </row>
    <row r="92">
      <c r="A92" s="18" t="inlineStr">
        <is>
          <t>건설중인자산</t>
        </is>
      </c>
      <c r="C92" s="20" t="n">
        <v>56366</v>
      </c>
      <c r="D92" s="20" t="n">
        <v>43940</v>
      </c>
      <c r="E92" s="20" t="n">
        <v>24128</v>
      </c>
      <c r="F92" s="20" t="n">
        <v>19113</v>
      </c>
      <c r="G92" s="20" t="n">
        <v>18882</v>
      </c>
      <c r="H92" s="20" t="n">
        <v>26151</v>
      </c>
      <c r="I92" s="20" t="n">
        <v>18749</v>
      </c>
      <c r="J92" s="20" t="n">
        <v>22994</v>
      </c>
      <c r="K92" s="20" t="n">
        <v>44624</v>
      </c>
      <c r="L92" s="20" t="n">
        <v>43940</v>
      </c>
    </row>
    <row r="93">
      <c r="A93" s="18" t="inlineStr">
        <is>
          <t>기타</t>
        </is>
      </c>
      <c r="D93" s="20" t="n">
        <v>64705</v>
      </c>
      <c r="H93" s="20" t="n">
        <v>57734</v>
      </c>
      <c r="I93" s="20" t="n">
        <v>62160</v>
      </c>
      <c r="J93" s="20" t="n">
        <v>65357</v>
      </c>
      <c r="K93" s="20" t="n">
        <v>68057</v>
      </c>
      <c r="L93" s="20" t="n">
        <v>64705</v>
      </c>
    </row>
    <row r="94">
      <c r="A94" s="18" t="inlineStr">
        <is>
          <t>감가상각누계액</t>
        </is>
      </c>
      <c r="D94" s="20" t="n">
        <v>-58567</v>
      </c>
      <c r="H94" s="20" t="n">
        <v>-52261</v>
      </c>
      <c r="I94" s="20" t="n">
        <v>-55606</v>
      </c>
      <c r="J94" s="20" t="n">
        <v>-59853</v>
      </c>
      <c r="K94" s="20" t="n">
        <v>-62729</v>
      </c>
      <c r="L94" s="20" t="n">
        <v>-58567</v>
      </c>
    </row>
    <row r="95">
      <c r="A95" s="18" t="inlineStr">
        <is>
          <t>손상차손누계액</t>
        </is>
      </c>
      <c r="D95" s="20" t="n">
        <v>-4</v>
      </c>
      <c r="H95" s="20" t="n">
        <v>-6</v>
      </c>
      <c r="I95" s="20" t="n">
        <v>-40</v>
      </c>
      <c r="J95" s="20" t="n">
        <v>-35</v>
      </c>
      <c r="K95" s="20" t="n">
        <v>-30</v>
      </c>
      <c r="L95" s="20" t="n">
        <v>-4</v>
      </c>
    </row>
    <row r="96">
      <c r="A96" s="18" t="inlineStr">
        <is>
          <t>기타(순액)</t>
        </is>
      </c>
      <c r="C96" s="20" t="n">
        <v>5893</v>
      </c>
      <c r="D96" s="20" t="n">
        <v>6133</v>
      </c>
      <c r="E96" s="20" t="n">
        <v>7160</v>
      </c>
      <c r="F96" s="20" t="n">
        <v>7119</v>
      </c>
      <c r="G96" s="20" t="n">
        <v>6827</v>
      </c>
      <c r="H96" s="20" t="n">
        <v>5466</v>
      </c>
      <c r="I96" s="20" t="n">
        <v>6513</v>
      </c>
      <c r="J96" s="20" t="n">
        <v>5468</v>
      </c>
      <c r="K96" s="20" t="n">
        <v>5297</v>
      </c>
      <c r="L96" s="20" t="n">
        <v>6133</v>
      </c>
    </row>
    <row r="97">
      <c r="A97" s="18" t="inlineStr">
        <is>
          <t>유형자산 합계</t>
        </is>
      </c>
      <c r="C97" s="20" t="n">
        <v>193221</v>
      </c>
      <c r="D97" s="20" t="n">
        <v>201141</v>
      </c>
      <c r="E97" s="20" t="n">
        <v>209308</v>
      </c>
      <c r="F97" s="20" t="n">
        <v>210467</v>
      </c>
      <c r="G97" s="20" t="n">
        <v>206754</v>
      </c>
      <c r="H97" s="20" t="n">
        <v>139405</v>
      </c>
      <c r="I97" s="20" t="n">
        <v>147244</v>
      </c>
      <c r="J97" s="20" t="n">
        <v>157982</v>
      </c>
      <c r="K97" s="20" t="n">
        <v>182708</v>
      </c>
      <c r="L97" s="20" t="n">
        <v>201141</v>
      </c>
    </row>
    <row r="98">
      <c r="A98" s="18" t="inlineStr">
        <is>
          <t>영업권</t>
        </is>
      </c>
      <c r="C98" s="20" t="n">
        <v>1467</v>
      </c>
      <c r="D98" s="20" t="n">
        <v>1455</v>
      </c>
      <c r="E98" s="20" t="n">
        <v>1372</v>
      </c>
      <c r="F98" s="20" t="n">
        <v>1302</v>
      </c>
      <c r="G98" s="20" t="n">
        <v>1175</v>
      </c>
      <c r="H98" s="20" t="n">
        <v>3274</v>
      </c>
      <c r="I98" s="20" t="n">
        <v>3065</v>
      </c>
      <c r="J98" s="20" t="n">
        <v>1898</v>
      </c>
      <c r="K98" s="20" t="n">
        <v>1661</v>
      </c>
      <c r="L98" s="20" t="n">
        <v>1455</v>
      </c>
    </row>
    <row r="99">
      <c r="A99" s="18" t="inlineStr">
        <is>
          <t>소프트웨어</t>
        </is>
      </c>
      <c r="C99" s="20" t="n">
        <v>12912</v>
      </c>
      <c r="D99" s="20" t="n">
        <v>18091</v>
      </c>
      <c r="E99" s="20" t="n">
        <v>17730</v>
      </c>
      <c r="F99" s="20" t="n">
        <v>16368</v>
      </c>
      <c r="G99" s="20" t="n">
        <v>15149</v>
      </c>
      <c r="H99" s="20" t="n">
        <v>6190</v>
      </c>
      <c r="I99" s="20" t="n">
        <v>10059</v>
      </c>
      <c r="J99" s="20" t="n">
        <v>13225</v>
      </c>
      <c r="K99" s="20" t="n">
        <v>13424</v>
      </c>
      <c r="L99" s="20" t="n">
        <v>18091</v>
      </c>
    </row>
    <row r="100">
      <c r="A100" s="18" t="inlineStr">
        <is>
          <t>개발 중 소프트웨어</t>
        </is>
      </c>
      <c r="D100" s="20" t="n">
        <v>8386</v>
      </c>
      <c r="H100" s="20" t="n">
        <v>3935</v>
      </c>
      <c r="I100" s="20" t="n">
        <v>4970</v>
      </c>
      <c r="J100" s="20" t="n">
        <v>5054</v>
      </c>
      <c r="K100" s="20" t="n">
        <v>7914</v>
      </c>
      <c r="L100" s="20" t="n">
        <v>8386</v>
      </c>
    </row>
    <row r="101">
      <c r="A101" s="18" t="inlineStr">
        <is>
          <t>기타</t>
        </is>
      </c>
      <c r="C101" s="20" t="n">
        <v>13154</v>
      </c>
      <c r="D101" s="20" t="n">
        <v>9775</v>
      </c>
      <c r="E101" s="20" t="n">
        <v>10957</v>
      </c>
      <c r="F101" s="20" t="n">
        <v>13383</v>
      </c>
      <c r="G101" s="20" t="n">
        <v>15096</v>
      </c>
      <c r="H101" s="20" t="n">
        <v>2727</v>
      </c>
      <c r="I101" s="20" t="n">
        <v>1745</v>
      </c>
      <c r="J101" s="20" t="n">
        <v>1810</v>
      </c>
      <c r="K101" s="20" t="n">
        <v>1960</v>
      </c>
      <c r="L101" s="20" t="n">
        <v>9775</v>
      </c>
    </row>
    <row r="102">
      <c r="A102" s="18" t="inlineStr">
        <is>
          <t>무형자산 합계</t>
        </is>
      </c>
      <c r="C102" s="20" t="n">
        <v>27535</v>
      </c>
      <c r="D102" s="20" t="n">
        <v>29323</v>
      </c>
      <c r="E102" s="20" t="n">
        <v>30060</v>
      </c>
      <c r="F102" s="20" t="n">
        <v>31053</v>
      </c>
      <c r="G102" s="20" t="n">
        <v>31421</v>
      </c>
      <c r="H102" s="20" t="n">
        <v>16128</v>
      </c>
      <c r="I102" s="20" t="n">
        <v>19841</v>
      </c>
      <c r="J102" s="20" t="n">
        <v>21989</v>
      </c>
      <c r="K102" s="20" t="n">
        <v>24960</v>
      </c>
      <c r="L102" s="20" t="n">
        <v>29323</v>
      </c>
    </row>
    <row r="103">
      <c r="A103" s="18" t="inlineStr">
        <is>
          <t>투자유가증권</t>
        </is>
      </c>
      <c r="C103" s="20" t="n">
        <v>30364</v>
      </c>
      <c r="D103" s="20" t="n">
        <v>29348</v>
      </c>
      <c r="E103" s="20" t="n">
        <v>32301</v>
      </c>
      <c r="F103" s="20" t="n">
        <v>36166</v>
      </c>
      <c r="G103" s="20" t="n">
        <v>39341</v>
      </c>
      <c r="H103" s="20" t="n">
        <v>14061</v>
      </c>
      <c r="I103" s="20" t="n">
        <v>19694</v>
      </c>
      <c r="J103" s="20" t="n">
        <v>23781</v>
      </c>
      <c r="K103" s="20" t="n">
        <v>25892</v>
      </c>
      <c r="L103" s="20" t="n">
        <v>29348</v>
      </c>
    </row>
    <row r="104">
      <c r="A104" s="18" t="inlineStr">
        <is>
          <t>이연법인세자산</t>
        </is>
      </c>
      <c r="C104" s="20" t="n">
        <v>6934</v>
      </c>
      <c r="D104" s="20" t="n">
        <v>4618</v>
      </c>
      <c r="E104" s="20" t="n">
        <v>4385</v>
      </c>
      <c r="F104" s="20" t="n">
        <v>3551</v>
      </c>
      <c r="G104" s="20" t="n">
        <v>3453</v>
      </c>
      <c r="H104" s="20" t="n">
        <v>6053</v>
      </c>
      <c r="I104" s="20" t="n">
        <v>6728</v>
      </c>
      <c r="J104" s="20" t="n">
        <v>9693</v>
      </c>
      <c r="K104" s="20" t="n">
        <v>8382</v>
      </c>
      <c r="L104" s="20" t="n">
        <v>4618</v>
      </c>
    </row>
    <row r="105">
      <c r="A105" s="18" t="inlineStr">
        <is>
          <t>퇴직급여자산</t>
        </is>
      </c>
      <c r="C105" s="20" t="n">
        <v>2579</v>
      </c>
      <c r="D105" s="20" t="n">
        <v>5550</v>
      </c>
      <c r="E105" s="20" t="n">
        <v>5535</v>
      </c>
      <c r="F105" s="20" t="n">
        <v>5376</v>
      </c>
      <c r="G105" s="20" t="n">
        <v>5405</v>
      </c>
      <c r="H105" s="20" t="n">
        <v>0</v>
      </c>
      <c r="I105" s="20" t="n">
        <v>2645</v>
      </c>
      <c r="J105" s="20" t="n">
        <v>2804</v>
      </c>
      <c r="K105" s="20" t="n">
        <v>2900</v>
      </c>
      <c r="L105" s="20" t="n">
        <v>5550</v>
      </c>
    </row>
    <row r="106">
      <c r="A106" s="18" t="inlineStr">
        <is>
          <t>기타</t>
        </is>
      </c>
      <c r="C106" s="20" t="n">
        <v>2602</v>
      </c>
      <c r="D106" s="20" t="n">
        <v>2627</v>
      </c>
      <c r="E106" s="20" t="n">
        <v>2543</v>
      </c>
      <c r="F106" s="20" t="n">
        <v>2481</v>
      </c>
      <c r="G106" s="20" t="n">
        <v>2480</v>
      </c>
      <c r="H106" s="20" t="n">
        <v>1641</v>
      </c>
      <c r="I106" s="20" t="n">
        <v>1941</v>
      </c>
      <c r="J106" s="20" t="n">
        <v>3174</v>
      </c>
      <c r="K106" s="20" t="n">
        <v>3097</v>
      </c>
      <c r="L106" s="20" t="n">
        <v>2627</v>
      </c>
    </row>
    <row r="107">
      <c r="A107" s="18" t="inlineStr">
        <is>
          <t>대손충당금</t>
        </is>
      </c>
      <c r="C107" s="20" t="n">
        <v>-480</v>
      </c>
      <c r="D107" s="20" t="n">
        <v>-478</v>
      </c>
      <c r="E107" s="20" t="n">
        <v>-480</v>
      </c>
      <c r="F107" s="20" t="n">
        <v>-509</v>
      </c>
      <c r="G107" s="20" t="n">
        <v>-510</v>
      </c>
      <c r="H107" s="20" t="n">
        <v>-463</v>
      </c>
      <c r="I107" s="20" t="n">
        <v>-436</v>
      </c>
      <c r="J107" s="20" t="n">
        <v>-447</v>
      </c>
      <c r="K107" s="20" t="n">
        <v>-450</v>
      </c>
      <c r="L107" s="20" t="n">
        <v>-478</v>
      </c>
    </row>
    <row r="108">
      <c r="A108" s="18" t="inlineStr">
        <is>
          <t>투자 및 기타자산 합계</t>
        </is>
      </c>
      <c r="C108" s="20" t="n">
        <v>42001</v>
      </c>
      <c r="D108" s="20" t="n">
        <v>41665</v>
      </c>
      <c r="E108" s="20" t="n">
        <v>44286</v>
      </c>
      <c r="F108" s="20" t="n">
        <v>47067</v>
      </c>
      <c r="G108" s="20" t="n">
        <v>50170</v>
      </c>
      <c r="H108" s="20" t="n">
        <v>21292</v>
      </c>
      <c r="I108" s="20" t="n">
        <v>30573</v>
      </c>
      <c r="J108" s="20" t="n">
        <v>39006</v>
      </c>
      <c r="K108" s="20" t="n">
        <v>39822</v>
      </c>
      <c r="L108" s="20" t="n">
        <v>41665</v>
      </c>
    </row>
    <row r="109">
      <c r="A109" s="9" t="inlineStr">
        <is>
          <t>비유동자산 합계</t>
        </is>
      </c>
      <c r="C109" s="12" t="n">
        <v>262757</v>
      </c>
      <c r="D109" s="12" t="n">
        <v>272130</v>
      </c>
      <c r="E109" s="12" t="n">
        <v>283655</v>
      </c>
      <c r="F109" s="12" t="n">
        <v>288588</v>
      </c>
      <c r="G109" s="12" t="n">
        <v>288346</v>
      </c>
      <c r="H109" s="12" t="n">
        <v>176826</v>
      </c>
      <c r="I109" s="12" t="n">
        <v>197659</v>
      </c>
      <c r="J109" s="12" t="n">
        <v>218977</v>
      </c>
      <c r="K109" s="12" t="n">
        <v>247491</v>
      </c>
      <c r="L109" s="12" t="n">
        <v>272130</v>
      </c>
    </row>
    <row r="110">
      <c r="A110" s="9" t="inlineStr">
        <is>
          <t>자산 합계</t>
        </is>
      </c>
      <c r="C110" s="12" t="n">
        <v>897224</v>
      </c>
      <c r="D110" s="12" t="n">
        <v>938250</v>
      </c>
      <c r="E110" s="12" t="n">
        <v>937382</v>
      </c>
      <c r="F110" s="12" t="n">
        <v>949242</v>
      </c>
      <c r="G110" s="12" t="n">
        <v>915928</v>
      </c>
      <c r="H110" s="12" t="n">
        <v>705370</v>
      </c>
      <c r="I110" s="12" t="n">
        <v>826413</v>
      </c>
      <c r="J110" s="12" t="n">
        <v>871731</v>
      </c>
      <c r="K110" s="12" t="n">
        <v>958953</v>
      </c>
      <c r="L110" s="12" t="n">
        <v>938250</v>
      </c>
    </row>
    <row r="111">
      <c r="A111" s="18" t="inlineStr">
        <is>
          <t>매입채무</t>
        </is>
      </c>
      <c r="C111" s="20" t="n">
        <v>15574</v>
      </c>
      <c r="D111" s="20" t="n">
        <v>16774</v>
      </c>
      <c r="E111" s="20" t="n">
        <v>18647</v>
      </c>
      <c r="F111" s="20" t="n">
        <v>18910</v>
      </c>
      <c r="G111" s="20" t="n">
        <v>19455</v>
      </c>
      <c r="H111" s="20" t="n">
        <v>24352</v>
      </c>
      <c r="I111" s="20" t="n">
        <v>20595</v>
      </c>
      <c r="J111" s="20" t="n">
        <v>11025</v>
      </c>
      <c r="K111" s="20" t="n">
        <v>16111</v>
      </c>
      <c r="L111" s="20" t="n">
        <v>16774</v>
      </c>
    </row>
    <row r="112">
      <c r="A112" s="18" t="inlineStr">
        <is>
          <t>단기차입금</t>
        </is>
      </c>
      <c r="H112" s="20" t="n">
        <v>3133</v>
      </c>
      <c r="I112" s="20" t="n">
        <v>2151</v>
      </c>
      <c r="J112" s="20" t="n">
        <v>0</v>
      </c>
    </row>
    <row r="113">
      <c r="A113" s="18" t="inlineStr">
        <is>
          <t>리스부채</t>
        </is>
      </c>
      <c r="D113" s="20" t="n">
        <v>1423</v>
      </c>
      <c r="H113" s="20" t="n">
        <v>827</v>
      </c>
      <c r="I113" s="20" t="n">
        <v>928</v>
      </c>
      <c r="J113" s="20" t="n">
        <v>1022</v>
      </c>
      <c r="K113" s="20" t="n">
        <v>1242</v>
      </c>
      <c r="L113" s="20" t="n">
        <v>1423</v>
      </c>
    </row>
    <row r="114">
      <c r="A114" s="18" t="inlineStr">
        <is>
          <t>미지급법인세</t>
        </is>
      </c>
      <c r="C114" s="20" t="n">
        <v>5565</v>
      </c>
      <c r="D114" s="20" t="n">
        <v>9161</v>
      </c>
      <c r="E114" s="20" t="n">
        <v>6219</v>
      </c>
      <c r="F114" s="20" t="n">
        <v>7335</v>
      </c>
      <c r="G114" s="20" t="n">
        <v>5164</v>
      </c>
      <c r="H114" s="20" t="n">
        <v>23170</v>
      </c>
      <c r="I114" s="20" t="n">
        <v>21899</v>
      </c>
      <c r="J114" s="20" t="n">
        <v>5737</v>
      </c>
      <c r="K114" s="20" t="n">
        <v>9803</v>
      </c>
      <c r="L114" s="20" t="n">
        <v>9161</v>
      </c>
    </row>
    <row r="115">
      <c r="A115" s="18" t="inlineStr">
        <is>
          <t>상여충당금</t>
        </is>
      </c>
      <c r="C115" s="20" t="n">
        <v>4757</v>
      </c>
      <c r="D115" s="20" t="n">
        <v>3479</v>
      </c>
      <c r="E115" s="20" t="n">
        <v>3194</v>
      </c>
      <c r="F115" s="20" t="n">
        <v>2954</v>
      </c>
      <c r="G115" s="20" t="n">
        <v>4742</v>
      </c>
      <c r="H115" s="20" t="n">
        <v>3467</v>
      </c>
      <c r="I115" s="20" t="n">
        <v>3682</v>
      </c>
      <c r="J115" s="20" t="n">
        <v>3041</v>
      </c>
      <c r="K115" s="20" t="n">
        <v>3479</v>
      </c>
      <c r="L115" s="20" t="n">
        <v>3479</v>
      </c>
    </row>
    <row r="116">
      <c r="A116" s="18" t="inlineStr">
        <is>
          <t>임원 상여충당금</t>
        </is>
      </c>
      <c r="C116" s="20" t="n">
        <v>128</v>
      </c>
      <c r="D116" s="20" t="n">
        <v>144</v>
      </c>
      <c r="E116" s="20" t="n">
        <v>41</v>
      </c>
      <c r="F116" s="20" t="n">
        <v>82</v>
      </c>
      <c r="G116" s="20" t="n">
        <v>123</v>
      </c>
      <c r="H116" s="20" t="n">
        <v>172</v>
      </c>
      <c r="I116" s="20" t="n">
        <v>198</v>
      </c>
      <c r="J116" s="20" t="n">
        <v>141</v>
      </c>
      <c r="K116" s="20" t="n">
        <v>160</v>
      </c>
      <c r="L116" s="20" t="n">
        <v>144</v>
      </c>
    </row>
    <row r="117">
      <c r="A117" s="18" t="inlineStr">
        <is>
          <t>제품보증 충당금</t>
        </is>
      </c>
      <c r="C117" s="20" t="n">
        <v>1234</v>
      </c>
      <c r="D117" s="20" t="n">
        <v>3317</v>
      </c>
      <c r="E117" s="20" t="n">
        <v>2859</v>
      </c>
      <c r="F117" s="20" t="n">
        <v>1113</v>
      </c>
      <c r="G117" s="20" t="n">
        <v>1214</v>
      </c>
      <c r="I117" s="20" t="n">
        <v>1393</v>
      </c>
      <c r="J117" s="20" t="n">
        <v>16017</v>
      </c>
      <c r="K117" s="20" t="n">
        <v>1173</v>
      </c>
      <c r="L117" s="20" t="n">
        <v>3317</v>
      </c>
    </row>
    <row r="118">
      <c r="A118" s="18" t="inlineStr">
        <is>
          <t>기타</t>
        </is>
      </c>
      <c r="C118" s="20" t="n">
        <v>26551</v>
      </c>
      <c r="D118" s="20" t="n">
        <v>26039</v>
      </c>
      <c r="E118" s="20" t="n">
        <v>28459</v>
      </c>
      <c r="F118" s="20" t="n">
        <v>32685</v>
      </c>
      <c r="G118" s="20" t="n">
        <v>30406</v>
      </c>
      <c r="H118" s="20" t="n">
        <v>26402</v>
      </c>
      <c r="I118" s="20" t="n">
        <v>27760</v>
      </c>
      <c r="J118" s="20" t="n">
        <v>24847</v>
      </c>
      <c r="K118" s="20" t="n">
        <v>23832</v>
      </c>
      <c r="L118" s="20" t="n">
        <v>26039</v>
      </c>
    </row>
    <row r="119">
      <c r="A119" s="9" t="inlineStr">
        <is>
          <t>유동부채 합계</t>
        </is>
      </c>
      <c r="C119" s="12" t="n">
        <v>53811</v>
      </c>
      <c r="D119" s="12" t="n">
        <v>58917</v>
      </c>
      <c r="E119" s="12" t="n">
        <v>59421</v>
      </c>
      <c r="F119" s="12" t="n">
        <v>63082</v>
      </c>
      <c r="G119" s="12" t="n">
        <v>61107</v>
      </c>
      <c r="H119" s="12" t="n">
        <v>81528</v>
      </c>
      <c r="I119" s="12" t="n">
        <v>78608</v>
      </c>
      <c r="J119" s="12" t="n">
        <v>61834</v>
      </c>
      <c r="K119" s="12" t="n">
        <v>55802</v>
      </c>
      <c r="L119" s="12" t="n">
        <v>58917</v>
      </c>
    </row>
    <row r="120">
      <c r="A120" s="18" t="inlineStr">
        <is>
          <t>장기차입금</t>
        </is>
      </c>
      <c r="H120" s="20" t="n">
        <v>2</v>
      </c>
      <c r="I120" s="20" t="n">
        <v>0</v>
      </c>
    </row>
    <row r="121">
      <c r="A121" s="18" t="inlineStr">
        <is>
          <t>리스부채</t>
        </is>
      </c>
      <c r="D121" s="20" t="n">
        <v>2607</v>
      </c>
      <c r="H121" s="20" t="n">
        <v>2298</v>
      </c>
      <c r="I121" s="20" t="n">
        <v>2298</v>
      </c>
      <c r="J121" s="20" t="n">
        <v>2370</v>
      </c>
      <c r="K121" s="20" t="n">
        <v>2319</v>
      </c>
      <c r="L121" s="20" t="n">
        <v>2607</v>
      </c>
    </row>
    <row r="122">
      <c r="A122" s="18" t="inlineStr">
        <is>
          <t>이연법인세부채</t>
        </is>
      </c>
      <c r="C122" s="20" t="n">
        <v>2118</v>
      </c>
      <c r="D122" s="20" t="n">
        <v>2449</v>
      </c>
      <c r="E122" s="20" t="n">
        <v>2602</v>
      </c>
      <c r="F122" s="20" t="n">
        <v>3529</v>
      </c>
      <c r="G122" s="20" t="n">
        <v>4718</v>
      </c>
      <c r="H122" s="20" t="n">
        <v>2164</v>
      </c>
      <c r="I122" s="20" t="n">
        <v>2522</v>
      </c>
      <c r="J122" s="20" t="n">
        <v>3179</v>
      </c>
      <c r="K122" s="20" t="n">
        <v>3018</v>
      </c>
      <c r="L122" s="20" t="n">
        <v>2449</v>
      </c>
    </row>
    <row r="123">
      <c r="A123" s="18" t="inlineStr">
        <is>
          <t>퇴직급여부채</t>
        </is>
      </c>
      <c r="C123" s="20" t="n">
        <v>1352</v>
      </c>
      <c r="D123" s="20" t="n">
        <v>1473</v>
      </c>
      <c r="E123" s="20" t="n">
        <v>1525</v>
      </c>
      <c r="F123" s="20" t="n">
        <v>1501</v>
      </c>
      <c r="G123" s="20" t="n">
        <v>1480</v>
      </c>
      <c r="H123" s="20" t="n">
        <v>2104</v>
      </c>
      <c r="I123" s="20" t="n">
        <v>1210</v>
      </c>
      <c r="J123" s="20" t="n">
        <v>1253</v>
      </c>
      <c r="K123" s="20" t="n">
        <v>1310</v>
      </c>
      <c r="L123" s="20" t="n">
        <v>1473</v>
      </c>
    </row>
    <row r="124">
      <c r="A124" s="18" t="inlineStr">
        <is>
          <t>제품보증 충당금</t>
        </is>
      </c>
      <c r="C124" s="20" t="n">
        <v>11313</v>
      </c>
      <c r="D124" s="20" t="n">
        <v>2555</v>
      </c>
      <c r="E124" s="20" t="n">
        <v>2385</v>
      </c>
      <c r="F124" s="20" t="n">
        <v>2145</v>
      </c>
      <c r="G124" s="20" t="n">
        <v>1985</v>
      </c>
      <c r="J124" s="20" t="n">
        <v>0</v>
      </c>
      <c r="K124" s="20" t="n">
        <v>12151</v>
      </c>
      <c r="L124" s="20" t="n">
        <v>2555</v>
      </c>
    </row>
    <row r="125">
      <c r="A125" s="18" t="inlineStr">
        <is>
          <t>기타</t>
        </is>
      </c>
      <c r="C125" s="20" t="n">
        <v>3043</v>
      </c>
      <c r="D125" s="20" t="n">
        <v>3352</v>
      </c>
      <c r="E125" s="20" t="n">
        <v>3458</v>
      </c>
      <c r="F125" s="20" t="n">
        <v>3317</v>
      </c>
      <c r="G125" s="20" t="n">
        <v>3234</v>
      </c>
      <c r="H125" s="20" t="n">
        <v>621</v>
      </c>
      <c r="I125" s="20" t="n">
        <v>678</v>
      </c>
      <c r="J125" s="20" t="n">
        <v>696</v>
      </c>
      <c r="K125" s="20" t="n">
        <v>737</v>
      </c>
      <c r="L125" s="20" t="n">
        <v>3352</v>
      </c>
    </row>
    <row r="126">
      <c r="A126" s="9" t="inlineStr">
        <is>
          <t>비유동부채 합계</t>
        </is>
      </c>
      <c r="C126" s="12" t="n">
        <v>17828</v>
      </c>
      <c r="D126" s="12" t="n">
        <v>9830</v>
      </c>
      <c r="E126" s="12" t="n">
        <v>9971</v>
      </c>
      <c r="F126" s="12" t="n">
        <v>10493</v>
      </c>
      <c r="G126" s="12" t="n">
        <v>11419</v>
      </c>
      <c r="H126" s="12" t="n">
        <v>7191</v>
      </c>
      <c r="I126" s="12" t="n">
        <v>6709</v>
      </c>
      <c r="J126" s="12" t="n">
        <v>7500</v>
      </c>
      <c r="K126" s="12" t="n">
        <v>19537</v>
      </c>
      <c r="L126" s="12" t="n">
        <v>9830</v>
      </c>
    </row>
    <row r="127">
      <c r="A127" s="9" t="inlineStr">
        <is>
          <t>부채 합계</t>
        </is>
      </c>
      <c r="C127" s="12" t="n">
        <v>71639</v>
      </c>
      <c r="D127" s="12" t="n">
        <v>68748</v>
      </c>
      <c r="E127" s="12" t="n">
        <v>69392</v>
      </c>
      <c r="F127" s="12" t="n">
        <v>73575</v>
      </c>
      <c r="G127" s="12" t="n">
        <v>72526</v>
      </c>
      <c r="H127" s="12" t="n">
        <v>88719</v>
      </c>
      <c r="I127" s="12" t="n">
        <v>85318</v>
      </c>
      <c r="J127" s="12" t="n">
        <v>69334</v>
      </c>
      <c r="K127" s="12" t="n">
        <v>75339</v>
      </c>
      <c r="L127" s="12" t="n">
        <v>68748</v>
      </c>
    </row>
    <row r="128">
      <c r="A128" s="18" t="inlineStr">
        <is>
          <t>자본금</t>
        </is>
      </c>
      <c r="C128" s="20" t="n">
        <v>35613</v>
      </c>
      <c r="D128" s="20" t="n">
        <v>35613</v>
      </c>
      <c r="E128" s="20" t="n">
        <v>35613</v>
      </c>
      <c r="F128" s="20" t="n">
        <v>35613</v>
      </c>
      <c r="G128" s="20" t="n">
        <v>35613</v>
      </c>
      <c r="H128" s="20" t="n">
        <v>35613</v>
      </c>
      <c r="I128" s="20" t="n">
        <v>35613</v>
      </c>
      <c r="J128" s="20" t="n">
        <v>35613</v>
      </c>
      <c r="K128" s="20" t="n">
        <v>35613</v>
      </c>
      <c r="L128" s="20" t="n">
        <v>35613</v>
      </c>
    </row>
    <row r="129">
      <c r="A129" s="18" t="inlineStr">
        <is>
          <t>자본잉여금</t>
        </is>
      </c>
      <c r="C129" s="20" t="n">
        <v>5324</v>
      </c>
      <c r="D129" s="20" t="n">
        <v>5324</v>
      </c>
      <c r="E129" s="20" t="n">
        <v>5324</v>
      </c>
      <c r="F129" s="20" t="n">
        <v>5325</v>
      </c>
      <c r="G129" s="20" t="n">
        <v>5325</v>
      </c>
      <c r="H129" s="20" t="n">
        <v>5640</v>
      </c>
      <c r="I129" s="20" t="n">
        <v>5640</v>
      </c>
      <c r="J129" s="20" t="n">
        <v>5640</v>
      </c>
      <c r="K129" s="20" t="n">
        <v>5640</v>
      </c>
      <c r="L129" s="20" t="n">
        <v>5324</v>
      </c>
    </row>
    <row r="130">
      <c r="A130" s="18" t="inlineStr">
        <is>
          <t>이익잉여금</t>
        </is>
      </c>
      <c r="C130" s="20" t="n">
        <v>632963</v>
      </c>
      <c r="D130" s="20" t="n">
        <v>630717</v>
      </c>
      <c r="E130" s="20" t="n">
        <v>628876</v>
      </c>
      <c r="F130" s="20" t="n">
        <v>644012</v>
      </c>
      <c r="G130" s="20" t="n">
        <v>640657</v>
      </c>
      <c r="H130" s="20" t="n">
        <v>566263</v>
      </c>
      <c r="I130" s="20" t="n">
        <v>638141</v>
      </c>
      <c r="J130" s="20" t="n">
        <v>647172</v>
      </c>
      <c r="K130" s="20" t="n">
        <v>675370</v>
      </c>
      <c r="L130" s="20" t="n">
        <v>630717</v>
      </c>
    </row>
    <row r="131">
      <c r="A131" s="18" t="inlineStr">
        <is>
          <t>자기주식</t>
        </is>
      </c>
      <c r="C131" s="20" t="n">
        <v>-13242</v>
      </c>
      <c r="D131" s="20" t="n">
        <v>-1100</v>
      </c>
      <c r="E131" s="20" t="n">
        <v>-8189</v>
      </c>
      <c r="F131" s="20" t="n">
        <v>-25642</v>
      </c>
      <c r="G131" s="20" t="n">
        <v>-42448</v>
      </c>
      <c r="H131" s="20" t="n">
        <v>-13284</v>
      </c>
      <c r="I131" s="20" t="n">
        <v>-12909</v>
      </c>
      <c r="J131" s="20" t="n">
        <v>-1264</v>
      </c>
      <c r="K131" s="20" t="n">
        <v>-1186</v>
      </c>
      <c r="L131" s="20" t="n">
        <v>-1100</v>
      </c>
    </row>
    <row r="132">
      <c r="A132" s="9" t="inlineStr">
        <is>
          <t>주주자본 합계</t>
        </is>
      </c>
      <c r="C132" s="12" t="n">
        <v>660659</v>
      </c>
      <c r="D132" s="12" t="n">
        <v>670554</v>
      </c>
      <c r="E132" s="12" t="n">
        <v>661625</v>
      </c>
      <c r="F132" s="12" t="n">
        <v>659307</v>
      </c>
      <c r="G132" s="12" t="n">
        <v>639147</v>
      </c>
      <c r="H132" s="12" t="n">
        <v>594232</v>
      </c>
      <c r="I132" s="12" t="n">
        <v>666485</v>
      </c>
      <c r="J132" s="12" t="n">
        <v>687162</v>
      </c>
      <c r="K132" s="12" t="n">
        <v>715438</v>
      </c>
      <c r="L132" s="12" t="n">
        <v>670554</v>
      </c>
    </row>
    <row r="133">
      <c r="A133" s="18" t="inlineStr">
        <is>
          <t>기타유가증권 평가차액</t>
        </is>
      </c>
      <c r="C133" s="20" t="n">
        <v>9965</v>
      </c>
      <c r="D133" s="20" t="n">
        <v>10144</v>
      </c>
      <c r="E133" s="20" t="n">
        <v>8536</v>
      </c>
      <c r="F133" s="20" t="n">
        <v>10935</v>
      </c>
      <c r="G133" s="20" t="n">
        <v>13187</v>
      </c>
      <c r="H133" s="20" t="n">
        <v>3620</v>
      </c>
      <c r="I133" s="20" t="n">
        <v>3537</v>
      </c>
      <c r="J133" s="20" t="n">
        <v>4902</v>
      </c>
      <c r="K133" s="20" t="n">
        <v>7139</v>
      </c>
      <c r="L133" s="20" t="n">
        <v>10144</v>
      </c>
    </row>
    <row r="134">
      <c r="A134" s="18" t="inlineStr">
        <is>
          <t>해외사업환산조정</t>
        </is>
      </c>
      <c r="C134" s="20" t="n">
        <v>153849</v>
      </c>
      <c r="D134" s="20" t="n">
        <v>187557</v>
      </c>
      <c r="E134" s="20" t="n">
        <v>196438</v>
      </c>
      <c r="F134" s="20" t="n">
        <v>203871</v>
      </c>
      <c r="G134" s="20" t="n">
        <v>189510</v>
      </c>
      <c r="H134" s="20" t="n">
        <v>18139</v>
      </c>
      <c r="I134" s="20" t="n">
        <v>70085</v>
      </c>
      <c r="J134" s="20" t="n">
        <v>109101</v>
      </c>
      <c r="K134" s="20" t="n">
        <v>159819</v>
      </c>
      <c r="L134" s="20" t="n">
        <v>187557</v>
      </c>
    </row>
    <row r="135">
      <c r="A135" s="18" t="inlineStr">
        <is>
          <t>기타포괄손익누계액 합계</t>
        </is>
      </c>
      <c r="C135" s="20" t="n">
        <v>163814</v>
      </c>
      <c r="D135" s="20" t="n">
        <v>197702</v>
      </c>
      <c r="E135" s="20" t="n">
        <v>204975</v>
      </c>
      <c r="F135" s="20" t="n">
        <v>214806</v>
      </c>
      <c r="G135" s="20" t="n">
        <v>202697</v>
      </c>
      <c r="H135" s="20" t="n">
        <v>21759</v>
      </c>
      <c r="I135" s="20" t="n">
        <v>73623</v>
      </c>
      <c r="J135" s="20" t="n">
        <v>114003</v>
      </c>
      <c r="K135" s="20" t="n">
        <v>166958</v>
      </c>
      <c r="L135" s="20" t="n">
        <v>197702</v>
      </c>
    </row>
    <row r="136">
      <c r="A136" s="18" t="inlineStr">
        <is>
          <t>비지배지분</t>
        </is>
      </c>
      <c r="C136" s="20" t="n">
        <v>1110</v>
      </c>
      <c r="D136" s="20" t="n">
        <v>1245</v>
      </c>
      <c r="E136" s="20" t="n">
        <v>1389</v>
      </c>
      <c r="F136" s="20" t="n">
        <v>1552</v>
      </c>
      <c r="G136" s="20" t="n">
        <v>1555</v>
      </c>
      <c r="H136" s="20" t="n">
        <v>659</v>
      </c>
      <c r="I136" s="20" t="n">
        <v>986</v>
      </c>
      <c r="J136" s="20" t="n">
        <v>1230</v>
      </c>
      <c r="K136" s="20" t="n">
        <v>1215</v>
      </c>
      <c r="L136" s="20" t="n">
        <v>1245</v>
      </c>
    </row>
    <row r="137">
      <c r="A137" s="9" t="inlineStr">
        <is>
          <t>순자산 합계</t>
        </is>
      </c>
      <c r="C137" s="12" t="n">
        <v>825584</v>
      </c>
      <c r="D137" s="12" t="n">
        <v>869501</v>
      </c>
      <c r="E137" s="12" t="n">
        <v>867990</v>
      </c>
      <c r="F137" s="12" t="n">
        <v>875666</v>
      </c>
      <c r="G137" s="12" t="n">
        <v>843401</v>
      </c>
      <c r="H137" s="12" t="n">
        <v>616651</v>
      </c>
      <c r="I137" s="12" t="n">
        <v>741095</v>
      </c>
      <c r="J137" s="12" t="n">
        <v>802396</v>
      </c>
      <c r="K137" s="12" t="n">
        <v>883613</v>
      </c>
      <c r="L137" s="12" t="n">
        <v>869501</v>
      </c>
    </row>
    <row r="138">
      <c r="A138" s="9" t="inlineStr">
        <is>
          <t>부채·순자산 합계</t>
        </is>
      </c>
      <c r="C138" s="12" t="n">
        <v>897224</v>
      </c>
      <c r="D138" s="12" t="n">
        <v>938250</v>
      </c>
      <c r="E138" s="12" t="n">
        <v>937382</v>
      </c>
      <c r="F138" s="12" t="n">
        <v>949242</v>
      </c>
      <c r="G138" s="12" t="n">
        <v>915928</v>
      </c>
      <c r="H138" s="12" t="n">
        <v>705370</v>
      </c>
      <c r="I138" s="12" t="n">
        <v>826413</v>
      </c>
      <c r="J138" s="12" t="n">
        <v>871731</v>
      </c>
      <c r="K138" s="12" t="n">
        <v>958953</v>
      </c>
      <c r="L138" s="12" t="n">
        <v>938250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8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44" customWidth="1" min="12" max="12"/>
  </cols>
  <sheetData>
    <row r="1">
      <c r="A1" s="50" t="inlineStr">
        <is>
          <t>시마노 섹터·사업 데이터</t>
        </is>
      </c>
    </row>
    <row r="2">
      <c r="A2" s="51" t="inlineStr">
        <is>
          <t>2단계 보고서를 만들 때 모은 자료 · 월차 · 출처는 맨 오른쪽</t>
        </is>
      </c>
    </row>
    <row r="4">
      <c r="A4" s="52" t="inlineStr">
        <is>
          <t>this results · 9M cum</t>
        </is>
      </c>
      <c r="B4" s="52" t="n"/>
      <c r="C4" s="52" t="n"/>
      <c r="D4" s="52" t="n"/>
      <c r="E4" s="52" t="n"/>
      <c r="F4" s="52" t="n"/>
      <c r="G4" s="52" t="n"/>
      <c r="H4" s="52" t="n"/>
      <c r="I4" s="52" t="n"/>
      <c r="J4" s="52" t="n"/>
      <c r="K4" s="52" t="n"/>
      <c r="L4" s="52" t="n"/>
    </row>
    <row r="5">
      <c r="A5" s="53" t="inlineStr">
        <is>
          <t>항목</t>
        </is>
      </c>
      <c r="B5" s="53" t="inlineStr">
        <is>
          <t>값</t>
        </is>
      </c>
      <c r="L5" s="53" t="inlineStr">
        <is>
          <t>출처</t>
        </is>
      </c>
    </row>
    <row r="6">
      <c r="A6" s="54" t="inlineStr">
        <is>
          <t>매출</t>
        </is>
      </c>
      <c r="B6" s="55" t="n">
        <v>3752.48</v>
      </c>
      <c r="L6" s="56" t="inlineStr">
        <is>
          <t>2단계 보고서 자료(회사 설명회 자료·공시)</t>
        </is>
      </c>
    </row>
    <row r="7">
      <c r="A7" s="54" t="inlineStr">
        <is>
          <t>매출원가</t>
        </is>
      </c>
      <c r="B7" s="55" t="n">
        <v>2405.8</v>
      </c>
    </row>
    <row r="8">
      <c r="A8" s="54" t="inlineStr">
        <is>
          <t>매출총이익</t>
        </is>
      </c>
      <c r="B8" s="55" t="n">
        <v>1346.67</v>
      </c>
    </row>
    <row r="9">
      <c r="A9" s="54" t="inlineStr">
        <is>
          <t>판관비</t>
        </is>
      </c>
      <c r="B9" s="55" t="n">
        <v>901.35</v>
      </c>
    </row>
    <row r="10">
      <c r="A10" s="54" t="inlineStr">
        <is>
          <t>영업이익</t>
        </is>
      </c>
      <c r="B10" s="55" t="n">
        <v>445.32</v>
      </c>
    </row>
    <row r="11">
      <c r="A11" s="54" t="inlineStr">
        <is>
          <t>이자수익</t>
        </is>
      </c>
      <c r="B11" s="55" t="n">
        <v>94.67</v>
      </c>
    </row>
    <row r="12">
      <c r="A12" s="54" t="inlineStr">
        <is>
          <t>배당수익</t>
        </is>
      </c>
      <c r="B12" s="55" t="n">
        <v>5.78</v>
      </c>
    </row>
    <row r="13">
      <c r="A13" s="54" t="inlineStr">
        <is>
          <t>영업외수익_기타</t>
        </is>
      </c>
      <c r="B13" s="55" t="n">
        <v>11.56</v>
      </c>
    </row>
    <row r="14">
      <c r="A14" s="54" t="inlineStr">
        <is>
          <t>영업외수익</t>
        </is>
      </c>
      <c r="B14" s="55" t="n">
        <v>112.02</v>
      </c>
    </row>
    <row r="15">
      <c r="A15" s="54" t="inlineStr">
        <is>
          <t>이자비용</t>
        </is>
      </c>
      <c r="B15" s="55" t="n">
        <v>0.83</v>
      </c>
    </row>
    <row r="16">
      <c r="A16" s="54" t="inlineStr">
        <is>
          <t>환차손</t>
        </is>
      </c>
      <c r="B16" s="55" t="n">
        <v>17.1</v>
      </c>
    </row>
    <row r="17">
      <c r="A17" s="54" t="inlineStr">
        <is>
          <t>영업외비용_기타</t>
        </is>
      </c>
      <c r="B17" s="55" t="n">
        <v>20.75</v>
      </c>
    </row>
    <row r="18">
      <c r="A18" s="54" t="inlineStr">
        <is>
          <t>영업외비용</t>
        </is>
      </c>
      <c r="B18" s="55" t="n">
        <v>38.69</v>
      </c>
    </row>
    <row r="19">
      <c r="A19" s="54" t="inlineStr">
        <is>
          <t>경상이익</t>
        </is>
      </c>
      <c r="B19" s="55" t="n">
        <v>518.64</v>
      </c>
    </row>
    <row r="20">
      <c r="A20" s="54" t="inlineStr">
        <is>
          <t>투자유가증권매각익</t>
        </is>
      </c>
      <c r="B20" s="55" t="n">
        <v>31.43</v>
      </c>
    </row>
    <row r="21">
      <c r="A21" s="54" t="inlineStr">
        <is>
          <t>특별이익</t>
        </is>
      </c>
      <c r="B21" s="55" t="n">
        <v>31.43</v>
      </c>
    </row>
    <row r="22">
      <c r="A22" s="54" t="inlineStr">
        <is>
          <t>공장재건축관련비용</t>
        </is>
      </c>
      <c r="B22" s="55" t="n">
        <v>11.06</v>
      </c>
    </row>
    <row r="23">
      <c r="A23" s="54" t="inlineStr">
        <is>
          <t>특별손실</t>
        </is>
      </c>
      <c r="B23" s="55" t="n">
        <v>11.06</v>
      </c>
    </row>
    <row r="24">
      <c r="A24" s="54" t="inlineStr">
        <is>
          <t>세전이익</t>
        </is>
      </c>
      <c r="B24" s="55" t="n">
        <v>539.01</v>
      </c>
    </row>
    <row r="25">
      <c r="A25" s="54" t="inlineStr">
        <is>
          <t>법인세등</t>
        </is>
      </c>
      <c r="B25" s="55" t="n">
        <v>136.26</v>
      </c>
    </row>
    <row r="26">
      <c r="A26" s="54" t="inlineStr">
        <is>
          <t>순이익_지배</t>
        </is>
      </c>
      <c r="B26" s="55" t="n">
        <v>400.22</v>
      </c>
    </row>
    <row r="27">
      <c r="A27" s="54" t="inlineStr">
        <is>
          <t>EPS</t>
        </is>
      </c>
      <c r="B27" s="55" t="n">
        <v>469.12</v>
      </c>
    </row>
    <row r="28">
      <c r="A28" s="54" t="inlineStr">
        <is>
          <t>감가상각비</t>
        </is>
      </c>
      <c r="B28" s="55" t="n">
        <v>208.08</v>
      </c>
    </row>
    <row r="30">
      <c r="A30" s="52" t="inlineStr">
        <is>
          <t>this results · 9M cum prior</t>
        </is>
      </c>
      <c r="B30" s="52" t="n"/>
      <c r="C30" s="52" t="n"/>
      <c r="D30" s="52" t="n"/>
      <c r="E30" s="52" t="n"/>
      <c r="F30" s="52" t="n"/>
      <c r="G30" s="52" t="n"/>
      <c r="H30" s="52" t="n"/>
      <c r="I30" s="52" t="n"/>
      <c r="J30" s="52" t="n"/>
      <c r="K30" s="52" t="n"/>
      <c r="L30" s="52" t="n"/>
    </row>
    <row r="31">
      <c r="A31" s="53" t="inlineStr">
        <is>
          <t>항목</t>
        </is>
      </c>
      <c r="B31" s="53" t="inlineStr">
        <is>
          <t>값</t>
        </is>
      </c>
      <c r="L31" s="53" t="inlineStr">
        <is>
          <t>출처</t>
        </is>
      </c>
    </row>
    <row r="32">
      <c r="A32" s="54" t="inlineStr">
        <is>
          <t>매출</t>
        </is>
      </c>
      <c r="B32" s="55" t="n">
        <v>3510.2</v>
      </c>
      <c r="L32" s="56" t="inlineStr">
        <is>
          <t>2단계 보고서 자료(회사 설명회 자료·공시)</t>
        </is>
      </c>
    </row>
    <row r="33">
      <c r="A33" s="54" t="inlineStr">
        <is>
          <t>매출원가</t>
        </is>
      </c>
      <c r="B33" s="55" t="n">
        <v>2262.21</v>
      </c>
    </row>
    <row r="34">
      <c r="A34" s="54" t="inlineStr">
        <is>
          <t>매출총이익</t>
        </is>
      </c>
      <c r="B34" s="55" t="n">
        <v>1247.99</v>
      </c>
    </row>
    <row r="35">
      <c r="A35" s="54" t="inlineStr">
        <is>
          <t>판관비</t>
        </is>
      </c>
      <c r="B35" s="55" t="n">
        <v>882.33</v>
      </c>
    </row>
    <row r="36">
      <c r="A36" s="54" t="inlineStr">
        <is>
          <t>영업이익</t>
        </is>
      </c>
      <c r="B36" s="55" t="n">
        <v>365.65</v>
      </c>
    </row>
    <row r="37">
      <c r="A37" s="54" t="inlineStr">
        <is>
          <t>이자수익</t>
        </is>
      </c>
      <c r="B37" s="55" t="n">
        <v>128.54</v>
      </c>
    </row>
    <row r="38">
      <c r="A38" s="54" t="inlineStr">
        <is>
          <t>배당수익</t>
        </is>
      </c>
      <c r="B38" s="55" t="n">
        <v>7.23</v>
      </c>
    </row>
    <row r="39">
      <c r="A39" s="54" t="inlineStr">
        <is>
          <t>영업외수익_기타</t>
        </is>
      </c>
      <c r="B39" s="55" t="n">
        <v>9.609999999999999</v>
      </c>
    </row>
    <row r="40">
      <c r="A40" s="54" t="inlineStr">
        <is>
          <t>영업외수익</t>
        </is>
      </c>
      <c r="B40" s="55" t="n">
        <v>145.39</v>
      </c>
    </row>
    <row r="41">
      <c r="A41" s="54" t="inlineStr">
        <is>
          <t>이자비용</t>
        </is>
      </c>
      <c r="B41" s="55" t="n">
        <v>0.79</v>
      </c>
    </row>
    <row r="42">
      <c r="A42" s="54" t="inlineStr">
        <is>
          <t>환차손</t>
        </is>
      </c>
      <c r="B42" s="55" t="n">
        <v>183.87</v>
      </c>
    </row>
    <row r="43">
      <c r="A43" s="54" t="inlineStr">
        <is>
          <t>영업외비용_기타</t>
        </is>
      </c>
      <c r="B43" s="55" t="n">
        <v>23.89</v>
      </c>
    </row>
    <row r="44">
      <c r="A44" s="54" t="inlineStr">
        <is>
          <t>영업외비용</t>
        </is>
      </c>
      <c r="B44" s="55" t="n">
        <v>208.56</v>
      </c>
    </row>
    <row r="45">
      <c r="A45" s="54" t="inlineStr">
        <is>
          <t>경상이익</t>
        </is>
      </c>
      <c r="B45" s="55" t="n">
        <v>302.48</v>
      </c>
    </row>
    <row r="46">
      <c r="A46" s="54" t="inlineStr">
        <is>
          <t>특별이익</t>
        </is>
      </c>
      <c r="B46" s="57" t="n">
        <v>0</v>
      </c>
    </row>
    <row r="47">
      <c r="A47" s="54" t="inlineStr">
        <is>
          <t>공장재건축관련비용</t>
        </is>
      </c>
      <c r="B47" s="55" t="n">
        <v>1.41</v>
      </c>
    </row>
    <row r="48">
      <c r="A48" s="54" t="inlineStr">
        <is>
          <t>특별손실</t>
        </is>
      </c>
      <c r="B48" s="55" t="n">
        <v>1.41</v>
      </c>
    </row>
    <row r="49">
      <c r="A49" s="54" t="inlineStr">
        <is>
          <t>세전이익</t>
        </is>
      </c>
      <c r="B49" s="55" t="n">
        <v>301.07</v>
      </c>
    </row>
    <row r="50">
      <c r="A50" s="54" t="inlineStr">
        <is>
          <t>법인세등</t>
        </is>
      </c>
      <c r="B50" s="55" t="n">
        <v>139.02</v>
      </c>
    </row>
    <row r="51">
      <c r="A51" s="54" t="inlineStr">
        <is>
          <t>순이익_지배</t>
        </is>
      </c>
      <c r="B51" s="55" t="n">
        <v>161.05</v>
      </c>
    </row>
    <row r="52">
      <c r="A52" s="54" t="inlineStr">
        <is>
          <t>EPS</t>
        </is>
      </c>
      <c r="B52" s="55" t="n">
        <v>183.16</v>
      </c>
    </row>
    <row r="53">
      <c r="A53" s="54" t="inlineStr">
        <is>
          <t>감가상각비</t>
        </is>
      </c>
      <c r="B53" s="55" t="n">
        <v>197.42</v>
      </c>
    </row>
    <row r="55">
      <c r="A55" s="52" t="inlineStr">
        <is>
          <t>this results · 3Q standalone</t>
        </is>
      </c>
      <c r="B55" s="52" t="n"/>
      <c r="C55" s="52" t="n"/>
      <c r="D55" s="52" t="n"/>
      <c r="E55" s="52" t="n"/>
      <c r="F55" s="52" t="n"/>
      <c r="G55" s="52" t="n"/>
      <c r="H55" s="52" t="n"/>
      <c r="I55" s="52" t="n"/>
      <c r="J55" s="52" t="n"/>
      <c r="K55" s="52" t="n"/>
      <c r="L55" s="52" t="n"/>
    </row>
    <row r="56">
      <c r="A56" s="53" t="inlineStr">
        <is>
          <t>항목</t>
        </is>
      </c>
      <c r="B56" s="53" t="inlineStr">
        <is>
          <t>값</t>
        </is>
      </c>
      <c r="L56" s="53" t="inlineStr">
        <is>
          <t>출처</t>
        </is>
      </c>
    </row>
    <row r="57">
      <c r="A57" s="54" t="inlineStr">
        <is>
          <t>매출</t>
        </is>
      </c>
      <c r="B57" s="55" t="n">
        <v>1281.9</v>
      </c>
      <c r="L57" s="56" t="inlineStr">
        <is>
          <t>2단계 보고서 자료(회사 설명회 자료·공시)</t>
        </is>
      </c>
    </row>
    <row r="58">
      <c r="A58" s="54" t="inlineStr">
        <is>
          <t>매출_전년</t>
        </is>
      </c>
      <c r="B58" s="55" t="n">
        <v>1136.1</v>
      </c>
    </row>
    <row r="59">
      <c r="A59" s="54" t="inlineStr">
        <is>
          <t>영업이익</t>
        </is>
      </c>
      <c r="B59" s="55" t="n">
        <v>172.8</v>
      </c>
    </row>
    <row r="60">
      <c r="A60" s="54" t="inlineStr">
        <is>
          <t>영업이익_전년</t>
        </is>
      </c>
      <c r="B60" s="55" t="n">
        <v>84.40000000000001</v>
      </c>
    </row>
    <row r="61">
      <c r="A61" s="54" t="inlineStr">
        <is>
          <t>순이익</t>
        </is>
      </c>
      <c r="B61" s="55" t="n">
        <v>120.7</v>
      </c>
    </row>
    <row r="62">
      <c r="A62" s="54" t="inlineStr">
        <is>
          <t>순이익_전년</t>
        </is>
      </c>
      <c r="B62" s="55" t="n">
        <v>121.4</v>
      </c>
    </row>
    <row r="63">
      <c r="A63" s="54" t="inlineStr">
        <is>
          <t>EPS_근사</t>
        </is>
      </c>
      <c r="B63" s="55" t="n">
        <v>143.29</v>
      </c>
    </row>
    <row r="64">
      <c r="A64" s="54" t="inlineStr">
        <is>
          <t>EPS_전년</t>
        </is>
      </c>
      <c r="B64" s="55" t="n">
        <v>138.26</v>
      </c>
    </row>
    <row r="66">
      <c r="A66" s="52" t="inlineStr">
        <is>
          <t>this results · bs 9m</t>
        </is>
      </c>
      <c r="B66" s="52" t="n"/>
      <c r="C66" s="52" t="n"/>
      <c r="D66" s="52" t="n"/>
      <c r="E66" s="52" t="n"/>
      <c r="F66" s="52" t="n"/>
      <c r="G66" s="52" t="n"/>
      <c r="H66" s="52" t="n"/>
      <c r="I66" s="52" t="n"/>
      <c r="J66" s="52" t="n"/>
      <c r="K66" s="52" t="n"/>
      <c r="L66" s="52" t="n"/>
    </row>
    <row r="67">
      <c r="A67" s="53" t="inlineStr">
        <is>
          <t>항목</t>
        </is>
      </c>
      <c r="B67" s="53" t="inlineStr">
        <is>
          <t>값</t>
        </is>
      </c>
      <c r="L67" s="53" t="inlineStr">
        <is>
          <t>출처</t>
        </is>
      </c>
    </row>
    <row r="68">
      <c r="A68" s="54" t="inlineStr">
        <is>
          <t>현금예금</t>
        </is>
      </c>
      <c r="B68" s="55" t="n">
        <v>4317.69</v>
      </c>
      <c r="L68" s="56" t="inlineStr">
        <is>
          <t>2단계 보고서 자료(회사 설명회 자료·공시)</t>
        </is>
      </c>
    </row>
    <row r="69">
      <c r="A69" s="54" t="inlineStr">
        <is>
          <t>총자산</t>
        </is>
      </c>
      <c r="B69" s="55" t="n">
        <v>9159.280000000001</v>
      </c>
    </row>
    <row r="70">
      <c r="A70" s="54" t="inlineStr">
        <is>
          <t>순자산</t>
        </is>
      </c>
      <c r="B70" s="55" t="n">
        <v>8434.01</v>
      </c>
    </row>
    <row r="71">
      <c r="A71" s="54" t="inlineStr">
        <is>
          <t>자기자본비율</t>
        </is>
      </c>
      <c r="B71" s="55" t="n">
        <v>91.90000000000001</v>
      </c>
    </row>
    <row r="72">
      <c r="A72" s="54" t="inlineStr">
        <is>
          <t>재고(상품·제품+재공품+원재료)</t>
        </is>
      </c>
      <c r="B72" s="55" t="n">
        <v>1366.57</v>
      </c>
    </row>
    <row r="73">
      <c r="A73" s="54" t="inlineStr">
        <is>
          <t>재고_전기말</t>
        </is>
      </c>
      <c r="B73" s="55" t="n">
        <v>1319.96</v>
      </c>
    </row>
    <row r="74">
      <c r="A74" s="54" t="inlineStr">
        <is>
          <t>건물</t>
        </is>
      </c>
      <c r="B74" s="55" t="n">
        <v>1253</v>
      </c>
    </row>
    <row r="75">
      <c r="A75" s="54" t="inlineStr">
        <is>
          <t>건설가계정</t>
        </is>
      </c>
      <c r="B75" s="55" t="n">
        <v>188.82</v>
      </c>
    </row>
    <row r="77">
      <c r="A77" s="52" t="inlineStr">
        <is>
          <t>컨센서스 3Q pre</t>
        </is>
      </c>
      <c r="B77" s="52" t="n"/>
      <c r="C77" s="52" t="n"/>
      <c r="D77" s="52" t="n"/>
      <c r="E77" s="52" t="n"/>
      <c r="F77" s="52" t="n"/>
      <c r="G77" s="52" t="n"/>
      <c r="H77" s="52" t="n"/>
      <c r="I77" s="52" t="n"/>
      <c r="J77" s="52" t="n"/>
      <c r="K77" s="52" t="n"/>
      <c r="L77" s="52" t="n"/>
    </row>
    <row r="78">
      <c r="A78" s="53" t="inlineStr">
        <is>
          <t>항목</t>
        </is>
      </c>
      <c r="B78" s="53" t="inlineStr">
        <is>
          <t>값</t>
        </is>
      </c>
      <c r="L78" s="53" t="inlineStr">
        <is>
          <t>출처</t>
        </is>
      </c>
    </row>
    <row r="79">
      <c r="A79" s="54" t="inlineStr">
        <is>
          <t>매출_평균</t>
        </is>
      </c>
      <c r="B79" s="55" t="n">
        <v>1197.2</v>
      </c>
      <c r="L79" s="56" t="inlineStr">
        <is>
          <t>야후 파이낸스 컨센서스(26.10.27 조회, 발표 직전 값)</t>
        </is>
      </c>
    </row>
    <row r="80">
      <c r="A80" s="54" t="inlineStr">
        <is>
          <t>매출_n</t>
        </is>
      </c>
      <c r="B80" s="57" t="n">
        <v>6</v>
      </c>
    </row>
    <row r="81">
      <c r="A81" s="54" t="inlineStr">
        <is>
          <t>EPS_평균</t>
        </is>
      </c>
      <c r="B81" s="55" t="n">
        <v>123.29</v>
      </c>
    </row>
    <row r="82">
      <c r="A82" s="54" t="inlineStr">
        <is>
          <t>EPS 애널리스트 수</t>
        </is>
      </c>
      <c r="B82" s="57" t="n">
        <v>3</v>
      </c>
    </row>
    <row r="84">
      <c r="A84" s="52" t="inlineStr">
        <is>
          <t>컨센서스 · 4Q26</t>
        </is>
      </c>
      <c r="B84" s="52" t="n"/>
      <c r="C84" s="52" t="n"/>
      <c r="D84" s="52" t="n"/>
      <c r="E84" s="52" t="n"/>
      <c r="F84" s="52" t="n"/>
      <c r="G84" s="52" t="n"/>
      <c r="H84" s="52" t="n"/>
      <c r="I84" s="52" t="n"/>
      <c r="J84" s="52" t="n"/>
      <c r="K84" s="52" t="n"/>
      <c r="L84" s="52" t="n"/>
    </row>
    <row r="85">
      <c r="A85" s="53" t="inlineStr">
        <is>
          <t>항목</t>
        </is>
      </c>
      <c r="B85" s="53" t="inlineStr">
        <is>
          <t>값</t>
        </is>
      </c>
      <c r="L85" s="53" t="inlineStr">
        <is>
          <t>출처</t>
        </is>
      </c>
    </row>
    <row r="86">
      <c r="A86" s="54" t="inlineStr">
        <is>
          <t>매출</t>
        </is>
      </c>
      <c r="B86" s="55" t="n">
        <v>1247.1</v>
      </c>
      <c r="L86" s="56" t="inlineStr">
        <is>
          <t>2단계 보고서 자료(회사 설명회 자료·공시)</t>
        </is>
      </c>
    </row>
    <row r="87">
      <c r="A87" s="54" t="inlineStr">
        <is>
          <t>EPS</t>
        </is>
      </c>
      <c r="B87" s="55" t="n">
        <v>119.03</v>
      </c>
    </row>
    <row r="88">
      <c r="A88" s="54" t="inlineStr">
        <is>
          <t>애널리스트 수</t>
        </is>
      </c>
      <c r="B88" s="57" t="n">
        <v>6</v>
      </c>
    </row>
    <row r="90">
      <c r="A90" s="52" t="inlineStr">
        <is>
          <t>컨센서스 · FY2026</t>
        </is>
      </c>
      <c r="B90" s="52" t="n"/>
      <c r="C90" s="52" t="n"/>
      <c r="D90" s="52" t="n"/>
      <c r="E90" s="52" t="n"/>
      <c r="F90" s="52" t="n"/>
      <c r="G90" s="52" t="n"/>
      <c r="H90" s="52" t="n"/>
      <c r="I90" s="52" t="n"/>
      <c r="J90" s="52" t="n"/>
      <c r="K90" s="52" t="n"/>
      <c r="L90" s="52" t="n"/>
    </row>
    <row r="91">
      <c r="A91" s="53" t="inlineStr">
        <is>
          <t>항목</t>
        </is>
      </c>
      <c r="B91" s="53" t="inlineStr">
        <is>
          <t>값</t>
        </is>
      </c>
      <c r="L91" s="53" t="inlineStr">
        <is>
          <t>출처</t>
        </is>
      </c>
    </row>
    <row r="92">
      <c r="A92" s="54" t="inlineStr">
        <is>
          <t>매출</t>
        </is>
      </c>
      <c r="B92" s="55" t="n">
        <v>4914.5</v>
      </c>
      <c r="L92" s="56" t="inlineStr">
        <is>
          <t>2단계 보고서 자료(회사 설명회 자료·공시)</t>
        </is>
      </c>
    </row>
    <row r="93">
      <c r="A93" s="54" t="inlineStr">
        <is>
          <t>EPS</t>
        </is>
      </c>
      <c r="B93" s="55" t="n">
        <v>570.13</v>
      </c>
    </row>
    <row r="94">
      <c r="A94" s="54" t="inlineStr">
        <is>
          <t>EPS 애널리스트 수</t>
        </is>
      </c>
      <c r="B94" s="57" t="n">
        <v>10</v>
      </c>
    </row>
    <row r="95">
      <c r="A95" s="54" t="inlineStr">
        <is>
          <t>매출_n</t>
        </is>
      </c>
      <c r="B95" s="57" t="n">
        <v>11</v>
      </c>
    </row>
    <row r="97">
      <c r="A97" s="52" t="inlineStr">
        <is>
          <t>컨센서스 · FY2027</t>
        </is>
      </c>
      <c r="B97" s="52" t="n"/>
      <c r="C97" s="52" t="n"/>
      <c r="D97" s="52" t="n"/>
      <c r="E97" s="52" t="n"/>
      <c r="F97" s="52" t="n"/>
      <c r="G97" s="52" t="n"/>
      <c r="H97" s="52" t="n"/>
      <c r="I97" s="52" t="n"/>
      <c r="J97" s="52" t="n"/>
      <c r="K97" s="52" t="n"/>
      <c r="L97" s="52" t="n"/>
    </row>
    <row r="98">
      <c r="A98" s="53" t="inlineStr">
        <is>
          <t>항목</t>
        </is>
      </c>
      <c r="B98" s="53" t="inlineStr">
        <is>
          <t>값</t>
        </is>
      </c>
      <c r="L98" s="53" t="inlineStr">
        <is>
          <t>출처</t>
        </is>
      </c>
    </row>
    <row r="99">
      <c r="A99" s="54" t="inlineStr">
        <is>
          <t>매출</t>
        </is>
      </c>
      <c r="B99" s="55" t="n">
        <v>5251.3</v>
      </c>
      <c r="L99" s="56" t="inlineStr">
        <is>
          <t>2단계 보고서 자료(회사 설명회 자료·공시)</t>
        </is>
      </c>
    </row>
    <row r="100">
      <c r="A100" s="54" t="inlineStr">
        <is>
          <t>EPS</t>
        </is>
      </c>
      <c r="B100" s="55" t="n">
        <v>731.52</v>
      </c>
    </row>
    <row r="101">
      <c r="A101" s="54" t="inlineStr">
        <is>
          <t>애널리스트 수</t>
        </is>
      </c>
      <c r="B101" s="57" t="n">
        <v>11</v>
      </c>
    </row>
    <row r="103">
      <c r="A103" s="52" t="inlineStr">
        <is>
          <t>consensus · 목표주가</t>
        </is>
      </c>
      <c r="B103" s="52" t="n"/>
      <c r="C103" s="52" t="n"/>
      <c r="D103" s="52" t="n"/>
      <c r="E103" s="52" t="n"/>
      <c r="F103" s="52" t="n"/>
      <c r="G103" s="52" t="n"/>
      <c r="H103" s="52" t="n"/>
      <c r="I103" s="52" t="n"/>
      <c r="J103" s="52" t="n"/>
      <c r="K103" s="52" t="n"/>
      <c r="L103" s="52" t="n"/>
    </row>
    <row r="104">
      <c r="A104" s="53" t="inlineStr">
        <is>
          <t>항목</t>
        </is>
      </c>
      <c r="B104" s="53" t="inlineStr">
        <is>
          <t>값</t>
        </is>
      </c>
      <c r="L104" s="53" t="inlineStr">
        <is>
          <t>출처</t>
        </is>
      </c>
    </row>
    <row r="105">
      <c r="A105" s="54" t="inlineStr">
        <is>
          <t>평균</t>
        </is>
      </c>
      <c r="B105" s="55" t="n">
        <v>19314.5</v>
      </c>
      <c r="L105" s="56" t="inlineStr">
        <is>
          <t>2단계 보고서 자료(회사 설명회 자료·공시)</t>
        </is>
      </c>
    </row>
    <row r="106">
      <c r="A106" s="54" t="inlineStr">
        <is>
          <t>중간</t>
        </is>
      </c>
      <c r="B106" s="57" t="n">
        <v>19750</v>
      </c>
    </row>
    <row r="107">
      <c r="A107" s="54" t="inlineStr">
        <is>
          <t>최고</t>
        </is>
      </c>
      <c r="B107" s="57" t="n">
        <v>23500</v>
      </c>
    </row>
    <row r="108">
      <c r="A108" s="54" t="inlineStr">
        <is>
          <t>최저</t>
        </is>
      </c>
      <c r="B108" s="57" t="n">
        <v>16000</v>
      </c>
    </row>
    <row r="109">
      <c r="A109" s="54" t="inlineStr">
        <is>
          <t>애널리스트 수</t>
        </is>
      </c>
      <c r="B109" s="57" t="n">
        <v>10</v>
      </c>
    </row>
    <row r="111">
      <c r="A111" s="52" t="inlineStr">
        <is>
          <t>annual EPS dps</t>
        </is>
      </c>
      <c r="B111" s="52" t="n"/>
      <c r="C111" s="52" t="n"/>
      <c r="D111" s="52" t="n"/>
      <c r="E111" s="52" t="n"/>
      <c r="F111" s="52" t="n"/>
      <c r="G111" s="52" t="n"/>
      <c r="H111" s="52" t="n"/>
      <c r="I111" s="52" t="n"/>
      <c r="J111" s="52" t="n"/>
      <c r="K111" s="52" t="n"/>
      <c r="L111" s="52" t="n"/>
    </row>
    <row r="112">
      <c r="A112" s="53" t="inlineStr">
        <is>
          <t>항목</t>
        </is>
      </c>
      <c r="B112" s="53" t="inlineStr">
        <is>
          <t>2016</t>
        </is>
      </c>
      <c r="C112" s="53" t="inlineStr">
        <is>
          <t>2017</t>
        </is>
      </c>
      <c r="D112" s="53" t="inlineStr">
        <is>
          <t>2018</t>
        </is>
      </c>
      <c r="E112" s="53" t="inlineStr">
        <is>
          <t>2019</t>
        </is>
      </c>
      <c r="F112" s="53" t="inlineStr">
        <is>
          <t>2020</t>
        </is>
      </c>
      <c r="G112" s="53" t="inlineStr">
        <is>
          <t>2021</t>
        </is>
      </c>
      <c r="H112" s="53" t="inlineStr">
        <is>
          <t>2022</t>
        </is>
      </c>
      <c r="I112" s="53" t="inlineStr">
        <is>
          <t>2023</t>
        </is>
      </c>
      <c r="J112" s="53" t="inlineStr">
        <is>
          <t>2024</t>
        </is>
      </c>
      <c r="K112" s="53" t="inlineStr">
        <is>
          <t>2025</t>
        </is>
      </c>
      <c r="L112" s="53" t="inlineStr">
        <is>
          <t>출처</t>
        </is>
      </c>
    </row>
    <row r="113">
      <c r="A113" s="54" t="inlineStr">
        <is>
          <t>labels</t>
        </is>
      </c>
      <c r="B113" s="57" t="n">
        <v>2016</v>
      </c>
      <c r="C113" s="57" t="n">
        <v>2017</v>
      </c>
      <c r="D113" s="57" t="n">
        <v>2018</v>
      </c>
      <c r="E113" s="57" t="n">
        <v>2019</v>
      </c>
      <c r="F113" s="57" t="n">
        <v>2020</v>
      </c>
      <c r="G113" s="57" t="n">
        <v>2021</v>
      </c>
      <c r="H113" s="57" t="n">
        <v>2022</v>
      </c>
      <c r="I113" s="57" t="n">
        <v>2023</v>
      </c>
      <c r="J113" s="57" t="n">
        <v>2024</v>
      </c>
      <c r="K113" s="57" t="n">
        <v>2025</v>
      </c>
      <c r="L113" s="56" t="inlineStr">
        <is>
          <t>2단계 보고서 자료(회사 설명회 자료·공시)</t>
        </is>
      </c>
    </row>
    <row r="114">
      <c r="A114" s="54" t="inlineStr">
        <is>
          <t>EPS</t>
        </is>
      </c>
      <c r="B114" s="55" t="n">
        <v>549.76</v>
      </c>
      <c r="C114" s="55" t="n">
        <v>414.69</v>
      </c>
      <c r="D114" s="55" t="n">
        <v>581.77</v>
      </c>
      <c r="E114" s="55" t="n">
        <v>559.15</v>
      </c>
      <c r="F114" s="55" t="n">
        <v>684.71</v>
      </c>
      <c r="G114" s="55" t="n">
        <v>1252.62</v>
      </c>
      <c r="H114" s="55" t="n">
        <v>1408.22</v>
      </c>
      <c r="I114" s="55" t="n">
        <v>676.77</v>
      </c>
      <c r="J114" s="55" t="n">
        <v>853.36</v>
      </c>
      <c r="K114" s="55" t="n">
        <v>388.17</v>
      </c>
    </row>
    <row r="115">
      <c r="A115" s="54" t="inlineStr">
        <is>
          <t>dps</t>
        </is>
      </c>
      <c r="B115" s="57" t="n">
        <v>155</v>
      </c>
      <c r="C115" s="57" t="n">
        <v>155</v>
      </c>
      <c r="D115" s="57" t="n">
        <v>155</v>
      </c>
      <c r="E115" s="57" t="n">
        <v>155</v>
      </c>
      <c r="F115" s="57" t="n">
        <v>355</v>
      </c>
      <c r="G115" s="57" t="n">
        <v>235</v>
      </c>
      <c r="H115" s="57" t="n">
        <v>260</v>
      </c>
      <c r="I115" s="57" t="n">
        <v>285</v>
      </c>
      <c r="J115" s="57" t="n">
        <v>309</v>
      </c>
      <c r="K115" s="57" t="n">
        <v>339</v>
      </c>
    </row>
    <row r="116">
      <c r="A116" s="54" t="inlineStr">
        <is>
          <t>ordinary</t>
        </is>
      </c>
      <c r="B116" s="55" t="n">
        <v>700</v>
      </c>
      <c r="C116" s="55" t="n">
        <v>557.5</v>
      </c>
      <c r="D116" s="55" t="n">
        <v>735.9</v>
      </c>
      <c r="E116" s="55" t="n">
        <v>694.7</v>
      </c>
      <c r="F116" s="55" t="n">
        <v>814.7</v>
      </c>
      <c r="G116" s="55" t="n">
        <v>1525.6</v>
      </c>
      <c r="H116" s="55" t="n">
        <v>1765.7</v>
      </c>
      <c r="I116" s="55" t="n">
        <v>1033.7</v>
      </c>
      <c r="J116" s="55" t="n">
        <v>986.7</v>
      </c>
      <c r="K116" s="55" t="n">
        <v>470.3</v>
      </c>
    </row>
    <row r="118">
      <c r="A118" s="52" t="inlineStr">
        <is>
          <t>segments_q · 2024.1Q</t>
        </is>
      </c>
      <c r="B118" s="52" t="n"/>
      <c r="C118" s="52" t="n"/>
      <c r="D118" s="52" t="n"/>
      <c r="E118" s="52" t="n"/>
      <c r="F118" s="52" t="n"/>
      <c r="G118" s="52" t="n"/>
      <c r="H118" s="52" t="n"/>
      <c r="I118" s="52" t="n"/>
      <c r="J118" s="52" t="n"/>
      <c r="K118" s="52" t="n"/>
      <c r="L118" s="52" t="n"/>
    </row>
    <row r="119">
      <c r="A119" s="53" t="inlineStr">
        <is>
          <t>항목</t>
        </is>
      </c>
      <c r="B119" s="53" t="inlineStr">
        <is>
          <t>값</t>
        </is>
      </c>
      <c r="L119" s="53" t="inlineStr">
        <is>
          <t>출처</t>
        </is>
      </c>
    </row>
    <row r="120">
      <c r="A120" s="54" t="inlineStr">
        <is>
          <t>자전거부품_매출</t>
        </is>
      </c>
      <c r="B120" s="55" t="n">
        <v>760.9</v>
      </c>
      <c r="L120" s="56" t="inlineStr">
        <is>
          <t>2단계 보고서 자료(회사 설명회 자료·공시)</t>
        </is>
      </c>
    </row>
    <row r="121">
      <c r="A121" s="54" t="inlineStr">
        <is>
          <t>낚시용품_매출</t>
        </is>
      </c>
      <c r="B121" s="55" t="n">
        <v>243.7</v>
      </c>
    </row>
    <row r="122">
      <c r="A122" s="54" t="inlineStr">
        <is>
          <t>자전거부품_영업이익</t>
        </is>
      </c>
      <c r="B122" s="55" t="n">
        <v>104.7</v>
      </c>
    </row>
    <row r="123">
      <c r="A123" s="54" t="inlineStr">
        <is>
          <t>낚시용품_영업이익</t>
        </is>
      </c>
      <c r="B123" s="55" t="n">
        <v>29.6</v>
      </c>
    </row>
    <row r="125">
      <c r="A125" s="52" t="inlineStr">
        <is>
          <t>segments_q · 2024.2Q</t>
        </is>
      </c>
      <c r="B125" s="52" t="n"/>
      <c r="C125" s="52" t="n"/>
      <c r="D125" s="52" t="n"/>
      <c r="E125" s="52" t="n"/>
      <c r="F125" s="52" t="n"/>
      <c r="G125" s="52" t="n"/>
      <c r="H125" s="52" t="n"/>
      <c r="I125" s="52" t="n"/>
      <c r="J125" s="52" t="n"/>
      <c r="K125" s="52" t="n"/>
      <c r="L125" s="52" t="n"/>
    </row>
    <row r="126">
      <c r="A126" s="53" t="inlineStr">
        <is>
          <t>항목</t>
        </is>
      </c>
      <c r="B126" s="53" t="inlineStr">
        <is>
          <t>값</t>
        </is>
      </c>
      <c r="L126" s="53" t="inlineStr">
        <is>
          <t>출처</t>
        </is>
      </c>
    </row>
    <row r="127">
      <c r="A127" s="54" t="inlineStr">
        <is>
          <t>자전거부품_매출</t>
        </is>
      </c>
      <c r="B127" s="55" t="n">
        <v>865</v>
      </c>
      <c r="L127" s="56" t="inlineStr">
        <is>
          <t>2단계 보고서 자료(회사 설명회 자료·공시)</t>
        </is>
      </c>
    </row>
    <row r="128">
      <c r="A128" s="54" t="inlineStr">
        <is>
          <t>낚시용품_매출</t>
        </is>
      </c>
      <c r="B128" s="55" t="n">
        <v>297</v>
      </c>
    </row>
    <row r="129">
      <c r="A129" s="54" t="inlineStr">
        <is>
          <t>자전거부품_영업이익</t>
        </is>
      </c>
      <c r="B129" s="55" t="n">
        <v>138.6</v>
      </c>
    </row>
    <row r="130">
      <c r="A130" s="54" t="inlineStr">
        <is>
          <t>낚시용품_영업이익</t>
        </is>
      </c>
      <c r="B130" s="55" t="n">
        <v>36.9</v>
      </c>
    </row>
    <row r="132">
      <c r="A132" s="52" t="inlineStr">
        <is>
          <t>segments_q · 2024.3Q</t>
        </is>
      </c>
      <c r="B132" s="52" t="n"/>
      <c r="C132" s="52" t="n"/>
      <c r="D132" s="52" t="n"/>
      <c r="E132" s="52" t="n"/>
      <c r="F132" s="52" t="n"/>
      <c r="G132" s="52" t="n"/>
      <c r="H132" s="52" t="n"/>
      <c r="I132" s="52" t="n"/>
      <c r="J132" s="52" t="n"/>
      <c r="K132" s="52" t="n"/>
      <c r="L132" s="52" t="n"/>
    </row>
    <row r="133">
      <c r="A133" s="53" t="inlineStr">
        <is>
          <t>항목</t>
        </is>
      </c>
      <c r="B133" s="53" t="inlineStr">
        <is>
          <t>값</t>
        </is>
      </c>
      <c r="L133" s="53" t="inlineStr">
        <is>
          <t>출처</t>
        </is>
      </c>
    </row>
    <row r="134">
      <c r="A134" s="54" t="inlineStr">
        <is>
          <t>자전거부품_매출</t>
        </is>
      </c>
      <c r="B134" s="55" t="n">
        <v>912.7</v>
      </c>
      <c r="L134" s="56" t="inlineStr">
        <is>
          <t>2단계 보고서 자료(회사 설명회 자료·공시)</t>
        </is>
      </c>
    </row>
    <row r="135">
      <c r="A135" s="54" t="inlineStr">
        <is>
          <t>낚시용품_매출</t>
        </is>
      </c>
      <c r="B135" s="55" t="n">
        <v>266.2</v>
      </c>
    </row>
    <row r="136">
      <c r="A136" s="54" t="inlineStr">
        <is>
          <t>자전거부품_영업이익</t>
        </is>
      </c>
      <c r="B136" s="55" t="n">
        <v>170.1</v>
      </c>
    </row>
    <row r="137">
      <c r="A137" s="54" t="inlineStr">
        <is>
          <t>낚시용품_영업이익</t>
        </is>
      </c>
      <c r="B137" s="55" t="n">
        <v>26.7</v>
      </c>
    </row>
    <row r="139">
      <c r="A139" s="52" t="inlineStr">
        <is>
          <t>segments_q · 2024.4Q</t>
        </is>
      </c>
      <c r="B139" s="52" t="n"/>
      <c r="C139" s="52" t="n"/>
      <c r="D139" s="52" t="n"/>
      <c r="E139" s="52" t="n"/>
      <c r="F139" s="52" t="n"/>
      <c r="G139" s="52" t="n"/>
      <c r="H139" s="52" t="n"/>
      <c r="I139" s="52" t="n"/>
      <c r="J139" s="52" t="n"/>
      <c r="K139" s="52" t="n"/>
      <c r="L139" s="52" t="n"/>
    </row>
    <row r="140">
      <c r="A140" s="53" t="inlineStr">
        <is>
          <t>항목</t>
        </is>
      </c>
      <c r="B140" s="53" t="inlineStr">
        <is>
          <t>값</t>
        </is>
      </c>
      <c r="L140" s="53" t="inlineStr">
        <is>
          <t>출처</t>
        </is>
      </c>
    </row>
    <row r="141">
      <c r="A141" s="54" t="inlineStr">
        <is>
          <t>자전거부품_매출</t>
        </is>
      </c>
      <c r="B141" s="55" t="n">
        <v>916.9</v>
      </c>
      <c r="L141" s="56" t="inlineStr">
        <is>
          <t>2단계 보고서 자료(회사 설명회 자료·공시)</t>
        </is>
      </c>
    </row>
    <row r="142">
      <c r="A142" s="54" t="inlineStr">
        <is>
          <t>낚시용품_매출</t>
        </is>
      </c>
      <c r="B142" s="55" t="n">
        <v>243</v>
      </c>
    </row>
    <row r="143">
      <c r="A143" s="54" t="inlineStr">
        <is>
          <t>자전거부품_영업이익</t>
        </is>
      </c>
      <c r="B143" s="55" t="n">
        <v>128.2</v>
      </c>
    </row>
    <row r="144">
      <c r="A144" s="54" t="inlineStr">
        <is>
          <t>낚시용품_영업이익</t>
        </is>
      </c>
      <c r="B144" s="55" t="n">
        <v>16.1</v>
      </c>
    </row>
    <row r="146">
      <c r="A146" s="52" t="inlineStr">
        <is>
          <t>segments_q · 2025.1Q</t>
        </is>
      </c>
      <c r="B146" s="52" t="n"/>
      <c r="C146" s="52" t="n"/>
      <c r="D146" s="52" t="n"/>
      <c r="E146" s="52" t="n"/>
      <c r="F146" s="52" t="n"/>
      <c r="G146" s="52" t="n"/>
      <c r="H146" s="52" t="n"/>
      <c r="I146" s="52" t="n"/>
      <c r="J146" s="52" t="n"/>
      <c r="K146" s="52" t="n"/>
      <c r="L146" s="52" t="n"/>
    </row>
    <row r="147">
      <c r="A147" s="53" t="inlineStr">
        <is>
          <t>항목</t>
        </is>
      </c>
      <c r="B147" s="53" t="inlineStr">
        <is>
          <t>값</t>
        </is>
      </c>
      <c r="L147" s="53" t="inlineStr">
        <is>
          <t>출처</t>
        </is>
      </c>
    </row>
    <row r="148">
      <c r="A148" s="54" t="inlineStr">
        <is>
          <t>자전거부품_매출</t>
        </is>
      </c>
      <c r="B148" s="55" t="n">
        <v>879.7</v>
      </c>
      <c r="L148" s="56" t="inlineStr">
        <is>
          <t>2단계 보고서 자료(회사 설명회 자료·공시)</t>
        </is>
      </c>
    </row>
    <row r="149">
      <c r="A149" s="54" t="inlineStr">
        <is>
          <t>낚시용품_매출</t>
        </is>
      </c>
      <c r="B149" s="55" t="n">
        <v>254.7</v>
      </c>
    </row>
    <row r="150">
      <c r="A150" s="54" t="inlineStr">
        <is>
          <t>자전거부품_영업이익</t>
        </is>
      </c>
      <c r="B150" s="55" t="n">
        <v>145</v>
      </c>
    </row>
    <row r="151">
      <c r="A151" s="54" t="inlineStr">
        <is>
          <t>낚시용품_영업이익</t>
        </is>
      </c>
      <c r="B151" s="55" t="n">
        <v>16.4</v>
      </c>
    </row>
    <row r="153">
      <c r="A153" s="52" t="inlineStr">
        <is>
          <t>segments_q · 2025.2Q</t>
        </is>
      </c>
      <c r="B153" s="52" t="n"/>
      <c r="C153" s="52" t="n"/>
      <c r="D153" s="52" t="n"/>
      <c r="E153" s="52" t="n"/>
      <c r="F153" s="52" t="n"/>
      <c r="G153" s="52" t="n"/>
      <c r="H153" s="52" t="n"/>
      <c r="I153" s="52" t="n"/>
      <c r="J153" s="52" t="n"/>
      <c r="K153" s="52" t="n"/>
      <c r="L153" s="52" t="n"/>
    </row>
    <row r="154">
      <c r="A154" s="53" t="inlineStr">
        <is>
          <t>항목</t>
        </is>
      </c>
      <c r="B154" s="53" t="inlineStr">
        <is>
          <t>값</t>
        </is>
      </c>
      <c r="L154" s="53" t="inlineStr">
        <is>
          <t>출처</t>
        </is>
      </c>
    </row>
    <row r="155">
      <c r="A155" s="54" t="inlineStr">
        <is>
          <t>자전거부품_매출</t>
        </is>
      </c>
      <c r="B155" s="55" t="n">
        <v>934.5</v>
      </c>
      <c r="L155" s="56" t="inlineStr">
        <is>
          <t>2단계 보고서 자료(회사 설명회 자료·공시)</t>
        </is>
      </c>
    </row>
    <row r="156">
      <c r="A156" s="54" t="inlineStr">
        <is>
          <t>낚시용품_매출</t>
        </is>
      </c>
      <c r="B156" s="55" t="n">
        <v>302.8</v>
      </c>
    </row>
    <row r="157">
      <c r="A157" s="54" t="inlineStr">
        <is>
          <t>자전거부품_영업이익</t>
        </is>
      </c>
      <c r="B157" s="55" t="n">
        <v>91.3</v>
      </c>
    </row>
    <row r="158">
      <c r="A158" s="54" t="inlineStr">
        <is>
          <t>낚시용품_영업이익</t>
        </is>
      </c>
      <c r="B158" s="55" t="n">
        <v>28.6</v>
      </c>
    </row>
    <row r="160">
      <c r="A160" s="52" t="inlineStr">
        <is>
          <t>segments_q · 2025.3Q</t>
        </is>
      </c>
      <c r="B160" s="52" t="n"/>
      <c r="C160" s="52" t="n"/>
      <c r="D160" s="52" t="n"/>
      <c r="E160" s="52" t="n"/>
      <c r="F160" s="52" t="n"/>
      <c r="G160" s="52" t="n"/>
      <c r="H160" s="52" t="n"/>
      <c r="I160" s="52" t="n"/>
      <c r="J160" s="52" t="n"/>
      <c r="K160" s="52" t="n"/>
      <c r="L160" s="52" t="n"/>
    </row>
    <row r="161">
      <c r="A161" s="53" t="inlineStr">
        <is>
          <t>항목</t>
        </is>
      </c>
      <c r="B161" s="53" t="inlineStr">
        <is>
          <t>값</t>
        </is>
      </c>
      <c r="L161" s="53" t="inlineStr">
        <is>
          <t>출처</t>
        </is>
      </c>
    </row>
    <row r="162">
      <c r="A162" s="54" t="inlineStr">
        <is>
          <t>자전거부품_매출</t>
        </is>
      </c>
      <c r="B162" s="55" t="n">
        <v>848.2</v>
      </c>
      <c r="L162" s="56" t="inlineStr">
        <is>
          <t>2단계 보고서 자료(회사 설명회 자료·공시)</t>
        </is>
      </c>
    </row>
    <row r="163">
      <c r="A163" s="54" t="inlineStr">
        <is>
          <t>낚시용품_매출</t>
        </is>
      </c>
      <c r="B163" s="55" t="n">
        <v>286.8</v>
      </c>
    </row>
    <row r="164">
      <c r="A164" s="54" t="inlineStr">
        <is>
          <t>자전거부품_영업이익</t>
        </is>
      </c>
      <c r="B164" s="55" t="n">
        <v>65.3</v>
      </c>
    </row>
    <row r="165">
      <c r="A165" s="54" t="inlineStr">
        <is>
          <t>낚시용품_영업이익</t>
        </is>
      </c>
      <c r="B165" s="55" t="n">
        <v>19.2</v>
      </c>
    </row>
    <row r="167">
      <c r="A167" s="52" t="inlineStr">
        <is>
          <t>segments_q · 2025.4Q</t>
        </is>
      </c>
      <c r="B167" s="52" t="n"/>
      <c r="C167" s="52" t="n"/>
      <c r="D167" s="52" t="n"/>
      <c r="E167" s="52" t="n"/>
      <c r="F167" s="52" t="n"/>
      <c r="G167" s="52" t="n"/>
      <c r="H167" s="52" t="n"/>
      <c r="I167" s="52" t="n"/>
      <c r="J167" s="52" t="n"/>
      <c r="K167" s="52" t="n"/>
      <c r="L167" s="52" t="n"/>
    </row>
    <row r="168">
      <c r="A168" s="53" t="inlineStr">
        <is>
          <t>항목</t>
        </is>
      </c>
      <c r="B168" s="53" t="inlineStr">
        <is>
          <t>값</t>
        </is>
      </c>
      <c r="L168" s="53" t="inlineStr">
        <is>
          <t>출처</t>
        </is>
      </c>
    </row>
    <row r="169">
      <c r="A169" s="54" t="inlineStr">
        <is>
          <t>자전거부품_매출</t>
        </is>
      </c>
      <c r="B169" s="55" t="n">
        <v>887.3</v>
      </c>
      <c r="L169" s="56" t="inlineStr">
        <is>
          <t>2단계 보고서 자료(회사 설명회 자료·공시)</t>
        </is>
      </c>
    </row>
    <row r="170">
      <c r="A170" s="54" t="inlineStr">
        <is>
          <t>낚시용품_매출</t>
        </is>
      </c>
      <c r="B170" s="55" t="n">
        <v>264</v>
      </c>
    </row>
    <row r="171">
      <c r="A171" s="54" t="inlineStr">
        <is>
          <t>자전거부품_영업이익</t>
        </is>
      </c>
      <c r="B171" s="55" t="n">
        <v>126.8</v>
      </c>
    </row>
    <row r="172">
      <c r="A172" s="54" t="inlineStr">
        <is>
          <t>낚시용품_영업이익</t>
        </is>
      </c>
      <c r="B172" s="55" t="n">
        <v>24.6</v>
      </c>
    </row>
    <row r="174">
      <c r="A174" s="52" t="inlineStr">
        <is>
          <t>segments_q · 2026.1Q</t>
        </is>
      </c>
      <c r="B174" s="52" t="n"/>
      <c r="C174" s="52" t="n"/>
      <c r="D174" s="52" t="n"/>
      <c r="E174" s="52" t="n"/>
      <c r="F174" s="52" t="n"/>
      <c r="G174" s="52" t="n"/>
      <c r="H174" s="52" t="n"/>
      <c r="I174" s="52" t="n"/>
      <c r="J174" s="52" t="n"/>
      <c r="K174" s="52" t="n"/>
      <c r="L174" s="52" t="n"/>
    </row>
    <row r="175">
      <c r="A175" s="53" t="inlineStr">
        <is>
          <t>항목</t>
        </is>
      </c>
      <c r="B175" s="53" t="inlineStr">
        <is>
          <t>값</t>
        </is>
      </c>
      <c r="L175" s="53" t="inlineStr">
        <is>
          <t>출처</t>
        </is>
      </c>
    </row>
    <row r="176">
      <c r="A176" s="54" t="inlineStr">
        <is>
          <t>자전거부품_매출</t>
        </is>
      </c>
      <c r="B176" s="55" t="n">
        <v>873.6</v>
      </c>
      <c r="L176" s="56" t="inlineStr">
        <is>
          <t>2단계 보고서 자료(회사 설명회 자료·공시)</t>
        </is>
      </c>
    </row>
    <row r="177">
      <c r="A177" s="54" t="inlineStr">
        <is>
          <t>낚시용품_매출</t>
        </is>
      </c>
      <c r="B177" s="55" t="n">
        <v>301.8</v>
      </c>
    </row>
    <row r="178">
      <c r="A178" s="54" t="inlineStr">
        <is>
          <t>자전거부품_영업이익</t>
        </is>
      </c>
      <c r="B178" s="55" t="n">
        <v>77.90000000000001</v>
      </c>
    </row>
    <row r="179">
      <c r="A179" s="54" t="inlineStr">
        <is>
          <t>낚시용품_영업이익</t>
        </is>
      </c>
      <c r="B179" s="55" t="n">
        <v>26</v>
      </c>
    </row>
    <row r="181">
      <c r="A181" s="52" t="inlineStr">
        <is>
          <t>segments_q · 2026.2Q</t>
        </is>
      </c>
      <c r="B181" s="52" t="n"/>
      <c r="C181" s="52" t="n"/>
      <c r="D181" s="52" t="n"/>
      <c r="E181" s="52" t="n"/>
      <c r="F181" s="52" t="n"/>
      <c r="G181" s="52" t="n"/>
      <c r="H181" s="52" t="n"/>
      <c r="I181" s="52" t="n"/>
      <c r="J181" s="52" t="n"/>
      <c r="K181" s="52" t="n"/>
      <c r="L181" s="52" t="n"/>
    </row>
    <row r="182">
      <c r="A182" s="53" t="inlineStr">
        <is>
          <t>항목</t>
        </is>
      </c>
      <c r="B182" s="53" t="inlineStr">
        <is>
          <t>값</t>
        </is>
      </c>
      <c r="L182" s="53" t="inlineStr">
        <is>
          <t>출처</t>
        </is>
      </c>
    </row>
    <row r="183">
      <c r="A183" s="54" t="inlineStr">
        <is>
          <t>자전거부품_매출</t>
        </is>
      </c>
      <c r="B183" s="55" t="n">
        <v>940.2</v>
      </c>
      <c r="L183" s="56" t="inlineStr">
        <is>
          <t>2단계 보고서 자료(회사 설명회 자료·공시)</t>
        </is>
      </c>
    </row>
    <row r="184">
      <c r="A184" s="54" t="inlineStr">
        <is>
          <t>낚시용품_매출</t>
        </is>
      </c>
      <c r="B184" s="55" t="n">
        <v>352.9</v>
      </c>
    </row>
    <row r="185">
      <c r="A185" s="54" t="inlineStr">
        <is>
          <t>자전거부품_영업이익</t>
        </is>
      </c>
      <c r="B185" s="55" t="n">
        <v>122.7</v>
      </c>
    </row>
    <row r="186">
      <c r="A186" s="54" t="inlineStr">
        <is>
          <t>낚시용품_영업이익</t>
        </is>
      </c>
      <c r="B186" s="55" t="n">
        <v>45.8</v>
      </c>
    </row>
    <row r="188">
      <c r="A188" s="52" t="inlineStr">
        <is>
          <t>segments_q · 2026.3Q</t>
        </is>
      </c>
      <c r="B188" s="52" t="n"/>
      <c r="C188" s="52" t="n"/>
      <c r="D188" s="52" t="n"/>
      <c r="E188" s="52" t="n"/>
      <c r="F188" s="52" t="n"/>
      <c r="G188" s="52" t="n"/>
      <c r="H188" s="52" t="n"/>
      <c r="I188" s="52" t="n"/>
      <c r="J188" s="52" t="n"/>
      <c r="K188" s="52" t="n"/>
      <c r="L188" s="52" t="n"/>
    </row>
    <row r="189">
      <c r="A189" s="53" t="inlineStr">
        <is>
          <t>항목</t>
        </is>
      </c>
      <c r="B189" s="53" t="inlineStr">
        <is>
          <t>값</t>
        </is>
      </c>
      <c r="L189" s="53" t="inlineStr">
        <is>
          <t>출처</t>
        </is>
      </c>
    </row>
    <row r="190">
      <c r="A190" s="54" t="inlineStr">
        <is>
          <t>자전거부품_매출</t>
        </is>
      </c>
      <c r="B190" s="55" t="n">
        <v>969.8</v>
      </c>
      <c r="L190" s="56" t="inlineStr">
        <is>
          <t>2단계 보고서 자료(회사 설명회 자료·공시)</t>
        </is>
      </c>
    </row>
    <row r="191">
      <c r="A191" s="54" t="inlineStr">
        <is>
          <t>낚시용품_매출</t>
        </is>
      </c>
      <c r="B191" s="55" t="n">
        <v>311.1</v>
      </c>
    </row>
    <row r="192">
      <c r="A192" s="54" t="inlineStr">
        <is>
          <t>자전거부품_영업이익</t>
        </is>
      </c>
      <c r="B192" s="55" t="n">
        <v>133.8</v>
      </c>
    </row>
    <row r="193">
      <c r="A193" s="54" t="inlineStr">
        <is>
          <t>낚시용품_영업이익</t>
        </is>
      </c>
      <c r="B193" s="55" t="n">
        <v>39</v>
      </c>
    </row>
    <row r="195">
      <c r="A195" s="52" t="inlineStr">
        <is>
          <t>segments_q · 2023.4Q</t>
        </is>
      </c>
      <c r="B195" s="52" t="n"/>
      <c r="C195" s="52" t="n"/>
      <c r="D195" s="52" t="n"/>
      <c r="E195" s="52" t="n"/>
      <c r="F195" s="52" t="n"/>
      <c r="G195" s="52" t="n"/>
      <c r="H195" s="52" t="n"/>
      <c r="I195" s="52" t="n"/>
      <c r="J195" s="52" t="n"/>
      <c r="K195" s="52" t="n"/>
      <c r="L195" s="52" t="n"/>
    </row>
    <row r="196">
      <c r="A196" s="53" t="inlineStr">
        <is>
          <t>항목</t>
        </is>
      </c>
      <c r="B196" s="53" t="inlineStr">
        <is>
          <t>값</t>
        </is>
      </c>
      <c r="L196" s="53" t="inlineStr">
        <is>
          <t>출처</t>
        </is>
      </c>
    </row>
    <row r="197">
      <c r="A197" s="54" t="inlineStr">
        <is>
          <t>자전거부품_매출</t>
        </is>
      </c>
      <c r="B197" s="55" t="n">
        <v>752.4</v>
      </c>
      <c r="L197" s="56" t="inlineStr">
        <is>
          <t>2단계 보고서 자료(회사 설명회 자료·공시)</t>
        </is>
      </c>
    </row>
    <row r="198">
      <c r="A198" s="54" t="inlineStr">
        <is>
          <t>낚시용품_매출</t>
        </is>
      </c>
      <c r="B198" s="55" t="n">
        <v>237.5</v>
      </c>
    </row>
    <row r="199">
      <c r="A199" s="54" t="inlineStr">
        <is>
          <t>자전거부품_영업이익</t>
        </is>
      </c>
      <c r="B199" s="55" t="n">
        <v>93.3</v>
      </c>
    </row>
    <row r="200">
      <c r="A200" s="54" t="inlineStr">
        <is>
          <t>낚시용품_영업이익</t>
        </is>
      </c>
      <c r="B200" s="55" t="n">
        <v>22.1</v>
      </c>
    </row>
    <row r="202">
      <c r="A202" s="52" t="inlineStr">
        <is>
          <t>부문별 a · 2023</t>
        </is>
      </c>
      <c r="B202" s="52" t="n"/>
      <c r="C202" s="52" t="n"/>
      <c r="D202" s="52" t="n"/>
      <c r="E202" s="52" t="n"/>
      <c r="F202" s="52" t="n"/>
      <c r="G202" s="52" t="n"/>
      <c r="H202" s="52" t="n"/>
      <c r="I202" s="52" t="n"/>
      <c r="J202" s="52" t="n"/>
      <c r="K202" s="52" t="n"/>
      <c r="L202" s="52" t="n"/>
    </row>
    <row r="203">
      <c r="A203" s="53" t="inlineStr">
        <is>
          <t>항목</t>
        </is>
      </c>
      <c r="B203" s="53" t="inlineStr">
        <is>
          <t>값</t>
        </is>
      </c>
      <c r="L203" s="53" t="inlineStr">
        <is>
          <t>출처</t>
        </is>
      </c>
    </row>
    <row r="204">
      <c r="A204" s="54" t="inlineStr">
        <is>
          <t>자전거부품_매출</t>
        </is>
      </c>
      <c r="B204" s="55" t="n">
        <v>3646.79</v>
      </c>
      <c r="L204" s="56" t="inlineStr">
        <is>
          <t>2단계 보고서 자료(회사 설명회 자료·공시)</t>
        </is>
      </c>
    </row>
    <row r="205">
      <c r="A205" s="54" t="inlineStr">
        <is>
          <t>낚시용품_매출</t>
        </is>
      </c>
      <c r="B205" s="55" t="n">
        <v>1092.25</v>
      </c>
    </row>
    <row r="206">
      <c r="A206" s="54" t="inlineStr">
        <is>
          <t>자전거부품_영업이익</t>
        </is>
      </c>
      <c r="B206" s="55" t="n">
        <v>652.51</v>
      </c>
    </row>
    <row r="207">
      <c r="A207" s="54" t="inlineStr">
        <is>
          <t>낚시용품_영업이익</t>
        </is>
      </c>
      <c r="B207" s="55" t="n">
        <v>184.13</v>
      </c>
    </row>
    <row r="209">
      <c r="A209" s="52" t="inlineStr">
        <is>
          <t>부문별 a · 2024</t>
        </is>
      </c>
      <c r="B209" s="52" t="n"/>
      <c r="C209" s="52" t="n"/>
      <c r="D209" s="52" t="n"/>
      <c r="E209" s="52" t="n"/>
      <c r="F209" s="52" t="n"/>
      <c r="G209" s="52" t="n"/>
      <c r="H209" s="52" t="n"/>
      <c r="I209" s="52" t="n"/>
      <c r="J209" s="52" t="n"/>
      <c r="K209" s="52" t="n"/>
      <c r="L209" s="52" t="n"/>
    </row>
    <row r="210">
      <c r="A210" s="53" t="inlineStr">
        <is>
          <t>항목</t>
        </is>
      </c>
      <c r="B210" s="53" t="inlineStr">
        <is>
          <t>값</t>
        </is>
      </c>
      <c r="L210" s="53" t="inlineStr">
        <is>
          <t>출처</t>
        </is>
      </c>
    </row>
    <row r="211">
      <c r="A211" s="54" t="inlineStr">
        <is>
          <t>자전거부품_매출</t>
        </is>
      </c>
      <c r="B211" s="55" t="n">
        <v>3455.53</v>
      </c>
      <c r="L211" s="56" t="inlineStr">
        <is>
          <t>2단계 보고서 자료(회사 설명회 자료·공시)</t>
        </is>
      </c>
    </row>
    <row r="212">
      <c r="A212" s="54" t="inlineStr">
        <is>
          <t>낚시용품_매출</t>
        </is>
      </c>
      <c r="B212" s="55" t="n">
        <v>1049.9</v>
      </c>
    </row>
    <row r="213">
      <c r="A213" s="54" t="inlineStr">
        <is>
          <t>자전거부품_영업이익</t>
        </is>
      </c>
      <c r="B213" s="55" t="n">
        <v>541.5700000000001</v>
      </c>
    </row>
    <row r="214">
      <c r="A214" s="54" t="inlineStr">
        <is>
          <t>낚시용품_영업이익</t>
        </is>
      </c>
      <c r="B214" s="55" t="n">
        <v>109.29</v>
      </c>
    </row>
    <row r="216">
      <c r="A216" s="52" t="inlineStr">
        <is>
          <t>부문별 a · 2025</t>
        </is>
      </c>
      <c r="B216" s="52" t="n"/>
      <c r="C216" s="52" t="n"/>
      <c r="D216" s="52" t="n"/>
      <c r="E216" s="52" t="n"/>
      <c r="F216" s="52" t="n"/>
      <c r="G216" s="52" t="n"/>
      <c r="H216" s="52" t="n"/>
      <c r="I216" s="52" t="n"/>
      <c r="J216" s="52" t="n"/>
      <c r="K216" s="52" t="n"/>
      <c r="L216" s="52" t="n"/>
    </row>
    <row r="217">
      <c r="A217" s="53" t="inlineStr">
        <is>
          <t>항목</t>
        </is>
      </c>
      <c r="B217" s="53" t="inlineStr">
        <is>
          <t>값</t>
        </is>
      </c>
      <c r="L217" s="53" t="inlineStr">
        <is>
          <t>출처</t>
        </is>
      </c>
    </row>
    <row r="218">
      <c r="A218" s="54" t="inlineStr">
        <is>
          <t>자전거부품_매출</t>
        </is>
      </c>
      <c r="B218" s="55" t="n">
        <v>3549.72</v>
      </c>
      <c r="L218" s="56" t="inlineStr">
        <is>
          <t>2단계 보고서 자료(회사 설명회 자료·공시)</t>
        </is>
      </c>
    </row>
    <row r="219">
      <c r="A219" s="54" t="inlineStr">
        <is>
          <t>낚시용품_매출</t>
        </is>
      </c>
      <c r="B219" s="55" t="n">
        <v>1108.32</v>
      </c>
    </row>
    <row r="220">
      <c r="A220" s="54" t="inlineStr">
        <is>
          <t>자전거부품_영업이익</t>
        </is>
      </c>
      <c r="B220" s="55" t="n">
        <v>428.41</v>
      </c>
    </row>
    <row r="221">
      <c r="A221" s="54" t="inlineStr">
        <is>
          <t>낚시용품_영업이익</t>
        </is>
      </c>
      <c r="B221" s="55" t="n">
        <v>88.65000000000001</v>
      </c>
    </row>
    <row r="223">
      <c r="A223" s="52" t="inlineStr">
        <is>
          <t>bs annual</t>
        </is>
      </c>
      <c r="B223" s="52" t="n"/>
      <c r="C223" s="52" t="n"/>
      <c r="D223" s="52" t="n"/>
      <c r="E223" s="52" t="n"/>
      <c r="F223" s="52" t="n"/>
      <c r="G223" s="52" t="n"/>
      <c r="H223" s="52" t="n"/>
      <c r="I223" s="52" t="n"/>
      <c r="J223" s="52" t="n"/>
      <c r="K223" s="52" t="n"/>
      <c r="L223" s="52" t="n"/>
    </row>
    <row r="224">
      <c r="A224" s="53" t="inlineStr">
        <is>
          <t>항목</t>
        </is>
      </c>
      <c r="B224" s="53" t="inlineStr">
        <is>
          <t>2021</t>
        </is>
      </c>
      <c r="C224" s="53" t="inlineStr">
        <is>
          <t>2022</t>
        </is>
      </c>
      <c r="D224" s="53" t="inlineStr">
        <is>
          <t>2023</t>
        </is>
      </c>
      <c r="E224" s="53" t="inlineStr">
        <is>
          <t>2024</t>
        </is>
      </c>
      <c r="F224" s="53" t="inlineStr">
        <is>
          <t>2025</t>
        </is>
      </c>
      <c r="L224" s="53" t="inlineStr">
        <is>
          <t>출처</t>
        </is>
      </c>
    </row>
    <row r="225">
      <c r="A225" s="54" t="inlineStr">
        <is>
          <t>labels</t>
        </is>
      </c>
      <c r="B225" s="57" t="n">
        <v>2021</v>
      </c>
      <c r="C225" s="57" t="n">
        <v>2022</v>
      </c>
      <c r="D225" s="57" t="n">
        <v>2023</v>
      </c>
      <c r="E225" s="57" t="n">
        <v>2024</v>
      </c>
      <c r="F225" s="57" t="n">
        <v>2025</v>
      </c>
      <c r="L225" s="56" t="inlineStr">
        <is>
          <t>2단계 보고서 자료(회사 설명회 자료·공시)</t>
        </is>
      </c>
    </row>
    <row r="226">
      <c r="A226" s="54" t="inlineStr">
        <is>
          <t>current assets</t>
        </is>
      </c>
      <c r="B226" s="55" t="n">
        <v>5285.4</v>
      </c>
      <c r="C226" s="55" t="n">
        <v>6287.5</v>
      </c>
      <c r="D226" s="55" t="n">
        <v>6527.5</v>
      </c>
      <c r="E226" s="55" t="n">
        <v>7114.6</v>
      </c>
      <c r="F226" s="55" t="n">
        <v>6661.2</v>
      </c>
    </row>
    <row r="227">
      <c r="A227" s="54" t="inlineStr">
        <is>
          <t>cash</t>
        </is>
      </c>
      <c r="B227" s="55" t="n">
        <v>3645.2</v>
      </c>
      <c r="C227" s="55" t="n">
        <v>4304.3</v>
      </c>
      <c r="D227" s="55" t="n">
        <v>4939.3</v>
      </c>
      <c r="E227" s="55" t="n">
        <v>5340.4</v>
      </c>
      <c r="F227" s="55" t="n">
        <v>4773.2</v>
      </c>
    </row>
    <row r="228">
      <c r="A228" s="54" t="inlineStr">
        <is>
          <t>st fin</t>
        </is>
      </c>
      <c r="B228" s="58" t="n"/>
      <c r="C228" s="58" t="n"/>
      <c r="D228" s="58" t="n"/>
      <c r="E228" s="58" t="n"/>
      <c r="F228" s="58" t="n"/>
    </row>
    <row r="229">
      <c r="A229" s="54" t="inlineStr">
        <is>
          <t>receivables</t>
        </is>
      </c>
      <c r="B229" s="55" t="n">
        <v>521.9</v>
      </c>
      <c r="C229" s="55" t="n">
        <v>552</v>
      </c>
      <c r="D229" s="55" t="n">
        <v>316</v>
      </c>
      <c r="E229" s="55" t="n">
        <v>399</v>
      </c>
      <c r="F229" s="55" t="n">
        <v>384.6</v>
      </c>
    </row>
    <row r="230">
      <c r="A230" s="54" t="inlineStr">
        <is>
          <t>inventory</t>
        </is>
      </c>
      <c r="B230" s="55" t="n">
        <v>1032.6</v>
      </c>
      <c r="C230" s="55" t="n">
        <v>1309.1</v>
      </c>
      <c r="D230" s="55" t="n">
        <v>1124.9</v>
      </c>
      <c r="E230" s="55" t="n">
        <v>1206.4</v>
      </c>
      <c r="F230" s="55" t="n">
        <v>1320</v>
      </c>
    </row>
    <row r="231">
      <c r="A231" s="54" t="inlineStr">
        <is>
          <t>noncurrent assets</t>
        </is>
      </c>
      <c r="B231" s="55" t="n">
        <v>1768.3</v>
      </c>
      <c r="C231" s="55" t="n">
        <v>1976.6</v>
      </c>
      <c r="D231" s="55" t="n">
        <v>2189.8</v>
      </c>
      <c r="E231" s="55" t="n">
        <v>2474.9</v>
      </c>
      <c r="F231" s="55" t="n">
        <v>2721.3</v>
      </c>
    </row>
    <row r="232">
      <c r="A232" s="54" t="inlineStr">
        <is>
          <t>ppe</t>
        </is>
      </c>
      <c r="B232" s="55" t="n">
        <v>1394</v>
      </c>
      <c r="C232" s="55" t="n">
        <v>1472.4</v>
      </c>
      <c r="D232" s="55" t="n">
        <v>1579.8</v>
      </c>
      <c r="E232" s="55" t="n">
        <v>1827.1</v>
      </c>
      <c r="F232" s="55" t="n">
        <v>2011.4</v>
      </c>
    </row>
    <row r="233">
      <c r="A233" s="54" t="inlineStr">
        <is>
          <t>intangibles</t>
        </is>
      </c>
      <c r="B233" s="55" t="n">
        <v>161.3</v>
      </c>
      <c r="C233" s="55" t="n">
        <v>198.4</v>
      </c>
      <c r="D233" s="55" t="n">
        <v>219.9</v>
      </c>
      <c r="E233" s="55" t="n">
        <v>249.6</v>
      </c>
      <c r="F233" s="55" t="n">
        <v>293.2</v>
      </c>
    </row>
    <row r="234">
      <c r="A234" s="54" t="inlineStr">
        <is>
          <t>inv property</t>
        </is>
      </c>
      <c r="B234" s="58" t="n"/>
      <c r="C234" s="58" t="n"/>
      <c r="D234" s="58" t="n"/>
      <c r="E234" s="58" t="n"/>
      <c r="F234" s="58" t="n"/>
    </row>
    <row r="235">
      <c r="A235" s="54" t="inlineStr">
        <is>
          <t>합계 assets</t>
        </is>
      </c>
      <c r="B235" s="55" t="n">
        <v>7053.7</v>
      </c>
      <c r="C235" s="55" t="n">
        <v>8264.1</v>
      </c>
      <c r="D235" s="55" t="n">
        <v>8717.299999999999</v>
      </c>
      <c r="E235" s="55" t="n">
        <v>9589.5</v>
      </c>
      <c r="F235" s="55" t="n">
        <v>9382.5</v>
      </c>
    </row>
    <row r="236">
      <c r="A236" s="54" t="inlineStr">
        <is>
          <t>current liab</t>
        </is>
      </c>
      <c r="B236" s="55" t="n">
        <v>815.3</v>
      </c>
      <c r="C236" s="55" t="n">
        <v>786.1</v>
      </c>
      <c r="D236" s="55" t="n">
        <v>618.3</v>
      </c>
      <c r="E236" s="55" t="n">
        <v>558</v>
      </c>
      <c r="F236" s="55" t="n">
        <v>589.2</v>
      </c>
    </row>
    <row r="237">
      <c r="A237" s="54" t="inlineStr">
        <is>
          <t>payables</t>
        </is>
      </c>
      <c r="B237" s="55" t="n">
        <v>243.5</v>
      </c>
      <c r="C237" s="55" t="n">
        <v>205.9</v>
      </c>
      <c r="D237" s="55" t="n">
        <v>110.2</v>
      </c>
      <c r="E237" s="55" t="n">
        <v>161.1</v>
      </c>
      <c r="F237" s="55" t="n">
        <v>167.7</v>
      </c>
    </row>
    <row r="238">
      <c r="A238" s="54" t="inlineStr">
        <is>
          <t>st debt</t>
        </is>
      </c>
      <c r="B238" s="55" t="n">
        <v>31.3</v>
      </c>
      <c r="C238" s="55" t="n">
        <v>21.5</v>
      </c>
      <c r="D238" s="55" t="n">
        <v>0</v>
      </c>
      <c r="E238" s="58" t="n"/>
      <c r="F238" s="58" t="n"/>
    </row>
    <row r="239">
      <c r="A239" s="54" t="inlineStr">
        <is>
          <t>noncurrent liab</t>
        </is>
      </c>
      <c r="B239" s="55" t="n">
        <v>71.90000000000001</v>
      </c>
      <c r="C239" s="55" t="n">
        <v>67.09999999999999</v>
      </c>
      <c r="D239" s="55" t="n">
        <v>75</v>
      </c>
      <c r="E239" s="55" t="n">
        <v>195.4</v>
      </c>
      <c r="F239" s="55" t="n">
        <v>98.3</v>
      </c>
    </row>
    <row r="240">
      <c r="A240" s="54" t="inlineStr">
        <is>
          <t>lt debt</t>
        </is>
      </c>
      <c r="B240" s="55" t="n">
        <v>0</v>
      </c>
      <c r="C240" s="55" t="n">
        <v>0</v>
      </c>
      <c r="D240" s="58" t="n"/>
      <c r="E240" s="58" t="n"/>
      <c r="F240" s="58" t="n"/>
    </row>
    <row r="241">
      <c r="A241" s="54" t="inlineStr">
        <is>
          <t>bonds</t>
        </is>
      </c>
      <c r="B241" s="58" t="n"/>
      <c r="C241" s="58" t="n"/>
      <c r="D241" s="58" t="n"/>
      <c r="E241" s="58" t="n"/>
      <c r="F241" s="58" t="n"/>
    </row>
    <row r="242">
      <c r="A242" s="54" t="inlineStr">
        <is>
          <t>합계 liab</t>
        </is>
      </c>
      <c r="B242" s="55" t="n">
        <v>887.2</v>
      </c>
      <c r="C242" s="55" t="n">
        <v>853.2</v>
      </c>
      <c r="D242" s="55" t="n">
        <v>693.3</v>
      </c>
      <c r="E242" s="55" t="n">
        <v>753.4</v>
      </c>
      <c r="F242" s="55" t="n">
        <v>687.5</v>
      </c>
    </row>
    <row r="243">
      <c r="A243" s="54" t="inlineStr">
        <is>
          <t>capital stock</t>
        </is>
      </c>
      <c r="B243" s="55" t="n">
        <v>356.1</v>
      </c>
      <c r="C243" s="55" t="n">
        <v>356.1</v>
      </c>
      <c r="D243" s="55" t="n">
        <v>356.1</v>
      </c>
      <c r="E243" s="55" t="n">
        <v>356.1</v>
      </c>
      <c r="F243" s="55" t="n">
        <v>356.1</v>
      </c>
    </row>
    <row r="244">
      <c r="A244" s="54" t="inlineStr">
        <is>
          <t>retained</t>
        </is>
      </c>
      <c r="B244" s="55" t="n">
        <v>5662.6</v>
      </c>
      <c r="C244" s="55" t="n">
        <v>6381.4</v>
      </c>
      <c r="D244" s="55" t="n">
        <v>6471.7</v>
      </c>
      <c r="E244" s="55" t="n">
        <v>6753.7</v>
      </c>
      <c r="F244" s="55" t="n">
        <v>6307.2</v>
      </c>
    </row>
    <row r="245">
      <c r="A245" s="54" t="inlineStr">
        <is>
          <t>nci</t>
        </is>
      </c>
      <c r="B245" s="55" t="n">
        <v>6.6</v>
      </c>
      <c r="C245" s="55" t="n">
        <v>9.9</v>
      </c>
      <c r="D245" s="55" t="n">
        <v>12.3</v>
      </c>
      <c r="E245" s="55" t="n">
        <v>12.2</v>
      </c>
      <c r="F245" s="55" t="n">
        <v>12.4</v>
      </c>
    </row>
    <row r="246">
      <c r="A246" s="54" t="inlineStr">
        <is>
          <t>합계 equity</t>
        </is>
      </c>
      <c r="B246" s="55" t="n">
        <v>6166.5</v>
      </c>
      <c r="C246" s="55" t="n">
        <v>7410.9</v>
      </c>
      <c r="D246" s="55" t="n">
        <v>8024</v>
      </c>
      <c r="E246" s="55" t="n">
        <v>8836.1</v>
      </c>
      <c r="F246" s="55" t="n">
        <v>8695</v>
      </c>
    </row>
    <row r="247">
      <c r="A247" s="54" t="inlineStr">
        <is>
          <t>current ltd</t>
        </is>
      </c>
      <c r="B247" s="58" t="n"/>
      <c r="C247" s="58" t="n"/>
      <c r="D247" s="58" t="n"/>
      <c r="E247" s="58" t="n"/>
      <c r="F247" s="58" t="n"/>
    </row>
    <row r="248">
      <c r="A248" s="54" t="inlineStr">
        <is>
          <t>equity owner</t>
        </is>
      </c>
      <c r="B248" s="55" t="n">
        <v>6159.9</v>
      </c>
      <c r="C248" s="55" t="n">
        <v>7401.1</v>
      </c>
      <c r="D248" s="55" t="n">
        <v>8011.7</v>
      </c>
      <c r="E248" s="55" t="n">
        <v>8824</v>
      </c>
      <c r="F248" s="55" t="n">
        <v>8682.6</v>
      </c>
    </row>
    <row r="250">
      <c r="A250" s="52" t="inlineStr">
        <is>
          <t>cf annual</t>
        </is>
      </c>
      <c r="B250" s="52" t="n"/>
      <c r="C250" s="52" t="n"/>
      <c r="D250" s="52" t="n"/>
      <c r="E250" s="52" t="n"/>
      <c r="F250" s="52" t="n"/>
      <c r="G250" s="52" t="n"/>
      <c r="H250" s="52" t="n"/>
      <c r="I250" s="52" t="n"/>
      <c r="J250" s="52" t="n"/>
      <c r="K250" s="52" t="n"/>
      <c r="L250" s="52" t="n"/>
    </row>
    <row r="251">
      <c r="A251" s="53" t="inlineStr">
        <is>
          <t>항목</t>
        </is>
      </c>
      <c r="B251" s="53" t="inlineStr">
        <is>
          <t>2021</t>
        </is>
      </c>
      <c r="C251" s="53" t="inlineStr">
        <is>
          <t>2022</t>
        </is>
      </c>
      <c r="D251" s="53" t="inlineStr">
        <is>
          <t>2023</t>
        </is>
      </c>
      <c r="E251" s="53" t="inlineStr">
        <is>
          <t>2024</t>
        </is>
      </c>
      <c r="F251" s="53" t="inlineStr">
        <is>
          <t>2025</t>
        </is>
      </c>
      <c r="L251" s="53" t="inlineStr">
        <is>
          <t>출처</t>
        </is>
      </c>
    </row>
    <row r="252">
      <c r="A252" s="54" t="inlineStr">
        <is>
          <t>labels</t>
        </is>
      </c>
      <c r="B252" s="57" t="n">
        <v>2021</v>
      </c>
      <c r="C252" s="57" t="n">
        <v>2022</v>
      </c>
      <c r="D252" s="57" t="n">
        <v>2023</v>
      </c>
      <c r="E252" s="57" t="n">
        <v>2024</v>
      </c>
      <c r="F252" s="57" t="n">
        <v>2025</v>
      </c>
      <c r="L252" s="56" t="inlineStr">
        <is>
          <t>2단계 보고서 자료(회사 설명회 자료·공시)</t>
        </is>
      </c>
    </row>
    <row r="253">
      <c r="A253" s="54" t="inlineStr">
        <is>
          <t>ocf</t>
        </is>
      </c>
      <c r="B253" s="55" t="n">
        <v>1124.4</v>
      </c>
      <c r="C253" s="55" t="n">
        <v>1106.8</v>
      </c>
      <c r="D253" s="55" t="n">
        <v>1145.7</v>
      </c>
      <c r="E253" s="55" t="n">
        <v>870.3</v>
      </c>
      <c r="F253" s="55" t="n">
        <v>637.8</v>
      </c>
    </row>
    <row r="254">
      <c r="A254" s="54" t="inlineStr">
        <is>
          <t>설비투자</t>
        </is>
      </c>
      <c r="B254" s="55" t="n">
        <v>200.3</v>
      </c>
      <c r="C254" s="55" t="n">
        <v>275.1</v>
      </c>
      <c r="D254" s="55" t="n">
        <v>313.1</v>
      </c>
      <c r="E254" s="55" t="n">
        <v>455.8</v>
      </c>
      <c r="F254" s="55" t="n">
        <v>457.7</v>
      </c>
    </row>
    <row r="255">
      <c r="A255" s="54" t="inlineStr">
        <is>
          <t>dividends</t>
        </is>
      </c>
      <c r="B255" s="55" t="n">
        <v>366</v>
      </c>
      <c r="C255" s="55" t="n">
        <v>215</v>
      </c>
      <c r="D255" s="55" t="n">
        <v>258</v>
      </c>
      <c r="E255" s="55" t="n">
        <v>266.3</v>
      </c>
      <c r="F255" s="55" t="n">
        <v>286.1</v>
      </c>
    </row>
    <row r="257">
      <c r="A257" s="52" t="inlineStr">
        <is>
          <t>shares</t>
        </is>
      </c>
      <c r="B257" s="52" t="n"/>
      <c r="C257" s="52" t="n"/>
      <c r="D257" s="52" t="n"/>
      <c r="E257" s="52" t="n"/>
      <c r="F257" s="52" t="n"/>
      <c r="G257" s="52" t="n"/>
      <c r="H257" s="52" t="n"/>
      <c r="I257" s="52" t="n"/>
      <c r="J257" s="52" t="n"/>
      <c r="K257" s="52" t="n"/>
      <c r="L257" s="52" t="n"/>
    </row>
    <row r="258">
      <c r="A258" s="53" t="inlineStr">
        <is>
          <t>항목</t>
        </is>
      </c>
      <c r="B258" s="53" t="inlineStr">
        <is>
          <t>값</t>
        </is>
      </c>
      <c r="L258" s="53" t="inlineStr">
        <is>
          <t>출처</t>
        </is>
      </c>
    </row>
    <row r="259">
      <c r="A259" s="54" t="inlineStr">
        <is>
          <t>발행</t>
        </is>
      </c>
      <c r="B259" s="57" t="n">
        <v>86530000</v>
      </c>
      <c r="L259" s="56" t="inlineStr">
        <is>
          <t>2단계 보고서 자료(회사 설명회 자료·공시)</t>
        </is>
      </c>
    </row>
    <row r="260">
      <c r="A260" s="54" t="inlineStr">
        <is>
          <t>자사주_26.9말</t>
        </is>
      </c>
      <c r="B260" s="57" t="n">
        <v>2430078</v>
      </c>
    </row>
    <row r="261">
      <c r="A261" s="54" t="inlineStr">
        <is>
          <t>유통</t>
        </is>
      </c>
      <c r="B261" s="57" t="n">
        <v>84099922</v>
      </c>
    </row>
    <row r="263">
      <c r="A263" s="52" t="inlineStr">
        <is>
          <t>reactions</t>
        </is>
      </c>
      <c r="B263" s="52" t="n"/>
      <c r="C263" s="52" t="n"/>
      <c r="D263" s="52" t="n"/>
      <c r="E263" s="52" t="n"/>
      <c r="F263" s="52" t="n"/>
      <c r="G263" s="52" t="n"/>
      <c r="H263" s="52" t="n"/>
      <c r="I263" s="52" t="n"/>
      <c r="J263" s="52" t="n"/>
      <c r="K263" s="52" t="n"/>
      <c r="L263" s="52" t="n"/>
    </row>
    <row r="264">
      <c r="A264" s="53" t="inlineStr">
        <is>
          <t>항목</t>
        </is>
      </c>
      <c r="B264" s="53" t="inlineStr">
        <is>
          <t>기준일</t>
        </is>
      </c>
      <c r="C264" s="53" t="inlineStr">
        <is>
          <t>다음날</t>
        </is>
      </c>
      <c r="D264" s="53" t="inlineStr">
        <is>
          <t>등락%</t>
        </is>
      </c>
      <c r="L264" s="53" t="inlineStr">
        <is>
          <t>출처</t>
        </is>
      </c>
    </row>
    <row r="265">
      <c r="A265" s="54" t="inlineStr">
        <is>
          <t>2025-02-12</t>
        </is>
      </c>
      <c r="B265" s="58" t="inlineStr">
        <is>
          <t>2025-02-12</t>
        </is>
      </c>
      <c r="C265" s="58" t="inlineStr">
        <is>
          <t>2025-02-13</t>
        </is>
      </c>
      <c r="D265" s="55" t="n">
        <v>-3.1</v>
      </c>
      <c r="L265" s="56" t="inlineStr">
        <is>
          <t>2단계 보고서 자료(회사 설명회 자료·공시)</t>
        </is>
      </c>
    </row>
    <row r="266">
      <c r="A266" s="54" t="inlineStr">
        <is>
          <t>2025-04-23</t>
        </is>
      </c>
      <c r="B266" s="58" t="inlineStr">
        <is>
          <t>2025-04-23</t>
        </is>
      </c>
      <c r="C266" s="58" t="inlineStr">
        <is>
          <t>2025-04-24</t>
        </is>
      </c>
      <c r="D266" s="55" t="n">
        <v>-3.9</v>
      </c>
    </row>
    <row r="267">
      <c r="A267" s="54" t="inlineStr">
        <is>
          <t>2025-07-29</t>
        </is>
      </c>
      <c r="B267" s="58" t="inlineStr">
        <is>
          <t>2025-07-29</t>
        </is>
      </c>
      <c r="C267" s="58" t="inlineStr">
        <is>
          <t>2025-07-30</t>
        </is>
      </c>
      <c r="D267" s="55" t="n">
        <v>-23.3</v>
      </c>
    </row>
    <row r="268">
      <c r="A268" s="54" t="inlineStr">
        <is>
          <t>2025-10-28</t>
        </is>
      </c>
      <c r="B268" s="58" t="inlineStr">
        <is>
          <t>2025-10-28</t>
        </is>
      </c>
      <c r="C268" s="58" t="inlineStr">
        <is>
          <t>2025-10-29</t>
        </is>
      </c>
      <c r="D268" s="55" t="n">
        <v>-7.4</v>
      </c>
    </row>
    <row r="269">
      <c r="A269" s="54" t="inlineStr">
        <is>
          <t>2026-02-10</t>
        </is>
      </c>
      <c r="B269" s="58" t="inlineStr">
        <is>
          <t>2026-02-10</t>
        </is>
      </c>
      <c r="C269" s="58" t="inlineStr">
        <is>
          <t>2026-02-12</t>
        </is>
      </c>
      <c r="D269" s="55" t="n">
        <v>-5.6</v>
      </c>
    </row>
    <row r="270">
      <c r="A270" s="54" t="inlineStr">
        <is>
          <t>2026-04-23</t>
        </is>
      </c>
      <c r="B270" s="58" t="inlineStr">
        <is>
          <t>2026-04-23</t>
        </is>
      </c>
      <c r="C270" s="58" t="inlineStr">
        <is>
          <t>2026-04-24</t>
        </is>
      </c>
      <c r="D270" s="55" t="n">
        <v>4</v>
      </c>
    </row>
    <row r="271">
      <c r="A271" s="54" t="inlineStr">
        <is>
          <t>2026-07-28</t>
        </is>
      </c>
      <c r="B271" s="58" t="inlineStr">
        <is>
          <t>2026-07-28</t>
        </is>
      </c>
      <c r="C271" s="58" t="inlineStr">
        <is>
          <t>2026-07-29</t>
        </is>
      </c>
      <c r="D271" s="55" t="n">
        <v>10.4</v>
      </c>
    </row>
    <row r="273">
      <c r="A273" s="52" t="inlineStr">
        <is>
          <t>filings</t>
        </is>
      </c>
      <c r="B273" s="52" t="n"/>
      <c r="C273" s="52" t="n"/>
      <c r="D273" s="52" t="n"/>
      <c r="E273" s="52" t="n"/>
      <c r="F273" s="52" t="n"/>
      <c r="G273" s="52" t="n"/>
      <c r="H273" s="52" t="n"/>
      <c r="I273" s="52" t="n"/>
      <c r="J273" s="52" t="n"/>
      <c r="K273" s="52" t="n"/>
      <c r="L273" s="52" t="n"/>
    </row>
    <row r="274">
      <c r="A274" s="53" t="inlineStr">
        <is>
          <t>항목</t>
        </is>
      </c>
      <c r="B274" s="53" t="inlineStr">
        <is>
          <t>title</t>
        </is>
      </c>
      <c r="C274" s="53" t="inlineStr">
        <is>
          <t>doc</t>
        </is>
      </c>
      <c r="L274" s="53" t="inlineStr">
        <is>
          <t>출처</t>
        </is>
      </c>
    </row>
    <row r="275">
      <c r="A275" s="54" t="inlineStr">
        <is>
          <t>2026-10-27</t>
        </is>
      </c>
      <c r="B275" s="58" t="inlineStr">
        <is>
          <t>2026年12月期第３四半期決算短信〔日本基準〕(連結)</t>
        </is>
      </c>
      <c r="C275" s="58" t="inlineStr">
        <is>
          <t>140120261026555704</t>
        </is>
      </c>
      <c r="L275" s="56" t="inlineStr">
        <is>
          <t>2단계 보고서 자료(회사 설명회 자료·공시)</t>
        </is>
      </c>
    </row>
    <row r="276">
      <c r="A276" s="54" t="inlineStr">
        <is>
          <t>2026-07-28</t>
        </is>
      </c>
      <c r="B276" s="58" t="inlineStr">
        <is>
          <t>2026年12月期第２四半期（中間期）決算短信[日本基準](連結)</t>
        </is>
      </c>
      <c r="C276" s="58" t="inlineStr">
        <is>
          <t>140120260727599816</t>
        </is>
      </c>
    </row>
    <row r="277">
      <c r="A277" s="54" t="inlineStr">
        <is>
          <t>2026-04-23</t>
        </is>
      </c>
      <c r="B277" s="58" t="inlineStr">
        <is>
          <t>2026年12月期第１四半期決算短信 [日本基準]（連結）</t>
        </is>
      </c>
      <c r="C277" s="58" t="inlineStr">
        <is>
          <t>140120260423508680</t>
        </is>
      </c>
    </row>
    <row r="278">
      <c r="A278" s="54" t="inlineStr">
        <is>
          <t>2026-02-10</t>
        </is>
      </c>
      <c r="B278" s="58" t="inlineStr">
        <is>
          <t>2025年12月期決算短信 [日本基準]（連結）</t>
        </is>
      </c>
      <c r="C278" s="58" t="inlineStr">
        <is>
          <t>140120260209552867</t>
        </is>
      </c>
    </row>
    <row r="279">
      <c r="A279" s="54" t="inlineStr">
        <is>
          <t>2025-10-28</t>
        </is>
      </c>
      <c r="B279" s="58" t="inlineStr">
        <is>
          <t>2025年12月期第3四半期決算短信 [日本基準]（連結）</t>
        </is>
      </c>
      <c r="C279" s="58" t="inlineStr">
        <is>
          <t>140120251024578869</t>
        </is>
      </c>
    </row>
    <row r="280">
      <c r="A280" s="54" t="inlineStr">
        <is>
          <t>2025-07-29</t>
        </is>
      </c>
      <c r="B280" s="58" t="inlineStr">
        <is>
          <t>2025年12月期第２四半期（中間期）決算短信〔日本基準〕(連結)</t>
        </is>
      </c>
      <c r="C280" s="58" t="inlineStr">
        <is>
          <t>140120250728522019</t>
        </is>
      </c>
    </row>
    <row r="281">
      <c r="A281" s="54" t="inlineStr">
        <is>
          <t>2025-04-23</t>
        </is>
      </c>
      <c r="B281" s="58" t="inlineStr">
        <is>
          <t>2025年12月期第１四半期決算短信 [日本基準]（連結）</t>
        </is>
      </c>
      <c r="C281" s="58" t="inlineStr">
        <is>
          <t>140120250422519861</t>
        </is>
      </c>
    </row>
    <row r="282">
      <c r="A282" s="54" t="inlineStr">
        <is>
          <t>2025-02-12</t>
        </is>
      </c>
      <c r="B282" s="58" t="inlineStr">
        <is>
          <t>2024年12月期決算短信 [日本基準]（連結）</t>
        </is>
      </c>
      <c r="C282" s="58" t="inlineStr">
        <is>
          <t>140120250207567232</t>
        </is>
      </c>
    </row>
    <row r="283">
      <c r="A283" s="54" t="inlineStr">
        <is>
          <t>2024-10-29</t>
        </is>
      </c>
      <c r="B283" s="58" t="inlineStr">
        <is>
          <t>2024年12月期第3四半期決算短信 [日本基準]（連結）</t>
        </is>
      </c>
      <c r="C283" s="58" t="inlineStr">
        <is>
          <t>140120241028503479</t>
        </is>
      </c>
    </row>
    <row r="284">
      <c r="A284" s="54" t="inlineStr">
        <is>
          <t>2024-07-30</t>
        </is>
      </c>
      <c r="B284" s="58" t="inlineStr">
        <is>
          <t>2024年12月期第2四半期決算短信 [日本基準]（連結）</t>
        </is>
      </c>
      <c r="C284" s="58" t="inlineStr">
        <is>
          <t>140120240723552954</t>
        </is>
      </c>
    </row>
    <row r="285">
      <c r="A285" s="54" t="inlineStr">
        <is>
          <t>2024-04-23</t>
        </is>
      </c>
      <c r="B285" s="58" t="inlineStr">
        <is>
          <t>2024年12月期第１四半期決算短信 [日本基準]（連結）</t>
        </is>
      </c>
      <c r="C285" s="58" t="inlineStr">
        <is>
          <t>140120240417572111</t>
        </is>
      </c>
    </row>
    <row r="286">
      <c r="A286" s="54" t="inlineStr">
        <is>
          <t>2024-02-13</t>
        </is>
      </c>
      <c r="B286" s="58" t="inlineStr">
        <is>
          <t>2023年12月期決算短信 [日本基準]（連結）</t>
        </is>
      </c>
      <c r="C286" s="58" t="inlineStr">
        <is>
          <t>140120240207528651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9" t="inlineStr">
        <is>
          <t>공시일</t>
        </is>
      </c>
      <c r="B3" s="59" t="inlineStr">
        <is>
          <t>문서</t>
        </is>
      </c>
      <c r="C3" s="59" t="inlineStr">
        <is>
          <t>PDF</t>
        </is>
      </c>
    </row>
    <row r="4">
      <c r="A4" t="inlineStr">
        <is>
          <t>2026-10-27</t>
        </is>
      </c>
      <c r="B4" t="inlineStr">
        <is>
          <t>2026년 12월 결산기 ３분기 결산단신</t>
        </is>
      </c>
      <c r="C4" t="inlineStr">
        <is>
          <t>https://www2.jpx.co.jp/disc/73090/140120261026555704.pdf</t>
        </is>
      </c>
    </row>
    <row r="5">
      <c r="A5" t="inlineStr">
        <is>
          <t>2026-07-28</t>
        </is>
      </c>
      <c r="B5" t="inlineStr">
        <is>
          <t>2026년 12월 결산기 ２분기 결산단신</t>
        </is>
      </c>
      <c r="C5" t="inlineStr">
        <is>
          <t>https://www2.jpx.co.jp/disc/73090/140120260727599816.pdf</t>
        </is>
      </c>
    </row>
    <row r="6">
      <c r="A6" t="inlineStr">
        <is>
          <t>2026-04-23</t>
        </is>
      </c>
      <c r="B6" t="inlineStr">
        <is>
          <t>2026년 12월 결산기 １분기 결산단신</t>
        </is>
      </c>
      <c r="C6" t="inlineStr">
        <is>
          <t>https://www2.jpx.co.jp/disc/73090/140120260423508680.pdf</t>
        </is>
      </c>
    </row>
    <row r="7">
      <c r="A7" t="inlineStr">
        <is>
          <t>2026-02-10</t>
        </is>
      </c>
      <c r="B7" t="inlineStr">
        <is>
          <t>2025년 12월 결산기 연간 결산단신</t>
        </is>
      </c>
      <c r="C7" t="inlineStr">
        <is>
          <t>https://www2.jpx.co.jp/disc/73090/140120260209552867.pdf</t>
        </is>
      </c>
    </row>
    <row r="8">
      <c r="A8" t="inlineStr">
        <is>
          <t>2025-10-28</t>
        </is>
      </c>
      <c r="B8" t="inlineStr">
        <is>
          <t>2025년 12월 결산기 3분기 결산단신</t>
        </is>
      </c>
      <c r="C8" t="inlineStr">
        <is>
          <t>https://www2.jpx.co.jp/disc/73090/140120251024578869.pdf</t>
        </is>
      </c>
    </row>
    <row r="9">
      <c r="A9" t="inlineStr">
        <is>
          <t>2025-07-29</t>
        </is>
      </c>
      <c r="B9" t="inlineStr">
        <is>
          <t>2025년 12월 결산기 ２분기 결산단신</t>
        </is>
      </c>
      <c r="C9" t="inlineStr">
        <is>
          <t>https://www2.jpx.co.jp/disc/73090/140120250728522019.pdf</t>
        </is>
      </c>
    </row>
    <row r="10">
      <c r="A10" t="inlineStr">
        <is>
          <t>2025-04-23</t>
        </is>
      </c>
      <c r="B10" t="inlineStr">
        <is>
          <t>2025년 12월 결산기 １분기 결산단신</t>
        </is>
      </c>
      <c r="C10" t="inlineStr">
        <is>
          <t>https://www2.jpx.co.jp/disc/73090/140120250422519861.pdf</t>
        </is>
      </c>
    </row>
    <row r="11">
      <c r="A11" t="inlineStr">
        <is>
          <t>2025-02-12</t>
        </is>
      </c>
      <c r="B11" t="inlineStr">
        <is>
          <t>2024년 12월 결산기 연간 결산단신</t>
        </is>
      </c>
      <c r="C11" t="inlineStr">
        <is>
          <t>https://www2.jpx.co.jp/disc/73090/140120250207567232.pdf</t>
        </is>
      </c>
    </row>
    <row r="12">
      <c r="A12" t="inlineStr">
        <is>
          <t>2024-10-29</t>
        </is>
      </c>
      <c r="B12" t="inlineStr">
        <is>
          <t>2024년 12월 결산기 3분기 결산단신</t>
        </is>
      </c>
      <c r="C12" t="inlineStr">
        <is>
          <t>https://www2.jpx.co.jp/disc/73090/140120241028503479.pdf</t>
        </is>
      </c>
    </row>
    <row r="13">
      <c r="A13" t="inlineStr">
        <is>
          <t>2024-07-30</t>
        </is>
      </c>
      <c r="B13" t="inlineStr">
        <is>
          <t>2024년 12월 결산기 2분기 결산단신</t>
        </is>
      </c>
      <c r="C13" t="inlineStr">
        <is>
          <t>https://www2.jpx.co.jp/disc/73090/140120240723552954.pdf</t>
        </is>
      </c>
    </row>
    <row r="14">
      <c r="A14" t="inlineStr">
        <is>
          <t>2024-04-23</t>
        </is>
      </c>
      <c r="B14" t="inlineStr">
        <is>
          <t>2024년 12월 결산기 １분기 결산단신</t>
        </is>
      </c>
      <c r="C14" t="inlineStr">
        <is>
          <t>https://www2.jpx.co.jp/disc/73090/140120240417572111.pdf</t>
        </is>
      </c>
    </row>
    <row r="15">
      <c r="A15" t="inlineStr">
        <is>
          <t>2024-02-13</t>
        </is>
      </c>
      <c r="B15" t="inlineStr">
        <is>
          <t>2023년 12월 결산기 연간 결산단신</t>
        </is>
      </c>
      <c r="C15" t="inlineStr">
        <is>
          <t>https://www2.jpx.co.jp/disc/73090/140120240207528651.pdf</t>
        </is>
      </c>
    </row>
    <row r="16">
      <c r="A16" t="inlineStr">
        <is>
          <t>2023-10-24</t>
        </is>
      </c>
      <c r="B16" t="inlineStr">
        <is>
          <t>2023년 12월 결산기 3분기 결산단신</t>
        </is>
      </c>
      <c r="C16" t="inlineStr">
        <is>
          <t>https://www2.jpx.co.jp/disc/73090/140120231023569879.pdf</t>
        </is>
      </c>
    </row>
    <row r="17">
      <c r="A17" t="inlineStr">
        <is>
          <t>2023-07-25</t>
        </is>
      </c>
      <c r="B17" t="inlineStr">
        <is>
          <t>2023년 12월 결산기 2분기 결산단신</t>
        </is>
      </c>
      <c r="C17" t="inlineStr">
        <is>
          <t>https://www2.jpx.co.jp/disc/73090/140120230724525696.pdf</t>
        </is>
      </c>
    </row>
    <row r="18">
      <c r="A18" t="inlineStr">
        <is>
          <t>2023-04-25</t>
        </is>
      </c>
      <c r="B18" t="inlineStr">
        <is>
          <t>2023년 12월 결산기 １분기 결산단신</t>
        </is>
      </c>
      <c r="C18" t="inlineStr">
        <is>
          <t>https://www2.jpx.co.jp/disc/73090/140120230417548226.pdf</t>
        </is>
      </c>
    </row>
    <row r="19">
      <c r="A19" t="inlineStr">
        <is>
          <t>2023-02-14</t>
        </is>
      </c>
      <c r="B19" t="inlineStr">
        <is>
          <t>2022년 12월 결산기 연간 결산단신</t>
        </is>
      </c>
      <c r="C19" t="inlineStr">
        <is>
          <t>https://www2.jpx.co.jp/disc/73090/140120230208503464.pdf</t>
        </is>
      </c>
    </row>
    <row r="20">
      <c r="A20" t="inlineStr">
        <is>
          <t>2022-02-08</t>
        </is>
      </c>
      <c r="B20" t="inlineStr">
        <is>
          <t>2021년 12월 결산기 연간 결산단신</t>
        </is>
      </c>
      <c r="C20" t="inlineStr">
        <is>
          <t>https://www2.jpx.co.jp/disc/73090/140120220203579636.pdf</t>
        </is>
      </c>
    </row>
    <row r="21">
      <c r="A21" t="inlineStr">
        <is>
          <t>2021-02-09</t>
        </is>
      </c>
      <c r="B21" t="inlineStr">
        <is>
          <t>2020년 12월 결산기 연간 결산단신</t>
        </is>
      </c>
      <c r="C21" t="inlineStr">
        <is>
          <t>https://www2.jpx.co.jp/disc/73090/140120210208458062.pdf</t>
        </is>
      </c>
    </row>
    <row r="22">
      <c r="A22" t="inlineStr">
        <is>
          <t>2020-02-12</t>
        </is>
      </c>
      <c r="B22" t="inlineStr">
        <is>
          <t>2019년 12월 결산기 연간 결산단신</t>
        </is>
      </c>
      <c r="C22" t="inlineStr">
        <is>
          <t>https://www2.jpx.co.jp/disc/73090/140120200210460792.pdf</t>
        </is>
      </c>
    </row>
    <row r="23">
      <c r="A23" t="inlineStr">
        <is>
          <t>2019-02-12</t>
        </is>
      </c>
      <c r="B23" t="inlineStr">
        <is>
          <t>2018년 12월 결산기 연간 결산단신</t>
        </is>
      </c>
      <c r="C23" t="inlineStr">
        <is>
          <t>https://www2.jpx.co.jp/disc/73090/140120190208473964.pdf</t>
        </is>
      </c>
    </row>
    <row r="24">
      <c r="A24" t="inlineStr">
        <is>
          <t>2018-02-13</t>
        </is>
      </c>
      <c r="B24" t="inlineStr">
        <is>
          <t>연간 결산단신</t>
        </is>
      </c>
      <c r="C24" t="inlineStr">
        <is>
          <t>https://www2.jpx.co.jp/disc/73090/140120180209469147.pdf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2026-10-27T07:26:02Z</dcterms:created>
  <dcterms:modified xmlns:dcterms="http://purl.org/dc/terms/" xmlns:xsi="http://www.w3.org/2001/XMLSchema-instance" xsi:type="dcterms:W3CDTF">2026-10-27T07:26:03Z</dcterms:modified>
</cp:coreProperties>
</file>