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시마노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99098</v>
      </c>
      <c r="D4" s="12" t="n">
        <v>100557</v>
      </c>
      <c r="E4" s="12" t="n">
        <v>116330</v>
      </c>
      <c r="F4" s="12" t="n">
        <v>117992</v>
      </c>
      <c r="G4" s="12" t="n">
        <v>116114</v>
      </c>
      <c r="H4" s="12" t="n">
        <v>113539</v>
      </c>
      <c r="I4" s="12" t="n">
        <v>123870</v>
      </c>
      <c r="J4" s="12" t="n">
        <v>113611</v>
      </c>
      <c r="K4" s="12" t="n">
        <v>115223</v>
      </c>
      <c r="L4" s="12" t="n">
        <v>117644</v>
      </c>
      <c r="M4" s="12" t="n">
        <v>129415</v>
      </c>
      <c r="N4" s="12" t="n">
        <v>128189</v>
      </c>
      <c r="O4" s="11" t="n">
        <v>322998</v>
      </c>
      <c r="P4" s="12" t="n">
        <v>335800</v>
      </c>
      <c r="Q4" s="12" t="n">
        <v>348035</v>
      </c>
      <c r="R4" s="12" t="n">
        <v>363230</v>
      </c>
      <c r="S4" s="12" t="n">
        <v>378040</v>
      </c>
      <c r="T4" s="12" t="n">
        <v>546515</v>
      </c>
      <c r="U4" s="12" t="n">
        <v>628909</v>
      </c>
      <c r="V4" s="12" t="n">
        <v>474362</v>
      </c>
      <c r="W4" s="12" t="n">
        <v>450993</v>
      </c>
      <c r="X4" s="12" t="n">
        <v>466243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BicycleComponentsReportableSegmentMember</t>
        </is>
      </c>
      <c r="B7" s="10" t="n"/>
      <c r="C7" s="19" t="n">
        <v>75236</v>
      </c>
      <c r="D7" s="20" t="n">
        <v>76090</v>
      </c>
      <c r="E7" s="20" t="n"/>
      <c r="F7" s="20" t="n"/>
      <c r="G7" s="20" t="n">
        <v>91692</v>
      </c>
      <c r="H7" s="20" t="n">
        <v>87972</v>
      </c>
      <c r="I7" s="20" t="n"/>
      <c r="J7" s="20" t="n"/>
      <c r="K7" s="20" t="n">
        <v>88729</v>
      </c>
      <c r="L7" s="20" t="n">
        <v>87361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364679</v>
      </c>
      <c r="W7" s="20" t="n">
        <v>345553</v>
      </c>
      <c r="X7" s="20" t="n">
        <v>354972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FishingTackleReportableSegmentMember</t>
        </is>
      </c>
      <c r="B10" s="10" t="n"/>
      <c r="C10" s="19" t="n">
        <v>23753</v>
      </c>
      <c r="D10" s="20" t="n">
        <v>24369</v>
      </c>
      <c r="E10" s="20" t="n"/>
      <c r="F10" s="20" t="n"/>
      <c r="G10" s="20" t="n">
        <v>24300</v>
      </c>
      <c r="H10" s="20" t="n">
        <v>25468</v>
      </c>
      <c r="I10" s="20" t="n"/>
      <c r="J10" s="20" t="n"/>
      <c r="K10" s="20" t="n">
        <v>26397</v>
      </c>
      <c r="L10" s="20" t="n">
        <v>30175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109225</v>
      </c>
      <c r="W10" s="20" t="n">
        <v>104990</v>
      </c>
      <c r="X10" s="20" t="n">
        <v>110832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OtherReportableSegmentsMember</t>
        </is>
      </c>
      <c r="B13" s="10" t="n"/>
      <c r="C13" s="19" t="n">
        <v>109</v>
      </c>
      <c r="D13" s="20" t="n">
        <v>97</v>
      </c>
      <c r="E13" s="20" t="n">
        <v>125</v>
      </c>
      <c r="F13" s="20" t="n">
        <v>105</v>
      </c>
      <c r="G13" s="20" t="n">
        <v>122</v>
      </c>
      <c r="H13" s="20" t="n">
        <v>98</v>
      </c>
      <c r="I13" s="20" t="n">
        <v>135</v>
      </c>
      <c r="J13" s="20" t="n">
        <v>109</v>
      </c>
      <c r="K13" s="20" t="n">
        <v>97</v>
      </c>
      <c r="L13" s="20" t="n">
        <v>108</v>
      </c>
      <c r="M13" s="20" t="n">
        <v>105</v>
      </c>
      <c r="N13" s="20" t="n">
        <v>101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457</v>
      </c>
      <c r="W13" s="20" t="n">
        <v>449</v>
      </c>
      <c r="X13" s="20" t="n">
        <v>439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/>
      <c r="F16" s="20" t="n"/>
      <c r="G16" s="20" t="n"/>
      <c r="H16" s="20" t="n">
        <v>113539</v>
      </c>
      <c r="I16" s="20" t="n"/>
      <c r="J16" s="20" t="n"/>
      <c r="K16" s="20" t="n"/>
      <c r="L16" s="20" t="n">
        <v>117644</v>
      </c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BicycleComponentsReportableSegmentsMember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FishingTackleReportableSegmentsMember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63160</v>
      </c>
      <c r="D26" s="20" t="n">
        <v>61513</v>
      </c>
      <c r="E26" s="20" t="n">
        <v>71436</v>
      </c>
      <c r="F26" s="20" t="n">
        <v>71453</v>
      </c>
      <c r="G26" s="20" t="n">
        <v>74288</v>
      </c>
      <c r="H26" s="20" t="n">
        <v>68442</v>
      </c>
      <c r="I26" s="20" t="n">
        <v>82330</v>
      </c>
      <c r="J26" s="20" t="n">
        <v>75449</v>
      </c>
      <c r="K26" s="20" t="n">
        <v>73406</v>
      </c>
      <c r="L26" s="20" t="n">
        <v>75787</v>
      </c>
      <c r="M26" s="20" t="n">
        <v>82724</v>
      </c>
      <c r="N26" s="20" t="n">
        <v>82069</v>
      </c>
      <c r="O26" s="19" t="n">
        <v>191461</v>
      </c>
      <c r="P26" s="20" t="n">
        <v>198344</v>
      </c>
      <c r="Q26" s="20" t="n">
        <v>211463</v>
      </c>
      <c r="R26" s="20" t="n">
        <v>222638</v>
      </c>
      <c r="S26" s="20" t="n">
        <v>224956</v>
      </c>
      <c r="T26" s="20" t="n">
        <v>315097</v>
      </c>
      <c r="U26" s="20" t="n">
        <v>363264</v>
      </c>
      <c r="V26" s="20" t="n">
        <v>291847</v>
      </c>
      <c r="W26" s="20" t="n">
        <v>278690</v>
      </c>
      <c r="X26" s="20" t="n">
        <v>299627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24372</v>
      </c>
      <c r="D32" s="20" t="n">
        <v>25623</v>
      </c>
      <c r="E32" s="20" t="n">
        <v>27358</v>
      </c>
      <c r="F32" s="20" t="n">
        <v>26844</v>
      </c>
      <c r="G32" s="20" t="n">
        <v>27392</v>
      </c>
      <c r="H32" s="20" t="n">
        <v>28955</v>
      </c>
      <c r="I32" s="20" t="n">
        <v>29558</v>
      </c>
      <c r="J32" s="20" t="n">
        <v>29720</v>
      </c>
      <c r="K32" s="20" t="n">
        <v>26705</v>
      </c>
      <c r="L32" s="20" t="n">
        <v>31456</v>
      </c>
      <c r="M32" s="20" t="n">
        <v>29841</v>
      </c>
      <c r="N32" s="20" t="n">
        <v>28838</v>
      </c>
      <c r="O32" s="19" t="n">
        <v>66991</v>
      </c>
      <c r="P32" s="20" t="n">
        <v>73105</v>
      </c>
      <c r="Q32" s="20" t="n">
        <v>70884</v>
      </c>
      <c r="R32" s="20" t="n">
        <v>72581</v>
      </c>
      <c r="S32" s="20" t="n">
        <v>70382</v>
      </c>
      <c r="T32" s="20" t="n">
        <v>83129</v>
      </c>
      <c r="U32" s="20" t="n">
        <v>96486</v>
      </c>
      <c r="V32" s="20" t="n">
        <v>98861</v>
      </c>
      <c r="W32" s="20" t="n">
        <v>107217</v>
      </c>
      <c r="X32" s="20" t="n">
        <v>114938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11567</v>
      </c>
      <c r="D34" s="12" t="n">
        <v>13421</v>
      </c>
      <c r="E34" s="12" t="n">
        <v>17534</v>
      </c>
      <c r="F34" s="12" t="n">
        <v>19696</v>
      </c>
      <c r="G34" s="12" t="n">
        <v>14434</v>
      </c>
      <c r="H34" s="12" t="n">
        <v>16142</v>
      </c>
      <c r="I34" s="12" t="n">
        <v>11981</v>
      </c>
      <c r="J34" s="12" t="n">
        <v>8442</v>
      </c>
      <c r="K34" s="12" t="n">
        <v>15112</v>
      </c>
      <c r="L34" s="12" t="n">
        <v>10400</v>
      </c>
      <c r="M34" s="12" t="n">
        <v>16849</v>
      </c>
      <c r="N34" s="12" t="n">
        <v>17283</v>
      </c>
      <c r="O34" s="11" t="n">
        <v>64546</v>
      </c>
      <c r="P34" s="12" t="n">
        <v>64351</v>
      </c>
      <c r="Q34" s="12" t="n">
        <v>65687</v>
      </c>
      <c r="R34" s="12" t="n">
        <v>68010</v>
      </c>
      <c r="S34" s="12" t="n">
        <v>82701</v>
      </c>
      <c r="T34" s="12" t="n">
        <v>148287</v>
      </c>
      <c r="U34" s="12" t="n">
        <v>169158</v>
      </c>
      <c r="V34" s="12" t="n">
        <v>83653</v>
      </c>
      <c r="W34" s="12" t="n">
        <v>65085</v>
      </c>
      <c r="X34" s="12" t="n">
        <v>51677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/>
      <c r="D50" s="20" t="n"/>
      <c r="E50" s="20" t="n"/>
      <c r="F50" s="20" t="n"/>
      <c r="G50" s="20" t="n"/>
      <c r="H50" s="20" t="n">
        <v>0</v>
      </c>
      <c r="I50" s="20" t="n">
        <v>0</v>
      </c>
      <c r="J50" s="20" t="n">
        <v>0</v>
      </c>
      <c r="K50" s="20" t="n">
        <v>9507</v>
      </c>
      <c r="L50" s="20" t="n">
        <v>3143</v>
      </c>
      <c r="M50" s="20" t="n">
        <v>0</v>
      </c>
      <c r="N50" s="20" t="n">
        <v>0</v>
      </c>
      <c r="O50" s="19" t="n"/>
      <c r="P50" s="20" t="n">
        <v>0</v>
      </c>
      <c r="Q50" s="20" t="n">
        <v>766</v>
      </c>
      <c r="R50" s="20" t="n">
        <v>2559</v>
      </c>
      <c r="S50" s="20" t="n">
        <v>3619</v>
      </c>
      <c r="T50" s="20" t="n">
        <v>1627</v>
      </c>
      <c r="U50" s="20" t="n">
        <v>0</v>
      </c>
      <c r="V50" s="20" t="n"/>
      <c r="W50" s="20" t="n">
        <v>0</v>
      </c>
      <c r="X50" s="20" t="n">
        <v>9507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2023</v>
      </c>
      <c r="D52" s="20" t="n">
        <v>60</v>
      </c>
      <c r="E52" s="20" t="n">
        <v>3</v>
      </c>
      <c r="F52" s="20" t="n">
        <v>3</v>
      </c>
      <c r="G52" s="20" t="n">
        <v>14</v>
      </c>
      <c r="H52" s="20" t="n">
        <v>7</v>
      </c>
      <c r="I52" s="20" t="n">
        <v>13</v>
      </c>
      <c r="J52" s="20" t="n">
        <v>121</v>
      </c>
      <c r="K52" s="20" t="n">
        <v>38</v>
      </c>
      <c r="L52" s="20" t="n">
        <v>385</v>
      </c>
      <c r="M52" s="20" t="n">
        <v>25</v>
      </c>
      <c r="N52" s="20" t="n">
        <v>696</v>
      </c>
      <c r="O52" s="19" t="n">
        <v>1600</v>
      </c>
      <c r="P52" s="20" t="n">
        <v>1184</v>
      </c>
      <c r="Q52" s="20" t="n">
        <v>3130</v>
      </c>
      <c r="R52" s="20" t="n">
        <v>637</v>
      </c>
      <c r="S52" s="20" t="n">
        <v>271</v>
      </c>
      <c r="T52" s="20" t="n">
        <v>461</v>
      </c>
      <c r="U52" s="20" t="n">
        <v>2456</v>
      </c>
      <c r="V52" s="20" t="n">
        <v>19931</v>
      </c>
      <c r="W52" s="20" t="n">
        <v>80</v>
      </c>
      <c r="X52" s="20" t="n">
        <v>179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-3527</v>
      </c>
      <c r="D54" s="20" t="n">
        <v>15733</v>
      </c>
      <c r="E54" s="20" t="n">
        <v>10160</v>
      </c>
      <c r="F54" s="20" t="n">
        <v>-6316</v>
      </c>
      <c r="G54" s="20" t="n">
        <v>17829</v>
      </c>
      <c r="H54" s="20" t="n">
        <v>4878</v>
      </c>
      <c r="I54" s="20" t="n">
        <v>4964</v>
      </c>
      <c r="J54" s="20" t="n">
        <v>4697</v>
      </c>
      <c r="K54" s="20" t="n">
        <v>5050</v>
      </c>
      <c r="L54" s="20" t="n">
        <v>4870</v>
      </c>
      <c r="M54" s="20" t="n">
        <v>4789</v>
      </c>
      <c r="N54" s="20" t="n">
        <v>1543</v>
      </c>
      <c r="O54" s="19" t="n">
        <v>7112</v>
      </c>
      <c r="P54" s="20" t="n">
        <v>3241</v>
      </c>
      <c r="Q54" s="20" t="n">
        <v>9261</v>
      </c>
      <c r="R54" s="20" t="n">
        <v>5598</v>
      </c>
      <c r="S54" s="20" t="n">
        <v>3247</v>
      </c>
      <c r="T54" s="20" t="n">
        <v>6294</v>
      </c>
      <c r="U54" s="20" t="n">
        <v>11022</v>
      </c>
      <c r="V54" s="20" t="n">
        <v>21905</v>
      </c>
      <c r="W54" s="20" t="n">
        <v>37406</v>
      </c>
      <c r="X54" s="20" t="n">
        <v>19589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890</v>
      </c>
      <c r="D56" s="20" t="n">
        <v>301</v>
      </c>
      <c r="E56" s="20" t="n">
        <v>921</v>
      </c>
      <c r="F56" s="20" t="n">
        <v>10744</v>
      </c>
      <c r="G56" s="20" t="n">
        <v>-8149</v>
      </c>
      <c r="H56" s="20" t="n">
        <v>5615</v>
      </c>
      <c r="I56" s="20" t="n">
        <v>18312</v>
      </c>
      <c r="J56" s="20" t="n">
        <v>-3071</v>
      </c>
      <c r="K56" s="20" t="n">
        <v>3381</v>
      </c>
      <c r="L56" s="20" t="n">
        <v>385</v>
      </c>
      <c r="M56" s="20" t="n">
        <v>1199</v>
      </c>
      <c r="N56" s="20" t="n">
        <v>2285</v>
      </c>
      <c r="O56" s="19" t="n">
        <v>1656</v>
      </c>
      <c r="P56" s="20" t="n">
        <v>11844</v>
      </c>
      <c r="Q56" s="20" t="n">
        <v>1361</v>
      </c>
      <c r="R56" s="20" t="n">
        <v>4138</v>
      </c>
      <c r="S56" s="20" t="n">
        <v>4476</v>
      </c>
      <c r="T56" s="20" t="n">
        <v>2020</v>
      </c>
      <c r="U56" s="20" t="n">
        <v>3612</v>
      </c>
      <c r="V56" s="20" t="n">
        <v>2188</v>
      </c>
      <c r="W56" s="20" t="n">
        <v>3817</v>
      </c>
      <c r="X56" s="20" t="n">
        <v>24237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5126</v>
      </c>
      <c r="D58" s="12" t="n">
        <v>28792</v>
      </c>
      <c r="E58" s="12" t="n">
        <v>26770</v>
      </c>
      <c r="F58" s="12" t="n">
        <v>2634</v>
      </c>
      <c r="G58" s="12" t="n">
        <v>40398</v>
      </c>
      <c r="H58" s="12" t="n">
        <v>15397</v>
      </c>
      <c r="I58" s="12" t="n">
        <v>-1380</v>
      </c>
      <c r="J58" s="12" t="n">
        <v>16090</v>
      </c>
      <c r="K58" s="12" t="n">
        <v>26251</v>
      </c>
      <c r="L58" s="12" t="n">
        <v>17643</v>
      </c>
      <c r="M58" s="12" t="n">
        <v>20414</v>
      </c>
      <c r="N58" s="12" t="n">
        <v>15844</v>
      </c>
      <c r="O58" s="11" t="n">
        <v>68402</v>
      </c>
      <c r="P58" s="12" t="n">
        <v>54563</v>
      </c>
      <c r="Q58" s="12" t="n">
        <v>71224</v>
      </c>
      <c r="R58" s="12" t="n">
        <v>71393</v>
      </c>
      <c r="S58" s="12" t="n">
        <v>84820</v>
      </c>
      <c r="T58" s="12" t="n">
        <v>153728</v>
      </c>
      <c r="U58" s="12" t="n">
        <v>174112</v>
      </c>
      <c r="V58" s="12" t="n">
        <v>83438</v>
      </c>
      <c r="W58" s="12" t="n">
        <v>98594</v>
      </c>
      <c r="X58" s="12" t="n">
        <v>56358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4140</v>
      </c>
      <c r="D60" s="20" t="n">
        <v>5003</v>
      </c>
      <c r="E60" s="20" t="n">
        <v>6688</v>
      </c>
      <c r="F60" s="20" t="n">
        <v>4967</v>
      </c>
      <c r="G60" s="20" t="n">
        <v>5363</v>
      </c>
      <c r="H60" s="20" t="n">
        <v>5613</v>
      </c>
      <c r="I60" s="20" t="n">
        <v>4423</v>
      </c>
      <c r="J60" s="20" t="n">
        <v>3866</v>
      </c>
      <c r="K60" s="20" t="n">
        <v>8299</v>
      </c>
      <c r="L60" s="20" t="n">
        <v>4784</v>
      </c>
      <c r="M60" s="20" t="n">
        <v>5168</v>
      </c>
      <c r="N60" s="20" t="n">
        <v>3674</v>
      </c>
      <c r="O60" s="19" t="n">
        <v>17508</v>
      </c>
      <c r="P60" s="20" t="n">
        <v>16098</v>
      </c>
      <c r="Q60" s="20" t="n">
        <v>17285</v>
      </c>
      <c r="R60" s="20" t="n">
        <v>19535</v>
      </c>
      <c r="S60" s="20" t="n">
        <v>21294</v>
      </c>
      <c r="T60" s="20" t="n">
        <v>37596</v>
      </c>
      <c r="U60" s="20" t="n">
        <v>45676</v>
      </c>
      <c r="V60" s="20" t="n">
        <v>22085</v>
      </c>
      <c r="W60" s="20" t="n">
        <v>22021</v>
      </c>
      <c r="X60" s="20" t="n">
        <v>22201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985</v>
      </c>
      <c r="D62" s="12" t="n">
        <v>23788</v>
      </c>
      <c r="E62" s="12" t="n">
        <v>20082</v>
      </c>
      <c r="F62" s="12" t="n">
        <v>-2332</v>
      </c>
      <c r="G62" s="12" t="n">
        <v>35035</v>
      </c>
      <c r="H62" s="12" t="n">
        <v>9783</v>
      </c>
      <c r="I62" s="12" t="n">
        <v>-5802</v>
      </c>
      <c r="J62" s="12" t="n">
        <v>12223</v>
      </c>
      <c r="K62" s="12" t="n">
        <v>17952</v>
      </c>
      <c r="L62" s="12" t="n">
        <v>12858</v>
      </c>
      <c r="M62" s="12" t="n">
        <v>15247</v>
      </c>
      <c r="N62" s="12" t="n">
        <v>12170</v>
      </c>
      <c r="O62" s="11" t="n">
        <v>50894</v>
      </c>
      <c r="P62" s="12" t="n">
        <v>38464</v>
      </c>
      <c r="Q62" s="12" t="n">
        <v>53939</v>
      </c>
      <c r="R62" s="12" t="n">
        <v>51857</v>
      </c>
      <c r="S62" s="12" t="n">
        <v>63525</v>
      </c>
      <c r="T62" s="12" t="n">
        <v>116132</v>
      </c>
      <c r="U62" s="12" t="n">
        <v>128436</v>
      </c>
      <c r="V62" s="12" t="n">
        <v>61352</v>
      </c>
      <c r="W62" s="12" t="n">
        <v>76573</v>
      </c>
      <c r="X62" s="12" t="n">
        <v>34156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973</v>
      </c>
      <c r="D64" s="12" t="n">
        <v>23687</v>
      </c>
      <c r="E64" s="12" t="n">
        <v>20017</v>
      </c>
      <c r="F64" s="12" t="n">
        <v>-2361</v>
      </c>
      <c r="G64" s="12" t="n">
        <v>34986</v>
      </c>
      <c r="H64" s="12" t="n">
        <v>9786</v>
      </c>
      <c r="I64" s="12" t="n">
        <v>-5825</v>
      </c>
      <c r="J64" s="12" t="n">
        <v>12144</v>
      </c>
      <c r="K64" s="12" t="n">
        <v>17886</v>
      </c>
      <c r="L64" s="12" t="n">
        <v>12814</v>
      </c>
      <c r="M64" s="12" t="n">
        <v>15136</v>
      </c>
      <c r="N64" s="12" t="n">
        <v>12072</v>
      </c>
      <c r="O64" s="11" t="n">
        <v>50964</v>
      </c>
      <c r="P64" s="12" t="n">
        <v>38443</v>
      </c>
      <c r="Q64" s="12" t="n">
        <v>53931</v>
      </c>
      <c r="R64" s="12" t="n">
        <v>51833</v>
      </c>
      <c r="S64" s="12" t="n">
        <v>63472</v>
      </c>
      <c r="T64" s="12" t="n">
        <v>115937</v>
      </c>
      <c r="U64" s="12" t="n">
        <v>128178</v>
      </c>
      <c r="V64" s="12" t="n">
        <v>61142</v>
      </c>
      <c r="W64" s="12" t="n">
        <v>76329</v>
      </c>
      <c r="X64" s="12" t="n">
        <v>33991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(2026.10.28)</t>
        </is>
      </c>
      <c r="B68" s="27" t="n">
        <v>19760</v>
      </c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>
        <v>86530000</v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 2026.10.28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2023.4Q</t>
        </is>
      </c>
      <c r="D98" s="5" t="inlineStr">
        <is>
          <t>2024.1Q</t>
        </is>
      </c>
      <c r="E98" s="5" t="inlineStr">
        <is>
          <t>2024.2Q</t>
        </is>
      </c>
      <c r="F98" s="5" t="inlineStr">
        <is>
          <t>2024.3Q</t>
        </is>
      </c>
      <c r="G98" s="5" t="inlineStr">
        <is>
          <t>2024.4Q</t>
        </is>
      </c>
      <c r="H98" s="5" t="inlineStr">
        <is>
          <t>2025.1Q</t>
        </is>
      </c>
      <c r="I98" s="5" t="inlineStr">
        <is>
          <t>2025.2Q</t>
        </is>
      </c>
      <c r="J98" s="5" t="inlineStr">
        <is>
          <t>2025.3Q</t>
        </is>
      </c>
      <c r="K98" s="5" t="inlineStr">
        <is>
          <t>2025.4Q</t>
        </is>
      </c>
      <c r="L98" s="5" t="inlineStr">
        <is>
          <t>2026.1Q</t>
        </is>
      </c>
      <c r="M98" s="5" t="inlineStr">
        <is>
          <t>2026.2Q</t>
        </is>
      </c>
      <c r="N98" s="5" t="inlineStr">
        <is>
          <t>2026.3Q</t>
        </is>
      </c>
      <c r="O98" s="5" t="inlineStr">
        <is>
          <t>2016</t>
        </is>
      </c>
      <c r="P98" s="5" t="inlineStr">
        <is>
          <t>2017</t>
        </is>
      </c>
      <c r="Q98" s="5" t="inlineStr">
        <is>
          <t>2018</t>
        </is>
      </c>
      <c r="R98" s="5" t="inlineStr">
        <is>
          <t>2019</t>
        </is>
      </c>
      <c r="S98" s="5" t="inlineStr">
        <is>
          <t>2020</t>
        </is>
      </c>
      <c r="T98" s="5" t="inlineStr">
        <is>
          <t>2021</t>
        </is>
      </c>
      <c r="U98" s="5" t="inlineStr">
        <is>
          <t>2022</t>
        </is>
      </c>
      <c r="V98" s="5" t="inlineStr">
        <is>
          <t>2023</t>
        </is>
      </c>
      <c r="W98" s="5" t="inlineStr">
        <is>
          <t>2024</t>
        </is>
      </c>
      <c r="X98" s="5" t="inlineStr">
        <is>
          <t>2025</t>
        </is>
      </c>
      <c r="Y98" s="5" t="inlineStr">
        <is>
          <t>2026(MW)</t>
        </is>
      </c>
      <c r="Z98" s="5" t="inlineStr">
        <is>
          <t>2027(MW)</t>
        </is>
      </c>
      <c r="AA98" s="5" t="inlineStr">
        <is>
          <t>2028(MW)</t>
        </is>
      </c>
      <c r="AB98" s="5" t="inlineStr">
        <is>
          <t>2029(MW)</t>
        </is>
      </c>
      <c r="AC98" s="5" t="inlineStr">
        <is>
          <t>2030(MW)</t>
        </is>
      </c>
    </row>
    <row r="99">
      <c r="A99" s="9" t="inlineStr">
        <is>
          <t>매출액</t>
        </is>
      </c>
      <c r="C99" s="12" t="n">
        <v>99098</v>
      </c>
      <c r="D99" s="12" t="n">
        <v>100557</v>
      </c>
      <c r="E99" s="12" t="n">
        <v>116330</v>
      </c>
      <c r="F99" s="12" t="n">
        <v>117992</v>
      </c>
      <c r="G99" s="12" t="n">
        <v>116114</v>
      </c>
      <c r="H99" s="12" t="n">
        <v>113539</v>
      </c>
      <c r="I99" s="12" t="n">
        <v>123870</v>
      </c>
      <c r="J99" s="12" t="n">
        <v>113611</v>
      </c>
      <c r="K99" s="12" t="n">
        <v>115223</v>
      </c>
      <c r="L99" s="12" t="n">
        <v>117644</v>
      </c>
      <c r="M99" s="12" t="n">
        <v>129415</v>
      </c>
      <c r="N99" s="12" t="n">
        <v>128189</v>
      </c>
      <c r="U99" s="12" t="n">
        <v>161244</v>
      </c>
      <c r="V99" s="12" t="n">
        <v>99098</v>
      </c>
      <c r="W99" s="12" t="n">
        <v>116114</v>
      </c>
      <c r="X99" s="12" t="n">
        <v>115223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63160</v>
      </c>
      <c r="D101" s="20" t="n">
        <v>61513</v>
      </c>
      <c r="E101" s="20" t="n">
        <v>71436</v>
      </c>
      <c r="F101" s="20" t="n">
        <v>71453</v>
      </c>
      <c r="G101" s="20" t="n">
        <v>74288</v>
      </c>
      <c r="H101" s="20" t="n">
        <v>68442</v>
      </c>
      <c r="I101" s="20" t="n">
        <v>82330</v>
      </c>
      <c r="J101" s="20" t="n">
        <v>75449</v>
      </c>
      <c r="K101" s="20" t="n">
        <v>73406</v>
      </c>
      <c r="L101" s="20" t="n">
        <v>75787</v>
      </c>
      <c r="M101" s="20" t="n">
        <v>82724</v>
      </c>
      <c r="N101" s="20" t="n">
        <v>82069</v>
      </c>
      <c r="U101" s="20" t="n">
        <v>93879</v>
      </c>
      <c r="V101" s="20" t="n">
        <v>63160</v>
      </c>
      <c r="W101" s="20" t="n">
        <v>74288</v>
      </c>
      <c r="X101" s="20" t="n">
        <v>73406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35939</v>
      </c>
      <c r="D103" s="12" t="n">
        <v>39044</v>
      </c>
      <c r="E103" s="12" t="n">
        <v>44893</v>
      </c>
      <c r="F103" s="12" t="n">
        <v>46539</v>
      </c>
      <c r="G103" s="12" t="n">
        <v>41827</v>
      </c>
      <c r="H103" s="12" t="n">
        <v>45097</v>
      </c>
      <c r="I103" s="12" t="n">
        <v>41539</v>
      </c>
      <c r="J103" s="12" t="n">
        <v>38163</v>
      </c>
      <c r="K103" s="12" t="n">
        <v>41817</v>
      </c>
      <c r="L103" s="12" t="n">
        <v>41857</v>
      </c>
      <c r="M103" s="12" t="n">
        <v>46690</v>
      </c>
      <c r="N103" s="12" t="n">
        <v>46120</v>
      </c>
      <c r="U103" s="12" t="n">
        <v>67366</v>
      </c>
      <c r="V103" s="12" t="n">
        <v>35939</v>
      </c>
      <c r="W103" s="12" t="n">
        <v>41827</v>
      </c>
      <c r="X103" s="12" t="n">
        <v>41817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24372</v>
      </c>
      <c r="D105" s="20" t="n">
        <v>25623</v>
      </c>
      <c r="E105" s="20" t="n">
        <v>27358</v>
      </c>
      <c r="F105" s="20" t="n">
        <v>26844</v>
      </c>
      <c r="G105" s="20" t="n">
        <v>27392</v>
      </c>
      <c r="H105" s="20" t="n">
        <v>28955</v>
      </c>
      <c r="I105" s="20" t="n">
        <v>29558</v>
      </c>
      <c r="J105" s="20" t="n">
        <v>29720</v>
      </c>
      <c r="K105" s="20" t="n">
        <v>26705</v>
      </c>
      <c r="L105" s="20" t="n">
        <v>31456</v>
      </c>
      <c r="M105" s="20" t="n">
        <v>29841</v>
      </c>
      <c r="N105" s="20" t="n">
        <v>28838</v>
      </c>
      <c r="U105" s="20" t="n">
        <v>24784</v>
      </c>
      <c r="V105" s="20" t="n">
        <v>24372</v>
      </c>
      <c r="W105" s="20" t="n">
        <v>27392</v>
      </c>
      <c r="X105" s="20" t="n">
        <v>26705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11567</v>
      </c>
      <c r="D107" s="12" t="n">
        <v>13421</v>
      </c>
      <c r="E107" s="12" t="n">
        <v>17534</v>
      </c>
      <c r="F107" s="12" t="n">
        <v>19696</v>
      </c>
      <c r="G107" s="12" t="n">
        <v>14434</v>
      </c>
      <c r="H107" s="12" t="n">
        <v>16142</v>
      </c>
      <c r="I107" s="12" t="n">
        <v>11981</v>
      </c>
      <c r="J107" s="12" t="n">
        <v>8442</v>
      </c>
      <c r="K107" s="12" t="n">
        <v>15112</v>
      </c>
      <c r="L107" s="12" t="n">
        <v>10400</v>
      </c>
      <c r="M107" s="12" t="n">
        <v>16849</v>
      </c>
      <c r="N107" s="12" t="n">
        <v>17283</v>
      </c>
      <c r="U107" s="12" t="n">
        <v>42582</v>
      </c>
      <c r="V107" s="12" t="n">
        <v>11567</v>
      </c>
      <c r="W107" s="12" t="n">
        <v>14434</v>
      </c>
      <c r="X107" s="12" t="n">
        <v>15112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이자수익</t>
        </is>
      </c>
      <c r="C110" s="20" t="n">
        <v>6329</v>
      </c>
      <c r="D110" s="20" t="n">
        <v>5907</v>
      </c>
      <c r="E110" s="20" t="n">
        <v>6120</v>
      </c>
      <c r="F110" s="20" t="n">
        <v>5626</v>
      </c>
      <c r="G110" s="20" t="n">
        <v>5164</v>
      </c>
      <c r="H110" s="20" t="n">
        <v>4608</v>
      </c>
      <c r="I110" s="20" t="n">
        <v>4065</v>
      </c>
      <c r="J110" s="20" t="n">
        <v>4181</v>
      </c>
      <c r="K110" s="20" t="n">
        <v>3882</v>
      </c>
      <c r="L110" s="20" t="n">
        <v>3263</v>
      </c>
      <c r="M110" s="20" t="n">
        <v>3008</v>
      </c>
      <c r="N110" s="20" t="n">
        <v>3196</v>
      </c>
      <c r="U110" s="20" t="n">
        <v>3107</v>
      </c>
      <c r="V110" s="20" t="n">
        <v>6329</v>
      </c>
      <c r="W110" s="20" t="n">
        <v>5164</v>
      </c>
      <c r="X110" s="20" t="n">
        <v>3882</v>
      </c>
    </row>
    <row r="111">
      <c r="A111" s="18" t="inlineStr">
        <is>
          <t>배당금수익</t>
        </is>
      </c>
      <c r="C111" s="20" t="n">
        <v>394</v>
      </c>
      <c r="D111" s="20" t="n">
        <v>109</v>
      </c>
      <c r="E111" s="20" t="n">
        <v>237</v>
      </c>
      <c r="F111" s="20" t="n">
        <v>135</v>
      </c>
      <c r="G111" s="20" t="n">
        <v>231</v>
      </c>
      <c r="H111" s="20" t="n">
        <v>92</v>
      </c>
      <c r="I111" s="20" t="n">
        <v>504</v>
      </c>
      <c r="J111" s="20" t="n">
        <v>127</v>
      </c>
      <c r="K111" s="20" t="n">
        <v>389</v>
      </c>
      <c r="L111" s="20" t="n">
        <v>153</v>
      </c>
      <c r="M111" s="20" t="n">
        <v>355</v>
      </c>
      <c r="N111" s="20" t="n">
        <v>70</v>
      </c>
      <c r="U111" s="20" t="n">
        <v>164</v>
      </c>
      <c r="V111" s="20" t="n">
        <v>394</v>
      </c>
      <c r="W111" s="20" t="n">
        <v>231</v>
      </c>
      <c r="X111" s="20" t="n">
        <v>389</v>
      </c>
    </row>
    <row r="112">
      <c r="A112" s="18" t="inlineStr">
        <is>
          <t>외환차익</t>
        </is>
      </c>
      <c r="C112" s="20" t="n">
        <v>-10227</v>
      </c>
      <c r="D112" s="20" t="n">
        <v>9401</v>
      </c>
      <c r="E112" s="20" t="n">
        <v>3695</v>
      </c>
      <c r="F112" s="20" t="n">
        <v>-13096</v>
      </c>
      <c r="G112" s="20" t="n">
        <v>12227</v>
      </c>
      <c r="H112" s="20" t="n">
        <v>0</v>
      </c>
      <c r="I112" s="20" t="n">
        <v>0</v>
      </c>
      <c r="L112" s="20" t="n">
        <v>1003</v>
      </c>
      <c r="M112" s="20" t="n">
        <v>806</v>
      </c>
      <c r="U112" s="20" t="n">
        <v>-17611</v>
      </c>
      <c r="V112" s="20" t="n">
        <v>-10227</v>
      </c>
      <c r="W112" s="20" t="n">
        <v>12227</v>
      </c>
    </row>
    <row r="113">
      <c r="A113" s="18" t="inlineStr">
        <is>
          <t>기타</t>
        </is>
      </c>
      <c r="C113" s="20" t="n">
        <v>-24</v>
      </c>
      <c r="D113" s="20" t="n">
        <v>314</v>
      </c>
      <c r="E113" s="20" t="n">
        <v>108</v>
      </c>
      <c r="F113" s="20" t="n">
        <v>1020</v>
      </c>
      <c r="G113" s="20" t="n">
        <v>207</v>
      </c>
      <c r="H113" s="20" t="n">
        <v>176</v>
      </c>
      <c r="I113" s="20" t="n">
        <v>397</v>
      </c>
      <c r="J113" s="20" t="n">
        <v>388</v>
      </c>
      <c r="K113" s="20" t="n">
        <v>779</v>
      </c>
      <c r="L113" s="20" t="n">
        <v>449</v>
      </c>
      <c r="M113" s="20" t="n">
        <v>620</v>
      </c>
      <c r="N113" s="20" t="n">
        <v>87</v>
      </c>
      <c r="U113" s="20" t="n">
        <v>145</v>
      </c>
      <c r="V113" s="20" t="n">
        <v>-24</v>
      </c>
      <c r="W113" s="20" t="n">
        <v>207</v>
      </c>
      <c r="X113" s="20" t="n">
        <v>779</v>
      </c>
    </row>
    <row r="114">
      <c r="A114" s="18" t="inlineStr">
        <is>
          <t>영업외수익 합계</t>
        </is>
      </c>
      <c r="C114" s="20" t="n">
        <v>-3527</v>
      </c>
      <c r="D114" s="20" t="n">
        <v>15733</v>
      </c>
      <c r="E114" s="20" t="n">
        <v>10160</v>
      </c>
      <c r="F114" s="20" t="n">
        <v>-6316</v>
      </c>
      <c r="G114" s="20" t="n">
        <v>17829</v>
      </c>
      <c r="H114" s="20" t="n">
        <v>4878</v>
      </c>
      <c r="I114" s="20" t="n">
        <v>4964</v>
      </c>
      <c r="J114" s="20" t="n">
        <v>4697</v>
      </c>
      <c r="K114" s="20" t="n">
        <v>5050</v>
      </c>
      <c r="L114" s="20" t="n">
        <v>4870</v>
      </c>
      <c r="M114" s="20" t="n">
        <v>4789</v>
      </c>
      <c r="N114" s="20" t="n">
        <v>1543</v>
      </c>
      <c r="U114" s="20" t="n">
        <v>-14194</v>
      </c>
      <c r="V114" s="20" t="n">
        <v>-3527</v>
      </c>
      <c r="W114" s="20" t="n">
        <v>17829</v>
      </c>
      <c r="X114" s="20" t="n">
        <v>5050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이자비용</t>
        </is>
      </c>
      <c r="C116" s="20" t="n">
        <v>59</v>
      </c>
      <c r="D116" s="20" t="n">
        <v>8</v>
      </c>
      <c r="E116" s="20" t="n">
        <v>45</v>
      </c>
      <c r="F116" s="20" t="n">
        <v>27</v>
      </c>
      <c r="G116" s="20" t="n">
        <v>37</v>
      </c>
      <c r="H116" s="20" t="n">
        <v>28</v>
      </c>
      <c r="I116" s="20" t="n">
        <v>25</v>
      </c>
      <c r="J116" s="20" t="n">
        <v>26</v>
      </c>
      <c r="K116" s="20" t="n">
        <v>30</v>
      </c>
      <c r="L116" s="20" t="n">
        <v>23</v>
      </c>
      <c r="M116" s="20" t="n">
        <v>23</v>
      </c>
      <c r="N116" s="20" t="n">
        <v>37</v>
      </c>
      <c r="U116" s="20" t="n">
        <v>54</v>
      </c>
      <c r="V116" s="20" t="n">
        <v>59</v>
      </c>
      <c r="W116" s="20" t="n">
        <v>37</v>
      </c>
      <c r="X116" s="20" t="n">
        <v>30</v>
      </c>
    </row>
    <row r="117">
      <c r="A117" s="18" t="inlineStr">
        <is>
          <t>기부금</t>
        </is>
      </c>
      <c r="C117" s="20" t="n">
        <v>12</v>
      </c>
      <c r="F117" s="20" t="n">
        <v>350</v>
      </c>
      <c r="G117" s="20" t="n">
        <v>125</v>
      </c>
      <c r="H117" s="20" t="n">
        <v>11</v>
      </c>
      <c r="I117" s="20" t="n">
        <v>590</v>
      </c>
      <c r="L117" s="20" t="n">
        <v>124</v>
      </c>
      <c r="M117" s="20" t="n">
        <v>329</v>
      </c>
      <c r="U117" s="20" t="n">
        <v>20</v>
      </c>
      <c r="V117" s="20" t="n">
        <v>12</v>
      </c>
      <c r="W117" s="20" t="n">
        <v>125</v>
      </c>
    </row>
    <row r="118">
      <c r="A118" s="18" t="inlineStr">
        <is>
          <t>외환차손</t>
        </is>
      </c>
      <c r="C118" s="20" t="n">
        <v>54</v>
      </c>
      <c r="D118" s="20" t="n">
        <v>0</v>
      </c>
      <c r="E118" s="20" t="n">
        <v>0</v>
      </c>
      <c r="F118" s="20" t="n">
        <v>9037</v>
      </c>
      <c r="G118" s="20" t="n">
        <v>-9037</v>
      </c>
      <c r="H118" s="20" t="n">
        <v>5451</v>
      </c>
      <c r="I118" s="20" t="n">
        <v>16239</v>
      </c>
      <c r="J118" s="20" t="n">
        <v>-3303</v>
      </c>
      <c r="K118" s="20" t="n">
        <v>1239</v>
      </c>
      <c r="L118" s="20" t="n">
        <v>0</v>
      </c>
      <c r="M118" s="20" t="n">
        <v>0</v>
      </c>
      <c r="N118" s="20" t="n">
        <v>1710</v>
      </c>
      <c r="V118" s="20" t="n">
        <v>54</v>
      </c>
      <c r="W118" s="20" t="n">
        <v>-9037</v>
      </c>
      <c r="X118" s="20" t="n">
        <v>1239</v>
      </c>
    </row>
    <row r="119">
      <c r="A119" s="18" t="inlineStr">
        <is>
          <t>자발적 리콜 비용</t>
        </is>
      </c>
      <c r="C119" s="20" t="n">
        <v>197</v>
      </c>
      <c r="D119" s="20" t="n">
        <v>136</v>
      </c>
      <c r="E119" s="20" t="n">
        <v>122</v>
      </c>
      <c r="H119" s="20" t="n">
        <v>2</v>
      </c>
      <c r="I119" s="20" t="n">
        <v>204</v>
      </c>
      <c r="U119" s="20" t="n">
        <v>918</v>
      </c>
      <c r="V119" s="20" t="n">
        <v>197</v>
      </c>
    </row>
    <row r="120">
      <c r="A120" s="18" t="inlineStr">
        <is>
          <t>기타</t>
        </is>
      </c>
      <c r="C120" s="20" t="n">
        <v>424</v>
      </c>
      <c r="D120" s="20" t="n">
        <v>157</v>
      </c>
      <c r="E120" s="20" t="n">
        <v>228</v>
      </c>
      <c r="F120" s="20" t="n">
        <v>2464</v>
      </c>
      <c r="G120" s="20" t="n">
        <v>-1187</v>
      </c>
      <c r="H120" s="20" t="n">
        <v>123</v>
      </c>
      <c r="I120" s="20" t="n">
        <v>1459</v>
      </c>
      <c r="J120" s="20" t="n">
        <v>807</v>
      </c>
      <c r="K120" s="20" t="n">
        <v>345</v>
      </c>
      <c r="L120" s="20" t="n">
        <v>237</v>
      </c>
      <c r="M120" s="20" t="n">
        <v>847</v>
      </c>
      <c r="N120" s="20" t="n">
        <v>991</v>
      </c>
      <c r="U120" s="20" t="n">
        <v>689</v>
      </c>
      <c r="V120" s="20" t="n">
        <v>424</v>
      </c>
      <c r="W120" s="20" t="n">
        <v>-1187</v>
      </c>
      <c r="X120" s="20" t="n">
        <v>345</v>
      </c>
    </row>
    <row r="121">
      <c r="A121" s="18" t="inlineStr">
        <is>
          <t>영업외비용 합계</t>
        </is>
      </c>
      <c r="C121" s="20" t="n">
        <v>890</v>
      </c>
      <c r="D121" s="20" t="n">
        <v>301</v>
      </c>
      <c r="E121" s="20" t="n">
        <v>921</v>
      </c>
      <c r="F121" s="20" t="n">
        <v>10744</v>
      </c>
      <c r="G121" s="20" t="n">
        <v>-8149</v>
      </c>
      <c r="H121" s="20" t="n">
        <v>5615</v>
      </c>
      <c r="I121" s="20" t="n">
        <v>18312</v>
      </c>
      <c r="J121" s="20" t="n">
        <v>-3071</v>
      </c>
      <c r="K121" s="20" t="n">
        <v>3381</v>
      </c>
      <c r="L121" s="20" t="n">
        <v>385</v>
      </c>
      <c r="M121" s="20" t="n">
        <v>1199</v>
      </c>
      <c r="N121" s="20" t="n">
        <v>2285</v>
      </c>
      <c r="U121" s="20" t="n">
        <v>1682</v>
      </c>
      <c r="V121" s="20" t="n">
        <v>890</v>
      </c>
      <c r="W121" s="20" t="n">
        <v>-8149</v>
      </c>
      <c r="X121" s="20" t="n">
        <v>3381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9" t="inlineStr">
        <is>
          <t>경상이익</t>
        </is>
      </c>
      <c r="C123" s="12" t="n">
        <v>7148</v>
      </c>
      <c r="D123" s="12" t="n">
        <v>28852</v>
      </c>
      <c r="E123" s="12" t="n">
        <v>26773</v>
      </c>
      <c r="F123" s="12" t="n">
        <v>2637</v>
      </c>
      <c r="G123" s="12" t="n">
        <v>40412</v>
      </c>
      <c r="H123" s="12" t="n">
        <v>15404</v>
      </c>
      <c r="I123" s="12" t="n">
        <v>-1366</v>
      </c>
      <c r="J123" s="12" t="n">
        <v>16210</v>
      </c>
      <c r="K123" s="12" t="n">
        <v>16781</v>
      </c>
      <c r="L123" s="12" t="n">
        <v>14885</v>
      </c>
      <c r="M123" s="12" t="n">
        <v>20439</v>
      </c>
      <c r="N123" s="12" t="n">
        <v>16540</v>
      </c>
      <c r="U123" s="12" t="n">
        <v>26706</v>
      </c>
      <c r="V123" s="12" t="n">
        <v>7148</v>
      </c>
      <c r="W123" s="12" t="n">
        <v>40412</v>
      </c>
      <c r="X123" s="12" t="n">
        <v>16781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U124" s="15">
        <f>IF(OR(U123="",T123=""),"",IF(T123&lt;=0,"",IFERROR(U123/T123-1,"")))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5">
      <c r="A125" s="18" t="inlineStr">
        <is>
          <t>무상 점검 관련 비용</t>
        </is>
      </c>
      <c r="C125" s="20" t="n">
        <v>551</v>
      </c>
      <c r="G125" s="20" t="n">
        <v>0</v>
      </c>
      <c r="U125" s="20" t="n">
        <v>0</v>
      </c>
      <c r="V125" s="20" t="n">
        <v>551</v>
      </c>
      <c r="W125" s="20" t="n">
        <v>0</v>
      </c>
    </row>
    <row r="126">
      <c r="A126" s="18" t="inlineStr">
        <is>
          <t>손상차손</t>
        </is>
      </c>
      <c r="C126" s="20" t="n">
        <v>909</v>
      </c>
      <c r="U126" s="20" t="n">
        <v>115</v>
      </c>
      <c r="V126" s="20" t="n">
        <v>909</v>
      </c>
    </row>
    <row r="127">
      <c r="A127" s="18" t="inlineStr">
        <is>
          <t>자회사 재구축 비용</t>
        </is>
      </c>
      <c r="C127" s="20" t="n">
        <v>0</v>
      </c>
      <c r="U127" s="20" t="n">
        <v>31</v>
      </c>
      <c r="V127" s="20" t="n">
        <v>0</v>
      </c>
    </row>
    <row r="128">
      <c r="A128" s="18" t="inlineStr">
        <is>
          <t>자회사 주식 매각손실</t>
        </is>
      </c>
      <c r="C128" s="20" t="n">
        <v>0</v>
      </c>
      <c r="U128" s="20" t="n">
        <v>0</v>
      </c>
      <c r="V128" s="20" t="n">
        <v>0</v>
      </c>
    </row>
    <row r="129">
      <c r="A129" s="18" t="inlineStr">
        <is>
          <t>투자유가증권 매각이익</t>
        </is>
      </c>
      <c r="H129" s="20" t="n">
        <v>0</v>
      </c>
      <c r="I129" s="20" t="n">
        <v>0</v>
      </c>
      <c r="J129" s="20" t="n">
        <v>0</v>
      </c>
      <c r="K129" s="20" t="n">
        <v>3222</v>
      </c>
      <c r="L129" s="20" t="n">
        <v>3143</v>
      </c>
      <c r="M129" s="20" t="n">
        <v>0</v>
      </c>
      <c r="N129" s="20" t="n">
        <v>0</v>
      </c>
      <c r="X129" s="20" t="n">
        <v>3222</v>
      </c>
    </row>
    <row r="130">
      <c r="A130" s="18" t="inlineStr">
        <is>
          <t>특별이익 합계</t>
        </is>
      </c>
      <c r="H130" s="20" t="n">
        <v>0</v>
      </c>
      <c r="I130" s="20" t="n">
        <v>0</v>
      </c>
      <c r="J130" s="20" t="n">
        <v>0</v>
      </c>
      <c r="K130" s="20" t="n">
        <v>9507</v>
      </c>
      <c r="L130" s="20" t="n">
        <v>3143</v>
      </c>
      <c r="M130" s="20" t="n">
        <v>0</v>
      </c>
      <c r="N130" s="20" t="n">
        <v>0</v>
      </c>
      <c r="X130" s="20" t="n">
        <v>9507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X131" s="15">
        <f>IF(OR(X130="",W130=""),"",IF(X130*W130&lt;=0,"",IFERROR(X130/W130-1,"")))</f>
        <v/>
      </c>
    </row>
    <row r="132">
      <c r="A132" s="18" t="inlineStr">
        <is>
          <t>공장 재건축 관련 비용</t>
        </is>
      </c>
      <c r="C132" s="20" t="n">
        <v>563</v>
      </c>
      <c r="D132" s="20" t="n">
        <v>60</v>
      </c>
      <c r="E132" s="20" t="n">
        <v>3</v>
      </c>
      <c r="F132" s="20" t="n">
        <v>3</v>
      </c>
      <c r="G132" s="20" t="n">
        <v>14</v>
      </c>
      <c r="H132" s="20" t="n">
        <v>7</v>
      </c>
      <c r="I132" s="20" t="n">
        <v>13</v>
      </c>
      <c r="J132" s="20" t="n">
        <v>121</v>
      </c>
      <c r="K132" s="20" t="n">
        <v>38</v>
      </c>
      <c r="L132" s="20" t="n">
        <v>385</v>
      </c>
      <c r="M132" s="20" t="n">
        <v>25</v>
      </c>
      <c r="N132" s="20" t="n">
        <v>696</v>
      </c>
      <c r="U132" s="20" t="n">
        <v>331</v>
      </c>
      <c r="V132" s="20" t="n">
        <v>563</v>
      </c>
      <c r="W132" s="20" t="n">
        <v>14</v>
      </c>
      <c r="X132" s="20" t="n">
        <v>38</v>
      </c>
    </row>
    <row r="133">
      <c r="A133" s="18" t="inlineStr">
        <is>
          <t>특별손실 합계</t>
        </is>
      </c>
      <c r="C133" s="20" t="n">
        <v>2023</v>
      </c>
      <c r="D133" s="20" t="n">
        <v>60</v>
      </c>
      <c r="E133" s="20" t="n">
        <v>3</v>
      </c>
      <c r="F133" s="20" t="n">
        <v>3</v>
      </c>
      <c r="G133" s="20" t="n">
        <v>14</v>
      </c>
      <c r="H133" s="20" t="n">
        <v>7</v>
      </c>
      <c r="I133" s="20" t="n">
        <v>13</v>
      </c>
      <c r="J133" s="20" t="n">
        <v>121</v>
      </c>
      <c r="K133" s="20" t="n">
        <v>38</v>
      </c>
      <c r="L133" s="20" t="n">
        <v>385</v>
      </c>
      <c r="M133" s="20" t="n">
        <v>25</v>
      </c>
      <c r="N133" s="20" t="n">
        <v>696</v>
      </c>
      <c r="U133" s="20" t="n">
        <v>477</v>
      </c>
      <c r="V133" s="20" t="n">
        <v>2023</v>
      </c>
      <c r="W133" s="20" t="n">
        <v>14</v>
      </c>
      <c r="X133" s="20" t="n">
        <v>38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9" t="inlineStr">
        <is>
          <t>법인세차감전 순이익</t>
        </is>
      </c>
      <c r="C135" s="12" t="n">
        <v>5126</v>
      </c>
      <c r="D135" s="12" t="n">
        <v>28792</v>
      </c>
      <c r="E135" s="12" t="n">
        <v>26770</v>
      </c>
      <c r="F135" s="12" t="n">
        <v>2634</v>
      </c>
      <c r="G135" s="12" t="n">
        <v>40398</v>
      </c>
      <c r="H135" s="12" t="n">
        <v>15397</v>
      </c>
      <c r="I135" s="12" t="n">
        <v>-1380</v>
      </c>
      <c r="J135" s="12" t="n">
        <v>16090</v>
      </c>
      <c r="K135" s="12" t="n">
        <v>26251</v>
      </c>
      <c r="L135" s="12" t="n">
        <v>17643</v>
      </c>
      <c r="M135" s="12" t="n">
        <v>20414</v>
      </c>
      <c r="N135" s="12" t="n">
        <v>15844</v>
      </c>
      <c r="U135" s="12" t="n">
        <v>26229</v>
      </c>
      <c r="V135" s="12" t="n">
        <v>5126</v>
      </c>
      <c r="W135" s="12" t="n">
        <v>40398</v>
      </c>
      <c r="X135" s="12" t="n">
        <v>26251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18" t="inlineStr">
        <is>
          <t>법인세·주민세·사업세</t>
        </is>
      </c>
      <c r="C137" s="20" t="n">
        <v>3123</v>
      </c>
      <c r="D137" s="20" t="n">
        <v>5679</v>
      </c>
      <c r="E137" s="20" t="n">
        <v>6494</v>
      </c>
      <c r="F137" s="20" t="n">
        <v>4273</v>
      </c>
      <c r="G137" s="20" t="n">
        <v>5658</v>
      </c>
      <c r="H137" s="20" t="n">
        <v>5891</v>
      </c>
      <c r="I137" s="20" t="n">
        <v>4948</v>
      </c>
      <c r="J137" s="20" t="n">
        <v>3237</v>
      </c>
      <c r="K137" s="20" t="n">
        <v>5075</v>
      </c>
      <c r="L137" s="20" t="n">
        <v>3713</v>
      </c>
      <c r="M137" s="20" t="n">
        <v>4509</v>
      </c>
      <c r="N137" s="20" t="n">
        <v>4489</v>
      </c>
      <c r="U137" s="20" t="n">
        <v>10821</v>
      </c>
      <c r="V137" s="20" t="n">
        <v>3123</v>
      </c>
      <c r="W137" s="20" t="n">
        <v>5658</v>
      </c>
      <c r="X137" s="20" t="n">
        <v>5075</v>
      </c>
    </row>
    <row r="138">
      <c r="A138" s="18" t="inlineStr">
        <is>
          <t>법인세 조정액</t>
        </is>
      </c>
      <c r="C138" s="20" t="n">
        <v>1018</v>
      </c>
      <c r="D138" s="20" t="n">
        <v>-675</v>
      </c>
      <c r="E138" s="20" t="n">
        <v>194</v>
      </c>
      <c r="F138" s="20" t="n">
        <v>692</v>
      </c>
      <c r="G138" s="20" t="n">
        <v>-293</v>
      </c>
      <c r="H138" s="20" t="n">
        <v>-278</v>
      </c>
      <c r="I138" s="20" t="n">
        <v>-525</v>
      </c>
      <c r="J138" s="20" t="n">
        <v>629</v>
      </c>
      <c r="K138" s="20" t="n">
        <v>3223</v>
      </c>
      <c r="L138" s="20" t="n">
        <v>1070</v>
      </c>
      <c r="M138" s="20" t="n">
        <v>660</v>
      </c>
      <c r="N138" s="20" t="n">
        <v>-816</v>
      </c>
      <c r="U138" s="20" t="n">
        <v>651</v>
      </c>
      <c r="V138" s="20" t="n">
        <v>1018</v>
      </c>
      <c r="W138" s="20" t="n">
        <v>-293</v>
      </c>
      <c r="X138" s="20" t="n">
        <v>3223</v>
      </c>
    </row>
    <row r="139">
      <c r="A139" s="18" t="inlineStr">
        <is>
          <t>법인세 등 합계</t>
        </is>
      </c>
      <c r="C139" s="20" t="n">
        <v>4140</v>
      </c>
      <c r="D139" s="20" t="n">
        <v>5003</v>
      </c>
      <c r="E139" s="20" t="n">
        <v>6688</v>
      </c>
      <c r="F139" s="20" t="n">
        <v>4967</v>
      </c>
      <c r="G139" s="20" t="n">
        <v>5363</v>
      </c>
      <c r="H139" s="20" t="n">
        <v>5613</v>
      </c>
      <c r="I139" s="20" t="n">
        <v>4423</v>
      </c>
      <c r="J139" s="20" t="n">
        <v>3866</v>
      </c>
      <c r="K139" s="20" t="n">
        <v>8299</v>
      </c>
      <c r="L139" s="20" t="n">
        <v>4784</v>
      </c>
      <c r="M139" s="20" t="n">
        <v>5168</v>
      </c>
      <c r="N139" s="20" t="n">
        <v>3674</v>
      </c>
      <c r="U139" s="20" t="n">
        <v>11473</v>
      </c>
      <c r="V139" s="20" t="n">
        <v>4140</v>
      </c>
      <c r="W139" s="20" t="n">
        <v>5363</v>
      </c>
      <c r="X139" s="20" t="n">
        <v>8299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M140" s="15">
        <f>IF(OR(M139="",I139=""),"",IF(M139*I139&lt;=0,"",IFERROR(M139/I139-1,"")))</f>
        <v/>
      </c>
      <c r="N140" s="15">
        <f>IF(OR(N139="",J139=""),"",IF(N139*J139&lt;=0,"",IFERROR(N139/J139-1,"")))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  <c r="X140" s="15">
        <f>IF(OR(X139="",W139=""),"",IF(X139*W139&lt;=0,"",IFERROR(X139/W139-1,"")))</f>
        <v/>
      </c>
    </row>
    <row r="141">
      <c r="A141" s="9" t="inlineStr">
        <is>
          <t>순이익</t>
        </is>
      </c>
      <c r="C141" s="12" t="n">
        <v>985</v>
      </c>
      <c r="D141" s="12" t="n">
        <v>23788</v>
      </c>
      <c r="E141" s="12" t="n">
        <v>20082</v>
      </c>
      <c r="F141" s="12" t="n">
        <v>-2332</v>
      </c>
      <c r="G141" s="12" t="n">
        <v>35035</v>
      </c>
      <c r="H141" s="12" t="n">
        <v>9783</v>
      </c>
      <c r="I141" s="12" t="n">
        <v>-5802</v>
      </c>
      <c r="J141" s="12" t="n">
        <v>12223</v>
      </c>
      <c r="K141" s="12" t="n">
        <v>17952</v>
      </c>
      <c r="L141" s="12" t="n">
        <v>12858</v>
      </c>
      <c r="M141" s="12" t="n">
        <v>15247</v>
      </c>
      <c r="N141" s="12" t="n">
        <v>12170</v>
      </c>
      <c r="U141" s="12" t="n">
        <v>14757</v>
      </c>
      <c r="V141" s="12" t="n">
        <v>985</v>
      </c>
      <c r="W141" s="12" t="n">
        <v>35035</v>
      </c>
      <c r="X141" s="12" t="n">
        <v>17952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9" t="inlineStr">
        <is>
          <t>비지배주주 순이익</t>
        </is>
      </c>
      <c r="C143" s="12" t="n">
        <v>12</v>
      </c>
      <c r="D143" s="12" t="n">
        <v>100</v>
      </c>
      <c r="E143" s="12" t="n">
        <v>66</v>
      </c>
      <c r="F143" s="12" t="n">
        <v>29</v>
      </c>
      <c r="G143" s="12" t="n">
        <v>48</v>
      </c>
      <c r="H143" s="12" t="n">
        <v>-2</v>
      </c>
      <c r="I143" s="12" t="n">
        <v>22</v>
      </c>
      <c r="J143" s="12" t="n">
        <v>78</v>
      </c>
      <c r="K143" s="12" t="n">
        <v>67</v>
      </c>
      <c r="L143" s="12" t="n">
        <v>43</v>
      </c>
      <c r="M143" s="12" t="n">
        <v>111</v>
      </c>
      <c r="N143" s="12" t="n">
        <v>99</v>
      </c>
      <c r="U143" s="12" t="n">
        <v>64</v>
      </c>
      <c r="V143" s="12" t="n">
        <v>12</v>
      </c>
      <c r="W143" s="12" t="n">
        <v>48</v>
      </c>
      <c r="X143" s="12" t="n">
        <v>67</v>
      </c>
    </row>
    <row r="144">
      <c r="A144" s="9" t="inlineStr">
        <is>
          <t>지배주주 순이익</t>
        </is>
      </c>
      <c r="C144" s="12" t="n">
        <v>973</v>
      </c>
      <c r="D144" s="12" t="n">
        <v>23687</v>
      </c>
      <c r="E144" s="12" t="n">
        <v>20017</v>
      </c>
      <c r="F144" s="12" t="n">
        <v>-2361</v>
      </c>
      <c r="G144" s="12" t="n">
        <v>34986</v>
      </c>
      <c r="H144" s="12" t="n">
        <v>9786</v>
      </c>
      <c r="I144" s="12" t="n">
        <v>-5825</v>
      </c>
      <c r="J144" s="12" t="n">
        <v>12144</v>
      </c>
      <c r="K144" s="12" t="n">
        <v>17886</v>
      </c>
      <c r="L144" s="12" t="n">
        <v>12814</v>
      </c>
      <c r="M144" s="12" t="n">
        <v>15136</v>
      </c>
      <c r="N144" s="12" t="n">
        <v>12072</v>
      </c>
      <c r="U144" s="12" t="n">
        <v>14692</v>
      </c>
      <c r="V144" s="12" t="n">
        <v>973</v>
      </c>
      <c r="W144" s="12" t="n">
        <v>34986</v>
      </c>
      <c r="X144" s="12" t="n">
        <v>17886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7">
      <c r="A147" s="16" t="inlineStr">
        <is>
          <t>포괄손익 · 전 항목</t>
        </is>
      </c>
      <c r="B147" s="42" t="inlineStr">
        <is>
          <t>분기 = 3개월 단독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2023.4Q</t>
        </is>
      </c>
      <c r="D148" s="5" t="inlineStr">
        <is>
          <t>2024.1Q</t>
        </is>
      </c>
      <c r="E148" s="5" t="inlineStr">
        <is>
          <t>2024.2Q</t>
        </is>
      </c>
      <c r="F148" s="5" t="inlineStr">
        <is>
          <t>2024.3Q</t>
        </is>
      </c>
      <c r="G148" s="5" t="inlineStr">
        <is>
          <t>2024.4Q</t>
        </is>
      </c>
      <c r="H148" s="5" t="inlineStr">
        <is>
          <t>2025.1Q</t>
        </is>
      </c>
      <c r="I148" s="5" t="inlineStr">
        <is>
          <t>2025.2Q</t>
        </is>
      </c>
      <c r="J148" s="5" t="inlineStr">
        <is>
          <t>2025.3Q</t>
        </is>
      </c>
      <c r="K148" s="5" t="inlineStr">
        <is>
          <t>2025.4Q</t>
        </is>
      </c>
      <c r="L148" s="5" t="inlineStr">
        <is>
          <t>2026.1Q</t>
        </is>
      </c>
      <c r="M148" s="5" t="inlineStr">
        <is>
          <t>2026.2Q</t>
        </is>
      </c>
      <c r="N148" s="5" t="inlineStr">
        <is>
          <t>2026.3Q</t>
        </is>
      </c>
      <c r="O148" s="5" t="inlineStr">
        <is>
          <t>2016</t>
        </is>
      </c>
      <c r="P148" s="5" t="inlineStr">
        <is>
          <t>2017</t>
        </is>
      </c>
      <c r="Q148" s="5" t="inlineStr">
        <is>
          <t>2018</t>
        </is>
      </c>
      <c r="R148" s="5" t="inlineStr">
        <is>
          <t>2019</t>
        </is>
      </c>
      <c r="S148" s="5" t="inlineStr">
        <is>
          <t>2020</t>
        </is>
      </c>
      <c r="T148" s="5" t="inlineStr">
        <is>
          <t>2021</t>
        </is>
      </c>
      <c r="U148" s="5" t="inlineStr">
        <is>
          <t>2022</t>
        </is>
      </c>
      <c r="V148" s="5" t="inlineStr">
        <is>
          <t>2023</t>
        </is>
      </c>
      <c r="W148" s="5" t="inlineStr">
        <is>
          <t>2024</t>
        </is>
      </c>
      <c r="X148" s="5" t="inlineStr">
        <is>
          <t>2025</t>
        </is>
      </c>
      <c r="Y148" s="5" t="inlineStr">
        <is>
          <t>2026(MW)</t>
        </is>
      </c>
      <c r="Z148" s="5" t="inlineStr">
        <is>
          <t>2027(MW)</t>
        </is>
      </c>
      <c r="AA148" s="5" t="inlineStr">
        <is>
          <t>2028(MW)</t>
        </is>
      </c>
      <c r="AB148" s="5" t="inlineStr">
        <is>
          <t>2029(MW)</t>
        </is>
      </c>
      <c r="AC148" s="5" t="inlineStr">
        <is>
          <t>2030(MW)</t>
        </is>
      </c>
    </row>
    <row r="149">
      <c r="A149" s="9" t="inlineStr">
        <is>
          <t>순이익</t>
        </is>
      </c>
      <c r="C149" s="12" t="n">
        <v>985</v>
      </c>
      <c r="D149" s="12" t="n">
        <v>23788</v>
      </c>
      <c r="E149" s="12" t="n">
        <v>20082</v>
      </c>
      <c r="F149" s="12" t="n">
        <v>-2332</v>
      </c>
      <c r="G149" s="12" t="n">
        <v>35035</v>
      </c>
      <c r="H149" s="12" t="n">
        <v>9783</v>
      </c>
      <c r="I149" s="12" t="n">
        <v>-5802</v>
      </c>
      <c r="J149" s="12" t="n">
        <v>12223</v>
      </c>
      <c r="K149" s="12" t="n">
        <v>17952</v>
      </c>
      <c r="L149" s="12" t="n">
        <v>12858</v>
      </c>
      <c r="M149" s="12" t="n">
        <v>15247</v>
      </c>
      <c r="N149" s="12" t="n">
        <v>12170</v>
      </c>
      <c r="U149" s="12" t="n">
        <v>14757</v>
      </c>
      <c r="V149" s="12" t="n">
        <v>985</v>
      </c>
      <c r="W149" s="12" t="n">
        <v>35035</v>
      </c>
      <c r="X149" s="12" t="n">
        <v>17952</v>
      </c>
    </row>
    <row r="150">
      <c r="A150" s="18" t="inlineStr">
        <is>
          <t>기타유가증권 평가차액</t>
        </is>
      </c>
      <c r="C150" s="20" t="n">
        <v>-394</v>
      </c>
      <c r="D150" s="20" t="n">
        <v>1892</v>
      </c>
      <c r="E150" s="20" t="n">
        <v>512</v>
      </c>
      <c r="F150" s="20" t="n">
        <v>-1444</v>
      </c>
      <c r="G150" s="20" t="n">
        <v>1276</v>
      </c>
      <c r="H150" s="20" t="n">
        <v>673</v>
      </c>
      <c r="I150" s="20" t="n">
        <v>49</v>
      </c>
      <c r="J150" s="20" t="n">
        <v>2104</v>
      </c>
      <c r="K150" s="20" t="n">
        <v>179</v>
      </c>
      <c r="L150" s="20" t="n">
        <v>-1608</v>
      </c>
      <c r="M150" s="20" t="n">
        <v>2398</v>
      </c>
      <c r="N150" s="20" t="n">
        <v>2252</v>
      </c>
      <c r="U150" s="20" t="n">
        <v>899</v>
      </c>
      <c r="V150" s="20" t="n">
        <v>-394</v>
      </c>
      <c r="W150" s="20" t="n">
        <v>1276</v>
      </c>
      <c r="X150" s="20" t="n">
        <v>179</v>
      </c>
    </row>
    <row r="151">
      <c r="A151" s="18" t="inlineStr">
        <is>
          <t>해외사업환산조정</t>
        </is>
      </c>
      <c r="C151" s="20" t="n">
        <v>-15789</v>
      </c>
      <c r="D151" s="20" t="n">
        <v>25895</v>
      </c>
      <c r="E151" s="20" t="n">
        <v>37025</v>
      </c>
      <c r="F151" s="20" t="n">
        <v>-40215</v>
      </c>
      <c r="G151" s="20" t="n">
        <v>27982</v>
      </c>
      <c r="H151" s="20" t="n">
        <v>-26608</v>
      </c>
      <c r="I151" s="20" t="n">
        <v>8959</v>
      </c>
      <c r="J151" s="20" t="n">
        <v>11669</v>
      </c>
      <c r="K151" s="20" t="n">
        <v>33774</v>
      </c>
      <c r="L151" s="20" t="n">
        <v>8909</v>
      </c>
      <c r="M151" s="20" t="n">
        <v>7486</v>
      </c>
      <c r="N151" s="20" t="n">
        <v>-14457</v>
      </c>
      <c r="U151" s="20" t="n">
        <v>-19327</v>
      </c>
      <c r="V151" s="20" t="n">
        <v>-15789</v>
      </c>
      <c r="W151" s="20" t="n">
        <v>27982</v>
      </c>
      <c r="X151" s="20" t="n">
        <v>33774</v>
      </c>
    </row>
    <row r="152">
      <c r="A152" s="18" t="inlineStr">
        <is>
          <t>기타포괄손익 합계</t>
        </is>
      </c>
      <c r="C152" s="20" t="n">
        <v>-16183</v>
      </c>
      <c r="D152" s="20" t="n">
        <v>27787</v>
      </c>
      <c r="E152" s="20" t="n">
        <v>37537</v>
      </c>
      <c r="F152" s="20" t="n">
        <v>-41658</v>
      </c>
      <c r="G152" s="20" t="n">
        <v>29257</v>
      </c>
      <c r="H152" s="20" t="n">
        <v>-25935</v>
      </c>
      <c r="I152" s="20" t="n">
        <v>9008</v>
      </c>
      <c r="J152" s="20" t="n">
        <v>13774</v>
      </c>
      <c r="K152" s="20" t="n">
        <v>33953</v>
      </c>
      <c r="L152" s="20" t="n">
        <v>7300</v>
      </c>
      <c r="M152" s="20" t="n">
        <v>9885</v>
      </c>
      <c r="N152" s="20" t="n">
        <v>-12204</v>
      </c>
      <c r="U152" s="20" t="n">
        <v>-18427</v>
      </c>
      <c r="V152" s="20" t="n">
        <v>-16183</v>
      </c>
      <c r="W152" s="20" t="n">
        <v>29257</v>
      </c>
      <c r="X152" s="20" t="n">
        <v>33953</v>
      </c>
    </row>
    <row r="153">
      <c r="A153" s="9" t="inlineStr">
        <is>
          <t>포괄이익</t>
        </is>
      </c>
      <c r="C153" s="12" t="n">
        <v>-15197</v>
      </c>
      <c r="D153" s="12" t="n">
        <v>51576</v>
      </c>
      <c r="E153" s="12" t="n">
        <v>57619</v>
      </c>
      <c r="F153" s="12" t="n">
        <v>-43991</v>
      </c>
      <c r="G153" s="12" t="n">
        <v>64293</v>
      </c>
      <c r="H153" s="12" t="n">
        <v>-16151</v>
      </c>
      <c r="I153" s="12" t="n">
        <v>3206</v>
      </c>
      <c r="J153" s="12" t="n">
        <v>25995</v>
      </c>
      <c r="K153" s="12" t="n">
        <v>51907</v>
      </c>
      <c r="L153" s="12" t="n">
        <v>20158</v>
      </c>
      <c r="M153" s="12" t="n">
        <v>25133</v>
      </c>
      <c r="N153" s="12" t="n">
        <v>-35</v>
      </c>
      <c r="U153" s="12" t="n">
        <v>-3671</v>
      </c>
      <c r="V153" s="12" t="n">
        <v>-15197</v>
      </c>
      <c r="W153" s="12" t="n">
        <v>64293</v>
      </c>
      <c r="X153" s="12" t="n">
        <v>51907</v>
      </c>
    </row>
    <row r="154">
      <c r="A154" s="9" t="inlineStr">
        <is>
          <t>지배주주 포괄이익</t>
        </is>
      </c>
      <c r="C154" s="12" t="n">
        <v>-15169</v>
      </c>
      <c r="D154" s="12" t="n">
        <v>51375</v>
      </c>
      <c r="E154" s="12" t="n">
        <v>57577</v>
      </c>
      <c r="F154" s="12" t="n">
        <v>-43826</v>
      </c>
      <c r="G154" s="12" t="n">
        <v>64158</v>
      </c>
      <c r="H154" s="12" t="n">
        <v>-16070</v>
      </c>
      <c r="I154" s="12" t="n">
        <v>3153</v>
      </c>
      <c r="J154" s="12" t="n">
        <v>25878</v>
      </c>
      <c r="K154" s="12" t="n">
        <v>51773</v>
      </c>
      <c r="L154" s="12" t="n">
        <v>20087</v>
      </c>
      <c r="M154" s="12" t="n">
        <v>24967</v>
      </c>
      <c r="N154" s="12" t="n">
        <v>-37</v>
      </c>
      <c r="U154" s="12" t="n">
        <v>-3665</v>
      </c>
      <c r="V154" s="12" t="n">
        <v>-15169</v>
      </c>
      <c r="W154" s="12" t="n">
        <v>64158</v>
      </c>
      <c r="X154" s="12" t="n">
        <v>51773</v>
      </c>
    </row>
    <row r="155">
      <c r="A155" s="9" t="inlineStr">
        <is>
          <t>비지배주주 포괄이익</t>
        </is>
      </c>
      <c r="C155" s="12" t="n">
        <v>-29</v>
      </c>
      <c r="D155" s="12" t="n">
        <v>200</v>
      </c>
      <c r="E155" s="12" t="n">
        <v>42</v>
      </c>
      <c r="F155" s="12" t="n">
        <v>-164</v>
      </c>
      <c r="G155" s="12" t="n">
        <v>134</v>
      </c>
      <c r="H155" s="12" t="n">
        <v>-80</v>
      </c>
      <c r="I155" s="12" t="n">
        <v>52</v>
      </c>
      <c r="J155" s="12" t="n">
        <v>117</v>
      </c>
      <c r="K155" s="12" t="n">
        <v>134</v>
      </c>
      <c r="L155" s="12" t="n">
        <v>71</v>
      </c>
      <c r="M155" s="12" t="n">
        <v>165</v>
      </c>
      <c r="N155" s="12" t="n">
        <v>3</v>
      </c>
      <c r="U155" s="12" t="n">
        <v>-6</v>
      </c>
      <c r="V155" s="12" t="n">
        <v>-29</v>
      </c>
      <c r="W155" s="12" t="n">
        <v>134</v>
      </c>
      <c r="X155" s="12" t="n">
        <v>134</v>
      </c>
    </row>
    <row r="157">
      <c r="A157" s="16" t="inlineStr">
        <is>
          <t>부문 · 전 항목</t>
        </is>
      </c>
      <c r="B157" s="42" t="inlineStr">
        <is>
          <t>부문 · 항목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2023.4Q</t>
        </is>
      </c>
      <c r="D158" s="5" t="inlineStr">
        <is>
          <t>2024.1Q</t>
        </is>
      </c>
      <c r="E158" s="5" t="inlineStr">
        <is>
          <t>2024.2Q</t>
        </is>
      </c>
      <c r="F158" s="5" t="inlineStr">
        <is>
          <t>2024.3Q</t>
        </is>
      </c>
      <c r="G158" s="5" t="inlineStr">
        <is>
          <t>2024.4Q</t>
        </is>
      </c>
      <c r="H158" s="5" t="inlineStr">
        <is>
          <t>2025.1Q</t>
        </is>
      </c>
      <c r="I158" s="5" t="inlineStr">
        <is>
          <t>2025.2Q</t>
        </is>
      </c>
      <c r="J158" s="5" t="inlineStr">
        <is>
          <t>2025.3Q</t>
        </is>
      </c>
      <c r="K158" s="5" t="inlineStr">
        <is>
          <t>2025.4Q</t>
        </is>
      </c>
      <c r="L158" s="5" t="inlineStr">
        <is>
          <t>2026.1Q</t>
        </is>
      </c>
      <c r="M158" s="5" t="inlineStr">
        <is>
          <t>2026.2Q</t>
        </is>
      </c>
      <c r="N158" s="5" t="inlineStr">
        <is>
          <t>2026.3Q</t>
        </is>
      </c>
      <c r="O158" s="5" t="inlineStr">
        <is>
          <t>2016</t>
        </is>
      </c>
      <c r="P158" s="5" t="inlineStr">
        <is>
          <t>2017</t>
        </is>
      </c>
      <c r="Q158" s="5" t="inlineStr">
        <is>
          <t>2018</t>
        </is>
      </c>
      <c r="R158" s="5" t="inlineStr">
        <is>
          <t>2019</t>
        </is>
      </c>
      <c r="S158" s="5" t="inlineStr">
        <is>
          <t>2020</t>
        </is>
      </c>
      <c r="T158" s="5" t="inlineStr">
        <is>
          <t>2021</t>
        </is>
      </c>
      <c r="U158" s="5" t="inlineStr">
        <is>
          <t>2022</t>
        </is>
      </c>
      <c r="V158" s="5" t="inlineStr">
        <is>
          <t>2023</t>
        </is>
      </c>
      <c r="W158" s="5" t="inlineStr">
        <is>
          <t>2024</t>
        </is>
      </c>
      <c r="X158" s="5" t="inlineStr">
        <is>
          <t>2025</t>
        </is>
      </c>
      <c r="Y158" s="5" t="inlineStr">
        <is>
          <t>2026(MW)</t>
        </is>
      </c>
      <c r="Z158" s="5" t="inlineStr">
        <is>
          <t>2027(MW)</t>
        </is>
      </c>
      <c r="AA158" s="5" t="inlineStr">
        <is>
          <t>2028(MW)</t>
        </is>
      </c>
      <c r="AB158" s="5" t="inlineStr">
        <is>
          <t>2029(MW)</t>
        </is>
      </c>
      <c r="AC158" s="5" t="inlineStr">
        <is>
          <t>2030(MW)</t>
        </is>
      </c>
    </row>
    <row r="159">
      <c r="A159" s="18" t="inlineStr">
        <is>
          <t>BicycleComponentsReportableSegmentMember · 외부 고객 매출</t>
        </is>
      </c>
      <c r="C159" s="20" t="n">
        <v>75236</v>
      </c>
      <c r="D159" s="20" t="n">
        <v>76090</v>
      </c>
      <c r="G159" s="20" t="n">
        <v>91692</v>
      </c>
      <c r="H159" s="20" t="n">
        <v>87972</v>
      </c>
      <c r="K159" s="20" t="n">
        <v>88729</v>
      </c>
      <c r="L159" s="20" t="n">
        <v>87361</v>
      </c>
      <c r="V159" s="20" t="n">
        <v>75236</v>
      </c>
      <c r="W159" s="20" t="n">
        <v>91692</v>
      </c>
      <c r="X159" s="20" t="n">
        <v>88729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FishingTackleReportableSegmentMember · 외부 고객 매출</t>
        </is>
      </c>
      <c r="C161" s="20" t="n">
        <v>23753</v>
      </c>
      <c r="D161" s="20" t="n">
        <v>24369</v>
      </c>
      <c r="G161" s="20" t="n">
        <v>24300</v>
      </c>
      <c r="H161" s="20" t="n">
        <v>25468</v>
      </c>
      <c r="K161" s="20" t="n">
        <v>26397</v>
      </c>
      <c r="L161" s="20" t="n">
        <v>30175</v>
      </c>
      <c r="V161" s="20" t="n">
        <v>23753</v>
      </c>
      <c r="W161" s="20" t="n">
        <v>24300</v>
      </c>
      <c r="X161" s="20" t="n">
        <v>26397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OtherReportableSegmentsMember · 외부 고객 매출</t>
        </is>
      </c>
      <c r="C163" s="20" t="n">
        <v>109</v>
      </c>
      <c r="D163" s="20" t="n">
        <v>97</v>
      </c>
      <c r="E163" s="20" t="n">
        <v>125</v>
      </c>
      <c r="F163" s="20" t="n">
        <v>105</v>
      </c>
      <c r="G163" s="20" t="n">
        <v>122</v>
      </c>
      <c r="H163" s="20" t="n">
        <v>98</v>
      </c>
      <c r="I163" s="20" t="n">
        <v>135</v>
      </c>
      <c r="J163" s="20" t="n">
        <v>109</v>
      </c>
      <c r="K163" s="20" t="n">
        <v>97</v>
      </c>
      <c r="L163" s="20" t="n">
        <v>108</v>
      </c>
      <c r="M163" s="20" t="n">
        <v>105</v>
      </c>
      <c r="N163" s="20" t="n">
        <v>101</v>
      </c>
      <c r="V163" s="20" t="n">
        <v>109</v>
      </c>
      <c r="W163" s="20" t="n">
        <v>122</v>
      </c>
      <c r="X163" s="20" t="n">
        <v>97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합계 · 외부 고객 매출</t>
        </is>
      </c>
      <c r="D165" s="20" t="n">
        <v>100557</v>
      </c>
      <c r="E165" s="20" t="n">
        <v>116330</v>
      </c>
      <c r="F165" s="20" t="n">
        <v>117992</v>
      </c>
      <c r="H165" s="20" t="n">
        <v>113539</v>
      </c>
      <c r="I165" s="20" t="n">
        <v>123870</v>
      </c>
      <c r="J165" s="20" t="n">
        <v>113611</v>
      </c>
      <c r="L165" s="20" t="n">
        <v>117644</v>
      </c>
      <c r="M165" s="20" t="n">
        <v>129415</v>
      </c>
      <c r="N165" s="20" t="n">
        <v>128189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</row>
    <row r="167">
      <c r="A167" s="18" t="inlineStr">
        <is>
          <t>조정액 · 외부 고객 매출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9" t="inlineStr">
        <is>
          <t>외부 고객 매출</t>
        </is>
      </c>
      <c r="C168" s="12" t="n">
        <v>99098</v>
      </c>
      <c r="D168" s="12" t="n">
        <v>100557</v>
      </c>
      <c r="E168" s="12" t="n">
        <v>116330</v>
      </c>
      <c r="F168" s="12" t="n">
        <v>117992</v>
      </c>
      <c r="G168" s="12" t="n">
        <v>116114</v>
      </c>
      <c r="H168" s="12" t="n">
        <v>113539</v>
      </c>
      <c r="I168" s="12" t="n">
        <v>123870</v>
      </c>
      <c r="J168" s="12" t="n">
        <v>113611</v>
      </c>
      <c r="K168" s="12" t="n">
        <v>115223</v>
      </c>
      <c r="V168" s="12" t="n">
        <v>99098</v>
      </c>
      <c r="W168" s="12" t="n">
        <v>116114</v>
      </c>
      <c r="X168" s="12" t="n">
        <v>115223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EntityTotalMember · 외부 고객 매출</t>
        </is>
      </c>
      <c r="H170" s="20" t="n">
        <v>113539</v>
      </c>
      <c r="L170" s="20" t="n">
        <v>117644</v>
      </c>
    </row>
    <row r="171">
      <c r="A171" s="18" t="inlineStr">
        <is>
          <t>BicycleComponentsReportableSegmentMember · 부문 간 내부매출·대체</t>
        </is>
      </c>
      <c r="C171" s="20" t="n">
        <v>0</v>
      </c>
      <c r="D171" s="20" t="n">
        <v>0</v>
      </c>
      <c r="G171" s="20" t="n">
        <v>0</v>
      </c>
      <c r="H171" s="20" t="n">
        <v>0</v>
      </c>
      <c r="K171" s="20" t="n">
        <v>0</v>
      </c>
      <c r="L171" s="20" t="n">
        <v>0</v>
      </c>
      <c r="V171" s="20" t="n">
        <v>0</v>
      </c>
      <c r="W171" s="20" t="n">
        <v>0</v>
      </c>
      <c r="X171" s="20" t="n">
        <v>0</v>
      </c>
    </row>
    <row r="172">
      <c r="A172" s="18" t="inlineStr">
        <is>
          <t>FishingTackleReportableSegmentMember · 부문 간 내부매출·대체</t>
        </is>
      </c>
      <c r="C172" s="20" t="n">
        <v>0</v>
      </c>
      <c r="D172" s="20" t="n">
        <v>0</v>
      </c>
      <c r="G172" s="20" t="n">
        <v>0</v>
      </c>
      <c r="H172" s="20" t="n">
        <v>0</v>
      </c>
      <c r="K172" s="20" t="n">
        <v>0</v>
      </c>
      <c r="L172" s="20" t="n">
        <v>0</v>
      </c>
      <c r="V172" s="20" t="n">
        <v>0</v>
      </c>
      <c r="W172" s="20" t="n">
        <v>0</v>
      </c>
      <c r="X172" s="20" t="n">
        <v>0</v>
      </c>
    </row>
    <row r="173">
      <c r="A173" s="18" t="inlineStr">
        <is>
          <t>OtherReportableSegmentsMember · 부문 간 내부매출·대체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V173" s="20" t="n">
        <v>0</v>
      </c>
      <c r="W173" s="20" t="n">
        <v>0</v>
      </c>
      <c r="X173" s="20" t="n">
        <v>0</v>
      </c>
    </row>
    <row r="174">
      <c r="A174" s="18" t="inlineStr">
        <is>
          <t>합계 · 부문 간 내부매출·대체</t>
        </is>
      </c>
      <c r="D174" s="20" t="n">
        <v>0</v>
      </c>
      <c r="E174" s="20" t="n">
        <v>0</v>
      </c>
      <c r="F174" s="20" t="n">
        <v>0</v>
      </c>
      <c r="H174" s="20" t="n">
        <v>0</v>
      </c>
      <c r="I174" s="20" t="n">
        <v>0</v>
      </c>
      <c r="J174" s="20" t="n">
        <v>0</v>
      </c>
      <c r="L174" s="20" t="n">
        <v>0</v>
      </c>
      <c r="M174" s="20" t="n">
        <v>0</v>
      </c>
      <c r="N174" s="20" t="n">
        <v>0</v>
      </c>
    </row>
    <row r="175">
      <c r="A175" s="18" t="inlineStr">
        <is>
          <t>조정액 · 부문 간 내부매출·대체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18" t="inlineStr">
        <is>
          <t>부문 간 내부매출·대체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V176" s="20" t="n">
        <v>0</v>
      </c>
      <c r="W176" s="20" t="n">
        <v>0</v>
      </c>
      <c r="X176" s="20" t="n">
        <v>0</v>
      </c>
    </row>
    <row r="177">
      <c r="A177" s="18" t="inlineStr">
        <is>
          <t>EntityTotalMember · 부문 간 내부매출·대체</t>
        </is>
      </c>
      <c r="H177" s="20" t="n">
        <v>0</v>
      </c>
      <c r="L177" s="20" t="n">
        <v>0</v>
      </c>
    </row>
    <row r="178">
      <c r="A178" s="18" t="inlineStr">
        <is>
          <t>BicycleComponentsReportableSegmentMember · 계</t>
        </is>
      </c>
      <c r="C178" s="20" t="n">
        <v>75236</v>
      </c>
      <c r="D178" s="20" t="n">
        <v>76090</v>
      </c>
      <c r="G178" s="20" t="n">
        <v>91692</v>
      </c>
      <c r="H178" s="20" t="n">
        <v>87972</v>
      </c>
      <c r="K178" s="20" t="n">
        <v>88729</v>
      </c>
      <c r="L178" s="20" t="n">
        <v>87361</v>
      </c>
      <c r="V178" s="20" t="n">
        <v>75236</v>
      </c>
      <c r="W178" s="20" t="n">
        <v>91692</v>
      </c>
      <c r="X178" s="20" t="n">
        <v>88729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FishingTackleReportableSegmentMember · 계</t>
        </is>
      </c>
      <c r="C180" s="20" t="n">
        <v>23753</v>
      </c>
      <c r="D180" s="20" t="n">
        <v>24369</v>
      </c>
      <c r="G180" s="20" t="n">
        <v>24300</v>
      </c>
      <c r="H180" s="20" t="n">
        <v>25468</v>
      </c>
      <c r="K180" s="20" t="n">
        <v>26397</v>
      </c>
      <c r="L180" s="20" t="n">
        <v>30175</v>
      </c>
      <c r="V180" s="20" t="n">
        <v>23753</v>
      </c>
      <c r="W180" s="20" t="n">
        <v>24300</v>
      </c>
      <c r="X180" s="20" t="n">
        <v>26397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OtherReportableSegmentsMember · 계</t>
        </is>
      </c>
      <c r="C182" s="20" t="n">
        <v>109</v>
      </c>
      <c r="D182" s="20" t="n">
        <v>97</v>
      </c>
      <c r="E182" s="20" t="n">
        <v>125</v>
      </c>
      <c r="F182" s="20" t="n">
        <v>105</v>
      </c>
      <c r="G182" s="20" t="n">
        <v>122</v>
      </c>
      <c r="H182" s="20" t="n">
        <v>98</v>
      </c>
      <c r="I182" s="20" t="n">
        <v>135</v>
      </c>
      <c r="J182" s="20" t="n">
        <v>109</v>
      </c>
      <c r="K182" s="20" t="n">
        <v>97</v>
      </c>
      <c r="L182" s="20" t="n">
        <v>108</v>
      </c>
      <c r="M182" s="20" t="n">
        <v>105</v>
      </c>
      <c r="N182" s="20" t="n">
        <v>101</v>
      </c>
      <c r="V182" s="20" t="n">
        <v>109</v>
      </c>
      <c r="W182" s="20" t="n">
        <v>122</v>
      </c>
      <c r="X182" s="20" t="n">
        <v>97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합계 · 계</t>
        </is>
      </c>
      <c r="D184" s="20" t="n">
        <v>100557</v>
      </c>
      <c r="E184" s="20" t="n">
        <v>116330</v>
      </c>
      <c r="F184" s="20" t="n">
        <v>117992</v>
      </c>
      <c r="H184" s="20" t="n">
        <v>113539</v>
      </c>
      <c r="I184" s="20" t="n">
        <v>123870</v>
      </c>
      <c r="J184" s="20" t="n">
        <v>113611</v>
      </c>
      <c r="L184" s="20" t="n">
        <v>117644</v>
      </c>
      <c r="M184" s="20" t="n">
        <v>129415</v>
      </c>
      <c r="N184" s="20" t="n">
        <v>128189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</row>
    <row r="186">
      <c r="A186" s="18" t="inlineStr">
        <is>
          <t>조정액 · 계</t>
        </is>
      </c>
      <c r="C186" s="20" t="n">
        <v>0</v>
      </c>
      <c r="D186" s="20" t="n">
        <v>0</v>
      </c>
      <c r="E186" s="20" t="n">
        <v>0</v>
      </c>
      <c r="F186" s="20" t="n">
        <v>0</v>
      </c>
      <c r="G186" s="20" t="n">
        <v>0</v>
      </c>
      <c r="H186" s="20" t="n">
        <v>0</v>
      </c>
      <c r="I186" s="20" t="n">
        <v>0</v>
      </c>
      <c r="J186" s="20" t="n">
        <v>0</v>
      </c>
      <c r="K186" s="20" t="n">
        <v>0</v>
      </c>
      <c r="L186" s="20" t="n">
        <v>0</v>
      </c>
      <c r="M186" s="20" t="n">
        <v>0</v>
      </c>
      <c r="N186" s="20" t="n">
        <v>0</v>
      </c>
      <c r="V186" s="20" t="n">
        <v>0</v>
      </c>
      <c r="W186" s="20" t="n">
        <v>0</v>
      </c>
      <c r="X186" s="20" t="n">
        <v>0</v>
      </c>
    </row>
    <row r="187">
      <c r="A187" s="9" t="inlineStr">
        <is>
          <t>계</t>
        </is>
      </c>
      <c r="C187" s="12" t="n">
        <v>99098</v>
      </c>
      <c r="D187" s="12" t="n">
        <v>100557</v>
      </c>
      <c r="E187" s="12" t="n">
        <v>116330</v>
      </c>
      <c r="F187" s="12" t="n">
        <v>117992</v>
      </c>
      <c r="G187" s="12" t="n">
        <v>116114</v>
      </c>
      <c r="H187" s="12" t="n">
        <v>113539</v>
      </c>
      <c r="I187" s="12" t="n">
        <v>123870</v>
      </c>
      <c r="J187" s="12" t="n">
        <v>113611</v>
      </c>
      <c r="K187" s="12" t="n">
        <v>115223</v>
      </c>
      <c r="V187" s="12" t="n">
        <v>99098</v>
      </c>
      <c r="W187" s="12" t="n">
        <v>116114</v>
      </c>
      <c r="X187" s="12" t="n">
        <v>115223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EntityTotalMember · 계</t>
        </is>
      </c>
      <c r="H189" s="20" t="n">
        <v>113539</v>
      </c>
      <c r="L189" s="20" t="n">
        <v>117644</v>
      </c>
    </row>
    <row r="190">
      <c r="A190" s="18" t="inlineStr">
        <is>
          <t>BicycleComponentsReportableSegmentMember · 부문 이익(손실)</t>
        </is>
      </c>
      <c r="C190" s="20" t="n">
        <v>9334</v>
      </c>
      <c r="D190" s="20" t="n">
        <v>10471</v>
      </c>
      <c r="G190" s="20" t="n">
        <v>12815</v>
      </c>
      <c r="H190" s="20" t="n">
        <v>14503</v>
      </c>
      <c r="K190" s="20" t="n">
        <v>12680</v>
      </c>
      <c r="L190" s="20" t="n">
        <v>7792</v>
      </c>
      <c r="V190" s="20" t="n">
        <v>9334</v>
      </c>
      <c r="W190" s="20" t="n">
        <v>12815</v>
      </c>
      <c r="X190" s="20" t="n">
        <v>12680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IF(OR(C190="",C178=""),"",IF(C178&lt;=0,"",IFERROR(C190/C178,"")))</f>
        <v/>
      </c>
      <c r="D191" s="15">
        <f>IF(OR(D190="",D178=""),"",IF(D178&lt;=0,"",IFERROR(D190/D178,"")))</f>
        <v/>
      </c>
      <c r="G191" s="15">
        <f>IF(OR(G190="",G178=""),"",IF(G178&lt;=0,"",IFERROR(G190/G178,"")))</f>
        <v/>
      </c>
      <c r="H191" s="15">
        <f>IF(OR(H190="",H178=""),"",IF(H178&lt;=0,"",IFERROR(H190/H178,"")))</f>
        <v/>
      </c>
      <c r="K191" s="15">
        <f>IF(OR(K190="",K178=""),"",IF(K178&lt;=0,"",IFERROR(K190/K178,"")))</f>
        <v/>
      </c>
      <c r="L191" s="15">
        <f>IF(OR(L190="",L178=""),"",IF(L178&lt;=0,"",IFERROR(L190/L178,"")))</f>
        <v/>
      </c>
      <c r="V191" s="15">
        <f>IF(OR(V190="",V178=""),"",IF(V178&lt;=0,"",IFERROR(V190/V178,"")))</f>
        <v/>
      </c>
      <c r="W191" s="15">
        <f>IF(OR(W190="",W178=""),"",IF(W178&lt;=0,"",IFERROR(W190/W178,"")))</f>
        <v/>
      </c>
      <c r="X191" s="15">
        <f>IF(OR(X190="",X178=""),"",IF(X178&lt;=0,"",IFERROR(X190/X178,"")))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FishingTackleReportableSegmentMember · 부문 이익(손실)</t>
        </is>
      </c>
      <c r="C193" s="20" t="n">
        <v>2213</v>
      </c>
      <c r="D193" s="20" t="n">
        <v>2961</v>
      </c>
      <c r="G193" s="20" t="n">
        <v>1606</v>
      </c>
      <c r="H193" s="20" t="n">
        <v>1636</v>
      </c>
      <c r="K193" s="20" t="n">
        <v>2456</v>
      </c>
      <c r="L193" s="20" t="n">
        <v>2596</v>
      </c>
      <c r="V193" s="20" t="n">
        <v>2213</v>
      </c>
      <c r="W193" s="20" t="n">
        <v>1606</v>
      </c>
      <c r="X193" s="20" t="n">
        <v>2456</v>
      </c>
    </row>
    <row r="194">
      <c r="A194" s="43" t="inlineStr">
        <is>
          <t>OPM</t>
        </is>
      </c>
      <c r="B194" s="3" t="inlineStr">
        <is>
          <t>영업이익 ÷ 매출</t>
        </is>
      </c>
      <c r="C194" s="15">
        <f>IF(OR(C193="",C180=""),"",IF(C180&lt;=0,"",IFERROR(C193/C180,"")))</f>
        <v/>
      </c>
      <c r="D194" s="15">
        <f>IF(OR(D193="",D180=""),"",IF(D180&lt;=0,"",IFERROR(D193/D180,"")))</f>
        <v/>
      </c>
      <c r="G194" s="15">
        <f>IF(OR(G193="",G180=""),"",IF(G180&lt;=0,"",IFERROR(G193/G180,"")))</f>
        <v/>
      </c>
      <c r="H194" s="15">
        <f>IF(OR(H193="",H180=""),"",IF(H180&lt;=0,"",IFERROR(H193/H180,"")))</f>
        <v/>
      </c>
      <c r="K194" s="15">
        <f>IF(OR(K193="",K180=""),"",IF(K180&lt;=0,"",IFERROR(K193/K180,"")))</f>
        <v/>
      </c>
      <c r="L194" s="15">
        <f>IF(OR(L193="",L180=""),"",IF(L180&lt;=0,"",IFERROR(L193/L180,"")))</f>
        <v/>
      </c>
      <c r="V194" s="15">
        <f>IF(OR(V193="",V180=""),"",IF(V180&lt;=0,"",IFERROR(V193/V180,"")))</f>
        <v/>
      </c>
      <c r="W194" s="15">
        <f>IF(OR(W193="",W180=""),"",IF(W180&lt;=0,"",IFERROR(W193/W180,"")))</f>
        <v/>
      </c>
      <c r="X194" s="15">
        <f>IF(OR(X193="",X180=""),"",IF(X180&lt;=0,"",IFERROR(X193/X180,"")))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IF(OR(G193="",C193=""),"",IF(C193&lt;=0,"",IFERROR(G193/C193-1,"")))</f>
        <v/>
      </c>
      <c r="H195" s="15">
        <f>IF(OR(H193="",D193=""),"",IF(D193&lt;=0,"",IFERROR(H193/D193-1,"")))</f>
        <v/>
      </c>
      <c r="K195" s="15">
        <f>IF(OR(K193="",G193=""),"",IF(G193&lt;=0,"",IFERROR(K193/G193-1,"")))</f>
        <v/>
      </c>
      <c r="L195" s="15">
        <f>IF(OR(L193="",H193=""),"",IF(H193&lt;=0,"",IFERROR(L193/H193-1,"")))</f>
        <v/>
      </c>
      <c r="V195" s="15">
        <f>IF(OR(V193="",U193=""),"",IF(U193&lt;=0,"",IFERROR(V193/U193-1,"")))</f>
        <v/>
      </c>
      <c r="W195" s="15">
        <f>IF(OR(W193="",V193=""),"",IF(V193&lt;=0,"",IFERROR(W193/V193-1,"")))</f>
        <v/>
      </c>
      <c r="X195" s="15">
        <f>IF(OR(X193="",W193=""),"",IF(W193&lt;=0,"",IFERROR(X193/W193-1,"")))</f>
        <v/>
      </c>
    </row>
    <row r="196">
      <c r="A196" s="18" t="inlineStr">
        <is>
          <t>OtherReportableSegmentsMember · 부문 이익(손실)</t>
        </is>
      </c>
      <c r="C196" s="20" t="n">
        <v>20</v>
      </c>
      <c r="D196" s="20" t="n">
        <v>-11</v>
      </c>
      <c r="E196" s="20" t="n">
        <v>-13</v>
      </c>
      <c r="F196" s="20" t="n">
        <v>10</v>
      </c>
      <c r="G196" s="20" t="n">
        <v>13</v>
      </c>
      <c r="H196" s="20" t="n">
        <v>1</v>
      </c>
      <c r="I196" s="20" t="n">
        <v>-2</v>
      </c>
      <c r="J196" s="20" t="n">
        <v>-5</v>
      </c>
      <c r="K196" s="20" t="n">
        <v>-23</v>
      </c>
      <c r="L196" s="20" t="n">
        <v>12</v>
      </c>
      <c r="M196" s="20" t="n">
        <v>-6</v>
      </c>
      <c r="N196" s="20" t="n">
        <v>5</v>
      </c>
      <c r="V196" s="20" t="n">
        <v>20</v>
      </c>
      <c r="W196" s="20" t="n">
        <v>13</v>
      </c>
      <c r="X196" s="20" t="n">
        <v>-23</v>
      </c>
    </row>
    <row r="197">
      <c r="A197" s="43" t="inlineStr">
        <is>
          <t>OPM</t>
        </is>
      </c>
      <c r="B197" s="3" t="inlineStr">
        <is>
          <t>영업이익 ÷ 매출</t>
        </is>
      </c>
      <c r="C197" s="15">
        <f>IF(OR(C196="",C182=""),"",IF(C182&lt;=0,"",IFERROR(C196/C182,"")))</f>
        <v/>
      </c>
      <c r="D197" s="15">
        <f>IF(OR(D196="",D182=""),"",IF(D182&lt;=0,"",IFERROR(D196/D182,"")))</f>
        <v/>
      </c>
      <c r="E197" s="15">
        <f>IF(OR(E196="",E182=""),"",IF(E182&lt;=0,"",IFERROR(E196/E182,"")))</f>
        <v/>
      </c>
      <c r="F197" s="15">
        <f>IF(OR(F196="",F182=""),"",IF(F182&lt;=0,"",IFERROR(F196/F182,"")))</f>
        <v/>
      </c>
      <c r="G197" s="15">
        <f>IF(OR(G196="",G182=""),"",IF(G182&lt;=0,"",IFERROR(G196/G182,"")))</f>
        <v/>
      </c>
      <c r="H197" s="15">
        <f>IF(OR(H196="",H182=""),"",IF(H182&lt;=0,"",IFERROR(H196/H182,"")))</f>
        <v/>
      </c>
      <c r="I197" s="15">
        <f>IF(OR(I196="",I182=""),"",IF(I182&lt;=0,"",IFERROR(I196/I182,"")))</f>
        <v/>
      </c>
      <c r="J197" s="15">
        <f>IF(OR(J196="",J182=""),"",IF(J182&lt;=0,"",IFERROR(J196/J182,"")))</f>
        <v/>
      </c>
      <c r="K197" s="15">
        <f>IF(OR(K196="",K182=""),"",IF(K182&lt;=0,"",IFERROR(K196/K182,"")))</f>
        <v/>
      </c>
      <c r="L197" s="15">
        <f>IF(OR(L196="",L182=""),"",IF(L182&lt;=0,"",IFERROR(L196/L182,"")))</f>
        <v/>
      </c>
      <c r="M197" s="15">
        <f>IF(OR(M196="",M182=""),"",IF(M182&lt;=0,"",IFERROR(M196/M182,"")))</f>
        <v/>
      </c>
      <c r="N197" s="15">
        <f>IF(OR(N196="",N182=""),"",IF(N182&lt;=0,"",IFERROR(N196/N182,"")))</f>
        <v/>
      </c>
      <c r="V197" s="15">
        <f>IF(OR(V196="",V182=""),"",IF(V182&lt;=0,"",IFERROR(V196/V182,"")))</f>
        <v/>
      </c>
      <c r="W197" s="15">
        <f>IF(OR(W196="",W182=""),"",IF(W182&lt;=0,"",IFERROR(W196/W182,"")))</f>
        <v/>
      </c>
      <c r="X197" s="15">
        <f>IF(OR(X196="",X182=""),"",IF(X182&lt;=0,"",IFERROR(X196/X182,"")))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IF(OR(G196="",C196=""),"",IF(C196&lt;=0,"",IFERROR(G196/C196-1,"")))</f>
        <v/>
      </c>
      <c r="H198" s="15">
        <f>IF(OR(H196="",D196=""),"",IF(D196&lt;=0,"",IFERROR(H196/D196-1,"")))</f>
        <v/>
      </c>
      <c r="I198" s="15">
        <f>IF(OR(I196="",E196=""),"",IF(E196&lt;=0,"",IFERROR(I196/E196-1,"")))</f>
        <v/>
      </c>
      <c r="J198" s="15">
        <f>IF(OR(J196="",F196=""),"",IF(F196&lt;=0,"",IFERROR(J196/F196-1,"")))</f>
        <v/>
      </c>
      <c r="K198" s="15">
        <f>IF(OR(K196="",G196=""),"",IF(G196&lt;=0,"",IFERROR(K196/G196-1,"")))</f>
        <v/>
      </c>
      <c r="L198" s="15">
        <f>IF(OR(L196="",H196=""),"",IF(H196&lt;=0,"",IFERROR(L196/H196-1,"")))</f>
        <v/>
      </c>
      <c r="M198" s="15">
        <f>IF(OR(M196="",I196=""),"",IF(I196&lt;=0,"",IFERROR(M196/I196-1,"")))</f>
        <v/>
      </c>
      <c r="N198" s="15">
        <f>IF(OR(N196="",J196=""),"",IF(J196&lt;=0,"",IFERROR(N196/J196-1,"")))</f>
        <v/>
      </c>
      <c r="V198" s="15">
        <f>IF(OR(V196="",U196=""),"",IF(U196&lt;=0,"",IFERROR(V196/U196-1,"")))</f>
        <v/>
      </c>
      <c r="W198" s="15">
        <f>IF(OR(W196="",V196=""),"",IF(V196&lt;=0,"",IFERROR(W196/V196-1,"")))</f>
        <v/>
      </c>
      <c r="X198" s="15">
        <f>IF(OR(X196="",W196=""),"",IF(W196&lt;=0,"",IFERROR(X196/W196-1,"")))</f>
        <v/>
      </c>
    </row>
    <row r="199">
      <c r="A199" s="18" t="inlineStr">
        <is>
          <t>합계 · 부문 이익(손실)</t>
        </is>
      </c>
      <c r="D199" s="20" t="n">
        <v>13421</v>
      </c>
      <c r="E199" s="20" t="n">
        <v>17534</v>
      </c>
      <c r="F199" s="20" t="n">
        <v>19696</v>
      </c>
      <c r="H199" s="20" t="n">
        <v>16142</v>
      </c>
      <c r="I199" s="20" t="n">
        <v>11981</v>
      </c>
      <c r="J199" s="20" t="n">
        <v>8442</v>
      </c>
      <c r="L199" s="20" t="n">
        <v>10400</v>
      </c>
      <c r="M199" s="20" t="n">
        <v>16849</v>
      </c>
      <c r="N199" s="20" t="n">
        <v>17283</v>
      </c>
    </row>
    <row r="200">
      <c r="A200" s="43" t="inlineStr">
        <is>
          <t>OPM</t>
        </is>
      </c>
      <c r="B200" s="3" t="inlineStr">
        <is>
          <t>영업이익 ÷ 매출</t>
        </is>
      </c>
      <c r="D200" s="15">
        <f>IF(OR(D199="",D184=""),"",IF(D184&lt;=0,"",IFERROR(D199/D184,"")))</f>
        <v/>
      </c>
      <c r="E200" s="15">
        <f>IF(OR(E199="",E184=""),"",IF(E184&lt;=0,"",IFERROR(E199/E184,"")))</f>
        <v/>
      </c>
      <c r="F200" s="15">
        <f>IF(OR(F199="",F184=""),"",IF(F184&lt;=0,"",IFERROR(F199/F184,"")))</f>
        <v/>
      </c>
      <c r="H200" s="15">
        <f>IF(OR(H199="",H184=""),"",IF(H184&lt;=0,"",IFERROR(H199/H184,"")))</f>
        <v/>
      </c>
      <c r="I200" s="15">
        <f>IF(OR(I199="",I184=""),"",IF(I184&lt;=0,"",IFERROR(I199/I184,"")))</f>
        <v/>
      </c>
      <c r="J200" s="15">
        <f>IF(OR(J199="",J184=""),"",IF(J184&lt;=0,"",IFERROR(J199/J184,"")))</f>
        <v/>
      </c>
      <c r="L200" s="15">
        <f>IF(OR(L199="",L184=""),"",IF(L184&lt;=0,"",IFERROR(L199/L184,"")))</f>
        <v/>
      </c>
      <c r="M200" s="15">
        <f>IF(OR(M199="",M184=""),"",IF(M184&lt;=0,"",IFERROR(M199/M184,"")))</f>
        <v/>
      </c>
      <c r="N200" s="15">
        <f>IF(OR(N199="",N184=""),"",IF(N184&lt;=0,"",IFERROR(N199/N184,"")))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L201" s="15">
        <f>IF(OR(L199="",H199=""),"",IF(H199&lt;=0,"",IFERROR(L199/H199-1,"")))</f>
        <v/>
      </c>
      <c r="M201" s="15">
        <f>IF(OR(M199="",I199=""),"",IF(I199&lt;=0,"",IFERROR(M199/I199-1,"")))</f>
        <v/>
      </c>
      <c r="N201" s="15">
        <f>IF(OR(N199="",J199=""),"",IF(J199&lt;=0,"",IFERROR(N199/J199-1,"")))</f>
        <v/>
      </c>
    </row>
    <row r="202">
      <c r="A202" s="18" t="inlineStr">
        <is>
          <t>조정액 · 부문 이익(손실)</t>
        </is>
      </c>
      <c r="C202" s="20" t="n">
        <v>0</v>
      </c>
      <c r="D202" s="20" t="n">
        <v>0</v>
      </c>
      <c r="E202" s="20" t="n">
        <v>0</v>
      </c>
      <c r="F202" s="20" t="n">
        <v>0</v>
      </c>
      <c r="G202" s="20" t="n">
        <v>0</v>
      </c>
      <c r="H202" s="20" t="n">
        <v>0</v>
      </c>
      <c r="I202" s="20" t="n">
        <v>0</v>
      </c>
      <c r="J202" s="20" t="n">
        <v>0</v>
      </c>
      <c r="K202" s="20" t="n">
        <v>0</v>
      </c>
      <c r="L202" s="20" t="n">
        <v>0</v>
      </c>
      <c r="M202" s="20" t="n">
        <v>0</v>
      </c>
      <c r="N202" s="20" t="n">
        <v>0</v>
      </c>
      <c r="V202" s="20" t="n">
        <v>0</v>
      </c>
      <c r="W202" s="20" t="n">
        <v>0</v>
      </c>
      <c r="X202" s="20" t="n">
        <v>0</v>
      </c>
    </row>
    <row r="203">
      <c r="A203" s="9" t="inlineStr">
        <is>
          <t>부문 이익(손실)</t>
        </is>
      </c>
      <c r="C203" s="12" t="n">
        <v>11567</v>
      </c>
      <c r="D203" s="12" t="n">
        <v>13421</v>
      </c>
      <c r="E203" s="12" t="n">
        <v>17534</v>
      </c>
      <c r="F203" s="12" t="n">
        <v>19696</v>
      </c>
      <c r="G203" s="12" t="n">
        <v>14434</v>
      </c>
      <c r="H203" s="12" t="n">
        <v>16142</v>
      </c>
      <c r="I203" s="12" t="n">
        <v>11981</v>
      </c>
      <c r="J203" s="12" t="n">
        <v>8442</v>
      </c>
      <c r="K203" s="12" t="n">
        <v>15112</v>
      </c>
      <c r="V203" s="12" t="n">
        <v>11567</v>
      </c>
      <c r="W203" s="12" t="n">
        <v>14434</v>
      </c>
      <c r="X203" s="12" t="n">
        <v>15112</v>
      </c>
    </row>
    <row r="204">
      <c r="A204" s="43" t="inlineStr">
        <is>
          <t>OPM</t>
        </is>
      </c>
      <c r="B204" s="3" t="inlineStr">
        <is>
          <t>영업이익 ÷ 매출</t>
        </is>
      </c>
      <c r="C204" s="15">
        <f>IF(OR(C203="",C168=""),"",IF(C168&lt;=0,"",IFERROR(C203/C168,"")))</f>
        <v/>
      </c>
      <c r="D204" s="15">
        <f>IF(OR(D203="",D168=""),"",IF(D168&lt;=0,"",IFERROR(D203/D168,"")))</f>
        <v/>
      </c>
      <c r="E204" s="15">
        <f>IF(OR(E203="",E168=""),"",IF(E168&lt;=0,"",IFERROR(E203/E168,"")))</f>
        <v/>
      </c>
      <c r="F204" s="15">
        <f>IF(OR(F203="",F168=""),"",IF(F168&lt;=0,"",IFERROR(F203/F168,"")))</f>
        <v/>
      </c>
      <c r="G204" s="15">
        <f>IF(OR(G203="",G168=""),"",IF(G168&lt;=0,"",IFERROR(G203/G168,"")))</f>
        <v/>
      </c>
      <c r="H204" s="15">
        <f>IF(OR(H203="",H168=""),"",IF(H168&lt;=0,"",IFERROR(H203/H168,"")))</f>
        <v/>
      </c>
      <c r="I204" s="15">
        <f>IF(OR(I203="",I168=""),"",IF(I168&lt;=0,"",IFERROR(I203/I168,"")))</f>
        <v/>
      </c>
      <c r="J204" s="15">
        <f>IF(OR(J203="",J168=""),"",IF(J168&lt;=0,"",IFERROR(J203/J168,"")))</f>
        <v/>
      </c>
      <c r="K204" s="15">
        <f>IF(OR(K203="",K168=""),"",IF(K168&lt;=0,"",IFERROR(K203/K168,"")))</f>
        <v/>
      </c>
      <c r="V204" s="15">
        <f>IF(OR(V203="",V168=""),"",IF(V168&lt;=0,"",IFERROR(V203/V168,"")))</f>
        <v/>
      </c>
      <c r="W204" s="15">
        <f>IF(OR(W203="",W168=""),"",IF(W168&lt;=0,"",IFERROR(W203/W168,"")))</f>
        <v/>
      </c>
      <c r="X204" s="15">
        <f>IF(OR(X203="",X168=""),"",IF(X168&lt;=0,"",IFERROR(X203/X168,"")))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IF(OR(G203="",C203=""),"",IF(C203&lt;=0,"",IFERROR(G203/C203-1,"")))</f>
        <v/>
      </c>
      <c r="H205" s="15">
        <f>IF(OR(H203="",D203=""),"",IF(D203&lt;=0,"",IFERROR(H203/D203-1,"")))</f>
        <v/>
      </c>
      <c r="I205" s="15">
        <f>IF(OR(I203="",E203=""),"",IF(E203&lt;=0,"",IFERROR(I203/E203-1,"")))</f>
        <v/>
      </c>
      <c r="J205" s="15">
        <f>IF(OR(J203="",F203=""),"",IF(F203&lt;=0,"",IFERROR(J203/F203-1,"")))</f>
        <v/>
      </c>
      <c r="K205" s="15">
        <f>IF(OR(K203="",G203=""),"",IF(G203&lt;=0,"",IFERROR(K203/G203-1,"")))</f>
        <v/>
      </c>
      <c r="V205" s="15">
        <f>IF(OR(V203="",U203=""),"",IF(U203&lt;=0,"",IFERROR(V203/U203-1,"")))</f>
        <v/>
      </c>
      <c r="W205" s="15">
        <f>IF(OR(W203="",V203=""),"",IF(V203&lt;=0,"",IFERROR(W203/V203-1,"")))</f>
        <v/>
      </c>
      <c r="X205" s="15">
        <f>IF(OR(X203="",W203=""),"",IF(W203&lt;=0,"",IFERROR(X203/W203-1,"")))</f>
        <v/>
      </c>
    </row>
    <row r="206">
      <c r="A206" s="18" t="inlineStr">
        <is>
          <t>EntityTotalMember · 부문 이익(손실)</t>
        </is>
      </c>
      <c r="H206" s="20" t="n">
        <v>16142</v>
      </c>
      <c r="L206" s="20" t="n">
        <v>10400</v>
      </c>
    </row>
    <row r="208">
      <c r="A208" s="16" t="inlineStr">
        <is>
          <t>현금흐름표 · 전 항목</t>
        </is>
      </c>
      <c r="B208" s="42" t="inlineStr">
        <is>
          <t>분기 = 결산기 첫날부터 누계(공시 그대로)</t>
        </is>
      </c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</row>
    <row r="209">
      <c r="A209" s="5" t="inlineStr">
        <is>
          <t>항목</t>
        </is>
      </c>
      <c r="B209" s="5" t="inlineStr">
        <is>
          <t>참고</t>
        </is>
      </c>
      <c r="C209" s="5" t="inlineStr">
        <is>
          <t>2023.4Q</t>
        </is>
      </c>
      <c r="D209" s="5" t="inlineStr">
        <is>
          <t>2024.1Q</t>
        </is>
      </c>
      <c r="E209" s="5" t="inlineStr">
        <is>
          <t>2024.2Q</t>
        </is>
      </c>
      <c r="F209" s="5" t="inlineStr">
        <is>
          <t>2024.3Q</t>
        </is>
      </c>
      <c r="G209" s="5" t="inlineStr">
        <is>
          <t>2024.4Q</t>
        </is>
      </c>
      <c r="H209" s="5" t="inlineStr">
        <is>
          <t>2025.1Q</t>
        </is>
      </c>
      <c r="I209" s="5" t="inlineStr">
        <is>
          <t>2025.2Q</t>
        </is>
      </c>
      <c r="J209" s="5" t="inlineStr">
        <is>
          <t>2025.3Q</t>
        </is>
      </c>
      <c r="K209" s="5" t="inlineStr">
        <is>
          <t>2025.4Q</t>
        </is>
      </c>
      <c r="L209" s="5" t="inlineStr">
        <is>
          <t>2026.1Q</t>
        </is>
      </c>
      <c r="M209" s="5" t="inlineStr">
        <is>
          <t>2026.2Q</t>
        </is>
      </c>
      <c r="N209" s="5" t="inlineStr">
        <is>
          <t>2026.3Q</t>
        </is>
      </c>
      <c r="O209" s="5" t="inlineStr">
        <is>
          <t>2016</t>
        </is>
      </c>
      <c r="P209" s="5" t="inlineStr">
        <is>
          <t>2017</t>
        </is>
      </c>
      <c r="Q209" s="5" t="inlineStr">
        <is>
          <t>2018</t>
        </is>
      </c>
      <c r="R209" s="5" t="inlineStr">
        <is>
          <t>2019</t>
        </is>
      </c>
      <c r="S209" s="5" t="inlineStr">
        <is>
          <t>2020</t>
        </is>
      </c>
      <c r="T209" s="5" t="inlineStr">
        <is>
          <t>2021</t>
        </is>
      </c>
      <c r="U209" s="5" t="inlineStr">
        <is>
          <t>2022</t>
        </is>
      </c>
      <c r="V209" s="5" t="inlineStr">
        <is>
          <t>2023</t>
        </is>
      </c>
      <c r="W209" s="5" t="inlineStr">
        <is>
          <t>2024</t>
        </is>
      </c>
      <c r="X209" s="5" t="inlineStr">
        <is>
          <t>2025</t>
        </is>
      </c>
      <c r="Y209" s="5" t="inlineStr">
        <is>
          <t>2026(MW)</t>
        </is>
      </c>
      <c r="Z209" s="5" t="inlineStr">
        <is>
          <t>2027(MW)</t>
        </is>
      </c>
      <c r="AA209" s="5" t="inlineStr">
        <is>
          <t>2028(MW)</t>
        </is>
      </c>
      <c r="AB209" s="5" t="inlineStr">
        <is>
          <t>2029(MW)</t>
        </is>
      </c>
      <c r="AC209" s="5" t="inlineStr">
        <is>
          <t>2030(MW)</t>
        </is>
      </c>
    </row>
    <row r="210">
      <c r="A210" s="9" t="inlineStr">
        <is>
          <t>법인세차감전 순이익</t>
        </is>
      </c>
      <c r="C210" s="12" t="n">
        <v>83438</v>
      </c>
      <c r="E210" s="12" t="n">
        <v>55562</v>
      </c>
      <c r="G210" s="12" t="n">
        <v>98594</v>
      </c>
      <c r="I210" s="12" t="n">
        <v>14017</v>
      </c>
      <c r="K210" s="12" t="n">
        <v>56358</v>
      </c>
      <c r="M210" s="12" t="n">
        <v>38057</v>
      </c>
      <c r="O210" s="12" t="n">
        <v>68402</v>
      </c>
      <c r="P210" s="12" t="n">
        <v>54563</v>
      </c>
      <c r="Q210" s="12" t="n">
        <v>71224</v>
      </c>
      <c r="R210" s="12" t="n">
        <v>71393</v>
      </c>
      <c r="S210" s="12" t="n">
        <v>84820</v>
      </c>
      <c r="T210" s="12" t="n">
        <v>153728</v>
      </c>
      <c r="U210" s="12" t="n">
        <v>174112</v>
      </c>
      <c r="V210" s="12" t="n">
        <v>83438</v>
      </c>
      <c r="W210" s="12" t="n">
        <v>98594</v>
      </c>
      <c r="X210" s="12" t="n">
        <v>56358</v>
      </c>
    </row>
    <row r="211">
      <c r="A211" s="18" t="inlineStr">
        <is>
          <t>감가상각비</t>
        </is>
      </c>
      <c r="C211" s="20" t="n">
        <v>23937</v>
      </c>
      <c r="E211" s="20" t="n">
        <v>12645</v>
      </c>
      <c r="G211" s="20" t="n">
        <v>25037</v>
      </c>
      <c r="I211" s="20" t="n">
        <v>13087</v>
      </c>
      <c r="K211" s="20" t="n">
        <v>27208</v>
      </c>
      <c r="M211" s="20" t="n">
        <v>13922</v>
      </c>
      <c r="O211" s="20" t="n">
        <v>15534</v>
      </c>
      <c r="P211" s="20" t="n">
        <v>18805</v>
      </c>
      <c r="Q211" s="20" t="n">
        <v>17512</v>
      </c>
      <c r="R211" s="20" t="n">
        <v>18130</v>
      </c>
      <c r="S211" s="20" t="n">
        <v>18270</v>
      </c>
      <c r="T211" s="20" t="n">
        <v>18749</v>
      </c>
      <c r="U211" s="20" t="n">
        <v>20992</v>
      </c>
      <c r="V211" s="20" t="n">
        <v>23937</v>
      </c>
      <c r="W211" s="20" t="n">
        <v>25037</v>
      </c>
      <c r="X211" s="20" t="n">
        <v>27208</v>
      </c>
    </row>
    <row r="212">
      <c r="A212" s="18" t="inlineStr">
        <is>
          <t>손상차손</t>
        </is>
      </c>
      <c r="C212" s="20" t="n">
        <v>909</v>
      </c>
      <c r="G212" s="20" t="n">
        <v>0</v>
      </c>
      <c r="O212" s="20" t="n">
        <v>869</v>
      </c>
      <c r="P212" s="20" t="n">
        <v>144</v>
      </c>
      <c r="Q212" s="20" t="n">
        <v>266</v>
      </c>
      <c r="R212" s="20" t="n">
        <v>0</v>
      </c>
      <c r="T212" s="20" t="n">
        <v>0</v>
      </c>
      <c r="U212" s="20" t="n">
        <v>733</v>
      </c>
      <c r="V212" s="20" t="n">
        <v>909</v>
      </c>
      <c r="W212" s="20" t="n">
        <v>0</v>
      </c>
    </row>
    <row r="213">
      <c r="A213" s="18" t="inlineStr">
        <is>
          <t>사업 철수 손실</t>
        </is>
      </c>
      <c r="O213" s="20" t="n">
        <v>175</v>
      </c>
      <c r="P213" s="20" t="n">
        <v>0</v>
      </c>
    </row>
    <row r="214">
      <c r="A214" s="18" t="inlineStr">
        <is>
          <t>대손충당금 증감</t>
        </is>
      </c>
      <c r="C214" s="20" t="n">
        <v>13</v>
      </c>
      <c r="G214" s="20" t="n">
        <v>30</v>
      </c>
      <c r="K214" s="20" t="n">
        <v>107</v>
      </c>
      <c r="O214" s="20" t="n">
        <v>-54</v>
      </c>
      <c r="P214" s="20" t="n">
        <v>142</v>
      </c>
      <c r="Q214" s="20" t="n">
        <v>-53</v>
      </c>
      <c r="R214" s="20" t="n">
        <v>108</v>
      </c>
      <c r="S214" s="20" t="n">
        <v>40</v>
      </c>
      <c r="T214" s="20" t="n">
        <v>-207</v>
      </c>
      <c r="U214" s="20" t="n">
        <v>-39</v>
      </c>
      <c r="V214" s="20" t="n">
        <v>13</v>
      </c>
      <c r="W214" s="20" t="n">
        <v>30</v>
      </c>
      <c r="X214" s="20" t="n">
        <v>107</v>
      </c>
    </row>
    <row r="215">
      <c r="A215" s="18" t="inlineStr">
        <is>
          <t>보험금 수익</t>
        </is>
      </c>
      <c r="P215" s="20" t="n">
        <v>0</v>
      </c>
      <c r="Q215" s="20" t="n">
        <v>-25</v>
      </c>
      <c r="R215" s="20" t="n">
        <v>0</v>
      </c>
      <c r="S215" s="20" t="n">
        <v>-3619</v>
      </c>
      <c r="T215" s="20" t="n">
        <v>-345</v>
      </c>
      <c r="U215" s="20" t="n">
        <v>0</v>
      </c>
    </row>
    <row r="216">
      <c r="A216" s="18" t="inlineStr">
        <is>
          <t>무상 점검 관련 비용</t>
        </is>
      </c>
      <c r="C216" s="20" t="n">
        <v>2762</v>
      </c>
      <c r="E216" s="20" t="n">
        <v>1511</v>
      </c>
      <c r="G216" s="20" t="n">
        <v>2433</v>
      </c>
      <c r="I216" s="20" t="n">
        <v>623</v>
      </c>
      <c r="K216" s="20" t="n">
        <v>1370</v>
      </c>
      <c r="M216" s="20" t="n">
        <v>2574</v>
      </c>
      <c r="U216" s="20" t="n">
        <v>0</v>
      </c>
      <c r="V216" s="20" t="n">
        <v>2762</v>
      </c>
      <c r="W216" s="20" t="n">
        <v>2433</v>
      </c>
      <c r="X216" s="20" t="n">
        <v>1370</v>
      </c>
    </row>
    <row r="217">
      <c r="A217" s="18" t="inlineStr">
        <is>
          <t>이자·배당금 수익</t>
        </is>
      </c>
      <c r="C217" s="20" t="n">
        <v>-21112</v>
      </c>
      <c r="E217" s="20" t="n">
        <v>-12373</v>
      </c>
      <c r="G217" s="20" t="n">
        <v>-23529</v>
      </c>
      <c r="I217" s="20" t="n">
        <v>-9269</v>
      </c>
      <c r="K217" s="20" t="n">
        <v>-17849</v>
      </c>
      <c r="M217" s="20" t="n">
        <v>-6780</v>
      </c>
      <c r="O217" s="20" t="n">
        <v>-1915</v>
      </c>
      <c r="P217" s="20" t="n">
        <v>-2619</v>
      </c>
      <c r="Q217" s="20" t="n">
        <v>-4344</v>
      </c>
      <c r="R217" s="20" t="n">
        <v>-4692</v>
      </c>
      <c r="S217" s="20" t="n">
        <v>-2592</v>
      </c>
      <c r="T217" s="20" t="n">
        <v>-2238</v>
      </c>
      <c r="U217" s="20" t="n">
        <v>-6628</v>
      </c>
      <c r="V217" s="20" t="n">
        <v>-21112</v>
      </c>
      <c r="W217" s="20" t="n">
        <v>-23529</v>
      </c>
      <c r="X217" s="20" t="n">
        <v>-17849</v>
      </c>
    </row>
    <row r="218">
      <c r="A218" s="18" t="inlineStr">
        <is>
          <t>이자비용</t>
        </is>
      </c>
      <c r="C218" s="20" t="n">
        <v>211</v>
      </c>
      <c r="E218" s="20" t="n">
        <v>53</v>
      </c>
      <c r="G218" s="20" t="n">
        <v>117</v>
      </c>
      <c r="I218" s="20" t="n">
        <v>53</v>
      </c>
      <c r="K218" s="20" t="n">
        <v>109</v>
      </c>
      <c r="M218" s="20" t="n">
        <v>46</v>
      </c>
      <c r="O218" s="20" t="n">
        <v>161</v>
      </c>
      <c r="P218" s="20" t="n">
        <v>184</v>
      </c>
      <c r="Q218" s="20" t="n">
        <v>206</v>
      </c>
      <c r="R218" s="20" t="n">
        <v>101</v>
      </c>
      <c r="S218" s="20" t="n">
        <v>106</v>
      </c>
      <c r="T218" s="20" t="n">
        <v>116</v>
      </c>
      <c r="U218" s="20" t="n">
        <v>154</v>
      </c>
      <c r="V218" s="20" t="n">
        <v>211</v>
      </c>
      <c r="W218" s="20" t="n">
        <v>117</v>
      </c>
      <c r="X218" s="20" t="n">
        <v>109</v>
      </c>
    </row>
    <row r="219">
      <c r="A219" s="18" t="inlineStr">
        <is>
          <t>외환차손익</t>
        </is>
      </c>
      <c r="C219" s="20" t="n">
        <v>3581</v>
      </c>
      <c r="E219" s="20" t="n">
        <v>-9620</v>
      </c>
      <c r="G219" s="20" t="n">
        <v>-9618</v>
      </c>
      <c r="I219" s="20" t="n">
        <v>19957</v>
      </c>
      <c r="K219" s="20" t="n">
        <v>18538</v>
      </c>
      <c r="M219" s="20" t="n">
        <v>-1185</v>
      </c>
      <c r="O219" s="20" t="n">
        <v>-4517</v>
      </c>
      <c r="P219" s="20" t="n">
        <v>10062</v>
      </c>
      <c r="Q219" s="20" t="n">
        <v>-6855</v>
      </c>
      <c r="R219" s="20" t="n">
        <v>2295</v>
      </c>
      <c r="S219" s="20" t="n">
        <v>1966</v>
      </c>
      <c r="T219" s="20" t="n">
        <v>-3053</v>
      </c>
      <c r="U219" s="20" t="n">
        <v>-1065</v>
      </c>
      <c r="V219" s="20" t="n">
        <v>3581</v>
      </c>
      <c r="W219" s="20" t="n">
        <v>-9618</v>
      </c>
      <c r="X219" s="20" t="n">
        <v>18538</v>
      </c>
    </row>
    <row r="220">
      <c r="A220" s="18" t="inlineStr">
        <is>
          <t>매출채권 증감</t>
        </is>
      </c>
      <c r="C220" s="20" t="n">
        <v>25141</v>
      </c>
      <c r="E220" s="20" t="n">
        <v>-8006</v>
      </c>
      <c r="G220" s="20" t="n">
        <v>-6944</v>
      </c>
      <c r="I220" s="20" t="n">
        <v>-7141</v>
      </c>
      <c r="K220" s="20" t="n">
        <v>2551</v>
      </c>
      <c r="M220" s="20" t="n">
        <v>-6433</v>
      </c>
      <c r="O220" s="20" t="n">
        <v>2168</v>
      </c>
      <c r="P220" s="20" t="n">
        <v>-707</v>
      </c>
      <c r="Q220" s="20" t="n">
        <v>-4443</v>
      </c>
      <c r="R220" s="20" t="n">
        <v>2519</v>
      </c>
      <c r="S220" s="20" t="n">
        <v>-2340</v>
      </c>
      <c r="T220" s="20" t="n">
        <v>-12496</v>
      </c>
      <c r="U220" s="20" t="n">
        <v>-1594</v>
      </c>
      <c r="V220" s="20" t="n">
        <v>25141</v>
      </c>
      <c r="W220" s="20" t="n">
        <v>-6944</v>
      </c>
      <c r="X220" s="20" t="n">
        <v>2551</v>
      </c>
    </row>
    <row r="221">
      <c r="A221" s="18" t="inlineStr">
        <is>
          <t>재고자산 증감</t>
        </is>
      </c>
      <c r="C221" s="20" t="n">
        <v>20251</v>
      </c>
      <c r="E221" s="20" t="n">
        <v>5105</v>
      </c>
      <c r="G221" s="20" t="n">
        <v>-2221</v>
      </c>
      <c r="I221" s="20" t="n">
        <v>-2048</v>
      </c>
      <c r="K221" s="20" t="n">
        <v>-6968</v>
      </c>
      <c r="M221" s="20" t="n">
        <v>-2381</v>
      </c>
      <c r="O221" s="20" t="n">
        <v>3586</v>
      </c>
      <c r="P221" s="20" t="n">
        <v>-2399</v>
      </c>
      <c r="Q221" s="20" t="n">
        <v>-8526</v>
      </c>
      <c r="R221" s="20" t="n">
        <v>-5703</v>
      </c>
      <c r="S221" s="20" t="n">
        <v>-6212</v>
      </c>
      <c r="T221" s="20" t="n">
        <v>-24651</v>
      </c>
      <c r="U221" s="20" t="n">
        <v>-23939</v>
      </c>
      <c r="V221" s="20" t="n">
        <v>20251</v>
      </c>
      <c r="W221" s="20" t="n">
        <v>-2221</v>
      </c>
      <c r="X221" s="20" t="n">
        <v>-6968</v>
      </c>
    </row>
    <row r="222">
      <c r="A222" s="18" t="inlineStr">
        <is>
          <t>매입채무 증감</t>
        </is>
      </c>
      <c r="C222" s="20" t="n">
        <v>-10177</v>
      </c>
      <c r="E222" s="20" t="n">
        <v>3837</v>
      </c>
      <c r="G222" s="20" t="n">
        <v>4253</v>
      </c>
      <c r="I222" s="20" t="n">
        <v>1049</v>
      </c>
      <c r="K222" s="20" t="n">
        <v>-33</v>
      </c>
      <c r="M222" s="20" t="n">
        <v>1674</v>
      </c>
      <c r="O222" s="20" t="n">
        <v>903</v>
      </c>
      <c r="P222" s="20" t="n">
        <v>719</v>
      </c>
      <c r="Q222" s="20" t="n">
        <v>1258</v>
      </c>
      <c r="R222" s="20" t="n">
        <v>-274</v>
      </c>
      <c r="S222" s="20" t="n">
        <v>5348</v>
      </c>
      <c r="T222" s="20" t="n">
        <v>4384</v>
      </c>
      <c r="U222" s="20" t="n">
        <v>-4821</v>
      </c>
      <c r="V222" s="20" t="n">
        <v>-10177</v>
      </c>
      <c r="W222" s="20" t="n">
        <v>4253</v>
      </c>
      <c r="X222" s="20" t="n">
        <v>-33</v>
      </c>
    </row>
    <row r="223">
      <c r="A223" s="18" t="inlineStr">
        <is>
          <t>투자유가증권 매각손익</t>
        </is>
      </c>
      <c r="C223" s="20" t="n">
        <v>0</v>
      </c>
      <c r="G223" s="20" t="n">
        <v>-541</v>
      </c>
      <c r="I223" s="20" t="n">
        <v>0</v>
      </c>
      <c r="K223" s="20" t="n">
        <v>-3222</v>
      </c>
      <c r="M223" s="20" t="n">
        <v>-3092</v>
      </c>
      <c r="S223" s="20" t="n">
        <v>0</v>
      </c>
      <c r="T223" s="20" t="n">
        <v>-1282</v>
      </c>
      <c r="U223" s="20" t="n">
        <v>0</v>
      </c>
      <c r="V223" s="20" t="n">
        <v>0</v>
      </c>
      <c r="W223" s="20" t="n">
        <v>-541</v>
      </c>
      <c r="X223" s="20" t="n">
        <v>-3222</v>
      </c>
    </row>
    <row r="224">
      <c r="A224" s="18" t="inlineStr">
        <is>
          <t>퇴직급여자산 증감</t>
        </is>
      </c>
      <c r="C224" s="20" t="n">
        <v>-158</v>
      </c>
      <c r="E224" s="20" t="n">
        <v>204</v>
      </c>
      <c r="G224" s="20" t="n">
        <v>-95</v>
      </c>
      <c r="I224" s="20" t="n">
        <v>398</v>
      </c>
      <c r="K224" s="20" t="n">
        <v>-2650</v>
      </c>
      <c r="M224" s="20" t="n">
        <v>173</v>
      </c>
      <c r="T224" s="20" t="n">
        <v>0</v>
      </c>
      <c r="U224" s="20" t="n">
        <v>-2645</v>
      </c>
      <c r="V224" s="20" t="n">
        <v>-158</v>
      </c>
      <c r="W224" s="20" t="n">
        <v>-95</v>
      </c>
      <c r="X224" s="20" t="n">
        <v>-2650</v>
      </c>
    </row>
    <row r="225">
      <c r="A225" s="18" t="inlineStr">
        <is>
          <t>퇴직급여부채 증감</t>
        </is>
      </c>
      <c r="C225" s="20" t="n">
        <v>-48</v>
      </c>
      <c r="E225" s="20" t="n">
        <v>35</v>
      </c>
      <c r="G225" s="20" t="n">
        <v>0</v>
      </c>
      <c r="I225" s="20" t="n">
        <v>73</v>
      </c>
      <c r="K225" s="20" t="n">
        <v>171</v>
      </c>
      <c r="M225" s="20" t="n">
        <v>49</v>
      </c>
      <c r="O225" s="20" t="n">
        <v>1297</v>
      </c>
      <c r="P225" s="20" t="n">
        <v>32</v>
      </c>
      <c r="Q225" s="20" t="n">
        <v>-686</v>
      </c>
      <c r="R225" s="20" t="n">
        <v>-117</v>
      </c>
      <c r="S225" s="20" t="n">
        <v>-318</v>
      </c>
      <c r="T225" s="20" t="n">
        <v>-835</v>
      </c>
      <c r="U225" s="20" t="n">
        <v>-945</v>
      </c>
      <c r="V225" s="20" t="n">
        <v>-48</v>
      </c>
      <c r="W225" s="20" t="n">
        <v>0</v>
      </c>
      <c r="X225" s="20" t="n">
        <v>171</v>
      </c>
    </row>
    <row r="226">
      <c r="A226" s="18" t="inlineStr">
        <is>
          <t>공장 재건축 관련 비용</t>
        </is>
      </c>
      <c r="C226" s="20" t="n">
        <v>1396</v>
      </c>
      <c r="G226" s="20" t="n">
        <v>80</v>
      </c>
      <c r="K226" s="20" t="n">
        <v>179</v>
      </c>
      <c r="O226" s="20" t="n">
        <v>555</v>
      </c>
      <c r="P226" s="20" t="n">
        <v>1039</v>
      </c>
      <c r="Q226" s="20" t="n">
        <v>258</v>
      </c>
      <c r="R226" s="20" t="n">
        <v>184</v>
      </c>
      <c r="S226" s="20" t="n">
        <v>271</v>
      </c>
      <c r="T226" s="20" t="n">
        <v>461</v>
      </c>
      <c r="U226" s="20" t="n">
        <v>1132</v>
      </c>
      <c r="V226" s="20" t="n">
        <v>1396</v>
      </c>
      <c r="W226" s="20" t="n">
        <v>80</v>
      </c>
      <c r="X226" s="20" t="n">
        <v>179</v>
      </c>
    </row>
    <row r="227">
      <c r="A227" s="18" t="inlineStr">
        <is>
          <t>화재 손실 충당금 증감액</t>
        </is>
      </c>
      <c r="P227" s="20" t="n">
        <v>0</v>
      </c>
      <c r="Q227" s="20" t="n">
        <v>1609</v>
      </c>
      <c r="R227" s="20" t="n">
        <v>-1598</v>
      </c>
      <c r="S227" s="20" t="n">
        <v>-10</v>
      </c>
      <c r="T227" s="20" t="n">
        <v>0</v>
      </c>
    </row>
    <row r="228">
      <c r="A228" s="18" t="inlineStr">
        <is>
          <t>화재손실</t>
        </is>
      </c>
      <c r="P228" s="20" t="n">
        <v>0</v>
      </c>
      <c r="Q228" s="20" t="n">
        <v>996</v>
      </c>
      <c r="R228" s="20" t="n">
        <v>452</v>
      </c>
      <c r="S228" s="20" t="n">
        <v>0</v>
      </c>
    </row>
    <row r="229">
      <c r="A229" s="18" t="inlineStr">
        <is>
          <t>공장 재건축 관련 비용</t>
        </is>
      </c>
      <c r="E229" s="20" t="n">
        <v>63</v>
      </c>
      <c r="I229" s="20" t="n">
        <v>20</v>
      </c>
      <c r="M229" s="20" t="n">
        <v>410</v>
      </c>
    </row>
    <row r="230">
      <c r="A230" s="18" t="inlineStr">
        <is>
          <t>제품보증 충당금 증감</t>
        </is>
      </c>
      <c r="C230" s="20" t="n">
        <v>15459</v>
      </c>
      <c r="E230" s="20" t="n">
        <v>-1618</v>
      </c>
      <c r="G230" s="20" t="n">
        <v>-2738</v>
      </c>
      <c r="I230" s="20" t="n">
        <v>280</v>
      </c>
      <c r="K230" s="20" t="n">
        <v>-7449</v>
      </c>
      <c r="M230" s="20" t="n">
        <v>-2627</v>
      </c>
      <c r="U230" s="20" t="n">
        <v>990</v>
      </c>
      <c r="V230" s="20" t="n">
        <v>15459</v>
      </c>
      <c r="W230" s="20" t="n">
        <v>-2738</v>
      </c>
      <c r="X230" s="20" t="n">
        <v>-7449</v>
      </c>
    </row>
    <row r="231">
      <c r="A231" s="18" t="inlineStr">
        <is>
          <t>자회사 재구축 비용</t>
        </is>
      </c>
      <c r="C231" s="20" t="n">
        <v>0</v>
      </c>
      <c r="T231" s="20" t="n">
        <v>0</v>
      </c>
      <c r="U231" s="20" t="n">
        <v>491</v>
      </c>
      <c r="V231" s="20" t="n">
        <v>0</v>
      </c>
    </row>
    <row r="232">
      <c r="A232" s="18" t="inlineStr">
        <is>
          <t>자회사 주식 매각손익</t>
        </is>
      </c>
      <c r="C232" s="20" t="n">
        <v>0</v>
      </c>
      <c r="T232" s="20" t="n">
        <v>0</v>
      </c>
      <c r="U232" s="20" t="n">
        <v>98</v>
      </c>
      <c r="V232" s="20" t="n">
        <v>0</v>
      </c>
    </row>
    <row r="233">
      <c r="A233" s="18" t="inlineStr">
        <is>
          <t>유형자산 제각·매각손익</t>
        </is>
      </c>
      <c r="C233" s="20" t="n">
        <v>15</v>
      </c>
      <c r="E233" s="20" t="n">
        <v>22</v>
      </c>
      <c r="G233" s="20" t="n">
        <v>66</v>
      </c>
      <c r="I233" s="20" t="n">
        <v>23</v>
      </c>
      <c r="K233" s="20" t="n">
        <v>237</v>
      </c>
      <c r="M233" s="20" t="n">
        <v>226</v>
      </c>
      <c r="O233" s="20" t="n">
        <v>183</v>
      </c>
      <c r="P233" s="20" t="n">
        <v>101</v>
      </c>
      <c r="Q233" s="20" t="n">
        <v>-685</v>
      </c>
      <c r="R233" s="20" t="n">
        <v>-2238</v>
      </c>
      <c r="S233" s="20" t="n">
        <v>559</v>
      </c>
      <c r="T233" s="20" t="n">
        <v>465</v>
      </c>
      <c r="U233" s="20" t="n">
        <v>96</v>
      </c>
      <c r="V233" s="20" t="n">
        <v>15</v>
      </c>
      <c r="W233" s="20" t="n">
        <v>66</v>
      </c>
      <c r="X233" s="20" t="n">
        <v>237</v>
      </c>
    </row>
    <row r="234">
      <c r="A234" s="18" t="inlineStr">
        <is>
          <t>미지급 상여 증감액</t>
        </is>
      </c>
      <c r="E234" s="20" t="n">
        <v>2325</v>
      </c>
      <c r="I234" s="20" t="n">
        <v>2628</v>
      </c>
      <c r="M234" s="20" t="n">
        <v>2125</v>
      </c>
    </row>
    <row r="235">
      <c r="A235" s="18" t="inlineStr">
        <is>
          <t>기타</t>
        </is>
      </c>
      <c r="C235" s="20" t="n">
        <v>-6916</v>
      </c>
      <c r="E235" s="20" t="n">
        <v>-2094</v>
      </c>
      <c r="G235" s="20" t="n">
        <v>-1419</v>
      </c>
      <c r="I235" s="20" t="n">
        <v>-1168</v>
      </c>
      <c r="K235" s="20" t="n">
        <v>-2175</v>
      </c>
      <c r="M235" s="20" t="n">
        <v>8608</v>
      </c>
      <c r="O235" s="20" t="n">
        <v>-1212</v>
      </c>
      <c r="P235" s="20" t="n">
        <v>2579</v>
      </c>
      <c r="Q235" s="20" t="n">
        <v>-2466</v>
      </c>
      <c r="R235" s="20" t="n">
        <v>501</v>
      </c>
      <c r="S235" s="20" t="n">
        <v>5406</v>
      </c>
      <c r="T235" s="20" t="n">
        <v>3393</v>
      </c>
      <c r="U235" s="20" t="n">
        <v>-1763</v>
      </c>
      <c r="V235" s="20" t="n">
        <v>-6916</v>
      </c>
      <c r="W235" s="20" t="n">
        <v>-1419</v>
      </c>
      <c r="X235" s="20" t="n">
        <v>-2175</v>
      </c>
    </row>
    <row r="236">
      <c r="A236" s="18" t="inlineStr">
        <is>
          <t>소계</t>
        </is>
      </c>
      <c r="C236" s="20" t="n">
        <v>138705</v>
      </c>
      <c r="E236" s="20" t="n">
        <v>47653</v>
      </c>
      <c r="G236" s="20" t="n">
        <v>83503</v>
      </c>
      <c r="I236" s="20" t="n">
        <v>32585</v>
      </c>
      <c r="K236" s="20" t="n">
        <v>66482</v>
      </c>
      <c r="M236" s="20" t="n">
        <v>45368</v>
      </c>
      <c r="O236" s="20" t="n">
        <v>86137</v>
      </c>
      <c r="P236" s="20" t="n">
        <v>82649</v>
      </c>
      <c r="Q236" s="20" t="n">
        <v>65242</v>
      </c>
      <c r="R236" s="20" t="n">
        <v>81064</v>
      </c>
      <c r="S236" s="20" t="n">
        <v>101695</v>
      </c>
      <c r="T236" s="20" t="n">
        <v>136189</v>
      </c>
      <c r="U236" s="20" t="n">
        <v>155357</v>
      </c>
      <c r="V236" s="20" t="n">
        <v>138705</v>
      </c>
      <c r="W236" s="20" t="n">
        <v>83503</v>
      </c>
      <c r="X236" s="20" t="n">
        <v>66482</v>
      </c>
    </row>
    <row r="237">
      <c r="A237" s="18" t="inlineStr">
        <is>
          <t>이자·배당금 수취</t>
        </is>
      </c>
      <c r="C237" s="20" t="n">
        <v>20323</v>
      </c>
      <c r="E237" s="20" t="n">
        <v>13172</v>
      </c>
      <c r="G237" s="20" t="n">
        <v>24379</v>
      </c>
      <c r="I237" s="20" t="n">
        <v>10043</v>
      </c>
      <c r="K237" s="20" t="n">
        <v>19001</v>
      </c>
      <c r="M237" s="20" t="n">
        <v>7017</v>
      </c>
      <c r="O237" s="20" t="n">
        <v>1713</v>
      </c>
      <c r="P237" s="20" t="n">
        <v>2580</v>
      </c>
      <c r="Q237" s="20" t="n">
        <v>4023</v>
      </c>
      <c r="R237" s="20" t="n">
        <v>4817</v>
      </c>
      <c r="S237" s="20" t="n">
        <v>2945</v>
      </c>
      <c r="T237" s="20" t="n">
        <v>2226</v>
      </c>
      <c r="U237" s="20" t="n">
        <v>4940</v>
      </c>
      <c r="V237" s="20" t="n">
        <v>20323</v>
      </c>
      <c r="W237" s="20" t="n">
        <v>24379</v>
      </c>
      <c r="X237" s="20" t="n">
        <v>19001</v>
      </c>
    </row>
    <row r="238">
      <c r="A238" s="18" t="inlineStr">
        <is>
          <t>보험금 수취</t>
        </is>
      </c>
      <c r="P238" s="20" t="n">
        <v>0</v>
      </c>
      <c r="Q238" s="20" t="n">
        <v>25</v>
      </c>
      <c r="R238" s="20" t="n">
        <v>0</v>
      </c>
      <c r="S238" s="20" t="n">
        <v>3619</v>
      </c>
      <c r="T238" s="20" t="n">
        <v>345</v>
      </c>
      <c r="U238" s="20" t="n">
        <v>0</v>
      </c>
    </row>
    <row r="239">
      <c r="A239" s="18" t="inlineStr">
        <is>
          <t>화재 관련 지급액</t>
        </is>
      </c>
      <c r="P239" s="20" t="n">
        <v>0</v>
      </c>
      <c r="Q239" s="20" t="n">
        <v>-827</v>
      </c>
      <c r="R239" s="20" t="n">
        <v>-192</v>
      </c>
      <c r="S239" s="20" t="n">
        <v>-265</v>
      </c>
      <c r="T239" s="20" t="n">
        <v>0</v>
      </c>
    </row>
    <row r="240">
      <c r="A240" s="18" t="inlineStr">
        <is>
          <t>무상 점검 관련 비용 지급액</t>
        </is>
      </c>
      <c r="C240" s="20" t="n">
        <v>-986</v>
      </c>
      <c r="E240" s="20" t="n">
        <v>-1418</v>
      </c>
      <c r="G240" s="20" t="n">
        <v>-2259</v>
      </c>
      <c r="I240" s="20" t="n">
        <v>-541</v>
      </c>
      <c r="K240" s="20" t="n">
        <v>-1168</v>
      </c>
      <c r="M240" s="20" t="n">
        <v>-2603</v>
      </c>
      <c r="U240" s="20" t="n">
        <v>0</v>
      </c>
      <c r="V240" s="20" t="n">
        <v>-986</v>
      </c>
      <c r="W240" s="20" t="n">
        <v>-2259</v>
      </c>
      <c r="X240" s="20" t="n">
        <v>-1168</v>
      </c>
    </row>
    <row r="241">
      <c r="A241" s="18" t="inlineStr">
        <is>
          <t>이자 지급</t>
        </is>
      </c>
      <c r="C241" s="20" t="n">
        <v>-277</v>
      </c>
      <c r="E241" s="20" t="n">
        <v>2</v>
      </c>
      <c r="G241" s="20" t="n">
        <v>-115</v>
      </c>
      <c r="I241" s="20" t="n">
        <v>-53</v>
      </c>
      <c r="K241" s="20" t="n">
        <v>-109</v>
      </c>
      <c r="M241" s="20" t="n">
        <v>-47</v>
      </c>
      <c r="O241" s="20" t="n">
        <v>-173</v>
      </c>
      <c r="P241" s="20" t="n">
        <v>-189</v>
      </c>
      <c r="Q241" s="20" t="n">
        <v>-195</v>
      </c>
      <c r="R241" s="20" t="n">
        <v>-111</v>
      </c>
      <c r="S241" s="20" t="n">
        <v>-114</v>
      </c>
      <c r="T241" s="20" t="n">
        <v>-123</v>
      </c>
      <c r="U241" s="20" t="n">
        <v>-168</v>
      </c>
      <c r="V241" s="20" t="n">
        <v>-277</v>
      </c>
      <c r="W241" s="20" t="n">
        <v>-115</v>
      </c>
      <c r="X241" s="20" t="n">
        <v>-109</v>
      </c>
    </row>
    <row r="242">
      <c r="A242" s="18" t="inlineStr">
        <is>
          <t>법인세 납부</t>
        </is>
      </c>
      <c r="C242" s="20" t="n">
        <v>-43197</v>
      </c>
      <c r="E242" s="20" t="n">
        <v>-6951</v>
      </c>
      <c r="G242" s="20" t="n">
        <v>-18475</v>
      </c>
      <c r="I242" s="20" t="n">
        <v>-10522</v>
      </c>
      <c r="K242" s="20" t="n">
        <v>-20425</v>
      </c>
      <c r="M242" s="20" t="n">
        <v>-10153</v>
      </c>
      <c r="O242" s="20" t="n">
        <v>-23643</v>
      </c>
      <c r="P242" s="20" t="n">
        <v>-15775</v>
      </c>
      <c r="Q242" s="20" t="n">
        <v>-18676</v>
      </c>
      <c r="R242" s="20" t="n">
        <v>-17680</v>
      </c>
      <c r="S242" s="20" t="n">
        <v>-16831</v>
      </c>
      <c r="T242" s="20" t="n">
        <v>-26197</v>
      </c>
      <c r="U242" s="20" t="n">
        <v>-49445</v>
      </c>
      <c r="V242" s="20" t="n">
        <v>-43197</v>
      </c>
      <c r="W242" s="20" t="n">
        <v>-18475</v>
      </c>
      <c r="X242" s="20" t="n">
        <v>-20425</v>
      </c>
    </row>
    <row r="243">
      <c r="A243" s="9" t="inlineStr">
        <is>
          <t>영업활동 현금흐름</t>
        </is>
      </c>
      <c r="C243" s="12" t="n">
        <v>114567</v>
      </c>
      <c r="E243" s="12" t="n">
        <v>52458</v>
      </c>
      <c r="G243" s="12" t="n">
        <v>87032</v>
      </c>
      <c r="I243" s="12" t="n">
        <v>31512</v>
      </c>
      <c r="K243" s="12" t="n">
        <v>63780</v>
      </c>
      <c r="M243" s="12" t="n">
        <v>39581</v>
      </c>
      <c r="O243" s="12" t="n">
        <v>64034</v>
      </c>
      <c r="P243" s="12" t="n">
        <v>69265</v>
      </c>
      <c r="Q243" s="12" t="n">
        <v>49593</v>
      </c>
      <c r="R243" s="12" t="n">
        <v>67897</v>
      </c>
      <c r="S243" s="12" t="n">
        <v>91050</v>
      </c>
      <c r="T243" s="12" t="n">
        <v>112439</v>
      </c>
      <c r="U243" s="12" t="n">
        <v>110684</v>
      </c>
      <c r="V243" s="12" t="n">
        <v>114567</v>
      </c>
      <c r="W243" s="12" t="n">
        <v>87032</v>
      </c>
      <c r="X243" s="12" t="n">
        <v>63780</v>
      </c>
    </row>
    <row r="244">
      <c r="A244" s="18" t="inlineStr">
        <is>
          <t>정기예금 예입</t>
        </is>
      </c>
      <c r="C244" s="20" t="n">
        <v>-7891</v>
      </c>
      <c r="E244" s="20" t="n">
        <v>-1601</v>
      </c>
      <c r="G244" s="20" t="n">
        <v>-4226</v>
      </c>
      <c r="I244" s="20" t="n">
        <v>-2363</v>
      </c>
      <c r="K244" s="20" t="n">
        <v>-3103</v>
      </c>
      <c r="M244" s="20" t="n">
        <v>-1064</v>
      </c>
      <c r="O244" s="20" t="n">
        <v>-1471</v>
      </c>
      <c r="P244" s="20" t="n">
        <v>-59621</v>
      </c>
      <c r="Q244" s="20" t="n">
        <v>-122008</v>
      </c>
      <c r="R244" s="20" t="n">
        <v>-13234</v>
      </c>
      <c r="S244" s="20" t="n">
        <v>-2383</v>
      </c>
      <c r="T244" s="20" t="n">
        <v>-2260</v>
      </c>
      <c r="U244" s="20" t="n">
        <v>-8118</v>
      </c>
      <c r="V244" s="20" t="n">
        <v>-7891</v>
      </c>
      <c r="W244" s="20" t="n">
        <v>-4226</v>
      </c>
      <c r="X244" s="20" t="n">
        <v>-3103</v>
      </c>
    </row>
    <row r="245">
      <c r="A245" s="18" t="inlineStr">
        <is>
          <t>정기예금 인출</t>
        </is>
      </c>
      <c r="C245" s="20" t="n">
        <v>9756</v>
      </c>
      <c r="E245" s="20" t="n">
        <v>9659</v>
      </c>
      <c r="G245" s="20" t="n">
        <v>13076</v>
      </c>
      <c r="I245" s="20" t="n">
        <v>1108</v>
      </c>
      <c r="K245" s="20" t="n">
        <v>2478</v>
      </c>
      <c r="M245" s="20" t="n">
        <v>1250</v>
      </c>
      <c r="O245" s="20" t="n">
        <v>317</v>
      </c>
      <c r="P245" s="20" t="n">
        <v>21940</v>
      </c>
      <c r="Q245" s="20" t="n">
        <v>96515</v>
      </c>
      <c r="R245" s="20" t="n">
        <v>73130</v>
      </c>
      <c r="S245" s="20" t="n">
        <v>2276</v>
      </c>
      <c r="T245" s="20" t="n">
        <v>1635</v>
      </c>
      <c r="U245" s="20" t="n">
        <v>2090</v>
      </c>
      <c r="V245" s="20" t="n">
        <v>9756</v>
      </c>
      <c r="W245" s="20" t="n">
        <v>13076</v>
      </c>
      <c r="X245" s="20" t="n">
        <v>2478</v>
      </c>
    </row>
    <row r="246">
      <c r="A246" s="18" t="inlineStr">
        <is>
          <t>유형자산 취득(설비투자)</t>
        </is>
      </c>
      <c r="C246" s="20" t="n">
        <v>-24783</v>
      </c>
      <c r="E246" s="20" t="n">
        <v>-19253</v>
      </c>
      <c r="G246" s="20" t="n">
        <v>-36824</v>
      </c>
      <c r="I246" s="20" t="n">
        <v>-20636</v>
      </c>
      <c r="K246" s="20" t="n">
        <v>-35519</v>
      </c>
      <c r="M246" s="20" t="n">
        <v>-18057</v>
      </c>
      <c r="O246" s="20" t="n">
        <v>-29381</v>
      </c>
      <c r="P246" s="20" t="n">
        <v>-12858</v>
      </c>
      <c r="Q246" s="20" t="n">
        <v>-22252</v>
      </c>
      <c r="R246" s="20" t="n">
        <v>-23252</v>
      </c>
      <c r="S246" s="20" t="n">
        <v>-23360</v>
      </c>
      <c r="T246" s="20" t="n">
        <v>-16156</v>
      </c>
      <c r="U246" s="20" t="n">
        <v>-20247</v>
      </c>
      <c r="V246" s="20" t="n">
        <v>-24783</v>
      </c>
      <c r="W246" s="20" t="n">
        <v>-36824</v>
      </c>
      <c r="X246" s="20" t="n">
        <v>-35519</v>
      </c>
    </row>
    <row r="247">
      <c r="A247" s="18" t="inlineStr">
        <is>
          <t>유형자산 매각</t>
        </is>
      </c>
      <c r="C247" s="20" t="n">
        <v>95</v>
      </c>
      <c r="G247" s="20" t="n">
        <v>108</v>
      </c>
      <c r="K247" s="20" t="n">
        <v>2119</v>
      </c>
      <c r="O247" s="20" t="n">
        <v>2024</v>
      </c>
      <c r="P247" s="20" t="n">
        <v>1387</v>
      </c>
      <c r="Q247" s="20" t="n">
        <v>1637</v>
      </c>
      <c r="R247" s="20" t="n">
        <v>568</v>
      </c>
      <c r="S247" s="20" t="n">
        <v>73</v>
      </c>
      <c r="T247" s="20" t="n">
        <v>90</v>
      </c>
      <c r="U247" s="20" t="n">
        <v>160</v>
      </c>
      <c r="V247" s="20" t="n">
        <v>95</v>
      </c>
      <c r="W247" s="20" t="n">
        <v>108</v>
      </c>
      <c r="X247" s="20" t="n">
        <v>2119</v>
      </c>
    </row>
    <row r="248">
      <c r="A248" s="18" t="inlineStr">
        <is>
          <t>무형자산 취득</t>
        </is>
      </c>
      <c r="C248" s="20" t="n">
        <v>-6532</v>
      </c>
      <c r="E248" s="20" t="n">
        <v>-4738</v>
      </c>
      <c r="G248" s="20" t="n">
        <v>-8753</v>
      </c>
      <c r="I248" s="20" t="n">
        <v>-4328</v>
      </c>
      <c r="K248" s="20" t="n">
        <v>-10247</v>
      </c>
      <c r="M248" s="20" t="n">
        <v>-4814</v>
      </c>
      <c r="O248" s="20" t="n">
        <v>-2633</v>
      </c>
      <c r="P248" s="20" t="n">
        <v>-2803</v>
      </c>
      <c r="Q248" s="20" t="n">
        <v>-1943</v>
      </c>
      <c r="R248" s="20" t="n">
        <v>-2702</v>
      </c>
      <c r="S248" s="20" t="n">
        <v>-4205</v>
      </c>
      <c r="T248" s="20" t="n">
        <v>-3878</v>
      </c>
      <c r="U248" s="20" t="n">
        <v>-7265</v>
      </c>
      <c r="V248" s="20" t="n">
        <v>-6532</v>
      </c>
      <c r="W248" s="20" t="n">
        <v>-8753</v>
      </c>
      <c r="X248" s="20" t="n">
        <v>-10247</v>
      </c>
    </row>
    <row r="249">
      <c r="A249" s="18" t="inlineStr">
        <is>
          <t>공장 재건축 관련 비용 지급액</t>
        </is>
      </c>
      <c r="C249" s="20" t="n">
        <v>-1280</v>
      </c>
      <c r="G249" s="20" t="n">
        <v>-87</v>
      </c>
      <c r="K249" s="20" t="n">
        <v>-184</v>
      </c>
      <c r="O249" s="20" t="n">
        <v>-484</v>
      </c>
      <c r="P249" s="20" t="n">
        <v>-533</v>
      </c>
      <c r="Q249" s="20" t="n">
        <v>-301</v>
      </c>
      <c r="R249" s="20" t="n">
        <v>-125</v>
      </c>
      <c r="S249" s="20" t="n">
        <v>-292</v>
      </c>
      <c r="T249" s="20" t="n">
        <v>-432</v>
      </c>
      <c r="U249" s="20" t="n">
        <v>-626</v>
      </c>
      <c r="V249" s="20" t="n">
        <v>-1280</v>
      </c>
      <c r="W249" s="20" t="n">
        <v>-87</v>
      </c>
      <c r="X249" s="20" t="n">
        <v>-184</v>
      </c>
    </row>
    <row r="250">
      <c r="A250" s="18" t="inlineStr">
        <is>
          <t>공장 재건축 관련 비용 지급액</t>
        </is>
      </c>
      <c r="E250" s="20" t="n">
        <v>-77</v>
      </c>
      <c r="I250" s="20" t="n">
        <v>-21</v>
      </c>
      <c r="M250" s="20" t="n">
        <v>-410</v>
      </c>
    </row>
    <row r="251">
      <c r="A251" s="18" t="inlineStr">
        <is>
          <t>투자유가증권 취득</t>
        </is>
      </c>
      <c r="C251" s="20" t="n">
        <v>-1805</v>
      </c>
      <c r="E251" s="20" t="n">
        <v>0</v>
      </c>
      <c r="G251" s="20" t="n">
        <v>-3</v>
      </c>
      <c r="I251" s="20" t="n">
        <v>0</v>
      </c>
      <c r="K251" s="20" t="n">
        <v>-67</v>
      </c>
      <c r="M251" s="20" t="n">
        <v>-6741</v>
      </c>
      <c r="O251" s="20" t="n">
        <v>-198</v>
      </c>
      <c r="P251" s="20" t="n">
        <v>0</v>
      </c>
      <c r="R251" s="20" t="n">
        <v>0</v>
      </c>
      <c r="S251" s="20" t="n">
        <v>-1030</v>
      </c>
      <c r="T251" s="20" t="n">
        <v>-431</v>
      </c>
      <c r="U251" s="20" t="n">
        <v>-4999</v>
      </c>
      <c r="V251" s="20" t="n">
        <v>-1805</v>
      </c>
      <c r="W251" s="20" t="n">
        <v>-3</v>
      </c>
      <c r="X251" s="20" t="n">
        <v>-67</v>
      </c>
    </row>
    <row r="252">
      <c r="A252" s="18" t="inlineStr">
        <is>
          <t>투자유가증권 매각</t>
        </is>
      </c>
      <c r="C252" s="20" t="n">
        <v>0</v>
      </c>
      <c r="G252" s="20" t="n">
        <v>737</v>
      </c>
      <c r="I252" s="20" t="n">
        <v>0</v>
      </c>
      <c r="K252" s="20" t="n">
        <v>3382</v>
      </c>
      <c r="M252" s="20" t="n">
        <v>3901</v>
      </c>
      <c r="O252" s="20" t="n">
        <v>0</v>
      </c>
      <c r="P252" s="20" t="n">
        <v>209</v>
      </c>
      <c r="Q252" s="20" t="n">
        <v>0</v>
      </c>
      <c r="S252" s="20" t="n">
        <v>0</v>
      </c>
      <c r="T252" s="20" t="n">
        <v>1415</v>
      </c>
      <c r="U252" s="20" t="n">
        <v>0</v>
      </c>
      <c r="V252" s="20" t="n">
        <v>0</v>
      </c>
      <c r="W252" s="20" t="n">
        <v>737</v>
      </c>
      <c r="X252" s="20" t="n">
        <v>3382</v>
      </c>
    </row>
    <row r="253">
      <c r="A253" s="18" t="inlineStr">
        <is>
          <t>단기대여금 순증감</t>
        </is>
      </c>
      <c r="C253" s="20" t="n">
        <v>-198</v>
      </c>
      <c r="G253" s="20" t="n">
        <v>-125</v>
      </c>
      <c r="K253" s="20" t="n">
        <v>-44</v>
      </c>
      <c r="O253" s="20" t="n">
        <v>-84</v>
      </c>
      <c r="P253" s="20" t="n">
        <v>90</v>
      </c>
      <c r="Q253" s="20" t="n">
        <v>-15</v>
      </c>
      <c r="R253" s="20" t="n">
        <v>-0</v>
      </c>
      <c r="S253" s="20" t="n">
        <v>37</v>
      </c>
      <c r="T253" s="20" t="n">
        <v>-28</v>
      </c>
      <c r="U253" s="20" t="n">
        <v>-228</v>
      </c>
      <c r="V253" s="20" t="n">
        <v>-198</v>
      </c>
      <c r="W253" s="20" t="n">
        <v>-125</v>
      </c>
      <c r="X253" s="20" t="n">
        <v>-44</v>
      </c>
    </row>
    <row r="254">
      <c r="A254" s="18" t="inlineStr">
        <is>
          <t>연결범위 변경 자회사 주식 취득</t>
        </is>
      </c>
      <c r="O254" s="20" t="n">
        <v>-3367</v>
      </c>
      <c r="P254" s="20" t="n">
        <v>0</v>
      </c>
    </row>
    <row r="255">
      <c r="A255" s="18" t="inlineStr">
        <is>
          <t>연결범위 변경 자회사 주식 매각</t>
        </is>
      </c>
      <c r="C255" s="20" t="n">
        <v>0</v>
      </c>
      <c r="T255" s="20" t="n">
        <v>0</v>
      </c>
      <c r="U255" s="20" t="n">
        <v>5307</v>
      </c>
      <c r="V255" s="20" t="n">
        <v>0</v>
      </c>
    </row>
    <row r="256">
      <c r="A256" s="18" t="inlineStr">
        <is>
          <t>기타</t>
        </is>
      </c>
      <c r="C256" s="20" t="n">
        <v>880</v>
      </c>
      <c r="E256" s="20" t="n">
        <v>164</v>
      </c>
      <c r="G256" s="20" t="n">
        <v>288</v>
      </c>
      <c r="I256" s="20" t="n">
        <v>-478</v>
      </c>
      <c r="K256" s="20" t="n">
        <v>511</v>
      </c>
      <c r="M256" s="20" t="n">
        <v>310</v>
      </c>
      <c r="O256" s="20" t="n">
        <v>1224</v>
      </c>
      <c r="P256" s="20" t="n">
        <v>531</v>
      </c>
      <c r="Q256" s="20" t="n">
        <v>-640</v>
      </c>
      <c r="R256" s="20" t="n">
        <v>25</v>
      </c>
      <c r="S256" s="20" t="n">
        <v>556</v>
      </c>
      <c r="T256" s="20" t="n">
        <v>-84</v>
      </c>
      <c r="U256" s="20" t="n">
        <v>548</v>
      </c>
      <c r="V256" s="20" t="n">
        <v>880</v>
      </c>
      <c r="W256" s="20" t="n">
        <v>288</v>
      </c>
      <c r="X256" s="20" t="n">
        <v>511</v>
      </c>
    </row>
    <row r="257">
      <c r="A257" s="9" t="inlineStr">
        <is>
          <t>투자활동 현금흐름</t>
        </is>
      </c>
      <c r="C257" s="12" t="n">
        <v>-31760</v>
      </c>
      <c r="E257" s="12" t="n">
        <v>-15845</v>
      </c>
      <c r="G257" s="12" t="n">
        <v>-35810</v>
      </c>
      <c r="I257" s="12" t="n">
        <v>-26720</v>
      </c>
      <c r="K257" s="12" t="n">
        <v>-40675</v>
      </c>
      <c r="M257" s="12" t="n">
        <v>-25625</v>
      </c>
      <c r="O257" s="12" t="n">
        <v>-34054</v>
      </c>
      <c r="P257" s="12" t="n">
        <v>-51657</v>
      </c>
      <c r="Q257" s="12" t="n">
        <v>-49008</v>
      </c>
      <c r="R257" s="12" t="n">
        <v>34409</v>
      </c>
      <c r="S257" s="12" t="n">
        <v>-28328</v>
      </c>
      <c r="T257" s="12" t="n">
        <v>-20129</v>
      </c>
      <c r="U257" s="12" t="n">
        <v>-33378</v>
      </c>
      <c r="V257" s="12" t="n">
        <v>-31760</v>
      </c>
      <c r="W257" s="12" t="n">
        <v>-35810</v>
      </c>
      <c r="X257" s="12" t="n">
        <v>-40675</v>
      </c>
    </row>
    <row r="258">
      <c r="A258" s="18" t="inlineStr">
        <is>
          <t>단기차입금 순증감</t>
        </is>
      </c>
      <c r="C258" s="20" t="n">
        <v>-2280</v>
      </c>
      <c r="E258" s="20" t="n">
        <v>0</v>
      </c>
      <c r="G258" s="20" t="n">
        <v>0</v>
      </c>
      <c r="O258" s="20" t="n">
        <v>-415</v>
      </c>
      <c r="P258" s="20" t="n">
        <v>307</v>
      </c>
      <c r="Q258" s="20" t="n">
        <v>-6794</v>
      </c>
      <c r="R258" s="20" t="n">
        <v>2561</v>
      </c>
      <c r="S258" s="20" t="n">
        <v>-2623</v>
      </c>
      <c r="T258" s="20" t="n">
        <v>2987</v>
      </c>
      <c r="U258" s="20" t="n">
        <v>-1446</v>
      </c>
      <c r="V258" s="20" t="n">
        <v>-2280</v>
      </c>
      <c r="W258" s="20" t="n">
        <v>0</v>
      </c>
    </row>
    <row r="259">
      <c r="A259" s="18" t="inlineStr">
        <is>
          <t>장기차입</t>
        </is>
      </c>
      <c r="O259" s="20" t="n">
        <v>0</v>
      </c>
      <c r="P259" s="20" t="n">
        <v>79</v>
      </c>
      <c r="Q259" s="20" t="n">
        <v>0</v>
      </c>
      <c r="R259" s="20" t="n">
        <v>0</v>
      </c>
      <c r="S259" s="20" t="n">
        <v>21</v>
      </c>
      <c r="T259" s="20" t="n">
        <v>0</v>
      </c>
    </row>
    <row r="260">
      <c r="A260" s="18" t="inlineStr">
        <is>
          <t>장기차입금 상환</t>
        </is>
      </c>
      <c r="C260" s="20" t="n">
        <v>0</v>
      </c>
      <c r="O260" s="20" t="n">
        <v>-527</v>
      </c>
      <c r="P260" s="20" t="n">
        <v>-538</v>
      </c>
      <c r="Q260" s="20" t="n">
        <v>-506</v>
      </c>
      <c r="R260" s="20" t="n">
        <v>-472</v>
      </c>
      <c r="S260" s="20" t="n">
        <v>-459</v>
      </c>
      <c r="T260" s="20" t="n">
        <v>-7</v>
      </c>
      <c r="U260" s="20" t="n">
        <v>-6</v>
      </c>
      <c r="V260" s="20" t="n">
        <v>0</v>
      </c>
    </row>
    <row r="261">
      <c r="A261" s="18" t="inlineStr">
        <is>
          <t>금융리스부채 상환</t>
        </is>
      </c>
      <c r="O261" s="20" t="n">
        <v>-17</v>
      </c>
      <c r="P261" s="20" t="n">
        <v>-19</v>
      </c>
      <c r="Q261" s="20" t="n">
        <v>-22</v>
      </c>
    </row>
    <row r="262">
      <c r="A262" s="18" t="inlineStr">
        <is>
          <t>리스부채 상환</t>
        </is>
      </c>
      <c r="C262" s="20" t="n">
        <v>-1119</v>
      </c>
      <c r="E262" s="20" t="n">
        <v>-600</v>
      </c>
      <c r="G262" s="20" t="n">
        <v>-1180</v>
      </c>
      <c r="I262" s="20" t="n">
        <v>-641</v>
      </c>
      <c r="K262" s="20" t="n">
        <v>-1350</v>
      </c>
      <c r="M262" s="20" t="n">
        <v>-813</v>
      </c>
      <c r="Q262" s="20" t="n">
        <v>-22</v>
      </c>
      <c r="R262" s="20" t="n">
        <v>-535</v>
      </c>
      <c r="S262" s="20" t="n">
        <v>-752</v>
      </c>
      <c r="T262" s="20" t="n">
        <v>-888</v>
      </c>
      <c r="U262" s="20" t="n">
        <v>-1018</v>
      </c>
      <c r="V262" s="20" t="n">
        <v>-1119</v>
      </c>
      <c r="W262" s="20" t="n">
        <v>-1180</v>
      </c>
      <c r="X262" s="20" t="n">
        <v>-1350</v>
      </c>
    </row>
    <row r="263">
      <c r="A263" s="18" t="inlineStr">
        <is>
          <t>자기주식 취득</t>
        </is>
      </c>
      <c r="C263" s="20" t="n">
        <v>-14724</v>
      </c>
      <c r="E263" s="20" t="n">
        <v>-16009</v>
      </c>
      <c r="G263" s="20" t="n">
        <v>-21488</v>
      </c>
      <c r="I263" s="20" t="n">
        <v>-30019</v>
      </c>
      <c r="K263" s="20" t="n">
        <v>-50006</v>
      </c>
      <c r="M263" s="20" t="n">
        <v>-24604</v>
      </c>
      <c r="O263" s="20" t="n">
        <v>-6</v>
      </c>
      <c r="P263" s="20" t="n">
        <v>-6</v>
      </c>
      <c r="Q263" s="20" t="n">
        <v>-18</v>
      </c>
      <c r="R263" s="20" t="n">
        <v>-14</v>
      </c>
      <c r="S263" s="20" t="n">
        <v>-18</v>
      </c>
      <c r="T263" s="20" t="n">
        <v>-24235</v>
      </c>
      <c r="U263" s="20" t="n">
        <v>-34412</v>
      </c>
      <c r="V263" s="20" t="n">
        <v>-14724</v>
      </c>
      <c r="W263" s="20" t="n">
        <v>-21488</v>
      </c>
      <c r="X263" s="20" t="n">
        <v>-50006</v>
      </c>
    </row>
    <row r="264">
      <c r="A264" s="18" t="inlineStr">
        <is>
          <t>자기주식 처분</t>
        </is>
      </c>
      <c r="C264" s="20" t="n">
        <v>55</v>
      </c>
      <c r="G264" s="20" t="n">
        <v>55</v>
      </c>
      <c r="K264" s="20" t="n">
        <v>65</v>
      </c>
      <c r="T264" s="20" t="n">
        <v>0</v>
      </c>
      <c r="U264" s="20" t="n">
        <v>1</v>
      </c>
      <c r="V264" s="20" t="n">
        <v>55</v>
      </c>
      <c r="W264" s="20" t="n">
        <v>55</v>
      </c>
      <c r="X264" s="20" t="n">
        <v>65</v>
      </c>
    </row>
    <row r="265">
      <c r="A265" s="18" t="inlineStr">
        <is>
          <t>배당금 지급</t>
        </is>
      </c>
      <c r="C265" s="20" t="n">
        <v>-25804</v>
      </c>
      <c r="E265" s="20" t="n">
        <v>-12829</v>
      </c>
      <c r="G265" s="20" t="n">
        <v>-26630</v>
      </c>
      <c r="I265" s="20" t="n">
        <v>-13756</v>
      </c>
      <c r="K265" s="20" t="n">
        <v>-28609</v>
      </c>
      <c r="M265" s="20" t="n">
        <v>-14653</v>
      </c>
      <c r="O265" s="20" t="n">
        <v>-14365</v>
      </c>
      <c r="P265" s="20" t="n">
        <v>-14363</v>
      </c>
      <c r="Q265" s="20" t="n">
        <v>-14366</v>
      </c>
      <c r="R265" s="20" t="n">
        <v>-14367</v>
      </c>
      <c r="S265" s="20" t="n">
        <v>-14371</v>
      </c>
      <c r="T265" s="20" t="n">
        <v>-36596</v>
      </c>
      <c r="U265" s="20" t="n">
        <v>-21497</v>
      </c>
      <c r="V265" s="20" t="n">
        <v>-25804</v>
      </c>
      <c r="W265" s="20" t="n">
        <v>-26630</v>
      </c>
      <c r="X265" s="20" t="n">
        <v>-28609</v>
      </c>
    </row>
    <row r="266">
      <c r="A266" s="18" t="inlineStr">
        <is>
          <t>비지배주주 납입</t>
        </is>
      </c>
      <c r="O266" s="20" t="n">
        <v>41</v>
      </c>
      <c r="P266" s="20" t="n">
        <v>0</v>
      </c>
      <c r="R266" s="20" t="n">
        <v>0</v>
      </c>
      <c r="S266" s="20" t="n">
        <v>301</v>
      </c>
      <c r="T266" s="20" t="n">
        <v>0</v>
      </c>
    </row>
    <row r="267">
      <c r="A267" s="18" t="inlineStr">
        <is>
          <t>비지배주주 배당금 지급</t>
        </is>
      </c>
      <c r="C267" s="20" t="n">
        <v>-88</v>
      </c>
      <c r="E267" s="20" t="n">
        <v>-8</v>
      </c>
      <c r="G267" s="20" t="n">
        <v>-233</v>
      </c>
      <c r="I267" s="20" t="n">
        <v>-151</v>
      </c>
      <c r="K267" s="20" t="n">
        <v>-96</v>
      </c>
      <c r="M267" s="20" t="n">
        <v>-16</v>
      </c>
      <c r="O267" s="20" t="n">
        <v>-4</v>
      </c>
      <c r="P267" s="20" t="n">
        <v>-3</v>
      </c>
      <c r="Q267" s="20" t="n">
        <v>0</v>
      </c>
      <c r="R267" s="20" t="n">
        <v>-4</v>
      </c>
      <c r="S267" s="20" t="n">
        <v>-2</v>
      </c>
      <c r="T267" s="20" t="n">
        <v>-35</v>
      </c>
      <c r="U267" s="20" t="n">
        <v>-42</v>
      </c>
      <c r="V267" s="20" t="n">
        <v>-88</v>
      </c>
      <c r="W267" s="20" t="n">
        <v>-233</v>
      </c>
      <c r="X267" s="20" t="n">
        <v>-96</v>
      </c>
    </row>
    <row r="268">
      <c r="A268" s="18" t="inlineStr">
        <is>
          <t>연결범위 변경 없는 자회사 주식 취득</t>
        </is>
      </c>
      <c r="G268" s="20" t="n">
        <v>0</v>
      </c>
      <c r="K268" s="20" t="n">
        <v>-322</v>
      </c>
      <c r="O268" s="20" t="n">
        <v>-240</v>
      </c>
      <c r="P268" s="20" t="n">
        <v>-627</v>
      </c>
      <c r="Q268" s="20" t="n">
        <v>0</v>
      </c>
      <c r="W268" s="20" t="n">
        <v>0</v>
      </c>
      <c r="X268" s="20" t="n">
        <v>-322</v>
      </c>
    </row>
    <row r="269">
      <c r="A269" s="18" t="inlineStr">
        <is>
          <t>기타</t>
        </is>
      </c>
      <c r="E269" s="20" t="n">
        <v>55</v>
      </c>
      <c r="I269" s="20" t="n">
        <v>65</v>
      </c>
      <c r="M269" s="20" t="n">
        <v>63</v>
      </c>
    </row>
    <row r="270">
      <c r="A270" s="9" t="inlineStr">
        <is>
          <t>재무활동 현금흐름</t>
        </is>
      </c>
      <c r="C270" s="12" t="n">
        <v>-43961</v>
      </c>
      <c r="E270" s="12" t="n">
        <v>-29393</v>
      </c>
      <c r="G270" s="12" t="n">
        <v>-49476</v>
      </c>
      <c r="I270" s="12" t="n">
        <v>-44503</v>
      </c>
      <c r="K270" s="12" t="n">
        <v>-80319</v>
      </c>
      <c r="M270" s="12" t="n">
        <v>-40025</v>
      </c>
      <c r="O270" s="12" t="n">
        <v>-15536</v>
      </c>
      <c r="P270" s="12" t="n">
        <v>-15173</v>
      </c>
      <c r="Q270" s="12" t="n">
        <v>-21709</v>
      </c>
      <c r="R270" s="12" t="n">
        <v>-12832</v>
      </c>
      <c r="S270" s="12" t="n">
        <v>-17905</v>
      </c>
      <c r="T270" s="12" t="n">
        <v>-58774</v>
      </c>
      <c r="U270" s="12" t="n">
        <v>-58422</v>
      </c>
      <c r="V270" s="12" t="n">
        <v>-43961</v>
      </c>
      <c r="W270" s="12" t="n">
        <v>-49476</v>
      </c>
      <c r="X270" s="12" t="n">
        <v>-80319</v>
      </c>
    </row>
    <row r="271">
      <c r="A271" s="18" t="inlineStr">
        <is>
          <t>현금성자산 환산차이</t>
        </is>
      </c>
      <c r="C271" s="20" t="n">
        <v>25869</v>
      </c>
      <c r="E271" s="20" t="n">
        <v>55150</v>
      </c>
      <c r="G271" s="20" t="n">
        <v>46582</v>
      </c>
      <c r="I271" s="20" t="n">
        <v>-31854</v>
      </c>
      <c r="K271" s="20" t="n">
        <v>-294</v>
      </c>
      <c r="M271" s="20" t="n">
        <v>12384</v>
      </c>
      <c r="O271" s="20" t="n">
        <v>-5858</v>
      </c>
      <c r="P271" s="20" t="n">
        <v>873</v>
      </c>
      <c r="Q271" s="20" t="n">
        <v>-2246</v>
      </c>
      <c r="R271" s="20" t="n">
        <v>-1128</v>
      </c>
      <c r="S271" s="20" t="n">
        <v>-9356</v>
      </c>
      <c r="T271" s="20" t="n">
        <v>24041</v>
      </c>
      <c r="U271" s="20" t="n">
        <v>40608</v>
      </c>
      <c r="V271" s="20" t="n">
        <v>25869</v>
      </c>
      <c r="W271" s="20" t="n">
        <v>46582</v>
      </c>
      <c r="X271" s="20" t="n">
        <v>-294</v>
      </c>
    </row>
    <row r="272">
      <c r="A272" s="18" t="inlineStr">
        <is>
          <t>현금성자산 증감</t>
        </is>
      </c>
      <c r="C272" s="20" t="n">
        <v>64715</v>
      </c>
      <c r="E272" s="20" t="n">
        <v>62371</v>
      </c>
      <c r="G272" s="20" t="n">
        <v>48327</v>
      </c>
      <c r="I272" s="20" t="n">
        <v>-71566</v>
      </c>
      <c r="K272" s="20" t="n">
        <v>-57509</v>
      </c>
      <c r="M272" s="20" t="n">
        <v>-13684</v>
      </c>
      <c r="O272" s="20" t="n">
        <v>8584</v>
      </c>
      <c r="P272" s="20" t="n">
        <v>3308</v>
      </c>
      <c r="Q272" s="20" t="n">
        <v>-23370</v>
      </c>
      <c r="R272" s="20" t="n">
        <v>88346</v>
      </c>
      <c r="S272" s="20" t="n">
        <v>35458</v>
      </c>
      <c r="T272" s="20" t="n">
        <v>57576</v>
      </c>
      <c r="U272" s="20" t="n">
        <v>59492</v>
      </c>
      <c r="V272" s="20" t="n">
        <v>64715</v>
      </c>
      <c r="W272" s="20" t="n">
        <v>48327</v>
      </c>
      <c r="X272" s="20" t="n">
        <v>-57509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시마노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634467</v>
      </c>
      <c r="D5" s="12" t="n">
        <v>666119</v>
      </c>
      <c r="E5" s="12" t="n">
        <v>653727</v>
      </c>
      <c r="F5" s="12" t="n">
        <v>660654</v>
      </c>
      <c r="G5" s="12" t="n">
        <v>627581</v>
      </c>
      <c r="H5" s="11" t="n">
        <v>528544</v>
      </c>
      <c r="I5" s="12" t="n">
        <v>628754</v>
      </c>
      <c r="J5" s="12" t="n">
        <v>652753</v>
      </c>
      <c r="K5" s="12" t="n">
        <v>711461</v>
      </c>
      <c r="L5" s="12" t="n">
        <v>666119</v>
      </c>
    </row>
    <row r="6">
      <c r="A6" s="18" t="inlineStr">
        <is>
          <t>현금및현금성자산</t>
        </is>
      </c>
      <c r="B6" s="10" t="n"/>
      <c r="C6" s="19" t="n">
        <v>454149</v>
      </c>
      <c r="D6" s="20" t="n">
        <v>477324</v>
      </c>
      <c r="E6" s="20" t="n">
        <v>450510</v>
      </c>
      <c r="F6" s="20" t="n">
        <v>463717</v>
      </c>
      <c r="G6" s="20" t="n">
        <v>431769</v>
      </c>
      <c r="H6" s="19" t="n">
        <v>364519</v>
      </c>
      <c r="I6" s="20" t="n">
        <v>430429</v>
      </c>
      <c r="J6" s="20" t="n">
        <v>493933</v>
      </c>
      <c r="K6" s="20" t="n">
        <v>534045</v>
      </c>
      <c r="L6" s="20" t="n">
        <v>477324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41749</v>
      </c>
      <c r="D8" s="20" t="n">
        <v>38460</v>
      </c>
      <c r="E8" s="20" t="n">
        <v>48588</v>
      </c>
      <c r="F8" s="20" t="n">
        <v>45673</v>
      </c>
      <c r="G8" s="20" t="n">
        <v>42465</v>
      </c>
      <c r="H8" s="19" t="n">
        <v>52186</v>
      </c>
      <c r="I8" s="20" t="n">
        <v>55201</v>
      </c>
      <c r="J8" s="20" t="n">
        <v>31602</v>
      </c>
      <c r="K8" s="20" t="n">
        <v>39902</v>
      </c>
      <c r="L8" s="20" t="n">
        <v>38460</v>
      </c>
    </row>
    <row r="9">
      <c r="A9" s="18" t="inlineStr">
        <is>
          <t>재고자산</t>
        </is>
      </c>
      <c r="B9" s="10" t="n"/>
      <c r="C9" s="19" t="n">
        <v>121488</v>
      </c>
      <c r="D9" s="20" t="n">
        <v>131996</v>
      </c>
      <c r="E9" s="20" t="n">
        <v>138147</v>
      </c>
      <c r="F9" s="20" t="n">
        <v>136952</v>
      </c>
      <c r="G9" s="20" t="n">
        <v>136657</v>
      </c>
      <c r="H9" s="19" t="n">
        <v>103258</v>
      </c>
      <c r="I9" s="20" t="n">
        <v>130908</v>
      </c>
      <c r="J9" s="20" t="n">
        <v>112488</v>
      </c>
      <c r="K9" s="20" t="n">
        <v>120641</v>
      </c>
      <c r="L9" s="20" t="n">
        <v>131996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262757</v>
      </c>
      <c r="D11" s="12" t="n">
        <v>272130</v>
      </c>
      <c r="E11" s="12" t="n">
        <v>283655</v>
      </c>
      <c r="F11" s="12" t="n">
        <v>288588</v>
      </c>
      <c r="G11" s="12" t="n">
        <v>288346</v>
      </c>
      <c r="H11" s="11" t="n">
        <v>176826</v>
      </c>
      <c r="I11" s="12" t="n">
        <v>197659</v>
      </c>
      <c r="J11" s="12" t="n">
        <v>218977</v>
      </c>
      <c r="K11" s="12" t="n">
        <v>247491</v>
      </c>
      <c r="L11" s="12" t="n">
        <v>272130</v>
      </c>
    </row>
    <row r="12">
      <c r="A12" s="18" t="inlineStr">
        <is>
          <t>유형자산</t>
        </is>
      </c>
      <c r="B12" s="10" t="n"/>
      <c r="C12" s="19" t="n">
        <v>193221</v>
      </c>
      <c r="D12" s="20" t="n">
        <v>201141</v>
      </c>
      <c r="E12" s="20" t="n">
        <v>209308</v>
      </c>
      <c r="F12" s="20" t="n">
        <v>210467</v>
      </c>
      <c r="G12" s="20" t="n">
        <v>206754</v>
      </c>
      <c r="H12" s="19" t="n">
        <v>139405</v>
      </c>
      <c r="I12" s="20" t="n">
        <v>147244</v>
      </c>
      <c r="J12" s="20" t="n">
        <v>157982</v>
      </c>
      <c r="K12" s="20" t="n">
        <v>182708</v>
      </c>
      <c r="L12" s="20" t="n">
        <v>201141</v>
      </c>
    </row>
    <row r="13">
      <c r="A13" s="18" t="inlineStr">
        <is>
          <t>무형자산</t>
        </is>
      </c>
      <c r="B13" s="10" t="n"/>
      <c r="C13" s="19" t="n">
        <v>27535</v>
      </c>
      <c r="D13" s="20" t="n">
        <v>29323</v>
      </c>
      <c r="E13" s="20" t="n">
        <v>30060</v>
      </c>
      <c r="F13" s="20" t="n">
        <v>31053</v>
      </c>
      <c r="G13" s="20" t="n">
        <v>31421</v>
      </c>
      <c r="H13" s="19" t="n">
        <v>16128</v>
      </c>
      <c r="I13" s="20" t="n">
        <v>19841</v>
      </c>
      <c r="J13" s="20" t="n">
        <v>21989</v>
      </c>
      <c r="K13" s="20" t="n">
        <v>24960</v>
      </c>
      <c r="L13" s="20" t="n">
        <v>29323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897224</v>
      </c>
      <c r="D16" s="12" t="n">
        <v>938250</v>
      </c>
      <c r="E16" s="12" t="n">
        <v>937382</v>
      </c>
      <c r="F16" s="12" t="n">
        <v>949242</v>
      </c>
      <c r="G16" s="12" t="n">
        <v>915928</v>
      </c>
      <c r="H16" s="11" t="n">
        <v>705370</v>
      </c>
      <c r="I16" s="12" t="n">
        <v>826413</v>
      </c>
      <c r="J16" s="12" t="n">
        <v>871731</v>
      </c>
      <c r="K16" s="12" t="n">
        <v>958953</v>
      </c>
      <c r="L16" s="12" t="n">
        <v>938250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53811</v>
      </c>
      <c r="D18" s="12" t="n">
        <v>58917</v>
      </c>
      <c r="E18" s="12" t="n">
        <v>59421</v>
      </c>
      <c r="F18" s="12" t="n">
        <v>63082</v>
      </c>
      <c r="G18" s="12" t="n">
        <v>61107</v>
      </c>
      <c r="H18" s="11" t="n">
        <v>81528</v>
      </c>
      <c r="I18" s="12" t="n">
        <v>78608</v>
      </c>
      <c r="J18" s="12" t="n">
        <v>61834</v>
      </c>
      <c r="K18" s="12" t="n">
        <v>55802</v>
      </c>
      <c r="L18" s="12" t="n">
        <v>58917</v>
      </c>
    </row>
    <row r="19">
      <c r="A19" s="18" t="inlineStr">
        <is>
          <t>매입채무</t>
        </is>
      </c>
      <c r="B19" s="10" t="n"/>
      <c r="C19" s="19" t="n">
        <v>15574</v>
      </c>
      <c r="D19" s="20" t="n">
        <v>16774</v>
      </c>
      <c r="E19" s="20" t="n">
        <v>18647</v>
      </c>
      <c r="F19" s="20" t="n">
        <v>18910</v>
      </c>
      <c r="G19" s="20" t="n">
        <v>19455</v>
      </c>
      <c r="H19" s="19" t="n">
        <v>24352</v>
      </c>
      <c r="I19" s="20" t="n">
        <v>20595</v>
      </c>
      <c r="J19" s="20" t="n">
        <v>11025</v>
      </c>
      <c r="K19" s="20" t="n">
        <v>16111</v>
      </c>
      <c r="L19" s="20" t="n">
        <v>16774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3133</v>
      </c>
      <c r="I20" s="20" t="n">
        <v>2151</v>
      </c>
      <c r="J20" s="20" t="n">
        <v>0</v>
      </c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17828</v>
      </c>
      <c r="D23" s="12" t="n">
        <v>9830</v>
      </c>
      <c r="E23" s="12" t="n">
        <v>9971</v>
      </c>
      <c r="F23" s="12" t="n">
        <v>10493</v>
      </c>
      <c r="G23" s="12" t="n">
        <v>11419</v>
      </c>
      <c r="H23" s="11" t="n">
        <v>7191</v>
      </c>
      <c r="I23" s="12" t="n">
        <v>6709</v>
      </c>
      <c r="J23" s="12" t="n">
        <v>7500</v>
      </c>
      <c r="K23" s="12" t="n">
        <v>19537</v>
      </c>
      <c r="L23" s="12" t="n">
        <v>9830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>
        <v>2</v>
      </c>
      <c r="I24" s="20" t="n">
        <v>0</v>
      </c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71639</v>
      </c>
      <c r="D27" s="12" t="n">
        <v>68748</v>
      </c>
      <c r="E27" s="12" t="n">
        <v>69392</v>
      </c>
      <c r="F27" s="12" t="n">
        <v>73575</v>
      </c>
      <c r="G27" s="12" t="n">
        <v>72526</v>
      </c>
      <c r="H27" s="11" t="n">
        <v>88719</v>
      </c>
      <c r="I27" s="12" t="n">
        <v>85318</v>
      </c>
      <c r="J27" s="12" t="n">
        <v>69334</v>
      </c>
      <c r="K27" s="12" t="n">
        <v>75339</v>
      </c>
      <c r="L27" s="12" t="n">
        <v>68748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824474</v>
      </c>
      <c r="D31" s="12" t="n">
        <v>868256</v>
      </c>
      <c r="E31" s="12" t="n">
        <v>866601</v>
      </c>
      <c r="F31" s="12" t="n">
        <v>874114</v>
      </c>
      <c r="G31" s="12" t="n">
        <v>841846</v>
      </c>
      <c r="H31" s="11" t="n">
        <v>615992</v>
      </c>
      <c r="I31" s="12" t="n">
        <v>740109</v>
      </c>
      <c r="J31" s="12" t="n">
        <v>801166</v>
      </c>
      <c r="K31" s="12" t="n">
        <v>882398</v>
      </c>
      <c r="L31" s="12" t="n">
        <v>868256</v>
      </c>
    </row>
    <row r="32">
      <c r="A32" s="18" t="inlineStr">
        <is>
          <t>자본금</t>
        </is>
      </c>
      <c r="B32" s="10" t="n"/>
      <c r="C32" s="19" t="n">
        <v>35613</v>
      </c>
      <c r="D32" s="20" t="n">
        <v>35613</v>
      </c>
      <c r="E32" s="20" t="n">
        <v>35613</v>
      </c>
      <c r="F32" s="20" t="n">
        <v>35613</v>
      </c>
      <c r="G32" s="20" t="n">
        <v>35613</v>
      </c>
      <c r="H32" s="19" t="n">
        <v>35613</v>
      </c>
      <c r="I32" s="20" t="n">
        <v>35613</v>
      </c>
      <c r="J32" s="20" t="n">
        <v>35613</v>
      </c>
      <c r="K32" s="20" t="n">
        <v>35613</v>
      </c>
      <c r="L32" s="20" t="n">
        <v>35613</v>
      </c>
    </row>
    <row r="33">
      <c r="A33" s="18" t="inlineStr">
        <is>
          <t>이익잉여금</t>
        </is>
      </c>
      <c r="B33" s="10" t="n"/>
      <c r="C33" s="19" t="n">
        <v>632963</v>
      </c>
      <c r="D33" s="20" t="n">
        <v>630717</v>
      </c>
      <c r="E33" s="20" t="n">
        <v>628876</v>
      </c>
      <c r="F33" s="20" t="n">
        <v>644012</v>
      </c>
      <c r="G33" s="20" t="n">
        <v>640657</v>
      </c>
      <c r="H33" s="19" t="n">
        <v>566263</v>
      </c>
      <c r="I33" s="20" t="n">
        <v>638141</v>
      </c>
      <c r="J33" s="20" t="n">
        <v>647172</v>
      </c>
      <c r="K33" s="20" t="n">
        <v>675370</v>
      </c>
      <c r="L33" s="20" t="n">
        <v>630717</v>
      </c>
    </row>
    <row r="34">
      <c r="A34" s="18" t="inlineStr">
        <is>
          <t>비지배지분</t>
        </is>
      </c>
      <c r="B34" s="10" t="n"/>
      <c r="C34" s="19" t="n">
        <v>1110</v>
      </c>
      <c r="D34" s="20" t="n">
        <v>1245</v>
      </c>
      <c r="E34" s="20" t="n">
        <v>1389</v>
      </c>
      <c r="F34" s="20" t="n">
        <v>1552</v>
      </c>
      <c r="G34" s="20" t="n">
        <v>1555</v>
      </c>
      <c r="H34" s="19" t="n">
        <v>659</v>
      </c>
      <c r="I34" s="20" t="n">
        <v>986</v>
      </c>
      <c r="J34" s="20" t="n">
        <v>1230</v>
      </c>
      <c r="K34" s="20" t="n">
        <v>1215</v>
      </c>
      <c r="L34" s="20" t="n">
        <v>1245</v>
      </c>
    </row>
    <row r="35">
      <c r="A35" s="9" t="inlineStr">
        <is>
          <t>자본총계</t>
        </is>
      </c>
      <c r="B35" s="10" t="n"/>
      <c r="C35" s="11" t="n">
        <v>825584</v>
      </c>
      <c r="D35" s="12" t="n">
        <v>869501</v>
      </c>
      <c r="E35" s="12" t="n">
        <v>867990</v>
      </c>
      <c r="F35" s="12" t="n">
        <v>875666</v>
      </c>
      <c r="G35" s="12" t="n">
        <v>843401</v>
      </c>
      <c r="H35" s="11" t="n">
        <v>616651</v>
      </c>
      <c r="I35" s="12" t="n">
        <v>741095</v>
      </c>
      <c r="J35" s="12" t="n">
        <v>802396</v>
      </c>
      <c r="K35" s="12" t="n">
        <v>883613</v>
      </c>
      <c r="L35" s="12" t="n">
        <v>869501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63780</v>
      </c>
      <c r="E37" s="12" t="n"/>
      <c r="F37" s="12" t="n">
        <v>71849</v>
      </c>
      <c r="G37" s="12" t="n"/>
      <c r="H37" s="11" t="n">
        <v>112439</v>
      </c>
      <c r="I37" s="12" t="n">
        <v>110684</v>
      </c>
      <c r="J37" s="12" t="n">
        <v>114567</v>
      </c>
      <c r="K37" s="12" t="n">
        <v>87032</v>
      </c>
      <c r="L37" s="12" t="n">
        <v>63780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45766</v>
      </c>
      <c r="E38" s="20" t="n"/>
      <c r="F38" s="20" t="n">
        <v>43673</v>
      </c>
      <c r="G38" s="20" t="n"/>
      <c r="H38" s="19" t="n">
        <v>20034</v>
      </c>
      <c r="I38" s="20" t="n">
        <v>27512</v>
      </c>
      <c r="J38" s="20" t="n">
        <v>31315</v>
      </c>
      <c r="K38" s="20" t="n">
        <v>45577</v>
      </c>
      <c r="L38" s="20" t="n">
        <v>45766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28609</v>
      </c>
      <c r="E40" s="20" t="n"/>
      <c r="F40" s="20" t="n">
        <v>29506</v>
      </c>
      <c r="G40" s="20" t="n"/>
      <c r="H40" s="19" t="n">
        <v>36596</v>
      </c>
      <c r="I40" s="20" t="n">
        <v>21497</v>
      </c>
      <c r="J40" s="20" t="n">
        <v>25804</v>
      </c>
      <c r="K40" s="20" t="n">
        <v>26630</v>
      </c>
      <c r="L40" s="20" t="n">
        <v>28609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454149</v>
      </c>
      <c r="D71" s="20" t="n">
        <v>477324</v>
      </c>
      <c r="E71" s="20" t="n">
        <v>450510</v>
      </c>
      <c r="F71" s="20" t="n">
        <v>463717</v>
      </c>
      <c r="G71" s="20" t="n">
        <v>431769</v>
      </c>
      <c r="H71" s="20" t="n">
        <v>364519</v>
      </c>
      <c r="I71" s="20" t="n">
        <v>430429</v>
      </c>
      <c r="J71" s="20" t="n">
        <v>493933</v>
      </c>
      <c r="K71" s="20" t="n">
        <v>534045</v>
      </c>
      <c r="L71" s="20" t="n">
        <v>477324</v>
      </c>
    </row>
    <row r="72">
      <c r="A72" s="18" t="inlineStr">
        <is>
          <t>받을어음·매출채권</t>
        </is>
      </c>
      <c r="C72" s="20" t="n">
        <v>41749</v>
      </c>
      <c r="D72" s="20" t="n">
        <v>38460</v>
      </c>
      <c r="E72" s="20" t="n">
        <v>48588</v>
      </c>
      <c r="F72" s="20" t="n">
        <v>45673</v>
      </c>
      <c r="G72" s="20" t="n">
        <v>42465</v>
      </c>
      <c r="H72" s="20" t="n">
        <v>52186</v>
      </c>
      <c r="I72" s="20" t="n">
        <v>55201</v>
      </c>
      <c r="J72" s="20" t="n">
        <v>31602</v>
      </c>
      <c r="K72" s="20" t="n">
        <v>39902</v>
      </c>
      <c r="L72" s="20" t="n">
        <v>38460</v>
      </c>
    </row>
    <row r="73">
      <c r="A73" s="18" t="inlineStr">
        <is>
          <t>상품·제품</t>
        </is>
      </c>
      <c r="C73" s="20" t="n">
        <v>77222</v>
      </c>
      <c r="D73" s="20" t="n">
        <v>83669</v>
      </c>
      <c r="E73" s="20" t="n">
        <v>89625</v>
      </c>
      <c r="F73" s="20" t="n">
        <v>88559</v>
      </c>
      <c r="G73" s="20" t="n">
        <v>85852</v>
      </c>
      <c r="H73" s="20" t="n">
        <v>55528</v>
      </c>
      <c r="I73" s="20" t="n">
        <v>79966</v>
      </c>
      <c r="J73" s="20" t="n">
        <v>74293</v>
      </c>
      <c r="K73" s="20" t="n">
        <v>73683</v>
      </c>
      <c r="L73" s="20" t="n">
        <v>83669</v>
      </c>
    </row>
    <row r="74">
      <c r="A74" s="18" t="inlineStr">
        <is>
          <t>재공품</t>
        </is>
      </c>
      <c r="C74" s="20" t="n">
        <v>37630</v>
      </c>
      <c r="D74" s="20" t="n">
        <v>40999</v>
      </c>
      <c r="E74" s="20" t="n">
        <v>41278</v>
      </c>
      <c r="F74" s="20" t="n">
        <v>40672</v>
      </c>
      <c r="G74" s="20" t="n">
        <v>42893</v>
      </c>
      <c r="H74" s="20" t="n">
        <v>39498</v>
      </c>
      <c r="I74" s="20" t="n">
        <v>42733</v>
      </c>
      <c r="J74" s="20" t="n">
        <v>31771</v>
      </c>
      <c r="K74" s="20" t="n">
        <v>39044</v>
      </c>
      <c r="L74" s="20" t="n">
        <v>40999</v>
      </c>
    </row>
    <row r="75">
      <c r="A75" s="18" t="inlineStr">
        <is>
          <t>원재료·저장품</t>
        </is>
      </c>
      <c r="C75" s="20" t="n">
        <v>6636</v>
      </c>
      <c r="D75" s="20" t="n">
        <v>7328</v>
      </c>
      <c r="E75" s="20" t="n">
        <v>7244</v>
      </c>
      <c r="F75" s="20" t="n">
        <v>7721</v>
      </c>
      <c r="G75" s="20" t="n">
        <v>7912</v>
      </c>
      <c r="H75" s="20" t="n">
        <v>8232</v>
      </c>
      <c r="I75" s="20" t="n">
        <v>8209</v>
      </c>
      <c r="J75" s="20" t="n">
        <v>6424</v>
      </c>
      <c r="K75" s="20" t="n">
        <v>7914</v>
      </c>
      <c r="L75" s="20" t="n">
        <v>7328</v>
      </c>
    </row>
    <row r="76">
      <c r="A76" s="18" t="inlineStr">
        <is>
          <t>기타</t>
        </is>
      </c>
      <c r="C76" s="20" t="n">
        <v>17539</v>
      </c>
      <c r="D76" s="20" t="n">
        <v>18837</v>
      </c>
      <c r="E76" s="20" t="n">
        <v>16993</v>
      </c>
      <c r="F76" s="20" t="n">
        <v>14779</v>
      </c>
      <c r="G76" s="20" t="n">
        <v>17198</v>
      </c>
      <c r="H76" s="20" t="n">
        <v>8876</v>
      </c>
      <c r="I76" s="20" t="n">
        <v>12523</v>
      </c>
      <c r="J76" s="20" t="n">
        <v>15071</v>
      </c>
      <c r="K76" s="20" t="n">
        <v>17265</v>
      </c>
      <c r="L76" s="20" t="n">
        <v>18837</v>
      </c>
    </row>
    <row r="77">
      <c r="A77" s="18" t="inlineStr">
        <is>
          <t>대손충당금</t>
        </is>
      </c>
      <c r="C77" s="20" t="n">
        <v>-460</v>
      </c>
      <c r="D77" s="20" t="n">
        <v>-501</v>
      </c>
      <c r="E77" s="20" t="n">
        <v>-513</v>
      </c>
      <c r="F77" s="20" t="n">
        <v>-469</v>
      </c>
      <c r="G77" s="20" t="n">
        <v>-510</v>
      </c>
      <c r="H77" s="20" t="n">
        <v>-298</v>
      </c>
      <c r="I77" s="20" t="n">
        <v>-310</v>
      </c>
      <c r="J77" s="20" t="n">
        <v>-342</v>
      </c>
      <c r="K77" s="20" t="n">
        <v>-395</v>
      </c>
      <c r="L77" s="20" t="n">
        <v>-501</v>
      </c>
    </row>
    <row r="78">
      <c r="A78" s="9" t="inlineStr">
        <is>
          <t>유동자산 합계</t>
        </is>
      </c>
      <c r="C78" s="12" t="n">
        <v>634467</v>
      </c>
      <c r="D78" s="12" t="n">
        <v>666119</v>
      </c>
      <c r="E78" s="12" t="n">
        <v>653727</v>
      </c>
      <c r="F78" s="12" t="n">
        <v>660654</v>
      </c>
      <c r="G78" s="12" t="n">
        <v>627581</v>
      </c>
      <c r="H78" s="12" t="n">
        <v>528544</v>
      </c>
      <c r="I78" s="12" t="n">
        <v>628754</v>
      </c>
      <c r="J78" s="12" t="n">
        <v>652753</v>
      </c>
      <c r="K78" s="12" t="n">
        <v>711461</v>
      </c>
      <c r="L78" s="12" t="n">
        <v>666119</v>
      </c>
    </row>
    <row r="79">
      <c r="A79" s="18" t="inlineStr">
        <is>
          <t>건물·구축물</t>
        </is>
      </c>
      <c r="D79" s="20" t="n">
        <v>157918</v>
      </c>
      <c r="H79" s="20" t="n">
        <v>112017</v>
      </c>
      <c r="I79" s="20" t="n">
        <v>124159</v>
      </c>
      <c r="J79" s="20" t="n">
        <v>126870</v>
      </c>
      <c r="K79" s="20" t="n">
        <v>137592</v>
      </c>
      <c r="L79" s="20" t="n">
        <v>157918</v>
      </c>
    </row>
    <row r="80">
      <c r="A80" s="18" t="inlineStr">
        <is>
          <t>감가상각누계액</t>
        </is>
      </c>
      <c r="D80" s="20" t="n">
        <v>-60238</v>
      </c>
      <c r="H80" s="20" t="n">
        <v>-44160</v>
      </c>
      <c r="I80" s="20" t="n">
        <v>-46153</v>
      </c>
      <c r="J80" s="20" t="n">
        <v>-49492</v>
      </c>
      <c r="K80" s="20" t="n">
        <v>-56102</v>
      </c>
      <c r="L80" s="20" t="n">
        <v>-60238</v>
      </c>
    </row>
    <row r="81">
      <c r="A81" s="18" t="inlineStr">
        <is>
          <t>손상차손누계액</t>
        </is>
      </c>
      <c r="D81" s="20" t="n">
        <v>-56</v>
      </c>
      <c r="H81" s="20" t="n">
        <v>-108</v>
      </c>
      <c r="I81" s="20" t="n">
        <v>-766</v>
      </c>
      <c r="J81" s="20" t="n">
        <v>-615</v>
      </c>
      <c r="K81" s="20" t="n">
        <v>-644</v>
      </c>
      <c r="L81" s="20" t="n">
        <v>-56</v>
      </c>
    </row>
    <row r="82">
      <c r="A82" s="18" t="inlineStr">
        <is>
          <t>건물·구축물(순액)</t>
        </is>
      </c>
      <c r="C82" s="20" t="n">
        <v>79362</v>
      </c>
      <c r="D82" s="20" t="n">
        <v>97623</v>
      </c>
      <c r="E82" s="20" t="n">
        <v>122021</v>
      </c>
      <c r="F82" s="20" t="n">
        <v>127853</v>
      </c>
      <c r="G82" s="20" t="n">
        <v>125300</v>
      </c>
      <c r="H82" s="20" t="n">
        <v>67748</v>
      </c>
      <c r="I82" s="20" t="n">
        <v>77239</v>
      </c>
      <c r="J82" s="20" t="n">
        <v>76763</v>
      </c>
      <c r="K82" s="20" t="n">
        <v>80844</v>
      </c>
      <c r="L82" s="20" t="n">
        <v>97623</v>
      </c>
    </row>
    <row r="83">
      <c r="A83" s="18" t="inlineStr">
        <is>
          <t>기계장치·운반구</t>
        </is>
      </c>
      <c r="D83" s="20" t="n">
        <v>131683</v>
      </c>
      <c r="H83" s="20" t="n">
        <v>89730</v>
      </c>
      <c r="I83" s="20" t="n">
        <v>102424</v>
      </c>
      <c r="J83" s="20" t="n">
        <v>114954</v>
      </c>
      <c r="K83" s="20" t="n">
        <v>123181</v>
      </c>
      <c r="L83" s="20" t="n">
        <v>131683</v>
      </c>
    </row>
    <row r="84">
      <c r="A84" s="18" t="inlineStr">
        <is>
          <t>감가상각누계액</t>
        </is>
      </c>
      <c r="D84" s="20" t="n">
        <v>-100052</v>
      </c>
      <c r="H84" s="20" t="n">
        <v>-68337</v>
      </c>
      <c r="I84" s="20" t="n">
        <v>-76673</v>
      </c>
      <c r="J84" s="20" t="n">
        <v>-81803</v>
      </c>
      <c r="K84" s="20" t="n">
        <v>-91928</v>
      </c>
      <c r="L84" s="20" t="n">
        <v>-100052</v>
      </c>
    </row>
    <row r="85">
      <c r="A85" s="18" t="inlineStr">
        <is>
          <t>손상차손누계액</t>
        </is>
      </c>
      <c r="D85" s="20" t="n">
        <v>-44</v>
      </c>
      <c r="H85" s="20" t="n">
        <v>-94</v>
      </c>
      <c r="I85" s="20" t="n">
        <v>-150</v>
      </c>
      <c r="J85" s="20" t="n">
        <v>-146</v>
      </c>
      <c r="K85" s="20" t="n">
        <v>-76</v>
      </c>
      <c r="L85" s="20" t="n">
        <v>-44</v>
      </c>
    </row>
    <row r="86">
      <c r="A86" s="18" t="inlineStr">
        <is>
          <t>기계장치·운반구(순액)</t>
        </is>
      </c>
      <c r="C86" s="20" t="n">
        <v>30747</v>
      </c>
      <c r="D86" s="20" t="n">
        <v>31587</v>
      </c>
      <c r="E86" s="20" t="n">
        <v>32793</v>
      </c>
      <c r="F86" s="20" t="n">
        <v>33250</v>
      </c>
      <c r="G86" s="20" t="n">
        <v>33092</v>
      </c>
      <c r="H86" s="20" t="n">
        <v>21298</v>
      </c>
      <c r="I86" s="20" t="n">
        <v>25600</v>
      </c>
      <c r="J86" s="20" t="n">
        <v>33005</v>
      </c>
      <c r="K86" s="20" t="n">
        <v>31176</v>
      </c>
      <c r="L86" s="20" t="n">
        <v>31587</v>
      </c>
    </row>
    <row r="87">
      <c r="A87" s="18" t="inlineStr">
        <is>
          <t>토지</t>
        </is>
      </c>
      <c r="C87" s="20" t="n">
        <v>15439</v>
      </c>
      <c r="D87" s="20" t="n">
        <v>15815</v>
      </c>
      <c r="E87" s="20" t="n">
        <v>17145</v>
      </c>
      <c r="F87" s="20" t="n">
        <v>17162</v>
      </c>
      <c r="G87" s="20" t="n">
        <v>16936</v>
      </c>
      <c r="H87" s="20" t="n">
        <v>13765</v>
      </c>
      <c r="I87" s="20" t="n">
        <v>13936</v>
      </c>
      <c r="J87" s="20" t="n">
        <v>14317</v>
      </c>
      <c r="K87" s="20" t="n">
        <v>15117</v>
      </c>
      <c r="L87" s="20" t="n">
        <v>15815</v>
      </c>
    </row>
    <row r="88">
      <c r="A88" s="18" t="inlineStr">
        <is>
          <t>리스자산</t>
        </is>
      </c>
      <c r="D88" s="20" t="n">
        <v>11064</v>
      </c>
      <c r="H88" s="20" t="n">
        <v>6932</v>
      </c>
      <c r="I88" s="20" t="n">
        <v>7826</v>
      </c>
      <c r="J88" s="20" t="n">
        <v>8815</v>
      </c>
      <c r="K88" s="20" t="n">
        <v>9937</v>
      </c>
      <c r="L88" s="20" t="n">
        <v>11064</v>
      </c>
    </row>
    <row r="89">
      <c r="A89" s="18" t="inlineStr">
        <is>
          <t>감가상각누계액</t>
        </is>
      </c>
      <c r="D89" s="20" t="n">
        <v>-5016</v>
      </c>
      <c r="H89" s="20" t="n">
        <v>-1953</v>
      </c>
      <c r="I89" s="20" t="n">
        <v>-2615</v>
      </c>
      <c r="J89" s="20" t="n">
        <v>-3376</v>
      </c>
      <c r="K89" s="20" t="n">
        <v>-4282</v>
      </c>
      <c r="L89" s="20" t="n">
        <v>-5016</v>
      </c>
    </row>
    <row r="90">
      <c r="A90" s="18" t="inlineStr">
        <is>
          <t>손상차손누계액</t>
        </is>
      </c>
      <c r="D90" s="20" t="n">
        <v>-6</v>
      </c>
      <c r="H90" s="20" t="n">
        <v>-4</v>
      </c>
      <c r="I90" s="20" t="n">
        <v>-5</v>
      </c>
      <c r="J90" s="20" t="n">
        <v>-5</v>
      </c>
      <c r="K90" s="20" t="n">
        <v>-6</v>
      </c>
      <c r="L90" s="20" t="n">
        <v>-6</v>
      </c>
    </row>
    <row r="91">
      <c r="A91" s="18" t="inlineStr">
        <is>
          <t>리스자산(순액)</t>
        </is>
      </c>
      <c r="C91" s="20" t="n">
        <v>5411</v>
      </c>
      <c r="D91" s="20" t="n">
        <v>6040</v>
      </c>
      <c r="E91" s="20" t="n">
        <v>6058</v>
      </c>
      <c r="F91" s="20" t="n">
        <v>5967</v>
      </c>
      <c r="G91" s="20" t="n">
        <v>5713</v>
      </c>
      <c r="H91" s="20" t="n">
        <v>4973</v>
      </c>
      <c r="I91" s="20" t="n">
        <v>5205</v>
      </c>
      <c r="J91" s="20" t="n">
        <v>5433</v>
      </c>
      <c r="K91" s="20" t="n">
        <v>5649</v>
      </c>
      <c r="L91" s="20" t="n">
        <v>6040</v>
      </c>
    </row>
    <row r="92">
      <c r="A92" s="18" t="inlineStr">
        <is>
          <t>건설중인자산</t>
        </is>
      </c>
      <c r="C92" s="20" t="n">
        <v>56366</v>
      </c>
      <c r="D92" s="20" t="n">
        <v>43940</v>
      </c>
      <c r="E92" s="20" t="n">
        <v>24128</v>
      </c>
      <c r="F92" s="20" t="n">
        <v>19113</v>
      </c>
      <c r="G92" s="20" t="n">
        <v>18882</v>
      </c>
      <c r="H92" s="20" t="n">
        <v>26151</v>
      </c>
      <c r="I92" s="20" t="n">
        <v>18749</v>
      </c>
      <c r="J92" s="20" t="n">
        <v>22994</v>
      </c>
      <c r="K92" s="20" t="n">
        <v>44624</v>
      </c>
      <c r="L92" s="20" t="n">
        <v>43940</v>
      </c>
    </row>
    <row r="93">
      <c r="A93" s="18" t="inlineStr">
        <is>
          <t>기타</t>
        </is>
      </c>
      <c r="D93" s="20" t="n">
        <v>64705</v>
      </c>
      <c r="H93" s="20" t="n">
        <v>57734</v>
      </c>
      <c r="I93" s="20" t="n">
        <v>62160</v>
      </c>
      <c r="J93" s="20" t="n">
        <v>65357</v>
      </c>
      <c r="K93" s="20" t="n">
        <v>68057</v>
      </c>
      <c r="L93" s="20" t="n">
        <v>64705</v>
      </c>
    </row>
    <row r="94">
      <c r="A94" s="18" t="inlineStr">
        <is>
          <t>감가상각누계액</t>
        </is>
      </c>
      <c r="D94" s="20" t="n">
        <v>-58567</v>
      </c>
      <c r="H94" s="20" t="n">
        <v>-52261</v>
      </c>
      <c r="I94" s="20" t="n">
        <v>-55606</v>
      </c>
      <c r="J94" s="20" t="n">
        <v>-59853</v>
      </c>
      <c r="K94" s="20" t="n">
        <v>-62729</v>
      </c>
      <c r="L94" s="20" t="n">
        <v>-58567</v>
      </c>
    </row>
    <row r="95">
      <c r="A95" s="18" t="inlineStr">
        <is>
          <t>손상차손누계액</t>
        </is>
      </c>
      <c r="D95" s="20" t="n">
        <v>-4</v>
      </c>
      <c r="H95" s="20" t="n">
        <v>-6</v>
      </c>
      <c r="I95" s="20" t="n">
        <v>-40</v>
      </c>
      <c r="J95" s="20" t="n">
        <v>-35</v>
      </c>
      <c r="K95" s="20" t="n">
        <v>-30</v>
      </c>
      <c r="L95" s="20" t="n">
        <v>-4</v>
      </c>
    </row>
    <row r="96">
      <c r="A96" s="18" t="inlineStr">
        <is>
          <t>기타(순액)</t>
        </is>
      </c>
      <c r="C96" s="20" t="n">
        <v>5893</v>
      </c>
      <c r="D96" s="20" t="n">
        <v>6133</v>
      </c>
      <c r="E96" s="20" t="n">
        <v>7160</v>
      </c>
      <c r="F96" s="20" t="n">
        <v>7119</v>
      </c>
      <c r="G96" s="20" t="n">
        <v>6827</v>
      </c>
      <c r="H96" s="20" t="n">
        <v>5466</v>
      </c>
      <c r="I96" s="20" t="n">
        <v>6513</v>
      </c>
      <c r="J96" s="20" t="n">
        <v>5468</v>
      </c>
      <c r="K96" s="20" t="n">
        <v>5297</v>
      </c>
      <c r="L96" s="20" t="n">
        <v>6133</v>
      </c>
    </row>
    <row r="97">
      <c r="A97" s="18" t="inlineStr">
        <is>
          <t>유형자산 합계</t>
        </is>
      </c>
      <c r="C97" s="20" t="n">
        <v>193221</v>
      </c>
      <c r="D97" s="20" t="n">
        <v>201141</v>
      </c>
      <c r="E97" s="20" t="n">
        <v>209308</v>
      </c>
      <c r="F97" s="20" t="n">
        <v>210467</v>
      </c>
      <c r="G97" s="20" t="n">
        <v>206754</v>
      </c>
      <c r="H97" s="20" t="n">
        <v>139405</v>
      </c>
      <c r="I97" s="20" t="n">
        <v>147244</v>
      </c>
      <c r="J97" s="20" t="n">
        <v>157982</v>
      </c>
      <c r="K97" s="20" t="n">
        <v>182708</v>
      </c>
      <c r="L97" s="20" t="n">
        <v>201141</v>
      </c>
    </row>
    <row r="98">
      <c r="A98" s="18" t="inlineStr">
        <is>
          <t>영업권</t>
        </is>
      </c>
      <c r="C98" s="20" t="n">
        <v>1467</v>
      </c>
      <c r="D98" s="20" t="n">
        <v>1455</v>
      </c>
      <c r="E98" s="20" t="n">
        <v>1372</v>
      </c>
      <c r="F98" s="20" t="n">
        <v>1302</v>
      </c>
      <c r="G98" s="20" t="n">
        <v>1175</v>
      </c>
      <c r="H98" s="20" t="n">
        <v>3274</v>
      </c>
      <c r="I98" s="20" t="n">
        <v>3065</v>
      </c>
      <c r="J98" s="20" t="n">
        <v>1898</v>
      </c>
      <c r="K98" s="20" t="n">
        <v>1661</v>
      </c>
      <c r="L98" s="20" t="n">
        <v>1455</v>
      </c>
    </row>
    <row r="99">
      <c r="A99" s="18" t="inlineStr">
        <is>
          <t>소프트웨어</t>
        </is>
      </c>
      <c r="C99" s="20" t="n">
        <v>12912</v>
      </c>
      <c r="D99" s="20" t="n">
        <v>18091</v>
      </c>
      <c r="E99" s="20" t="n">
        <v>17730</v>
      </c>
      <c r="F99" s="20" t="n">
        <v>16368</v>
      </c>
      <c r="G99" s="20" t="n">
        <v>15149</v>
      </c>
      <c r="H99" s="20" t="n">
        <v>6190</v>
      </c>
      <c r="I99" s="20" t="n">
        <v>10059</v>
      </c>
      <c r="J99" s="20" t="n">
        <v>13225</v>
      </c>
      <c r="K99" s="20" t="n">
        <v>13424</v>
      </c>
      <c r="L99" s="20" t="n">
        <v>18091</v>
      </c>
    </row>
    <row r="100">
      <c r="A100" s="18" t="inlineStr">
        <is>
          <t>개발 중 소프트웨어</t>
        </is>
      </c>
      <c r="D100" s="20" t="n">
        <v>8386</v>
      </c>
      <c r="H100" s="20" t="n">
        <v>3935</v>
      </c>
      <c r="I100" s="20" t="n">
        <v>4970</v>
      </c>
      <c r="J100" s="20" t="n">
        <v>5054</v>
      </c>
      <c r="K100" s="20" t="n">
        <v>7914</v>
      </c>
      <c r="L100" s="20" t="n">
        <v>8386</v>
      </c>
    </row>
    <row r="101">
      <c r="A101" s="18" t="inlineStr">
        <is>
          <t>기타</t>
        </is>
      </c>
      <c r="C101" s="20" t="n">
        <v>13154</v>
      </c>
      <c r="D101" s="20" t="n">
        <v>9775</v>
      </c>
      <c r="E101" s="20" t="n">
        <v>10957</v>
      </c>
      <c r="F101" s="20" t="n">
        <v>13383</v>
      </c>
      <c r="G101" s="20" t="n">
        <v>15096</v>
      </c>
      <c r="H101" s="20" t="n">
        <v>2727</v>
      </c>
      <c r="I101" s="20" t="n">
        <v>1745</v>
      </c>
      <c r="J101" s="20" t="n">
        <v>1810</v>
      </c>
      <c r="K101" s="20" t="n">
        <v>1960</v>
      </c>
      <c r="L101" s="20" t="n">
        <v>9775</v>
      </c>
    </row>
    <row r="102">
      <c r="A102" s="18" t="inlineStr">
        <is>
          <t>무형자산 합계</t>
        </is>
      </c>
      <c r="C102" s="20" t="n">
        <v>27535</v>
      </c>
      <c r="D102" s="20" t="n">
        <v>29323</v>
      </c>
      <c r="E102" s="20" t="n">
        <v>30060</v>
      </c>
      <c r="F102" s="20" t="n">
        <v>31053</v>
      </c>
      <c r="G102" s="20" t="n">
        <v>31421</v>
      </c>
      <c r="H102" s="20" t="n">
        <v>16128</v>
      </c>
      <c r="I102" s="20" t="n">
        <v>19841</v>
      </c>
      <c r="J102" s="20" t="n">
        <v>21989</v>
      </c>
      <c r="K102" s="20" t="n">
        <v>24960</v>
      </c>
      <c r="L102" s="20" t="n">
        <v>29323</v>
      </c>
    </row>
    <row r="103">
      <c r="A103" s="18" t="inlineStr">
        <is>
          <t>투자유가증권</t>
        </is>
      </c>
      <c r="C103" s="20" t="n">
        <v>30364</v>
      </c>
      <c r="D103" s="20" t="n">
        <v>29348</v>
      </c>
      <c r="E103" s="20" t="n">
        <v>32301</v>
      </c>
      <c r="F103" s="20" t="n">
        <v>36166</v>
      </c>
      <c r="G103" s="20" t="n">
        <v>39341</v>
      </c>
      <c r="H103" s="20" t="n">
        <v>14061</v>
      </c>
      <c r="I103" s="20" t="n">
        <v>19694</v>
      </c>
      <c r="J103" s="20" t="n">
        <v>23781</v>
      </c>
      <c r="K103" s="20" t="n">
        <v>25892</v>
      </c>
      <c r="L103" s="20" t="n">
        <v>29348</v>
      </c>
    </row>
    <row r="104">
      <c r="A104" s="18" t="inlineStr">
        <is>
          <t>이연법인세자산</t>
        </is>
      </c>
      <c r="C104" s="20" t="n">
        <v>6934</v>
      </c>
      <c r="D104" s="20" t="n">
        <v>4618</v>
      </c>
      <c r="E104" s="20" t="n">
        <v>4385</v>
      </c>
      <c r="F104" s="20" t="n">
        <v>3551</v>
      </c>
      <c r="G104" s="20" t="n">
        <v>3453</v>
      </c>
      <c r="H104" s="20" t="n">
        <v>6053</v>
      </c>
      <c r="I104" s="20" t="n">
        <v>6728</v>
      </c>
      <c r="J104" s="20" t="n">
        <v>9693</v>
      </c>
      <c r="K104" s="20" t="n">
        <v>8382</v>
      </c>
      <c r="L104" s="20" t="n">
        <v>4618</v>
      </c>
    </row>
    <row r="105">
      <c r="A105" s="18" t="inlineStr">
        <is>
          <t>퇴직급여자산</t>
        </is>
      </c>
      <c r="C105" s="20" t="n">
        <v>2579</v>
      </c>
      <c r="D105" s="20" t="n">
        <v>5550</v>
      </c>
      <c r="E105" s="20" t="n">
        <v>5535</v>
      </c>
      <c r="F105" s="20" t="n">
        <v>5376</v>
      </c>
      <c r="G105" s="20" t="n">
        <v>5405</v>
      </c>
      <c r="H105" s="20" t="n">
        <v>0</v>
      </c>
      <c r="I105" s="20" t="n">
        <v>2645</v>
      </c>
      <c r="J105" s="20" t="n">
        <v>2804</v>
      </c>
      <c r="K105" s="20" t="n">
        <v>2900</v>
      </c>
      <c r="L105" s="20" t="n">
        <v>5550</v>
      </c>
    </row>
    <row r="106">
      <c r="A106" s="18" t="inlineStr">
        <is>
          <t>기타</t>
        </is>
      </c>
      <c r="C106" s="20" t="n">
        <v>2602</v>
      </c>
      <c r="D106" s="20" t="n">
        <v>2627</v>
      </c>
      <c r="E106" s="20" t="n">
        <v>2543</v>
      </c>
      <c r="F106" s="20" t="n">
        <v>2481</v>
      </c>
      <c r="G106" s="20" t="n">
        <v>2480</v>
      </c>
      <c r="H106" s="20" t="n">
        <v>1641</v>
      </c>
      <c r="I106" s="20" t="n">
        <v>1941</v>
      </c>
      <c r="J106" s="20" t="n">
        <v>3174</v>
      </c>
      <c r="K106" s="20" t="n">
        <v>3097</v>
      </c>
      <c r="L106" s="20" t="n">
        <v>2627</v>
      </c>
    </row>
    <row r="107">
      <c r="A107" s="18" t="inlineStr">
        <is>
          <t>대손충당금</t>
        </is>
      </c>
      <c r="C107" s="20" t="n">
        <v>-480</v>
      </c>
      <c r="D107" s="20" t="n">
        <v>-478</v>
      </c>
      <c r="E107" s="20" t="n">
        <v>-480</v>
      </c>
      <c r="F107" s="20" t="n">
        <v>-509</v>
      </c>
      <c r="G107" s="20" t="n">
        <v>-510</v>
      </c>
      <c r="H107" s="20" t="n">
        <v>-463</v>
      </c>
      <c r="I107" s="20" t="n">
        <v>-436</v>
      </c>
      <c r="J107" s="20" t="n">
        <v>-447</v>
      </c>
      <c r="K107" s="20" t="n">
        <v>-450</v>
      </c>
      <c r="L107" s="20" t="n">
        <v>-478</v>
      </c>
    </row>
    <row r="108">
      <c r="A108" s="18" t="inlineStr">
        <is>
          <t>투자 및 기타자산 합계</t>
        </is>
      </c>
      <c r="C108" s="20" t="n">
        <v>42001</v>
      </c>
      <c r="D108" s="20" t="n">
        <v>41665</v>
      </c>
      <c r="E108" s="20" t="n">
        <v>44286</v>
      </c>
      <c r="F108" s="20" t="n">
        <v>47067</v>
      </c>
      <c r="G108" s="20" t="n">
        <v>50170</v>
      </c>
      <c r="H108" s="20" t="n">
        <v>21292</v>
      </c>
      <c r="I108" s="20" t="n">
        <v>30573</v>
      </c>
      <c r="J108" s="20" t="n">
        <v>39006</v>
      </c>
      <c r="K108" s="20" t="n">
        <v>39822</v>
      </c>
      <c r="L108" s="20" t="n">
        <v>41665</v>
      </c>
    </row>
    <row r="109">
      <c r="A109" s="9" t="inlineStr">
        <is>
          <t>비유동자산 합계</t>
        </is>
      </c>
      <c r="C109" s="12" t="n">
        <v>262757</v>
      </c>
      <c r="D109" s="12" t="n">
        <v>272130</v>
      </c>
      <c r="E109" s="12" t="n">
        <v>283655</v>
      </c>
      <c r="F109" s="12" t="n">
        <v>288588</v>
      </c>
      <c r="G109" s="12" t="n">
        <v>288346</v>
      </c>
      <c r="H109" s="12" t="n">
        <v>176826</v>
      </c>
      <c r="I109" s="12" t="n">
        <v>197659</v>
      </c>
      <c r="J109" s="12" t="n">
        <v>218977</v>
      </c>
      <c r="K109" s="12" t="n">
        <v>247491</v>
      </c>
      <c r="L109" s="12" t="n">
        <v>272130</v>
      </c>
    </row>
    <row r="110">
      <c r="A110" s="9" t="inlineStr">
        <is>
          <t>자산 합계</t>
        </is>
      </c>
      <c r="C110" s="12" t="n">
        <v>897224</v>
      </c>
      <c r="D110" s="12" t="n">
        <v>938250</v>
      </c>
      <c r="E110" s="12" t="n">
        <v>937382</v>
      </c>
      <c r="F110" s="12" t="n">
        <v>949242</v>
      </c>
      <c r="G110" s="12" t="n">
        <v>915928</v>
      </c>
      <c r="H110" s="12" t="n">
        <v>705370</v>
      </c>
      <c r="I110" s="12" t="n">
        <v>826413</v>
      </c>
      <c r="J110" s="12" t="n">
        <v>871731</v>
      </c>
      <c r="K110" s="12" t="n">
        <v>958953</v>
      </c>
      <c r="L110" s="12" t="n">
        <v>938250</v>
      </c>
    </row>
    <row r="111">
      <c r="A111" s="18" t="inlineStr">
        <is>
          <t>매입채무</t>
        </is>
      </c>
      <c r="C111" s="20" t="n">
        <v>15574</v>
      </c>
      <c r="D111" s="20" t="n">
        <v>16774</v>
      </c>
      <c r="E111" s="20" t="n">
        <v>18647</v>
      </c>
      <c r="F111" s="20" t="n">
        <v>18910</v>
      </c>
      <c r="G111" s="20" t="n">
        <v>19455</v>
      </c>
      <c r="H111" s="20" t="n">
        <v>24352</v>
      </c>
      <c r="I111" s="20" t="n">
        <v>20595</v>
      </c>
      <c r="J111" s="20" t="n">
        <v>11025</v>
      </c>
      <c r="K111" s="20" t="n">
        <v>16111</v>
      </c>
      <c r="L111" s="20" t="n">
        <v>16774</v>
      </c>
    </row>
    <row r="112">
      <c r="A112" s="18" t="inlineStr">
        <is>
          <t>단기차입금</t>
        </is>
      </c>
      <c r="H112" s="20" t="n">
        <v>3133</v>
      </c>
      <c r="I112" s="20" t="n">
        <v>2151</v>
      </c>
      <c r="J112" s="20" t="n">
        <v>0</v>
      </c>
    </row>
    <row r="113">
      <c r="A113" s="18" t="inlineStr">
        <is>
          <t>리스부채</t>
        </is>
      </c>
      <c r="D113" s="20" t="n">
        <v>1423</v>
      </c>
      <c r="H113" s="20" t="n">
        <v>827</v>
      </c>
      <c r="I113" s="20" t="n">
        <v>928</v>
      </c>
      <c r="J113" s="20" t="n">
        <v>1022</v>
      </c>
      <c r="K113" s="20" t="n">
        <v>1242</v>
      </c>
      <c r="L113" s="20" t="n">
        <v>1423</v>
      </c>
    </row>
    <row r="114">
      <c r="A114" s="18" t="inlineStr">
        <is>
          <t>미지급법인세</t>
        </is>
      </c>
      <c r="C114" s="20" t="n">
        <v>5565</v>
      </c>
      <c r="D114" s="20" t="n">
        <v>9161</v>
      </c>
      <c r="E114" s="20" t="n">
        <v>6219</v>
      </c>
      <c r="F114" s="20" t="n">
        <v>7335</v>
      </c>
      <c r="G114" s="20" t="n">
        <v>5164</v>
      </c>
      <c r="H114" s="20" t="n">
        <v>23170</v>
      </c>
      <c r="I114" s="20" t="n">
        <v>21899</v>
      </c>
      <c r="J114" s="20" t="n">
        <v>5737</v>
      </c>
      <c r="K114" s="20" t="n">
        <v>9803</v>
      </c>
      <c r="L114" s="20" t="n">
        <v>9161</v>
      </c>
    </row>
    <row r="115">
      <c r="A115" s="18" t="inlineStr">
        <is>
          <t>상여충당금</t>
        </is>
      </c>
      <c r="C115" s="20" t="n">
        <v>4757</v>
      </c>
      <c r="D115" s="20" t="n">
        <v>3479</v>
      </c>
      <c r="E115" s="20" t="n">
        <v>3194</v>
      </c>
      <c r="F115" s="20" t="n">
        <v>2954</v>
      </c>
      <c r="G115" s="20" t="n">
        <v>4742</v>
      </c>
      <c r="H115" s="20" t="n">
        <v>3467</v>
      </c>
      <c r="I115" s="20" t="n">
        <v>3682</v>
      </c>
      <c r="J115" s="20" t="n">
        <v>3041</v>
      </c>
      <c r="K115" s="20" t="n">
        <v>3479</v>
      </c>
      <c r="L115" s="20" t="n">
        <v>3479</v>
      </c>
    </row>
    <row r="116">
      <c r="A116" s="18" t="inlineStr">
        <is>
          <t>임원 상여충당금</t>
        </is>
      </c>
      <c r="C116" s="20" t="n">
        <v>128</v>
      </c>
      <c r="D116" s="20" t="n">
        <v>144</v>
      </c>
      <c r="E116" s="20" t="n">
        <v>41</v>
      </c>
      <c r="F116" s="20" t="n">
        <v>82</v>
      </c>
      <c r="G116" s="20" t="n">
        <v>123</v>
      </c>
      <c r="H116" s="20" t="n">
        <v>172</v>
      </c>
      <c r="I116" s="20" t="n">
        <v>198</v>
      </c>
      <c r="J116" s="20" t="n">
        <v>141</v>
      </c>
      <c r="K116" s="20" t="n">
        <v>160</v>
      </c>
      <c r="L116" s="20" t="n">
        <v>144</v>
      </c>
    </row>
    <row r="117">
      <c r="A117" s="18" t="inlineStr">
        <is>
          <t>제품보증 충당금</t>
        </is>
      </c>
      <c r="C117" s="20" t="n">
        <v>1234</v>
      </c>
      <c r="D117" s="20" t="n">
        <v>3317</v>
      </c>
      <c r="E117" s="20" t="n">
        <v>2859</v>
      </c>
      <c r="F117" s="20" t="n">
        <v>1113</v>
      </c>
      <c r="G117" s="20" t="n">
        <v>1214</v>
      </c>
      <c r="I117" s="20" t="n">
        <v>1393</v>
      </c>
      <c r="J117" s="20" t="n">
        <v>16017</v>
      </c>
      <c r="K117" s="20" t="n">
        <v>1173</v>
      </c>
      <c r="L117" s="20" t="n">
        <v>3317</v>
      </c>
    </row>
    <row r="118">
      <c r="A118" s="18" t="inlineStr">
        <is>
          <t>기타</t>
        </is>
      </c>
      <c r="C118" s="20" t="n">
        <v>26551</v>
      </c>
      <c r="D118" s="20" t="n">
        <v>26039</v>
      </c>
      <c r="E118" s="20" t="n">
        <v>28459</v>
      </c>
      <c r="F118" s="20" t="n">
        <v>32685</v>
      </c>
      <c r="G118" s="20" t="n">
        <v>30406</v>
      </c>
      <c r="H118" s="20" t="n">
        <v>26402</v>
      </c>
      <c r="I118" s="20" t="n">
        <v>27760</v>
      </c>
      <c r="J118" s="20" t="n">
        <v>24847</v>
      </c>
      <c r="K118" s="20" t="n">
        <v>23832</v>
      </c>
      <c r="L118" s="20" t="n">
        <v>26039</v>
      </c>
    </row>
    <row r="119">
      <c r="A119" s="9" t="inlineStr">
        <is>
          <t>유동부채 합계</t>
        </is>
      </c>
      <c r="C119" s="12" t="n">
        <v>53811</v>
      </c>
      <c r="D119" s="12" t="n">
        <v>58917</v>
      </c>
      <c r="E119" s="12" t="n">
        <v>59421</v>
      </c>
      <c r="F119" s="12" t="n">
        <v>63082</v>
      </c>
      <c r="G119" s="12" t="n">
        <v>61107</v>
      </c>
      <c r="H119" s="12" t="n">
        <v>81528</v>
      </c>
      <c r="I119" s="12" t="n">
        <v>78608</v>
      </c>
      <c r="J119" s="12" t="n">
        <v>61834</v>
      </c>
      <c r="K119" s="12" t="n">
        <v>55802</v>
      </c>
      <c r="L119" s="12" t="n">
        <v>58917</v>
      </c>
    </row>
    <row r="120">
      <c r="A120" s="18" t="inlineStr">
        <is>
          <t>장기차입금</t>
        </is>
      </c>
      <c r="H120" s="20" t="n">
        <v>2</v>
      </c>
      <c r="I120" s="20" t="n">
        <v>0</v>
      </c>
    </row>
    <row r="121">
      <c r="A121" s="18" t="inlineStr">
        <is>
          <t>리스부채</t>
        </is>
      </c>
      <c r="D121" s="20" t="n">
        <v>2607</v>
      </c>
      <c r="H121" s="20" t="n">
        <v>2298</v>
      </c>
      <c r="I121" s="20" t="n">
        <v>2298</v>
      </c>
      <c r="J121" s="20" t="n">
        <v>2370</v>
      </c>
      <c r="K121" s="20" t="n">
        <v>2319</v>
      </c>
      <c r="L121" s="20" t="n">
        <v>2607</v>
      </c>
    </row>
    <row r="122">
      <c r="A122" s="18" t="inlineStr">
        <is>
          <t>이연법인세부채</t>
        </is>
      </c>
      <c r="C122" s="20" t="n">
        <v>2118</v>
      </c>
      <c r="D122" s="20" t="n">
        <v>2449</v>
      </c>
      <c r="E122" s="20" t="n">
        <v>2602</v>
      </c>
      <c r="F122" s="20" t="n">
        <v>3529</v>
      </c>
      <c r="G122" s="20" t="n">
        <v>4718</v>
      </c>
      <c r="H122" s="20" t="n">
        <v>2164</v>
      </c>
      <c r="I122" s="20" t="n">
        <v>2522</v>
      </c>
      <c r="J122" s="20" t="n">
        <v>3179</v>
      </c>
      <c r="K122" s="20" t="n">
        <v>3018</v>
      </c>
      <c r="L122" s="20" t="n">
        <v>2449</v>
      </c>
    </row>
    <row r="123">
      <c r="A123" s="18" t="inlineStr">
        <is>
          <t>퇴직급여부채</t>
        </is>
      </c>
      <c r="C123" s="20" t="n">
        <v>1352</v>
      </c>
      <c r="D123" s="20" t="n">
        <v>1473</v>
      </c>
      <c r="E123" s="20" t="n">
        <v>1525</v>
      </c>
      <c r="F123" s="20" t="n">
        <v>1501</v>
      </c>
      <c r="G123" s="20" t="n">
        <v>1480</v>
      </c>
      <c r="H123" s="20" t="n">
        <v>2104</v>
      </c>
      <c r="I123" s="20" t="n">
        <v>1210</v>
      </c>
      <c r="J123" s="20" t="n">
        <v>1253</v>
      </c>
      <c r="K123" s="20" t="n">
        <v>1310</v>
      </c>
      <c r="L123" s="20" t="n">
        <v>1473</v>
      </c>
    </row>
    <row r="124">
      <c r="A124" s="18" t="inlineStr">
        <is>
          <t>제품보증 충당금</t>
        </is>
      </c>
      <c r="C124" s="20" t="n">
        <v>11313</v>
      </c>
      <c r="D124" s="20" t="n">
        <v>2555</v>
      </c>
      <c r="E124" s="20" t="n">
        <v>2385</v>
      </c>
      <c r="F124" s="20" t="n">
        <v>2145</v>
      </c>
      <c r="G124" s="20" t="n">
        <v>1985</v>
      </c>
      <c r="J124" s="20" t="n">
        <v>0</v>
      </c>
      <c r="K124" s="20" t="n">
        <v>12151</v>
      </c>
      <c r="L124" s="20" t="n">
        <v>2555</v>
      </c>
    </row>
    <row r="125">
      <c r="A125" s="18" t="inlineStr">
        <is>
          <t>기타</t>
        </is>
      </c>
      <c r="C125" s="20" t="n">
        <v>3043</v>
      </c>
      <c r="D125" s="20" t="n">
        <v>3352</v>
      </c>
      <c r="E125" s="20" t="n">
        <v>3458</v>
      </c>
      <c r="F125" s="20" t="n">
        <v>3317</v>
      </c>
      <c r="G125" s="20" t="n">
        <v>3234</v>
      </c>
      <c r="H125" s="20" t="n">
        <v>621</v>
      </c>
      <c r="I125" s="20" t="n">
        <v>678</v>
      </c>
      <c r="J125" s="20" t="n">
        <v>696</v>
      </c>
      <c r="K125" s="20" t="n">
        <v>737</v>
      </c>
      <c r="L125" s="20" t="n">
        <v>3352</v>
      </c>
    </row>
    <row r="126">
      <c r="A126" s="9" t="inlineStr">
        <is>
          <t>비유동부채 합계</t>
        </is>
      </c>
      <c r="C126" s="12" t="n">
        <v>17828</v>
      </c>
      <c r="D126" s="12" t="n">
        <v>9830</v>
      </c>
      <c r="E126" s="12" t="n">
        <v>9971</v>
      </c>
      <c r="F126" s="12" t="n">
        <v>10493</v>
      </c>
      <c r="G126" s="12" t="n">
        <v>11419</v>
      </c>
      <c r="H126" s="12" t="n">
        <v>7191</v>
      </c>
      <c r="I126" s="12" t="n">
        <v>6709</v>
      </c>
      <c r="J126" s="12" t="n">
        <v>7500</v>
      </c>
      <c r="K126" s="12" t="n">
        <v>19537</v>
      </c>
      <c r="L126" s="12" t="n">
        <v>9830</v>
      </c>
    </row>
    <row r="127">
      <c r="A127" s="9" t="inlineStr">
        <is>
          <t>부채 합계</t>
        </is>
      </c>
      <c r="C127" s="12" t="n">
        <v>71639</v>
      </c>
      <c r="D127" s="12" t="n">
        <v>68748</v>
      </c>
      <c r="E127" s="12" t="n">
        <v>69392</v>
      </c>
      <c r="F127" s="12" t="n">
        <v>73575</v>
      </c>
      <c r="G127" s="12" t="n">
        <v>72526</v>
      </c>
      <c r="H127" s="12" t="n">
        <v>88719</v>
      </c>
      <c r="I127" s="12" t="n">
        <v>85318</v>
      </c>
      <c r="J127" s="12" t="n">
        <v>69334</v>
      </c>
      <c r="K127" s="12" t="n">
        <v>75339</v>
      </c>
      <c r="L127" s="12" t="n">
        <v>68748</v>
      </c>
    </row>
    <row r="128">
      <c r="A128" s="18" t="inlineStr">
        <is>
          <t>자본금</t>
        </is>
      </c>
      <c r="C128" s="20" t="n">
        <v>35613</v>
      </c>
      <c r="D128" s="20" t="n">
        <v>35613</v>
      </c>
      <c r="E128" s="20" t="n">
        <v>35613</v>
      </c>
      <c r="F128" s="20" t="n">
        <v>35613</v>
      </c>
      <c r="G128" s="20" t="n">
        <v>35613</v>
      </c>
      <c r="H128" s="20" t="n">
        <v>35613</v>
      </c>
      <c r="I128" s="20" t="n">
        <v>35613</v>
      </c>
      <c r="J128" s="20" t="n">
        <v>35613</v>
      </c>
      <c r="K128" s="20" t="n">
        <v>35613</v>
      </c>
      <c r="L128" s="20" t="n">
        <v>35613</v>
      </c>
    </row>
    <row r="129">
      <c r="A129" s="18" t="inlineStr">
        <is>
          <t>자본잉여금</t>
        </is>
      </c>
      <c r="C129" s="20" t="n">
        <v>5324</v>
      </c>
      <c r="D129" s="20" t="n">
        <v>5324</v>
      </c>
      <c r="E129" s="20" t="n">
        <v>5324</v>
      </c>
      <c r="F129" s="20" t="n">
        <v>5325</v>
      </c>
      <c r="G129" s="20" t="n">
        <v>5325</v>
      </c>
      <c r="H129" s="20" t="n">
        <v>5640</v>
      </c>
      <c r="I129" s="20" t="n">
        <v>5640</v>
      </c>
      <c r="J129" s="20" t="n">
        <v>5640</v>
      </c>
      <c r="K129" s="20" t="n">
        <v>5640</v>
      </c>
      <c r="L129" s="20" t="n">
        <v>5324</v>
      </c>
    </row>
    <row r="130">
      <c r="A130" s="18" t="inlineStr">
        <is>
          <t>이익잉여금</t>
        </is>
      </c>
      <c r="C130" s="20" t="n">
        <v>632963</v>
      </c>
      <c r="D130" s="20" t="n">
        <v>630717</v>
      </c>
      <c r="E130" s="20" t="n">
        <v>628876</v>
      </c>
      <c r="F130" s="20" t="n">
        <v>644012</v>
      </c>
      <c r="G130" s="20" t="n">
        <v>640657</v>
      </c>
      <c r="H130" s="20" t="n">
        <v>566263</v>
      </c>
      <c r="I130" s="20" t="n">
        <v>638141</v>
      </c>
      <c r="J130" s="20" t="n">
        <v>647172</v>
      </c>
      <c r="K130" s="20" t="n">
        <v>675370</v>
      </c>
      <c r="L130" s="20" t="n">
        <v>630717</v>
      </c>
    </row>
    <row r="131">
      <c r="A131" s="18" t="inlineStr">
        <is>
          <t>자기주식</t>
        </is>
      </c>
      <c r="C131" s="20" t="n">
        <v>-13242</v>
      </c>
      <c r="D131" s="20" t="n">
        <v>-1100</v>
      </c>
      <c r="E131" s="20" t="n">
        <v>-8189</v>
      </c>
      <c r="F131" s="20" t="n">
        <v>-25642</v>
      </c>
      <c r="G131" s="20" t="n">
        <v>-42448</v>
      </c>
      <c r="H131" s="20" t="n">
        <v>-13284</v>
      </c>
      <c r="I131" s="20" t="n">
        <v>-12909</v>
      </c>
      <c r="J131" s="20" t="n">
        <v>-1264</v>
      </c>
      <c r="K131" s="20" t="n">
        <v>-1186</v>
      </c>
      <c r="L131" s="20" t="n">
        <v>-1100</v>
      </c>
    </row>
    <row r="132">
      <c r="A132" s="9" t="inlineStr">
        <is>
          <t>주주자본 합계</t>
        </is>
      </c>
      <c r="C132" s="12" t="n">
        <v>660659</v>
      </c>
      <c r="D132" s="12" t="n">
        <v>670554</v>
      </c>
      <c r="E132" s="12" t="n">
        <v>661625</v>
      </c>
      <c r="F132" s="12" t="n">
        <v>659307</v>
      </c>
      <c r="G132" s="12" t="n">
        <v>639147</v>
      </c>
      <c r="H132" s="12" t="n">
        <v>594232</v>
      </c>
      <c r="I132" s="12" t="n">
        <v>666485</v>
      </c>
      <c r="J132" s="12" t="n">
        <v>687162</v>
      </c>
      <c r="K132" s="12" t="n">
        <v>715438</v>
      </c>
      <c r="L132" s="12" t="n">
        <v>670554</v>
      </c>
    </row>
    <row r="133">
      <c r="A133" s="18" t="inlineStr">
        <is>
          <t>기타유가증권 평가차액</t>
        </is>
      </c>
      <c r="C133" s="20" t="n">
        <v>9965</v>
      </c>
      <c r="D133" s="20" t="n">
        <v>10144</v>
      </c>
      <c r="E133" s="20" t="n">
        <v>8536</v>
      </c>
      <c r="F133" s="20" t="n">
        <v>10935</v>
      </c>
      <c r="G133" s="20" t="n">
        <v>13187</v>
      </c>
      <c r="H133" s="20" t="n">
        <v>3620</v>
      </c>
      <c r="I133" s="20" t="n">
        <v>3537</v>
      </c>
      <c r="J133" s="20" t="n">
        <v>4902</v>
      </c>
      <c r="K133" s="20" t="n">
        <v>7139</v>
      </c>
      <c r="L133" s="20" t="n">
        <v>10144</v>
      </c>
    </row>
    <row r="134">
      <c r="A134" s="18" t="inlineStr">
        <is>
          <t>해외사업환산조정</t>
        </is>
      </c>
      <c r="C134" s="20" t="n">
        <v>153849</v>
      </c>
      <c r="D134" s="20" t="n">
        <v>187557</v>
      </c>
      <c r="E134" s="20" t="n">
        <v>196438</v>
      </c>
      <c r="F134" s="20" t="n">
        <v>203871</v>
      </c>
      <c r="G134" s="20" t="n">
        <v>189510</v>
      </c>
      <c r="H134" s="20" t="n">
        <v>18139</v>
      </c>
      <c r="I134" s="20" t="n">
        <v>70085</v>
      </c>
      <c r="J134" s="20" t="n">
        <v>109101</v>
      </c>
      <c r="K134" s="20" t="n">
        <v>159819</v>
      </c>
      <c r="L134" s="20" t="n">
        <v>187557</v>
      </c>
    </row>
    <row r="135">
      <c r="A135" s="18" t="inlineStr">
        <is>
          <t>기타포괄손익누계액 합계</t>
        </is>
      </c>
      <c r="C135" s="20" t="n">
        <v>163814</v>
      </c>
      <c r="D135" s="20" t="n">
        <v>197702</v>
      </c>
      <c r="E135" s="20" t="n">
        <v>204975</v>
      </c>
      <c r="F135" s="20" t="n">
        <v>214806</v>
      </c>
      <c r="G135" s="20" t="n">
        <v>202697</v>
      </c>
      <c r="H135" s="20" t="n">
        <v>21759</v>
      </c>
      <c r="I135" s="20" t="n">
        <v>73623</v>
      </c>
      <c r="J135" s="20" t="n">
        <v>114003</v>
      </c>
      <c r="K135" s="20" t="n">
        <v>166958</v>
      </c>
      <c r="L135" s="20" t="n">
        <v>197702</v>
      </c>
    </row>
    <row r="136">
      <c r="A136" s="18" t="inlineStr">
        <is>
          <t>비지배지분</t>
        </is>
      </c>
      <c r="C136" s="20" t="n">
        <v>1110</v>
      </c>
      <c r="D136" s="20" t="n">
        <v>1245</v>
      </c>
      <c r="E136" s="20" t="n">
        <v>1389</v>
      </c>
      <c r="F136" s="20" t="n">
        <v>1552</v>
      </c>
      <c r="G136" s="20" t="n">
        <v>1555</v>
      </c>
      <c r="H136" s="20" t="n">
        <v>659</v>
      </c>
      <c r="I136" s="20" t="n">
        <v>986</v>
      </c>
      <c r="J136" s="20" t="n">
        <v>1230</v>
      </c>
      <c r="K136" s="20" t="n">
        <v>1215</v>
      </c>
      <c r="L136" s="20" t="n">
        <v>1245</v>
      </c>
    </row>
    <row r="137">
      <c r="A137" s="9" t="inlineStr">
        <is>
          <t>순자산 합계</t>
        </is>
      </c>
      <c r="C137" s="12" t="n">
        <v>825584</v>
      </c>
      <c r="D137" s="12" t="n">
        <v>869501</v>
      </c>
      <c r="E137" s="12" t="n">
        <v>867990</v>
      </c>
      <c r="F137" s="12" t="n">
        <v>875666</v>
      </c>
      <c r="G137" s="12" t="n">
        <v>843401</v>
      </c>
      <c r="H137" s="12" t="n">
        <v>616651</v>
      </c>
      <c r="I137" s="12" t="n">
        <v>741095</v>
      </c>
      <c r="J137" s="12" t="n">
        <v>802396</v>
      </c>
      <c r="K137" s="12" t="n">
        <v>883613</v>
      </c>
      <c r="L137" s="12" t="n">
        <v>869501</v>
      </c>
    </row>
    <row r="138">
      <c r="A138" s="9" t="inlineStr">
        <is>
          <t>부채·순자산 합계</t>
        </is>
      </c>
      <c r="C138" s="12" t="n">
        <v>897224</v>
      </c>
      <c r="D138" s="12" t="n">
        <v>938250</v>
      </c>
      <c r="E138" s="12" t="n">
        <v>937382</v>
      </c>
      <c r="F138" s="12" t="n">
        <v>949242</v>
      </c>
      <c r="G138" s="12" t="n">
        <v>915928</v>
      </c>
      <c r="H138" s="12" t="n">
        <v>705370</v>
      </c>
      <c r="I138" s="12" t="n">
        <v>826413</v>
      </c>
      <c r="J138" s="12" t="n">
        <v>871731</v>
      </c>
      <c r="K138" s="12" t="n">
        <v>958953</v>
      </c>
      <c r="L138" s="12" t="n">
        <v>938250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0" t="inlineStr">
        <is>
          <t>시마노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9M cum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</row>
    <row r="5">
      <c r="A5" s="53" t="inlineStr">
        <is>
          <t>항목</t>
        </is>
      </c>
      <c r="B5" s="53" t="inlineStr">
        <is>
          <t>값</t>
        </is>
      </c>
      <c r="L5" s="53" t="inlineStr">
        <is>
          <t>출처</t>
        </is>
      </c>
    </row>
    <row r="6">
      <c r="A6" s="54" t="inlineStr">
        <is>
          <t>매출</t>
        </is>
      </c>
      <c r="B6" s="55" t="n">
        <v>3752.48</v>
      </c>
      <c r="L6" s="56" t="inlineStr">
        <is>
          <t>2단계 보고서 자료(회사 설명회 자료·공시)</t>
        </is>
      </c>
    </row>
    <row r="7">
      <c r="A7" s="54" t="inlineStr">
        <is>
          <t>매출원가</t>
        </is>
      </c>
      <c r="B7" s="55" t="n">
        <v>2405.8</v>
      </c>
    </row>
    <row r="8">
      <c r="A8" s="54" t="inlineStr">
        <is>
          <t>매출총이익</t>
        </is>
      </c>
      <c r="B8" s="55" t="n">
        <v>1346.67</v>
      </c>
    </row>
    <row r="9">
      <c r="A9" s="54" t="inlineStr">
        <is>
          <t>판관비</t>
        </is>
      </c>
      <c r="B9" s="55" t="n">
        <v>901.35</v>
      </c>
    </row>
    <row r="10">
      <c r="A10" s="54" t="inlineStr">
        <is>
          <t>영업이익</t>
        </is>
      </c>
      <c r="B10" s="55" t="n">
        <v>445.32</v>
      </c>
    </row>
    <row r="11">
      <c r="A11" s="54" t="inlineStr">
        <is>
          <t>이자수익</t>
        </is>
      </c>
      <c r="B11" s="55" t="n">
        <v>94.67</v>
      </c>
    </row>
    <row r="12">
      <c r="A12" s="54" t="inlineStr">
        <is>
          <t>배당수익</t>
        </is>
      </c>
      <c r="B12" s="55" t="n">
        <v>5.78</v>
      </c>
    </row>
    <row r="13">
      <c r="A13" s="54" t="inlineStr">
        <is>
          <t>영업외수익_기타</t>
        </is>
      </c>
      <c r="B13" s="55" t="n">
        <v>11.56</v>
      </c>
    </row>
    <row r="14">
      <c r="A14" s="54" t="inlineStr">
        <is>
          <t>영업외수익</t>
        </is>
      </c>
      <c r="B14" s="55" t="n">
        <v>112.02</v>
      </c>
    </row>
    <row r="15">
      <c r="A15" s="54" t="inlineStr">
        <is>
          <t>이자비용</t>
        </is>
      </c>
      <c r="B15" s="55" t="n">
        <v>0.83</v>
      </c>
    </row>
    <row r="16">
      <c r="A16" s="54" t="inlineStr">
        <is>
          <t>환차손</t>
        </is>
      </c>
      <c r="B16" s="55" t="n">
        <v>17.1</v>
      </c>
    </row>
    <row r="17">
      <c r="A17" s="54" t="inlineStr">
        <is>
          <t>영업외비용_기타</t>
        </is>
      </c>
      <c r="B17" s="55" t="n">
        <v>20.75</v>
      </c>
    </row>
    <row r="18">
      <c r="A18" s="54" t="inlineStr">
        <is>
          <t>영업외비용</t>
        </is>
      </c>
      <c r="B18" s="55" t="n">
        <v>38.69</v>
      </c>
    </row>
    <row r="19">
      <c r="A19" s="54" t="inlineStr">
        <is>
          <t>경상이익</t>
        </is>
      </c>
      <c r="B19" s="55" t="n">
        <v>518.64</v>
      </c>
    </row>
    <row r="20">
      <c r="A20" s="54" t="inlineStr">
        <is>
          <t>투자유가증권매각익</t>
        </is>
      </c>
      <c r="B20" s="55" t="n">
        <v>31.43</v>
      </c>
    </row>
    <row r="21">
      <c r="A21" s="54" t="inlineStr">
        <is>
          <t>특별이익</t>
        </is>
      </c>
      <c r="B21" s="55" t="n">
        <v>31.43</v>
      </c>
    </row>
    <row r="22">
      <c r="A22" s="54" t="inlineStr">
        <is>
          <t>공장재건축관련비용</t>
        </is>
      </c>
      <c r="B22" s="55" t="n">
        <v>11.06</v>
      </c>
    </row>
    <row r="23">
      <c r="A23" s="54" t="inlineStr">
        <is>
          <t>특별손실</t>
        </is>
      </c>
      <c r="B23" s="55" t="n">
        <v>11.06</v>
      </c>
    </row>
    <row r="24">
      <c r="A24" s="54" t="inlineStr">
        <is>
          <t>세전이익</t>
        </is>
      </c>
      <c r="B24" s="55" t="n">
        <v>539.01</v>
      </c>
    </row>
    <row r="25">
      <c r="A25" s="54" t="inlineStr">
        <is>
          <t>법인세등</t>
        </is>
      </c>
      <c r="B25" s="55" t="n">
        <v>136.26</v>
      </c>
    </row>
    <row r="26">
      <c r="A26" s="54" t="inlineStr">
        <is>
          <t>순이익_지배</t>
        </is>
      </c>
      <c r="B26" s="55" t="n">
        <v>400.22</v>
      </c>
    </row>
    <row r="27">
      <c r="A27" s="54" t="inlineStr">
        <is>
          <t>EPS</t>
        </is>
      </c>
      <c r="B27" s="55" t="n">
        <v>469.12</v>
      </c>
    </row>
    <row r="28">
      <c r="A28" s="54" t="inlineStr">
        <is>
          <t>감가상각비</t>
        </is>
      </c>
      <c r="B28" s="55" t="n">
        <v>208.08</v>
      </c>
    </row>
    <row r="30">
      <c r="A30" s="52" t="inlineStr">
        <is>
          <t>this results · 9M cum prior</t>
        </is>
      </c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>
      <c r="A31" s="53" t="inlineStr">
        <is>
          <t>항목</t>
        </is>
      </c>
      <c r="B31" s="53" t="inlineStr">
        <is>
          <t>값</t>
        </is>
      </c>
      <c r="L31" s="53" t="inlineStr">
        <is>
          <t>출처</t>
        </is>
      </c>
    </row>
    <row r="32">
      <c r="A32" s="54" t="inlineStr">
        <is>
          <t>매출</t>
        </is>
      </c>
      <c r="B32" s="55" t="n">
        <v>3510.2</v>
      </c>
      <c r="L32" s="56" t="inlineStr">
        <is>
          <t>2단계 보고서 자료(회사 설명회 자료·공시)</t>
        </is>
      </c>
    </row>
    <row r="33">
      <c r="A33" s="54" t="inlineStr">
        <is>
          <t>매출원가</t>
        </is>
      </c>
      <c r="B33" s="55" t="n">
        <v>2262.21</v>
      </c>
    </row>
    <row r="34">
      <c r="A34" s="54" t="inlineStr">
        <is>
          <t>매출총이익</t>
        </is>
      </c>
      <c r="B34" s="55" t="n">
        <v>1247.99</v>
      </c>
    </row>
    <row r="35">
      <c r="A35" s="54" t="inlineStr">
        <is>
          <t>판관비</t>
        </is>
      </c>
      <c r="B35" s="55" t="n">
        <v>882.33</v>
      </c>
    </row>
    <row r="36">
      <c r="A36" s="54" t="inlineStr">
        <is>
          <t>영업이익</t>
        </is>
      </c>
      <c r="B36" s="55" t="n">
        <v>365.65</v>
      </c>
    </row>
    <row r="37">
      <c r="A37" s="54" t="inlineStr">
        <is>
          <t>이자수익</t>
        </is>
      </c>
      <c r="B37" s="55" t="n">
        <v>128.54</v>
      </c>
    </row>
    <row r="38">
      <c r="A38" s="54" t="inlineStr">
        <is>
          <t>배당수익</t>
        </is>
      </c>
      <c r="B38" s="55" t="n">
        <v>7.23</v>
      </c>
    </row>
    <row r="39">
      <c r="A39" s="54" t="inlineStr">
        <is>
          <t>영업외수익_기타</t>
        </is>
      </c>
      <c r="B39" s="55" t="n">
        <v>9.609999999999999</v>
      </c>
    </row>
    <row r="40">
      <c r="A40" s="54" t="inlineStr">
        <is>
          <t>영업외수익</t>
        </is>
      </c>
      <c r="B40" s="55" t="n">
        <v>145.39</v>
      </c>
    </row>
    <row r="41">
      <c r="A41" s="54" t="inlineStr">
        <is>
          <t>이자비용</t>
        </is>
      </c>
      <c r="B41" s="55" t="n">
        <v>0.79</v>
      </c>
    </row>
    <row r="42">
      <c r="A42" s="54" t="inlineStr">
        <is>
          <t>환차손</t>
        </is>
      </c>
      <c r="B42" s="55" t="n">
        <v>183.87</v>
      </c>
    </row>
    <row r="43">
      <c r="A43" s="54" t="inlineStr">
        <is>
          <t>영업외비용_기타</t>
        </is>
      </c>
      <c r="B43" s="55" t="n">
        <v>23.89</v>
      </c>
    </row>
    <row r="44">
      <c r="A44" s="54" t="inlineStr">
        <is>
          <t>영업외비용</t>
        </is>
      </c>
      <c r="B44" s="55" t="n">
        <v>208.56</v>
      </c>
    </row>
    <row r="45">
      <c r="A45" s="54" t="inlineStr">
        <is>
          <t>경상이익</t>
        </is>
      </c>
      <c r="B45" s="55" t="n">
        <v>302.48</v>
      </c>
    </row>
    <row r="46">
      <c r="A46" s="54" t="inlineStr">
        <is>
          <t>특별이익</t>
        </is>
      </c>
      <c r="B46" s="57" t="n">
        <v>0</v>
      </c>
    </row>
    <row r="47">
      <c r="A47" s="54" t="inlineStr">
        <is>
          <t>공장재건축관련비용</t>
        </is>
      </c>
      <c r="B47" s="55" t="n">
        <v>1.41</v>
      </c>
    </row>
    <row r="48">
      <c r="A48" s="54" t="inlineStr">
        <is>
          <t>특별손실</t>
        </is>
      </c>
      <c r="B48" s="55" t="n">
        <v>1.41</v>
      </c>
    </row>
    <row r="49">
      <c r="A49" s="54" t="inlineStr">
        <is>
          <t>세전이익</t>
        </is>
      </c>
      <c r="B49" s="55" t="n">
        <v>301.07</v>
      </c>
    </row>
    <row r="50">
      <c r="A50" s="54" t="inlineStr">
        <is>
          <t>법인세등</t>
        </is>
      </c>
      <c r="B50" s="55" t="n">
        <v>139.02</v>
      </c>
    </row>
    <row r="51">
      <c r="A51" s="54" t="inlineStr">
        <is>
          <t>순이익_지배</t>
        </is>
      </c>
      <c r="B51" s="55" t="n">
        <v>161.05</v>
      </c>
    </row>
    <row r="52">
      <c r="A52" s="54" t="inlineStr">
        <is>
          <t>EPS</t>
        </is>
      </c>
      <c r="B52" s="55" t="n">
        <v>183.16</v>
      </c>
    </row>
    <row r="53">
      <c r="A53" s="54" t="inlineStr">
        <is>
          <t>감가상각비</t>
        </is>
      </c>
      <c r="B53" s="55" t="n">
        <v>197.42</v>
      </c>
    </row>
    <row r="55">
      <c r="A55" s="52" t="inlineStr">
        <is>
          <t>this results · 3Q standalone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</row>
    <row r="56">
      <c r="A56" s="53" t="inlineStr">
        <is>
          <t>항목</t>
        </is>
      </c>
      <c r="B56" s="53" t="inlineStr">
        <is>
          <t>값</t>
        </is>
      </c>
      <c r="L56" s="53" t="inlineStr">
        <is>
          <t>출처</t>
        </is>
      </c>
    </row>
    <row r="57">
      <c r="A57" s="54" t="inlineStr">
        <is>
          <t>매출</t>
        </is>
      </c>
      <c r="B57" s="55" t="n">
        <v>1281.9</v>
      </c>
      <c r="L57" s="56" t="inlineStr">
        <is>
          <t>2단계 보고서 자료(회사 설명회 자료·공시)</t>
        </is>
      </c>
    </row>
    <row r="58">
      <c r="A58" s="54" t="inlineStr">
        <is>
          <t>매출_전년</t>
        </is>
      </c>
      <c r="B58" s="55" t="n">
        <v>1136.1</v>
      </c>
    </row>
    <row r="59">
      <c r="A59" s="54" t="inlineStr">
        <is>
          <t>영업이익</t>
        </is>
      </c>
      <c r="B59" s="55" t="n">
        <v>172.8</v>
      </c>
    </row>
    <row r="60">
      <c r="A60" s="54" t="inlineStr">
        <is>
          <t>영업이익_전년</t>
        </is>
      </c>
      <c r="B60" s="55" t="n">
        <v>84.40000000000001</v>
      </c>
    </row>
    <row r="61">
      <c r="A61" s="54" t="inlineStr">
        <is>
          <t>순이익</t>
        </is>
      </c>
      <c r="B61" s="55" t="n">
        <v>120.7</v>
      </c>
    </row>
    <row r="62">
      <c r="A62" s="54" t="inlineStr">
        <is>
          <t>순이익_전년</t>
        </is>
      </c>
      <c r="B62" s="55" t="n">
        <v>121.4</v>
      </c>
    </row>
    <row r="63">
      <c r="A63" s="54" t="inlineStr">
        <is>
          <t>EPS_근사</t>
        </is>
      </c>
      <c r="B63" s="55" t="n">
        <v>143.29</v>
      </c>
    </row>
    <row r="64">
      <c r="A64" s="54" t="inlineStr">
        <is>
          <t>EPS_전년</t>
        </is>
      </c>
      <c r="B64" s="55" t="n">
        <v>138.26</v>
      </c>
    </row>
    <row r="66">
      <c r="A66" s="52" t="inlineStr">
        <is>
          <t>this results · bs 9m</t>
        </is>
      </c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</row>
    <row r="67">
      <c r="A67" s="53" t="inlineStr">
        <is>
          <t>항목</t>
        </is>
      </c>
      <c r="B67" s="53" t="inlineStr">
        <is>
          <t>값</t>
        </is>
      </c>
      <c r="L67" s="53" t="inlineStr">
        <is>
          <t>출처</t>
        </is>
      </c>
    </row>
    <row r="68">
      <c r="A68" s="54" t="inlineStr">
        <is>
          <t>현금예금</t>
        </is>
      </c>
      <c r="B68" s="55" t="n">
        <v>4317.69</v>
      </c>
      <c r="L68" s="56" t="inlineStr">
        <is>
          <t>2단계 보고서 자료(회사 설명회 자료·공시)</t>
        </is>
      </c>
    </row>
    <row r="69">
      <c r="A69" s="54" t="inlineStr">
        <is>
          <t>총자산</t>
        </is>
      </c>
      <c r="B69" s="55" t="n">
        <v>9159.280000000001</v>
      </c>
    </row>
    <row r="70">
      <c r="A70" s="54" t="inlineStr">
        <is>
          <t>순자산</t>
        </is>
      </c>
      <c r="B70" s="55" t="n">
        <v>8434.01</v>
      </c>
    </row>
    <row r="71">
      <c r="A71" s="54" t="inlineStr">
        <is>
          <t>자기자본비율</t>
        </is>
      </c>
      <c r="B71" s="55" t="n">
        <v>91.90000000000001</v>
      </c>
    </row>
    <row r="72">
      <c r="A72" s="54" t="inlineStr">
        <is>
          <t>재고(상품·제품+재공품+원재료)</t>
        </is>
      </c>
      <c r="B72" s="55" t="n">
        <v>1366.57</v>
      </c>
    </row>
    <row r="73">
      <c r="A73" s="54" t="inlineStr">
        <is>
          <t>재고_전기말</t>
        </is>
      </c>
      <c r="B73" s="55" t="n">
        <v>1319.96</v>
      </c>
    </row>
    <row r="74">
      <c r="A74" s="54" t="inlineStr">
        <is>
          <t>건물</t>
        </is>
      </c>
      <c r="B74" s="55" t="n">
        <v>1253</v>
      </c>
    </row>
    <row r="75">
      <c r="A75" s="54" t="inlineStr">
        <is>
          <t>건설가계정</t>
        </is>
      </c>
      <c r="B75" s="55" t="n">
        <v>188.82</v>
      </c>
    </row>
    <row r="77">
      <c r="A77" s="52" t="inlineStr">
        <is>
          <t>컨센서스 3Q pre</t>
        </is>
      </c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</row>
    <row r="78">
      <c r="A78" s="53" t="inlineStr">
        <is>
          <t>항목</t>
        </is>
      </c>
      <c r="B78" s="53" t="inlineStr">
        <is>
          <t>값</t>
        </is>
      </c>
      <c r="L78" s="53" t="inlineStr">
        <is>
          <t>출처</t>
        </is>
      </c>
    </row>
    <row r="79">
      <c r="A79" s="54" t="inlineStr">
        <is>
          <t>매출_평균</t>
        </is>
      </c>
      <c r="B79" s="55" t="n">
        <v>1197.2</v>
      </c>
      <c r="L79" s="56" t="inlineStr">
        <is>
          <t>야후 파이낸스 컨센서스(26.10.27 조회, 발표 직전 값)</t>
        </is>
      </c>
    </row>
    <row r="80">
      <c r="A80" s="54" t="inlineStr">
        <is>
          <t>매출_n</t>
        </is>
      </c>
      <c r="B80" s="57" t="n">
        <v>6</v>
      </c>
    </row>
    <row r="81">
      <c r="A81" s="54" t="inlineStr">
        <is>
          <t>EPS_평균</t>
        </is>
      </c>
      <c r="B81" s="55" t="n">
        <v>123.29</v>
      </c>
    </row>
    <row r="82">
      <c r="A82" s="54" t="inlineStr">
        <is>
          <t>EPS 애널리스트 수</t>
        </is>
      </c>
      <c r="B82" s="57" t="n">
        <v>3</v>
      </c>
    </row>
    <row r="84">
      <c r="A84" s="52" t="inlineStr">
        <is>
          <t>컨센서스 · 4Q26</t>
        </is>
      </c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</row>
    <row r="85">
      <c r="A85" s="53" t="inlineStr">
        <is>
          <t>항목</t>
        </is>
      </c>
      <c r="B85" s="53" t="inlineStr">
        <is>
          <t>값</t>
        </is>
      </c>
      <c r="L85" s="53" t="inlineStr">
        <is>
          <t>출처</t>
        </is>
      </c>
    </row>
    <row r="86">
      <c r="A86" s="54" t="inlineStr">
        <is>
          <t>매출</t>
        </is>
      </c>
      <c r="B86" s="55" t="n">
        <v>1247.1</v>
      </c>
      <c r="L86" s="56" t="inlineStr">
        <is>
          <t>2단계 보고서 자료(회사 설명회 자료·공시)</t>
        </is>
      </c>
    </row>
    <row r="87">
      <c r="A87" s="54" t="inlineStr">
        <is>
          <t>EPS</t>
        </is>
      </c>
      <c r="B87" s="55" t="n">
        <v>119.03</v>
      </c>
    </row>
    <row r="88">
      <c r="A88" s="54" t="inlineStr">
        <is>
          <t>애널리스트 수</t>
        </is>
      </c>
      <c r="B88" s="57" t="n">
        <v>6</v>
      </c>
    </row>
    <row r="90">
      <c r="A90" s="52" t="inlineStr">
        <is>
          <t>컨센서스 · FY2026</t>
        </is>
      </c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</row>
    <row r="91">
      <c r="A91" s="53" t="inlineStr">
        <is>
          <t>항목</t>
        </is>
      </c>
      <c r="B91" s="53" t="inlineStr">
        <is>
          <t>값</t>
        </is>
      </c>
      <c r="L91" s="53" t="inlineStr">
        <is>
          <t>출처</t>
        </is>
      </c>
    </row>
    <row r="92">
      <c r="A92" s="54" t="inlineStr">
        <is>
          <t>매출</t>
        </is>
      </c>
      <c r="B92" s="55" t="n">
        <v>4914.5</v>
      </c>
      <c r="L92" s="56" t="inlineStr">
        <is>
          <t>2단계 보고서 자료(회사 설명회 자료·공시)</t>
        </is>
      </c>
    </row>
    <row r="93">
      <c r="A93" s="54" t="inlineStr">
        <is>
          <t>EPS</t>
        </is>
      </c>
      <c r="B93" s="55" t="n">
        <v>570.13</v>
      </c>
    </row>
    <row r="94">
      <c r="A94" s="54" t="inlineStr">
        <is>
          <t>EPS 애널리스트 수</t>
        </is>
      </c>
      <c r="B94" s="57" t="n">
        <v>10</v>
      </c>
    </row>
    <row r="95">
      <c r="A95" s="54" t="inlineStr">
        <is>
          <t>매출_n</t>
        </is>
      </c>
      <c r="B95" s="57" t="n">
        <v>11</v>
      </c>
    </row>
    <row r="97">
      <c r="A97" s="52" t="inlineStr">
        <is>
          <t>컨센서스 · FY2027</t>
        </is>
      </c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</row>
    <row r="98">
      <c r="A98" s="53" t="inlineStr">
        <is>
          <t>항목</t>
        </is>
      </c>
      <c r="B98" s="53" t="inlineStr">
        <is>
          <t>값</t>
        </is>
      </c>
      <c r="L98" s="53" t="inlineStr">
        <is>
          <t>출처</t>
        </is>
      </c>
    </row>
    <row r="99">
      <c r="A99" s="54" t="inlineStr">
        <is>
          <t>매출</t>
        </is>
      </c>
      <c r="B99" s="55" t="n">
        <v>5251.3</v>
      </c>
      <c r="L99" s="56" t="inlineStr">
        <is>
          <t>2단계 보고서 자료(회사 설명회 자료·공시)</t>
        </is>
      </c>
    </row>
    <row r="100">
      <c r="A100" s="54" t="inlineStr">
        <is>
          <t>EPS</t>
        </is>
      </c>
      <c r="B100" s="55" t="n">
        <v>731.52</v>
      </c>
    </row>
    <row r="101">
      <c r="A101" s="54" t="inlineStr">
        <is>
          <t>애널리스트 수</t>
        </is>
      </c>
      <c r="B101" s="57" t="n">
        <v>11</v>
      </c>
    </row>
    <row r="103">
      <c r="A103" s="52" t="inlineStr">
        <is>
          <t>consensus · 목표주가</t>
        </is>
      </c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</row>
    <row r="104">
      <c r="A104" s="53" t="inlineStr">
        <is>
          <t>항목</t>
        </is>
      </c>
      <c r="B104" s="53" t="inlineStr">
        <is>
          <t>값</t>
        </is>
      </c>
      <c r="L104" s="53" t="inlineStr">
        <is>
          <t>출처</t>
        </is>
      </c>
    </row>
    <row r="105">
      <c r="A105" s="54" t="inlineStr">
        <is>
          <t>평균</t>
        </is>
      </c>
      <c r="B105" s="55" t="n">
        <v>19314.5</v>
      </c>
      <c r="L105" s="56" t="inlineStr">
        <is>
          <t>2단계 보고서 자료(회사 설명회 자료·공시)</t>
        </is>
      </c>
    </row>
    <row r="106">
      <c r="A106" s="54" t="inlineStr">
        <is>
          <t>중간</t>
        </is>
      </c>
      <c r="B106" s="57" t="n">
        <v>19750</v>
      </c>
    </row>
    <row r="107">
      <c r="A107" s="54" t="inlineStr">
        <is>
          <t>최고</t>
        </is>
      </c>
      <c r="B107" s="57" t="n">
        <v>23500</v>
      </c>
    </row>
    <row r="108">
      <c r="A108" s="54" t="inlineStr">
        <is>
          <t>최저</t>
        </is>
      </c>
      <c r="B108" s="57" t="n">
        <v>16000</v>
      </c>
    </row>
    <row r="109">
      <c r="A109" s="54" t="inlineStr">
        <is>
          <t>애널리스트 수</t>
        </is>
      </c>
      <c r="B109" s="57" t="n">
        <v>10</v>
      </c>
    </row>
    <row r="111">
      <c r="A111" s="52" t="inlineStr">
        <is>
          <t>annual EPS dps</t>
        </is>
      </c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</row>
    <row r="112">
      <c r="A112" s="53" t="inlineStr">
        <is>
          <t>항목</t>
        </is>
      </c>
      <c r="B112" s="53" t="inlineStr">
        <is>
          <t>2016</t>
        </is>
      </c>
      <c r="C112" s="53" t="inlineStr">
        <is>
          <t>2017</t>
        </is>
      </c>
      <c r="D112" s="53" t="inlineStr">
        <is>
          <t>2018</t>
        </is>
      </c>
      <c r="E112" s="53" t="inlineStr">
        <is>
          <t>2019</t>
        </is>
      </c>
      <c r="F112" s="53" t="inlineStr">
        <is>
          <t>2020</t>
        </is>
      </c>
      <c r="G112" s="53" t="inlineStr">
        <is>
          <t>2021</t>
        </is>
      </c>
      <c r="H112" s="53" t="inlineStr">
        <is>
          <t>2022</t>
        </is>
      </c>
      <c r="I112" s="53" t="inlineStr">
        <is>
          <t>2023</t>
        </is>
      </c>
      <c r="J112" s="53" t="inlineStr">
        <is>
          <t>2024</t>
        </is>
      </c>
      <c r="K112" s="53" t="inlineStr">
        <is>
          <t>2025</t>
        </is>
      </c>
      <c r="L112" s="53" t="inlineStr">
        <is>
          <t>출처</t>
        </is>
      </c>
    </row>
    <row r="113">
      <c r="A113" s="54" t="inlineStr">
        <is>
          <t>labels</t>
        </is>
      </c>
      <c r="B113" s="57" t="n">
        <v>2016</v>
      </c>
      <c r="C113" s="57" t="n">
        <v>2017</v>
      </c>
      <c r="D113" s="57" t="n">
        <v>2018</v>
      </c>
      <c r="E113" s="57" t="n">
        <v>2019</v>
      </c>
      <c r="F113" s="57" t="n">
        <v>2020</v>
      </c>
      <c r="G113" s="57" t="n">
        <v>2021</v>
      </c>
      <c r="H113" s="57" t="n">
        <v>2022</v>
      </c>
      <c r="I113" s="57" t="n">
        <v>2023</v>
      </c>
      <c r="J113" s="57" t="n">
        <v>2024</v>
      </c>
      <c r="K113" s="57" t="n">
        <v>2025</v>
      </c>
      <c r="L113" s="56" t="inlineStr">
        <is>
          <t>2단계 보고서 자료(회사 설명회 자료·공시)</t>
        </is>
      </c>
    </row>
    <row r="114">
      <c r="A114" s="54" t="inlineStr">
        <is>
          <t>EPS</t>
        </is>
      </c>
      <c r="B114" s="55" t="n">
        <v>549.76</v>
      </c>
      <c r="C114" s="55" t="n">
        <v>414.69</v>
      </c>
      <c r="D114" s="55" t="n">
        <v>581.77</v>
      </c>
      <c r="E114" s="55" t="n">
        <v>559.15</v>
      </c>
      <c r="F114" s="55" t="n">
        <v>684.71</v>
      </c>
      <c r="G114" s="55" t="n">
        <v>1252.62</v>
      </c>
      <c r="H114" s="55" t="n">
        <v>1408.22</v>
      </c>
      <c r="I114" s="55" t="n">
        <v>676.77</v>
      </c>
      <c r="J114" s="55" t="n">
        <v>853.36</v>
      </c>
      <c r="K114" s="55" t="n">
        <v>388.17</v>
      </c>
    </row>
    <row r="115">
      <c r="A115" s="54" t="inlineStr">
        <is>
          <t>dps</t>
        </is>
      </c>
      <c r="B115" s="57" t="n">
        <v>155</v>
      </c>
      <c r="C115" s="57" t="n">
        <v>155</v>
      </c>
      <c r="D115" s="57" t="n">
        <v>155</v>
      </c>
      <c r="E115" s="57" t="n">
        <v>155</v>
      </c>
      <c r="F115" s="57" t="n">
        <v>355</v>
      </c>
      <c r="G115" s="57" t="n">
        <v>235</v>
      </c>
      <c r="H115" s="57" t="n">
        <v>260</v>
      </c>
      <c r="I115" s="57" t="n">
        <v>285</v>
      </c>
      <c r="J115" s="57" t="n">
        <v>309</v>
      </c>
      <c r="K115" s="57" t="n">
        <v>339</v>
      </c>
    </row>
    <row r="116">
      <c r="A116" s="54" t="inlineStr">
        <is>
          <t>ordinary</t>
        </is>
      </c>
      <c r="B116" s="55" t="n">
        <v>700</v>
      </c>
      <c r="C116" s="55" t="n">
        <v>557.5</v>
      </c>
      <c r="D116" s="55" t="n">
        <v>735.9</v>
      </c>
      <c r="E116" s="55" t="n">
        <v>694.7</v>
      </c>
      <c r="F116" s="55" t="n">
        <v>814.7</v>
      </c>
      <c r="G116" s="55" t="n">
        <v>1525.6</v>
      </c>
      <c r="H116" s="55" t="n">
        <v>1765.7</v>
      </c>
      <c r="I116" s="55" t="n">
        <v>1033.7</v>
      </c>
      <c r="J116" s="55" t="n">
        <v>986.7</v>
      </c>
      <c r="K116" s="55" t="n">
        <v>470.3</v>
      </c>
    </row>
    <row r="118">
      <c r="A118" s="52" t="inlineStr">
        <is>
          <t>segments_q · 2024.1Q</t>
        </is>
      </c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</row>
    <row r="119">
      <c r="A119" s="53" t="inlineStr">
        <is>
          <t>항목</t>
        </is>
      </c>
      <c r="B119" s="53" t="inlineStr">
        <is>
          <t>값</t>
        </is>
      </c>
      <c r="L119" s="53" t="inlineStr">
        <is>
          <t>출처</t>
        </is>
      </c>
    </row>
    <row r="120">
      <c r="A120" s="54" t="inlineStr">
        <is>
          <t>자전거부품_매출</t>
        </is>
      </c>
      <c r="B120" s="55" t="n">
        <v>760.9</v>
      </c>
      <c r="L120" s="56" t="inlineStr">
        <is>
          <t>2단계 보고서 자료(회사 설명회 자료·공시)</t>
        </is>
      </c>
    </row>
    <row r="121">
      <c r="A121" s="54" t="inlineStr">
        <is>
          <t>낚시용품_매출</t>
        </is>
      </c>
      <c r="B121" s="55" t="n">
        <v>243.7</v>
      </c>
    </row>
    <row r="122">
      <c r="A122" s="54" t="inlineStr">
        <is>
          <t>자전거부품_영업이익</t>
        </is>
      </c>
      <c r="B122" s="55" t="n">
        <v>104.7</v>
      </c>
    </row>
    <row r="123">
      <c r="A123" s="54" t="inlineStr">
        <is>
          <t>낚시용품_영업이익</t>
        </is>
      </c>
      <c r="B123" s="55" t="n">
        <v>29.6</v>
      </c>
    </row>
    <row r="125">
      <c r="A125" s="52" t="inlineStr">
        <is>
          <t>segments_q · 2024.2Q</t>
        </is>
      </c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A126" s="53" t="inlineStr">
        <is>
          <t>항목</t>
        </is>
      </c>
      <c r="B126" s="53" t="inlineStr">
        <is>
          <t>값</t>
        </is>
      </c>
      <c r="L126" s="53" t="inlineStr">
        <is>
          <t>출처</t>
        </is>
      </c>
    </row>
    <row r="127">
      <c r="A127" s="54" t="inlineStr">
        <is>
          <t>자전거부품_매출</t>
        </is>
      </c>
      <c r="B127" s="55" t="n">
        <v>865</v>
      </c>
      <c r="L127" s="56" t="inlineStr">
        <is>
          <t>2단계 보고서 자료(회사 설명회 자료·공시)</t>
        </is>
      </c>
    </row>
    <row r="128">
      <c r="A128" s="54" t="inlineStr">
        <is>
          <t>낚시용품_매출</t>
        </is>
      </c>
      <c r="B128" s="55" t="n">
        <v>297</v>
      </c>
    </row>
    <row r="129">
      <c r="A129" s="54" t="inlineStr">
        <is>
          <t>자전거부품_영업이익</t>
        </is>
      </c>
      <c r="B129" s="55" t="n">
        <v>138.6</v>
      </c>
    </row>
    <row r="130">
      <c r="A130" s="54" t="inlineStr">
        <is>
          <t>낚시용품_영업이익</t>
        </is>
      </c>
      <c r="B130" s="55" t="n">
        <v>36.9</v>
      </c>
    </row>
    <row r="132">
      <c r="A132" s="52" t="inlineStr">
        <is>
          <t>segments_q · 2024.3Q</t>
        </is>
      </c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A133" s="53" t="inlineStr">
        <is>
          <t>항목</t>
        </is>
      </c>
      <c r="B133" s="53" t="inlineStr">
        <is>
          <t>값</t>
        </is>
      </c>
      <c r="L133" s="53" t="inlineStr">
        <is>
          <t>출처</t>
        </is>
      </c>
    </row>
    <row r="134">
      <c r="A134" s="54" t="inlineStr">
        <is>
          <t>자전거부품_매출</t>
        </is>
      </c>
      <c r="B134" s="55" t="n">
        <v>912.7</v>
      </c>
      <c r="L134" s="56" t="inlineStr">
        <is>
          <t>2단계 보고서 자료(회사 설명회 자료·공시)</t>
        </is>
      </c>
    </row>
    <row r="135">
      <c r="A135" s="54" t="inlineStr">
        <is>
          <t>낚시용품_매출</t>
        </is>
      </c>
      <c r="B135" s="55" t="n">
        <v>266.2</v>
      </c>
    </row>
    <row r="136">
      <c r="A136" s="54" t="inlineStr">
        <is>
          <t>자전거부품_영업이익</t>
        </is>
      </c>
      <c r="B136" s="55" t="n">
        <v>170.1</v>
      </c>
    </row>
    <row r="137">
      <c r="A137" s="54" t="inlineStr">
        <is>
          <t>낚시용품_영업이익</t>
        </is>
      </c>
      <c r="B137" s="55" t="n">
        <v>26.7</v>
      </c>
    </row>
    <row r="139">
      <c r="A139" s="52" t="inlineStr">
        <is>
          <t>segments_q · 2024.4Q</t>
        </is>
      </c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>
      <c r="A140" s="53" t="inlineStr">
        <is>
          <t>항목</t>
        </is>
      </c>
      <c r="B140" s="53" t="inlineStr">
        <is>
          <t>값</t>
        </is>
      </c>
      <c r="L140" s="53" t="inlineStr">
        <is>
          <t>출처</t>
        </is>
      </c>
    </row>
    <row r="141">
      <c r="A141" s="54" t="inlineStr">
        <is>
          <t>자전거부품_매출</t>
        </is>
      </c>
      <c r="B141" s="55" t="n">
        <v>916.9</v>
      </c>
      <c r="L141" s="56" t="inlineStr">
        <is>
          <t>2단계 보고서 자료(회사 설명회 자료·공시)</t>
        </is>
      </c>
    </row>
    <row r="142">
      <c r="A142" s="54" t="inlineStr">
        <is>
          <t>낚시용품_매출</t>
        </is>
      </c>
      <c r="B142" s="55" t="n">
        <v>243</v>
      </c>
    </row>
    <row r="143">
      <c r="A143" s="54" t="inlineStr">
        <is>
          <t>자전거부품_영업이익</t>
        </is>
      </c>
      <c r="B143" s="55" t="n">
        <v>128.2</v>
      </c>
    </row>
    <row r="144">
      <c r="A144" s="54" t="inlineStr">
        <is>
          <t>낚시용품_영업이익</t>
        </is>
      </c>
      <c r="B144" s="55" t="n">
        <v>16.1</v>
      </c>
    </row>
    <row r="146">
      <c r="A146" s="52" t="inlineStr">
        <is>
          <t>segments_q · 2025.1Q</t>
        </is>
      </c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</row>
    <row r="147">
      <c r="A147" s="53" t="inlineStr">
        <is>
          <t>항목</t>
        </is>
      </c>
      <c r="B147" s="53" t="inlineStr">
        <is>
          <t>값</t>
        </is>
      </c>
      <c r="L147" s="53" t="inlineStr">
        <is>
          <t>출처</t>
        </is>
      </c>
    </row>
    <row r="148">
      <c r="A148" s="54" t="inlineStr">
        <is>
          <t>자전거부품_매출</t>
        </is>
      </c>
      <c r="B148" s="55" t="n">
        <v>879.7</v>
      </c>
      <c r="L148" s="56" t="inlineStr">
        <is>
          <t>2단계 보고서 자료(회사 설명회 자료·공시)</t>
        </is>
      </c>
    </row>
    <row r="149">
      <c r="A149" s="54" t="inlineStr">
        <is>
          <t>낚시용품_매출</t>
        </is>
      </c>
      <c r="B149" s="55" t="n">
        <v>254.7</v>
      </c>
    </row>
    <row r="150">
      <c r="A150" s="54" t="inlineStr">
        <is>
          <t>자전거부품_영업이익</t>
        </is>
      </c>
      <c r="B150" s="55" t="n">
        <v>145</v>
      </c>
    </row>
    <row r="151">
      <c r="A151" s="54" t="inlineStr">
        <is>
          <t>낚시용품_영업이익</t>
        </is>
      </c>
      <c r="B151" s="55" t="n">
        <v>16.4</v>
      </c>
    </row>
    <row r="153">
      <c r="A153" s="52" t="inlineStr">
        <is>
          <t>segments_q · 2025.2Q</t>
        </is>
      </c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</row>
    <row r="154">
      <c r="A154" s="53" t="inlineStr">
        <is>
          <t>항목</t>
        </is>
      </c>
      <c r="B154" s="53" t="inlineStr">
        <is>
          <t>값</t>
        </is>
      </c>
      <c r="L154" s="53" t="inlineStr">
        <is>
          <t>출처</t>
        </is>
      </c>
    </row>
    <row r="155">
      <c r="A155" s="54" t="inlineStr">
        <is>
          <t>자전거부품_매출</t>
        </is>
      </c>
      <c r="B155" s="55" t="n">
        <v>934.5</v>
      </c>
      <c r="L155" s="56" t="inlineStr">
        <is>
          <t>2단계 보고서 자료(회사 설명회 자료·공시)</t>
        </is>
      </c>
    </row>
    <row r="156">
      <c r="A156" s="54" t="inlineStr">
        <is>
          <t>낚시용품_매출</t>
        </is>
      </c>
      <c r="B156" s="55" t="n">
        <v>302.8</v>
      </c>
    </row>
    <row r="157">
      <c r="A157" s="54" t="inlineStr">
        <is>
          <t>자전거부품_영업이익</t>
        </is>
      </c>
      <c r="B157" s="55" t="n">
        <v>91.3</v>
      </c>
    </row>
    <row r="158">
      <c r="A158" s="54" t="inlineStr">
        <is>
          <t>낚시용품_영업이익</t>
        </is>
      </c>
      <c r="B158" s="55" t="n">
        <v>28.6</v>
      </c>
    </row>
    <row r="160">
      <c r="A160" s="52" t="inlineStr">
        <is>
          <t>segments_q · 2025.3Q</t>
        </is>
      </c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</row>
    <row r="161">
      <c r="A161" s="53" t="inlineStr">
        <is>
          <t>항목</t>
        </is>
      </c>
      <c r="B161" s="53" t="inlineStr">
        <is>
          <t>값</t>
        </is>
      </c>
      <c r="L161" s="53" t="inlineStr">
        <is>
          <t>출처</t>
        </is>
      </c>
    </row>
    <row r="162">
      <c r="A162" s="54" t="inlineStr">
        <is>
          <t>자전거부품_매출</t>
        </is>
      </c>
      <c r="B162" s="55" t="n">
        <v>848.2</v>
      </c>
      <c r="L162" s="56" t="inlineStr">
        <is>
          <t>2단계 보고서 자료(회사 설명회 자료·공시)</t>
        </is>
      </c>
    </row>
    <row r="163">
      <c r="A163" s="54" t="inlineStr">
        <is>
          <t>낚시용품_매출</t>
        </is>
      </c>
      <c r="B163" s="55" t="n">
        <v>286.8</v>
      </c>
    </row>
    <row r="164">
      <c r="A164" s="54" t="inlineStr">
        <is>
          <t>자전거부품_영업이익</t>
        </is>
      </c>
      <c r="B164" s="55" t="n">
        <v>65.3</v>
      </c>
    </row>
    <row r="165">
      <c r="A165" s="54" t="inlineStr">
        <is>
          <t>낚시용품_영업이익</t>
        </is>
      </c>
      <c r="B165" s="55" t="n">
        <v>19.2</v>
      </c>
    </row>
    <row r="167">
      <c r="A167" s="52" t="inlineStr">
        <is>
          <t>segments_q · 2025.4Q</t>
        </is>
      </c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</row>
    <row r="168">
      <c r="A168" s="53" t="inlineStr">
        <is>
          <t>항목</t>
        </is>
      </c>
      <c r="B168" s="53" t="inlineStr">
        <is>
          <t>값</t>
        </is>
      </c>
      <c r="L168" s="53" t="inlineStr">
        <is>
          <t>출처</t>
        </is>
      </c>
    </row>
    <row r="169">
      <c r="A169" s="54" t="inlineStr">
        <is>
          <t>자전거부품_매출</t>
        </is>
      </c>
      <c r="B169" s="55" t="n">
        <v>887.3</v>
      </c>
      <c r="L169" s="56" t="inlineStr">
        <is>
          <t>2단계 보고서 자료(회사 설명회 자료·공시)</t>
        </is>
      </c>
    </row>
    <row r="170">
      <c r="A170" s="54" t="inlineStr">
        <is>
          <t>낚시용품_매출</t>
        </is>
      </c>
      <c r="B170" s="55" t="n">
        <v>264</v>
      </c>
    </row>
    <row r="171">
      <c r="A171" s="54" t="inlineStr">
        <is>
          <t>자전거부품_영업이익</t>
        </is>
      </c>
      <c r="B171" s="55" t="n">
        <v>126.8</v>
      </c>
    </row>
    <row r="172">
      <c r="A172" s="54" t="inlineStr">
        <is>
          <t>낚시용품_영업이익</t>
        </is>
      </c>
      <c r="B172" s="55" t="n">
        <v>24.6</v>
      </c>
    </row>
    <row r="174">
      <c r="A174" s="52" t="inlineStr">
        <is>
          <t>segments_q · 2026.1Q</t>
        </is>
      </c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</row>
    <row r="175">
      <c r="A175" s="53" t="inlineStr">
        <is>
          <t>항목</t>
        </is>
      </c>
      <c r="B175" s="53" t="inlineStr">
        <is>
          <t>값</t>
        </is>
      </c>
      <c r="L175" s="53" t="inlineStr">
        <is>
          <t>출처</t>
        </is>
      </c>
    </row>
    <row r="176">
      <c r="A176" s="54" t="inlineStr">
        <is>
          <t>자전거부품_매출</t>
        </is>
      </c>
      <c r="B176" s="55" t="n">
        <v>873.6</v>
      </c>
      <c r="L176" s="56" t="inlineStr">
        <is>
          <t>2단계 보고서 자료(회사 설명회 자료·공시)</t>
        </is>
      </c>
    </row>
    <row r="177">
      <c r="A177" s="54" t="inlineStr">
        <is>
          <t>낚시용품_매출</t>
        </is>
      </c>
      <c r="B177" s="55" t="n">
        <v>301.8</v>
      </c>
    </row>
    <row r="178">
      <c r="A178" s="54" t="inlineStr">
        <is>
          <t>자전거부품_영업이익</t>
        </is>
      </c>
      <c r="B178" s="55" t="n">
        <v>77.90000000000001</v>
      </c>
    </row>
    <row r="179">
      <c r="A179" s="54" t="inlineStr">
        <is>
          <t>낚시용품_영업이익</t>
        </is>
      </c>
      <c r="B179" s="55" t="n">
        <v>26</v>
      </c>
    </row>
    <row r="181">
      <c r="A181" s="52" t="inlineStr">
        <is>
          <t>segments_q · 2026.2Q</t>
        </is>
      </c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</row>
    <row r="182">
      <c r="A182" s="53" t="inlineStr">
        <is>
          <t>항목</t>
        </is>
      </c>
      <c r="B182" s="53" t="inlineStr">
        <is>
          <t>값</t>
        </is>
      </c>
      <c r="L182" s="53" t="inlineStr">
        <is>
          <t>출처</t>
        </is>
      </c>
    </row>
    <row r="183">
      <c r="A183" s="54" t="inlineStr">
        <is>
          <t>자전거부품_매출</t>
        </is>
      </c>
      <c r="B183" s="55" t="n">
        <v>940.2</v>
      </c>
      <c r="L183" s="56" t="inlineStr">
        <is>
          <t>2단계 보고서 자료(회사 설명회 자료·공시)</t>
        </is>
      </c>
    </row>
    <row r="184">
      <c r="A184" s="54" t="inlineStr">
        <is>
          <t>낚시용품_매출</t>
        </is>
      </c>
      <c r="B184" s="55" t="n">
        <v>352.9</v>
      </c>
    </row>
    <row r="185">
      <c r="A185" s="54" t="inlineStr">
        <is>
          <t>자전거부품_영업이익</t>
        </is>
      </c>
      <c r="B185" s="55" t="n">
        <v>122.7</v>
      </c>
    </row>
    <row r="186">
      <c r="A186" s="54" t="inlineStr">
        <is>
          <t>낚시용품_영업이익</t>
        </is>
      </c>
      <c r="B186" s="55" t="n">
        <v>45.8</v>
      </c>
    </row>
    <row r="188">
      <c r="A188" s="52" t="inlineStr">
        <is>
          <t>segments_q · 2026.3Q</t>
        </is>
      </c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</row>
    <row r="189">
      <c r="A189" s="53" t="inlineStr">
        <is>
          <t>항목</t>
        </is>
      </c>
      <c r="B189" s="53" t="inlineStr">
        <is>
          <t>값</t>
        </is>
      </c>
      <c r="L189" s="53" t="inlineStr">
        <is>
          <t>출처</t>
        </is>
      </c>
    </row>
    <row r="190">
      <c r="A190" s="54" t="inlineStr">
        <is>
          <t>자전거부품_매출</t>
        </is>
      </c>
      <c r="B190" s="55" t="n">
        <v>969.8</v>
      </c>
      <c r="L190" s="56" t="inlineStr">
        <is>
          <t>2단계 보고서 자료(회사 설명회 자료·공시)</t>
        </is>
      </c>
    </row>
    <row r="191">
      <c r="A191" s="54" t="inlineStr">
        <is>
          <t>낚시용품_매출</t>
        </is>
      </c>
      <c r="B191" s="55" t="n">
        <v>311.1</v>
      </c>
    </row>
    <row r="192">
      <c r="A192" s="54" t="inlineStr">
        <is>
          <t>자전거부품_영업이익</t>
        </is>
      </c>
      <c r="B192" s="55" t="n">
        <v>133.8</v>
      </c>
    </row>
    <row r="193">
      <c r="A193" s="54" t="inlineStr">
        <is>
          <t>낚시용품_영업이익</t>
        </is>
      </c>
      <c r="B193" s="55" t="n">
        <v>39</v>
      </c>
    </row>
    <row r="195">
      <c r="A195" s="52" t="inlineStr">
        <is>
          <t>segments_q · 2023.4Q</t>
        </is>
      </c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</row>
    <row r="196">
      <c r="A196" s="53" t="inlineStr">
        <is>
          <t>항목</t>
        </is>
      </c>
      <c r="B196" s="53" t="inlineStr">
        <is>
          <t>값</t>
        </is>
      </c>
      <c r="L196" s="53" t="inlineStr">
        <is>
          <t>출처</t>
        </is>
      </c>
    </row>
    <row r="197">
      <c r="A197" s="54" t="inlineStr">
        <is>
          <t>자전거부품_매출</t>
        </is>
      </c>
      <c r="B197" s="55" t="n">
        <v>752.4</v>
      </c>
      <c r="L197" s="56" t="inlineStr">
        <is>
          <t>2단계 보고서 자료(회사 설명회 자료·공시)</t>
        </is>
      </c>
    </row>
    <row r="198">
      <c r="A198" s="54" t="inlineStr">
        <is>
          <t>낚시용품_매출</t>
        </is>
      </c>
      <c r="B198" s="55" t="n">
        <v>237.5</v>
      </c>
    </row>
    <row r="199">
      <c r="A199" s="54" t="inlineStr">
        <is>
          <t>자전거부품_영업이익</t>
        </is>
      </c>
      <c r="B199" s="55" t="n">
        <v>93.3</v>
      </c>
    </row>
    <row r="200">
      <c r="A200" s="54" t="inlineStr">
        <is>
          <t>낚시용품_영업이익</t>
        </is>
      </c>
      <c r="B200" s="55" t="n">
        <v>22.1</v>
      </c>
    </row>
    <row r="202">
      <c r="A202" s="52" t="inlineStr">
        <is>
          <t>부문별 a · 2023</t>
        </is>
      </c>
      <c r="B202" s="52" t="n"/>
      <c r="C202" s="52" t="n"/>
      <c r="D202" s="52" t="n"/>
      <c r="E202" s="52" t="n"/>
      <c r="F202" s="52" t="n"/>
      <c r="G202" s="52" t="n"/>
      <c r="H202" s="52" t="n"/>
      <c r="I202" s="52" t="n"/>
      <c r="J202" s="52" t="n"/>
      <c r="K202" s="52" t="n"/>
      <c r="L202" s="52" t="n"/>
    </row>
    <row r="203">
      <c r="A203" s="53" t="inlineStr">
        <is>
          <t>항목</t>
        </is>
      </c>
      <c r="B203" s="53" t="inlineStr">
        <is>
          <t>값</t>
        </is>
      </c>
      <c r="L203" s="53" t="inlineStr">
        <is>
          <t>출처</t>
        </is>
      </c>
    </row>
    <row r="204">
      <c r="A204" s="54" t="inlineStr">
        <is>
          <t>자전거부품_매출</t>
        </is>
      </c>
      <c r="B204" s="55" t="n">
        <v>3646.79</v>
      </c>
      <c r="L204" s="56" t="inlineStr">
        <is>
          <t>2단계 보고서 자료(회사 설명회 자료·공시)</t>
        </is>
      </c>
    </row>
    <row r="205">
      <c r="A205" s="54" t="inlineStr">
        <is>
          <t>낚시용품_매출</t>
        </is>
      </c>
      <c r="B205" s="55" t="n">
        <v>1092.25</v>
      </c>
    </row>
    <row r="206">
      <c r="A206" s="54" t="inlineStr">
        <is>
          <t>자전거부품_영업이익</t>
        </is>
      </c>
      <c r="B206" s="55" t="n">
        <v>652.51</v>
      </c>
    </row>
    <row r="207">
      <c r="A207" s="54" t="inlineStr">
        <is>
          <t>낚시용품_영업이익</t>
        </is>
      </c>
      <c r="B207" s="55" t="n">
        <v>184.13</v>
      </c>
    </row>
    <row r="209">
      <c r="A209" s="52" t="inlineStr">
        <is>
          <t>부문별 a · 2024</t>
        </is>
      </c>
      <c r="B209" s="52" t="n"/>
      <c r="C209" s="52" t="n"/>
      <c r="D209" s="52" t="n"/>
      <c r="E209" s="52" t="n"/>
      <c r="F209" s="52" t="n"/>
      <c r="G209" s="52" t="n"/>
      <c r="H209" s="52" t="n"/>
      <c r="I209" s="52" t="n"/>
      <c r="J209" s="52" t="n"/>
      <c r="K209" s="52" t="n"/>
      <c r="L209" s="52" t="n"/>
    </row>
    <row r="210">
      <c r="A210" s="53" t="inlineStr">
        <is>
          <t>항목</t>
        </is>
      </c>
      <c r="B210" s="53" t="inlineStr">
        <is>
          <t>값</t>
        </is>
      </c>
      <c r="L210" s="53" t="inlineStr">
        <is>
          <t>출처</t>
        </is>
      </c>
    </row>
    <row r="211">
      <c r="A211" s="54" t="inlineStr">
        <is>
          <t>자전거부품_매출</t>
        </is>
      </c>
      <c r="B211" s="55" t="n">
        <v>3455.53</v>
      </c>
      <c r="L211" s="56" t="inlineStr">
        <is>
          <t>2단계 보고서 자료(회사 설명회 자료·공시)</t>
        </is>
      </c>
    </row>
    <row r="212">
      <c r="A212" s="54" t="inlineStr">
        <is>
          <t>낚시용품_매출</t>
        </is>
      </c>
      <c r="B212" s="55" t="n">
        <v>1049.9</v>
      </c>
    </row>
    <row r="213">
      <c r="A213" s="54" t="inlineStr">
        <is>
          <t>자전거부품_영업이익</t>
        </is>
      </c>
      <c r="B213" s="55" t="n">
        <v>541.5700000000001</v>
      </c>
    </row>
    <row r="214">
      <c r="A214" s="54" t="inlineStr">
        <is>
          <t>낚시용품_영업이익</t>
        </is>
      </c>
      <c r="B214" s="55" t="n">
        <v>109.29</v>
      </c>
    </row>
    <row r="216">
      <c r="A216" s="52" t="inlineStr">
        <is>
          <t>부문별 a · 2025</t>
        </is>
      </c>
      <c r="B216" s="52" t="n"/>
      <c r="C216" s="52" t="n"/>
      <c r="D216" s="52" t="n"/>
      <c r="E216" s="52" t="n"/>
      <c r="F216" s="52" t="n"/>
      <c r="G216" s="52" t="n"/>
      <c r="H216" s="52" t="n"/>
      <c r="I216" s="52" t="n"/>
      <c r="J216" s="52" t="n"/>
      <c r="K216" s="52" t="n"/>
      <c r="L216" s="52" t="n"/>
    </row>
    <row r="217">
      <c r="A217" s="53" t="inlineStr">
        <is>
          <t>항목</t>
        </is>
      </c>
      <c r="B217" s="53" t="inlineStr">
        <is>
          <t>값</t>
        </is>
      </c>
      <c r="L217" s="53" t="inlineStr">
        <is>
          <t>출처</t>
        </is>
      </c>
    </row>
    <row r="218">
      <c r="A218" s="54" t="inlineStr">
        <is>
          <t>자전거부품_매출</t>
        </is>
      </c>
      <c r="B218" s="55" t="n">
        <v>3549.72</v>
      </c>
      <c r="L218" s="56" t="inlineStr">
        <is>
          <t>2단계 보고서 자료(회사 설명회 자료·공시)</t>
        </is>
      </c>
    </row>
    <row r="219">
      <c r="A219" s="54" t="inlineStr">
        <is>
          <t>낚시용품_매출</t>
        </is>
      </c>
      <c r="B219" s="55" t="n">
        <v>1108.32</v>
      </c>
    </row>
    <row r="220">
      <c r="A220" s="54" t="inlineStr">
        <is>
          <t>자전거부품_영업이익</t>
        </is>
      </c>
      <c r="B220" s="55" t="n">
        <v>428.41</v>
      </c>
    </row>
    <row r="221">
      <c r="A221" s="54" t="inlineStr">
        <is>
          <t>낚시용품_영업이익</t>
        </is>
      </c>
      <c r="B221" s="55" t="n">
        <v>88.65000000000001</v>
      </c>
    </row>
    <row r="223">
      <c r="A223" s="52" t="inlineStr">
        <is>
          <t>bs annual</t>
        </is>
      </c>
      <c r="B223" s="52" t="n"/>
      <c r="C223" s="52" t="n"/>
      <c r="D223" s="52" t="n"/>
      <c r="E223" s="52" t="n"/>
      <c r="F223" s="52" t="n"/>
      <c r="G223" s="52" t="n"/>
      <c r="H223" s="52" t="n"/>
      <c r="I223" s="52" t="n"/>
      <c r="J223" s="52" t="n"/>
      <c r="K223" s="52" t="n"/>
      <c r="L223" s="52" t="n"/>
    </row>
    <row r="224">
      <c r="A224" s="53" t="inlineStr">
        <is>
          <t>항목</t>
        </is>
      </c>
      <c r="B224" s="53" t="inlineStr">
        <is>
          <t>2021</t>
        </is>
      </c>
      <c r="C224" s="53" t="inlineStr">
        <is>
          <t>2022</t>
        </is>
      </c>
      <c r="D224" s="53" t="inlineStr">
        <is>
          <t>2023</t>
        </is>
      </c>
      <c r="E224" s="53" t="inlineStr">
        <is>
          <t>2024</t>
        </is>
      </c>
      <c r="F224" s="53" t="inlineStr">
        <is>
          <t>2025</t>
        </is>
      </c>
      <c r="L224" s="53" t="inlineStr">
        <is>
          <t>출처</t>
        </is>
      </c>
    </row>
    <row r="225">
      <c r="A225" s="54" t="inlineStr">
        <is>
          <t>labels</t>
        </is>
      </c>
      <c r="B225" s="57" t="n">
        <v>2021</v>
      </c>
      <c r="C225" s="57" t="n">
        <v>2022</v>
      </c>
      <c r="D225" s="57" t="n">
        <v>2023</v>
      </c>
      <c r="E225" s="57" t="n">
        <v>2024</v>
      </c>
      <c r="F225" s="57" t="n">
        <v>2025</v>
      </c>
      <c r="L225" s="56" t="inlineStr">
        <is>
          <t>2단계 보고서 자료(회사 설명회 자료·공시)</t>
        </is>
      </c>
    </row>
    <row r="226">
      <c r="A226" s="54" t="inlineStr">
        <is>
          <t>current assets</t>
        </is>
      </c>
      <c r="B226" s="55" t="n">
        <v>5285.4</v>
      </c>
      <c r="C226" s="55" t="n">
        <v>6287.5</v>
      </c>
      <c r="D226" s="55" t="n">
        <v>6527.5</v>
      </c>
      <c r="E226" s="55" t="n">
        <v>7114.6</v>
      </c>
      <c r="F226" s="55" t="n">
        <v>6661.2</v>
      </c>
    </row>
    <row r="227">
      <c r="A227" s="54" t="inlineStr">
        <is>
          <t>cash</t>
        </is>
      </c>
      <c r="B227" s="55" t="n">
        <v>3645.2</v>
      </c>
      <c r="C227" s="55" t="n">
        <v>4304.3</v>
      </c>
      <c r="D227" s="55" t="n">
        <v>4939.3</v>
      </c>
      <c r="E227" s="55" t="n">
        <v>5340.4</v>
      </c>
      <c r="F227" s="55" t="n">
        <v>4773.2</v>
      </c>
    </row>
    <row r="228">
      <c r="A228" s="54" t="inlineStr">
        <is>
          <t>st fin</t>
        </is>
      </c>
      <c r="B228" s="58" t="n"/>
      <c r="C228" s="58" t="n"/>
      <c r="D228" s="58" t="n"/>
      <c r="E228" s="58" t="n"/>
      <c r="F228" s="58" t="n"/>
    </row>
    <row r="229">
      <c r="A229" s="54" t="inlineStr">
        <is>
          <t>receivables</t>
        </is>
      </c>
      <c r="B229" s="55" t="n">
        <v>521.9</v>
      </c>
      <c r="C229" s="55" t="n">
        <v>552</v>
      </c>
      <c r="D229" s="55" t="n">
        <v>316</v>
      </c>
      <c r="E229" s="55" t="n">
        <v>399</v>
      </c>
      <c r="F229" s="55" t="n">
        <v>384.6</v>
      </c>
    </row>
    <row r="230">
      <c r="A230" s="54" t="inlineStr">
        <is>
          <t>inventory</t>
        </is>
      </c>
      <c r="B230" s="55" t="n">
        <v>1032.6</v>
      </c>
      <c r="C230" s="55" t="n">
        <v>1309.1</v>
      </c>
      <c r="D230" s="55" t="n">
        <v>1124.9</v>
      </c>
      <c r="E230" s="55" t="n">
        <v>1206.4</v>
      </c>
      <c r="F230" s="55" t="n">
        <v>1320</v>
      </c>
    </row>
    <row r="231">
      <c r="A231" s="54" t="inlineStr">
        <is>
          <t>noncurrent assets</t>
        </is>
      </c>
      <c r="B231" s="55" t="n">
        <v>1768.3</v>
      </c>
      <c r="C231" s="55" t="n">
        <v>1976.6</v>
      </c>
      <c r="D231" s="55" t="n">
        <v>2189.8</v>
      </c>
      <c r="E231" s="55" t="n">
        <v>2474.9</v>
      </c>
      <c r="F231" s="55" t="n">
        <v>2721.3</v>
      </c>
    </row>
    <row r="232">
      <c r="A232" s="54" t="inlineStr">
        <is>
          <t>ppe</t>
        </is>
      </c>
      <c r="B232" s="55" t="n">
        <v>1394</v>
      </c>
      <c r="C232" s="55" t="n">
        <v>1472.4</v>
      </c>
      <c r="D232" s="55" t="n">
        <v>1579.8</v>
      </c>
      <c r="E232" s="55" t="n">
        <v>1827.1</v>
      </c>
      <c r="F232" s="55" t="n">
        <v>2011.4</v>
      </c>
    </row>
    <row r="233">
      <c r="A233" s="54" t="inlineStr">
        <is>
          <t>intangibles</t>
        </is>
      </c>
      <c r="B233" s="55" t="n">
        <v>161.3</v>
      </c>
      <c r="C233" s="55" t="n">
        <v>198.4</v>
      </c>
      <c r="D233" s="55" t="n">
        <v>219.9</v>
      </c>
      <c r="E233" s="55" t="n">
        <v>249.6</v>
      </c>
      <c r="F233" s="55" t="n">
        <v>293.2</v>
      </c>
    </row>
    <row r="234">
      <c r="A234" s="54" t="inlineStr">
        <is>
          <t>inv property</t>
        </is>
      </c>
      <c r="B234" s="58" t="n"/>
      <c r="C234" s="58" t="n"/>
      <c r="D234" s="58" t="n"/>
      <c r="E234" s="58" t="n"/>
      <c r="F234" s="58" t="n"/>
    </row>
    <row r="235">
      <c r="A235" s="54" t="inlineStr">
        <is>
          <t>합계 assets</t>
        </is>
      </c>
      <c r="B235" s="55" t="n">
        <v>7053.7</v>
      </c>
      <c r="C235" s="55" t="n">
        <v>8264.1</v>
      </c>
      <c r="D235" s="55" t="n">
        <v>8717.299999999999</v>
      </c>
      <c r="E235" s="55" t="n">
        <v>9589.5</v>
      </c>
      <c r="F235" s="55" t="n">
        <v>9382.5</v>
      </c>
    </row>
    <row r="236">
      <c r="A236" s="54" t="inlineStr">
        <is>
          <t>current liab</t>
        </is>
      </c>
      <c r="B236" s="55" t="n">
        <v>815.3</v>
      </c>
      <c r="C236" s="55" t="n">
        <v>786.1</v>
      </c>
      <c r="D236" s="55" t="n">
        <v>618.3</v>
      </c>
      <c r="E236" s="55" t="n">
        <v>558</v>
      </c>
      <c r="F236" s="55" t="n">
        <v>589.2</v>
      </c>
    </row>
    <row r="237">
      <c r="A237" s="54" t="inlineStr">
        <is>
          <t>payables</t>
        </is>
      </c>
      <c r="B237" s="55" t="n">
        <v>243.5</v>
      </c>
      <c r="C237" s="55" t="n">
        <v>205.9</v>
      </c>
      <c r="D237" s="55" t="n">
        <v>110.2</v>
      </c>
      <c r="E237" s="55" t="n">
        <v>161.1</v>
      </c>
      <c r="F237" s="55" t="n">
        <v>167.7</v>
      </c>
    </row>
    <row r="238">
      <c r="A238" s="54" t="inlineStr">
        <is>
          <t>st debt</t>
        </is>
      </c>
      <c r="B238" s="55" t="n">
        <v>31.3</v>
      </c>
      <c r="C238" s="55" t="n">
        <v>21.5</v>
      </c>
      <c r="D238" s="55" t="n">
        <v>0</v>
      </c>
      <c r="E238" s="58" t="n"/>
      <c r="F238" s="58" t="n"/>
    </row>
    <row r="239">
      <c r="A239" s="54" t="inlineStr">
        <is>
          <t>noncurrent liab</t>
        </is>
      </c>
      <c r="B239" s="55" t="n">
        <v>71.90000000000001</v>
      </c>
      <c r="C239" s="55" t="n">
        <v>67.09999999999999</v>
      </c>
      <c r="D239" s="55" t="n">
        <v>75</v>
      </c>
      <c r="E239" s="55" t="n">
        <v>195.4</v>
      </c>
      <c r="F239" s="55" t="n">
        <v>98.3</v>
      </c>
    </row>
    <row r="240">
      <c r="A240" s="54" t="inlineStr">
        <is>
          <t>lt debt</t>
        </is>
      </c>
      <c r="B240" s="55" t="n">
        <v>0</v>
      </c>
      <c r="C240" s="55" t="n">
        <v>0</v>
      </c>
      <c r="D240" s="58" t="n"/>
      <c r="E240" s="58" t="n"/>
      <c r="F240" s="58" t="n"/>
    </row>
    <row r="241">
      <c r="A241" s="54" t="inlineStr">
        <is>
          <t>bonds</t>
        </is>
      </c>
      <c r="B241" s="58" t="n"/>
      <c r="C241" s="58" t="n"/>
      <c r="D241" s="58" t="n"/>
      <c r="E241" s="58" t="n"/>
      <c r="F241" s="58" t="n"/>
    </row>
    <row r="242">
      <c r="A242" s="54" t="inlineStr">
        <is>
          <t>합계 liab</t>
        </is>
      </c>
      <c r="B242" s="55" t="n">
        <v>887.2</v>
      </c>
      <c r="C242" s="55" t="n">
        <v>853.2</v>
      </c>
      <c r="D242" s="55" t="n">
        <v>693.3</v>
      </c>
      <c r="E242" s="55" t="n">
        <v>753.4</v>
      </c>
      <c r="F242" s="55" t="n">
        <v>687.5</v>
      </c>
    </row>
    <row r="243">
      <c r="A243" s="54" t="inlineStr">
        <is>
          <t>capital stock</t>
        </is>
      </c>
      <c r="B243" s="55" t="n">
        <v>356.1</v>
      </c>
      <c r="C243" s="55" t="n">
        <v>356.1</v>
      </c>
      <c r="D243" s="55" t="n">
        <v>356.1</v>
      </c>
      <c r="E243" s="55" t="n">
        <v>356.1</v>
      </c>
      <c r="F243" s="55" t="n">
        <v>356.1</v>
      </c>
    </row>
    <row r="244">
      <c r="A244" s="54" t="inlineStr">
        <is>
          <t>retained</t>
        </is>
      </c>
      <c r="B244" s="55" t="n">
        <v>5662.6</v>
      </c>
      <c r="C244" s="55" t="n">
        <v>6381.4</v>
      </c>
      <c r="D244" s="55" t="n">
        <v>6471.7</v>
      </c>
      <c r="E244" s="55" t="n">
        <v>6753.7</v>
      </c>
      <c r="F244" s="55" t="n">
        <v>6307.2</v>
      </c>
    </row>
    <row r="245">
      <c r="A245" s="54" t="inlineStr">
        <is>
          <t>nci</t>
        </is>
      </c>
      <c r="B245" s="55" t="n">
        <v>6.6</v>
      </c>
      <c r="C245" s="55" t="n">
        <v>9.9</v>
      </c>
      <c r="D245" s="55" t="n">
        <v>12.3</v>
      </c>
      <c r="E245" s="55" t="n">
        <v>12.2</v>
      </c>
      <c r="F245" s="55" t="n">
        <v>12.4</v>
      </c>
    </row>
    <row r="246">
      <c r="A246" s="54" t="inlineStr">
        <is>
          <t>합계 equity</t>
        </is>
      </c>
      <c r="B246" s="55" t="n">
        <v>6166.5</v>
      </c>
      <c r="C246" s="55" t="n">
        <v>7410.9</v>
      </c>
      <c r="D246" s="55" t="n">
        <v>8024</v>
      </c>
      <c r="E246" s="55" t="n">
        <v>8836.1</v>
      </c>
      <c r="F246" s="55" t="n">
        <v>8695</v>
      </c>
    </row>
    <row r="247">
      <c r="A247" s="54" t="inlineStr">
        <is>
          <t>current ltd</t>
        </is>
      </c>
      <c r="B247" s="58" t="n"/>
      <c r="C247" s="58" t="n"/>
      <c r="D247" s="58" t="n"/>
      <c r="E247" s="58" t="n"/>
      <c r="F247" s="58" t="n"/>
    </row>
    <row r="248">
      <c r="A248" s="54" t="inlineStr">
        <is>
          <t>equity owner</t>
        </is>
      </c>
      <c r="B248" s="55" t="n">
        <v>6159.9</v>
      </c>
      <c r="C248" s="55" t="n">
        <v>7401.1</v>
      </c>
      <c r="D248" s="55" t="n">
        <v>8011.7</v>
      </c>
      <c r="E248" s="55" t="n">
        <v>8824</v>
      </c>
      <c r="F248" s="55" t="n">
        <v>8682.6</v>
      </c>
    </row>
    <row r="250">
      <c r="A250" s="52" t="inlineStr">
        <is>
          <t>cf annual</t>
        </is>
      </c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</row>
    <row r="251">
      <c r="A251" s="53" t="inlineStr">
        <is>
          <t>항목</t>
        </is>
      </c>
      <c r="B251" s="53" t="inlineStr">
        <is>
          <t>2021</t>
        </is>
      </c>
      <c r="C251" s="53" t="inlineStr">
        <is>
          <t>2022</t>
        </is>
      </c>
      <c r="D251" s="53" t="inlineStr">
        <is>
          <t>2023</t>
        </is>
      </c>
      <c r="E251" s="53" t="inlineStr">
        <is>
          <t>2024</t>
        </is>
      </c>
      <c r="F251" s="53" t="inlineStr">
        <is>
          <t>2025</t>
        </is>
      </c>
      <c r="L251" s="53" t="inlineStr">
        <is>
          <t>출처</t>
        </is>
      </c>
    </row>
    <row r="252">
      <c r="A252" s="54" t="inlineStr">
        <is>
          <t>labels</t>
        </is>
      </c>
      <c r="B252" s="57" t="n">
        <v>2021</v>
      </c>
      <c r="C252" s="57" t="n">
        <v>2022</v>
      </c>
      <c r="D252" s="57" t="n">
        <v>2023</v>
      </c>
      <c r="E252" s="57" t="n">
        <v>2024</v>
      </c>
      <c r="F252" s="57" t="n">
        <v>2025</v>
      </c>
      <c r="L252" s="56" t="inlineStr">
        <is>
          <t>2단계 보고서 자료(회사 설명회 자료·공시)</t>
        </is>
      </c>
    </row>
    <row r="253">
      <c r="A253" s="54" t="inlineStr">
        <is>
          <t>ocf</t>
        </is>
      </c>
      <c r="B253" s="55" t="n">
        <v>1124.4</v>
      </c>
      <c r="C253" s="55" t="n">
        <v>1106.8</v>
      </c>
      <c r="D253" s="55" t="n">
        <v>1145.7</v>
      </c>
      <c r="E253" s="55" t="n">
        <v>870.3</v>
      </c>
      <c r="F253" s="55" t="n">
        <v>637.8</v>
      </c>
    </row>
    <row r="254">
      <c r="A254" s="54" t="inlineStr">
        <is>
          <t>설비투자</t>
        </is>
      </c>
      <c r="B254" s="55" t="n">
        <v>200.3</v>
      </c>
      <c r="C254" s="55" t="n">
        <v>275.1</v>
      </c>
      <c r="D254" s="55" t="n">
        <v>313.1</v>
      </c>
      <c r="E254" s="55" t="n">
        <v>455.8</v>
      </c>
      <c r="F254" s="55" t="n">
        <v>457.7</v>
      </c>
    </row>
    <row r="255">
      <c r="A255" s="54" t="inlineStr">
        <is>
          <t>dividends</t>
        </is>
      </c>
      <c r="B255" s="55" t="n">
        <v>366</v>
      </c>
      <c r="C255" s="55" t="n">
        <v>215</v>
      </c>
      <c r="D255" s="55" t="n">
        <v>258</v>
      </c>
      <c r="E255" s="55" t="n">
        <v>266.3</v>
      </c>
      <c r="F255" s="55" t="n">
        <v>286.1</v>
      </c>
    </row>
    <row r="257">
      <c r="A257" s="52" t="inlineStr">
        <is>
          <t>shares</t>
        </is>
      </c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</row>
    <row r="258">
      <c r="A258" s="53" t="inlineStr">
        <is>
          <t>항목</t>
        </is>
      </c>
      <c r="B258" s="53" t="inlineStr">
        <is>
          <t>값</t>
        </is>
      </c>
      <c r="L258" s="53" t="inlineStr">
        <is>
          <t>출처</t>
        </is>
      </c>
    </row>
    <row r="259">
      <c r="A259" s="54" t="inlineStr">
        <is>
          <t>발행</t>
        </is>
      </c>
      <c r="B259" s="57" t="n">
        <v>86530000</v>
      </c>
      <c r="L259" s="56" t="inlineStr">
        <is>
          <t>2단계 보고서 자료(회사 설명회 자료·공시)</t>
        </is>
      </c>
    </row>
    <row r="260">
      <c r="A260" s="54" t="inlineStr">
        <is>
          <t>자사주_26.9말</t>
        </is>
      </c>
      <c r="B260" s="57" t="n">
        <v>2430078</v>
      </c>
    </row>
    <row r="261">
      <c r="A261" s="54" t="inlineStr">
        <is>
          <t>유통</t>
        </is>
      </c>
      <c r="B261" s="57" t="n">
        <v>84099922</v>
      </c>
    </row>
    <row r="263">
      <c r="A263" s="52" t="inlineStr">
        <is>
          <t>reactions</t>
        </is>
      </c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</row>
    <row r="264">
      <c r="A264" s="53" t="inlineStr">
        <is>
          <t>항목</t>
        </is>
      </c>
      <c r="B264" s="53" t="inlineStr">
        <is>
          <t>기준일</t>
        </is>
      </c>
      <c r="C264" s="53" t="inlineStr">
        <is>
          <t>다음날</t>
        </is>
      </c>
      <c r="D264" s="53" t="inlineStr">
        <is>
          <t>등락%</t>
        </is>
      </c>
      <c r="L264" s="53" t="inlineStr">
        <is>
          <t>출처</t>
        </is>
      </c>
    </row>
    <row r="265">
      <c r="A265" s="54" t="inlineStr">
        <is>
          <t>2025-02-12</t>
        </is>
      </c>
      <c r="B265" s="58" t="inlineStr">
        <is>
          <t>2025-02-12</t>
        </is>
      </c>
      <c r="C265" s="58" t="inlineStr">
        <is>
          <t>2025-02-13</t>
        </is>
      </c>
      <c r="D265" s="55" t="n">
        <v>-3.1</v>
      </c>
      <c r="L265" s="56" t="inlineStr">
        <is>
          <t>2단계 보고서 자료(회사 설명회 자료·공시)</t>
        </is>
      </c>
    </row>
    <row r="266">
      <c r="A266" s="54" t="inlineStr">
        <is>
          <t>2025-04-23</t>
        </is>
      </c>
      <c r="B266" s="58" t="inlineStr">
        <is>
          <t>2025-04-23</t>
        </is>
      </c>
      <c r="C266" s="58" t="inlineStr">
        <is>
          <t>2025-04-24</t>
        </is>
      </c>
      <c r="D266" s="55" t="n">
        <v>-3.9</v>
      </c>
    </row>
    <row r="267">
      <c r="A267" s="54" t="inlineStr">
        <is>
          <t>2025-07-29</t>
        </is>
      </c>
      <c r="B267" s="58" t="inlineStr">
        <is>
          <t>2025-07-29</t>
        </is>
      </c>
      <c r="C267" s="58" t="inlineStr">
        <is>
          <t>2025-07-30</t>
        </is>
      </c>
      <c r="D267" s="55" t="n">
        <v>-23.3</v>
      </c>
    </row>
    <row r="268">
      <c r="A268" s="54" t="inlineStr">
        <is>
          <t>2025-10-28</t>
        </is>
      </c>
      <c r="B268" s="58" t="inlineStr">
        <is>
          <t>2025-10-28</t>
        </is>
      </c>
      <c r="C268" s="58" t="inlineStr">
        <is>
          <t>2025-10-29</t>
        </is>
      </c>
      <c r="D268" s="55" t="n">
        <v>-7.4</v>
      </c>
    </row>
    <row r="269">
      <c r="A269" s="54" t="inlineStr">
        <is>
          <t>2026-02-10</t>
        </is>
      </c>
      <c r="B269" s="58" t="inlineStr">
        <is>
          <t>2026-02-10</t>
        </is>
      </c>
      <c r="C269" s="58" t="inlineStr">
        <is>
          <t>2026-02-12</t>
        </is>
      </c>
      <c r="D269" s="55" t="n">
        <v>-5.6</v>
      </c>
    </row>
    <row r="270">
      <c r="A270" s="54" t="inlineStr">
        <is>
          <t>2026-04-23</t>
        </is>
      </c>
      <c r="B270" s="58" t="inlineStr">
        <is>
          <t>2026-04-23</t>
        </is>
      </c>
      <c r="C270" s="58" t="inlineStr">
        <is>
          <t>2026-04-24</t>
        </is>
      </c>
      <c r="D270" s="55" t="n">
        <v>4</v>
      </c>
    </row>
    <row r="271">
      <c r="A271" s="54" t="inlineStr">
        <is>
          <t>2026-07-28</t>
        </is>
      </c>
      <c r="B271" s="58" t="inlineStr">
        <is>
          <t>2026-07-28</t>
        </is>
      </c>
      <c r="C271" s="58" t="inlineStr">
        <is>
          <t>2026-07-29</t>
        </is>
      </c>
      <c r="D271" s="55" t="n">
        <v>10.4</v>
      </c>
    </row>
    <row r="273">
      <c r="A273" s="52" t="inlineStr">
        <is>
          <t>filings</t>
        </is>
      </c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</row>
    <row r="274">
      <c r="A274" s="53" t="inlineStr">
        <is>
          <t>항목</t>
        </is>
      </c>
      <c r="B274" s="53" t="inlineStr">
        <is>
          <t>title</t>
        </is>
      </c>
      <c r="C274" s="53" t="inlineStr">
        <is>
          <t>doc</t>
        </is>
      </c>
      <c r="L274" s="53" t="inlineStr">
        <is>
          <t>출처</t>
        </is>
      </c>
    </row>
    <row r="275">
      <c r="A275" s="54" t="inlineStr">
        <is>
          <t>2026-10-27</t>
        </is>
      </c>
      <c r="B275" s="58" t="inlineStr">
        <is>
          <t>2026年12月期第３四半期決算短信〔日本基準〕(連結)</t>
        </is>
      </c>
      <c r="C275" s="58" t="inlineStr">
        <is>
          <t>140120261026555704</t>
        </is>
      </c>
      <c r="L275" s="56" t="inlineStr">
        <is>
          <t>2단계 보고서 자료(회사 설명회 자료·공시)</t>
        </is>
      </c>
    </row>
    <row r="276">
      <c r="A276" s="54" t="inlineStr">
        <is>
          <t>2026-07-28</t>
        </is>
      </c>
      <c r="B276" s="58" t="inlineStr">
        <is>
          <t>2026年12月期第２四半期（中間期）決算短信[日本基準](連結)</t>
        </is>
      </c>
      <c r="C276" s="58" t="inlineStr">
        <is>
          <t>140120260727599816</t>
        </is>
      </c>
    </row>
    <row r="277">
      <c r="A277" s="54" t="inlineStr">
        <is>
          <t>2026-04-23</t>
        </is>
      </c>
      <c r="B277" s="58" t="inlineStr">
        <is>
          <t>2026年12月期第１四半期決算短信 [日本基準]（連結）</t>
        </is>
      </c>
      <c r="C277" s="58" t="inlineStr">
        <is>
          <t>140120260423508680</t>
        </is>
      </c>
    </row>
    <row r="278">
      <c r="A278" s="54" t="inlineStr">
        <is>
          <t>2026-02-10</t>
        </is>
      </c>
      <c r="B278" s="58" t="inlineStr">
        <is>
          <t>2025年12月期決算短信 [日本基準]（連結）</t>
        </is>
      </c>
      <c r="C278" s="58" t="inlineStr">
        <is>
          <t>140120260209552867</t>
        </is>
      </c>
    </row>
    <row r="279">
      <c r="A279" s="54" t="inlineStr">
        <is>
          <t>2025-10-28</t>
        </is>
      </c>
      <c r="B279" s="58" t="inlineStr">
        <is>
          <t>2025年12月期第3四半期決算短信 [日本基準]（連結）</t>
        </is>
      </c>
      <c r="C279" s="58" t="inlineStr">
        <is>
          <t>140120251024578869</t>
        </is>
      </c>
    </row>
    <row r="280">
      <c r="A280" s="54" t="inlineStr">
        <is>
          <t>2025-07-29</t>
        </is>
      </c>
      <c r="B280" s="58" t="inlineStr">
        <is>
          <t>2025年12月期第２四半期（中間期）決算短信〔日本基準〕(連結)</t>
        </is>
      </c>
      <c r="C280" s="58" t="inlineStr">
        <is>
          <t>140120250728522019</t>
        </is>
      </c>
    </row>
    <row r="281">
      <c r="A281" s="54" t="inlineStr">
        <is>
          <t>2025-04-23</t>
        </is>
      </c>
      <c r="B281" s="58" t="inlineStr">
        <is>
          <t>2025年12月期第１四半期決算短信 [日本基準]（連結）</t>
        </is>
      </c>
      <c r="C281" s="58" t="inlineStr">
        <is>
          <t>140120250422519861</t>
        </is>
      </c>
    </row>
    <row r="282">
      <c r="A282" s="54" t="inlineStr">
        <is>
          <t>2025-02-12</t>
        </is>
      </c>
      <c r="B282" s="58" t="inlineStr">
        <is>
          <t>2024年12月期決算短信 [日本基準]（連結）</t>
        </is>
      </c>
      <c r="C282" s="58" t="inlineStr">
        <is>
          <t>140120250207567232</t>
        </is>
      </c>
    </row>
    <row r="283">
      <c r="A283" s="54" t="inlineStr">
        <is>
          <t>2024-10-29</t>
        </is>
      </c>
      <c r="B283" s="58" t="inlineStr">
        <is>
          <t>2024年12月期第3四半期決算短信 [日本基準]（連結）</t>
        </is>
      </c>
      <c r="C283" s="58" t="inlineStr">
        <is>
          <t>140120241028503479</t>
        </is>
      </c>
    </row>
    <row r="284">
      <c r="A284" s="54" t="inlineStr">
        <is>
          <t>2024-07-30</t>
        </is>
      </c>
      <c r="B284" s="58" t="inlineStr">
        <is>
          <t>2024年12月期第2四半期決算短信 [日本基準]（連結）</t>
        </is>
      </c>
      <c r="C284" s="58" t="inlineStr">
        <is>
          <t>140120240723552954</t>
        </is>
      </c>
    </row>
    <row r="285">
      <c r="A285" s="54" t="inlineStr">
        <is>
          <t>2024-04-23</t>
        </is>
      </c>
      <c r="B285" s="58" t="inlineStr">
        <is>
          <t>2024年12月期第１四半期決算短信 [日本基準]（連結）</t>
        </is>
      </c>
      <c r="C285" s="58" t="inlineStr">
        <is>
          <t>140120240417572111</t>
        </is>
      </c>
    </row>
    <row r="286">
      <c r="A286" s="54" t="inlineStr">
        <is>
          <t>2024-02-13</t>
        </is>
      </c>
      <c r="B286" s="58" t="inlineStr">
        <is>
          <t>2023年12月期決算短信 [日本基準]（連結）</t>
        </is>
      </c>
      <c r="C286" s="58" t="inlineStr">
        <is>
          <t>140120240207528651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2026-10-27</t>
        </is>
      </c>
      <c r="B4" t="inlineStr">
        <is>
          <t>2026년 12월 결산기 ３분기 결산단신</t>
        </is>
      </c>
      <c r="C4" t="inlineStr">
        <is>
          <t>https://www2.jpx.co.jp/disc/73090/140120261026555704.pdf</t>
        </is>
      </c>
    </row>
    <row r="5">
      <c r="A5" t="inlineStr">
        <is>
          <t>2026-07-28</t>
        </is>
      </c>
      <c r="B5" t="inlineStr">
        <is>
          <t>2026년 12월 결산기 ２분기 결산단신</t>
        </is>
      </c>
      <c r="C5" t="inlineStr">
        <is>
          <t>https://www2.jpx.co.jp/disc/73090/140120260727599816.pdf</t>
        </is>
      </c>
    </row>
    <row r="6">
      <c r="A6" t="inlineStr">
        <is>
          <t>2026-04-23</t>
        </is>
      </c>
      <c r="B6" t="inlineStr">
        <is>
          <t>2026년 12월 결산기 １분기 결산단신</t>
        </is>
      </c>
      <c r="C6" t="inlineStr">
        <is>
          <t>https://www2.jpx.co.jp/disc/73090/140120260423508680.pdf</t>
        </is>
      </c>
    </row>
    <row r="7">
      <c r="A7" t="inlineStr">
        <is>
          <t>2026-02-10</t>
        </is>
      </c>
      <c r="B7" t="inlineStr">
        <is>
          <t>2025년 12월 결산기 연간 결산단신</t>
        </is>
      </c>
      <c r="C7" t="inlineStr">
        <is>
          <t>https://www2.jpx.co.jp/disc/73090/140120260209552867.pdf</t>
        </is>
      </c>
    </row>
    <row r="8">
      <c r="A8" t="inlineStr">
        <is>
          <t>2025-10-28</t>
        </is>
      </c>
      <c r="B8" t="inlineStr">
        <is>
          <t>2025년 12월 결산기 3분기 결산단신</t>
        </is>
      </c>
      <c r="C8" t="inlineStr">
        <is>
          <t>https://www2.jpx.co.jp/disc/73090/140120251024578869.pdf</t>
        </is>
      </c>
    </row>
    <row r="9">
      <c r="A9" t="inlineStr">
        <is>
          <t>2025-07-29</t>
        </is>
      </c>
      <c r="B9" t="inlineStr">
        <is>
          <t>2025년 12월 결산기 ２분기 결산단신</t>
        </is>
      </c>
      <c r="C9" t="inlineStr">
        <is>
          <t>https://www2.jpx.co.jp/disc/73090/140120250728522019.pdf</t>
        </is>
      </c>
    </row>
    <row r="10">
      <c r="A10" t="inlineStr">
        <is>
          <t>2025-04-23</t>
        </is>
      </c>
      <c r="B10" t="inlineStr">
        <is>
          <t>2025년 12월 결산기 １분기 결산단신</t>
        </is>
      </c>
      <c r="C10" t="inlineStr">
        <is>
          <t>https://www2.jpx.co.jp/disc/73090/140120250422519861.pdf</t>
        </is>
      </c>
    </row>
    <row r="11">
      <c r="A11" t="inlineStr">
        <is>
          <t>2025-02-12</t>
        </is>
      </c>
      <c r="B11" t="inlineStr">
        <is>
          <t>2024년 12월 결산기 연간 결산단신</t>
        </is>
      </c>
      <c r="C11" t="inlineStr">
        <is>
          <t>https://www2.jpx.co.jp/disc/73090/140120250207567232.pdf</t>
        </is>
      </c>
    </row>
    <row r="12">
      <c r="A12" t="inlineStr">
        <is>
          <t>2024-10-29</t>
        </is>
      </c>
      <c r="B12" t="inlineStr">
        <is>
          <t>2024년 12월 결산기 3분기 결산단신</t>
        </is>
      </c>
      <c r="C12" t="inlineStr">
        <is>
          <t>https://www2.jpx.co.jp/disc/73090/140120241028503479.pdf</t>
        </is>
      </c>
    </row>
    <row r="13">
      <c r="A13" t="inlineStr">
        <is>
          <t>2024-07-30</t>
        </is>
      </c>
      <c r="B13" t="inlineStr">
        <is>
          <t>2024년 12월 결산기 2분기 결산단신</t>
        </is>
      </c>
      <c r="C13" t="inlineStr">
        <is>
          <t>https://www2.jpx.co.jp/disc/73090/140120240723552954.pdf</t>
        </is>
      </c>
    </row>
    <row r="14">
      <c r="A14" t="inlineStr">
        <is>
          <t>2024-04-23</t>
        </is>
      </c>
      <c r="B14" t="inlineStr">
        <is>
          <t>2024년 12월 결산기 １분기 결산단신</t>
        </is>
      </c>
      <c r="C14" t="inlineStr">
        <is>
          <t>https://www2.jpx.co.jp/disc/73090/140120240417572111.pdf</t>
        </is>
      </c>
    </row>
    <row r="15">
      <c r="A15" t="inlineStr">
        <is>
          <t>2024-02-13</t>
        </is>
      </c>
      <c r="B15" t="inlineStr">
        <is>
          <t>2023년 12월 결산기 연간 결산단신</t>
        </is>
      </c>
      <c r="C15" t="inlineStr">
        <is>
          <t>https://www2.jpx.co.jp/disc/73090/140120240207528651.pdf</t>
        </is>
      </c>
    </row>
    <row r="16">
      <c r="A16" t="inlineStr">
        <is>
          <t>2023-10-24</t>
        </is>
      </c>
      <c r="B16" t="inlineStr">
        <is>
          <t>2023년 12월 결산기 3분기 결산단신</t>
        </is>
      </c>
      <c r="C16" t="inlineStr">
        <is>
          <t>https://www2.jpx.co.jp/disc/73090/140120231023569879.pdf</t>
        </is>
      </c>
    </row>
    <row r="17">
      <c r="A17" t="inlineStr">
        <is>
          <t>2023-07-25</t>
        </is>
      </c>
      <c r="B17" t="inlineStr">
        <is>
          <t>2023년 12월 결산기 2분기 결산단신</t>
        </is>
      </c>
      <c r="C17" t="inlineStr">
        <is>
          <t>https://www2.jpx.co.jp/disc/73090/140120230724525696.pdf</t>
        </is>
      </c>
    </row>
    <row r="18">
      <c r="A18" t="inlineStr">
        <is>
          <t>2023-04-25</t>
        </is>
      </c>
      <c r="B18" t="inlineStr">
        <is>
          <t>2023년 12월 결산기 １분기 결산단신</t>
        </is>
      </c>
      <c r="C18" t="inlineStr">
        <is>
          <t>https://www2.jpx.co.jp/disc/73090/140120230417548226.pdf</t>
        </is>
      </c>
    </row>
    <row r="19">
      <c r="A19" t="inlineStr">
        <is>
          <t>2023-02-14</t>
        </is>
      </c>
      <c r="B19" t="inlineStr">
        <is>
          <t>2022년 12월 결산기 연간 결산단신</t>
        </is>
      </c>
      <c r="C19" t="inlineStr">
        <is>
          <t>https://www2.jpx.co.jp/disc/73090/140120230208503464.pdf</t>
        </is>
      </c>
    </row>
    <row r="20">
      <c r="A20" t="inlineStr">
        <is>
          <t>2022-02-08</t>
        </is>
      </c>
      <c r="B20" t="inlineStr">
        <is>
          <t>2021년 12월 결산기 연간 결산단신</t>
        </is>
      </c>
      <c r="C20" t="inlineStr">
        <is>
          <t>https://www2.jpx.co.jp/disc/73090/140120220203579636.pdf</t>
        </is>
      </c>
    </row>
    <row r="21">
      <c r="A21" t="inlineStr">
        <is>
          <t>2021-02-09</t>
        </is>
      </c>
      <c r="B21" t="inlineStr">
        <is>
          <t>2020년 12월 결산기 연간 결산단신</t>
        </is>
      </c>
      <c r="C21" t="inlineStr">
        <is>
          <t>https://www2.jpx.co.jp/disc/73090/140120210208458062.pdf</t>
        </is>
      </c>
    </row>
    <row r="22">
      <c r="A22" t="inlineStr">
        <is>
          <t>2020-02-12</t>
        </is>
      </c>
      <c r="B22" t="inlineStr">
        <is>
          <t>2019년 12월 결산기 연간 결산단신</t>
        </is>
      </c>
      <c r="C22" t="inlineStr">
        <is>
          <t>https://www2.jpx.co.jp/disc/73090/140120200210460792.pdf</t>
        </is>
      </c>
    </row>
    <row r="23">
      <c r="A23" t="inlineStr">
        <is>
          <t>2019-02-12</t>
        </is>
      </c>
      <c r="B23" t="inlineStr">
        <is>
          <t>2018년 12월 결산기 연간 결산단신</t>
        </is>
      </c>
      <c r="C23" t="inlineStr">
        <is>
          <t>https://www2.jpx.co.jp/disc/73090/140120190208473964.pdf</t>
        </is>
      </c>
    </row>
    <row r="24">
      <c r="A24" t="inlineStr">
        <is>
          <t>2018-02-13</t>
        </is>
      </c>
      <c r="B24" t="inlineStr">
        <is>
          <t>연간 결산단신</t>
        </is>
      </c>
      <c r="C24" t="inlineStr">
        <is>
          <t>https://www2.jpx.co.jp/disc/73090/140120180209469147.pdf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2026-10-28T06:59:48Z</dcterms:created>
  <dcterms:modified xmlns:dcterms="http://purl.org/dc/terms/" xmlns:xsi="http://www.w3.org/2001/XMLSchema-instance" xsi:type="dcterms:W3CDTF">2026-10-28T06:59:49Z</dcterms:modified>
</cp:coreProperties>
</file>