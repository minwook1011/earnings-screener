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1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32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에스콘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/>
      <c r="D4" s="12" t="n"/>
      <c r="E4" s="12" t="n">
        <v>19098</v>
      </c>
      <c r="F4" s="12" t="n">
        <v>11938</v>
      </c>
      <c r="G4" s="12" t="n">
        <v>49410</v>
      </c>
      <c r="H4" s="12" t="n">
        <v>33157</v>
      </c>
      <c r="I4" s="12" t="n">
        <v>17581</v>
      </c>
      <c r="J4" s="12" t="n">
        <v>17600</v>
      </c>
      <c r="K4" s="12" t="n">
        <v>27743</v>
      </c>
      <c r="L4" s="12" t="n">
        <v>74105</v>
      </c>
      <c r="M4" s="12" t="n">
        <v>10027</v>
      </c>
      <c r="N4" s="12" t="n">
        <v>45496</v>
      </c>
      <c r="O4" s="11" t="n">
        <v>44724</v>
      </c>
      <c r="P4" s="12" t="n">
        <v>54325</v>
      </c>
      <c r="Q4" s="12" t="n">
        <v>72106</v>
      </c>
      <c r="R4" s="12" t="n">
        <v>77308</v>
      </c>
      <c r="S4" s="12" t="n">
        <v>79017</v>
      </c>
      <c r="T4" s="12" t="n">
        <v>99431</v>
      </c>
      <c r="U4" s="12" t="n">
        <v>103246</v>
      </c>
      <c r="V4" s="12" t="n"/>
      <c r="W4" s="12" t="n">
        <v>113603</v>
      </c>
      <c r="X4" s="12" t="n">
        <v>137029</v>
      </c>
      <c r="Y4" s="11">
        <f>IF(COUNT(Y7,Y10,Y13,Y16,Y19,Y22)=0,"",SUM(Y7,Y10,Y13,Y16,Y19,Y22))</f>
        <v/>
      </c>
      <c r="Z4" s="12">
        <f>IF(COUNT(Z7,Z10,Z13,Z16,Z19,Z22)=0,"",SUM(Z7,Z10,Z13,Z16,Z19,Z22))</f>
        <v/>
      </c>
      <c r="AA4" s="12">
        <f>IF(COUNT(AA7,AA10,AA13,AA16,AA19,AA22)=0,"",SUM(AA7,AA10,AA13,AA16,AA19,AA22))</f>
        <v/>
      </c>
      <c r="AB4" s="12">
        <f>IF(COUNT(AB7,AB10,AB13,AB16,AB19,AB22)=0,"",SUM(AB7,AB10,AB13,AB16,AB19,AB22))</f>
        <v/>
      </c>
      <c r="AC4" s="12">
        <f>IF(COUNT(AC7,AC10,AC13,AC16,AC19,AC22)=0,"",SUM(AC7,AC10,AC13,AC16,AC19,AC22))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주택 분양 사업</t>
        </is>
      </c>
      <c r="B7" s="10" t="n"/>
      <c r="C7" s="19" t="n"/>
      <c r="D7" s="20" t="n"/>
      <c r="E7" s="20" t="n">
        <v>5243</v>
      </c>
      <c r="F7" s="20" t="n">
        <v>7401</v>
      </c>
      <c r="G7" s="20" t="n">
        <v>36608</v>
      </c>
      <c r="H7" s="20" t="n">
        <v>17656</v>
      </c>
      <c r="I7" s="20" t="n">
        <v>11087</v>
      </c>
      <c r="J7" s="20" t="n">
        <v>7322</v>
      </c>
      <c r="K7" s="20" t="n">
        <v>10394</v>
      </c>
      <c r="L7" s="20" t="n">
        <v>34827</v>
      </c>
      <c r="M7" s="20" t="n">
        <v>4180</v>
      </c>
      <c r="N7" s="20" t="n">
        <v>15249</v>
      </c>
      <c r="O7" s="19" t="n"/>
      <c r="P7" s="20" t="n"/>
      <c r="Q7" s="20" t="n"/>
      <c r="R7" s="20" t="n"/>
      <c r="S7" s="20" t="n"/>
      <c r="T7" s="20" t="n"/>
      <c r="U7" s="20" t="n"/>
      <c r="V7" s="20" t="n"/>
      <c r="W7" s="20" t="n">
        <v>66908</v>
      </c>
      <c r="X7" s="20" t="n">
        <v>63630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부동산 개발 사업</t>
        </is>
      </c>
      <c r="B10" s="10" t="n"/>
      <c r="C10" s="19" t="n"/>
      <c r="D10" s="20" t="n"/>
      <c r="E10" s="20" t="n">
        <v>9450</v>
      </c>
      <c r="F10" s="20" t="n">
        <v>145</v>
      </c>
      <c r="G10" s="20" t="n">
        <v>8024</v>
      </c>
      <c r="H10" s="20" t="n">
        <v>10808</v>
      </c>
      <c r="I10" s="20" t="n">
        <v>1324</v>
      </c>
      <c r="J10" s="20" t="n">
        <v>4912</v>
      </c>
      <c r="K10" s="20" t="n">
        <v>12245</v>
      </c>
      <c r="L10" s="20" t="n">
        <v>33538</v>
      </c>
      <c r="M10" s="20" t="n">
        <v>812</v>
      </c>
      <c r="N10" s="20" t="n">
        <v>23839</v>
      </c>
      <c r="O10" s="19" t="n"/>
      <c r="P10" s="20" t="n"/>
      <c r="Q10" s="20" t="n"/>
      <c r="R10" s="20" t="n"/>
      <c r="S10" s="20" t="n"/>
      <c r="T10" s="20" t="n"/>
      <c r="U10" s="20" t="n"/>
      <c r="V10" s="20" t="n"/>
      <c r="W10" s="20" t="n">
        <v>28427</v>
      </c>
      <c r="X10" s="20" t="n">
        <v>52019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부동산 임대 사업</t>
        </is>
      </c>
      <c r="B13" s="10" t="n"/>
      <c r="C13" s="19" t="n"/>
      <c r="D13" s="20" t="n"/>
      <c r="E13" s="20" t="n">
        <v>3837</v>
      </c>
      <c r="F13" s="20" t="n"/>
      <c r="G13" s="20" t="n"/>
      <c r="H13" s="20" t="n"/>
      <c r="I13" s="20" t="n">
        <v>4314</v>
      </c>
      <c r="J13" s="20" t="n"/>
      <c r="K13" s="20" t="n"/>
      <c r="L13" s="20" t="n"/>
      <c r="M13" s="20" t="n">
        <v>4062</v>
      </c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부동산 임대 사업</t>
        </is>
      </c>
      <c r="B16" s="10" t="n"/>
      <c r="C16" s="19" t="n"/>
      <c r="D16" s="20" t="n"/>
      <c r="E16" s="20" t="n"/>
      <c r="F16" s="20" t="n"/>
      <c r="G16" s="20" t="n">
        <v>3926</v>
      </c>
      <c r="H16" s="20" t="n">
        <v>3913</v>
      </c>
      <c r="I16" s="20" t="n"/>
      <c r="J16" s="20" t="n"/>
      <c r="K16" s="20" t="n">
        <v>4196</v>
      </c>
      <c r="L16" s="20" t="n">
        <v>4185</v>
      </c>
      <c r="M16" s="20" t="n"/>
      <c r="N16" s="20" t="n"/>
      <c r="O16" s="19" t="n"/>
      <c r="P16" s="20" t="n"/>
      <c r="Q16" s="20" t="n"/>
      <c r="R16" s="20" t="n"/>
      <c r="S16" s="20" t="n"/>
      <c r="T16" s="20" t="n"/>
      <c r="U16" s="20" t="n"/>
      <c r="V16" s="20" t="n"/>
      <c r="W16" s="20" t="n">
        <v>15600</v>
      </c>
      <c r="X16" s="20" t="n">
        <v>17262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자산관리 사업</t>
        </is>
      </c>
      <c r="B19" s="10" t="n"/>
      <c r="C19" s="19" t="n"/>
      <c r="D19" s="20" t="n"/>
      <c r="E19" s="20" t="n">
        <v>455</v>
      </c>
      <c r="F19" s="20" t="n">
        <v>349</v>
      </c>
      <c r="G19" s="20" t="n">
        <v>451</v>
      </c>
      <c r="H19" s="20" t="n">
        <v>390</v>
      </c>
      <c r="I19" s="20" t="n">
        <v>491</v>
      </c>
      <c r="J19" s="20" t="n">
        <v>461</v>
      </c>
      <c r="K19" s="20" t="n">
        <v>508</v>
      </c>
      <c r="L19" s="20" t="n">
        <v>747</v>
      </c>
      <c r="M19" s="20" t="n">
        <v>492</v>
      </c>
      <c r="N19" s="20" t="n">
        <v>601</v>
      </c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>
        <v>1645</v>
      </c>
      <c r="X19" s="20" t="n">
        <v>2207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기타</t>
        </is>
      </c>
      <c r="B22" s="10" t="n"/>
      <c r="C22" s="19" t="n"/>
      <c r="D22" s="20" t="n"/>
      <c r="E22" s="20" t="n">
        <v>111</v>
      </c>
      <c r="F22" s="20" t="n">
        <v>119</v>
      </c>
      <c r="G22" s="20" t="n">
        <v>401</v>
      </c>
      <c r="H22" s="20" t="n">
        <v>389</v>
      </c>
      <c r="I22" s="20" t="n">
        <v>363</v>
      </c>
      <c r="J22" s="20" t="n">
        <v>339</v>
      </c>
      <c r="K22" s="20" t="n">
        <v>398</v>
      </c>
      <c r="L22" s="20" t="n">
        <v>809</v>
      </c>
      <c r="M22" s="20" t="n">
        <v>478</v>
      </c>
      <c r="N22" s="20" t="n">
        <v>1465</v>
      </c>
      <c r="O22" s="19" t="n"/>
      <c r="P22" s="20" t="n"/>
      <c r="Q22" s="20" t="n"/>
      <c r="R22" s="20" t="n"/>
      <c r="S22" s="20" t="n"/>
      <c r="T22" s="20" t="n"/>
      <c r="U22" s="20" t="n"/>
      <c r="V22" s="20" t="n"/>
      <c r="W22" s="20" t="n">
        <v>1020</v>
      </c>
      <c r="X22" s="20" t="n">
        <v>1909</v>
      </c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매출원가</t>
        </is>
      </c>
      <c r="B25" s="16" t="n"/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18" t="inlineStr">
        <is>
          <t>전체 매출원가</t>
        </is>
      </c>
      <c r="B26" s="10" t="n"/>
      <c r="C26" s="19" t="n"/>
      <c r="D26" s="20" t="n"/>
      <c r="E26" s="20" t="n">
        <v>12992</v>
      </c>
      <c r="F26" s="20" t="n">
        <v>8109</v>
      </c>
      <c r="G26" s="20" t="n">
        <v>34552</v>
      </c>
      <c r="H26" s="20" t="n">
        <v>21481</v>
      </c>
      <c r="I26" s="20" t="n">
        <v>12228</v>
      </c>
      <c r="J26" s="20" t="n">
        <v>11844</v>
      </c>
      <c r="K26" s="20" t="n">
        <v>18736</v>
      </c>
      <c r="L26" s="20" t="n">
        <v>53213</v>
      </c>
      <c r="M26" s="20" t="n">
        <v>6411</v>
      </c>
      <c r="N26" s="20" t="n">
        <v>30691</v>
      </c>
      <c r="O26" s="19" t="n">
        <v>33164</v>
      </c>
      <c r="P26" s="20" t="n">
        <v>37397</v>
      </c>
      <c r="Q26" s="20" t="n">
        <v>52339</v>
      </c>
      <c r="R26" s="20" t="n">
        <v>57628</v>
      </c>
      <c r="S26" s="20" t="n">
        <v>58429</v>
      </c>
      <c r="T26" s="20" t="n">
        <v>72823</v>
      </c>
      <c r="U26" s="20" t="n">
        <v>73292</v>
      </c>
      <c r="V26" s="20" t="n"/>
      <c r="W26" s="20" t="n">
        <v>77134</v>
      </c>
      <c r="X26" s="20" t="n">
        <v>96021</v>
      </c>
      <c r="Y26" s="19" t="n"/>
      <c r="Z26" s="20" t="n"/>
      <c r="AA26" s="20" t="n"/>
      <c r="AB26" s="20" t="n"/>
      <c r="AC26" s="20" t="n"/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IF(OR(G26="",C26=""),"",IF(C26&lt;=0,"",IFERROR(G26/C26-1,"")))</f>
        <v/>
      </c>
      <c r="H27" s="15">
        <f>IF(OR(H26="",D26=""),"",IF(D26&lt;=0,"",IFERROR(H26/D26-1,"")))</f>
        <v/>
      </c>
      <c r="I27" s="15">
        <f>IF(OR(I26="",E26=""),"",IF(E26&lt;=0,"",IFERROR(I26/E26-1,"")))</f>
        <v/>
      </c>
      <c r="J27" s="15">
        <f>IF(OR(J26="",F26=""),"",IF(F26&lt;=0,"",IFERROR(J26/F26-1,"")))</f>
        <v/>
      </c>
      <c r="K27" s="15">
        <f>IF(OR(K26="",G26=""),"",IF(G26&lt;=0,"",IFERROR(K26/G26-1,"")))</f>
        <v/>
      </c>
      <c r="L27" s="15">
        <f>IF(OR(L26="",H26=""),"",IF(H26&lt;=0,"",IFERROR(L26/H26-1,"")))</f>
        <v/>
      </c>
      <c r="M27" s="15">
        <f>IF(OR(M26="",I26=""),"",IF(I26&lt;=0,"",IFERROR(M26/I26-1,"")))</f>
        <v/>
      </c>
      <c r="N27" s="15">
        <f>IF(OR(N26="",J26=""),"",IF(J26&lt;=0,"",IFERROR(N26/J26-1,"")))</f>
        <v/>
      </c>
      <c r="O27" s="14" t="n"/>
      <c r="P27" s="15">
        <f>IF(OR(P26="",O26=""),"",IF(O26&lt;=0,"",IFERROR(P26/O26-1,"")))</f>
        <v/>
      </c>
      <c r="Q27" s="15">
        <f>IF(OR(Q26="",P26=""),"",IF(P26&lt;=0,"",IFERROR(Q26/P26-1,"")))</f>
        <v/>
      </c>
      <c r="R27" s="15">
        <f>IF(OR(R26="",Q26=""),"",IF(Q26&lt;=0,"",IFERROR(R26/Q26-1,"")))</f>
        <v/>
      </c>
      <c r="S27" s="15">
        <f>IF(OR(S26="",R26=""),"",IF(R26&lt;=0,"",IFERROR(S26/R26-1,"")))</f>
        <v/>
      </c>
      <c r="T27" s="15">
        <f>IF(OR(T26="",S26=""),"",IF(S26&lt;=0,"",IFERROR(T26/S26-1,"")))</f>
        <v/>
      </c>
      <c r="U27" s="15">
        <f>IF(OR(U26="",T26=""),"",IF(T26&lt;=0,"",IFERROR(U26/T26-1,"")))</f>
        <v/>
      </c>
      <c r="V27" s="15">
        <f>IF(OR(V26="",U26=""),"",IF(U26&lt;=0,"",IFERROR(V26/U26-1,"")))</f>
        <v/>
      </c>
      <c r="W27" s="15">
        <f>IF(OR(W26="",V26=""),"",IF(V26&lt;=0,"",IFERROR(W26/V26-1,"")))</f>
        <v/>
      </c>
      <c r="X27" s="15">
        <f>IF(OR(X26="",W26=""),"",IF(W26&lt;=0,"",IFERROR(X26/W26-1,"")))</f>
        <v/>
      </c>
      <c r="Y27" s="14">
        <f>IF(OR(Y26="",X26=""),"",IF(X26&lt;=0,"",IFERROR(Y26/X26-1,"")))</f>
        <v/>
      </c>
      <c r="Z27" s="15">
        <f>IF(OR(Z26="",Y26=""),"",IF(Y26&lt;=0,"",IFERROR(Z26/Y26-1,"")))</f>
        <v/>
      </c>
      <c r="AA27" s="15">
        <f>IF(OR(AA26="",Z26=""),"",IF(Z26&lt;=0,"",IFERROR(AA26/Z26-1,"")))</f>
        <v/>
      </c>
      <c r="AB27" s="15">
        <f>IF(OR(AB26="",AA26=""),"",IF(AA26&lt;=0,"",IFERROR(AB26/AA26-1,"")))</f>
        <v/>
      </c>
      <c r="AC27" s="15">
        <f>IF(OR(AC26="",AB26=""),"",IF(AB26&lt;=0,"",IFERROR(AC26/AB26-1,"")))</f>
        <v/>
      </c>
    </row>
    <row r="28">
      <c r="A28" s="18" t="inlineStr">
        <is>
          <t>매출총이익</t>
        </is>
      </c>
      <c r="B28" s="10" t="n"/>
      <c r="C28" s="19">
        <f>IF(OR(C4="",C26=""),"",IFERROR(C4-C26,""))</f>
        <v/>
      </c>
      <c r="D28" s="20">
        <f>IF(OR(D4="",D26=""),"",IFERROR(D4-D26,""))</f>
        <v/>
      </c>
      <c r="E28" s="20">
        <f>IF(OR(E4="",E26=""),"",IFERROR(E4-E26,""))</f>
        <v/>
      </c>
      <c r="F28" s="20">
        <f>IF(OR(F4="",F26=""),"",IFERROR(F4-F26,""))</f>
        <v/>
      </c>
      <c r="G28" s="20">
        <f>IF(OR(G4="",G26=""),"",IFERROR(G4-G26,""))</f>
        <v/>
      </c>
      <c r="H28" s="20">
        <f>IF(OR(H4="",H26=""),"",IFERROR(H4-H26,""))</f>
        <v/>
      </c>
      <c r="I28" s="20">
        <f>IF(OR(I4="",I26=""),"",IFERROR(I4-I26,""))</f>
        <v/>
      </c>
      <c r="J28" s="20">
        <f>IF(OR(J4="",J26=""),"",IFERROR(J4-J26,""))</f>
        <v/>
      </c>
      <c r="K28" s="20">
        <f>IF(OR(K4="",K26=""),"",IFERROR(K4-K26,""))</f>
        <v/>
      </c>
      <c r="L28" s="20">
        <f>IF(OR(L4="",L26=""),"",IFERROR(L4-L26,""))</f>
        <v/>
      </c>
      <c r="M28" s="20">
        <f>IF(OR(M4="",M26=""),"",IFERROR(M4-M26,""))</f>
        <v/>
      </c>
      <c r="N28" s="20">
        <f>IF(OR(N4="",N26=""),"",IFERROR(N4-N26,""))</f>
        <v/>
      </c>
      <c r="O28" s="19">
        <f>IF(OR(O4="",O26=""),"",IFERROR(O4-O26,""))</f>
        <v/>
      </c>
      <c r="P28" s="20">
        <f>IF(OR(P4="",P26=""),"",IFERROR(P4-P26,""))</f>
        <v/>
      </c>
      <c r="Q28" s="20">
        <f>IF(OR(Q4="",Q26=""),"",IFERROR(Q4-Q26,""))</f>
        <v/>
      </c>
      <c r="R28" s="20">
        <f>IF(OR(R4="",R26=""),"",IFERROR(R4-R26,""))</f>
        <v/>
      </c>
      <c r="S28" s="20">
        <f>IF(OR(S4="",S26=""),"",IFERROR(S4-S26,""))</f>
        <v/>
      </c>
      <c r="T28" s="20">
        <f>IF(OR(T4="",T26=""),"",IFERROR(T4-T26,""))</f>
        <v/>
      </c>
      <c r="U28" s="20">
        <f>IF(OR(U4="",U26=""),"",IFERROR(U4-U26,""))</f>
        <v/>
      </c>
      <c r="V28" s="20">
        <f>IF(OR(V4="",V26=""),"",IFERROR(V4-V26,""))</f>
        <v/>
      </c>
      <c r="W28" s="20">
        <f>IF(OR(W4="",W26=""),"",IFERROR(W4-W26,""))</f>
        <v/>
      </c>
      <c r="X28" s="20">
        <f>IF(OR(X4="",X26=""),"",IFERROR(X4-X26,""))</f>
        <v/>
      </c>
      <c r="Y28" s="19" t="n"/>
      <c r="Z28" s="20" t="n"/>
      <c r="AA28" s="20" t="n"/>
      <c r="AB28" s="20" t="n"/>
      <c r="AC28" s="20" t="n"/>
    </row>
    <row r="29">
      <c r="A29" s="13" t="inlineStr">
        <is>
          <t>GPM</t>
        </is>
      </c>
      <c r="B29" s="10" t="n"/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14">
        <f>IF(OR(Y28="",Y4=""),"",IFERROR(Y28/Y4,""))</f>
        <v/>
      </c>
      <c r="Z29" s="15">
        <f>IF(OR(Z28="",Z4=""),"",IFERROR(Z28/Z4,""))</f>
        <v/>
      </c>
      <c r="AA29" s="15">
        <f>IF(OR(AA28="",AA4=""),"",IFERROR(AA28/AA4,""))</f>
        <v/>
      </c>
      <c r="AB29" s="15">
        <f>IF(OR(AB28="",AB4=""),"",IFERROR(AB28/AB4,""))</f>
        <v/>
      </c>
      <c r="AC29" s="15">
        <f>IF(OR(AC28="",AC4=""),"",IFERROR(AC28/AC4,""))</f>
        <v/>
      </c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IF(OR(G28="",C28=""),"",IF(C28&lt;=0,"",IFERROR(G28/C28-1,"")))</f>
        <v/>
      </c>
      <c r="H30" s="15">
        <f>IF(OR(H28="",D28=""),"",IF(D28&lt;=0,"",IFERROR(H28/D28-1,"")))</f>
        <v/>
      </c>
      <c r="I30" s="15">
        <f>IF(OR(I28="",E28=""),"",IF(E28&lt;=0,"",IFERROR(I28/E28-1,"")))</f>
        <v/>
      </c>
      <c r="J30" s="15">
        <f>IF(OR(J28="",F28=""),"",IF(F28&lt;=0,"",IFERROR(J28/F28-1,"")))</f>
        <v/>
      </c>
      <c r="K30" s="15">
        <f>IF(OR(K28="",G28=""),"",IF(G28&lt;=0,"",IFERROR(K28/G28-1,"")))</f>
        <v/>
      </c>
      <c r="L30" s="15">
        <f>IF(OR(L28="",H28=""),"",IF(H28&lt;=0,"",IFERROR(L28/H28-1,"")))</f>
        <v/>
      </c>
      <c r="M30" s="15">
        <f>IF(OR(M28="",I28=""),"",IF(I28&lt;=0,"",IFERROR(M28/I28-1,"")))</f>
        <v/>
      </c>
      <c r="N30" s="15">
        <f>IF(OR(N28="",J28=""),"",IF(J28&lt;=0,"",IFERROR(N28/J28-1,"")))</f>
        <v/>
      </c>
      <c r="O30" s="14" t="n"/>
      <c r="P30" s="15">
        <f>IF(OR(P28="",O28=""),"",IF(O28&lt;=0,"",IFERROR(P28/O28-1,"")))</f>
        <v/>
      </c>
      <c r="Q30" s="15">
        <f>IF(OR(Q28="",P28=""),"",IF(P28&lt;=0,"",IFERROR(Q28/P28-1,"")))</f>
        <v/>
      </c>
      <c r="R30" s="15">
        <f>IF(OR(R28="",Q28=""),"",IF(Q28&lt;=0,"",IFERROR(R28/Q28-1,"")))</f>
        <v/>
      </c>
      <c r="S30" s="15">
        <f>IF(OR(S28="",R28=""),"",IF(R28&lt;=0,"",IFERROR(S28/R28-1,"")))</f>
        <v/>
      </c>
      <c r="T30" s="15">
        <f>IF(OR(T28="",S28=""),"",IF(S28&lt;=0,"",IFERROR(T28/S28-1,"")))</f>
        <v/>
      </c>
      <c r="U30" s="15">
        <f>IF(OR(U28="",T28=""),"",IF(T28&lt;=0,"",IFERROR(U28/T28-1,"")))</f>
        <v/>
      </c>
      <c r="V30" s="15">
        <f>IF(OR(V28="",U28=""),"",IF(U28&lt;=0,"",IFERROR(V28/U28-1,"")))</f>
        <v/>
      </c>
      <c r="W30" s="15">
        <f>IF(OR(W28="",V28=""),"",IF(V28&lt;=0,"",IFERROR(W28/V28-1,"")))</f>
        <v/>
      </c>
      <c r="X30" s="15">
        <f>IF(OR(X28="",W28=""),"",IF(W28&lt;=0,"",IFERROR(X28/W28-1,"")))</f>
        <v/>
      </c>
      <c r="Y30" s="14">
        <f>IF(OR(Y28="",X28=""),"",IF(X28&lt;=0,"",IFERROR(Y28/X28-1,"")))</f>
        <v/>
      </c>
      <c r="Z30" s="15">
        <f>IF(OR(Z28="",Y28=""),"",IF(Y28&lt;=0,"",IFERROR(Z28/Y28-1,"")))</f>
        <v/>
      </c>
      <c r="AA30" s="15">
        <f>IF(OR(AA28="",Z28=""),"",IF(Z28&lt;=0,"",IFERROR(AA28/Z28-1,"")))</f>
        <v/>
      </c>
      <c r="AB30" s="15">
        <f>IF(OR(AB28="",AA28=""),"",IF(AA28&lt;=0,"",IFERROR(AB28/AA28-1,"")))</f>
        <v/>
      </c>
      <c r="AC30" s="15">
        <f>IF(OR(AC28="",AB28=""),"",IF(AB28&lt;=0,"",IFERROR(AC28/AB28-1,"")))</f>
        <v/>
      </c>
    </row>
    <row r="31">
      <c r="A31" s="23" t="inlineStr">
        <is>
          <t>판매관리비</t>
        </is>
      </c>
      <c r="B31" s="23" t="n"/>
      <c r="C31" s="24" t="n"/>
      <c r="D31" s="23" t="n"/>
      <c r="E31" s="23" t="n"/>
      <c r="F31" s="23" t="n"/>
      <c r="G31" s="23" t="n"/>
      <c r="H31" s="23" t="n"/>
      <c r="I31" s="23" t="n"/>
      <c r="J31" s="23" t="n"/>
      <c r="K31" s="23" t="n"/>
      <c r="L31" s="23" t="n"/>
      <c r="M31" s="23" t="n"/>
      <c r="N31" s="23" t="n"/>
      <c r="O31" s="24" t="n"/>
      <c r="P31" s="23" t="n"/>
      <c r="Q31" s="23" t="n"/>
      <c r="R31" s="23" t="n"/>
      <c r="S31" s="23" t="n"/>
      <c r="T31" s="23" t="n"/>
      <c r="U31" s="23" t="n"/>
      <c r="V31" s="23" t="n"/>
      <c r="W31" s="23" t="n"/>
      <c r="X31" s="23" t="n"/>
      <c r="Y31" s="24" t="n"/>
      <c r="Z31" s="23" t="n"/>
      <c r="AA31" s="23" t="n"/>
      <c r="AB31" s="23" t="n"/>
      <c r="AC31" s="23" t="n"/>
    </row>
    <row r="32">
      <c r="A32" s="18" t="inlineStr">
        <is>
          <t>전체 판관비</t>
        </is>
      </c>
      <c r="B32" s="10" t="n"/>
      <c r="C32" s="19" t="n"/>
      <c r="D32" s="20" t="n"/>
      <c r="E32" s="20" t="n">
        <v>2816</v>
      </c>
      <c r="F32" s="20" t="n">
        <v>2803</v>
      </c>
      <c r="G32" s="20" t="n">
        <v>5421</v>
      </c>
      <c r="H32" s="20" t="n">
        <v>4117</v>
      </c>
      <c r="I32" s="20" t="n">
        <v>3169</v>
      </c>
      <c r="J32" s="20" t="n">
        <v>3034</v>
      </c>
      <c r="K32" s="20" t="n">
        <v>3366</v>
      </c>
      <c r="L32" s="20" t="n">
        <v>5337</v>
      </c>
      <c r="M32" s="20" t="n">
        <v>3027</v>
      </c>
      <c r="N32" s="20" t="n">
        <v>4815</v>
      </c>
      <c r="O32" s="19" t="n">
        <v>4517</v>
      </c>
      <c r="P32" s="20" t="n">
        <v>5366</v>
      </c>
      <c r="Q32" s="20" t="n">
        <v>6854</v>
      </c>
      <c r="R32" s="20" t="n">
        <v>7477</v>
      </c>
      <c r="S32" s="20" t="n">
        <v>10206</v>
      </c>
      <c r="T32" s="20" t="n">
        <v>11115</v>
      </c>
      <c r="U32" s="20" t="n">
        <v>13110</v>
      </c>
      <c r="V32" s="20" t="n"/>
      <c r="W32" s="20" t="n">
        <v>15157</v>
      </c>
      <c r="X32" s="20" t="n">
        <v>14906</v>
      </c>
      <c r="Y32" s="19" t="n"/>
      <c r="Z32" s="20" t="n"/>
      <c r="AA32" s="20" t="n"/>
      <c r="AB32" s="20" t="n"/>
      <c r="AC32" s="20" t="n"/>
    </row>
    <row r="33">
      <c r="A33" s="13" t="inlineStr">
        <is>
          <t>YoY</t>
        </is>
      </c>
      <c r="B33" s="10" t="n"/>
      <c r="C33" s="14" t="n"/>
      <c r="D33" s="15" t="n"/>
      <c r="E33" s="15" t="n"/>
      <c r="F33" s="15" t="n"/>
      <c r="G33" s="15">
        <f>IF(OR(G32="",C32=""),"",IF(C32&lt;=0,"",IFERROR(G32/C32-1,"")))</f>
        <v/>
      </c>
      <c r="H33" s="15">
        <f>IF(OR(H32="",D32=""),"",IF(D32&lt;=0,"",IFERROR(H32/D32-1,"")))</f>
        <v/>
      </c>
      <c r="I33" s="15">
        <f>IF(OR(I32="",E32=""),"",IF(E32&lt;=0,"",IFERROR(I32/E32-1,"")))</f>
        <v/>
      </c>
      <c r="J33" s="15">
        <f>IF(OR(J32="",F32=""),"",IF(F32&lt;=0,"",IFERROR(J32/F32-1,"")))</f>
        <v/>
      </c>
      <c r="K33" s="15">
        <f>IF(OR(K32="",G32=""),"",IF(G32&lt;=0,"",IFERROR(K32/G32-1,"")))</f>
        <v/>
      </c>
      <c r="L33" s="15">
        <f>IF(OR(L32="",H32=""),"",IF(H32&lt;=0,"",IFERROR(L32/H32-1,"")))</f>
        <v/>
      </c>
      <c r="M33" s="15">
        <f>IF(OR(M32="",I32=""),"",IF(I32&lt;=0,"",IFERROR(M32/I32-1,"")))</f>
        <v/>
      </c>
      <c r="N33" s="15">
        <f>IF(OR(N32="",J32=""),"",IF(J32&lt;=0,"",IFERROR(N32/J32-1,"")))</f>
        <v/>
      </c>
      <c r="O33" s="14" t="n"/>
      <c r="P33" s="15">
        <f>IF(OR(P32="",O32=""),"",IF(O32&lt;=0,"",IFERROR(P32/O32-1,"")))</f>
        <v/>
      </c>
      <c r="Q33" s="15">
        <f>IF(OR(Q32="",P32=""),"",IF(P32&lt;=0,"",IFERROR(Q32/P32-1,"")))</f>
        <v/>
      </c>
      <c r="R33" s="15">
        <f>IF(OR(R32="",Q32=""),"",IF(Q32&lt;=0,"",IFERROR(R32/Q32-1,"")))</f>
        <v/>
      </c>
      <c r="S33" s="15">
        <f>IF(OR(S32="",R32=""),"",IF(R32&lt;=0,"",IFERROR(S32/R32-1,"")))</f>
        <v/>
      </c>
      <c r="T33" s="15">
        <f>IF(OR(T32="",S32=""),"",IF(S32&lt;=0,"",IFERROR(T32/S32-1,"")))</f>
        <v/>
      </c>
      <c r="U33" s="15">
        <f>IF(OR(U32="",T32=""),"",IF(T32&lt;=0,"",IFERROR(U32/T32-1,"")))</f>
        <v/>
      </c>
      <c r="V33" s="15">
        <f>IF(OR(V32="",U32=""),"",IF(U32&lt;=0,"",IFERROR(V32/U32-1,"")))</f>
        <v/>
      </c>
      <c r="W33" s="15">
        <f>IF(OR(W32="",V32=""),"",IF(V32&lt;=0,"",IFERROR(W32/V32-1,"")))</f>
        <v/>
      </c>
      <c r="X33" s="15">
        <f>IF(OR(X32="",W32=""),"",IF(W32&lt;=0,"",IFERROR(X32/W32-1,"")))</f>
        <v/>
      </c>
      <c r="Y33" s="14">
        <f>IF(OR(Y32="",X32=""),"",IF(X32&lt;=0,"",IFERROR(Y32/X32-1,"")))</f>
        <v/>
      </c>
      <c r="Z33" s="15">
        <f>IF(OR(Z32="",Y32=""),"",IF(Y32&lt;=0,"",IFERROR(Z32/Y32-1,"")))</f>
        <v/>
      </c>
      <c r="AA33" s="15">
        <f>IF(OR(AA32="",Z32=""),"",IF(Z32&lt;=0,"",IFERROR(AA32/Z32-1,"")))</f>
        <v/>
      </c>
      <c r="AB33" s="15">
        <f>IF(OR(AB32="",AA32=""),"",IF(AA32&lt;=0,"",IFERROR(AB32/AA32-1,"")))</f>
        <v/>
      </c>
      <c r="AC33" s="15">
        <f>IF(OR(AC32="",AB32=""),"",IF(AB32&lt;=0,"",IFERROR(AC32/AB32-1,"")))</f>
        <v/>
      </c>
    </row>
    <row r="34">
      <c r="A34" s="9" t="inlineStr">
        <is>
          <t>영업이익</t>
        </is>
      </c>
      <c r="B34" s="10" t="inlineStr">
        <is>
          <t>MW = 매출 × OPM</t>
        </is>
      </c>
      <c r="C34" s="11" t="n"/>
      <c r="D34" s="12" t="n"/>
      <c r="E34" s="12" t="n">
        <v>3289</v>
      </c>
      <c r="F34" s="12" t="n">
        <v>1027</v>
      </c>
      <c r="G34" s="12" t="n">
        <v>9437</v>
      </c>
      <c r="H34" s="12" t="n">
        <v>7558</v>
      </c>
      <c r="I34" s="12" t="n">
        <v>2183</v>
      </c>
      <c r="J34" s="12" t="n">
        <v>2722</v>
      </c>
      <c r="K34" s="12" t="n">
        <v>5641</v>
      </c>
      <c r="L34" s="12" t="n">
        <v>15555</v>
      </c>
      <c r="M34" s="12" t="n">
        <v>588</v>
      </c>
      <c r="N34" s="12" t="n">
        <v>9990</v>
      </c>
      <c r="O34" s="11" t="n">
        <v>7042</v>
      </c>
      <c r="P34" s="12" t="n">
        <v>11561</v>
      </c>
      <c r="Q34" s="12" t="n">
        <v>12912</v>
      </c>
      <c r="R34" s="12" t="n">
        <v>12202</v>
      </c>
      <c r="S34" s="12" t="n">
        <v>10381</v>
      </c>
      <c r="T34" s="12" t="n">
        <v>15492</v>
      </c>
      <c r="U34" s="12" t="n">
        <v>16842</v>
      </c>
      <c r="V34" s="12" t="n"/>
      <c r="W34" s="12" t="n">
        <v>21311</v>
      </c>
      <c r="X34" s="12" t="n">
        <v>26101</v>
      </c>
      <c r="Y34" s="11">
        <f>IF(OR(Y4="",Y35=""),"",IFERROR(Y4*Y35,""))</f>
        <v/>
      </c>
      <c r="Z34" s="12">
        <f>IF(OR(Z4="",Z35=""),"",IFERROR(Z4*Z35,""))</f>
        <v/>
      </c>
      <c r="AA34" s="12">
        <f>IF(OR(AA4="",AA35=""),"",IFERROR(AA4*AA35,""))</f>
        <v/>
      </c>
      <c r="AB34" s="12">
        <f>IF(OR(AB4="",AB35=""),"",IFERROR(AB4*AB35,""))</f>
        <v/>
      </c>
      <c r="AC34" s="12">
        <f>IF(OR(AC4="",AC35=""),"",IFERROR(AC4*AC35,""))</f>
        <v/>
      </c>
    </row>
    <row r="35">
      <c r="A35" s="13" t="inlineStr">
        <is>
          <t>OPM</t>
        </is>
      </c>
      <c r="B35" s="10" t="inlineStr">
        <is>
          <t>MW 입력</t>
        </is>
      </c>
      <c r="C35" s="14">
        <f>IF(OR(C34="",C4=""),"",IFERROR(C34/C4,""))</f>
        <v/>
      </c>
      <c r="D35" s="15">
        <f>IF(OR(D34="",D4=""),"",IFERROR(D34/D4,""))</f>
        <v/>
      </c>
      <c r="E35" s="15">
        <f>IF(OR(E34="",E4=""),"",IFERROR(E34/E4,""))</f>
        <v/>
      </c>
      <c r="F35" s="15">
        <f>IF(OR(F34="",F4=""),"",IFERROR(F34/F4,""))</f>
        <v/>
      </c>
      <c r="G35" s="15">
        <f>IF(OR(G34="",G4=""),"",IFERROR(G34/G4,""))</f>
        <v/>
      </c>
      <c r="H35" s="15">
        <f>IF(OR(H34="",H4=""),"",IFERROR(H34/H4,""))</f>
        <v/>
      </c>
      <c r="I35" s="15">
        <f>IF(OR(I34="",I4=""),"",IFERROR(I34/I4,""))</f>
        <v/>
      </c>
      <c r="J35" s="15">
        <f>IF(OR(J34="",J4=""),"",IFERROR(J34/J4,""))</f>
        <v/>
      </c>
      <c r="K35" s="15">
        <f>IF(OR(K34="",K4=""),"",IFERROR(K34/K4,""))</f>
        <v/>
      </c>
      <c r="L35" s="15">
        <f>IF(OR(L34="",L4=""),"",IFERROR(L34/L4,""))</f>
        <v/>
      </c>
      <c r="M35" s="15">
        <f>IF(OR(M34="",M4=""),"",IFERROR(M34/M4,""))</f>
        <v/>
      </c>
      <c r="N35" s="15">
        <f>IF(OR(N34="",N4=""),"",IFERROR(N34/N4,""))</f>
        <v/>
      </c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25" t="n"/>
      <c r="Z35" s="26" t="n"/>
      <c r="AA35" s="26" t="n"/>
      <c r="AB35" s="26" t="n"/>
      <c r="AC35" s="26" t="n"/>
    </row>
    <row r="36">
      <c r="A36" s="13" t="inlineStr">
        <is>
          <t>증가율</t>
        </is>
      </c>
      <c r="B36" s="10" t="n"/>
      <c r="C36" s="14" t="n"/>
      <c r="D36" s="15" t="n"/>
      <c r="E36" s="15" t="n"/>
      <c r="F36" s="15" t="n"/>
      <c r="G36" s="15">
        <f>IF(OR(G34="",C34=""),"",IFERROR(G34/C34-1,""))</f>
        <v/>
      </c>
      <c r="H36" s="15">
        <f>IF(OR(H34="",D34=""),"",IFERROR(H34/D34-1,""))</f>
        <v/>
      </c>
      <c r="I36" s="15">
        <f>IF(OR(I34="",E34=""),"",IFERROR(I34/E34-1,""))</f>
        <v/>
      </c>
      <c r="J36" s="15">
        <f>IF(OR(J34="",F34=""),"",IFERROR(J34/F34-1,""))</f>
        <v/>
      </c>
      <c r="K36" s="15">
        <f>IF(OR(K34="",G34=""),"",IFERROR(K34/G34-1,""))</f>
        <v/>
      </c>
      <c r="L36" s="15">
        <f>IF(OR(L34="",H34=""),"",IFERROR(L34/H34-1,""))</f>
        <v/>
      </c>
      <c r="M36" s="15">
        <f>IF(OR(M34="",I34=""),"",IFERROR(M34/I34-1,""))</f>
        <v/>
      </c>
      <c r="N36" s="15">
        <f>IF(OR(N34="",J34=""),"",IFERROR(N34/J34-1,""))</f>
        <v/>
      </c>
      <c r="O36" s="14" t="n"/>
      <c r="P36" s="15">
        <f>IF(OR(P34="",O34=""),"",IFERROR(P34/O34-1,""))</f>
        <v/>
      </c>
      <c r="Q36" s="15">
        <f>IF(OR(Q34="",P34=""),"",IFERROR(Q34/P34-1,""))</f>
        <v/>
      </c>
      <c r="R36" s="15">
        <f>IF(OR(R34="",Q34=""),"",IFERROR(R34/Q34-1,""))</f>
        <v/>
      </c>
      <c r="S36" s="15">
        <f>IF(OR(S34="",R34=""),"",IFERROR(S34/R34-1,""))</f>
        <v/>
      </c>
      <c r="T36" s="15">
        <f>IF(OR(T34="",S34=""),"",IFERROR(T34/S34-1,""))</f>
        <v/>
      </c>
      <c r="U36" s="15">
        <f>IF(OR(U34="",T34=""),"",IFERROR(U34/T34-1,""))</f>
        <v/>
      </c>
      <c r="V36" s="15">
        <f>IF(OR(V34="",U34=""),"",IFERROR(V34/U34-1,""))</f>
        <v/>
      </c>
      <c r="W36" s="15">
        <f>IF(OR(W34="",V34=""),"",IFERROR(W34/V34-1,""))</f>
        <v/>
      </c>
      <c r="X36" s="15">
        <f>IF(OR(X34="",W34=""),"",IFERROR(X34/W34-1,""))</f>
        <v/>
      </c>
      <c r="Y36" s="14">
        <f>IF(OR(Y34="",X34=""),"",IFERROR(Y34/X34-1,""))</f>
        <v/>
      </c>
      <c r="Z36" s="15">
        <f>IF(OR(Z34="",Y34=""),"",IFERROR(Z34/Y34-1,""))</f>
        <v/>
      </c>
      <c r="AA36" s="15">
        <f>IF(OR(AA34="",Z34=""),"",IFERROR(AA34/Z34-1,""))</f>
        <v/>
      </c>
      <c r="AB36" s="15">
        <f>IF(OR(AB34="",AA34=""),"",IFERROR(AB34/AA34-1,""))</f>
        <v/>
      </c>
      <c r="AC36" s="15">
        <f>IF(OR(AC34="",AB34=""),"",IFERROR(AC34/AB34-1,""))</f>
        <v/>
      </c>
    </row>
    <row r="37">
      <c r="A37" s="16" t="inlineStr">
        <is>
          <t>비용의 성격별 분류</t>
        </is>
      </c>
      <c r="B37" s="16" t="inlineStr">
        <is>
          <t>참고 데이터</t>
        </is>
      </c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9" t="inlineStr">
        <is>
          <t>총 판관비</t>
        </is>
      </c>
      <c r="B38" s="10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1">
        <f>IF(O32="","",O32)</f>
        <v/>
      </c>
      <c r="P38" s="12">
        <f>IF(P32="","",P32)</f>
        <v/>
      </c>
      <c r="Q38" s="12">
        <f>IF(Q32="","",Q32)</f>
        <v/>
      </c>
      <c r="R38" s="12">
        <f>IF(R32="","",R32)</f>
        <v/>
      </c>
      <c r="S38" s="12">
        <f>IF(S32="","",S32)</f>
        <v/>
      </c>
      <c r="T38" s="12">
        <f>IF(T32="","",T32)</f>
        <v/>
      </c>
      <c r="U38" s="12">
        <f>IF(U32="","",U32)</f>
        <v/>
      </c>
      <c r="V38" s="12">
        <f>IF(V32="","",V32)</f>
        <v/>
      </c>
      <c r="W38" s="12">
        <f>IF(W32="","",W32)</f>
        <v/>
      </c>
      <c r="X38" s="12">
        <f>IF(X32="","",X32)</f>
        <v/>
      </c>
      <c r="Y38" s="11" t="n"/>
      <c r="Z38" s="12" t="n"/>
      <c r="AA38" s="12" t="n"/>
      <c r="AB38" s="12" t="n"/>
      <c r="AC38" s="12" t="n"/>
    </row>
    <row r="39">
      <c r="A39" s="18" t="inlineStr">
        <is>
          <t>급여</t>
        </is>
      </c>
      <c r="B39" s="10" t="inlineStr">
        <is>
          <t>고정비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>
        <v>963</v>
      </c>
      <c r="P39" s="20" t="n">
        <v>1126</v>
      </c>
      <c r="Q39" s="20" t="n">
        <v>1375</v>
      </c>
      <c r="R39" s="20" t="n">
        <v>1723</v>
      </c>
      <c r="S39" s="20" t="n">
        <v>2146</v>
      </c>
      <c r="T39" s="20" t="n">
        <v>2574</v>
      </c>
      <c r="U39" s="20" t="n"/>
      <c r="V39" s="20" t="n"/>
      <c r="W39" s="20" t="n">
        <v>3635</v>
      </c>
      <c r="X39" s="20" t="n">
        <v>3974</v>
      </c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감가상각비</t>
        </is>
      </c>
      <c r="B41" s="10" t="inlineStr">
        <is>
          <t>고정비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8" t="inlineStr">
        <is>
          <t>지급수수료</t>
        </is>
      </c>
      <c r="B43" s="10" t="inlineStr">
        <is>
          <t>고정비</t>
        </is>
      </c>
      <c r="C43" s="19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19" t="n">
        <v>224</v>
      </c>
      <c r="P43" s="20" t="n">
        <v>373</v>
      </c>
      <c r="Q43" s="20" t="n">
        <v>388</v>
      </c>
      <c r="R43" s="20" t="n">
        <v>333</v>
      </c>
      <c r="S43" s="20" t="n">
        <v>540</v>
      </c>
      <c r="T43" s="20" t="n">
        <v>620</v>
      </c>
      <c r="U43" s="20" t="n"/>
      <c r="V43" s="20" t="n"/>
      <c r="W43" s="20" t="n">
        <v>791</v>
      </c>
      <c r="X43" s="20" t="n">
        <v>948</v>
      </c>
      <c r="Y43" s="19" t="n"/>
      <c r="Z43" s="20" t="n"/>
      <c r="AA43" s="20" t="n"/>
      <c r="AB43" s="20" t="n"/>
      <c r="AC43" s="20" t="n"/>
    </row>
    <row r="44">
      <c r="A44" s="13" t="inlineStr">
        <is>
          <t>% of Sales</t>
        </is>
      </c>
      <c r="B44" s="10" t="n"/>
      <c r="C44" s="14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14" t="n"/>
      <c r="Z44" s="15" t="n"/>
      <c r="AA44" s="15" t="n"/>
      <c r="AB44" s="15" t="n"/>
      <c r="AC44" s="15" t="n"/>
    </row>
    <row r="45">
      <c r="A45" s="18" t="inlineStr">
        <is>
          <t>연구개발비</t>
        </is>
      </c>
      <c r="B45" s="10" t="inlineStr">
        <is>
          <t>변동비</t>
        </is>
      </c>
      <c r="C45" s="19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19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19" t="n"/>
      <c r="Z45" s="20" t="n"/>
      <c r="AA45" s="20" t="n"/>
      <c r="AB45" s="20" t="n"/>
      <c r="AC45" s="20" t="n"/>
    </row>
    <row r="46">
      <c r="A46" s="13" t="inlineStr">
        <is>
          <t>% of Sales</t>
        </is>
      </c>
      <c r="B46" s="10" t="n"/>
      <c r="C46" s="14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14" t="n"/>
      <c r="Z46" s="15" t="n"/>
      <c r="AA46" s="15" t="n"/>
      <c r="AB46" s="15" t="n"/>
      <c r="AC46" s="15" t="n"/>
    </row>
    <row r="47">
      <c r="A47" s="18" t="inlineStr">
        <is>
          <t>기타비용</t>
        </is>
      </c>
      <c r="B47" s="10" t="inlineStr">
        <is>
          <t>변동비</t>
        </is>
      </c>
      <c r="C47" s="19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19">
        <f>IF(OR(O38="",O39="",O41="",O43="",O45=""),"",IFERROR(O38-O39-O41-O43-O45,""))</f>
        <v/>
      </c>
      <c r="P47" s="20">
        <f>IF(OR(P38="",P39="",P41="",P43="",P45=""),"",IFERROR(P38-P39-P41-P43-P45,""))</f>
        <v/>
      </c>
      <c r="Q47" s="20">
        <f>IF(OR(Q38="",Q39="",Q41="",Q43="",Q45=""),"",IFERROR(Q38-Q39-Q41-Q43-Q45,""))</f>
        <v/>
      </c>
      <c r="R47" s="20">
        <f>IF(OR(R38="",R39="",R41="",R43="",R45=""),"",IFERROR(R38-R39-R41-R43-R45,""))</f>
        <v/>
      </c>
      <c r="S47" s="20">
        <f>IF(OR(S38="",S39="",S41="",S43="",S45=""),"",IFERROR(S38-S39-S41-S43-S45,""))</f>
        <v/>
      </c>
      <c r="T47" s="20">
        <f>IF(OR(T38="",T39="",T41="",T43="",T45=""),"",IFERROR(T38-T39-T41-T43-T45,""))</f>
        <v/>
      </c>
      <c r="U47" s="20">
        <f>IF(OR(U38="",U39="",U41="",U43="",U45=""),"",IFERROR(U38-U39-U41-U43-U45,""))</f>
        <v/>
      </c>
      <c r="V47" s="20">
        <f>IF(OR(V38="",V39="",V41="",V43="",V45=""),"",IFERROR(V38-V39-V41-V43-V45,""))</f>
        <v/>
      </c>
      <c r="W47" s="20">
        <f>IF(OR(W38="",W39="",W41="",W43="",W45=""),"",IFERROR(W38-W39-W41-W43-W45,""))</f>
        <v/>
      </c>
      <c r="X47" s="20">
        <f>IF(OR(X38="",X39="",X41="",X43="",X45=""),"",IFERROR(X38-X39-X41-X43-X45,""))</f>
        <v/>
      </c>
      <c r="Y47" s="19" t="n"/>
      <c r="Z47" s="20" t="n"/>
      <c r="AA47" s="20" t="n"/>
      <c r="AB47" s="20" t="n"/>
      <c r="AC47" s="20" t="n"/>
    </row>
    <row r="48">
      <c r="A48" s="13" t="inlineStr">
        <is>
          <t>% of Sales</t>
        </is>
      </c>
      <c r="B48" s="10" t="n"/>
      <c r="C48" s="14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14" t="n"/>
      <c r="Z48" s="15" t="n"/>
      <c r="AA48" s="15" t="n"/>
      <c r="AB48" s="15" t="n"/>
      <c r="AC48" s="15" t="n"/>
    </row>
    <row r="49">
      <c r="A49" s="16" t="inlineStr">
        <is>
          <t>당기순이익 추정</t>
        </is>
      </c>
      <c r="B49" s="16" t="n"/>
      <c r="C49" s="17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7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7" t="n"/>
      <c r="Z49" s="16" t="n"/>
      <c r="AA49" s="16" t="n"/>
      <c r="AB49" s="16" t="n"/>
      <c r="AC49" s="16" t="n"/>
    </row>
    <row r="50">
      <c r="A50" s="18" t="inlineStr">
        <is>
          <t>특별이익</t>
        </is>
      </c>
      <c r="B50" s="10" t="n"/>
      <c r="C50" s="19" t="n"/>
      <c r="D50" s="20" t="n"/>
      <c r="E50" s="20" t="n">
        <v>0</v>
      </c>
      <c r="F50" s="20" t="n">
        <v>0</v>
      </c>
      <c r="G50" s="20" t="n">
        <v>0</v>
      </c>
      <c r="H50" s="20" t="n">
        <v>0</v>
      </c>
      <c r="I50" s="20" t="n">
        <v>531</v>
      </c>
      <c r="J50" s="20" t="n">
        <v>24</v>
      </c>
      <c r="K50" s="20" t="n">
        <v>1</v>
      </c>
      <c r="L50" s="20" t="n">
        <v>1</v>
      </c>
      <c r="M50" s="20" t="n">
        <v>166</v>
      </c>
      <c r="N50" s="20" t="n">
        <v>266</v>
      </c>
      <c r="O50" s="19" t="n">
        <v>395</v>
      </c>
      <c r="P50" s="20" t="n">
        <v>0</v>
      </c>
      <c r="Q50" s="20" t="n">
        <v>0</v>
      </c>
      <c r="R50" s="20" t="n">
        <v>0</v>
      </c>
      <c r="S50" s="20" t="n">
        <v>0</v>
      </c>
      <c r="T50" s="20" t="n">
        <v>205</v>
      </c>
      <c r="U50" s="20" t="n">
        <v>0</v>
      </c>
      <c r="V50" s="20" t="n"/>
      <c r="W50" s="20" t="n">
        <v>0</v>
      </c>
      <c r="X50" s="20" t="n">
        <v>557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inlineStr">
        <is>
          <t>MW = 최근 3년 평균</t>
        </is>
      </c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18" t="inlineStr">
        <is>
          <t>특별손실</t>
        </is>
      </c>
      <c r="B52" s="10" t="n"/>
      <c r="C52" s="19" t="n"/>
      <c r="D52" s="20" t="n"/>
      <c r="E52" s="20" t="n">
        <v>0</v>
      </c>
      <c r="F52" s="20" t="n">
        <v>0</v>
      </c>
      <c r="G52" s="20" t="n">
        <v>0</v>
      </c>
      <c r="H52" s="20" t="n">
        <v>159</v>
      </c>
      <c r="I52" s="20" t="n">
        <v>0</v>
      </c>
      <c r="J52" s="20" t="n">
        <v>0</v>
      </c>
      <c r="K52" s="20" t="n">
        <v>0</v>
      </c>
      <c r="L52" s="20" t="n">
        <v>12</v>
      </c>
      <c r="M52" s="20" t="n">
        <v>3</v>
      </c>
      <c r="N52" s="20" t="n">
        <v>4</v>
      </c>
      <c r="O52" s="19" t="n">
        <v>150</v>
      </c>
      <c r="P52" s="20" t="n">
        <v>52</v>
      </c>
      <c r="Q52" s="20" t="n">
        <v>7</v>
      </c>
      <c r="R52" s="20" t="n">
        <v>0</v>
      </c>
      <c r="S52" s="20" t="n">
        <v>0</v>
      </c>
      <c r="T52" s="20" t="n">
        <v>3927</v>
      </c>
      <c r="U52" s="20" t="n">
        <v>275</v>
      </c>
      <c r="V52" s="20" t="n"/>
      <c r="W52" s="20" t="n">
        <v>159</v>
      </c>
      <c r="X52" s="20" t="n">
        <v>12</v>
      </c>
      <c r="Y52" s="19">
        <f>IF(OR(Y4="",Y53=""),"",IFERROR(Y4*Y53,""))</f>
        <v/>
      </c>
      <c r="Z52" s="20">
        <f>IF(OR(Z4="",Z53=""),"",IFERROR(Z4*Z53,""))</f>
        <v/>
      </c>
      <c r="AA52" s="20">
        <f>IF(OR(AA4="",AA53=""),"",IFERROR(AA4*AA53,""))</f>
        <v/>
      </c>
      <c r="AB52" s="20">
        <f>IF(OR(AB4="",AB53=""),"",IFERROR(AB4*AB53,""))</f>
        <v/>
      </c>
      <c r="AC52" s="20">
        <f>IF(OR(AC4="",AC53=""),"",IFERROR(AC4*AC53,""))</f>
        <v/>
      </c>
    </row>
    <row r="53">
      <c r="A53" s="13" t="inlineStr">
        <is>
          <t>% of Sales</t>
        </is>
      </c>
      <c r="B53" s="10" t="n"/>
      <c r="C53" s="14">
        <f>IF(OR(C52="",C4=""),"",IFERROR(C52/C4,""))</f>
        <v/>
      </c>
      <c r="D53" s="15">
        <f>IF(OR(D52="",D4=""),"",IFERROR(D52/D4,""))</f>
        <v/>
      </c>
      <c r="E53" s="15">
        <f>IF(OR(E52="",E4=""),"",IFERROR(E52/E4,""))</f>
        <v/>
      </c>
      <c r="F53" s="15">
        <f>IF(OR(F52="",F4=""),"",IFERROR(F52/F4,""))</f>
        <v/>
      </c>
      <c r="G53" s="15">
        <f>IF(OR(G52="",G4=""),"",IFERROR(G52/G4,""))</f>
        <v/>
      </c>
      <c r="H53" s="15">
        <f>IF(OR(H52="",H4=""),"",IFERROR(H52/H4,""))</f>
        <v/>
      </c>
      <c r="I53" s="15">
        <f>IF(OR(I52="",I4=""),"",IFERROR(I52/I4,""))</f>
        <v/>
      </c>
      <c r="J53" s="15">
        <f>IF(OR(J52="",J4=""),"",IFERROR(J52/J4,""))</f>
        <v/>
      </c>
      <c r="K53" s="15">
        <f>IF(OR(K52="",K4=""),"",IFERROR(K52/K4,""))</f>
        <v/>
      </c>
      <c r="L53" s="15">
        <f>IF(OR(L52="",L4=""),"",IFERROR(L52/L4,""))</f>
        <v/>
      </c>
      <c r="M53" s="15">
        <f>IF(OR(M52="",M4=""),"",IFERROR(M52/M4,""))</f>
        <v/>
      </c>
      <c r="N53" s="15">
        <f>IF(OR(N52="",N4=""),"",IFERROR(N52/N4,""))</f>
        <v/>
      </c>
      <c r="O53" s="14">
        <f>IF(OR(O52="",O4=""),"",IFERROR(O52/O4,""))</f>
        <v/>
      </c>
      <c r="P53" s="15">
        <f>IF(OR(P52="",P4=""),"",IFERROR(P52/P4,""))</f>
        <v/>
      </c>
      <c r="Q53" s="15">
        <f>IF(OR(Q52="",Q4=""),"",IFERROR(Q52/Q4,""))</f>
        <v/>
      </c>
      <c r="R53" s="15">
        <f>IF(OR(R52="",R4=""),"",IFERROR(R52/R4,""))</f>
        <v/>
      </c>
      <c r="S53" s="15">
        <f>IF(OR(S52="",S4=""),"",IFERROR(S52/S4,""))</f>
        <v/>
      </c>
      <c r="T53" s="15">
        <f>IF(OR(T52="",T4=""),"",IFERROR(T52/T4,""))</f>
        <v/>
      </c>
      <c r="U53" s="15">
        <f>IF(OR(U52="",U4=""),"",IFERROR(U52/U4,""))</f>
        <v/>
      </c>
      <c r="V53" s="15">
        <f>IF(OR(V52="",V4=""),"",IFERROR(V52/V4,""))</f>
        <v/>
      </c>
      <c r="W53" s="15">
        <f>IF(OR(W52="",W4=""),"",IFERROR(W52/W4,""))</f>
        <v/>
      </c>
      <c r="X53" s="15">
        <f>IF(OR(X52="",X4=""),"",IFERROR(X52/X4,""))</f>
        <v/>
      </c>
      <c r="Y53" s="25">
        <f>IFERROR(AVERAGE(V53,W53,X53),"")</f>
        <v/>
      </c>
      <c r="Z53" s="26">
        <f>Y53</f>
        <v/>
      </c>
      <c r="AA53" s="26">
        <f>Z53</f>
        <v/>
      </c>
      <c r="AB53" s="26">
        <f>AA53</f>
        <v/>
      </c>
      <c r="AC53" s="26">
        <f>AB53</f>
        <v/>
      </c>
    </row>
    <row r="54">
      <c r="A54" s="18" t="inlineStr">
        <is>
          <t>영업외수익</t>
        </is>
      </c>
      <c r="B54" s="10" t="n"/>
      <c r="C54" s="19" t="n"/>
      <c r="D54" s="20" t="n"/>
      <c r="E54" s="20" t="n">
        <v>313</v>
      </c>
      <c r="F54" s="20" t="n">
        <v>-168</v>
      </c>
      <c r="G54" s="20" t="n">
        <v>323</v>
      </c>
      <c r="H54" s="20" t="n">
        <v>-159</v>
      </c>
      <c r="I54" s="20" t="n">
        <v>145</v>
      </c>
      <c r="J54" s="20" t="n">
        <v>180</v>
      </c>
      <c r="K54" s="20" t="n">
        <v>320</v>
      </c>
      <c r="L54" s="20" t="n">
        <v>164</v>
      </c>
      <c r="M54" s="20" t="n">
        <v>155</v>
      </c>
      <c r="N54" s="20" t="n">
        <v>49</v>
      </c>
      <c r="O54" s="19" t="n">
        <v>58</v>
      </c>
      <c r="P54" s="20" t="n">
        <v>17</v>
      </c>
      <c r="Q54" s="20" t="n">
        <v>84</v>
      </c>
      <c r="R54" s="20" t="n">
        <v>155</v>
      </c>
      <c r="S54" s="20" t="n">
        <v>303</v>
      </c>
      <c r="T54" s="20" t="n">
        <v>478</v>
      </c>
      <c r="U54" s="20" t="n">
        <v>452</v>
      </c>
      <c r="V54" s="20" t="n"/>
      <c r="W54" s="20" t="n">
        <v>309</v>
      </c>
      <c r="X54" s="20" t="n">
        <v>809</v>
      </c>
      <c r="Y54" s="19">
        <f>IF(OR(Y4="",Y55=""),"",IFERROR(Y4*Y55,""))</f>
        <v/>
      </c>
      <c r="Z54" s="20">
        <f>IF(OR(Z4="",Z55=""),"",IFERROR(Z4*Z55,""))</f>
        <v/>
      </c>
      <c r="AA54" s="20">
        <f>IF(OR(AA4="",AA55=""),"",IFERROR(AA4*AA55,""))</f>
        <v/>
      </c>
      <c r="AB54" s="20">
        <f>IF(OR(AB4="",AB55=""),"",IFERROR(AB4*AB55,""))</f>
        <v/>
      </c>
      <c r="AC54" s="20">
        <f>IF(OR(AC4="",AC55=""),"",IFERROR(AC4*AC55,""))</f>
        <v/>
      </c>
    </row>
    <row r="55">
      <c r="A55" s="13" t="inlineStr">
        <is>
          <t>% of Sales</t>
        </is>
      </c>
      <c r="B55" s="10" t="n"/>
      <c r="C55" s="14">
        <f>IF(OR(C54="",C4=""),"",IFERROR(C54/C4,""))</f>
        <v/>
      </c>
      <c r="D55" s="15">
        <f>IF(OR(D54="",D4=""),"",IFERROR(D54/D4,""))</f>
        <v/>
      </c>
      <c r="E55" s="15">
        <f>IF(OR(E54="",E4=""),"",IFERROR(E54/E4,""))</f>
        <v/>
      </c>
      <c r="F55" s="15">
        <f>IF(OR(F54="",F4=""),"",IFERROR(F54/F4,""))</f>
        <v/>
      </c>
      <c r="G55" s="15">
        <f>IF(OR(G54="",G4=""),"",IFERROR(G54/G4,""))</f>
        <v/>
      </c>
      <c r="H55" s="15">
        <f>IF(OR(H54="",H4=""),"",IFERROR(H54/H4,""))</f>
        <v/>
      </c>
      <c r="I55" s="15">
        <f>IF(OR(I54="",I4=""),"",IFERROR(I54/I4,""))</f>
        <v/>
      </c>
      <c r="J55" s="15">
        <f>IF(OR(J54="",J4=""),"",IFERROR(J54/J4,""))</f>
        <v/>
      </c>
      <c r="K55" s="15">
        <f>IF(OR(K54="",K4=""),"",IFERROR(K54/K4,""))</f>
        <v/>
      </c>
      <c r="L55" s="15">
        <f>IF(OR(L54="",L4=""),"",IFERROR(L54/L4,""))</f>
        <v/>
      </c>
      <c r="M55" s="15">
        <f>IF(OR(M54="",M4=""),"",IFERROR(M54/M4,""))</f>
        <v/>
      </c>
      <c r="N55" s="15">
        <f>IF(OR(N54="",N4=""),"",IFERROR(N54/N4,""))</f>
        <v/>
      </c>
      <c r="O55" s="14">
        <f>IF(OR(O54="",O4=""),"",IFERROR(O54/O4,""))</f>
        <v/>
      </c>
      <c r="P55" s="15">
        <f>IF(OR(P54="",P4=""),"",IFERROR(P54/P4,""))</f>
        <v/>
      </c>
      <c r="Q55" s="15">
        <f>IF(OR(Q54="",Q4=""),"",IFERROR(Q54/Q4,""))</f>
        <v/>
      </c>
      <c r="R55" s="15">
        <f>IF(OR(R54="",R4=""),"",IFERROR(R54/R4,""))</f>
        <v/>
      </c>
      <c r="S55" s="15">
        <f>IF(OR(S54="",S4=""),"",IFERROR(S54/S4,""))</f>
        <v/>
      </c>
      <c r="T55" s="15">
        <f>IF(OR(T54="",T4=""),"",IFERROR(T54/T4,""))</f>
        <v/>
      </c>
      <c r="U55" s="15">
        <f>IF(OR(U54="",U4=""),"",IFERROR(U54/U4,""))</f>
        <v/>
      </c>
      <c r="V55" s="15">
        <f>IF(OR(V54="",V4=""),"",IFERROR(V54/V4,""))</f>
        <v/>
      </c>
      <c r="W55" s="15">
        <f>IF(OR(W54="",W4=""),"",IFERROR(W54/W4,""))</f>
        <v/>
      </c>
      <c r="X55" s="15">
        <f>IF(OR(X54="",X4=""),"",IFERROR(X54/X4,""))</f>
        <v/>
      </c>
      <c r="Y55" s="25">
        <f>IFERROR(AVERAGE(V55,W55,X55),"")</f>
        <v/>
      </c>
      <c r="Z55" s="26">
        <f>Y55</f>
        <v/>
      </c>
      <c r="AA55" s="26">
        <f>Z55</f>
        <v/>
      </c>
      <c r="AB55" s="26">
        <f>AA55</f>
        <v/>
      </c>
      <c r="AC55" s="26">
        <f>AB55</f>
        <v/>
      </c>
    </row>
    <row r="56">
      <c r="A56" s="18" t="inlineStr">
        <is>
          <t>영업외비용</t>
        </is>
      </c>
      <c r="B56" s="10" t="n"/>
      <c r="C56" s="19" t="n"/>
      <c r="D56" s="20" t="n"/>
      <c r="E56" s="20" t="n">
        <v>763</v>
      </c>
      <c r="F56" s="20" t="n">
        <v>1066</v>
      </c>
      <c r="G56" s="20" t="n">
        <v>1180</v>
      </c>
      <c r="H56" s="20" t="n">
        <v>1292</v>
      </c>
      <c r="I56" s="20" t="n">
        <v>1492</v>
      </c>
      <c r="J56" s="20" t="n">
        <v>1358</v>
      </c>
      <c r="K56" s="20" t="n">
        <v>1466</v>
      </c>
      <c r="L56" s="20" t="n">
        <v>5404</v>
      </c>
      <c r="M56" s="20" t="n">
        <v>1761</v>
      </c>
      <c r="N56" s="20" t="n">
        <v>2143</v>
      </c>
      <c r="O56" s="19" t="n">
        <v>1112</v>
      </c>
      <c r="P56" s="20" t="n">
        <v>1080</v>
      </c>
      <c r="Q56" s="20" t="n">
        <v>1186</v>
      </c>
      <c r="R56" s="20" t="n">
        <v>1194</v>
      </c>
      <c r="S56" s="20" t="n">
        <v>1585</v>
      </c>
      <c r="T56" s="20" t="n">
        <v>1957</v>
      </c>
      <c r="U56" s="20" t="n">
        <v>2128</v>
      </c>
      <c r="V56" s="20" t="n"/>
      <c r="W56" s="20" t="n">
        <v>4301</v>
      </c>
      <c r="X56" s="20" t="n">
        <v>9720</v>
      </c>
      <c r="Y56" s="19">
        <f>IF(OR(Y4="",Y57=""),"",IFERROR(Y4*Y57,""))</f>
        <v/>
      </c>
      <c r="Z56" s="20">
        <f>IF(OR(Z4="",Z57=""),"",IFERROR(Z4*Z57,""))</f>
        <v/>
      </c>
      <c r="AA56" s="20">
        <f>IF(OR(AA4="",AA57=""),"",IFERROR(AA4*AA57,""))</f>
        <v/>
      </c>
      <c r="AB56" s="20">
        <f>IF(OR(AB4="",AB57=""),"",IFERROR(AB4*AB57,""))</f>
        <v/>
      </c>
      <c r="AC56" s="20">
        <f>IF(OR(AC4="",AC57=""),"",IFERROR(AC4*AC57,""))</f>
        <v/>
      </c>
    </row>
    <row r="57">
      <c r="A57" s="13" t="inlineStr">
        <is>
          <t>% of Sales</t>
        </is>
      </c>
      <c r="B57" s="10" t="n"/>
      <c r="C57" s="14">
        <f>IF(OR(C56="",C4=""),"",IFERROR(C56/C4,""))</f>
        <v/>
      </c>
      <c r="D57" s="15">
        <f>IF(OR(D56="",D4=""),"",IFERROR(D56/D4,""))</f>
        <v/>
      </c>
      <c r="E57" s="15">
        <f>IF(OR(E56="",E4=""),"",IFERROR(E56/E4,""))</f>
        <v/>
      </c>
      <c r="F57" s="15">
        <f>IF(OR(F56="",F4=""),"",IFERROR(F56/F4,""))</f>
        <v/>
      </c>
      <c r="G57" s="15">
        <f>IF(OR(G56="",G4=""),"",IFERROR(G56/G4,""))</f>
        <v/>
      </c>
      <c r="H57" s="15">
        <f>IF(OR(H56="",H4=""),"",IFERROR(H56/H4,""))</f>
        <v/>
      </c>
      <c r="I57" s="15">
        <f>IF(OR(I56="",I4=""),"",IFERROR(I56/I4,""))</f>
        <v/>
      </c>
      <c r="J57" s="15">
        <f>IF(OR(J56="",J4=""),"",IFERROR(J56/J4,""))</f>
        <v/>
      </c>
      <c r="K57" s="15">
        <f>IF(OR(K56="",K4=""),"",IFERROR(K56/K4,""))</f>
        <v/>
      </c>
      <c r="L57" s="15">
        <f>IF(OR(L56="",L4=""),"",IFERROR(L56/L4,""))</f>
        <v/>
      </c>
      <c r="M57" s="15">
        <f>IF(OR(M56="",M4=""),"",IFERROR(M56/M4,""))</f>
        <v/>
      </c>
      <c r="N57" s="15">
        <f>IF(OR(N56="",N4=""),"",IFERROR(N56/N4,""))</f>
        <v/>
      </c>
      <c r="O57" s="14">
        <f>IF(OR(O56="",O4=""),"",IFERROR(O56/O4,""))</f>
        <v/>
      </c>
      <c r="P57" s="15">
        <f>IF(OR(P56="",P4=""),"",IFERROR(P56/P4,""))</f>
        <v/>
      </c>
      <c r="Q57" s="15">
        <f>IF(OR(Q56="",Q4=""),"",IFERROR(Q56/Q4,""))</f>
        <v/>
      </c>
      <c r="R57" s="15">
        <f>IF(OR(R56="",R4=""),"",IFERROR(R56/R4,""))</f>
        <v/>
      </c>
      <c r="S57" s="15">
        <f>IF(OR(S56="",S4=""),"",IFERROR(S56/S4,""))</f>
        <v/>
      </c>
      <c r="T57" s="15">
        <f>IF(OR(T56="",T4=""),"",IFERROR(T56/T4,""))</f>
        <v/>
      </c>
      <c r="U57" s="15">
        <f>IF(OR(U56="",U4=""),"",IFERROR(U56/U4,""))</f>
        <v/>
      </c>
      <c r="V57" s="15">
        <f>IF(OR(V56="",V4=""),"",IFERROR(V56/V4,""))</f>
        <v/>
      </c>
      <c r="W57" s="15">
        <f>IF(OR(W56="",W4=""),"",IFERROR(W56/W4,""))</f>
        <v/>
      </c>
      <c r="X57" s="15">
        <f>IF(OR(X56="",X4=""),"",IFERROR(X56/X4,""))</f>
        <v/>
      </c>
      <c r="Y57" s="25">
        <f>IFERROR(AVERAGE(V57,W57,X57),"")</f>
        <v/>
      </c>
      <c r="Z57" s="26">
        <f>Y57</f>
        <v/>
      </c>
      <c r="AA57" s="26">
        <f>Z57</f>
        <v/>
      </c>
      <c r="AB57" s="26">
        <f>AA57</f>
        <v/>
      </c>
      <c r="AC57" s="26">
        <f>AB57</f>
        <v/>
      </c>
    </row>
    <row r="58">
      <c r="A58" s="9" t="inlineStr">
        <is>
          <t>법인세비용차감전순이익(손실)</t>
        </is>
      </c>
      <c r="B58" s="10" t="n"/>
      <c r="C58" s="11" t="n"/>
      <c r="D58" s="12" t="n"/>
      <c r="E58" s="12" t="n">
        <v>2840</v>
      </c>
      <c r="F58" s="12" t="n">
        <v>-209</v>
      </c>
      <c r="G58" s="12" t="n">
        <v>8580</v>
      </c>
      <c r="H58" s="12" t="n">
        <v>5950</v>
      </c>
      <c r="I58" s="12" t="n">
        <v>1367</v>
      </c>
      <c r="J58" s="12" t="n">
        <v>1569</v>
      </c>
      <c r="K58" s="12" t="n">
        <v>4495</v>
      </c>
      <c r="L58" s="12" t="n">
        <v>10304</v>
      </c>
      <c r="M58" s="12" t="n">
        <v>-854</v>
      </c>
      <c r="N58" s="12" t="n">
        <v>8157</v>
      </c>
      <c r="O58" s="11" t="n">
        <v>6232</v>
      </c>
      <c r="P58" s="12" t="n">
        <v>10445</v>
      </c>
      <c r="Q58" s="12" t="n">
        <v>11803</v>
      </c>
      <c r="R58" s="12" t="n">
        <v>11164</v>
      </c>
      <c r="S58" s="12" t="n">
        <v>9099</v>
      </c>
      <c r="T58" s="12" t="n">
        <v>10290</v>
      </c>
      <c r="U58" s="12" t="n">
        <v>14891</v>
      </c>
      <c r="V58" s="12" t="n"/>
      <c r="W58" s="12" t="n">
        <v>17161</v>
      </c>
      <c r="X58" s="12" t="n">
        <v>17735</v>
      </c>
      <c r="Y58" s="11">
        <f>IF(OR(Y34=""),"",IFERROR(Y34+N(Y50)-N(Y52)+N(Y54)-N(Y56),""))</f>
        <v/>
      </c>
      <c r="Z58" s="12">
        <f>IF(OR(Z34=""),"",IFERROR(Z34+N(Z50)-N(Z52)+N(Z54)-N(Z56),""))</f>
        <v/>
      </c>
      <c r="AA58" s="12">
        <f>IF(OR(AA34=""),"",IFERROR(AA34+N(AA50)-N(AA52)+N(AA54)-N(AA56),""))</f>
        <v/>
      </c>
      <c r="AB58" s="12">
        <f>IF(OR(AB34=""),"",IFERROR(AB34+N(AB50)-N(AB52)+N(AB54)-N(AB56),""))</f>
        <v/>
      </c>
      <c r="AC58" s="12">
        <f>IF(OR(AC34=""),"",IFERROR(AC34+N(AC50)-N(AC52)+N(AC54)-N(AC56),""))</f>
        <v/>
      </c>
    </row>
    <row r="59">
      <c r="A59" s="13" t="inlineStr">
        <is>
          <t>YoY</t>
        </is>
      </c>
      <c r="B59" s="10" t="n"/>
      <c r="C59" s="14" t="n"/>
      <c r="D59" s="15" t="n"/>
      <c r="E59" s="15" t="n"/>
      <c r="F59" s="15" t="n"/>
      <c r="G59" s="15">
        <f>IF(OR(G58="",C58=""),"",IF(C58&lt;=0,"",IFERROR(G58/C58-1,"")))</f>
        <v/>
      </c>
      <c r="H59" s="15">
        <f>IF(OR(H58="",D58=""),"",IF(D58&lt;=0,"",IFERROR(H58/D58-1,"")))</f>
        <v/>
      </c>
      <c r="I59" s="15">
        <f>IF(OR(I58="",E58=""),"",IF(E58&lt;=0,"",IFERROR(I58/E58-1,"")))</f>
        <v/>
      </c>
      <c r="J59" s="15">
        <f>IF(OR(J58="",F58=""),"",IF(F58&lt;=0,"",IFERROR(J58/F58-1,"")))</f>
        <v/>
      </c>
      <c r="K59" s="15">
        <f>IF(OR(K58="",G58=""),"",IF(G58&lt;=0,"",IFERROR(K58/G58-1,"")))</f>
        <v/>
      </c>
      <c r="L59" s="15">
        <f>IF(OR(L58="",H58=""),"",IF(H58&lt;=0,"",IFERROR(L58/H58-1,"")))</f>
        <v/>
      </c>
      <c r="M59" s="15">
        <f>IF(OR(M58="",I58=""),"",IF(I58&lt;=0,"",IFERROR(M58/I58-1,"")))</f>
        <v/>
      </c>
      <c r="N59" s="15">
        <f>IF(OR(N58="",J58=""),"",IF(J58&lt;=0,"",IFERROR(N58/J58-1,"")))</f>
        <v/>
      </c>
      <c r="O59" s="14" t="n"/>
      <c r="P59" s="15">
        <f>IF(OR(P58="",O58=""),"",IF(O58&lt;=0,"",IFERROR(P58/O58-1,"")))</f>
        <v/>
      </c>
      <c r="Q59" s="15">
        <f>IF(OR(Q58="",P58=""),"",IF(P58&lt;=0,"",IFERROR(Q58/P58-1,"")))</f>
        <v/>
      </c>
      <c r="R59" s="15">
        <f>IF(OR(R58="",Q58=""),"",IF(Q58&lt;=0,"",IFERROR(R58/Q58-1,"")))</f>
        <v/>
      </c>
      <c r="S59" s="15">
        <f>IF(OR(S58="",R58=""),"",IF(R58&lt;=0,"",IFERROR(S58/R58-1,"")))</f>
        <v/>
      </c>
      <c r="T59" s="15">
        <f>IF(OR(T58="",S58=""),"",IF(S58&lt;=0,"",IFERROR(T58/S58-1,"")))</f>
        <v/>
      </c>
      <c r="U59" s="15">
        <f>IF(OR(U58="",T58=""),"",IF(T58&lt;=0,"",IFERROR(U58/T58-1,"")))</f>
        <v/>
      </c>
      <c r="V59" s="15">
        <f>IF(OR(V58="",U58=""),"",IF(U58&lt;=0,"",IFERROR(V58/U58-1,"")))</f>
        <v/>
      </c>
      <c r="W59" s="15">
        <f>IF(OR(W58="",V58=""),"",IF(V58&lt;=0,"",IFERROR(W58/V58-1,"")))</f>
        <v/>
      </c>
      <c r="X59" s="15">
        <f>IF(OR(X58="",W58=""),"",IF(W58&lt;=0,"",IFERROR(X58/W58-1,"")))</f>
        <v/>
      </c>
      <c r="Y59" s="14">
        <f>IF(OR(Y58="",X58=""),"",IF(X58&lt;=0,"",IFERROR(Y58/X58-1,"")))</f>
        <v/>
      </c>
      <c r="Z59" s="15">
        <f>IF(OR(Z58="",Y58=""),"",IF(Y58&lt;=0,"",IFERROR(Z58/Y58-1,"")))</f>
        <v/>
      </c>
      <c r="AA59" s="15">
        <f>IF(OR(AA58="",Z58=""),"",IF(Z58&lt;=0,"",IFERROR(AA58/Z58-1,"")))</f>
        <v/>
      </c>
      <c r="AB59" s="15">
        <f>IF(OR(AB58="",AA58=""),"",IF(AA58&lt;=0,"",IFERROR(AB58/AA58-1,"")))</f>
        <v/>
      </c>
      <c r="AC59" s="15">
        <f>IF(OR(AC58="",AB58=""),"",IF(AB58&lt;=0,"",IFERROR(AC58/AB58-1,"")))</f>
        <v/>
      </c>
    </row>
    <row r="60">
      <c r="A60" s="18" t="inlineStr">
        <is>
          <t>법인세비용(수익)</t>
        </is>
      </c>
      <c r="B60" s="10" t="n"/>
      <c r="C60" s="19" t="n"/>
      <c r="D60" s="20" t="n"/>
      <c r="E60" s="20" t="n">
        <v>1013</v>
      </c>
      <c r="F60" s="20" t="n">
        <v>146</v>
      </c>
      <c r="G60" s="20" t="n">
        <v>2900</v>
      </c>
      <c r="H60" s="20" t="n">
        <v>1898</v>
      </c>
      <c r="I60" s="20" t="n">
        <v>500</v>
      </c>
      <c r="J60" s="20" t="n">
        <v>674</v>
      </c>
      <c r="K60" s="20" t="n">
        <v>1585</v>
      </c>
      <c r="L60" s="20" t="n">
        <v>2974</v>
      </c>
      <c r="M60" s="20" t="n">
        <v>-93</v>
      </c>
      <c r="N60" s="20" t="n">
        <v>2585</v>
      </c>
      <c r="O60" s="19" t="n">
        <v>776</v>
      </c>
      <c r="P60" s="20" t="n">
        <v>3219</v>
      </c>
      <c r="Q60" s="20" t="n">
        <v>3648</v>
      </c>
      <c r="R60" s="20" t="n">
        <v>3509</v>
      </c>
      <c r="S60" s="20" t="n">
        <v>3328</v>
      </c>
      <c r="T60" s="20" t="n">
        <v>4648</v>
      </c>
      <c r="U60" s="20" t="n">
        <v>5055</v>
      </c>
      <c r="V60" s="20" t="n"/>
      <c r="W60" s="20" t="n">
        <v>5957</v>
      </c>
      <c r="X60" s="20" t="n">
        <v>5733</v>
      </c>
      <c r="Y60" s="19">
        <f>IF(OR(Y58="",Y61=""),"",IFERROR(MAX(Y58,0)*Y61,""))</f>
        <v/>
      </c>
      <c r="Z60" s="20">
        <f>IF(OR(Z58="",Z61=""),"",IFERROR(MAX(Z58,0)*Z61,""))</f>
        <v/>
      </c>
      <c r="AA60" s="20">
        <f>IF(OR(AA58="",AA61=""),"",IFERROR(MAX(AA58,0)*AA61,""))</f>
        <v/>
      </c>
      <c r="AB60" s="20">
        <f>IF(OR(AB58="",AB61=""),"",IFERROR(MAX(AB58,0)*AB61,""))</f>
        <v/>
      </c>
      <c r="AC60" s="20">
        <f>IF(OR(AC58="",AC61=""),"",IFERROR(MAX(AC58,0)*AC61,""))</f>
        <v/>
      </c>
    </row>
    <row r="61">
      <c r="A61" s="13" t="inlineStr">
        <is>
          <t>법인세율</t>
        </is>
      </c>
      <c r="B61" s="10" t="inlineStr">
        <is>
          <t>MW 기본 30%</t>
        </is>
      </c>
      <c r="C61" s="14">
        <f>IF(OR(C60="",C58=""),"",IFERROR(C60/C58,""))</f>
        <v/>
      </c>
      <c r="D61" s="15">
        <f>IF(OR(D60="",D58=""),"",IFERROR(D60/D58,""))</f>
        <v/>
      </c>
      <c r="E61" s="15">
        <f>IF(OR(E60="",E58=""),"",IFERROR(E60/E58,""))</f>
        <v/>
      </c>
      <c r="F61" s="15">
        <f>IF(OR(F60="",F58=""),"",IFERROR(F60/F58,""))</f>
        <v/>
      </c>
      <c r="G61" s="15">
        <f>IF(OR(G60="",G58=""),"",IFERROR(G60/G58,""))</f>
        <v/>
      </c>
      <c r="H61" s="15">
        <f>IF(OR(H60="",H58=""),"",IFERROR(H60/H58,""))</f>
        <v/>
      </c>
      <c r="I61" s="15">
        <f>IF(OR(I60="",I58=""),"",IFERROR(I60/I58,""))</f>
        <v/>
      </c>
      <c r="J61" s="15">
        <f>IF(OR(J60="",J58=""),"",IFERROR(J60/J58,""))</f>
        <v/>
      </c>
      <c r="K61" s="15">
        <f>IF(OR(K60="",K58=""),"",IFERROR(K60/K58,""))</f>
        <v/>
      </c>
      <c r="L61" s="15">
        <f>IF(OR(L60="",L58=""),"",IFERROR(L60/L58,""))</f>
        <v/>
      </c>
      <c r="M61" s="15">
        <f>IF(OR(M60="",M58=""),"",IFERROR(M60/M58,""))</f>
        <v/>
      </c>
      <c r="N61" s="15">
        <f>IF(OR(N60="",N58=""),"",IFERROR(N60/N58,""))</f>
        <v/>
      </c>
      <c r="O61" s="14">
        <f>IF(OR(O60="",O58=""),"",IFERROR(O60/O58,""))</f>
        <v/>
      </c>
      <c r="P61" s="15">
        <f>IF(OR(P60="",P58=""),"",IFERROR(P60/P58,""))</f>
        <v/>
      </c>
      <c r="Q61" s="15">
        <f>IF(OR(Q60="",Q58=""),"",IFERROR(Q60/Q58,""))</f>
        <v/>
      </c>
      <c r="R61" s="15">
        <f>IF(OR(R60="",R58=""),"",IFERROR(R60/R58,""))</f>
        <v/>
      </c>
      <c r="S61" s="15">
        <f>IF(OR(S60="",S58=""),"",IFERROR(S60/S58,""))</f>
        <v/>
      </c>
      <c r="T61" s="15">
        <f>IF(OR(T60="",T58=""),"",IFERROR(T60/T58,""))</f>
        <v/>
      </c>
      <c r="U61" s="15">
        <f>IF(OR(U60="",U58=""),"",IFERROR(U60/U58,""))</f>
        <v/>
      </c>
      <c r="V61" s="15">
        <f>IF(OR(V60="",V58=""),"",IFERROR(V60/V58,""))</f>
        <v/>
      </c>
      <c r="W61" s="15">
        <f>IF(OR(W60="",W58=""),"",IFERROR(W60/W58,""))</f>
        <v/>
      </c>
      <c r="X61" s="15">
        <f>IF(OR(X60="",X58=""),"",IFERROR(X60/X58,""))</f>
        <v/>
      </c>
      <c r="Y61" s="25" t="n">
        <v>0.3</v>
      </c>
      <c r="Z61" s="26" t="n">
        <v>0.3</v>
      </c>
      <c r="AA61" s="26" t="n">
        <v>0.3</v>
      </c>
      <c r="AB61" s="26" t="n">
        <v>0.3</v>
      </c>
      <c r="AC61" s="26" t="n">
        <v>0.3</v>
      </c>
    </row>
    <row r="62">
      <c r="A62" s="9" t="inlineStr">
        <is>
          <t>당기순이익(손실)</t>
        </is>
      </c>
      <c r="B62" s="10" t="n"/>
      <c r="C62" s="11" t="n"/>
      <c r="D62" s="12" t="n"/>
      <c r="E62" s="12" t="n">
        <v>1826</v>
      </c>
      <c r="F62" s="12" t="n">
        <v>-355</v>
      </c>
      <c r="G62" s="12" t="n">
        <v>5681</v>
      </c>
      <c r="H62" s="12" t="n">
        <v>4051</v>
      </c>
      <c r="I62" s="12" t="n">
        <v>867</v>
      </c>
      <c r="J62" s="12" t="n">
        <v>894</v>
      </c>
      <c r="K62" s="12" t="n">
        <v>2911</v>
      </c>
      <c r="L62" s="12" t="n">
        <v>7329</v>
      </c>
      <c r="M62" s="12" t="n">
        <v>-760</v>
      </c>
      <c r="N62" s="12" t="n">
        <v>5571</v>
      </c>
      <c r="O62" s="11" t="n">
        <v>5456</v>
      </c>
      <c r="P62" s="12" t="n">
        <v>7226</v>
      </c>
      <c r="Q62" s="12" t="n">
        <v>8155</v>
      </c>
      <c r="R62" s="12" t="n">
        <v>7654</v>
      </c>
      <c r="S62" s="12" t="n">
        <v>5770</v>
      </c>
      <c r="T62" s="12" t="n">
        <v>5641</v>
      </c>
      <c r="U62" s="12" t="n">
        <v>9835</v>
      </c>
      <c r="V62" s="12" t="n"/>
      <c r="W62" s="12" t="n">
        <v>11203</v>
      </c>
      <c r="X62" s="12" t="n">
        <v>12001</v>
      </c>
      <c r="Y62" s="11">
        <f>IF(OR(Y58=""),"",IFERROR(Y58-Y60,""))</f>
        <v/>
      </c>
      <c r="Z62" s="12">
        <f>IF(OR(Z58=""),"",IFERROR(Z58-Z60,""))</f>
        <v/>
      </c>
      <c r="AA62" s="12">
        <f>IF(OR(AA58=""),"",IFERROR(AA58-AA60,""))</f>
        <v/>
      </c>
      <c r="AB62" s="12">
        <f>IF(OR(AB58=""),"",IFERROR(AB58-AB60,""))</f>
        <v/>
      </c>
      <c r="AC62" s="12">
        <f>IF(OR(AC58=""),"",IFERROR(AC58-AC60,""))</f>
        <v/>
      </c>
    </row>
    <row r="63">
      <c r="A63" s="13" t="inlineStr">
        <is>
          <t>YoY</t>
        </is>
      </c>
      <c r="B63" s="10" t="n"/>
      <c r="C63" s="14" t="n"/>
      <c r="D63" s="15" t="n"/>
      <c r="E63" s="15" t="n"/>
      <c r="F63" s="15" t="n"/>
      <c r="G63" s="15">
        <f>IF(OR(G62="",C62=""),"",IF(C62&lt;=0,"",IFERROR(G62/C62-1,"")))</f>
        <v/>
      </c>
      <c r="H63" s="15">
        <f>IF(OR(H62="",D62=""),"",IF(D62&lt;=0,"",IFERROR(H62/D62-1,"")))</f>
        <v/>
      </c>
      <c r="I63" s="15">
        <f>IF(OR(I62="",E62=""),"",IF(E62&lt;=0,"",IFERROR(I62/E62-1,"")))</f>
        <v/>
      </c>
      <c r="J63" s="15">
        <f>IF(OR(J62="",F62=""),"",IF(F62&lt;=0,"",IFERROR(J62/F62-1,"")))</f>
        <v/>
      </c>
      <c r="K63" s="15">
        <f>IF(OR(K62="",G62=""),"",IF(G62&lt;=0,"",IFERROR(K62/G62-1,"")))</f>
        <v/>
      </c>
      <c r="L63" s="15">
        <f>IF(OR(L62="",H62=""),"",IF(H62&lt;=0,"",IFERROR(L62/H62-1,"")))</f>
        <v/>
      </c>
      <c r="M63" s="15">
        <f>IF(OR(M62="",I62=""),"",IF(I62&lt;=0,"",IFERROR(M62/I62-1,"")))</f>
        <v/>
      </c>
      <c r="N63" s="15">
        <f>IF(OR(N62="",J62=""),"",IF(J62&lt;=0,"",IFERROR(N62/J62-1,"")))</f>
        <v/>
      </c>
      <c r="O63" s="14" t="n"/>
      <c r="P63" s="15">
        <f>IF(OR(P62="",O62=""),"",IF(O62&lt;=0,"",IFERROR(P62/O62-1,"")))</f>
        <v/>
      </c>
      <c r="Q63" s="15">
        <f>IF(OR(Q62="",P62=""),"",IF(P62&lt;=0,"",IFERROR(Q62/P62-1,"")))</f>
        <v/>
      </c>
      <c r="R63" s="15">
        <f>IF(OR(R62="",Q62=""),"",IF(Q62&lt;=0,"",IFERROR(R62/Q62-1,"")))</f>
        <v/>
      </c>
      <c r="S63" s="15">
        <f>IF(OR(S62="",R62=""),"",IF(R62&lt;=0,"",IFERROR(S62/R62-1,"")))</f>
        <v/>
      </c>
      <c r="T63" s="15">
        <f>IF(OR(T62="",S62=""),"",IF(S62&lt;=0,"",IFERROR(T62/S62-1,"")))</f>
        <v/>
      </c>
      <c r="U63" s="15">
        <f>IF(OR(U62="",T62=""),"",IF(T62&lt;=0,"",IFERROR(U62/T62-1,"")))</f>
        <v/>
      </c>
      <c r="V63" s="15">
        <f>IF(OR(V62="",U62=""),"",IF(U62&lt;=0,"",IFERROR(V62/U62-1,"")))</f>
        <v/>
      </c>
      <c r="W63" s="15">
        <f>IF(OR(W62="",V62=""),"",IF(V62&lt;=0,"",IFERROR(W62/V62-1,"")))</f>
        <v/>
      </c>
      <c r="X63" s="15">
        <f>IF(OR(X62="",W62=""),"",IF(W62&lt;=0,"",IFERROR(X62/W62-1,"")))</f>
        <v/>
      </c>
      <c r="Y63" s="14">
        <f>IF(OR(Y62="",X62=""),"",IF(X62&lt;=0,"",IFERROR(Y62/X62-1,"")))</f>
        <v/>
      </c>
      <c r="Z63" s="15">
        <f>IF(OR(Z62="",Y62=""),"",IF(Y62&lt;=0,"",IFERROR(Z62/Y62-1,"")))</f>
        <v/>
      </c>
      <c r="AA63" s="15">
        <f>IF(OR(AA62="",Z62=""),"",IF(Z62&lt;=0,"",IFERROR(AA62/Z62-1,"")))</f>
        <v/>
      </c>
      <c r="AB63" s="15">
        <f>IF(OR(AB62="",AA62=""),"",IF(AA62&lt;=0,"",IFERROR(AB62/AA62-1,"")))</f>
        <v/>
      </c>
      <c r="AC63" s="15">
        <f>IF(OR(AC62="",AB62=""),"",IF(AB62&lt;=0,"",IFERROR(AC62/AB62-1,"")))</f>
        <v/>
      </c>
    </row>
    <row r="64">
      <c r="A64" s="9" t="inlineStr">
        <is>
          <t>지배주주 순이익</t>
        </is>
      </c>
      <c r="B64" s="10" t="n"/>
      <c r="C64" s="11" t="n"/>
      <c r="D64" s="12" t="n"/>
      <c r="E64" s="12" t="n">
        <v>1821</v>
      </c>
      <c r="F64" s="12" t="n">
        <v>-358</v>
      </c>
      <c r="G64" s="12" t="n">
        <v>5681</v>
      </c>
      <c r="H64" s="12" t="n">
        <v>4049</v>
      </c>
      <c r="I64" s="12" t="n">
        <v>955</v>
      </c>
      <c r="J64" s="12" t="n">
        <v>903</v>
      </c>
      <c r="K64" s="12" t="n">
        <v>2961</v>
      </c>
      <c r="L64" s="12" t="n">
        <v>7372</v>
      </c>
      <c r="M64" s="12" t="n">
        <v>-720</v>
      </c>
      <c r="N64" s="12" t="n">
        <v>5640</v>
      </c>
      <c r="O64" s="11" t="n">
        <v>5456</v>
      </c>
      <c r="P64" s="12" t="n">
        <v>7226</v>
      </c>
      <c r="Q64" s="12" t="n">
        <v>8155</v>
      </c>
      <c r="R64" s="12" t="n">
        <v>7663</v>
      </c>
      <c r="S64" s="12" t="n">
        <v>5961</v>
      </c>
      <c r="T64" s="12" t="n">
        <v>7250</v>
      </c>
      <c r="U64" s="12" t="n">
        <v>9831</v>
      </c>
      <c r="V64" s="12" t="n"/>
      <c r="W64" s="12" t="n">
        <v>11193</v>
      </c>
      <c r="X64" s="12" t="n">
        <v>12191</v>
      </c>
      <c r="Y64" s="11">
        <f>IF(OR(Y62="",Y65=""),"",IFERROR(Y62*Y65,""))</f>
        <v/>
      </c>
      <c r="Z64" s="12">
        <f>IF(OR(Z62="",Z65=""),"",IFERROR(Z62*Z65,""))</f>
        <v/>
      </c>
      <c r="AA64" s="12">
        <f>IF(OR(AA62="",AA65=""),"",IFERROR(AA62*AA65,""))</f>
        <v/>
      </c>
      <c r="AB64" s="12">
        <f>IF(OR(AB62="",AB65=""),"",IFERROR(AB62*AB65,""))</f>
        <v/>
      </c>
      <c r="AC64" s="12">
        <f>IF(OR(AC62="",AC65=""),"",IFERROR(AC62*AC65,""))</f>
        <v/>
      </c>
    </row>
    <row r="65">
      <c r="A65" s="13" t="inlineStr">
        <is>
          <t>지배주주 순이익률</t>
        </is>
      </c>
      <c r="B65" s="10" t="inlineStr">
        <is>
          <t>MW 기본 100%</t>
        </is>
      </c>
      <c r="C65" s="14">
        <f>IF(OR(C64="",C62=""),"",IFERROR(C64/C62,""))</f>
        <v/>
      </c>
      <c r="D65" s="15">
        <f>IF(OR(D64="",D62=""),"",IFERROR(D64/D62,""))</f>
        <v/>
      </c>
      <c r="E65" s="15">
        <f>IF(OR(E64="",E62=""),"",IFERROR(E64/E62,""))</f>
        <v/>
      </c>
      <c r="F65" s="15">
        <f>IF(OR(F64="",F62=""),"",IFERROR(F64/F62,""))</f>
        <v/>
      </c>
      <c r="G65" s="15">
        <f>IF(OR(G64="",G62=""),"",IFERROR(G64/G62,""))</f>
        <v/>
      </c>
      <c r="H65" s="15">
        <f>IF(OR(H64="",H62=""),"",IFERROR(H64/H62,""))</f>
        <v/>
      </c>
      <c r="I65" s="15">
        <f>IF(OR(I64="",I62=""),"",IFERROR(I64/I62,""))</f>
        <v/>
      </c>
      <c r="J65" s="15">
        <f>IF(OR(J64="",J62=""),"",IFERROR(J64/J62,""))</f>
        <v/>
      </c>
      <c r="K65" s="15">
        <f>IF(OR(K64="",K62=""),"",IFERROR(K64/K62,""))</f>
        <v/>
      </c>
      <c r="L65" s="15">
        <f>IF(OR(L64="",L62=""),"",IFERROR(L64/L62,""))</f>
        <v/>
      </c>
      <c r="M65" s="15">
        <f>IF(OR(M64="",M62=""),"",IFERROR(M64/M62,""))</f>
        <v/>
      </c>
      <c r="N65" s="15">
        <f>IF(OR(N64="",N62=""),"",IFERROR(N64/N62,""))</f>
        <v/>
      </c>
      <c r="O65" s="14">
        <f>IF(OR(O64="",O62=""),"",IFERROR(O64/O62,""))</f>
        <v/>
      </c>
      <c r="P65" s="15">
        <f>IF(OR(P64="",P62=""),"",IFERROR(P64/P62,""))</f>
        <v/>
      </c>
      <c r="Q65" s="15">
        <f>IF(OR(Q64="",Q62=""),"",IFERROR(Q64/Q62,""))</f>
        <v/>
      </c>
      <c r="R65" s="15">
        <f>IF(OR(R64="",R62=""),"",IFERROR(R64/R62,""))</f>
        <v/>
      </c>
      <c r="S65" s="15">
        <f>IF(OR(S64="",S62=""),"",IFERROR(S64/S62,""))</f>
        <v/>
      </c>
      <c r="T65" s="15">
        <f>IF(OR(T64="",T62=""),"",IFERROR(T64/T62,""))</f>
        <v/>
      </c>
      <c r="U65" s="15">
        <f>IF(OR(U64="",U62=""),"",IFERROR(U64/U62,""))</f>
        <v/>
      </c>
      <c r="V65" s="15">
        <f>IF(OR(V64="",V62=""),"",IFERROR(V64/V62,""))</f>
        <v/>
      </c>
      <c r="W65" s="15">
        <f>IF(OR(W64="",W62=""),"",IFERROR(W64/W62,""))</f>
        <v/>
      </c>
      <c r="X65" s="15">
        <f>IF(OR(X64="",X62=""),"",IFERROR(X64/X62,""))</f>
        <v/>
      </c>
      <c r="Y65" s="25" t="n">
        <v>1</v>
      </c>
      <c r="Z65" s="26" t="n">
        <v>1</v>
      </c>
      <c r="AA65" s="26" t="n">
        <v>1</v>
      </c>
      <c r="AB65" s="26" t="n">
        <v>1</v>
      </c>
      <c r="AC65" s="26" t="n">
        <v>1</v>
      </c>
    </row>
    <row r="66">
      <c r="A66" s="13" t="inlineStr">
        <is>
          <t>지배주주 순이익 YoY</t>
        </is>
      </c>
      <c r="B66" s="10" t="n"/>
      <c r="C66" s="14" t="n"/>
      <c r="D66" s="15" t="n"/>
      <c r="E66" s="15" t="n"/>
      <c r="F66" s="15" t="n"/>
      <c r="G66" s="15">
        <f>IF(OR(G64="",C64=""),"",IF(C64&lt;=0,"",IFERROR(G64/C64-1,"")))</f>
        <v/>
      </c>
      <c r="H66" s="15">
        <f>IF(OR(H64="",D64=""),"",IF(D64&lt;=0,"",IFERROR(H64/D64-1,"")))</f>
        <v/>
      </c>
      <c r="I66" s="15">
        <f>IF(OR(I64="",E64=""),"",IF(E64&lt;=0,"",IFERROR(I64/E64-1,"")))</f>
        <v/>
      </c>
      <c r="J66" s="15">
        <f>IF(OR(J64="",F64=""),"",IF(F64&lt;=0,"",IFERROR(J64/F64-1,"")))</f>
        <v/>
      </c>
      <c r="K66" s="15">
        <f>IF(OR(K64="",G64=""),"",IF(G64&lt;=0,"",IFERROR(K64/G64-1,"")))</f>
        <v/>
      </c>
      <c r="L66" s="15">
        <f>IF(OR(L64="",H64=""),"",IF(H64&lt;=0,"",IFERROR(L64/H64-1,"")))</f>
        <v/>
      </c>
      <c r="M66" s="15">
        <f>IF(OR(M64="",I64=""),"",IF(I64&lt;=0,"",IFERROR(M64/I64-1,"")))</f>
        <v/>
      </c>
      <c r="N66" s="15">
        <f>IF(OR(N64="",J64=""),"",IF(J64&lt;=0,"",IFERROR(N64/J64-1,"")))</f>
        <v/>
      </c>
      <c r="O66" s="14" t="n"/>
      <c r="P66" s="15">
        <f>IF(OR(P64="",O64=""),"",IF(O64&lt;=0,"",IFERROR(P64/O64-1,"")))</f>
        <v/>
      </c>
      <c r="Q66" s="15">
        <f>IF(OR(Q64="",P64=""),"",IF(P64&lt;=0,"",IFERROR(Q64/P64-1,"")))</f>
        <v/>
      </c>
      <c r="R66" s="15">
        <f>IF(OR(R64="",Q64=""),"",IF(Q64&lt;=0,"",IFERROR(R64/Q64-1,"")))</f>
        <v/>
      </c>
      <c r="S66" s="15">
        <f>IF(OR(S64="",R64=""),"",IF(R64&lt;=0,"",IFERROR(S64/R64-1,"")))</f>
        <v/>
      </c>
      <c r="T66" s="15">
        <f>IF(OR(T64="",S64=""),"",IF(S64&lt;=0,"",IFERROR(T64/S64-1,"")))</f>
        <v/>
      </c>
      <c r="U66" s="15">
        <f>IF(OR(U64="",T64=""),"",IF(T64&lt;=0,"",IFERROR(U64/T64-1,"")))</f>
        <v/>
      </c>
      <c r="V66" s="15">
        <f>IF(OR(V64="",U64=""),"",IF(U64&lt;=0,"",IFERROR(V64/U64-1,"")))</f>
        <v/>
      </c>
      <c r="W66" s="15">
        <f>IF(OR(W64="",V64=""),"",IF(V64&lt;=0,"",IFERROR(W64/V64-1,"")))</f>
        <v/>
      </c>
      <c r="X66" s="15">
        <f>IF(OR(X64="",W64=""),"",IF(W64&lt;=0,"",IFERROR(X64/W64-1,"")))</f>
        <v/>
      </c>
      <c r="Y66" s="14">
        <f>IF(OR(Y64="",X64=""),"",IF(X64&lt;=0,"",IFERROR(Y64/X64-1,"")))</f>
        <v/>
      </c>
      <c r="Z66" s="15">
        <f>IF(OR(Z64="",Y64=""),"",IF(Y64&lt;=0,"",IFERROR(Z64/Y64-1,"")))</f>
        <v/>
      </c>
      <c r="AA66" s="15">
        <f>IF(OR(AA64="",Z64=""),"",IF(Z64&lt;=0,"",IFERROR(AA64/Z64-1,"")))</f>
        <v/>
      </c>
      <c r="AB66" s="15">
        <f>IF(OR(AB64="",AA64=""),"",IF(AA64&lt;=0,"",IFERROR(AB64/AA64-1,"")))</f>
        <v/>
      </c>
      <c r="AC66" s="15">
        <f>IF(OR(AC64="",AB64=""),"",IF(AB64&lt;=0,"",IFERROR(AC64/AB64-1,"")))</f>
        <v/>
      </c>
    </row>
    <row r="67">
      <c r="A67" s="16" t="inlineStr">
        <is>
          <t>목표주가 산출</t>
        </is>
      </c>
      <c r="B67" s="16" t="n"/>
      <c r="C67" s="17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7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7" t="n"/>
      <c r="Z67" s="16" t="n"/>
      <c r="AA67" s="16" t="n"/>
      <c r="AB67" s="16" t="n"/>
      <c r="AC67" s="16" t="n"/>
    </row>
    <row r="68">
      <c r="A68" s="18" t="inlineStr">
        <is>
          <t>현재 주가 (2026.10.28)</t>
        </is>
      </c>
      <c r="B68" s="27" t="n">
        <v>1039</v>
      </c>
      <c r="C68" s="28" t="n"/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8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8" t="n"/>
      <c r="Z68" s="29" t="n"/>
      <c r="AA68" s="29" t="n"/>
      <c r="AB68" s="29" t="n"/>
      <c r="AC68" s="29" t="n"/>
    </row>
    <row r="69">
      <c r="A69" s="18" t="inlineStr">
        <is>
          <t>발행주식수 (보통주)</t>
        </is>
      </c>
      <c r="B69" s="27" t="n">
        <v>98580887</v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8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8" t="n"/>
      <c r="Z69" s="29" t="n"/>
      <c r="AA69" s="29" t="n"/>
      <c r="AB69" s="29" t="n"/>
      <c r="AC69" s="29" t="n"/>
    </row>
    <row r="70">
      <c r="A70" s="18" t="inlineStr">
        <is>
          <t>시가총액 (백만엔)</t>
        </is>
      </c>
      <c r="B70" s="12">
        <f>IF(OR(B68="",B69=""),"",B68*B69/1000000.0)</f>
        <v/>
      </c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19" t="n"/>
      <c r="Z70" s="20" t="n"/>
      <c r="AA70" s="20" t="n"/>
      <c r="AB70" s="20" t="n"/>
      <c r="AC70" s="20" t="n"/>
    </row>
    <row r="71">
      <c r="A71" s="13" t="inlineStr">
        <is>
          <t>OPM</t>
        </is>
      </c>
      <c r="B71" s="10" t="n"/>
      <c r="C71" s="14" t="n"/>
      <c r="D71" s="15" t="n"/>
      <c r="E71" s="15" t="n"/>
      <c r="F71" s="15" t="n"/>
      <c r="G71" s="15" t="n"/>
      <c r="H71" s="15" t="n"/>
      <c r="I71" s="15" t="n"/>
      <c r="J71" s="15" t="n"/>
      <c r="K71" s="15" t="n"/>
      <c r="L71" s="15" t="n"/>
      <c r="M71" s="15" t="n"/>
      <c r="N71" s="15" t="n"/>
      <c r="O71" s="14">
        <f>IF(O35="","",O35)</f>
        <v/>
      </c>
      <c r="P71" s="15">
        <f>IF(P35="","",P35)</f>
        <v/>
      </c>
      <c r="Q71" s="15">
        <f>IF(Q35="","",Q35)</f>
        <v/>
      </c>
      <c r="R71" s="15">
        <f>IF(R35="","",R35)</f>
        <v/>
      </c>
      <c r="S71" s="15">
        <f>IF(S35="","",S35)</f>
        <v/>
      </c>
      <c r="T71" s="15">
        <f>IF(T35="","",T35)</f>
        <v/>
      </c>
      <c r="U71" s="15">
        <f>IF(U35="","",U35)</f>
        <v/>
      </c>
      <c r="V71" s="15">
        <f>IF(V35="","",V35)</f>
        <v/>
      </c>
      <c r="W71" s="15">
        <f>IF(W35="","",W35)</f>
        <v/>
      </c>
      <c r="X71" s="15">
        <f>IF(X35="","",X35)</f>
        <v/>
      </c>
      <c r="Y71" s="14">
        <f>IF(Y35="","",Y35)</f>
        <v/>
      </c>
      <c r="Z71" s="15">
        <f>IF(Z35="","",Z35)</f>
        <v/>
      </c>
      <c r="AA71" s="15">
        <f>IF(AA35="","",AA35)</f>
        <v/>
      </c>
      <c r="AB71" s="15">
        <f>IF(AB35="","",AB35)</f>
        <v/>
      </c>
      <c r="AC71" s="15">
        <f>IF(AC35="","",AC35)</f>
        <v/>
      </c>
    </row>
    <row r="72">
      <c r="A72" s="13" t="inlineStr">
        <is>
          <t>지배주주 순이익 증가율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>
        <f>IF(OR(P64="",O64=""),"",IFERROR(P64/O64-1,""))</f>
        <v/>
      </c>
      <c r="Q72" s="15">
        <f>IF(OR(Q64="",P64=""),"",IFERROR(Q64/P64-1,""))</f>
        <v/>
      </c>
      <c r="R72" s="15">
        <f>IF(OR(R64="",Q64=""),"",IFERROR(R64/Q64-1,""))</f>
        <v/>
      </c>
      <c r="S72" s="15">
        <f>IF(OR(S64="",R64=""),"",IFERROR(S64/R64-1,""))</f>
        <v/>
      </c>
      <c r="T72" s="15">
        <f>IF(OR(T64="",S64=""),"",IFERROR(T64/S64-1,""))</f>
        <v/>
      </c>
      <c r="U72" s="15">
        <f>IF(OR(U64="",T64=""),"",IFERROR(U64/T64-1,""))</f>
        <v/>
      </c>
      <c r="V72" s="15">
        <f>IF(OR(V64="",U64=""),"",IFERROR(V64/U64-1,""))</f>
        <v/>
      </c>
      <c r="W72" s="15">
        <f>IF(OR(W64="",V64=""),"",IFERROR(W64/V64-1,""))</f>
        <v/>
      </c>
      <c r="X72" s="15">
        <f>IF(OR(X64="",W64=""),"",IFERROR(X64/W64-1,""))</f>
        <v/>
      </c>
      <c r="Y72" s="14">
        <f>IF(OR(Y64="",X64=""),"",IFERROR(Y64/X64-1,""))</f>
        <v/>
      </c>
      <c r="Z72" s="15">
        <f>IF(OR(Z64="",Y64=""),"",IFERROR(Z64/Y64-1,""))</f>
        <v/>
      </c>
      <c r="AA72" s="15">
        <f>IF(OR(AA64="",Z64=""),"",IFERROR(AA64/Z64-1,""))</f>
        <v/>
      </c>
      <c r="AB72" s="15">
        <f>IF(OR(AB64="",AA64=""),"",IFERROR(AB64/AA64-1,""))</f>
        <v/>
      </c>
      <c r="AC72" s="15">
        <f>IF(OR(AC64="",AB64=""),"",IFERROR(AC64/AB64-1,""))</f>
        <v/>
      </c>
    </row>
    <row r="73">
      <c r="A73" s="18" t="inlineStr">
        <is>
          <t>P/E (현재 주가)</t>
        </is>
      </c>
      <c r="B73" s="10" t="inlineStr">
        <is>
          <t>시총 ÷ 지배순이익</t>
        </is>
      </c>
      <c r="C73" s="30" t="n"/>
      <c r="D73" s="31" t="n"/>
      <c r="E73" s="31" t="n"/>
      <c r="F73" s="31" t="n"/>
      <c r="G73" s="31" t="n"/>
      <c r="H73" s="31" t="n"/>
      <c r="I73" s="31" t="n"/>
      <c r="J73" s="31" t="n"/>
      <c r="K73" s="31" t="n"/>
      <c r="L73" s="31" t="n"/>
      <c r="M73" s="31" t="n"/>
      <c r="N73" s="31" t="n"/>
      <c r="O73" s="30" t="n"/>
      <c r="P73" s="31" t="n"/>
      <c r="Q73" s="31" t="n"/>
      <c r="R73" s="31" t="n"/>
      <c r="S73" s="31" t="n"/>
      <c r="T73" s="31" t="n"/>
      <c r="U73" s="31" t="n"/>
      <c r="V73" s="31" t="n"/>
      <c r="W73" s="31" t="n"/>
      <c r="X73" s="31">
        <f>IF(OR($B$70="",X64=""),"",IFERROR($B$70/X64,""))</f>
        <v/>
      </c>
      <c r="Y73" s="30">
        <f>IF(OR($B$70="",Y64=""),"",IFERROR($B$70/Y64,""))</f>
        <v/>
      </c>
      <c r="Z73" s="31">
        <f>IF(OR($B$70="",Z64=""),"",IFERROR($B$70/Z64,""))</f>
        <v/>
      </c>
      <c r="AA73" s="31">
        <f>IF(OR($B$70="",AA64=""),"",IFERROR($B$70/AA64,""))</f>
        <v/>
      </c>
      <c r="AB73" s="31">
        <f>IF(OR($B$70="",AB64=""),"",IFERROR($B$70/AB64,""))</f>
        <v/>
      </c>
      <c r="AC73" s="31">
        <f>IF(OR($B$70="",AC64=""),"",IFERROR($B$70/AC64,""))</f>
        <v/>
      </c>
    </row>
    <row r="74">
      <c r="A74" s="18" t="inlineStr">
        <is>
          <t>Target P/E</t>
        </is>
      </c>
      <c r="B74" s="10" t="inlineStr">
        <is>
          <t>직접 입력</t>
        </is>
      </c>
      <c r="C74" s="30" t="n"/>
      <c r="D74" s="31" t="n"/>
      <c r="E74" s="31" t="n"/>
      <c r="F74" s="31" t="n"/>
      <c r="G74" s="31" t="n"/>
      <c r="H74" s="31" t="n"/>
      <c r="I74" s="31" t="n"/>
      <c r="J74" s="31" t="n"/>
      <c r="K74" s="31" t="n"/>
      <c r="L74" s="31" t="n"/>
      <c r="M74" s="31" t="n"/>
      <c r="N74" s="31" t="n"/>
      <c r="O74" s="30" t="n"/>
      <c r="P74" s="31" t="n"/>
      <c r="Q74" s="31" t="n"/>
      <c r="R74" s="31" t="n"/>
      <c r="S74" s="31" t="n"/>
      <c r="T74" s="31" t="n"/>
      <c r="U74" s="31" t="n"/>
      <c r="V74" s="31" t="n"/>
      <c r="W74" s="31" t="n"/>
      <c r="X74" s="31" t="n"/>
      <c r="Y74" s="32" t="n"/>
      <c r="Z74" s="33" t="n"/>
      <c r="AA74" s="33" t="n"/>
      <c r="AB74" s="33" t="n"/>
      <c r="AC74" s="33" t="n"/>
    </row>
    <row r="75">
      <c r="A75" s="18" t="inlineStr">
        <is>
          <t>EPS</t>
        </is>
      </c>
      <c r="B75" s="10" t="inlineStr">
        <is>
          <t>지배순이익 ÷ 주식수</t>
        </is>
      </c>
      <c r="C75" s="28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8">
        <f>IF(OR(O64="",$B$69=""),"",IFERROR(O64*1000000.0/$B$69,""))</f>
        <v/>
      </c>
      <c r="P75" s="29">
        <f>IF(OR(P64="",$B$69=""),"",IFERROR(P64*1000000.0/$B$69,""))</f>
        <v/>
      </c>
      <c r="Q75" s="29">
        <f>IF(OR(Q64="",$B$69=""),"",IFERROR(Q64*1000000.0/$B$69,""))</f>
        <v/>
      </c>
      <c r="R75" s="29">
        <f>IF(OR(R64="",$B$69=""),"",IFERROR(R64*1000000.0/$B$69,""))</f>
        <v/>
      </c>
      <c r="S75" s="29">
        <f>IF(OR(S64="",$B$69=""),"",IFERROR(S64*1000000.0/$B$69,""))</f>
        <v/>
      </c>
      <c r="T75" s="29">
        <f>IF(OR(T64="",$B$69=""),"",IFERROR(T64*1000000.0/$B$69,""))</f>
        <v/>
      </c>
      <c r="U75" s="29">
        <f>IF(OR(U64="",$B$69=""),"",IFERROR(U64*1000000.0/$B$69,""))</f>
        <v/>
      </c>
      <c r="V75" s="29">
        <f>IF(OR(V64="",$B$69=""),"",IFERROR(V64*1000000.0/$B$69,""))</f>
        <v/>
      </c>
      <c r="W75" s="29">
        <f>IF(OR(W64="",$B$69=""),"",IFERROR(W64*1000000.0/$B$69,""))</f>
        <v/>
      </c>
      <c r="X75" s="29">
        <f>IF(OR(X64="",$B$69=""),"",IFERROR(X64*1000000.0/$B$69,""))</f>
        <v/>
      </c>
      <c r="Y75" s="28">
        <f>IF(OR(Y64="",$B$69=""),"",IFERROR(Y64*1000000.0/$B$69,""))</f>
        <v/>
      </c>
      <c r="Z75" s="29">
        <f>IF(OR(Z64="",$B$69=""),"",IFERROR(Z64*1000000.0/$B$69,""))</f>
        <v/>
      </c>
      <c r="AA75" s="29">
        <f>IF(OR(AA64="",$B$69=""),"",IFERROR(AA64*1000000.0/$B$69,""))</f>
        <v/>
      </c>
      <c r="AB75" s="29">
        <f>IF(OR(AB64="",$B$69=""),"",IFERROR(AB64*1000000.0/$B$69,""))</f>
        <v/>
      </c>
      <c r="AC75" s="29">
        <f>IF(OR(AC64="",$B$69=""),"",IFERROR(AC64*1000000.0/$B$69,""))</f>
        <v/>
      </c>
    </row>
    <row r="76">
      <c r="A76" s="9" t="inlineStr">
        <is>
          <t>목표주가</t>
        </is>
      </c>
      <c r="B76" s="10" t="n"/>
      <c r="C76" s="34" t="n"/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34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34">
        <f>IF(OR(Y75="",Y74=""),"",IFERROR(Y75*Y74,""))</f>
        <v/>
      </c>
      <c r="Z76" s="27">
        <f>IF(OR(Z75="",Z74=""),"",IFERROR(Z75*Z74,""))</f>
        <v/>
      </c>
      <c r="AA76" s="27">
        <f>IF(OR(AA75="",AA74=""),"",IFERROR(AA75*AA74,""))</f>
        <v/>
      </c>
      <c r="AB76" s="27">
        <f>IF(OR(AB75="",AB74=""),"",IFERROR(AB75*AB74,""))</f>
        <v/>
      </c>
      <c r="AC76" s="27">
        <f>IF(OR(AC75="",AC74=""),"",IFERROR(AC75*AC74,""))</f>
        <v/>
      </c>
    </row>
    <row r="77">
      <c r="A77" s="18" t="inlineStr">
        <is>
          <t>상승여력</t>
        </is>
      </c>
      <c r="B77" s="10" t="n"/>
      <c r="C77" s="35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5" t="n"/>
      <c r="P77" s="36" t="n"/>
      <c r="Q77" s="36" t="n"/>
      <c r="R77" s="36" t="n"/>
      <c r="S77" s="36" t="n"/>
      <c r="T77" s="36" t="n"/>
      <c r="U77" s="36" t="n"/>
      <c r="V77" s="36" t="n"/>
      <c r="W77" s="36" t="n"/>
      <c r="X77" s="36" t="n"/>
      <c r="Y77" s="37">
        <f>IF(OR(Y76="",$B$68=""),"",IFERROR(Y76/$B$68-1,""))</f>
        <v/>
      </c>
      <c r="Z77" s="38">
        <f>IF(OR(Z76="",$B$68=""),"",IFERROR(Z76/$B$68-1,""))</f>
        <v/>
      </c>
      <c r="AA77" s="38">
        <f>IF(OR(AA76="",$B$68=""),"",IFERROR(AA76/$B$68-1,""))</f>
        <v/>
      </c>
      <c r="AB77" s="38">
        <f>IF(OR(AB76="",$B$68=""),"",IFERROR(AB76/$B$68-1,""))</f>
        <v/>
      </c>
      <c r="AC77" s="38">
        <f>IF(OR(AC76="",$B$68=""),"",IFERROR(AC76/$B$68-1,""))</f>
        <v/>
      </c>
    </row>
    <row r="78">
      <c r="A78" s="16" t="inlineStr">
        <is>
          <t>자산가치 산출</t>
        </is>
      </c>
      <c r="B78" s="16" t="inlineStr">
        <is>
          <t>최신 분기 BS</t>
        </is>
      </c>
      <c r="C78" s="17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7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7" t="n"/>
      <c r="Z78" s="16" t="n"/>
      <c r="AA78" s="16" t="n"/>
      <c r="AB78" s="16" t="n"/>
      <c r="AC78" s="16" t="n"/>
    </row>
    <row r="79">
      <c r="A79" s="18" t="inlineStr">
        <is>
          <t>현금및현금성자산</t>
        </is>
      </c>
      <c r="B79" s="10" t="n"/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>
        <f>'재무상태표'!G6</f>
        <v/>
      </c>
      <c r="Y79" s="19">
        <f>'재무상태표'!G6</f>
        <v/>
      </c>
      <c r="Z79" s="20">
        <f>'재무상태표'!G6</f>
        <v/>
      </c>
      <c r="AA79" s="20">
        <f>'재무상태표'!G6</f>
        <v/>
      </c>
      <c r="AB79" s="20">
        <f>'재무상태표'!G6</f>
        <v/>
      </c>
      <c r="AC79" s="20">
        <f>'재무상태표'!G6</f>
        <v/>
      </c>
    </row>
    <row r="80">
      <c r="A80" s="18" t="inlineStr">
        <is>
          <t>단기금융상품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>
        <f>'재무상태표'!G7</f>
        <v/>
      </c>
      <c r="Y80" s="19">
        <f>'재무상태표'!G7</f>
        <v/>
      </c>
      <c r="Z80" s="20">
        <f>'재무상태표'!G7</f>
        <v/>
      </c>
      <c r="AA80" s="20">
        <f>'재무상태표'!G7</f>
        <v/>
      </c>
      <c r="AB80" s="20">
        <f>'재무상태표'!G7</f>
        <v/>
      </c>
      <c r="AC80" s="20">
        <f>'재무상태표'!G7</f>
        <v/>
      </c>
    </row>
    <row r="81">
      <c r="A81" s="18" t="inlineStr">
        <is>
          <t>투자부동산</t>
        </is>
      </c>
      <c r="B81" s="10" t="n"/>
      <c r="C81" s="19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19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>
        <f>'재무상태표'!G14</f>
        <v/>
      </c>
      <c r="Y81" s="19">
        <f>'재무상태표'!G14</f>
        <v/>
      </c>
      <c r="Z81" s="20">
        <f>'재무상태표'!G14</f>
        <v/>
      </c>
      <c r="AA81" s="20">
        <f>'재무상태표'!G14</f>
        <v/>
      </c>
      <c r="AB81" s="20">
        <f>'재무상태표'!G14</f>
        <v/>
      </c>
      <c r="AC81" s="20">
        <f>'재무상태표'!G14</f>
        <v/>
      </c>
    </row>
    <row r="82">
      <c r="A82" s="18" t="inlineStr">
        <is>
          <t>지배자본</t>
        </is>
      </c>
      <c r="B82" s="10" t="n"/>
      <c r="C82" s="19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19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>
        <f>'재무상태표'!G31</f>
        <v/>
      </c>
      <c r="Y82" s="19">
        <f>'재무상태표'!G31</f>
        <v/>
      </c>
      <c r="Z82" s="20">
        <f>'재무상태표'!G31</f>
        <v/>
      </c>
      <c r="AA82" s="20">
        <f>'재무상태표'!G31</f>
        <v/>
      </c>
      <c r="AB82" s="20">
        <f>'재무상태표'!G31</f>
        <v/>
      </c>
      <c r="AC82" s="20">
        <f>'재무상태표'!G31</f>
        <v/>
      </c>
    </row>
    <row r="83">
      <c r="A83" s="18" t="inlineStr">
        <is>
          <t>부채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>
        <f>'재무상태표'!G27</f>
        <v/>
      </c>
      <c r="Y83" s="19">
        <f>'재무상태표'!G27</f>
        <v/>
      </c>
      <c r="Z83" s="20">
        <f>'재무상태표'!G27</f>
        <v/>
      </c>
      <c r="AA83" s="20">
        <f>'재무상태표'!G27</f>
        <v/>
      </c>
      <c r="AB83" s="20">
        <f>'재무상태표'!G27</f>
        <v/>
      </c>
      <c r="AC83" s="20">
        <f>'재무상태표'!G27</f>
        <v/>
      </c>
    </row>
    <row r="84">
      <c r="A84" s="13" t="inlineStr">
        <is>
          <t>부채비율</t>
        </is>
      </c>
      <c r="B84" s="10" t="n"/>
      <c r="C84" s="14" t="n"/>
      <c r="D84" s="15" t="n"/>
      <c r="E84" s="15" t="n"/>
      <c r="F84" s="15" t="n"/>
      <c r="G84" s="15" t="n"/>
      <c r="H84" s="15" t="n"/>
      <c r="I84" s="15" t="n"/>
      <c r="J84" s="15" t="n"/>
      <c r="K84" s="15" t="n"/>
      <c r="L84" s="15" t="n"/>
      <c r="M84" s="15" t="n"/>
      <c r="N84" s="15" t="n"/>
      <c r="O84" s="14" t="n"/>
      <c r="P84" s="15" t="n"/>
      <c r="Q84" s="15" t="n"/>
      <c r="R84" s="15" t="n"/>
      <c r="S84" s="15" t="n"/>
      <c r="T84" s="15" t="n"/>
      <c r="U84" s="15" t="n"/>
      <c r="V84" s="15" t="n"/>
      <c r="W84" s="15" t="n"/>
      <c r="X84" s="15">
        <f>IF(OR(X83="",X82=""),"",IFERROR(X83/X82,""))</f>
        <v/>
      </c>
      <c r="Y84" s="14">
        <f>IF(OR(Y83="",Y82=""),"",IFERROR(Y83/Y82,""))</f>
        <v/>
      </c>
      <c r="Z84" s="15">
        <f>IF(OR(Z83="",Z82=""),"",IFERROR(Z83/Z82,""))</f>
        <v/>
      </c>
      <c r="AA84" s="15">
        <f>IF(OR(AA83="",AA82=""),"",IFERROR(AA83/AA82,""))</f>
        <v/>
      </c>
      <c r="AB84" s="15">
        <f>IF(OR(AB83="",AB82=""),"",IFERROR(AB83/AB82,""))</f>
        <v/>
      </c>
      <c r="AC84" s="15">
        <f>IF(OR(AC83="",AC82=""),"",IFERROR(AC83/AC82,""))</f>
        <v/>
      </c>
    </row>
    <row r="85">
      <c r="A85" s="9" t="inlineStr">
        <is>
          <t>자산가치</t>
        </is>
      </c>
      <c r="B85" s="10" t="inlineStr">
        <is>
          <t>현금+단기금융+투자부동산</t>
        </is>
      </c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>
        <f>SUM(X79,X80,X81)</f>
        <v/>
      </c>
      <c r="Y85" s="11">
        <f>SUM(Y79,Y80,Y81)</f>
        <v/>
      </c>
      <c r="Z85" s="12">
        <f>SUM(Z79,Z80,Z81)</f>
        <v/>
      </c>
      <c r="AA85" s="12">
        <f>SUM(AA79,AA80,AA81)</f>
        <v/>
      </c>
      <c r="AB85" s="12">
        <f>SUM(AB79,AB80,AB81)</f>
        <v/>
      </c>
      <c r="AC85" s="12">
        <f>SUM(AC79,AC80,AC81)</f>
        <v/>
      </c>
    </row>
    <row r="86">
      <c r="A86" s="16" t="inlineStr">
        <is>
          <t>기업가치 산출</t>
        </is>
      </c>
      <c r="B86" s="16" t="n"/>
      <c r="C86" s="17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7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7" t="n"/>
      <c r="Z86" s="16" t="n"/>
      <c r="AA86" s="16" t="n"/>
      <c r="AB86" s="16" t="n"/>
      <c r="AC86" s="16" t="n"/>
    </row>
    <row r="87">
      <c r="A87" s="18" t="inlineStr">
        <is>
          <t>목표 시가총액 (P/E)</t>
        </is>
      </c>
      <c r="B87" s="10" t="inlineStr">
        <is>
          <t>지배순이익 × Target P/E</t>
        </is>
      </c>
      <c r="C87" s="19" t="n"/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19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19">
        <f>IF(OR(Y64="",Y74=""),"",IFERROR(Y64*Y74,""))</f>
        <v/>
      </c>
      <c r="Z87" s="20">
        <f>IF(OR(Z64="",Z74=""),"",IFERROR(Z64*Z74,""))</f>
        <v/>
      </c>
      <c r="AA87" s="20">
        <f>IF(OR(AA64="",AA74=""),"",IFERROR(AA64*AA74,""))</f>
        <v/>
      </c>
      <c r="AB87" s="20">
        <f>IF(OR(AB64="",AB74=""),"",IFERROR(AB64*AB74,""))</f>
        <v/>
      </c>
      <c r="AC87" s="20">
        <f>IF(OR(AC64="",AC74=""),"",IFERROR(AC64*AC74,""))</f>
        <v/>
      </c>
    </row>
    <row r="88">
      <c r="A88" s="9" t="inlineStr">
        <is>
          <t>기업가치</t>
        </is>
      </c>
      <c r="B88" s="10" t="inlineStr">
        <is>
          <t>목표시총 + 자산가치</t>
        </is>
      </c>
      <c r="C88" s="11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1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1">
        <f>IF(OR(Y87=""),"",IFERROR(Y87+Y85,""))</f>
        <v/>
      </c>
      <c r="Z88" s="12">
        <f>IF(OR(Z87=""),"",IFERROR(Z87+Z85,""))</f>
        <v/>
      </c>
      <c r="AA88" s="12">
        <f>IF(OR(AA87=""),"",IFERROR(AA87+AA85,""))</f>
        <v/>
      </c>
      <c r="AB88" s="12">
        <f>IF(OR(AB87=""),"",IFERROR(AB87+AB85,""))</f>
        <v/>
      </c>
      <c r="AC88" s="12">
        <f>IF(OR(AC87=""),"",IFERROR(AC87+AC85,""))</f>
        <v/>
      </c>
    </row>
    <row r="89">
      <c r="A89" s="18" t="inlineStr">
        <is>
          <t>현재 시가총액</t>
        </is>
      </c>
      <c r="B89" s="10" t="n"/>
      <c r="C89" s="19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19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19">
        <f>$B$70</f>
        <v/>
      </c>
      <c r="Z89" s="20">
        <f>$B$70</f>
        <v/>
      </c>
      <c r="AA89" s="20">
        <f>$B$70</f>
        <v/>
      </c>
      <c r="AB89" s="20">
        <f>$B$70</f>
        <v/>
      </c>
      <c r="AC89" s="20">
        <f>$B$70</f>
        <v/>
      </c>
    </row>
    <row r="90">
      <c r="A90" s="18" t="inlineStr">
        <is>
          <t>상승여력</t>
        </is>
      </c>
      <c r="B90" s="10" t="n"/>
      <c r="C90" s="35" t="n"/>
      <c r="D90" s="36" t="n"/>
      <c r="E90" s="36" t="n"/>
      <c r="F90" s="36" t="n"/>
      <c r="G90" s="36" t="n"/>
      <c r="H90" s="36" t="n"/>
      <c r="I90" s="36" t="n"/>
      <c r="J90" s="36" t="n"/>
      <c r="K90" s="36" t="n"/>
      <c r="L90" s="36" t="n"/>
      <c r="M90" s="36" t="n"/>
      <c r="N90" s="36" t="n"/>
      <c r="O90" s="35" t="n"/>
      <c r="P90" s="36" t="n"/>
      <c r="Q90" s="36" t="n"/>
      <c r="R90" s="36" t="n"/>
      <c r="S90" s="36" t="n"/>
      <c r="T90" s="36" t="n"/>
      <c r="U90" s="36" t="n"/>
      <c r="V90" s="36" t="n"/>
      <c r="W90" s="36" t="n"/>
      <c r="X90" s="36" t="n"/>
      <c r="Y90" s="37">
        <f>IF(OR(Y88="",Y89=""),"",IFERROR(Y88/Y89-1,""))</f>
        <v/>
      </c>
      <c r="Z90" s="38">
        <f>IF(OR(Z88="",Z89=""),"",IFERROR(Z88/Z89-1,""))</f>
        <v/>
      </c>
      <c r="AA90" s="38">
        <f>IF(OR(AA88="",AA89=""),"",IFERROR(AA88/AA89-1,""))</f>
        <v/>
      </c>
      <c r="AB90" s="38">
        <f>IF(OR(AB88="",AB89=""),"",IFERROR(AB88/AB89-1,""))</f>
        <v/>
      </c>
      <c r="AC90" s="38">
        <f>IF(OR(AC88="",AC89=""),"",IFERROR(AC88/AC89-1,""))</f>
        <v/>
      </c>
    </row>
    <row r="91">
      <c r="C91" s="39" t="n"/>
      <c r="O91" s="39" t="n"/>
      <c r="Y91" s="39" t="n"/>
    </row>
    <row r="92">
      <c r="A92" s="40" t="inlineStr">
        <is>
          <t>출처</t>
        </is>
      </c>
      <c r="C92" s="39" t="n"/>
      <c r="O92" s="39" t="n"/>
      <c r="Y92" s="39" t="n"/>
    </row>
    <row r="93">
      <c r="A93" s="41" t="inlineStr">
        <is>
          <t>결산단신 XBRL(TDnet·JPX 보관소) — 쓴 문서는 '출처' 시트</t>
        </is>
      </c>
      <c r="C93" s="39" t="n"/>
      <c r="O93" s="39" t="n"/>
      <c r="Y93" s="39" t="n"/>
    </row>
    <row r="94">
      <c r="A94" s="41" t="inlineStr">
        <is>
          <t>분기 = 누계에서 앞 분기를 뺀 3개월 값</t>
        </is>
      </c>
      <c r="C94" s="39" t="n"/>
      <c r="O94" s="39" t="n"/>
      <c r="Y94" s="39" t="n"/>
    </row>
    <row r="95">
      <c r="A95" s="41" t="inlineStr">
        <is>
          <t>주가: 야후 파이낸스 일봉 2026.10.28</t>
        </is>
      </c>
      <c r="C95" s="39" t="n"/>
      <c r="O95" s="39" t="n"/>
      <c r="Y95" s="39" t="n"/>
    </row>
    <row r="97">
      <c r="A97" s="16" t="inlineStr">
        <is>
          <t>손익계산서 · 전 항목</t>
        </is>
      </c>
      <c r="B97" s="42" t="inlineStr">
        <is>
          <t>분기 = 3개월 단독</t>
        </is>
      </c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  <c r="AA97" s="16" t="n"/>
      <c r="AB97" s="16" t="n"/>
      <c r="AC97" s="16" t="n"/>
    </row>
    <row r="98">
      <c r="A98" s="5" t="inlineStr">
        <is>
          <t>항목</t>
        </is>
      </c>
      <c r="B98" s="5" t="inlineStr">
        <is>
          <t>참고</t>
        </is>
      </c>
      <c r="C98" s="5" t="inlineStr">
        <is>
          <t>2024.3Q</t>
        </is>
      </c>
      <c r="D98" s="5" t="inlineStr">
        <is>
          <t>2024.4Q</t>
        </is>
      </c>
      <c r="E98" s="5" t="inlineStr">
        <is>
          <t>2025.1Q</t>
        </is>
      </c>
      <c r="F98" s="5" t="inlineStr">
        <is>
          <t>2025.2Q</t>
        </is>
      </c>
      <c r="G98" s="5" t="inlineStr">
        <is>
          <t>2025.3Q</t>
        </is>
      </c>
      <c r="H98" s="5" t="inlineStr">
        <is>
          <t>2025.4Q</t>
        </is>
      </c>
      <c r="I98" s="5" t="inlineStr">
        <is>
          <t>2026.1Q</t>
        </is>
      </c>
      <c r="J98" s="5" t="inlineStr">
        <is>
          <t>2026.2Q</t>
        </is>
      </c>
      <c r="K98" s="5" t="inlineStr">
        <is>
          <t>2026.3Q</t>
        </is>
      </c>
      <c r="L98" s="5" t="inlineStr">
        <is>
          <t>2026.4Q</t>
        </is>
      </c>
      <c r="M98" s="5" t="inlineStr">
        <is>
          <t>2027.1Q</t>
        </is>
      </c>
      <c r="N98" s="5" t="inlineStr">
        <is>
          <t>2027.2Q</t>
        </is>
      </c>
      <c r="O98" s="5" t="inlineStr">
        <is>
          <t>2017</t>
        </is>
      </c>
      <c r="P98" s="5" t="inlineStr">
        <is>
          <t>2018</t>
        </is>
      </c>
      <c r="Q98" s="5" t="inlineStr">
        <is>
          <t>2019</t>
        </is>
      </c>
      <c r="R98" s="5" t="inlineStr">
        <is>
          <t>2020</t>
        </is>
      </c>
      <c r="S98" s="5" t="inlineStr">
        <is>
          <t>2021</t>
        </is>
      </c>
      <c r="T98" s="5" t="inlineStr">
        <is>
          <t>2022</t>
        </is>
      </c>
      <c r="U98" s="5" t="inlineStr">
        <is>
          <t>2023</t>
        </is>
      </c>
      <c r="V98" s="5" t="inlineStr">
        <is>
          <t>2024</t>
        </is>
      </c>
      <c r="W98" s="5" t="inlineStr">
        <is>
          <t>2025</t>
        </is>
      </c>
      <c r="X98" s="5" t="inlineStr">
        <is>
          <t>2026</t>
        </is>
      </c>
      <c r="Y98" s="5" t="inlineStr">
        <is>
          <t>2027(MW)</t>
        </is>
      </c>
      <c r="Z98" s="5" t="inlineStr">
        <is>
          <t>2028(MW)</t>
        </is>
      </c>
      <c r="AA98" s="5" t="inlineStr">
        <is>
          <t>2029(MW)</t>
        </is>
      </c>
      <c r="AB98" s="5" t="inlineStr">
        <is>
          <t>2030(MW)</t>
        </is>
      </c>
      <c r="AC98" s="5" t="inlineStr">
        <is>
          <t>2031(MW)</t>
        </is>
      </c>
    </row>
    <row r="99">
      <c r="A99" s="9" t="inlineStr">
        <is>
          <t>매출액</t>
        </is>
      </c>
      <c r="E99" s="12" t="n">
        <v>19098</v>
      </c>
      <c r="F99" s="12" t="n">
        <v>11938</v>
      </c>
      <c r="G99" s="12" t="n">
        <v>49410</v>
      </c>
      <c r="H99" s="12" t="n">
        <v>33157</v>
      </c>
      <c r="I99" s="12" t="n">
        <v>17581</v>
      </c>
      <c r="J99" s="12" t="n">
        <v>17600</v>
      </c>
      <c r="K99" s="12" t="n">
        <v>27743</v>
      </c>
      <c r="L99" s="12" t="n">
        <v>74105</v>
      </c>
      <c r="M99" s="12" t="n">
        <v>10027</v>
      </c>
      <c r="N99" s="12" t="n">
        <v>45496</v>
      </c>
      <c r="T99" s="12" t="n">
        <v>48849</v>
      </c>
      <c r="U99" s="12" t="n">
        <v>41284</v>
      </c>
      <c r="W99" s="12" t="n">
        <v>33157</v>
      </c>
      <c r="X99" s="12" t="n">
        <v>74105</v>
      </c>
    </row>
    <row r="100">
      <c r="A100" s="43" t="inlineStr">
        <is>
          <t>YoY</t>
        </is>
      </c>
      <c r="B100" s="3" t="inlineStr">
        <is>
          <t>전년 같은 분기·전년 대비</t>
        </is>
      </c>
      <c r="G100" s="15">
        <f>IF(OR(G99="",C99=""),"",IF(C99&lt;=0,"",IFERROR(G99/C99-1,"")))</f>
        <v/>
      </c>
      <c r="H100" s="15">
        <f>IF(OR(H99="",D99=""),"",IF(D99&lt;=0,"",IFERROR(H99/D99-1,"")))</f>
        <v/>
      </c>
      <c r="I100" s="15">
        <f>IF(OR(I99="",E99=""),"",IF(E99&lt;=0,"",IFERROR(I99/E99-1,"")))</f>
        <v/>
      </c>
      <c r="J100" s="15">
        <f>IF(OR(J99="",F99=""),"",IF(F99&lt;=0,"",IFERROR(J99/F99-1,"")))</f>
        <v/>
      </c>
      <c r="K100" s="15">
        <f>IF(OR(K99="",G99=""),"",IF(G99&lt;=0,"",IFERROR(K99/G99-1,"")))</f>
        <v/>
      </c>
      <c r="L100" s="15">
        <f>IF(OR(L99="",H99=""),"",IF(H99&lt;=0,"",IFERROR(L99/H99-1,"")))</f>
        <v/>
      </c>
      <c r="M100" s="15">
        <f>IF(OR(M99="",I99=""),"",IF(I99&lt;=0,"",IFERROR(M99/I99-1,"")))</f>
        <v/>
      </c>
      <c r="N100" s="15">
        <f>IF(OR(N99="",J99=""),"",IF(J99&lt;=0,"",IFERROR(N99/J99-1,"")))</f>
        <v/>
      </c>
      <c r="T100" s="15">
        <f>IF(OR(T99="",S99=""),"",IF(S99&lt;=0,"",IFERROR(T99/S99-1,"")))</f>
        <v/>
      </c>
      <c r="U100" s="15">
        <f>IF(OR(U99="",T99=""),"",IF(T99&lt;=0,"",IFERROR(U99/T99-1,"")))</f>
        <v/>
      </c>
      <c r="W100" s="15">
        <f>IF(OR(W99="",V99=""),"",IF(V99&lt;=0,"",IFERROR(W99/V99-1,"")))</f>
        <v/>
      </c>
      <c r="X100" s="15">
        <f>IF(OR(X99="",W99=""),"",IF(W99&lt;=0,"",IFERROR(X99/W99-1,"")))</f>
        <v/>
      </c>
    </row>
    <row r="101">
      <c r="A101" s="18" t="inlineStr">
        <is>
          <t>매출원가</t>
        </is>
      </c>
      <c r="E101" s="20" t="n">
        <v>12992</v>
      </c>
      <c r="F101" s="20" t="n">
        <v>8109</v>
      </c>
      <c r="G101" s="20" t="n">
        <v>34552</v>
      </c>
      <c r="H101" s="20" t="n">
        <v>21481</v>
      </c>
      <c r="I101" s="20" t="n">
        <v>12228</v>
      </c>
      <c r="J101" s="20" t="n">
        <v>11844</v>
      </c>
      <c r="K101" s="20" t="n">
        <v>18736</v>
      </c>
      <c r="L101" s="20" t="n">
        <v>53213</v>
      </c>
      <c r="M101" s="20" t="n">
        <v>6411</v>
      </c>
      <c r="N101" s="20" t="n">
        <v>30691</v>
      </c>
      <c r="T101" s="20" t="n">
        <v>35705</v>
      </c>
      <c r="U101" s="20" t="n">
        <v>28527</v>
      </c>
      <c r="W101" s="20" t="n">
        <v>21481</v>
      </c>
      <c r="X101" s="20" t="n">
        <v>53213</v>
      </c>
    </row>
    <row r="102">
      <c r="A102" s="43" t="inlineStr">
        <is>
          <t>YoY</t>
        </is>
      </c>
      <c r="B102" s="3" t="inlineStr">
        <is>
          <t>전년 같은 분기·전년 대비</t>
        </is>
      </c>
      <c r="G102" s="15">
        <f>IF(OR(G101="",C101=""),"",IF(G101*C101&lt;=0,"",IFERROR(G101/C101-1,"")))</f>
        <v/>
      </c>
      <c r="H102" s="15">
        <f>IF(OR(H101="",D101=""),"",IF(H101*D101&lt;=0,"",IFERROR(H101/D101-1,"")))</f>
        <v/>
      </c>
      <c r="I102" s="15">
        <f>IF(OR(I101="",E101=""),"",IF(I101*E101&lt;=0,"",IFERROR(I101/E101-1,"")))</f>
        <v/>
      </c>
      <c r="J102" s="15">
        <f>IF(OR(J101="",F101=""),"",IF(J101*F101&lt;=0,"",IFERROR(J101/F101-1,"")))</f>
        <v/>
      </c>
      <c r="K102" s="15">
        <f>IF(OR(K101="",G101=""),"",IF(K101*G101&lt;=0,"",IFERROR(K101/G101-1,"")))</f>
        <v/>
      </c>
      <c r="L102" s="15">
        <f>IF(OR(L101="",H101=""),"",IF(L101*H101&lt;=0,"",IFERROR(L101/H101-1,"")))</f>
        <v/>
      </c>
      <c r="M102" s="15">
        <f>IF(OR(M101="",I101=""),"",IF(M101*I101&lt;=0,"",IFERROR(M101/I101-1,"")))</f>
        <v/>
      </c>
      <c r="N102" s="15">
        <f>IF(OR(N101="",J101=""),"",IF(N101*J101&lt;=0,"",IFERROR(N101/J101-1,"")))</f>
        <v/>
      </c>
      <c r="T102" s="15">
        <f>IF(OR(T101="",S101=""),"",IF(T101*S101&lt;=0,"",IFERROR(T101/S101-1,"")))</f>
        <v/>
      </c>
      <c r="U102" s="15">
        <f>IF(OR(U101="",T101=""),"",IF(U101*T101&lt;=0,"",IFERROR(U101/T101-1,"")))</f>
        <v/>
      </c>
      <c r="W102" s="15">
        <f>IF(OR(W101="",V101=""),"",IF(W101*V101&lt;=0,"",IFERROR(W101/V101-1,"")))</f>
        <v/>
      </c>
      <c r="X102" s="15">
        <f>IF(OR(X101="",W101=""),"",IF(X101*W101&lt;=0,"",IFERROR(X101/W101-1,"")))</f>
        <v/>
      </c>
    </row>
    <row r="103">
      <c r="A103" s="9" t="inlineStr">
        <is>
          <t>매출총이익</t>
        </is>
      </c>
      <c r="E103" s="12" t="n">
        <v>6106</v>
      </c>
      <c r="F103" s="12" t="n">
        <v>3829</v>
      </c>
      <c r="G103" s="12" t="n">
        <v>14858</v>
      </c>
      <c r="H103" s="12" t="n">
        <v>11676</v>
      </c>
      <c r="I103" s="12" t="n">
        <v>5353</v>
      </c>
      <c r="J103" s="12" t="n">
        <v>5756</v>
      </c>
      <c r="K103" s="12" t="n">
        <v>9006</v>
      </c>
      <c r="L103" s="12" t="n">
        <v>20893</v>
      </c>
      <c r="M103" s="12" t="n">
        <v>3616</v>
      </c>
      <c r="N103" s="12" t="n">
        <v>14805</v>
      </c>
      <c r="T103" s="12" t="n">
        <v>13144</v>
      </c>
      <c r="U103" s="12" t="n">
        <v>12757</v>
      </c>
      <c r="W103" s="12" t="n">
        <v>11676</v>
      </c>
      <c r="X103" s="12" t="n">
        <v>20893</v>
      </c>
    </row>
    <row r="104">
      <c r="A104" s="43" t="inlineStr">
        <is>
          <t>YoY</t>
        </is>
      </c>
      <c r="B104" s="3" t="inlineStr">
        <is>
          <t>전년 같은 분기·전년 대비</t>
        </is>
      </c>
      <c r="G104" s="15">
        <f>IF(OR(G103="",C103=""),"",IF(C103&lt;=0,"",IFERROR(G103/C103-1,"")))</f>
        <v/>
      </c>
      <c r="H104" s="15">
        <f>IF(OR(H103="",D103=""),"",IF(D103&lt;=0,"",IFERROR(H103/D103-1,"")))</f>
        <v/>
      </c>
      <c r="I104" s="15">
        <f>IF(OR(I103="",E103=""),"",IF(E103&lt;=0,"",IFERROR(I103/E103-1,"")))</f>
        <v/>
      </c>
      <c r="J104" s="15">
        <f>IF(OR(J103="",F103=""),"",IF(F103&lt;=0,"",IFERROR(J103/F103-1,"")))</f>
        <v/>
      </c>
      <c r="K104" s="15">
        <f>IF(OR(K103="",G103=""),"",IF(G103&lt;=0,"",IFERROR(K103/G103-1,"")))</f>
        <v/>
      </c>
      <c r="L104" s="15">
        <f>IF(OR(L103="",H103=""),"",IF(H103&lt;=0,"",IFERROR(L103/H103-1,"")))</f>
        <v/>
      </c>
      <c r="M104" s="15">
        <f>IF(OR(M103="",I103=""),"",IF(I103&lt;=0,"",IFERROR(M103/I103-1,"")))</f>
        <v/>
      </c>
      <c r="N104" s="15">
        <f>IF(OR(N103="",J103=""),"",IF(J103&lt;=0,"",IFERROR(N103/J103-1,"")))</f>
        <v/>
      </c>
      <c r="T104" s="15">
        <f>IF(OR(T103="",S103=""),"",IF(S103&lt;=0,"",IFERROR(T103/S103-1,"")))</f>
        <v/>
      </c>
      <c r="U104" s="15">
        <f>IF(OR(U103="",T103=""),"",IF(T103&lt;=0,"",IFERROR(U103/T103-1,"")))</f>
        <v/>
      </c>
      <c r="W104" s="15">
        <f>IF(OR(W103="",V103=""),"",IF(V103&lt;=0,"",IFERROR(W103/V103-1,"")))</f>
        <v/>
      </c>
      <c r="X104" s="15">
        <f>IF(OR(X103="",W103=""),"",IF(W103&lt;=0,"",IFERROR(X103/W103-1,"")))</f>
        <v/>
      </c>
    </row>
    <row r="105">
      <c r="A105" s="18" t="inlineStr">
        <is>
          <t>판매비와 관리비</t>
        </is>
      </c>
      <c r="E105" s="20" t="n">
        <v>2816</v>
      </c>
      <c r="F105" s="20" t="n">
        <v>2803</v>
      </c>
      <c r="G105" s="20" t="n">
        <v>5421</v>
      </c>
      <c r="H105" s="20" t="n">
        <v>4117</v>
      </c>
      <c r="I105" s="20" t="n">
        <v>3169</v>
      </c>
      <c r="J105" s="20" t="n">
        <v>3034</v>
      </c>
      <c r="K105" s="20" t="n">
        <v>3366</v>
      </c>
      <c r="L105" s="20" t="n">
        <v>5337</v>
      </c>
      <c r="M105" s="20" t="n">
        <v>3027</v>
      </c>
      <c r="N105" s="20" t="n">
        <v>4815</v>
      </c>
      <c r="T105" s="20" t="n">
        <v>3864</v>
      </c>
      <c r="U105" s="20" t="n">
        <v>4003</v>
      </c>
      <c r="W105" s="20" t="n">
        <v>4117</v>
      </c>
      <c r="X105" s="20" t="n">
        <v>5337</v>
      </c>
    </row>
    <row r="106">
      <c r="A106" s="43" t="inlineStr">
        <is>
          <t>YoY</t>
        </is>
      </c>
      <c r="B106" s="3" t="inlineStr">
        <is>
          <t>전년 같은 분기·전년 대비</t>
        </is>
      </c>
      <c r="G106" s="15">
        <f>IF(OR(G105="",C105=""),"",IF(G105*C105&lt;=0,"",IFERROR(G105/C105-1,"")))</f>
        <v/>
      </c>
      <c r="H106" s="15">
        <f>IF(OR(H105="",D105=""),"",IF(H105*D105&lt;=0,"",IFERROR(H105/D105-1,"")))</f>
        <v/>
      </c>
      <c r="I106" s="15">
        <f>IF(OR(I105="",E105=""),"",IF(I105*E105&lt;=0,"",IFERROR(I105/E105-1,"")))</f>
        <v/>
      </c>
      <c r="J106" s="15">
        <f>IF(OR(J105="",F105=""),"",IF(J105*F105&lt;=0,"",IFERROR(J105/F105-1,"")))</f>
        <v/>
      </c>
      <c r="K106" s="15">
        <f>IF(OR(K105="",G105=""),"",IF(K105*G105&lt;=0,"",IFERROR(K105/G105-1,"")))</f>
        <v/>
      </c>
      <c r="L106" s="15">
        <f>IF(OR(L105="",H105=""),"",IF(L105*H105&lt;=0,"",IFERROR(L105/H105-1,"")))</f>
        <v/>
      </c>
      <c r="M106" s="15">
        <f>IF(OR(M105="",I105=""),"",IF(M105*I105&lt;=0,"",IFERROR(M105/I105-1,"")))</f>
        <v/>
      </c>
      <c r="N106" s="15">
        <f>IF(OR(N105="",J105=""),"",IF(N105*J105&lt;=0,"",IFERROR(N105/J105-1,"")))</f>
        <v/>
      </c>
      <c r="T106" s="15">
        <f>IF(OR(T105="",S105=""),"",IF(T105*S105&lt;=0,"",IFERROR(T105/S105-1,"")))</f>
        <v/>
      </c>
      <c r="U106" s="15">
        <f>IF(OR(U105="",T105=""),"",IF(U105*T105&lt;=0,"",IFERROR(U105/T105-1,"")))</f>
        <v/>
      </c>
      <c r="W106" s="15">
        <f>IF(OR(W105="",V105=""),"",IF(W105*V105&lt;=0,"",IFERROR(W105/V105-1,"")))</f>
        <v/>
      </c>
      <c r="X106" s="15">
        <f>IF(OR(X105="",W105=""),"",IF(X105*W105&lt;=0,"",IFERROR(X105/W105-1,"")))</f>
        <v/>
      </c>
    </row>
    <row r="107">
      <c r="A107" s="9" t="inlineStr">
        <is>
          <t>영업이익</t>
        </is>
      </c>
      <c r="E107" s="12" t="n">
        <v>3289</v>
      </c>
      <c r="F107" s="12" t="n">
        <v>1027</v>
      </c>
      <c r="G107" s="12" t="n">
        <v>9437</v>
      </c>
      <c r="H107" s="12" t="n">
        <v>7558</v>
      </c>
      <c r="I107" s="12" t="n">
        <v>2183</v>
      </c>
      <c r="J107" s="12" t="n">
        <v>2722</v>
      </c>
      <c r="K107" s="12" t="n">
        <v>5641</v>
      </c>
      <c r="L107" s="12" t="n">
        <v>15555</v>
      </c>
      <c r="M107" s="12" t="n">
        <v>588</v>
      </c>
      <c r="N107" s="12" t="n">
        <v>9990</v>
      </c>
      <c r="T107" s="12" t="n">
        <v>9280</v>
      </c>
      <c r="U107" s="12" t="n">
        <v>8753</v>
      </c>
      <c r="W107" s="12" t="n">
        <v>7558</v>
      </c>
      <c r="X107" s="12" t="n">
        <v>15555</v>
      </c>
    </row>
    <row r="108">
      <c r="A108" s="43" t="inlineStr">
        <is>
          <t>OPM</t>
        </is>
      </c>
      <c r="B108" s="3" t="inlineStr">
        <is>
          <t>영업이익 ÷ 매출</t>
        </is>
      </c>
      <c r="E108" s="15">
        <f>IF(OR(E107="",E99=""),"",IF(E99&lt;=0,"",IFERROR(E107/E99,"")))</f>
        <v/>
      </c>
      <c r="F108" s="15">
        <f>IF(OR(F107="",F99=""),"",IF(F99&lt;=0,"",IFERROR(F107/F99,"")))</f>
        <v/>
      </c>
      <c r="G108" s="15">
        <f>IF(OR(G107="",G99=""),"",IF(G99&lt;=0,"",IFERROR(G107/G99,"")))</f>
        <v/>
      </c>
      <c r="H108" s="15">
        <f>IF(OR(H107="",H99=""),"",IF(H99&lt;=0,"",IFERROR(H107/H99,"")))</f>
        <v/>
      </c>
      <c r="I108" s="15">
        <f>IF(OR(I107="",I99=""),"",IF(I99&lt;=0,"",IFERROR(I107/I99,"")))</f>
        <v/>
      </c>
      <c r="J108" s="15">
        <f>IF(OR(J107="",J99=""),"",IF(J99&lt;=0,"",IFERROR(J107/J99,"")))</f>
        <v/>
      </c>
      <c r="K108" s="15">
        <f>IF(OR(K107="",K99=""),"",IF(K99&lt;=0,"",IFERROR(K107/K99,"")))</f>
        <v/>
      </c>
      <c r="L108" s="15">
        <f>IF(OR(L107="",L99=""),"",IF(L99&lt;=0,"",IFERROR(L107/L99,"")))</f>
        <v/>
      </c>
      <c r="M108" s="15">
        <f>IF(OR(M107="",M99=""),"",IF(M99&lt;=0,"",IFERROR(M107/M99,"")))</f>
        <v/>
      </c>
      <c r="N108" s="15">
        <f>IF(OR(N107="",N99=""),"",IF(N99&lt;=0,"",IFERROR(N107/N99,"")))</f>
        <v/>
      </c>
      <c r="T108" s="15">
        <f>IF(OR(T107="",T99=""),"",IF(T99&lt;=0,"",IFERROR(T107/T99,"")))</f>
        <v/>
      </c>
      <c r="U108" s="15">
        <f>IF(OR(U107="",U99=""),"",IF(U99&lt;=0,"",IFERROR(U107/U99,"")))</f>
        <v/>
      </c>
      <c r="W108" s="15">
        <f>IF(OR(W107="",W99=""),"",IF(W99&lt;=0,"",IFERROR(W107/W99,"")))</f>
        <v/>
      </c>
      <c r="X108" s="15">
        <f>IF(OR(X107="",X99=""),"",IF(X99&lt;=0,"",IFERROR(X107/X99,"")))</f>
        <v/>
      </c>
    </row>
    <row r="109">
      <c r="A109" s="43" t="inlineStr">
        <is>
          <t>YoY</t>
        </is>
      </c>
      <c r="B109" s="3" t="inlineStr">
        <is>
          <t>전년 같은 분기·전년 대비</t>
        </is>
      </c>
      <c r="G109" s="15">
        <f>IF(OR(G107="",C107=""),"",IF(C107&lt;=0,"",IFERROR(G107/C107-1,"")))</f>
        <v/>
      </c>
      <c r="H109" s="15">
        <f>IF(OR(H107="",D107=""),"",IF(D107&lt;=0,"",IFERROR(H107/D107-1,"")))</f>
        <v/>
      </c>
      <c r="I109" s="15">
        <f>IF(OR(I107="",E107=""),"",IF(E107&lt;=0,"",IFERROR(I107/E107-1,"")))</f>
        <v/>
      </c>
      <c r="J109" s="15">
        <f>IF(OR(J107="",F107=""),"",IF(F107&lt;=0,"",IFERROR(J107/F107-1,"")))</f>
        <v/>
      </c>
      <c r="K109" s="15">
        <f>IF(OR(K107="",G107=""),"",IF(G107&lt;=0,"",IFERROR(K107/G107-1,"")))</f>
        <v/>
      </c>
      <c r="L109" s="15">
        <f>IF(OR(L107="",H107=""),"",IF(H107&lt;=0,"",IFERROR(L107/H107-1,"")))</f>
        <v/>
      </c>
      <c r="M109" s="15">
        <f>IF(OR(M107="",I107=""),"",IF(I107&lt;=0,"",IFERROR(M107/I107-1,"")))</f>
        <v/>
      </c>
      <c r="N109" s="15">
        <f>IF(OR(N107="",J107=""),"",IF(J107&lt;=0,"",IFERROR(N107/J107-1,"")))</f>
        <v/>
      </c>
      <c r="T109" s="15">
        <f>IF(OR(T107="",S107=""),"",IF(S107&lt;=0,"",IFERROR(T107/S107-1,"")))</f>
        <v/>
      </c>
      <c r="U109" s="15">
        <f>IF(OR(U107="",T107=""),"",IF(T107&lt;=0,"",IFERROR(U107/T107-1,"")))</f>
        <v/>
      </c>
      <c r="W109" s="15">
        <f>IF(OR(W107="",V107=""),"",IF(V107&lt;=0,"",IFERROR(W107/V107-1,"")))</f>
        <v/>
      </c>
      <c r="X109" s="15">
        <f>IF(OR(X107="",W107=""),"",IF(W107&lt;=0,"",IFERROR(X107/W107-1,"")))</f>
        <v/>
      </c>
    </row>
    <row r="110">
      <c r="A110" s="18" t="inlineStr">
        <is>
          <t>이자수익</t>
        </is>
      </c>
      <c r="E110" s="20" t="n">
        <v>0</v>
      </c>
      <c r="F110" s="20" t="n">
        <v>4</v>
      </c>
      <c r="G110" s="20" t="n">
        <v>1</v>
      </c>
      <c r="H110" s="20" t="n">
        <v>24</v>
      </c>
      <c r="I110" s="20" t="n">
        <v>0</v>
      </c>
      <c r="J110" s="20" t="n">
        <v>43</v>
      </c>
      <c r="K110" s="20" t="n">
        <v>1</v>
      </c>
      <c r="L110" s="20" t="n">
        <v>45</v>
      </c>
      <c r="M110" s="20" t="n">
        <v>1</v>
      </c>
      <c r="N110" s="20" t="n">
        <v>82</v>
      </c>
      <c r="T110" s="20" t="n">
        <v>1</v>
      </c>
      <c r="U110" s="20" t="n">
        <v>1</v>
      </c>
      <c r="W110" s="20" t="n">
        <v>24</v>
      </c>
      <c r="X110" s="20" t="n">
        <v>45</v>
      </c>
    </row>
    <row r="111">
      <c r="A111" s="18" t="inlineStr">
        <is>
          <t>배당금수익</t>
        </is>
      </c>
      <c r="E111" s="20" t="n">
        <v>63</v>
      </c>
      <c r="F111" s="20" t="n">
        <v>0</v>
      </c>
      <c r="G111" s="20" t="n">
        <v>56</v>
      </c>
      <c r="H111" s="20" t="n">
        <v>0</v>
      </c>
      <c r="I111" s="20" t="n">
        <v>67</v>
      </c>
      <c r="J111" s="20" t="n">
        <v>1</v>
      </c>
      <c r="K111" s="20" t="n">
        <v>66</v>
      </c>
      <c r="L111" s="20" t="n">
        <v>54</v>
      </c>
      <c r="M111" s="20" t="n">
        <v>70</v>
      </c>
      <c r="N111" s="20" t="n">
        <v>0</v>
      </c>
      <c r="T111" s="20" t="n">
        <v>62</v>
      </c>
      <c r="U111" s="20" t="n">
        <v>56</v>
      </c>
      <c r="W111" s="20" t="n">
        <v>0</v>
      </c>
      <c r="X111" s="20" t="n">
        <v>54</v>
      </c>
    </row>
    <row r="112">
      <c r="A112" s="18" t="inlineStr">
        <is>
          <t>위약금 수입</t>
        </is>
      </c>
      <c r="E112" s="20" t="n">
        <v>7</v>
      </c>
      <c r="F112" s="20" t="n">
        <v>57</v>
      </c>
      <c r="G112" s="20" t="n">
        <v>32</v>
      </c>
      <c r="I112" s="20" t="n">
        <v>67</v>
      </c>
      <c r="J112" s="20" t="n">
        <v>87</v>
      </c>
      <c r="K112" s="20" t="n">
        <v>15</v>
      </c>
      <c r="M112" s="20" t="n">
        <v>24</v>
      </c>
      <c r="N112" s="20" t="n">
        <v>16</v>
      </c>
      <c r="U112" s="20" t="n">
        <v>24</v>
      </c>
    </row>
    <row r="113">
      <c r="A113" s="18" t="inlineStr">
        <is>
          <t>외환차익</t>
        </is>
      </c>
      <c r="E113" s="20" t="n">
        <v>230</v>
      </c>
      <c r="F113" s="20" t="n">
        <v>-230</v>
      </c>
      <c r="G113" s="20" t="n">
        <v>232</v>
      </c>
      <c r="H113" s="20" t="n">
        <v>-217</v>
      </c>
      <c r="I113" s="20" t="n">
        <v>0</v>
      </c>
      <c r="J113" s="20" t="n">
        <v>42</v>
      </c>
      <c r="K113" s="20" t="n">
        <v>237</v>
      </c>
      <c r="L113" s="20" t="n">
        <v>46</v>
      </c>
      <c r="M113" s="20" t="n">
        <v>55</v>
      </c>
      <c r="N113" s="20" t="n">
        <v>-55</v>
      </c>
      <c r="T113" s="20" t="n">
        <v>-164</v>
      </c>
      <c r="U113" s="20" t="n">
        <v>-131</v>
      </c>
      <c r="W113" s="20" t="n">
        <v>-217</v>
      </c>
      <c r="X113" s="20" t="n">
        <v>46</v>
      </c>
    </row>
    <row r="114">
      <c r="A114" s="18" t="inlineStr">
        <is>
          <t>기타</t>
        </is>
      </c>
      <c r="E114" s="20" t="n">
        <v>11</v>
      </c>
      <c r="F114" s="20" t="n">
        <v>1</v>
      </c>
      <c r="G114" s="20" t="n">
        <v>2</v>
      </c>
      <c r="H114" s="20" t="n">
        <v>10</v>
      </c>
      <c r="I114" s="20" t="n">
        <v>9</v>
      </c>
      <c r="J114" s="20" t="n">
        <v>7</v>
      </c>
      <c r="K114" s="20" t="n">
        <v>2</v>
      </c>
      <c r="L114" s="20" t="n">
        <v>6</v>
      </c>
      <c r="M114" s="20" t="n">
        <v>4</v>
      </c>
      <c r="N114" s="20" t="n">
        <v>6</v>
      </c>
      <c r="T114" s="20" t="n">
        <v>1</v>
      </c>
      <c r="U114" s="20" t="n">
        <v>13</v>
      </c>
      <c r="W114" s="20" t="n">
        <v>10</v>
      </c>
      <c r="X114" s="20" t="n">
        <v>6</v>
      </c>
    </row>
    <row r="115">
      <c r="A115" s="18" t="inlineStr">
        <is>
          <t>영업외수익 합계</t>
        </is>
      </c>
      <c r="E115" s="20" t="n">
        <v>313</v>
      </c>
      <c r="F115" s="20" t="n">
        <v>-168</v>
      </c>
      <c r="G115" s="20" t="n">
        <v>323</v>
      </c>
      <c r="H115" s="20" t="n">
        <v>-159</v>
      </c>
      <c r="I115" s="20" t="n">
        <v>145</v>
      </c>
      <c r="J115" s="20" t="n">
        <v>180</v>
      </c>
      <c r="K115" s="20" t="n">
        <v>320</v>
      </c>
      <c r="L115" s="20" t="n">
        <v>164</v>
      </c>
      <c r="M115" s="20" t="n">
        <v>155</v>
      </c>
      <c r="N115" s="20" t="n">
        <v>49</v>
      </c>
      <c r="T115" s="20" t="n">
        <v>-89</v>
      </c>
      <c r="U115" s="20" t="n">
        <v>-38</v>
      </c>
      <c r="W115" s="20" t="n">
        <v>-159</v>
      </c>
      <c r="X115" s="20" t="n">
        <v>164</v>
      </c>
    </row>
    <row r="116">
      <c r="A116" s="43" t="inlineStr">
        <is>
          <t>YoY</t>
        </is>
      </c>
      <c r="B116" s="3" t="inlineStr">
        <is>
          <t>전년 같은 분기·전년 대비</t>
        </is>
      </c>
      <c r="G116" s="15">
        <f>IF(OR(G115="",C115=""),"",IF(G115*C115&lt;=0,"",IFERROR(G115/C115-1,"")))</f>
        <v/>
      </c>
      <c r="H116" s="15">
        <f>IF(OR(H115="",D115=""),"",IF(H115*D115&lt;=0,"",IFERROR(H115/D115-1,"")))</f>
        <v/>
      </c>
      <c r="I116" s="15">
        <f>IF(OR(I115="",E115=""),"",IF(I115*E115&lt;=0,"",IFERROR(I115/E115-1,"")))</f>
        <v/>
      </c>
      <c r="J116" s="15">
        <f>IF(OR(J115="",F115=""),"",IF(J115*F115&lt;=0,"",IFERROR(J115/F115-1,"")))</f>
        <v/>
      </c>
      <c r="K116" s="15">
        <f>IF(OR(K115="",G115=""),"",IF(K115*G115&lt;=0,"",IFERROR(K115/G115-1,"")))</f>
        <v/>
      </c>
      <c r="L116" s="15">
        <f>IF(OR(L115="",H115=""),"",IF(L115*H115&lt;=0,"",IFERROR(L115/H115-1,"")))</f>
        <v/>
      </c>
      <c r="M116" s="15">
        <f>IF(OR(M115="",I115=""),"",IF(M115*I115&lt;=0,"",IFERROR(M115/I115-1,"")))</f>
        <v/>
      </c>
      <c r="N116" s="15">
        <f>IF(OR(N115="",J115=""),"",IF(N115*J115&lt;=0,"",IFERROR(N115/J115-1,"")))</f>
        <v/>
      </c>
      <c r="T116" s="15">
        <f>IF(OR(T115="",S115=""),"",IF(T115*S115&lt;=0,"",IFERROR(T115/S115-1,"")))</f>
        <v/>
      </c>
      <c r="U116" s="15">
        <f>IF(OR(U115="",T115=""),"",IF(U115*T115&lt;=0,"",IFERROR(U115/T115-1,"")))</f>
        <v/>
      </c>
      <c r="W116" s="15">
        <f>IF(OR(W115="",V115=""),"",IF(W115*V115&lt;=0,"",IFERROR(W115/V115-1,"")))</f>
        <v/>
      </c>
      <c r="X116" s="15">
        <f>IF(OR(X115="",W115=""),"",IF(X115*W115&lt;=0,"",IFERROR(X115/W115-1,"")))</f>
        <v/>
      </c>
    </row>
    <row r="117">
      <c r="A117" s="18" t="inlineStr">
        <is>
          <t>이자비용</t>
        </is>
      </c>
      <c r="E117" s="20" t="n">
        <v>736</v>
      </c>
      <c r="F117" s="20" t="n">
        <v>838</v>
      </c>
      <c r="G117" s="20" t="n">
        <v>997</v>
      </c>
      <c r="H117" s="20" t="n">
        <v>1114</v>
      </c>
      <c r="I117" s="20" t="n">
        <v>1260</v>
      </c>
      <c r="J117" s="20" t="n">
        <v>1315</v>
      </c>
      <c r="K117" s="20" t="n">
        <v>1320</v>
      </c>
      <c r="L117" s="20" t="n">
        <v>1544</v>
      </c>
      <c r="M117" s="20" t="n">
        <v>1649</v>
      </c>
      <c r="N117" s="20" t="n">
        <v>1963</v>
      </c>
      <c r="T117" s="20" t="n">
        <v>499</v>
      </c>
      <c r="U117" s="20" t="n">
        <v>588</v>
      </c>
      <c r="W117" s="20" t="n">
        <v>1114</v>
      </c>
      <c r="X117" s="20" t="n">
        <v>1544</v>
      </c>
    </row>
    <row r="118">
      <c r="A118" s="18" t="inlineStr">
        <is>
          <t>주식교부비 상각</t>
        </is>
      </c>
      <c r="E118" s="20" t="n">
        <v>0</v>
      </c>
      <c r="F118" s="20" t="n">
        <v>0</v>
      </c>
      <c r="G118" s="20" t="n">
        <v>0</v>
      </c>
      <c r="H118" s="20" t="n">
        <v>0</v>
      </c>
      <c r="T118" s="20" t="n">
        <v>9</v>
      </c>
      <c r="U118" s="20" t="n">
        <v>9</v>
      </c>
      <c r="W118" s="20" t="n">
        <v>0</v>
      </c>
    </row>
    <row r="119">
      <c r="A119" s="18" t="inlineStr">
        <is>
          <t>사채발행비 상각</t>
        </is>
      </c>
      <c r="E119" s="20" t="n">
        <v>0</v>
      </c>
      <c r="F119" s="20" t="n">
        <v>2</v>
      </c>
      <c r="G119" s="20" t="n">
        <v>2</v>
      </c>
      <c r="H119" s="20" t="n">
        <v>2</v>
      </c>
      <c r="I119" s="20" t="n">
        <v>2</v>
      </c>
      <c r="J119" s="20" t="n">
        <v>4</v>
      </c>
      <c r="K119" s="20" t="n">
        <v>5</v>
      </c>
      <c r="L119" s="20" t="n">
        <v>5</v>
      </c>
      <c r="M119" s="20" t="n">
        <v>4</v>
      </c>
      <c r="N119" s="20" t="n">
        <v>8</v>
      </c>
      <c r="W119" s="20" t="n">
        <v>2</v>
      </c>
      <c r="X119" s="20" t="n">
        <v>5</v>
      </c>
    </row>
    <row r="120">
      <c r="A120" s="18" t="inlineStr">
        <is>
          <t>외환차손</t>
        </is>
      </c>
      <c r="E120" s="20" t="n">
        <v>0</v>
      </c>
      <c r="F120" s="20" t="n">
        <v>112</v>
      </c>
      <c r="I120" s="20" t="n">
        <v>82</v>
      </c>
      <c r="J120" s="20" t="n">
        <v>-82</v>
      </c>
      <c r="M120" s="20" t="n">
        <v>0</v>
      </c>
      <c r="N120" s="20" t="n">
        <v>90</v>
      </c>
    </row>
    <row r="121">
      <c r="A121" s="18" t="inlineStr">
        <is>
          <t>지분법손실</t>
        </is>
      </c>
      <c r="E121" s="20" t="n">
        <v>21</v>
      </c>
      <c r="F121" s="20" t="n">
        <v>106</v>
      </c>
      <c r="G121" s="20" t="n">
        <v>293</v>
      </c>
      <c r="H121" s="20" t="n">
        <v>6</v>
      </c>
      <c r="I121" s="20" t="n">
        <v>134</v>
      </c>
      <c r="J121" s="20" t="n">
        <v>110</v>
      </c>
      <c r="K121" s="20" t="n">
        <v>137</v>
      </c>
      <c r="L121" s="20" t="n">
        <v>3846</v>
      </c>
      <c r="M121" s="20" t="n">
        <v>107</v>
      </c>
      <c r="N121" s="20" t="n">
        <v>70</v>
      </c>
      <c r="T121" s="20" t="n">
        <v>-12</v>
      </c>
      <c r="U121" s="20" t="n">
        <v>44</v>
      </c>
      <c r="W121" s="20" t="n">
        <v>6</v>
      </c>
      <c r="X121" s="20" t="n">
        <v>3846</v>
      </c>
    </row>
    <row r="122">
      <c r="A122" s="18" t="inlineStr">
        <is>
          <t>기타</t>
        </is>
      </c>
      <c r="E122" s="20" t="n">
        <v>5</v>
      </c>
      <c r="F122" s="20" t="n">
        <v>8</v>
      </c>
      <c r="G122" s="20" t="n">
        <v>1</v>
      </c>
      <c r="H122" s="20" t="n">
        <v>168</v>
      </c>
      <c r="I122" s="20" t="n">
        <v>13</v>
      </c>
      <c r="J122" s="20" t="n">
        <v>11</v>
      </c>
      <c r="K122" s="20" t="n">
        <v>4</v>
      </c>
      <c r="L122" s="20" t="n">
        <v>9</v>
      </c>
      <c r="M122" s="20" t="n">
        <v>0</v>
      </c>
      <c r="N122" s="20" t="n">
        <v>10</v>
      </c>
      <c r="T122" s="20" t="n">
        <v>1</v>
      </c>
      <c r="U122" s="20" t="n">
        <v>0</v>
      </c>
      <c r="W122" s="20" t="n">
        <v>168</v>
      </c>
      <c r="X122" s="20" t="n">
        <v>9</v>
      </c>
    </row>
    <row r="123">
      <c r="A123" s="18" t="inlineStr">
        <is>
          <t>영업외비용 합계</t>
        </is>
      </c>
      <c r="E123" s="20" t="n">
        <v>763</v>
      </c>
      <c r="F123" s="20" t="n">
        <v>1066</v>
      </c>
      <c r="G123" s="20" t="n">
        <v>1180</v>
      </c>
      <c r="H123" s="20" t="n">
        <v>1292</v>
      </c>
      <c r="I123" s="20" t="n">
        <v>1492</v>
      </c>
      <c r="J123" s="20" t="n">
        <v>1358</v>
      </c>
      <c r="K123" s="20" t="n">
        <v>1466</v>
      </c>
      <c r="L123" s="20" t="n">
        <v>5404</v>
      </c>
      <c r="M123" s="20" t="n">
        <v>1761</v>
      </c>
      <c r="N123" s="20" t="n">
        <v>2143</v>
      </c>
      <c r="T123" s="20" t="n">
        <v>497</v>
      </c>
      <c r="U123" s="20" t="n">
        <v>642</v>
      </c>
      <c r="W123" s="20" t="n">
        <v>1292</v>
      </c>
      <c r="X123" s="20" t="n">
        <v>5404</v>
      </c>
    </row>
    <row r="124">
      <c r="A124" s="43" t="inlineStr">
        <is>
          <t>YoY</t>
        </is>
      </c>
      <c r="B124" s="3" t="inlineStr">
        <is>
          <t>전년 같은 분기·전년 대비</t>
        </is>
      </c>
      <c r="G124" s="15">
        <f>IF(OR(G123="",C123=""),"",IF(G123*C123&lt;=0,"",IFERROR(G123/C123-1,"")))</f>
        <v/>
      </c>
      <c r="H124" s="15">
        <f>IF(OR(H123="",D123=""),"",IF(H123*D123&lt;=0,"",IFERROR(H123/D123-1,"")))</f>
        <v/>
      </c>
      <c r="I124" s="15">
        <f>IF(OR(I123="",E123=""),"",IF(I123*E123&lt;=0,"",IFERROR(I123/E123-1,"")))</f>
        <v/>
      </c>
      <c r="J124" s="15">
        <f>IF(OR(J123="",F123=""),"",IF(J123*F123&lt;=0,"",IFERROR(J123/F123-1,"")))</f>
        <v/>
      </c>
      <c r="K124" s="15">
        <f>IF(OR(K123="",G123=""),"",IF(K123*G123&lt;=0,"",IFERROR(K123/G123-1,"")))</f>
        <v/>
      </c>
      <c r="L124" s="15">
        <f>IF(OR(L123="",H123=""),"",IF(L123*H123&lt;=0,"",IFERROR(L123/H123-1,"")))</f>
        <v/>
      </c>
      <c r="M124" s="15">
        <f>IF(OR(M123="",I123=""),"",IF(M123*I123&lt;=0,"",IFERROR(M123/I123-1,"")))</f>
        <v/>
      </c>
      <c r="N124" s="15">
        <f>IF(OR(N123="",J123=""),"",IF(N123*J123&lt;=0,"",IFERROR(N123/J123-1,"")))</f>
        <v/>
      </c>
      <c r="T124" s="15">
        <f>IF(OR(T123="",S123=""),"",IF(T123*S123&lt;=0,"",IFERROR(T123/S123-1,"")))</f>
        <v/>
      </c>
      <c r="U124" s="15">
        <f>IF(OR(U123="",T123=""),"",IF(U123*T123&lt;=0,"",IFERROR(U123/T123-1,"")))</f>
        <v/>
      </c>
      <c r="W124" s="15">
        <f>IF(OR(W123="",V123=""),"",IF(W123*V123&lt;=0,"",IFERROR(W123/V123-1,"")))</f>
        <v/>
      </c>
      <c r="X124" s="15">
        <f>IF(OR(X123="",W123=""),"",IF(X123*W123&lt;=0,"",IFERROR(X123/W123-1,"")))</f>
        <v/>
      </c>
    </row>
    <row r="125">
      <c r="A125" s="9" t="inlineStr">
        <is>
          <t>경상이익</t>
        </is>
      </c>
      <c r="E125" s="12" t="n">
        <v>2840</v>
      </c>
      <c r="F125" s="12" t="n">
        <v>-208</v>
      </c>
      <c r="G125" s="12" t="n">
        <v>8580</v>
      </c>
      <c r="H125" s="12" t="n">
        <v>6108</v>
      </c>
      <c r="I125" s="12" t="n">
        <v>836</v>
      </c>
      <c r="J125" s="12" t="n">
        <v>1544</v>
      </c>
      <c r="K125" s="12" t="n">
        <v>4495</v>
      </c>
      <c r="L125" s="12" t="n">
        <v>10315</v>
      </c>
      <c r="M125" s="12" t="n">
        <v>-1017</v>
      </c>
      <c r="N125" s="12" t="n">
        <v>7895</v>
      </c>
      <c r="T125" s="12" t="n">
        <v>8693</v>
      </c>
      <c r="U125" s="12" t="n">
        <v>8074</v>
      </c>
      <c r="W125" s="12" t="n">
        <v>6108</v>
      </c>
      <c r="X125" s="12" t="n">
        <v>10315</v>
      </c>
    </row>
    <row r="126">
      <c r="A126" s="43" t="inlineStr">
        <is>
          <t>YoY</t>
        </is>
      </c>
      <c r="B126" s="3" t="inlineStr">
        <is>
          <t>전년 같은 분기·전년 대비</t>
        </is>
      </c>
      <c r="G126" s="15">
        <f>IF(OR(G125="",C125=""),"",IF(C125&lt;=0,"",IFERROR(G125/C125-1,"")))</f>
        <v/>
      </c>
      <c r="H126" s="15">
        <f>IF(OR(H125="",D125=""),"",IF(D125&lt;=0,"",IFERROR(H125/D125-1,"")))</f>
        <v/>
      </c>
      <c r="I126" s="15">
        <f>IF(OR(I125="",E125=""),"",IF(E125&lt;=0,"",IFERROR(I125/E125-1,"")))</f>
        <v/>
      </c>
      <c r="J126" s="15">
        <f>IF(OR(J125="",F125=""),"",IF(F125&lt;=0,"",IFERROR(J125/F125-1,"")))</f>
        <v/>
      </c>
      <c r="K126" s="15">
        <f>IF(OR(K125="",G125=""),"",IF(G125&lt;=0,"",IFERROR(K125/G125-1,"")))</f>
        <v/>
      </c>
      <c r="L126" s="15">
        <f>IF(OR(L125="",H125=""),"",IF(H125&lt;=0,"",IFERROR(L125/H125-1,"")))</f>
        <v/>
      </c>
      <c r="M126" s="15">
        <f>IF(OR(M125="",I125=""),"",IF(I125&lt;=0,"",IFERROR(M125/I125-1,"")))</f>
        <v/>
      </c>
      <c r="N126" s="15">
        <f>IF(OR(N125="",J125=""),"",IF(J125&lt;=0,"",IFERROR(N125/J125-1,"")))</f>
        <v/>
      </c>
      <c r="T126" s="15">
        <f>IF(OR(T125="",S125=""),"",IF(S125&lt;=0,"",IFERROR(T125/S125-1,"")))</f>
        <v/>
      </c>
      <c r="U126" s="15">
        <f>IF(OR(U125="",T125=""),"",IF(T125&lt;=0,"",IFERROR(U125/T125-1,"")))</f>
        <v/>
      </c>
      <c r="W126" s="15">
        <f>IF(OR(W125="",V125=""),"",IF(V125&lt;=0,"",IFERROR(W125/V125-1,"")))</f>
        <v/>
      </c>
      <c r="X126" s="15">
        <f>IF(OR(X125="",W125=""),"",IF(W125&lt;=0,"",IFERROR(X125/W125-1,"")))</f>
        <v/>
      </c>
    </row>
    <row r="127">
      <c r="A127" s="18" t="inlineStr">
        <is>
          <t>고정자산 매각이익</t>
        </is>
      </c>
      <c r="H127" s="20" t="n">
        <v>0</v>
      </c>
      <c r="K127" s="20" t="n">
        <v>0</v>
      </c>
      <c r="L127" s="20" t="n">
        <v>0</v>
      </c>
      <c r="W127" s="20" t="n">
        <v>0</v>
      </c>
      <c r="X127" s="20" t="n">
        <v>0</v>
      </c>
    </row>
    <row r="128">
      <c r="A128" s="18" t="inlineStr">
        <is>
          <t>관계회사 주식 매각이익</t>
        </is>
      </c>
      <c r="E128" s="20" t="n">
        <v>0</v>
      </c>
      <c r="F128" s="20" t="n">
        <v>0</v>
      </c>
      <c r="G128" s="20" t="n">
        <v>0</v>
      </c>
      <c r="H128" s="20" t="n">
        <v>0</v>
      </c>
      <c r="I128" s="20" t="n">
        <v>191</v>
      </c>
      <c r="J128" s="20" t="n">
        <v>0</v>
      </c>
      <c r="K128" s="20" t="n">
        <v>0</v>
      </c>
      <c r="L128" s="20" t="n">
        <v>0</v>
      </c>
      <c r="M128" s="20" t="n">
        <v>0</v>
      </c>
      <c r="N128" s="20" t="n">
        <v>0</v>
      </c>
      <c r="W128" s="20" t="n">
        <v>0</v>
      </c>
      <c r="X128" s="20" t="n">
        <v>0</v>
      </c>
    </row>
    <row r="129">
      <c r="A129" s="18" t="inlineStr">
        <is>
          <t>부의 영업권 발생이익</t>
        </is>
      </c>
      <c r="E129" s="20" t="n">
        <v>0</v>
      </c>
      <c r="F129" s="20" t="n">
        <v>0</v>
      </c>
      <c r="G129" s="20" t="n">
        <v>0</v>
      </c>
      <c r="H129" s="20" t="n">
        <v>0</v>
      </c>
      <c r="I129" s="20" t="n">
        <v>86</v>
      </c>
      <c r="J129" s="20" t="n">
        <v>0</v>
      </c>
      <c r="K129" s="20" t="n">
        <v>0</v>
      </c>
      <c r="L129" s="20" t="n">
        <v>0</v>
      </c>
      <c r="M129" s="20" t="n">
        <v>0</v>
      </c>
      <c r="N129" s="20" t="n">
        <v>265</v>
      </c>
      <c r="W129" s="20" t="n">
        <v>0</v>
      </c>
      <c r="X129" s="20" t="n">
        <v>0</v>
      </c>
    </row>
    <row r="130">
      <c r="A130" s="18" t="inlineStr">
        <is>
          <t>투자유가증권 매각이익</t>
        </is>
      </c>
      <c r="G130" s="20" t="n">
        <v>0</v>
      </c>
      <c r="H130" s="20" t="n">
        <v>0</v>
      </c>
      <c r="I130" s="20" t="n">
        <v>0</v>
      </c>
      <c r="J130" s="20" t="n">
        <v>24</v>
      </c>
      <c r="K130" s="20" t="n">
        <v>0</v>
      </c>
      <c r="L130" s="20" t="n">
        <v>0</v>
      </c>
      <c r="M130" s="20" t="n">
        <v>166</v>
      </c>
      <c r="N130" s="20" t="n">
        <v>0</v>
      </c>
      <c r="W130" s="20" t="n">
        <v>0</v>
      </c>
      <c r="X130" s="20" t="n">
        <v>0</v>
      </c>
    </row>
    <row r="131">
      <c r="A131" s="18" t="inlineStr">
        <is>
          <t>지분변동이익</t>
        </is>
      </c>
      <c r="E131" s="20" t="n">
        <v>0</v>
      </c>
      <c r="F131" s="20" t="n">
        <v>0</v>
      </c>
      <c r="G131" s="20" t="n">
        <v>0</v>
      </c>
      <c r="H131" s="20" t="n">
        <v>0</v>
      </c>
      <c r="I131" s="20" t="n">
        <v>253</v>
      </c>
      <c r="J131" s="20" t="n">
        <v>0</v>
      </c>
      <c r="K131" s="20" t="n">
        <v>0</v>
      </c>
      <c r="L131" s="20" t="n">
        <v>0</v>
      </c>
      <c r="M131" s="20" t="n">
        <v>0</v>
      </c>
      <c r="N131" s="20" t="n">
        <v>0</v>
      </c>
      <c r="W131" s="20" t="n">
        <v>0</v>
      </c>
      <c r="X131" s="20" t="n">
        <v>0</v>
      </c>
    </row>
    <row r="132">
      <c r="A132" s="18" t="inlineStr">
        <is>
          <t>신주예약권 환입이익</t>
        </is>
      </c>
      <c r="E132" s="20" t="n">
        <v>0</v>
      </c>
      <c r="F132" s="20" t="n">
        <v>0</v>
      </c>
      <c r="G132" s="20" t="n">
        <v>0</v>
      </c>
      <c r="H132" s="20" t="n">
        <v>0</v>
      </c>
      <c r="K132" s="20" t="n">
        <v>0</v>
      </c>
      <c r="L132" s="20" t="n">
        <v>0</v>
      </c>
      <c r="T132" s="20" t="n">
        <v>0</v>
      </c>
      <c r="U132" s="20" t="n">
        <v>0</v>
      </c>
      <c r="W132" s="20" t="n">
        <v>0</v>
      </c>
      <c r="X132" s="20" t="n">
        <v>0</v>
      </c>
    </row>
    <row r="133">
      <c r="A133" s="18" t="inlineStr">
        <is>
          <t>특별이익 합계</t>
        </is>
      </c>
      <c r="E133" s="20" t="n">
        <v>0</v>
      </c>
      <c r="F133" s="20" t="n">
        <v>0</v>
      </c>
      <c r="G133" s="20" t="n">
        <v>0</v>
      </c>
      <c r="H133" s="20" t="n">
        <v>0</v>
      </c>
      <c r="I133" s="20" t="n">
        <v>531</v>
      </c>
      <c r="J133" s="20" t="n">
        <v>24</v>
      </c>
      <c r="K133" s="20" t="n">
        <v>1</v>
      </c>
      <c r="L133" s="20" t="n">
        <v>1</v>
      </c>
      <c r="M133" s="20" t="n">
        <v>166</v>
      </c>
      <c r="N133" s="20" t="n">
        <v>266</v>
      </c>
      <c r="T133" s="20" t="n">
        <v>205</v>
      </c>
      <c r="U133" s="20" t="n">
        <v>0</v>
      </c>
      <c r="W133" s="20" t="n">
        <v>0</v>
      </c>
      <c r="X133" s="20" t="n">
        <v>1</v>
      </c>
    </row>
    <row r="134">
      <c r="A134" s="43" t="inlineStr">
        <is>
          <t>YoY</t>
        </is>
      </c>
      <c r="B134" s="3" t="inlineStr">
        <is>
          <t>전년 같은 분기·전년 대비</t>
        </is>
      </c>
      <c r="G134" s="15">
        <f>IF(OR(G133="",C133=""),"",IF(G133*C133&lt;=0,"",IFERROR(G133/C133-1,"")))</f>
        <v/>
      </c>
      <c r="H134" s="15">
        <f>IF(OR(H133="",D133=""),"",IF(H133*D133&lt;=0,"",IFERROR(H133/D133-1,"")))</f>
        <v/>
      </c>
      <c r="I134" s="15">
        <f>IF(OR(I133="",E133=""),"",IF(I133*E133&lt;=0,"",IFERROR(I133/E133-1,"")))</f>
        <v/>
      </c>
      <c r="J134" s="15">
        <f>IF(OR(J133="",F133=""),"",IF(J133*F133&lt;=0,"",IFERROR(J133/F133-1,"")))</f>
        <v/>
      </c>
      <c r="K134" s="15">
        <f>IF(OR(K133="",G133=""),"",IF(K133*G133&lt;=0,"",IFERROR(K133/G133-1,"")))</f>
        <v/>
      </c>
      <c r="L134" s="15">
        <f>IF(OR(L133="",H133=""),"",IF(L133*H133&lt;=0,"",IFERROR(L133/H133-1,"")))</f>
        <v/>
      </c>
      <c r="M134" s="15">
        <f>IF(OR(M133="",I133=""),"",IF(M133*I133&lt;=0,"",IFERROR(M133/I133-1,"")))</f>
        <v/>
      </c>
      <c r="N134" s="15">
        <f>IF(OR(N133="",J133=""),"",IF(N133*J133&lt;=0,"",IFERROR(N133/J133-1,"")))</f>
        <v/>
      </c>
      <c r="T134" s="15">
        <f>IF(OR(T133="",S133=""),"",IF(T133*S133&lt;=0,"",IFERROR(T133/S133-1,"")))</f>
        <v/>
      </c>
      <c r="U134" s="15">
        <f>IF(OR(U133="",T133=""),"",IF(U133*T133&lt;=0,"",IFERROR(U133/T133-1,"")))</f>
        <v/>
      </c>
      <c r="W134" s="15">
        <f>IF(OR(W133="",V133=""),"",IF(W133*V133&lt;=0,"",IFERROR(W133/V133-1,"")))</f>
        <v/>
      </c>
      <c r="X134" s="15">
        <f>IF(OR(X133="",W133=""),"",IF(X133*W133&lt;=0,"",IFERROR(X133/W133-1,"")))</f>
        <v/>
      </c>
    </row>
    <row r="135">
      <c r="A135" s="18" t="inlineStr">
        <is>
          <t>고정자산 제각손실</t>
        </is>
      </c>
      <c r="E135" s="20" t="n">
        <v>0</v>
      </c>
      <c r="F135" s="20" t="n">
        <v>0</v>
      </c>
      <c r="G135" s="20" t="n">
        <v>0</v>
      </c>
      <c r="H135" s="20" t="n">
        <v>0</v>
      </c>
      <c r="I135" s="20" t="n">
        <v>0</v>
      </c>
      <c r="J135" s="20" t="n">
        <v>0</v>
      </c>
      <c r="K135" s="20" t="n">
        <v>0</v>
      </c>
      <c r="L135" s="20" t="n">
        <v>12</v>
      </c>
      <c r="M135" s="20" t="n">
        <v>3</v>
      </c>
      <c r="N135" s="20" t="n">
        <v>3</v>
      </c>
      <c r="T135" s="20" t="n">
        <v>0</v>
      </c>
      <c r="U135" s="20" t="n">
        <v>0</v>
      </c>
      <c r="W135" s="20" t="n">
        <v>0</v>
      </c>
      <c r="X135" s="20" t="n">
        <v>12</v>
      </c>
    </row>
    <row r="136">
      <c r="A136" s="18" t="inlineStr">
        <is>
          <t>특별손실 합계</t>
        </is>
      </c>
      <c r="E136" s="20" t="n">
        <v>0</v>
      </c>
      <c r="F136" s="20" t="n">
        <v>0</v>
      </c>
      <c r="G136" s="20" t="n">
        <v>0</v>
      </c>
      <c r="H136" s="20" t="n">
        <v>159</v>
      </c>
      <c r="I136" s="20" t="n">
        <v>0</v>
      </c>
      <c r="J136" s="20" t="n">
        <v>0</v>
      </c>
      <c r="K136" s="20" t="n">
        <v>0</v>
      </c>
      <c r="L136" s="20" t="n">
        <v>12</v>
      </c>
      <c r="M136" s="20" t="n">
        <v>3</v>
      </c>
      <c r="N136" s="20" t="n">
        <v>4</v>
      </c>
      <c r="T136" s="20" t="n">
        <v>3927</v>
      </c>
      <c r="U136" s="20" t="n">
        <v>275</v>
      </c>
      <c r="W136" s="20" t="n">
        <v>159</v>
      </c>
      <c r="X136" s="20" t="n">
        <v>12</v>
      </c>
    </row>
    <row r="137">
      <c r="A137" s="43" t="inlineStr">
        <is>
          <t>YoY</t>
        </is>
      </c>
      <c r="B137" s="3" t="inlineStr">
        <is>
          <t>전년 같은 분기·전년 대비</t>
        </is>
      </c>
      <c r="G137" s="15">
        <f>IF(OR(G136="",C136=""),"",IF(G136*C136&lt;=0,"",IFERROR(G136/C136-1,"")))</f>
        <v/>
      </c>
      <c r="H137" s="15">
        <f>IF(OR(H136="",D136=""),"",IF(H136*D136&lt;=0,"",IFERROR(H136/D136-1,"")))</f>
        <v/>
      </c>
      <c r="I137" s="15">
        <f>IF(OR(I136="",E136=""),"",IF(I136*E136&lt;=0,"",IFERROR(I136/E136-1,"")))</f>
        <v/>
      </c>
      <c r="J137" s="15">
        <f>IF(OR(J136="",F136=""),"",IF(J136*F136&lt;=0,"",IFERROR(J136/F136-1,"")))</f>
        <v/>
      </c>
      <c r="K137" s="15">
        <f>IF(OR(K136="",G136=""),"",IF(K136*G136&lt;=0,"",IFERROR(K136/G136-1,"")))</f>
        <v/>
      </c>
      <c r="L137" s="15">
        <f>IF(OR(L136="",H136=""),"",IF(L136*H136&lt;=0,"",IFERROR(L136/H136-1,"")))</f>
        <v/>
      </c>
      <c r="M137" s="15">
        <f>IF(OR(M136="",I136=""),"",IF(M136*I136&lt;=0,"",IFERROR(M136/I136-1,"")))</f>
        <v/>
      </c>
      <c r="N137" s="15">
        <f>IF(OR(N136="",J136=""),"",IF(N136*J136&lt;=0,"",IFERROR(N136/J136-1,"")))</f>
        <v/>
      </c>
      <c r="T137" s="15">
        <f>IF(OR(T136="",S136=""),"",IF(T136*S136&lt;=0,"",IFERROR(T136/S136-1,"")))</f>
        <v/>
      </c>
      <c r="U137" s="15">
        <f>IF(OR(U136="",T136=""),"",IF(U136*T136&lt;=0,"",IFERROR(U136/T136-1,"")))</f>
        <v/>
      </c>
      <c r="W137" s="15">
        <f>IF(OR(W136="",V136=""),"",IF(W136*V136&lt;=0,"",IFERROR(W136/V136-1,"")))</f>
        <v/>
      </c>
      <c r="X137" s="15">
        <f>IF(OR(X136="",W136=""),"",IF(X136*W136&lt;=0,"",IFERROR(X136/W136-1,"")))</f>
        <v/>
      </c>
    </row>
    <row r="138">
      <c r="A138" s="9" t="inlineStr">
        <is>
          <t>법인세차감전 순이익</t>
        </is>
      </c>
      <c r="E138" s="12" t="n">
        <v>2840</v>
      </c>
      <c r="F138" s="12" t="n">
        <v>-209</v>
      </c>
      <c r="G138" s="12" t="n">
        <v>8580</v>
      </c>
      <c r="H138" s="12" t="n">
        <v>5950</v>
      </c>
      <c r="I138" s="12" t="n">
        <v>1367</v>
      </c>
      <c r="J138" s="12" t="n">
        <v>1569</v>
      </c>
      <c r="K138" s="12" t="n">
        <v>4495</v>
      </c>
      <c r="L138" s="12" t="n">
        <v>10304</v>
      </c>
      <c r="M138" s="12" t="n">
        <v>-854</v>
      </c>
      <c r="N138" s="12" t="n">
        <v>8157</v>
      </c>
      <c r="T138" s="12" t="n">
        <v>4972</v>
      </c>
      <c r="U138" s="12" t="n">
        <v>7799</v>
      </c>
      <c r="W138" s="12" t="n">
        <v>5950</v>
      </c>
      <c r="X138" s="12" t="n">
        <v>10304</v>
      </c>
    </row>
    <row r="139">
      <c r="A139" s="43" t="inlineStr">
        <is>
          <t>YoY</t>
        </is>
      </c>
      <c r="B139" s="3" t="inlineStr">
        <is>
          <t>전년 같은 분기·전년 대비</t>
        </is>
      </c>
      <c r="G139" s="15">
        <f>IF(OR(G138="",C138=""),"",IF(C138&lt;=0,"",IFERROR(G138/C138-1,"")))</f>
        <v/>
      </c>
      <c r="H139" s="15">
        <f>IF(OR(H138="",D138=""),"",IF(D138&lt;=0,"",IFERROR(H138/D138-1,"")))</f>
        <v/>
      </c>
      <c r="I139" s="15">
        <f>IF(OR(I138="",E138=""),"",IF(E138&lt;=0,"",IFERROR(I138/E138-1,"")))</f>
        <v/>
      </c>
      <c r="J139" s="15">
        <f>IF(OR(J138="",F138=""),"",IF(F138&lt;=0,"",IFERROR(J138/F138-1,"")))</f>
        <v/>
      </c>
      <c r="K139" s="15">
        <f>IF(OR(K138="",G138=""),"",IF(G138&lt;=0,"",IFERROR(K138/G138-1,"")))</f>
        <v/>
      </c>
      <c r="L139" s="15">
        <f>IF(OR(L138="",H138=""),"",IF(H138&lt;=0,"",IFERROR(L138/H138-1,"")))</f>
        <v/>
      </c>
      <c r="M139" s="15">
        <f>IF(OR(M138="",I138=""),"",IF(I138&lt;=0,"",IFERROR(M138/I138-1,"")))</f>
        <v/>
      </c>
      <c r="N139" s="15">
        <f>IF(OR(N138="",J138=""),"",IF(J138&lt;=0,"",IFERROR(N138/J138-1,"")))</f>
        <v/>
      </c>
      <c r="T139" s="15">
        <f>IF(OR(T138="",S138=""),"",IF(S138&lt;=0,"",IFERROR(T138/S138-1,"")))</f>
        <v/>
      </c>
      <c r="U139" s="15">
        <f>IF(OR(U138="",T138=""),"",IF(T138&lt;=0,"",IFERROR(U138/T138-1,"")))</f>
        <v/>
      </c>
      <c r="W139" s="15">
        <f>IF(OR(W138="",V138=""),"",IF(V138&lt;=0,"",IFERROR(W138/V138-1,"")))</f>
        <v/>
      </c>
      <c r="X139" s="15">
        <f>IF(OR(X138="",W138=""),"",IF(W138&lt;=0,"",IFERROR(X138/W138-1,"")))</f>
        <v/>
      </c>
    </row>
    <row r="140">
      <c r="A140" s="18" t="inlineStr">
        <is>
          <t>법인세·주민세·사업세</t>
        </is>
      </c>
      <c r="E140" s="20" t="n">
        <v>971</v>
      </c>
      <c r="F140" s="20" t="n">
        <v>335</v>
      </c>
      <c r="G140" s="20" t="n">
        <v>3516</v>
      </c>
      <c r="H140" s="20" t="n">
        <v>2357</v>
      </c>
      <c r="I140" s="20" t="n">
        <v>308</v>
      </c>
      <c r="J140" s="20" t="n">
        <v>965</v>
      </c>
      <c r="K140" s="20" t="n">
        <v>2008</v>
      </c>
      <c r="L140" s="20" t="n">
        <v>5021</v>
      </c>
      <c r="M140" s="20" t="n">
        <v>442</v>
      </c>
      <c r="N140" s="20" t="n">
        <v>2689</v>
      </c>
      <c r="T140" s="20" t="n">
        <v>3016</v>
      </c>
      <c r="U140" s="20" t="n">
        <v>2787</v>
      </c>
      <c r="W140" s="20" t="n">
        <v>2357</v>
      </c>
      <c r="X140" s="20" t="n">
        <v>5021</v>
      </c>
    </row>
    <row r="141">
      <c r="A141" s="18" t="inlineStr">
        <is>
          <t>법인세 조정액</t>
        </is>
      </c>
      <c r="E141" s="20" t="n">
        <v>42</v>
      </c>
      <c r="F141" s="20" t="n">
        <v>-189</v>
      </c>
      <c r="G141" s="20" t="n">
        <v>-616</v>
      </c>
      <c r="H141" s="20" t="n">
        <v>-458</v>
      </c>
      <c r="I141" s="20" t="n">
        <v>191</v>
      </c>
      <c r="J141" s="20" t="n">
        <v>-290</v>
      </c>
      <c r="K141" s="20" t="n">
        <v>-423</v>
      </c>
      <c r="L141" s="20" t="n">
        <v>-2046</v>
      </c>
      <c r="M141" s="20" t="n">
        <v>-535</v>
      </c>
      <c r="N141" s="20" t="n">
        <v>-104</v>
      </c>
      <c r="T141" s="20" t="n">
        <v>-305</v>
      </c>
      <c r="U141" s="20" t="n">
        <v>-253</v>
      </c>
      <c r="W141" s="20" t="n">
        <v>-458</v>
      </c>
      <c r="X141" s="20" t="n">
        <v>-2046</v>
      </c>
    </row>
    <row r="142">
      <c r="A142" s="18" t="inlineStr">
        <is>
          <t>법인세 등 합계</t>
        </is>
      </c>
      <c r="E142" s="20" t="n">
        <v>1013</v>
      </c>
      <c r="F142" s="20" t="n">
        <v>146</v>
      </c>
      <c r="G142" s="20" t="n">
        <v>2900</v>
      </c>
      <c r="H142" s="20" t="n">
        <v>1898</v>
      </c>
      <c r="I142" s="20" t="n">
        <v>500</v>
      </c>
      <c r="J142" s="20" t="n">
        <v>674</v>
      </c>
      <c r="K142" s="20" t="n">
        <v>1585</v>
      </c>
      <c r="L142" s="20" t="n">
        <v>2974</v>
      </c>
      <c r="M142" s="20" t="n">
        <v>-93</v>
      </c>
      <c r="N142" s="20" t="n">
        <v>2585</v>
      </c>
      <c r="T142" s="20" t="n">
        <v>2709</v>
      </c>
      <c r="U142" s="20" t="n">
        <v>2533</v>
      </c>
      <c r="W142" s="20" t="n">
        <v>1898</v>
      </c>
      <c r="X142" s="20" t="n">
        <v>2974</v>
      </c>
    </row>
    <row r="143">
      <c r="A143" s="43" t="inlineStr">
        <is>
          <t>YoY</t>
        </is>
      </c>
      <c r="B143" s="3" t="inlineStr">
        <is>
          <t>전년 같은 분기·전년 대비</t>
        </is>
      </c>
      <c r="G143" s="15">
        <f>IF(OR(G142="",C142=""),"",IF(G142*C142&lt;=0,"",IFERROR(G142/C142-1,"")))</f>
        <v/>
      </c>
      <c r="H143" s="15">
        <f>IF(OR(H142="",D142=""),"",IF(H142*D142&lt;=0,"",IFERROR(H142/D142-1,"")))</f>
        <v/>
      </c>
      <c r="I143" s="15">
        <f>IF(OR(I142="",E142=""),"",IF(I142*E142&lt;=0,"",IFERROR(I142/E142-1,"")))</f>
        <v/>
      </c>
      <c r="J143" s="15">
        <f>IF(OR(J142="",F142=""),"",IF(J142*F142&lt;=0,"",IFERROR(J142/F142-1,"")))</f>
        <v/>
      </c>
      <c r="K143" s="15">
        <f>IF(OR(K142="",G142=""),"",IF(K142*G142&lt;=0,"",IFERROR(K142/G142-1,"")))</f>
        <v/>
      </c>
      <c r="L143" s="15">
        <f>IF(OR(L142="",H142=""),"",IF(L142*H142&lt;=0,"",IFERROR(L142/H142-1,"")))</f>
        <v/>
      </c>
      <c r="M143" s="15">
        <f>IF(OR(M142="",I142=""),"",IF(M142*I142&lt;=0,"",IFERROR(M142/I142-1,"")))</f>
        <v/>
      </c>
      <c r="N143" s="15">
        <f>IF(OR(N142="",J142=""),"",IF(N142*J142&lt;=0,"",IFERROR(N142/J142-1,"")))</f>
        <v/>
      </c>
      <c r="T143" s="15">
        <f>IF(OR(T142="",S142=""),"",IF(T142*S142&lt;=0,"",IFERROR(T142/S142-1,"")))</f>
        <v/>
      </c>
      <c r="U143" s="15">
        <f>IF(OR(U142="",T142=""),"",IF(U142*T142&lt;=0,"",IFERROR(U142/T142-1,"")))</f>
        <v/>
      </c>
      <c r="W143" s="15">
        <f>IF(OR(W142="",V142=""),"",IF(W142*V142&lt;=0,"",IFERROR(W142/V142-1,"")))</f>
        <v/>
      </c>
      <c r="X143" s="15">
        <f>IF(OR(X142="",W142=""),"",IF(X142*W142&lt;=0,"",IFERROR(X142/W142-1,"")))</f>
        <v/>
      </c>
    </row>
    <row r="144">
      <c r="A144" s="9" t="inlineStr">
        <is>
          <t>순이익</t>
        </is>
      </c>
      <c r="E144" s="12" t="n">
        <v>1826</v>
      </c>
      <c r="F144" s="12" t="n">
        <v>-355</v>
      </c>
      <c r="G144" s="12" t="n">
        <v>5681</v>
      </c>
      <c r="H144" s="12" t="n">
        <v>4051</v>
      </c>
      <c r="I144" s="12" t="n">
        <v>867</v>
      </c>
      <c r="J144" s="12" t="n">
        <v>894</v>
      </c>
      <c r="K144" s="12" t="n">
        <v>2911</v>
      </c>
      <c r="L144" s="12" t="n">
        <v>7329</v>
      </c>
      <c r="M144" s="12" t="n">
        <v>-760</v>
      </c>
      <c r="N144" s="12" t="n">
        <v>5571</v>
      </c>
      <c r="T144" s="12" t="n">
        <v>2262</v>
      </c>
      <c r="U144" s="12" t="n">
        <v>5265</v>
      </c>
      <c r="W144" s="12" t="n">
        <v>4051</v>
      </c>
      <c r="X144" s="12" t="n">
        <v>7329</v>
      </c>
    </row>
    <row r="145">
      <c r="A145" s="43" t="inlineStr">
        <is>
          <t>YoY</t>
        </is>
      </c>
      <c r="B145" s="3" t="inlineStr">
        <is>
          <t>전년 같은 분기·전년 대비</t>
        </is>
      </c>
      <c r="G145" s="15">
        <f>IF(OR(G144="",C144=""),"",IF(C144&lt;=0,"",IFERROR(G144/C144-1,"")))</f>
        <v/>
      </c>
      <c r="H145" s="15">
        <f>IF(OR(H144="",D144=""),"",IF(D144&lt;=0,"",IFERROR(H144/D144-1,"")))</f>
        <v/>
      </c>
      <c r="I145" s="15">
        <f>IF(OR(I144="",E144=""),"",IF(E144&lt;=0,"",IFERROR(I144/E144-1,"")))</f>
        <v/>
      </c>
      <c r="J145" s="15">
        <f>IF(OR(J144="",F144=""),"",IF(F144&lt;=0,"",IFERROR(J144/F144-1,"")))</f>
        <v/>
      </c>
      <c r="K145" s="15">
        <f>IF(OR(K144="",G144=""),"",IF(G144&lt;=0,"",IFERROR(K144/G144-1,"")))</f>
        <v/>
      </c>
      <c r="L145" s="15">
        <f>IF(OR(L144="",H144=""),"",IF(H144&lt;=0,"",IFERROR(L144/H144-1,"")))</f>
        <v/>
      </c>
      <c r="M145" s="15">
        <f>IF(OR(M144="",I144=""),"",IF(I144&lt;=0,"",IFERROR(M144/I144-1,"")))</f>
        <v/>
      </c>
      <c r="N145" s="15">
        <f>IF(OR(N144="",J144=""),"",IF(J144&lt;=0,"",IFERROR(N144/J144-1,"")))</f>
        <v/>
      </c>
      <c r="T145" s="15">
        <f>IF(OR(T144="",S144=""),"",IF(S144&lt;=0,"",IFERROR(T144/S144-1,"")))</f>
        <v/>
      </c>
      <c r="U145" s="15">
        <f>IF(OR(U144="",T144=""),"",IF(T144&lt;=0,"",IFERROR(U144/T144-1,"")))</f>
        <v/>
      </c>
      <c r="W145" s="15">
        <f>IF(OR(W144="",V144=""),"",IF(V144&lt;=0,"",IFERROR(W144/V144-1,"")))</f>
        <v/>
      </c>
      <c r="X145" s="15">
        <f>IF(OR(X144="",W144=""),"",IF(W144&lt;=0,"",IFERROR(X144/W144-1,"")))</f>
        <v/>
      </c>
    </row>
    <row r="146">
      <c r="A146" s="9" t="inlineStr">
        <is>
          <t>비지배주주 당기순손실</t>
        </is>
      </c>
      <c r="E146" s="12" t="n">
        <v>4</v>
      </c>
      <c r="F146" s="12" t="n">
        <v>4</v>
      </c>
      <c r="G146" s="12" t="n">
        <v>0</v>
      </c>
      <c r="H146" s="12" t="n">
        <v>2</v>
      </c>
      <c r="I146" s="12" t="n">
        <v>-87</v>
      </c>
      <c r="J146" s="12" t="n">
        <v>-10</v>
      </c>
      <c r="K146" s="12" t="n">
        <v>-49</v>
      </c>
      <c r="L146" s="12" t="n">
        <v>-44</v>
      </c>
      <c r="M146" s="12" t="n">
        <v>-40</v>
      </c>
      <c r="N146" s="12" t="n">
        <v>-69</v>
      </c>
      <c r="T146" s="12" t="n">
        <v>-1595</v>
      </c>
      <c r="U146" s="12" t="n">
        <v>0</v>
      </c>
      <c r="W146" s="12" t="n">
        <v>2</v>
      </c>
      <c r="X146" s="12" t="n">
        <v>-44</v>
      </c>
    </row>
    <row r="147">
      <c r="A147" s="9" t="inlineStr">
        <is>
          <t>지배주주 순이익</t>
        </is>
      </c>
      <c r="E147" s="12" t="n">
        <v>1821</v>
      </c>
      <c r="F147" s="12" t="n">
        <v>-358</v>
      </c>
      <c r="G147" s="12" t="n">
        <v>5681</v>
      </c>
      <c r="H147" s="12" t="n">
        <v>4049</v>
      </c>
      <c r="I147" s="12" t="n">
        <v>955</v>
      </c>
      <c r="J147" s="12" t="n">
        <v>903</v>
      </c>
      <c r="K147" s="12" t="n">
        <v>2961</v>
      </c>
      <c r="L147" s="12" t="n">
        <v>7372</v>
      </c>
      <c r="M147" s="12" t="n">
        <v>-720</v>
      </c>
      <c r="N147" s="12" t="n">
        <v>5640</v>
      </c>
      <c r="T147" s="12" t="n">
        <v>3857</v>
      </c>
      <c r="U147" s="12" t="n">
        <v>5266</v>
      </c>
      <c r="W147" s="12" t="n">
        <v>4049</v>
      </c>
      <c r="X147" s="12" t="n">
        <v>7372</v>
      </c>
    </row>
    <row r="148">
      <c r="A148" s="43" t="inlineStr">
        <is>
          <t>YoY</t>
        </is>
      </c>
      <c r="B148" s="3" t="inlineStr">
        <is>
          <t>전년 같은 분기·전년 대비</t>
        </is>
      </c>
      <c r="G148" s="15">
        <f>IF(OR(G147="",C147=""),"",IF(C147&lt;=0,"",IFERROR(G147/C147-1,"")))</f>
        <v/>
      </c>
      <c r="H148" s="15">
        <f>IF(OR(H147="",D147=""),"",IF(D147&lt;=0,"",IFERROR(H147/D147-1,"")))</f>
        <v/>
      </c>
      <c r="I148" s="15">
        <f>IF(OR(I147="",E147=""),"",IF(E147&lt;=0,"",IFERROR(I147/E147-1,"")))</f>
        <v/>
      </c>
      <c r="J148" s="15">
        <f>IF(OR(J147="",F147=""),"",IF(F147&lt;=0,"",IFERROR(J147/F147-1,"")))</f>
        <v/>
      </c>
      <c r="K148" s="15">
        <f>IF(OR(K147="",G147=""),"",IF(G147&lt;=0,"",IFERROR(K147/G147-1,"")))</f>
        <v/>
      </c>
      <c r="L148" s="15">
        <f>IF(OR(L147="",H147=""),"",IF(H147&lt;=0,"",IFERROR(L147/H147-1,"")))</f>
        <v/>
      </c>
      <c r="M148" s="15">
        <f>IF(OR(M147="",I147=""),"",IF(I147&lt;=0,"",IFERROR(M147/I147-1,"")))</f>
        <v/>
      </c>
      <c r="N148" s="15">
        <f>IF(OR(N147="",J147=""),"",IF(J147&lt;=0,"",IFERROR(N147/J147-1,"")))</f>
        <v/>
      </c>
      <c r="T148" s="15">
        <f>IF(OR(T147="",S147=""),"",IF(S147&lt;=0,"",IFERROR(T147/S147-1,"")))</f>
        <v/>
      </c>
      <c r="U148" s="15">
        <f>IF(OR(U147="",T147=""),"",IF(T147&lt;=0,"",IFERROR(U147/T147-1,"")))</f>
        <v/>
      </c>
      <c r="W148" s="15">
        <f>IF(OR(W147="",V147=""),"",IF(V147&lt;=0,"",IFERROR(W147/V147-1,"")))</f>
        <v/>
      </c>
      <c r="X148" s="15">
        <f>IF(OR(X147="",W147=""),"",IF(W147&lt;=0,"",IFERROR(X147/W147-1,"")))</f>
        <v/>
      </c>
    </row>
    <row r="150">
      <c r="A150" s="16" t="inlineStr">
        <is>
          <t>포괄손익 · 전 항목</t>
        </is>
      </c>
      <c r="B150" s="42" t="inlineStr">
        <is>
          <t>분기 = 3개월 단독</t>
        </is>
      </c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  <c r="AA150" s="16" t="n"/>
      <c r="AB150" s="16" t="n"/>
      <c r="AC150" s="16" t="n"/>
    </row>
    <row r="151">
      <c r="A151" s="5" t="inlineStr">
        <is>
          <t>항목</t>
        </is>
      </c>
      <c r="B151" s="5" t="inlineStr">
        <is>
          <t>참고</t>
        </is>
      </c>
      <c r="C151" s="5" t="inlineStr">
        <is>
          <t>2024.3Q</t>
        </is>
      </c>
      <c r="D151" s="5" t="inlineStr">
        <is>
          <t>2024.4Q</t>
        </is>
      </c>
      <c r="E151" s="5" t="inlineStr">
        <is>
          <t>2025.1Q</t>
        </is>
      </c>
      <c r="F151" s="5" t="inlineStr">
        <is>
          <t>2025.2Q</t>
        </is>
      </c>
      <c r="G151" s="5" t="inlineStr">
        <is>
          <t>2025.3Q</t>
        </is>
      </c>
      <c r="H151" s="5" t="inlineStr">
        <is>
          <t>2025.4Q</t>
        </is>
      </c>
      <c r="I151" s="5" t="inlineStr">
        <is>
          <t>2026.1Q</t>
        </is>
      </c>
      <c r="J151" s="5" t="inlineStr">
        <is>
          <t>2026.2Q</t>
        </is>
      </c>
      <c r="K151" s="5" t="inlineStr">
        <is>
          <t>2026.3Q</t>
        </is>
      </c>
      <c r="L151" s="5" t="inlineStr">
        <is>
          <t>2026.4Q</t>
        </is>
      </c>
      <c r="M151" s="5" t="inlineStr">
        <is>
          <t>2027.1Q</t>
        </is>
      </c>
      <c r="N151" s="5" t="inlineStr">
        <is>
          <t>2027.2Q</t>
        </is>
      </c>
      <c r="O151" s="5" t="inlineStr">
        <is>
          <t>2017</t>
        </is>
      </c>
      <c r="P151" s="5" t="inlineStr">
        <is>
          <t>2018</t>
        </is>
      </c>
      <c r="Q151" s="5" t="inlineStr">
        <is>
          <t>2019</t>
        </is>
      </c>
      <c r="R151" s="5" t="inlineStr">
        <is>
          <t>2020</t>
        </is>
      </c>
      <c r="S151" s="5" t="inlineStr">
        <is>
          <t>2021</t>
        </is>
      </c>
      <c r="T151" s="5" t="inlineStr">
        <is>
          <t>2022</t>
        </is>
      </c>
      <c r="U151" s="5" t="inlineStr">
        <is>
          <t>2023</t>
        </is>
      </c>
      <c r="V151" s="5" t="inlineStr">
        <is>
          <t>2024</t>
        </is>
      </c>
      <c r="W151" s="5" t="inlineStr">
        <is>
          <t>2025</t>
        </is>
      </c>
      <c r="X151" s="5" t="inlineStr">
        <is>
          <t>2026</t>
        </is>
      </c>
      <c r="Y151" s="5" t="inlineStr">
        <is>
          <t>2027(MW)</t>
        </is>
      </c>
      <c r="Z151" s="5" t="inlineStr">
        <is>
          <t>2028(MW)</t>
        </is>
      </c>
      <c r="AA151" s="5" t="inlineStr">
        <is>
          <t>2029(MW)</t>
        </is>
      </c>
      <c r="AB151" s="5" t="inlineStr">
        <is>
          <t>2030(MW)</t>
        </is>
      </c>
      <c r="AC151" s="5" t="inlineStr">
        <is>
          <t>2031(MW)</t>
        </is>
      </c>
    </row>
    <row r="152">
      <c r="A152" s="9" t="inlineStr">
        <is>
          <t>순이익</t>
        </is>
      </c>
      <c r="E152" s="12" t="n">
        <v>1826</v>
      </c>
      <c r="F152" s="12" t="n">
        <v>-355</v>
      </c>
      <c r="G152" s="12" t="n">
        <v>5681</v>
      </c>
      <c r="H152" s="12" t="n">
        <v>4051</v>
      </c>
      <c r="I152" s="12" t="n">
        <v>867</v>
      </c>
      <c r="J152" s="12" t="n">
        <v>894</v>
      </c>
      <c r="K152" s="12" t="n">
        <v>2911</v>
      </c>
      <c r="L152" s="12" t="n">
        <v>7329</v>
      </c>
      <c r="M152" s="12" t="n">
        <v>-760</v>
      </c>
      <c r="N152" s="12" t="n">
        <v>5571</v>
      </c>
      <c r="T152" s="12" t="n">
        <v>2262</v>
      </c>
      <c r="U152" s="12" t="n">
        <v>5265</v>
      </c>
      <c r="W152" s="12" t="n">
        <v>4051</v>
      </c>
      <c r="X152" s="12" t="n">
        <v>7329</v>
      </c>
    </row>
    <row r="153">
      <c r="A153" s="18" t="inlineStr">
        <is>
          <t>기타유가증권 평가차액</t>
        </is>
      </c>
      <c r="E153" s="20" t="n">
        <v>-18</v>
      </c>
      <c r="F153" s="20" t="n">
        <v>0</v>
      </c>
      <c r="G153" s="20" t="n">
        <v>-115</v>
      </c>
      <c r="H153" s="20" t="n">
        <v>32</v>
      </c>
      <c r="I153" s="20" t="n">
        <v>92</v>
      </c>
      <c r="J153" s="20" t="n">
        <v>-11</v>
      </c>
      <c r="K153" s="20" t="n">
        <v>67</v>
      </c>
      <c r="L153" s="20" t="n">
        <v>-111</v>
      </c>
      <c r="M153" s="20" t="n">
        <v>848</v>
      </c>
      <c r="N153" s="20" t="n">
        <v>513</v>
      </c>
      <c r="T153" s="20" t="n">
        <v>60</v>
      </c>
      <c r="U153" s="20" t="n">
        <v>-27</v>
      </c>
      <c r="W153" s="20" t="n">
        <v>32</v>
      </c>
      <c r="X153" s="20" t="n">
        <v>-111</v>
      </c>
    </row>
    <row r="154">
      <c r="A154" s="18" t="inlineStr">
        <is>
          <t>해외사업환산조정</t>
        </is>
      </c>
      <c r="E154" s="20" t="n">
        <v>-28</v>
      </c>
      <c r="F154" s="20" t="n">
        <v>65</v>
      </c>
      <c r="G154" s="20" t="n">
        <v>-715</v>
      </c>
      <c r="H154" s="20" t="n">
        <v>703</v>
      </c>
      <c r="I154" s="20" t="n">
        <v>-646</v>
      </c>
      <c r="J154" s="20" t="n">
        <v>-374</v>
      </c>
      <c r="K154" s="20" t="n">
        <v>285</v>
      </c>
      <c r="L154" s="20" t="n">
        <v>651</v>
      </c>
      <c r="M154" s="20" t="n">
        <v>227</v>
      </c>
      <c r="N154" s="20" t="n">
        <v>252</v>
      </c>
      <c r="T154" s="20" t="n">
        <v>22</v>
      </c>
      <c r="U154" s="20" t="n">
        <v>-3</v>
      </c>
      <c r="W154" s="20" t="n">
        <v>703</v>
      </c>
      <c r="X154" s="20" t="n">
        <v>651</v>
      </c>
    </row>
    <row r="155">
      <c r="A155" s="18" t="inlineStr">
        <is>
          <t>지분법 적용회사 지분 해당액</t>
        </is>
      </c>
      <c r="E155" s="20" t="n">
        <v>5</v>
      </c>
      <c r="F155" s="20" t="n">
        <v>34</v>
      </c>
      <c r="G155" s="20" t="n">
        <v>9</v>
      </c>
      <c r="H155" s="20" t="n">
        <v>39</v>
      </c>
      <c r="I155" s="20" t="n">
        <v>-142</v>
      </c>
      <c r="J155" s="20" t="n">
        <v>4</v>
      </c>
      <c r="K155" s="20" t="n">
        <v>36</v>
      </c>
      <c r="L155" s="20" t="n">
        <v>68</v>
      </c>
      <c r="M155" s="20" t="n">
        <v>-20</v>
      </c>
      <c r="N155" s="20" t="n">
        <v>4</v>
      </c>
      <c r="T155" s="20" t="n">
        <v>-58</v>
      </c>
      <c r="U155" s="20" t="n">
        <v>4</v>
      </c>
      <c r="W155" s="20" t="n">
        <v>39</v>
      </c>
      <c r="X155" s="20" t="n">
        <v>68</v>
      </c>
    </row>
    <row r="156">
      <c r="A156" s="18" t="inlineStr">
        <is>
          <t>기타포괄손익 합계</t>
        </is>
      </c>
      <c r="E156" s="20" t="n">
        <v>-41</v>
      </c>
      <c r="F156" s="20" t="n">
        <v>100</v>
      </c>
      <c r="G156" s="20" t="n">
        <v>-822</v>
      </c>
      <c r="H156" s="20" t="n">
        <v>773</v>
      </c>
      <c r="I156" s="20" t="n">
        <v>-696</v>
      </c>
      <c r="J156" s="20" t="n">
        <v>-381</v>
      </c>
      <c r="K156" s="20" t="n">
        <v>388</v>
      </c>
      <c r="L156" s="20" t="n">
        <v>608</v>
      </c>
      <c r="M156" s="20" t="n">
        <v>1055</v>
      </c>
      <c r="N156" s="20" t="n">
        <v>768</v>
      </c>
      <c r="T156" s="20" t="n">
        <v>25</v>
      </c>
      <c r="U156" s="20" t="n">
        <v>-27</v>
      </c>
      <c r="W156" s="20" t="n">
        <v>773</v>
      </c>
      <c r="X156" s="20" t="n">
        <v>608</v>
      </c>
    </row>
    <row r="157">
      <c r="A157" s="9" t="inlineStr">
        <is>
          <t>포괄이익</t>
        </is>
      </c>
      <c r="E157" s="12" t="n">
        <v>1784</v>
      </c>
      <c r="F157" s="12" t="n">
        <v>-253</v>
      </c>
      <c r="G157" s="12" t="n">
        <v>4857</v>
      </c>
      <c r="H157" s="12" t="n">
        <v>4826</v>
      </c>
      <c r="I157" s="12" t="n">
        <v>171</v>
      </c>
      <c r="J157" s="12" t="n">
        <v>513</v>
      </c>
      <c r="K157" s="12" t="n">
        <v>3298</v>
      </c>
      <c r="L157" s="12" t="n">
        <v>7938</v>
      </c>
      <c r="M157" s="12" t="n">
        <v>295</v>
      </c>
      <c r="N157" s="12" t="n">
        <v>6339</v>
      </c>
      <c r="T157" s="12" t="n">
        <v>2287</v>
      </c>
      <c r="U157" s="12" t="n">
        <v>5239</v>
      </c>
      <c r="W157" s="12" t="n">
        <v>4826</v>
      </c>
      <c r="X157" s="12" t="n">
        <v>7938</v>
      </c>
    </row>
    <row r="158">
      <c r="A158" s="9" t="inlineStr">
        <is>
          <t>지배주주 포괄이익</t>
        </is>
      </c>
      <c r="E158" s="12" t="n">
        <v>1780</v>
      </c>
      <c r="F158" s="12" t="n">
        <v>-258</v>
      </c>
      <c r="G158" s="12" t="n">
        <v>4917</v>
      </c>
      <c r="H158" s="12" t="n">
        <v>4746</v>
      </c>
      <c r="I158" s="12" t="n">
        <v>316</v>
      </c>
      <c r="J158" s="12" t="n">
        <v>560</v>
      </c>
      <c r="K158" s="12" t="n">
        <v>3331</v>
      </c>
      <c r="L158" s="12" t="n">
        <v>7924</v>
      </c>
      <c r="M158" s="12" t="n">
        <v>312</v>
      </c>
      <c r="N158" s="12" t="n">
        <v>6389</v>
      </c>
      <c r="T158" s="12" t="n">
        <v>3882</v>
      </c>
      <c r="U158" s="12" t="n">
        <v>5238</v>
      </c>
      <c r="W158" s="12" t="n">
        <v>4746</v>
      </c>
      <c r="X158" s="12" t="n">
        <v>7924</v>
      </c>
    </row>
    <row r="159">
      <c r="A159" s="9" t="inlineStr">
        <is>
          <t>비지배주주 포괄이익</t>
        </is>
      </c>
      <c r="E159" s="12" t="n">
        <v>4</v>
      </c>
      <c r="F159" s="12" t="n">
        <v>4</v>
      </c>
      <c r="G159" s="12" t="n">
        <v>-59</v>
      </c>
      <c r="H159" s="12" t="n">
        <v>80</v>
      </c>
      <c r="I159" s="12" t="n">
        <v>-145</v>
      </c>
      <c r="J159" s="12" t="n">
        <v>-47</v>
      </c>
      <c r="K159" s="12" t="n">
        <v>-33</v>
      </c>
      <c r="L159" s="12" t="n">
        <v>14</v>
      </c>
      <c r="M159" s="12" t="n">
        <v>-17</v>
      </c>
      <c r="N159" s="12" t="n">
        <v>-49</v>
      </c>
      <c r="T159" s="12" t="n">
        <v>-1595</v>
      </c>
      <c r="U159" s="12" t="n">
        <v>0</v>
      </c>
      <c r="W159" s="12" t="n">
        <v>80</v>
      </c>
      <c r="X159" s="12" t="n">
        <v>14</v>
      </c>
    </row>
    <row r="161">
      <c r="A161" s="16" t="inlineStr">
        <is>
          <t>부문 · 전 항목</t>
        </is>
      </c>
      <c r="B161" s="42" t="inlineStr">
        <is>
          <t>부문 · 항목</t>
        </is>
      </c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  <c r="AA161" s="16" t="n"/>
      <c r="AB161" s="16" t="n"/>
      <c r="AC161" s="16" t="n"/>
    </row>
    <row r="162">
      <c r="A162" s="5" t="inlineStr">
        <is>
          <t>항목</t>
        </is>
      </c>
      <c r="B162" s="5" t="inlineStr">
        <is>
          <t>참고</t>
        </is>
      </c>
      <c r="C162" s="5" t="inlineStr">
        <is>
          <t>2024.3Q</t>
        </is>
      </c>
      <c r="D162" s="5" t="inlineStr">
        <is>
          <t>2024.4Q</t>
        </is>
      </c>
      <c r="E162" s="5" t="inlineStr">
        <is>
          <t>2025.1Q</t>
        </is>
      </c>
      <c r="F162" s="5" t="inlineStr">
        <is>
          <t>2025.2Q</t>
        </is>
      </c>
      <c r="G162" s="5" t="inlineStr">
        <is>
          <t>2025.3Q</t>
        </is>
      </c>
      <c r="H162" s="5" t="inlineStr">
        <is>
          <t>2025.4Q</t>
        </is>
      </c>
      <c r="I162" s="5" t="inlineStr">
        <is>
          <t>2026.1Q</t>
        </is>
      </c>
      <c r="J162" s="5" t="inlineStr">
        <is>
          <t>2026.2Q</t>
        </is>
      </c>
      <c r="K162" s="5" t="inlineStr">
        <is>
          <t>2026.3Q</t>
        </is>
      </c>
      <c r="L162" s="5" t="inlineStr">
        <is>
          <t>2026.4Q</t>
        </is>
      </c>
      <c r="M162" s="5" t="inlineStr">
        <is>
          <t>2027.1Q</t>
        </is>
      </c>
      <c r="N162" s="5" t="inlineStr">
        <is>
          <t>2027.2Q</t>
        </is>
      </c>
      <c r="O162" s="5" t="inlineStr">
        <is>
          <t>2017</t>
        </is>
      </c>
      <c r="P162" s="5" t="inlineStr">
        <is>
          <t>2018</t>
        </is>
      </c>
      <c r="Q162" s="5" t="inlineStr">
        <is>
          <t>2019</t>
        </is>
      </c>
      <c r="R162" s="5" t="inlineStr">
        <is>
          <t>2020</t>
        </is>
      </c>
      <c r="S162" s="5" t="inlineStr">
        <is>
          <t>2021</t>
        </is>
      </c>
      <c r="T162" s="5" t="inlineStr">
        <is>
          <t>2022</t>
        </is>
      </c>
      <c r="U162" s="5" t="inlineStr">
        <is>
          <t>2023</t>
        </is>
      </c>
      <c r="V162" s="5" t="inlineStr">
        <is>
          <t>2024</t>
        </is>
      </c>
      <c r="W162" s="5" t="inlineStr">
        <is>
          <t>2025</t>
        </is>
      </c>
      <c r="X162" s="5" t="inlineStr">
        <is>
          <t>2026</t>
        </is>
      </c>
      <c r="Y162" s="5" t="inlineStr">
        <is>
          <t>2027(MW)</t>
        </is>
      </c>
      <c r="Z162" s="5" t="inlineStr">
        <is>
          <t>2028(MW)</t>
        </is>
      </c>
      <c r="AA162" s="5" t="inlineStr">
        <is>
          <t>2029(MW)</t>
        </is>
      </c>
      <c r="AB162" s="5" t="inlineStr">
        <is>
          <t>2030(MW)</t>
        </is>
      </c>
      <c r="AC162" s="5" t="inlineStr">
        <is>
          <t>2031(MW)</t>
        </is>
      </c>
    </row>
    <row r="163">
      <c r="A163" s="18" t="inlineStr">
        <is>
          <t>주택 분양 사업 · 외부 고객 매출</t>
        </is>
      </c>
      <c r="E163" s="20" t="n">
        <v>5243</v>
      </c>
      <c r="F163" s="20" t="n">
        <v>7401</v>
      </c>
      <c r="G163" s="20" t="n">
        <v>36608</v>
      </c>
      <c r="H163" s="20" t="n">
        <v>17656</v>
      </c>
      <c r="I163" s="20" t="n">
        <v>11087</v>
      </c>
      <c r="J163" s="20" t="n">
        <v>7322</v>
      </c>
      <c r="K163" s="20" t="n">
        <v>10394</v>
      </c>
      <c r="L163" s="20" t="n">
        <v>34827</v>
      </c>
      <c r="M163" s="20" t="n">
        <v>4180</v>
      </c>
      <c r="N163" s="20" t="n">
        <v>15249</v>
      </c>
      <c r="W163" s="20" t="n">
        <v>17656</v>
      </c>
      <c r="X163" s="20" t="n">
        <v>34827</v>
      </c>
    </row>
    <row r="164">
      <c r="A164" s="43" t="inlineStr">
        <is>
          <t>YoY</t>
        </is>
      </c>
      <c r="B164" s="3" t="inlineStr">
        <is>
          <t>전년 같은 분기·전년 대비</t>
        </is>
      </c>
      <c r="G164" s="15">
        <f>IF(OR(G163="",C163=""),"",IF(C163&lt;=0,"",IFERROR(G163/C163-1,"")))</f>
        <v/>
      </c>
      <c r="H164" s="15">
        <f>IF(OR(H163="",D163=""),"",IF(D163&lt;=0,"",IFERROR(H163/D163-1,"")))</f>
        <v/>
      </c>
      <c r="I164" s="15">
        <f>IF(OR(I163="",E163=""),"",IF(E163&lt;=0,"",IFERROR(I163/E163-1,"")))</f>
        <v/>
      </c>
      <c r="J164" s="15">
        <f>IF(OR(J163="",F163=""),"",IF(F163&lt;=0,"",IFERROR(J163/F163-1,"")))</f>
        <v/>
      </c>
      <c r="K164" s="15">
        <f>IF(OR(K163="",G163=""),"",IF(G163&lt;=0,"",IFERROR(K163/G163-1,"")))</f>
        <v/>
      </c>
      <c r="L164" s="15">
        <f>IF(OR(L163="",H163=""),"",IF(H163&lt;=0,"",IFERROR(L163/H163-1,"")))</f>
        <v/>
      </c>
      <c r="M164" s="15">
        <f>IF(OR(M163="",I163=""),"",IF(I163&lt;=0,"",IFERROR(M163/I163-1,"")))</f>
        <v/>
      </c>
      <c r="N164" s="15">
        <f>IF(OR(N163="",J163=""),"",IF(J163&lt;=0,"",IFERROR(N163/J163-1,"")))</f>
        <v/>
      </c>
      <c r="W164" s="15">
        <f>IF(OR(W163="",V163=""),"",IF(V163&lt;=0,"",IFERROR(W163/V163-1,"")))</f>
        <v/>
      </c>
      <c r="X164" s="15">
        <f>IF(OR(X163="",W163=""),"",IF(W163&lt;=0,"",IFERROR(X163/W163-1,"")))</f>
        <v/>
      </c>
    </row>
    <row r="165">
      <c r="A165" s="18" t="inlineStr">
        <is>
          <t>부동산 개발 사업 · 외부 고객 매출</t>
        </is>
      </c>
      <c r="E165" s="20" t="n">
        <v>9450</v>
      </c>
      <c r="F165" s="20" t="n">
        <v>145</v>
      </c>
      <c r="G165" s="20" t="n">
        <v>8024</v>
      </c>
      <c r="H165" s="20" t="n">
        <v>10808</v>
      </c>
      <c r="I165" s="20" t="n">
        <v>1324</v>
      </c>
      <c r="J165" s="20" t="n">
        <v>4912</v>
      </c>
      <c r="K165" s="20" t="n">
        <v>12245</v>
      </c>
      <c r="L165" s="20" t="n">
        <v>33538</v>
      </c>
      <c r="M165" s="20" t="n">
        <v>812</v>
      </c>
      <c r="N165" s="20" t="n">
        <v>23839</v>
      </c>
      <c r="W165" s="20" t="n">
        <v>10808</v>
      </c>
      <c r="X165" s="20" t="n">
        <v>33538</v>
      </c>
    </row>
    <row r="166">
      <c r="A166" s="43" t="inlineStr">
        <is>
          <t>YoY</t>
        </is>
      </c>
      <c r="B166" s="3" t="inlineStr">
        <is>
          <t>전년 같은 분기·전년 대비</t>
        </is>
      </c>
      <c r="G166" s="15">
        <f>IF(OR(G165="",C165=""),"",IF(C165&lt;=0,"",IFERROR(G165/C165-1,"")))</f>
        <v/>
      </c>
      <c r="H166" s="15">
        <f>IF(OR(H165="",D165=""),"",IF(D165&lt;=0,"",IFERROR(H165/D165-1,"")))</f>
        <v/>
      </c>
      <c r="I166" s="15">
        <f>IF(OR(I165="",E165=""),"",IF(E165&lt;=0,"",IFERROR(I165/E165-1,"")))</f>
        <v/>
      </c>
      <c r="J166" s="15">
        <f>IF(OR(J165="",F165=""),"",IF(F165&lt;=0,"",IFERROR(J165/F165-1,"")))</f>
        <v/>
      </c>
      <c r="K166" s="15">
        <f>IF(OR(K165="",G165=""),"",IF(G165&lt;=0,"",IFERROR(K165/G165-1,"")))</f>
        <v/>
      </c>
      <c r="L166" s="15">
        <f>IF(OR(L165="",H165=""),"",IF(H165&lt;=0,"",IFERROR(L165/H165-1,"")))</f>
        <v/>
      </c>
      <c r="M166" s="15">
        <f>IF(OR(M165="",I165=""),"",IF(I165&lt;=0,"",IFERROR(M165/I165-1,"")))</f>
        <v/>
      </c>
      <c r="N166" s="15">
        <f>IF(OR(N165="",J165=""),"",IF(J165&lt;=0,"",IFERROR(N165/J165-1,"")))</f>
        <v/>
      </c>
      <c r="W166" s="15">
        <f>IF(OR(W165="",V165=""),"",IF(V165&lt;=0,"",IFERROR(W165/V165-1,"")))</f>
        <v/>
      </c>
      <c r="X166" s="15">
        <f>IF(OR(X165="",W165=""),"",IF(W165&lt;=0,"",IFERROR(X165/W165-1,"")))</f>
        <v/>
      </c>
    </row>
    <row r="167">
      <c r="A167" s="18" t="inlineStr">
        <is>
          <t>부동산 임대 사업 · 외부 고객 매출</t>
        </is>
      </c>
      <c r="E167" s="20" t="n">
        <v>3837</v>
      </c>
      <c r="I167" s="20" t="n">
        <v>4314</v>
      </c>
      <c r="M167" s="20" t="n">
        <v>4062</v>
      </c>
    </row>
    <row r="168">
      <c r="A168" s="43" t="inlineStr">
        <is>
          <t>YoY</t>
        </is>
      </c>
      <c r="B168" s="3" t="inlineStr">
        <is>
          <t>전년 같은 분기·전년 대비</t>
        </is>
      </c>
      <c r="I168" s="15">
        <f>IF(OR(I167="",E167=""),"",IF(E167&lt;=0,"",IFERROR(I167/E167-1,"")))</f>
        <v/>
      </c>
      <c r="M168" s="15">
        <f>IF(OR(M167="",I167=""),"",IF(I167&lt;=0,"",IFERROR(M167/I167-1,"")))</f>
        <v/>
      </c>
    </row>
    <row r="169">
      <c r="A169" s="18" t="inlineStr">
        <is>
          <t>부동산 임대 사업 · 외부 고객 매출</t>
        </is>
      </c>
      <c r="G169" s="20" t="n">
        <v>3926</v>
      </c>
      <c r="H169" s="20" t="n">
        <v>3913</v>
      </c>
      <c r="K169" s="20" t="n">
        <v>4196</v>
      </c>
      <c r="L169" s="20" t="n">
        <v>4185</v>
      </c>
      <c r="W169" s="20" t="n">
        <v>3913</v>
      </c>
      <c r="X169" s="20" t="n">
        <v>4185</v>
      </c>
    </row>
    <row r="170">
      <c r="A170" s="43" t="inlineStr">
        <is>
          <t>YoY</t>
        </is>
      </c>
      <c r="B170" s="3" t="inlineStr">
        <is>
          <t>전년 같은 분기·전년 대비</t>
        </is>
      </c>
      <c r="G170" s="15">
        <f>IF(OR(G169="",C169=""),"",IF(C169&lt;=0,"",IFERROR(G169/C169-1,"")))</f>
        <v/>
      </c>
      <c r="H170" s="15">
        <f>IF(OR(H169="",D169=""),"",IF(D169&lt;=0,"",IFERROR(H169/D169-1,"")))</f>
        <v/>
      </c>
      <c r="K170" s="15">
        <f>IF(OR(K169="",G169=""),"",IF(G169&lt;=0,"",IFERROR(K169/G169-1,"")))</f>
        <v/>
      </c>
      <c r="L170" s="15">
        <f>IF(OR(L169="",H169=""),"",IF(H169&lt;=0,"",IFERROR(L169/H169-1,"")))</f>
        <v/>
      </c>
      <c r="W170" s="15">
        <f>IF(OR(W169="",V169=""),"",IF(V169&lt;=0,"",IFERROR(W169/V169-1,"")))</f>
        <v/>
      </c>
      <c r="X170" s="15">
        <f>IF(OR(X169="",W169=""),"",IF(W169&lt;=0,"",IFERROR(X169/W169-1,"")))</f>
        <v/>
      </c>
    </row>
    <row r="171">
      <c r="A171" s="18" t="inlineStr">
        <is>
          <t>자산관리 사업 · 외부 고객 매출</t>
        </is>
      </c>
      <c r="E171" s="20" t="n">
        <v>455</v>
      </c>
      <c r="F171" s="20" t="n">
        <v>349</v>
      </c>
      <c r="G171" s="20" t="n">
        <v>451</v>
      </c>
      <c r="H171" s="20" t="n">
        <v>390</v>
      </c>
      <c r="I171" s="20" t="n">
        <v>491</v>
      </c>
      <c r="J171" s="20" t="n">
        <v>461</v>
      </c>
      <c r="K171" s="20" t="n">
        <v>508</v>
      </c>
      <c r="L171" s="20" t="n">
        <v>747</v>
      </c>
      <c r="M171" s="20" t="n">
        <v>492</v>
      </c>
      <c r="N171" s="20" t="n">
        <v>601</v>
      </c>
      <c r="W171" s="20" t="n">
        <v>390</v>
      </c>
      <c r="X171" s="20" t="n">
        <v>747</v>
      </c>
    </row>
    <row r="172">
      <c r="A172" s="43" t="inlineStr">
        <is>
          <t>YoY</t>
        </is>
      </c>
      <c r="B172" s="3" t="inlineStr">
        <is>
          <t>전년 같은 분기·전년 대비</t>
        </is>
      </c>
      <c r="G172" s="15">
        <f>IF(OR(G171="",C171=""),"",IF(C171&lt;=0,"",IFERROR(G171/C171-1,"")))</f>
        <v/>
      </c>
      <c r="H172" s="15">
        <f>IF(OR(H171="",D171=""),"",IF(D171&lt;=0,"",IFERROR(H171/D171-1,"")))</f>
        <v/>
      </c>
      <c r="I172" s="15">
        <f>IF(OR(I171="",E171=""),"",IF(E171&lt;=0,"",IFERROR(I171/E171-1,"")))</f>
        <v/>
      </c>
      <c r="J172" s="15">
        <f>IF(OR(J171="",F171=""),"",IF(F171&lt;=0,"",IFERROR(J171/F171-1,"")))</f>
        <v/>
      </c>
      <c r="K172" s="15">
        <f>IF(OR(K171="",G171=""),"",IF(G171&lt;=0,"",IFERROR(K171/G171-1,"")))</f>
        <v/>
      </c>
      <c r="L172" s="15">
        <f>IF(OR(L171="",H171=""),"",IF(H171&lt;=0,"",IFERROR(L171/H171-1,"")))</f>
        <v/>
      </c>
      <c r="M172" s="15">
        <f>IF(OR(M171="",I171=""),"",IF(I171&lt;=0,"",IFERROR(M171/I171-1,"")))</f>
        <v/>
      </c>
      <c r="N172" s="15">
        <f>IF(OR(N171="",J171=""),"",IF(J171&lt;=0,"",IFERROR(N171/J171-1,"")))</f>
        <v/>
      </c>
      <c r="W172" s="15">
        <f>IF(OR(W171="",V171=""),"",IF(V171&lt;=0,"",IFERROR(W171/V171-1,"")))</f>
        <v/>
      </c>
      <c r="X172" s="15">
        <f>IF(OR(X171="",W171=""),"",IF(W171&lt;=0,"",IFERROR(X171/W171-1,"")))</f>
        <v/>
      </c>
    </row>
    <row r="173">
      <c r="A173" s="18" t="inlineStr">
        <is>
          <t>보고부문 합계 · 외부 고객 매출</t>
        </is>
      </c>
      <c r="E173" s="20" t="n">
        <v>18987</v>
      </c>
      <c r="F173" s="20" t="n">
        <v>11818</v>
      </c>
      <c r="G173" s="20" t="n">
        <v>49010</v>
      </c>
      <c r="H173" s="20" t="n">
        <v>32768</v>
      </c>
      <c r="I173" s="20" t="n">
        <v>17218</v>
      </c>
      <c r="J173" s="20" t="n">
        <v>17261</v>
      </c>
      <c r="K173" s="20" t="n">
        <v>27344</v>
      </c>
      <c r="L173" s="20" t="n">
        <v>73297</v>
      </c>
      <c r="M173" s="20" t="n">
        <v>9548</v>
      </c>
      <c r="N173" s="20" t="n">
        <v>44031</v>
      </c>
      <c r="W173" s="20" t="n">
        <v>32768</v>
      </c>
      <c r="X173" s="20" t="n">
        <v>73297</v>
      </c>
    </row>
    <row r="174">
      <c r="A174" s="43" t="inlineStr">
        <is>
          <t>YoY</t>
        </is>
      </c>
      <c r="B174" s="3" t="inlineStr">
        <is>
          <t>전년 같은 분기·전년 대비</t>
        </is>
      </c>
      <c r="G174" s="15">
        <f>IF(OR(G173="",C173=""),"",IF(C173&lt;=0,"",IFERROR(G173/C173-1,"")))</f>
        <v/>
      </c>
      <c r="H174" s="15">
        <f>IF(OR(H173="",D173=""),"",IF(D173&lt;=0,"",IFERROR(H173/D173-1,"")))</f>
        <v/>
      </c>
      <c r="I174" s="15">
        <f>IF(OR(I173="",E173=""),"",IF(E173&lt;=0,"",IFERROR(I173/E173-1,"")))</f>
        <v/>
      </c>
      <c r="J174" s="15">
        <f>IF(OR(J173="",F173=""),"",IF(F173&lt;=0,"",IFERROR(J173/F173-1,"")))</f>
        <v/>
      </c>
      <c r="K174" s="15">
        <f>IF(OR(K173="",G173=""),"",IF(G173&lt;=0,"",IFERROR(K173/G173-1,"")))</f>
        <v/>
      </c>
      <c r="L174" s="15">
        <f>IF(OR(L173="",H173=""),"",IF(H173&lt;=0,"",IFERROR(L173/H173-1,"")))</f>
        <v/>
      </c>
      <c r="M174" s="15">
        <f>IF(OR(M173="",I173=""),"",IF(I173&lt;=0,"",IFERROR(M173/I173-1,"")))</f>
        <v/>
      </c>
      <c r="N174" s="15">
        <f>IF(OR(N173="",J173=""),"",IF(J173&lt;=0,"",IFERROR(N173/J173-1,"")))</f>
        <v/>
      </c>
      <c r="W174" s="15">
        <f>IF(OR(W173="",V173=""),"",IF(V173&lt;=0,"",IFERROR(W173/V173-1,"")))</f>
        <v/>
      </c>
      <c r="X174" s="15">
        <f>IF(OR(X173="",W173=""),"",IF(W173&lt;=0,"",IFERROR(X173/W173-1,"")))</f>
        <v/>
      </c>
    </row>
    <row r="175">
      <c r="A175" s="18" t="inlineStr">
        <is>
          <t>기타 · 외부 고객 매출</t>
        </is>
      </c>
      <c r="E175" s="20" t="n">
        <v>111</v>
      </c>
      <c r="F175" s="20" t="n">
        <v>119</v>
      </c>
      <c r="G175" s="20" t="n">
        <v>401</v>
      </c>
      <c r="H175" s="20" t="n">
        <v>389</v>
      </c>
      <c r="I175" s="20" t="n">
        <v>363</v>
      </c>
      <c r="J175" s="20" t="n">
        <v>339</v>
      </c>
      <c r="K175" s="20" t="n">
        <v>398</v>
      </c>
      <c r="L175" s="20" t="n">
        <v>809</v>
      </c>
      <c r="M175" s="20" t="n">
        <v>478</v>
      </c>
      <c r="N175" s="20" t="n">
        <v>1465</v>
      </c>
      <c r="W175" s="20" t="n">
        <v>389</v>
      </c>
      <c r="X175" s="20" t="n">
        <v>809</v>
      </c>
    </row>
    <row r="176">
      <c r="A176" s="43" t="inlineStr">
        <is>
          <t>YoY</t>
        </is>
      </c>
      <c r="B176" s="3" t="inlineStr">
        <is>
          <t>전년 같은 분기·전년 대비</t>
        </is>
      </c>
      <c r="G176" s="15">
        <f>IF(OR(G175="",C175=""),"",IF(C175&lt;=0,"",IFERROR(G175/C175-1,"")))</f>
        <v/>
      </c>
      <c r="H176" s="15">
        <f>IF(OR(H175="",D175=""),"",IF(D175&lt;=0,"",IFERROR(H175/D175-1,"")))</f>
        <v/>
      </c>
      <c r="I176" s="15">
        <f>IF(OR(I175="",E175=""),"",IF(E175&lt;=0,"",IFERROR(I175/E175-1,"")))</f>
        <v/>
      </c>
      <c r="J176" s="15">
        <f>IF(OR(J175="",F175=""),"",IF(F175&lt;=0,"",IFERROR(J175/F175-1,"")))</f>
        <v/>
      </c>
      <c r="K176" s="15">
        <f>IF(OR(K175="",G175=""),"",IF(G175&lt;=0,"",IFERROR(K175/G175-1,"")))</f>
        <v/>
      </c>
      <c r="L176" s="15">
        <f>IF(OR(L175="",H175=""),"",IF(H175&lt;=0,"",IFERROR(L175/H175-1,"")))</f>
        <v/>
      </c>
      <c r="M176" s="15">
        <f>IF(OR(M175="",I175=""),"",IF(I175&lt;=0,"",IFERROR(M175/I175-1,"")))</f>
        <v/>
      </c>
      <c r="N176" s="15">
        <f>IF(OR(N175="",J175=""),"",IF(J175&lt;=0,"",IFERROR(N175/J175-1,"")))</f>
        <v/>
      </c>
      <c r="W176" s="15">
        <f>IF(OR(W175="",V175=""),"",IF(V175&lt;=0,"",IFERROR(W175/V175-1,"")))</f>
        <v/>
      </c>
      <c r="X176" s="15">
        <f>IF(OR(X175="",W175=""),"",IF(W175&lt;=0,"",IFERROR(X175/W175-1,"")))</f>
        <v/>
      </c>
    </row>
    <row r="177">
      <c r="A177" s="18" t="inlineStr">
        <is>
          <t>합계 · 외부 고객 매출</t>
        </is>
      </c>
      <c r="E177" s="20" t="n">
        <v>19098</v>
      </c>
      <c r="F177" s="20" t="n">
        <v>11938</v>
      </c>
      <c r="G177" s="20" t="n">
        <v>49410</v>
      </c>
      <c r="H177" s="20" t="n">
        <v>33157</v>
      </c>
      <c r="I177" s="20" t="n">
        <v>17581</v>
      </c>
      <c r="J177" s="20" t="n">
        <v>17600</v>
      </c>
      <c r="K177" s="20" t="n">
        <v>27743</v>
      </c>
      <c r="L177" s="20" t="n">
        <v>74105</v>
      </c>
      <c r="M177" s="20" t="n">
        <v>10027</v>
      </c>
      <c r="N177" s="20" t="n">
        <v>45496</v>
      </c>
      <c r="W177" s="20" t="n">
        <v>33157</v>
      </c>
      <c r="X177" s="20" t="n">
        <v>74105</v>
      </c>
    </row>
    <row r="178">
      <c r="A178" s="43" t="inlineStr">
        <is>
          <t>YoY</t>
        </is>
      </c>
      <c r="B178" s="3" t="inlineStr">
        <is>
          <t>전년 같은 분기·전년 대비</t>
        </is>
      </c>
      <c r="G178" s="15">
        <f>IF(OR(G177="",C177=""),"",IF(C177&lt;=0,"",IFERROR(G177/C177-1,"")))</f>
        <v/>
      </c>
      <c r="H178" s="15">
        <f>IF(OR(H177="",D177=""),"",IF(D177&lt;=0,"",IFERROR(H177/D177-1,"")))</f>
        <v/>
      </c>
      <c r="I178" s="15">
        <f>IF(OR(I177="",E177=""),"",IF(E177&lt;=0,"",IFERROR(I177/E177-1,"")))</f>
        <v/>
      </c>
      <c r="J178" s="15">
        <f>IF(OR(J177="",F177=""),"",IF(F177&lt;=0,"",IFERROR(J177/F177-1,"")))</f>
        <v/>
      </c>
      <c r="K178" s="15">
        <f>IF(OR(K177="",G177=""),"",IF(G177&lt;=0,"",IFERROR(K177/G177-1,"")))</f>
        <v/>
      </c>
      <c r="L178" s="15">
        <f>IF(OR(L177="",H177=""),"",IF(H177&lt;=0,"",IFERROR(L177/H177-1,"")))</f>
        <v/>
      </c>
      <c r="M178" s="15">
        <f>IF(OR(M177="",I177=""),"",IF(I177&lt;=0,"",IFERROR(M177/I177-1,"")))</f>
        <v/>
      </c>
      <c r="N178" s="15">
        <f>IF(OR(N177="",J177=""),"",IF(J177&lt;=0,"",IFERROR(N177/J177-1,"")))</f>
        <v/>
      </c>
      <c r="W178" s="15">
        <f>IF(OR(W177="",V177=""),"",IF(V177&lt;=0,"",IFERROR(W177/V177-1,"")))</f>
        <v/>
      </c>
      <c r="X178" s="15">
        <f>IF(OR(X177="",W177=""),"",IF(W177&lt;=0,"",IFERROR(X177/W177-1,"")))</f>
        <v/>
      </c>
    </row>
    <row r="179">
      <c r="A179" s="18" t="inlineStr">
        <is>
          <t>조정액 · 외부 고객 매출</t>
        </is>
      </c>
      <c r="E179" s="20" t="n">
        <v>0</v>
      </c>
      <c r="F179" s="20" t="n">
        <v>0</v>
      </c>
      <c r="G179" s="20" t="n">
        <v>0</v>
      </c>
      <c r="H179" s="20" t="n">
        <v>0</v>
      </c>
      <c r="I179" s="20" t="n">
        <v>0</v>
      </c>
      <c r="J179" s="20" t="n">
        <v>0</v>
      </c>
      <c r="K179" s="20" t="n">
        <v>0</v>
      </c>
      <c r="L179" s="20" t="n">
        <v>0</v>
      </c>
      <c r="M179" s="20" t="n">
        <v>0</v>
      </c>
      <c r="N179" s="20" t="n">
        <v>0</v>
      </c>
      <c r="W179" s="20" t="n">
        <v>0</v>
      </c>
      <c r="X179" s="20" t="n">
        <v>0</v>
      </c>
    </row>
    <row r="180">
      <c r="A180" s="9" t="inlineStr">
        <is>
          <t>외부 고객 매출</t>
        </is>
      </c>
      <c r="E180" s="12" t="n">
        <v>19098</v>
      </c>
      <c r="F180" s="12" t="n">
        <v>11938</v>
      </c>
      <c r="G180" s="12" t="n">
        <v>49410</v>
      </c>
      <c r="H180" s="12" t="n">
        <v>33157</v>
      </c>
      <c r="I180" s="12" t="n">
        <v>17581</v>
      </c>
      <c r="J180" s="12" t="n">
        <v>17600</v>
      </c>
      <c r="K180" s="12" t="n">
        <v>27743</v>
      </c>
      <c r="L180" s="12" t="n">
        <v>74105</v>
      </c>
      <c r="M180" s="12" t="n">
        <v>10027</v>
      </c>
      <c r="N180" s="12" t="n">
        <v>45496</v>
      </c>
      <c r="W180" s="12" t="n">
        <v>33157</v>
      </c>
      <c r="X180" s="12" t="n">
        <v>74105</v>
      </c>
    </row>
    <row r="181">
      <c r="A181" s="43" t="inlineStr">
        <is>
          <t>YoY</t>
        </is>
      </c>
      <c r="B181" s="3" t="inlineStr">
        <is>
          <t>전년 같은 분기·전년 대비</t>
        </is>
      </c>
      <c r="G181" s="15">
        <f>IF(OR(G180="",C180=""),"",IF(C180&lt;=0,"",IFERROR(G180/C180-1,"")))</f>
        <v/>
      </c>
      <c r="H181" s="15">
        <f>IF(OR(H180="",D180=""),"",IF(D180&lt;=0,"",IFERROR(H180/D180-1,"")))</f>
        <v/>
      </c>
      <c r="I181" s="15">
        <f>IF(OR(I180="",E180=""),"",IF(E180&lt;=0,"",IFERROR(I180/E180-1,"")))</f>
        <v/>
      </c>
      <c r="J181" s="15">
        <f>IF(OR(J180="",F180=""),"",IF(F180&lt;=0,"",IFERROR(J180/F180-1,"")))</f>
        <v/>
      </c>
      <c r="K181" s="15">
        <f>IF(OR(K180="",G180=""),"",IF(G180&lt;=0,"",IFERROR(K180/G180-1,"")))</f>
        <v/>
      </c>
      <c r="L181" s="15">
        <f>IF(OR(L180="",H180=""),"",IF(H180&lt;=0,"",IFERROR(L180/H180-1,"")))</f>
        <v/>
      </c>
      <c r="M181" s="15">
        <f>IF(OR(M180="",I180=""),"",IF(I180&lt;=0,"",IFERROR(M180/I180-1,"")))</f>
        <v/>
      </c>
      <c r="N181" s="15">
        <f>IF(OR(N180="",J180=""),"",IF(J180&lt;=0,"",IFERROR(N180/J180-1,"")))</f>
        <v/>
      </c>
      <c r="W181" s="15">
        <f>IF(OR(W180="",V180=""),"",IF(V180&lt;=0,"",IFERROR(W180/V180-1,"")))</f>
        <v/>
      </c>
      <c r="X181" s="15">
        <f>IF(OR(X180="",W180=""),"",IF(W180&lt;=0,"",IFERROR(X180/W180-1,"")))</f>
        <v/>
      </c>
    </row>
    <row r="182">
      <c r="A182" s="18" t="inlineStr">
        <is>
          <t>주택 분양 사업 · 부문 간 내부매출·대체</t>
        </is>
      </c>
      <c r="E182" s="20" t="n">
        <v>0</v>
      </c>
      <c r="F182" s="20" t="n">
        <v>0</v>
      </c>
      <c r="G182" s="20" t="n">
        <v>0</v>
      </c>
      <c r="H182" s="20" t="n">
        <v>0</v>
      </c>
      <c r="I182" s="20" t="n">
        <v>0</v>
      </c>
      <c r="J182" s="20" t="n">
        <v>0</v>
      </c>
      <c r="K182" s="20" t="n">
        <v>0</v>
      </c>
      <c r="L182" s="20" t="n">
        <v>0</v>
      </c>
      <c r="M182" s="20" t="n">
        <v>0</v>
      </c>
      <c r="N182" s="20" t="n">
        <v>0</v>
      </c>
      <c r="W182" s="20" t="n">
        <v>0</v>
      </c>
      <c r="X182" s="20" t="n">
        <v>0</v>
      </c>
    </row>
    <row r="183">
      <c r="A183" s="18" t="inlineStr">
        <is>
          <t>부동산 개발 사업 · 부문 간 내부매출·대체</t>
        </is>
      </c>
      <c r="E183" s="20" t="n">
        <v>0</v>
      </c>
      <c r="F183" s="20" t="n">
        <v>0</v>
      </c>
      <c r="G183" s="20" t="n">
        <v>0</v>
      </c>
      <c r="H183" s="20" t="n">
        <v>0</v>
      </c>
      <c r="I183" s="20" t="n">
        <v>0</v>
      </c>
      <c r="J183" s="20" t="n">
        <v>0</v>
      </c>
      <c r="K183" s="20" t="n">
        <v>0</v>
      </c>
      <c r="L183" s="20" t="n">
        <v>0</v>
      </c>
      <c r="M183" s="20" t="n">
        <v>0</v>
      </c>
      <c r="N183" s="20" t="n">
        <v>0</v>
      </c>
      <c r="W183" s="20" t="n">
        <v>0</v>
      </c>
      <c r="X183" s="20" t="n">
        <v>0</v>
      </c>
    </row>
    <row r="184">
      <c r="A184" s="18" t="inlineStr">
        <is>
          <t>부동산 임대 사업 · 부문 간 내부매출·대체</t>
        </is>
      </c>
      <c r="E184" s="20" t="n">
        <v>0</v>
      </c>
      <c r="I184" s="20" t="n">
        <v>0</v>
      </c>
      <c r="M184" s="20" t="n">
        <v>0</v>
      </c>
    </row>
    <row r="185">
      <c r="A185" s="18" t="inlineStr">
        <is>
          <t>부동산 임대 사업 · 부문 간 내부매출·대체</t>
        </is>
      </c>
      <c r="G185" s="20" t="n">
        <v>0</v>
      </c>
      <c r="H185" s="20" t="n">
        <v>0</v>
      </c>
      <c r="K185" s="20" t="n">
        <v>0</v>
      </c>
      <c r="L185" s="20" t="n">
        <v>0</v>
      </c>
      <c r="W185" s="20" t="n">
        <v>0</v>
      </c>
      <c r="X185" s="20" t="n">
        <v>0</v>
      </c>
    </row>
    <row r="186">
      <c r="A186" s="18" t="inlineStr">
        <is>
          <t>자산관리 사업 · 부문 간 내부매출·대체</t>
        </is>
      </c>
      <c r="E186" s="20" t="n">
        <v>0</v>
      </c>
      <c r="F186" s="20" t="n">
        <v>0</v>
      </c>
      <c r="G186" s="20" t="n">
        <v>0</v>
      </c>
      <c r="H186" s="20" t="n">
        <v>0</v>
      </c>
      <c r="I186" s="20" t="n">
        <v>0</v>
      </c>
      <c r="J186" s="20" t="n">
        <v>0</v>
      </c>
      <c r="K186" s="20" t="n">
        <v>0</v>
      </c>
      <c r="L186" s="20" t="n">
        <v>0</v>
      </c>
      <c r="M186" s="20" t="n">
        <v>0</v>
      </c>
      <c r="N186" s="20" t="n">
        <v>0</v>
      </c>
      <c r="W186" s="20" t="n">
        <v>0</v>
      </c>
      <c r="X186" s="20" t="n">
        <v>0</v>
      </c>
    </row>
    <row r="187">
      <c r="A187" s="18" t="inlineStr">
        <is>
          <t>보고부문 합계 · 부문 간 내부매출·대체</t>
        </is>
      </c>
      <c r="E187" s="20" t="n">
        <v>0</v>
      </c>
      <c r="F187" s="20" t="n">
        <v>0</v>
      </c>
      <c r="G187" s="20" t="n">
        <v>0</v>
      </c>
      <c r="H187" s="20" t="n">
        <v>0</v>
      </c>
      <c r="I187" s="20" t="n">
        <v>0</v>
      </c>
      <c r="J187" s="20" t="n">
        <v>0</v>
      </c>
      <c r="K187" s="20" t="n">
        <v>0</v>
      </c>
      <c r="L187" s="20" t="n">
        <v>0</v>
      </c>
      <c r="M187" s="20" t="n">
        <v>0</v>
      </c>
      <c r="N187" s="20" t="n">
        <v>0</v>
      </c>
      <c r="W187" s="20" t="n">
        <v>0</v>
      </c>
      <c r="X187" s="20" t="n">
        <v>0</v>
      </c>
    </row>
    <row r="188">
      <c r="A188" s="18" t="inlineStr">
        <is>
          <t>기타 · 부문 간 내부매출·대체</t>
        </is>
      </c>
      <c r="E188" s="20" t="n">
        <v>0</v>
      </c>
      <c r="F188" s="20" t="n">
        <v>0</v>
      </c>
      <c r="G188" s="20" t="n">
        <v>0</v>
      </c>
      <c r="H188" s="20" t="n">
        <v>0</v>
      </c>
      <c r="I188" s="20" t="n">
        <v>0</v>
      </c>
      <c r="J188" s="20" t="n">
        <v>0</v>
      </c>
      <c r="K188" s="20" t="n">
        <v>0</v>
      </c>
      <c r="L188" s="20" t="n">
        <v>0</v>
      </c>
      <c r="M188" s="20" t="n">
        <v>0</v>
      </c>
      <c r="N188" s="20" t="n">
        <v>0</v>
      </c>
      <c r="W188" s="20" t="n">
        <v>0</v>
      </c>
      <c r="X188" s="20" t="n">
        <v>0</v>
      </c>
    </row>
    <row r="189">
      <c r="A189" s="18" t="inlineStr">
        <is>
          <t>합계 · 부문 간 내부매출·대체</t>
        </is>
      </c>
      <c r="E189" s="20" t="n">
        <v>0</v>
      </c>
      <c r="F189" s="20" t="n">
        <v>0</v>
      </c>
      <c r="G189" s="20" t="n">
        <v>0</v>
      </c>
      <c r="H189" s="20" t="n">
        <v>0</v>
      </c>
      <c r="I189" s="20" t="n">
        <v>0</v>
      </c>
      <c r="J189" s="20" t="n">
        <v>0</v>
      </c>
      <c r="K189" s="20" t="n">
        <v>0</v>
      </c>
      <c r="L189" s="20" t="n">
        <v>0</v>
      </c>
      <c r="M189" s="20" t="n">
        <v>0</v>
      </c>
      <c r="N189" s="20" t="n">
        <v>0</v>
      </c>
      <c r="W189" s="20" t="n">
        <v>0</v>
      </c>
      <c r="X189" s="20" t="n">
        <v>0</v>
      </c>
    </row>
    <row r="190">
      <c r="A190" s="18" t="inlineStr">
        <is>
          <t>조정액 · 부문 간 내부매출·대체</t>
        </is>
      </c>
      <c r="E190" s="20" t="n">
        <v>0</v>
      </c>
      <c r="F190" s="20" t="n">
        <v>0</v>
      </c>
      <c r="G190" s="20" t="n">
        <v>0</v>
      </c>
      <c r="H190" s="20" t="n">
        <v>0</v>
      </c>
      <c r="I190" s="20" t="n">
        <v>0</v>
      </c>
      <c r="J190" s="20" t="n">
        <v>0</v>
      </c>
      <c r="K190" s="20" t="n">
        <v>0</v>
      </c>
      <c r="L190" s="20" t="n">
        <v>0</v>
      </c>
      <c r="M190" s="20" t="n">
        <v>0</v>
      </c>
      <c r="N190" s="20" t="n">
        <v>0</v>
      </c>
      <c r="W190" s="20" t="n">
        <v>0</v>
      </c>
      <c r="X190" s="20" t="n">
        <v>0</v>
      </c>
    </row>
    <row r="191">
      <c r="A191" s="18" t="inlineStr">
        <is>
          <t>부문 간 내부매출·대체</t>
        </is>
      </c>
      <c r="E191" s="20" t="n">
        <v>0</v>
      </c>
      <c r="F191" s="20" t="n">
        <v>0</v>
      </c>
      <c r="G191" s="20" t="n">
        <v>0</v>
      </c>
      <c r="H191" s="20" t="n">
        <v>0</v>
      </c>
      <c r="I191" s="20" t="n">
        <v>0</v>
      </c>
      <c r="J191" s="20" t="n">
        <v>0</v>
      </c>
      <c r="K191" s="20" t="n">
        <v>0</v>
      </c>
      <c r="L191" s="20" t="n">
        <v>0</v>
      </c>
      <c r="M191" s="20" t="n">
        <v>0</v>
      </c>
      <c r="N191" s="20" t="n">
        <v>0</v>
      </c>
      <c r="W191" s="20" t="n">
        <v>0</v>
      </c>
      <c r="X191" s="20" t="n">
        <v>0</v>
      </c>
    </row>
    <row r="192">
      <c r="A192" s="18" t="inlineStr">
        <is>
          <t>주택 분양 사업 · 계</t>
        </is>
      </c>
      <c r="E192" s="20" t="n">
        <v>5243</v>
      </c>
      <c r="F192" s="20" t="n">
        <v>7401</v>
      </c>
      <c r="G192" s="20" t="n">
        <v>36608</v>
      </c>
      <c r="H192" s="20" t="n">
        <v>17656</v>
      </c>
      <c r="I192" s="20" t="n">
        <v>11087</v>
      </c>
      <c r="J192" s="20" t="n">
        <v>7322</v>
      </c>
      <c r="K192" s="20" t="n">
        <v>10394</v>
      </c>
      <c r="L192" s="20" t="n">
        <v>34827</v>
      </c>
      <c r="M192" s="20" t="n">
        <v>4180</v>
      </c>
      <c r="N192" s="20" t="n">
        <v>15249</v>
      </c>
      <c r="W192" s="20" t="n">
        <v>17656</v>
      </c>
      <c r="X192" s="20" t="n">
        <v>34827</v>
      </c>
    </row>
    <row r="193">
      <c r="A193" s="43" t="inlineStr">
        <is>
          <t>YoY</t>
        </is>
      </c>
      <c r="B193" s="3" t="inlineStr">
        <is>
          <t>전년 같은 분기·전년 대비</t>
        </is>
      </c>
      <c r="G193" s="15">
        <f>IF(OR(G192="",C192=""),"",IF(C192&lt;=0,"",IFERROR(G192/C192-1,"")))</f>
        <v/>
      </c>
      <c r="H193" s="15">
        <f>IF(OR(H192="",D192=""),"",IF(D192&lt;=0,"",IFERROR(H192/D192-1,"")))</f>
        <v/>
      </c>
      <c r="I193" s="15">
        <f>IF(OR(I192="",E192=""),"",IF(E192&lt;=0,"",IFERROR(I192/E192-1,"")))</f>
        <v/>
      </c>
      <c r="J193" s="15">
        <f>IF(OR(J192="",F192=""),"",IF(F192&lt;=0,"",IFERROR(J192/F192-1,"")))</f>
        <v/>
      </c>
      <c r="K193" s="15">
        <f>IF(OR(K192="",G192=""),"",IF(G192&lt;=0,"",IFERROR(K192/G192-1,"")))</f>
        <v/>
      </c>
      <c r="L193" s="15">
        <f>IF(OR(L192="",H192=""),"",IF(H192&lt;=0,"",IFERROR(L192/H192-1,"")))</f>
        <v/>
      </c>
      <c r="M193" s="15">
        <f>IF(OR(M192="",I192=""),"",IF(I192&lt;=0,"",IFERROR(M192/I192-1,"")))</f>
        <v/>
      </c>
      <c r="N193" s="15">
        <f>IF(OR(N192="",J192=""),"",IF(J192&lt;=0,"",IFERROR(N192/J192-1,"")))</f>
        <v/>
      </c>
      <c r="W193" s="15">
        <f>IF(OR(W192="",V192=""),"",IF(V192&lt;=0,"",IFERROR(W192/V192-1,"")))</f>
        <v/>
      </c>
      <c r="X193" s="15">
        <f>IF(OR(X192="",W192=""),"",IF(W192&lt;=0,"",IFERROR(X192/W192-1,"")))</f>
        <v/>
      </c>
    </row>
    <row r="194">
      <c r="A194" s="18" t="inlineStr">
        <is>
          <t>부동산 개발 사업 · 계</t>
        </is>
      </c>
      <c r="E194" s="20" t="n">
        <v>9450</v>
      </c>
      <c r="F194" s="20" t="n">
        <v>145</v>
      </c>
      <c r="G194" s="20" t="n">
        <v>8024</v>
      </c>
      <c r="H194" s="20" t="n">
        <v>10808</v>
      </c>
      <c r="I194" s="20" t="n">
        <v>1324</v>
      </c>
      <c r="J194" s="20" t="n">
        <v>4912</v>
      </c>
      <c r="K194" s="20" t="n">
        <v>12245</v>
      </c>
      <c r="L194" s="20" t="n">
        <v>33538</v>
      </c>
      <c r="M194" s="20" t="n">
        <v>812</v>
      </c>
      <c r="N194" s="20" t="n">
        <v>23839</v>
      </c>
      <c r="W194" s="20" t="n">
        <v>10808</v>
      </c>
      <c r="X194" s="20" t="n">
        <v>33538</v>
      </c>
    </row>
    <row r="195">
      <c r="A195" s="43" t="inlineStr">
        <is>
          <t>YoY</t>
        </is>
      </c>
      <c r="B195" s="3" t="inlineStr">
        <is>
          <t>전년 같은 분기·전년 대비</t>
        </is>
      </c>
      <c r="G195" s="15">
        <f>IF(OR(G194="",C194=""),"",IF(C194&lt;=0,"",IFERROR(G194/C194-1,"")))</f>
        <v/>
      </c>
      <c r="H195" s="15">
        <f>IF(OR(H194="",D194=""),"",IF(D194&lt;=0,"",IFERROR(H194/D194-1,"")))</f>
        <v/>
      </c>
      <c r="I195" s="15">
        <f>IF(OR(I194="",E194=""),"",IF(E194&lt;=0,"",IFERROR(I194/E194-1,"")))</f>
        <v/>
      </c>
      <c r="J195" s="15">
        <f>IF(OR(J194="",F194=""),"",IF(F194&lt;=0,"",IFERROR(J194/F194-1,"")))</f>
        <v/>
      </c>
      <c r="K195" s="15">
        <f>IF(OR(K194="",G194=""),"",IF(G194&lt;=0,"",IFERROR(K194/G194-1,"")))</f>
        <v/>
      </c>
      <c r="L195" s="15">
        <f>IF(OR(L194="",H194=""),"",IF(H194&lt;=0,"",IFERROR(L194/H194-1,"")))</f>
        <v/>
      </c>
      <c r="M195" s="15">
        <f>IF(OR(M194="",I194=""),"",IF(I194&lt;=0,"",IFERROR(M194/I194-1,"")))</f>
        <v/>
      </c>
      <c r="N195" s="15">
        <f>IF(OR(N194="",J194=""),"",IF(J194&lt;=0,"",IFERROR(N194/J194-1,"")))</f>
        <v/>
      </c>
      <c r="W195" s="15">
        <f>IF(OR(W194="",V194=""),"",IF(V194&lt;=0,"",IFERROR(W194/V194-1,"")))</f>
        <v/>
      </c>
      <c r="X195" s="15">
        <f>IF(OR(X194="",W194=""),"",IF(W194&lt;=0,"",IFERROR(X194/W194-1,"")))</f>
        <v/>
      </c>
    </row>
    <row r="196">
      <c r="A196" s="18" t="inlineStr">
        <is>
          <t>부동산 임대 사업 · 계</t>
        </is>
      </c>
      <c r="E196" s="20" t="n">
        <v>3837</v>
      </c>
      <c r="I196" s="20" t="n">
        <v>4314</v>
      </c>
      <c r="M196" s="20" t="n">
        <v>4062</v>
      </c>
    </row>
    <row r="197">
      <c r="A197" s="43" t="inlineStr">
        <is>
          <t>YoY</t>
        </is>
      </c>
      <c r="B197" s="3" t="inlineStr">
        <is>
          <t>전년 같은 분기·전년 대비</t>
        </is>
      </c>
      <c r="I197" s="15">
        <f>IF(OR(I196="",E196=""),"",IF(E196&lt;=0,"",IFERROR(I196/E196-1,"")))</f>
        <v/>
      </c>
      <c r="M197" s="15">
        <f>IF(OR(M196="",I196=""),"",IF(I196&lt;=0,"",IFERROR(M196/I196-1,"")))</f>
        <v/>
      </c>
    </row>
    <row r="198">
      <c r="A198" s="18" t="inlineStr">
        <is>
          <t>부동산 임대 사업 · 계</t>
        </is>
      </c>
      <c r="G198" s="20" t="n">
        <v>3926</v>
      </c>
      <c r="H198" s="20" t="n">
        <v>3913</v>
      </c>
      <c r="K198" s="20" t="n">
        <v>4196</v>
      </c>
      <c r="L198" s="20" t="n">
        <v>4185</v>
      </c>
      <c r="W198" s="20" t="n">
        <v>3913</v>
      </c>
      <c r="X198" s="20" t="n">
        <v>4185</v>
      </c>
    </row>
    <row r="199">
      <c r="A199" s="43" t="inlineStr">
        <is>
          <t>YoY</t>
        </is>
      </c>
      <c r="B199" s="3" t="inlineStr">
        <is>
          <t>전년 같은 분기·전년 대비</t>
        </is>
      </c>
      <c r="G199" s="15">
        <f>IF(OR(G198="",C198=""),"",IF(C198&lt;=0,"",IFERROR(G198/C198-1,"")))</f>
        <v/>
      </c>
      <c r="H199" s="15">
        <f>IF(OR(H198="",D198=""),"",IF(D198&lt;=0,"",IFERROR(H198/D198-1,"")))</f>
        <v/>
      </c>
      <c r="K199" s="15">
        <f>IF(OR(K198="",G198=""),"",IF(G198&lt;=0,"",IFERROR(K198/G198-1,"")))</f>
        <v/>
      </c>
      <c r="L199" s="15">
        <f>IF(OR(L198="",H198=""),"",IF(H198&lt;=0,"",IFERROR(L198/H198-1,"")))</f>
        <v/>
      </c>
      <c r="W199" s="15">
        <f>IF(OR(W198="",V198=""),"",IF(V198&lt;=0,"",IFERROR(W198/V198-1,"")))</f>
        <v/>
      </c>
      <c r="X199" s="15">
        <f>IF(OR(X198="",W198=""),"",IF(W198&lt;=0,"",IFERROR(X198/W198-1,"")))</f>
        <v/>
      </c>
    </row>
    <row r="200">
      <c r="A200" s="18" t="inlineStr">
        <is>
          <t>자산관리 사업 · 계</t>
        </is>
      </c>
      <c r="E200" s="20" t="n">
        <v>455</v>
      </c>
      <c r="F200" s="20" t="n">
        <v>349</v>
      </c>
      <c r="G200" s="20" t="n">
        <v>451</v>
      </c>
      <c r="H200" s="20" t="n">
        <v>390</v>
      </c>
      <c r="I200" s="20" t="n">
        <v>491</v>
      </c>
      <c r="J200" s="20" t="n">
        <v>461</v>
      </c>
      <c r="K200" s="20" t="n">
        <v>508</v>
      </c>
      <c r="L200" s="20" t="n">
        <v>747</v>
      </c>
      <c r="M200" s="20" t="n">
        <v>492</v>
      </c>
      <c r="N200" s="20" t="n">
        <v>601</v>
      </c>
      <c r="W200" s="20" t="n">
        <v>390</v>
      </c>
      <c r="X200" s="20" t="n">
        <v>747</v>
      </c>
    </row>
    <row r="201">
      <c r="A201" s="43" t="inlineStr">
        <is>
          <t>YoY</t>
        </is>
      </c>
      <c r="B201" s="3" t="inlineStr">
        <is>
          <t>전년 같은 분기·전년 대비</t>
        </is>
      </c>
      <c r="G201" s="15">
        <f>IF(OR(G200="",C200=""),"",IF(C200&lt;=0,"",IFERROR(G200/C200-1,"")))</f>
        <v/>
      </c>
      <c r="H201" s="15">
        <f>IF(OR(H200="",D200=""),"",IF(D200&lt;=0,"",IFERROR(H200/D200-1,"")))</f>
        <v/>
      </c>
      <c r="I201" s="15">
        <f>IF(OR(I200="",E200=""),"",IF(E200&lt;=0,"",IFERROR(I200/E200-1,"")))</f>
        <v/>
      </c>
      <c r="J201" s="15">
        <f>IF(OR(J200="",F200=""),"",IF(F200&lt;=0,"",IFERROR(J200/F200-1,"")))</f>
        <v/>
      </c>
      <c r="K201" s="15">
        <f>IF(OR(K200="",G200=""),"",IF(G200&lt;=0,"",IFERROR(K200/G200-1,"")))</f>
        <v/>
      </c>
      <c r="L201" s="15">
        <f>IF(OR(L200="",H200=""),"",IF(H200&lt;=0,"",IFERROR(L200/H200-1,"")))</f>
        <v/>
      </c>
      <c r="M201" s="15">
        <f>IF(OR(M200="",I200=""),"",IF(I200&lt;=0,"",IFERROR(M200/I200-1,"")))</f>
        <v/>
      </c>
      <c r="N201" s="15">
        <f>IF(OR(N200="",J200=""),"",IF(J200&lt;=0,"",IFERROR(N200/J200-1,"")))</f>
        <v/>
      </c>
      <c r="W201" s="15">
        <f>IF(OR(W200="",V200=""),"",IF(V200&lt;=0,"",IFERROR(W200/V200-1,"")))</f>
        <v/>
      </c>
      <c r="X201" s="15">
        <f>IF(OR(X200="",W200=""),"",IF(W200&lt;=0,"",IFERROR(X200/W200-1,"")))</f>
        <v/>
      </c>
    </row>
    <row r="202">
      <c r="A202" s="18" t="inlineStr">
        <is>
          <t>보고부문 합계 · 계</t>
        </is>
      </c>
      <c r="E202" s="20" t="n">
        <v>18987</v>
      </c>
      <c r="F202" s="20" t="n">
        <v>11818</v>
      </c>
      <c r="G202" s="20" t="n">
        <v>49010</v>
      </c>
      <c r="H202" s="20" t="n">
        <v>32768</v>
      </c>
      <c r="I202" s="20" t="n">
        <v>17218</v>
      </c>
      <c r="J202" s="20" t="n">
        <v>17261</v>
      </c>
      <c r="K202" s="20" t="n">
        <v>27344</v>
      </c>
      <c r="L202" s="20" t="n">
        <v>73297</v>
      </c>
      <c r="M202" s="20" t="n">
        <v>9548</v>
      </c>
      <c r="N202" s="20" t="n">
        <v>44031</v>
      </c>
      <c r="W202" s="20" t="n">
        <v>32768</v>
      </c>
      <c r="X202" s="20" t="n">
        <v>73297</v>
      </c>
    </row>
    <row r="203">
      <c r="A203" s="43" t="inlineStr">
        <is>
          <t>YoY</t>
        </is>
      </c>
      <c r="B203" s="3" t="inlineStr">
        <is>
          <t>전년 같은 분기·전년 대비</t>
        </is>
      </c>
      <c r="G203" s="15">
        <f>IF(OR(G202="",C202=""),"",IF(C202&lt;=0,"",IFERROR(G202/C202-1,"")))</f>
        <v/>
      </c>
      <c r="H203" s="15">
        <f>IF(OR(H202="",D202=""),"",IF(D202&lt;=0,"",IFERROR(H202/D202-1,"")))</f>
        <v/>
      </c>
      <c r="I203" s="15">
        <f>IF(OR(I202="",E202=""),"",IF(E202&lt;=0,"",IFERROR(I202/E202-1,"")))</f>
        <v/>
      </c>
      <c r="J203" s="15">
        <f>IF(OR(J202="",F202=""),"",IF(F202&lt;=0,"",IFERROR(J202/F202-1,"")))</f>
        <v/>
      </c>
      <c r="K203" s="15">
        <f>IF(OR(K202="",G202=""),"",IF(G202&lt;=0,"",IFERROR(K202/G202-1,"")))</f>
        <v/>
      </c>
      <c r="L203" s="15">
        <f>IF(OR(L202="",H202=""),"",IF(H202&lt;=0,"",IFERROR(L202/H202-1,"")))</f>
        <v/>
      </c>
      <c r="M203" s="15">
        <f>IF(OR(M202="",I202=""),"",IF(I202&lt;=0,"",IFERROR(M202/I202-1,"")))</f>
        <v/>
      </c>
      <c r="N203" s="15">
        <f>IF(OR(N202="",J202=""),"",IF(J202&lt;=0,"",IFERROR(N202/J202-1,"")))</f>
        <v/>
      </c>
      <c r="W203" s="15">
        <f>IF(OR(W202="",V202=""),"",IF(V202&lt;=0,"",IFERROR(W202/V202-1,"")))</f>
        <v/>
      </c>
      <c r="X203" s="15">
        <f>IF(OR(X202="",W202=""),"",IF(W202&lt;=0,"",IFERROR(X202/W202-1,"")))</f>
        <v/>
      </c>
    </row>
    <row r="204">
      <c r="A204" s="18" t="inlineStr">
        <is>
          <t>기타 · 계</t>
        </is>
      </c>
      <c r="E204" s="20" t="n">
        <v>111</v>
      </c>
      <c r="F204" s="20" t="n">
        <v>119</v>
      </c>
      <c r="G204" s="20" t="n">
        <v>401</v>
      </c>
      <c r="H204" s="20" t="n">
        <v>389</v>
      </c>
      <c r="I204" s="20" t="n">
        <v>363</v>
      </c>
      <c r="J204" s="20" t="n">
        <v>339</v>
      </c>
      <c r="K204" s="20" t="n">
        <v>398</v>
      </c>
      <c r="L204" s="20" t="n">
        <v>809</v>
      </c>
      <c r="M204" s="20" t="n">
        <v>478</v>
      </c>
      <c r="N204" s="20" t="n">
        <v>1465</v>
      </c>
      <c r="W204" s="20" t="n">
        <v>389</v>
      </c>
      <c r="X204" s="20" t="n">
        <v>809</v>
      </c>
    </row>
    <row r="205">
      <c r="A205" s="43" t="inlineStr">
        <is>
          <t>YoY</t>
        </is>
      </c>
      <c r="B205" s="3" t="inlineStr">
        <is>
          <t>전년 같은 분기·전년 대비</t>
        </is>
      </c>
      <c r="G205" s="15">
        <f>IF(OR(G204="",C204=""),"",IF(C204&lt;=0,"",IFERROR(G204/C204-1,"")))</f>
        <v/>
      </c>
      <c r="H205" s="15">
        <f>IF(OR(H204="",D204=""),"",IF(D204&lt;=0,"",IFERROR(H204/D204-1,"")))</f>
        <v/>
      </c>
      <c r="I205" s="15">
        <f>IF(OR(I204="",E204=""),"",IF(E204&lt;=0,"",IFERROR(I204/E204-1,"")))</f>
        <v/>
      </c>
      <c r="J205" s="15">
        <f>IF(OR(J204="",F204=""),"",IF(F204&lt;=0,"",IFERROR(J204/F204-1,"")))</f>
        <v/>
      </c>
      <c r="K205" s="15">
        <f>IF(OR(K204="",G204=""),"",IF(G204&lt;=0,"",IFERROR(K204/G204-1,"")))</f>
        <v/>
      </c>
      <c r="L205" s="15">
        <f>IF(OR(L204="",H204=""),"",IF(H204&lt;=0,"",IFERROR(L204/H204-1,"")))</f>
        <v/>
      </c>
      <c r="M205" s="15">
        <f>IF(OR(M204="",I204=""),"",IF(I204&lt;=0,"",IFERROR(M204/I204-1,"")))</f>
        <v/>
      </c>
      <c r="N205" s="15">
        <f>IF(OR(N204="",J204=""),"",IF(J204&lt;=0,"",IFERROR(N204/J204-1,"")))</f>
        <v/>
      </c>
      <c r="W205" s="15">
        <f>IF(OR(W204="",V204=""),"",IF(V204&lt;=0,"",IFERROR(W204/V204-1,"")))</f>
        <v/>
      </c>
      <c r="X205" s="15">
        <f>IF(OR(X204="",W204=""),"",IF(W204&lt;=0,"",IFERROR(X204/W204-1,"")))</f>
        <v/>
      </c>
    </row>
    <row r="206">
      <c r="A206" s="18" t="inlineStr">
        <is>
          <t>합계 · 계</t>
        </is>
      </c>
      <c r="E206" s="20" t="n">
        <v>19098</v>
      </c>
      <c r="F206" s="20" t="n">
        <v>11938</v>
      </c>
      <c r="G206" s="20" t="n">
        <v>49410</v>
      </c>
      <c r="H206" s="20" t="n">
        <v>33157</v>
      </c>
      <c r="I206" s="20" t="n">
        <v>17581</v>
      </c>
      <c r="J206" s="20" t="n">
        <v>17600</v>
      </c>
      <c r="K206" s="20" t="n">
        <v>27743</v>
      </c>
      <c r="L206" s="20" t="n">
        <v>74105</v>
      </c>
      <c r="M206" s="20" t="n">
        <v>10027</v>
      </c>
      <c r="N206" s="20" t="n">
        <v>45496</v>
      </c>
      <c r="W206" s="20" t="n">
        <v>33157</v>
      </c>
      <c r="X206" s="20" t="n">
        <v>74105</v>
      </c>
    </row>
    <row r="207">
      <c r="A207" s="43" t="inlineStr">
        <is>
          <t>YoY</t>
        </is>
      </c>
      <c r="B207" s="3" t="inlineStr">
        <is>
          <t>전년 같은 분기·전년 대비</t>
        </is>
      </c>
      <c r="G207" s="15">
        <f>IF(OR(G206="",C206=""),"",IF(C206&lt;=0,"",IFERROR(G206/C206-1,"")))</f>
        <v/>
      </c>
      <c r="H207" s="15">
        <f>IF(OR(H206="",D206=""),"",IF(D206&lt;=0,"",IFERROR(H206/D206-1,"")))</f>
        <v/>
      </c>
      <c r="I207" s="15">
        <f>IF(OR(I206="",E206=""),"",IF(E206&lt;=0,"",IFERROR(I206/E206-1,"")))</f>
        <v/>
      </c>
      <c r="J207" s="15">
        <f>IF(OR(J206="",F206=""),"",IF(F206&lt;=0,"",IFERROR(J206/F206-1,"")))</f>
        <v/>
      </c>
      <c r="K207" s="15">
        <f>IF(OR(K206="",G206=""),"",IF(G206&lt;=0,"",IFERROR(K206/G206-1,"")))</f>
        <v/>
      </c>
      <c r="L207" s="15">
        <f>IF(OR(L206="",H206=""),"",IF(H206&lt;=0,"",IFERROR(L206/H206-1,"")))</f>
        <v/>
      </c>
      <c r="M207" s="15">
        <f>IF(OR(M206="",I206=""),"",IF(I206&lt;=0,"",IFERROR(M206/I206-1,"")))</f>
        <v/>
      </c>
      <c r="N207" s="15">
        <f>IF(OR(N206="",J206=""),"",IF(J206&lt;=0,"",IFERROR(N206/J206-1,"")))</f>
        <v/>
      </c>
      <c r="W207" s="15">
        <f>IF(OR(W206="",V206=""),"",IF(V206&lt;=0,"",IFERROR(W206/V206-1,"")))</f>
        <v/>
      </c>
      <c r="X207" s="15">
        <f>IF(OR(X206="",W206=""),"",IF(W206&lt;=0,"",IFERROR(X206/W206-1,"")))</f>
        <v/>
      </c>
    </row>
    <row r="208">
      <c r="A208" s="18" t="inlineStr">
        <is>
          <t>조정액 · 계</t>
        </is>
      </c>
      <c r="E208" s="20" t="n">
        <v>0</v>
      </c>
      <c r="F208" s="20" t="n">
        <v>0</v>
      </c>
      <c r="G208" s="20" t="n">
        <v>0</v>
      </c>
      <c r="H208" s="20" t="n">
        <v>0</v>
      </c>
      <c r="I208" s="20" t="n">
        <v>0</v>
      </c>
      <c r="J208" s="20" t="n">
        <v>0</v>
      </c>
      <c r="K208" s="20" t="n">
        <v>0</v>
      </c>
      <c r="L208" s="20" t="n">
        <v>0</v>
      </c>
      <c r="M208" s="20" t="n">
        <v>0</v>
      </c>
      <c r="N208" s="20" t="n">
        <v>0</v>
      </c>
      <c r="W208" s="20" t="n">
        <v>0</v>
      </c>
      <c r="X208" s="20" t="n">
        <v>0</v>
      </c>
    </row>
    <row r="209">
      <c r="A209" s="9" t="inlineStr">
        <is>
          <t>계</t>
        </is>
      </c>
      <c r="E209" s="12" t="n">
        <v>19098</v>
      </c>
      <c r="F209" s="12" t="n">
        <v>11938</v>
      </c>
      <c r="G209" s="12" t="n">
        <v>49410</v>
      </c>
      <c r="H209" s="12" t="n">
        <v>33157</v>
      </c>
      <c r="I209" s="12" t="n">
        <v>17581</v>
      </c>
      <c r="J209" s="12" t="n">
        <v>17600</v>
      </c>
      <c r="K209" s="12" t="n">
        <v>27743</v>
      </c>
      <c r="L209" s="12" t="n">
        <v>74105</v>
      </c>
      <c r="M209" s="12" t="n">
        <v>10027</v>
      </c>
      <c r="N209" s="12" t="n">
        <v>45496</v>
      </c>
      <c r="W209" s="12" t="n">
        <v>33157</v>
      </c>
      <c r="X209" s="12" t="n">
        <v>74105</v>
      </c>
    </row>
    <row r="210">
      <c r="A210" s="43" t="inlineStr">
        <is>
          <t>YoY</t>
        </is>
      </c>
      <c r="B210" s="3" t="inlineStr">
        <is>
          <t>전년 같은 분기·전년 대비</t>
        </is>
      </c>
      <c r="G210" s="15">
        <f>IF(OR(G209="",C209=""),"",IF(C209&lt;=0,"",IFERROR(G209/C209-1,"")))</f>
        <v/>
      </c>
      <c r="H210" s="15">
        <f>IF(OR(H209="",D209=""),"",IF(D209&lt;=0,"",IFERROR(H209/D209-1,"")))</f>
        <v/>
      </c>
      <c r="I210" s="15">
        <f>IF(OR(I209="",E209=""),"",IF(E209&lt;=0,"",IFERROR(I209/E209-1,"")))</f>
        <v/>
      </c>
      <c r="J210" s="15">
        <f>IF(OR(J209="",F209=""),"",IF(F209&lt;=0,"",IFERROR(J209/F209-1,"")))</f>
        <v/>
      </c>
      <c r="K210" s="15">
        <f>IF(OR(K209="",G209=""),"",IF(G209&lt;=0,"",IFERROR(K209/G209-1,"")))</f>
        <v/>
      </c>
      <c r="L210" s="15">
        <f>IF(OR(L209="",H209=""),"",IF(H209&lt;=0,"",IFERROR(L209/H209-1,"")))</f>
        <v/>
      </c>
      <c r="M210" s="15">
        <f>IF(OR(M209="",I209=""),"",IF(I209&lt;=0,"",IFERROR(M209/I209-1,"")))</f>
        <v/>
      </c>
      <c r="N210" s="15">
        <f>IF(OR(N209="",J209=""),"",IF(J209&lt;=0,"",IFERROR(N209/J209-1,"")))</f>
        <v/>
      </c>
      <c r="W210" s="15">
        <f>IF(OR(W209="",V209=""),"",IF(V209&lt;=0,"",IFERROR(W209/V209-1,"")))</f>
        <v/>
      </c>
      <c r="X210" s="15">
        <f>IF(OR(X209="",W209=""),"",IF(W209&lt;=0,"",IFERROR(X209/W209-1,"")))</f>
        <v/>
      </c>
    </row>
    <row r="211">
      <c r="A211" s="18" t="inlineStr">
        <is>
          <t>주택 분양 사업 · 부문 이익</t>
        </is>
      </c>
      <c r="E211" s="20" t="n">
        <v>783</v>
      </c>
      <c r="F211" s="20" t="n">
        <v>1074</v>
      </c>
      <c r="G211" s="20" t="n">
        <v>7179</v>
      </c>
      <c r="H211" s="20" t="n">
        <v>3009</v>
      </c>
      <c r="I211" s="20" t="n">
        <v>1888</v>
      </c>
      <c r="J211" s="20" t="n">
        <v>1285</v>
      </c>
      <c r="K211" s="20" t="n">
        <v>1590</v>
      </c>
      <c r="L211" s="20" t="n">
        <v>6730</v>
      </c>
      <c r="M211" s="20" t="n">
        <v>636</v>
      </c>
      <c r="N211" s="20" t="n">
        <v>2567</v>
      </c>
      <c r="W211" s="20" t="n">
        <v>3009</v>
      </c>
      <c r="X211" s="20" t="n">
        <v>6730</v>
      </c>
    </row>
    <row r="212">
      <c r="A212" s="43" t="inlineStr">
        <is>
          <t>OPM</t>
        </is>
      </c>
      <c r="B212" s="3" t="inlineStr">
        <is>
          <t>영업이익 ÷ 매출</t>
        </is>
      </c>
      <c r="E212" s="15">
        <f>IF(OR(E211="",E192=""),"",IF(E192&lt;=0,"",IFERROR(E211/E192,"")))</f>
        <v/>
      </c>
      <c r="F212" s="15">
        <f>IF(OR(F211="",F192=""),"",IF(F192&lt;=0,"",IFERROR(F211/F192,"")))</f>
        <v/>
      </c>
      <c r="G212" s="15">
        <f>IF(OR(G211="",G192=""),"",IF(G192&lt;=0,"",IFERROR(G211/G192,"")))</f>
        <v/>
      </c>
      <c r="H212" s="15">
        <f>IF(OR(H211="",H192=""),"",IF(H192&lt;=0,"",IFERROR(H211/H192,"")))</f>
        <v/>
      </c>
      <c r="I212" s="15">
        <f>IF(OR(I211="",I192=""),"",IF(I192&lt;=0,"",IFERROR(I211/I192,"")))</f>
        <v/>
      </c>
      <c r="J212" s="15">
        <f>IF(OR(J211="",J192=""),"",IF(J192&lt;=0,"",IFERROR(J211/J192,"")))</f>
        <v/>
      </c>
      <c r="K212" s="15">
        <f>IF(OR(K211="",K192=""),"",IF(K192&lt;=0,"",IFERROR(K211/K192,"")))</f>
        <v/>
      </c>
      <c r="L212" s="15">
        <f>IF(OR(L211="",L192=""),"",IF(L192&lt;=0,"",IFERROR(L211/L192,"")))</f>
        <v/>
      </c>
      <c r="M212" s="15">
        <f>IF(OR(M211="",M192=""),"",IF(M192&lt;=0,"",IFERROR(M211/M192,"")))</f>
        <v/>
      </c>
      <c r="N212" s="15">
        <f>IF(OR(N211="",N192=""),"",IF(N192&lt;=0,"",IFERROR(N211/N192,"")))</f>
        <v/>
      </c>
      <c r="W212" s="15">
        <f>IF(OR(W211="",W192=""),"",IF(W192&lt;=0,"",IFERROR(W211/W192,"")))</f>
        <v/>
      </c>
      <c r="X212" s="15">
        <f>IF(OR(X211="",X192=""),"",IF(X192&lt;=0,"",IFERROR(X211/X192,"")))</f>
        <v/>
      </c>
    </row>
    <row r="213">
      <c r="A213" s="43" t="inlineStr">
        <is>
          <t>YoY</t>
        </is>
      </c>
      <c r="B213" s="3" t="inlineStr">
        <is>
          <t>전년 같은 분기·전년 대비</t>
        </is>
      </c>
      <c r="G213" s="15">
        <f>IF(OR(G211="",C211=""),"",IF(C211&lt;=0,"",IFERROR(G211/C211-1,"")))</f>
        <v/>
      </c>
      <c r="H213" s="15">
        <f>IF(OR(H211="",D211=""),"",IF(D211&lt;=0,"",IFERROR(H211/D211-1,"")))</f>
        <v/>
      </c>
      <c r="I213" s="15">
        <f>IF(OR(I211="",E211=""),"",IF(E211&lt;=0,"",IFERROR(I211/E211-1,"")))</f>
        <v/>
      </c>
      <c r="J213" s="15">
        <f>IF(OR(J211="",F211=""),"",IF(F211&lt;=0,"",IFERROR(J211/F211-1,"")))</f>
        <v/>
      </c>
      <c r="K213" s="15">
        <f>IF(OR(K211="",G211=""),"",IF(G211&lt;=0,"",IFERROR(K211/G211-1,"")))</f>
        <v/>
      </c>
      <c r="L213" s="15">
        <f>IF(OR(L211="",H211=""),"",IF(H211&lt;=0,"",IFERROR(L211/H211-1,"")))</f>
        <v/>
      </c>
      <c r="M213" s="15">
        <f>IF(OR(M211="",I211=""),"",IF(I211&lt;=0,"",IFERROR(M211/I211-1,"")))</f>
        <v/>
      </c>
      <c r="N213" s="15">
        <f>IF(OR(N211="",J211=""),"",IF(J211&lt;=0,"",IFERROR(N211/J211-1,"")))</f>
        <v/>
      </c>
      <c r="W213" s="15">
        <f>IF(OR(W211="",V211=""),"",IF(V211&lt;=0,"",IFERROR(W211/V211-1,"")))</f>
        <v/>
      </c>
      <c r="X213" s="15">
        <f>IF(OR(X211="",W211=""),"",IF(W211&lt;=0,"",IFERROR(X211/W211-1,"")))</f>
        <v/>
      </c>
    </row>
    <row r="214">
      <c r="A214" s="18" t="inlineStr">
        <is>
          <t>부동산 개발 사업 · 부문 이익</t>
        </is>
      </c>
      <c r="E214" s="20" t="n">
        <v>2624</v>
      </c>
      <c r="F214" s="20" t="n">
        <v>38</v>
      </c>
      <c r="G214" s="20" t="n">
        <v>2619</v>
      </c>
      <c r="H214" s="20" t="n">
        <v>4931</v>
      </c>
      <c r="I214" s="20" t="n">
        <v>324</v>
      </c>
      <c r="J214" s="20" t="n">
        <v>1259</v>
      </c>
      <c r="K214" s="20" t="n">
        <v>4106</v>
      </c>
      <c r="L214" s="20" t="n">
        <v>9224</v>
      </c>
      <c r="M214" s="20" t="n">
        <v>247</v>
      </c>
      <c r="N214" s="20" t="n">
        <v>8391</v>
      </c>
      <c r="W214" s="20" t="n">
        <v>4931</v>
      </c>
      <c r="X214" s="20" t="n">
        <v>9224</v>
      </c>
    </row>
    <row r="215">
      <c r="A215" s="43" t="inlineStr">
        <is>
          <t>OPM</t>
        </is>
      </c>
      <c r="B215" s="3" t="inlineStr">
        <is>
          <t>영업이익 ÷ 매출</t>
        </is>
      </c>
      <c r="E215" s="15">
        <f>IF(OR(E214="",E194=""),"",IF(E194&lt;=0,"",IFERROR(E214/E194,"")))</f>
        <v/>
      </c>
      <c r="F215" s="15">
        <f>IF(OR(F214="",F194=""),"",IF(F194&lt;=0,"",IFERROR(F214/F194,"")))</f>
        <v/>
      </c>
      <c r="G215" s="15">
        <f>IF(OR(G214="",G194=""),"",IF(G194&lt;=0,"",IFERROR(G214/G194,"")))</f>
        <v/>
      </c>
      <c r="H215" s="15">
        <f>IF(OR(H214="",H194=""),"",IF(H194&lt;=0,"",IFERROR(H214/H194,"")))</f>
        <v/>
      </c>
      <c r="I215" s="15">
        <f>IF(OR(I214="",I194=""),"",IF(I194&lt;=0,"",IFERROR(I214/I194,"")))</f>
        <v/>
      </c>
      <c r="J215" s="15">
        <f>IF(OR(J214="",J194=""),"",IF(J194&lt;=0,"",IFERROR(J214/J194,"")))</f>
        <v/>
      </c>
      <c r="K215" s="15">
        <f>IF(OR(K214="",K194=""),"",IF(K194&lt;=0,"",IFERROR(K214/K194,"")))</f>
        <v/>
      </c>
      <c r="L215" s="15">
        <f>IF(OR(L214="",L194=""),"",IF(L194&lt;=0,"",IFERROR(L214/L194,"")))</f>
        <v/>
      </c>
      <c r="M215" s="15">
        <f>IF(OR(M214="",M194=""),"",IF(M194&lt;=0,"",IFERROR(M214/M194,"")))</f>
        <v/>
      </c>
      <c r="N215" s="15">
        <f>IF(OR(N214="",N194=""),"",IF(N194&lt;=0,"",IFERROR(N214/N194,"")))</f>
        <v/>
      </c>
      <c r="W215" s="15">
        <f>IF(OR(W214="",W194=""),"",IF(W194&lt;=0,"",IFERROR(W214/W194,"")))</f>
        <v/>
      </c>
      <c r="X215" s="15">
        <f>IF(OR(X214="",X194=""),"",IF(X194&lt;=0,"",IFERROR(X214/X194,"")))</f>
        <v/>
      </c>
    </row>
    <row r="216">
      <c r="A216" s="43" t="inlineStr">
        <is>
          <t>YoY</t>
        </is>
      </c>
      <c r="B216" s="3" t="inlineStr">
        <is>
          <t>전년 같은 분기·전년 대비</t>
        </is>
      </c>
      <c r="G216" s="15">
        <f>IF(OR(G214="",C214=""),"",IF(C214&lt;=0,"",IFERROR(G214/C214-1,"")))</f>
        <v/>
      </c>
      <c r="H216" s="15">
        <f>IF(OR(H214="",D214=""),"",IF(D214&lt;=0,"",IFERROR(H214/D214-1,"")))</f>
        <v/>
      </c>
      <c r="I216" s="15">
        <f>IF(OR(I214="",E214=""),"",IF(E214&lt;=0,"",IFERROR(I214/E214-1,"")))</f>
        <v/>
      </c>
      <c r="J216" s="15">
        <f>IF(OR(J214="",F214=""),"",IF(F214&lt;=0,"",IFERROR(J214/F214-1,"")))</f>
        <v/>
      </c>
      <c r="K216" s="15">
        <f>IF(OR(K214="",G214=""),"",IF(G214&lt;=0,"",IFERROR(K214/G214-1,"")))</f>
        <v/>
      </c>
      <c r="L216" s="15">
        <f>IF(OR(L214="",H214=""),"",IF(H214&lt;=0,"",IFERROR(L214/H214-1,"")))</f>
        <v/>
      </c>
      <c r="M216" s="15">
        <f>IF(OR(M214="",I214=""),"",IF(I214&lt;=0,"",IFERROR(M214/I214-1,"")))</f>
        <v/>
      </c>
      <c r="N216" s="15">
        <f>IF(OR(N214="",J214=""),"",IF(J214&lt;=0,"",IFERROR(N214/J214-1,"")))</f>
        <v/>
      </c>
      <c r="W216" s="15">
        <f>IF(OR(W214="",V214=""),"",IF(V214&lt;=0,"",IFERROR(W214/V214-1,"")))</f>
        <v/>
      </c>
      <c r="X216" s="15">
        <f>IF(OR(X214="",W214=""),"",IF(W214&lt;=0,"",IFERROR(X214/W214-1,"")))</f>
        <v/>
      </c>
    </row>
    <row r="217">
      <c r="A217" s="18" t="inlineStr">
        <is>
          <t>부동산 임대 사업 · 부문 이익</t>
        </is>
      </c>
      <c r="E217" s="20" t="n">
        <v>1752</v>
      </c>
      <c r="I217" s="20" t="n">
        <v>2058</v>
      </c>
      <c r="M217" s="20" t="n">
        <v>1725</v>
      </c>
    </row>
    <row r="218">
      <c r="A218" s="43" t="inlineStr">
        <is>
          <t>OPM</t>
        </is>
      </c>
      <c r="B218" s="3" t="inlineStr">
        <is>
          <t>영업이익 ÷ 매출</t>
        </is>
      </c>
      <c r="E218" s="15">
        <f>IF(OR(E217="",E196=""),"",IF(E196&lt;=0,"",IFERROR(E217/E196,"")))</f>
        <v/>
      </c>
      <c r="I218" s="15">
        <f>IF(OR(I217="",I196=""),"",IF(I196&lt;=0,"",IFERROR(I217/I196,"")))</f>
        <v/>
      </c>
      <c r="M218" s="15">
        <f>IF(OR(M217="",M196=""),"",IF(M196&lt;=0,"",IFERROR(M217/M196,"")))</f>
        <v/>
      </c>
    </row>
    <row r="219">
      <c r="A219" s="43" t="inlineStr">
        <is>
          <t>YoY</t>
        </is>
      </c>
      <c r="B219" s="3" t="inlineStr">
        <is>
          <t>전년 같은 분기·전년 대비</t>
        </is>
      </c>
      <c r="I219" s="15">
        <f>IF(OR(I217="",E217=""),"",IF(E217&lt;=0,"",IFERROR(I217/E217-1,"")))</f>
        <v/>
      </c>
      <c r="M219" s="15">
        <f>IF(OR(M217="",I217=""),"",IF(I217&lt;=0,"",IFERROR(M217/I217-1,"")))</f>
        <v/>
      </c>
    </row>
    <row r="220">
      <c r="A220" s="18" t="inlineStr">
        <is>
          <t>부동산 임대 사업 · 부문 이익</t>
        </is>
      </c>
      <c r="G220" s="20" t="n">
        <v>1751</v>
      </c>
      <c r="H220" s="20" t="n">
        <v>1769</v>
      </c>
      <c r="K220" s="20" t="n">
        <v>1913</v>
      </c>
      <c r="L220" s="20" t="n">
        <v>1899</v>
      </c>
      <c r="W220" s="20" t="n">
        <v>1769</v>
      </c>
      <c r="X220" s="20" t="n">
        <v>1899</v>
      </c>
    </row>
    <row r="221">
      <c r="A221" s="43" t="inlineStr">
        <is>
          <t>OPM</t>
        </is>
      </c>
      <c r="B221" s="3" t="inlineStr">
        <is>
          <t>영업이익 ÷ 매출</t>
        </is>
      </c>
      <c r="G221" s="15">
        <f>IF(OR(G220="",G198=""),"",IF(G198&lt;=0,"",IFERROR(G220/G198,"")))</f>
        <v/>
      </c>
      <c r="H221" s="15">
        <f>IF(OR(H220="",H198=""),"",IF(H198&lt;=0,"",IFERROR(H220/H198,"")))</f>
        <v/>
      </c>
      <c r="K221" s="15">
        <f>IF(OR(K220="",K198=""),"",IF(K198&lt;=0,"",IFERROR(K220/K198,"")))</f>
        <v/>
      </c>
      <c r="L221" s="15">
        <f>IF(OR(L220="",L198=""),"",IF(L198&lt;=0,"",IFERROR(L220/L198,"")))</f>
        <v/>
      </c>
      <c r="W221" s="15">
        <f>IF(OR(W220="",W198=""),"",IF(W198&lt;=0,"",IFERROR(W220/W198,"")))</f>
        <v/>
      </c>
      <c r="X221" s="15">
        <f>IF(OR(X220="",X198=""),"",IF(X198&lt;=0,"",IFERROR(X220/X198,"")))</f>
        <v/>
      </c>
    </row>
    <row r="222">
      <c r="A222" s="43" t="inlineStr">
        <is>
          <t>YoY</t>
        </is>
      </c>
      <c r="B222" s="3" t="inlineStr">
        <is>
          <t>전년 같은 분기·전년 대비</t>
        </is>
      </c>
      <c r="G222" s="15">
        <f>IF(OR(G220="",C220=""),"",IF(C220&lt;=0,"",IFERROR(G220/C220-1,"")))</f>
        <v/>
      </c>
      <c r="H222" s="15">
        <f>IF(OR(H220="",D220=""),"",IF(D220&lt;=0,"",IFERROR(H220/D220-1,"")))</f>
        <v/>
      </c>
      <c r="K222" s="15">
        <f>IF(OR(K220="",G220=""),"",IF(G220&lt;=0,"",IFERROR(K220/G220-1,"")))</f>
        <v/>
      </c>
      <c r="L222" s="15">
        <f>IF(OR(L220="",H220=""),"",IF(H220&lt;=0,"",IFERROR(L220/H220-1,"")))</f>
        <v/>
      </c>
      <c r="W222" s="15">
        <f>IF(OR(W220="",V220=""),"",IF(V220&lt;=0,"",IFERROR(W220/V220-1,"")))</f>
        <v/>
      </c>
      <c r="X222" s="15">
        <f>IF(OR(X220="",W220=""),"",IF(W220&lt;=0,"",IFERROR(X220/W220-1,"")))</f>
        <v/>
      </c>
    </row>
    <row r="223">
      <c r="A223" s="18" t="inlineStr">
        <is>
          <t>자산관리 사업 · 부문 이익</t>
        </is>
      </c>
      <c r="E223" s="20" t="n">
        <v>287</v>
      </c>
      <c r="F223" s="20" t="n">
        <v>195</v>
      </c>
      <c r="G223" s="20" t="n">
        <v>293</v>
      </c>
      <c r="H223" s="20" t="n">
        <v>222</v>
      </c>
      <c r="I223" s="20" t="n">
        <v>251</v>
      </c>
      <c r="J223" s="20" t="n">
        <v>246</v>
      </c>
      <c r="K223" s="20" t="n">
        <v>280</v>
      </c>
      <c r="L223" s="20" t="n">
        <v>514</v>
      </c>
      <c r="M223" s="20" t="n">
        <v>276</v>
      </c>
      <c r="N223" s="20" t="n">
        <v>356</v>
      </c>
      <c r="W223" s="20" t="n">
        <v>222</v>
      </c>
      <c r="X223" s="20" t="n">
        <v>514</v>
      </c>
    </row>
    <row r="224">
      <c r="A224" s="43" t="inlineStr">
        <is>
          <t>OPM</t>
        </is>
      </c>
      <c r="B224" s="3" t="inlineStr">
        <is>
          <t>영업이익 ÷ 매출</t>
        </is>
      </c>
      <c r="E224" s="15">
        <f>IF(OR(E223="",E200=""),"",IF(E200&lt;=0,"",IFERROR(E223/E200,"")))</f>
        <v/>
      </c>
      <c r="F224" s="15">
        <f>IF(OR(F223="",F200=""),"",IF(F200&lt;=0,"",IFERROR(F223/F200,"")))</f>
        <v/>
      </c>
      <c r="G224" s="15">
        <f>IF(OR(G223="",G200=""),"",IF(G200&lt;=0,"",IFERROR(G223/G200,"")))</f>
        <v/>
      </c>
      <c r="H224" s="15">
        <f>IF(OR(H223="",H200=""),"",IF(H200&lt;=0,"",IFERROR(H223/H200,"")))</f>
        <v/>
      </c>
      <c r="I224" s="15">
        <f>IF(OR(I223="",I200=""),"",IF(I200&lt;=0,"",IFERROR(I223/I200,"")))</f>
        <v/>
      </c>
      <c r="J224" s="15">
        <f>IF(OR(J223="",J200=""),"",IF(J200&lt;=0,"",IFERROR(J223/J200,"")))</f>
        <v/>
      </c>
      <c r="K224" s="15">
        <f>IF(OR(K223="",K200=""),"",IF(K200&lt;=0,"",IFERROR(K223/K200,"")))</f>
        <v/>
      </c>
      <c r="L224" s="15">
        <f>IF(OR(L223="",L200=""),"",IF(L200&lt;=0,"",IFERROR(L223/L200,"")))</f>
        <v/>
      </c>
      <c r="M224" s="15">
        <f>IF(OR(M223="",M200=""),"",IF(M200&lt;=0,"",IFERROR(M223/M200,"")))</f>
        <v/>
      </c>
      <c r="N224" s="15">
        <f>IF(OR(N223="",N200=""),"",IF(N200&lt;=0,"",IFERROR(N223/N200,"")))</f>
        <v/>
      </c>
      <c r="W224" s="15">
        <f>IF(OR(W223="",W200=""),"",IF(W200&lt;=0,"",IFERROR(W223/W200,"")))</f>
        <v/>
      </c>
      <c r="X224" s="15">
        <f>IF(OR(X223="",X200=""),"",IF(X200&lt;=0,"",IFERROR(X223/X200,"")))</f>
        <v/>
      </c>
    </row>
    <row r="225">
      <c r="A225" s="43" t="inlineStr">
        <is>
          <t>YoY</t>
        </is>
      </c>
      <c r="B225" s="3" t="inlineStr">
        <is>
          <t>전년 같은 분기·전년 대비</t>
        </is>
      </c>
      <c r="G225" s="15">
        <f>IF(OR(G223="",C223=""),"",IF(C223&lt;=0,"",IFERROR(G223/C223-1,"")))</f>
        <v/>
      </c>
      <c r="H225" s="15">
        <f>IF(OR(H223="",D223=""),"",IF(D223&lt;=0,"",IFERROR(H223/D223-1,"")))</f>
        <v/>
      </c>
      <c r="I225" s="15">
        <f>IF(OR(I223="",E223=""),"",IF(E223&lt;=0,"",IFERROR(I223/E223-1,"")))</f>
        <v/>
      </c>
      <c r="J225" s="15">
        <f>IF(OR(J223="",F223=""),"",IF(F223&lt;=0,"",IFERROR(J223/F223-1,"")))</f>
        <v/>
      </c>
      <c r="K225" s="15">
        <f>IF(OR(K223="",G223=""),"",IF(G223&lt;=0,"",IFERROR(K223/G223-1,"")))</f>
        <v/>
      </c>
      <c r="L225" s="15">
        <f>IF(OR(L223="",H223=""),"",IF(H223&lt;=0,"",IFERROR(L223/H223-1,"")))</f>
        <v/>
      </c>
      <c r="M225" s="15">
        <f>IF(OR(M223="",I223=""),"",IF(I223&lt;=0,"",IFERROR(M223/I223-1,"")))</f>
        <v/>
      </c>
      <c r="N225" s="15">
        <f>IF(OR(N223="",J223=""),"",IF(J223&lt;=0,"",IFERROR(N223/J223-1,"")))</f>
        <v/>
      </c>
      <c r="W225" s="15">
        <f>IF(OR(W223="",V223=""),"",IF(V223&lt;=0,"",IFERROR(W223/V223-1,"")))</f>
        <v/>
      </c>
      <c r="X225" s="15">
        <f>IF(OR(X223="",W223=""),"",IF(W223&lt;=0,"",IFERROR(X223/W223-1,"")))</f>
        <v/>
      </c>
    </row>
    <row r="226">
      <c r="A226" s="18" t="inlineStr">
        <is>
          <t>보고부문 합계 · 부문 이익</t>
        </is>
      </c>
      <c r="E226" s="20" t="n">
        <v>5448</v>
      </c>
      <c r="F226" s="20" t="n">
        <v>3057</v>
      </c>
      <c r="G226" s="20" t="n">
        <v>11841</v>
      </c>
      <c r="H226" s="20" t="n">
        <v>9930</v>
      </c>
      <c r="I226" s="20" t="n">
        <v>4522</v>
      </c>
      <c r="J226" s="20" t="n">
        <v>4953</v>
      </c>
      <c r="K226" s="20" t="n">
        <v>7889</v>
      </c>
      <c r="L226" s="20" t="n">
        <v>18368</v>
      </c>
      <c r="M226" s="20" t="n">
        <v>2884</v>
      </c>
      <c r="N226" s="20" t="n">
        <v>13198</v>
      </c>
      <c r="W226" s="20" t="n">
        <v>9930</v>
      </c>
      <c r="X226" s="20" t="n">
        <v>18368</v>
      </c>
    </row>
    <row r="227">
      <c r="A227" s="43" t="inlineStr">
        <is>
          <t>OPM</t>
        </is>
      </c>
      <c r="B227" s="3" t="inlineStr">
        <is>
          <t>영업이익 ÷ 매출</t>
        </is>
      </c>
      <c r="E227" s="15">
        <f>IF(OR(E226="",E202=""),"",IF(E202&lt;=0,"",IFERROR(E226/E202,"")))</f>
        <v/>
      </c>
      <c r="F227" s="15">
        <f>IF(OR(F226="",F202=""),"",IF(F202&lt;=0,"",IFERROR(F226/F202,"")))</f>
        <v/>
      </c>
      <c r="G227" s="15">
        <f>IF(OR(G226="",G202=""),"",IF(G202&lt;=0,"",IFERROR(G226/G202,"")))</f>
        <v/>
      </c>
      <c r="H227" s="15">
        <f>IF(OR(H226="",H202=""),"",IF(H202&lt;=0,"",IFERROR(H226/H202,"")))</f>
        <v/>
      </c>
      <c r="I227" s="15">
        <f>IF(OR(I226="",I202=""),"",IF(I202&lt;=0,"",IFERROR(I226/I202,"")))</f>
        <v/>
      </c>
      <c r="J227" s="15">
        <f>IF(OR(J226="",J202=""),"",IF(J202&lt;=0,"",IFERROR(J226/J202,"")))</f>
        <v/>
      </c>
      <c r="K227" s="15">
        <f>IF(OR(K226="",K202=""),"",IF(K202&lt;=0,"",IFERROR(K226/K202,"")))</f>
        <v/>
      </c>
      <c r="L227" s="15">
        <f>IF(OR(L226="",L202=""),"",IF(L202&lt;=0,"",IFERROR(L226/L202,"")))</f>
        <v/>
      </c>
      <c r="M227" s="15">
        <f>IF(OR(M226="",M202=""),"",IF(M202&lt;=0,"",IFERROR(M226/M202,"")))</f>
        <v/>
      </c>
      <c r="N227" s="15">
        <f>IF(OR(N226="",N202=""),"",IF(N202&lt;=0,"",IFERROR(N226/N202,"")))</f>
        <v/>
      </c>
      <c r="W227" s="15">
        <f>IF(OR(W226="",W202=""),"",IF(W202&lt;=0,"",IFERROR(W226/W202,"")))</f>
        <v/>
      </c>
      <c r="X227" s="15">
        <f>IF(OR(X226="",X202=""),"",IF(X202&lt;=0,"",IFERROR(X226/X202,"")))</f>
        <v/>
      </c>
    </row>
    <row r="228">
      <c r="A228" s="43" t="inlineStr">
        <is>
          <t>YoY</t>
        </is>
      </c>
      <c r="B228" s="3" t="inlineStr">
        <is>
          <t>전년 같은 분기·전년 대비</t>
        </is>
      </c>
      <c r="G228" s="15">
        <f>IF(OR(G226="",C226=""),"",IF(C226&lt;=0,"",IFERROR(G226/C226-1,"")))</f>
        <v/>
      </c>
      <c r="H228" s="15">
        <f>IF(OR(H226="",D226=""),"",IF(D226&lt;=0,"",IFERROR(H226/D226-1,"")))</f>
        <v/>
      </c>
      <c r="I228" s="15">
        <f>IF(OR(I226="",E226=""),"",IF(E226&lt;=0,"",IFERROR(I226/E226-1,"")))</f>
        <v/>
      </c>
      <c r="J228" s="15">
        <f>IF(OR(J226="",F226=""),"",IF(F226&lt;=0,"",IFERROR(J226/F226-1,"")))</f>
        <v/>
      </c>
      <c r="K228" s="15">
        <f>IF(OR(K226="",G226=""),"",IF(G226&lt;=0,"",IFERROR(K226/G226-1,"")))</f>
        <v/>
      </c>
      <c r="L228" s="15">
        <f>IF(OR(L226="",H226=""),"",IF(H226&lt;=0,"",IFERROR(L226/H226-1,"")))</f>
        <v/>
      </c>
      <c r="M228" s="15">
        <f>IF(OR(M226="",I226=""),"",IF(I226&lt;=0,"",IFERROR(M226/I226-1,"")))</f>
        <v/>
      </c>
      <c r="N228" s="15">
        <f>IF(OR(N226="",J226=""),"",IF(J226&lt;=0,"",IFERROR(N226/J226-1,"")))</f>
        <v/>
      </c>
      <c r="W228" s="15">
        <f>IF(OR(W226="",V226=""),"",IF(V226&lt;=0,"",IFERROR(W226/V226-1,"")))</f>
        <v/>
      </c>
      <c r="X228" s="15">
        <f>IF(OR(X226="",W226=""),"",IF(W226&lt;=0,"",IFERROR(X226/W226-1,"")))</f>
        <v/>
      </c>
    </row>
    <row r="229">
      <c r="A229" s="18" t="inlineStr">
        <is>
          <t>기타 · 부문 이익</t>
        </is>
      </c>
      <c r="E229" s="20" t="n">
        <v>16</v>
      </c>
      <c r="F229" s="20" t="n">
        <v>29</v>
      </c>
      <c r="G229" s="20" t="n">
        <v>-22</v>
      </c>
      <c r="H229" s="20" t="n">
        <v>296</v>
      </c>
      <c r="I229" s="20" t="n">
        <v>31</v>
      </c>
      <c r="J229" s="20" t="n">
        <v>117</v>
      </c>
      <c r="K229" s="20" t="n">
        <v>123</v>
      </c>
      <c r="L229" s="20" t="n">
        <v>382</v>
      </c>
      <c r="M229" s="20" t="n">
        <v>155</v>
      </c>
      <c r="N229" s="20" t="n">
        <v>56</v>
      </c>
      <c r="W229" s="20" t="n">
        <v>296</v>
      </c>
      <c r="X229" s="20" t="n">
        <v>382</v>
      </c>
    </row>
    <row r="230">
      <c r="A230" s="43" t="inlineStr">
        <is>
          <t>OPM</t>
        </is>
      </c>
      <c r="B230" s="3" t="inlineStr">
        <is>
          <t>영업이익 ÷ 매출</t>
        </is>
      </c>
      <c r="E230" s="15">
        <f>IF(OR(E229="",E204=""),"",IF(E204&lt;=0,"",IFERROR(E229/E204,"")))</f>
        <v/>
      </c>
      <c r="F230" s="15">
        <f>IF(OR(F229="",F204=""),"",IF(F204&lt;=0,"",IFERROR(F229/F204,"")))</f>
        <v/>
      </c>
      <c r="G230" s="15">
        <f>IF(OR(G229="",G204=""),"",IF(G204&lt;=0,"",IFERROR(G229/G204,"")))</f>
        <v/>
      </c>
      <c r="H230" s="15">
        <f>IF(OR(H229="",H204=""),"",IF(H204&lt;=0,"",IFERROR(H229/H204,"")))</f>
        <v/>
      </c>
      <c r="I230" s="15">
        <f>IF(OR(I229="",I204=""),"",IF(I204&lt;=0,"",IFERROR(I229/I204,"")))</f>
        <v/>
      </c>
      <c r="J230" s="15">
        <f>IF(OR(J229="",J204=""),"",IF(J204&lt;=0,"",IFERROR(J229/J204,"")))</f>
        <v/>
      </c>
      <c r="K230" s="15">
        <f>IF(OR(K229="",K204=""),"",IF(K204&lt;=0,"",IFERROR(K229/K204,"")))</f>
        <v/>
      </c>
      <c r="L230" s="15">
        <f>IF(OR(L229="",L204=""),"",IF(L204&lt;=0,"",IFERROR(L229/L204,"")))</f>
        <v/>
      </c>
      <c r="M230" s="15">
        <f>IF(OR(M229="",M204=""),"",IF(M204&lt;=0,"",IFERROR(M229/M204,"")))</f>
        <v/>
      </c>
      <c r="N230" s="15">
        <f>IF(OR(N229="",N204=""),"",IF(N204&lt;=0,"",IFERROR(N229/N204,"")))</f>
        <v/>
      </c>
      <c r="W230" s="15">
        <f>IF(OR(W229="",W204=""),"",IF(W204&lt;=0,"",IFERROR(W229/W204,"")))</f>
        <v/>
      </c>
      <c r="X230" s="15">
        <f>IF(OR(X229="",X204=""),"",IF(X204&lt;=0,"",IFERROR(X229/X204,"")))</f>
        <v/>
      </c>
    </row>
    <row r="231">
      <c r="A231" s="43" t="inlineStr">
        <is>
          <t>YoY</t>
        </is>
      </c>
      <c r="B231" s="3" t="inlineStr">
        <is>
          <t>전년 같은 분기·전년 대비</t>
        </is>
      </c>
      <c r="G231" s="15">
        <f>IF(OR(G229="",C229=""),"",IF(C229&lt;=0,"",IFERROR(G229/C229-1,"")))</f>
        <v/>
      </c>
      <c r="H231" s="15">
        <f>IF(OR(H229="",D229=""),"",IF(D229&lt;=0,"",IFERROR(H229/D229-1,"")))</f>
        <v/>
      </c>
      <c r="I231" s="15">
        <f>IF(OR(I229="",E229=""),"",IF(E229&lt;=0,"",IFERROR(I229/E229-1,"")))</f>
        <v/>
      </c>
      <c r="J231" s="15">
        <f>IF(OR(J229="",F229=""),"",IF(F229&lt;=0,"",IFERROR(J229/F229-1,"")))</f>
        <v/>
      </c>
      <c r="K231" s="15">
        <f>IF(OR(K229="",G229=""),"",IF(G229&lt;=0,"",IFERROR(K229/G229-1,"")))</f>
        <v/>
      </c>
      <c r="L231" s="15">
        <f>IF(OR(L229="",H229=""),"",IF(H229&lt;=0,"",IFERROR(L229/H229-1,"")))</f>
        <v/>
      </c>
      <c r="M231" s="15">
        <f>IF(OR(M229="",I229=""),"",IF(I229&lt;=0,"",IFERROR(M229/I229-1,"")))</f>
        <v/>
      </c>
      <c r="N231" s="15">
        <f>IF(OR(N229="",J229=""),"",IF(J229&lt;=0,"",IFERROR(N229/J229-1,"")))</f>
        <v/>
      </c>
      <c r="W231" s="15">
        <f>IF(OR(W229="",V229=""),"",IF(V229&lt;=0,"",IFERROR(W229/V229-1,"")))</f>
        <v/>
      </c>
      <c r="X231" s="15">
        <f>IF(OR(X229="",W229=""),"",IF(W229&lt;=0,"",IFERROR(X229/W229-1,"")))</f>
        <v/>
      </c>
    </row>
    <row r="232">
      <c r="A232" s="18" t="inlineStr">
        <is>
          <t>합계 · 부문 이익</t>
        </is>
      </c>
      <c r="E232" s="20" t="n">
        <v>5464</v>
      </c>
      <c r="F232" s="20" t="n">
        <v>3086</v>
      </c>
      <c r="G232" s="20" t="n">
        <v>11819</v>
      </c>
      <c r="H232" s="20" t="n">
        <v>10226</v>
      </c>
      <c r="I232" s="20" t="n">
        <v>4553</v>
      </c>
      <c r="J232" s="20" t="n">
        <v>5071</v>
      </c>
      <c r="K232" s="20" t="n">
        <v>8012</v>
      </c>
      <c r="L232" s="20" t="n">
        <v>18750</v>
      </c>
      <c r="M232" s="20" t="n">
        <v>3040</v>
      </c>
      <c r="N232" s="20" t="n">
        <v>13253</v>
      </c>
      <c r="W232" s="20" t="n">
        <v>10226</v>
      </c>
      <c r="X232" s="20" t="n">
        <v>18750</v>
      </c>
    </row>
    <row r="233">
      <c r="A233" s="43" t="inlineStr">
        <is>
          <t>OPM</t>
        </is>
      </c>
      <c r="B233" s="3" t="inlineStr">
        <is>
          <t>영업이익 ÷ 매출</t>
        </is>
      </c>
      <c r="E233" s="15">
        <f>IF(OR(E232="",E206=""),"",IF(E206&lt;=0,"",IFERROR(E232/E206,"")))</f>
        <v/>
      </c>
      <c r="F233" s="15">
        <f>IF(OR(F232="",F206=""),"",IF(F206&lt;=0,"",IFERROR(F232/F206,"")))</f>
        <v/>
      </c>
      <c r="G233" s="15">
        <f>IF(OR(G232="",G206=""),"",IF(G206&lt;=0,"",IFERROR(G232/G206,"")))</f>
        <v/>
      </c>
      <c r="H233" s="15">
        <f>IF(OR(H232="",H206=""),"",IF(H206&lt;=0,"",IFERROR(H232/H206,"")))</f>
        <v/>
      </c>
      <c r="I233" s="15">
        <f>IF(OR(I232="",I206=""),"",IF(I206&lt;=0,"",IFERROR(I232/I206,"")))</f>
        <v/>
      </c>
      <c r="J233" s="15">
        <f>IF(OR(J232="",J206=""),"",IF(J206&lt;=0,"",IFERROR(J232/J206,"")))</f>
        <v/>
      </c>
      <c r="K233" s="15">
        <f>IF(OR(K232="",K206=""),"",IF(K206&lt;=0,"",IFERROR(K232/K206,"")))</f>
        <v/>
      </c>
      <c r="L233" s="15">
        <f>IF(OR(L232="",L206=""),"",IF(L206&lt;=0,"",IFERROR(L232/L206,"")))</f>
        <v/>
      </c>
      <c r="M233" s="15">
        <f>IF(OR(M232="",M206=""),"",IF(M206&lt;=0,"",IFERROR(M232/M206,"")))</f>
        <v/>
      </c>
      <c r="N233" s="15">
        <f>IF(OR(N232="",N206=""),"",IF(N206&lt;=0,"",IFERROR(N232/N206,"")))</f>
        <v/>
      </c>
      <c r="W233" s="15">
        <f>IF(OR(W232="",W206=""),"",IF(W206&lt;=0,"",IFERROR(W232/W206,"")))</f>
        <v/>
      </c>
      <c r="X233" s="15">
        <f>IF(OR(X232="",X206=""),"",IF(X206&lt;=0,"",IFERROR(X232/X206,"")))</f>
        <v/>
      </c>
    </row>
    <row r="234">
      <c r="A234" s="43" t="inlineStr">
        <is>
          <t>YoY</t>
        </is>
      </c>
      <c r="B234" s="3" t="inlineStr">
        <is>
          <t>전년 같은 분기·전년 대비</t>
        </is>
      </c>
      <c r="G234" s="15">
        <f>IF(OR(G232="",C232=""),"",IF(C232&lt;=0,"",IFERROR(G232/C232-1,"")))</f>
        <v/>
      </c>
      <c r="H234" s="15">
        <f>IF(OR(H232="",D232=""),"",IF(D232&lt;=0,"",IFERROR(H232/D232-1,"")))</f>
        <v/>
      </c>
      <c r="I234" s="15">
        <f>IF(OR(I232="",E232=""),"",IF(E232&lt;=0,"",IFERROR(I232/E232-1,"")))</f>
        <v/>
      </c>
      <c r="J234" s="15">
        <f>IF(OR(J232="",F232=""),"",IF(F232&lt;=0,"",IFERROR(J232/F232-1,"")))</f>
        <v/>
      </c>
      <c r="K234" s="15">
        <f>IF(OR(K232="",G232=""),"",IF(G232&lt;=0,"",IFERROR(K232/G232-1,"")))</f>
        <v/>
      </c>
      <c r="L234" s="15">
        <f>IF(OR(L232="",H232=""),"",IF(H232&lt;=0,"",IFERROR(L232/H232-1,"")))</f>
        <v/>
      </c>
      <c r="M234" s="15">
        <f>IF(OR(M232="",I232=""),"",IF(I232&lt;=0,"",IFERROR(M232/I232-1,"")))</f>
        <v/>
      </c>
      <c r="N234" s="15">
        <f>IF(OR(N232="",J232=""),"",IF(J232&lt;=0,"",IFERROR(N232/J232-1,"")))</f>
        <v/>
      </c>
      <c r="W234" s="15">
        <f>IF(OR(W232="",V232=""),"",IF(V232&lt;=0,"",IFERROR(W232/V232-1,"")))</f>
        <v/>
      </c>
      <c r="X234" s="15">
        <f>IF(OR(X232="",W232=""),"",IF(W232&lt;=0,"",IFERROR(X232/W232-1,"")))</f>
        <v/>
      </c>
    </row>
    <row r="235">
      <c r="A235" s="18" t="inlineStr">
        <is>
          <t>조정액 · 부문 이익</t>
        </is>
      </c>
      <c r="E235" s="20" t="n">
        <v>-2174</v>
      </c>
      <c r="F235" s="20" t="n">
        <v>-2060</v>
      </c>
      <c r="G235" s="20" t="n">
        <v>-2382</v>
      </c>
      <c r="H235" s="20" t="n">
        <v>-2668</v>
      </c>
      <c r="I235" s="20" t="n">
        <v>-2370</v>
      </c>
      <c r="J235" s="20" t="n">
        <v>-2348</v>
      </c>
      <c r="K235" s="20" t="n">
        <v>-2372</v>
      </c>
      <c r="L235" s="20" t="n">
        <v>-3195</v>
      </c>
      <c r="M235" s="20" t="n">
        <v>-2452</v>
      </c>
      <c r="N235" s="20" t="n">
        <v>-3263</v>
      </c>
      <c r="W235" s="20" t="n">
        <v>-2668</v>
      </c>
      <c r="X235" s="20" t="n">
        <v>-3195</v>
      </c>
    </row>
    <row r="236">
      <c r="A236" s="9" t="inlineStr">
        <is>
          <t>부문 이익</t>
        </is>
      </c>
      <c r="E236" s="12" t="n">
        <v>3289</v>
      </c>
      <c r="F236" s="12" t="n">
        <v>1027</v>
      </c>
      <c r="G236" s="12" t="n">
        <v>9437</v>
      </c>
      <c r="H236" s="12" t="n">
        <v>7558</v>
      </c>
      <c r="I236" s="12" t="n">
        <v>2183</v>
      </c>
      <c r="J236" s="12" t="n">
        <v>2722</v>
      </c>
      <c r="K236" s="12" t="n">
        <v>5641</v>
      </c>
      <c r="L236" s="12" t="n">
        <v>15555</v>
      </c>
      <c r="M236" s="12" t="n">
        <v>588</v>
      </c>
      <c r="N236" s="12" t="n">
        <v>9990</v>
      </c>
      <c r="W236" s="12" t="n">
        <v>7558</v>
      </c>
      <c r="X236" s="12" t="n">
        <v>15555</v>
      </c>
    </row>
    <row r="237">
      <c r="A237" s="43" t="inlineStr">
        <is>
          <t>OPM</t>
        </is>
      </c>
      <c r="B237" s="3" t="inlineStr">
        <is>
          <t>영업이익 ÷ 매출</t>
        </is>
      </c>
      <c r="E237" s="15">
        <f>IF(OR(E236="",E180=""),"",IF(E180&lt;=0,"",IFERROR(E236/E180,"")))</f>
        <v/>
      </c>
      <c r="F237" s="15">
        <f>IF(OR(F236="",F180=""),"",IF(F180&lt;=0,"",IFERROR(F236/F180,"")))</f>
        <v/>
      </c>
      <c r="G237" s="15">
        <f>IF(OR(G236="",G180=""),"",IF(G180&lt;=0,"",IFERROR(G236/G180,"")))</f>
        <v/>
      </c>
      <c r="H237" s="15">
        <f>IF(OR(H236="",H180=""),"",IF(H180&lt;=0,"",IFERROR(H236/H180,"")))</f>
        <v/>
      </c>
      <c r="I237" s="15">
        <f>IF(OR(I236="",I180=""),"",IF(I180&lt;=0,"",IFERROR(I236/I180,"")))</f>
        <v/>
      </c>
      <c r="J237" s="15">
        <f>IF(OR(J236="",J180=""),"",IF(J180&lt;=0,"",IFERROR(J236/J180,"")))</f>
        <v/>
      </c>
      <c r="K237" s="15">
        <f>IF(OR(K236="",K180=""),"",IF(K180&lt;=0,"",IFERROR(K236/K180,"")))</f>
        <v/>
      </c>
      <c r="L237" s="15">
        <f>IF(OR(L236="",L180=""),"",IF(L180&lt;=0,"",IFERROR(L236/L180,"")))</f>
        <v/>
      </c>
      <c r="M237" s="15">
        <f>IF(OR(M236="",M180=""),"",IF(M180&lt;=0,"",IFERROR(M236/M180,"")))</f>
        <v/>
      </c>
      <c r="N237" s="15">
        <f>IF(OR(N236="",N180=""),"",IF(N180&lt;=0,"",IFERROR(N236/N180,"")))</f>
        <v/>
      </c>
      <c r="W237" s="15">
        <f>IF(OR(W236="",W180=""),"",IF(W180&lt;=0,"",IFERROR(W236/W180,"")))</f>
        <v/>
      </c>
      <c r="X237" s="15">
        <f>IF(OR(X236="",X180=""),"",IF(X180&lt;=0,"",IFERROR(X236/X180,"")))</f>
        <v/>
      </c>
    </row>
    <row r="238">
      <c r="A238" s="43" t="inlineStr">
        <is>
          <t>YoY</t>
        </is>
      </c>
      <c r="B238" s="3" t="inlineStr">
        <is>
          <t>전년 같은 분기·전년 대비</t>
        </is>
      </c>
      <c r="G238" s="15">
        <f>IF(OR(G236="",C236=""),"",IF(C236&lt;=0,"",IFERROR(G236/C236-1,"")))</f>
        <v/>
      </c>
      <c r="H238" s="15">
        <f>IF(OR(H236="",D236=""),"",IF(D236&lt;=0,"",IFERROR(H236/D236-1,"")))</f>
        <v/>
      </c>
      <c r="I238" s="15">
        <f>IF(OR(I236="",E236=""),"",IF(E236&lt;=0,"",IFERROR(I236/E236-1,"")))</f>
        <v/>
      </c>
      <c r="J238" s="15">
        <f>IF(OR(J236="",F236=""),"",IF(F236&lt;=0,"",IFERROR(J236/F236-1,"")))</f>
        <v/>
      </c>
      <c r="K238" s="15">
        <f>IF(OR(K236="",G236=""),"",IF(G236&lt;=0,"",IFERROR(K236/G236-1,"")))</f>
        <v/>
      </c>
      <c r="L238" s="15">
        <f>IF(OR(L236="",H236=""),"",IF(H236&lt;=0,"",IFERROR(L236/H236-1,"")))</f>
        <v/>
      </c>
      <c r="M238" s="15">
        <f>IF(OR(M236="",I236=""),"",IF(I236&lt;=0,"",IFERROR(M236/I236-1,"")))</f>
        <v/>
      </c>
      <c r="N238" s="15">
        <f>IF(OR(N236="",J236=""),"",IF(J236&lt;=0,"",IFERROR(N236/J236-1,"")))</f>
        <v/>
      </c>
      <c r="W238" s="15">
        <f>IF(OR(W236="",V236=""),"",IF(V236&lt;=0,"",IFERROR(W236/V236-1,"")))</f>
        <v/>
      </c>
      <c r="X238" s="15">
        <f>IF(OR(X236="",W236=""),"",IF(W236&lt;=0,"",IFERROR(X236/W236-1,"")))</f>
        <v/>
      </c>
    </row>
    <row r="240">
      <c r="A240" s="16" t="inlineStr">
        <is>
          <t>현금흐름표 · 전 항목</t>
        </is>
      </c>
      <c r="B240" s="42" t="inlineStr">
        <is>
          <t>분기 = 결산기 첫날부터 누계(공시 그대로)</t>
        </is>
      </c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  <c r="AA240" s="16" t="n"/>
      <c r="AB240" s="16" t="n"/>
      <c r="AC240" s="16" t="n"/>
    </row>
    <row r="241">
      <c r="A241" s="5" t="inlineStr">
        <is>
          <t>항목</t>
        </is>
      </c>
      <c r="B241" s="5" t="inlineStr">
        <is>
          <t>참고</t>
        </is>
      </c>
      <c r="C241" s="5" t="inlineStr">
        <is>
          <t>2024.3Q</t>
        </is>
      </c>
      <c r="D241" s="5" t="inlineStr">
        <is>
          <t>2024.4Q</t>
        </is>
      </c>
      <c r="E241" s="5" t="inlineStr">
        <is>
          <t>2025.1Q</t>
        </is>
      </c>
      <c r="F241" s="5" t="inlineStr">
        <is>
          <t>2025.2Q</t>
        </is>
      </c>
      <c r="G241" s="5" t="inlineStr">
        <is>
          <t>2025.3Q</t>
        </is>
      </c>
      <c r="H241" s="5" t="inlineStr">
        <is>
          <t>2025.4Q</t>
        </is>
      </c>
      <c r="I241" s="5" t="inlineStr">
        <is>
          <t>2026.1Q</t>
        </is>
      </c>
      <c r="J241" s="5" t="inlineStr">
        <is>
          <t>2026.2Q</t>
        </is>
      </c>
      <c r="K241" s="5" t="inlineStr">
        <is>
          <t>2026.3Q</t>
        </is>
      </c>
      <c r="L241" s="5" t="inlineStr">
        <is>
          <t>2026.4Q</t>
        </is>
      </c>
      <c r="M241" s="5" t="inlineStr">
        <is>
          <t>2027.1Q</t>
        </is>
      </c>
      <c r="N241" s="5" t="inlineStr">
        <is>
          <t>2027.2Q</t>
        </is>
      </c>
      <c r="O241" s="5" t="inlineStr">
        <is>
          <t>2017</t>
        </is>
      </c>
      <c r="P241" s="5" t="inlineStr">
        <is>
          <t>2018</t>
        </is>
      </c>
      <c r="Q241" s="5" t="inlineStr">
        <is>
          <t>2019</t>
        </is>
      </c>
      <c r="R241" s="5" t="inlineStr">
        <is>
          <t>2020</t>
        </is>
      </c>
      <c r="S241" s="5" t="inlineStr">
        <is>
          <t>2021</t>
        </is>
      </c>
      <c r="T241" s="5" t="inlineStr">
        <is>
          <t>2022</t>
        </is>
      </c>
      <c r="U241" s="5" t="inlineStr">
        <is>
          <t>2023</t>
        </is>
      </c>
      <c r="V241" s="5" t="inlineStr">
        <is>
          <t>2024</t>
        </is>
      </c>
      <c r="W241" s="5" t="inlineStr">
        <is>
          <t>2025</t>
        </is>
      </c>
      <c r="X241" s="5" t="inlineStr">
        <is>
          <t>2026</t>
        </is>
      </c>
      <c r="Y241" s="5" t="inlineStr">
        <is>
          <t>2027(MW)</t>
        </is>
      </c>
      <c r="Z241" s="5" t="inlineStr">
        <is>
          <t>2028(MW)</t>
        </is>
      </c>
      <c r="AA241" s="5" t="inlineStr">
        <is>
          <t>2029(MW)</t>
        </is>
      </c>
      <c r="AB241" s="5" t="inlineStr">
        <is>
          <t>2030(MW)</t>
        </is>
      </c>
      <c r="AC241" s="5" t="inlineStr">
        <is>
          <t>2031(MW)</t>
        </is>
      </c>
    </row>
    <row r="242">
      <c r="A242" s="9" t="inlineStr">
        <is>
          <t>법인세차감전 순이익</t>
        </is>
      </c>
      <c r="F242" s="12" t="n">
        <v>2631</v>
      </c>
      <c r="H242" s="12" t="n">
        <v>17161</v>
      </c>
      <c r="J242" s="12" t="n">
        <v>2936</v>
      </c>
      <c r="L242" s="12" t="n">
        <v>17735</v>
      </c>
      <c r="N242" s="12" t="n">
        <v>7303</v>
      </c>
      <c r="O242" s="12" t="n">
        <v>6232</v>
      </c>
      <c r="P242" s="12" t="n">
        <v>10445</v>
      </c>
      <c r="Q242" s="12" t="n">
        <v>11803</v>
      </c>
      <c r="R242" s="12" t="n">
        <v>11164</v>
      </c>
      <c r="S242" s="12" t="n">
        <v>9099</v>
      </c>
      <c r="T242" s="12" t="n">
        <v>10290</v>
      </c>
      <c r="U242" s="12" t="n">
        <v>14891</v>
      </c>
      <c r="W242" s="12" t="n">
        <v>17161</v>
      </c>
      <c r="X242" s="12" t="n">
        <v>17735</v>
      </c>
    </row>
    <row r="243">
      <c r="A243" s="18" t="inlineStr">
        <is>
          <t>감가상각비</t>
        </is>
      </c>
      <c r="F243" s="20" t="n">
        <v>867</v>
      </c>
      <c r="H243" s="20" t="n">
        <v>1765</v>
      </c>
      <c r="J243" s="20" t="n">
        <v>988</v>
      </c>
      <c r="L243" s="20" t="n">
        <v>2017</v>
      </c>
      <c r="N243" s="20" t="n">
        <v>1106</v>
      </c>
      <c r="O243" s="20" t="n">
        <v>186</v>
      </c>
      <c r="P243" s="20" t="n">
        <v>80</v>
      </c>
      <c r="Q243" s="20" t="n">
        <v>176</v>
      </c>
      <c r="R243" s="20" t="n">
        <v>399</v>
      </c>
      <c r="S243" s="20" t="n">
        <v>706</v>
      </c>
      <c r="T243" s="20" t="n">
        <v>1256</v>
      </c>
      <c r="U243" s="20" t="n">
        <v>1498</v>
      </c>
      <c r="W243" s="20" t="n">
        <v>1765</v>
      </c>
      <c r="X243" s="20" t="n">
        <v>2017</v>
      </c>
    </row>
    <row r="244">
      <c r="A244" s="18" t="inlineStr">
        <is>
          <t>손상차손</t>
        </is>
      </c>
      <c r="H244" s="20" t="n">
        <v>0</v>
      </c>
      <c r="O244" s="20" t="n">
        <v>150</v>
      </c>
      <c r="P244" s="20" t="n">
        <v>47</v>
      </c>
      <c r="Q244" s="20" t="n">
        <v>0</v>
      </c>
      <c r="S244" s="20" t="n">
        <v>0</v>
      </c>
      <c r="T244" s="20" t="n">
        <v>1760</v>
      </c>
      <c r="W244" s="20" t="n">
        <v>0</v>
      </c>
    </row>
    <row r="245">
      <c r="A245" s="18" t="inlineStr">
        <is>
          <t>영업권 상각</t>
        </is>
      </c>
      <c r="F245" s="20" t="n">
        <v>472</v>
      </c>
      <c r="H245" s="20" t="n">
        <v>920</v>
      </c>
      <c r="J245" s="20" t="n">
        <v>448</v>
      </c>
      <c r="L245" s="20" t="n">
        <v>896</v>
      </c>
      <c r="N245" s="20" t="n">
        <v>447</v>
      </c>
      <c r="P245" s="20" t="n">
        <v>0</v>
      </c>
      <c r="Q245" s="20" t="n">
        <v>48</v>
      </c>
      <c r="R245" s="20" t="n">
        <v>100</v>
      </c>
      <c r="S245" s="20" t="n">
        <v>237</v>
      </c>
      <c r="T245" s="20" t="n">
        <v>522</v>
      </c>
      <c r="U245" s="20" t="n">
        <v>797</v>
      </c>
      <c r="W245" s="20" t="n">
        <v>920</v>
      </c>
      <c r="X245" s="20" t="n">
        <v>896</v>
      </c>
    </row>
    <row r="246">
      <c r="A246" s="18" t="inlineStr">
        <is>
          <t>부의 영업권 발생이익</t>
        </is>
      </c>
      <c r="F246" s="20" t="n">
        <v>0</v>
      </c>
      <c r="H246" s="20" t="n">
        <v>0</v>
      </c>
      <c r="J246" s="20" t="n">
        <v>-86</v>
      </c>
      <c r="L246" s="20" t="n">
        <v>-86</v>
      </c>
      <c r="N246" s="20" t="n">
        <v>-265</v>
      </c>
      <c r="W246" s="20" t="n">
        <v>0</v>
      </c>
      <c r="X246" s="20" t="n">
        <v>-86</v>
      </c>
    </row>
    <row r="247">
      <c r="A247" s="18" t="inlineStr">
        <is>
          <t>장기선급비용 상각액</t>
        </is>
      </c>
      <c r="F247" s="20" t="n">
        <v>13</v>
      </c>
      <c r="H247" s="20" t="n">
        <v>26</v>
      </c>
      <c r="J247" s="20" t="n">
        <v>13</v>
      </c>
      <c r="L247" s="20" t="n">
        <v>31</v>
      </c>
      <c r="N247" s="20" t="n">
        <v>19</v>
      </c>
      <c r="Q247" s="20" t="n">
        <v>0</v>
      </c>
      <c r="R247" s="20" t="n">
        <v>4</v>
      </c>
      <c r="S247" s="20" t="n">
        <v>27</v>
      </c>
      <c r="T247" s="20" t="n">
        <v>24</v>
      </c>
      <c r="U247" s="20" t="n">
        <v>16</v>
      </c>
      <c r="W247" s="20" t="n">
        <v>26</v>
      </c>
      <c r="X247" s="20" t="n">
        <v>31</v>
      </c>
    </row>
    <row r="248">
      <c r="A248" s="18" t="inlineStr">
        <is>
          <t>주식교부비 상각</t>
        </is>
      </c>
      <c r="F248" s="20" t="n">
        <v>0</v>
      </c>
      <c r="H248" s="20" t="n">
        <v>0</v>
      </c>
      <c r="R248" s="20" t="n">
        <v>0</v>
      </c>
      <c r="S248" s="20" t="n">
        <v>27</v>
      </c>
      <c r="T248" s="20" t="n">
        <v>36</v>
      </c>
      <c r="U248" s="20" t="n">
        <v>36</v>
      </c>
      <c r="W248" s="20" t="n">
        <v>0</v>
      </c>
    </row>
    <row r="249">
      <c r="A249" s="18" t="inlineStr">
        <is>
          <t>사채발행비 상각</t>
        </is>
      </c>
      <c r="F249" s="20" t="n">
        <v>2</v>
      </c>
      <c r="H249" s="20" t="n">
        <v>6</v>
      </c>
      <c r="J249" s="20" t="n">
        <v>6</v>
      </c>
      <c r="L249" s="20" t="n">
        <v>16</v>
      </c>
      <c r="N249" s="20" t="n">
        <v>12</v>
      </c>
      <c r="W249" s="20" t="n">
        <v>6</v>
      </c>
      <c r="X249" s="20" t="n">
        <v>16</v>
      </c>
    </row>
    <row r="250">
      <c r="A250" s="18" t="inlineStr">
        <is>
          <t>과태금 손실</t>
        </is>
      </c>
      <c r="H250" s="20" t="n">
        <v>0</v>
      </c>
      <c r="T250" s="20" t="n">
        <v>0</v>
      </c>
      <c r="U250" s="20" t="n">
        <v>275</v>
      </c>
      <c r="W250" s="20" t="n">
        <v>0</v>
      </c>
    </row>
    <row r="251">
      <c r="A251" s="18" t="inlineStr">
        <is>
          <t>대손충당금 증감</t>
        </is>
      </c>
      <c r="F251" s="20" t="n">
        <v>-1</v>
      </c>
      <c r="H251" s="20" t="n">
        <v>-1</v>
      </c>
      <c r="J251" s="20" t="n">
        <v>0</v>
      </c>
      <c r="L251" s="20" t="n">
        <v>0</v>
      </c>
      <c r="N251" s="20" t="n">
        <v>0</v>
      </c>
      <c r="O251" s="20" t="n">
        <v>-73</v>
      </c>
      <c r="P251" s="20" t="n">
        <v>33</v>
      </c>
      <c r="Q251" s="20" t="n">
        <v>0</v>
      </c>
      <c r="R251" s="20" t="n">
        <v>0</v>
      </c>
      <c r="S251" s="20" t="n">
        <v>-0</v>
      </c>
      <c r="T251" s="20" t="n">
        <v>1484</v>
      </c>
      <c r="U251" s="20" t="n">
        <v>-0</v>
      </c>
      <c r="W251" s="20" t="n">
        <v>-1</v>
      </c>
      <c r="X251" s="20" t="n">
        <v>0</v>
      </c>
    </row>
    <row r="252">
      <c r="A252" s="18" t="inlineStr">
        <is>
          <t>임원 주식급여 충당금 증감</t>
        </is>
      </c>
      <c r="O252" s="20" t="n">
        <v>28</v>
      </c>
      <c r="P252" s="20" t="n">
        <v>15</v>
      </c>
      <c r="Q252" s="20" t="n">
        <v>16</v>
      </c>
    </row>
    <row r="253">
      <c r="A253" s="18" t="inlineStr">
        <is>
          <t>주식급여 충당금 증감</t>
        </is>
      </c>
      <c r="O253" s="20" t="n">
        <v>5</v>
      </c>
      <c r="P253" s="20" t="n">
        <v>12</v>
      </c>
      <c r="Q253" s="20" t="n">
        <v>5</v>
      </c>
    </row>
    <row r="254">
      <c r="A254" s="18" t="inlineStr">
        <is>
          <t>임원 주식급여 충당금 증감</t>
        </is>
      </c>
      <c r="F254" s="20" t="n">
        <v>-17</v>
      </c>
      <c r="H254" s="20" t="n">
        <v>2</v>
      </c>
      <c r="J254" s="20" t="n">
        <v>-1</v>
      </c>
      <c r="L254" s="20" t="n">
        <v>64</v>
      </c>
      <c r="N254" s="20" t="n">
        <v>0</v>
      </c>
      <c r="Q254" s="20" t="n">
        <v>16</v>
      </c>
      <c r="R254" s="20" t="n">
        <v>21</v>
      </c>
      <c r="S254" s="20" t="n">
        <v>0</v>
      </c>
      <c r="T254" s="20" t="n">
        <v>50</v>
      </c>
      <c r="U254" s="20" t="n">
        <v>25</v>
      </c>
      <c r="W254" s="20" t="n">
        <v>2</v>
      </c>
      <c r="X254" s="20" t="n">
        <v>64</v>
      </c>
    </row>
    <row r="255">
      <c r="A255" s="18" t="inlineStr">
        <is>
          <t>주식급여 충당금 증감</t>
        </is>
      </c>
      <c r="F255" s="20" t="n">
        <v>-0</v>
      </c>
      <c r="H255" s="20" t="n">
        <v>11</v>
      </c>
      <c r="J255" s="20" t="n">
        <v>15</v>
      </c>
      <c r="L255" s="20" t="n">
        <v>23</v>
      </c>
      <c r="N255" s="20" t="n">
        <v>12</v>
      </c>
      <c r="Q255" s="20" t="n">
        <v>5</v>
      </c>
      <c r="R255" s="20" t="n">
        <v>10</v>
      </c>
      <c r="S255" s="20" t="n">
        <v>10</v>
      </c>
      <c r="T255" s="20" t="n">
        <v>52</v>
      </c>
      <c r="U255" s="20" t="n">
        <v>1</v>
      </c>
      <c r="W255" s="20" t="n">
        <v>11</v>
      </c>
      <c r="X255" s="20" t="n">
        <v>23</v>
      </c>
    </row>
    <row r="256">
      <c r="A256" s="18" t="inlineStr">
        <is>
          <t>이자·배당금 수익</t>
        </is>
      </c>
      <c r="F256" s="20" t="n">
        <v>-68</v>
      </c>
      <c r="H256" s="20" t="n">
        <v>-149</v>
      </c>
      <c r="J256" s="20" t="n">
        <v>-111</v>
      </c>
      <c r="L256" s="20" t="n">
        <v>-278</v>
      </c>
      <c r="N256" s="20" t="n">
        <v>-154</v>
      </c>
      <c r="O256" s="20" t="n">
        <v>-2</v>
      </c>
      <c r="P256" s="20" t="n">
        <v>-2</v>
      </c>
      <c r="Q256" s="20" t="n">
        <v>-40</v>
      </c>
      <c r="R256" s="20" t="n">
        <v>-109</v>
      </c>
      <c r="S256" s="20" t="n">
        <v>-111</v>
      </c>
      <c r="T256" s="20" t="n">
        <v>-132</v>
      </c>
      <c r="U256" s="20" t="n">
        <v>-157</v>
      </c>
      <c r="W256" s="20" t="n">
        <v>-149</v>
      </c>
      <c r="X256" s="20" t="n">
        <v>-278</v>
      </c>
    </row>
    <row r="257">
      <c r="A257" s="18" t="inlineStr">
        <is>
          <t>이자비용</t>
        </is>
      </c>
      <c r="F257" s="20" t="n">
        <v>1574</v>
      </c>
      <c r="H257" s="20" t="n">
        <v>3685</v>
      </c>
      <c r="J257" s="20" t="n">
        <v>2575</v>
      </c>
      <c r="L257" s="20" t="n">
        <v>5439</v>
      </c>
      <c r="N257" s="20" t="n">
        <v>3612</v>
      </c>
      <c r="O257" s="20" t="n">
        <v>1093</v>
      </c>
      <c r="P257" s="20" t="n">
        <v>1020</v>
      </c>
      <c r="Q257" s="20" t="n">
        <v>1143</v>
      </c>
      <c r="R257" s="20" t="n">
        <v>1047</v>
      </c>
      <c r="S257" s="20" t="n">
        <v>1463</v>
      </c>
      <c r="T257" s="20" t="n">
        <v>1895</v>
      </c>
      <c r="U257" s="20" t="n">
        <v>1999</v>
      </c>
      <c r="W257" s="20" t="n">
        <v>3685</v>
      </c>
      <c r="X257" s="20" t="n">
        <v>5439</v>
      </c>
    </row>
    <row r="258">
      <c r="A258" s="18" t="inlineStr">
        <is>
          <t>주식교부비</t>
        </is>
      </c>
      <c r="O258" s="20" t="n">
        <v>0</v>
      </c>
    </row>
    <row r="259">
      <c r="A259" s="18" t="inlineStr">
        <is>
          <t>외환차손익</t>
        </is>
      </c>
      <c r="F259" s="20" t="n">
        <v>112</v>
      </c>
      <c r="H259" s="20" t="n">
        <v>-15</v>
      </c>
      <c r="J259" s="20" t="n">
        <v>-42</v>
      </c>
      <c r="L259" s="20" t="n">
        <v>-325</v>
      </c>
      <c r="N259" s="20" t="n">
        <v>90</v>
      </c>
      <c r="P259" s="20" t="n">
        <v>0</v>
      </c>
      <c r="Q259" s="20" t="n">
        <v>-8</v>
      </c>
      <c r="R259" s="20" t="n">
        <v>31</v>
      </c>
      <c r="S259" s="20" t="n">
        <v>-73</v>
      </c>
      <c r="T259" s="20" t="n">
        <v>-287</v>
      </c>
      <c r="U259" s="20" t="n">
        <v>-197</v>
      </c>
      <c r="W259" s="20" t="n">
        <v>-15</v>
      </c>
      <c r="X259" s="20" t="n">
        <v>-325</v>
      </c>
    </row>
    <row r="260">
      <c r="A260" s="18" t="inlineStr">
        <is>
          <t>지분법손익</t>
        </is>
      </c>
      <c r="F260" s="20" t="n">
        <v>127</v>
      </c>
      <c r="H260" s="20" t="n">
        <v>426</v>
      </c>
      <c r="J260" s="20" t="n">
        <v>244</v>
      </c>
      <c r="L260" s="20" t="n">
        <v>4227</v>
      </c>
      <c r="N260" s="20" t="n">
        <v>177</v>
      </c>
      <c r="P260" s="20" t="n">
        <v>0</v>
      </c>
      <c r="Q260" s="20" t="n">
        <v>33</v>
      </c>
      <c r="R260" s="20" t="n">
        <v>109</v>
      </c>
      <c r="S260" s="20" t="n">
        <v>-54</v>
      </c>
      <c r="T260" s="20" t="n">
        <v>16</v>
      </c>
      <c r="U260" s="20" t="n">
        <v>87</v>
      </c>
      <c r="W260" s="20" t="n">
        <v>426</v>
      </c>
      <c r="X260" s="20" t="n">
        <v>4227</v>
      </c>
    </row>
    <row r="261">
      <c r="A261" s="18" t="inlineStr">
        <is>
          <t>고정자산 매각손익</t>
        </is>
      </c>
      <c r="H261" s="20" t="n">
        <v>0</v>
      </c>
      <c r="J261" s="20" t="n">
        <v>0</v>
      </c>
      <c r="L261" s="20" t="n">
        <v>-0</v>
      </c>
      <c r="N261" s="20" t="n">
        <v>0</v>
      </c>
      <c r="O261" s="20" t="n">
        <v>-372</v>
      </c>
      <c r="P261" s="20" t="n">
        <v>0</v>
      </c>
      <c r="Q261" s="20" t="n">
        <v>0</v>
      </c>
      <c r="R261" s="20" t="n">
        <v>-0</v>
      </c>
      <c r="S261" s="20" t="n">
        <v>-0</v>
      </c>
      <c r="T261" s="20" t="n">
        <v>0</v>
      </c>
      <c r="W261" s="20" t="n">
        <v>0</v>
      </c>
      <c r="X261" s="20" t="n">
        <v>-0</v>
      </c>
    </row>
    <row r="262">
      <c r="A262" s="18" t="inlineStr">
        <is>
          <t>고정자산 제각손실</t>
        </is>
      </c>
      <c r="F262" s="20" t="n">
        <v>0</v>
      </c>
      <c r="H262" s="20" t="n">
        <v>0</v>
      </c>
      <c r="J262" s="20" t="n">
        <v>0</v>
      </c>
      <c r="L262" s="20" t="n">
        <v>12</v>
      </c>
      <c r="N262" s="20" t="n">
        <v>6</v>
      </c>
      <c r="O262" s="20" t="n">
        <v>0</v>
      </c>
      <c r="P262" s="20" t="n">
        <v>5</v>
      </c>
      <c r="Q262" s="20" t="n">
        <v>7</v>
      </c>
      <c r="R262" s="20" t="n">
        <v>0</v>
      </c>
      <c r="S262" s="20" t="n">
        <v>0</v>
      </c>
      <c r="T262" s="20" t="n">
        <v>0</v>
      </c>
      <c r="U262" s="20" t="n">
        <v>0</v>
      </c>
      <c r="W262" s="20" t="n">
        <v>0</v>
      </c>
      <c r="X262" s="20" t="n">
        <v>12</v>
      </c>
    </row>
    <row r="263">
      <c r="A263" s="18" t="inlineStr">
        <is>
          <t>매출채권 증감</t>
        </is>
      </c>
      <c r="O263" s="20" t="n">
        <v>-211</v>
      </c>
      <c r="P263" s="20" t="n">
        <v>5</v>
      </c>
      <c r="Q263" s="20" t="n">
        <v>-84</v>
      </c>
      <c r="R263" s="20" t="n">
        <v>-329</v>
      </c>
      <c r="S263" s="20" t="n">
        <v>107</v>
      </c>
      <c r="T263" s="20" t="n">
        <v>0</v>
      </c>
    </row>
    <row r="264">
      <c r="A264" s="18" t="inlineStr">
        <is>
          <t>매출채권·계약자산 증감</t>
        </is>
      </c>
      <c r="S264" s="20" t="n">
        <v>0</v>
      </c>
      <c r="T264" s="20" t="n">
        <v>-259</v>
      </c>
      <c r="U264" s="20" t="n">
        <v>131</v>
      </c>
    </row>
    <row r="265">
      <c r="A265" s="18" t="inlineStr">
        <is>
          <t>지분변동손익</t>
        </is>
      </c>
      <c r="F265" s="20" t="n">
        <v>0</v>
      </c>
      <c r="H265" s="20" t="n">
        <v>0</v>
      </c>
      <c r="J265" s="20" t="n">
        <v>-253</v>
      </c>
      <c r="L265" s="20" t="n">
        <v>-253</v>
      </c>
      <c r="N265" s="20" t="n">
        <v>0</v>
      </c>
      <c r="W265" s="20" t="n">
        <v>0</v>
      </c>
      <c r="X265" s="20" t="n">
        <v>-253</v>
      </c>
    </row>
    <row r="266">
      <c r="A266" s="18" t="inlineStr">
        <is>
          <t>투자유가증권 매각손익</t>
        </is>
      </c>
      <c r="F266" s="20" t="n">
        <v>0</v>
      </c>
      <c r="H266" s="20" t="n">
        <v>0</v>
      </c>
      <c r="J266" s="20" t="n">
        <v>-24</v>
      </c>
      <c r="L266" s="20" t="n">
        <v>-24</v>
      </c>
      <c r="N266" s="20" t="n">
        <v>-166</v>
      </c>
      <c r="W266" s="20" t="n">
        <v>0</v>
      </c>
      <c r="X266" s="20" t="n">
        <v>-24</v>
      </c>
    </row>
    <row r="267">
      <c r="A267" s="18" t="inlineStr">
        <is>
          <t>투자유가증권 평가손익</t>
        </is>
      </c>
      <c r="H267" s="20" t="n">
        <v>158</v>
      </c>
      <c r="L267" s="20" t="n">
        <v>0</v>
      </c>
      <c r="O267" s="20" t="n">
        <v>0</v>
      </c>
      <c r="W267" s="20" t="n">
        <v>158</v>
      </c>
      <c r="X267" s="20" t="n">
        <v>0</v>
      </c>
    </row>
    <row r="268">
      <c r="A268" s="18" t="inlineStr">
        <is>
          <t>관계회사 주식 매각손익</t>
        </is>
      </c>
      <c r="F268" s="20" t="n">
        <v>0</v>
      </c>
      <c r="H268" s="20" t="n">
        <v>0</v>
      </c>
      <c r="J268" s="20" t="n">
        <v>-191</v>
      </c>
      <c r="L268" s="20" t="n">
        <v>-191</v>
      </c>
      <c r="N268" s="20" t="n">
        <v>0</v>
      </c>
      <c r="O268" s="20" t="n">
        <v>-22</v>
      </c>
      <c r="P268" s="20" t="n">
        <v>0</v>
      </c>
      <c r="S268" s="20" t="n">
        <v>0</v>
      </c>
      <c r="T268" s="20" t="n">
        <v>-205</v>
      </c>
      <c r="W268" s="20" t="n">
        <v>0</v>
      </c>
      <c r="X268" s="20" t="n">
        <v>-191</v>
      </c>
    </row>
    <row r="269">
      <c r="A269" s="18" t="inlineStr">
        <is>
          <t>손해배상 손실</t>
        </is>
      </c>
      <c r="S269" s="20" t="n">
        <v>0</v>
      </c>
      <c r="T269" s="20" t="n">
        <v>682</v>
      </c>
    </row>
    <row r="270">
      <c r="A270" s="18" t="inlineStr">
        <is>
          <t>매출채권·계약자산 증감</t>
        </is>
      </c>
      <c r="F270" s="20" t="n">
        <v>25</v>
      </c>
      <c r="H270" s="20" t="n">
        <v>-240</v>
      </c>
      <c r="J270" s="20" t="n">
        <v>-97</v>
      </c>
      <c r="L270" s="20" t="n">
        <v>-216</v>
      </c>
      <c r="N270" s="20" t="n">
        <v>133</v>
      </c>
      <c r="T270" s="20" t="n">
        <v>-259</v>
      </c>
      <c r="W270" s="20" t="n">
        <v>-240</v>
      </c>
      <c r="X270" s="20" t="n">
        <v>-216</v>
      </c>
    </row>
    <row r="271">
      <c r="A271" s="18" t="inlineStr">
        <is>
          <t>재고자산 증감</t>
        </is>
      </c>
      <c r="F271" s="20" t="n">
        <v>-36421</v>
      </c>
      <c r="H271" s="20" t="n">
        <v>-46063</v>
      </c>
      <c r="J271" s="20" t="n">
        <v>-371</v>
      </c>
      <c r="L271" s="20" t="n">
        <v>-5116</v>
      </c>
      <c r="N271" s="20" t="n">
        <v>-11051</v>
      </c>
      <c r="O271" s="20" t="n">
        <v>-18943</v>
      </c>
      <c r="P271" s="20" t="n">
        <v>-16489</v>
      </c>
      <c r="Q271" s="20" t="n">
        <v>-10179</v>
      </c>
      <c r="R271" s="20" t="n">
        <v>-4370</v>
      </c>
      <c r="S271" s="20" t="n">
        <v>-19306</v>
      </c>
      <c r="T271" s="20" t="n">
        <v>-11104</v>
      </c>
      <c r="U271" s="20" t="n">
        <v>-54183</v>
      </c>
      <c r="W271" s="20" t="n">
        <v>-46063</v>
      </c>
      <c r="X271" s="20" t="n">
        <v>-5116</v>
      </c>
    </row>
    <row r="272">
      <c r="A272" s="18" t="inlineStr">
        <is>
          <t>선급비용 증감</t>
        </is>
      </c>
      <c r="F272" s="20" t="n">
        <v>-1000</v>
      </c>
      <c r="H272" s="20" t="n">
        <v>774</v>
      </c>
      <c r="J272" s="20" t="n">
        <v>-1178</v>
      </c>
      <c r="L272" s="20" t="n">
        <v>-1463</v>
      </c>
      <c r="N272" s="20" t="n">
        <v>-940</v>
      </c>
      <c r="O272" s="20" t="n">
        <v>-529</v>
      </c>
      <c r="P272" s="20" t="n">
        <v>-475</v>
      </c>
      <c r="Q272" s="20" t="n">
        <v>55</v>
      </c>
      <c r="R272" s="20" t="n">
        <v>-381</v>
      </c>
      <c r="S272" s="20" t="n">
        <v>-894</v>
      </c>
      <c r="T272" s="20" t="n">
        <v>-16</v>
      </c>
      <c r="U272" s="20" t="n">
        <v>-65</v>
      </c>
      <c r="W272" s="20" t="n">
        <v>774</v>
      </c>
      <c r="X272" s="20" t="n">
        <v>-1463</v>
      </c>
    </row>
    <row r="273">
      <c r="A273" s="18" t="inlineStr">
        <is>
          <t>미지급금 증감</t>
        </is>
      </c>
      <c r="F273" s="20" t="n">
        <v>-884</v>
      </c>
      <c r="H273" s="20" t="n">
        <v>1620</v>
      </c>
      <c r="J273" s="20" t="n">
        <v>-1916</v>
      </c>
      <c r="L273" s="20" t="n">
        <v>574</v>
      </c>
      <c r="N273" s="20" t="n">
        <v>-2500</v>
      </c>
      <c r="O273" s="20" t="n">
        <v>532</v>
      </c>
      <c r="P273" s="20" t="n">
        <v>111</v>
      </c>
      <c r="Q273" s="20" t="n">
        <v>135</v>
      </c>
      <c r="R273" s="20" t="n">
        <v>-358</v>
      </c>
      <c r="S273" s="20" t="n">
        <v>366</v>
      </c>
      <c r="T273" s="20" t="n">
        <v>1408</v>
      </c>
      <c r="U273" s="20" t="n">
        <v>-2523</v>
      </c>
      <c r="W273" s="20" t="n">
        <v>1620</v>
      </c>
      <c r="X273" s="20" t="n">
        <v>574</v>
      </c>
    </row>
    <row r="274">
      <c r="A274" s="18" t="inlineStr">
        <is>
          <t>미지급·미수 소비세 등 증감액</t>
        </is>
      </c>
      <c r="F274" s="20" t="n">
        <v>-169</v>
      </c>
      <c r="H274" s="20" t="n">
        <v>504</v>
      </c>
      <c r="J274" s="20" t="n">
        <v>-259</v>
      </c>
      <c r="L274" s="20" t="n">
        <v>426</v>
      </c>
      <c r="N274" s="20" t="n">
        <v>-1111</v>
      </c>
      <c r="O274" s="20" t="n">
        <v>368</v>
      </c>
      <c r="P274" s="20" t="n">
        <v>-45</v>
      </c>
      <c r="Q274" s="20" t="n">
        <v>-239</v>
      </c>
      <c r="R274" s="20" t="n">
        <v>192</v>
      </c>
      <c r="S274" s="20" t="n">
        <v>-416</v>
      </c>
      <c r="T274" s="20" t="n">
        <v>859</v>
      </c>
      <c r="U274" s="20" t="n">
        <v>-521</v>
      </c>
      <c r="W274" s="20" t="n">
        <v>504</v>
      </c>
      <c r="X274" s="20" t="n">
        <v>426</v>
      </c>
    </row>
    <row r="275">
      <c r="A275" s="18" t="inlineStr">
        <is>
          <t>선수금 증감</t>
        </is>
      </c>
      <c r="F275" s="20" t="n">
        <v>1170</v>
      </c>
      <c r="H275" s="20" t="n">
        <v>-1105</v>
      </c>
      <c r="J275" s="20" t="n">
        <v>3696</v>
      </c>
      <c r="L275" s="20" t="n">
        <v>1954</v>
      </c>
      <c r="N275" s="20" t="n">
        <v>2446</v>
      </c>
      <c r="O275" s="20" t="n">
        <v>110</v>
      </c>
      <c r="P275" s="20" t="n">
        <v>1584</v>
      </c>
      <c r="Q275" s="20" t="n">
        <v>-246</v>
      </c>
      <c r="R275" s="20" t="n">
        <v>-576</v>
      </c>
      <c r="S275" s="20" t="n">
        <v>3575</v>
      </c>
      <c r="T275" s="20" t="n">
        <v>-857</v>
      </c>
      <c r="U275" s="20" t="n">
        <v>-486</v>
      </c>
      <c r="W275" s="20" t="n">
        <v>-1105</v>
      </c>
      <c r="X275" s="20" t="n">
        <v>1954</v>
      </c>
    </row>
    <row r="276">
      <c r="A276" s="18" t="inlineStr">
        <is>
          <t>예수금 증감</t>
        </is>
      </c>
      <c r="F276" s="20" t="n">
        <v>1871</v>
      </c>
      <c r="H276" s="20" t="n">
        <v>2884</v>
      </c>
      <c r="J276" s="20" t="n">
        <v>-2759</v>
      </c>
      <c r="L276" s="20" t="n">
        <v>3761</v>
      </c>
      <c r="N276" s="20" t="n">
        <v>-6822</v>
      </c>
      <c r="O276" s="20" t="n">
        <v>2597</v>
      </c>
      <c r="P276" s="20" t="n">
        <v>-220</v>
      </c>
      <c r="Q276" s="20" t="n">
        <v>95</v>
      </c>
      <c r="R276" s="20" t="n">
        <v>187</v>
      </c>
      <c r="S276" s="20" t="n">
        <v>439</v>
      </c>
      <c r="T276" s="20" t="n">
        <v>-840</v>
      </c>
      <c r="U276" s="20" t="n">
        <v>-802</v>
      </c>
      <c r="W276" s="20" t="n">
        <v>2884</v>
      </c>
      <c r="X276" s="20" t="n">
        <v>3761</v>
      </c>
    </row>
    <row r="277">
      <c r="A277" s="18" t="inlineStr">
        <is>
          <t>기타 자산 증감</t>
        </is>
      </c>
      <c r="F277" s="20" t="n">
        <v>-857</v>
      </c>
      <c r="H277" s="20" t="n">
        <v>-1333</v>
      </c>
      <c r="J277" s="20" t="n">
        <v>-404</v>
      </c>
      <c r="L277" s="20" t="n">
        <v>-3987</v>
      </c>
      <c r="N277" s="20" t="n">
        <v>1705</v>
      </c>
      <c r="O277" s="20" t="n">
        <v>-614</v>
      </c>
      <c r="P277" s="20" t="n">
        <v>-1548</v>
      </c>
      <c r="Q277" s="20" t="n">
        <v>638</v>
      </c>
      <c r="R277" s="20" t="n">
        <v>-805</v>
      </c>
      <c r="S277" s="20" t="n">
        <v>-1221</v>
      </c>
      <c r="T277" s="20" t="n">
        <v>59</v>
      </c>
      <c r="U277" s="20" t="n">
        <v>-1813</v>
      </c>
      <c r="W277" s="20" t="n">
        <v>-1333</v>
      </c>
      <c r="X277" s="20" t="n">
        <v>-3987</v>
      </c>
    </row>
    <row r="278">
      <c r="A278" s="18" t="inlineStr">
        <is>
          <t>기타 부채 증감</t>
        </is>
      </c>
      <c r="F278" s="20" t="n">
        <v>141</v>
      </c>
      <c r="H278" s="20" t="n">
        <v>302</v>
      </c>
      <c r="J278" s="20" t="n">
        <v>-120</v>
      </c>
      <c r="L278" s="20" t="n">
        <v>77</v>
      </c>
      <c r="N278" s="20" t="n">
        <v>396</v>
      </c>
      <c r="O278" s="20" t="n">
        <v>54</v>
      </c>
      <c r="P278" s="20" t="n">
        <v>-1</v>
      </c>
      <c r="Q278" s="20" t="n">
        <v>75</v>
      </c>
      <c r="R278" s="20" t="n">
        <v>-45</v>
      </c>
      <c r="S278" s="20" t="n">
        <v>169</v>
      </c>
      <c r="T278" s="20" t="n">
        <v>39</v>
      </c>
      <c r="U278" s="20" t="n">
        <v>43</v>
      </c>
      <c r="W278" s="20" t="n">
        <v>302</v>
      </c>
      <c r="X278" s="20" t="n">
        <v>77</v>
      </c>
    </row>
    <row r="279">
      <c r="A279" s="18" t="inlineStr">
        <is>
          <t>소계</t>
        </is>
      </c>
      <c r="F279" s="20" t="n">
        <v>-30408</v>
      </c>
      <c r="H279" s="20" t="n">
        <v>-18658</v>
      </c>
      <c r="J279" s="20" t="n">
        <v>3105</v>
      </c>
      <c r="L279" s="20" t="n">
        <v>25312</v>
      </c>
      <c r="N279" s="20" t="n">
        <v>-5537</v>
      </c>
      <c r="O279" s="20" t="n">
        <v>-9409</v>
      </c>
      <c r="P279" s="20" t="n">
        <v>-5421</v>
      </c>
      <c r="Q279" s="20" t="n">
        <v>3436</v>
      </c>
      <c r="R279" s="20" t="n">
        <v>6291</v>
      </c>
      <c r="S279" s="20" t="n">
        <v>-5848</v>
      </c>
      <c r="T279" s="20" t="n">
        <v>6737</v>
      </c>
      <c r="U279" s="20" t="n">
        <v>-40947</v>
      </c>
      <c r="W279" s="20" t="n">
        <v>-18658</v>
      </c>
      <c r="X279" s="20" t="n">
        <v>25312</v>
      </c>
    </row>
    <row r="280">
      <c r="A280" s="18" t="inlineStr">
        <is>
          <t>이자·배당금 수취</t>
        </is>
      </c>
      <c r="F280" s="20" t="n">
        <v>68</v>
      </c>
      <c r="H280" s="20" t="n">
        <v>149</v>
      </c>
      <c r="J280" s="20" t="n">
        <v>111</v>
      </c>
      <c r="L280" s="20" t="n">
        <v>277</v>
      </c>
      <c r="N280" s="20" t="n">
        <v>152</v>
      </c>
      <c r="O280" s="20" t="n">
        <v>2</v>
      </c>
      <c r="P280" s="20" t="n">
        <v>2</v>
      </c>
      <c r="Q280" s="20" t="n">
        <v>40</v>
      </c>
      <c r="R280" s="20" t="n">
        <v>95</v>
      </c>
      <c r="S280" s="20" t="n">
        <v>181</v>
      </c>
      <c r="T280" s="20" t="n">
        <v>133</v>
      </c>
      <c r="U280" s="20" t="n">
        <v>155</v>
      </c>
      <c r="W280" s="20" t="n">
        <v>149</v>
      </c>
      <c r="X280" s="20" t="n">
        <v>277</v>
      </c>
    </row>
    <row r="281">
      <c r="A281" s="18" t="inlineStr">
        <is>
          <t>이자 지급</t>
        </is>
      </c>
      <c r="F281" s="20" t="n">
        <v>-2022</v>
      </c>
      <c r="H281" s="20" t="n">
        <v>-4523</v>
      </c>
      <c r="J281" s="20" t="n">
        <v>-2292</v>
      </c>
      <c r="L281" s="20" t="n">
        <v>-5415</v>
      </c>
      <c r="N281" s="20" t="n">
        <v>-3324</v>
      </c>
      <c r="O281" s="20" t="n">
        <v>-1148</v>
      </c>
      <c r="P281" s="20" t="n">
        <v>-1085</v>
      </c>
      <c r="Q281" s="20" t="n">
        <v>-1109</v>
      </c>
      <c r="R281" s="20" t="n">
        <v>-1195</v>
      </c>
      <c r="S281" s="20" t="n">
        <v>-1723</v>
      </c>
      <c r="T281" s="20" t="n">
        <v>-2328</v>
      </c>
      <c r="U281" s="20" t="n">
        <v>-2204</v>
      </c>
      <c r="W281" s="20" t="n">
        <v>-4523</v>
      </c>
      <c r="X281" s="20" t="n">
        <v>-5415</v>
      </c>
    </row>
    <row r="282">
      <c r="A282" s="18" t="inlineStr">
        <is>
          <t>손해배상금 지급</t>
        </is>
      </c>
      <c r="H282" s="20" t="n">
        <v>0</v>
      </c>
      <c r="T282" s="20" t="n">
        <v>0</v>
      </c>
      <c r="W282" s="20" t="n">
        <v>0</v>
      </c>
    </row>
    <row r="283">
      <c r="A283" s="18" t="inlineStr">
        <is>
          <t>과태금 지급</t>
        </is>
      </c>
      <c r="H283" s="20" t="n">
        <v>0</v>
      </c>
      <c r="T283" s="20" t="n">
        <v>0</v>
      </c>
      <c r="U283" s="20" t="n">
        <v>-275</v>
      </c>
      <c r="W283" s="20" t="n">
        <v>0</v>
      </c>
    </row>
    <row r="284">
      <c r="A284" s="18" t="inlineStr">
        <is>
          <t>법인세 납부·환급</t>
        </is>
      </c>
      <c r="F284" s="20" t="n">
        <v>-562</v>
      </c>
      <c r="H284" s="20" t="n">
        <v>-1733</v>
      </c>
      <c r="J284" s="20" t="n">
        <v>-6016</v>
      </c>
      <c r="L284" s="20" t="n">
        <v>-9811</v>
      </c>
      <c r="N284" s="20" t="n">
        <v>-4931</v>
      </c>
      <c r="O284" s="20" t="n">
        <v>-139</v>
      </c>
      <c r="P284" s="20" t="n">
        <v>-619</v>
      </c>
      <c r="Q284" s="20" t="n">
        <v>-2245</v>
      </c>
      <c r="R284" s="20" t="n">
        <v>-5072</v>
      </c>
      <c r="S284" s="20" t="n">
        <v>-3419</v>
      </c>
      <c r="T284" s="20" t="n">
        <v>-3040</v>
      </c>
      <c r="U284" s="20" t="n">
        <v>-5974</v>
      </c>
      <c r="W284" s="20" t="n">
        <v>-1733</v>
      </c>
      <c r="X284" s="20" t="n">
        <v>-9811</v>
      </c>
    </row>
    <row r="285">
      <c r="A285" s="9" t="inlineStr">
        <is>
          <t>영업활동 현금흐름</t>
        </is>
      </c>
      <c r="F285" s="12" t="n">
        <v>-32924</v>
      </c>
      <c r="H285" s="12" t="n">
        <v>-24765</v>
      </c>
      <c r="J285" s="12" t="n">
        <v>-5092</v>
      </c>
      <c r="L285" s="12" t="n">
        <v>10362</v>
      </c>
      <c r="N285" s="12" t="n">
        <v>-13641</v>
      </c>
      <c r="O285" s="12" t="n">
        <v>-10694</v>
      </c>
      <c r="P285" s="12" t="n">
        <v>-7123</v>
      </c>
      <c r="Q285" s="12" t="n">
        <v>122</v>
      </c>
      <c r="R285" s="12" t="n">
        <v>119</v>
      </c>
      <c r="S285" s="12" t="n">
        <v>-10810</v>
      </c>
      <c r="T285" s="12" t="n">
        <v>1501</v>
      </c>
      <c r="U285" s="12" t="n">
        <v>-49245</v>
      </c>
      <c r="W285" s="12" t="n">
        <v>-24765</v>
      </c>
      <c r="X285" s="12" t="n">
        <v>10362</v>
      </c>
    </row>
    <row r="286">
      <c r="A286" s="18" t="inlineStr">
        <is>
          <t>정기예금 예입</t>
        </is>
      </c>
      <c r="F286" s="20" t="n">
        <v>-602</v>
      </c>
      <c r="H286" s="20" t="n">
        <v>-834</v>
      </c>
      <c r="J286" s="20" t="n">
        <v>-783</v>
      </c>
      <c r="L286" s="20" t="n">
        <v>-864</v>
      </c>
      <c r="N286" s="20" t="n">
        <v>-5000</v>
      </c>
      <c r="O286" s="20" t="n">
        <v>-18</v>
      </c>
      <c r="P286" s="20" t="n">
        <v>-18</v>
      </c>
      <c r="Q286" s="20" t="n">
        <v>-18</v>
      </c>
      <c r="R286" s="20" t="n">
        <v>-18</v>
      </c>
      <c r="S286" s="20" t="n">
        <v>-15</v>
      </c>
      <c r="T286" s="20" t="n">
        <v>-4</v>
      </c>
      <c r="U286" s="20" t="n">
        <v>-16</v>
      </c>
      <c r="W286" s="20" t="n">
        <v>-834</v>
      </c>
      <c r="X286" s="20" t="n">
        <v>-864</v>
      </c>
    </row>
    <row r="287">
      <c r="A287" s="18" t="inlineStr">
        <is>
          <t>정기예금 인출</t>
        </is>
      </c>
      <c r="F287" s="20" t="n">
        <v>2</v>
      </c>
      <c r="H287" s="20" t="n">
        <v>234</v>
      </c>
      <c r="J287" s="20" t="n">
        <v>783</v>
      </c>
      <c r="L287" s="20" t="n">
        <v>864</v>
      </c>
      <c r="N287" s="20" t="n">
        <v>600</v>
      </c>
      <c r="O287" s="20" t="n">
        <v>18</v>
      </c>
      <c r="P287" s="20" t="n">
        <v>18</v>
      </c>
      <c r="Q287" s="20" t="n">
        <v>18</v>
      </c>
      <c r="R287" s="20" t="n">
        <v>19</v>
      </c>
      <c r="S287" s="20" t="n">
        <v>18</v>
      </c>
      <c r="T287" s="20" t="n">
        <v>2</v>
      </c>
      <c r="U287" s="20" t="n">
        <v>2</v>
      </c>
      <c r="W287" s="20" t="n">
        <v>234</v>
      </c>
      <c r="X287" s="20" t="n">
        <v>864</v>
      </c>
    </row>
    <row r="288">
      <c r="A288" s="18" t="inlineStr">
        <is>
          <t>투자유가증권 취득</t>
        </is>
      </c>
      <c r="F288" s="20" t="n">
        <v>-5642</v>
      </c>
      <c r="H288" s="20" t="n">
        <v>-12427</v>
      </c>
      <c r="J288" s="20" t="n">
        <v>-791</v>
      </c>
      <c r="L288" s="20" t="n">
        <v>-1657</v>
      </c>
      <c r="N288" s="20" t="n">
        <v>-1879</v>
      </c>
      <c r="O288" s="20" t="n">
        <v>-1711</v>
      </c>
      <c r="P288" s="20" t="n">
        <v>-180</v>
      </c>
      <c r="Q288" s="20" t="n">
        <v>-1641</v>
      </c>
      <c r="R288" s="20" t="n">
        <v>-1913</v>
      </c>
      <c r="S288" s="20" t="n">
        <v>-2265</v>
      </c>
      <c r="T288" s="20" t="n">
        <v>-513</v>
      </c>
      <c r="U288" s="20" t="n">
        <v>-648</v>
      </c>
      <c r="W288" s="20" t="n">
        <v>-12427</v>
      </c>
      <c r="X288" s="20" t="n">
        <v>-1657</v>
      </c>
    </row>
    <row r="289">
      <c r="A289" s="18" t="inlineStr">
        <is>
          <t>투자유가증권 매각</t>
        </is>
      </c>
      <c r="F289" s="20" t="n">
        <v>0</v>
      </c>
      <c r="H289" s="20" t="n">
        <v>0</v>
      </c>
      <c r="J289" s="20" t="n">
        <v>52</v>
      </c>
      <c r="L289" s="20" t="n">
        <v>59</v>
      </c>
      <c r="N289" s="20" t="n">
        <v>326</v>
      </c>
      <c r="Q289" s="20" t="n">
        <v>0</v>
      </c>
      <c r="R289" s="20" t="n">
        <v>9</v>
      </c>
      <c r="S289" s="20" t="n">
        <v>0</v>
      </c>
      <c r="W289" s="20" t="n">
        <v>0</v>
      </c>
      <c r="X289" s="20" t="n">
        <v>59</v>
      </c>
    </row>
    <row r="290">
      <c r="A290" s="18" t="inlineStr">
        <is>
          <t>투자유가증권 환급 수입</t>
        </is>
      </c>
      <c r="H290" s="20" t="n">
        <v>30</v>
      </c>
      <c r="L290" s="20" t="n">
        <v>1442</v>
      </c>
      <c r="R290" s="20" t="n">
        <v>717</v>
      </c>
      <c r="S290" s="20" t="n">
        <v>0</v>
      </c>
      <c r="T290" s="20" t="n">
        <v>294</v>
      </c>
      <c r="W290" s="20" t="n">
        <v>30</v>
      </c>
      <c r="X290" s="20" t="n">
        <v>1442</v>
      </c>
    </row>
    <row r="291">
      <c r="A291" s="18" t="inlineStr">
        <is>
          <t>투자유가증권 환급 수입</t>
        </is>
      </c>
      <c r="F291" s="20" t="n">
        <v>15</v>
      </c>
      <c r="J291" s="20" t="n">
        <v>911</v>
      </c>
      <c r="N291" s="20" t="n">
        <v>3</v>
      </c>
      <c r="O291" s="20" t="n">
        <v>14</v>
      </c>
      <c r="P291" s="20" t="n">
        <v>21</v>
      </c>
      <c r="Q291" s="20" t="n">
        <v>516</v>
      </c>
      <c r="R291" s="20" t="n">
        <v>717</v>
      </c>
      <c r="U291" s="20" t="n">
        <v>15</v>
      </c>
    </row>
    <row r="292">
      <c r="A292" s="18" t="inlineStr">
        <is>
          <t>관계회사 주식 취득</t>
        </is>
      </c>
      <c r="F292" s="20" t="n">
        <v>0</v>
      </c>
      <c r="H292" s="20" t="n">
        <v>0</v>
      </c>
      <c r="J292" s="20" t="n">
        <v>-876</v>
      </c>
      <c r="L292" s="20" t="n">
        <v>-876</v>
      </c>
      <c r="N292" s="20" t="n">
        <v>0</v>
      </c>
      <c r="S292" s="20" t="n">
        <v>0</v>
      </c>
      <c r="T292" s="20" t="n">
        <v>-603</v>
      </c>
      <c r="W292" s="20" t="n">
        <v>0</v>
      </c>
      <c r="X292" s="20" t="n">
        <v>-876</v>
      </c>
    </row>
    <row r="293">
      <c r="A293" s="18" t="inlineStr">
        <is>
          <t>관계회사 주식 매각</t>
        </is>
      </c>
      <c r="F293" s="20" t="n">
        <v>0</v>
      </c>
      <c r="H293" s="20" t="n">
        <v>0</v>
      </c>
      <c r="J293" s="20" t="n">
        <v>924</v>
      </c>
      <c r="L293" s="20" t="n">
        <v>924</v>
      </c>
      <c r="N293" s="20" t="n">
        <v>0</v>
      </c>
      <c r="S293" s="20" t="n">
        <v>0</v>
      </c>
      <c r="T293" s="20" t="n">
        <v>699</v>
      </c>
      <c r="W293" s="20" t="n">
        <v>0</v>
      </c>
      <c r="X293" s="20" t="n">
        <v>924</v>
      </c>
    </row>
    <row r="294">
      <c r="A294" s="18" t="inlineStr">
        <is>
          <t>고정자산 취득</t>
        </is>
      </c>
      <c r="F294" s="20" t="n">
        <v>-4282</v>
      </c>
      <c r="H294" s="20" t="n">
        <v>-4805</v>
      </c>
      <c r="J294" s="20" t="n">
        <v>-502</v>
      </c>
      <c r="L294" s="20" t="n">
        <v>-1380</v>
      </c>
      <c r="N294" s="20" t="n">
        <v>-956</v>
      </c>
      <c r="O294" s="20" t="n">
        <v>-200</v>
      </c>
      <c r="P294" s="20" t="n">
        <v>-443</v>
      </c>
      <c r="Q294" s="20" t="n">
        <v>-3295</v>
      </c>
      <c r="R294" s="20" t="n">
        <v>-6555</v>
      </c>
      <c r="S294" s="20" t="n">
        <v>-4763</v>
      </c>
      <c r="T294" s="20" t="n">
        <v>-2033</v>
      </c>
      <c r="U294" s="20" t="n">
        <v>-4866</v>
      </c>
      <c r="W294" s="20" t="n">
        <v>-4805</v>
      </c>
      <c r="X294" s="20" t="n">
        <v>-1380</v>
      </c>
    </row>
    <row r="295">
      <c r="A295" s="18" t="inlineStr">
        <is>
          <t>고정자산 매각 등 수입</t>
        </is>
      </c>
      <c r="H295" s="20" t="n">
        <v>64</v>
      </c>
      <c r="L295" s="20" t="n">
        <v>77</v>
      </c>
      <c r="O295" s="20" t="n">
        <v>11651</v>
      </c>
      <c r="P295" s="20" t="n">
        <v>83</v>
      </c>
      <c r="Q295" s="20" t="n">
        <v>61</v>
      </c>
      <c r="R295" s="20" t="n">
        <v>86</v>
      </c>
      <c r="S295" s="20" t="n">
        <v>121</v>
      </c>
      <c r="T295" s="20" t="n">
        <v>46</v>
      </c>
      <c r="W295" s="20" t="n">
        <v>64</v>
      </c>
      <c r="X295" s="20" t="n">
        <v>77</v>
      </c>
    </row>
    <row r="296">
      <c r="A296" s="18" t="inlineStr">
        <is>
          <t>고정자산 매각 등 수입</t>
        </is>
      </c>
      <c r="F296" s="20" t="n">
        <v>43</v>
      </c>
      <c r="J296" s="20" t="n">
        <v>37</v>
      </c>
      <c r="N296" s="20" t="n">
        <v>58</v>
      </c>
      <c r="U296" s="20" t="n">
        <v>34</v>
      </c>
    </row>
    <row r="297">
      <c r="A297" s="18" t="inlineStr">
        <is>
          <t>대여</t>
        </is>
      </c>
      <c r="F297" s="20" t="n">
        <v>0</v>
      </c>
      <c r="H297" s="20" t="n">
        <v>0</v>
      </c>
      <c r="J297" s="20" t="n">
        <v>0</v>
      </c>
      <c r="L297" s="20" t="n">
        <v>-774</v>
      </c>
      <c r="N297" s="20" t="n">
        <v>-62</v>
      </c>
      <c r="O297" s="20" t="n">
        <v>0</v>
      </c>
      <c r="P297" s="20" t="n">
        <v>-37</v>
      </c>
      <c r="Q297" s="20" t="n">
        <v>-300</v>
      </c>
      <c r="R297" s="20" t="n">
        <v>-2930</v>
      </c>
      <c r="S297" s="20" t="n">
        <v>-8</v>
      </c>
      <c r="T297" s="20" t="n">
        <v>-117</v>
      </c>
      <c r="U297" s="20" t="n">
        <v>-64</v>
      </c>
      <c r="W297" s="20" t="n">
        <v>0</v>
      </c>
      <c r="X297" s="20" t="n">
        <v>-774</v>
      </c>
    </row>
    <row r="298">
      <c r="A298" s="18" t="inlineStr">
        <is>
          <t>대여금 회수</t>
        </is>
      </c>
      <c r="F298" s="20" t="n">
        <v>1</v>
      </c>
      <c r="H298" s="20" t="n">
        <v>3</v>
      </c>
      <c r="J298" s="20" t="n">
        <v>36</v>
      </c>
      <c r="L298" s="20" t="n">
        <v>605</v>
      </c>
      <c r="N298" s="20" t="n">
        <v>14</v>
      </c>
      <c r="O298" s="20" t="n">
        <v>0</v>
      </c>
      <c r="P298" s="20" t="n">
        <v>0</v>
      </c>
      <c r="Q298" s="20" t="n">
        <v>0</v>
      </c>
      <c r="R298" s="20" t="n">
        <v>500</v>
      </c>
      <c r="S298" s="20" t="n">
        <v>647</v>
      </c>
      <c r="T298" s="20" t="n">
        <v>1</v>
      </c>
      <c r="U298" s="20" t="n">
        <v>175</v>
      </c>
      <c r="W298" s="20" t="n">
        <v>3</v>
      </c>
      <c r="X298" s="20" t="n">
        <v>605</v>
      </c>
    </row>
    <row r="299">
      <c r="A299" s="18" t="inlineStr">
        <is>
          <t>연결범위 변경 자회사 주식 취득</t>
        </is>
      </c>
      <c r="F299" s="20" t="n">
        <v>0</v>
      </c>
      <c r="H299" s="20" t="n">
        <v>0</v>
      </c>
      <c r="J299" s="20" t="n">
        <v>-8837</v>
      </c>
      <c r="L299" s="20" t="n">
        <v>-10768</v>
      </c>
      <c r="N299" s="20" t="n">
        <v>0</v>
      </c>
      <c r="P299" s="20" t="n">
        <v>0</v>
      </c>
      <c r="Q299" s="20" t="n">
        <v>-310</v>
      </c>
      <c r="R299" s="20" t="n">
        <v>0</v>
      </c>
      <c r="S299" s="20" t="n">
        <v>-24070</v>
      </c>
      <c r="T299" s="20" t="n">
        <v>0</v>
      </c>
      <c r="U299" s="20" t="n">
        <v>-27516</v>
      </c>
      <c r="W299" s="20" t="n">
        <v>0</v>
      </c>
      <c r="X299" s="20" t="n">
        <v>-10768</v>
      </c>
    </row>
    <row r="300">
      <c r="A300" s="18" t="inlineStr">
        <is>
          <t>연결범위 변경 자회사 주식 취득(수입)</t>
        </is>
      </c>
      <c r="J300" s="20" t="n">
        <v>0</v>
      </c>
      <c r="N300" s="20" t="n">
        <v>572</v>
      </c>
      <c r="Q300" s="20" t="n">
        <v>0</v>
      </c>
      <c r="R300" s="20" t="n">
        <v>91</v>
      </c>
      <c r="S300" s="20" t="n">
        <v>0</v>
      </c>
      <c r="T300" s="20" t="n">
        <v>316</v>
      </c>
    </row>
    <row r="301">
      <c r="A301" s="18" t="inlineStr">
        <is>
          <t>예수보증금 반환</t>
        </is>
      </c>
      <c r="F301" s="20" t="n">
        <v>-147</v>
      </c>
      <c r="H301" s="20" t="n">
        <v>-488</v>
      </c>
      <c r="J301" s="20" t="n">
        <v>-246</v>
      </c>
      <c r="L301" s="20" t="n">
        <v>-384</v>
      </c>
      <c r="N301" s="20" t="n">
        <v>-371</v>
      </c>
      <c r="O301" s="20" t="n">
        <v>-1232</v>
      </c>
      <c r="P301" s="20" t="n">
        <v>-782</v>
      </c>
      <c r="Q301" s="20" t="n">
        <v>-927</v>
      </c>
      <c r="R301" s="20" t="n">
        <v>-983</v>
      </c>
      <c r="S301" s="20" t="n">
        <v>-1120</v>
      </c>
      <c r="T301" s="20" t="n">
        <v>-769</v>
      </c>
      <c r="U301" s="20" t="n">
        <v>-169</v>
      </c>
      <c r="W301" s="20" t="n">
        <v>-488</v>
      </c>
      <c r="X301" s="20" t="n">
        <v>-384</v>
      </c>
    </row>
    <row r="302">
      <c r="A302" s="18" t="inlineStr">
        <is>
          <t>예수보증금 수입</t>
        </is>
      </c>
      <c r="F302" s="20" t="n">
        <v>504</v>
      </c>
      <c r="H302" s="20" t="n">
        <v>962</v>
      </c>
      <c r="J302" s="20" t="n">
        <v>217</v>
      </c>
      <c r="L302" s="20" t="n">
        <v>575</v>
      </c>
      <c r="N302" s="20" t="n">
        <v>489</v>
      </c>
      <c r="O302" s="20" t="n">
        <v>615</v>
      </c>
      <c r="P302" s="20" t="n">
        <v>1578</v>
      </c>
      <c r="Q302" s="20" t="n">
        <v>1130</v>
      </c>
      <c r="R302" s="20" t="n">
        <v>1244</v>
      </c>
      <c r="S302" s="20" t="n">
        <v>1732</v>
      </c>
      <c r="T302" s="20" t="n">
        <v>1060</v>
      </c>
      <c r="U302" s="20" t="n">
        <v>839</v>
      </c>
      <c r="W302" s="20" t="n">
        <v>962</v>
      </c>
      <c r="X302" s="20" t="n">
        <v>575</v>
      </c>
    </row>
    <row r="303">
      <c r="A303" s="18" t="inlineStr">
        <is>
          <t>출자금 납입</t>
        </is>
      </c>
      <c r="F303" s="20" t="n">
        <v>0</v>
      </c>
      <c r="H303" s="20" t="n">
        <v>-102</v>
      </c>
      <c r="J303" s="20" t="n">
        <v>-147</v>
      </c>
      <c r="L303" s="20" t="n">
        <v>-147</v>
      </c>
      <c r="N303" s="20" t="n">
        <v>0</v>
      </c>
      <c r="O303" s="20" t="n">
        <v>-4</v>
      </c>
      <c r="P303" s="20" t="n">
        <v>-17</v>
      </c>
      <c r="Q303" s="20" t="n">
        <v>0</v>
      </c>
      <c r="R303" s="20" t="n">
        <v>-2</v>
      </c>
      <c r="S303" s="20" t="n">
        <v>0</v>
      </c>
      <c r="T303" s="20" t="n">
        <v>0</v>
      </c>
      <c r="W303" s="20" t="n">
        <v>-102</v>
      </c>
      <c r="X303" s="20" t="n">
        <v>-147</v>
      </c>
    </row>
    <row r="304">
      <c r="A304" s="18" t="inlineStr">
        <is>
          <t>출자금 회수</t>
        </is>
      </c>
      <c r="F304" s="20" t="n">
        <v>0</v>
      </c>
      <c r="H304" s="20" t="n">
        <v>69</v>
      </c>
      <c r="J304" s="20" t="n">
        <v>148</v>
      </c>
      <c r="L304" s="20" t="n">
        <v>148</v>
      </c>
      <c r="N304" s="20" t="n">
        <v>66</v>
      </c>
      <c r="S304" s="20" t="n">
        <v>0</v>
      </c>
      <c r="T304" s="20" t="n">
        <v>1</v>
      </c>
      <c r="U304" s="20" t="n">
        <v>1</v>
      </c>
      <c r="W304" s="20" t="n">
        <v>69</v>
      </c>
      <c r="X304" s="20" t="n">
        <v>148</v>
      </c>
    </row>
    <row r="305">
      <c r="A305" s="18" t="inlineStr">
        <is>
          <t>자산복구부채 이행 지출</t>
        </is>
      </c>
      <c r="H305" s="20" t="n">
        <v>0</v>
      </c>
      <c r="J305" s="20" t="n">
        <v>0</v>
      </c>
      <c r="L305" s="20" t="n">
        <v>-9</v>
      </c>
      <c r="N305" s="20" t="n">
        <v>-2</v>
      </c>
      <c r="O305" s="20" t="n">
        <v>-0</v>
      </c>
      <c r="P305" s="20" t="n">
        <v>0</v>
      </c>
      <c r="Q305" s="20" t="n">
        <v>-3</v>
      </c>
      <c r="R305" s="20" t="n">
        <v>0</v>
      </c>
      <c r="W305" s="20" t="n">
        <v>0</v>
      </c>
      <c r="X305" s="20" t="n">
        <v>-9</v>
      </c>
    </row>
    <row r="306">
      <c r="A306" s="18" t="inlineStr">
        <is>
          <t>연결범위 변경 자회사 주식 매각</t>
        </is>
      </c>
      <c r="O306" s="20" t="n">
        <v>34</v>
      </c>
      <c r="P306" s="20" t="n">
        <v>0</v>
      </c>
    </row>
    <row r="307">
      <c r="A307" s="9" t="inlineStr">
        <is>
          <t>투자활동 현금흐름</t>
        </is>
      </c>
      <c r="F307" s="12" t="n">
        <v>-10105</v>
      </c>
      <c r="H307" s="12" t="n">
        <v>-17293</v>
      </c>
      <c r="J307" s="12" t="n">
        <v>-9072</v>
      </c>
      <c r="L307" s="12" t="n">
        <v>-12164</v>
      </c>
      <c r="N307" s="12" t="n">
        <v>-6140</v>
      </c>
      <c r="O307" s="12" t="n">
        <v>9167</v>
      </c>
      <c r="P307" s="12" t="n">
        <v>223</v>
      </c>
      <c r="Q307" s="12" t="n">
        <v>-4770</v>
      </c>
      <c r="R307" s="12" t="n">
        <v>-9732</v>
      </c>
      <c r="S307" s="12" t="n">
        <v>-29721</v>
      </c>
      <c r="T307" s="12" t="n">
        <v>-1620</v>
      </c>
      <c r="U307" s="12" t="n">
        <v>-32213</v>
      </c>
      <c r="W307" s="12" t="n">
        <v>-17293</v>
      </c>
      <c r="X307" s="12" t="n">
        <v>-12164</v>
      </c>
    </row>
    <row r="308">
      <c r="A308" s="18" t="inlineStr">
        <is>
          <t>단기차입</t>
        </is>
      </c>
      <c r="F308" s="20" t="n">
        <v>4744</v>
      </c>
      <c r="H308" s="20" t="n">
        <v>5503</v>
      </c>
      <c r="J308" s="20" t="n">
        <v>7545</v>
      </c>
      <c r="L308" s="20" t="n">
        <v>24864</v>
      </c>
      <c r="N308" s="20" t="n">
        <v>6801</v>
      </c>
      <c r="O308" s="20" t="n">
        <v>10830</v>
      </c>
      <c r="P308" s="20" t="n">
        <v>7581</v>
      </c>
      <c r="Q308" s="20" t="n">
        <v>6714</v>
      </c>
      <c r="R308" s="20" t="n">
        <v>8018</v>
      </c>
      <c r="S308" s="20" t="n">
        <v>6539</v>
      </c>
      <c r="T308" s="20" t="n">
        <v>11929</v>
      </c>
      <c r="U308" s="20" t="n">
        <v>90248</v>
      </c>
      <c r="W308" s="20" t="n">
        <v>5503</v>
      </c>
      <c r="X308" s="20" t="n">
        <v>24864</v>
      </c>
    </row>
    <row r="309">
      <c r="A309" s="18" t="inlineStr">
        <is>
          <t>단기차입금 상환</t>
        </is>
      </c>
      <c r="F309" s="20" t="n">
        <v>-43055</v>
      </c>
      <c r="H309" s="20" t="n">
        <v>-52305</v>
      </c>
      <c r="J309" s="20" t="n">
        <v>-5945</v>
      </c>
      <c r="L309" s="20" t="n">
        <v>-17597</v>
      </c>
      <c r="N309" s="20" t="n">
        <v>-4333</v>
      </c>
      <c r="O309" s="20" t="n">
        <v>-13184</v>
      </c>
      <c r="P309" s="20" t="n">
        <v>-7814</v>
      </c>
      <c r="Q309" s="20" t="n">
        <v>-5220</v>
      </c>
      <c r="R309" s="20" t="n">
        <v>-9690</v>
      </c>
      <c r="S309" s="20" t="n">
        <v>-5857</v>
      </c>
      <c r="T309" s="20" t="n">
        <v>-2956</v>
      </c>
      <c r="U309" s="20" t="n">
        <v>-62981</v>
      </c>
      <c r="W309" s="20" t="n">
        <v>-52305</v>
      </c>
      <c r="X309" s="20" t="n">
        <v>-17597</v>
      </c>
    </row>
    <row r="310">
      <c r="A310" s="18" t="inlineStr">
        <is>
          <t>장기차입</t>
        </is>
      </c>
      <c r="F310" s="20" t="n">
        <v>100238</v>
      </c>
      <c r="H310" s="20" t="n">
        <v>158661</v>
      </c>
      <c r="J310" s="20" t="n">
        <v>36198</v>
      </c>
      <c r="L310" s="20" t="n">
        <v>110790</v>
      </c>
      <c r="N310" s="20" t="n">
        <v>43342</v>
      </c>
      <c r="O310" s="20" t="n">
        <v>45348</v>
      </c>
      <c r="P310" s="20" t="n">
        <v>38884</v>
      </c>
      <c r="Q310" s="20" t="n">
        <v>44231</v>
      </c>
      <c r="R310" s="20" t="n">
        <v>62166</v>
      </c>
      <c r="S310" s="20" t="n">
        <v>111250</v>
      </c>
      <c r="T310" s="20" t="n">
        <v>110273</v>
      </c>
      <c r="U310" s="20" t="n">
        <v>110311</v>
      </c>
      <c r="W310" s="20" t="n">
        <v>158661</v>
      </c>
      <c r="X310" s="20" t="n">
        <v>110790</v>
      </c>
    </row>
    <row r="311">
      <c r="A311" s="18" t="inlineStr">
        <is>
          <t>장기차입금 상환</t>
        </is>
      </c>
      <c r="F311" s="20" t="n">
        <v>-27719</v>
      </c>
      <c r="H311" s="20" t="n">
        <v>-76658</v>
      </c>
      <c r="J311" s="20" t="n">
        <v>-27946</v>
      </c>
      <c r="L311" s="20" t="n">
        <v>-105725</v>
      </c>
      <c r="N311" s="20" t="n">
        <v>-38202</v>
      </c>
      <c r="O311" s="20" t="n">
        <v>-37549</v>
      </c>
      <c r="P311" s="20" t="n">
        <v>-24659</v>
      </c>
      <c r="Q311" s="20" t="n">
        <v>-32930</v>
      </c>
      <c r="R311" s="20" t="n">
        <v>-46917</v>
      </c>
      <c r="S311" s="20" t="n">
        <v>-79320</v>
      </c>
      <c r="T311" s="20" t="n">
        <v>-113215</v>
      </c>
      <c r="U311" s="20" t="n">
        <v>-50850</v>
      </c>
      <c r="W311" s="20" t="n">
        <v>-76658</v>
      </c>
      <c r="X311" s="20" t="n">
        <v>-105725</v>
      </c>
    </row>
    <row r="312">
      <c r="A312" s="18" t="inlineStr">
        <is>
          <t>사채 상환</t>
        </is>
      </c>
      <c r="O312" s="20" t="n">
        <v>-40</v>
      </c>
      <c r="P312" s="20" t="n">
        <v>-40</v>
      </c>
      <c r="Q312" s="20" t="n">
        <v>-40</v>
      </c>
      <c r="R312" s="20" t="n">
        <v>-40</v>
      </c>
      <c r="S312" s="20" t="n">
        <v>-230</v>
      </c>
      <c r="T312" s="20" t="n">
        <v>0</v>
      </c>
    </row>
    <row r="313">
      <c r="A313" s="18" t="inlineStr">
        <is>
          <t>사채 발행</t>
        </is>
      </c>
      <c r="F313" s="20" t="n">
        <v>7357</v>
      </c>
      <c r="H313" s="20" t="n">
        <v>7357</v>
      </c>
      <c r="J313" s="20" t="n">
        <v>9946</v>
      </c>
      <c r="L313" s="20" t="n">
        <v>9946</v>
      </c>
      <c r="N313" s="20" t="n">
        <v>14931</v>
      </c>
      <c r="O313" s="20" t="n">
        <v>0</v>
      </c>
      <c r="P313" s="20" t="n">
        <v>200</v>
      </c>
      <c r="Q313" s="20" t="n">
        <v>0</v>
      </c>
      <c r="W313" s="20" t="n">
        <v>7357</v>
      </c>
      <c r="X313" s="20" t="n">
        <v>9946</v>
      </c>
    </row>
    <row r="314">
      <c r="A314" s="18" t="inlineStr">
        <is>
          <t>비지배주주 납입</t>
        </is>
      </c>
      <c r="F314" s="20" t="n">
        <v>0</v>
      </c>
      <c r="H314" s="20" t="n">
        <v>1462</v>
      </c>
      <c r="J314" s="20" t="n">
        <v>13</v>
      </c>
      <c r="L314" s="20" t="n">
        <v>13</v>
      </c>
      <c r="N314" s="20" t="n">
        <v>184</v>
      </c>
      <c r="P314" s="20" t="n">
        <v>0</v>
      </c>
      <c r="Q314" s="20" t="n">
        <v>0</v>
      </c>
      <c r="R314" s="20" t="n">
        <v>0</v>
      </c>
      <c r="T314" s="20" t="n">
        <v>0</v>
      </c>
      <c r="U314" s="20" t="n">
        <v>98</v>
      </c>
      <c r="W314" s="20" t="n">
        <v>1462</v>
      </c>
      <c r="X314" s="20" t="n">
        <v>13</v>
      </c>
    </row>
    <row r="315">
      <c r="A315" s="18" t="inlineStr">
        <is>
          <t>리스부채 상환</t>
        </is>
      </c>
      <c r="F315" s="20" t="n">
        <v>-0</v>
      </c>
      <c r="H315" s="20" t="n">
        <v>-0</v>
      </c>
      <c r="J315" s="20" t="n">
        <v>-0</v>
      </c>
      <c r="L315" s="20" t="n">
        <v>-0</v>
      </c>
      <c r="N315" s="20" t="n">
        <v>-0</v>
      </c>
      <c r="O315" s="20" t="n">
        <v>-4</v>
      </c>
      <c r="P315" s="20" t="n">
        <v>-1</v>
      </c>
      <c r="Q315" s="20" t="n">
        <v>-0</v>
      </c>
      <c r="R315" s="20" t="n">
        <v>-1</v>
      </c>
      <c r="S315" s="20" t="n">
        <v>-1</v>
      </c>
      <c r="T315" s="20" t="n">
        <v>-0</v>
      </c>
      <c r="U315" s="20" t="n">
        <v>-0</v>
      </c>
      <c r="W315" s="20" t="n">
        <v>-0</v>
      </c>
      <c r="X315" s="20" t="n">
        <v>-0</v>
      </c>
    </row>
    <row r="316">
      <c r="A316" s="18" t="inlineStr">
        <is>
          <t>할부채무 상환 지출</t>
        </is>
      </c>
      <c r="O316" s="20" t="n">
        <v>-32</v>
      </c>
      <c r="P316" s="20" t="n">
        <v>-33</v>
      </c>
      <c r="Q316" s="20" t="n">
        <v>-34</v>
      </c>
      <c r="R316" s="20" t="n">
        <v>-31</v>
      </c>
      <c r="S316" s="20" t="n">
        <v>-5</v>
      </c>
      <c r="T316" s="20" t="n">
        <v>0</v>
      </c>
    </row>
    <row r="317">
      <c r="A317" s="18" t="inlineStr">
        <is>
          <t>주식 발행</t>
        </is>
      </c>
      <c r="O317" s="20" t="n">
        <v>378</v>
      </c>
      <c r="P317" s="20" t="n">
        <v>70</v>
      </c>
      <c r="Q317" s="20" t="n">
        <v>30</v>
      </c>
      <c r="R317" s="20" t="n">
        <v>18</v>
      </c>
      <c r="S317" s="20" t="n">
        <v>20361</v>
      </c>
      <c r="T317" s="20" t="n">
        <v>0</v>
      </c>
    </row>
    <row r="318">
      <c r="A318" s="18" t="inlineStr">
        <is>
          <t>자기주식 처분</t>
        </is>
      </c>
      <c r="F318" s="20" t="n">
        <v>51</v>
      </c>
      <c r="H318" s="20" t="n">
        <v>172</v>
      </c>
      <c r="J318" s="20" t="n">
        <v>12</v>
      </c>
      <c r="L318" s="20" t="n">
        <v>117</v>
      </c>
      <c r="N318" s="20" t="n">
        <v>0</v>
      </c>
      <c r="Q318" s="20" t="n">
        <v>0</v>
      </c>
      <c r="R318" s="20" t="n">
        <v>207</v>
      </c>
      <c r="S318" s="20" t="n">
        <v>203</v>
      </c>
      <c r="T318" s="20" t="n">
        <v>76</v>
      </c>
      <c r="U318" s="20" t="n">
        <v>34</v>
      </c>
      <c r="W318" s="20" t="n">
        <v>172</v>
      </c>
      <c r="X318" s="20" t="n">
        <v>117</v>
      </c>
    </row>
    <row r="319">
      <c r="A319" s="18" t="inlineStr">
        <is>
          <t>자기주식 취득</t>
        </is>
      </c>
      <c r="F319" s="20" t="n">
        <v>-74</v>
      </c>
      <c r="H319" s="20" t="n">
        <v>-74</v>
      </c>
      <c r="J319" s="20" t="n">
        <v>0</v>
      </c>
      <c r="L319" s="20" t="n">
        <v>0</v>
      </c>
      <c r="O319" s="20" t="n">
        <v>-748</v>
      </c>
      <c r="P319" s="20" t="n">
        <v>-131</v>
      </c>
      <c r="Q319" s="20" t="n">
        <v>-40</v>
      </c>
      <c r="R319" s="20" t="n">
        <v>-233</v>
      </c>
      <c r="S319" s="20" t="n">
        <v>0</v>
      </c>
      <c r="T319" s="20" t="n">
        <v>-293</v>
      </c>
      <c r="U319" s="20" t="n">
        <v>-0</v>
      </c>
      <c r="W319" s="20" t="n">
        <v>-74</v>
      </c>
      <c r="X319" s="20" t="n">
        <v>0</v>
      </c>
    </row>
    <row r="320">
      <c r="A320" s="18" t="inlineStr">
        <is>
          <t>배당금 지급</t>
        </is>
      </c>
      <c r="F320" s="20" t="n">
        <v>-4646</v>
      </c>
      <c r="H320" s="20" t="n">
        <v>-4647</v>
      </c>
      <c r="J320" s="20" t="n">
        <v>-4657</v>
      </c>
      <c r="L320" s="20" t="n">
        <v>-4658</v>
      </c>
      <c r="N320" s="20" t="n">
        <v>-4526</v>
      </c>
      <c r="O320" s="20" t="n">
        <v>-1016</v>
      </c>
      <c r="P320" s="20" t="n">
        <v>-1237</v>
      </c>
      <c r="Q320" s="20" t="n">
        <v>-2207</v>
      </c>
      <c r="R320" s="20" t="n">
        <v>-2488</v>
      </c>
      <c r="S320" s="20" t="n">
        <v>-2645</v>
      </c>
      <c r="T320" s="20" t="n">
        <v>-3668</v>
      </c>
      <c r="U320" s="20" t="n">
        <v>-3671</v>
      </c>
      <c r="W320" s="20" t="n">
        <v>-4647</v>
      </c>
      <c r="X320" s="20" t="n">
        <v>-4658</v>
      </c>
    </row>
    <row r="321">
      <c r="A321" s="18" t="inlineStr">
        <is>
          <t>예금 담보 해제 수입</t>
        </is>
      </c>
      <c r="O321" s="20" t="n">
        <v>0</v>
      </c>
    </row>
    <row r="322">
      <c r="A322" s="9" t="inlineStr">
        <is>
          <t>재무활동 현금흐름</t>
        </is>
      </c>
      <c r="F322" s="12" t="n">
        <v>36894</v>
      </c>
      <c r="H322" s="12" t="n">
        <v>39469</v>
      </c>
      <c r="J322" s="12" t="n">
        <v>15165</v>
      </c>
      <c r="L322" s="12" t="n">
        <v>17750</v>
      </c>
      <c r="N322" s="12" t="n">
        <v>18195</v>
      </c>
      <c r="O322" s="12" t="n">
        <v>3979</v>
      </c>
      <c r="P322" s="12" t="n">
        <v>12818</v>
      </c>
      <c r="Q322" s="12" t="n">
        <v>10501</v>
      </c>
      <c r="R322" s="12" t="n">
        <v>11007</v>
      </c>
      <c r="S322" s="12" t="n">
        <v>50293</v>
      </c>
      <c r="T322" s="12" t="n">
        <v>2144</v>
      </c>
      <c r="U322" s="12" t="n">
        <v>83188</v>
      </c>
      <c r="W322" s="12" t="n">
        <v>39469</v>
      </c>
      <c r="X322" s="12" t="n">
        <v>17750</v>
      </c>
    </row>
    <row r="323">
      <c r="A323" s="18" t="inlineStr">
        <is>
          <t>현금성자산 환산차이</t>
        </is>
      </c>
      <c r="F323" s="20" t="n">
        <v>84</v>
      </c>
      <c r="H323" s="20" t="n">
        <v>-72</v>
      </c>
      <c r="J323" s="20" t="n">
        <v>-4</v>
      </c>
      <c r="L323" s="20" t="n">
        <v>54</v>
      </c>
      <c r="N323" s="20" t="n">
        <v>-4</v>
      </c>
      <c r="P323" s="20" t="n">
        <v>0</v>
      </c>
      <c r="Q323" s="20" t="n">
        <v>-3</v>
      </c>
      <c r="R323" s="20" t="n">
        <v>-8</v>
      </c>
      <c r="S323" s="20" t="n">
        <v>-1</v>
      </c>
      <c r="T323" s="20" t="n">
        <v>19</v>
      </c>
      <c r="U323" s="20" t="n">
        <v>28</v>
      </c>
      <c r="W323" s="20" t="n">
        <v>-72</v>
      </c>
      <c r="X323" s="20" t="n">
        <v>54</v>
      </c>
    </row>
    <row r="324">
      <c r="A324" s="18" t="inlineStr">
        <is>
          <t>현금성자산 증감</t>
        </is>
      </c>
      <c r="F324" s="20" t="n">
        <v>-6051</v>
      </c>
      <c r="H324" s="20" t="n">
        <v>-2662</v>
      </c>
      <c r="J324" s="20" t="n">
        <v>996</v>
      </c>
      <c r="L324" s="20" t="n">
        <v>16003</v>
      </c>
      <c r="N324" s="20" t="n">
        <v>-1590</v>
      </c>
      <c r="O324" s="20" t="n">
        <v>2453</v>
      </c>
      <c r="P324" s="20" t="n">
        <v>5918</v>
      </c>
      <c r="Q324" s="20" t="n">
        <v>5849</v>
      </c>
      <c r="R324" s="20" t="n">
        <v>1385</v>
      </c>
      <c r="S324" s="20" t="n">
        <v>9760</v>
      </c>
      <c r="T324" s="20" t="n">
        <v>2045</v>
      </c>
      <c r="U324" s="20" t="n">
        <v>1757</v>
      </c>
      <c r="W324" s="20" t="n">
        <v>-2662</v>
      </c>
      <c r="X324" s="20" t="n">
        <v>16003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에스콘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351347</v>
      </c>
      <c r="D5" s="12" t="n">
        <v>349185</v>
      </c>
      <c r="E5" s="12" t="n">
        <v>372134</v>
      </c>
      <c r="F5" s="12" t="n">
        <v>367493</v>
      </c>
      <c r="G5" s="12" t="n">
        <v>388931</v>
      </c>
      <c r="H5" s="11" t="n">
        <v>191357</v>
      </c>
      <c r="I5" s="12" t="n">
        <v>265202</v>
      </c>
      <c r="J5" s="12" t="n">
        <v>295492</v>
      </c>
      <c r="K5" s="12" t="n">
        <v>335103</v>
      </c>
      <c r="L5" s="12" t="n">
        <v>372134</v>
      </c>
    </row>
    <row r="6">
      <c r="A6" s="18" t="inlineStr">
        <is>
          <t>현금및현금성자산</t>
        </is>
      </c>
      <c r="B6" s="10" t="n"/>
      <c r="C6" s="19" t="n">
        <v>47867</v>
      </c>
      <c r="D6" s="20" t="n">
        <v>42251</v>
      </c>
      <c r="E6" s="20" t="n">
        <v>62873</v>
      </c>
      <c r="F6" s="20" t="n">
        <v>39074</v>
      </c>
      <c r="G6" s="20" t="n">
        <v>65749</v>
      </c>
      <c r="H6" s="19" t="n">
        <v>35721</v>
      </c>
      <c r="I6" s="20" t="n">
        <v>37600</v>
      </c>
      <c r="J6" s="20" t="n">
        <v>48910</v>
      </c>
      <c r="K6" s="20" t="n">
        <v>46802</v>
      </c>
      <c r="L6" s="20" t="n">
        <v>62873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1356</v>
      </c>
      <c r="D8" s="20" t="n">
        <v>1228</v>
      </c>
      <c r="E8" s="20" t="n">
        <v>1475</v>
      </c>
      <c r="F8" s="20" t="n">
        <v>1383</v>
      </c>
      <c r="G8" s="20" t="n">
        <v>1512</v>
      </c>
      <c r="H8" s="19" t="n">
        <v>1096</v>
      </c>
      <c r="I8" s="20" t="n">
        <v>965</v>
      </c>
      <c r="J8" s="20" t="n">
        <v>1019</v>
      </c>
      <c r="K8" s="20" t="n">
        <v>1259</v>
      </c>
      <c r="L8" s="20" t="n">
        <v>1475</v>
      </c>
    </row>
    <row r="9">
      <c r="A9" s="18" t="inlineStr">
        <is>
          <t>재고자산</t>
        </is>
      </c>
      <c r="B9" s="10" t="n"/>
      <c r="C9" s="19" t="n">
        <v>3924</v>
      </c>
      <c r="D9" s="20" t="n">
        <v>3315</v>
      </c>
      <c r="E9" s="20" t="n">
        <v>2791</v>
      </c>
      <c r="F9" s="20" t="n">
        <v>2132</v>
      </c>
      <c r="G9" s="20" t="n">
        <v>5147</v>
      </c>
      <c r="H9" s="19" t="n">
        <v>4804</v>
      </c>
      <c r="I9" s="20" t="n">
        <v>4924</v>
      </c>
      <c r="J9" s="20" t="n">
        <v>3408</v>
      </c>
      <c r="K9" s="20" t="n">
        <v>8072</v>
      </c>
      <c r="L9" s="20" t="n">
        <v>2791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129627</v>
      </c>
      <c r="D11" s="12" t="n">
        <v>130759</v>
      </c>
      <c r="E11" s="12" t="n">
        <v>137565</v>
      </c>
      <c r="F11" s="12" t="n">
        <v>139145</v>
      </c>
      <c r="G11" s="12" t="n">
        <v>137170</v>
      </c>
      <c r="H11" s="11" t="n">
        <v>72327</v>
      </c>
      <c r="I11" s="12" t="n">
        <v>105059</v>
      </c>
      <c r="J11" s="12" t="n">
        <v>104204</v>
      </c>
      <c r="K11" s="12" t="n">
        <v>124708</v>
      </c>
      <c r="L11" s="12" t="n">
        <v>137565</v>
      </c>
    </row>
    <row r="12">
      <c r="A12" s="18" t="inlineStr">
        <is>
          <t>유형자산</t>
        </is>
      </c>
      <c r="B12" s="10" t="n"/>
      <c r="C12" s="19" t="n">
        <v>90288</v>
      </c>
      <c r="D12" s="20" t="n">
        <v>90010</v>
      </c>
      <c r="E12" s="20" t="n">
        <v>95508</v>
      </c>
      <c r="F12" s="20" t="n">
        <v>95105</v>
      </c>
      <c r="G12" s="20" t="n">
        <v>91714</v>
      </c>
      <c r="H12" s="19" t="n">
        <v>52139</v>
      </c>
      <c r="I12" s="20" t="n">
        <v>75451</v>
      </c>
      <c r="J12" s="20" t="n">
        <v>75098</v>
      </c>
      <c r="K12" s="20" t="n">
        <v>83719</v>
      </c>
      <c r="L12" s="20" t="n">
        <v>95508</v>
      </c>
    </row>
    <row r="13">
      <c r="A13" s="18" t="inlineStr">
        <is>
          <t>무형자산</t>
        </is>
      </c>
      <c r="B13" s="10" t="n"/>
      <c r="C13" s="19" t="n">
        <v>14839</v>
      </c>
      <c r="D13" s="20" t="n">
        <v>14612</v>
      </c>
      <c r="E13" s="20" t="n">
        <v>14464</v>
      </c>
      <c r="F13" s="20" t="n">
        <v>14230</v>
      </c>
      <c r="G13" s="20" t="n">
        <v>14180</v>
      </c>
      <c r="H13" s="19" t="n">
        <v>7774</v>
      </c>
      <c r="I13" s="20" t="n">
        <v>16483</v>
      </c>
      <c r="J13" s="20" t="n">
        <v>16170</v>
      </c>
      <c r="K13" s="20" t="n">
        <v>15277</v>
      </c>
      <c r="L13" s="20" t="n">
        <v>14464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481057</v>
      </c>
      <c r="D16" s="12" t="n">
        <v>480023</v>
      </c>
      <c r="E16" s="12" t="n">
        <v>509773</v>
      </c>
      <c r="F16" s="12" t="n">
        <v>506706</v>
      </c>
      <c r="G16" s="12" t="n">
        <v>526232</v>
      </c>
      <c r="H16" s="11" t="n">
        <v>263729</v>
      </c>
      <c r="I16" s="12" t="n">
        <v>370270</v>
      </c>
      <c r="J16" s="12" t="n">
        <v>399696</v>
      </c>
      <c r="K16" s="12" t="n">
        <v>459847</v>
      </c>
      <c r="L16" s="12" t="n">
        <v>509773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101384</v>
      </c>
      <c r="D18" s="12" t="n">
        <v>103141</v>
      </c>
      <c r="E18" s="12" t="n">
        <v>91890</v>
      </c>
      <c r="F18" s="12" t="n">
        <v>87462</v>
      </c>
      <c r="G18" s="12" t="n">
        <v>106772</v>
      </c>
      <c r="H18" s="11" t="n">
        <v>55690</v>
      </c>
      <c r="I18" s="12" t="n">
        <v>88133</v>
      </c>
      <c r="J18" s="12" t="n">
        <v>108580</v>
      </c>
      <c r="K18" s="12" t="n">
        <v>95654</v>
      </c>
      <c r="L18" s="12" t="n">
        <v>91890</v>
      </c>
    </row>
    <row r="19">
      <c r="A19" s="18" t="inlineStr">
        <is>
          <t>매입채무</t>
        </is>
      </c>
      <c r="B19" s="10" t="n"/>
      <c r="C19" s="19" t="n"/>
      <c r="D19" s="20" t="n"/>
      <c r="E19" s="20" t="n"/>
      <c r="F19" s="20" t="n"/>
      <c r="G19" s="20" t="n"/>
      <c r="H19" s="19" t="n"/>
      <c r="I19" s="20" t="n"/>
      <c r="J19" s="20" t="n"/>
      <c r="K19" s="20" t="n"/>
      <c r="L19" s="20" t="n"/>
    </row>
    <row r="20">
      <c r="A20" s="18" t="inlineStr">
        <is>
          <t>단기차입금</t>
        </is>
      </c>
      <c r="B20" s="10" t="n"/>
      <c r="C20" s="19" t="n">
        <v>6334</v>
      </c>
      <c r="D20" s="20" t="n">
        <v>9887</v>
      </c>
      <c r="E20" s="20" t="n">
        <v>12002</v>
      </c>
      <c r="F20" s="20" t="n">
        <v>15466</v>
      </c>
      <c r="G20" s="20" t="n">
        <v>14470</v>
      </c>
      <c r="H20" s="19" t="n">
        <v>10061</v>
      </c>
      <c r="I20" s="20" t="n">
        <v>39460</v>
      </c>
      <c r="J20" s="20" t="n">
        <v>51537</v>
      </c>
      <c r="K20" s="20" t="n">
        <v>4735</v>
      </c>
      <c r="L20" s="20" t="n">
        <v>12002</v>
      </c>
    </row>
    <row r="21">
      <c r="A21" s="18" t="inlineStr">
        <is>
          <t>유동성장기부채</t>
        </is>
      </c>
      <c r="B21" s="10" t="n"/>
      <c r="C21" s="19" t="n">
        <v>76253</v>
      </c>
      <c r="D21" s="20" t="n">
        <v>73009</v>
      </c>
      <c r="E21" s="20" t="n">
        <v>48760</v>
      </c>
      <c r="F21" s="20" t="n">
        <v>54098</v>
      </c>
      <c r="G21" s="20" t="n">
        <v>70003</v>
      </c>
      <c r="H21" s="19" t="n">
        <v>26193</v>
      </c>
      <c r="I21" s="20" t="n">
        <v>32592</v>
      </c>
      <c r="J21" s="20" t="n">
        <v>42699</v>
      </c>
      <c r="K21" s="20" t="n">
        <v>66387</v>
      </c>
      <c r="L21" s="20" t="n">
        <v>48760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304953</v>
      </c>
      <c r="D23" s="12" t="n">
        <v>298743</v>
      </c>
      <c r="E23" s="12" t="n">
        <v>331760</v>
      </c>
      <c r="F23" s="12" t="n">
        <v>337499</v>
      </c>
      <c r="G23" s="12" t="n">
        <v>331209</v>
      </c>
      <c r="H23" s="11" t="n">
        <v>143894</v>
      </c>
      <c r="I23" s="12" t="n">
        <v>211668</v>
      </c>
      <c r="J23" s="12" t="n">
        <v>220413</v>
      </c>
      <c r="K23" s="12" t="n">
        <v>285512</v>
      </c>
      <c r="L23" s="12" t="n">
        <v>331760</v>
      </c>
    </row>
    <row r="24">
      <c r="A24" s="18" t="inlineStr">
        <is>
          <t>장기차입금</t>
        </is>
      </c>
      <c r="B24" s="10" t="n"/>
      <c r="C24" s="19" t="n">
        <v>267298</v>
      </c>
      <c r="D24" s="20" t="n">
        <v>261287</v>
      </c>
      <c r="E24" s="20" t="n">
        <v>291606</v>
      </c>
      <c r="F24" s="20" t="n">
        <v>296814</v>
      </c>
      <c r="G24" s="20" t="n">
        <v>275741</v>
      </c>
      <c r="H24" s="19" t="n">
        <v>132810</v>
      </c>
      <c r="I24" s="20" t="n">
        <v>190804</v>
      </c>
      <c r="J24" s="20" t="n">
        <v>199557</v>
      </c>
      <c r="K24" s="20" t="n">
        <v>257872</v>
      </c>
      <c r="L24" s="20" t="n">
        <v>291606</v>
      </c>
    </row>
    <row r="25">
      <c r="A25" s="18" t="inlineStr">
        <is>
          <t>사채</t>
        </is>
      </c>
      <c r="B25" s="10" t="n"/>
      <c r="C25" s="19" t="n">
        <v>17400</v>
      </c>
      <c r="D25" s="20" t="n">
        <v>17400</v>
      </c>
      <c r="E25" s="20" t="n">
        <v>17400</v>
      </c>
      <c r="F25" s="20" t="n">
        <v>17400</v>
      </c>
      <c r="G25" s="20" t="n">
        <v>32400</v>
      </c>
      <c r="H25" s="19" t="n"/>
      <c r="I25" s="20" t="n"/>
      <c r="J25" s="20" t="n">
        <v>0</v>
      </c>
      <c r="K25" s="20" t="n">
        <v>7400</v>
      </c>
      <c r="L25" s="20" t="n">
        <v>17400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406337</v>
      </c>
      <c r="D27" s="12" t="n">
        <v>401884</v>
      </c>
      <c r="E27" s="12" t="n">
        <v>423651</v>
      </c>
      <c r="F27" s="12" t="n">
        <v>424961</v>
      </c>
      <c r="G27" s="12" t="n">
        <v>437981</v>
      </c>
      <c r="H27" s="11" t="n">
        <v>199585</v>
      </c>
      <c r="I27" s="12" t="n">
        <v>299801</v>
      </c>
      <c r="J27" s="12" t="n">
        <v>328994</v>
      </c>
      <c r="K27" s="12" t="n">
        <v>381166</v>
      </c>
      <c r="L27" s="12" t="n">
        <v>423651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75371</v>
      </c>
      <c r="D31" s="12" t="n">
        <v>78809</v>
      </c>
      <c r="E31" s="12" t="n">
        <v>86734</v>
      </c>
      <c r="F31" s="12" t="n">
        <v>82376</v>
      </c>
      <c r="G31" s="12" t="n">
        <v>88767</v>
      </c>
      <c r="H31" s="11" t="n">
        <v>65905</v>
      </c>
      <c r="I31" s="12" t="n">
        <v>72128</v>
      </c>
      <c r="J31" s="12" t="n">
        <v>72503</v>
      </c>
      <c r="K31" s="12" t="n">
        <v>79140</v>
      </c>
      <c r="L31" s="12" t="n">
        <v>86734</v>
      </c>
    </row>
    <row r="32">
      <c r="A32" s="18" t="inlineStr">
        <is>
          <t>자본금</t>
        </is>
      </c>
      <c r="B32" s="10" t="n"/>
      <c r="C32" s="19" t="n">
        <v>16519</v>
      </c>
      <c r="D32" s="20" t="n">
        <v>16519</v>
      </c>
      <c r="E32" s="20" t="n">
        <v>16519</v>
      </c>
      <c r="F32" s="20" t="n">
        <v>16519</v>
      </c>
      <c r="G32" s="20" t="n">
        <v>16519</v>
      </c>
      <c r="H32" s="19" t="n">
        <v>16519</v>
      </c>
      <c r="I32" s="20" t="n">
        <v>16519</v>
      </c>
      <c r="J32" s="20" t="n">
        <v>16519</v>
      </c>
      <c r="K32" s="20" t="n">
        <v>16519</v>
      </c>
      <c r="L32" s="20" t="n">
        <v>16519</v>
      </c>
    </row>
    <row r="33">
      <c r="A33" s="18" t="inlineStr">
        <is>
          <t>이익잉여금</t>
        </is>
      </c>
      <c r="B33" s="10" t="n"/>
      <c r="C33" s="19" t="n">
        <v>48444</v>
      </c>
      <c r="D33" s="20" t="n">
        <v>51405</v>
      </c>
      <c r="E33" s="20" t="n">
        <v>58777</v>
      </c>
      <c r="F33" s="20" t="n">
        <v>53386</v>
      </c>
      <c r="G33" s="20" t="n">
        <v>59027</v>
      </c>
      <c r="H33" s="19" t="n">
        <v>38326</v>
      </c>
      <c r="I33" s="20" t="n">
        <v>44484</v>
      </c>
      <c r="J33" s="20" t="n">
        <v>44703</v>
      </c>
      <c r="K33" s="20" t="n">
        <v>51247</v>
      </c>
      <c r="L33" s="20" t="n">
        <v>58777</v>
      </c>
    </row>
    <row r="34">
      <c r="A34" s="18" t="inlineStr">
        <is>
          <t>비지배지분</t>
        </is>
      </c>
      <c r="B34" s="10" t="n"/>
      <c r="C34" s="19" t="n">
        <v>-651</v>
      </c>
      <c r="D34" s="20" t="n">
        <v>-670</v>
      </c>
      <c r="E34" s="20" t="n">
        <v>-612</v>
      </c>
      <c r="F34" s="20" t="n">
        <v>-631</v>
      </c>
      <c r="G34" s="20" t="n">
        <v>-517</v>
      </c>
      <c r="H34" s="19" t="n">
        <v>-1761</v>
      </c>
      <c r="I34" s="20" t="n">
        <v>-1659</v>
      </c>
      <c r="J34" s="20" t="n">
        <v>-1801</v>
      </c>
      <c r="K34" s="20" t="n">
        <v>-459</v>
      </c>
      <c r="L34" s="20" t="n">
        <v>-612</v>
      </c>
    </row>
    <row r="35">
      <c r="A35" s="9" t="inlineStr">
        <is>
          <t>자본총계</t>
        </is>
      </c>
      <c r="B35" s="10" t="n"/>
      <c r="C35" s="11" t="n">
        <v>74720</v>
      </c>
      <c r="D35" s="12" t="n">
        <v>78139</v>
      </c>
      <c r="E35" s="12" t="n">
        <v>86122</v>
      </c>
      <c r="F35" s="12" t="n">
        <v>81745</v>
      </c>
      <c r="G35" s="12" t="n">
        <v>88250</v>
      </c>
      <c r="H35" s="11" t="n">
        <v>64144</v>
      </c>
      <c r="I35" s="12" t="n">
        <v>70469</v>
      </c>
      <c r="J35" s="12" t="n">
        <v>70702</v>
      </c>
      <c r="K35" s="12" t="n">
        <v>78681</v>
      </c>
      <c r="L35" s="12" t="n">
        <v>86122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3067</v>
      </c>
      <c r="D37" s="12" t="n"/>
      <c r="E37" s="12" t="n">
        <v>10362</v>
      </c>
      <c r="F37" s="12" t="n"/>
      <c r="G37" s="12" t="n">
        <v>1813</v>
      </c>
      <c r="H37" s="11" t="n">
        <v>1501</v>
      </c>
      <c r="I37" s="12" t="n">
        <v>-49245</v>
      </c>
      <c r="J37" s="12" t="n"/>
      <c r="K37" s="12" t="n">
        <v>-24765</v>
      </c>
      <c r="L37" s="12" t="n">
        <v>10362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/>
      <c r="F38" s="20" t="n"/>
      <c r="G38" s="20" t="n"/>
      <c r="H38" s="19" t="n"/>
      <c r="I38" s="20" t="n"/>
      <c r="J38" s="20" t="n"/>
      <c r="K38" s="20" t="n"/>
      <c r="L38" s="20" t="n"/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4658</v>
      </c>
      <c r="D40" s="20" t="n"/>
      <c r="E40" s="20" t="n">
        <v>4658</v>
      </c>
      <c r="F40" s="20" t="n"/>
      <c r="G40" s="20" t="n">
        <v>4527</v>
      </c>
      <c r="H40" s="19" t="n">
        <v>3668</v>
      </c>
      <c r="I40" s="20" t="n">
        <v>3671</v>
      </c>
      <c r="J40" s="20" t="n"/>
      <c r="K40" s="20" t="n">
        <v>4647</v>
      </c>
      <c r="L40" s="20" t="n">
        <v>4658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IFERROR((IF(COUNT('연간'!G34:J34)&lt;4,"",SUM('연간'!G34:J34)))/(IF(COUNT('연간'!G56:J56)&lt;4,"",SUM('연간'!G56:J56))),"")</f>
        <v/>
      </c>
      <c r="D48" s="31">
        <f>IFERROR((IF(COUNT('연간'!H34:K34)&lt;4,"",SUM('연간'!H34:K34)))/(IF(COUNT('연간'!H56:K56)&lt;4,"",SUM('연간'!H56:K56))),"")</f>
        <v/>
      </c>
      <c r="E48" s="31">
        <f>IFERROR((IF(COUNT('연간'!I34:L34)&lt;4,"",SUM('연간'!I34:L34)))/(IF(COUNT('연간'!I56:L56)&lt;4,"",SUM('연간'!I56:L56))),"")</f>
        <v/>
      </c>
      <c r="F48" s="31">
        <f>IFERROR((IF(COUNT('연간'!J34:M34)&lt;4,"",SUM('연간'!J34:M34)))/(IF(COUNT('연간'!J56:M56)&lt;4,"",SUM('연간'!J56:M56))),"")</f>
        <v/>
      </c>
      <c r="G48" s="31">
        <f>IFERROR((IF(COUNT('연간'!K34:N34)&lt;4,"",SUM('연간'!K34:N34)))/(IF(COUNT('연간'!K56:N56)&lt;4,"",SUM('연간'!K56:N56))),"")</f>
        <v/>
      </c>
      <c r="H48" s="30">
        <f>IFERROR(('연간'!T34)/('연간'!T56),"")</f>
        <v/>
      </c>
      <c r="I48" s="31">
        <f>IFERROR(('연간'!U34)/('연간'!U56),"")</f>
        <v/>
      </c>
      <c r="J48" s="31">
        <f>IFERROR(('연간'!V34)/('연간'!V56),"")</f>
        <v/>
      </c>
      <c r="K48" s="31">
        <f>IFERROR(('연간'!W34)/('연간'!W56),"")</f>
        <v/>
      </c>
      <c r="L48" s="31">
        <f>IFERROR(('연간'!X34)/('연간'!X56),"")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IFERROR(IF((IF(COUNT('연간'!G64:J64)&lt;4,"",SUM('연간'!G64:J64)))&lt;=0,"적자",C28/(IF(COUNT('연간'!G64:J64)&lt;4,"",SUM('연간'!G64:J64)))),"")</f>
        <v/>
      </c>
      <c r="D49" s="47">
        <f>IFERROR(IF((IF(COUNT('연간'!H64:K64)&lt;4,"",SUM('연간'!H64:K64)))&lt;=0,"적자",D28/(IF(COUNT('연간'!H64:K64)&lt;4,"",SUM('연간'!H64:K64)))),"")</f>
        <v/>
      </c>
      <c r="E49" s="47">
        <f>IFERROR(IF((IF(COUNT('연간'!I64:L64)&lt;4,"",SUM('연간'!I64:L64)))&lt;=0,"적자",E28/(IF(COUNT('연간'!I64:L64)&lt;4,"",SUM('연간'!I64:L64)))),"")</f>
        <v/>
      </c>
      <c r="F49" s="47">
        <f>IFERROR(IF((IF(COUNT('연간'!J64:M64)&lt;4,"",SUM('연간'!J64:M64)))&lt;=0,"적자",F28/(IF(COUNT('연간'!J64:M64)&lt;4,"",SUM('연간'!J64:M64)))),"")</f>
        <v/>
      </c>
      <c r="G49" s="47">
        <f>IFERROR(IF((IF(COUNT('연간'!K64:N64)&lt;4,"",SUM('연간'!K64:N64)))&lt;=0,"적자",G28/(IF(COUNT('연간'!K64:N64)&lt;4,"",SUM('연간'!K64:N64)))),"")</f>
        <v/>
      </c>
      <c r="H49" s="46">
        <f>IFERROR(IF(('연간'!T64)&lt;=0,"적자",H28/('연간'!T64)),"")</f>
        <v/>
      </c>
      <c r="I49" s="47">
        <f>IFERROR(IF(('연간'!U64)&lt;=0,"적자",I28/('연간'!U64)),"")</f>
        <v/>
      </c>
      <c r="J49" s="47">
        <f>IFERROR(IF(('연간'!V64)&lt;=0,"적자",J28/('연간'!V64)),"")</f>
        <v/>
      </c>
      <c r="K49" s="47">
        <f>IFERROR(IF(('연간'!W64)&lt;=0,"적자",K28/('연간'!W64)),"")</f>
        <v/>
      </c>
      <c r="L49" s="47">
        <f>IFERROR(IF(('연간'!X64)&lt;=0,"적자",L28/('연간'!X64)),"")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IFERROR((IF(COUNT('연간'!G64:J64)&lt;4,"",SUM('연간'!G64:J64)))/C31,"")</f>
        <v/>
      </c>
      <c r="D51" s="36">
        <f>IFERROR((IF(COUNT('연간'!H64:K64)&lt;4,"",SUM('연간'!H64:K64)))/D31,"")</f>
        <v/>
      </c>
      <c r="E51" s="36">
        <f>IFERROR((IF(COUNT('연간'!I64:L64)&lt;4,"",SUM('연간'!I64:L64)))/E31,"")</f>
        <v/>
      </c>
      <c r="F51" s="36">
        <f>IFERROR((IF(COUNT('연간'!J64:M64)&lt;4,"",SUM('연간'!J64:M64)))/F31,"")</f>
        <v/>
      </c>
      <c r="G51" s="36">
        <f>IFERROR((IF(COUNT('연간'!K64:N64)&lt;4,"",SUM('연간'!K64:N64)))/G31,"")</f>
        <v/>
      </c>
      <c r="H51" s="35">
        <f>IFERROR(('연간'!T64)/H31,"")</f>
        <v/>
      </c>
      <c r="I51" s="36">
        <f>IFERROR(('연간'!U64)/I31,"")</f>
        <v/>
      </c>
      <c r="J51" s="36">
        <f>IFERROR(('연간'!V64)/J31,"")</f>
        <v/>
      </c>
      <c r="K51" s="36">
        <f>IFERROR(('연간'!W64)/K31,"")</f>
        <v/>
      </c>
      <c r="L51" s="36">
        <f>IFERROR(('연간'!X64)/L31,"")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IFERROR((IF(COUNT('연간'!G62:J62)&lt;4,"",SUM('연간'!G62:J62)))/C16,"")</f>
        <v/>
      </c>
      <c r="D52" s="36">
        <f>IFERROR((IF(COUNT('연간'!H62:K62)&lt;4,"",SUM('연간'!H62:K62)))/D16,"")</f>
        <v/>
      </c>
      <c r="E52" s="36">
        <f>IFERROR((IF(COUNT('연간'!I62:L62)&lt;4,"",SUM('연간'!I62:L62)))/E16,"")</f>
        <v/>
      </c>
      <c r="F52" s="36">
        <f>IFERROR((IF(COUNT('연간'!J62:M62)&lt;4,"",SUM('연간'!J62:M62)))/F16,"")</f>
        <v/>
      </c>
      <c r="G52" s="36">
        <f>IFERROR((IF(COUNT('연간'!K62:N62)&lt;4,"",SUM('연간'!K62:N62)))/G16,"")</f>
        <v/>
      </c>
      <c r="H52" s="35">
        <f>IFERROR(('연간'!T62)/H16,"")</f>
        <v/>
      </c>
      <c r="I52" s="36">
        <f>IFERROR(('연간'!U62)/I16,"")</f>
        <v/>
      </c>
      <c r="J52" s="36">
        <f>IFERROR(('연간'!V62)/J16,"")</f>
        <v/>
      </c>
      <c r="K52" s="36">
        <f>IFERROR(('연간'!W62)/K16,"")</f>
        <v/>
      </c>
      <c r="L52" s="36">
        <f>IFERROR(('연간'!X62)/L16,"")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IFERROR((IF(COUNT('연간'!G34:J34)&lt;4,"",SUM('연간'!G34:J34)))*(1-0.3)/(C35+C29),"")</f>
        <v/>
      </c>
      <c r="D53" s="36">
        <f>IFERROR((IF(COUNT('연간'!H34:K34)&lt;4,"",SUM('연간'!H34:K34)))*(1-0.3)/(D35+D29),"")</f>
        <v/>
      </c>
      <c r="E53" s="36">
        <f>IFERROR((IF(COUNT('연간'!I34:L34)&lt;4,"",SUM('연간'!I34:L34)))*(1-0.3)/(E35+E29),"")</f>
        <v/>
      </c>
      <c r="F53" s="36">
        <f>IFERROR((IF(COUNT('연간'!J34:M34)&lt;4,"",SUM('연간'!J34:M34)))*(1-0.3)/(F35+F29),"")</f>
        <v/>
      </c>
      <c r="G53" s="36">
        <f>IFERROR((IF(COUNT('연간'!K34:N34)&lt;4,"",SUM('연간'!K34:N34)))*(1-0.3)/(G35+G29),"")</f>
        <v/>
      </c>
      <c r="H53" s="35">
        <f>IFERROR(('연간'!T34)*(1-0.3)/(H35+H29),"")</f>
        <v/>
      </c>
      <c r="I53" s="36">
        <f>IFERROR(('연간'!U34)*(1-0.3)/(I35+I29),"")</f>
        <v/>
      </c>
      <c r="J53" s="36">
        <f>IFERROR(('연간'!V34)*(1-0.3)/(J35+J29),"")</f>
        <v/>
      </c>
      <c r="K53" s="36">
        <f>IFERROR(('연간'!W34)*(1-0.3)/(K35+K29),"")</f>
        <v/>
      </c>
      <c r="L53" s="36">
        <f>IFERROR(('연간'!X34)*(1-0.3)/(L35+L29),"")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IFERROR((IF(COUNT('연간'!G28:J28)&lt;4,"",SUM('연간'!G28:J28)))/(IF(COUNT('연간'!G4:J4)&lt;4,"",SUM('연간'!G4:J4))),"")</f>
        <v/>
      </c>
      <c r="D54" s="36">
        <f>IFERROR((IF(COUNT('연간'!H28:K28)&lt;4,"",SUM('연간'!H28:K28)))/(IF(COUNT('연간'!H4:K4)&lt;4,"",SUM('연간'!H4:K4))),"")</f>
        <v/>
      </c>
      <c r="E54" s="36">
        <f>IFERROR((IF(COUNT('연간'!I28:L28)&lt;4,"",SUM('연간'!I28:L28)))/(IF(COUNT('연간'!I4:L4)&lt;4,"",SUM('연간'!I4:L4))),"")</f>
        <v/>
      </c>
      <c r="F54" s="36">
        <f>IFERROR((IF(COUNT('연간'!J28:M28)&lt;4,"",SUM('연간'!J28:M28)))/(IF(COUNT('연간'!J4:M4)&lt;4,"",SUM('연간'!J4:M4))),"")</f>
        <v/>
      </c>
      <c r="G54" s="36">
        <f>IFERROR((IF(COUNT('연간'!K28:N28)&lt;4,"",SUM('연간'!K28:N28)))/(IF(COUNT('연간'!K4:N4)&lt;4,"",SUM('연간'!K4:N4))),"")</f>
        <v/>
      </c>
      <c r="H54" s="35">
        <f>IFERROR(('연간'!T28)/('연간'!T4),"")</f>
        <v/>
      </c>
      <c r="I54" s="36">
        <f>IFERROR(('연간'!U28)/('연간'!U4),"")</f>
        <v/>
      </c>
      <c r="J54" s="36">
        <f>IFERROR(('연간'!V28)/('연간'!V4),"")</f>
        <v/>
      </c>
      <c r="K54" s="36">
        <f>IFERROR(('연간'!W28)/('연간'!W4),"")</f>
        <v/>
      </c>
      <c r="L54" s="36">
        <f>IFERROR(('연간'!X28)/('연간'!X4),"")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IFERROR((IF(COUNT('연간'!G34:J34)&lt;4,"",SUM('연간'!G34:J34)))/(IF(COUNT('연간'!G4:J4)&lt;4,"",SUM('연간'!G4:J4))),"")</f>
        <v/>
      </c>
      <c r="D55" s="36">
        <f>IFERROR((IF(COUNT('연간'!H34:K34)&lt;4,"",SUM('연간'!H34:K34)))/(IF(COUNT('연간'!H4:K4)&lt;4,"",SUM('연간'!H4:K4))),"")</f>
        <v/>
      </c>
      <c r="E55" s="36">
        <f>IFERROR((IF(COUNT('연간'!I34:L34)&lt;4,"",SUM('연간'!I34:L34)))/(IF(COUNT('연간'!I4:L4)&lt;4,"",SUM('연간'!I4:L4))),"")</f>
        <v/>
      </c>
      <c r="F55" s="36">
        <f>IFERROR((IF(COUNT('연간'!J34:M34)&lt;4,"",SUM('연간'!J34:M34)))/(IF(COUNT('연간'!J4:M4)&lt;4,"",SUM('연간'!J4:M4))),"")</f>
        <v/>
      </c>
      <c r="G55" s="36">
        <f>IFERROR((IF(COUNT('연간'!K34:N34)&lt;4,"",SUM('연간'!K34:N34)))/(IF(COUNT('연간'!K4:N4)&lt;4,"",SUM('연간'!K4:N4))),"")</f>
        <v/>
      </c>
      <c r="H55" s="35">
        <f>IFERROR(('연간'!T34)/('연간'!T4),"")</f>
        <v/>
      </c>
      <c r="I55" s="36">
        <f>IFERROR(('연간'!U34)/('연간'!U4),"")</f>
        <v/>
      </c>
      <c r="J55" s="36">
        <f>IFERROR(('연간'!V34)/('연간'!V4),"")</f>
        <v/>
      </c>
      <c r="K55" s="36">
        <f>IFERROR(('연간'!W34)/('연간'!W4),"")</f>
        <v/>
      </c>
      <c r="L55" s="36">
        <f>IFERROR(('연간'!X34)/('연간'!X4),"")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IFERROR((IF(COUNT('연간'!G62:J62)&lt;4,"",SUM('연간'!G62:J62)))/(IF(COUNT('연간'!G4:J4)&lt;4,"",SUM('연간'!G4:J4))),"")</f>
        <v/>
      </c>
      <c r="D56" s="36">
        <f>IFERROR((IF(COUNT('연간'!H62:K62)&lt;4,"",SUM('연간'!H62:K62)))/(IF(COUNT('연간'!H4:K4)&lt;4,"",SUM('연간'!H4:K4))),"")</f>
        <v/>
      </c>
      <c r="E56" s="36">
        <f>IFERROR((IF(COUNT('연간'!I62:L62)&lt;4,"",SUM('연간'!I62:L62)))/(IF(COUNT('연간'!I4:L4)&lt;4,"",SUM('연간'!I4:L4))),"")</f>
        <v/>
      </c>
      <c r="F56" s="36">
        <f>IFERROR((IF(COUNT('연간'!J62:M62)&lt;4,"",SUM('연간'!J62:M62)))/(IF(COUNT('연간'!J4:M4)&lt;4,"",SUM('연간'!J4:M4))),"")</f>
        <v/>
      </c>
      <c r="G56" s="36">
        <f>IFERROR((IF(COUNT('연간'!K62:N62)&lt;4,"",SUM('연간'!K62:N62)))/(IF(COUNT('연간'!K4:N4)&lt;4,"",SUM('연간'!K4:N4))),"")</f>
        <v/>
      </c>
      <c r="H56" s="35">
        <f>IFERROR(('연간'!T62)/('연간'!T4),"")</f>
        <v/>
      </c>
      <c r="I56" s="36">
        <f>IFERROR(('연간'!U62)/('연간'!U4),"")</f>
        <v/>
      </c>
      <c r="J56" s="36">
        <f>IFERROR(('연간'!V62)/('연간'!V4),"")</f>
        <v/>
      </c>
      <c r="K56" s="36">
        <f>IFERROR(('연간'!W62)/('연간'!W4),"")</f>
        <v/>
      </c>
      <c r="L56" s="36">
        <f>IFERROR(('연간'!X62)/('연간'!X4),"")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IFERROR(C9/(IF(COUNT('연간'!G26:J26)&lt;4,"",SUM('연간'!G26:J26)))*365,"")</f>
        <v/>
      </c>
      <c r="D60" s="49">
        <f>IFERROR(D9/(IF(COUNT('연간'!H26:K26)&lt;4,"",SUM('연간'!H26:K26)))*365,"")</f>
        <v/>
      </c>
      <c r="E60" s="49">
        <f>IFERROR(E9/(IF(COUNT('연간'!I26:L26)&lt;4,"",SUM('연간'!I26:L26)))*365,"")</f>
        <v/>
      </c>
      <c r="F60" s="49">
        <f>IFERROR(F9/(IF(COUNT('연간'!J26:M26)&lt;4,"",SUM('연간'!J26:M26)))*365,"")</f>
        <v/>
      </c>
      <c r="G60" s="49">
        <f>IFERROR(G9/(IF(COUNT('연간'!K26:N26)&lt;4,"",SUM('연간'!K26:N26)))*365,"")</f>
        <v/>
      </c>
      <c r="H60" s="48">
        <f>IFERROR(H9/('연간'!T26)*365,"")</f>
        <v/>
      </c>
      <c r="I60" s="49">
        <f>IFERROR(I9/('연간'!U26)*365,"")</f>
        <v/>
      </c>
      <c r="J60" s="49">
        <f>IFERROR(J9/('연간'!V26)*365,"")</f>
        <v/>
      </c>
      <c r="K60" s="49">
        <f>IFERROR(K9/('연간'!W26)*365,"")</f>
        <v/>
      </c>
      <c r="L60" s="49">
        <f>IFERROR(L9/('연간'!X26)*365,"")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IFERROR(C19/(IF(COUNT('연간'!G26:J26)&lt;4,"",SUM('연간'!G26:J26)))*365,"")</f>
        <v/>
      </c>
      <c r="D61" s="49">
        <f>IFERROR(D19/(IF(COUNT('연간'!H26:K26)&lt;4,"",SUM('연간'!H26:K26)))*365,"")</f>
        <v/>
      </c>
      <c r="E61" s="49">
        <f>IFERROR(E19/(IF(COUNT('연간'!I26:L26)&lt;4,"",SUM('연간'!I26:L26)))*365,"")</f>
        <v/>
      </c>
      <c r="F61" s="49">
        <f>IFERROR(F19/(IF(COUNT('연간'!J26:M26)&lt;4,"",SUM('연간'!J26:M26)))*365,"")</f>
        <v/>
      </c>
      <c r="G61" s="49">
        <f>IFERROR(G19/(IF(COUNT('연간'!K26:N26)&lt;4,"",SUM('연간'!K26:N26)))*365,"")</f>
        <v/>
      </c>
      <c r="H61" s="48">
        <f>IFERROR(H19/('연간'!T26)*365,"")</f>
        <v/>
      </c>
      <c r="I61" s="49">
        <f>IFERROR(I19/('연간'!U26)*365,"")</f>
        <v/>
      </c>
      <c r="J61" s="49">
        <f>IFERROR(J19/('연간'!V26)*365,"")</f>
        <v/>
      </c>
      <c r="K61" s="49">
        <f>IFERROR(K19/('연간'!W26)*365,"")</f>
        <v/>
      </c>
      <c r="L61" s="49">
        <f>IFERROR(L19/('연간'!X26)*365,"")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IF(C37="","",IFERROR(C37/(IF(COUNT('연간'!G62:J62)&lt;4,"",SUM('연간'!G62:J62))),""))</f>
        <v/>
      </c>
      <c r="D64" s="31">
        <f>IF(D37="","",IFERROR(D37/(IF(COUNT('연간'!H62:K62)&lt;4,"",SUM('연간'!H62:K62))),""))</f>
        <v/>
      </c>
      <c r="E64" s="31">
        <f>IF(E37="","",IFERROR(E37/(IF(COUNT('연간'!I62:L62)&lt;4,"",SUM('연간'!I62:L62))),""))</f>
        <v/>
      </c>
      <c r="F64" s="31">
        <f>IF(F37="","",IFERROR(F37/(IF(COUNT('연간'!J62:M62)&lt;4,"",SUM('연간'!J62:M62))),""))</f>
        <v/>
      </c>
      <c r="G64" s="31">
        <f>IF(G37="","",IFERROR(G37/(IF(COUNT('연간'!K62:N62)&lt;4,"",SUM('연간'!K62:N62))),""))</f>
        <v/>
      </c>
      <c r="H64" s="30">
        <f>IF(H37="","",IFERROR(H37/('연간'!T62),""))</f>
        <v/>
      </c>
      <c r="I64" s="31">
        <f>IF(I37="","",IFERROR(I37/('연간'!U62),""))</f>
        <v/>
      </c>
      <c r="J64" s="31">
        <f>IF(J37="","",IFERROR(J37/('연간'!V62),""))</f>
        <v/>
      </c>
      <c r="K64" s="31">
        <f>IF(K37="","",IFERROR(K37/('연간'!W62),""))</f>
        <v/>
      </c>
      <c r="L64" s="31">
        <f>IF(L37="","",IFERROR(L37/('연간'!X62),""))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IF(C40="","",IFERROR(C40/(IF(COUNT('연간'!G64:J64)&lt;4,"",SUM('연간'!G64:J64))),""))</f>
        <v/>
      </c>
      <c r="D67" s="36">
        <f>IF(D40="","",IFERROR(D40/(IF(COUNT('연간'!H64:K64)&lt;4,"",SUM('연간'!H64:K64))),""))</f>
        <v/>
      </c>
      <c r="E67" s="36">
        <f>IF(E40="","",IFERROR(E40/(IF(COUNT('연간'!I64:L64)&lt;4,"",SUM('연간'!I64:L64))),""))</f>
        <v/>
      </c>
      <c r="F67" s="36">
        <f>IF(F40="","",IFERROR(F40/(IF(COUNT('연간'!J64:M64)&lt;4,"",SUM('연간'!J64:M64))),""))</f>
        <v/>
      </c>
      <c r="G67" s="36">
        <f>IF(G40="","",IFERROR(G40/(IF(COUNT('연간'!K64:N64)&lt;4,"",SUM('연간'!K64:N64))),""))</f>
        <v/>
      </c>
      <c r="H67" s="35">
        <f>IF(H40="","",IFERROR(H40/('연간'!T64),""))</f>
        <v/>
      </c>
      <c r="I67" s="36">
        <f>IF(I40="","",IFERROR(I40/('연간'!U64),""))</f>
        <v/>
      </c>
      <c r="J67" s="36">
        <f>IF(J40="","",IFERROR(J40/('연간'!V64),""))</f>
        <v/>
      </c>
      <c r="K67" s="36">
        <f>IF(K40="","",IFERROR(K40/('연간'!W64),""))</f>
        <v/>
      </c>
      <c r="L67" s="36">
        <f>IF(L40="","",IFERROR(L40/('연간'!X64),""))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47867</v>
      </c>
      <c r="D71" s="20" t="n">
        <v>42251</v>
      </c>
      <c r="E71" s="20" t="n">
        <v>62873</v>
      </c>
      <c r="F71" s="20" t="n">
        <v>39074</v>
      </c>
      <c r="G71" s="20" t="n">
        <v>65749</v>
      </c>
      <c r="H71" s="20" t="n">
        <v>35721</v>
      </c>
      <c r="I71" s="20" t="n">
        <v>37600</v>
      </c>
      <c r="J71" s="20" t="n">
        <v>48910</v>
      </c>
      <c r="K71" s="20" t="n">
        <v>46802</v>
      </c>
      <c r="L71" s="20" t="n">
        <v>62873</v>
      </c>
    </row>
    <row r="72">
      <c r="A72" s="18" t="inlineStr">
        <is>
          <t>받을어음·매출채권</t>
        </is>
      </c>
      <c r="H72" s="20" t="n">
        <v>0</v>
      </c>
    </row>
    <row r="73">
      <c r="A73" s="18" t="inlineStr">
        <is>
          <t>받을어음·매출채권·계약자산</t>
        </is>
      </c>
      <c r="C73" s="20" t="n">
        <v>1356</v>
      </c>
      <c r="D73" s="20" t="n">
        <v>1228</v>
      </c>
      <c r="E73" s="20" t="n">
        <v>1475</v>
      </c>
      <c r="F73" s="20" t="n">
        <v>1383</v>
      </c>
      <c r="G73" s="20" t="n">
        <v>1512</v>
      </c>
      <c r="H73" s="20" t="n">
        <v>1096</v>
      </c>
      <c r="I73" s="20" t="n">
        <v>965</v>
      </c>
      <c r="J73" s="20" t="n">
        <v>1019</v>
      </c>
      <c r="K73" s="20" t="n">
        <v>1259</v>
      </c>
      <c r="L73" s="20" t="n">
        <v>1475</v>
      </c>
    </row>
    <row r="74">
      <c r="A74" s="18" t="inlineStr">
        <is>
          <t>판매용 부동산</t>
        </is>
      </c>
      <c r="C74" s="20" t="n">
        <v>3924</v>
      </c>
      <c r="D74" s="20" t="n">
        <v>3315</v>
      </c>
      <c r="E74" s="20" t="n">
        <v>2791</v>
      </c>
      <c r="F74" s="20" t="n">
        <v>2132</v>
      </c>
      <c r="G74" s="20" t="n">
        <v>5147</v>
      </c>
      <c r="H74" s="20" t="n">
        <v>4804</v>
      </c>
      <c r="I74" s="20" t="n">
        <v>4924</v>
      </c>
      <c r="J74" s="20" t="n">
        <v>3408</v>
      </c>
      <c r="K74" s="20" t="n">
        <v>8072</v>
      </c>
      <c r="L74" s="20" t="n">
        <v>2791</v>
      </c>
    </row>
    <row r="75">
      <c r="A75" s="18" t="inlineStr">
        <is>
          <t>개발 중 판매용 부동산</t>
        </is>
      </c>
      <c r="C75" s="20" t="n">
        <v>279212</v>
      </c>
      <c r="D75" s="20" t="n">
        <v>280930</v>
      </c>
      <c r="E75" s="20" t="n">
        <v>280764</v>
      </c>
      <c r="F75" s="20" t="n">
        <v>302476</v>
      </c>
      <c r="G75" s="20" t="n">
        <v>295106</v>
      </c>
      <c r="H75" s="20" t="n">
        <v>138968</v>
      </c>
      <c r="I75" s="20" t="n">
        <v>208585</v>
      </c>
      <c r="J75" s="20" t="n">
        <v>227887</v>
      </c>
      <c r="K75" s="20" t="n">
        <v>263066</v>
      </c>
      <c r="L75" s="20" t="n">
        <v>280764</v>
      </c>
    </row>
    <row r="76">
      <c r="A76" s="18" t="inlineStr">
        <is>
          <t>기타</t>
        </is>
      </c>
      <c r="C76" s="20" t="n">
        <v>18987</v>
      </c>
      <c r="D76" s="20" t="n">
        <v>21460</v>
      </c>
      <c r="E76" s="20" t="n">
        <v>24229</v>
      </c>
      <c r="F76" s="20" t="n">
        <v>22426</v>
      </c>
      <c r="G76" s="20" t="n">
        <v>21415</v>
      </c>
      <c r="H76" s="20" t="n">
        <v>10766</v>
      </c>
      <c r="I76" s="20" t="n">
        <v>13128</v>
      </c>
      <c r="J76" s="20" t="n">
        <v>14267</v>
      </c>
      <c r="K76" s="20" t="n">
        <v>15902</v>
      </c>
      <c r="L76" s="20" t="n">
        <v>24229</v>
      </c>
    </row>
    <row r="77">
      <c r="A77" s="18" t="inlineStr">
        <is>
          <t>대손충당금</t>
        </is>
      </c>
      <c r="C77" s="20" t="n">
        <v>-0</v>
      </c>
      <c r="D77" s="20" t="n">
        <v>-0</v>
      </c>
      <c r="E77" s="20" t="n">
        <v>-0</v>
      </c>
      <c r="F77" s="20" t="n">
        <v>-0</v>
      </c>
      <c r="G77" s="20" t="n">
        <v>-0</v>
      </c>
      <c r="H77" s="20" t="n">
        <v>-1</v>
      </c>
      <c r="I77" s="20" t="n">
        <v>-1</v>
      </c>
      <c r="J77" s="20" t="n">
        <v>-1</v>
      </c>
      <c r="K77" s="20" t="n">
        <v>-0</v>
      </c>
      <c r="L77" s="20" t="n">
        <v>-0</v>
      </c>
    </row>
    <row r="78">
      <c r="A78" s="9" t="inlineStr">
        <is>
          <t>유동자산 합계</t>
        </is>
      </c>
      <c r="C78" s="12" t="n">
        <v>351347</v>
      </c>
      <c r="D78" s="12" t="n">
        <v>349185</v>
      </c>
      <c r="E78" s="12" t="n">
        <v>372134</v>
      </c>
      <c r="F78" s="12" t="n">
        <v>367493</v>
      </c>
      <c r="G78" s="12" t="n">
        <v>388931</v>
      </c>
      <c r="H78" s="12" t="n">
        <v>191357</v>
      </c>
      <c r="I78" s="12" t="n">
        <v>265202</v>
      </c>
      <c r="J78" s="12" t="n">
        <v>295492</v>
      </c>
      <c r="K78" s="12" t="n">
        <v>335103</v>
      </c>
      <c r="L78" s="12" t="n">
        <v>372134</v>
      </c>
    </row>
    <row r="79">
      <c r="A79" s="18" t="inlineStr">
        <is>
          <t>건물·구축물</t>
        </is>
      </c>
      <c r="C79" s="20" t="n">
        <v>33717</v>
      </c>
      <c r="D79" s="20" t="n">
        <v>33872</v>
      </c>
      <c r="E79" s="20" t="n">
        <v>36630</v>
      </c>
      <c r="F79" s="20" t="n">
        <v>36678</v>
      </c>
      <c r="G79" s="20" t="n">
        <v>36882</v>
      </c>
      <c r="H79" s="20" t="n">
        <v>22734</v>
      </c>
      <c r="I79" s="20" t="n">
        <v>27801</v>
      </c>
      <c r="J79" s="20" t="n">
        <v>27832</v>
      </c>
      <c r="K79" s="20" t="n">
        <v>32981</v>
      </c>
      <c r="L79" s="20" t="n">
        <v>36630</v>
      </c>
    </row>
    <row r="80">
      <c r="A80" s="18" t="inlineStr">
        <is>
          <t>감가상각누계액</t>
        </is>
      </c>
      <c r="C80" s="20" t="n">
        <v>-6624</v>
      </c>
      <c r="D80" s="20" t="n">
        <v>-7096</v>
      </c>
      <c r="E80" s="20" t="n">
        <v>-7485</v>
      </c>
      <c r="F80" s="20" t="n">
        <v>-7872</v>
      </c>
      <c r="G80" s="20" t="n">
        <v>-8418</v>
      </c>
      <c r="H80" s="20" t="n">
        <v>-2353</v>
      </c>
      <c r="I80" s="20" t="n">
        <v>-3784</v>
      </c>
      <c r="J80" s="20" t="n">
        <v>-4198</v>
      </c>
      <c r="K80" s="20" t="n">
        <v>-5715</v>
      </c>
      <c r="L80" s="20" t="n">
        <v>-7485</v>
      </c>
    </row>
    <row r="81">
      <c r="A81" s="18" t="inlineStr">
        <is>
          <t>건물·구축물(순액)</t>
        </is>
      </c>
      <c r="C81" s="20" t="n">
        <v>27093</v>
      </c>
      <c r="D81" s="20" t="n">
        <v>26776</v>
      </c>
      <c r="E81" s="20" t="n">
        <v>29144</v>
      </c>
      <c r="F81" s="20" t="n">
        <v>28805</v>
      </c>
      <c r="G81" s="20" t="n">
        <v>28463</v>
      </c>
      <c r="H81" s="20" t="n">
        <v>20380</v>
      </c>
      <c r="I81" s="20" t="n">
        <v>24017</v>
      </c>
      <c r="J81" s="20" t="n">
        <v>23634</v>
      </c>
      <c r="K81" s="20" t="n">
        <v>27265</v>
      </c>
      <c r="L81" s="20" t="n">
        <v>29144</v>
      </c>
    </row>
    <row r="82">
      <c r="A82" s="18" t="inlineStr">
        <is>
          <t>차량운반구</t>
        </is>
      </c>
      <c r="H82" s="20" t="n">
        <v>9</v>
      </c>
    </row>
    <row r="83">
      <c r="A83" s="18" t="inlineStr">
        <is>
          <t>감가상각누계액</t>
        </is>
      </c>
      <c r="H83" s="20" t="n">
        <v>-9</v>
      </c>
    </row>
    <row r="84">
      <c r="A84" s="18" t="inlineStr">
        <is>
          <t>차량운반구(순액)</t>
        </is>
      </c>
      <c r="H84" s="20" t="n">
        <v>0</v>
      </c>
    </row>
    <row r="85">
      <c r="A85" s="18" t="inlineStr">
        <is>
          <t>기계장치·운반구</t>
        </is>
      </c>
      <c r="E85" s="20" t="n">
        <v>70</v>
      </c>
      <c r="H85" s="20" t="n">
        <v>9</v>
      </c>
      <c r="J85" s="20" t="n">
        <v>16</v>
      </c>
      <c r="K85" s="20" t="n">
        <v>65</v>
      </c>
      <c r="L85" s="20" t="n">
        <v>70</v>
      </c>
    </row>
    <row r="86">
      <c r="A86" s="18" t="inlineStr">
        <is>
          <t>감가상각누계액</t>
        </is>
      </c>
      <c r="E86" s="20" t="n">
        <v>-20</v>
      </c>
      <c r="H86" s="20" t="n">
        <v>-9</v>
      </c>
      <c r="J86" s="20" t="n">
        <v>-10</v>
      </c>
      <c r="K86" s="20" t="n">
        <v>-10</v>
      </c>
      <c r="L86" s="20" t="n">
        <v>-20</v>
      </c>
    </row>
    <row r="87">
      <c r="A87" s="18" t="inlineStr">
        <is>
          <t>기계장치·운반구(순액)</t>
        </is>
      </c>
      <c r="E87" s="20" t="n">
        <v>49</v>
      </c>
      <c r="H87" s="20" t="n">
        <v>0</v>
      </c>
      <c r="J87" s="20" t="n">
        <v>6</v>
      </c>
      <c r="K87" s="20" t="n">
        <v>55</v>
      </c>
      <c r="L87" s="20" t="n">
        <v>49</v>
      </c>
    </row>
    <row r="88">
      <c r="A88" s="18" t="inlineStr">
        <is>
          <t>토지</t>
        </is>
      </c>
      <c r="C88" s="20" t="n">
        <v>62937</v>
      </c>
      <c r="D88" s="20" t="n">
        <v>62937</v>
      </c>
      <c r="E88" s="20" t="n">
        <v>63672</v>
      </c>
      <c r="F88" s="20" t="n">
        <v>63447</v>
      </c>
      <c r="G88" s="20" t="n">
        <v>60421</v>
      </c>
      <c r="H88" s="20" t="n">
        <v>31535</v>
      </c>
      <c r="I88" s="20" t="n">
        <v>51311</v>
      </c>
      <c r="J88" s="20" t="n">
        <v>51311</v>
      </c>
      <c r="K88" s="20" t="n">
        <v>56231</v>
      </c>
      <c r="L88" s="20" t="n">
        <v>63672</v>
      </c>
    </row>
    <row r="89">
      <c r="A89" s="18" t="inlineStr">
        <is>
          <t>리스자산</t>
        </is>
      </c>
      <c r="E89" s="20" t="n">
        <v>2</v>
      </c>
      <c r="H89" s="20" t="n">
        <v>2</v>
      </c>
      <c r="J89" s="20" t="n">
        <v>2</v>
      </c>
      <c r="K89" s="20" t="n">
        <v>2</v>
      </c>
      <c r="L89" s="20" t="n">
        <v>2</v>
      </c>
    </row>
    <row r="90">
      <c r="A90" s="18" t="inlineStr">
        <is>
          <t>감가상각누계액</t>
        </is>
      </c>
      <c r="E90" s="20" t="n">
        <v>-2</v>
      </c>
      <c r="H90" s="20" t="n">
        <v>-1</v>
      </c>
      <c r="J90" s="20" t="n">
        <v>-1</v>
      </c>
      <c r="K90" s="20" t="n">
        <v>-2</v>
      </c>
      <c r="L90" s="20" t="n">
        <v>-2</v>
      </c>
    </row>
    <row r="91">
      <c r="A91" s="18" t="inlineStr">
        <is>
          <t>리스자산(순액)</t>
        </is>
      </c>
      <c r="E91" s="20" t="n">
        <v>0</v>
      </c>
      <c r="H91" s="20" t="n">
        <v>1</v>
      </c>
      <c r="J91" s="20" t="n">
        <v>1</v>
      </c>
      <c r="K91" s="20" t="n">
        <v>0</v>
      </c>
      <c r="L91" s="20" t="n">
        <v>0</v>
      </c>
    </row>
    <row r="92">
      <c r="A92" s="18" t="inlineStr">
        <is>
          <t>건설중인자산</t>
        </is>
      </c>
      <c r="E92" s="20" t="n">
        <v>2378</v>
      </c>
      <c r="H92" s="20" t="n">
        <v>109</v>
      </c>
      <c r="J92" s="20" t="n">
        <v>38</v>
      </c>
      <c r="K92" s="20" t="n">
        <v>29</v>
      </c>
      <c r="L92" s="20" t="n">
        <v>2378</v>
      </c>
    </row>
    <row r="93">
      <c r="A93" s="18" t="inlineStr">
        <is>
          <t>기타</t>
        </is>
      </c>
      <c r="C93" s="20" t="n">
        <v>680</v>
      </c>
      <c r="D93" s="20" t="n">
        <v>735</v>
      </c>
      <c r="E93" s="20" t="n">
        <v>3129</v>
      </c>
      <c r="F93" s="20" t="n">
        <v>3309</v>
      </c>
      <c r="G93" s="20" t="n">
        <v>3412</v>
      </c>
      <c r="H93" s="20" t="n">
        <v>395</v>
      </c>
      <c r="I93" s="20" t="n">
        <v>455</v>
      </c>
      <c r="J93" s="20" t="n">
        <v>435</v>
      </c>
      <c r="K93" s="20" t="n">
        <v>520</v>
      </c>
      <c r="L93" s="20" t="n">
        <v>3129</v>
      </c>
    </row>
    <row r="94">
      <c r="A94" s="18" t="inlineStr">
        <is>
          <t>감가상각누계액</t>
        </is>
      </c>
      <c r="C94" s="20" t="n">
        <v>-422</v>
      </c>
      <c r="D94" s="20" t="n">
        <v>-438</v>
      </c>
      <c r="E94" s="20" t="n">
        <v>-438</v>
      </c>
      <c r="F94" s="20" t="n">
        <v>-457</v>
      </c>
      <c r="G94" s="20" t="n">
        <v>-581</v>
      </c>
      <c r="H94" s="20" t="n">
        <v>-283</v>
      </c>
      <c r="I94" s="20" t="n">
        <v>-333</v>
      </c>
      <c r="J94" s="20" t="n">
        <v>-330</v>
      </c>
      <c r="K94" s="20" t="n">
        <v>-382</v>
      </c>
      <c r="L94" s="20" t="n">
        <v>-438</v>
      </c>
    </row>
    <row r="95">
      <c r="A95" s="18" t="inlineStr">
        <is>
          <t>기타(순액)</t>
        </is>
      </c>
      <c r="C95" s="20" t="n">
        <v>258</v>
      </c>
      <c r="D95" s="20" t="n">
        <v>296</v>
      </c>
      <c r="E95" s="20" t="n">
        <v>2690</v>
      </c>
      <c r="F95" s="20" t="n">
        <v>2852</v>
      </c>
      <c r="G95" s="20" t="n">
        <v>2830</v>
      </c>
      <c r="H95" s="20" t="n">
        <v>112</v>
      </c>
      <c r="I95" s="20" t="n">
        <v>122</v>
      </c>
      <c r="J95" s="20" t="n">
        <v>105</v>
      </c>
      <c r="K95" s="20" t="n">
        <v>138</v>
      </c>
      <c r="L95" s="20" t="n">
        <v>2690</v>
      </c>
    </row>
    <row r="96">
      <c r="A96" s="18" t="inlineStr">
        <is>
          <t>유형자산 합계</t>
        </is>
      </c>
      <c r="C96" s="20" t="n">
        <v>90288</v>
      </c>
      <c r="D96" s="20" t="n">
        <v>90010</v>
      </c>
      <c r="E96" s="20" t="n">
        <v>95508</v>
      </c>
      <c r="F96" s="20" t="n">
        <v>95105</v>
      </c>
      <c r="G96" s="20" t="n">
        <v>91714</v>
      </c>
      <c r="H96" s="20" t="n">
        <v>52139</v>
      </c>
      <c r="I96" s="20" t="n">
        <v>75451</v>
      </c>
      <c r="J96" s="20" t="n">
        <v>75098</v>
      </c>
      <c r="K96" s="20" t="n">
        <v>83719</v>
      </c>
      <c r="L96" s="20" t="n">
        <v>95508</v>
      </c>
    </row>
    <row r="97">
      <c r="A97" s="18" t="inlineStr">
        <is>
          <t>영업권</t>
        </is>
      </c>
      <c r="C97" s="20" t="n">
        <v>14740</v>
      </c>
      <c r="D97" s="20" t="n">
        <v>14516</v>
      </c>
      <c r="E97" s="20" t="n">
        <v>14357</v>
      </c>
      <c r="F97" s="20" t="n">
        <v>14130</v>
      </c>
      <c r="G97" s="20" t="n">
        <v>13908</v>
      </c>
      <c r="H97" s="20" t="n">
        <v>7696</v>
      </c>
      <c r="I97" s="20" t="n">
        <v>16409</v>
      </c>
      <c r="J97" s="20" t="n">
        <v>16109</v>
      </c>
      <c r="K97" s="20" t="n">
        <v>15188</v>
      </c>
      <c r="L97" s="20" t="n">
        <v>14357</v>
      </c>
    </row>
    <row r="98">
      <c r="A98" s="18" t="inlineStr">
        <is>
          <t>기타</t>
        </is>
      </c>
      <c r="C98" s="20" t="n">
        <v>99</v>
      </c>
      <c r="D98" s="20" t="n">
        <v>95</v>
      </c>
      <c r="E98" s="20" t="n">
        <v>106</v>
      </c>
      <c r="F98" s="20" t="n">
        <v>99</v>
      </c>
      <c r="G98" s="20" t="n">
        <v>272</v>
      </c>
      <c r="H98" s="20" t="n">
        <v>77</v>
      </c>
      <c r="I98" s="20" t="n">
        <v>73</v>
      </c>
      <c r="J98" s="20" t="n">
        <v>61</v>
      </c>
      <c r="K98" s="20" t="n">
        <v>88</v>
      </c>
      <c r="L98" s="20" t="n">
        <v>106</v>
      </c>
    </row>
    <row r="99">
      <c r="A99" s="18" t="inlineStr">
        <is>
          <t>무형자산 합계</t>
        </is>
      </c>
      <c r="C99" s="20" t="n">
        <v>14839</v>
      </c>
      <c r="D99" s="20" t="n">
        <v>14612</v>
      </c>
      <c r="E99" s="20" t="n">
        <v>14464</v>
      </c>
      <c r="F99" s="20" t="n">
        <v>14230</v>
      </c>
      <c r="G99" s="20" t="n">
        <v>14180</v>
      </c>
      <c r="H99" s="20" t="n">
        <v>7774</v>
      </c>
      <c r="I99" s="20" t="n">
        <v>16483</v>
      </c>
      <c r="J99" s="20" t="n">
        <v>16170</v>
      </c>
      <c r="K99" s="20" t="n">
        <v>15277</v>
      </c>
      <c r="L99" s="20" t="n">
        <v>14464</v>
      </c>
    </row>
    <row r="100">
      <c r="A100" s="18" t="inlineStr">
        <is>
          <t>투자유가증권</t>
        </is>
      </c>
      <c r="E100" s="20" t="n">
        <v>20126</v>
      </c>
      <c r="H100" s="20" t="n">
        <v>6279</v>
      </c>
      <c r="J100" s="20" t="n">
        <v>7950</v>
      </c>
      <c r="K100" s="20" t="n">
        <v>19546</v>
      </c>
      <c r="L100" s="20" t="n">
        <v>20126</v>
      </c>
    </row>
    <row r="101">
      <c r="A101" s="18" t="inlineStr">
        <is>
          <t>장기대여금</t>
        </is>
      </c>
      <c r="E101" s="20" t="n">
        <v>2419</v>
      </c>
      <c r="H101" s="20" t="n">
        <v>2475</v>
      </c>
      <c r="J101" s="20" t="n">
        <v>2471</v>
      </c>
      <c r="K101" s="20" t="n">
        <v>2438</v>
      </c>
      <c r="L101" s="20" t="n">
        <v>2419</v>
      </c>
    </row>
    <row r="102">
      <c r="A102" s="18" t="inlineStr">
        <is>
          <t>이연법인세자산</t>
        </is>
      </c>
      <c r="E102" s="20" t="n">
        <v>1521</v>
      </c>
      <c r="H102" s="20" t="n">
        <v>352</v>
      </c>
      <c r="J102" s="20" t="n">
        <v>73</v>
      </c>
      <c r="K102" s="20" t="n">
        <v>552</v>
      </c>
      <c r="L102" s="20" t="n">
        <v>1521</v>
      </c>
    </row>
    <row r="103">
      <c r="A103" s="18" t="inlineStr">
        <is>
          <t>기타</t>
        </is>
      </c>
      <c r="C103" s="20" t="n">
        <v>26311</v>
      </c>
      <c r="D103" s="20" t="n">
        <v>27949</v>
      </c>
      <c r="E103" s="20" t="n">
        <v>29406</v>
      </c>
      <c r="F103" s="20" t="n">
        <v>31622</v>
      </c>
      <c r="G103" s="20" t="n">
        <v>33088</v>
      </c>
      <c r="H103" s="20" t="n">
        <v>4827</v>
      </c>
      <c r="I103" s="20" t="n">
        <v>14645</v>
      </c>
      <c r="J103" s="20" t="n">
        <v>4252</v>
      </c>
      <c r="K103" s="20" t="n">
        <v>4985</v>
      </c>
      <c r="L103" s="20" t="n">
        <v>29406</v>
      </c>
    </row>
    <row r="104">
      <c r="A104" s="18" t="inlineStr">
        <is>
          <t>대손충당금</t>
        </is>
      </c>
      <c r="C104" s="20" t="n">
        <v>-1812</v>
      </c>
      <c r="D104" s="20" t="n">
        <v>-1812</v>
      </c>
      <c r="E104" s="20" t="n">
        <v>-1812</v>
      </c>
      <c r="F104" s="20" t="n">
        <v>-1812</v>
      </c>
      <c r="G104" s="20" t="n">
        <v>-1812</v>
      </c>
      <c r="H104" s="20" t="n">
        <v>-1521</v>
      </c>
      <c r="I104" s="20" t="n">
        <v>-1521</v>
      </c>
      <c r="J104" s="20" t="n">
        <v>-1812</v>
      </c>
      <c r="K104" s="20" t="n">
        <v>-1812</v>
      </c>
      <c r="L104" s="20" t="n">
        <v>-1812</v>
      </c>
    </row>
    <row r="105">
      <c r="A105" s="18" t="inlineStr">
        <is>
          <t>투자 및 기타자산 합계</t>
        </is>
      </c>
      <c r="C105" s="20" t="n">
        <v>24498</v>
      </c>
      <c r="D105" s="20" t="n">
        <v>26137</v>
      </c>
      <c r="E105" s="20" t="n">
        <v>27593</v>
      </c>
      <c r="F105" s="20" t="n">
        <v>29809</v>
      </c>
      <c r="G105" s="20" t="n">
        <v>31275</v>
      </c>
      <c r="H105" s="20" t="n">
        <v>12413</v>
      </c>
      <c r="I105" s="20" t="n">
        <v>13124</v>
      </c>
      <c r="J105" s="20" t="n">
        <v>12935</v>
      </c>
      <c r="K105" s="20" t="n">
        <v>25711</v>
      </c>
      <c r="L105" s="20" t="n">
        <v>27593</v>
      </c>
    </row>
    <row r="106">
      <c r="A106" s="9" t="inlineStr">
        <is>
          <t>비유동자산 합계</t>
        </is>
      </c>
      <c r="C106" s="12" t="n">
        <v>129627</v>
      </c>
      <c r="D106" s="12" t="n">
        <v>130759</v>
      </c>
      <c r="E106" s="12" t="n">
        <v>137565</v>
      </c>
      <c r="F106" s="12" t="n">
        <v>139145</v>
      </c>
      <c r="G106" s="12" t="n">
        <v>137170</v>
      </c>
      <c r="H106" s="12" t="n">
        <v>72327</v>
      </c>
      <c r="I106" s="12" t="n">
        <v>105059</v>
      </c>
      <c r="J106" s="12" t="n">
        <v>104204</v>
      </c>
      <c r="K106" s="12" t="n">
        <v>124708</v>
      </c>
      <c r="L106" s="12" t="n">
        <v>137565</v>
      </c>
    </row>
    <row r="107">
      <c r="A107" s="18" t="inlineStr">
        <is>
          <t>주식교부비</t>
        </is>
      </c>
      <c r="H107" s="20" t="n">
        <v>45</v>
      </c>
      <c r="I107" s="20" t="n">
        <v>9</v>
      </c>
    </row>
    <row r="108">
      <c r="A108" s="18" t="inlineStr">
        <is>
          <t>사채발행비</t>
        </is>
      </c>
      <c r="C108" s="20" t="n">
        <v>82</v>
      </c>
      <c r="D108" s="20" t="n">
        <v>78</v>
      </c>
      <c r="E108" s="20" t="n">
        <v>73</v>
      </c>
      <c r="F108" s="20" t="n">
        <v>68</v>
      </c>
      <c r="G108" s="20" t="n">
        <v>129</v>
      </c>
      <c r="J108" s="20" t="n">
        <v>0</v>
      </c>
      <c r="K108" s="20" t="n">
        <v>36</v>
      </c>
      <c r="L108" s="20" t="n">
        <v>73</v>
      </c>
    </row>
    <row r="109">
      <c r="A109" s="18" t="inlineStr">
        <is>
          <t>이연자산 합계</t>
        </is>
      </c>
      <c r="C109" s="20" t="n">
        <v>82</v>
      </c>
      <c r="D109" s="20" t="n">
        <v>78</v>
      </c>
      <c r="E109" s="20" t="n">
        <v>73</v>
      </c>
      <c r="F109" s="20" t="n">
        <v>68</v>
      </c>
      <c r="G109" s="20" t="n">
        <v>129</v>
      </c>
      <c r="H109" s="20" t="n">
        <v>45</v>
      </c>
      <c r="I109" s="20" t="n">
        <v>9</v>
      </c>
      <c r="J109" s="20" t="n">
        <v>0</v>
      </c>
      <c r="K109" s="20" t="n">
        <v>36</v>
      </c>
      <c r="L109" s="20" t="n">
        <v>73</v>
      </c>
    </row>
    <row r="110">
      <c r="A110" s="9" t="inlineStr">
        <is>
          <t>자산 합계</t>
        </is>
      </c>
      <c r="C110" s="12" t="n">
        <v>481057</v>
      </c>
      <c r="D110" s="12" t="n">
        <v>480023</v>
      </c>
      <c r="E110" s="12" t="n">
        <v>509773</v>
      </c>
      <c r="F110" s="12" t="n">
        <v>506706</v>
      </c>
      <c r="G110" s="12" t="n">
        <v>526232</v>
      </c>
      <c r="H110" s="12" t="n">
        <v>263729</v>
      </c>
      <c r="I110" s="12" t="n">
        <v>370270</v>
      </c>
      <c r="J110" s="12" t="n">
        <v>399696</v>
      </c>
      <c r="K110" s="12" t="n">
        <v>459847</v>
      </c>
      <c r="L110" s="12" t="n">
        <v>509773</v>
      </c>
    </row>
    <row r="111">
      <c r="A111" s="18" t="inlineStr">
        <is>
          <t>단기차입금</t>
        </is>
      </c>
      <c r="C111" s="20" t="n">
        <v>6334</v>
      </c>
      <c r="D111" s="20" t="n">
        <v>9887</v>
      </c>
      <c r="E111" s="20" t="n">
        <v>12002</v>
      </c>
      <c r="F111" s="20" t="n">
        <v>15466</v>
      </c>
      <c r="G111" s="20" t="n">
        <v>14470</v>
      </c>
      <c r="H111" s="20" t="n">
        <v>10061</v>
      </c>
      <c r="I111" s="20" t="n">
        <v>39460</v>
      </c>
      <c r="J111" s="20" t="n">
        <v>51537</v>
      </c>
      <c r="K111" s="20" t="n">
        <v>4735</v>
      </c>
      <c r="L111" s="20" t="n">
        <v>12002</v>
      </c>
    </row>
    <row r="112">
      <c r="A112" s="18" t="inlineStr">
        <is>
          <t>1년 내 상환 장기차입금</t>
        </is>
      </c>
      <c r="C112" s="20" t="n">
        <v>76253</v>
      </c>
      <c r="D112" s="20" t="n">
        <v>73009</v>
      </c>
      <c r="E112" s="20" t="n">
        <v>48760</v>
      </c>
      <c r="F112" s="20" t="n">
        <v>54098</v>
      </c>
      <c r="G112" s="20" t="n">
        <v>70003</v>
      </c>
      <c r="H112" s="20" t="n">
        <v>26193</v>
      </c>
      <c r="I112" s="20" t="n">
        <v>32592</v>
      </c>
      <c r="J112" s="20" t="n">
        <v>42699</v>
      </c>
      <c r="K112" s="20" t="n">
        <v>66387</v>
      </c>
      <c r="L112" s="20" t="n">
        <v>48760</v>
      </c>
    </row>
    <row r="113">
      <c r="A113" s="18" t="inlineStr">
        <is>
          <t>리스부채</t>
        </is>
      </c>
      <c r="E113" s="20" t="n">
        <v>0</v>
      </c>
      <c r="H113" s="20" t="n">
        <v>0</v>
      </c>
      <c r="J113" s="20" t="n">
        <v>0</v>
      </c>
      <c r="K113" s="20" t="n">
        <v>0</v>
      </c>
      <c r="L113" s="20" t="n">
        <v>0</v>
      </c>
    </row>
    <row r="114">
      <c r="A114" s="18" t="inlineStr">
        <is>
          <t>미지급금</t>
        </is>
      </c>
      <c r="E114" s="20" t="n">
        <v>5488</v>
      </c>
      <c r="H114" s="20" t="n">
        <v>4702</v>
      </c>
      <c r="J114" s="20" t="n">
        <v>2887</v>
      </c>
      <c r="K114" s="20" t="n">
        <v>4596</v>
      </c>
      <c r="L114" s="20" t="n">
        <v>5488</v>
      </c>
    </row>
    <row r="115">
      <c r="A115" s="18" t="inlineStr">
        <is>
          <t>미지급법인세</t>
        </is>
      </c>
      <c r="C115" s="20" t="n">
        <v>1362</v>
      </c>
      <c r="D115" s="20" t="n">
        <v>1791</v>
      </c>
      <c r="E115" s="20" t="n">
        <v>5138</v>
      </c>
      <c r="F115" s="20" t="n">
        <v>249</v>
      </c>
      <c r="G115" s="20" t="n">
        <v>3051</v>
      </c>
      <c r="H115" s="20" t="n">
        <v>3258</v>
      </c>
      <c r="I115" s="20" t="n">
        <v>3108</v>
      </c>
      <c r="J115" s="20" t="n">
        <v>594</v>
      </c>
      <c r="K115" s="20" t="n">
        <v>6373</v>
      </c>
      <c r="L115" s="20" t="n">
        <v>5138</v>
      </c>
    </row>
    <row r="116">
      <c r="A116" s="18" t="inlineStr">
        <is>
          <t>선수금</t>
        </is>
      </c>
      <c r="E116" s="20" t="n">
        <v>6896</v>
      </c>
      <c r="H116" s="20" t="n">
        <v>5201</v>
      </c>
      <c r="J116" s="20" t="n">
        <v>5960</v>
      </c>
      <c r="K116" s="20" t="n">
        <v>4854</v>
      </c>
      <c r="L116" s="20" t="n">
        <v>6896</v>
      </c>
    </row>
    <row r="117">
      <c r="A117" s="18" t="inlineStr">
        <is>
          <t>예수금</t>
        </is>
      </c>
      <c r="E117" s="20" t="n">
        <v>11884</v>
      </c>
      <c r="H117" s="20" t="n">
        <v>5416</v>
      </c>
      <c r="J117" s="20" t="n">
        <v>4442</v>
      </c>
      <c r="K117" s="20" t="n">
        <v>7607</v>
      </c>
      <c r="L117" s="20" t="n">
        <v>11884</v>
      </c>
    </row>
    <row r="118">
      <c r="A118" s="18" t="inlineStr">
        <is>
          <t>자산복구부채</t>
        </is>
      </c>
      <c r="E118" s="20" t="n">
        <v>0</v>
      </c>
      <c r="J118" s="20" t="n">
        <v>0</v>
      </c>
      <c r="K118" s="20" t="n">
        <v>8</v>
      </c>
      <c r="L118" s="20" t="n">
        <v>0</v>
      </c>
    </row>
    <row r="119">
      <c r="A119" s="18" t="inlineStr">
        <is>
          <t>기타 충당금</t>
        </is>
      </c>
      <c r="E119" s="20" t="n">
        <v>0</v>
      </c>
      <c r="G119" s="20" t="n">
        <v>18</v>
      </c>
      <c r="L119" s="20" t="n">
        <v>0</v>
      </c>
    </row>
    <row r="120">
      <c r="A120" s="18" t="inlineStr">
        <is>
          <t>기타</t>
        </is>
      </c>
      <c r="C120" s="20" t="n">
        <v>17433</v>
      </c>
      <c r="D120" s="20" t="n">
        <v>18452</v>
      </c>
      <c r="E120" s="20" t="n">
        <v>25989</v>
      </c>
      <c r="F120" s="20" t="n">
        <v>17648</v>
      </c>
      <c r="G120" s="20" t="n">
        <v>19227</v>
      </c>
      <c r="H120" s="20" t="n">
        <v>856</v>
      </c>
      <c r="I120" s="20" t="n">
        <v>12971</v>
      </c>
      <c r="J120" s="20" t="n">
        <v>458</v>
      </c>
      <c r="K120" s="20" t="n">
        <v>1090</v>
      </c>
      <c r="L120" s="20" t="n">
        <v>25989</v>
      </c>
    </row>
    <row r="121">
      <c r="A121" s="9" t="inlineStr">
        <is>
          <t>유동부채 합계</t>
        </is>
      </c>
      <c r="C121" s="12" t="n">
        <v>101384</v>
      </c>
      <c r="D121" s="12" t="n">
        <v>103141</v>
      </c>
      <c r="E121" s="12" t="n">
        <v>91890</v>
      </c>
      <c r="F121" s="12" t="n">
        <v>87462</v>
      </c>
      <c r="G121" s="12" t="n">
        <v>106772</v>
      </c>
      <c r="H121" s="12" t="n">
        <v>55690</v>
      </c>
      <c r="I121" s="12" t="n">
        <v>88133</v>
      </c>
      <c r="J121" s="12" t="n">
        <v>108580</v>
      </c>
      <c r="K121" s="12" t="n">
        <v>95654</v>
      </c>
      <c r="L121" s="12" t="n">
        <v>91890</v>
      </c>
    </row>
    <row r="122">
      <c r="A122" s="18" t="inlineStr">
        <is>
          <t>사채</t>
        </is>
      </c>
      <c r="C122" s="20" t="n">
        <v>17400</v>
      </c>
      <c r="D122" s="20" t="n">
        <v>17400</v>
      </c>
      <c r="E122" s="20" t="n">
        <v>17400</v>
      </c>
      <c r="F122" s="20" t="n">
        <v>17400</v>
      </c>
      <c r="G122" s="20" t="n">
        <v>32400</v>
      </c>
      <c r="J122" s="20" t="n">
        <v>0</v>
      </c>
      <c r="K122" s="20" t="n">
        <v>7400</v>
      </c>
      <c r="L122" s="20" t="n">
        <v>17400</v>
      </c>
    </row>
    <row r="123">
      <c r="A123" s="18" t="inlineStr">
        <is>
          <t>장기차입금</t>
        </is>
      </c>
      <c r="C123" s="20" t="n">
        <v>267298</v>
      </c>
      <c r="D123" s="20" t="n">
        <v>261287</v>
      </c>
      <c r="E123" s="20" t="n">
        <v>291606</v>
      </c>
      <c r="F123" s="20" t="n">
        <v>296814</v>
      </c>
      <c r="G123" s="20" t="n">
        <v>275741</v>
      </c>
      <c r="H123" s="20" t="n">
        <v>132810</v>
      </c>
      <c r="I123" s="20" t="n">
        <v>190804</v>
      </c>
      <c r="J123" s="20" t="n">
        <v>199557</v>
      </c>
      <c r="K123" s="20" t="n">
        <v>257872</v>
      </c>
      <c r="L123" s="20" t="n">
        <v>291606</v>
      </c>
    </row>
    <row r="124">
      <c r="A124" s="18" t="inlineStr">
        <is>
          <t>리스부채</t>
        </is>
      </c>
      <c r="E124" s="20" t="n">
        <v>0</v>
      </c>
      <c r="H124" s="20" t="n">
        <v>1</v>
      </c>
      <c r="J124" s="20" t="n">
        <v>0</v>
      </c>
      <c r="K124" s="20" t="n">
        <v>0</v>
      </c>
      <c r="L124" s="20" t="n">
        <v>0</v>
      </c>
    </row>
    <row r="125">
      <c r="A125" s="18" t="inlineStr">
        <is>
          <t>이연법인세부채</t>
        </is>
      </c>
      <c r="E125" s="20" t="n">
        <v>14691</v>
      </c>
      <c r="H125" s="20" t="n">
        <v>7916</v>
      </c>
      <c r="J125" s="20" t="n">
        <v>17087</v>
      </c>
      <c r="K125" s="20" t="n">
        <v>16295</v>
      </c>
      <c r="L125" s="20" t="n">
        <v>14691</v>
      </c>
    </row>
    <row r="126">
      <c r="A126" s="18" t="inlineStr">
        <is>
          <t>임원 주식급여 충당금</t>
        </is>
      </c>
      <c r="C126" s="20" t="n">
        <v>228</v>
      </c>
      <c r="D126" s="20" t="n">
        <v>228</v>
      </c>
      <c r="E126" s="20" t="n">
        <v>294</v>
      </c>
      <c r="F126" s="20" t="n">
        <v>294</v>
      </c>
      <c r="G126" s="20" t="n">
        <v>294</v>
      </c>
      <c r="H126" s="20" t="n">
        <v>186</v>
      </c>
      <c r="I126" s="20" t="n">
        <v>211</v>
      </c>
      <c r="J126" s="20" t="n">
        <v>227</v>
      </c>
      <c r="K126" s="20" t="n">
        <v>229</v>
      </c>
      <c r="L126" s="20" t="n">
        <v>294</v>
      </c>
    </row>
    <row r="127">
      <c r="A127" s="18" t="inlineStr">
        <is>
          <t>주식급여 충당금</t>
        </is>
      </c>
      <c r="C127" s="20" t="n">
        <v>143</v>
      </c>
      <c r="D127" s="20" t="n">
        <v>146</v>
      </c>
      <c r="E127" s="20" t="n">
        <v>151</v>
      </c>
      <c r="F127" s="20" t="n">
        <v>161</v>
      </c>
      <c r="G127" s="20" t="n">
        <v>164</v>
      </c>
      <c r="H127" s="20" t="n">
        <v>109</v>
      </c>
      <c r="I127" s="20" t="n">
        <v>111</v>
      </c>
      <c r="J127" s="20" t="n">
        <v>116</v>
      </c>
      <c r="K127" s="20" t="n">
        <v>128</v>
      </c>
      <c r="L127" s="20" t="n">
        <v>151</v>
      </c>
    </row>
    <row r="128">
      <c r="A128" s="18" t="inlineStr">
        <is>
          <t>기타 충당금</t>
        </is>
      </c>
      <c r="E128" s="20" t="n">
        <v>0</v>
      </c>
      <c r="G128" s="20" t="n">
        <v>7</v>
      </c>
      <c r="L128" s="20" t="n">
        <v>0</v>
      </c>
    </row>
    <row r="129">
      <c r="A129" s="18" t="inlineStr">
        <is>
          <t>자산복구부채</t>
        </is>
      </c>
      <c r="C129" s="20" t="n">
        <v>284</v>
      </c>
      <c r="D129" s="20" t="n">
        <v>296</v>
      </c>
      <c r="E129" s="20" t="n">
        <v>296</v>
      </c>
      <c r="F129" s="20" t="n">
        <v>363</v>
      </c>
      <c r="G129" s="20" t="n">
        <v>515</v>
      </c>
      <c r="H129" s="20" t="n">
        <v>271</v>
      </c>
      <c r="I129" s="20" t="n">
        <v>276</v>
      </c>
      <c r="J129" s="20" t="n">
        <v>277</v>
      </c>
      <c r="K129" s="20" t="n">
        <v>278</v>
      </c>
      <c r="L129" s="20" t="n">
        <v>296</v>
      </c>
    </row>
    <row r="130">
      <c r="A130" s="18" t="inlineStr">
        <is>
          <t>지분법 적용 관련 부채</t>
        </is>
      </c>
      <c r="E130" s="20" t="n">
        <v>3640</v>
      </c>
      <c r="K130" s="20" t="n">
        <v>0</v>
      </c>
      <c r="L130" s="20" t="n">
        <v>3640</v>
      </c>
    </row>
    <row r="131">
      <c r="A131" s="18" t="inlineStr">
        <is>
          <t>기타</t>
        </is>
      </c>
      <c r="C131" s="20" t="n">
        <v>19597</v>
      </c>
      <c r="D131" s="20" t="n">
        <v>19382</v>
      </c>
      <c r="E131" s="20" t="n">
        <v>22012</v>
      </c>
      <c r="F131" s="20" t="n">
        <v>22466</v>
      </c>
      <c r="G131" s="20" t="n">
        <v>22085</v>
      </c>
      <c r="H131" s="20" t="n">
        <v>2598</v>
      </c>
      <c r="I131" s="20" t="n">
        <v>20264</v>
      </c>
      <c r="J131" s="20" t="n">
        <v>3146</v>
      </c>
      <c r="K131" s="20" t="n">
        <v>3307</v>
      </c>
      <c r="L131" s="20" t="n">
        <v>22012</v>
      </c>
    </row>
    <row r="132">
      <c r="A132" s="9" t="inlineStr">
        <is>
          <t>비유동부채 합계</t>
        </is>
      </c>
      <c r="C132" s="12" t="n">
        <v>304953</v>
      </c>
      <c r="D132" s="12" t="n">
        <v>298743</v>
      </c>
      <c r="E132" s="12" t="n">
        <v>331760</v>
      </c>
      <c r="F132" s="12" t="n">
        <v>337499</v>
      </c>
      <c r="G132" s="12" t="n">
        <v>331209</v>
      </c>
      <c r="H132" s="12" t="n">
        <v>143894</v>
      </c>
      <c r="I132" s="12" t="n">
        <v>211668</v>
      </c>
      <c r="J132" s="12" t="n">
        <v>220413</v>
      </c>
      <c r="K132" s="12" t="n">
        <v>285512</v>
      </c>
      <c r="L132" s="12" t="n">
        <v>331760</v>
      </c>
    </row>
    <row r="133">
      <c r="A133" s="9" t="inlineStr">
        <is>
          <t>부채 합계</t>
        </is>
      </c>
      <c r="C133" s="12" t="n">
        <v>406337</v>
      </c>
      <c r="D133" s="12" t="n">
        <v>401884</v>
      </c>
      <c r="E133" s="12" t="n">
        <v>423651</v>
      </c>
      <c r="F133" s="12" t="n">
        <v>424961</v>
      </c>
      <c r="G133" s="12" t="n">
        <v>437981</v>
      </c>
      <c r="H133" s="12" t="n">
        <v>199585</v>
      </c>
      <c r="I133" s="12" t="n">
        <v>299801</v>
      </c>
      <c r="J133" s="12" t="n">
        <v>328994</v>
      </c>
      <c r="K133" s="12" t="n">
        <v>381166</v>
      </c>
      <c r="L133" s="12" t="n">
        <v>423651</v>
      </c>
    </row>
    <row r="134">
      <c r="A134" s="18" t="inlineStr">
        <is>
          <t>자본금</t>
        </is>
      </c>
      <c r="C134" s="20" t="n">
        <v>16519</v>
      </c>
      <c r="D134" s="20" t="n">
        <v>16519</v>
      </c>
      <c r="E134" s="20" t="n">
        <v>16519</v>
      </c>
      <c r="F134" s="20" t="n">
        <v>16519</v>
      </c>
      <c r="G134" s="20" t="n">
        <v>16519</v>
      </c>
      <c r="H134" s="20" t="n">
        <v>16519</v>
      </c>
      <c r="I134" s="20" t="n">
        <v>16519</v>
      </c>
      <c r="J134" s="20" t="n">
        <v>16519</v>
      </c>
      <c r="K134" s="20" t="n">
        <v>16519</v>
      </c>
      <c r="L134" s="20" t="n">
        <v>16519</v>
      </c>
    </row>
    <row r="135">
      <c r="A135" s="18" t="inlineStr">
        <is>
          <t>자본잉여금</t>
        </is>
      </c>
      <c r="C135" s="20" t="n">
        <v>12527</v>
      </c>
      <c r="D135" s="20" t="n">
        <v>12565</v>
      </c>
      <c r="E135" s="20" t="n">
        <v>12565</v>
      </c>
      <c r="F135" s="20" t="n">
        <v>12565</v>
      </c>
      <c r="G135" s="20" t="n">
        <v>12563</v>
      </c>
      <c r="H135" s="20" t="n">
        <v>12424</v>
      </c>
      <c r="I135" s="20" t="n">
        <v>12436</v>
      </c>
      <c r="J135" s="20" t="n">
        <v>12461</v>
      </c>
      <c r="K135" s="20" t="n">
        <v>12523</v>
      </c>
      <c r="L135" s="20" t="n">
        <v>12565</v>
      </c>
    </row>
    <row r="136">
      <c r="A136" s="18" t="inlineStr">
        <is>
          <t>이익잉여금</t>
        </is>
      </c>
      <c r="C136" s="20" t="n">
        <v>48444</v>
      </c>
      <c r="D136" s="20" t="n">
        <v>51405</v>
      </c>
      <c r="E136" s="20" t="n">
        <v>58777</v>
      </c>
      <c r="F136" s="20" t="n">
        <v>53386</v>
      </c>
      <c r="G136" s="20" t="n">
        <v>59027</v>
      </c>
      <c r="H136" s="20" t="n">
        <v>38326</v>
      </c>
      <c r="I136" s="20" t="n">
        <v>44484</v>
      </c>
      <c r="J136" s="20" t="n">
        <v>44703</v>
      </c>
      <c r="K136" s="20" t="n">
        <v>51247</v>
      </c>
      <c r="L136" s="20" t="n">
        <v>58777</v>
      </c>
    </row>
    <row r="137">
      <c r="A137" s="18" t="inlineStr">
        <is>
          <t>자기주식</t>
        </is>
      </c>
      <c r="C137" s="20" t="n">
        <v>-1331</v>
      </c>
      <c r="D137" s="20" t="n">
        <v>-1262</v>
      </c>
      <c r="E137" s="20" t="n">
        <v>-1262</v>
      </c>
      <c r="F137" s="20" t="n">
        <v>-1262</v>
      </c>
      <c r="G137" s="20" t="n">
        <v>-1258</v>
      </c>
      <c r="H137" s="20" t="n">
        <v>-1457</v>
      </c>
      <c r="I137" s="20" t="n">
        <v>-1427</v>
      </c>
      <c r="J137" s="20" t="n">
        <v>-1383</v>
      </c>
      <c r="K137" s="20" t="n">
        <v>-1344</v>
      </c>
      <c r="L137" s="20" t="n">
        <v>-1262</v>
      </c>
    </row>
    <row r="138">
      <c r="A138" s="9" t="inlineStr">
        <is>
          <t>주주자본 합계</t>
        </is>
      </c>
      <c r="C138" s="12" t="n">
        <v>76160</v>
      </c>
      <c r="D138" s="12" t="n">
        <v>79227</v>
      </c>
      <c r="E138" s="12" t="n">
        <v>86600</v>
      </c>
      <c r="F138" s="12" t="n">
        <v>81209</v>
      </c>
      <c r="G138" s="12" t="n">
        <v>86852</v>
      </c>
      <c r="H138" s="12" t="n">
        <v>65813</v>
      </c>
      <c r="I138" s="12" t="n">
        <v>72012</v>
      </c>
      <c r="J138" s="12" t="n">
        <v>72301</v>
      </c>
      <c r="K138" s="12" t="n">
        <v>78946</v>
      </c>
      <c r="L138" s="12" t="n">
        <v>86600</v>
      </c>
    </row>
    <row r="139">
      <c r="A139" s="18" t="inlineStr">
        <is>
          <t>기타유가증권 평가차액</t>
        </is>
      </c>
      <c r="C139" s="20" t="n">
        <v>129</v>
      </c>
      <c r="D139" s="20" t="n">
        <v>195</v>
      </c>
      <c r="E139" s="20" t="n">
        <v>85</v>
      </c>
      <c r="F139" s="20" t="n">
        <v>934</v>
      </c>
      <c r="G139" s="20" t="n">
        <v>1446</v>
      </c>
      <c r="H139" s="20" t="n">
        <v>79</v>
      </c>
      <c r="I139" s="20" t="n">
        <v>58</v>
      </c>
      <c r="J139" s="20" t="n">
        <v>149</v>
      </c>
      <c r="K139" s="20" t="n">
        <v>47</v>
      </c>
      <c r="L139" s="20" t="n">
        <v>85</v>
      </c>
    </row>
    <row r="140">
      <c r="A140" s="18" t="inlineStr">
        <is>
          <t>해외사업환산조정</t>
        </is>
      </c>
      <c r="C140" s="20" t="n">
        <v>-917</v>
      </c>
      <c r="D140" s="20" t="n">
        <v>-613</v>
      </c>
      <c r="E140" s="20" t="n">
        <v>48</v>
      </c>
      <c r="F140" s="20" t="n">
        <v>233</v>
      </c>
      <c r="G140" s="20" t="n">
        <v>468</v>
      </c>
      <c r="H140" s="20" t="n">
        <v>13</v>
      </c>
      <c r="I140" s="20" t="n">
        <v>56</v>
      </c>
      <c r="J140" s="20" t="n">
        <v>52</v>
      </c>
      <c r="K140" s="20" t="n">
        <v>146</v>
      </c>
      <c r="L140" s="20" t="n">
        <v>48</v>
      </c>
    </row>
    <row r="141">
      <c r="A141" s="18" t="inlineStr">
        <is>
          <t>기타포괄손익누계액 합계</t>
        </is>
      </c>
      <c r="C141" s="20" t="n">
        <v>-788</v>
      </c>
      <c r="D141" s="20" t="n">
        <v>-417</v>
      </c>
      <c r="E141" s="20" t="n">
        <v>134</v>
      </c>
      <c r="F141" s="20" t="n">
        <v>1167</v>
      </c>
      <c r="G141" s="20" t="n">
        <v>1915</v>
      </c>
      <c r="H141" s="20" t="n">
        <v>93</v>
      </c>
      <c r="I141" s="20" t="n">
        <v>115</v>
      </c>
      <c r="J141" s="20" t="n">
        <v>202</v>
      </c>
      <c r="K141" s="20" t="n">
        <v>194</v>
      </c>
      <c r="L141" s="20" t="n">
        <v>134</v>
      </c>
    </row>
    <row r="142">
      <c r="A142" s="18" t="inlineStr">
        <is>
          <t>신주예약권</t>
        </is>
      </c>
      <c r="C142" s="20" t="n">
        <v>0</v>
      </c>
      <c r="D142" s="20" t="n">
        <v>0</v>
      </c>
      <c r="E142" s="20" t="n">
        <v>0</v>
      </c>
      <c r="H142" s="20" t="n">
        <v>0</v>
      </c>
      <c r="I142" s="20" t="n">
        <v>0</v>
      </c>
      <c r="J142" s="20" t="n">
        <v>0</v>
      </c>
      <c r="K142" s="20" t="n">
        <v>0</v>
      </c>
      <c r="L142" s="20" t="n">
        <v>0</v>
      </c>
    </row>
    <row r="143">
      <c r="A143" s="18" t="inlineStr">
        <is>
          <t>비지배지분</t>
        </is>
      </c>
      <c r="C143" s="20" t="n">
        <v>-651</v>
      </c>
      <c r="D143" s="20" t="n">
        <v>-670</v>
      </c>
      <c r="E143" s="20" t="n">
        <v>-612</v>
      </c>
      <c r="F143" s="20" t="n">
        <v>-631</v>
      </c>
      <c r="G143" s="20" t="n">
        <v>-517</v>
      </c>
      <c r="H143" s="20" t="n">
        <v>-1761</v>
      </c>
      <c r="I143" s="20" t="n">
        <v>-1659</v>
      </c>
      <c r="J143" s="20" t="n">
        <v>-1801</v>
      </c>
      <c r="K143" s="20" t="n">
        <v>-459</v>
      </c>
      <c r="L143" s="20" t="n">
        <v>-612</v>
      </c>
    </row>
    <row r="144">
      <c r="A144" s="9" t="inlineStr">
        <is>
          <t>순자산 합계</t>
        </is>
      </c>
      <c r="C144" s="12" t="n">
        <v>74720</v>
      </c>
      <c r="D144" s="12" t="n">
        <v>78139</v>
      </c>
      <c r="E144" s="12" t="n">
        <v>86122</v>
      </c>
      <c r="F144" s="12" t="n">
        <v>81745</v>
      </c>
      <c r="G144" s="12" t="n">
        <v>88250</v>
      </c>
      <c r="H144" s="12" t="n">
        <v>64144</v>
      </c>
      <c r="I144" s="12" t="n">
        <v>70469</v>
      </c>
      <c r="J144" s="12" t="n">
        <v>70702</v>
      </c>
      <c r="K144" s="12" t="n">
        <v>78681</v>
      </c>
      <c r="L144" s="12" t="n">
        <v>86122</v>
      </c>
    </row>
    <row r="145">
      <c r="A145" s="9" t="inlineStr">
        <is>
          <t>부채·순자산 합계</t>
        </is>
      </c>
      <c r="C145" s="12" t="n">
        <v>481057</v>
      </c>
      <c r="D145" s="12" t="n">
        <v>480023</v>
      </c>
      <c r="E145" s="12" t="n">
        <v>509773</v>
      </c>
      <c r="F145" s="12" t="n">
        <v>506706</v>
      </c>
      <c r="G145" s="12" t="n">
        <v>526232</v>
      </c>
      <c r="H145" s="12" t="n">
        <v>263729</v>
      </c>
      <c r="I145" s="12" t="n">
        <v>370270</v>
      </c>
      <c r="J145" s="12" t="n">
        <v>399696</v>
      </c>
      <c r="K145" s="12" t="n">
        <v>459847</v>
      </c>
      <c r="L145" s="12" t="n">
        <v>509773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44" customWidth="1" min="7" max="7"/>
  </cols>
  <sheetData>
    <row r="1">
      <c r="A1" s="50" t="inlineStr">
        <is>
          <t>에스콘 섹터·사업 데이터</t>
        </is>
      </c>
    </row>
    <row r="2">
      <c r="A2" s="51" t="inlineStr">
        <is>
          <t>2단계 보고서를 만들 때 모은 자료 · 월차 · 출처는 맨 오른쪽</t>
        </is>
      </c>
    </row>
    <row r="4">
      <c r="A4" s="52" t="inlineStr">
        <is>
          <t>bs annual</t>
        </is>
      </c>
      <c r="B4" s="52" t="n"/>
      <c r="C4" s="52" t="n"/>
      <c r="D4" s="52" t="n"/>
      <c r="E4" s="52" t="n"/>
      <c r="F4" s="52" t="n"/>
      <c r="G4" s="52" t="n"/>
    </row>
    <row r="5">
      <c r="A5" s="53" t="inlineStr">
        <is>
          <t>항목</t>
        </is>
      </c>
      <c r="B5" s="53" t="inlineStr">
        <is>
          <t>2022</t>
        </is>
      </c>
      <c r="C5" s="53" t="inlineStr">
        <is>
          <t>2023</t>
        </is>
      </c>
      <c r="D5" s="53" t="inlineStr">
        <is>
          <t>2024</t>
        </is>
      </c>
      <c r="E5" s="53" t="inlineStr">
        <is>
          <t>2025</t>
        </is>
      </c>
      <c r="F5" s="53" t="inlineStr">
        <is>
          <t>2026</t>
        </is>
      </c>
      <c r="G5" s="53" t="inlineStr">
        <is>
          <t>출처</t>
        </is>
      </c>
    </row>
    <row r="6">
      <c r="A6" s="54" t="inlineStr">
        <is>
          <t>labels</t>
        </is>
      </c>
      <c r="B6" s="55" t="n">
        <v>2022</v>
      </c>
      <c r="C6" s="55" t="n">
        <v>2023</v>
      </c>
      <c r="D6" s="55" t="n">
        <v>2024</v>
      </c>
      <c r="E6" s="55" t="n">
        <v>2025</v>
      </c>
      <c r="F6" s="55" t="n">
        <v>2026</v>
      </c>
      <c r="G6" s="56" t="inlineStr">
        <is>
          <t>2단계 보고서 자료(회사 설명회 자료·공시)</t>
        </is>
      </c>
    </row>
    <row r="7">
      <c r="A7" s="54" t="inlineStr">
        <is>
          <t>current assets</t>
        </is>
      </c>
      <c r="B7" s="57" t="n">
        <v>1913.6</v>
      </c>
      <c r="C7" s="57" t="n">
        <v>2652</v>
      </c>
      <c r="D7" s="57" t="n">
        <v>2954.9</v>
      </c>
      <c r="E7" s="57" t="n">
        <v>3351</v>
      </c>
      <c r="F7" s="57" t="n">
        <v>3721.3</v>
      </c>
    </row>
    <row r="8">
      <c r="A8" s="54" t="inlineStr">
        <is>
          <t>cash</t>
        </is>
      </c>
      <c r="B8" s="57" t="n">
        <v>357.2</v>
      </c>
      <c r="C8" s="57" t="n">
        <v>376</v>
      </c>
      <c r="D8" s="57" t="n">
        <v>489.1</v>
      </c>
      <c r="E8" s="57" t="n">
        <v>468</v>
      </c>
      <c r="F8" s="57" t="n">
        <v>628.7</v>
      </c>
    </row>
    <row r="9">
      <c r="A9" s="54" t="inlineStr">
        <is>
          <t>st fin</t>
        </is>
      </c>
      <c r="B9" s="58" t="n"/>
      <c r="C9" s="58" t="n"/>
      <c r="D9" s="58" t="n"/>
      <c r="E9" s="58" t="n"/>
      <c r="F9" s="58" t="n"/>
    </row>
    <row r="10">
      <c r="A10" s="54" t="inlineStr">
        <is>
          <t>receivables</t>
        </is>
      </c>
      <c r="B10" s="57" t="n">
        <v>11</v>
      </c>
      <c r="C10" s="57" t="n">
        <v>9.699999999999999</v>
      </c>
      <c r="D10" s="57" t="n">
        <v>10.2</v>
      </c>
      <c r="E10" s="57" t="n">
        <v>12.6</v>
      </c>
      <c r="F10" s="57" t="n">
        <v>14.8</v>
      </c>
    </row>
    <row r="11">
      <c r="A11" s="54" t="inlineStr">
        <is>
          <t>inventory</t>
        </is>
      </c>
      <c r="B11" s="57" t="n">
        <v>48</v>
      </c>
      <c r="C11" s="57" t="n">
        <v>49.2</v>
      </c>
      <c r="D11" s="57" t="n">
        <v>34.1</v>
      </c>
      <c r="E11" s="57" t="n">
        <v>80.7</v>
      </c>
      <c r="F11" s="57" t="n">
        <v>27.9</v>
      </c>
    </row>
    <row r="12">
      <c r="A12" s="54" t="inlineStr">
        <is>
          <t>noncurrent assets</t>
        </is>
      </c>
      <c r="B12" s="57" t="n">
        <v>723.3</v>
      </c>
      <c r="C12" s="57" t="n">
        <v>1050.6</v>
      </c>
      <c r="D12" s="57" t="n">
        <v>1042</v>
      </c>
      <c r="E12" s="57" t="n">
        <v>1247.1</v>
      </c>
      <c r="F12" s="57" t="n">
        <v>1375.7</v>
      </c>
    </row>
    <row r="13">
      <c r="A13" s="54" t="inlineStr">
        <is>
          <t>ppe</t>
        </is>
      </c>
      <c r="B13" s="57" t="n">
        <v>521.4</v>
      </c>
      <c r="C13" s="57" t="n">
        <v>754.5</v>
      </c>
      <c r="D13" s="57" t="n">
        <v>751</v>
      </c>
      <c r="E13" s="57" t="n">
        <v>837.2</v>
      </c>
      <c r="F13" s="57" t="n">
        <v>955.1</v>
      </c>
    </row>
    <row r="14">
      <c r="A14" s="54" t="inlineStr">
        <is>
          <t>intangibles</t>
        </is>
      </c>
      <c r="B14" s="57" t="n">
        <v>77.7</v>
      </c>
      <c r="C14" s="57" t="n">
        <v>164.8</v>
      </c>
      <c r="D14" s="57" t="n">
        <v>161.7</v>
      </c>
      <c r="E14" s="57" t="n">
        <v>152.8</v>
      </c>
      <c r="F14" s="57" t="n">
        <v>144.6</v>
      </c>
    </row>
    <row r="15">
      <c r="A15" s="54" t="inlineStr">
        <is>
          <t>inv property</t>
        </is>
      </c>
      <c r="B15" s="58" t="n"/>
      <c r="C15" s="58" t="n"/>
      <c r="D15" s="58" t="n"/>
      <c r="E15" s="58" t="n"/>
      <c r="F15" s="58" t="n"/>
    </row>
    <row r="16">
      <c r="A16" s="54" t="inlineStr">
        <is>
          <t>합계 assets</t>
        </is>
      </c>
      <c r="B16" s="57" t="n">
        <v>2637.3</v>
      </c>
      <c r="C16" s="57" t="n">
        <v>3702.7</v>
      </c>
      <c r="D16" s="57" t="n">
        <v>3997</v>
      </c>
      <c r="E16" s="57" t="n">
        <v>4598.5</v>
      </c>
      <c r="F16" s="57" t="n">
        <v>5097.7</v>
      </c>
    </row>
    <row r="17">
      <c r="A17" s="54" t="inlineStr">
        <is>
          <t>current liab</t>
        </is>
      </c>
      <c r="B17" s="57" t="n">
        <v>556.9</v>
      </c>
      <c r="C17" s="57" t="n">
        <v>881.3</v>
      </c>
      <c r="D17" s="57" t="n">
        <v>1085.8</v>
      </c>
      <c r="E17" s="57" t="n">
        <v>956.5</v>
      </c>
      <c r="F17" s="57" t="n">
        <v>918.9</v>
      </c>
    </row>
    <row r="18">
      <c r="A18" s="54" t="inlineStr">
        <is>
          <t>payables</t>
        </is>
      </c>
      <c r="B18" s="58" t="n"/>
      <c r="C18" s="58" t="n"/>
      <c r="D18" s="58" t="n"/>
      <c r="E18" s="58" t="n"/>
      <c r="F18" s="58" t="n"/>
    </row>
    <row r="19">
      <c r="A19" s="54" t="inlineStr">
        <is>
          <t>st debt</t>
        </is>
      </c>
      <c r="B19" s="57" t="n">
        <v>100.6</v>
      </c>
      <c r="C19" s="57" t="n">
        <v>394.6</v>
      </c>
      <c r="D19" s="57" t="n">
        <v>515.4</v>
      </c>
      <c r="E19" s="57" t="n">
        <v>47.4</v>
      </c>
      <c r="F19" s="57" t="n">
        <v>120</v>
      </c>
    </row>
    <row r="20">
      <c r="A20" s="54" t="inlineStr">
        <is>
          <t>noncurrent liab</t>
        </is>
      </c>
      <c r="B20" s="57" t="n">
        <v>1438.9</v>
      </c>
      <c r="C20" s="57" t="n">
        <v>2116.7</v>
      </c>
      <c r="D20" s="57" t="n">
        <v>2204.1</v>
      </c>
      <c r="E20" s="57" t="n">
        <v>2855.1</v>
      </c>
      <c r="F20" s="57" t="n">
        <v>3317.6</v>
      </c>
    </row>
    <row r="21">
      <c r="A21" s="54" t="inlineStr">
        <is>
          <t>lt debt</t>
        </is>
      </c>
      <c r="B21" s="57" t="n">
        <v>1328.1</v>
      </c>
      <c r="C21" s="57" t="n">
        <v>1908</v>
      </c>
      <c r="D21" s="57" t="n">
        <v>1995.6</v>
      </c>
      <c r="E21" s="57" t="n">
        <v>2578.7</v>
      </c>
      <c r="F21" s="57" t="n">
        <v>2916.1</v>
      </c>
    </row>
    <row r="22">
      <c r="A22" s="54" t="inlineStr">
        <is>
          <t>bonds</t>
        </is>
      </c>
      <c r="B22" s="58" t="n"/>
      <c r="C22" s="58" t="n"/>
      <c r="D22" s="57" t="n">
        <v>0</v>
      </c>
      <c r="E22" s="57" t="n">
        <v>74</v>
      </c>
      <c r="F22" s="57" t="n">
        <v>174</v>
      </c>
    </row>
    <row r="23">
      <c r="A23" s="54" t="inlineStr">
        <is>
          <t>합계 liab</t>
        </is>
      </c>
      <c r="B23" s="57" t="n">
        <v>1995.8</v>
      </c>
      <c r="C23" s="57" t="n">
        <v>2998</v>
      </c>
      <c r="D23" s="57" t="n">
        <v>3289.9</v>
      </c>
      <c r="E23" s="57" t="n">
        <v>3811.7</v>
      </c>
      <c r="F23" s="57" t="n">
        <v>4236.5</v>
      </c>
    </row>
    <row r="24">
      <c r="A24" s="54" t="inlineStr">
        <is>
          <t>capital stock</t>
        </is>
      </c>
      <c r="B24" s="57" t="n">
        <v>165.2</v>
      </c>
      <c r="C24" s="57" t="n">
        <v>165.2</v>
      </c>
      <c r="D24" s="57" t="n">
        <v>165.2</v>
      </c>
      <c r="E24" s="57" t="n">
        <v>165.2</v>
      </c>
      <c r="F24" s="57" t="n">
        <v>165.2</v>
      </c>
    </row>
    <row r="25">
      <c r="A25" s="54" t="inlineStr">
        <is>
          <t>retained</t>
        </is>
      </c>
      <c r="B25" s="57" t="n">
        <v>383.3</v>
      </c>
      <c r="C25" s="57" t="n">
        <v>444.8</v>
      </c>
      <c r="D25" s="57" t="n">
        <v>447</v>
      </c>
      <c r="E25" s="57" t="n">
        <v>512.5</v>
      </c>
      <c r="F25" s="57" t="n">
        <v>587.8</v>
      </c>
    </row>
    <row r="26">
      <c r="A26" s="54" t="inlineStr">
        <is>
          <t>nci</t>
        </is>
      </c>
      <c r="B26" s="57" t="n">
        <v>-17.6</v>
      </c>
      <c r="C26" s="57" t="n">
        <v>-16.6</v>
      </c>
      <c r="D26" s="57" t="n">
        <v>-18</v>
      </c>
      <c r="E26" s="57" t="n">
        <v>-4.6</v>
      </c>
      <c r="F26" s="57" t="n">
        <v>-6.1</v>
      </c>
    </row>
    <row r="27">
      <c r="A27" s="54" t="inlineStr">
        <is>
          <t>합계 equity</t>
        </is>
      </c>
      <c r="B27" s="57" t="n">
        <v>641.4</v>
      </c>
      <c r="C27" s="57" t="n">
        <v>704.7</v>
      </c>
      <c r="D27" s="57" t="n">
        <v>707</v>
      </c>
      <c r="E27" s="57" t="n">
        <v>786.8</v>
      </c>
      <c r="F27" s="57" t="n">
        <v>861.2</v>
      </c>
    </row>
    <row r="28">
      <c r="A28" s="54" t="inlineStr">
        <is>
          <t>current ltd</t>
        </is>
      </c>
      <c r="B28" s="57" t="n">
        <v>261.9</v>
      </c>
      <c r="C28" s="57" t="n">
        <v>325.9</v>
      </c>
      <c r="D28" s="57" t="n">
        <v>427</v>
      </c>
      <c r="E28" s="57" t="n">
        <v>663.9</v>
      </c>
      <c r="F28" s="57" t="n">
        <v>487.6</v>
      </c>
    </row>
    <row r="29">
      <c r="A29" s="54" t="inlineStr">
        <is>
          <t>equity owner</t>
        </is>
      </c>
      <c r="B29" s="57" t="n">
        <v>659</v>
      </c>
      <c r="C29" s="57" t="n">
        <v>721.3</v>
      </c>
      <c r="D29" s="57" t="n">
        <v>725</v>
      </c>
      <c r="E29" s="57" t="n">
        <v>791.4</v>
      </c>
      <c r="F29" s="57" t="n">
        <v>867.3</v>
      </c>
    </row>
    <row r="31">
      <c r="A31" s="52" t="inlineStr">
        <is>
          <t>cf annual</t>
        </is>
      </c>
      <c r="B31" s="52" t="n"/>
      <c r="C31" s="52" t="n"/>
      <c r="D31" s="52" t="n"/>
      <c r="E31" s="52" t="n"/>
      <c r="F31" s="52" t="n"/>
      <c r="G31" s="52" t="n"/>
    </row>
    <row r="32">
      <c r="A32" s="53" t="inlineStr">
        <is>
          <t>항목</t>
        </is>
      </c>
      <c r="B32" s="53" t="inlineStr">
        <is>
          <t>2022</t>
        </is>
      </c>
      <c r="C32" s="53" t="inlineStr">
        <is>
          <t>2023</t>
        </is>
      </c>
      <c r="D32" s="53" t="inlineStr">
        <is>
          <t>2024</t>
        </is>
      </c>
      <c r="E32" s="53" t="inlineStr">
        <is>
          <t>2025</t>
        </is>
      </c>
      <c r="F32" s="53" t="inlineStr">
        <is>
          <t>2026</t>
        </is>
      </c>
      <c r="G32" s="53" t="inlineStr">
        <is>
          <t>출처</t>
        </is>
      </c>
    </row>
    <row r="33">
      <c r="A33" s="54" t="inlineStr">
        <is>
          <t>labels</t>
        </is>
      </c>
      <c r="B33" s="55" t="n">
        <v>2022</v>
      </c>
      <c r="C33" s="55" t="n">
        <v>2023</v>
      </c>
      <c r="D33" s="55" t="n">
        <v>2024</v>
      </c>
      <c r="E33" s="55" t="n">
        <v>2025</v>
      </c>
      <c r="F33" s="55" t="n">
        <v>2026</v>
      </c>
      <c r="G33" s="56" t="inlineStr">
        <is>
          <t>2단계 보고서 자료(회사 설명회 자료·공시)</t>
        </is>
      </c>
    </row>
    <row r="34">
      <c r="A34" s="54" t="inlineStr">
        <is>
          <t>ocf</t>
        </is>
      </c>
      <c r="B34" s="57" t="n">
        <v>15</v>
      </c>
      <c r="C34" s="57" t="n">
        <v>-492.4</v>
      </c>
      <c r="D34" s="58" t="n"/>
      <c r="E34" s="57" t="n">
        <v>-247.7</v>
      </c>
      <c r="F34" s="57" t="n">
        <v>103.6</v>
      </c>
    </row>
    <row r="35">
      <c r="A35" s="54" t="inlineStr">
        <is>
          <t>설비투자</t>
        </is>
      </c>
      <c r="B35" s="58" t="n"/>
      <c r="C35" s="58" t="n"/>
      <c r="D35" s="58" t="n"/>
      <c r="E35" s="58" t="n"/>
      <c r="F35" s="58" t="n"/>
    </row>
    <row r="36">
      <c r="A36" s="54" t="inlineStr">
        <is>
          <t>dividends</t>
        </is>
      </c>
      <c r="B36" s="57" t="n">
        <v>36.7</v>
      </c>
      <c r="C36" s="57" t="n">
        <v>36.7</v>
      </c>
      <c r="D36" s="58" t="n"/>
      <c r="E36" s="57" t="n">
        <v>46.5</v>
      </c>
      <c r="F36" s="57" t="n">
        <v>46.6</v>
      </c>
    </row>
    <row r="38">
      <c r="A38" s="52" t="inlineStr">
        <is>
          <t>company 예상</t>
        </is>
      </c>
      <c r="B38" s="52" t="n"/>
      <c r="C38" s="52" t="n"/>
      <c r="D38" s="52" t="n"/>
      <c r="E38" s="52" t="n"/>
      <c r="F38" s="52" t="n"/>
      <c r="G38" s="52" t="n"/>
    </row>
    <row r="39">
      <c r="A39" s="53" t="inlineStr">
        <is>
          <t>항목</t>
        </is>
      </c>
      <c r="B39" s="53" t="inlineStr">
        <is>
          <t>값</t>
        </is>
      </c>
      <c r="G39" s="53" t="inlineStr">
        <is>
          <t>출처</t>
        </is>
      </c>
    </row>
    <row r="40">
      <c r="A40" s="54" t="inlineStr">
        <is>
          <t>매출</t>
        </is>
      </c>
      <c r="B40" s="57" t="n">
        <v>1450</v>
      </c>
      <c r="G40" s="56" t="inlineStr">
        <is>
          <t>2단계 보고서 자료(회사 설명회 자료·공시)</t>
        </is>
      </c>
    </row>
    <row r="41">
      <c r="A41" s="54" t="inlineStr">
        <is>
          <t>영업이익</t>
        </is>
      </c>
      <c r="B41" s="57" t="n">
        <v>265</v>
      </c>
    </row>
    <row r="42">
      <c r="A42" s="54" t="inlineStr">
        <is>
          <t>경상이익</t>
        </is>
      </c>
      <c r="B42" s="57" t="n">
        <v>200</v>
      </c>
    </row>
    <row r="43">
      <c r="A43" s="54" t="inlineStr">
        <is>
          <t>순이익</t>
        </is>
      </c>
      <c r="B43" s="57" t="n">
        <v>140</v>
      </c>
    </row>
    <row r="44">
      <c r="A44" s="54" t="inlineStr">
        <is>
          <t>EPS</t>
        </is>
      </c>
      <c r="B44" s="57" t="n">
        <v>151.4</v>
      </c>
    </row>
    <row r="46">
      <c r="A46" s="52" t="inlineStr">
        <is>
          <t>shares</t>
        </is>
      </c>
      <c r="B46" s="52" t="n"/>
      <c r="C46" s="52" t="n"/>
      <c r="D46" s="52" t="n"/>
      <c r="E46" s="52" t="n"/>
      <c r="F46" s="52" t="n"/>
      <c r="G46" s="52" t="n"/>
    </row>
    <row r="47">
      <c r="A47" s="53" t="inlineStr">
        <is>
          <t>항목</t>
        </is>
      </c>
      <c r="B47" s="53" t="inlineStr">
        <is>
          <t>값</t>
        </is>
      </c>
      <c r="G47" s="53" t="inlineStr">
        <is>
          <t>출처</t>
        </is>
      </c>
    </row>
    <row r="48">
      <c r="A48" s="54" t="inlineStr">
        <is>
          <t>issued</t>
        </is>
      </c>
      <c r="B48" s="55" t="n">
        <v>98580887</v>
      </c>
      <c r="G48" s="56" t="inlineStr">
        <is>
          <t>26.9월말 결산단신</t>
        </is>
      </c>
    </row>
    <row r="49">
      <c r="A49" s="54" t="inlineStr">
        <is>
          <t>treasury</t>
        </is>
      </c>
      <c r="B49" s="55" t="n">
        <v>2678754</v>
      </c>
    </row>
    <row r="50">
      <c r="A50" s="54" t="inlineStr">
        <is>
          <t>ex treasury</t>
        </is>
      </c>
      <c r="B50" s="55" t="n">
        <v>95902133</v>
      </c>
    </row>
    <row r="52">
      <c r="A52" s="52" t="inlineStr">
        <is>
          <t>가이던스 FY3 27</t>
        </is>
      </c>
      <c r="B52" s="52" t="n"/>
      <c r="C52" s="52" t="n"/>
      <c r="D52" s="52" t="n"/>
      <c r="E52" s="52" t="n"/>
      <c r="F52" s="52" t="n"/>
      <c r="G52" s="52" t="n"/>
    </row>
    <row r="53">
      <c r="A53" s="53" t="inlineStr">
        <is>
          <t>항목</t>
        </is>
      </c>
      <c r="B53" s="53" t="inlineStr">
        <is>
          <t>값</t>
        </is>
      </c>
      <c r="G53" s="53" t="inlineStr">
        <is>
          <t>출처</t>
        </is>
      </c>
    </row>
    <row r="54">
      <c r="A54" s="54" t="inlineStr">
        <is>
          <t>매출</t>
        </is>
      </c>
      <c r="B54" s="55" t="n">
        <v>1450</v>
      </c>
      <c r="G54" s="56" t="inlineStr">
        <is>
          <t>2단계 보고서 자료(회사 설명회 자료·공시)</t>
        </is>
      </c>
    </row>
    <row r="55">
      <c r="A55" s="54" t="inlineStr">
        <is>
          <t>영업이익</t>
        </is>
      </c>
      <c r="B55" s="55" t="n">
        <v>265</v>
      </c>
    </row>
    <row r="56">
      <c r="A56" s="54" t="inlineStr">
        <is>
          <t>경상</t>
        </is>
      </c>
      <c r="B56" s="55" t="n">
        <v>200</v>
      </c>
    </row>
    <row r="57">
      <c r="A57" s="54" t="inlineStr">
        <is>
          <t>순이익</t>
        </is>
      </c>
      <c r="B57" s="55" t="n">
        <v>140</v>
      </c>
    </row>
    <row r="58">
      <c r="A58" s="54" t="inlineStr">
        <is>
          <t>EPS</t>
        </is>
      </c>
      <c r="B58" s="57" t="n">
        <v>151.42</v>
      </c>
    </row>
    <row r="59">
      <c r="A59" s="54" t="inlineStr">
        <is>
          <t>DPS</t>
        </is>
      </c>
      <c r="B59" s="55" t="n">
        <v>53</v>
      </c>
    </row>
    <row r="61">
      <c r="A61" s="52" t="inlineStr">
        <is>
          <t>밸류에이션 now</t>
        </is>
      </c>
      <c r="B61" s="52" t="n"/>
      <c r="C61" s="52" t="n"/>
      <c r="D61" s="52" t="n"/>
      <c r="E61" s="52" t="n"/>
      <c r="F61" s="52" t="n"/>
      <c r="G61" s="52" t="n"/>
    </row>
    <row r="62">
      <c r="A62" s="53" t="inlineStr">
        <is>
          <t>항목</t>
        </is>
      </c>
      <c r="B62" s="53" t="inlineStr">
        <is>
          <t>값</t>
        </is>
      </c>
      <c r="G62" s="53" t="inlineStr">
        <is>
          <t>출처</t>
        </is>
      </c>
    </row>
    <row r="63">
      <c r="A63" s="54" t="inlineStr">
        <is>
          <t>가격</t>
        </is>
      </c>
      <c r="B63" s="55" t="n">
        <v>1054</v>
      </c>
      <c r="G63" s="56" t="inlineStr">
        <is>
          <t>2단계 보고서 자료(회사 설명회 자료·공시)</t>
        </is>
      </c>
    </row>
    <row r="64">
      <c r="A64" s="54" t="inlineStr">
        <is>
          <t>PER guid</t>
        </is>
      </c>
      <c r="B64" s="57" t="n">
        <v>6.96</v>
      </c>
    </row>
    <row r="65">
      <c r="A65" s="54" t="inlineStr">
        <is>
          <t>div yield</t>
        </is>
      </c>
      <c r="B65" s="57" t="n">
        <v>5.03</v>
      </c>
    </row>
    <row r="66">
      <c r="A66" s="54" t="inlineStr">
        <is>
          <t>PBR</t>
        </is>
      </c>
      <c r="B66" s="57" t="n">
        <v>1.14</v>
      </c>
    </row>
    <row r="67">
      <c r="A67" s="54" t="inlineStr">
        <is>
          <t>BPS</t>
        </is>
      </c>
      <c r="B67" s="57" t="n">
        <v>925.61</v>
      </c>
    </row>
    <row r="69">
      <c r="A69" s="52" t="inlineStr">
        <is>
          <t>filings</t>
        </is>
      </c>
      <c r="B69" s="52" t="n"/>
      <c r="C69" s="52" t="n"/>
      <c r="D69" s="52" t="n"/>
      <c r="E69" s="52" t="n"/>
      <c r="F69" s="52" t="n"/>
      <c r="G69" s="52" t="n"/>
    </row>
    <row r="70">
      <c r="A70" s="53" t="inlineStr">
        <is>
          <t>항목</t>
        </is>
      </c>
      <c r="B70" s="53" t="inlineStr">
        <is>
          <t>title</t>
        </is>
      </c>
      <c r="C70" s="53" t="inlineStr">
        <is>
          <t>doc</t>
        </is>
      </c>
      <c r="G70" s="53" t="inlineStr">
        <is>
          <t>출처</t>
        </is>
      </c>
    </row>
    <row r="71">
      <c r="A71" s="54" t="inlineStr">
        <is>
          <t>2026-10-27</t>
        </is>
      </c>
      <c r="B71" s="58" t="inlineStr">
        <is>
          <t>2027年３月期 第２四半期決算短信〔日本基準〕（連結）</t>
        </is>
      </c>
      <c r="C71" s="58" t="inlineStr">
        <is>
          <t>140120261026555981</t>
        </is>
      </c>
      <c r="G71" s="56" t="inlineStr">
        <is>
          <t>2단계 보고서 자료(회사 설명회 자료·공시)</t>
        </is>
      </c>
    </row>
    <row r="72">
      <c r="A72" s="54" t="inlineStr">
        <is>
          <t>2026-07-28</t>
        </is>
      </c>
      <c r="B72" s="58" t="inlineStr">
        <is>
          <t>2027年３月期 第１四半期決算短信〔日本基準〕（連結）</t>
        </is>
      </c>
      <c r="C72" s="58" t="inlineStr">
        <is>
          <t>140120260724599425</t>
        </is>
      </c>
    </row>
    <row r="73">
      <c r="A73" s="54" t="inlineStr">
        <is>
          <t>2026-04-24</t>
        </is>
      </c>
      <c r="B73" s="58" t="inlineStr">
        <is>
          <t>2026年３月期 決算短信〔日本基準〕（連結）</t>
        </is>
      </c>
      <c r="C73" s="58" t="inlineStr">
        <is>
          <t>140120260423509666</t>
        </is>
      </c>
    </row>
    <row r="74">
      <c r="A74" s="54" t="inlineStr">
        <is>
          <t>2026-01-30</t>
        </is>
      </c>
      <c r="B74" s="58" t="inlineStr">
        <is>
          <t>2026年３月期 第３四半期決算短信〔日本基準〕（連結）</t>
        </is>
      </c>
      <c r="C74" s="58" t="inlineStr">
        <is>
          <t>140120260128540119</t>
        </is>
      </c>
    </row>
    <row r="75">
      <c r="A75" s="54" t="inlineStr">
        <is>
          <t>2025-10-24</t>
        </is>
      </c>
      <c r="B75" s="58" t="inlineStr">
        <is>
          <t>2026年３月期 第２四半期（中間期）決算短信〔日本基準〕（連結）</t>
        </is>
      </c>
      <c r="C75" s="58" t="inlineStr">
        <is>
          <t>140120251023577712</t>
        </is>
      </c>
    </row>
    <row r="76">
      <c r="A76" s="54" t="inlineStr">
        <is>
          <t>2025-07-25</t>
        </is>
      </c>
      <c r="B76" s="58" t="inlineStr">
        <is>
          <t>2026年３月期 第１四半期決算短信〔日本基準〕（連結）</t>
        </is>
      </c>
      <c r="C76" s="58" t="inlineStr">
        <is>
          <t>140120250724519644</t>
        </is>
      </c>
    </row>
    <row r="77">
      <c r="A77" s="54" t="inlineStr">
        <is>
          <t>2025-04-25</t>
        </is>
      </c>
      <c r="B77" s="58" t="inlineStr">
        <is>
          <t>2025年３月期 決算短信〔日本基準〕（連結）</t>
        </is>
      </c>
      <c r="C77" s="58" t="inlineStr">
        <is>
          <t>140120250424523366</t>
        </is>
      </c>
    </row>
    <row r="78">
      <c r="A78" s="54" t="inlineStr">
        <is>
          <t>2025-01-31</t>
        </is>
      </c>
      <c r="B78" s="58" t="inlineStr">
        <is>
          <t>2025年３月期 第３四半期決算短信〔日本基準〕（連結）</t>
        </is>
      </c>
      <c r="C78" s="58" t="inlineStr">
        <is>
          <t>140120250130557956</t>
        </is>
      </c>
    </row>
    <row r="79">
      <c r="A79" s="54" t="inlineStr">
        <is>
          <t>2024-10-25</t>
        </is>
      </c>
      <c r="B79" s="58" t="inlineStr">
        <is>
          <t>2025年３月期 第２四半期（中間期）決算短信〔日本基準〕（連結）</t>
        </is>
      </c>
      <c r="C79" s="58" t="inlineStr">
        <is>
          <t>140120241024501994</t>
        </is>
      </c>
    </row>
    <row r="80">
      <c r="A80" s="54" t="inlineStr">
        <is>
          <t>2024-07-26</t>
        </is>
      </c>
      <c r="B80" s="58" t="inlineStr">
        <is>
          <t>2025年３月期 第１四半期決算短信〔日本基準〕（連結）</t>
        </is>
      </c>
      <c r="C80" s="58" t="inlineStr">
        <is>
          <t>140120240725555166</t>
        </is>
      </c>
    </row>
    <row r="81">
      <c r="A81" s="54" t="inlineStr">
        <is>
          <t>2024-04-24</t>
        </is>
      </c>
      <c r="B81" s="58" t="inlineStr">
        <is>
          <t>2024年３月期 決算短信〔日本基準〕（連結）</t>
        </is>
      </c>
      <c r="C81" s="58" t="inlineStr">
        <is>
          <t>140120240423575052</t>
        </is>
      </c>
    </row>
    <row r="82">
      <c r="A82" s="54" t="inlineStr">
        <is>
          <t>2024-01-30</t>
        </is>
      </c>
      <c r="B82" s="58" t="inlineStr">
        <is>
          <t>2024年３月期 第４四半期決算短信〔日本基準〕（連結）</t>
        </is>
      </c>
      <c r="C82" s="58" t="inlineStr">
        <is>
          <t>140120240129521137</t>
        </is>
      </c>
    </row>
    <row r="83">
      <c r="A83" s="54" t="inlineStr">
        <is>
          <t>2023-10-25</t>
        </is>
      </c>
      <c r="B83" s="58" t="inlineStr">
        <is>
          <t>2023年12月期 第３四半期決算短信〔日本基準〕（連結）</t>
        </is>
      </c>
      <c r="C83" s="58" t="inlineStr">
        <is>
          <t>140120231024570812</t>
        </is>
      </c>
    </row>
    <row r="84">
      <c r="A84" s="54" t="inlineStr">
        <is>
          <t>2023-07-25</t>
        </is>
      </c>
      <c r="B84" s="58" t="inlineStr">
        <is>
          <t>2023年12月期 第２四半期決算短信〔日本基準〕（連結）</t>
        </is>
      </c>
      <c r="C84" s="58" t="inlineStr">
        <is>
          <t>140120230724526123</t>
        </is>
      </c>
    </row>
    <row r="85">
      <c r="A85" s="54" t="inlineStr">
        <is>
          <t>2023-04-27</t>
        </is>
      </c>
      <c r="B85" s="58" t="inlineStr">
        <is>
          <t>2023年12月期 第１四半期決算短信〔日本基準〕（連結）</t>
        </is>
      </c>
      <c r="C85" s="58" t="inlineStr">
        <is>
          <t>140120230425552605</t>
        </is>
      </c>
    </row>
    <row r="86">
      <c r="A86" s="54" t="inlineStr">
        <is>
          <t>2023-01-27</t>
        </is>
      </c>
      <c r="B86" s="58" t="inlineStr">
        <is>
          <t>2022年12月期 決算短信〔日本基準〕（連結）</t>
        </is>
      </c>
      <c r="C86" s="58" t="inlineStr">
        <is>
          <t>140120230127594701</t>
        </is>
      </c>
    </row>
    <row r="87">
      <c r="A87" s="54" t="inlineStr">
        <is>
          <t>2022-01-27</t>
        </is>
      </c>
      <c r="B87" s="58" t="inlineStr">
        <is>
          <t>2021年12月期 決算短信〔日本基準〕（連結）</t>
        </is>
      </c>
      <c r="C87" s="58" t="inlineStr">
        <is>
          <t>140120220126572828</t>
        </is>
      </c>
    </row>
    <row r="88">
      <c r="A88" s="54" t="inlineStr">
        <is>
          <t>2021-01-28</t>
        </is>
      </c>
      <c r="B88" s="58" t="inlineStr">
        <is>
          <t>2020年12月期 決算短信〔日本基準〕（連結）</t>
        </is>
      </c>
      <c r="C88" s="58" t="inlineStr">
        <is>
          <t>140120210127449732</t>
        </is>
      </c>
    </row>
    <row r="89">
      <c r="A89" s="54" t="inlineStr">
        <is>
          <t>2020-01-30</t>
        </is>
      </c>
      <c r="B89" s="58" t="inlineStr">
        <is>
          <t>2019年12月期 決算短信〔日本基準〕（連結）</t>
        </is>
      </c>
      <c r="C89" s="58" t="inlineStr">
        <is>
          <t>140120200128451855</t>
        </is>
      </c>
    </row>
    <row r="90">
      <c r="A90" s="54" t="inlineStr">
        <is>
          <t>2019-02-08</t>
        </is>
      </c>
      <c r="B90" s="58" t="inlineStr">
        <is>
          <t>平成30年12月期 決算短信〔日本基準〕（連結）</t>
        </is>
      </c>
      <c r="C90" s="58" t="inlineStr">
        <is>
          <t>140120190207472214</t>
        </is>
      </c>
    </row>
    <row r="91">
      <c r="A91" s="54" t="inlineStr">
        <is>
          <t>2018-02-08</t>
        </is>
      </c>
      <c r="B91" s="58" t="inlineStr">
        <is>
          <t>平成29年12月期 決算短信〔日本基準〕（連結）</t>
        </is>
      </c>
      <c r="C91" s="58" t="inlineStr">
        <is>
          <t>140120180207466141</t>
        </is>
      </c>
    </row>
    <row r="93">
      <c r="A93" s="52" t="inlineStr">
        <is>
          <t>reactions</t>
        </is>
      </c>
      <c r="B93" s="52" t="n"/>
      <c r="C93" s="52" t="n"/>
      <c r="D93" s="52" t="n"/>
      <c r="E93" s="52" t="n"/>
      <c r="F93" s="52" t="n"/>
      <c r="G93" s="52" t="n"/>
    </row>
    <row r="94">
      <c r="A94" s="53" t="inlineStr">
        <is>
          <t>항목</t>
        </is>
      </c>
      <c r="B94" s="53" t="inlineStr">
        <is>
          <t>기준일</t>
        </is>
      </c>
      <c r="C94" s="53" t="inlineStr">
        <is>
          <t>다음날</t>
        </is>
      </c>
      <c r="D94" s="53" t="inlineStr">
        <is>
          <t>등락%</t>
        </is>
      </c>
      <c r="G94" s="53" t="inlineStr">
        <is>
          <t>출처</t>
        </is>
      </c>
    </row>
    <row r="95">
      <c r="A95" s="54" t="inlineStr">
        <is>
          <t>2025-01-31</t>
        </is>
      </c>
      <c r="B95" s="58" t="inlineStr">
        <is>
          <t>2025-01-31</t>
        </is>
      </c>
      <c r="C95" s="58" t="inlineStr">
        <is>
          <t>2025-02-03</t>
        </is>
      </c>
      <c r="D95" s="57" t="n">
        <v>1</v>
      </c>
      <c r="G95" s="56" t="inlineStr">
        <is>
          <t>2단계 보고서 자료(회사 설명회 자료·공시)</t>
        </is>
      </c>
    </row>
    <row r="96">
      <c r="A96" s="54" t="inlineStr">
        <is>
          <t>2025-04-25</t>
        </is>
      </c>
      <c r="B96" s="58" t="inlineStr">
        <is>
          <t>2025-04-25</t>
        </is>
      </c>
      <c r="C96" s="58" t="inlineStr">
        <is>
          <t>2025-04-28</t>
        </is>
      </c>
      <c r="D96" s="57" t="n">
        <v>2.8</v>
      </c>
    </row>
    <row r="97">
      <c r="A97" s="54" t="inlineStr">
        <is>
          <t>2025-07-25</t>
        </is>
      </c>
      <c r="B97" s="58" t="inlineStr">
        <is>
          <t>2025-07-25</t>
        </is>
      </c>
      <c r="C97" s="58" t="inlineStr">
        <is>
          <t>2025-07-28</t>
        </is>
      </c>
      <c r="D97" s="57" t="n">
        <v>-4.3</v>
      </c>
    </row>
    <row r="98">
      <c r="A98" s="54" t="inlineStr">
        <is>
          <t>2025-10-24</t>
        </is>
      </c>
      <c r="B98" s="58" t="inlineStr">
        <is>
          <t>2025-10-24</t>
        </is>
      </c>
      <c r="C98" s="58" t="inlineStr">
        <is>
          <t>2025-10-27</t>
        </is>
      </c>
      <c r="D98" s="57" t="n">
        <v>-0.1</v>
      </c>
    </row>
    <row r="99">
      <c r="A99" s="54" t="inlineStr">
        <is>
          <t>2026-01-30</t>
        </is>
      </c>
      <c r="B99" s="58" t="inlineStr">
        <is>
          <t>2026-01-30</t>
        </is>
      </c>
      <c r="C99" s="58" t="inlineStr">
        <is>
          <t>2026-02-02</t>
        </is>
      </c>
      <c r="D99" s="57" t="n">
        <v>-4.1</v>
      </c>
    </row>
    <row r="100">
      <c r="A100" s="54" t="inlineStr">
        <is>
          <t>2026-04-24</t>
        </is>
      </c>
      <c r="B100" s="58" t="inlineStr">
        <is>
          <t>2026-04-24</t>
        </is>
      </c>
      <c r="C100" s="58" t="inlineStr">
        <is>
          <t>2026-04-27</t>
        </is>
      </c>
      <c r="D100" s="57" t="n">
        <v>5.6</v>
      </c>
    </row>
    <row r="101">
      <c r="A101" s="54" t="inlineStr">
        <is>
          <t>2026-07-28</t>
        </is>
      </c>
      <c r="B101" s="58" t="inlineStr">
        <is>
          <t>2026-07-28</t>
        </is>
      </c>
      <c r="C101" s="58" t="inlineStr">
        <is>
          <t>2026-07-29</t>
        </is>
      </c>
      <c r="D101" s="57" t="n">
        <v>-0.3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9" t="inlineStr">
        <is>
          <t>공시일</t>
        </is>
      </c>
      <c r="B3" s="59" t="inlineStr">
        <is>
          <t>문서</t>
        </is>
      </c>
      <c r="C3" s="59" t="inlineStr">
        <is>
          <t>PDF</t>
        </is>
      </c>
    </row>
    <row r="4">
      <c r="A4" t="inlineStr">
        <is>
          <t>2026-10-27</t>
        </is>
      </c>
      <c r="B4" t="inlineStr">
        <is>
          <t>2027년 3월 결산기 ２분기 결산단신</t>
        </is>
      </c>
      <c r="C4" t="inlineStr">
        <is>
          <t>https://www2.jpx.co.jp/disc/88920/140120261026555981.pdf</t>
        </is>
      </c>
    </row>
    <row r="5">
      <c r="A5" t="inlineStr">
        <is>
          <t>2026-07-28</t>
        </is>
      </c>
      <c r="B5" t="inlineStr">
        <is>
          <t>2027년 3월 결산기 １분기 결산단신</t>
        </is>
      </c>
      <c r="C5" t="inlineStr">
        <is>
          <t>https://www2.jpx.co.jp/disc/88920/140120260724599425.pdf</t>
        </is>
      </c>
    </row>
    <row r="6">
      <c r="A6" t="inlineStr">
        <is>
          <t>2026-04-24</t>
        </is>
      </c>
      <c r="B6" t="inlineStr">
        <is>
          <t>2026년 3월 결산기 연간 결산단신</t>
        </is>
      </c>
      <c r="C6" t="inlineStr">
        <is>
          <t>https://www2.jpx.co.jp/disc/88920/140120260423509666.pdf</t>
        </is>
      </c>
    </row>
    <row r="7">
      <c r="A7" t="inlineStr">
        <is>
          <t>2026-01-30</t>
        </is>
      </c>
      <c r="B7" t="inlineStr">
        <is>
          <t>2026년 3월 결산기 ３분기 결산단신</t>
        </is>
      </c>
      <c r="C7" t="inlineStr">
        <is>
          <t>https://www2.jpx.co.jp/disc/88920/140120260128540119.pdf</t>
        </is>
      </c>
    </row>
    <row r="8">
      <c r="A8" t="inlineStr">
        <is>
          <t>2025-10-24</t>
        </is>
      </c>
      <c r="B8" t="inlineStr">
        <is>
          <t>2026년 3월 결산기 ２분기 결산단신</t>
        </is>
      </c>
      <c r="C8" t="inlineStr">
        <is>
          <t>https://www2.jpx.co.jp/disc/88920/140120251023577712.pdf</t>
        </is>
      </c>
    </row>
    <row r="9">
      <c r="A9" t="inlineStr">
        <is>
          <t>2025-07-25</t>
        </is>
      </c>
      <c r="B9" t="inlineStr">
        <is>
          <t>2026년 3월 결산기 １분기 결산단신</t>
        </is>
      </c>
      <c r="C9" t="inlineStr">
        <is>
          <t>https://www2.jpx.co.jp/disc/88920/140120250724519644.pdf</t>
        </is>
      </c>
    </row>
    <row r="10">
      <c r="A10" t="inlineStr">
        <is>
          <t>2025-04-25</t>
        </is>
      </c>
      <c r="B10" t="inlineStr">
        <is>
          <t>2025년 3월 결산기 연간 결산단신</t>
        </is>
      </c>
      <c r="C10" t="inlineStr">
        <is>
          <t>https://www2.jpx.co.jp/disc/88920/140120250424523366.pdf</t>
        </is>
      </c>
    </row>
    <row r="11">
      <c r="A11" t="inlineStr">
        <is>
          <t>2025-01-31</t>
        </is>
      </c>
      <c r="B11" t="inlineStr">
        <is>
          <t>2025년 3월 결산기 ３분기 결산단신</t>
        </is>
      </c>
      <c r="C11" t="inlineStr">
        <is>
          <t>https://www2.jpx.co.jp/disc/88920/140120250130557956.pdf</t>
        </is>
      </c>
    </row>
    <row r="12">
      <c r="A12" t="inlineStr">
        <is>
          <t>2024-10-25</t>
        </is>
      </c>
      <c r="B12" t="inlineStr">
        <is>
          <t>2025년 3월 결산기 ２분기 결산단신</t>
        </is>
      </c>
      <c r="C12" t="inlineStr">
        <is>
          <t>https://www2.jpx.co.jp/disc/88920/140120241024501994.pdf</t>
        </is>
      </c>
    </row>
    <row r="13">
      <c r="A13" t="inlineStr">
        <is>
          <t>2024-07-26</t>
        </is>
      </c>
      <c r="B13" t="inlineStr">
        <is>
          <t>2025년 3월 결산기 １분기 결산단신</t>
        </is>
      </c>
      <c r="C13" t="inlineStr">
        <is>
          <t>https://www2.jpx.co.jp/disc/88920/140120240725555166.pdf</t>
        </is>
      </c>
    </row>
    <row r="14">
      <c r="A14" t="inlineStr">
        <is>
          <t>2024-04-24</t>
        </is>
      </c>
      <c r="B14" t="inlineStr">
        <is>
          <t>2024년 3월 결산기 연간 결산단신</t>
        </is>
      </c>
      <c r="C14" t="inlineStr">
        <is>
          <t>https://www2.jpx.co.jp/disc/88920/140120240423575052.pdf</t>
        </is>
      </c>
    </row>
    <row r="15">
      <c r="A15" t="inlineStr">
        <is>
          <t>2024-01-30</t>
        </is>
      </c>
      <c r="B15" t="inlineStr">
        <is>
          <t>2024년 3월 결산기 ４분기 결산단신</t>
        </is>
      </c>
      <c r="C15" t="inlineStr">
        <is>
          <t>https://www2.jpx.co.jp/disc/88920/140120240129521137.pdf</t>
        </is>
      </c>
    </row>
    <row r="16">
      <c r="A16" t="inlineStr">
        <is>
          <t>2023-10-25</t>
        </is>
      </c>
      <c r="B16" t="inlineStr">
        <is>
          <t>2023년 12월 결산기 ３분기 결산단신</t>
        </is>
      </c>
      <c r="C16" t="inlineStr">
        <is>
          <t>https://www2.jpx.co.jp/disc/88920/140120231024570812.pdf</t>
        </is>
      </c>
    </row>
    <row r="17">
      <c r="A17" t="inlineStr">
        <is>
          <t>2023-07-25</t>
        </is>
      </c>
      <c r="B17" t="inlineStr">
        <is>
          <t>2023년 12월 결산기 ２분기 결산단신</t>
        </is>
      </c>
      <c r="C17" t="inlineStr">
        <is>
          <t>https://www2.jpx.co.jp/disc/88920/140120230724526123.pdf</t>
        </is>
      </c>
    </row>
    <row r="18">
      <c r="A18" t="inlineStr">
        <is>
          <t>2023-04-27</t>
        </is>
      </c>
      <c r="B18" t="inlineStr">
        <is>
          <t>2023년 12월 결산기 １분기 결산단신</t>
        </is>
      </c>
      <c r="C18" t="inlineStr">
        <is>
          <t>https://www2.jpx.co.jp/disc/88920/140120230425552605.pdf</t>
        </is>
      </c>
    </row>
    <row r="19">
      <c r="A19" t="inlineStr">
        <is>
          <t>2023-01-27</t>
        </is>
      </c>
      <c r="B19" t="inlineStr">
        <is>
          <t>2022년 12월 결산기 연간 결산단신</t>
        </is>
      </c>
      <c r="C19" t="inlineStr">
        <is>
          <t>https://www2.jpx.co.jp/disc/88920/140120230127594701.pdf</t>
        </is>
      </c>
    </row>
    <row r="20">
      <c r="A20" t="inlineStr">
        <is>
          <t>2022-01-27</t>
        </is>
      </c>
      <c r="B20" t="inlineStr">
        <is>
          <t>2021년 12월 결산기 연간 결산단신</t>
        </is>
      </c>
      <c r="C20" t="inlineStr">
        <is>
          <t>https://www2.jpx.co.jp/disc/88920/140120220126572828.pdf</t>
        </is>
      </c>
    </row>
    <row r="21">
      <c r="A21" t="inlineStr">
        <is>
          <t>2021-01-28</t>
        </is>
      </c>
      <c r="B21" t="inlineStr">
        <is>
          <t>2020년 12월 결산기 연간 결산단신</t>
        </is>
      </c>
      <c r="C21" t="inlineStr">
        <is>
          <t>https://www2.jpx.co.jp/disc/88920/140120210127449732.pdf</t>
        </is>
      </c>
    </row>
    <row r="22">
      <c r="A22" t="inlineStr">
        <is>
          <t>2020-01-30</t>
        </is>
      </c>
      <c r="B22" t="inlineStr">
        <is>
          <t>2019년 12월 결산기 연간 결산단신</t>
        </is>
      </c>
      <c r="C22" t="inlineStr">
        <is>
          <t>https://www2.jpx.co.jp/disc/88920/140120200128451855.pdf</t>
        </is>
      </c>
    </row>
    <row r="23">
      <c r="A23" t="inlineStr">
        <is>
          <t>2019-02-08</t>
        </is>
      </c>
      <c r="B23" t="inlineStr">
        <is>
          <t>연간 결산단신</t>
        </is>
      </c>
      <c r="C23" t="inlineStr">
        <is>
          <t>https://www2.jpx.co.jp/disc/88920/140120190207472214.pdf</t>
        </is>
      </c>
    </row>
    <row r="24">
      <c r="A24" t="inlineStr">
        <is>
          <t>2018-02-08</t>
        </is>
      </c>
      <c r="B24" t="inlineStr">
        <is>
          <t>연간 결산단신</t>
        </is>
      </c>
      <c r="C24" t="inlineStr">
        <is>
          <t>https://www2.jpx.co.jp/disc/88920/140120180207466141.pdf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2026-10-28T07:00:42Z</dcterms:created>
  <dcterms:modified xmlns:dcterms="http://purl.org/dc/terms/" xmlns:xsi="http://www.w3.org/2001/XMLSchema-instance" xsi:type="dcterms:W3CDTF">2026-10-28T07:00:42Z</dcterms:modified>
</cp:coreProperties>
</file>