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1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에스콘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/>
      <c r="D4" s="12" t="n"/>
      <c r="E4" s="12" t="n">
        <v>19098</v>
      </c>
      <c r="F4" s="12" t="n">
        <v>11938</v>
      </c>
      <c r="G4" s="12" t="n">
        <v>49410</v>
      </c>
      <c r="H4" s="12" t="n">
        <v>33157</v>
      </c>
      <c r="I4" s="12" t="n">
        <v>17581</v>
      </c>
      <c r="J4" s="12" t="n">
        <v>17600</v>
      </c>
      <c r="K4" s="12" t="n">
        <v>27743</v>
      </c>
      <c r="L4" s="12" t="n">
        <v>74105</v>
      </c>
      <c r="M4" s="12" t="n">
        <v>10027</v>
      </c>
      <c r="N4" s="12" t="n">
        <v>45496</v>
      </c>
      <c r="O4" s="11" t="n">
        <v>44724</v>
      </c>
      <c r="P4" s="12" t="n">
        <v>54325</v>
      </c>
      <c r="Q4" s="12" t="n">
        <v>72106</v>
      </c>
      <c r="R4" s="12" t="n">
        <v>77308</v>
      </c>
      <c r="S4" s="12" t="n">
        <v>79017</v>
      </c>
      <c r="T4" s="12" t="n">
        <v>99431</v>
      </c>
      <c r="U4" s="12" t="n">
        <v>103246</v>
      </c>
      <c r="V4" s="12" t="n"/>
      <c r="W4" s="12" t="n">
        <v>113603</v>
      </c>
      <c r="X4" s="12" t="n">
        <v>137029</v>
      </c>
      <c r="Y4" s="11">
        <f>IF(COUNT(Y7,Y10,Y13,Y16,Y19,Y22)=0,"",SUM(Y7,Y10,Y13,Y16,Y19,Y22))</f>
        <v/>
      </c>
      <c r="Z4" s="12">
        <f>IF(COUNT(Z7,Z10,Z13,Z16,Z19,Z22)=0,"",SUM(Z7,Z10,Z13,Z16,Z19,Z22))</f>
        <v/>
      </c>
      <c r="AA4" s="12">
        <f>IF(COUNT(AA7,AA10,AA13,AA16,AA19,AA22)=0,"",SUM(AA7,AA10,AA13,AA16,AA19,AA22))</f>
        <v/>
      </c>
      <c r="AB4" s="12">
        <f>IF(COUNT(AB7,AB10,AB13,AB16,AB19,AB22)=0,"",SUM(AB7,AB10,AB13,AB16,AB19,AB22))</f>
        <v/>
      </c>
      <c r="AC4" s="12">
        <f>IF(COUNT(AC7,AC10,AC13,AC16,AC19,AC22)=0,"",SUM(AC7,AC10,AC13,AC16,AC19,AC22))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주택 분양 사업</t>
        </is>
      </c>
      <c r="B7" s="10" t="n"/>
      <c r="C7" s="19" t="n"/>
      <c r="D7" s="20" t="n"/>
      <c r="E7" s="20" t="n">
        <v>5243</v>
      </c>
      <c r="F7" s="20" t="n">
        <v>7401</v>
      </c>
      <c r="G7" s="20" t="n">
        <v>36608</v>
      </c>
      <c r="H7" s="20" t="n">
        <v>17656</v>
      </c>
      <c r="I7" s="20" t="n">
        <v>11087</v>
      </c>
      <c r="J7" s="20" t="n">
        <v>7322</v>
      </c>
      <c r="K7" s="20" t="n">
        <v>10394</v>
      </c>
      <c r="L7" s="20" t="n">
        <v>34827</v>
      </c>
      <c r="M7" s="20" t="n">
        <v>4180</v>
      </c>
      <c r="N7" s="20" t="n">
        <v>15249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>
        <v>66908</v>
      </c>
      <c r="X7" s="20" t="n">
        <v>63630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부동산 개발 사업</t>
        </is>
      </c>
      <c r="B10" s="10" t="n"/>
      <c r="C10" s="19" t="n"/>
      <c r="D10" s="20" t="n"/>
      <c r="E10" s="20" t="n">
        <v>9450</v>
      </c>
      <c r="F10" s="20" t="n">
        <v>145</v>
      </c>
      <c r="G10" s="20" t="n">
        <v>8024</v>
      </c>
      <c r="H10" s="20" t="n">
        <v>10808</v>
      </c>
      <c r="I10" s="20" t="n">
        <v>1324</v>
      </c>
      <c r="J10" s="20" t="n">
        <v>4912</v>
      </c>
      <c r="K10" s="20" t="n">
        <v>12245</v>
      </c>
      <c r="L10" s="20" t="n">
        <v>33538</v>
      </c>
      <c r="M10" s="20" t="n">
        <v>812</v>
      </c>
      <c r="N10" s="20" t="n">
        <v>23839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>
        <v>28427</v>
      </c>
      <c r="X10" s="20" t="n">
        <v>52019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부동산 임대 사업</t>
        </is>
      </c>
      <c r="B13" s="10" t="n"/>
      <c r="C13" s="19" t="n"/>
      <c r="D13" s="20" t="n"/>
      <c r="E13" s="20" t="n">
        <v>3837</v>
      </c>
      <c r="F13" s="20" t="n"/>
      <c r="G13" s="20" t="n"/>
      <c r="H13" s="20" t="n"/>
      <c r="I13" s="20" t="n">
        <v>4314</v>
      </c>
      <c r="J13" s="20" t="n"/>
      <c r="K13" s="20" t="n"/>
      <c r="L13" s="20" t="n"/>
      <c r="M13" s="20" t="n">
        <v>4062</v>
      </c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부동산 임대 사업</t>
        </is>
      </c>
      <c r="B16" s="10" t="n"/>
      <c r="C16" s="19" t="n"/>
      <c r="D16" s="20" t="n"/>
      <c r="E16" s="20" t="n"/>
      <c r="F16" s="20" t="n"/>
      <c r="G16" s="20" t="n">
        <v>3926</v>
      </c>
      <c r="H16" s="20" t="n">
        <v>3913</v>
      </c>
      <c r="I16" s="20" t="n"/>
      <c r="J16" s="20" t="n"/>
      <c r="K16" s="20" t="n">
        <v>4196</v>
      </c>
      <c r="L16" s="20" t="n">
        <v>4185</v>
      </c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>
        <v>15600</v>
      </c>
      <c r="X16" s="20" t="n">
        <v>17262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자산관리 사업</t>
        </is>
      </c>
      <c r="B19" s="10" t="n"/>
      <c r="C19" s="19" t="n"/>
      <c r="D19" s="20" t="n"/>
      <c r="E19" s="20" t="n">
        <v>455</v>
      </c>
      <c r="F19" s="20" t="n">
        <v>349</v>
      </c>
      <c r="G19" s="20" t="n">
        <v>451</v>
      </c>
      <c r="H19" s="20" t="n">
        <v>390</v>
      </c>
      <c r="I19" s="20" t="n">
        <v>491</v>
      </c>
      <c r="J19" s="20" t="n">
        <v>461</v>
      </c>
      <c r="K19" s="20" t="n">
        <v>508</v>
      </c>
      <c r="L19" s="20" t="n">
        <v>747</v>
      </c>
      <c r="M19" s="20" t="n">
        <v>492</v>
      </c>
      <c r="N19" s="20" t="n">
        <v>601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>
        <v>1645</v>
      </c>
      <c r="X19" s="20" t="n">
        <v>2207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기타</t>
        </is>
      </c>
      <c r="B22" s="10" t="n"/>
      <c r="C22" s="19" t="n"/>
      <c r="D22" s="20" t="n"/>
      <c r="E22" s="20" t="n">
        <v>111</v>
      </c>
      <c r="F22" s="20" t="n">
        <v>119</v>
      </c>
      <c r="G22" s="20" t="n">
        <v>401</v>
      </c>
      <c r="H22" s="20" t="n">
        <v>389</v>
      </c>
      <c r="I22" s="20" t="n">
        <v>363</v>
      </c>
      <c r="J22" s="20" t="n">
        <v>339</v>
      </c>
      <c r="K22" s="20" t="n">
        <v>398</v>
      </c>
      <c r="L22" s="20" t="n">
        <v>809</v>
      </c>
      <c r="M22" s="20" t="n">
        <v>478</v>
      </c>
      <c r="N22" s="20" t="n">
        <v>1465</v>
      </c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>
        <v>1020</v>
      </c>
      <c r="X22" s="20" t="n">
        <v>1909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매출원가</t>
        </is>
      </c>
      <c r="B25" s="16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18" t="inlineStr">
        <is>
          <t>전체 매출원가</t>
        </is>
      </c>
      <c r="B26" s="10" t="n"/>
      <c r="C26" s="19" t="n"/>
      <c r="D26" s="20" t="n"/>
      <c r="E26" s="20" t="n">
        <v>12992</v>
      </c>
      <c r="F26" s="20" t="n">
        <v>8109</v>
      </c>
      <c r="G26" s="20" t="n">
        <v>34552</v>
      </c>
      <c r="H26" s="20" t="n">
        <v>21481</v>
      </c>
      <c r="I26" s="20" t="n">
        <v>12228</v>
      </c>
      <c r="J26" s="20" t="n">
        <v>11844</v>
      </c>
      <c r="K26" s="20" t="n">
        <v>18736</v>
      </c>
      <c r="L26" s="20" t="n">
        <v>53213</v>
      </c>
      <c r="M26" s="20" t="n">
        <v>6411</v>
      </c>
      <c r="N26" s="20" t="n">
        <v>30691</v>
      </c>
      <c r="O26" s="19" t="n">
        <v>33164</v>
      </c>
      <c r="P26" s="20" t="n">
        <v>37397</v>
      </c>
      <c r="Q26" s="20" t="n">
        <v>52339</v>
      </c>
      <c r="R26" s="20" t="n">
        <v>57628</v>
      </c>
      <c r="S26" s="20" t="n">
        <v>58429</v>
      </c>
      <c r="T26" s="20" t="n">
        <v>72823</v>
      </c>
      <c r="U26" s="20" t="n">
        <v>73292</v>
      </c>
      <c r="V26" s="20" t="n"/>
      <c r="W26" s="20" t="n">
        <v>77134</v>
      </c>
      <c r="X26" s="20" t="n">
        <v>96021</v>
      </c>
      <c r="Y26" s="19" t="n"/>
      <c r="Z26" s="20" t="n"/>
      <c r="AA26" s="20" t="n"/>
      <c r="AB26" s="20" t="n"/>
      <c r="AC26" s="20" t="n"/>
    </row>
    <row r="27">
      <c r="A27" s="18" t="inlineStr">
        <is>
          <t>매출총이익</t>
        </is>
      </c>
      <c r="B27" s="10" t="n"/>
      <c r="C27" s="19">
        <f>IF(OR(C4="",C26=""),"",IFERROR(C4-C26,""))</f>
        <v/>
      </c>
      <c r="D27" s="20">
        <f>IF(OR(D4="",D26=""),"",IFERROR(D4-D26,""))</f>
        <v/>
      </c>
      <c r="E27" s="20">
        <f>IF(OR(E4="",E26=""),"",IFERROR(E4-E26,""))</f>
        <v/>
      </c>
      <c r="F27" s="20">
        <f>IF(OR(F4="",F26=""),"",IFERROR(F4-F26,""))</f>
        <v/>
      </c>
      <c r="G27" s="20">
        <f>IF(OR(G4="",G26=""),"",IFERROR(G4-G26,""))</f>
        <v/>
      </c>
      <c r="H27" s="20">
        <f>IF(OR(H4="",H26=""),"",IFERROR(H4-H26,""))</f>
        <v/>
      </c>
      <c r="I27" s="20">
        <f>IF(OR(I4="",I26=""),"",IFERROR(I4-I26,""))</f>
        <v/>
      </c>
      <c r="J27" s="20">
        <f>IF(OR(J4="",J26=""),"",IFERROR(J4-J26,""))</f>
        <v/>
      </c>
      <c r="K27" s="20">
        <f>IF(OR(K4="",K26=""),"",IFERROR(K4-K26,""))</f>
        <v/>
      </c>
      <c r="L27" s="20">
        <f>IF(OR(L4="",L26=""),"",IFERROR(L4-L26,""))</f>
        <v/>
      </c>
      <c r="M27" s="20">
        <f>IF(OR(M4="",M26=""),"",IFERROR(M4-M26,""))</f>
        <v/>
      </c>
      <c r="N27" s="20">
        <f>IF(OR(N4="",N26=""),"",IFERROR(N4-N26,""))</f>
        <v/>
      </c>
      <c r="O27" s="19">
        <f>IF(OR(O4="",O26=""),"",IFERROR(O4-O26,""))</f>
        <v/>
      </c>
      <c r="P27" s="20">
        <f>IF(OR(P4="",P26=""),"",IFERROR(P4-P26,""))</f>
        <v/>
      </c>
      <c r="Q27" s="20">
        <f>IF(OR(Q4="",Q26=""),"",IFERROR(Q4-Q26,""))</f>
        <v/>
      </c>
      <c r="R27" s="20">
        <f>IF(OR(R4="",R26=""),"",IFERROR(R4-R26,""))</f>
        <v/>
      </c>
      <c r="S27" s="20">
        <f>IF(OR(S4="",S26=""),"",IFERROR(S4-S26,""))</f>
        <v/>
      </c>
      <c r="T27" s="20">
        <f>IF(OR(T4="",T26=""),"",IFERROR(T4-T26,""))</f>
        <v/>
      </c>
      <c r="U27" s="20">
        <f>IF(OR(U4="",U26=""),"",IFERROR(U4-U26,""))</f>
        <v/>
      </c>
      <c r="V27" s="20">
        <f>IF(OR(V4="",V26=""),"",IFERROR(V4-V26,""))</f>
        <v/>
      </c>
      <c r="W27" s="20">
        <f>IF(OR(W4="",W26=""),"",IFERROR(W4-W26,""))</f>
        <v/>
      </c>
      <c r="X27" s="20">
        <f>IF(OR(X4="",X26=""),"",IFERROR(X4-X26,""))</f>
        <v/>
      </c>
      <c r="Y27" s="19" t="n"/>
      <c r="Z27" s="20" t="n"/>
      <c r="AA27" s="20" t="n"/>
      <c r="AB27" s="20" t="n"/>
      <c r="AC27" s="20" t="n"/>
    </row>
    <row r="28">
      <c r="A28" s="13" t="inlineStr">
        <is>
          <t>GPM</t>
        </is>
      </c>
      <c r="B28" s="10" t="n"/>
      <c r="C28" s="14">
        <f>IF(OR(C27="",C4=""),"",IFERROR(C27/C4,""))</f>
        <v/>
      </c>
      <c r="D28" s="15">
        <f>IF(OR(D27="",D4=""),"",IFERROR(D27/D4,""))</f>
        <v/>
      </c>
      <c r="E28" s="15">
        <f>IF(OR(E27="",E4=""),"",IFERROR(E27/E4,""))</f>
        <v/>
      </c>
      <c r="F28" s="15">
        <f>IF(OR(F27="",F4=""),"",IFERROR(F27/F4,""))</f>
        <v/>
      </c>
      <c r="G28" s="15">
        <f>IF(OR(G27="",G4=""),"",IFERROR(G27/G4,""))</f>
        <v/>
      </c>
      <c r="H28" s="15">
        <f>IF(OR(H27="",H4=""),"",IFERROR(H27/H4,""))</f>
        <v/>
      </c>
      <c r="I28" s="15">
        <f>IF(OR(I27="",I4=""),"",IFERROR(I27/I4,""))</f>
        <v/>
      </c>
      <c r="J28" s="15">
        <f>IF(OR(J27="",J4=""),"",IFERROR(J27/J4,""))</f>
        <v/>
      </c>
      <c r="K28" s="15">
        <f>IF(OR(K27="",K4=""),"",IFERROR(K27/K4,""))</f>
        <v/>
      </c>
      <c r="L28" s="15">
        <f>IF(OR(L27="",L4=""),"",IFERROR(L27/L4,""))</f>
        <v/>
      </c>
      <c r="M28" s="15">
        <f>IF(OR(M27="",M4=""),"",IFERROR(M27/M4,""))</f>
        <v/>
      </c>
      <c r="N28" s="15">
        <f>IF(OR(N27="",N4=""),"",IFERROR(N27/N4,""))</f>
        <v/>
      </c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>
        <f>IF(OR(Y27="",Y4=""),"",IFERROR(Y27/Y4,""))</f>
        <v/>
      </c>
      <c r="Z28" s="15">
        <f>IF(OR(Z27="",Z4=""),"",IFERROR(Z27/Z4,""))</f>
        <v/>
      </c>
      <c r="AA28" s="15">
        <f>IF(OR(AA27="",AA4=""),"",IFERROR(AA27/AA4,""))</f>
        <v/>
      </c>
      <c r="AB28" s="15">
        <f>IF(OR(AB27="",AB4=""),"",IFERROR(AB27/AB4,""))</f>
        <v/>
      </c>
      <c r="AC28" s="15">
        <f>IF(OR(AC27="",AC4=""),"",IFERROR(AC27/AC4,""))</f>
        <v/>
      </c>
    </row>
    <row r="29">
      <c r="A29" s="23" t="inlineStr">
        <is>
          <t>판매관리비</t>
        </is>
      </c>
      <c r="B29" s="23" t="n"/>
      <c r="C29" s="24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4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4" t="n"/>
      <c r="Z29" s="23" t="n"/>
      <c r="AA29" s="23" t="n"/>
      <c r="AB29" s="23" t="n"/>
      <c r="AC29" s="23" t="n"/>
    </row>
    <row r="30">
      <c r="A30" s="18" t="inlineStr">
        <is>
          <t>전체 판관비</t>
        </is>
      </c>
      <c r="B30" s="10" t="n"/>
      <c r="C30" s="19" t="n"/>
      <c r="D30" s="20" t="n"/>
      <c r="E30" s="20" t="n">
        <v>2816</v>
      </c>
      <c r="F30" s="20" t="n">
        <v>2803</v>
      </c>
      <c r="G30" s="20" t="n">
        <v>5421</v>
      </c>
      <c r="H30" s="20" t="n">
        <v>4117</v>
      </c>
      <c r="I30" s="20" t="n">
        <v>3169</v>
      </c>
      <c r="J30" s="20" t="n">
        <v>3034</v>
      </c>
      <c r="K30" s="20" t="n">
        <v>3366</v>
      </c>
      <c r="L30" s="20" t="n">
        <v>5337</v>
      </c>
      <c r="M30" s="20" t="n">
        <v>3027</v>
      </c>
      <c r="N30" s="20" t="n">
        <v>4815</v>
      </c>
      <c r="O30" s="19" t="n">
        <v>4517</v>
      </c>
      <c r="P30" s="20" t="n">
        <v>5366</v>
      </c>
      <c r="Q30" s="20" t="n">
        <v>6854</v>
      </c>
      <c r="R30" s="20" t="n">
        <v>7477</v>
      </c>
      <c r="S30" s="20" t="n">
        <v>10206</v>
      </c>
      <c r="T30" s="20" t="n">
        <v>11115</v>
      </c>
      <c r="U30" s="20" t="n">
        <v>13110</v>
      </c>
      <c r="V30" s="20" t="n"/>
      <c r="W30" s="20" t="n">
        <v>15157</v>
      </c>
      <c r="X30" s="20" t="n">
        <v>14906</v>
      </c>
      <c r="Y30" s="19" t="n"/>
      <c r="Z30" s="20" t="n"/>
      <c r="AA30" s="20" t="n"/>
      <c r="AB30" s="20" t="n"/>
      <c r="AC30" s="20" t="n"/>
    </row>
    <row r="31">
      <c r="A31" s="9" t="inlineStr">
        <is>
          <t>영업이익</t>
        </is>
      </c>
      <c r="B31" s="10" t="inlineStr">
        <is>
          <t>MW = 매출 × OPM</t>
        </is>
      </c>
      <c r="C31" s="11" t="n"/>
      <c r="D31" s="12" t="n"/>
      <c r="E31" s="12" t="n">
        <v>3289</v>
      </c>
      <c r="F31" s="12" t="n">
        <v>1027</v>
      </c>
      <c r="G31" s="12" t="n">
        <v>9437</v>
      </c>
      <c r="H31" s="12" t="n">
        <v>7558</v>
      </c>
      <c r="I31" s="12" t="n">
        <v>2183</v>
      </c>
      <c r="J31" s="12" t="n">
        <v>2722</v>
      </c>
      <c r="K31" s="12" t="n">
        <v>5641</v>
      </c>
      <c r="L31" s="12" t="n">
        <v>15555</v>
      </c>
      <c r="M31" s="12" t="n">
        <v>588</v>
      </c>
      <c r="N31" s="12" t="n">
        <v>9990</v>
      </c>
      <c r="O31" s="11" t="n">
        <v>7042</v>
      </c>
      <c r="P31" s="12" t="n">
        <v>11561</v>
      </c>
      <c r="Q31" s="12" t="n">
        <v>12912</v>
      </c>
      <c r="R31" s="12" t="n">
        <v>12202</v>
      </c>
      <c r="S31" s="12" t="n">
        <v>10381</v>
      </c>
      <c r="T31" s="12" t="n">
        <v>15492</v>
      </c>
      <c r="U31" s="12" t="n">
        <v>16842</v>
      </c>
      <c r="V31" s="12" t="n"/>
      <c r="W31" s="12" t="n">
        <v>21311</v>
      </c>
      <c r="X31" s="12" t="n">
        <v>26101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IF(O30="","",O30)</f>
        <v/>
      </c>
      <c r="P35" s="12">
        <f>IF(P30="","",P30)</f>
        <v/>
      </c>
      <c r="Q35" s="12">
        <f>IF(Q30="","",Q30)</f>
        <v/>
      </c>
      <c r="R35" s="12">
        <f>IF(R30="","",R30)</f>
        <v/>
      </c>
      <c r="S35" s="12">
        <f>IF(S30="","",S30)</f>
        <v/>
      </c>
      <c r="T35" s="12">
        <f>IF(T30="","",T30)</f>
        <v/>
      </c>
      <c r="U35" s="12">
        <f>IF(U30="","",U30)</f>
        <v/>
      </c>
      <c r="V35" s="12">
        <f>IF(V30="","",V30)</f>
        <v/>
      </c>
      <c r="W35" s="12">
        <f>IF(W30="","",W30)</f>
        <v/>
      </c>
      <c r="X35" s="12">
        <f>IF(X30="","",X30)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>
        <v>963</v>
      </c>
      <c r="P36" s="20" t="n">
        <v>1126</v>
      </c>
      <c r="Q36" s="20" t="n">
        <v>1375</v>
      </c>
      <c r="R36" s="20" t="n">
        <v>1723</v>
      </c>
      <c r="S36" s="20" t="n">
        <v>2146</v>
      </c>
      <c r="T36" s="20" t="n">
        <v>2574</v>
      </c>
      <c r="U36" s="20" t="n"/>
      <c r="V36" s="20" t="n"/>
      <c r="W36" s="20" t="n">
        <v>3635</v>
      </c>
      <c r="X36" s="20" t="n">
        <v>3974</v>
      </c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>
        <v>224</v>
      </c>
      <c r="P40" s="20" t="n">
        <v>373</v>
      </c>
      <c r="Q40" s="20" t="n">
        <v>388</v>
      </c>
      <c r="R40" s="20" t="n">
        <v>333</v>
      </c>
      <c r="S40" s="20" t="n">
        <v>540</v>
      </c>
      <c r="T40" s="20" t="n">
        <v>620</v>
      </c>
      <c r="U40" s="20" t="n"/>
      <c r="V40" s="20" t="n"/>
      <c r="W40" s="20" t="n">
        <v>791</v>
      </c>
      <c r="X40" s="20" t="n">
        <v>948</v>
      </c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/>
      <c r="D47" s="20" t="n"/>
      <c r="E47" s="20" t="n">
        <v>0</v>
      </c>
      <c r="F47" s="20" t="n">
        <v>0</v>
      </c>
      <c r="G47" s="20" t="n">
        <v>0</v>
      </c>
      <c r="H47" s="20" t="n">
        <v>0</v>
      </c>
      <c r="I47" s="20" t="n">
        <v>531</v>
      </c>
      <c r="J47" s="20" t="n">
        <v>24</v>
      </c>
      <c r="K47" s="20" t="n">
        <v>1</v>
      </c>
      <c r="L47" s="20" t="n">
        <v>1</v>
      </c>
      <c r="M47" s="20" t="n">
        <v>166</v>
      </c>
      <c r="N47" s="20" t="n">
        <v>266</v>
      </c>
      <c r="O47" s="19" t="n">
        <v>395</v>
      </c>
      <c r="P47" s="20" t="n">
        <v>0</v>
      </c>
      <c r="Q47" s="20" t="n">
        <v>0</v>
      </c>
      <c r="R47" s="20" t="n">
        <v>0</v>
      </c>
      <c r="S47" s="20" t="n">
        <v>0</v>
      </c>
      <c r="T47" s="20" t="n">
        <v>205</v>
      </c>
      <c r="U47" s="20" t="n">
        <v>0</v>
      </c>
      <c r="V47" s="20" t="n"/>
      <c r="W47" s="20" t="n">
        <v>0</v>
      </c>
      <c r="X47" s="20" t="n">
        <v>557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/>
      <c r="D49" s="20" t="n"/>
      <c r="E49" s="20" t="n">
        <v>0</v>
      </c>
      <c r="F49" s="20" t="n">
        <v>0</v>
      </c>
      <c r="G49" s="20" t="n">
        <v>0</v>
      </c>
      <c r="H49" s="20" t="n">
        <v>159</v>
      </c>
      <c r="I49" s="20" t="n">
        <v>0</v>
      </c>
      <c r="J49" s="20" t="n">
        <v>0</v>
      </c>
      <c r="K49" s="20" t="n">
        <v>0</v>
      </c>
      <c r="L49" s="20" t="n">
        <v>12</v>
      </c>
      <c r="M49" s="20" t="n">
        <v>3</v>
      </c>
      <c r="N49" s="20" t="n">
        <v>4</v>
      </c>
      <c r="O49" s="19" t="n">
        <v>150</v>
      </c>
      <c r="P49" s="20" t="n">
        <v>52</v>
      </c>
      <c r="Q49" s="20" t="n">
        <v>7</v>
      </c>
      <c r="R49" s="20" t="n">
        <v>0</v>
      </c>
      <c r="S49" s="20" t="n">
        <v>0</v>
      </c>
      <c r="T49" s="20" t="n">
        <v>3927</v>
      </c>
      <c r="U49" s="20" t="n">
        <v>275</v>
      </c>
      <c r="V49" s="20" t="n"/>
      <c r="W49" s="20" t="n">
        <v>159</v>
      </c>
      <c r="X49" s="20" t="n">
        <v>12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/>
      <c r="D51" s="20" t="n"/>
      <c r="E51" s="20" t="n">
        <v>313</v>
      </c>
      <c r="F51" s="20" t="n">
        <v>-168</v>
      </c>
      <c r="G51" s="20" t="n">
        <v>323</v>
      </c>
      <c r="H51" s="20" t="n">
        <v>-159</v>
      </c>
      <c r="I51" s="20" t="n">
        <v>145</v>
      </c>
      <c r="J51" s="20" t="n">
        <v>180</v>
      </c>
      <c r="K51" s="20" t="n">
        <v>320</v>
      </c>
      <c r="L51" s="20" t="n">
        <v>164</v>
      </c>
      <c r="M51" s="20" t="n">
        <v>155</v>
      </c>
      <c r="N51" s="20" t="n">
        <v>49</v>
      </c>
      <c r="O51" s="19" t="n">
        <v>58</v>
      </c>
      <c r="P51" s="20" t="n">
        <v>17</v>
      </c>
      <c r="Q51" s="20" t="n">
        <v>84</v>
      </c>
      <c r="R51" s="20" t="n">
        <v>155</v>
      </c>
      <c r="S51" s="20" t="n">
        <v>303</v>
      </c>
      <c r="T51" s="20" t="n">
        <v>478</v>
      </c>
      <c r="U51" s="20" t="n">
        <v>452</v>
      </c>
      <c r="V51" s="20" t="n"/>
      <c r="W51" s="20" t="n">
        <v>309</v>
      </c>
      <c r="X51" s="20" t="n">
        <v>809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/>
      <c r="D53" s="20" t="n"/>
      <c r="E53" s="20" t="n">
        <v>763</v>
      </c>
      <c r="F53" s="20" t="n">
        <v>1066</v>
      </c>
      <c r="G53" s="20" t="n">
        <v>1180</v>
      </c>
      <c r="H53" s="20" t="n">
        <v>1292</v>
      </c>
      <c r="I53" s="20" t="n">
        <v>1492</v>
      </c>
      <c r="J53" s="20" t="n">
        <v>1358</v>
      </c>
      <c r="K53" s="20" t="n">
        <v>1466</v>
      </c>
      <c r="L53" s="20" t="n">
        <v>5404</v>
      </c>
      <c r="M53" s="20" t="n">
        <v>1761</v>
      </c>
      <c r="N53" s="20" t="n">
        <v>2143</v>
      </c>
      <c r="O53" s="19" t="n">
        <v>1112</v>
      </c>
      <c r="P53" s="20" t="n">
        <v>1080</v>
      </c>
      <c r="Q53" s="20" t="n">
        <v>1186</v>
      </c>
      <c r="R53" s="20" t="n">
        <v>1194</v>
      </c>
      <c r="S53" s="20" t="n">
        <v>1585</v>
      </c>
      <c r="T53" s="20" t="n">
        <v>1957</v>
      </c>
      <c r="U53" s="20" t="n">
        <v>2128</v>
      </c>
      <c r="V53" s="20" t="n"/>
      <c r="W53" s="20" t="n">
        <v>4301</v>
      </c>
      <c r="X53" s="20" t="n">
        <v>9720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/>
      <c r="D55" s="12" t="n"/>
      <c r="E55" s="12" t="n">
        <v>2840</v>
      </c>
      <c r="F55" s="12" t="n">
        <v>-209</v>
      </c>
      <c r="G55" s="12" t="n">
        <v>8580</v>
      </c>
      <c r="H55" s="12" t="n">
        <v>5950</v>
      </c>
      <c r="I55" s="12" t="n">
        <v>1367</v>
      </c>
      <c r="J55" s="12" t="n">
        <v>1569</v>
      </c>
      <c r="K55" s="12" t="n">
        <v>4495</v>
      </c>
      <c r="L55" s="12" t="n">
        <v>10304</v>
      </c>
      <c r="M55" s="12" t="n">
        <v>-854</v>
      </c>
      <c r="N55" s="12" t="n">
        <v>8157</v>
      </c>
      <c r="O55" s="11" t="n">
        <v>6232</v>
      </c>
      <c r="P55" s="12" t="n">
        <v>10445</v>
      </c>
      <c r="Q55" s="12" t="n">
        <v>11803</v>
      </c>
      <c r="R55" s="12" t="n">
        <v>11164</v>
      </c>
      <c r="S55" s="12" t="n">
        <v>9099</v>
      </c>
      <c r="T55" s="12" t="n">
        <v>10290</v>
      </c>
      <c r="U55" s="12" t="n">
        <v>14891</v>
      </c>
      <c r="V55" s="12" t="n"/>
      <c r="W55" s="12" t="n">
        <v>17161</v>
      </c>
      <c r="X55" s="12" t="n">
        <v>17735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8" t="inlineStr">
        <is>
          <t>법인세비용(수익)</t>
        </is>
      </c>
      <c r="B56" s="10" t="n"/>
      <c r="C56" s="19" t="n"/>
      <c r="D56" s="20" t="n"/>
      <c r="E56" s="20" t="n">
        <v>1013</v>
      </c>
      <c r="F56" s="20" t="n">
        <v>146</v>
      </c>
      <c r="G56" s="20" t="n">
        <v>2900</v>
      </c>
      <c r="H56" s="20" t="n">
        <v>1898</v>
      </c>
      <c r="I56" s="20" t="n">
        <v>500</v>
      </c>
      <c r="J56" s="20" t="n">
        <v>674</v>
      </c>
      <c r="K56" s="20" t="n">
        <v>1585</v>
      </c>
      <c r="L56" s="20" t="n">
        <v>2974</v>
      </c>
      <c r="M56" s="20" t="n">
        <v>-93</v>
      </c>
      <c r="N56" s="20" t="n">
        <v>2585</v>
      </c>
      <c r="O56" s="19" t="n">
        <v>776</v>
      </c>
      <c r="P56" s="20" t="n">
        <v>3219</v>
      </c>
      <c r="Q56" s="20" t="n">
        <v>3648</v>
      </c>
      <c r="R56" s="20" t="n">
        <v>3509</v>
      </c>
      <c r="S56" s="20" t="n">
        <v>3328</v>
      </c>
      <c r="T56" s="20" t="n">
        <v>4648</v>
      </c>
      <c r="U56" s="20" t="n">
        <v>5055</v>
      </c>
      <c r="V56" s="20" t="n"/>
      <c r="W56" s="20" t="n">
        <v>5957</v>
      </c>
      <c r="X56" s="20" t="n">
        <v>5733</v>
      </c>
      <c r="Y56" s="19">
        <f>IF(OR(Y55="",Y57=""),"",IFERROR(MAX(Y55,0)*Y57,""))</f>
        <v/>
      </c>
      <c r="Z56" s="20">
        <f>IF(OR(Z55="",Z57=""),"",IFERROR(MAX(Z55,0)*Z57,""))</f>
        <v/>
      </c>
      <c r="AA56" s="20">
        <f>IF(OR(AA55="",AA57=""),"",IFERROR(MAX(AA55,0)*AA57,""))</f>
        <v/>
      </c>
      <c r="AB56" s="20">
        <f>IF(OR(AB55="",AB57=""),"",IFERROR(MAX(AB55,0)*AB57,""))</f>
        <v/>
      </c>
      <c r="AC56" s="20">
        <f>IF(OR(AC55="",AC57=""),"",IFERROR(MAX(AC55,0)*AC57,""))</f>
        <v/>
      </c>
    </row>
    <row r="57">
      <c r="A57" s="13" t="inlineStr">
        <is>
          <t>법인세율</t>
        </is>
      </c>
      <c r="B57" s="10" t="inlineStr">
        <is>
          <t>MW 기본 30%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0.3</v>
      </c>
      <c r="Z57" s="26" t="n">
        <v>0.3</v>
      </c>
      <c r="AA57" s="26" t="n">
        <v>0.3</v>
      </c>
      <c r="AB57" s="26" t="n">
        <v>0.3</v>
      </c>
      <c r="AC57" s="26" t="n">
        <v>0.3</v>
      </c>
    </row>
    <row r="58">
      <c r="A58" s="9" t="inlineStr">
        <is>
          <t>당기순이익(손실)</t>
        </is>
      </c>
      <c r="B58" s="10" t="n"/>
      <c r="C58" s="11" t="n"/>
      <c r="D58" s="12" t="n"/>
      <c r="E58" s="12" t="n">
        <v>1826</v>
      </c>
      <c r="F58" s="12" t="n">
        <v>-355</v>
      </c>
      <c r="G58" s="12" t="n">
        <v>5681</v>
      </c>
      <c r="H58" s="12" t="n">
        <v>4051</v>
      </c>
      <c r="I58" s="12" t="n">
        <v>867</v>
      </c>
      <c r="J58" s="12" t="n">
        <v>894</v>
      </c>
      <c r="K58" s="12" t="n">
        <v>2911</v>
      </c>
      <c r="L58" s="12" t="n">
        <v>7329</v>
      </c>
      <c r="M58" s="12" t="n">
        <v>-760</v>
      </c>
      <c r="N58" s="12" t="n">
        <v>5571</v>
      </c>
      <c r="O58" s="11" t="n">
        <v>5456</v>
      </c>
      <c r="P58" s="12" t="n">
        <v>7226</v>
      </c>
      <c r="Q58" s="12" t="n">
        <v>8155</v>
      </c>
      <c r="R58" s="12" t="n">
        <v>7654</v>
      </c>
      <c r="S58" s="12" t="n">
        <v>5770</v>
      </c>
      <c r="T58" s="12" t="n">
        <v>5641</v>
      </c>
      <c r="U58" s="12" t="n">
        <v>9835</v>
      </c>
      <c r="V58" s="12" t="n"/>
      <c r="W58" s="12" t="n">
        <v>11203</v>
      </c>
      <c r="X58" s="12" t="n">
        <v>12001</v>
      </c>
      <c r="Y58" s="11">
        <f>IF(OR(Y55=""),"",IFERROR(Y55-Y56,""))</f>
        <v/>
      </c>
      <c r="Z58" s="12">
        <f>IF(OR(Z55=""),"",IFERROR(Z55-Z56,""))</f>
        <v/>
      </c>
      <c r="AA58" s="12">
        <f>IF(OR(AA55=""),"",IFERROR(AA55-AA56,""))</f>
        <v/>
      </c>
      <c r="AB58" s="12">
        <f>IF(OR(AB55=""),"",IFERROR(AB55-AB56,""))</f>
        <v/>
      </c>
      <c r="AC58" s="12">
        <f>IF(OR(AC55=""),"",IFERROR(AC55-AC56,""))</f>
        <v/>
      </c>
    </row>
    <row r="59">
      <c r="A59" s="9" t="inlineStr">
        <is>
          <t>지배주주 순이익</t>
        </is>
      </c>
      <c r="B59" s="10" t="n"/>
      <c r="C59" s="11" t="n"/>
      <c r="D59" s="12" t="n"/>
      <c r="E59" s="12" t="n">
        <v>1821</v>
      </c>
      <c r="F59" s="12" t="n">
        <v>-358</v>
      </c>
      <c r="G59" s="12" t="n">
        <v>5681</v>
      </c>
      <c r="H59" s="12" t="n">
        <v>4049</v>
      </c>
      <c r="I59" s="12" t="n">
        <v>955</v>
      </c>
      <c r="J59" s="12" t="n">
        <v>903</v>
      </c>
      <c r="K59" s="12" t="n">
        <v>2961</v>
      </c>
      <c r="L59" s="12" t="n">
        <v>7372</v>
      </c>
      <c r="M59" s="12" t="n">
        <v>-720</v>
      </c>
      <c r="N59" s="12" t="n">
        <v>5640</v>
      </c>
      <c r="O59" s="11" t="n">
        <v>5456</v>
      </c>
      <c r="P59" s="12" t="n">
        <v>7226</v>
      </c>
      <c r="Q59" s="12" t="n">
        <v>8155</v>
      </c>
      <c r="R59" s="12" t="n">
        <v>7663</v>
      </c>
      <c r="S59" s="12" t="n">
        <v>5961</v>
      </c>
      <c r="T59" s="12" t="n">
        <v>7250</v>
      </c>
      <c r="U59" s="12" t="n">
        <v>9831</v>
      </c>
      <c r="V59" s="12" t="n"/>
      <c r="W59" s="12" t="n">
        <v>11193</v>
      </c>
      <c r="X59" s="12" t="n">
        <v>12191</v>
      </c>
      <c r="Y59" s="11">
        <f>IF(OR(Y58="",Y60=""),"",IFERROR(Y58*Y60,""))</f>
        <v/>
      </c>
      <c r="Z59" s="12">
        <f>IF(OR(Z58="",Z60=""),"",IFERROR(Z58*Z60,""))</f>
        <v/>
      </c>
      <c r="AA59" s="12">
        <f>IF(OR(AA58="",AA60=""),"",IFERROR(AA58*AA60,""))</f>
        <v/>
      </c>
      <c r="AB59" s="12">
        <f>IF(OR(AB58="",AB60=""),"",IFERROR(AB58*AB60,""))</f>
        <v/>
      </c>
      <c r="AC59" s="12">
        <f>IF(OR(AC58="",AC60=""),"",IFERROR(AC58*AC60,""))</f>
        <v/>
      </c>
    </row>
    <row r="60">
      <c r="A60" s="13" t="inlineStr">
        <is>
          <t>지배주주 순이익률</t>
        </is>
      </c>
      <c r="B60" s="10" t="inlineStr">
        <is>
          <t>MW 기본 100%</t>
        </is>
      </c>
      <c r="C60" s="14">
        <f>IF(OR(C59="",C58=""),"",IFERROR(C59/C58,""))</f>
        <v/>
      </c>
      <c r="D60" s="15">
        <f>IF(OR(D59="",D58=""),"",IFERROR(D59/D58,""))</f>
        <v/>
      </c>
      <c r="E60" s="15">
        <f>IF(OR(E59="",E58=""),"",IFERROR(E59/E58,""))</f>
        <v/>
      </c>
      <c r="F60" s="15">
        <f>IF(OR(F59="",F58=""),"",IFERROR(F59/F58,""))</f>
        <v/>
      </c>
      <c r="G60" s="15">
        <f>IF(OR(G59="",G58=""),"",IFERROR(G59/G58,""))</f>
        <v/>
      </c>
      <c r="H60" s="15">
        <f>IF(OR(H59="",H58=""),"",IFERROR(H59/H58,""))</f>
        <v/>
      </c>
      <c r="I60" s="15">
        <f>IF(OR(I59="",I58=""),"",IFERROR(I59/I58,""))</f>
        <v/>
      </c>
      <c r="J60" s="15">
        <f>IF(OR(J59="",J58=""),"",IFERROR(J59/J58,""))</f>
        <v/>
      </c>
      <c r="K60" s="15">
        <f>IF(OR(K59="",K58=""),"",IFERROR(K59/K58,""))</f>
        <v/>
      </c>
      <c r="L60" s="15">
        <f>IF(OR(L59="",L58=""),"",IFERROR(L59/L58,""))</f>
        <v/>
      </c>
      <c r="M60" s="15">
        <f>IF(OR(M59="",M58=""),"",IFERROR(M59/M58,""))</f>
        <v/>
      </c>
      <c r="N60" s="15">
        <f>IF(OR(N59="",N58=""),"",IFERROR(N59/N58,""))</f>
        <v/>
      </c>
      <c r="O60" s="14">
        <f>IF(OR(O59="",O58=""),"",IFERROR(O59/O58,""))</f>
        <v/>
      </c>
      <c r="P60" s="15">
        <f>IF(OR(P59="",P58=""),"",IFERROR(P59/P58,""))</f>
        <v/>
      </c>
      <c r="Q60" s="15">
        <f>IF(OR(Q59="",Q58=""),"",IFERROR(Q59/Q58,""))</f>
        <v/>
      </c>
      <c r="R60" s="15">
        <f>IF(OR(R59="",R58=""),"",IFERROR(R59/R58,""))</f>
        <v/>
      </c>
      <c r="S60" s="15">
        <f>IF(OR(S59="",S58=""),"",IFERROR(S59/S58,""))</f>
        <v/>
      </c>
      <c r="T60" s="15">
        <f>IF(OR(T59="",T58=""),"",IFERROR(T59/T58,""))</f>
        <v/>
      </c>
      <c r="U60" s="15">
        <f>IF(OR(U59="",U58=""),"",IFERROR(U59/U58,""))</f>
        <v/>
      </c>
      <c r="V60" s="15">
        <f>IF(OR(V59="",V58=""),"",IFERROR(V59/V58,""))</f>
        <v/>
      </c>
      <c r="W60" s="15">
        <f>IF(OR(W59="",W58=""),"",IFERROR(W59/W58,""))</f>
        <v/>
      </c>
      <c r="X60" s="15">
        <f>IF(OR(X59="",X58=""),"",IFERROR(X59/X58,""))</f>
        <v/>
      </c>
      <c r="Y60" s="25" t="n">
        <v>1</v>
      </c>
      <c r="Z60" s="26" t="n">
        <v>1</v>
      </c>
      <c r="AA60" s="26" t="n">
        <v>1</v>
      </c>
      <c r="AB60" s="26" t="n">
        <v>1</v>
      </c>
      <c r="AC60" s="26" t="n">
        <v>1</v>
      </c>
    </row>
    <row r="61">
      <c r="A61" s="16" t="inlineStr">
        <is>
          <t>목표주가 산출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현재 주가 ()</t>
        </is>
      </c>
      <c r="B62" s="27" t="n"/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8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8" t="n"/>
      <c r="Z62" s="29" t="n"/>
      <c r="AA62" s="29" t="n"/>
      <c r="AB62" s="29" t="n"/>
      <c r="AC62" s="29" t="n"/>
    </row>
    <row r="63">
      <c r="A63" s="18" t="inlineStr">
        <is>
          <t>발행주식수 (보통주)</t>
        </is>
      </c>
      <c r="B63" s="27" t="n"/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8" t="n"/>
      <c r="Z63" s="29" t="n"/>
      <c r="AA63" s="29" t="n"/>
      <c r="AB63" s="29" t="n"/>
      <c r="AC63" s="29" t="n"/>
    </row>
    <row r="64">
      <c r="A64" s="18" t="inlineStr">
        <is>
          <t>시가총액 (백만엔)</t>
        </is>
      </c>
      <c r="B64" s="12">
        <f>IF(OR(B62="",B63=""),"",B62*B63/1000000.0)</f>
        <v/>
      </c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19" t="n"/>
      <c r="Z64" s="20" t="n"/>
      <c r="AA64" s="20" t="n"/>
      <c r="AB64" s="20" t="n"/>
      <c r="AC64" s="20" t="n"/>
    </row>
    <row r="65">
      <c r="A65" s="13" t="inlineStr">
        <is>
          <t>OPM</t>
        </is>
      </c>
      <c r="B65" s="10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4">
        <f>IF(O32="","",O32)</f>
        <v/>
      </c>
      <c r="P65" s="15">
        <f>IF(P32="","",P32)</f>
        <v/>
      </c>
      <c r="Q65" s="15">
        <f>IF(Q32="","",Q32)</f>
        <v/>
      </c>
      <c r="R65" s="15">
        <f>IF(R32="","",R32)</f>
        <v/>
      </c>
      <c r="S65" s="15">
        <f>IF(S32="","",S32)</f>
        <v/>
      </c>
      <c r="T65" s="15">
        <f>IF(T32="","",T32)</f>
        <v/>
      </c>
      <c r="U65" s="15">
        <f>IF(U32="","",U32)</f>
        <v/>
      </c>
      <c r="V65" s="15">
        <f>IF(V32="","",V32)</f>
        <v/>
      </c>
      <c r="W65" s="15">
        <f>IF(W32="","",W32)</f>
        <v/>
      </c>
      <c r="X65" s="15">
        <f>IF(X32="","",X32)</f>
        <v/>
      </c>
      <c r="Y65" s="14">
        <f>IF(Y32="","",Y32)</f>
        <v/>
      </c>
      <c r="Z65" s="15">
        <f>IF(Z32="","",Z32)</f>
        <v/>
      </c>
      <c r="AA65" s="15">
        <f>IF(AA32="","",AA32)</f>
        <v/>
      </c>
      <c r="AB65" s="15">
        <f>IF(AB32="","",AB32)</f>
        <v/>
      </c>
      <c r="AC65" s="15">
        <f>IF(AC32="","",AC32)</f>
        <v/>
      </c>
    </row>
    <row r="66">
      <c r="A66" s="13" t="inlineStr">
        <is>
          <t>지배주주 순이익 증가율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>
        <f>IF(OR(P59="",O59=""),"",IFERROR(P59/O59-1,""))</f>
        <v/>
      </c>
      <c r="Q66" s="15">
        <f>IF(OR(Q59="",P59=""),"",IFERROR(Q59/P59-1,""))</f>
        <v/>
      </c>
      <c r="R66" s="15">
        <f>IF(OR(R59="",Q59=""),"",IFERROR(R59/Q59-1,""))</f>
        <v/>
      </c>
      <c r="S66" s="15">
        <f>IF(OR(S59="",R59=""),"",IFERROR(S59/R59-1,""))</f>
        <v/>
      </c>
      <c r="T66" s="15">
        <f>IF(OR(T59="",S59=""),"",IFERROR(T59/S59-1,""))</f>
        <v/>
      </c>
      <c r="U66" s="15">
        <f>IF(OR(U59="",T59=""),"",IFERROR(U59/T59-1,""))</f>
        <v/>
      </c>
      <c r="V66" s="15">
        <f>IF(OR(V59="",U59=""),"",IFERROR(V59/U59-1,""))</f>
        <v/>
      </c>
      <c r="W66" s="15">
        <f>IF(OR(W59="",V59=""),"",IFERROR(W59/V59-1,""))</f>
        <v/>
      </c>
      <c r="X66" s="15">
        <f>IF(OR(X59="",W59=""),"",IFERROR(X59/W59-1,""))</f>
        <v/>
      </c>
      <c r="Y66" s="14">
        <f>IF(OR(Y59="",X59=""),"",IFERROR(Y59/X59-1,""))</f>
        <v/>
      </c>
      <c r="Z66" s="15">
        <f>IF(OR(Z59="",Y59=""),"",IFERROR(Z59/Y59-1,""))</f>
        <v/>
      </c>
      <c r="AA66" s="15">
        <f>IF(OR(AA59="",Z59=""),"",IFERROR(AA59/Z59-1,""))</f>
        <v/>
      </c>
      <c r="AB66" s="15">
        <f>IF(OR(AB59="",AA59=""),"",IFERROR(AB59/AA59-1,""))</f>
        <v/>
      </c>
      <c r="AC66" s="15">
        <f>IF(OR(AC59="",AB59=""),"",IFERROR(AC59/AB59-1,""))</f>
        <v/>
      </c>
    </row>
    <row r="67">
      <c r="A67" s="18" t="inlineStr">
        <is>
          <t>P/E (현재 주가)</t>
        </is>
      </c>
      <c r="B67" s="10" t="inlineStr">
        <is>
          <t>시총 ÷ 지배순이익</t>
        </is>
      </c>
      <c r="C67" s="30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0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>
        <f>IF(OR($B$64="",X59=""),"",IFERROR($B$64/X59,""))</f>
        <v/>
      </c>
      <c r="Y67" s="30">
        <f>IF(OR($B$64="",Y59=""),"",IFERROR($B$64/Y59,""))</f>
        <v/>
      </c>
      <c r="Z67" s="31">
        <f>IF(OR($B$64="",Z59=""),"",IFERROR($B$64/Z59,""))</f>
        <v/>
      </c>
      <c r="AA67" s="31">
        <f>IF(OR($B$64="",AA59=""),"",IFERROR($B$64/AA59,""))</f>
        <v/>
      </c>
      <c r="AB67" s="31">
        <f>IF(OR($B$64="",AB59=""),"",IFERROR($B$64/AB59,""))</f>
        <v/>
      </c>
      <c r="AC67" s="31">
        <f>IF(OR($B$64="",AC59=""),"",IFERROR($B$64/AC59,""))</f>
        <v/>
      </c>
    </row>
    <row r="68">
      <c r="A68" s="18" t="inlineStr">
        <is>
          <t>Target P/E</t>
        </is>
      </c>
      <c r="B68" s="10" t="inlineStr">
        <is>
          <t>직접 입력</t>
        </is>
      </c>
      <c r="C68" s="30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0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2" t="n"/>
      <c r="Z68" s="33" t="n"/>
      <c r="AA68" s="33" t="n"/>
      <c r="AB68" s="33" t="n"/>
      <c r="AC68" s="33" t="n"/>
    </row>
    <row r="69">
      <c r="A69" s="18" t="inlineStr">
        <is>
          <t>EPS</t>
        </is>
      </c>
      <c r="B69" s="10" t="inlineStr">
        <is>
          <t>지배순이익 ÷ 주식수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>
        <f>IF(OR(O59="",$B$63=""),"",IFERROR(O59*1000000.0/$B$63,""))</f>
        <v/>
      </c>
      <c r="P69" s="29">
        <f>IF(OR(P59="",$B$63=""),"",IFERROR(P59*1000000.0/$B$63,""))</f>
        <v/>
      </c>
      <c r="Q69" s="29">
        <f>IF(OR(Q59="",$B$63=""),"",IFERROR(Q59*1000000.0/$B$63,""))</f>
        <v/>
      </c>
      <c r="R69" s="29">
        <f>IF(OR(R59="",$B$63=""),"",IFERROR(R59*1000000.0/$B$63,""))</f>
        <v/>
      </c>
      <c r="S69" s="29">
        <f>IF(OR(S59="",$B$63=""),"",IFERROR(S59*1000000.0/$B$63,""))</f>
        <v/>
      </c>
      <c r="T69" s="29">
        <f>IF(OR(T59="",$B$63=""),"",IFERROR(T59*1000000.0/$B$63,""))</f>
        <v/>
      </c>
      <c r="U69" s="29">
        <f>IF(OR(U59="",$B$63=""),"",IFERROR(U59*1000000.0/$B$63,""))</f>
        <v/>
      </c>
      <c r="V69" s="29">
        <f>IF(OR(V59="",$B$63=""),"",IFERROR(V59*1000000.0/$B$63,""))</f>
        <v/>
      </c>
      <c r="W69" s="29">
        <f>IF(OR(W59="",$B$63=""),"",IFERROR(W59*1000000.0/$B$63,""))</f>
        <v/>
      </c>
      <c r="X69" s="29">
        <f>IF(OR(X59="",$B$63=""),"",IFERROR(X59*1000000.0/$B$63,""))</f>
        <v/>
      </c>
      <c r="Y69" s="28">
        <f>IF(OR(Y59="",$B$63=""),"",IFERROR(Y59*1000000.0/$B$63,""))</f>
        <v/>
      </c>
      <c r="Z69" s="29">
        <f>IF(OR(Z59="",$B$63=""),"",IFERROR(Z59*1000000.0/$B$63,""))</f>
        <v/>
      </c>
      <c r="AA69" s="29">
        <f>IF(OR(AA59="",$B$63=""),"",IFERROR(AA59*1000000.0/$B$63,""))</f>
        <v/>
      </c>
      <c r="AB69" s="29">
        <f>IF(OR(AB59="",$B$63=""),"",IFERROR(AB59*1000000.0/$B$63,""))</f>
        <v/>
      </c>
      <c r="AC69" s="29">
        <f>IF(OR(AC59="",$B$63=""),"",IFERROR(AC59*1000000.0/$B$63,""))</f>
        <v/>
      </c>
    </row>
    <row r="70">
      <c r="A70" s="9" t="inlineStr">
        <is>
          <t>목표주가</t>
        </is>
      </c>
      <c r="B70" s="10" t="n"/>
      <c r="C70" s="34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34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34">
        <f>IF(OR(Y69="",Y68=""),"",IFERROR(Y69*Y68,""))</f>
        <v/>
      </c>
      <c r="Z70" s="27">
        <f>IF(OR(Z69="",Z68=""),"",IFERROR(Z69*Z68,""))</f>
        <v/>
      </c>
      <c r="AA70" s="27">
        <f>IF(OR(AA69="",AA68=""),"",IFERROR(AA69*AA68,""))</f>
        <v/>
      </c>
      <c r="AB70" s="27">
        <f>IF(OR(AB69="",AB68=""),"",IFERROR(AB69*AB68,""))</f>
        <v/>
      </c>
      <c r="AC70" s="27">
        <f>IF(OR(AC69="",AC68=""),"",IFERROR(AC69*AC68,""))</f>
        <v/>
      </c>
    </row>
    <row r="71">
      <c r="A71" s="18" t="inlineStr">
        <is>
          <t>상승여력</t>
        </is>
      </c>
      <c r="B71" s="10" t="n"/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5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7">
        <f>IF(OR(Y70="",$B$62=""),"",IFERROR(Y70/$B$62-1,""))</f>
        <v/>
      </c>
      <c r="Z71" s="38">
        <f>IF(OR(Z70="",$B$62=""),"",IFERROR(Z70/$B$62-1,""))</f>
        <v/>
      </c>
      <c r="AA71" s="38">
        <f>IF(OR(AA70="",$B$62=""),"",IFERROR(AA70/$B$62-1,""))</f>
        <v/>
      </c>
      <c r="AB71" s="38">
        <f>IF(OR(AB70="",$B$62=""),"",IFERROR(AB70/$B$62-1,""))</f>
        <v/>
      </c>
      <c r="AC71" s="38">
        <f>IF(OR(AC70="",$B$62=""),"",IFERROR(AC70/$B$62-1,""))</f>
        <v/>
      </c>
    </row>
    <row r="72">
      <c r="A72" s="16" t="inlineStr">
        <is>
          <t>자산가치 산출</t>
        </is>
      </c>
      <c r="B72" s="16" t="inlineStr">
        <is>
          <t>최신 분기 BS</t>
        </is>
      </c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7" t="n"/>
      <c r="Z72" s="16" t="n"/>
      <c r="AA72" s="16" t="n"/>
      <c r="AB72" s="16" t="n"/>
      <c r="AC72" s="16" t="n"/>
    </row>
    <row r="73">
      <c r="A73" s="18" t="inlineStr">
        <is>
          <t>현금및현금성자산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'재무상태표'!G6</f>
        <v/>
      </c>
      <c r="Y73" s="19">
        <f>'재무상태표'!G6</f>
        <v/>
      </c>
      <c r="Z73" s="20">
        <f>'재무상태표'!G6</f>
        <v/>
      </c>
      <c r="AA73" s="20">
        <f>'재무상태표'!G6</f>
        <v/>
      </c>
      <c r="AB73" s="20">
        <f>'재무상태표'!G6</f>
        <v/>
      </c>
      <c r="AC73" s="20">
        <f>'재무상태표'!G6</f>
        <v/>
      </c>
    </row>
    <row r="74">
      <c r="A74" s="18" t="inlineStr">
        <is>
          <t>단기금융상품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'재무상태표'!G7</f>
        <v/>
      </c>
      <c r="Y74" s="19">
        <f>'재무상태표'!G7</f>
        <v/>
      </c>
      <c r="Z74" s="20">
        <f>'재무상태표'!G7</f>
        <v/>
      </c>
      <c r="AA74" s="20">
        <f>'재무상태표'!G7</f>
        <v/>
      </c>
      <c r="AB74" s="20">
        <f>'재무상태표'!G7</f>
        <v/>
      </c>
      <c r="AC74" s="20">
        <f>'재무상태표'!G7</f>
        <v/>
      </c>
    </row>
    <row r="75">
      <c r="A75" s="18" t="inlineStr">
        <is>
          <t>투자부동산</t>
        </is>
      </c>
      <c r="B75" s="10" t="n"/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>
        <f>'재무상태표'!G14</f>
        <v/>
      </c>
      <c r="Y75" s="19">
        <f>'재무상태표'!G14</f>
        <v/>
      </c>
      <c r="Z75" s="20">
        <f>'재무상태표'!G14</f>
        <v/>
      </c>
      <c r="AA75" s="20">
        <f>'재무상태표'!G14</f>
        <v/>
      </c>
      <c r="AB75" s="20">
        <f>'재무상태표'!G14</f>
        <v/>
      </c>
      <c r="AC75" s="20">
        <f>'재무상태표'!G14</f>
        <v/>
      </c>
    </row>
    <row r="76">
      <c r="A76" s="18" t="inlineStr">
        <is>
          <t>지배자본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'재무상태표'!G31</f>
        <v/>
      </c>
      <c r="Y76" s="19">
        <f>'재무상태표'!G31</f>
        <v/>
      </c>
      <c r="Z76" s="20">
        <f>'재무상태표'!G31</f>
        <v/>
      </c>
      <c r="AA76" s="20">
        <f>'재무상태표'!G31</f>
        <v/>
      </c>
      <c r="AB76" s="20">
        <f>'재무상태표'!G31</f>
        <v/>
      </c>
      <c r="AC76" s="20">
        <f>'재무상태표'!G31</f>
        <v/>
      </c>
    </row>
    <row r="77">
      <c r="A77" s="18" t="inlineStr">
        <is>
          <t>부채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'재무상태표'!G27</f>
        <v/>
      </c>
      <c r="Y77" s="19">
        <f>'재무상태표'!G27</f>
        <v/>
      </c>
      <c r="Z77" s="20">
        <f>'재무상태표'!G27</f>
        <v/>
      </c>
      <c r="AA77" s="20">
        <f>'재무상태표'!G27</f>
        <v/>
      </c>
      <c r="AB77" s="20">
        <f>'재무상태표'!G27</f>
        <v/>
      </c>
      <c r="AC77" s="20">
        <f>'재무상태표'!G27</f>
        <v/>
      </c>
    </row>
    <row r="78">
      <c r="A78" s="13" t="inlineStr">
        <is>
          <t>부채비율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>
        <f>IF(OR(X77="",X76=""),"",IFERROR(X77/X76,""))</f>
        <v/>
      </c>
      <c r="Y78" s="14">
        <f>IF(OR(Y77="",Y76=""),"",IFERROR(Y77/Y76,""))</f>
        <v/>
      </c>
      <c r="Z78" s="15">
        <f>IF(OR(Z77="",Z76=""),"",IFERROR(Z77/Z76,""))</f>
        <v/>
      </c>
      <c r="AA78" s="15">
        <f>IF(OR(AA77="",AA76=""),"",IFERROR(AA77/AA76,""))</f>
        <v/>
      </c>
      <c r="AB78" s="15">
        <f>IF(OR(AB77="",AB76=""),"",IFERROR(AB77/AB76,""))</f>
        <v/>
      </c>
      <c r="AC78" s="15">
        <f>IF(OR(AC77="",AC76=""),"",IFERROR(AC77/AC76,""))</f>
        <v/>
      </c>
    </row>
    <row r="79">
      <c r="A79" s="9" t="inlineStr">
        <is>
          <t>자산가치</t>
        </is>
      </c>
      <c r="B79" s="10" t="inlineStr">
        <is>
          <t>현금+단기금융+투자부동산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>
        <f>SUM(X73,X74,X75)</f>
        <v/>
      </c>
      <c r="Y79" s="11">
        <f>SUM(Y73,Y74,Y75)</f>
        <v/>
      </c>
      <c r="Z79" s="12">
        <f>SUM(Z73,Z74,Z75)</f>
        <v/>
      </c>
      <c r="AA79" s="12">
        <f>SUM(AA73,AA74,AA75)</f>
        <v/>
      </c>
      <c r="AB79" s="12">
        <f>SUM(AB73,AB74,AB75)</f>
        <v/>
      </c>
      <c r="AC79" s="12">
        <f>SUM(AC73,AC74,AC75)</f>
        <v/>
      </c>
    </row>
    <row r="80">
      <c r="A80" s="16" t="inlineStr">
        <is>
          <t>기업가치 산출</t>
        </is>
      </c>
      <c r="B80" s="16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7" t="n"/>
      <c r="Z80" s="16" t="n"/>
      <c r="AA80" s="16" t="n"/>
      <c r="AB80" s="16" t="n"/>
      <c r="AC80" s="16" t="n"/>
    </row>
    <row r="81">
      <c r="A81" s="18" t="inlineStr">
        <is>
          <t>목표 시가총액 (P/E)</t>
        </is>
      </c>
      <c r="B81" s="10" t="inlineStr">
        <is>
          <t>지배순이익 × Target P/E</t>
        </is>
      </c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19">
        <f>IF(OR(Y59="",Y68=""),"",IFERROR(Y59*Y68,""))</f>
        <v/>
      </c>
      <c r="Z81" s="20">
        <f>IF(OR(Z59="",Z68=""),"",IFERROR(Z59*Z68,""))</f>
        <v/>
      </c>
      <c r="AA81" s="20">
        <f>IF(OR(AA59="",AA68=""),"",IFERROR(AA59*AA68,""))</f>
        <v/>
      </c>
      <c r="AB81" s="20">
        <f>IF(OR(AB59="",AB68=""),"",IFERROR(AB59*AB68,""))</f>
        <v/>
      </c>
      <c r="AC81" s="20">
        <f>IF(OR(AC59="",AC68=""),"",IFERROR(AC59*AC68,""))</f>
        <v/>
      </c>
    </row>
    <row r="82">
      <c r="A82" s="9" t="inlineStr">
        <is>
          <t>기업가치</t>
        </is>
      </c>
      <c r="B82" s="10" t="inlineStr">
        <is>
          <t>목표시총 + 자산가치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>
        <f>IF(OR(Y81=""),"",IFERROR(Y81+Y79,""))</f>
        <v/>
      </c>
      <c r="Z82" s="12">
        <f>IF(OR(Z81=""),"",IFERROR(Z81+Z79,""))</f>
        <v/>
      </c>
      <c r="AA82" s="12">
        <f>IF(OR(AA81=""),"",IFERROR(AA81+AA79,""))</f>
        <v/>
      </c>
      <c r="AB82" s="12">
        <f>IF(OR(AB81=""),"",IFERROR(AB81+AB79,""))</f>
        <v/>
      </c>
      <c r="AC82" s="12">
        <f>IF(OR(AC81=""),"",IFERROR(AC81+AC79,""))</f>
        <v/>
      </c>
    </row>
    <row r="83">
      <c r="A83" s="18" t="inlineStr">
        <is>
          <t>현재 시가총액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19">
        <f>$B$64</f>
        <v/>
      </c>
      <c r="Z83" s="20">
        <f>$B$64</f>
        <v/>
      </c>
      <c r="AA83" s="20">
        <f>$B$64</f>
        <v/>
      </c>
      <c r="AB83" s="20">
        <f>$B$64</f>
        <v/>
      </c>
      <c r="AC83" s="20">
        <f>$B$64</f>
        <v/>
      </c>
    </row>
    <row r="84">
      <c r="A84" s="18" t="inlineStr">
        <is>
          <t>상승여력</t>
        </is>
      </c>
      <c r="B84" s="10" t="n"/>
      <c r="C84" s="35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5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7">
        <f>IF(OR(Y82="",Y83=""),"",IFERROR(Y82/Y83-1,""))</f>
        <v/>
      </c>
      <c r="Z84" s="38">
        <f>IF(OR(Z82="",Z83=""),"",IFERROR(Z82/Z83-1,""))</f>
        <v/>
      </c>
      <c r="AA84" s="38">
        <f>IF(OR(AA82="",AA83=""),"",IFERROR(AA82/AA83-1,""))</f>
        <v/>
      </c>
      <c r="AB84" s="38">
        <f>IF(OR(AB82="",AB83=""),"",IFERROR(AB82/AB83-1,""))</f>
        <v/>
      </c>
      <c r="AC84" s="38">
        <f>IF(OR(AC82="",AC83=""),"",IFERROR(AC82/AC83-1,""))</f>
        <v/>
      </c>
    </row>
    <row r="85">
      <c r="C85" s="39" t="n"/>
      <c r="O85" s="39" t="n"/>
      <c r="Y85" s="39" t="n"/>
    </row>
    <row r="86">
      <c r="A86" s="40" t="inlineStr">
        <is>
          <t>출처</t>
        </is>
      </c>
      <c r="C86" s="39" t="n"/>
      <c r="O86" s="39" t="n"/>
      <c r="Y86" s="39" t="n"/>
    </row>
    <row r="87">
      <c r="A87" s="41" t="inlineStr">
        <is>
          <t>결산단신 XBRL(TDnet·JPX 보관소) — 쓴 문서는 '출처' 시트</t>
        </is>
      </c>
      <c r="C87" s="39" t="n"/>
      <c r="O87" s="39" t="n"/>
      <c r="Y87" s="39" t="n"/>
    </row>
    <row r="88">
      <c r="A88" s="41" t="inlineStr">
        <is>
          <t>분기 = 누계에서 앞 분기를 뺀 3개월 값</t>
        </is>
      </c>
      <c r="C88" s="39" t="n"/>
      <c r="O88" s="39" t="n"/>
      <c r="Y88" s="39" t="n"/>
    </row>
    <row r="89">
      <c r="A89" s="41" t="inlineStr">
        <is>
          <t>주가: 야후 파이낸스 일봉</t>
        </is>
      </c>
      <c r="C89" s="39" t="n"/>
      <c r="O89" s="39" t="n"/>
      <c r="Y89" s="39" t="n"/>
    </row>
    <row r="91">
      <c r="A91" s="16" t="inlineStr">
        <is>
          <t>손익계산서 · 전 항목</t>
        </is>
      </c>
      <c r="B91" s="42" t="inlineStr">
        <is>
          <t>분기 = 3개월 단독</t>
        </is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</row>
    <row r="92">
      <c r="A92" s="5" t="inlineStr">
        <is>
          <t>항목</t>
        </is>
      </c>
      <c r="B92" s="5" t="inlineStr">
        <is>
          <t>참고</t>
        </is>
      </c>
      <c r="C92" s="5" t="inlineStr">
        <is>
          <t>2024.3Q</t>
        </is>
      </c>
      <c r="D92" s="5" t="inlineStr">
        <is>
          <t>2024.4Q</t>
        </is>
      </c>
      <c r="E92" s="5" t="inlineStr">
        <is>
          <t>2025.1Q</t>
        </is>
      </c>
      <c r="F92" s="5" t="inlineStr">
        <is>
          <t>2025.2Q</t>
        </is>
      </c>
      <c r="G92" s="5" t="inlineStr">
        <is>
          <t>2025.3Q</t>
        </is>
      </c>
      <c r="H92" s="5" t="inlineStr">
        <is>
          <t>2025.4Q</t>
        </is>
      </c>
      <c r="I92" s="5" t="inlineStr">
        <is>
          <t>2026.1Q</t>
        </is>
      </c>
      <c r="J92" s="5" t="inlineStr">
        <is>
          <t>2026.2Q</t>
        </is>
      </c>
      <c r="K92" s="5" t="inlineStr">
        <is>
          <t>2026.3Q</t>
        </is>
      </c>
      <c r="L92" s="5" t="inlineStr">
        <is>
          <t>2026.4Q</t>
        </is>
      </c>
      <c r="M92" s="5" t="inlineStr">
        <is>
          <t>2027.1Q</t>
        </is>
      </c>
      <c r="N92" s="5" t="inlineStr">
        <is>
          <t>2027.2Q</t>
        </is>
      </c>
      <c r="O92" s="5" t="inlineStr">
        <is>
          <t>2017</t>
        </is>
      </c>
      <c r="P92" s="5" t="inlineStr">
        <is>
          <t>2018</t>
        </is>
      </c>
      <c r="Q92" s="5" t="inlineStr">
        <is>
          <t>2019</t>
        </is>
      </c>
      <c r="R92" s="5" t="inlineStr">
        <is>
          <t>2020</t>
        </is>
      </c>
      <c r="S92" s="5" t="inlineStr">
        <is>
          <t>2021</t>
        </is>
      </c>
      <c r="T92" s="5" t="inlineStr">
        <is>
          <t>2022</t>
        </is>
      </c>
      <c r="U92" s="5" t="inlineStr">
        <is>
          <t>2023</t>
        </is>
      </c>
      <c r="V92" s="5" t="inlineStr">
        <is>
          <t>2024</t>
        </is>
      </c>
      <c r="W92" s="5" t="inlineStr">
        <is>
          <t>2025</t>
        </is>
      </c>
      <c r="X92" s="5" t="inlineStr">
        <is>
          <t>2026</t>
        </is>
      </c>
      <c r="Y92" s="5" t="inlineStr">
        <is>
          <t>2027(MW)</t>
        </is>
      </c>
      <c r="Z92" s="5" t="inlineStr">
        <is>
          <t>2028(MW)</t>
        </is>
      </c>
      <c r="AA92" s="5" t="inlineStr">
        <is>
          <t>2029(MW)</t>
        </is>
      </c>
      <c r="AB92" s="5" t="inlineStr">
        <is>
          <t>2030(MW)</t>
        </is>
      </c>
      <c r="AC92" s="5" t="inlineStr">
        <is>
          <t>2031(MW)</t>
        </is>
      </c>
    </row>
    <row r="93">
      <c r="A93" s="9" t="inlineStr">
        <is>
          <t>매출액</t>
        </is>
      </c>
      <c r="E93" s="12" t="n">
        <v>19098</v>
      </c>
      <c r="F93" s="12" t="n">
        <v>11938</v>
      </c>
      <c r="G93" s="12" t="n">
        <v>49410</v>
      </c>
      <c r="H93" s="12" t="n">
        <v>33157</v>
      </c>
      <c r="I93" s="12" t="n">
        <v>17581</v>
      </c>
      <c r="J93" s="12" t="n">
        <v>17600</v>
      </c>
      <c r="K93" s="12" t="n">
        <v>27743</v>
      </c>
      <c r="L93" s="12" t="n">
        <v>74105</v>
      </c>
      <c r="M93" s="12" t="n">
        <v>10027</v>
      </c>
      <c r="N93" s="12" t="n">
        <v>45496</v>
      </c>
      <c r="T93" s="12" t="n">
        <v>48849</v>
      </c>
      <c r="U93" s="12" t="n">
        <v>41284</v>
      </c>
      <c r="W93" s="12" t="n">
        <v>33157</v>
      </c>
      <c r="X93" s="12" t="n">
        <v>74105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매출원가</t>
        </is>
      </c>
      <c r="E95" s="20" t="n">
        <v>12992</v>
      </c>
      <c r="F95" s="20" t="n">
        <v>8109</v>
      </c>
      <c r="G95" s="20" t="n">
        <v>34552</v>
      </c>
      <c r="H95" s="20" t="n">
        <v>21481</v>
      </c>
      <c r="I95" s="20" t="n">
        <v>12228</v>
      </c>
      <c r="J95" s="20" t="n">
        <v>11844</v>
      </c>
      <c r="K95" s="20" t="n">
        <v>18736</v>
      </c>
      <c r="L95" s="20" t="n">
        <v>53213</v>
      </c>
      <c r="M95" s="20" t="n">
        <v>6411</v>
      </c>
      <c r="N95" s="20" t="n">
        <v>30691</v>
      </c>
      <c r="T95" s="20" t="n">
        <v>35705</v>
      </c>
      <c r="U95" s="20" t="n">
        <v>28527</v>
      </c>
      <c r="W95" s="20" t="n">
        <v>21481</v>
      </c>
      <c r="X95" s="20" t="n">
        <v>53213</v>
      </c>
    </row>
    <row r="96">
      <c r="A96" s="9" t="inlineStr">
        <is>
          <t>매출총이익</t>
        </is>
      </c>
      <c r="E96" s="12" t="n">
        <v>6106</v>
      </c>
      <c r="F96" s="12" t="n">
        <v>3829</v>
      </c>
      <c r="G96" s="12" t="n">
        <v>14858</v>
      </c>
      <c r="H96" s="12" t="n">
        <v>11676</v>
      </c>
      <c r="I96" s="12" t="n">
        <v>5353</v>
      </c>
      <c r="J96" s="12" t="n">
        <v>5756</v>
      </c>
      <c r="K96" s="12" t="n">
        <v>9006</v>
      </c>
      <c r="L96" s="12" t="n">
        <v>20893</v>
      </c>
      <c r="M96" s="12" t="n">
        <v>3616</v>
      </c>
      <c r="N96" s="12" t="n">
        <v>14805</v>
      </c>
      <c r="T96" s="12" t="n">
        <v>13144</v>
      </c>
      <c r="U96" s="12" t="n">
        <v>12757</v>
      </c>
      <c r="W96" s="12" t="n">
        <v>11676</v>
      </c>
      <c r="X96" s="12" t="n">
        <v>20893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판매비와 관리비</t>
        </is>
      </c>
      <c r="E98" s="20" t="n">
        <v>2816</v>
      </c>
      <c r="F98" s="20" t="n">
        <v>2803</v>
      </c>
      <c r="G98" s="20" t="n">
        <v>5421</v>
      </c>
      <c r="H98" s="20" t="n">
        <v>4117</v>
      </c>
      <c r="I98" s="20" t="n">
        <v>3169</v>
      </c>
      <c r="J98" s="20" t="n">
        <v>3034</v>
      </c>
      <c r="K98" s="20" t="n">
        <v>3366</v>
      </c>
      <c r="L98" s="20" t="n">
        <v>5337</v>
      </c>
      <c r="M98" s="20" t="n">
        <v>3027</v>
      </c>
      <c r="N98" s="20" t="n">
        <v>4815</v>
      </c>
      <c r="T98" s="20" t="n">
        <v>3864</v>
      </c>
      <c r="U98" s="20" t="n">
        <v>4003</v>
      </c>
      <c r="W98" s="20" t="n">
        <v>4117</v>
      </c>
      <c r="X98" s="20" t="n">
        <v>5337</v>
      </c>
    </row>
    <row r="99">
      <c r="A99" s="9" t="inlineStr">
        <is>
          <t>영업이익</t>
        </is>
      </c>
      <c r="E99" s="12" t="n">
        <v>3289</v>
      </c>
      <c r="F99" s="12" t="n">
        <v>1027</v>
      </c>
      <c r="G99" s="12" t="n">
        <v>9437</v>
      </c>
      <c r="H99" s="12" t="n">
        <v>7558</v>
      </c>
      <c r="I99" s="12" t="n">
        <v>2183</v>
      </c>
      <c r="J99" s="12" t="n">
        <v>2722</v>
      </c>
      <c r="K99" s="12" t="n">
        <v>5641</v>
      </c>
      <c r="L99" s="12" t="n">
        <v>15555</v>
      </c>
      <c r="M99" s="12" t="n">
        <v>588</v>
      </c>
      <c r="N99" s="12" t="n">
        <v>9990</v>
      </c>
      <c r="T99" s="12" t="n">
        <v>9280</v>
      </c>
      <c r="U99" s="12" t="n">
        <v>8753</v>
      </c>
      <c r="W99" s="12" t="n">
        <v>7558</v>
      </c>
      <c r="X99" s="12" t="n">
        <v>15555</v>
      </c>
    </row>
    <row r="100">
      <c r="A100" s="43" t="inlineStr">
        <is>
          <t>OPM</t>
        </is>
      </c>
      <c r="B100" s="3" t="inlineStr">
        <is>
          <t>영업이익 ÷ 매출</t>
        </is>
      </c>
      <c r="E100" s="15">
        <f>IF(OR(E99="",E93=""),"",IF(E93&lt;=0,"",IFERROR(E99/E93,"")))</f>
        <v/>
      </c>
      <c r="F100" s="15">
        <f>IF(OR(F99="",F93=""),"",IF(F93&lt;=0,"",IFERROR(F99/F93,"")))</f>
        <v/>
      </c>
      <c r="G100" s="15">
        <f>IF(OR(G99="",G93=""),"",IF(G93&lt;=0,"",IFERROR(G99/G93,"")))</f>
        <v/>
      </c>
      <c r="H100" s="15">
        <f>IF(OR(H99="",H93=""),"",IF(H93&lt;=0,"",IFERROR(H99/H93,"")))</f>
        <v/>
      </c>
      <c r="I100" s="15">
        <f>IF(OR(I99="",I93=""),"",IF(I93&lt;=0,"",IFERROR(I99/I93,"")))</f>
        <v/>
      </c>
      <c r="J100" s="15">
        <f>IF(OR(J99="",J93=""),"",IF(J93&lt;=0,"",IFERROR(J99/J93,"")))</f>
        <v/>
      </c>
      <c r="K100" s="15">
        <f>IF(OR(K99="",K93=""),"",IF(K93&lt;=0,"",IFERROR(K99/K93,"")))</f>
        <v/>
      </c>
      <c r="L100" s="15">
        <f>IF(OR(L99="",L93=""),"",IF(L93&lt;=0,"",IFERROR(L99/L93,"")))</f>
        <v/>
      </c>
      <c r="M100" s="15">
        <f>IF(OR(M99="",M93=""),"",IF(M93&lt;=0,"",IFERROR(M99/M93,"")))</f>
        <v/>
      </c>
      <c r="N100" s="15">
        <f>IF(OR(N99="",N93=""),"",IF(N93&lt;=0,"",IFERROR(N99/N93,"")))</f>
        <v/>
      </c>
      <c r="T100" s="15">
        <f>IF(OR(T99="",T93=""),"",IF(T93&lt;=0,"",IFERROR(T99/T93,"")))</f>
        <v/>
      </c>
      <c r="U100" s="15">
        <f>IF(OR(U99="",U93=""),"",IF(U93&lt;=0,"",IFERROR(U99/U93,"")))</f>
        <v/>
      </c>
      <c r="W100" s="15">
        <f>IF(OR(W99="",W93=""),"",IF(W93&lt;=0,"",IFERROR(W99/W93,"")))</f>
        <v/>
      </c>
      <c r="X100" s="15">
        <f>IF(OR(X99="",X93=""),"",IF(X93&lt;=0,"",IFERROR(X99/X93,"")))</f>
        <v/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IF(OR(G99="",C99=""),"",IF(C99&lt;=0,"",IFERROR(G99/C99-1,"")))</f>
        <v/>
      </c>
      <c r="H101" s="15">
        <f>IF(OR(H99="",D99=""),"",IF(D99&lt;=0,"",IFERROR(H99/D99-1,"")))</f>
        <v/>
      </c>
      <c r="I101" s="15">
        <f>IF(OR(I99="",E99=""),"",IF(E99&lt;=0,"",IFERROR(I99/E99-1,"")))</f>
        <v/>
      </c>
      <c r="J101" s="15">
        <f>IF(OR(J99="",F99=""),"",IF(F99&lt;=0,"",IFERROR(J99/F99-1,"")))</f>
        <v/>
      </c>
      <c r="K101" s="15">
        <f>IF(OR(K99="",G99=""),"",IF(G99&lt;=0,"",IFERROR(K99/G99-1,"")))</f>
        <v/>
      </c>
      <c r="L101" s="15">
        <f>IF(OR(L99="",H99=""),"",IF(H99&lt;=0,"",IFERROR(L99/H99-1,"")))</f>
        <v/>
      </c>
      <c r="M101" s="15">
        <f>IF(OR(M99="",I99=""),"",IF(I99&lt;=0,"",IFERROR(M99/I99-1,"")))</f>
        <v/>
      </c>
      <c r="N101" s="15">
        <f>IF(OR(N99="",J99=""),"",IF(J99&lt;=0,"",IFERROR(N99/J99-1,"")))</f>
        <v/>
      </c>
      <c r="T101" s="15">
        <f>IF(OR(T99="",S99=""),"",IF(S99&lt;=0,"",IFERROR(T99/S99-1,"")))</f>
        <v/>
      </c>
      <c r="U101" s="15">
        <f>IF(OR(U99="",T99=""),"",IF(T99&lt;=0,"",IFERROR(U99/T99-1,"")))</f>
        <v/>
      </c>
      <c r="W101" s="15">
        <f>IF(OR(W99="",V99=""),"",IF(V99&lt;=0,"",IFERROR(W99/V99-1,"")))</f>
        <v/>
      </c>
      <c r="X101" s="15">
        <f>IF(OR(X99="",W99=""),"",IF(W99&lt;=0,"",IFERROR(X99/W99-1,"")))</f>
        <v/>
      </c>
    </row>
    <row r="102">
      <c r="A102" s="18" t="inlineStr">
        <is>
          <t>이자수익</t>
        </is>
      </c>
      <c r="E102" s="20" t="n">
        <v>0</v>
      </c>
      <c r="F102" s="20" t="n">
        <v>4</v>
      </c>
      <c r="G102" s="20" t="n">
        <v>1</v>
      </c>
      <c r="H102" s="20" t="n">
        <v>24</v>
      </c>
      <c r="I102" s="20" t="n">
        <v>0</v>
      </c>
      <c r="J102" s="20" t="n">
        <v>43</v>
      </c>
      <c r="K102" s="20" t="n">
        <v>1</v>
      </c>
      <c r="L102" s="20" t="n">
        <v>45</v>
      </c>
      <c r="M102" s="20" t="n">
        <v>1</v>
      </c>
      <c r="N102" s="20" t="n">
        <v>82</v>
      </c>
      <c r="T102" s="20" t="n">
        <v>1</v>
      </c>
      <c r="U102" s="20" t="n">
        <v>1</v>
      </c>
      <c r="W102" s="20" t="n">
        <v>24</v>
      </c>
      <c r="X102" s="20" t="n">
        <v>45</v>
      </c>
    </row>
    <row r="103">
      <c r="A103" s="18" t="inlineStr">
        <is>
          <t>배당금수익</t>
        </is>
      </c>
      <c r="E103" s="20" t="n">
        <v>63</v>
      </c>
      <c r="F103" s="20" t="n">
        <v>0</v>
      </c>
      <c r="G103" s="20" t="n">
        <v>56</v>
      </c>
      <c r="H103" s="20" t="n">
        <v>0</v>
      </c>
      <c r="I103" s="20" t="n">
        <v>67</v>
      </c>
      <c r="J103" s="20" t="n">
        <v>1</v>
      </c>
      <c r="K103" s="20" t="n">
        <v>66</v>
      </c>
      <c r="L103" s="20" t="n">
        <v>54</v>
      </c>
      <c r="M103" s="20" t="n">
        <v>70</v>
      </c>
      <c r="N103" s="20" t="n">
        <v>0</v>
      </c>
      <c r="T103" s="20" t="n">
        <v>62</v>
      </c>
      <c r="U103" s="20" t="n">
        <v>56</v>
      </c>
      <c r="W103" s="20" t="n">
        <v>0</v>
      </c>
      <c r="X103" s="20" t="n">
        <v>54</v>
      </c>
    </row>
    <row r="104">
      <c r="A104" s="18" t="inlineStr">
        <is>
          <t>위약금 수입</t>
        </is>
      </c>
      <c r="E104" s="20" t="n">
        <v>7</v>
      </c>
      <c r="F104" s="20" t="n">
        <v>57</v>
      </c>
      <c r="G104" s="20" t="n">
        <v>32</v>
      </c>
      <c r="I104" s="20" t="n">
        <v>67</v>
      </c>
      <c r="J104" s="20" t="n">
        <v>87</v>
      </c>
      <c r="K104" s="20" t="n">
        <v>15</v>
      </c>
      <c r="M104" s="20" t="n">
        <v>24</v>
      </c>
      <c r="N104" s="20" t="n">
        <v>16</v>
      </c>
      <c r="U104" s="20" t="n">
        <v>24</v>
      </c>
    </row>
    <row r="105">
      <c r="A105" s="18" t="inlineStr">
        <is>
          <t>외환차익</t>
        </is>
      </c>
      <c r="E105" s="20" t="n">
        <v>230</v>
      </c>
      <c r="F105" s="20" t="n">
        <v>-230</v>
      </c>
      <c r="G105" s="20" t="n">
        <v>232</v>
      </c>
      <c r="H105" s="20" t="n">
        <v>-217</v>
      </c>
      <c r="I105" s="20" t="n">
        <v>0</v>
      </c>
      <c r="J105" s="20" t="n">
        <v>42</v>
      </c>
      <c r="K105" s="20" t="n">
        <v>237</v>
      </c>
      <c r="L105" s="20" t="n">
        <v>46</v>
      </c>
      <c r="M105" s="20" t="n">
        <v>55</v>
      </c>
      <c r="N105" s="20" t="n">
        <v>-55</v>
      </c>
      <c r="T105" s="20" t="n">
        <v>-164</v>
      </c>
      <c r="U105" s="20" t="n">
        <v>-131</v>
      </c>
      <c r="W105" s="20" t="n">
        <v>-217</v>
      </c>
      <c r="X105" s="20" t="n">
        <v>46</v>
      </c>
    </row>
    <row r="106">
      <c r="A106" s="18" t="inlineStr">
        <is>
          <t>기타</t>
        </is>
      </c>
      <c r="E106" s="20" t="n">
        <v>11</v>
      </c>
      <c r="F106" s="20" t="n">
        <v>1</v>
      </c>
      <c r="G106" s="20" t="n">
        <v>2</v>
      </c>
      <c r="H106" s="20" t="n">
        <v>10</v>
      </c>
      <c r="I106" s="20" t="n">
        <v>9</v>
      </c>
      <c r="J106" s="20" t="n">
        <v>7</v>
      </c>
      <c r="K106" s="20" t="n">
        <v>2</v>
      </c>
      <c r="L106" s="20" t="n">
        <v>6</v>
      </c>
      <c r="M106" s="20" t="n">
        <v>4</v>
      </c>
      <c r="N106" s="20" t="n">
        <v>6</v>
      </c>
      <c r="T106" s="20" t="n">
        <v>1</v>
      </c>
      <c r="U106" s="20" t="n">
        <v>13</v>
      </c>
      <c r="W106" s="20" t="n">
        <v>10</v>
      </c>
      <c r="X106" s="20" t="n">
        <v>6</v>
      </c>
    </row>
    <row r="107">
      <c r="A107" s="18" t="inlineStr">
        <is>
          <t>영업외수익 합계</t>
        </is>
      </c>
      <c r="E107" s="20" t="n">
        <v>313</v>
      </c>
      <c r="F107" s="20" t="n">
        <v>-168</v>
      </c>
      <c r="G107" s="20" t="n">
        <v>323</v>
      </c>
      <c r="H107" s="20" t="n">
        <v>-159</v>
      </c>
      <c r="I107" s="20" t="n">
        <v>145</v>
      </c>
      <c r="J107" s="20" t="n">
        <v>180</v>
      </c>
      <c r="K107" s="20" t="n">
        <v>320</v>
      </c>
      <c r="L107" s="20" t="n">
        <v>164</v>
      </c>
      <c r="M107" s="20" t="n">
        <v>155</v>
      </c>
      <c r="N107" s="20" t="n">
        <v>49</v>
      </c>
      <c r="T107" s="20" t="n">
        <v>-89</v>
      </c>
      <c r="U107" s="20" t="n">
        <v>-38</v>
      </c>
      <c r="W107" s="20" t="n">
        <v>-159</v>
      </c>
      <c r="X107" s="20" t="n">
        <v>164</v>
      </c>
    </row>
    <row r="108">
      <c r="A108" s="18" t="inlineStr">
        <is>
          <t>이자비용</t>
        </is>
      </c>
      <c r="E108" s="20" t="n">
        <v>736</v>
      </c>
      <c r="F108" s="20" t="n">
        <v>838</v>
      </c>
      <c r="G108" s="20" t="n">
        <v>997</v>
      </c>
      <c r="H108" s="20" t="n">
        <v>1114</v>
      </c>
      <c r="I108" s="20" t="n">
        <v>1260</v>
      </c>
      <c r="J108" s="20" t="n">
        <v>1315</v>
      </c>
      <c r="K108" s="20" t="n">
        <v>1320</v>
      </c>
      <c r="L108" s="20" t="n">
        <v>1544</v>
      </c>
      <c r="M108" s="20" t="n">
        <v>1649</v>
      </c>
      <c r="N108" s="20" t="n">
        <v>1963</v>
      </c>
      <c r="T108" s="20" t="n">
        <v>499</v>
      </c>
      <c r="U108" s="20" t="n">
        <v>588</v>
      </c>
      <c r="W108" s="20" t="n">
        <v>1114</v>
      </c>
      <c r="X108" s="20" t="n">
        <v>1544</v>
      </c>
    </row>
    <row r="109">
      <c r="A109" s="18" t="inlineStr">
        <is>
          <t>주식교부비 상각</t>
        </is>
      </c>
      <c r="E109" s="20" t="n">
        <v>0</v>
      </c>
      <c r="F109" s="20" t="n">
        <v>0</v>
      </c>
      <c r="G109" s="20" t="n">
        <v>0</v>
      </c>
      <c r="H109" s="20" t="n">
        <v>0</v>
      </c>
      <c r="T109" s="20" t="n">
        <v>9</v>
      </c>
      <c r="U109" s="20" t="n">
        <v>9</v>
      </c>
      <c r="W109" s="20" t="n">
        <v>0</v>
      </c>
    </row>
    <row r="110">
      <c r="A110" s="18" t="inlineStr">
        <is>
          <t>사채발행비 상각</t>
        </is>
      </c>
      <c r="E110" s="20" t="n">
        <v>0</v>
      </c>
      <c r="F110" s="20" t="n">
        <v>2</v>
      </c>
      <c r="G110" s="20" t="n">
        <v>2</v>
      </c>
      <c r="H110" s="20" t="n">
        <v>2</v>
      </c>
      <c r="I110" s="20" t="n">
        <v>2</v>
      </c>
      <c r="J110" s="20" t="n">
        <v>4</v>
      </c>
      <c r="K110" s="20" t="n">
        <v>5</v>
      </c>
      <c r="L110" s="20" t="n">
        <v>5</v>
      </c>
      <c r="M110" s="20" t="n">
        <v>4</v>
      </c>
      <c r="N110" s="20" t="n">
        <v>8</v>
      </c>
      <c r="W110" s="20" t="n">
        <v>2</v>
      </c>
      <c r="X110" s="20" t="n">
        <v>5</v>
      </c>
    </row>
    <row r="111">
      <c r="A111" s="18" t="inlineStr">
        <is>
          <t>외환차손</t>
        </is>
      </c>
      <c r="E111" s="20" t="n">
        <v>0</v>
      </c>
      <c r="F111" s="20" t="n">
        <v>112</v>
      </c>
      <c r="I111" s="20" t="n">
        <v>82</v>
      </c>
      <c r="J111" s="20" t="n">
        <v>-82</v>
      </c>
      <c r="M111" s="20" t="n">
        <v>0</v>
      </c>
      <c r="N111" s="20" t="n">
        <v>90</v>
      </c>
    </row>
    <row r="112">
      <c r="A112" s="18" t="inlineStr">
        <is>
          <t>지분법손실</t>
        </is>
      </c>
      <c r="E112" s="20" t="n">
        <v>21</v>
      </c>
      <c r="F112" s="20" t="n">
        <v>106</v>
      </c>
      <c r="G112" s="20" t="n">
        <v>293</v>
      </c>
      <c r="H112" s="20" t="n">
        <v>6</v>
      </c>
      <c r="I112" s="20" t="n">
        <v>134</v>
      </c>
      <c r="J112" s="20" t="n">
        <v>110</v>
      </c>
      <c r="K112" s="20" t="n">
        <v>137</v>
      </c>
      <c r="L112" s="20" t="n">
        <v>3846</v>
      </c>
      <c r="M112" s="20" t="n">
        <v>107</v>
      </c>
      <c r="N112" s="20" t="n">
        <v>70</v>
      </c>
      <c r="T112" s="20" t="n">
        <v>-12</v>
      </c>
      <c r="U112" s="20" t="n">
        <v>44</v>
      </c>
      <c r="W112" s="20" t="n">
        <v>6</v>
      </c>
      <c r="X112" s="20" t="n">
        <v>3846</v>
      </c>
    </row>
    <row r="113">
      <c r="A113" s="18" t="inlineStr">
        <is>
          <t>기타</t>
        </is>
      </c>
      <c r="E113" s="20" t="n">
        <v>5</v>
      </c>
      <c r="F113" s="20" t="n">
        <v>8</v>
      </c>
      <c r="G113" s="20" t="n">
        <v>1</v>
      </c>
      <c r="H113" s="20" t="n">
        <v>168</v>
      </c>
      <c r="I113" s="20" t="n">
        <v>13</v>
      </c>
      <c r="J113" s="20" t="n">
        <v>11</v>
      </c>
      <c r="K113" s="20" t="n">
        <v>4</v>
      </c>
      <c r="L113" s="20" t="n">
        <v>9</v>
      </c>
      <c r="M113" s="20" t="n">
        <v>0</v>
      </c>
      <c r="N113" s="20" t="n">
        <v>10</v>
      </c>
      <c r="T113" s="20" t="n">
        <v>1</v>
      </c>
      <c r="U113" s="20" t="n">
        <v>0</v>
      </c>
      <c r="W113" s="20" t="n">
        <v>168</v>
      </c>
      <c r="X113" s="20" t="n">
        <v>9</v>
      </c>
    </row>
    <row r="114">
      <c r="A114" s="18" t="inlineStr">
        <is>
          <t>영업외비용 합계</t>
        </is>
      </c>
      <c r="E114" s="20" t="n">
        <v>763</v>
      </c>
      <c r="F114" s="20" t="n">
        <v>1066</v>
      </c>
      <c r="G114" s="20" t="n">
        <v>1180</v>
      </c>
      <c r="H114" s="20" t="n">
        <v>1292</v>
      </c>
      <c r="I114" s="20" t="n">
        <v>1492</v>
      </c>
      <c r="J114" s="20" t="n">
        <v>1358</v>
      </c>
      <c r="K114" s="20" t="n">
        <v>1466</v>
      </c>
      <c r="L114" s="20" t="n">
        <v>5404</v>
      </c>
      <c r="M114" s="20" t="n">
        <v>1761</v>
      </c>
      <c r="N114" s="20" t="n">
        <v>2143</v>
      </c>
      <c r="T114" s="20" t="n">
        <v>497</v>
      </c>
      <c r="U114" s="20" t="n">
        <v>642</v>
      </c>
      <c r="W114" s="20" t="n">
        <v>1292</v>
      </c>
      <c r="X114" s="20" t="n">
        <v>5404</v>
      </c>
    </row>
    <row r="115">
      <c r="A115" s="9" t="inlineStr">
        <is>
          <t>경상이익</t>
        </is>
      </c>
      <c r="E115" s="12" t="n">
        <v>2840</v>
      </c>
      <c r="F115" s="12" t="n">
        <v>-208</v>
      </c>
      <c r="G115" s="12" t="n">
        <v>8580</v>
      </c>
      <c r="H115" s="12" t="n">
        <v>6108</v>
      </c>
      <c r="I115" s="12" t="n">
        <v>836</v>
      </c>
      <c r="J115" s="12" t="n">
        <v>1544</v>
      </c>
      <c r="K115" s="12" t="n">
        <v>4495</v>
      </c>
      <c r="L115" s="12" t="n">
        <v>10315</v>
      </c>
      <c r="M115" s="12" t="n">
        <v>-1017</v>
      </c>
      <c r="N115" s="12" t="n">
        <v>7895</v>
      </c>
      <c r="T115" s="12" t="n">
        <v>8693</v>
      </c>
      <c r="U115" s="12" t="n">
        <v>8074</v>
      </c>
      <c r="W115" s="12" t="n">
        <v>6108</v>
      </c>
      <c r="X115" s="12" t="n">
        <v>10315</v>
      </c>
    </row>
    <row r="116">
      <c r="A116" s="43" t="inlineStr">
        <is>
          <t>YoY</t>
        </is>
      </c>
      <c r="B116" s="3" t="inlineStr">
        <is>
          <t>전년 같은 분기·전년 대비</t>
        </is>
      </c>
      <c r="G116" s="15">
        <f>IF(OR(G115="",C115=""),"",IF(C115&lt;=0,"",IFERROR(G115/C115-1,"")))</f>
        <v/>
      </c>
      <c r="H116" s="15">
        <f>IF(OR(H115="",D115=""),"",IF(D115&lt;=0,"",IFERROR(H115/D115-1,"")))</f>
        <v/>
      </c>
      <c r="I116" s="15">
        <f>IF(OR(I115="",E115=""),"",IF(E115&lt;=0,"",IFERROR(I115/E115-1,"")))</f>
        <v/>
      </c>
      <c r="J116" s="15">
        <f>IF(OR(J115="",F115=""),"",IF(F115&lt;=0,"",IFERROR(J115/F115-1,"")))</f>
        <v/>
      </c>
      <c r="K116" s="15">
        <f>IF(OR(K115="",G115=""),"",IF(G115&lt;=0,"",IFERROR(K115/G115-1,"")))</f>
        <v/>
      </c>
      <c r="L116" s="15">
        <f>IF(OR(L115="",H115=""),"",IF(H115&lt;=0,"",IFERROR(L115/H115-1,"")))</f>
        <v/>
      </c>
      <c r="M116" s="15">
        <f>IF(OR(M115="",I115=""),"",IF(I115&lt;=0,"",IFERROR(M115/I115-1,"")))</f>
        <v/>
      </c>
      <c r="N116" s="15">
        <f>IF(OR(N115="",J115=""),"",IF(J115&lt;=0,"",IFERROR(N115/J115-1,"")))</f>
        <v/>
      </c>
      <c r="T116" s="15">
        <f>IF(OR(T115="",S115=""),"",IF(S115&lt;=0,"",IFERROR(T115/S115-1,"")))</f>
        <v/>
      </c>
      <c r="U116" s="15">
        <f>IF(OR(U115="",T115=""),"",IF(T115&lt;=0,"",IFERROR(U115/T115-1,"")))</f>
        <v/>
      </c>
      <c r="W116" s="15">
        <f>IF(OR(W115="",V115=""),"",IF(V115&lt;=0,"",IFERROR(W115/V115-1,"")))</f>
        <v/>
      </c>
      <c r="X116" s="15">
        <f>IF(OR(X115="",W115=""),"",IF(W115&lt;=0,"",IFERROR(X115/W115-1,"")))</f>
        <v/>
      </c>
    </row>
    <row r="117">
      <c r="A117" s="18" t="inlineStr">
        <is>
          <t>고정자산 매각이익</t>
        </is>
      </c>
      <c r="H117" s="20" t="n">
        <v>0</v>
      </c>
      <c r="K117" s="20" t="n">
        <v>0</v>
      </c>
      <c r="L117" s="20" t="n">
        <v>0</v>
      </c>
      <c r="W117" s="20" t="n">
        <v>0</v>
      </c>
      <c r="X117" s="20" t="n">
        <v>0</v>
      </c>
    </row>
    <row r="118">
      <c r="A118" s="18" t="inlineStr">
        <is>
          <t>관계회사 주식 매각이익</t>
        </is>
      </c>
      <c r="E118" s="20" t="n">
        <v>0</v>
      </c>
      <c r="F118" s="20" t="n">
        <v>0</v>
      </c>
      <c r="G118" s="20" t="n">
        <v>0</v>
      </c>
      <c r="H118" s="20" t="n">
        <v>0</v>
      </c>
      <c r="I118" s="20" t="n">
        <v>191</v>
      </c>
      <c r="J118" s="20" t="n">
        <v>0</v>
      </c>
      <c r="K118" s="20" t="n">
        <v>0</v>
      </c>
      <c r="L118" s="20" t="n">
        <v>0</v>
      </c>
      <c r="M118" s="20" t="n">
        <v>0</v>
      </c>
      <c r="N118" s="20" t="n">
        <v>0</v>
      </c>
      <c r="W118" s="20" t="n">
        <v>0</v>
      </c>
      <c r="X118" s="20" t="n">
        <v>0</v>
      </c>
    </row>
    <row r="119">
      <c r="A119" s="18" t="inlineStr">
        <is>
          <t>부의 영업권 발생이익</t>
        </is>
      </c>
      <c r="E119" s="20" t="n">
        <v>0</v>
      </c>
      <c r="F119" s="20" t="n">
        <v>0</v>
      </c>
      <c r="G119" s="20" t="n">
        <v>0</v>
      </c>
      <c r="H119" s="20" t="n">
        <v>0</v>
      </c>
      <c r="I119" s="20" t="n">
        <v>86</v>
      </c>
      <c r="J119" s="20" t="n">
        <v>0</v>
      </c>
      <c r="K119" s="20" t="n">
        <v>0</v>
      </c>
      <c r="L119" s="20" t="n">
        <v>0</v>
      </c>
      <c r="M119" s="20" t="n">
        <v>0</v>
      </c>
      <c r="N119" s="20" t="n">
        <v>265</v>
      </c>
      <c r="W119" s="20" t="n">
        <v>0</v>
      </c>
      <c r="X119" s="20" t="n">
        <v>0</v>
      </c>
    </row>
    <row r="120">
      <c r="A120" s="18" t="inlineStr">
        <is>
          <t>투자유가증권 매각이익</t>
        </is>
      </c>
      <c r="G120" s="20" t="n">
        <v>0</v>
      </c>
      <c r="H120" s="20" t="n">
        <v>0</v>
      </c>
      <c r="I120" s="20" t="n">
        <v>0</v>
      </c>
      <c r="J120" s="20" t="n">
        <v>24</v>
      </c>
      <c r="K120" s="20" t="n">
        <v>0</v>
      </c>
      <c r="L120" s="20" t="n">
        <v>0</v>
      </c>
      <c r="M120" s="20" t="n">
        <v>166</v>
      </c>
      <c r="N120" s="20" t="n">
        <v>0</v>
      </c>
      <c r="W120" s="20" t="n">
        <v>0</v>
      </c>
      <c r="X120" s="20" t="n">
        <v>0</v>
      </c>
    </row>
    <row r="121">
      <c r="A121" s="18" t="inlineStr">
        <is>
          <t>지분변동이익</t>
        </is>
      </c>
      <c r="E121" s="20" t="n">
        <v>0</v>
      </c>
      <c r="F121" s="20" t="n">
        <v>0</v>
      </c>
      <c r="G121" s="20" t="n">
        <v>0</v>
      </c>
      <c r="H121" s="20" t="n">
        <v>0</v>
      </c>
      <c r="I121" s="20" t="n">
        <v>253</v>
      </c>
      <c r="J121" s="20" t="n">
        <v>0</v>
      </c>
      <c r="K121" s="20" t="n">
        <v>0</v>
      </c>
      <c r="L121" s="20" t="n">
        <v>0</v>
      </c>
      <c r="M121" s="20" t="n">
        <v>0</v>
      </c>
      <c r="N121" s="20" t="n">
        <v>0</v>
      </c>
      <c r="W121" s="20" t="n">
        <v>0</v>
      </c>
      <c r="X121" s="20" t="n">
        <v>0</v>
      </c>
    </row>
    <row r="122">
      <c r="A122" s="18" t="inlineStr">
        <is>
          <t>신주예약권 환입이익</t>
        </is>
      </c>
      <c r="E122" s="20" t="n">
        <v>0</v>
      </c>
      <c r="F122" s="20" t="n">
        <v>0</v>
      </c>
      <c r="G122" s="20" t="n">
        <v>0</v>
      </c>
      <c r="H122" s="20" t="n">
        <v>0</v>
      </c>
      <c r="K122" s="20" t="n">
        <v>0</v>
      </c>
      <c r="L122" s="20" t="n">
        <v>0</v>
      </c>
      <c r="T122" s="20" t="n">
        <v>0</v>
      </c>
      <c r="U122" s="20" t="n">
        <v>0</v>
      </c>
      <c r="W122" s="20" t="n">
        <v>0</v>
      </c>
      <c r="X122" s="20" t="n">
        <v>0</v>
      </c>
    </row>
    <row r="123">
      <c r="A123" s="18" t="inlineStr">
        <is>
          <t>특별이익 합계</t>
        </is>
      </c>
      <c r="E123" s="20" t="n">
        <v>0</v>
      </c>
      <c r="F123" s="20" t="n">
        <v>0</v>
      </c>
      <c r="G123" s="20" t="n">
        <v>0</v>
      </c>
      <c r="H123" s="20" t="n">
        <v>0</v>
      </c>
      <c r="I123" s="20" t="n">
        <v>531</v>
      </c>
      <c r="J123" s="20" t="n">
        <v>24</v>
      </c>
      <c r="K123" s="20" t="n">
        <v>1</v>
      </c>
      <c r="L123" s="20" t="n">
        <v>1</v>
      </c>
      <c r="M123" s="20" t="n">
        <v>166</v>
      </c>
      <c r="N123" s="20" t="n">
        <v>266</v>
      </c>
      <c r="T123" s="20" t="n">
        <v>205</v>
      </c>
      <c r="U123" s="20" t="n">
        <v>0</v>
      </c>
      <c r="W123" s="20" t="n">
        <v>0</v>
      </c>
      <c r="X123" s="20" t="n">
        <v>1</v>
      </c>
    </row>
    <row r="124">
      <c r="A124" s="18" t="inlineStr">
        <is>
          <t>고정자산 제각손실</t>
        </is>
      </c>
      <c r="E124" s="20" t="n">
        <v>0</v>
      </c>
      <c r="F124" s="20" t="n">
        <v>0</v>
      </c>
      <c r="G124" s="20" t="n">
        <v>0</v>
      </c>
      <c r="H124" s="20" t="n">
        <v>0</v>
      </c>
      <c r="I124" s="20" t="n">
        <v>0</v>
      </c>
      <c r="J124" s="20" t="n">
        <v>0</v>
      </c>
      <c r="K124" s="20" t="n">
        <v>0</v>
      </c>
      <c r="L124" s="20" t="n">
        <v>12</v>
      </c>
      <c r="M124" s="20" t="n">
        <v>3</v>
      </c>
      <c r="N124" s="20" t="n">
        <v>3</v>
      </c>
      <c r="T124" s="20" t="n">
        <v>0</v>
      </c>
      <c r="U124" s="20" t="n">
        <v>0</v>
      </c>
      <c r="W124" s="20" t="n">
        <v>0</v>
      </c>
      <c r="X124" s="20" t="n">
        <v>12</v>
      </c>
    </row>
    <row r="125">
      <c r="A125" s="18" t="inlineStr">
        <is>
          <t>특별손실 합계</t>
        </is>
      </c>
      <c r="E125" s="20" t="n">
        <v>0</v>
      </c>
      <c r="F125" s="20" t="n">
        <v>0</v>
      </c>
      <c r="G125" s="20" t="n">
        <v>0</v>
      </c>
      <c r="H125" s="20" t="n">
        <v>159</v>
      </c>
      <c r="I125" s="20" t="n">
        <v>0</v>
      </c>
      <c r="J125" s="20" t="n">
        <v>0</v>
      </c>
      <c r="K125" s="20" t="n">
        <v>0</v>
      </c>
      <c r="L125" s="20" t="n">
        <v>12</v>
      </c>
      <c r="M125" s="20" t="n">
        <v>3</v>
      </c>
      <c r="N125" s="20" t="n">
        <v>4</v>
      </c>
      <c r="T125" s="20" t="n">
        <v>3927</v>
      </c>
      <c r="U125" s="20" t="n">
        <v>275</v>
      </c>
      <c r="W125" s="20" t="n">
        <v>159</v>
      </c>
      <c r="X125" s="20" t="n">
        <v>12</v>
      </c>
    </row>
    <row r="126">
      <c r="A126" s="9" t="inlineStr">
        <is>
          <t>법인세차감전 순이익</t>
        </is>
      </c>
      <c r="E126" s="12" t="n">
        <v>2840</v>
      </c>
      <c r="F126" s="12" t="n">
        <v>-209</v>
      </c>
      <c r="G126" s="12" t="n">
        <v>8580</v>
      </c>
      <c r="H126" s="12" t="n">
        <v>5950</v>
      </c>
      <c r="I126" s="12" t="n">
        <v>1367</v>
      </c>
      <c r="J126" s="12" t="n">
        <v>1569</v>
      </c>
      <c r="K126" s="12" t="n">
        <v>4495</v>
      </c>
      <c r="L126" s="12" t="n">
        <v>10304</v>
      </c>
      <c r="M126" s="12" t="n">
        <v>-854</v>
      </c>
      <c r="N126" s="12" t="n">
        <v>8157</v>
      </c>
      <c r="T126" s="12" t="n">
        <v>4972</v>
      </c>
      <c r="U126" s="12" t="n">
        <v>7799</v>
      </c>
      <c r="W126" s="12" t="n">
        <v>5950</v>
      </c>
      <c r="X126" s="12" t="n">
        <v>10304</v>
      </c>
    </row>
    <row r="127">
      <c r="A127" s="18" t="inlineStr">
        <is>
          <t>법인세·주민세·사업세</t>
        </is>
      </c>
      <c r="E127" s="20" t="n">
        <v>971</v>
      </c>
      <c r="F127" s="20" t="n">
        <v>335</v>
      </c>
      <c r="G127" s="20" t="n">
        <v>3516</v>
      </c>
      <c r="H127" s="20" t="n">
        <v>2357</v>
      </c>
      <c r="I127" s="20" t="n">
        <v>308</v>
      </c>
      <c r="J127" s="20" t="n">
        <v>965</v>
      </c>
      <c r="K127" s="20" t="n">
        <v>2008</v>
      </c>
      <c r="L127" s="20" t="n">
        <v>5021</v>
      </c>
      <c r="M127" s="20" t="n">
        <v>442</v>
      </c>
      <c r="N127" s="20" t="n">
        <v>2689</v>
      </c>
      <c r="T127" s="20" t="n">
        <v>3016</v>
      </c>
      <c r="U127" s="20" t="n">
        <v>2787</v>
      </c>
      <c r="W127" s="20" t="n">
        <v>2357</v>
      </c>
      <c r="X127" s="20" t="n">
        <v>5021</v>
      </c>
    </row>
    <row r="128">
      <c r="A128" s="18" t="inlineStr">
        <is>
          <t>법인세 조정액</t>
        </is>
      </c>
      <c r="E128" s="20" t="n">
        <v>42</v>
      </c>
      <c r="F128" s="20" t="n">
        <v>-189</v>
      </c>
      <c r="G128" s="20" t="n">
        <v>-616</v>
      </c>
      <c r="H128" s="20" t="n">
        <v>-458</v>
      </c>
      <c r="I128" s="20" t="n">
        <v>191</v>
      </c>
      <c r="J128" s="20" t="n">
        <v>-290</v>
      </c>
      <c r="K128" s="20" t="n">
        <v>-423</v>
      </c>
      <c r="L128" s="20" t="n">
        <v>-2046</v>
      </c>
      <c r="M128" s="20" t="n">
        <v>-535</v>
      </c>
      <c r="N128" s="20" t="n">
        <v>-104</v>
      </c>
      <c r="T128" s="20" t="n">
        <v>-305</v>
      </c>
      <c r="U128" s="20" t="n">
        <v>-253</v>
      </c>
      <c r="W128" s="20" t="n">
        <v>-458</v>
      </c>
      <c r="X128" s="20" t="n">
        <v>-2046</v>
      </c>
    </row>
    <row r="129">
      <c r="A129" s="18" t="inlineStr">
        <is>
          <t>법인세 등 합계</t>
        </is>
      </c>
      <c r="E129" s="20" t="n">
        <v>1013</v>
      </c>
      <c r="F129" s="20" t="n">
        <v>146</v>
      </c>
      <c r="G129" s="20" t="n">
        <v>2900</v>
      </c>
      <c r="H129" s="20" t="n">
        <v>1898</v>
      </c>
      <c r="I129" s="20" t="n">
        <v>500</v>
      </c>
      <c r="J129" s="20" t="n">
        <v>674</v>
      </c>
      <c r="K129" s="20" t="n">
        <v>1585</v>
      </c>
      <c r="L129" s="20" t="n">
        <v>2974</v>
      </c>
      <c r="M129" s="20" t="n">
        <v>-93</v>
      </c>
      <c r="N129" s="20" t="n">
        <v>2585</v>
      </c>
      <c r="T129" s="20" t="n">
        <v>2709</v>
      </c>
      <c r="U129" s="20" t="n">
        <v>2533</v>
      </c>
      <c r="W129" s="20" t="n">
        <v>1898</v>
      </c>
      <c r="X129" s="20" t="n">
        <v>2974</v>
      </c>
    </row>
    <row r="130">
      <c r="A130" s="9" t="inlineStr">
        <is>
          <t>순이익</t>
        </is>
      </c>
      <c r="E130" s="12" t="n">
        <v>1826</v>
      </c>
      <c r="F130" s="12" t="n">
        <v>-355</v>
      </c>
      <c r="G130" s="12" t="n">
        <v>5681</v>
      </c>
      <c r="H130" s="12" t="n">
        <v>4051</v>
      </c>
      <c r="I130" s="12" t="n">
        <v>867</v>
      </c>
      <c r="J130" s="12" t="n">
        <v>894</v>
      </c>
      <c r="K130" s="12" t="n">
        <v>2911</v>
      </c>
      <c r="L130" s="12" t="n">
        <v>7329</v>
      </c>
      <c r="M130" s="12" t="n">
        <v>-760</v>
      </c>
      <c r="N130" s="12" t="n">
        <v>5571</v>
      </c>
      <c r="T130" s="12" t="n">
        <v>2262</v>
      </c>
      <c r="U130" s="12" t="n">
        <v>5265</v>
      </c>
      <c r="W130" s="12" t="n">
        <v>4051</v>
      </c>
      <c r="X130" s="12" t="n">
        <v>7329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IF(OR(G130="",C130=""),"",IF(C130&lt;=0,"",IFERROR(G130/C130-1,"")))</f>
        <v/>
      </c>
      <c r="H131" s="15">
        <f>IF(OR(H130="",D130=""),"",IF(D130&lt;=0,"",IFERROR(H130/D130-1,"")))</f>
        <v/>
      </c>
      <c r="I131" s="15">
        <f>IF(OR(I130="",E130=""),"",IF(E130&lt;=0,"",IFERROR(I130/E130-1,"")))</f>
        <v/>
      </c>
      <c r="J131" s="15">
        <f>IF(OR(J130="",F130=""),"",IF(F130&lt;=0,"",IFERROR(J130/F130-1,"")))</f>
        <v/>
      </c>
      <c r="K131" s="15">
        <f>IF(OR(K130="",G130=""),"",IF(G130&lt;=0,"",IFERROR(K130/G130-1,"")))</f>
        <v/>
      </c>
      <c r="L131" s="15">
        <f>IF(OR(L130="",H130=""),"",IF(H130&lt;=0,"",IFERROR(L130/H130-1,"")))</f>
        <v/>
      </c>
      <c r="M131" s="15">
        <f>IF(OR(M130="",I130=""),"",IF(I130&lt;=0,"",IFERROR(M130/I130-1,"")))</f>
        <v/>
      </c>
      <c r="N131" s="15">
        <f>IF(OR(N130="",J130=""),"",IF(J130&lt;=0,"",IFERROR(N130/J130-1,"")))</f>
        <v/>
      </c>
      <c r="T131" s="15">
        <f>IF(OR(T130="",S130=""),"",IF(S130&lt;=0,"",IFERROR(T130/S130-1,"")))</f>
        <v/>
      </c>
      <c r="U131" s="15">
        <f>IF(OR(U130="",T130=""),"",IF(T130&lt;=0,"",IFERROR(U130/T130-1,"")))</f>
        <v/>
      </c>
      <c r="W131" s="15">
        <f>IF(OR(W130="",V130=""),"",IF(V130&lt;=0,"",IFERROR(W130/V130-1,"")))</f>
        <v/>
      </c>
      <c r="X131" s="15">
        <f>IF(OR(X130="",W130=""),"",IF(W130&lt;=0,"",IFERROR(X130/W130-1,"")))</f>
        <v/>
      </c>
    </row>
    <row r="132">
      <c r="A132" s="9" t="inlineStr">
        <is>
          <t>비지배주주 당기순손실</t>
        </is>
      </c>
      <c r="E132" s="12" t="n">
        <v>4</v>
      </c>
      <c r="F132" s="12" t="n">
        <v>4</v>
      </c>
      <c r="G132" s="12" t="n">
        <v>0</v>
      </c>
      <c r="H132" s="12" t="n">
        <v>2</v>
      </c>
      <c r="I132" s="12" t="n">
        <v>-87</v>
      </c>
      <c r="J132" s="12" t="n">
        <v>-10</v>
      </c>
      <c r="K132" s="12" t="n">
        <v>-49</v>
      </c>
      <c r="L132" s="12" t="n">
        <v>-44</v>
      </c>
      <c r="M132" s="12" t="n">
        <v>-40</v>
      </c>
      <c r="N132" s="12" t="n">
        <v>-69</v>
      </c>
      <c r="T132" s="12" t="n">
        <v>-1595</v>
      </c>
      <c r="U132" s="12" t="n">
        <v>0</v>
      </c>
      <c r="W132" s="12" t="n">
        <v>2</v>
      </c>
      <c r="X132" s="12" t="n">
        <v>-44</v>
      </c>
    </row>
    <row r="133">
      <c r="A133" s="9" t="inlineStr">
        <is>
          <t>지배주주 순이익</t>
        </is>
      </c>
      <c r="E133" s="12" t="n">
        <v>1821</v>
      </c>
      <c r="F133" s="12" t="n">
        <v>-358</v>
      </c>
      <c r="G133" s="12" t="n">
        <v>5681</v>
      </c>
      <c r="H133" s="12" t="n">
        <v>4049</v>
      </c>
      <c r="I133" s="12" t="n">
        <v>955</v>
      </c>
      <c r="J133" s="12" t="n">
        <v>903</v>
      </c>
      <c r="K133" s="12" t="n">
        <v>2961</v>
      </c>
      <c r="L133" s="12" t="n">
        <v>7372</v>
      </c>
      <c r="M133" s="12" t="n">
        <v>-720</v>
      </c>
      <c r="N133" s="12" t="n">
        <v>5640</v>
      </c>
      <c r="T133" s="12" t="n">
        <v>3857</v>
      </c>
      <c r="U133" s="12" t="n">
        <v>5266</v>
      </c>
      <c r="W133" s="12" t="n">
        <v>4049</v>
      </c>
      <c r="X133" s="12" t="n">
        <v>7372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IF(OR(G133="",C133=""),"",IF(C133&lt;=0,"",IFERROR(G133/C133-1,"")))</f>
        <v/>
      </c>
      <c r="H134" s="15">
        <f>IF(OR(H133="",D133=""),"",IF(D133&lt;=0,"",IFERROR(H133/D133-1,"")))</f>
        <v/>
      </c>
      <c r="I134" s="15">
        <f>IF(OR(I133="",E133=""),"",IF(E133&lt;=0,"",IFERROR(I133/E133-1,"")))</f>
        <v/>
      </c>
      <c r="J134" s="15">
        <f>IF(OR(J133="",F133=""),"",IF(F133&lt;=0,"",IFERROR(J133/F133-1,"")))</f>
        <v/>
      </c>
      <c r="K134" s="15">
        <f>IF(OR(K133="",G133=""),"",IF(G133&lt;=0,"",IFERROR(K133/G133-1,"")))</f>
        <v/>
      </c>
      <c r="L134" s="15">
        <f>IF(OR(L133="",H133=""),"",IF(H133&lt;=0,"",IFERROR(L133/H133-1,"")))</f>
        <v/>
      </c>
      <c r="M134" s="15">
        <f>IF(OR(M133="",I133=""),"",IF(I133&lt;=0,"",IFERROR(M133/I133-1,"")))</f>
        <v/>
      </c>
      <c r="N134" s="15">
        <f>IF(OR(N133="",J133=""),"",IF(J133&lt;=0,"",IFERROR(N133/J133-1,"")))</f>
        <v/>
      </c>
      <c r="T134" s="15">
        <f>IF(OR(T133="",S133=""),"",IF(S133&lt;=0,"",IFERROR(T133/S133-1,"")))</f>
        <v/>
      </c>
      <c r="U134" s="15">
        <f>IF(OR(U133="",T133=""),"",IF(T133&lt;=0,"",IFERROR(U133/T133-1,"")))</f>
        <v/>
      </c>
      <c r="W134" s="15">
        <f>IF(OR(W133="",V133=""),"",IF(V133&lt;=0,"",IFERROR(W133/V133-1,"")))</f>
        <v/>
      </c>
      <c r="X134" s="15">
        <f>IF(OR(X133="",W133=""),"",IF(W133&lt;=0,"",IFERROR(X133/W133-1,"")))</f>
        <v/>
      </c>
    </row>
    <row r="136">
      <c r="A136" s="16" t="inlineStr">
        <is>
          <t>포괄손익 · 전 항목</t>
        </is>
      </c>
      <c r="B136" s="42" t="inlineStr">
        <is>
          <t>분기 = 3개월 단독</t>
        </is>
      </c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</row>
    <row r="137">
      <c r="A137" s="5" t="inlineStr">
        <is>
          <t>항목</t>
        </is>
      </c>
      <c r="B137" s="5" t="inlineStr">
        <is>
          <t>참고</t>
        </is>
      </c>
      <c r="C137" s="5" t="inlineStr">
        <is>
          <t>2024.3Q</t>
        </is>
      </c>
      <c r="D137" s="5" t="inlineStr">
        <is>
          <t>2024.4Q</t>
        </is>
      </c>
      <c r="E137" s="5" t="inlineStr">
        <is>
          <t>2025.1Q</t>
        </is>
      </c>
      <c r="F137" s="5" t="inlineStr">
        <is>
          <t>2025.2Q</t>
        </is>
      </c>
      <c r="G137" s="5" t="inlineStr">
        <is>
          <t>2025.3Q</t>
        </is>
      </c>
      <c r="H137" s="5" t="inlineStr">
        <is>
          <t>2025.4Q</t>
        </is>
      </c>
      <c r="I137" s="5" t="inlineStr">
        <is>
          <t>2026.1Q</t>
        </is>
      </c>
      <c r="J137" s="5" t="inlineStr">
        <is>
          <t>2026.2Q</t>
        </is>
      </c>
      <c r="K137" s="5" t="inlineStr">
        <is>
          <t>2026.3Q</t>
        </is>
      </c>
      <c r="L137" s="5" t="inlineStr">
        <is>
          <t>2026.4Q</t>
        </is>
      </c>
      <c r="M137" s="5" t="inlineStr">
        <is>
          <t>2027.1Q</t>
        </is>
      </c>
      <c r="N137" s="5" t="inlineStr">
        <is>
          <t>2027.2Q</t>
        </is>
      </c>
      <c r="O137" s="5" t="inlineStr">
        <is>
          <t>2017</t>
        </is>
      </c>
      <c r="P137" s="5" t="inlineStr">
        <is>
          <t>2018</t>
        </is>
      </c>
      <c r="Q137" s="5" t="inlineStr">
        <is>
          <t>2019</t>
        </is>
      </c>
      <c r="R137" s="5" t="inlineStr">
        <is>
          <t>2020</t>
        </is>
      </c>
      <c r="S137" s="5" t="inlineStr">
        <is>
          <t>2021</t>
        </is>
      </c>
      <c r="T137" s="5" t="inlineStr">
        <is>
          <t>2022</t>
        </is>
      </c>
      <c r="U137" s="5" t="inlineStr">
        <is>
          <t>2023</t>
        </is>
      </c>
      <c r="V137" s="5" t="inlineStr">
        <is>
          <t>2024</t>
        </is>
      </c>
      <c r="W137" s="5" t="inlineStr">
        <is>
          <t>2025</t>
        </is>
      </c>
      <c r="X137" s="5" t="inlineStr">
        <is>
          <t>2026</t>
        </is>
      </c>
      <c r="Y137" s="5" t="inlineStr">
        <is>
          <t>2027(MW)</t>
        </is>
      </c>
      <c r="Z137" s="5" t="inlineStr">
        <is>
          <t>2028(MW)</t>
        </is>
      </c>
      <c r="AA137" s="5" t="inlineStr">
        <is>
          <t>2029(MW)</t>
        </is>
      </c>
      <c r="AB137" s="5" t="inlineStr">
        <is>
          <t>2030(MW)</t>
        </is>
      </c>
      <c r="AC137" s="5" t="inlineStr">
        <is>
          <t>2031(MW)</t>
        </is>
      </c>
    </row>
    <row r="138">
      <c r="A138" s="9" t="inlineStr">
        <is>
          <t>순이익</t>
        </is>
      </c>
      <c r="E138" s="12" t="n">
        <v>1826</v>
      </c>
      <c r="F138" s="12" t="n">
        <v>-355</v>
      </c>
      <c r="G138" s="12" t="n">
        <v>5681</v>
      </c>
      <c r="H138" s="12" t="n">
        <v>4051</v>
      </c>
      <c r="I138" s="12" t="n">
        <v>867</v>
      </c>
      <c r="J138" s="12" t="n">
        <v>894</v>
      </c>
      <c r="K138" s="12" t="n">
        <v>2911</v>
      </c>
      <c r="L138" s="12" t="n">
        <v>7329</v>
      </c>
      <c r="M138" s="12" t="n">
        <v>-760</v>
      </c>
      <c r="N138" s="12" t="n">
        <v>5571</v>
      </c>
      <c r="T138" s="12" t="n">
        <v>2262</v>
      </c>
      <c r="U138" s="12" t="n">
        <v>5265</v>
      </c>
      <c r="W138" s="12" t="n">
        <v>4051</v>
      </c>
      <c r="X138" s="12" t="n">
        <v>7329</v>
      </c>
    </row>
    <row r="139">
      <c r="A139" s="18" t="inlineStr">
        <is>
          <t>기타유가증권 평가차액</t>
        </is>
      </c>
      <c r="E139" s="20" t="n">
        <v>-18</v>
      </c>
      <c r="F139" s="20" t="n">
        <v>0</v>
      </c>
      <c r="G139" s="20" t="n">
        <v>-115</v>
      </c>
      <c r="H139" s="20" t="n">
        <v>32</v>
      </c>
      <c r="I139" s="20" t="n">
        <v>92</v>
      </c>
      <c r="J139" s="20" t="n">
        <v>-11</v>
      </c>
      <c r="K139" s="20" t="n">
        <v>67</v>
      </c>
      <c r="L139" s="20" t="n">
        <v>-111</v>
      </c>
      <c r="M139" s="20" t="n">
        <v>848</v>
      </c>
      <c r="N139" s="20" t="n">
        <v>513</v>
      </c>
      <c r="T139" s="20" t="n">
        <v>60</v>
      </c>
      <c r="U139" s="20" t="n">
        <v>-27</v>
      </c>
      <c r="W139" s="20" t="n">
        <v>32</v>
      </c>
      <c r="X139" s="20" t="n">
        <v>-111</v>
      </c>
    </row>
    <row r="140">
      <c r="A140" s="18" t="inlineStr">
        <is>
          <t>해외사업환산조정</t>
        </is>
      </c>
      <c r="E140" s="20" t="n">
        <v>-28</v>
      </c>
      <c r="F140" s="20" t="n">
        <v>65</v>
      </c>
      <c r="G140" s="20" t="n">
        <v>-715</v>
      </c>
      <c r="H140" s="20" t="n">
        <v>703</v>
      </c>
      <c r="I140" s="20" t="n">
        <v>-646</v>
      </c>
      <c r="J140" s="20" t="n">
        <v>-374</v>
      </c>
      <c r="K140" s="20" t="n">
        <v>285</v>
      </c>
      <c r="L140" s="20" t="n">
        <v>651</v>
      </c>
      <c r="M140" s="20" t="n">
        <v>227</v>
      </c>
      <c r="N140" s="20" t="n">
        <v>252</v>
      </c>
      <c r="T140" s="20" t="n">
        <v>22</v>
      </c>
      <c r="U140" s="20" t="n">
        <v>-3</v>
      </c>
      <c r="W140" s="20" t="n">
        <v>703</v>
      </c>
      <c r="X140" s="20" t="n">
        <v>651</v>
      </c>
    </row>
    <row r="141">
      <c r="A141" s="18" t="inlineStr">
        <is>
          <t>지분법 적용회사 지분 해당액</t>
        </is>
      </c>
      <c r="E141" s="20" t="n">
        <v>5</v>
      </c>
      <c r="F141" s="20" t="n">
        <v>34</v>
      </c>
      <c r="G141" s="20" t="n">
        <v>9</v>
      </c>
      <c r="H141" s="20" t="n">
        <v>39</v>
      </c>
      <c r="I141" s="20" t="n">
        <v>-142</v>
      </c>
      <c r="J141" s="20" t="n">
        <v>4</v>
      </c>
      <c r="K141" s="20" t="n">
        <v>36</v>
      </c>
      <c r="L141" s="20" t="n">
        <v>68</v>
      </c>
      <c r="M141" s="20" t="n">
        <v>-20</v>
      </c>
      <c r="N141" s="20" t="n">
        <v>4</v>
      </c>
      <c r="T141" s="20" t="n">
        <v>-58</v>
      </c>
      <c r="U141" s="20" t="n">
        <v>4</v>
      </c>
      <c r="W141" s="20" t="n">
        <v>39</v>
      </c>
      <c r="X141" s="20" t="n">
        <v>68</v>
      </c>
    </row>
    <row r="142">
      <c r="A142" s="18" t="inlineStr">
        <is>
          <t>기타포괄손익 합계</t>
        </is>
      </c>
      <c r="E142" s="20" t="n">
        <v>-41</v>
      </c>
      <c r="F142" s="20" t="n">
        <v>100</v>
      </c>
      <c r="G142" s="20" t="n">
        <v>-822</v>
      </c>
      <c r="H142" s="20" t="n">
        <v>773</v>
      </c>
      <c r="I142" s="20" t="n">
        <v>-696</v>
      </c>
      <c r="J142" s="20" t="n">
        <v>-381</v>
      </c>
      <c r="K142" s="20" t="n">
        <v>388</v>
      </c>
      <c r="L142" s="20" t="n">
        <v>608</v>
      </c>
      <c r="M142" s="20" t="n">
        <v>1055</v>
      </c>
      <c r="N142" s="20" t="n">
        <v>768</v>
      </c>
      <c r="T142" s="20" t="n">
        <v>25</v>
      </c>
      <c r="U142" s="20" t="n">
        <v>-27</v>
      </c>
      <c r="W142" s="20" t="n">
        <v>773</v>
      </c>
      <c r="X142" s="20" t="n">
        <v>608</v>
      </c>
    </row>
    <row r="143">
      <c r="A143" s="9" t="inlineStr">
        <is>
          <t>포괄이익</t>
        </is>
      </c>
      <c r="E143" s="12" t="n">
        <v>1784</v>
      </c>
      <c r="F143" s="12" t="n">
        <v>-253</v>
      </c>
      <c r="G143" s="12" t="n">
        <v>4857</v>
      </c>
      <c r="H143" s="12" t="n">
        <v>4826</v>
      </c>
      <c r="I143" s="12" t="n">
        <v>171</v>
      </c>
      <c r="J143" s="12" t="n">
        <v>513</v>
      </c>
      <c r="K143" s="12" t="n">
        <v>3298</v>
      </c>
      <c r="L143" s="12" t="n">
        <v>7938</v>
      </c>
      <c r="M143" s="12" t="n">
        <v>295</v>
      </c>
      <c r="N143" s="12" t="n">
        <v>6339</v>
      </c>
      <c r="T143" s="12" t="n">
        <v>2287</v>
      </c>
      <c r="U143" s="12" t="n">
        <v>5239</v>
      </c>
      <c r="W143" s="12" t="n">
        <v>4826</v>
      </c>
      <c r="X143" s="12" t="n">
        <v>7938</v>
      </c>
    </row>
    <row r="144">
      <c r="A144" s="9" t="inlineStr">
        <is>
          <t>지배주주 포괄이익</t>
        </is>
      </c>
      <c r="E144" s="12" t="n">
        <v>1780</v>
      </c>
      <c r="F144" s="12" t="n">
        <v>-258</v>
      </c>
      <c r="G144" s="12" t="n">
        <v>4917</v>
      </c>
      <c r="H144" s="12" t="n">
        <v>4746</v>
      </c>
      <c r="I144" s="12" t="n">
        <v>316</v>
      </c>
      <c r="J144" s="12" t="n">
        <v>560</v>
      </c>
      <c r="K144" s="12" t="n">
        <v>3331</v>
      </c>
      <c r="L144" s="12" t="n">
        <v>7924</v>
      </c>
      <c r="M144" s="12" t="n">
        <v>312</v>
      </c>
      <c r="N144" s="12" t="n">
        <v>6389</v>
      </c>
      <c r="T144" s="12" t="n">
        <v>3882</v>
      </c>
      <c r="U144" s="12" t="n">
        <v>5238</v>
      </c>
      <c r="W144" s="12" t="n">
        <v>4746</v>
      </c>
      <c r="X144" s="12" t="n">
        <v>7924</v>
      </c>
    </row>
    <row r="145">
      <c r="A145" s="9" t="inlineStr">
        <is>
          <t>비지배주주 포괄이익</t>
        </is>
      </c>
      <c r="E145" s="12" t="n">
        <v>4</v>
      </c>
      <c r="F145" s="12" t="n">
        <v>4</v>
      </c>
      <c r="G145" s="12" t="n">
        <v>-59</v>
      </c>
      <c r="H145" s="12" t="n">
        <v>80</v>
      </c>
      <c r="I145" s="12" t="n">
        <v>-145</v>
      </c>
      <c r="J145" s="12" t="n">
        <v>-47</v>
      </c>
      <c r="K145" s="12" t="n">
        <v>-33</v>
      </c>
      <c r="L145" s="12" t="n">
        <v>14</v>
      </c>
      <c r="M145" s="12" t="n">
        <v>-17</v>
      </c>
      <c r="N145" s="12" t="n">
        <v>-49</v>
      </c>
      <c r="T145" s="12" t="n">
        <v>-1595</v>
      </c>
      <c r="U145" s="12" t="n">
        <v>0</v>
      </c>
      <c r="W145" s="12" t="n">
        <v>80</v>
      </c>
      <c r="X145" s="12" t="n">
        <v>14</v>
      </c>
    </row>
    <row r="147">
      <c r="A147" s="16" t="inlineStr">
        <is>
          <t>부문 · 전 항목</t>
        </is>
      </c>
      <c r="B147" s="42" t="inlineStr">
        <is>
          <t>부문 · 항목</t>
        </is>
      </c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</row>
    <row r="148">
      <c r="A148" s="5" t="inlineStr">
        <is>
          <t>항목</t>
        </is>
      </c>
      <c r="B148" s="5" t="inlineStr">
        <is>
          <t>참고</t>
        </is>
      </c>
      <c r="C148" s="5" t="inlineStr">
        <is>
          <t>2024.3Q</t>
        </is>
      </c>
      <c r="D148" s="5" t="inlineStr">
        <is>
          <t>2024.4Q</t>
        </is>
      </c>
      <c r="E148" s="5" t="inlineStr">
        <is>
          <t>2025.1Q</t>
        </is>
      </c>
      <c r="F148" s="5" t="inlineStr">
        <is>
          <t>2025.2Q</t>
        </is>
      </c>
      <c r="G148" s="5" t="inlineStr">
        <is>
          <t>2025.3Q</t>
        </is>
      </c>
      <c r="H148" s="5" t="inlineStr">
        <is>
          <t>2025.4Q</t>
        </is>
      </c>
      <c r="I148" s="5" t="inlineStr">
        <is>
          <t>2026.1Q</t>
        </is>
      </c>
      <c r="J148" s="5" t="inlineStr">
        <is>
          <t>2026.2Q</t>
        </is>
      </c>
      <c r="K148" s="5" t="inlineStr">
        <is>
          <t>2026.3Q</t>
        </is>
      </c>
      <c r="L148" s="5" t="inlineStr">
        <is>
          <t>2026.4Q</t>
        </is>
      </c>
      <c r="M148" s="5" t="inlineStr">
        <is>
          <t>2027.1Q</t>
        </is>
      </c>
      <c r="N148" s="5" t="inlineStr">
        <is>
          <t>2027.2Q</t>
        </is>
      </c>
      <c r="O148" s="5" t="inlineStr">
        <is>
          <t>2017</t>
        </is>
      </c>
      <c r="P148" s="5" t="inlineStr">
        <is>
          <t>2018</t>
        </is>
      </c>
      <c r="Q148" s="5" t="inlineStr">
        <is>
          <t>2019</t>
        </is>
      </c>
      <c r="R148" s="5" t="inlineStr">
        <is>
          <t>2020</t>
        </is>
      </c>
      <c r="S148" s="5" t="inlineStr">
        <is>
          <t>2021</t>
        </is>
      </c>
      <c r="T148" s="5" t="inlineStr">
        <is>
          <t>2022</t>
        </is>
      </c>
      <c r="U148" s="5" t="inlineStr">
        <is>
          <t>2023</t>
        </is>
      </c>
      <c r="V148" s="5" t="inlineStr">
        <is>
          <t>2024</t>
        </is>
      </c>
      <c r="W148" s="5" t="inlineStr">
        <is>
          <t>2025</t>
        </is>
      </c>
      <c r="X148" s="5" t="inlineStr">
        <is>
          <t>2026</t>
        </is>
      </c>
      <c r="Y148" s="5" t="inlineStr">
        <is>
          <t>2027(MW)</t>
        </is>
      </c>
      <c r="Z148" s="5" t="inlineStr">
        <is>
          <t>2028(MW)</t>
        </is>
      </c>
      <c r="AA148" s="5" t="inlineStr">
        <is>
          <t>2029(MW)</t>
        </is>
      </c>
      <c r="AB148" s="5" t="inlineStr">
        <is>
          <t>2030(MW)</t>
        </is>
      </c>
      <c r="AC148" s="5" t="inlineStr">
        <is>
          <t>2031(MW)</t>
        </is>
      </c>
    </row>
    <row r="149">
      <c r="A149" s="18" t="inlineStr">
        <is>
          <t>주택 분양 사업 · 외부 고객 매출</t>
        </is>
      </c>
      <c r="E149" s="20" t="n">
        <v>5243</v>
      </c>
      <c r="F149" s="20" t="n">
        <v>7401</v>
      </c>
      <c r="G149" s="20" t="n">
        <v>36608</v>
      </c>
      <c r="H149" s="20" t="n">
        <v>17656</v>
      </c>
      <c r="I149" s="20" t="n">
        <v>11087</v>
      </c>
      <c r="J149" s="20" t="n">
        <v>7322</v>
      </c>
      <c r="K149" s="20" t="n">
        <v>10394</v>
      </c>
      <c r="L149" s="20" t="n">
        <v>34827</v>
      </c>
      <c r="M149" s="20" t="n">
        <v>4180</v>
      </c>
      <c r="N149" s="20" t="n">
        <v>15249</v>
      </c>
      <c r="W149" s="20" t="n">
        <v>17656</v>
      </c>
      <c r="X149" s="20" t="n">
        <v>34827</v>
      </c>
    </row>
    <row r="150">
      <c r="A150" s="43" t="inlineStr">
        <is>
          <t>YoY</t>
        </is>
      </c>
      <c r="B150" s="3" t="inlineStr">
        <is>
          <t>전년 같은 분기·전년 대비</t>
        </is>
      </c>
      <c r="G150" s="15">
        <f>IF(OR(G149="",C149=""),"",IF(C149&lt;=0,"",IFERROR(G149/C149-1,"")))</f>
        <v/>
      </c>
      <c r="H150" s="15">
        <f>IF(OR(H149="",D149=""),"",IF(D149&lt;=0,"",IFERROR(H149/D149-1,"")))</f>
        <v/>
      </c>
      <c r="I150" s="15">
        <f>IF(OR(I149="",E149=""),"",IF(E149&lt;=0,"",IFERROR(I149/E149-1,"")))</f>
        <v/>
      </c>
      <c r="J150" s="15">
        <f>IF(OR(J149="",F149=""),"",IF(F149&lt;=0,"",IFERROR(J149/F149-1,"")))</f>
        <v/>
      </c>
      <c r="K150" s="15">
        <f>IF(OR(K149="",G149=""),"",IF(G149&lt;=0,"",IFERROR(K149/G149-1,"")))</f>
        <v/>
      </c>
      <c r="L150" s="15">
        <f>IF(OR(L149="",H149=""),"",IF(H149&lt;=0,"",IFERROR(L149/H149-1,"")))</f>
        <v/>
      </c>
      <c r="M150" s="15">
        <f>IF(OR(M149="",I149=""),"",IF(I149&lt;=0,"",IFERROR(M149/I149-1,"")))</f>
        <v/>
      </c>
      <c r="N150" s="15">
        <f>IF(OR(N149="",J149=""),"",IF(J149&lt;=0,"",IFERROR(N149/J149-1,"")))</f>
        <v/>
      </c>
      <c r="W150" s="15">
        <f>IF(OR(W149="",V149=""),"",IF(V149&lt;=0,"",IFERROR(W149/V149-1,"")))</f>
        <v/>
      </c>
      <c r="X150" s="15">
        <f>IF(OR(X149="",W149=""),"",IF(W149&lt;=0,"",IFERROR(X149/W149-1,"")))</f>
        <v/>
      </c>
    </row>
    <row r="151">
      <c r="A151" s="18" t="inlineStr">
        <is>
          <t>부동산 개발 사업 · 외부 고객 매출</t>
        </is>
      </c>
      <c r="E151" s="20" t="n">
        <v>9450</v>
      </c>
      <c r="F151" s="20" t="n">
        <v>145</v>
      </c>
      <c r="G151" s="20" t="n">
        <v>8024</v>
      </c>
      <c r="H151" s="20" t="n">
        <v>10808</v>
      </c>
      <c r="I151" s="20" t="n">
        <v>1324</v>
      </c>
      <c r="J151" s="20" t="n">
        <v>4912</v>
      </c>
      <c r="K151" s="20" t="n">
        <v>12245</v>
      </c>
      <c r="L151" s="20" t="n">
        <v>33538</v>
      </c>
      <c r="M151" s="20" t="n">
        <v>812</v>
      </c>
      <c r="N151" s="20" t="n">
        <v>23839</v>
      </c>
      <c r="W151" s="20" t="n">
        <v>10808</v>
      </c>
      <c r="X151" s="20" t="n">
        <v>33538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G152" s="15">
        <f>IF(OR(G151="",C151=""),"",IF(C151&lt;=0,"",IFERROR(G151/C151-1,"")))</f>
        <v/>
      </c>
      <c r="H152" s="15">
        <f>IF(OR(H151="",D151=""),"",IF(D151&lt;=0,"",IFERROR(H151/D151-1,"")))</f>
        <v/>
      </c>
      <c r="I152" s="15">
        <f>IF(OR(I151="",E151=""),"",IF(E151&lt;=0,"",IFERROR(I151/E151-1,"")))</f>
        <v/>
      </c>
      <c r="J152" s="15">
        <f>IF(OR(J151="",F151=""),"",IF(F151&lt;=0,"",IFERROR(J151/F151-1,"")))</f>
        <v/>
      </c>
      <c r="K152" s="15">
        <f>IF(OR(K151="",G151=""),"",IF(G151&lt;=0,"",IFERROR(K151/G151-1,"")))</f>
        <v/>
      </c>
      <c r="L152" s="15">
        <f>IF(OR(L151="",H151=""),"",IF(H151&lt;=0,"",IFERROR(L151/H151-1,"")))</f>
        <v/>
      </c>
      <c r="M152" s="15">
        <f>IF(OR(M151="",I151=""),"",IF(I151&lt;=0,"",IFERROR(M151/I151-1,"")))</f>
        <v/>
      </c>
      <c r="N152" s="15">
        <f>IF(OR(N151="",J151=""),"",IF(J151&lt;=0,"",IFERROR(N151/J151-1,"")))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3">
      <c r="A153" s="18" t="inlineStr">
        <is>
          <t>부동산 임대 사업 · 외부 고객 매출</t>
        </is>
      </c>
      <c r="E153" s="20" t="n">
        <v>3837</v>
      </c>
      <c r="I153" s="20" t="n">
        <v>4314</v>
      </c>
      <c r="M153" s="20" t="n">
        <v>4062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I154" s="15">
        <f>IF(OR(I153="",E153=""),"",IF(E153&lt;=0,"",IFERROR(I153/E153-1,"")))</f>
        <v/>
      </c>
      <c r="M154" s="15">
        <f>IF(OR(M153="",I153=""),"",IF(I153&lt;=0,"",IFERROR(M153/I153-1,"")))</f>
        <v/>
      </c>
    </row>
    <row r="155">
      <c r="A155" s="18" t="inlineStr">
        <is>
          <t>부동산 임대 사업 · 외부 고객 매출</t>
        </is>
      </c>
      <c r="G155" s="20" t="n">
        <v>3926</v>
      </c>
      <c r="H155" s="20" t="n">
        <v>3913</v>
      </c>
      <c r="K155" s="20" t="n">
        <v>4196</v>
      </c>
      <c r="L155" s="20" t="n">
        <v>4185</v>
      </c>
      <c r="W155" s="20" t="n">
        <v>3913</v>
      </c>
      <c r="X155" s="20" t="n">
        <v>4185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H156" s="15">
        <f>IF(OR(H155="",D155=""),"",IF(D155&lt;=0,"",IFERROR(H155/D155-1,"")))</f>
        <v/>
      </c>
      <c r="K156" s="15">
        <f>IF(OR(K155="",G155=""),"",IF(G155&lt;=0,"",IFERROR(K155/G155-1,"")))</f>
        <v/>
      </c>
      <c r="L156" s="15">
        <f>IF(OR(L155="",H155=""),"",IF(H155&lt;=0,"",IFERROR(L155/H155-1,"")))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자산관리 사업 · 외부 고객 매출</t>
        </is>
      </c>
      <c r="E157" s="20" t="n">
        <v>455</v>
      </c>
      <c r="F157" s="20" t="n">
        <v>349</v>
      </c>
      <c r="G157" s="20" t="n">
        <v>451</v>
      </c>
      <c r="H157" s="20" t="n">
        <v>390</v>
      </c>
      <c r="I157" s="20" t="n">
        <v>491</v>
      </c>
      <c r="J157" s="20" t="n">
        <v>461</v>
      </c>
      <c r="K157" s="20" t="n">
        <v>508</v>
      </c>
      <c r="L157" s="20" t="n">
        <v>747</v>
      </c>
      <c r="M157" s="20" t="n">
        <v>492</v>
      </c>
      <c r="N157" s="20" t="n">
        <v>601</v>
      </c>
      <c r="W157" s="20" t="n">
        <v>390</v>
      </c>
      <c r="X157" s="20" t="n">
        <v>747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보고부문 합계 · 외부 고객 매출</t>
        </is>
      </c>
      <c r="E159" s="20" t="n">
        <v>18987</v>
      </c>
      <c r="F159" s="20" t="n">
        <v>11818</v>
      </c>
      <c r="G159" s="20" t="n">
        <v>49010</v>
      </c>
      <c r="H159" s="20" t="n">
        <v>32768</v>
      </c>
      <c r="I159" s="20" t="n">
        <v>17218</v>
      </c>
      <c r="J159" s="20" t="n">
        <v>17261</v>
      </c>
      <c r="K159" s="20" t="n">
        <v>27344</v>
      </c>
      <c r="L159" s="20" t="n">
        <v>73297</v>
      </c>
      <c r="M159" s="20" t="n">
        <v>9548</v>
      </c>
      <c r="N159" s="20" t="n">
        <v>44031</v>
      </c>
      <c r="W159" s="20" t="n">
        <v>32768</v>
      </c>
      <c r="X159" s="20" t="n">
        <v>73297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기타 · 외부 고객 매출</t>
        </is>
      </c>
      <c r="E161" s="20" t="n">
        <v>111</v>
      </c>
      <c r="F161" s="20" t="n">
        <v>119</v>
      </c>
      <c r="G161" s="20" t="n">
        <v>401</v>
      </c>
      <c r="H161" s="20" t="n">
        <v>389</v>
      </c>
      <c r="I161" s="20" t="n">
        <v>363</v>
      </c>
      <c r="J161" s="20" t="n">
        <v>339</v>
      </c>
      <c r="K161" s="20" t="n">
        <v>398</v>
      </c>
      <c r="L161" s="20" t="n">
        <v>809</v>
      </c>
      <c r="M161" s="20" t="n">
        <v>478</v>
      </c>
      <c r="N161" s="20" t="n">
        <v>1465</v>
      </c>
      <c r="W161" s="20" t="n">
        <v>389</v>
      </c>
      <c r="X161" s="20" t="n">
        <v>809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합계 · 외부 고객 매출</t>
        </is>
      </c>
      <c r="E163" s="20" t="n">
        <v>19098</v>
      </c>
      <c r="F163" s="20" t="n">
        <v>11938</v>
      </c>
      <c r="G163" s="20" t="n">
        <v>49410</v>
      </c>
      <c r="H163" s="20" t="n">
        <v>33157</v>
      </c>
      <c r="I163" s="20" t="n">
        <v>17581</v>
      </c>
      <c r="J163" s="20" t="n">
        <v>17600</v>
      </c>
      <c r="K163" s="20" t="n">
        <v>27743</v>
      </c>
      <c r="L163" s="20" t="n">
        <v>74105</v>
      </c>
      <c r="M163" s="20" t="n">
        <v>10027</v>
      </c>
      <c r="N163" s="20" t="n">
        <v>45496</v>
      </c>
      <c r="W163" s="20" t="n">
        <v>33157</v>
      </c>
      <c r="X163" s="20" t="n">
        <v>74105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조정액 · 외부 고객 매출</t>
        </is>
      </c>
      <c r="E165" s="20" t="n">
        <v>0</v>
      </c>
      <c r="F165" s="20" t="n">
        <v>0</v>
      </c>
      <c r="G165" s="20" t="n">
        <v>0</v>
      </c>
      <c r="H165" s="20" t="n">
        <v>0</v>
      </c>
      <c r="I165" s="20" t="n">
        <v>0</v>
      </c>
      <c r="J165" s="20" t="n">
        <v>0</v>
      </c>
      <c r="K165" s="20" t="n">
        <v>0</v>
      </c>
      <c r="L165" s="20" t="n">
        <v>0</v>
      </c>
      <c r="M165" s="20" t="n">
        <v>0</v>
      </c>
      <c r="N165" s="20" t="n">
        <v>0</v>
      </c>
      <c r="W165" s="20" t="n">
        <v>0</v>
      </c>
      <c r="X165" s="20" t="n">
        <v>0</v>
      </c>
    </row>
    <row r="166">
      <c r="A166" s="9" t="inlineStr">
        <is>
          <t>외부 고객 매출</t>
        </is>
      </c>
      <c r="E166" s="12" t="n">
        <v>19098</v>
      </c>
      <c r="F166" s="12" t="n">
        <v>11938</v>
      </c>
      <c r="G166" s="12" t="n">
        <v>49410</v>
      </c>
      <c r="H166" s="12" t="n">
        <v>33157</v>
      </c>
      <c r="I166" s="12" t="n">
        <v>17581</v>
      </c>
      <c r="J166" s="12" t="n">
        <v>17600</v>
      </c>
      <c r="K166" s="12" t="n">
        <v>27743</v>
      </c>
      <c r="L166" s="12" t="n">
        <v>74105</v>
      </c>
      <c r="M166" s="12" t="n">
        <v>10027</v>
      </c>
      <c r="N166" s="12" t="n">
        <v>45496</v>
      </c>
      <c r="W166" s="12" t="n">
        <v>33157</v>
      </c>
      <c r="X166" s="12" t="n">
        <v>74105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L167" s="15">
        <f>IF(OR(L166="",H166=""),"",IF(H166&lt;=0,"",IFERROR(L166/H166-1,"")))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8">
      <c r="A168" s="18" t="inlineStr">
        <is>
          <t>주택 분양 사업 · 부문 간 내부매출·대체</t>
        </is>
      </c>
      <c r="E168" s="20" t="n">
        <v>0</v>
      </c>
      <c r="F168" s="20" t="n">
        <v>0</v>
      </c>
      <c r="G168" s="20" t="n">
        <v>0</v>
      </c>
      <c r="H168" s="20" t="n">
        <v>0</v>
      </c>
      <c r="I168" s="20" t="n">
        <v>0</v>
      </c>
      <c r="J168" s="20" t="n">
        <v>0</v>
      </c>
      <c r="K168" s="20" t="n">
        <v>0</v>
      </c>
      <c r="L168" s="20" t="n">
        <v>0</v>
      </c>
      <c r="M168" s="20" t="n">
        <v>0</v>
      </c>
      <c r="N168" s="20" t="n">
        <v>0</v>
      </c>
      <c r="W168" s="20" t="n">
        <v>0</v>
      </c>
      <c r="X168" s="20" t="n">
        <v>0</v>
      </c>
    </row>
    <row r="169">
      <c r="A169" s="18" t="inlineStr">
        <is>
          <t>부동산 개발 사업 · 부문 간 내부매출·대체</t>
        </is>
      </c>
      <c r="E169" s="20" t="n">
        <v>0</v>
      </c>
      <c r="F169" s="20" t="n">
        <v>0</v>
      </c>
      <c r="G169" s="20" t="n">
        <v>0</v>
      </c>
      <c r="H169" s="20" t="n">
        <v>0</v>
      </c>
      <c r="I169" s="20" t="n">
        <v>0</v>
      </c>
      <c r="J169" s="20" t="n">
        <v>0</v>
      </c>
      <c r="K169" s="20" t="n">
        <v>0</v>
      </c>
      <c r="L169" s="20" t="n">
        <v>0</v>
      </c>
      <c r="M169" s="20" t="n">
        <v>0</v>
      </c>
      <c r="N169" s="20" t="n">
        <v>0</v>
      </c>
      <c r="W169" s="20" t="n">
        <v>0</v>
      </c>
      <c r="X169" s="20" t="n">
        <v>0</v>
      </c>
    </row>
    <row r="170">
      <c r="A170" s="18" t="inlineStr">
        <is>
          <t>부동산 임대 사업 · 부문 간 내부매출·대체</t>
        </is>
      </c>
      <c r="E170" s="20" t="n">
        <v>0</v>
      </c>
      <c r="I170" s="20" t="n">
        <v>0</v>
      </c>
      <c r="M170" s="20" t="n">
        <v>0</v>
      </c>
    </row>
    <row r="171">
      <c r="A171" s="18" t="inlineStr">
        <is>
          <t>부동산 임대 사업 · 부문 간 내부매출·대체</t>
        </is>
      </c>
      <c r="G171" s="20" t="n">
        <v>0</v>
      </c>
      <c r="H171" s="20" t="n">
        <v>0</v>
      </c>
      <c r="K171" s="20" t="n">
        <v>0</v>
      </c>
      <c r="L171" s="20" t="n">
        <v>0</v>
      </c>
      <c r="W171" s="20" t="n">
        <v>0</v>
      </c>
      <c r="X171" s="20" t="n">
        <v>0</v>
      </c>
    </row>
    <row r="172">
      <c r="A172" s="18" t="inlineStr">
        <is>
          <t>자산관리 사업 · 부문 간 내부매출·대체</t>
        </is>
      </c>
      <c r="E172" s="20" t="n">
        <v>0</v>
      </c>
      <c r="F172" s="20" t="n">
        <v>0</v>
      </c>
      <c r="G172" s="20" t="n">
        <v>0</v>
      </c>
      <c r="H172" s="20" t="n">
        <v>0</v>
      </c>
      <c r="I172" s="20" t="n">
        <v>0</v>
      </c>
      <c r="J172" s="20" t="n">
        <v>0</v>
      </c>
      <c r="K172" s="20" t="n">
        <v>0</v>
      </c>
      <c r="L172" s="20" t="n">
        <v>0</v>
      </c>
      <c r="M172" s="20" t="n">
        <v>0</v>
      </c>
      <c r="N172" s="20" t="n">
        <v>0</v>
      </c>
      <c r="W172" s="20" t="n">
        <v>0</v>
      </c>
      <c r="X172" s="20" t="n">
        <v>0</v>
      </c>
    </row>
    <row r="173">
      <c r="A173" s="18" t="inlineStr">
        <is>
          <t>보고부문 합계 · 부문 간 내부매출·대체</t>
        </is>
      </c>
      <c r="E173" s="20" t="n">
        <v>0</v>
      </c>
      <c r="F173" s="20" t="n">
        <v>0</v>
      </c>
      <c r="G173" s="20" t="n">
        <v>0</v>
      </c>
      <c r="H173" s="20" t="n">
        <v>0</v>
      </c>
      <c r="I173" s="20" t="n">
        <v>0</v>
      </c>
      <c r="J173" s="20" t="n">
        <v>0</v>
      </c>
      <c r="K173" s="20" t="n">
        <v>0</v>
      </c>
      <c r="L173" s="20" t="n">
        <v>0</v>
      </c>
      <c r="M173" s="20" t="n">
        <v>0</v>
      </c>
      <c r="N173" s="20" t="n">
        <v>0</v>
      </c>
      <c r="W173" s="20" t="n">
        <v>0</v>
      </c>
      <c r="X173" s="20" t="n">
        <v>0</v>
      </c>
    </row>
    <row r="174">
      <c r="A174" s="18" t="inlineStr">
        <is>
          <t>기타 · 부문 간 내부매출·대체</t>
        </is>
      </c>
      <c r="E174" s="20" t="n">
        <v>0</v>
      </c>
      <c r="F174" s="20" t="n">
        <v>0</v>
      </c>
      <c r="G174" s="20" t="n">
        <v>0</v>
      </c>
      <c r="H174" s="20" t="n">
        <v>0</v>
      </c>
      <c r="I174" s="20" t="n">
        <v>0</v>
      </c>
      <c r="J174" s="20" t="n">
        <v>0</v>
      </c>
      <c r="K174" s="20" t="n">
        <v>0</v>
      </c>
      <c r="L174" s="20" t="n">
        <v>0</v>
      </c>
      <c r="M174" s="20" t="n">
        <v>0</v>
      </c>
      <c r="N174" s="20" t="n">
        <v>0</v>
      </c>
      <c r="W174" s="20" t="n">
        <v>0</v>
      </c>
      <c r="X174" s="20" t="n">
        <v>0</v>
      </c>
    </row>
    <row r="175">
      <c r="A175" s="18" t="inlineStr">
        <is>
          <t>합계 · 부문 간 내부매출·대체</t>
        </is>
      </c>
      <c r="E175" s="20" t="n">
        <v>0</v>
      </c>
      <c r="F175" s="20" t="n">
        <v>0</v>
      </c>
      <c r="G175" s="20" t="n">
        <v>0</v>
      </c>
      <c r="H175" s="20" t="n">
        <v>0</v>
      </c>
      <c r="I175" s="20" t="n">
        <v>0</v>
      </c>
      <c r="J175" s="20" t="n">
        <v>0</v>
      </c>
      <c r="K175" s="20" t="n">
        <v>0</v>
      </c>
      <c r="L175" s="20" t="n">
        <v>0</v>
      </c>
      <c r="M175" s="20" t="n">
        <v>0</v>
      </c>
      <c r="N175" s="20" t="n">
        <v>0</v>
      </c>
      <c r="W175" s="20" t="n">
        <v>0</v>
      </c>
      <c r="X175" s="20" t="n">
        <v>0</v>
      </c>
    </row>
    <row r="176">
      <c r="A176" s="18" t="inlineStr">
        <is>
          <t>조정액 · 부문 간 내부매출·대체</t>
        </is>
      </c>
      <c r="E176" s="20" t="n">
        <v>0</v>
      </c>
      <c r="F176" s="20" t="n">
        <v>0</v>
      </c>
      <c r="G176" s="20" t="n">
        <v>0</v>
      </c>
      <c r="H176" s="20" t="n">
        <v>0</v>
      </c>
      <c r="I176" s="20" t="n">
        <v>0</v>
      </c>
      <c r="J176" s="20" t="n">
        <v>0</v>
      </c>
      <c r="K176" s="20" t="n">
        <v>0</v>
      </c>
      <c r="L176" s="20" t="n">
        <v>0</v>
      </c>
      <c r="M176" s="20" t="n">
        <v>0</v>
      </c>
      <c r="N176" s="20" t="n">
        <v>0</v>
      </c>
      <c r="W176" s="20" t="n">
        <v>0</v>
      </c>
      <c r="X176" s="20" t="n">
        <v>0</v>
      </c>
    </row>
    <row r="177">
      <c r="A177" s="18" t="inlineStr">
        <is>
          <t>부문 간 내부매출·대체</t>
        </is>
      </c>
      <c r="E177" s="20" t="n">
        <v>0</v>
      </c>
      <c r="F177" s="20" t="n">
        <v>0</v>
      </c>
      <c r="G177" s="20" t="n">
        <v>0</v>
      </c>
      <c r="H177" s="20" t="n">
        <v>0</v>
      </c>
      <c r="I177" s="20" t="n">
        <v>0</v>
      </c>
      <c r="J177" s="20" t="n">
        <v>0</v>
      </c>
      <c r="K177" s="20" t="n">
        <v>0</v>
      </c>
      <c r="L177" s="20" t="n">
        <v>0</v>
      </c>
      <c r="M177" s="20" t="n">
        <v>0</v>
      </c>
      <c r="N177" s="20" t="n">
        <v>0</v>
      </c>
      <c r="W177" s="20" t="n">
        <v>0</v>
      </c>
      <c r="X177" s="20" t="n">
        <v>0</v>
      </c>
    </row>
    <row r="178">
      <c r="A178" s="18" t="inlineStr">
        <is>
          <t>주택 분양 사업 · 계</t>
        </is>
      </c>
      <c r="E178" s="20" t="n">
        <v>5243</v>
      </c>
      <c r="F178" s="20" t="n">
        <v>7401</v>
      </c>
      <c r="G178" s="20" t="n">
        <v>36608</v>
      </c>
      <c r="H178" s="20" t="n">
        <v>17656</v>
      </c>
      <c r="I178" s="20" t="n">
        <v>11087</v>
      </c>
      <c r="J178" s="20" t="n">
        <v>7322</v>
      </c>
      <c r="K178" s="20" t="n">
        <v>10394</v>
      </c>
      <c r="L178" s="20" t="n">
        <v>34827</v>
      </c>
      <c r="M178" s="20" t="n">
        <v>4180</v>
      </c>
      <c r="N178" s="20" t="n">
        <v>15249</v>
      </c>
      <c r="W178" s="20" t="n">
        <v>17656</v>
      </c>
      <c r="X178" s="20" t="n">
        <v>34827</v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G179" s="15">
        <f>IF(OR(G178="",C178=""),"",IF(C178&lt;=0,"",IFERROR(G178/C178-1,"")))</f>
        <v/>
      </c>
      <c r="H179" s="15">
        <f>IF(OR(H178="",D178=""),"",IF(D178&lt;=0,"",IFERROR(H178/D178-1,"")))</f>
        <v/>
      </c>
      <c r="I179" s="15">
        <f>IF(OR(I178="",E178=""),"",IF(E178&lt;=0,"",IFERROR(I178/E178-1,"")))</f>
        <v/>
      </c>
      <c r="J179" s="15">
        <f>IF(OR(J178="",F178=""),"",IF(F178&lt;=0,"",IFERROR(J178/F178-1,"")))</f>
        <v/>
      </c>
      <c r="K179" s="15">
        <f>IF(OR(K178="",G178=""),"",IF(G178&lt;=0,"",IFERROR(K178/G178-1,"")))</f>
        <v/>
      </c>
      <c r="L179" s="15">
        <f>IF(OR(L178="",H178=""),"",IF(H178&lt;=0,"",IFERROR(L178/H178-1,"")))</f>
        <v/>
      </c>
      <c r="M179" s="15">
        <f>IF(OR(M178="",I178=""),"",IF(I178&lt;=0,"",IFERROR(M178/I178-1,"")))</f>
        <v/>
      </c>
      <c r="N179" s="15">
        <f>IF(OR(N178="",J178=""),"",IF(J178&lt;=0,"",IFERROR(N178/J178-1,"")))</f>
        <v/>
      </c>
      <c r="W179" s="15">
        <f>IF(OR(W178="",V178=""),"",IF(V178&lt;=0,"",IFERROR(W178/V178-1,"")))</f>
        <v/>
      </c>
      <c r="X179" s="15">
        <f>IF(OR(X178="",W178=""),"",IF(W178&lt;=0,"",IFERROR(X178/W178-1,"")))</f>
        <v/>
      </c>
    </row>
    <row r="180">
      <c r="A180" s="18" t="inlineStr">
        <is>
          <t>부동산 개발 사업 · 계</t>
        </is>
      </c>
      <c r="E180" s="20" t="n">
        <v>9450</v>
      </c>
      <c r="F180" s="20" t="n">
        <v>145</v>
      </c>
      <c r="G180" s="20" t="n">
        <v>8024</v>
      </c>
      <c r="H180" s="20" t="n">
        <v>10808</v>
      </c>
      <c r="I180" s="20" t="n">
        <v>1324</v>
      </c>
      <c r="J180" s="20" t="n">
        <v>4912</v>
      </c>
      <c r="K180" s="20" t="n">
        <v>12245</v>
      </c>
      <c r="L180" s="20" t="n">
        <v>33538</v>
      </c>
      <c r="M180" s="20" t="n">
        <v>812</v>
      </c>
      <c r="N180" s="20" t="n">
        <v>23839</v>
      </c>
      <c r="W180" s="20" t="n">
        <v>10808</v>
      </c>
      <c r="X180" s="20" t="n">
        <v>33538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IF(OR(G180="",C180=""),"",IF(C180&lt;=0,"",IFERROR(G180/C180-1,"")))</f>
        <v/>
      </c>
      <c r="H181" s="15">
        <f>IF(OR(H180="",D180=""),"",IF(D180&lt;=0,"",IFERROR(H180/D180-1,"")))</f>
        <v/>
      </c>
      <c r="I181" s="15">
        <f>IF(OR(I180="",E180=""),"",IF(E180&lt;=0,"",IFERROR(I180/E180-1,"")))</f>
        <v/>
      </c>
      <c r="J181" s="15">
        <f>IF(OR(J180="",F180=""),"",IF(F180&lt;=0,"",IFERROR(J180/F180-1,"")))</f>
        <v/>
      </c>
      <c r="K181" s="15">
        <f>IF(OR(K180="",G180=""),"",IF(G180&lt;=0,"",IFERROR(K180/G180-1,"")))</f>
        <v/>
      </c>
      <c r="L181" s="15">
        <f>IF(OR(L180="",H180=""),"",IF(H180&lt;=0,"",IFERROR(L180/H180-1,"")))</f>
        <v/>
      </c>
      <c r="M181" s="15">
        <f>IF(OR(M180="",I180=""),"",IF(I180&lt;=0,"",IFERROR(M180/I180-1,"")))</f>
        <v/>
      </c>
      <c r="N181" s="15">
        <f>IF(OR(N180="",J180=""),"",IF(J180&lt;=0,"",IFERROR(N180/J180-1,"")))</f>
        <v/>
      </c>
      <c r="W181" s="15">
        <f>IF(OR(W180="",V180=""),"",IF(V180&lt;=0,"",IFERROR(W180/V180-1,"")))</f>
        <v/>
      </c>
      <c r="X181" s="15">
        <f>IF(OR(X180="",W180=""),"",IF(W180&lt;=0,"",IFERROR(X180/W180-1,"")))</f>
        <v/>
      </c>
    </row>
    <row r="182">
      <c r="A182" s="18" t="inlineStr">
        <is>
          <t>부동산 임대 사업 · 계</t>
        </is>
      </c>
      <c r="E182" s="20" t="n">
        <v>3837</v>
      </c>
      <c r="I182" s="20" t="n">
        <v>4314</v>
      </c>
      <c r="M182" s="20" t="n">
        <v>4062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I183" s="15">
        <f>IF(OR(I182="",E182=""),"",IF(E182&lt;=0,"",IFERROR(I182/E182-1,"")))</f>
        <v/>
      </c>
      <c r="M183" s="15">
        <f>IF(OR(M182="",I182=""),"",IF(I182&lt;=0,"",IFERROR(M182/I182-1,"")))</f>
        <v/>
      </c>
    </row>
    <row r="184">
      <c r="A184" s="18" t="inlineStr">
        <is>
          <t>부동산 임대 사업 · 계</t>
        </is>
      </c>
      <c r="G184" s="20" t="n">
        <v>3926</v>
      </c>
      <c r="H184" s="20" t="n">
        <v>3913</v>
      </c>
      <c r="K184" s="20" t="n">
        <v>4196</v>
      </c>
      <c r="L184" s="20" t="n">
        <v>4185</v>
      </c>
      <c r="W184" s="20" t="n">
        <v>3913</v>
      </c>
      <c r="X184" s="20" t="n">
        <v>4185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IF(OR(G184="",C184=""),"",IF(C184&lt;=0,"",IFERROR(G184/C184-1,"")))</f>
        <v/>
      </c>
      <c r="H185" s="15">
        <f>IF(OR(H184="",D184=""),"",IF(D184&lt;=0,"",IFERROR(H184/D184-1,"")))</f>
        <v/>
      </c>
      <c r="K185" s="15">
        <f>IF(OR(K184="",G184=""),"",IF(G184&lt;=0,"",IFERROR(K184/G184-1,"")))</f>
        <v/>
      </c>
      <c r="L185" s="15">
        <f>IF(OR(L184="",H184=""),"",IF(H184&lt;=0,"",IFERROR(L184/H184-1,"")))</f>
        <v/>
      </c>
      <c r="W185" s="15">
        <f>IF(OR(W184="",V184=""),"",IF(V184&lt;=0,"",IFERROR(W184/V184-1,"")))</f>
        <v/>
      </c>
      <c r="X185" s="15">
        <f>IF(OR(X184="",W184=""),"",IF(W184&lt;=0,"",IFERROR(X184/W184-1,"")))</f>
        <v/>
      </c>
    </row>
    <row r="186">
      <c r="A186" s="18" t="inlineStr">
        <is>
          <t>자산관리 사업 · 계</t>
        </is>
      </c>
      <c r="E186" s="20" t="n">
        <v>455</v>
      </c>
      <c r="F186" s="20" t="n">
        <v>349</v>
      </c>
      <c r="G186" s="20" t="n">
        <v>451</v>
      </c>
      <c r="H186" s="20" t="n">
        <v>390</v>
      </c>
      <c r="I186" s="20" t="n">
        <v>491</v>
      </c>
      <c r="J186" s="20" t="n">
        <v>461</v>
      </c>
      <c r="K186" s="20" t="n">
        <v>508</v>
      </c>
      <c r="L186" s="20" t="n">
        <v>747</v>
      </c>
      <c r="M186" s="20" t="n">
        <v>492</v>
      </c>
      <c r="N186" s="20" t="n">
        <v>601</v>
      </c>
      <c r="W186" s="20" t="n">
        <v>390</v>
      </c>
      <c r="X186" s="20" t="n">
        <v>747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IF(OR(G186="",C186=""),"",IF(C186&lt;=0,"",IFERROR(G186/C186-1,"")))</f>
        <v/>
      </c>
      <c r="H187" s="15">
        <f>IF(OR(H186="",D186=""),"",IF(D186&lt;=0,"",IFERROR(H186/D186-1,"")))</f>
        <v/>
      </c>
      <c r="I187" s="15">
        <f>IF(OR(I186="",E186=""),"",IF(E186&lt;=0,"",IFERROR(I186/E186-1,"")))</f>
        <v/>
      </c>
      <c r="J187" s="15">
        <f>IF(OR(J186="",F186=""),"",IF(F186&lt;=0,"",IFERROR(J186/F186-1,"")))</f>
        <v/>
      </c>
      <c r="K187" s="15">
        <f>IF(OR(K186="",G186=""),"",IF(G186&lt;=0,"",IFERROR(K186/G186-1,"")))</f>
        <v/>
      </c>
      <c r="L187" s="15">
        <f>IF(OR(L186="",H186=""),"",IF(H186&lt;=0,"",IFERROR(L186/H186-1,"")))</f>
        <v/>
      </c>
      <c r="M187" s="15">
        <f>IF(OR(M186="",I186=""),"",IF(I186&lt;=0,"",IFERROR(M186/I186-1,"")))</f>
        <v/>
      </c>
      <c r="N187" s="15">
        <f>IF(OR(N186="",J186=""),"",IF(J186&lt;=0,"",IFERROR(N186/J186-1,"")))</f>
        <v/>
      </c>
      <c r="W187" s="15">
        <f>IF(OR(W186="",V186=""),"",IF(V186&lt;=0,"",IFERROR(W186/V186-1,"")))</f>
        <v/>
      </c>
      <c r="X187" s="15">
        <f>IF(OR(X186="",W186=""),"",IF(W186&lt;=0,"",IFERROR(X186/W186-1,"")))</f>
        <v/>
      </c>
    </row>
    <row r="188">
      <c r="A188" s="18" t="inlineStr">
        <is>
          <t>보고부문 합계 · 계</t>
        </is>
      </c>
      <c r="E188" s="20" t="n">
        <v>18987</v>
      </c>
      <c r="F188" s="20" t="n">
        <v>11818</v>
      </c>
      <c r="G188" s="20" t="n">
        <v>49010</v>
      </c>
      <c r="H188" s="20" t="n">
        <v>32768</v>
      </c>
      <c r="I188" s="20" t="n">
        <v>17218</v>
      </c>
      <c r="J188" s="20" t="n">
        <v>17261</v>
      </c>
      <c r="K188" s="20" t="n">
        <v>27344</v>
      </c>
      <c r="L188" s="20" t="n">
        <v>73297</v>
      </c>
      <c r="M188" s="20" t="n">
        <v>9548</v>
      </c>
      <c r="N188" s="20" t="n">
        <v>44031</v>
      </c>
      <c r="W188" s="20" t="n">
        <v>32768</v>
      </c>
      <c r="X188" s="20" t="n">
        <v>73297</v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IF(OR(G188="",C188=""),"",IF(C188&lt;=0,"",IFERROR(G188/C188-1,"")))</f>
        <v/>
      </c>
      <c r="H189" s="15">
        <f>IF(OR(H188="",D188=""),"",IF(D188&lt;=0,"",IFERROR(H188/D188-1,"")))</f>
        <v/>
      </c>
      <c r="I189" s="15">
        <f>IF(OR(I188="",E188=""),"",IF(E188&lt;=0,"",IFERROR(I188/E188-1,"")))</f>
        <v/>
      </c>
      <c r="J189" s="15">
        <f>IF(OR(J188="",F188=""),"",IF(F188&lt;=0,"",IFERROR(J188/F188-1,"")))</f>
        <v/>
      </c>
      <c r="K189" s="15">
        <f>IF(OR(K188="",G188=""),"",IF(G188&lt;=0,"",IFERROR(K188/G188-1,"")))</f>
        <v/>
      </c>
      <c r="L189" s="15">
        <f>IF(OR(L188="",H188=""),"",IF(H188&lt;=0,"",IFERROR(L188/H188-1,"")))</f>
        <v/>
      </c>
      <c r="M189" s="15">
        <f>IF(OR(M188="",I188=""),"",IF(I188&lt;=0,"",IFERROR(M188/I188-1,"")))</f>
        <v/>
      </c>
      <c r="N189" s="15">
        <f>IF(OR(N188="",J188=""),"",IF(J188&lt;=0,"",IFERROR(N188/J188-1,"")))</f>
        <v/>
      </c>
      <c r="W189" s="15">
        <f>IF(OR(W188="",V188=""),"",IF(V188&lt;=0,"",IFERROR(W188/V188-1,"")))</f>
        <v/>
      </c>
      <c r="X189" s="15">
        <f>IF(OR(X188="",W188=""),"",IF(W188&lt;=0,"",IFERROR(X188/W188-1,"")))</f>
        <v/>
      </c>
    </row>
    <row r="190">
      <c r="A190" s="18" t="inlineStr">
        <is>
          <t>기타 · 계</t>
        </is>
      </c>
      <c r="E190" s="20" t="n">
        <v>111</v>
      </c>
      <c r="F190" s="20" t="n">
        <v>119</v>
      </c>
      <c r="G190" s="20" t="n">
        <v>401</v>
      </c>
      <c r="H190" s="20" t="n">
        <v>389</v>
      </c>
      <c r="I190" s="20" t="n">
        <v>363</v>
      </c>
      <c r="J190" s="20" t="n">
        <v>339</v>
      </c>
      <c r="K190" s="20" t="n">
        <v>398</v>
      </c>
      <c r="L190" s="20" t="n">
        <v>809</v>
      </c>
      <c r="M190" s="20" t="n">
        <v>478</v>
      </c>
      <c r="N190" s="20" t="n">
        <v>1465</v>
      </c>
      <c r="W190" s="20" t="n">
        <v>389</v>
      </c>
      <c r="X190" s="20" t="n">
        <v>809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G191" s="15">
        <f>IF(OR(G190="",C190=""),"",IF(C190&lt;=0,"",IFERROR(G190/C190-1,"")))</f>
        <v/>
      </c>
      <c r="H191" s="15">
        <f>IF(OR(H190="",D190=""),"",IF(D190&lt;=0,"",IFERROR(H190/D190-1,"")))</f>
        <v/>
      </c>
      <c r="I191" s="15">
        <f>IF(OR(I190="",E190=""),"",IF(E190&lt;=0,"",IFERROR(I190/E190-1,"")))</f>
        <v/>
      </c>
      <c r="J191" s="15">
        <f>IF(OR(J190="",F190=""),"",IF(F190&lt;=0,"",IFERROR(J190/F190-1,"")))</f>
        <v/>
      </c>
      <c r="K191" s="15">
        <f>IF(OR(K190="",G190=""),"",IF(G190&lt;=0,"",IFERROR(K190/G190-1,"")))</f>
        <v/>
      </c>
      <c r="L191" s="15">
        <f>IF(OR(L190="",H190=""),"",IF(H190&lt;=0,"",IFERROR(L190/H190-1,"")))</f>
        <v/>
      </c>
      <c r="M191" s="15">
        <f>IF(OR(M190="",I190=""),"",IF(I190&lt;=0,"",IFERROR(M190/I190-1,"")))</f>
        <v/>
      </c>
      <c r="N191" s="15">
        <f>IF(OR(N190="",J190=""),"",IF(J190&lt;=0,"",IFERROR(N190/J190-1,"")))</f>
        <v/>
      </c>
      <c r="W191" s="15">
        <f>IF(OR(W190="",V190=""),"",IF(V190&lt;=0,"",IFERROR(W190/V190-1,"")))</f>
        <v/>
      </c>
      <c r="X191" s="15">
        <f>IF(OR(X190="",W190=""),"",IF(W190&lt;=0,"",IFERROR(X190/W190-1,"")))</f>
        <v/>
      </c>
    </row>
    <row r="192">
      <c r="A192" s="18" t="inlineStr">
        <is>
          <t>합계 · 계</t>
        </is>
      </c>
      <c r="E192" s="20" t="n">
        <v>19098</v>
      </c>
      <c r="F192" s="20" t="n">
        <v>11938</v>
      </c>
      <c r="G192" s="20" t="n">
        <v>49410</v>
      </c>
      <c r="H192" s="20" t="n">
        <v>33157</v>
      </c>
      <c r="I192" s="20" t="n">
        <v>17581</v>
      </c>
      <c r="J192" s="20" t="n">
        <v>17600</v>
      </c>
      <c r="K192" s="20" t="n">
        <v>27743</v>
      </c>
      <c r="L192" s="20" t="n">
        <v>74105</v>
      </c>
      <c r="M192" s="20" t="n">
        <v>10027</v>
      </c>
      <c r="N192" s="20" t="n">
        <v>45496</v>
      </c>
      <c r="W192" s="20" t="n">
        <v>33157</v>
      </c>
      <c r="X192" s="20" t="n">
        <v>74105</v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IF(OR(G192="",C192=""),"",IF(C192&lt;=0,"",IFERROR(G192/C192-1,"")))</f>
        <v/>
      </c>
      <c r="H193" s="15">
        <f>IF(OR(H192="",D192=""),"",IF(D192&lt;=0,"",IFERROR(H192/D192-1,"")))</f>
        <v/>
      </c>
      <c r="I193" s="15">
        <f>IF(OR(I192="",E192=""),"",IF(E192&lt;=0,"",IFERROR(I192/E192-1,"")))</f>
        <v/>
      </c>
      <c r="J193" s="15">
        <f>IF(OR(J192="",F192=""),"",IF(F192&lt;=0,"",IFERROR(J192/F192-1,"")))</f>
        <v/>
      </c>
      <c r="K193" s="15">
        <f>IF(OR(K192="",G192=""),"",IF(G192&lt;=0,"",IFERROR(K192/G192-1,"")))</f>
        <v/>
      </c>
      <c r="L193" s="15">
        <f>IF(OR(L192="",H192=""),"",IF(H192&lt;=0,"",IFERROR(L192/H192-1,"")))</f>
        <v/>
      </c>
      <c r="M193" s="15">
        <f>IF(OR(M192="",I192=""),"",IF(I192&lt;=0,"",IFERROR(M192/I192-1,"")))</f>
        <v/>
      </c>
      <c r="N193" s="15">
        <f>IF(OR(N192="",J192=""),"",IF(J192&lt;=0,"",IFERROR(N192/J192-1,"")))</f>
        <v/>
      </c>
      <c r="W193" s="15">
        <f>IF(OR(W192="",V192=""),"",IF(V192&lt;=0,"",IFERROR(W192/V192-1,"")))</f>
        <v/>
      </c>
      <c r="X193" s="15">
        <f>IF(OR(X192="",W192=""),"",IF(W192&lt;=0,"",IFERROR(X192/W192-1,"")))</f>
        <v/>
      </c>
    </row>
    <row r="194">
      <c r="A194" s="18" t="inlineStr">
        <is>
          <t>조정액 · 계</t>
        </is>
      </c>
      <c r="E194" s="20" t="n">
        <v>0</v>
      </c>
      <c r="F194" s="20" t="n">
        <v>0</v>
      </c>
      <c r="G194" s="20" t="n">
        <v>0</v>
      </c>
      <c r="H194" s="20" t="n">
        <v>0</v>
      </c>
      <c r="I194" s="20" t="n">
        <v>0</v>
      </c>
      <c r="J194" s="20" t="n">
        <v>0</v>
      </c>
      <c r="K194" s="20" t="n">
        <v>0</v>
      </c>
      <c r="L194" s="20" t="n">
        <v>0</v>
      </c>
      <c r="M194" s="20" t="n">
        <v>0</v>
      </c>
      <c r="N194" s="20" t="n">
        <v>0</v>
      </c>
      <c r="W194" s="20" t="n">
        <v>0</v>
      </c>
      <c r="X194" s="20" t="n">
        <v>0</v>
      </c>
    </row>
    <row r="195">
      <c r="A195" s="9" t="inlineStr">
        <is>
          <t>계</t>
        </is>
      </c>
      <c r="E195" s="12" t="n">
        <v>19098</v>
      </c>
      <c r="F195" s="12" t="n">
        <v>11938</v>
      </c>
      <c r="G195" s="12" t="n">
        <v>49410</v>
      </c>
      <c r="H195" s="12" t="n">
        <v>33157</v>
      </c>
      <c r="I195" s="12" t="n">
        <v>17581</v>
      </c>
      <c r="J195" s="12" t="n">
        <v>17600</v>
      </c>
      <c r="K195" s="12" t="n">
        <v>27743</v>
      </c>
      <c r="L195" s="12" t="n">
        <v>74105</v>
      </c>
      <c r="M195" s="12" t="n">
        <v>10027</v>
      </c>
      <c r="N195" s="12" t="n">
        <v>45496</v>
      </c>
      <c r="W195" s="12" t="n">
        <v>33157</v>
      </c>
      <c r="X195" s="12" t="n">
        <v>74105</v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IF(OR(G195="",C195=""),"",IF(C195&lt;=0,"",IFERROR(G195/C195-1,"")))</f>
        <v/>
      </c>
      <c r="H196" s="15">
        <f>IF(OR(H195="",D195=""),"",IF(D195&lt;=0,"",IFERROR(H195/D195-1,"")))</f>
        <v/>
      </c>
      <c r="I196" s="15">
        <f>IF(OR(I195="",E195=""),"",IF(E195&lt;=0,"",IFERROR(I195/E195-1,"")))</f>
        <v/>
      </c>
      <c r="J196" s="15">
        <f>IF(OR(J195="",F195=""),"",IF(F195&lt;=0,"",IFERROR(J195/F195-1,"")))</f>
        <v/>
      </c>
      <c r="K196" s="15">
        <f>IF(OR(K195="",G195=""),"",IF(G195&lt;=0,"",IFERROR(K195/G195-1,"")))</f>
        <v/>
      </c>
      <c r="L196" s="15">
        <f>IF(OR(L195="",H195=""),"",IF(H195&lt;=0,"",IFERROR(L195/H195-1,"")))</f>
        <v/>
      </c>
      <c r="M196" s="15">
        <f>IF(OR(M195="",I195=""),"",IF(I195&lt;=0,"",IFERROR(M195/I195-1,"")))</f>
        <v/>
      </c>
      <c r="N196" s="15">
        <f>IF(OR(N195="",J195=""),"",IF(J195&lt;=0,"",IFERROR(N195/J195-1,"")))</f>
        <v/>
      </c>
      <c r="W196" s="15">
        <f>IF(OR(W195="",V195=""),"",IF(V195&lt;=0,"",IFERROR(W195/V195-1,"")))</f>
        <v/>
      </c>
      <c r="X196" s="15">
        <f>IF(OR(X195="",W195=""),"",IF(W195&lt;=0,"",IFERROR(X195/W195-1,"")))</f>
        <v/>
      </c>
    </row>
    <row r="197">
      <c r="A197" s="18" t="inlineStr">
        <is>
          <t>주택 분양 사업 · 부문 이익</t>
        </is>
      </c>
      <c r="E197" s="20" t="n">
        <v>783</v>
      </c>
      <c r="F197" s="20" t="n">
        <v>1074</v>
      </c>
      <c r="G197" s="20" t="n">
        <v>7179</v>
      </c>
      <c r="H197" s="20" t="n">
        <v>3009</v>
      </c>
      <c r="I197" s="20" t="n">
        <v>1888</v>
      </c>
      <c r="J197" s="20" t="n">
        <v>1285</v>
      </c>
      <c r="K197" s="20" t="n">
        <v>1590</v>
      </c>
      <c r="L197" s="20" t="n">
        <v>6730</v>
      </c>
      <c r="M197" s="20" t="n">
        <v>636</v>
      </c>
      <c r="N197" s="20" t="n">
        <v>2567</v>
      </c>
      <c r="W197" s="20" t="n">
        <v>3009</v>
      </c>
      <c r="X197" s="20" t="n">
        <v>6730</v>
      </c>
    </row>
    <row r="198">
      <c r="A198" s="43" t="inlineStr">
        <is>
          <t>OPM</t>
        </is>
      </c>
      <c r="B198" s="3" t="inlineStr">
        <is>
          <t>영업이익 ÷ 매출</t>
        </is>
      </c>
      <c r="E198" s="15">
        <f>IF(OR(E197="",E178=""),"",IF(E178&lt;=0,"",IFERROR(E197/E178,"")))</f>
        <v/>
      </c>
      <c r="F198" s="15">
        <f>IF(OR(F197="",F178=""),"",IF(F178&lt;=0,"",IFERROR(F197/F178,"")))</f>
        <v/>
      </c>
      <c r="G198" s="15">
        <f>IF(OR(G197="",G178=""),"",IF(G178&lt;=0,"",IFERROR(G197/G178,"")))</f>
        <v/>
      </c>
      <c r="H198" s="15">
        <f>IF(OR(H197="",H178=""),"",IF(H178&lt;=0,"",IFERROR(H197/H178,"")))</f>
        <v/>
      </c>
      <c r="I198" s="15">
        <f>IF(OR(I197="",I178=""),"",IF(I178&lt;=0,"",IFERROR(I197/I178,"")))</f>
        <v/>
      </c>
      <c r="J198" s="15">
        <f>IF(OR(J197="",J178=""),"",IF(J178&lt;=0,"",IFERROR(J197/J178,"")))</f>
        <v/>
      </c>
      <c r="K198" s="15">
        <f>IF(OR(K197="",K178=""),"",IF(K178&lt;=0,"",IFERROR(K197/K178,"")))</f>
        <v/>
      </c>
      <c r="L198" s="15">
        <f>IF(OR(L197="",L178=""),"",IF(L178&lt;=0,"",IFERROR(L197/L178,"")))</f>
        <v/>
      </c>
      <c r="M198" s="15">
        <f>IF(OR(M197="",M178=""),"",IF(M178&lt;=0,"",IFERROR(M197/M178,"")))</f>
        <v/>
      </c>
      <c r="N198" s="15">
        <f>IF(OR(N197="",N178=""),"",IF(N178&lt;=0,"",IFERROR(N197/N178,"")))</f>
        <v/>
      </c>
      <c r="W198" s="15">
        <f>IF(OR(W197="",W178=""),"",IF(W178&lt;=0,"",IFERROR(W197/W178,"")))</f>
        <v/>
      </c>
      <c r="X198" s="15">
        <f>IF(OR(X197="",X178=""),"",IF(X178&lt;=0,"",IFERROR(X197/X178,"")))</f>
        <v/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IF(OR(G197="",C197=""),"",IF(C197&lt;=0,"",IFERROR(G197/C197-1,"")))</f>
        <v/>
      </c>
      <c r="H199" s="15">
        <f>IF(OR(H197="",D197=""),"",IF(D197&lt;=0,"",IFERROR(H197/D197-1,"")))</f>
        <v/>
      </c>
      <c r="I199" s="15">
        <f>IF(OR(I197="",E197=""),"",IF(E197&lt;=0,"",IFERROR(I197/E197-1,"")))</f>
        <v/>
      </c>
      <c r="J199" s="15">
        <f>IF(OR(J197="",F197=""),"",IF(F197&lt;=0,"",IFERROR(J197/F197-1,"")))</f>
        <v/>
      </c>
      <c r="K199" s="15">
        <f>IF(OR(K197="",G197=""),"",IF(G197&lt;=0,"",IFERROR(K197/G197-1,"")))</f>
        <v/>
      </c>
      <c r="L199" s="15">
        <f>IF(OR(L197="",H197=""),"",IF(H197&lt;=0,"",IFERROR(L197/H197-1,"")))</f>
        <v/>
      </c>
      <c r="M199" s="15">
        <f>IF(OR(M197="",I197=""),"",IF(I197&lt;=0,"",IFERROR(M197/I197-1,"")))</f>
        <v/>
      </c>
      <c r="N199" s="15">
        <f>IF(OR(N197="",J197=""),"",IF(J197&lt;=0,"",IFERROR(N197/J197-1,"")))</f>
        <v/>
      </c>
      <c r="W199" s="15">
        <f>IF(OR(W197="",V197=""),"",IF(V197&lt;=0,"",IFERROR(W197/V197-1,"")))</f>
        <v/>
      </c>
      <c r="X199" s="15">
        <f>IF(OR(X197="",W197=""),"",IF(W197&lt;=0,"",IFERROR(X197/W197-1,"")))</f>
        <v/>
      </c>
    </row>
    <row r="200">
      <c r="A200" s="18" t="inlineStr">
        <is>
          <t>부동산 개발 사업 · 부문 이익</t>
        </is>
      </c>
      <c r="E200" s="20" t="n">
        <v>2624</v>
      </c>
      <c r="F200" s="20" t="n">
        <v>38</v>
      </c>
      <c r="G200" s="20" t="n">
        <v>2619</v>
      </c>
      <c r="H200" s="20" t="n">
        <v>4931</v>
      </c>
      <c r="I200" s="20" t="n">
        <v>324</v>
      </c>
      <c r="J200" s="20" t="n">
        <v>1259</v>
      </c>
      <c r="K200" s="20" t="n">
        <v>4106</v>
      </c>
      <c r="L200" s="20" t="n">
        <v>9224</v>
      </c>
      <c r="M200" s="20" t="n">
        <v>247</v>
      </c>
      <c r="N200" s="20" t="n">
        <v>8391</v>
      </c>
      <c r="W200" s="20" t="n">
        <v>4931</v>
      </c>
      <c r="X200" s="20" t="n">
        <v>9224</v>
      </c>
    </row>
    <row r="201">
      <c r="A201" s="43" t="inlineStr">
        <is>
          <t>OPM</t>
        </is>
      </c>
      <c r="B201" s="3" t="inlineStr">
        <is>
          <t>영업이익 ÷ 매출</t>
        </is>
      </c>
      <c r="E201" s="15">
        <f>IF(OR(E200="",E180=""),"",IF(E180&lt;=0,"",IFERROR(E200/E180,"")))</f>
        <v/>
      </c>
      <c r="F201" s="15">
        <f>IF(OR(F200="",F180=""),"",IF(F180&lt;=0,"",IFERROR(F200/F180,"")))</f>
        <v/>
      </c>
      <c r="G201" s="15">
        <f>IF(OR(G200="",G180=""),"",IF(G180&lt;=0,"",IFERROR(G200/G180,"")))</f>
        <v/>
      </c>
      <c r="H201" s="15">
        <f>IF(OR(H200="",H180=""),"",IF(H180&lt;=0,"",IFERROR(H200/H180,"")))</f>
        <v/>
      </c>
      <c r="I201" s="15">
        <f>IF(OR(I200="",I180=""),"",IF(I180&lt;=0,"",IFERROR(I200/I180,"")))</f>
        <v/>
      </c>
      <c r="J201" s="15">
        <f>IF(OR(J200="",J180=""),"",IF(J180&lt;=0,"",IFERROR(J200/J180,"")))</f>
        <v/>
      </c>
      <c r="K201" s="15">
        <f>IF(OR(K200="",K180=""),"",IF(K180&lt;=0,"",IFERROR(K200/K180,"")))</f>
        <v/>
      </c>
      <c r="L201" s="15">
        <f>IF(OR(L200="",L180=""),"",IF(L180&lt;=0,"",IFERROR(L200/L180,"")))</f>
        <v/>
      </c>
      <c r="M201" s="15">
        <f>IF(OR(M200="",M180=""),"",IF(M180&lt;=0,"",IFERROR(M200/M180,"")))</f>
        <v/>
      </c>
      <c r="N201" s="15">
        <f>IF(OR(N200="",N180=""),"",IF(N180&lt;=0,"",IFERROR(N200/N180,"")))</f>
        <v/>
      </c>
      <c r="W201" s="15">
        <f>IF(OR(W200="",W180=""),"",IF(W180&lt;=0,"",IFERROR(W200/W180,"")))</f>
        <v/>
      </c>
      <c r="X201" s="15">
        <f>IF(OR(X200="",X180=""),"",IF(X180&lt;=0,"",IFERROR(X200/X180,"")))</f>
        <v/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G202" s="15">
        <f>IF(OR(G200="",C200=""),"",IF(C200&lt;=0,"",IFERROR(G200/C200-1,"")))</f>
        <v/>
      </c>
      <c r="H202" s="15">
        <f>IF(OR(H200="",D200=""),"",IF(D200&lt;=0,"",IFERROR(H200/D200-1,"")))</f>
        <v/>
      </c>
      <c r="I202" s="15">
        <f>IF(OR(I200="",E200=""),"",IF(E200&lt;=0,"",IFERROR(I200/E200-1,"")))</f>
        <v/>
      </c>
      <c r="J202" s="15">
        <f>IF(OR(J200="",F200=""),"",IF(F200&lt;=0,"",IFERROR(J200/F200-1,"")))</f>
        <v/>
      </c>
      <c r="K202" s="15">
        <f>IF(OR(K200="",G200=""),"",IF(G200&lt;=0,"",IFERROR(K200/G200-1,"")))</f>
        <v/>
      </c>
      <c r="L202" s="15">
        <f>IF(OR(L200="",H200=""),"",IF(H200&lt;=0,"",IFERROR(L200/H200-1,"")))</f>
        <v/>
      </c>
      <c r="M202" s="15">
        <f>IF(OR(M200="",I200=""),"",IF(I200&lt;=0,"",IFERROR(M200/I200-1,"")))</f>
        <v/>
      </c>
      <c r="N202" s="15">
        <f>IF(OR(N200="",J200=""),"",IF(J200&lt;=0,"",IFERROR(N200/J200-1,"")))</f>
        <v/>
      </c>
      <c r="W202" s="15">
        <f>IF(OR(W200="",V200=""),"",IF(V200&lt;=0,"",IFERROR(W200/V200-1,"")))</f>
        <v/>
      </c>
      <c r="X202" s="15">
        <f>IF(OR(X200="",W200=""),"",IF(W200&lt;=0,"",IFERROR(X200/W200-1,"")))</f>
        <v/>
      </c>
    </row>
    <row r="203">
      <c r="A203" s="18" t="inlineStr">
        <is>
          <t>부동산 임대 사업 · 부문 이익</t>
        </is>
      </c>
      <c r="E203" s="20" t="n">
        <v>1752</v>
      </c>
      <c r="I203" s="20" t="n">
        <v>2058</v>
      </c>
      <c r="M203" s="20" t="n">
        <v>1725</v>
      </c>
    </row>
    <row r="204">
      <c r="A204" s="43" t="inlineStr">
        <is>
          <t>OPM</t>
        </is>
      </c>
      <c r="B204" s="3" t="inlineStr">
        <is>
          <t>영업이익 ÷ 매출</t>
        </is>
      </c>
      <c r="E204" s="15">
        <f>IF(OR(E203="",E182=""),"",IF(E182&lt;=0,"",IFERROR(E203/E182,"")))</f>
        <v/>
      </c>
      <c r="I204" s="15">
        <f>IF(OR(I203="",I182=""),"",IF(I182&lt;=0,"",IFERROR(I203/I182,"")))</f>
        <v/>
      </c>
      <c r="M204" s="15">
        <f>IF(OR(M203="",M182=""),"",IF(M182&lt;=0,"",IFERROR(M203/M182,"")))</f>
        <v/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I205" s="15">
        <f>IF(OR(I203="",E203=""),"",IF(E203&lt;=0,"",IFERROR(I203/E203-1,"")))</f>
        <v/>
      </c>
      <c r="M205" s="15">
        <f>IF(OR(M203="",I203=""),"",IF(I203&lt;=0,"",IFERROR(M203/I203-1,"")))</f>
        <v/>
      </c>
    </row>
    <row r="206">
      <c r="A206" s="18" t="inlineStr">
        <is>
          <t>부동산 임대 사업 · 부문 이익</t>
        </is>
      </c>
      <c r="G206" s="20" t="n">
        <v>1751</v>
      </c>
      <c r="H206" s="20" t="n">
        <v>1769</v>
      </c>
      <c r="K206" s="20" t="n">
        <v>1913</v>
      </c>
      <c r="L206" s="20" t="n">
        <v>1899</v>
      </c>
      <c r="W206" s="20" t="n">
        <v>1769</v>
      </c>
      <c r="X206" s="20" t="n">
        <v>1899</v>
      </c>
    </row>
    <row r="207">
      <c r="A207" s="43" t="inlineStr">
        <is>
          <t>OPM</t>
        </is>
      </c>
      <c r="B207" s="3" t="inlineStr">
        <is>
          <t>영업이익 ÷ 매출</t>
        </is>
      </c>
      <c r="G207" s="15">
        <f>IF(OR(G206="",G184=""),"",IF(G184&lt;=0,"",IFERROR(G206/G184,"")))</f>
        <v/>
      </c>
      <c r="H207" s="15">
        <f>IF(OR(H206="",H184=""),"",IF(H184&lt;=0,"",IFERROR(H206/H184,"")))</f>
        <v/>
      </c>
      <c r="K207" s="15">
        <f>IF(OR(K206="",K184=""),"",IF(K184&lt;=0,"",IFERROR(K206/K184,"")))</f>
        <v/>
      </c>
      <c r="L207" s="15">
        <f>IF(OR(L206="",L184=""),"",IF(L184&lt;=0,"",IFERROR(L206/L184,"")))</f>
        <v/>
      </c>
      <c r="W207" s="15">
        <f>IF(OR(W206="",W184=""),"",IF(W184&lt;=0,"",IFERROR(W206/W184,"")))</f>
        <v/>
      </c>
      <c r="X207" s="15">
        <f>IF(OR(X206="",X184=""),"",IF(X184&lt;=0,"",IFERROR(X206/X184,"")))</f>
        <v/>
      </c>
    </row>
    <row r="208">
      <c r="A208" s="43" t="inlineStr">
        <is>
          <t>YoY</t>
        </is>
      </c>
      <c r="B208" s="3" t="inlineStr">
        <is>
          <t>전년 같은 분기·전년 대비</t>
        </is>
      </c>
      <c r="G208" s="15">
        <f>IF(OR(G206="",C206=""),"",IF(C206&lt;=0,"",IFERROR(G206/C206-1,"")))</f>
        <v/>
      </c>
      <c r="H208" s="15">
        <f>IF(OR(H206="",D206=""),"",IF(D206&lt;=0,"",IFERROR(H206/D206-1,"")))</f>
        <v/>
      </c>
      <c r="K208" s="15">
        <f>IF(OR(K206="",G206=""),"",IF(G206&lt;=0,"",IFERROR(K206/G206-1,"")))</f>
        <v/>
      </c>
      <c r="L208" s="15">
        <f>IF(OR(L206="",H206=""),"",IF(H206&lt;=0,"",IFERROR(L206/H206-1,"")))</f>
        <v/>
      </c>
      <c r="W208" s="15">
        <f>IF(OR(W206="",V206=""),"",IF(V206&lt;=0,"",IFERROR(W206/V206-1,"")))</f>
        <v/>
      </c>
      <c r="X208" s="15">
        <f>IF(OR(X206="",W206=""),"",IF(W206&lt;=0,"",IFERROR(X206/W206-1,"")))</f>
        <v/>
      </c>
    </row>
    <row r="209">
      <c r="A209" s="18" t="inlineStr">
        <is>
          <t>자산관리 사업 · 부문 이익</t>
        </is>
      </c>
      <c r="E209" s="20" t="n">
        <v>287</v>
      </c>
      <c r="F209" s="20" t="n">
        <v>195</v>
      </c>
      <c r="G209" s="20" t="n">
        <v>293</v>
      </c>
      <c r="H209" s="20" t="n">
        <v>222</v>
      </c>
      <c r="I209" s="20" t="n">
        <v>251</v>
      </c>
      <c r="J209" s="20" t="n">
        <v>246</v>
      </c>
      <c r="K209" s="20" t="n">
        <v>280</v>
      </c>
      <c r="L209" s="20" t="n">
        <v>514</v>
      </c>
      <c r="M209" s="20" t="n">
        <v>276</v>
      </c>
      <c r="N209" s="20" t="n">
        <v>356</v>
      </c>
      <c r="W209" s="20" t="n">
        <v>222</v>
      </c>
      <c r="X209" s="20" t="n">
        <v>514</v>
      </c>
    </row>
    <row r="210">
      <c r="A210" s="43" t="inlineStr">
        <is>
          <t>OPM</t>
        </is>
      </c>
      <c r="B210" s="3" t="inlineStr">
        <is>
          <t>영업이익 ÷ 매출</t>
        </is>
      </c>
      <c r="E210" s="15">
        <f>IF(OR(E209="",E186=""),"",IF(E186&lt;=0,"",IFERROR(E209/E186,"")))</f>
        <v/>
      </c>
      <c r="F210" s="15">
        <f>IF(OR(F209="",F186=""),"",IF(F186&lt;=0,"",IFERROR(F209/F186,"")))</f>
        <v/>
      </c>
      <c r="G210" s="15">
        <f>IF(OR(G209="",G186=""),"",IF(G186&lt;=0,"",IFERROR(G209/G186,"")))</f>
        <v/>
      </c>
      <c r="H210" s="15">
        <f>IF(OR(H209="",H186=""),"",IF(H186&lt;=0,"",IFERROR(H209/H186,"")))</f>
        <v/>
      </c>
      <c r="I210" s="15">
        <f>IF(OR(I209="",I186=""),"",IF(I186&lt;=0,"",IFERROR(I209/I186,"")))</f>
        <v/>
      </c>
      <c r="J210" s="15">
        <f>IF(OR(J209="",J186=""),"",IF(J186&lt;=0,"",IFERROR(J209/J186,"")))</f>
        <v/>
      </c>
      <c r="K210" s="15">
        <f>IF(OR(K209="",K186=""),"",IF(K186&lt;=0,"",IFERROR(K209/K186,"")))</f>
        <v/>
      </c>
      <c r="L210" s="15">
        <f>IF(OR(L209="",L186=""),"",IF(L186&lt;=0,"",IFERROR(L209/L186,"")))</f>
        <v/>
      </c>
      <c r="M210" s="15">
        <f>IF(OR(M209="",M186=""),"",IF(M186&lt;=0,"",IFERROR(M209/M186,"")))</f>
        <v/>
      </c>
      <c r="N210" s="15">
        <f>IF(OR(N209="",N186=""),"",IF(N186&lt;=0,"",IFERROR(N209/N186,"")))</f>
        <v/>
      </c>
      <c r="W210" s="15">
        <f>IF(OR(W209="",W186=""),"",IF(W186&lt;=0,"",IFERROR(W209/W186,"")))</f>
        <v/>
      </c>
      <c r="X210" s="15">
        <f>IF(OR(X209="",X186=""),"",IF(X186&lt;=0,"",IFERROR(X209/X186,"")))</f>
        <v/>
      </c>
    </row>
    <row r="211">
      <c r="A211" s="43" t="inlineStr">
        <is>
          <t>YoY</t>
        </is>
      </c>
      <c r="B211" s="3" t="inlineStr">
        <is>
          <t>전년 같은 분기·전년 대비</t>
        </is>
      </c>
      <c r="G211" s="15">
        <f>IF(OR(G209="",C209=""),"",IF(C209&lt;=0,"",IFERROR(G209/C209-1,"")))</f>
        <v/>
      </c>
      <c r="H211" s="15">
        <f>IF(OR(H209="",D209=""),"",IF(D209&lt;=0,"",IFERROR(H209/D209-1,"")))</f>
        <v/>
      </c>
      <c r="I211" s="15">
        <f>IF(OR(I209="",E209=""),"",IF(E209&lt;=0,"",IFERROR(I209/E209-1,"")))</f>
        <v/>
      </c>
      <c r="J211" s="15">
        <f>IF(OR(J209="",F209=""),"",IF(F209&lt;=0,"",IFERROR(J209/F209-1,"")))</f>
        <v/>
      </c>
      <c r="K211" s="15">
        <f>IF(OR(K209="",G209=""),"",IF(G209&lt;=0,"",IFERROR(K209/G209-1,"")))</f>
        <v/>
      </c>
      <c r="L211" s="15">
        <f>IF(OR(L209="",H209=""),"",IF(H209&lt;=0,"",IFERROR(L209/H209-1,"")))</f>
        <v/>
      </c>
      <c r="M211" s="15">
        <f>IF(OR(M209="",I209=""),"",IF(I209&lt;=0,"",IFERROR(M209/I209-1,"")))</f>
        <v/>
      </c>
      <c r="N211" s="15">
        <f>IF(OR(N209="",J209=""),"",IF(J209&lt;=0,"",IFERROR(N209/J209-1,"")))</f>
        <v/>
      </c>
      <c r="W211" s="15">
        <f>IF(OR(W209="",V209=""),"",IF(V209&lt;=0,"",IFERROR(W209/V209-1,"")))</f>
        <v/>
      </c>
      <c r="X211" s="15">
        <f>IF(OR(X209="",W209=""),"",IF(W209&lt;=0,"",IFERROR(X209/W209-1,"")))</f>
        <v/>
      </c>
    </row>
    <row r="212">
      <c r="A212" s="18" t="inlineStr">
        <is>
          <t>보고부문 합계 · 부문 이익</t>
        </is>
      </c>
      <c r="E212" s="20" t="n">
        <v>5448</v>
      </c>
      <c r="F212" s="20" t="n">
        <v>3057</v>
      </c>
      <c r="G212" s="20" t="n">
        <v>11841</v>
      </c>
      <c r="H212" s="20" t="n">
        <v>9930</v>
      </c>
      <c r="I212" s="20" t="n">
        <v>4522</v>
      </c>
      <c r="J212" s="20" t="n">
        <v>4953</v>
      </c>
      <c r="K212" s="20" t="n">
        <v>7889</v>
      </c>
      <c r="L212" s="20" t="n">
        <v>18368</v>
      </c>
      <c r="M212" s="20" t="n">
        <v>2884</v>
      </c>
      <c r="N212" s="20" t="n">
        <v>13198</v>
      </c>
      <c r="W212" s="20" t="n">
        <v>9930</v>
      </c>
      <c r="X212" s="20" t="n">
        <v>18368</v>
      </c>
    </row>
    <row r="213">
      <c r="A213" s="43" t="inlineStr">
        <is>
          <t>OPM</t>
        </is>
      </c>
      <c r="B213" s="3" t="inlineStr">
        <is>
          <t>영업이익 ÷ 매출</t>
        </is>
      </c>
      <c r="E213" s="15">
        <f>IF(OR(E212="",E188=""),"",IF(E188&lt;=0,"",IFERROR(E212/E188,"")))</f>
        <v/>
      </c>
      <c r="F213" s="15">
        <f>IF(OR(F212="",F188=""),"",IF(F188&lt;=0,"",IFERROR(F212/F188,"")))</f>
        <v/>
      </c>
      <c r="G213" s="15">
        <f>IF(OR(G212="",G188=""),"",IF(G188&lt;=0,"",IFERROR(G212/G188,"")))</f>
        <v/>
      </c>
      <c r="H213" s="15">
        <f>IF(OR(H212="",H188=""),"",IF(H188&lt;=0,"",IFERROR(H212/H188,"")))</f>
        <v/>
      </c>
      <c r="I213" s="15">
        <f>IF(OR(I212="",I188=""),"",IF(I188&lt;=0,"",IFERROR(I212/I188,"")))</f>
        <v/>
      </c>
      <c r="J213" s="15">
        <f>IF(OR(J212="",J188=""),"",IF(J188&lt;=0,"",IFERROR(J212/J188,"")))</f>
        <v/>
      </c>
      <c r="K213" s="15">
        <f>IF(OR(K212="",K188=""),"",IF(K188&lt;=0,"",IFERROR(K212/K188,"")))</f>
        <v/>
      </c>
      <c r="L213" s="15">
        <f>IF(OR(L212="",L188=""),"",IF(L188&lt;=0,"",IFERROR(L212/L188,"")))</f>
        <v/>
      </c>
      <c r="M213" s="15">
        <f>IF(OR(M212="",M188=""),"",IF(M188&lt;=0,"",IFERROR(M212/M188,"")))</f>
        <v/>
      </c>
      <c r="N213" s="15">
        <f>IF(OR(N212="",N188=""),"",IF(N188&lt;=0,"",IFERROR(N212/N188,"")))</f>
        <v/>
      </c>
      <c r="W213" s="15">
        <f>IF(OR(W212="",W188=""),"",IF(W188&lt;=0,"",IFERROR(W212/W188,"")))</f>
        <v/>
      </c>
      <c r="X213" s="15">
        <f>IF(OR(X212="",X188=""),"",IF(X188&lt;=0,"",IFERROR(X212/X188,"")))</f>
        <v/>
      </c>
    </row>
    <row r="214">
      <c r="A214" s="43" t="inlineStr">
        <is>
          <t>YoY</t>
        </is>
      </c>
      <c r="B214" s="3" t="inlineStr">
        <is>
          <t>전년 같은 분기·전년 대비</t>
        </is>
      </c>
      <c r="G214" s="15">
        <f>IF(OR(G212="",C212=""),"",IF(C212&lt;=0,"",IFERROR(G212/C212-1,"")))</f>
        <v/>
      </c>
      <c r="H214" s="15">
        <f>IF(OR(H212="",D212=""),"",IF(D212&lt;=0,"",IFERROR(H212/D212-1,"")))</f>
        <v/>
      </c>
      <c r="I214" s="15">
        <f>IF(OR(I212="",E212=""),"",IF(E212&lt;=0,"",IFERROR(I212/E212-1,"")))</f>
        <v/>
      </c>
      <c r="J214" s="15">
        <f>IF(OR(J212="",F212=""),"",IF(F212&lt;=0,"",IFERROR(J212/F212-1,"")))</f>
        <v/>
      </c>
      <c r="K214" s="15">
        <f>IF(OR(K212="",G212=""),"",IF(G212&lt;=0,"",IFERROR(K212/G212-1,"")))</f>
        <v/>
      </c>
      <c r="L214" s="15">
        <f>IF(OR(L212="",H212=""),"",IF(H212&lt;=0,"",IFERROR(L212/H212-1,"")))</f>
        <v/>
      </c>
      <c r="M214" s="15">
        <f>IF(OR(M212="",I212=""),"",IF(I212&lt;=0,"",IFERROR(M212/I212-1,"")))</f>
        <v/>
      </c>
      <c r="N214" s="15">
        <f>IF(OR(N212="",J212=""),"",IF(J212&lt;=0,"",IFERROR(N212/J212-1,"")))</f>
        <v/>
      </c>
      <c r="W214" s="15">
        <f>IF(OR(W212="",V212=""),"",IF(V212&lt;=0,"",IFERROR(W212/V212-1,"")))</f>
        <v/>
      </c>
      <c r="X214" s="15">
        <f>IF(OR(X212="",W212=""),"",IF(W212&lt;=0,"",IFERROR(X212/W212-1,"")))</f>
        <v/>
      </c>
    </row>
    <row r="215">
      <c r="A215" s="18" t="inlineStr">
        <is>
          <t>기타 · 부문 이익</t>
        </is>
      </c>
      <c r="E215" s="20" t="n">
        <v>16</v>
      </c>
      <c r="F215" s="20" t="n">
        <v>29</v>
      </c>
      <c r="G215" s="20" t="n">
        <v>-22</v>
      </c>
      <c r="H215" s="20" t="n">
        <v>296</v>
      </c>
      <c r="I215" s="20" t="n">
        <v>31</v>
      </c>
      <c r="J215" s="20" t="n">
        <v>117</v>
      </c>
      <c r="K215" s="20" t="n">
        <v>123</v>
      </c>
      <c r="L215" s="20" t="n">
        <v>382</v>
      </c>
      <c r="M215" s="20" t="n">
        <v>155</v>
      </c>
      <c r="N215" s="20" t="n">
        <v>56</v>
      </c>
      <c r="W215" s="20" t="n">
        <v>296</v>
      </c>
      <c r="X215" s="20" t="n">
        <v>382</v>
      </c>
    </row>
    <row r="216">
      <c r="A216" s="43" t="inlineStr">
        <is>
          <t>OPM</t>
        </is>
      </c>
      <c r="B216" s="3" t="inlineStr">
        <is>
          <t>영업이익 ÷ 매출</t>
        </is>
      </c>
      <c r="E216" s="15">
        <f>IF(OR(E215="",E190=""),"",IF(E190&lt;=0,"",IFERROR(E215/E190,"")))</f>
        <v/>
      </c>
      <c r="F216" s="15">
        <f>IF(OR(F215="",F190=""),"",IF(F190&lt;=0,"",IFERROR(F215/F190,"")))</f>
        <v/>
      </c>
      <c r="G216" s="15">
        <f>IF(OR(G215="",G190=""),"",IF(G190&lt;=0,"",IFERROR(G215/G190,"")))</f>
        <v/>
      </c>
      <c r="H216" s="15">
        <f>IF(OR(H215="",H190=""),"",IF(H190&lt;=0,"",IFERROR(H215/H190,"")))</f>
        <v/>
      </c>
      <c r="I216" s="15">
        <f>IF(OR(I215="",I190=""),"",IF(I190&lt;=0,"",IFERROR(I215/I190,"")))</f>
        <v/>
      </c>
      <c r="J216" s="15">
        <f>IF(OR(J215="",J190=""),"",IF(J190&lt;=0,"",IFERROR(J215/J190,"")))</f>
        <v/>
      </c>
      <c r="K216" s="15">
        <f>IF(OR(K215="",K190=""),"",IF(K190&lt;=0,"",IFERROR(K215/K190,"")))</f>
        <v/>
      </c>
      <c r="L216" s="15">
        <f>IF(OR(L215="",L190=""),"",IF(L190&lt;=0,"",IFERROR(L215/L190,"")))</f>
        <v/>
      </c>
      <c r="M216" s="15">
        <f>IF(OR(M215="",M190=""),"",IF(M190&lt;=0,"",IFERROR(M215/M190,"")))</f>
        <v/>
      </c>
      <c r="N216" s="15">
        <f>IF(OR(N215="",N190=""),"",IF(N190&lt;=0,"",IFERROR(N215/N190,"")))</f>
        <v/>
      </c>
      <c r="W216" s="15">
        <f>IF(OR(W215="",W190=""),"",IF(W190&lt;=0,"",IFERROR(W215/W190,"")))</f>
        <v/>
      </c>
      <c r="X216" s="15">
        <f>IF(OR(X215="",X190=""),"",IF(X190&lt;=0,"",IFERROR(X215/X190,"")))</f>
        <v/>
      </c>
    </row>
    <row r="217">
      <c r="A217" s="43" t="inlineStr">
        <is>
          <t>YoY</t>
        </is>
      </c>
      <c r="B217" s="3" t="inlineStr">
        <is>
          <t>전년 같은 분기·전년 대비</t>
        </is>
      </c>
      <c r="G217" s="15">
        <f>IF(OR(G215="",C215=""),"",IF(C215&lt;=0,"",IFERROR(G215/C215-1,"")))</f>
        <v/>
      </c>
      <c r="H217" s="15">
        <f>IF(OR(H215="",D215=""),"",IF(D215&lt;=0,"",IFERROR(H215/D215-1,"")))</f>
        <v/>
      </c>
      <c r="I217" s="15">
        <f>IF(OR(I215="",E215=""),"",IF(E215&lt;=0,"",IFERROR(I215/E215-1,"")))</f>
        <v/>
      </c>
      <c r="J217" s="15">
        <f>IF(OR(J215="",F215=""),"",IF(F215&lt;=0,"",IFERROR(J215/F215-1,"")))</f>
        <v/>
      </c>
      <c r="K217" s="15">
        <f>IF(OR(K215="",G215=""),"",IF(G215&lt;=0,"",IFERROR(K215/G215-1,"")))</f>
        <v/>
      </c>
      <c r="L217" s="15">
        <f>IF(OR(L215="",H215=""),"",IF(H215&lt;=0,"",IFERROR(L215/H215-1,"")))</f>
        <v/>
      </c>
      <c r="M217" s="15">
        <f>IF(OR(M215="",I215=""),"",IF(I215&lt;=0,"",IFERROR(M215/I215-1,"")))</f>
        <v/>
      </c>
      <c r="N217" s="15">
        <f>IF(OR(N215="",J215=""),"",IF(J215&lt;=0,"",IFERROR(N215/J215-1,"")))</f>
        <v/>
      </c>
      <c r="W217" s="15">
        <f>IF(OR(W215="",V215=""),"",IF(V215&lt;=0,"",IFERROR(W215/V215-1,"")))</f>
        <v/>
      </c>
      <c r="X217" s="15">
        <f>IF(OR(X215="",W215=""),"",IF(W215&lt;=0,"",IFERROR(X215/W215-1,"")))</f>
        <v/>
      </c>
    </row>
    <row r="218">
      <c r="A218" s="18" t="inlineStr">
        <is>
          <t>합계 · 부문 이익</t>
        </is>
      </c>
      <c r="E218" s="20" t="n">
        <v>5464</v>
      </c>
      <c r="F218" s="20" t="n">
        <v>3086</v>
      </c>
      <c r="G218" s="20" t="n">
        <v>11819</v>
      </c>
      <c r="H218" s="20" t="n">
        <v>10226</v>
      </c>
      <c r="I218" s="20" t="n">
        <v>4553</v>
      </c>
      <c r="J218" s="20" t="n">
        <v>5071</v>
      </c>
      <c r="K218" s="20" t="n">
        <v>8012</v>
      </c>
      <c r="L218" s="20" t="n">
        <v>18750</v>
      </c>
      <c r="M218" s="20" t="n">
        <v>3040</v>
      </c>
      <c r="N218" s="20" t="n">
        <v>13253</v>
      </c>
      <c r="W218" s="20" t="n">
        <v>10226</v>
      </c>
      <c r="X218" s="20" t="n">
        <v>18750</v>
      </c>
    </row>
    <row r="219">
      <c r="A219" s="43" t="inlineStr">
        <is>
          <t>OPM</t>
        </is>
      </c>
      <c r="B219" s="3" t="inlineStr">
        <is>
          <t>영업이익 ÷ 매출</t>
        </is>
      </c>
      <c r="E219" s="15">
        <f>IF(OR(E218="",E192=""),"",IF(E192&lt;=0,"",IFERROR(E218/E192,"")))</f>
        <v/>
      </c>
      <c r="F219" s="15">
        <f>IF(OR(F218="",F192=""),"",IF(F192&lt;=0,"",IFERROR(F218/F192,"")))</f>
        <v/>
      </c>
      <c r="G219" s="15">
        <f>IF(OR(G218="",G192=""),"",IF(G192&lt;=0,"",IFERROR(G218/G192,"")))</f>
        <v/>
      </c>
      <c r="H219" s="15">
        <f>IF(OR(H218="",H192=""),"",IF(H192&lt;=0,"",IFERROR(H218/H192,"")))</f>
        <v/>
      </c>
      <c r="I219" s="15">
        <f>IF(OR(I218="",I192=""),"",IF(I192&lt;=0,"",IFERROR(I218/I192,"")))</f>
        <v/>
      </c>
      <c r="J219" s="15">
        <f>IF(OR(J218="",J192=""),"",IF(J192&lt;=0,"",IFERROR(J218/J192,"")))</f>
        <v/>
      </c>
      <c r="K219" s="15">
        <f>IF(OR(K218="",K192=""),"",IF(K192&lt;=0,"",IFERROR(K218/K192,"")))</f>
        <v/>
      </c>
      <c r="L219" s="15">
        <f>IF(OR(L218="",L192=""),"",IF(L192&lt;=0,"",IFERROR(L218/L192,"")))</f>
        <v/>
      </c>
      <c r="M219" s="15">
        <f>IF(OR(M218="",M192=""),"",IF(M192&lt;=0,"",IFERROR(M218/M192,"")))</f>
        <v/>
      </c>
      <c r="N219" s="15">
        <f>IF(OR(N218="",N192=""),"",IF(N192&lt;=0,"",IFERROR(N218/N192,"")))</f>
        <v/>
      </c>
      <c r="W219" s="15">
        <f>IF(OR(W218="",W192=""),"",IF(W192&lt;=0,"",IFERROR(W218/W192,"")))</f>
        <v/>
      </c>
      <c r="X219" s="15">
        <f>IF(OR(X218="",X192=""),"",IF(X192&lt;=0,"",IFERROR(X218/X192,"")))</f>
        <v/>
      </c>
    </row>
    <row r="220">
      <c r="A220" s="43" t="inlineStr">
        <is>
          <t>YoY</t>
        </is>
      </c>
      <c r="B220" s="3" t="inlineStr">
        <is>
          <t>전년 같은 분기·전년 대비</t>
        </is>
      </c>
      <c r="G220" s="15">
        <f>IF(OR(G218="",C218=""),"",IF(C218&lt;=0,"",IFERROR(G218/C218-1,"")))</f>
        <v/>
      </c>
      <c r="H220" s="15">
        <f>IF(OR(H218="",D218=""),"",IF(D218&lt;=0,"",IFERROR(H218/D218-1,"")))</f>
        <v/>
      </c>
      <c r="I220" s="15">
        <f>IF(OR(I218="",E218=""),"",IF(E218&lt;=0,"",IFERROR(I218/E218-1,"")))</f>
        <v/>
      </c>
      <c r="J220" s="15">
        <f>IF(OR(J218="",F218=""),"",IF(F218&lt;=0,"",IFERROR(J218/F218-1,"")))</f>
        <v/>
      </c>
      <c r="K220" s="15">
        <f>IF(OR(K218="",G218=""),"",IF(G218&lt;=0,"",IFERROR(K218/G218-1,"")))</f>
        <v/>
      </c>
      <c r="L220" s="15">
        <f>IF(OR(L218="",H218=""),"",IF(H218&lt;=0,"",IFERROR(L218/H218-1,"")))</f>
        <v/>
      </c>
      <c r="M220" s="15">
        <f>IF(OR(M218="",I218=""),"",IF(I218&lt;=0,"",IFERROR(M218/I218-1,"")))</f>
        <v/>
      </c>
      <c r="N220" s="15">
        <f>IF(OR(N218="",J218=""),"",IF(J218&lt;=0,"",IFERROR(N218/J218-1,"")))</f>
        <v/>
      </c>
      <c r="W220" s="15">
        <f>IF(OR(W218="",V218=""),"",IF(V218&lt;=0,"",IFERROR(W218/V218-1,"")))</f>
        <v/>
      </c>
      <c r="X220" s="15">
        <f>IF(OR(X218="",W218=""),"",IF(W218&lt;=0,"",IFERROR(X218/W218-1,"")))</f>
        <v/>
      </c>
    </row>
    <row r="221">
      <c r="A221" s="18" t="inlineStr">
        <is>
          <t>조정액 · 부문 이익</t>
        </is>
      </c>
      <c r="E221" s="20" t="n">
        <v>-2174</v>
      </c>
      <c r="F221" s="20" t="n">
        <v>-2060</v>
      </c>
      <c r="G221" s="20" t="n">
        <v>-2382</v>
      </c>
      <c r="H221" s="20" t="n">
        <v>-2668</v>
      </c>
      <c r="I221" s="20" t="n">
        <v>-2370</v>
      </c>
      <c r="J221" s="20" t="n">
        <v>-2348</v>
      </c>
      <c r="K221" s="20" t="n">
        <v>-2372</v>
      </c>
      <c r="L221" s="20" t="n">
        <v>-3195</v>
      </c>
      <c r="M221" s="20" t="n">
        <v>-2452</v>
      </c>
      <c r="N221" s="20" t="n">
        <v>-3263</v>
      </c>
      <c r="W221" s="20" t="n">
        <v>-2668</v>
      </c>
      <c r="X221" s="20" t="n">
        <v>-3195</v>
      </c>
    </row>
    <row r="222">
      <c r="A222" s="9" t="inlineStr">
        <is>
          <t>부문 이익</t>
        </is>
      </c>
      <c r="E222" s="12" t="n">
        <v>3289</v>
      </c>
      <c r="F222" s="12" t="n">
        <v>1027</v>
      </c>
      <c r="G222" s="12" t="n">
        <v>9437</v>
      </c>
      <c r="H222" s="12" t="n">
        <v>7558</v>
      </c>
      <c r="I222" s="12" t="n">
        <v>2183</v>
      </c>
      <c r="J222" s="12" t="n">
        <v>2722</v>
      </c>
      <c r="K222" s="12" t="n">
        <v>5641</v>
      </c>
      <c r="L222" s="12" t="n">
        <v>15555</v>
      </c>
      <c r="M222" s="12" t="n">
        <v>588</v>
      </c>
      <c r="N222" s="12" t="n">
        <v>9990</v>
      </c>
      <c r="W222" s="12" t="n">
        <v>7558</v>
      </c>
      <c r="X222" s="12" t="n">
        <v>15555</v>
      </c>
    </row>
    <row r="223">
      <c r="A223" s="43" t="inlineStr">
        <is>
          <t>OPM</t>
        </is>
      </c>
      <c r="B223" s="3" t="inlineStr">
        <is>
          <t>영업이익 ÷ 매출</t>
        </is>
      </c>
      <c r="E223" s="15">
        <f>IF(OR(E222="",E166=""),"",IF(E166&lt;=0,"",IFERROR(E222/E166,"")))</f>
        <v/>
      </c>
      <c r="F223" s="15">
        <f>IF(OR(F222="",F166=""),"",IF(F166&lt;=0,"",IFERROR(F222/F166,"")))</f>
        <v/>
      </c>
      <c r="G223" s="15">
        <f>IF(OR(G222="",G166=""),"",IF(G166&lt;=0,"",IFERROR(G222/G166,"")))</f>
        <v/>
      </c>
      <c r="H223" s="15">
        <f>IF(OR(H222="",H166=""),"",IF(H166&lt;=0,"",IFERROR(H222/H166,"")))</f>
        <v/>
      </c>
      <c r="I223" s="15">
        <f>IF(OR(I222="",I166=""),"",IF(I166&lt;=0,"",IFERROR(I222/I166,"")))</f>
        <v/>
      </c>
      <c r="J223" s="15">
        <f>IF(OR(J222="",J166=""),"",IF(J166&lt;=0,"",IFERROR(J222/J166,"")))</f>
        <v/>
      </c>
      <c r="K223" s="15">
        <f>IF(OR(K222="",K166=""),"",IF(K166&lt;=0,"",IFERROR(K222/K166,"")))</f>
        <v/>
      </c>
      <c r="L223" s="15">
        <f>IF(OR(L222="",L166=""),"",IF(L166&lt;=0,"",IFERROR(L222/L166,"")))</f>
        <v/>
      </c>
      <c r="M223" s="15">
        <f>IF(OR(M222="",M166=""),"",IF(M166&lt;=0,"",IFERROR(M222/M166,"")))</f>
        <v/>
      </c>
      <c r="N223" s="15">
        <f>IF(OR(N222="",N166=""),"",IF(N166&lt;=0,"",IFERROR(N222/N166,"")))</f>
        <v/>
      </c>
      <c r="W223" s="15">
        <f>IF(OR(W222="",W166=""),"",IF(W166&lt;=0,"",IFERROR(W222/W166,"")))</f>
        <v/>
      </c>
      <c r="X223" s="15">
        <f>IF(OR(X222="",X166=""),"",IF(X166&lt;=0,"",IFERROR(X222/X166,"")))</f>
        <v/>
      </c>
    </row>
    <row r="224">
      <c r="A224" s="43" t="inlineStr">
        <is>
          <t>YoY</t>
        </is>
      </c>
      <c r="B224" s="3" t="inlineStr">
        <is>
          <t>전년 같은 분기·전년 대비</t>
        </is>
      </c>
      <c r="G224" s="15">
        <f>IF(OR(G222="",C222=""),"",IF(C222&lt;=0,"",IFERROR(G222/C222-1,"")))</f>
        <v/>
      </c>
      <c r="H224" s="15">
        <f>IF(OR(H222="",D222=""),"",IF(D222&lt;=0,"",IFERROR(H222/D222-1,"")))</f>
        <v/>
      </c>
      <c r="I224" s="15">
        <f>IF(OR(I222="",E222=""),"",IF(E222&lt;=0,"",IFERROR(I222/E222-1,"")))</f>
        <v/>
      </c>
      <c r="J224" s="15">
        <f>IF(OR(J222="",F222=""),"",IF(F222&lt;=0,"",IFERROR(J222/F222-1,"")))</f>
        <v/>
      </c>
      <c r="K224" s="15">
        <f>IF(OR(K222="",G222=""),"",IF(G222&lt;=0,"",IFERROR(K222/G222-1,"")))</f>
        <v/>
      </c>
      <c r="L224" s="15">
        <f>IF(OR(L222="",H222=""),"",IF(H222&lt;=0,"",IFERROR(L222/H222-1,"")))</f>
        <v/>
      </c>
      <c r="M224" s="15">
        <f>IF(OR(M222="",I222=""),"",IF(I222&lt;=0,"",IFERROR(M222/I222-1,"")))</f>
        <v/>
      </c>
      <c r="N224" s="15">
        <f>IF(OR(N222="",J222=""),"",IF(J222&lt;=0,"",IFERROR(N222/J222-1,"")))</f>
        <v/>
      </c>
      <c r="W224" s="15">
        <f>IF(OR(W222="",V222=""),"",IF(V222&lt;=0,"",IFERROR(W222/V222-1,"")))</f>
        <v/>
      </c>
      <c r="X224" s="15">
        <f>IF(OR(X222="",W222=""),"",IF(W222&lt;=0,"",IFERROR(X222/W222-1,"")))</f>
        <v/>
      </c>
    </row>
    <row r="226">
      <c r="A226" s="16" t="inlineStr">
        <is>
          <t>현금흐름표 · 전 항목</t>
        </is>
      </c>
      <c r="B226" s="42" t="inlineStr">
        <is>
          <t>분기 = 결산기 첫날부터 누계(공시 그대로)</t>
        </is>
      </c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</row>
    <row r="227">
      <c r="A227" s="5" t="inlineStr">
        <is>
          <t>항목</t>
        </is>
      </c>
      <c r="B227" s="5" t="inlineStr">
        <is>
          <t>참고</t>
        </is>
      </c>
      <c r="C227" s="5" t="inlineStr">
        <is>
          <t>2024.3Q</t>
        </is>
      </c>
      <c r="D227" s="5" t="inlineStr">
        <is>
          <t>2024.4Q</t>
        </is>
      </c>
      <c r="E227" s="5" t="inlineStr">
        <is>
          <t>2025.1Q</t>
        </is>
      </c>
      <c r="F227" s="5" t="inlineStr">
        <is>
          <t>2025.2Q</t>
        </is>
      </c>
      <c r="G227" s="5" t="inlineStr">
        <is>
          <t>2025.3Q</t>
        </is>
      </c>
      <c r="H227" s="5" t="inlineStr">
        <is>
          <t>2025.4Q</t>
        </is>
      </c>
      <c r="I227" s="5" t="inlineStr">
        <is>
          <t>2026.1Q</t>
        </is>
      </c>
      <c r="J227" s="5" t="inlineStr">
        <is>
          <t>2026.2Q</t>
        </is>
      </c>
      <c r="K227" s="5" t="inlineStr">
        <is>
          <t>2026.3Q</t>
        </is>
      </c>
      <c r="L227" s="5" t="inlineStr">
        <is>
          <t>2026.4Q</t>
        </is>
      </c>
      <c r="M227" s="5" t="inlineStr">
        <is>
          <t>2027.1Q</t>
        </is>
      </c>
      <c r="N227" s="5" t="inlineStr">
        <is>
          <t>2027.2Q</t>
        </is>
      </c>
      <c r="O227" s="5" t="inlineStr">
        <is>
          <t>2017</t>
        </is>
      </c>
      <c r="P227" s="5" t="inlineStr">
        <is>
          <t>2018</t>
        </is>
      </c>
      <c r="Q227" s="5" t="inlineStr">
        <is>
          <t>2019</t>
        </is>
      </c>
      <c r="R227" s="5" t="inlineStr">
        <is>
          <t>2020</t>
        </is>
      </c>
      <c r="S227" s="5" t="inlineStr">
        <is>
          <t>2021</t>
        </is>
      </c>
      <c r="T227" s="5" t="inlineStr">
        <is>
          <t>2022</t>
        </is>
      </c>
      <c r="U227" s="5" t="inlineStr">
        <is>
          <t>2023</t>
        </is>
      </c>
      <c r="V227" s="5" t="inlineStr">
        <is>
          <t>2024</t>
        </is>
      </c>
      <c r="W227" s="5" t="inlineStr">
        <is>
          <t>2025</t>
        </is>
      </c>
      <c r="X227" s="5" t="inlineStr">
        <is>
          <t>2026</t>
        </is>
      </c>
      <c r="Y227" s="5" t="inlineStr">
        <is>
          <t>2027(MW)</t>
        </is>
      </c>
      <c r="Z227" s="5" t="inlineStr">
        <is>
          <t>2028(MW)</t>
        </is>
      </c>
      <c r="AA227" s="5" t="inlineStr">
        <is>
          <t>2029(MW)</t>
        </is>
      </c>
      <c r="AB227" s="5" t="inlineStr">
        <is>
          <t>2030(MW)</t>
        </is>
      </c>
      <c r="AC227" s="5" t="inlineStr">
        <is>
          <t>2031(MW)</t>
        </is>
      </c>
    </row>
    <row r="228">
      <c r="A228" s="9" t="inlineStr">
        <is>
          <t>법인세차감전 순이익</t>
        </is>
      </c>
      <c r="F228" s="12" t="n">
        <v>2631</v>
      </c>
      <c r="H228" s="12" t="n">
        <v>17161</v>
      </c>
      <c r="J228" s="12" t="n">
        <v>2936</v>
      </c>
      <c r="L228" s="12" t="n">
        <v>17735</v>
      </c>
      <c r="N228" s="12" t="n">
        <v>7303</v>
      </c>
      <c r="O228" s="12" t="n">
        <v>6232</v>
      </c>
      <c r="P228" s="12" t="n">
        <v>10445</v>
      </c>
      <c r="Q228" s="12" t="n">
        <v>11803</v>
      </c>
      <c r="R228" s="12" t="n">
        <v>11164</v>
      </c>
      <c r="S228" s="12" t="n">
        <v>9099</v>
      </c>
      <c r="T228" s="12" t="n">
        <v>10290</v>
      </c>
      <c r="U228" s="12" t="n">
        <v>14891</v>
      </c>
      <c r="W228" s="12" t="n">
        <v>17161</v>
      </c>
      <c r="X228" s="12" t="n">
        <v>17735</v>
      </c>
    </row>
    <row r="229">
      <c r="A229" s="18" t="inlineStr">
        <is>
          <t>감가상각비</t>
        </is>
      </c>
      <c r="F229" s="20" t="n">
        <v>867</v>
      </c>
      <c r="H229" s="20" t="n">
        <v>1765</v>
      </c>
      <c r="J229" s="20" t="n">
        <v>988</v>
      </c>
      <c r="L229" s="20" t="n">
        <v>2017</v>
      </c>
      <c r="N229" s="20" t="n">
        <v>1106</v>
      </c>
      <c r="O229" s="20" t="n">
        <v>186</v>
      </c>
      <c r="P229" s="20" t="n">
        <v>80</v>
      </c>
      <c r="Q229" s="20" t="n">
        <v>176</v>
      </c>
      <c r="R229" s="20" t="n">
        <v>399</v>
      </c>
      <c r="S229" s="20" t="n">
        <v>706</v>
      </c>
      <c r="T229" s="20" t="n">
        <v>1256</v>
      </c>
      <c r="U229" s="20" t="n">
        <v>1498</v>
      </c>
      <c r="W229" s="20" t="n">
        <v>1765</v>
      </c>
      <c r="X229" s="20" t="n">
        <v>2017</v>
      </c>
    </row>
    <row r="230">
      <c r="A230" s="18" t="inlineStr">
        <is>
          <t>손상차손</t>
        </is>
      </c>
      <c r="H230" s="20" t="n">
        <v>0</v>
      </c>
      <c r="O230" s="20" t="n">
        <v>150</v>
      </c>
      <c r="P230" s="20" t="n">
        <v>47</v>
      </c>
      <c r="Q230" s="20" t="n">
        <v>0</v>
      </c>
      <c r="S230" s="20" t="n">
        <v>0</v>
      </c>
      <c r="T230" s="20" t="n">
        <v>1760</v>
      </c>
      <c r="W230" s="20" t="n">
        <v>0</v>
      </c>
    </row>
    <row r="231">
      <c r="A231" s="18" t="inlineStr">
        <is>
          <t>영업권 상각</t>
        </is>
      </c>
      <c r="F231" s="20" t="n">
        <v>472</v>
      </c>
      <c r="H231" s="20" t="n">
        <v>920</v>
      </c>
      <c r="J231" s="20" t="n">
        <v>448</v>
      </c>
      <c r="L231" s="20" t="n">
        <v>896</v>
      </c>
      <c r="N231" s="20" t="n">
        <v>447</v>
      </c>
      <c r="P231" s="20" t="n">
        <v>0</v>
      </c>
      <c r="Q231" s="20" t="n">
        <v>48</v>
      </c>
      <c r="R231" s="20" t="n">
        <v>100</v>
      </c>
      <c r="S231" s="20" t="n">
        <v>237</v>
      </c>
      <c r="T231" s="20" t="n">
        <v>522</v>
      </c>
      <c r="U231" s="20" t="n">
        <v>797</v>
      </c>
      <c r="W231" s="20" t="n">
        <v>920</v>
      </c>
      <c r="X231" s="20" t="n">
        <v>896</v>
      </c>
    </row>
    <row r="232">
      <c r="A232" s="18" t="inlineStr">
        <is>
          <t>부의 영업권 발생이익</t>
        </is>
      </c>
      <c r="F232" s="20" t="n">
        <v>0</v>
      </c>
      <c r="H232" s="20" t="n">
        <v>0</v>
      </c>
      <c r="J232" s="20" t="n">
        <v>-86</v>
      </c>
      <c r="L232" s="20" t="n">
        <v>-86</v>
      </c>
      <c r="N232" s="20" t="n">
        <v>-265</v>
      </c>
      <c r="W232" s="20" t="n">
        <v>0</v>
      </c>
      <c r="X232" s="20" t="n">
        <v>-86</v>
      </c>
    </row>
    <row r="233">
      <c r="A233" s="18" t="inlineStr">
        <is>
          <t>장기선급비용 상각액</t>
        </is>
      </c>
      <c r="F233" s="20" t="n">
        <v>13</v>
      </c>
      <c r="H233" s="20" t="n">
        <v>26</v>
      </c>
      <c r="J233" s="20" t="n">
        <v>13</v>
      </c>
      <c r="L233" s="20" t="n">
        <v>31</v>
      </c>
      <c r="N233" s="20" t="n">
        <v>19</v>
      </c>
      <c r="Q233" s="20" t="n">
        <v>0</v>
      </c>
      <c r="R233" s="20" t="n">
        <v>4</v>
      </c>
      <c r="S233" s="20" t="n">
        <v>27</v>
      </c>
      <c r="T233" s="20" t="n">
        <v>24</v>
      </c>
      <c r="U233" s="20" t="n">
        <v>16</v>
      </c>
      <c r="W233" s="20" t="n">
        <v>26</v>
      </c>
      <c r="X233" s="20" t="n">
        <v>31</v>
      </c>
    </row>
    <row r="234">
      <c r="A234" s="18" t="inlineStr">
        <is>
          <t>주식교부비 상각</t>
        </is>
      </c>
      <c r="F234" s="20" t="n">
        <v>0</v>
      </c>
      <c r="H234" s="20" t="n">
        <v>0</v>
      </c>
      <c r="R234" s="20" t="n">
        <v>0</v>
      </c>
      <c r="S234" s="20" t="n">
        <v>27</v>
      </c>
      <c r="T234" s="20" t="n">
        <v>36</v>
      </c>
      <c r="U234" s="20" t="n">
        <v>36</v>
      </c>
      <c r="W234" s="20" t="n">
        <v>0</v>
      </c>
    </row>
    <row r="235">
      <c r="A235" s="18" t="inlineStr">
        <is>
          <t>사채발행비 상각</t>
        </is>
      </c>
      <c r="F235" s="20" t="n">
        <v>2</v>
      </c>
      <c r="H235" s="20" t="n">
        <v>6</v>
      </c>
      <c r="J235" s="20" t="n">
        <v>6</v>
      </c>
      <c r="L235" s="20" t="n">
        <v>16</v>
      </c>
      <c r="N235" s="20" t="n">
        <v>12</v>
      </c>
      <c r="W235" s="20" t="n">
        <v>6</v>
      </c>
      <c r="X235" s="20" t="n">
        <v>16</v>
      </c>
    </row>
    <row r="236">
      <c r="A236" s="18" t="inlineStr">
        <is>
          <t>과태금 손실</t>
        </is>
      </c>
      <c r="H236" s="20" t="n">
        <v>0</v>
      </c>
      <c r="T236" s="20" t="n">
        <v>0</v>
      </c>
      <c r="U236" s="20" t="n">
        <v>275</v>
      </c>
      <c r="W236" s="20" t="n">
        <v>0</v>
      </c>
    </row>
    <row r="237">
      <c r="A237" s="18" t="inlineStr">
        <is>
          <t>대손충당금 증감</t>
        </is>
      </c>
      <c r="F237" s="20" t="n">
        <v>-1</v>
      </c>
      <c r="H237" s="20" t="n">
        <v>-1</v>
      </c>
      <c r="J237" s="20" t="n">
        <v>0</v>
      </c>
      <c r="L237" s="20" t="n">
        <v>0</v>
      </c>
      <c r="N237" s="20" t="n">
        <v>0</v>
      </c>
      <c r="O237" s="20" t="n">
        <v>-73</v>
      </c>
      <c r="P237" s="20" t="n">
        <v>33</v>
      </c>
      <c r="Q237" s="20" t="n">
        <v>0</v>
      </c>
      <c r="R237" s="20" t="n">
        <v>0</v>
      </c>
      <c r="S237" s="20" t="n">
        <v>-0</v>
      </c>
      <c r="T237" s="20" t="n">
        <v>1484</v>
      </c>
      <c r="U237" s="20" t="n">
        <v>-0</v>
      </c>
      <c r="W237" s="20" t="n">
        <v>-1</v>
      </c>
      <c r="X237" s="20" t="n">
        <v>0</v>
      </c>
    </row>
    <row r="238">
      <c r="A238" s="18" t="inlineStr">
        <is>
          <t>임원 주식급여 충당금 증감</t>
        </is>
      </c>
      <c r="O238" s="20" t="n">
        <v>28</v>
      </c>
      <c r="P238" s="20" t="n">
        <v>15</v>
      </c>
      <c r="Q238" s="20" t="n">
        <v>16</v>
      </c>
    </row>
    <row r="239">
      <c r="A239" s="18" t="inlineStr">
        <is>
          <t>주식급여 충당금 증감</t>
        </is>
      </c>
      <c r="O239" s="20" t="n">
        <v>5</v>
      </c>
      <c r="P239" s="20" t="n">
        <v>12</v>
      </c>
      <c r="Q239" s="20" t="n">
        <v>5</v>
      </c>
    </row>
    <row r="240">
      <c r="A240" s="18" t="inlineStr">
        <is>
          <t>임원 주식급여 충당금 증감</t>
        </is>
      </c>
      <c r="F240" s="20" t="n">
        <v>-17</v>
      </c>
      <c r="H240" s="20" t="n">
        <v>2</v>
      </c>
      <c r="J240" s="20" t="n">
        <v>-1</v>
      </c>
      <c r="L240" s="20" t="n">
        <v>64</v>
      </c>
      <c r="N240" s="20" t="n">
        <v>0</v>
      </c>
      <c r="Q240" s="20" t="n">
        <v>16</v>
      </c>
      <c r="R240" s="20" t="n">
        <v>21</v>
      </c>
      <c r="S240" s="20" t="n">
        <v>0</v>
      </c>
      <c r="T240" s="20" t="n">
        <v>50</v>
      </c>
      <c r="U240" s="20" t="n">
        <v>25</v>
      </c>
      <c r="W240" s="20" t="n">
        <v>2</v>
      </c>
      <c r="X240" s="20" t="n">
        <v>64</v>
      </c>
    </row>
    <row r="241">
      <c r="A241" s="18" t="inlineStr">
        <is>
          <t>주식급여 충당금 증감</t>
        </is>
      </c>
      <c r="F241" s="20" t="n">
        <v>-0</v>
      </c>
      <c r="H241" s="20" t="n">
        <v>11</v>
      </c>
      <c r="J241" s="20" t="n">
        <v>15</v>
      </c>
      <c r="L241" s="20" t="n">
        <v>23</v>
      </c>
      <c r="N241" s="20" t="n">
        <v>12</v>
      </c>
      <c r="Q241" s="20" t="n">
        <v>5</v>
      </c>
      <c r="R241" s="20" t="n">
        <v>10</v>
      </c>
      <c r="S241" s="20" t="n">
        <v>10</v>
      </c>
      <c r="T241" s="20" t="n">
        <v>52</v>
      </c>
      <c r="U241" s="20" t="n">
        <v>1</v>
      </c>
      <c r="W241" s="20" t="n">
        <v>11</v>
      </c>
      <c r="X241" s="20" t="n">
        <v>23</v>
      </c>
    </row>
    <row r="242">
      <c r="A242" s="18" t="inlineStr">
        <is>
          <t>이자·배당금 수익</t>
        </is>
      </c>
      <c r="F242" s="20" t="n">
        <v>-68</v>
      </c>
      <c r="H242" s="20" t="n">
        <v>-149</v>
      </c>
      <c r="J242" s="20" t="n">
        <v>-111</v>
      </c>
      <c r="L242" s="20" t="n">
        <v>-278</v>
      </c>
      <c r="N242" s="20" t="n">
        <v>-154</v>
      </c>
      <c r="O242" s="20" t="n">
        <v>-2</v>
      </c>
      <c r="P242" s="20" t="n">
        <v>-2</v>
      </c>
      <c r="Q242" s="20" t="n">
        <v>-40</v>
      </c>
      <c r="R242" s="20" t="n">
        <v>-109</v>
      </c>
      <c r="S242" s="20" t="n">
        <v>-111</v>
      </c>
      <c r="T242" s="20" t="n">
        <v>-132</v>
      </c>
      <c r="U242" s="20" t="n">
        <v>-157</v>
      </c>
      <c r="W242" s="20" t="n">
        <v>-149</v>
      </c>
      <c r="X242" s="20" t="n">
        <v>-278</v>
      </c>
    </row>
    <row r="243">
      <c r="A243" s="18" t="inlineStr">
        <is>
          <t>이자비용</t>
        </is>
      </c>
      <c r="F243" s="20" t="n">
        <v>1574</v>
      </c>
      <c r="H243" s="20" t="n">
        <v>3685</v>
      </c>
      <c r="J243" s="20" t="n">
        <v>2575</v>
      </c>
      <c r="L243" s="20" t="n">
        <v>5439</v>
      </c>
      <c r="N243" s="20" t="n">
        <v>3612</v>
      </c>
      <c r="O243" s="20" t="n">
        <v>1093</v>
      </c>
      <c r="P243" s="20" t="n">
        <v>1020</v>
      </c>
      <c r="Q243" s="20" t="n">
        <v>1143</v>
      </c>
      <c r="R243" s="20" t="n">
        <v>1047</v>
      </c>
      <c r="S243" s="20" t="n">
        <v>1463</v>
      </c>
      <c r="T243" s="20" t="n">
        <v>1895</v>
      </c>
      <c r="U243" s="20" t="n">
        <v>1999</v>
      </c>
      <c r="W243" s="20" t="n">
        <v>3685</v>
      </c>
      <c r="X243" s="20" t="n">
        <v>5439</v>
      </c>
    </row>
    <row r="244">
      <c r="A244" s="18" t="inlineStr">
        <is>
          <t>주식교부비</t>
        </is>
      </c>
      <c r="O244" s="20" t="n">
        <v>0</v>
      </c>
    </row>
    <row r="245">
      <c r="A245" s="18" t="inlineStr">
        <is>
          <t>외환차손익</t>
        </is>
      </c>
      <c r="F245" s="20" t="n">
        <v>112</v>
      </c>
      <c r="H245" s="20" t="n">
        <v>-15</v>
      </c>
      <c r="J245" s="20" t="n">
        <v>-42</v>
      </c>
      <c r="L245" s="20" t="n">
        <v>-325</v>
      </c>
      <c r="N245" s="20" t="n">
        <v>90</v>
      </c>
      <c r="P245" s="20" t="n">
        <v>0</v>
      </c>
      <c r="Q245" s="20" t="n">
        <v>-8</v>
      </c>
      <c r="R245" s="20" t="n">
        <v>31</v>
      </c>
      <c r="S245" s="20" t="n">
        <v>-73</v>
      </c>
      <c r="T245" s="20" t="n">
        <v>-287</v>
      </c>
      <c r="U245" s="20" t="n">
        <v>-197</v>
      </c>
      <c r="W245" s="20" t="n">
        <v>-15</v>
      </c>
      <c r="X245" s="20" t="n">
        <v>-325</v>
      </c>
    </row>
    <row r="246">
      <c r="A246" s="18" t="inlineStr">
        <is>
          <t>지분법손익</t>
        </is>
      </c>
      <c r="F246" s="20" t="n">
        <v>127</v>
      </c>
      <c r="H246" s="20" t="n">
        <v>426</v>
      </c>
      <c r="J246" s="20" t="n">
        <v>244</v>
      </c>
      <c r="L246" s="20" t="n">
        <v>4227</v>
      </c>
      <c r="N246" s="20" t="n">
        <v>177</v>
      </c>
      <c r="P246" s="20" t="n">
        <v>0</v>
      </c>
      <c r="Q246" s="20" t="n">
        <v>33</v>
      </c>
      <c r="R246" s="20" t="n">
        <v>109</v>
      </c>
      <c r="S246" s="20" t="n">
        <v>-54</v>
      </c>
      <c r="T246" s="20" t="n">
        <v>16</v>
      </c>
      <c r="U246" s="20" t="n">
        <v>87</v>
      </c>
      <c r="W246" s="20" t="n">
        <v>426</v>
      </c>
      <c r="X246" s="20" t="n">
        <v>4227</v>
      </c>
    </row>
    <row r="247">
      <c r="A247" s="18" t="inlineStr">
        <is>
          <t>고정자산 매각손익</t>
        </is>
      </c>
      <c r="H247" s="20" t="n">
        <v>0</v>
      </c>
      <c r="J247" s="20" t="n">
        <v>0</v>
      </c>
      <c r="L247" s="20" t="n">
        <v>-0</v>
      </c>
      <c r="N247" s="20" t="n">
        <v>0</v>
      </c>
      <c r="O247" s="20" t="n">
        <v>-372</v>
      </c>
      <c r="P247" s="20" t="n">
        <v>0</v>
      </c>
      <c r="Q247" s="20" t="n">
        <v>0</v>
      </c>
      <c r="R247" s="20" t="n">
        <v>-0</v>
      </c>
      <c r="S247" s="20" t="n">
        <v>-0</v>
      </c>
      <c r="T247" s="20" t="n">
        <v>0</v>
      </c>
      <c r="W247" s="20" t="n">
        <v>0</v>
      </c>
      <c r="X247" s="20" t="n">
        <v>-0</v>
      </c>
    </row>
    <row r="248">
      <c r="A248" s="18" t="inlineStr">
        <is>
          <t>고정자산 제각손실</t>
        </is>
      </c>
      <c r="F248" s="20" t="n">
        <v>0</v>
      </c>
      <c r="H248" s="20" t="n">
        <v>0</v>
      </c>
      <c r="J248" s="20" t="n">
        <v>0</v>
      </c>
      <c r="L248" s="20" t="n">
        <v>12</v>
      </c>
      <c r="N248" s="20" t="n">
        <v>6</v>
      </c>
      <c r="O248" s="20" t="n">
        <v>0</v>
      </c>
      <c r="P248" s="20" t="n">
        <v>5</v>
      </c>
      <c r="Q248" s="20" t="n">
        <v>7</v>
      </c>
      <c r="R248" s="20" t="n">
        <v>0</v>
      </c>
      <c r="S248" s="20" t="n">
        <v>0</v>
      </c>
      <c r="T248" s="20" t="n">
        <v>0</v>
      </c>
      <c r="U248" s="20" t="n">
        <v>0</v>
      </c>
      <c r="W248" s="20" t="n">
        <v>0</v>
      </c>
      <c r="X248" s="20" t="n">
        <v>12</v>
      </c>
    </row>
    <row r="249">
      <c r="A249" s="18" t="inlineStr">
        <is>
          <t>매출채권 증감</t>
        </is>
      </c>
      <c r="O249" s="20" t="n">
        <v>-211</v>
      </c>
      <c r="P249" s="20" t="n">
        <v>5</v>
      </c>
      <c r="Q249" s="20" t="n">
        <v>-84</v>
      </c>
      <c r="R249" s="20" t="n">
        <v>-329</v>
      </c>
      <c r="S249" s="20" t="n">
        <v>107</v>
      </c>
      <c r="T249" s="20" t="n">
        <v>0</v>
      </c>
    </row>
    <row r="250">
      <c r="A250" s="18" t="inlineStr">
        <is>
          <t>매출채권·계약자산 증감</t>
        </is>
      </c>
      <c r="S250" s="20" t="n">
        <v>0</v>
      </c>
      <c r="T250" s="20" t="n">
        <v>-259</v>
      </c>
      <c r="U250" s="20" t="n">
        <v>131</v>
      </c>
    </row>
    <row r="251">
      <c r="A251" s="18" t="inlineStr">
        <is>
          <t>지분변동손익</t>
        </is>
      </c>
      <c r="F251" s="20" t="n">
        <v>0</v>
      </c>
      <c r="H251" s="20" t="n">
        <v>0</v>
      </c>
      <c r="J251" s="20" t="n">
        <v>-253</v>
      </c>
      <c r="L251" s="20" t="n">
        <v>-253</v>
      </c>
      <c r="N251" s="20" t="n">
        <v>0</v>
      </c>
      <c r="W251" s="20" t="n">
        <v>0</v>
      </c>
      <c r="X251" s="20" t="n">
        <v>-253</v>
      </c>
    </row>
    <row r="252">
      <c r="A252" s="18" t="inlineStr">
        <is>
          <t>투자유가증권 매각손익</t>
        </is>
      </c>
      <c r="F252" s="20" t="n">
        <v>0</v>
      </c>
      <c r="H252" s="20" t="n">
        <v>0</v>
      </c>
      <c r="J252" s="20" t="n">
        <v>-24</v>
      </c>
      <c r="L252" s="20" t="n">
        <v>-24</v>
      </c>
      <c r="N252" s="20" t="n">
        <v>-166</v>
      </c>
      <c r="W252" s="20" t="n">
        <v>0</v>
      </c>
      <c r="X252" s="20" t="n">
        <v>-24</v>
      </c>
    </row>
    <row r="253">
      <c r="A253" s="18" t="inlineStr">
        <is>
          <t>투자유가증권 평가손익</t>
        </is>
      </c>
      <c r="H253" s="20" t="n">
        <v>158</v>
      </c>
      <c r="L253" s="20" t="n">
        <v>0</v>
      </c>
      <c r="O253" s="20" t="n">
        <v>0</v>
      </c>
      <c r="W253" s="20" t="n">
        <v>158</v>
      </c>
      <c r="X253" s="20" t="n">
        <v>0</v>
      </c>
    </row>
    <row r="254">
      <c r="A254" s="18" t="inlineStr">
        <is>
          <t>관계회사 주식 매각손익</t>
        </is>
      </c>
      <c r="F254" s="20" t="n">
        <v>0</v>
      </c>
      <c r="H254" s="20" t="n">
        <v>0</v>
      </c>
      <c r="J254" s="20" t="n">
        <v>-191</v>
      </c>
      <c r="L254" s="20" t="n">
        <v>-191</v>
      </c>
      <c r="N254" s="20" t="n">
        <v>0</v>
      </c>
      <c r="O254" s="20" t="n">
        <v>-22</v>
      </c>
      <c r="P254" s="20" t="n">
        <v>0</v>
      </c>
      <c r="S254" s="20" t="n">
        <v>0</v>
      </c>
      <c r="T254" s="20" t="n">
        <v>-205</v>
      </c>
      <c r="W254" s="20" t="n">
        <v>0</v>
      </c>
      <c r="X254" s="20" t="n">
        <v>-191</v>
      </c>
    </row>
    <row r="255">
      <c r="A255" s="18" t="inlineStr">
        <is>
          <t>손해배상 손실</t>
        </is>
      </c>
      <c r="S255" s="20" t="n">
        <v>0</v>
      </c>
      <c r="T255" s="20" t="n">
        <v>682</v>
      </c>
    </row>
    <row r="256">
      <c r="A256" s="18" t="inlineStr">
        <is>
          <t>매출채권·계약자산 증감</t>
        </is>
      </c>
      <c r="F256" s="20" t="n">
        <v>25</v>
      </c>
      <c r="H256" s="20" t="n">
        <v>-240</v>
      </c>
      <c r="J256" s="20" t="n">
        <v>-97</v>
      </c>
      <c r="L256" s="20" t="n">
        <v>-216</v>
      </c>
      <c r="N256" s="20" t="n">
        <v>133</v>
      </c>
      <c r="T256" s="20" t="n">
        <v>-259</v>
      </c>
      <c r="W256" s="20" t="n">
        <v>-240</v>
      </c>
      <c r="X256" s="20" t="n">
        <v>-216</v>
      </c>
    </row>
    <row r="257">
      <c r="A257" s="18" t="inlineStr">
        <is>
          <t>재고자산 증감</t>
        </is>
      </c>
      <c r="F257" s="20" t="n">
        <v>-36421</v>
      </c>
      <c r="H257" s="20" t="n">
        <v>-46063</v>
      </c>
      <c r="J257" s="20" t="n">
        <v>-371</v>
      </c>
      <c r="L257" s="20" t="n">
        <v>-5116</v>
      </c>
      <c r="N257" s="20" t="n">
        <v>-11051</v>
      </c>
      <c r="O257" s="20" t="n">
        <v>-18943</v>
      </c>
      <c r="P257" s="20" t="n">
        <v>-16489</v>
      </c>
      <c r="Q257" s="20" t="n">
        <v>-10179</v>
      </c>
      <c r="R257" s="20" t="n">
        <v>-4370</v>
      </c>
      <c r="S257" s="20" t="n">
        <v>-19306</v>
      </c>
      <c r="T257" s="20" t="n">
        <v>-11104</v>
      </c>
      <c r="U257" s="20" t="n">
        <v>-54183</v>
      </c>
      <c r="W257" s="20" t="n">
        <v>-46063</v>
      </c>
      <c r="X257" s="20" t="n">
        <v>-5116</v>
      </c>
    </row>
    <row r="258">
      <c r="A258" s="18" t="inlineStr">
        <is>
          <t>선급비용 증감</t>
        </is>
      </c>
      <c r="F258" s="20" t="n">
        <v>-1000</v>
      </c>
      <c r="H258" s="20" t="n">
        <v>774</v>
      </c>
      <c r="J258" s="20" t="n">
        <v>-1178</v>
      </c>
      <c r="L258" s="20" t="n">
        <v>-1463</v>
      </c>
      <c r="N258" s="20" t="n">
        <v>-940</v>
      </c>
      <c r="O258" s="20" t="n">
        <v>-529</v>
      </c>
      <c r="P258" s="20" t="n">
        <v>-475</v>
      </c>
      <c r="Q258" s="20" t="n">
        <v>55</v>
      </c>
      <c r="R258" s="20" t="n">
        <v>-381</v>
      </c>
      <c r="S258" s="20" t="n">
        <v>-894</v>
      </c>
      <c r="T258" s="20" t="n">
        <v>-16</v>
      </c>
      <c r="U258" s="20" t="n">
        <v>-65</v>
      </c>
      <c r="W258" s="20" t="n">
        <v>774</v>
      </c>
      <c r="X258" s="20" t="n">
        <v>-1463</v>
      </c>
    </row>
    <row r="259">
      <c r="A259" s="18" t="inlineStr">
        <is>
          <t>미지급금 증감</t>
        </is>
      </c>
      <c r="F259" s="20" t="n">
        <v>-884</v>
      </c>
      <c r="H259" s="20" t="n">
        <v>1620</v>
      </c>
      <c r="J259" s="20" t="n">
        <v>-1916</v>
      </c>
      <c r="L259" s="20" t="n">
        <v>574</v>
      </c>
      <c r="N259" s="20" t="n">
        <v>-2500</v>
      </c>
      <c r="O259" s="20" t="n">
        <v>532</v>
      </c>
      <c r="P259" s="20" t="n">
        <v>111</v>
      </c>
      <c r="Q259" s="20" t="n">
        <v>135</v>
      </c>
      <c r="R259" s="20" t="n">
        <v>-358</v>
      </c>
      <c r="S259" s="20" t="n">
        <v>366</v>
      </c>
      <c r="T259" s="20" t="n">
        <v>1408</v>
      </c>
      <c r="U259" s="20" t="n">
        <v>-2523</v>
      </c>
      <c r="W259" s="20" t="n">
        <v>1620</v>
      </c>
      <c r="X259" s="20" t="n">
        <v>574</v>
      </c>
    </row>
    <row r="260">
      <c r="A260" s="18" t="inlineStr">
        <is>
          <t>미지급·미수 소비세 등 증감액</t>
        </is>
      </c>
      <c r="F260" s="20" t="n">
        <v>-169</v>
      </c>
      <c r="H260" s="20" t="n">
        <v>504</v>
      </c>
      <c r="J260" s="20" t="n">
        <v>-259</v>
      </c>
      <c r="L260" s="20" t="n">
        <v>426</v>
      </c>
      <c r="N260" s="20" t="n">
        <v>-1111</v>
      </c>
      <c r="O260" s="20" t="n">
        <v>368</v>
      </c>
      <c r="P260" s="20" t="n">
        <v>-45</v>
      </c>
      <c r="Q260" s="20" t="n">
        <v>-239</v>
      </c>
      <c r="R260" s="20" t="n">
        <v>192</v>
      </c>
      <c r="S260" s="20" t="n">
        <v>-416</v>
      </c>
      <c r="T260" s="20" t="n">
        <v>859</v>
      </c>
      <c r="U260" s="20" t="n">
        <v>-521</v>
      </c>
      <c r="W260" s="20" t="n">
        <v>504</v>
      </c>
      <c r="X260" s="20" t="n">
        <v>426</v>
      </c>
    </row>
    <row r="261">
      <c r="A261" s="18" t="inlineStr">
        <is>
          <t>선수금 증감</t>
        </is>
      </c>
      <c r="F261" s="20" t="n">
        <v>1170</v>
      </c>
      <c r="H261" s="20" t="n">
        <v>-1105</v>
      </c>
      <c r="J261" s="20" t="n">
        <v>3696</v>
      </c>
      <c r="L261" s="20" t="n">
        <v>1954</v>
      </c>
      <c r="N261" s="20" t="n">
        <v>2446</v>
      </c>
      <c r="O261" s="20" t="n">
        <v>110</v>
      </c>
      <c r="P261" s="20" t="n">
        <v>1584</v>
      </c>
      <c r="Q261" s="20" t="n">
        <v>-246</v>
      </c>
      <c r="R261" s="20" t="n">
        <v>-576</v>
      </c>
      <c r="S261" s="20" t="n">
        <v>3575</v>
      </c>
      <c r="T261" s="20" t="n">
        <v>-857</v>
      </c>
      <c r="U261" s="20" t="n">
        <v>-486</v>
      </c>
      <c r="W261" s="20" t="n">
        <v>-1105</v>
      </c>
      <c r="X261" s="20" t="n">
        <v>1954</v>
      </c>
    </row>
    <row r="262">
      <c r="A262" s="18" t="inlineStr">
        <is>
          <t>예수금 증감</t>
        </is>
      </c>
      <c r="F262" s="20" t="n">
        <v>1871</v>
      </c>
      <c r="H262" s="20" t="n">
        <v>2884</v>
      </c>
      <c r="J262" s="20" t="n">
        <v>-2759</v>
      </c>
      <c r="L262" s="20" t="n">
        <v>3761</v>
      </c>
      <c r="N262" s="20" t="n">
        <v>-6822</v>
      </c>
      <c r="O262" s="20" t="n">
        <v>2597</v>
      </c>
      <c r="P262" s="20" t="n">
        <v>-220</v>
      </c>
      <c r="Q262" s="20" t="n">
        <v>95</v>
      </c>
      <c r="R262" s="20" t="n">
        <v>187</v>
      </c>
      <c r="S262" s="20" t="n">
        <v>439</v>
      </c>
      <c r="T262" s="20" t="n">
        <v>-840</v>
      </c>
      <c r="U262" s="20" t="n">
        <v>-802</v>
      </c>
      <c r="W262" s="20" t="n">
        <v>2884</v>
      </c>
      <c r="X262" s="20" t="n">
        <v>3761</v>
      </c>
    </row>
    <row r="263">
      <c r="A263" s="18" t="inlineStr">
        <is>
          <t>기타 자산 증감</t>
        </is>
      </c>
      <c r="F263" s="20" t="n">
        <v>-857</v>
      </c>
      <c r="H263" s="20" t="n">
        <v>-1333</v>
      </c>
      <c r="J263" s="20" t="n">
        <v>-404</v>
      </c>
      <c r="L263" s="20" t="n">
        <v>-3987</v>
      </c>
      <c r="N263" s="20" t="n">
        <v>1705</v>
      </c>
      <c r="O263" s="20" t="n">
        <v>-614</v>
      </c>
      <c r="P263" s="20" t="n">
        <v>-1548</v>
      </c>
      <c r="Q263" s="20" t="n">
        <v>638</v>
      </c>
      <c r="R263" s="20" t="n">
        <v>-805</v>
      </c>
      <c r="S263" s="20" t="n">
        <v>-1221</v>
      </c>
      <c r="T263" s="20" t="n">
        <v>59</v>
      </c>
      <c r="U263" s="20" t="n">
        <v>-1813</v>
      </c>
      <c r="W263" s="20" t="n">
        <v>-1333</v>
      </c>
      <c r="X263" s="20" t="n">
        <v>-3987</v>
      </c>
    </row>
    <row r="264">
      <c r="A264" s="18" t="inlineStr">
        <is>
          <t>기타 부채 증감</t>
        </is>
      </c>
      <c r="F264" s="20" t="n">
        <v>141</v>
      </c>
      <c r="H264" s="20" t="n">
        <v>302</v>
      </c>
      <c r="J264" s="20" t="n">
        <v>-120</v>
      </c>
      <c r="L264" s="20" t="n">
        <v>77</v>
      </c>
      <c r="N264" s="20" t="n">
        <v>396</v>
      </c>
      <c r="O264" s="20" t="n">
        <v>54</v>
      </c>
      <c r="P264" s="20" t="n">
        <v>-1</v>
      </c>
      <c r="Q264" s="20" t="n">
        <v>75</v>
      </c>
      <c r="R264" s="20" t="n">
        <v>-45</v>
      </c>
      <c r="S264" s="20" t="n">
        <v>169</v>
      </c>
      <c r="T264" s="20" t="n">
        <v>39</v>
      </c>
      <c r="U264" s="20" t="n">
        <v>43</v>
      </c>
      <c r="W264" s="20" t="n">
        <v>302</v>
      </c>
      <c r="X264" s="20" t="n">
        <v>77</v>
      </c>
    </row>
    <row r="265">
      <c r="A265" s="18" t="inlineStr">
        <is>
          <t>소계</t>
        </is>
      </c>
      <c r="F265" s="20" t="n">
        <v>-30408</v>
      </c>
      <c r="H265" s="20" t="n">
        <v>-18658</v>
      </c>
      <c r="J265" s="20" t="n">
        <v>3105</v>
      </c>
      <c r="L265" s="20" t="n">
        <v>25312</v>
      </c>
      <c r="N265" s="20" t="n">
        <v>-5537</v>
      </c>
      <c r="O265" s="20" t="n">
        <v>-9409</v>
      </c>
      <c r="P265" s="20" t="n">
        <v>-5421</v>
      </c>
      <c r="Q265" s="20" t="n">
        <v>3436</v>
      </c>
      <c r="R265" s="20" t="n">
        <v>6291</v>
      </c>
      <c r="S265" s="20" t="n">
        <v>-5848</v>
      </c>
      <c r="T265" s="20" t="n">
        <v>6737</v>
      </c>
      <c r="U265" s="20" t="n">
        <v>-40947</v>
      </c>
      <c r="W265" s="20" t="n">
        <v>-18658</v>
      </c>
      <c r="X265" s="20" t="n">
        <v>25312</v>
      </c>
    </row>
    <row r="266">
      <c r="A266" s="18" t="inlineStr">
        <is>
          <t>이자·배당금 수취</t>
        </is>
      </c>
      <c r="F266" s="20" t="n">
        <v>68</v>
      </c>
      <c r="H266" s="20" t="n">
        <v>149</v>
      </c>
      <c r="J266" s="20" t="n">
        <v>111</v>
      </c>
      <c r="L266" s="20" t="n">
        <v>277</v>
      </c>
      <c r="N266" s="20" t="n">
        <v>152</v>
      </c>
      <c r="O266" s="20" t="n">
        <v>2</v>
      </c>
      <c r="P266" s="20" t="n">
        <v>2</v>
      </c>
      <c r="Q266" s="20" t="n">
        <v>40</v>
      </c>
      <c r="R266" s="20" t="n">
        <v>95</v>
      </c>
      <c r="S266" s="20" t="n">
        <v>181</v>
      </c>
      <c r="T266" s="20" t="n">
        <v>133</v>
      </c>
      <c r="U266" s="20" t="n">
        <v>155</v>
      </c>
      <c r="W266" s="20" t="n">
        <v>149</v>
      </c>
      <c r="X266" s="20" t="n">
        <v>277</v>
      </c>
    </row>
    <row r="267">
      <c r="A267" s="18" t="inlineStr">
        <is>
          <t>이자 지급</t>
        </is>
      </c>
      <c r="F267" s="20" t="n">
        <v>-2022</v>
      </c>
      <c r="H267" s="20" t="n">
        <v>-4523</v>
      </c>
      <c r="J267" s="20" t="n">
        <v>-2292</v>
      </c>
      <c r="L267" s="20" t="n">
        <v>-5415</v>
      </c>
      <c r="N267" s="20" t="n">
        <v>-3324</v>
      </c>
      <c r="O267" s="20" t="n">
        <v>-1148</v>
      </c>
      <c r="P267" s="20" t="n">
        <v>-1085</v>
      </c>
      <c r="Q267" s="20" t="n">
        <v>-1109</v>
      </c>
      <c r="R267" s="20" t="n">
        <v>-1195</v>
      </c>
      <c r="S267" s="20" t="n">
        <v>-1723</v>
      </c>
      <c r="T267" s="20" t="n">
        <v>-2328</v>
      </c>
      <c r="U267" s="20" t="n">
        <v>-2204</v>
      </c>
      <c r="W267" s="20" t="n">
        <v>-4523</v>
      </c>
      <c r="X267" s="20" t="n">
        <v>-5415</v>
      </c>
    </row>
    <row r="268">
      <c r="A268" s="18" t="inlineStr">
        <is>
          <t>손해배상금 지급</t>
        </is>
      </c>
      <c r="H268" s="20" t="n">
        <v>0</v>
      </c>
      <c r="T268" s="20" t="n">
        <v>0</v>
      </c>
      <c r="W268" s="20" t="n">
        <v>0</v>
      </c>
    </row>
    <row r="269">
      <c r="A269" s="18" t="inlineStr">
        <is>
          <t>과태금 지급</t>
        </is>
      </c>
      <c r="H269" s="20" t="n">
        <v>0</v>
      </c>
      <c r="T269" s="20" t="n">
        <v>0</v>
      </c>
      <c r="U269" s="20" t="n">
        <v>-275</v>
      </c>
      <c r="W269" s="20" t="n">
        <v>0</v>
      </c>
    </row>
    <row r="270">
      <c r="A270" s="18" t="inlineStr">
        <is>
          <t>법인세 납부·환급</t>
        </is>
      </c>
      <c r="F270" s="20" t="n">
        <v>-562</v>
      </c>
      <c r="H270" s="20" t="n">
        <v>-1733</v>
      </c>
      <c r="J270" s="20" t="n">
        <v>-6016</v>
      </c>
      <c r="L270" s="20" t="n">
        <v>-9811</v>
      </c>
      <c r="N270" s="20" t="n">
        <v>-4931</v>
      </c>
      <c r="O270" s="20" t="n">
        <v>-139</v>
      </c>
      <c r="P270" s="20" t="n">
        <v>-619</v>
      </c>
      <c r="Q270" s="20" t="n">
        <v>-2245</v>
      </c>
      <c r="R270" s="20" t="n">
        <v>-5072</v>
      </c>
      <c r="S270" s="20" t="n">
        <v>-3419</v>
      </c>
      <c r="T270" s="20" t="n">
        <v>-3040</v>
      </c>
      <c r="U270" s="20" t="n">
        <v>-5974</v>
      </c>
      <c r="W270" s="20" t="n">
        <v>-1733</v>
      </c>
      <c r="X270" s="20" t="n">
        <v>-9811</v>
      </c>
    </row>
    <row r="271">
      <c r="A271" s="9" t="inlineStr">
        <is>
          <t>영업활동 현금흐름</t>
        </is>
      </c>
      <c r="F271" s="12" t="n">
        <v>-32924</v>
      </c>
      <c r="H271" s="12" t="n">
        <v>-24765</v>
      </c>
      <c r="J271" s="12" t="n">
        <v>-5092</v>
      </c>
      <c r="L271" s="12" t="n">
        <v>10362</v>
      </c>
      <c r="N271" s="12" t="n">
        <v>-13641</v>
      </c>
      <c r="O271" s="12" t="n">
        <v>-10694</v>
      </c>
      <c r="P271" s="12" t="n">
        <v>-7123</v>
      </c>
      <c r="Q271" s="12" t="n">
        <v>122</v>
      </c>
      <c r="R271" s="12" t="n">
        <v>119</v>
      </c>
      <c r="S271" s="12" t="n">
        <v>-10810</v>
      </c>
      <c r="T271" s="12" t="n">
        <v>1501</v>
      </c>
      <c r="U271" s="12" t="n">
        <v>-49245</v>
      </c>
      <c r="W271" s="12" t="n">
        <v>-24765</v>
      </c>
      <c r="X271" s="12" t="n">
        <v>10362</v>
      </c>
    </row>
    <row r="272">
      <c r="A272" s="18" t="inlineStr">
        <is>
          <t>정기예금 예입</t>
        </is>
      </c>
      <c r="F272" s="20" t="n">
        <v>-602</v>
      </c>
      <c r="H272" s="20" t="n">
        <v>-834</v>
      </c>
      <c r="J272" s="20" t="n">
        <v>-783</v>
      </c>
      <c r="L272" s="20" t="n">
        <v>-864</v>
      </c>
      <c r="N272" s="20" t="n">
        <v>-5000</v>
      </c>
      <c r="O272" s="20" t="n">
        <v>-18</v>
      </c>
      <c r="P272" s="20" t="n">
        <v>-18</v>
      </c>
      <c r="Q272" s="20" t="n">
        <v>-18</v>
      </c>
      <c r="R272" s="20" t="n">
        <v>-18</v>
      </c>
      <c r="S272" s="20" t="n">
        <v>-15</v>
      </c>
      <c r="T272" s="20" t="n">
        <v>-4</v>
      </c>
      <c r="U272" s="20" t="n">
        <v>-16</v>
      </c>
      <c r="W272" s="20" t="n">
        <v>-834</v>
      </c>
      <c r="X272" s="20" t="n">
        <v>-864</v>
      </c>
    </row>
    <row r="273">
      <c r="A273" s="18" t="inlineStr">
        <is>
          <t>정기예금 인출</t>
        </is>
      </c>
      <c r="F273" s="20" t="n">
        <v>2</v>
      </c>
      <c r="H273" s="20" t="n">
        <v>234</v>
      </c>
      <c r="J273" s="20" t="n">
        <v>783</v>
      </c>
      <c r="L273" s="20" t="n">
        <v>864</v>
      </c>
      <c r="N273" s="20" t="n">
        <v>600</v>
      </c>
      <c r="O273" s="20" t="n">
        <v>18</v>
      </c>
      <c r="P273" s="20" t="n">
        <v>18</v>
      </c>
      <c r="Q273" s="20" t="n">
        <v>18</v>
      </c>
      <c r="R273" s="20" t="n">
        <v>19</v>
      </c>
      <c r="S273" s="20" t="n">
        <v>18</v>
      </c>
      <c r="T273" s="20" t="n">
        <v>2</v>
      </c>
      <c r="U273" s="20" t="n">
        <v>2</v>
      </c>
      <c r="W273" s="20" t="n">
        <v>234</v>
      </c>
      <c r="X273" s="20" t="n">
        <v>864</v>
      </c>
    </row>
    <row r="274">
      <c r="A274" s="18" t="inlineStr">
        <is>
          <t>투자유가증권 취득</t>
        </is>
      </c>
      <c r="F274" s="20" t="n">
        <v>-5642</v>
      </c>
      <c r="H274" s="20" t="n">
        <v>-12427</v>
      </c>
      <c r="J274" s="20" t="n">
        <v>-791</v>
      </c>
      <c r="L274" s="20" t="n">
        <v>-1657</v>
      </c>
      <c r="N274" s="20" t="n">
        <v>-1879</v>
      </c>
      <c r="O274" s="20" t="n">
        <v>-1711</v>
      </c>
      <c r="P274" s="20" t="n">
        <v>-180</v>
      </c>
      <c r="Q274" s="20" t="n">
        <v>-1641</v>
      </c>
      <c r="R274" s="20" t="n">
        <v>-1913</v>
      </c>
      <c r="S274" s="20" t="n">
        <v>-2265</v>
      </c>
      <c r="T274" s="20" t="n">
        <v>-513</v>
      </c>
      <c r="U274" s="20" t="n">
        <v>-648</v>
      </c>
      <c r="W274" s="20" t="n">
        <v>-12427</v>
      </c>
      <c r="X274" s="20" t="n">
        <v>-1657</v>
      </c>
    </row>
    <row r="275">
      <c r="A275" s="18" t="inlineStr">
        <is>
          <t>투자유가증권 매각</t>
        </is>
      </c>
      <c r="F275" s="20" t="n">
        <v>0</v>
      </c>
      <c r="H275" s="20" t="n">
        <v>0</v>
      </c>
      <c r="J275" s="20" t="n">
        <v>52</v>
      </c>
      <c r="L275" s="20" t="n">
        <v>59</v>
      </c>
      <c r="N275" s="20" t="n">
        <v>326</v>
      </c>
      <c r="Q275" s="20" t="n">
        <v>0</v>
      </c>
      <c r="R275" s="20" t="n">
        <v>9</v>
      </c>
      <c r="S275" s="20" t="n">
        <v>0</v>
      </c>
      <c r="W275" s="20" t="n">
        <v>0</v>
      </c>
      <c r="X275" s="20" t="n">
        <v>59</v>
      </c>
    </row>
    <row r="276">
      <c r="A276" s="18" t="inlineStr">
        <is>
          <t>투자유가증권 환급 수입</t>
        </is>
      </c>
      <c r="H276" s="20" t="n">
        <v>30</v>
      </c>
      <c r="L276" s="20" t="n">
        <v>1442</v>
      </c>
      <c r="R276" s="20" t="n">
        <v>717</v>
      </c>
      <c r="S276" s="20" t="n">
        <v>0</v>
      </c>
      <c r="T276" s="20" t="n">
        <v>294</v>
      </c>
      <c r="W276" s="20" t="n">
        <v>30</v>
      </c>
      <c r="X276" s="20" t="n">
        <v>1442</v>
      </c>
    </row>
    <row r="277">
      <c r="A277" s="18" t="inlineStr">
        <is>
          <t>투자유가증권 환급 수입</t>
        </is>
      </c>
      <c r="F277" s="20" t="n">
        <v>15</v>
      </c>
      <c r="J277" s="20" t="n">
        <v>911</v>
      </c>
      <c r="N277" s="20" t="n">
        <v>3</v>
      </c>
      <c r="O277" s="20" t="n">
        <v>14</v>
      </c>
      <c r="P277" s="20" t="n">
        <v>21</v>
      </c>
      <c r="Q277" s="20" t="n">
        <v>516</v>
      </c>
      <c r="R277" s="20" t="n">
        <v>717</v>
      </c>
      <c r="U277" s="20" t="n">
        <v>15</v>
      </c>
    </row>
    <row r="278">
      <c r="A278" s="18" t="inlineStr">
        <is>
          <t>관계회사 주식 취득</t>
        </is>
      </c>
      <c r="F278" s="20" t="n">
        <v>0</v>
      </c>
      <c r="H278" s="20" t="n">
        <v>0</v>
      </c>
      <c r="J278" s="20" t="n">
        <v>-876</v>
      </c>
      <c r="L278" s="20" t="n">
        <v>-876</v>
      </c>
      <c r="N278" s="20" t="n">
        <v>0</v>
      </c>
      <c r="S278" s="20" t="n">
        <v>0</v>
      </c>
      <c r="T278" s="20" t="n">
        <v>-603</v>
      </c>
      <c r="W278" s="20" t="n">
        <v>0</v>
      </c>
      <c r="X278" s="20" t="n">
        <v>-876</v>
      </c>
    </row>
    <row r="279">
      <c r="A279" s="18" t="inlineStr">
        <is>
          <t>관계회사 주식 매각</t>
        </is>
      </c>
      <c r="F279" s="20" t="n">
        <v>0</v>
      </c>
      <c r="H279" s="20" t="n">
        <v>0</v>
      </c>
      <c r="J279" s="20" t="n">
        <v>924</v>
      </c>
      <c r="L279" s="20" t="n">
        <v>924</v>
      </c>
      <c r="N279" s="20" t="n">
        <v>0</v>
      </c>
      <c r="S279" s="20" t="n">
        <v>0</v>
      </c>
      <c r="T279" s="20" t="n">
        <v>699</v>
      </c>
      <c r="W279" s="20" t="n">
        <v>0</v>
      </c>
      <c r="X279" s="20" t="n">
        <v>924</v>
      </c>
    </row>
    <row r="280">
      <c r="A280" s="18" t="inlineStr">
        <is>
          <t>고정자산 취득</t>
        </is>
      </c>
      <c r="F280" s="20" t="n">
        <v>-4282</v>
      </c>
      <c r="H280" s="20" t="n">
        <v>-4805</v>
      </c>
      <c r="J280" s="20" t="n">
        <v>-502</v>
      </c>
      <c r="L280" s="20" t="n">
        <v>-1380</v>
      </c>
      <c r="N280" s="20" t="n">
        <v>-956</v>
      </c>
      <c r="O280" s="20" t="n">
        <v>-200</v>
      </c>
      <c r="P280" s="20" t="n">
        <v>-443</v>
      </c>
      <c r="Q280" s="20" t="n">
        <v>-3295</v>
      </c>
      <c r="R280" s="20" t="n">
        <v>-6555</v>
      </c>
      <c r="S280" s="20" t="n">
        <v>-4763</v>
      </c>
      <c r="T280" s="20" t="n">
        <v>-2033</v>
      </c>
      <c r="U280" s="20" t="n">
        <v>-4866</v>
      </c>
      <c r="W280" s="20" t="n">
        <v>-4805</v>
      </c>
      <c r="X280" s="20" t="n">
        <v>-1380</v>
      </c>
    </row>
    <row r="281">
      <c r="A281" s="18" t="inlineStr">
        <is>
          <t>고정자산 매각 등 수입</t>
        </is>
      </c>
      <c r="H281" s="20" t="n">
        <v>64</v>
      </c>
      <c r="L281" s="20" t="n">
        <v>77</v>
      </c>
      <c r="O281" s="20" t="n">
        <v>11651</v>
      </c>
      <c r="P281" s="20" t="n">
        <v>83</v>
      </c>
      <c r="Q281" s="20" t="n">
        <v>61</v>
      </c>
      <c r="R281" s="20" t="n">
        <v>86</v>
      </c>
      <c r="S281" s="20" t="n">
        <v>121</v>
      </c>
      <c r="T281" s="20" t="n">
        <v>46</v>
      </c>
      <c r="W281" s="20" t="n">
        <v>64</v>
      </c>
      <c r="X281" s="20" t="n">
        <v>77</v>
      </c>
    </row>
    <row r="282">
      <c r="A282" s="18" t="inlineStr">
        <is>
          <t>고정자산 매각 등 수입</t>
        </is>
      </c>
      <c r="F282" s="20" t="n">
        <v>43</v>
      </c>
      <c r="J282" s="20" t="n">
        <v>37</v>
      </c>
      <c r="N282" s="20" t="n">
        <v>58</v>
      </c>
      <c r="U282" s="20" t="n">
        <v>34</v>
      </c>
    </row>
    <row r="283">
      <c r="A283" s="18" t="inlineStr">
        <is>
          <t>대여</t>
        </is>
      </c>
      <c r="F283" s="20" t="n">
        <v>0</v>
      </c>
      <c r="H283" s="20" t="n">
        <v>0</v>
      </c>
      <c r="J283" s="20" t="n">
        <v>0</v>
      </c>
      <c r="L283" s="20" t="n">
        <v>-774</v>
      </c>
      <c r="N283" s="20" t="n">
        <v>-62</v>
      </c>
      <c r="O283" s="20" t="n">
        <v>0</v>
      </c>
      <c r="P283" s="20" t="n">
        <v>-37</v>
      </c>
      <c r="Q283" s="20" t="n">
        <v>-300</v>
      </c>
      <c r="R283" s="20" t="n">
        <v>-2930</v>
      </c>
      <c r="S283" s="20" t="n">
        <v>-8</v>
      </c>
      <c r="T283" s="20" t="n">
        <v>-117</v>
      </c>
      <c r="U283" s="20" t="n">
        <v>-64</v>
      </c>
      <c r="W283" s="20" t="n">
        <v>0</v>
      </c>
      <c r="X283" s="20" t="n">
        <v>-774</v>
      </c>
    </row>
    <row r="284">
      <c r="A284" s="18" t="inlineStr">
        <is>
          <t>대여금 회수</t>
        </is>
      </c>
      <c r="F284" s="20" t="n">
        <v>1</v>
      </c>
      <c r="H284" s="20" t="n">
        <v>3</v>
      </c>
      <c r="J284" s="20" t="n">
        <v>36</v>
      </c>
      <c r="L284" s="20" t="n">
        <v>605</v>
      </c>
      <c r="N284" s="20" t="n">
        <v>14</v>
      </c>
      <c r="O284" s="20" t="n">
        <v>0</v>
      </c>
      <c r="P284" s="20" t="n">
        <v>0</v>
      </c>
      <c r="Q284" s="20" t="n">
        <v>0</v>
      </c>
      <c r="R284" s="20" t="n">
        <v>500</v>
      </c>
      <c r="S284" s="20" t="n">
        <v>647</v>
      </c>
      <c r="T284" s="20" t="n">
        <v>1</v>
      </c>
      <c r="U284" s="20" t="n">
        <v>175</v>
      </c>
      <c r="W284" s="20" t="n">
        <v>3</v>
      </c>
      <c r="X284" s="20" t="n">
        <v>605</v>
      </c>
    </row>
    <row r="285">
      <c r="A285" s="18" t="inlineStr">
        <is>
          <t>연결범위 변경 자회사 주식 취득</t>
        </is>
      </c>
      <c r="F285" s="20" t="n">
        <v>0</v>
      </c>
      <c r="H285" s="20" t="n">
        <v>0</v>
      </c>
      <c r="J285" s="20" t="n">
        <v>-8837</v>
      </c>
      <c r="L285" s="20" t="n">
        <v>-10768</v>
      </c>
      <c r="N285" s="20" t="n">
        <v>0</v>
      </c>
      <c r="P285" s="20" t="n">
        <v>0</v>
      </c>
      <c r="Q285" s="20" t="n">
        <v>-310</v>
      </c>
      <c r="R285" s="20" t="n">
        <v>0</v>
      </c>
      <c r="S285" s="20" t="n">
        <v>-24070</v>
      </c>
      <c r="T285" s="20" t="n">
        <v>0</v>
      </c>
      <c r="U285" s="20" t="n">
        <v>-27516</v>
      </c>
      <c r="W285" s="20" t="n">
        <v>0</v>
      </c>
      <c r="X285" s="20" t="n">
        <v>-10768</v>
      </c>
    </row>
    <row r="286">
      <c r="A286" s="18" t="inlineStr">
        <is>
          <t>연결범위 변경 자회사 주식 취득(수입)</t>
        </is>
      </c>
      <c r="J286" s="20" t="n">
        <v>0</v>
      </c>
      <c r="N286" s="20" t="n">
        <v>572</v>
      </c>
      <c r="Q286" s="20" t="n">
        <v>0</v>
      </c>
      <c r="R286" s="20" t="n">
        <v>91</v>
      </c>
      <c r="S286" s="20" t="n">
        <v>0</v>
      </c>
      <c r="T286" s="20" t="n">
        <v>316</v>
      </c>
    </row>
    <row r="287">
      <c r="A287" s="18" t="inlineStr">
        <is>
          <t>예수보증금 반환</t>
        </is>
      </c>
      <c r="F287" s="20" t="n">
        <v>-147</v>
      </c>
      <c r="H287" s="20" t="n">
        <v>-488</v>
      </c>
      <c r="J287" s="20" t="n">
        <v>-246</v>
      </c>
      <c r="L287" s="20" t="n">
        <v>-384</v>
      </c>
      <c r="N287" s="20" t="n">
        <v>-371</v>
      </c>
      <c r="O287" s="20" t="n">
        <v>-1232</v>
      </c>
      <c r="P287" s="20" t="n">
        <v>-782</v>
      </c>
      <c r="Q287" s="20" t="n">
        <v>-927</v>
      </c>
      <c r="R287" s="20" t="n">
        <v>-983</v>
      </c>
      <c r="S287" s="20" t="n">
        <v>-1120</v>
      </c>
      <c r="T287" s="20" t="n">
        <v>-769</v>
      </c>
      <c r="U287" s="20" t="n">
        <v>-169</v>
      </c>
      <c r="W287" s="20" t="n">
        <v>-488</v>
      </c>
      <c r="X287" s="20" t="n">
        <v>-384</v>
      </c>
    </row>
    <row r="288">
      <c r="A288" s="18" t="inlineStr">
        <is>
          <t>예수보증금 수입</t>
        </is>
      </c>
      <c r="F288" s="20" t="n">
        <v>504</v>
      </c>
      <c r="H288" s="20" t="n">
        <v>962</v>
      </c>
      <c r="J288" s="20" t="n">
        <v>217</v>
      </c>
      <c r="L288" s="20" t="n">
        <v>575</v>
      </c>
      <c r="N288" s="20" t="n">
        <v>489</v>
      </c>
      <c r="O288" s="20" t="n">
        <v>615</v>
      </c>
      <c r="P288" s="20" t="n">
        <v>1578</v>
      </c>
      <c r="Q288" s="20" t="n">
        <v>1130</v>
      </c>
      <c r="R288" s="20" t="n">
        <v>1244</v>
      </c>
      <c r="S288" s="20" t="n">
        <v>1732</v>
      </c>
      <c r="T288" s="20" t="n">
        <v>1060</v>
      </c>
      <c r="U288" s="20" t="n">
        <v>839</v>
      </c>
      <c r="W288" s="20" t="n">
        <v>962</v>
      </c>
      <c r="X288" s="20" t="n">
        <v>575</v>
      </c>
    </row>
    <row r="289">
      <c r="A289" s="18" t="inlineStr">
        <is>
          <t>출자금 납입</t>
        </is>
      </c>
      <c r="F289" s="20" t="n">
        <v>0</v>
      </c>
      <c r="H289" s="20" t="n">
        <v>-102</v>
      </c>
      <c r="J289" s="20" t="n">
        <v>-147</v>
      </c>
      <c r="L289" s="20" t="n">
        <v>-147</v>
      </c>
      <c r="N289" s="20" t="n">
        <v>0</v>
      </c>
      <c r="O289" s="20" t="n">
        <v>-4</v>
      </c>
      <c r="P289" s="20" t="n">
        <v>-17</v>
      </c>
      <c r="Q289" s="20" t="n">
        <v>0</v>
      </c>
      <c r="R289" s="20" t="n">
        <v>-2</v>
      </c>
      <c r="S289" s="20" t="n">
        <v>0</v>
      </c>
      <c r="T289" s="20" t="n">
        <v>0</v>
      </c>
      <c r="W289" s="20" t="n">
        <v>-102</v>
      </c>
      <c r="X289" s="20" t="n">
        <v>-147</v>
      </c>
    </row>
    <row r="290">
      <c r="A290" s="18" t="inlineStr">
        <is>
          <t>출자금 회수</t>
        </is>
      </c>
      <c r="F290" s="20" t="n">
        <v>0</v>
      </c>
      <c r="H290" s="20" t="n">
        <v>69</v>
      </c>
      <c r="J290" s="20" t="n">
        <v>148</v>
      </c>
      <c r="L290" s="20" t="n">
        <v>148</v>
      </c>
      <c r="N290" s="20" t="n">
        <v>66</v>
      </c>
      <c r="S290" s="20" t="n">
        <v>0</v>
      </c>
      <c r="T290" s="20" t="n">
        <v>1</v>
      </c>
      <c r="U290" s="20" t="n">
        <v>1</v>
      </c>
      <c r="W290" s="20" t="n">
        <v>69</v>
      </c>
      <c r="X290" s="20" t="n">
        <v>148</v>
      </c>
    </row>
    <row r="291">
      <c r="A291" s="18" t="inlineStr">
        <is>
          <t>자산복구부채 이행 지출</t>
        </is>
      </c>
      <c r="H291" s="20" t="n">
        <v>0</v>
      </c>
      <c r="J291" s="20" t="n">
        <v>0</v>
      </c>
      <c r="L291" s="20" t="n">
        <v>-9</v>
      </c>
      <c r="N291" s="20" t="n">
        <v>-2</v>
      </c>
      <c r="O291" s="20" t="n">
        <v>-0</v>
      </c>
      <c r="P291" s="20" t="n">
        <v>0</v>
      </c>
      <c r="Q291" s="20" t="n">
        <v>-3</v>
      </c>
      <c r="R291" s="20" t="n">
        <v>0</v>
      </c>
      <c r="W291" s="20" t="n">
        <v>0</v>
      </c>
      <c r="X291" s="20" t="n">
        <v>-9</v>
      </c>
    </row>
    <row r="292">
      <c r="A292" s="18" t="inlineStr">
        <is>
          <t>연결범위 변경 자회사 주식 매각</t>
        </is>
      </c>
      <c r="O292" s="20" t="n">
        <v>34</v>
      </c>
      <c r="P292" s="20" t="n">
        <v>0</v>
      </c>
    </row>
    <row r="293">
      <c r="A293" s="9" t="inlineStr">
        <is>
          <t>투자활동 현금흐름</t>
        </is>
      </c>
      <c r="F293" s="12" t="n">
        <v>-10105</v>
      </c>
      <c r="H293" s="12" t="n">
        <v>-17293</v>
      </c>
      <c r="J293" s="12" t="n">
        <v>-9072</v>
      </c>
      <c r="L293" s="12" t="n">
        <v>-12164</v>
      </c>
      <c r="N293" s="12" t="n">
        <v>-6140</v>
      </c>
      <c r="O293" s="12" t="n">
        <v>9167</v>
      </c>
      <c r="P293" s="12" t="n">
        <v>223</v>
      </c>
      <c r="Q293" s="12" t="n">
        <v>-4770</v>
      </c>
      <c r="R293" s="12" t="n">
        <v>-9732</v>
      </c>
      <c r="S293" s="12" t="n">
        <v>-29721</v>
      </c>
      <c r="T293" s="12" t="n">
        <v>-1620</v>
      </c>
      <c r="U293" s="12" t="n">
        <v>-32213</v>
      </c>
      <c r="W293" s="12" t="n">
        <v>-17293</v>
      </c>
      <c r="X293" s="12" t="n">
        <v>-12164</v>
      </c>
    </row>
    <row r="294">
      <c r="A294" s="18" t="inlineStr">
        <is>
          <t>단기차입</t>
        </is>
      </c>
      <c r="F294" s="20" t="n">
        <v>4744</v>
      </c>
      <c r="H294" s="20" t="n">
        <v>5503</v>
      </c>
      <c r="J294" s="20" t="n">
        <v>7545</v>
      </c>
      <c r="L294" s="20" t="n">
        <v>24864</v>
      </c>
      <c r="N294" s="20" t="n">
        <v>6801</v>
      </c>
      <c r="O294" s="20" t="n">
        <v>10830</v>
      </c>
      <c r="P294" s="20" t="n">
        <v>7581</v>
      </c>
      <c r="Q294" s="20" t="n">
        <v>6714</v>
      </c>
      <c r="R294" s="20" t="n">
        <v>8018</v>
      </c>
      <c r="S294" s="20" t="n">
        <v>6539</v>
      </c>
      <c r="T294" s="20" t="n">
        <v>11929</v>
      </c>
      <c r="U294" s="20" t="n">
        <v>90248</v>
      </c>
      <c r="W294" s="20" t="n">
        <v>5503</v>
      </c>
      <c r="X294" s="20" t="n">
        <v>24864</v>
      </c>
    </row>
    <row r="295">
      <c r="A295" s="18" t="inlineStr">
        <is>
          <t>단기차입금 상환</t>
        </is>
      </c>
      <c r="F295" s="20" t="n">
        <v>-43055</v>
      </c>
      <c r="H295" s="20" t="n">
        <v>-52305</v>
      </c>
      <c r="J295" s="20" t="n">
        <v>-5945</v>
      </c>
      <c r="L295" s="20" t="n">
        <v>-17597</v>
      </c>
      <c r="N295" s="20" t="n">
        <v>-4333</v>
      </c>
      <c r="O295" s="20" t="n">
        <v>-13184</v>
      </c>
      <c r="P295" s="20" t="n">
        <v>-7814</v>
      </c>
      <c r="Q295" s="20" t="n">
        <v>-5220</v>
      </c>
      <c r="R295" s="20" t="n">
        <v>-9690</v>
      </c>
      <c r="S295" s="20" t="n">
        <v>-5857</v>
      </c>
      <c r="T295" s="20" t="n">
        <v>-2956</v>
      </c>
      <c r="U295" s="20" t="n">
        <v>-62981</v>
      </c>
      <c r="W295" s="20" t="n">
        <v>-52305</v>
      </c>
      <c r="X295" s="20" t="n">
        <v>-17597</v>
      </c>
    </row>
    <row r="296">
      <c r="A296" s="18" t="inlineStr">
        <is>
          <t>장기차입</t>
        </is>
      </c>
      <c r="F296" s="20" t="n">
        <v>100238</v>
      </c>
      <c r="H296" s="20" t="n">
        <v>158661</v>
      </c>
      <c r="J296" s="20" t="n">
        <v>36198</v>
      </c>
      <c r="L296" s="20" t="n">
        <v>110790</v>
      </c>
      <c r="N296" s="20" t="n">
        <v>43342</v>
      </c>
      <c r="O296" s="20" t="n">
        <v>45348</v>
      </c>
      <c r="P296" s="20" t="n">
        <v>38884</v>
      </c>
      <c r="Q296" s="20" t="n">
        <v>44231</v>
      </c>
      <c r="R296" s="20" t="n">
        <v>62166</v>
      </c>
      <c r="S296" s="20" t="n">
        <v>111250</v>
      </c>
      <c r="T296" s="20" t="n">
        <v>110273</v>
      </c>
      <c r="U296" s="20" t="n">
        <v>110311</v>
      </c>
      <c r="W296" s="20" t="n">
        <v>158661</v>
      </c>
      <c r="X296" s="20" t="n">
        <v>110790</v>
      </c>
    </row>
    <row r="297">
      <c r="A297" s="18" t="inlineStr">
        <is>
          <t>장기차입금 상환</t>
        </is>
      </c>
      <c r="F297" s="20" t="n">
        <v>-27719</v>
      </c>
      <c r="H297" s="20" t="n">
        <v>-76658</v>
      </c>
      <c r="J297" s="20" t="n">
        <v>-27946</v>
      </c>
      <c r="L297" s="20" t="n">
        <v>-105725</v>
      </c>
      <c r="N297" s="20" t="n">
        <v>-38202</v>
      </c>
      <c r="O297" s="20" t="n">
        <v>-37549</v>
      </c>
      <c r="P297" s="20" t="n">
        <v>-24659</v>
      </c>
      <c r="Q297" s="20" t="n">
        <v>-32930</v>
      </c>
      <c r="R297" s="20" t="n">
        <v>-46917</v>
      </c>
      <c r="S297" s="20" t="n">
        <v>-79320</v>
      </c>
      <c r="T297" s="20" t="n">
        <v>-113215</v>
      </c>
      <c r="U297" s="20" t="n">
        <v>-50850</v>
      </c>
      <c r="W297" s="20" t="n">
        <v>-76658</v>
      </c>
      <c r="X297" s="20" t="n">
        <v>-105725</v>
      </c>
    </row>
    <row r="298">
      <c r="A298" s="18" t="inlineStr">
        <is>
          <t>사채 상환</t>
        </is>
      </c>
      <c r="O298" s="20" t="n">
        <v>-40</v>
      </c>
      <c r="P298" s="20" t="n">
        <v>-40</v>
      </c>
      <c r="Q298" s="20" t="n">
        <v>-40</v>
      </c>
      <c r="R298" s="20" t="n">
        <v>-40</v>
      </c>
      <c r="S298" s="20" t="n">
        <v>-230</v>
      </c>
      <c r="T298" s="20" t="n">
        <v>0</v>
      </c>
    </row>
    <row r="299">
      <c r="A299" s="18" t="inlineStr">
        <is>
          <t>사채 발행</t>
        </is>
      </c>
      <c r="F299" s="20" t="n">
        <v>7357</v>
      </c>
      <c r="H299" s="20" t="n">
        <v>7357</v>
      </c>
      <c r="J299" s="20" t="n">
        <v>9946</v>
      </c>
      <c r="L299" s="20" t="n">
        <v>9946</v>
      </c>
      <c r="N299" s="20" t="n">
        <v>14931</v>
      </c>
      <c r="O299" s="20" t="n">
        <v>0</v>
      </c>
      <c r="P299" s="20" t="n">
        <v>200</v>
      </c>
      <c r="Q299" s="20" t="n">
        <v>0</v>
      </c>
      <c r="W299" s="20" t="n">
        <v>7357</v>
      </c>
      <c r="X299" s="20" t="n">
        <v>9946</v>
      </c>
    </row>
    <row r="300">
      <c r="A300" s="18" t="inlineStr">
        <is>
          <t>비지배주주 납입</t>
        </is>
      </c>
      <c r="F300" s="20" t="n">
        <v>0</v>
      </c>
      <c r="H300" s="20" t="n">
        <v>1462</v>
      </c>
      <c r="J300" s="20" t="n">
        <v>13</v>
      </c>
      <c r="L300" s="20" t="n">
        <v>13</v>
      </c>
      <c r="N300" s="20" t="n">
        <v>184</v>
      </c>
      <c r="P300" s="20" t="n">
        <v>0</v>
      </c>
      <c r="Q300" s="20" t="n">
        <v>0</v>
      </c>
      <c r="R300" s="20" t="n">
        <v>0</v>
      </c>
      <c r="T300" s="20" t="n">
        <v>0</v>
      </c>
      <c r="U300" s="20" t="n">
        <v>98</v>
      </c>
      <c r="W300" s="20" t="n">
        <v>1462</v>
      </c>
      <c r="X300" s="20" t="n">
        <v>13</v>
      </c>
    </row>
    <row r="301">
      <c r="A301" s="18" t="inlineStr">
        <is>
          <t>리스부채 상환</t>
        </is>
      </c>
      <c r="F301" s="20" t="n">
        <v>-0</v>
      </c>
      <c r="H301" s="20" t="n">
        <v>-0</v>
      </c>
      <c r="J301" s="20" t="n">
        <v>-0</v>
      </c>
      <c r="L301" s="20" t="n">
        <v>-0</v>
      </c>
      <c r="N301" s="20" t="n">
        <v>-0</v>
      </c>
      <c r="O301" s="20" t="n">
        <v>-4</v>
      </c>
      <c r="P301" s="20" t="n">
        <v>-1</v>
      </c>
      <c r="Q301" s="20" t="n">
        <v>-0</v>
      </c>
      <c r="R301" s="20" t="n">
        <v>-1</v>
      </c>
      <c r="S301" s="20" t="n">
        <v>-1</v>
      </c>
      <c r="T301" s="20" t="n">
        <v>-0</v>
      </c>
      <c r="U301" s="20" t="n">
        <v>-0</v>
      </c>
      <c r="W301" s="20" t="n">
        <v>-0</v>
      </c>
      <c r="X301" s="20" t="n">
        <v>-0</v>
      </c>
    </row>
    <row r="302">
      <c r="A302" s="18" t="inlineStr">
        <is>
          <t>할부채무 상환 지출</t>
        </is>
      </c>
      <c r="O302" s="20" t="n">
        <v>-32</v>
      </c>
      <c r="P302" s="20" t="n">
        <v>-33</v>
      </c>
      <c r="Q302" s="20" t="n">
        <v>-34</v>
      </c>
      <c r="R302" s="20" t="n">
        <v>-31</v>
      </c>
      <c r="S302" s="20" t="n">
        <v>-5</v>
      </c>
      <c r="T302" s="20" t="n">
        <v>0</v>
      </c>
    </row>
    <row r="303">
      <c r="A303" s="18" t="inlineStr">
        <is>
          <t>주식 발행</t>
        </is>
      </c>
      <c r="O303" s="20" t="n">
        <v>378</v>
      </c>
      <c r="P303" s="20" t="n">
        <v>70</v>
      </c>
      <c r="Q303" s="20" t="n">
        <v>30</v>
      </c>
      <c r="R303" s="20" t="n">
        <v>18</v>
      </c>
      <c r="S303" s="20" t="n">
        <v>20361</v>
      </c>
      <c r="T303" s="20" t="n">
        <v>0</v>
      </c>
    </row>
    <row r="304">
      <c r="A304" s="18" t="inlineStr">
        <is>
          <t>자기주식 처분</t>
        </is>
      </c>
      <c r="F304" s="20" t="n">
        <v>51</v>
      </c>
      <c r="H304" s="20" t="n">
        <v>172</v>
      </c>
      <c r="J304" s="20" t="n">
        <v>12</v>
      </c>
      <c r="L304" s="20" t="n">
        <v>117</v>
      </c>
      <c r="N304" s="20" t="n">
        <v>0</v>
      </c>
      <c r="Q304" s="20" t="n">
        <v>0</v>
      </c>
      <c r="R304" s="20" t="n">
        <v>207</v>
      </c>
      <c r="S304" s="20" t="n">
        <v>203</v>
      </c>
      <c r="T304" s="20" t="n">
        <v>76</v>
      </c>
      <c r="U304" s="20" t="n">
        <v>34</v>
      </c>
      <c r="W304" s="20" t="n">
        <v>172</v>
      </c>
      <c r="X304" s="20" t="n">
        <v>117</v>
      </c>
    </row>
    <row r="305">
      <c r="A305" s="18" t="inlineStr">
        <is>
          <t>자기주식 취득</t>
        </is>
      </c>
      <c r="F305" s="20" t="n">
        <v>-74</v>
      </c>
      <c r="H305" s="20" t="n">
        <v>-74</v>
      </c>
      <c r="J305" s="20" t="n">
        <v>0</v>
      </c>
      <c r="L305" s="20" t="n">
        <v>0</v>
      </c>
      <c r="O305" s="20" t="n">
        <v>-748</v>
      </c>
      <c r="P305" s="20" t="n">
        <v>-131</v>
      </c>
      <c r="Q305" s="20" t="n">
        <v>-40</v>
      </c>
      <c r="R305" s="20" t="n">
        <v>-233</v>
      </c>
      <c r="S305" s="20" t="n">
        <v>0</v>
      </c>
      <c r="T305" s="20" t="n">
        <v>-293</v>
      </c>
      <c r="U305" s="20" t="n">
        <v>-0</v>
      </c>
      <c r="W305" s="20" t="n">
        <v>-74</v>
      </c>
      <c r="X305" s="20" t="n">
        <v>0</v>
      </c>
    </row>
    <row r="306">
      <c r="A306" s="18" t="inlineStr">
        <is>
          <t>배당금 지급</t>
        </is>
      </c>
      <c r="F306" s="20" t="n">
        <v>-4646</v>
      </c>
      <c r="H306" s="20" t="n">
        <v>-4647</v>
      </c>
      <c r="J306" s="20" t="n">
        <v>-4657</v>
      </c>
      <c r="L306" s="20" t="n">
        <v>-4658</v>
      </c>
      <c r="N306" s="20" t="n">
        <v>-4526</v>
      </c>
      <c r="O306" s="20" t="n">
        <v>-1016</v>
      </c>
      <c r="P306" s="20" t="n">
        <v>-1237</v>
      </c>
      <c r="Q306" s="20" t="n">
        <v>-2207</v>
      </c>
      <c r="R306" s="20" t="n">
        <v>-2488</v>
      </c>
      <c r="S306" s="20" t="n">
        <v>-2645</v>
      </c>
      <c r="T306" s="20" t="n">
        <v>-3668</v>
      </c>
      <c r="U306" s="20" t="n">
        <v>-3671</v>
      </c>
      <c r="W306" s="20" t="n">
        <v>-4647</v>
      </c>
      <c r="X306" s="20" t="n">
        <v>-4658</v>
      </c>
    </row>
    <row r="307">
      <c r="A307" s="18" t="inlineStr">
        <is>
          <t>예금 담보 해제 수입</t>
        </is>
      </c>
      <c r="O307" s="20" t="n">
        <v>0</v>
      </c>
    </row>
    <row r="308">
      <c r="A308" s="9" t="inlineStr">
        <is>
          <t>재무활동 현금흐름</t>
        </is>
      </c>
      <c r="F308" s="12" t="n">
        <v>36894</v>
      </c>
      <c r="H308" s="12" t="n">
        <v>39469</v>
      </c>
      <c r="J308" s="12" t="n">
        <v>15165</v>
      </c>
      <c r="L308" s="12" t="n">
        <v>17750</v>
      </c>
      <c r="N308" s="12" t="n">
        <v>18195</v>
      </c>
      <c r="O308" s="12" t="n">
        <v>3979</v>
      </c>
      <c r="P308" s="12" t="n">
        <v>12818</v>
      </c>
      <c r="Q308" s="12" t="n">
        <v>10501</v>
      </c>
      <c r="R308" s="12" t="n">
        <v>11007</v>
      </c>
      <c r="S308" s="12" t="n">
        <v>50293</v>
      </c>
      <c r="T308" s="12" t="n">
        <v>2144</v>
      </c>
      <c r="U308" s="12" t="n">
        <v>83188</v>
      </c>
      <c r="W308" s="12" t="n">
        <v>39469</v>
      </c>
      <c r="X308" s="12" t="n">
        <v>17750</v>
      </c>
    </row>
    <row r="309">
      <c r="A309" s="18" t="inlineStr">
        <is>
          <t>현금성자산 환산차이</t>
        </is>
      </c>
      <c r="F309" s="20" t="n">
        <v>84</v>
      </c>
      <c r="H309" s="20" t="n">
        <v>-72</v>
      </c>
      <c r="J309" s="20" t="n">
        <v>-4</v>
      </c>
      <c r="L309" s="20" t="n">
        <v>54</v>
      </c>
      <c r="N309" s="20" t="n">
        <v>-4</v>
      </c>
      <c r="P309" s="20" t="n">
        <v>0</v>
      </c>
      <c r="Q309" s="20" t="n">
        <v>-3</v>
      </c>
      <c r="R309" s="20" t="n">
        <v>-8</v>
      </c>
      <c r="S309" s="20" t="n">
        <v>-1</v>
      </c>
      <c r="T309" s="20" t="n">
        <v>19</v>
      </c>
      <c r="U309" s="20" t="n">
        <v>28</v>
      </c>
      <c r="W309" s="20" t="n">
        <v>-72</v>
      </c>
      <c r="X309" s="20" t="n">
        <v>54</v>
      </c>
    </row>
    <row r="310">
      <c r="A310" s="18" t="inlineStr">
        <is>
          <t>현금성자산 증감</t>
        </is>
      </c>
      <c r="F310" s="20" t="n">
        <v>-6051</v>
      </c>
      <c r="H310" s="20" t="n">
        <v>-2662</v>
      </c>
      <c r="J310" s="20" t="n">
        <v>996</v>
      </c>
      <c r="L310" s="20" t="n">
        <v>16003</v>
      </c>
      <c r="N310" s="20" t="n">
        <v>-1590</v>
      </c>
      <c r="O310" s="20" t="n">
        <v>2453</v>
      </c>
      <c r="P310" s="20" t="n">
        <v>5918</v>
      </c>
      <c r="Q310" s="20" t="n">
        <v>5849</v>
      </c>
      <c r="R310" s="20" t="n">
        <v>1385</v>
      </c>
      <c r="S310" s="20" t="n">
        <v>9760</v>
      </c>
      <c r="T310" s="20" t="n">
        <v>2045</v>
      </c>
      <c r="U310" s="20" t="n">
        <v>1757</v>
      </c>
      <c r="W310" s="20" t="n">
        <v>-2662</v>
      </c>
      <c r="X310" s="20" t="n">
        <v>16003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에스콘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351347</v>
      </c>
      <c r="D5" s="12" t="n">
        <v>349185</v>
      </c>
      <c r="E5" s="12" t="n">
        <v>372134</v>
      </c>
      <c r="F5" s="12" t="n">
        <v>367493</v>
      </c>
      <c r="G5" s="12" t="n">
        <v>388931</v>
      </c>
      <c r="H5" s="11" t="n">
        <v>191357</v>
      </c>
      <c r="I5" s="12" t="n">
        <v>265202</v>
      </c>
      <c r="J5" s="12" t="n">
        <v>295492</v>
      </c>
      <c r="K5" s="12" t="n">
        <v>335103</v>
      </c>
      <c r="L5" s="12" t="n">
        <v>372134</v>
      </c>
    </row>
    <row r="6">
      <c r="A6" s="18" t="inlineStr">
        <is>
          <t>현금및현금성자산</t>
        </is>
      </c>
      <c r="B6" s="10" t="n"/>
      <c r="C6" s="19" t="n">
        <v>47867</v>
      </c>
      <c r="D6" s="20" t="n">
        <v>42251</v>
      </c>
      <c r="E6" s="20" t="n">
        <v>62873</v>
      </c>
      <c r="F6" s="20" t="n">
        <v>39074</v>
      </c>
      <c r="G6" s="20" t="n">
        <v>65749</v>
      </c>
      <c r="H6" s="19" t="n">
        <v>35721</v>
      </c>
      <c r="I6" s="20" t="n">
        <v>37600</v>
      </c>
      <c r="J6" s="20" t="n">
        <v>48910</v>
      </c>
      <c r="K6" s="20" t="n">
        <v>46802</v>
      </c>
      <c r="L6" s="20" t="n">
        <v>62873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1356</v>
      </c>
      <c r="D8" s="20" t="n">
        <v>1228</v>
      </c>
      <c r="E8" s="20" t="n">
        <v>1475</v>
      </c>
      <c r="F8" s="20" t="n">
        <v>1383</v>
      </c>
      <c r="G8" s="20" t="n">
        <v>1512</v>
      </c>
      <c r="H8" s="19" t="n">
        <v>1096</v>
      </c>
      <c r="I8" s="20" t="n">
        <v>965</v>
      </c>
      <c r="J8" s="20" t="n">
        <v>1019</v>
      </c>
      <c r="K8" s="20" t="n">
        <v>1259</v>
      </c>
      <c r="L8" s="20" t="n">
        <v>1475</v>
      </c>
    </row>
    <row r="9">
      <c r="A9" s="18" t="inlineStr">
        <is>
          <t>재고자산</t>
        </is>
      </c>
      <c r="B9" s="10" t="n"/>
      <c r="C9" s="19" t="n">
        <v>3924</v>
      </c>
      <c r="D9" s="20" t="n">
        <v>3315</v>
      </c>
      <c r="E9" s="20" t="n">
        <v>2791</v>
      </c>
      <c r="F9" s="20" t="n">
        <v>2132</v>
      </c>
      <c r="G9" s="20" t="n">
        <v>5147</v>
      </c>
      <c r="H9" s="19" t="n">
        <v>4804</v>
      </c>
      <c r="I9" s="20" t="n">
        <v>4924</v>
      </c>
      <c r="J9" s="20" t="n">
        <v>3408</v>
      </c>
      <c r="K9" s="20" t="n">
        <v>8072</v>
      </c>
      <c r="L9" s="20" t="n">
        <v>2791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129627</v>
      </c>
      <c r="D11" s="12" t="n">
        <v>130759</v>
      </c>
      <c r="E11" s="12" t="n">
        <v>137565</v>
      </c>
      <c r="F11" s="12" t="n">
        <v>139145</v>
      </c>
      <c r="G11" s="12" t="n">
        <v>137170</v>
      </c>
      <c r="H11" s="11" t="n">
        <v>72327</v>
      </c>
      <c r="I11" s="12" t="n">
        <v>105059</v>
      </c>
      <c r="J11" s="12" t="n">
        <v>104204</v>
      </c>
      <c r="K11" s="12" t="n">
        <v>124708</v>
      </c>
      <c r="L11" s="12" t="n">
        <v>137565</v>
      </c>
    </row>
    <row r="12">
      <c r="A12" s="18" t="inlineStr">
        <is>
          <t>유형자산</t>
        </is>
      </c>
      <c r="B12" s="10" t="n"/>
      <c r="C12" s="19" t="n">
        <v>90288</v>
      </c>
      <c r="D12" s="20" t="n">
        <v>90010</v>
      </c>
      <c r="E12" s="20" t="n">
        <v>95508</v>
      </c>
      <c r="F12" s="20" t="n">
        <v>95105</v>
      </c>
      <c r="G12" s="20" t="n">
        <v>91714</v>
      </c>
      <c r="H12" s="19" t="n">
        <v>52139</v>
      </c>
      <c r="I12" s="20" t="n">
        <v>75451</v>
      </c>
      <c r="J12" s="20" t="n">
        <v>75098</v>
      </c>
      <c r="K12" s="20" t="n">
        <v>83719</v>
      </c>
      <c r="L12" s="20" t="n">
        <v>95508</v>
      </c>
    </row>
    <row r="13">
      <c r="A13" s="18" t="inlineStr">
        <is>
          <t>무형자산</t>
        </is>
      </c>
      <c r="B13" s="10" t="n"/>
      <c r="C13" s="19" t="n">
        <v>14839</v>
      </c>
      <c r="D13" s="20" t="n">
        <v>14612</v>
      </c>
      <c r="E13" s="20" t="n">
        <v>14464</v>
      </c>
      <c r="F13" s="20" t="n">
        <v>14230</v>
      </c>
      <c r="G13" s="20" t="n">
        <v>14180</v>
      </c>
      <c r="H13" s="19" t="n">
        <v>7774</v>
      </c>
      <c r="I13" s="20" t="n">
        <v>16483</v>
      </c>
      <c r="J13" s="20" t="n">
        <v>16170</v>
      </c>
      <c r="K13" s="20" t="n">
        <v>15277</v>
      </c>
      <c r="L13" s="20" t="n">
        <v>14464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481057</v>
      </c>
      <c r="D16" s="12" t="n">
        <v>480023</v>
      </c>
      <c r="E16" s="12" t="n">
        <v>509773</v>
      </c>
      <c r="F16" s="12" t="n">
        <v>506706</v>
      </c>
      <c r="G16" s="12" t="n">
        <v>526232</v>
      </c>
      <c r="H16" s="11" t="n">
        <v>263729</v>
      </c>
      <c r="I16" s="12" t="n">
        <v>370270</v>
      </c>
      <c r="J16" s="12" t="n">
        <v>399696</v>
      </c>
      <c r="K16" s="12" t="n">
        <v>459847</v>
      </c>
      <c r="L16" s="12" t="n">
        <v>509773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101384</v>
      </c>
      <c r="D18" s="12" t="n">
        <v>103141</v>
      </c>
      <c r="E18" s="12" t="n">
        <v>91890</v>
      </c>
      <c r="F18" s="12" t="n">
        <v>87462</v>
      </c>
      <c r="G18" s="12" t="n">
        <v>106772</v>
      </c>
      <c r="H18" s="11" t="n">
        <v>55690</v>
      </c>
      <c r="I18" s="12" t="n">
        <v>88133</v>
      </c>
      <c r="J18" s="12" t="n">
        <v>108580</v>
      </c>
      <c r="K18" s="12" t="n">
        <v>95654</v>
      </c>
      <c r="L18" s="12" t="n">
        <v>91890</v>
      </c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>
        <v>6334</v>
      </c>
      <c r="D20" s="20" t="n">
        <v>9887</v>
      </c>
      <c r="E20" s="20" t="n">
        <v>12002</v>
      </c>
      <c r="F20" s="20" t="n">
        <v>15466</v>
      </c>
      <c r="G20" s="20" t="n">
        <v>14470</v>
      </c>
      <c r="H20" s="19" t="n">
        <v>10061</v>
      </c>
      <c r="I20" s="20" t="n">
        <v>39460</v>
      </c>
      <c r="J20" s="20" t="n">
        <v>51537</v>
      </c>
      <c r="K20" s="20" t="n">
        <v>4735</v>
      </c>
      <c r="L20" s="20" t="n">
        <v>12002</v>
      </c>
    </row>
    <row r="21">
      <c r="A21" s="18" t="inlineStr">
        <is>
          <t>유동성장기부채</t>
        </is>
      </c>
      <c r="B21" s="10" t="n"/>
      <c r="C21" s="19" t="n">
        <v>76253</v>
      </c>
      <c r="D21" s="20" t="n">
        <v>73009</v>
      </c>
      <c r="E21" s="20" t="n">
        <v>48760</v>
      </c>
      <c r="F21" s="20" t="n">
        <v>54098</v>
      </c>
      <c r="G21" s="20" t="n">
        <v>70003</v>
      </c>
      <c r="H21" s="19" t="n">
        <v>26193</v>
      </c>
      <c r="I21" s="20" t="n">
        <v>32592</v>
      </c>
      <c r="J21" s="20" t="n">
        <v>42699</v>
      </c>
      <c r="K21" s="20" t="n">
        <v>66387</v>
      </c>
      <c r="L21" s="20" t="n">
        <v>48760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304953</v>
      </c>
      <c r="D23" s="12" t="n">
        <v>298743</v>
      </c>
      <c r="E23" s="12" t="n">
        <v>331760</v>
      </c>
      <c r="F23" s="12" t="n">
        <v>337499</v>
      </c>
      <c r="G23" s="12" t="n">
        <v>331209</v>
      </c>
      <c r="H23" s="11" t="n">
        <v>143894</v>
      </c>
      <c r="I23" s="12" t="n">
        <v>211668</v>
      </c>
      <c r="J23" s="12" t="n">
        <v>220413</v>
      </c>
      <c r="K23" s="12" t="n">
        <v>285512</v>
      </c>
      <c r="L23" s="12" t="n">
        <v>331760</v>
      </c>
    </row>
    <row r="24">
      <c r="A24" s="18" t="inlineStr">
        <is>
          <t>장기차입금</t>
        </is>
      </c>
      <c r="B24" s="10" t="n"/>
      <c r="C24" s="19" t="n">
        <v>267298</v>
      </c>
      <c r="D24" s="20" t="n">
        <v>261287</v>
      </c>
      <c r="E24" s="20" t="n">
        <v>291606</v>
      </c>
      <c r="F24" s="20" t="n">
        <v>296814</v>
      </c>
      <c r="G24" s="20" t="n">
        <v>275741</v>
      </c>
      <c r="H24" s="19" t="n">
        <v>132810</v>
      </c>
      <c r="I24" s="20" t="n">
        <v>190804</v>
      </c>
      <c r="J24" s="20" t="n">
        <v>199557</v>
      </c>
      <c r="K24" s="20" t="n">
        <v>257872</v>
      </c>
      <c r="L24" s="20" t="n">
        <v>291606</v>
      </c>
    </row>
    <row r="25">
      <c r="A25" s="18" t="inlineStr">
        <is>
          <t>사채</t>
        </is>
      </c>
      <c r="B25" s="10" t="n"/>
      <c r="C25" s="19" t="n">
        <v>17400</v>
      </c>
      <c r="D25" s="20" t="n">
        <v>17400</v>
      </c>
      <c r="E25" s="20" t="n">
        <v>17400</v>
      </c>
      <c r="F25" s="20" t="n">
        <v>17400</v>
      </c>
      <c r="G25" s="20" t="n">
        <v>32400</v>
      </c>
      <c r="H25" s="19" t="n"/>
      <c r="I25" s="20" t="n"/>
      <c r="J25" s="20" t="n">
        <v>0</v>
      </c>
      <c r="K25" s="20" t="n">
        <v>7400</v>
      </c>
      <c r="L25" s="20" t="n">
        <v>17400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406337</v>
      </c>
      <c r="D27" s="12" t="n">
        <v>401884</v>
      </c>
      <c r="E27" s="12" t="n">
        <v>423651</v>
      </c>
      <c r="F27" s="12" t="n">
        <v>424961</v>
      </c>
      <c r="G27" s="12" t="n">
        <v>437981</v>
      </c>
      <c r="H27" s="11" t="n">
        <v>199585</v>
      </c>
      <c r="I27" s="12" t="n">
        <v>299801</v>
      </c>
      <c r="J27" s="12" t="n">
        <v>328994</v>
      </c>
      <c r="K27" s="12" t="n">
        <v>381166</v>
      </c>
      <c r="L27" s="12" t="n">
        <v>423651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75371</v>
      </c>
      <c r="D31" s="12" t="n">
        <v>78809</v>
      </c>
      <c r="E31" s="12" t="n">
        <v>86734</v>
      </c>
      <c r="F31" s="12" t="n">
        <v>82376</v>
      </c>
      <c r="G31" s="12" t="n">
        <v>88767</v>
      </c>
      <c r="H31" s="11" t="n">
        <v>65905</v>
      </c>
      <c r="I31" s="12" t="n">
        <v>72128</v>
      </c>
      <c r="J31" s="12" t="n">
        <v>72503</v>
      </c>
      <c r="K31" s="12" t="n">
        <v>79140</v>
      </c>
      <c r="L31" s="12" t="n">
        <v>86734</v>
      </c>
    </row>
    <row r="32">
      <c r="A32" s="18" t="inlineStr">
        <is>
          <t>자본금</t>
        </is>
      </c>
      <c r="B32" s="10" t="n"/>
      <c r="C32" s="19" t="n">
        <v>16519</v>
      </c>
      <c r="D32" s="20" t="n">
        <v>16519</v>
      </c>
      <c r="E32" s="20" t="n">
        <v>16519</v>
      </c>
      <c r="F32" s="20" t="n">
        <v>16519</v>
      </c>
      <c r="G32" s="20" t="n">
        <v>16519</v>
      </c>
      <c r="H32" s="19" t="n">
        <v>16519</v>
      </c>
      <c r="I32" s="20" t="n">
        <v>16519</v>
      </c>
      <c r="J32" s="20" t="n">
        <v>16519</v>
      </c>
      <c r="K32" s="20" t="n">
        <v>16519</v>
      </c>
      <c r="L32" s="20" t="n">
        <v>16519</v>
      </c>
    </row>
    <row r="33">
      <c r="A33" s="18" t="inlineStr">
        <is>
          <t>이익잉여금</t>
        </is>
      </c>
      <c r="B33" s="10" t="n"/>
      <c r="C33" s="19" t="n">
        <v>48444</v>
      </c>
      <c r="D33" s="20" t="n">
        <v>51405</v>
      </c>
      <c r="E33" s="20" t="n">
        <v>58777</v>
      </c>
      <c r="F33" s="20" t="n">
        <v>53386</v>
      </c>
      <c r="G33" s="20" t="n">
        <v>59027</v>
      </c>
      <c r="H33" s="19" t="n">
        <v>38326</v>
      </c>
      <c r="I33" s="20" t="n">
        <v>44484</v>
      </c>
      <c r="J33" s="20" t="n">
        <v>44703</v>
      </c>
      <c r="K33" s="20" t="n">
        <v>51247</v>
      </c>
      <c r="L33" s="20" t="n">
        <v>58777</v>
      </c>
    </row>
    <row r="34">
      <c r="A34" s="18" t="inlineStr">
        <is>
          <t>비지배지분</t>
        </is>
      </c>
      <c r="B34" s="10" t="n"/>
      <c r="C34" s="19" t="n">
        <v>-651</v>
      </c>
      <c r="D34" s="20" t="n">
        <v>-670</v>
      </c>
      <c r="E34" s="20" t="n">
        <v>-612</v>
      </c>
      <c r="F34" s="20" t="n">
        <v>-631</v>
      </c>
      <c r="G34" s="20" t="n">
        <v>-517</v>
      </c>
      <c r="H34" s="19" t="n">
        <v>-1761</v>
      </c>
      <c r="I34" s="20" t="n">
        <v>-1659</v>
      </c>
      <c r="J34" s="20" t="n">
        <v>-1801</v>
      </c>
      <c r="K34" s="20" t="n">
        <v>-459</v>
      </c>
      <c r="L34" s="20" t="n">
        <v>-612</v>
      </c>
    </row>
    <row r="35">
      <c r="A35" s="9" t="inlineStr">
        <is>
          <t>자본총계</t>
        </is>
      </c>
      <c r="B35" s="10" t="n"/>
      <c r="C35" s="11" t="n">
        <v>74720</v>
      </c>
      <c r="D35" s="12" t="n">
        <v>78139</v>
      </c>
      <c r="E35" s="12" t="n">
        <v>86122</v>
      </c>
      <c r="F35" s="12" t="n">
        <v>81745</v>
      </c>
      <c r="G35" s="12" t="n">
        <v>88250</v>
      </c>
      <c r="H35" s="11" t="n">
        <v>64144</v>
      </c>
      <c r="I35" s="12" t="n">
        <v>70469</v>
      </c>
      <c r="J35" s="12" t="n">
        <v>70702</v>
      </c>
      <c r="K35" s="12" t="n">
        <v>78681</v>
      </c>
      <c r="L35" s="12" t="n">
        <v>86122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3067</v>
      </c>
      <c r="D37" s="12" t="n"/>
      <c r="E37" s="12" t="n">
        <v>10362</v>
      </c>
      <c r="F37" s="12" t="n"/>
      <c r="G37" s="12" t="n">
        <v>1813</v>
      </c>
      <c r="H37" s="11" t="n">
        <v>1501</v>
      </c>
      <c r="I37" s="12" t="n">
        <v>-49245</v>
      </c>
      <c r="J37" s="12" t="n"/>
      <c r="K37" s="12" t="n">
        <v>-24765</v>
      </c>
      <c r="L37" s="12" t="n">
        <v>10362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/>
      <c r="G38" s="20" t="n"/>
      <c r="H38" s="19" t="n"/>
      <c r="I38" s="20" t="n"/>
      <c r="J38" s="20" t="n"/>
      <c r="K38" s="20" t="n"/>
      <c r="L38" s="20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4658</v>
      </c>
      <c r="D40" s="20" t="n"/>
      <c r="E40" s="20" t="n">
        <v>4658</v>
      </c>
      <c r="F40" s="20" t="n"/>
      <c r="G40" s="20" t="n">
        <v>4527</v>
      </c>
      <c r="H40" s="19" t="n">
        <v>3668</v>
      </c>
      <c r="I40" s="20" t="n">
        <v>3671</v>
      </c>
      <c r="J40" s="20" t="n"/>
      <c r="K40" s="20" t="n">
        <v>4647</v>
      </c>
      <c r="L40" s="20" t="n">
        <v>4658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IFERROR(IF((IF(COUNT('연간'!G59:J59)&lt;4,"",SUM('연간'!G59:J59)))&lt;=0,"적자",C28/(IF(COUNT('연간'!G59:J59)&lt;4,"",SUM('연간'!G59:J59)))),"")</f>
        <v/>
      </c>
      <c r="D49" s="47">
        <f>IFERROR(IF((IF(COUNT('연간'!H59:K59)&lt;4,"",SUM('연간'!H59:K59)))&lt;=0,"적자",D28/(IF(COUNT('연간'!H59:K59)&lt;4,"",SUM('연간'!H59:K59)))),"")</f>
        <v/>
      </c>
      <c r="E49" s="47">
        <f>IFERROR(IF((IF(COUNT('연간'!I59:L59)&lt;4,"",SUM('연간'!I59:L59)))&lt;=0,"적자",E28/(IF(COUNT('연간'!I59:L59)&lt;4,"",SUM('연간'!I59:L59)))),"")</f>
        <v/>
      </c>
      <c r="F49" s="47">
        <f>IFERROR(IF((IF(COUNT('연간'!J59:M59)&lt;4,"",SUM('연간'!J59:M59)))&lt;=0,"적자",F28/(IF(COUNT('연간'!J59:M59)&lt;4,"",SUM('연간'!J59:M59)))),"")</f>
        <v/>
      </c>
      <c r="G49" s="47">
        <f>IFERROR(IF((IF(COUNT('연간'!K59:N59)&lt;4,"",SUM('연간'!K59:N59)))&lt;=0,"적자",G28/(IF(COUNT('연간'!K59:N59)&lt;4,"",SUM('연간'!K59:N59)))),"")</f>
        <v/>
      </c>
      <c r="H49" s="46">
        <f>IFERROR(IF(('연간'!T59)&lt;=0,"적자",H28/('연간'!T59)),"")</f>
        <v/>
      </c>
      <c r="I49" s="47">
        <f>IFERROR(IF(('연간'!U59)&lt;=0,"적자",I28/('연간'!U59)),"")</f>
        <v/>
      </c>
      <c r="J49" s="47">
        <f>IFERROR(IF(('연간'!V59)&lt;=0,"적자",J28/('연간'!V59)),"")</f>
        <v/>
      </c>
      <c r="K49" s="47">
        <f>IFERROR(IF(('연간'!W59)&lt;=0,"적자",K28/('연간'!W59)),"")</f>
        <v/>
      </c>
      <c r="L49" s="47">
        <f>IFERROR(IF(('연간'!X59)&lt;=0,"적자",L28/('연간'!X59)),"")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IFERROR((IF(COUNT('연간'!G59:J59)&lt;4,"",SUM('연간'!G59:J59)))/C31,"")</f>
        <v/>
      </c>
      <c r="D51" s="36">
        <f>IFERROR((IF(COUNT('연간'!H59:K59)&lt;4,"",SUM('연간'!H59:K59)))/D31,"")</f>
        <v/>
      </c>
      <c r="E51" s="36">
        <f>IFERROR((IF(COUNT('연간'!I59:L59)&lt;4,"",SUM('연간'!I59:L59)))/E31,"")</f>
        <v/>
      </c>
      <c r="F51" s="36">
        <f>IFERROR((IF(COUNT('연간'!J59:M59)&lt;4,"",SUM('연간'!J59:M59)))/F31,"")</f>
        <v/>
      </c>
      <c r="G51" s="36">
        <f>IFERROR((IF(COUNT('연간'!K59:N59)&lt;4,"",SUM('연간'!K59:N59)))/G31,"")</f>
        <v/>
      </c>
      <c r="H51" s="35">
        <f>IFERROR(('연간'!T59)/H31,"")</f>
        <v/>
      </c>
      <c r="I51" s="36">
        <f>IFERROR(('연간'!U59)/I31,"")</f>
        <v/>
      </c>
      <c r="J51" s="36">
        <f>IFERROR(('연간'!V59)/J31,"")</f>
        <v/>
      </c>
      <c r="K51" s="36">
        <f>IFERROR(('연간'!W59)/K31,"")</f>
        <v/>
      </c>
      <c r="L51" s="36">
        <f>IFERROR(('연간'!X59)/L31,"")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IFERROR((IF(COUNT('연간'!G58:J58)&lt;4,"",SUM('연간'!G58:J58)))/C16,"")</f>
        <v/>
      </c>
      <c r="D52" s="36">
        <f>IFERROR((IF(COUNT('연간'!H58:K58)&lt;4,"",SUM('연간'!H58:K58)))/D16,"")</f>
        <v/>
      </c>
      <c r="E52" s="36">
        <f>IFERROR((IF(COUNT('연간'!I58:L58)&lt;4,"",SUM('연간'!I58:L58)))/E16,"")</f>
        <v/>
      </c>
      <c r="F52" s="36">
        <f>IFERROR((IF(COUNT('연간'!J58:M58)&lt;4,"",SUM('연간'!J58:M58)))/F16,"")</f>
        <v/>
      </c>
      <c r="G52" s="36">
        <f>IFERROR((IF(COUNT('연간'!K58:N58)&lt;4,"",SUM('연간'!K58:N58)))/G16,"")</f>
        <v/>
      </c>
      <c r="H52" s="35">
        <f>IFERROR(('연간'!T58)/H16,"")</f>
        <v/>
      </c>
      <c r="I52" s="36">
        <f>IFERROR(('연간'!U58)/I16,"")</f>
        <v/>
      </c>
      <c r="J52" s="36">
        <f>IFERROR(('연간'!V58)/J16,"")</f>
        <v/>
      </c>
      <c r="K52" s="36">
        <f>IFERROR(('연간'!W58)/K16,"")</f>
        <v/>
      </c>
      <c r="L52" s="36">
        <f>IFERROR(('연간'!X58)/L16,"")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IFERROR((IF(COUNT('연간'!G27:J27)&lt;4,"",SUM('연간'!G27:J27)))/(IF(COUNT('연간'!G4:J4)&lt;4,"",SUM('연간'!G4:J4))),"")</f>
        <v/>
      </c>
      <c r="D54" s="36">
        <f>IFERROR((IF(COUNT('연간'!H27:K27)&lt;4,"",SUM('연간'!H27:K27)))/(IF(COUNT('연간'!H4:K4)&lt;4,"",SUM('연간'!H4:K4))),"")</f>
        <v/>
      </c>
      <c r="E54" s="36">
        <f>IFERROR((IF(COUNT('연간'!I27:L27)&lt;4,"",SUM('연간'!I27:L27)))/(IF(COUNT('연간'!I4:L4)&lt;4,"",SUM('연간'!I4:L4))),"")</f>
        <v/>
      </c>
      <c r="F54" s="36">
        <f>IFERROR((IF(COUNT('연간'!J27:M27)&lt;4,"",SUM('연간'!J27:M27)))/(IF(COUNT('연간'!J4:M4)&lt;4,"",SUM('연간'!J4:M4))),"")</f>
        <v/>
      </c>
      <c r="G54" s="36">
        <f>IFERROR((IF(COUNT('연간'!K27:N27)&lt;4,"",SUM('연간'!K27:N27)))/(IF(COUNT('연간'!K4:N4)&lt;4,"",SUM('연간'!K4:N4))),"")</f>
        <v/>
      </c>
      <c r="H54" s="35">
        <f>IFERROR(('연간'!T27)/('연간'!T4),"")</f>
        <v/>
      </c>
      <c r="I54" s="36">
        <f>IFERROR(('연간'!U27)/('연간'!U4),"")</f>
        <v/>
      </c>
      <c r="J54" s="36">
        <f>IFERROR(('연간'!V27)/('연간'!V4),"")</f>
        <v/>
      </c>
      <c r="K54" s="36">
        <f>IFERROR(('연간'!W27)/('연간'!W4),"")</f>
        <v/>
      </c>
      <c r="L54" s="36">
        <f>IFERROR(('연간'!X27)/('연간'!X4),"")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IFERROR((IF(COUNT('연간'!G58:J58)&lt;4,"",SUM('연간'!G58:J58)))/(IF(COUNT('연간'!G4:J4)&lt;4,"",SUM('연간'!G4:J4))),"")</f>
        <v/>
      </c>
      <c r="D56" s="36">
        <f>IFERROR((IF(COUNT('연간'!H58:K58)&lt;4,"",SUM('연간'!H58:K58)))/(IF(COUNT('연간'!H4:K4)&lt;4,"",SUM('연간'!H4:K4))),"")</f>
        <v/>
      </c>
      <c r="E56" s="36">
        <f>IFERROR((IF(COUNT('연간'!I58:L58)&lt;4,"",SUM('연간'!I58:L58)))/(IF(COUNT('연간'!I4:L4)&lt;4,"",SUM('연간'!I4:L4))),"")</f>
        <v/>
      </c>
      <c r="F56" s="36">
        <f>IFERROR((IF(COUNT('연간'!J58:M58)&lt;4,"",SUM('연간'!J58:M58)))/(IF(COUNT('연간'!J4:M4)&lt;4,"",SUM('연간'!J4:M4))),"")</f>
        <v/>
      </c>
      <c r="G56" s="36">
        <f>IFERROR((IF(COUNT('연간'!K58:N58)&lt;4,"",SUM('연간'!K58:N58)))/(IF(COUNT('연간'!K4:N4)&lt;4,"",SUM('연간'!K4:N4))),"")</f>
        <v/>
      </c>
      <c r="H56" s="35">
        <f>IFERROR(('연간'!T58)/('연간'!T4),"")</f>
        <v/>
      </c>
      <c r="I56" s="36">
        <f>IFERROR(('연간'!U58)/('연간'!U4),"")</f>
        <v/>
      </c>
      <c r="J56" s="36">
        <f>IFERROR(('연간'!V58)/('연간'!V4),"")</f>
        <v/>
      </c>
      <c r="K56" s="36">
        <f>IFERROR(('연간'!W58)/('연간'!W4),"")</f>
        <v/>
      </c>
      <c r="L56" s="36">
        <f>IFERROR(('연간'!X58)/('연간'!X4),"")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IFERROR(C9/(IF(COUNT('연간'!G26:J26)&lt;4,"",SUM('연간'!G26:J26)))*365,"")</f>
        <v/>
      </c>
      <c r="D60" s="49">
        <f>IFERROR(D9/(IF(COUNT('연간'!H26:K26)&lt;4,"",SUM('연간'!H26:K26)))*365,"")</f>
        <v/>
      </c>
      <c r="E60" s="49">
        <f>IFERROR(E9/(IF(COUNT('연간'!I26:L26)&lt;4,"",SUM('연간'!I26:L26)))*365,"")</f>
        <v/>
      </c>
      <c r="F60" s="49">
        <f>IFERROR(F9/(IF(COUNT('연간'!J26:M26)&lt;4,"",SUM('연간'!J26:M26)))*365,"")</f>
        <v/>
      </c>
      <c r="G60" s="49">
        <f>IFERROR(G9/(IF(COUNT('연간'!K26:N26)&lt;4,"",SUM('연간'!K26:N26)))*365,"")</f>
        <v/>
      </c>
      <c r="H60" s="48">
        <f>IFERROR(H9/('연간'!T26)*365,"")</f>
        <v/>
      </c>
      <c r="I60" s="49">
        <f>IFERROR(I9/('연간'!U26)*365,"")</f>
        <v/>
      </c>
      <c r="J60" s="49">
        <f>IFERROR(J9/('연간'!V26)*365,"")</f>
        <v/>
      </c>
      <c r="K60" s="49">
        <f>IFERROR(K9/('연간'!W26)*365,"")</f>
        <v/>
      </c>
      <c r="L60" s="49">
        <f>IFERROR(L9/('연간'!X26)*365,"")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IFERROR(C19/(IF(COUNT('연간'!G26:J26)&lt;4,"",SUM('연간'!G26:J26)))*365,"")</f>
        <v/>
      </c>
      <c r="D61" s="49">
        <f>IFERROR(D19/(IF(COUNT('연간'!H26:K26)&lt;4,"",SUM('연간'!H26:K26)))*365,"")</f>
        <v/>
      </c>
      <c r="E61" s="49">
        <f>IFERROR(E19/(IF(COUNT('연간'!I26:L26)&lt;4,"",SUM('연간'!I26:L26)))*365,"")</f>
        <v/>
      </c>
      <c r="F61" s="49">
        <f>IFERROR(F19/(IF(COUNT('연간'!J26:M26)&lt;4,"",SUM('연간'!J26:M26)))*365,"")</f>
        <v/>
      </c>
      <c r="G61" s="49">
        <f>IFERROR(G19/(IF(COUNT('연간'!K26:N26)&lt;4,"",SUM('연간'!K26:N26)))*365,"")</f>
        <v/>
      </c>
      <c r="H61" s="48">
        <f>IFERROR(H19/('연간'!T26)*365,"")</f>
        <v/>
      </c>
      <c r="I61" s="49">
        <f>IFERROR(I19/('연간'!U26)*365,"")</f>
        <v/>
      </c>
      <c r="J61" s="49">
        <f>IFERROR(J19/('연간'!V26)*365,"")</f>
        <v/>
      </c>
      <c r="K61" s="49">
        <f>IFERROR(K19/('연간'!W26)*365,"")</f>
        <v/>
      </c>
      <c r="L61" s="49">
        <f>IFERROR(L19/('연간'!X26)*365,"")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IF(C37="","",IFERROR(C37/(IF(COUNT('연간'!G58:J58)&lt;4,"",SUM('연간'!G58:J58))),""))</f>
        <v/>
      </c>
      <c r="D64" s="31">
        <f>IF(D37="","",IFERROR(D37/(IF(COUNT('연간'!H58:K58)&lt;4,"",SUM('연간'!H58:K58))),""))</f>
        <v/>
      </c>
      <c r="E64" s="31">
        <f>IF(E37="","",IFERROR(E37/(IF(COUNT('연간'!I58:L58)&lt;4,"",SUM('연간'!I58:L58))),""))</f>
        <v/>
      </c>
      <c r="F64" s="31">
        <f>IF(F37="","",IFERROR(F37/(IF(COUNT('연간'!J58:M58)&lt;4,"",SUM('연간'!J58:M58))),""))</f>
        <v/>
      </c>
      <c r="G64" s="31">
        <f>IF(G37="","",IFERROR(G37/(IF(COUNT('연간'!K58:N58)&lt;4,"",SUM('연간'!K58:N58))),""))</f>
        <v/>
      </c>
      <c r="H64" s="30">
        <f>IF(H37="","",IFERROR(H37/('연간'!T58),""))</f>
        <v/>
      </c>
      <c r="I64" s="31">
        <f>IF(I37="","",IFERROR(I37/('연간'!U58),""))</f>
        <v/>
      </c>
      <c r="J64" s="31">
        <f>IF(J37="","",IFERROR(J37/('연간'!V58),""))</f>
        <v/>
      </c>
      <c r="K64" s="31">
        <f>IF(K37="","",IFERROR(K37/('연간'!W58),""))</f>
        <v/>
      </c>
      <c r="L64" s="31">
        <f>IF(L37="","",IFERROR(L37/('연간'!X58),""))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IF(C40="","",IFERROR(C40/(IF(COUNT('연간'!G59:J59)&lt;4,"",SUM('연간'!G59:J59))),""))</f>
        <v/>
      </c>
      <c r="D67" s="36">
        <f>IF(D40="","",IFERROR(D40/(IF(COUNT('연간'!H59:K59)&lt;4,"",SUM('연간'!H59:K59))),""))</f>
        <v/>
      </c>
      <c r="E67" s="36">
        <f>IF(E40="","",IFERROR(E40/(IF(COUNT('연간'!I59:L59)&lt;4,"",SUM('연간'!I59:L59))),""))</f>
        <v/>
      </c>
      <c r="F67" s="36">
        <f>IF(F40="","",IFERROR(F40/(IF(COUNT('연간'!J59:M59)&lt;4,"",SUM('연간'!J59:M59))),""))</f>
        <v/>
      </c>
      <c r="G67" s="36">
        <f>IF(G40="","",IFERROR(G40/(IF(COUNT('연간'!K59:N59)&lt;4,"",SUM('연간'!K59:N59))),""))</f>
        <v/>
      </c>
      <c r="H67" s="35">
        <f>IF(H40="","",IFERROR(H40/('연간'!T59),""))</f>
        <v/>
      </c>
      <c r="I67" s="36">
        <f>IF(I40="","",IFERROR(I40/('연간'!U59),""))</f>
        <v/>
      </c>
      <c r="J67" s="36">
        <f>IF(J40="","",IFERROR(J40/('연간'!V59),""))</f>
        <v/>
      </c>
      <c r="K67" s="36">
        <f>IF(K40="","",IFERROR(K40/('연간'!W59),""))</f>
        <v/>
      </c>
      <c r="L67" s="36">
        <f>IF(L40="","",IFERROR(L40/('연간'!X59),""))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47867</v>
      </c>
      <c r="D71" s="20" t="n">
        <v>42251</v>
      </c>
      <c r="E71" s="20" t="n">
        <v>62873</v>
      </c>
      <c r="F71" s="20" t="n">
        <v>39074</v>
      </c>
      <c r="G71" s="20" t="n">
        <v>65749</v>
      </c>
      <c r="H71" s="20" t="n">
        <v>35721</v>
      </c>
      <c r="I71" s="20" t="n">
        <v>37600</v>
      </c>
      <c r="J71" s="20" t="n">
        <v>48910</v>
      </c>
      <c r="K71" s="20" t="n">
        <v>46802</v>
      </c>
      <c r="L71" s="20" t="n">
        <v>62873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C73" s="20" t="n">
        <v>1356</v>
      </c>
      <c r="D73" s="20" t="n">
        <v>1228</v>
      </c>
      <c r="E73" s="20" t="n">
        <v>1475</v>
      </c>
      <c r="F73" s="20" t="n">
        <v>1383</v>
      </c>
      <c r="G73" s="20" t="n">
        <v>1512</v>
      </c>
      <c r="H73" s="20" t="n">
        <v>1096</v>
      </c>
      <c r="I73" s="20" t="n">
        <v>965</v>
      </c>
      <c r="J73" s="20" t="n">
        <v>1019</v>
      </c>
      <c r="K73" s="20" t="n">
        <v>1259</v>
      </c>
      <c r="L73" s="20" t="n">
        <v>1475</v>
      </c>
    </row>
    <row r="74">
      <c r="A74" s="18" t="inlineStr">
        <is>
          <t>판매용 부동산</t>
        </is>
      </c>
      <c r="C74" s="20" t="n">
        <v>3924</v>
      </c>
      <c r="D74" s="20" t="n">
        <v>3315</v>
      </c>
      <c r="E74" s="20" t="n">
        <v>2791</v>
      </c>
      <c r="F74" s="20" t="n">
        <v>2132</v>
      </c>
      <c r="G74" s="20" t="n">
        <v>5147</v>
      </c>
      <c r="H74" s="20" t="n">
        <v>4804</v>
      </c>
      <c r="I74" s="20" t="n">
        <v>4924</v>
      </c>
      <c r="J74" s="20" t="n">
        <v>3408</v>
      </c>
      <c r="K74" s="20" t="n">
        <v>8072</v>
      </c>
      <c r="L74" s="20" t="n">
        <v>2791</v>
      </c>
    </row>
    <row r="75">
      <c r="A75" s="18" t="inlineStr">
        <is>
          <t>개발 중 판매용 부동산</t>
        </is>
      </c>
      <c r="C75" s="20" t="n">
        <v>279212</v>
      </c>
      <c r="D75" s="20" t="n">
        <v>280930</v>
      </c>
      <c r="E75" s="20" t="n">
        <v>280764</v>
      </c>
      <c r="F75" s="20" t="n">
        <v>302476</v>
      </c>
      <c r="G75" s="20" t="n">
        <v>295106</v>
      </c>
      <c r="H75" s="20" t="n">
        <v>138968</v>
      </c>
      <c r="I75" s="20" t="n">
        <v>208585</v>
      </c>
      <c r="J75" s="20" t="n">
        <v>227887</v>
      </c>
      <c r="K75" s="20" t="n">
        <v>263066</v>
      </c>
      <c r="L75" s="20" t="n">
        <v>280764</v>
      </c>
    </row>
    <row r="76">
      <c r="A76" s="18" t="inlineStr">
        <is>
          <t>기타</t>
        </is>
      </c>
      <c r="C76" s="20" t="n">
        <v>18987</v>
      </c>
      <c r="D76" s="20" t="n">
        <v>21460</v>
      </c>
      <c r="E76" s="20" t="n">
        <v>24229</v>
      </c>
      <c r="F76" s="20" t="n">
        <v>22426</v>
      </c>
      <c r="G76" s="20" t="n">
        <v>21415</v>
      </c>
      <c r="H76" s="20" t="n">
        <v>10766</v>
      </c>
      <c r="I76" s="20" t="n">
        <v>13128</v>
      </c>
      <c r="J76" s="20" t="n">
        <v>14267</v>
      </c>
      <c r="K76" s="20" t="n">
        <v>15902</v>
      </c>
      <c r="L76" s="20" t="n">
        <v>24229</v>
      </c>
    </row>
    <row r="77">
      <c r="A77" s="18" t="inlineStr">
        <is>
          <t>대손충당금</t>
        </is>
      </c>
      <c r="C77" s="20" t="n">
        <v>-0</v>
      </c>
      <c r="D77" s="20" t="n">
        <v>-0</v>
      </c>
      <c r="E77" s="20" t="n">
        <v>-0</v>
      </c>
      <c r="F77" s="20" t="n">
        <v>-0</v>
      </c>
      <c r="G77" s="20" t="n">
        <v>-0</v>
      </c>
      <c r="H77" s="20" t="n">
        <v>-1</v>
      </c>
      <c r="I77" s="20" t="n">
        <v>-1</v>
      </c>
      <c r="J77" s="20" t="n">
        <v>-1</v>
      </c>
      <c r="K77" s="20" t="n">
        <v>-0</v>
      </c>
      <c r="L77" s="20" t="n">
        <v>-0</v>
      </c>
    </row>
    <row r="78">
      <c r="A78" s="9" t="inlineStr">
        <is>
          <t>유동자산 합계</t>
        </is>
      </c>
      <c r="C78" s="12" t="n">
        <v>351347</v>
      </c>
      <c r="D78" s="12" t="n">
        <v>349185</v>
      </c>
      <c r="E78" s="12" t="n">
        <v>372134</v>
      </c>
      <c r="F78" s="12" t="n">
        <v>367493</v>
      </c>
      <c r="G78" s="12" t="n">
        <v>388931</v>
      </c>
      <c r="H78" s="12" t="n">
        <v>191357</v>
      </c>
      <c r="I78" s="12" t="n">
        <v>265202</v>
      </c>
      <c r="J78" s="12" t="n">
        <v>295492</v>
      </c>
      <c r="K78" s="12" t="n">
        <v>335103</v>
      </c>
      <c r="L78" s="12" t="n">
        <v>372134</v>
      </c>
    </row>
    <row r="79">
      <c r="A79" s="18" t="inlineStr">
        <is>
          <t>건물·구축물</t>
        </is>
      </c>
      <c r="C79" s="20" t="n">
        <v>33717</v>
      </c>
      <c r="D79" s="20" t="n">
        <v>33872</v>
      </c>
      <c r="E79" s="20" t="n">
        <v>36630</v>
      </c>
      <c r="F79" s="20" t="n">
        <v>36678</v>
      </c>
      <c r="G79" s="20" t="n">
        <v>36882</v>
      </c>
      <c r="H79" s="20" t="n">
        <v>22734</v>
      </c>
      <c r="I79" s="20" t="n">
        <v>27801</v>
      </c>
      <c r="J79" s="20" t="n">
        <v>27832</v>
      </c>
      <c r="K79" s="20" t="n">
        <v>32981</v>
      </c>
      <c r="L79" s="20" t="n">
        <v>36630</v>
      </c>
    </row>
    <row r="80">
      <c r="A80" s="18" t="inlineStr">
        <is>
          <t>감가상각누계액</t>
        </is>
      </c>
      <c r="C80" s="20" t="n">
        <v>-6624</v>
      </c>
      <c r="D80" s="20" t="n">
        <v>-7096</v>
      </c>
      <c r="E80" s="20" t="n">
        <v>-7485</v>
      </c>
      <c r="F80" s="20" t="n">
        <v>-7872</v>
      </c>
      <c r="G80" s="20" t="n">
        <v>-8418</v>
      </c>
      <c r="H80" s="20" t="n">
        <v>-2353</v>
      </c>
      <c r="I80" s="20" t="n">
        <v>-3784</v>
      </c>
      <c r="J80" s="20" t="n">
        <v>-4198</v>
      </c>
      <c r="K80" s="20" t="n">
        <v>-5715</v>
      </c>
      <c r="L80" s="20" t="n">
        <v>-7485</v>
      </c>
    </row>
    <row r="81">
      <c r="A81" s="18" t="inlineStr">
        <is>
          <t>건물·구축물(순액)</t>
        </is>
      </c>
      <c r="C81" s="20" t="n">
        <v>27093</v>
      </c>
      <c r="D81" s="20" t="n">
        <v>26776</v>
      </c>
      <c r="E81" s="20" t="n">
        <v>29144</v>
      </c>
      <c r="F81" s="20" t="n">
        <v>28805</v>
      </c>
      <c r="G81" s="20" t="n">
        <v>28463</v>
      </c>
      <c r="H81" s="20" t="n">
        <v>20380</v>
      </c>
      <c r="I81" s="20" t="n">
        <v>24017</v>
      </c>
      <c r="J81" s="20" t="n">
        <v>23634</v>
      </c>
      <c r="K81" s="20" t="n">
        <v>27265</v>
      </c>
      <c r="L81" s="20" t="n">
        <v>29144</v>
      </c>
    </row>
    <row r="82">
      <c r="A82" s="18" t="inlineStr">
        <is>
          <t>차량운반구</t>
        </is>
      </c>
      <c r="H82" s="20" t="n">
        <v>9</v>
      </c>
    </row>
    <row r="83">
      <c r="A83" s="18" t="inlineStr">
        <is>
          <t>감가상각누계액</t>
        </is>
      </c>
      <c r="H83" s="20" t="n">
        <v>-9</v>
      </c>
    </row>
    <row r="84">
      <c r="A84" s="18" t="inlineStr">
        <is>
          <t>차량운반구(순액)</t>
        </is>
      </c>
      <c r="H84" s="20" t="n">
        <v>0</v>
      </c>
    </row>
    <row r="85">
      <c r="A85" s="18" t="inlineStr">
        <is>
          <t>기계장치·운반구</t>
        </is>
      </c>
      <c r="E85" s="20" t="n">
        <v>70</v>
      </c>
      <c r="H85" s="20" t="n">
        <v>9</v>
      </c>
      <c r="J85" s="20" t="n">
        <v>16</v>
      </c>
      <c r="K85" s="20" t="n">
        <v>65</v>
      </c>
      <c r="L85" s="20" t="n">
        <v>70</v>
      </c>
    </row>
    <row r="86">
      <c r="A86" s="18" t="inlineStr">
        <is>
          <t>감가상각누계액</t>
        </is>
      </c>
      <c r="E86" s="20" t="n">
        <v>-20</v>
      </c>
      <c r="H86" s="20" t="n">
        <v>-9</v>
      </c>
      <c r="J86" s="20" t="n">
        <v>-10</v>
      </c>
      <c r="K86" s="20" t="n">
        <v>-10</v>
      </c>
      <c r="L86" s="20" t="n">
        <v>-20</v>
      </c>
    </row>
    <row r="87">
      <c r="A87" s="18" t="inlineStr">
        <is>
          <t>기계장치·운반구(순액)</t>
        </is>
      </c>
      <c r="E87" s="20" t="n">
        <v>49</v>
      </c>
      <c r="H87" s="20" t="n">
        <v>0</v>
      </c>
      <c r="J87" s="20" t="n">
        <v>6</v>
      </c>
      <c r="K87" s="20" t="n">
        <v>55</v>
      </c>
      <c r="L87" s="20" t="n">
        <v>49</v>
      </c>
    </row>
    <row r="88">
      <c r="A88" s="18" t="inlineStr">
        <is>
          <t>토지</t>
        </is>
      </c>
      <c r="C88" s="20" t="n">
        <v>62937</v>
      </c>
      <c r="D88" s="20" t="n">
        <v>62937</v>
      </c>
      <c r="E88" s="20" t="n">
        <v>63672</v>
      </c>
      <c r="F88" s="20" t="n">
        <v>63447</v>
      </c>
      <c r="G88" s="20" t="n">
        <v>60421</v>
      </c>
      <c r="H88" s="20" t="n">
        <v>31535</v>
      </c>
      <c r="I88" s="20" t="n">
        <v>51311</v>
      </c>
      <c r="J88" s="20" t="n">
        <v>51311</v>
      </c>
      <c r="K88" s="20" t="n">
        <v>56231</v>
      </c>
      <c r="L88" s="20" t="n">
        <v>63672</v>
      </c>
    </row>
    <row r="89">
      <c r="A89" s="18" t="inlineStr">
        <is>
          <t>리스자산</t>
        </is>
      </c>
      <c r="E89" s="20" t="n">
        <v>2</v>
      </c>
      <c r="H89" s="20" t="n">
        <v>2</v>
      </c>
      <c r="J89" s="20" t="n">
        <v>2</v>
      </c>
      <c r="K89" s="20" t="n">
        <v>2</v>
      </c>
      <c r="L89" s="20" t="n">
        <v>2</v>
      </c>
    </row>
    <row r="90">
      <c r="A90" s="18" t="inlineStr">
        <is>
          <t>감가상각누계액</t>
        </is>
      </c>
      <c r="E90" s="20" t="n">
        <v>-2</v>
      </c>
      <c r="H90" s="20" t="n">
        <v>-1</v>
      </c>
      <c r="J90" s="20" t="n">
        <v>-1</v>
      </c>
      <c r="K90" s="20" t="n">
        <v>-2</v>
      </c>
      <c r="L90" s="20" t="n">
        <v>-2</v>
      </c>
    </row>
    <row r="91">
      <c r="A91" s="18" t="inlineStr">
        <is>
          <t>리스자산(순액)</t>
        </is>
      </c>
      <c r="E91" s="20" t="n">
        <v>0</v>
      </c>
      <c r="H91" s="20" t="n">
        <v>1</v>
      </c>
      <c r="J91" s="20" t="n">
        <v>1</v>
      </c>
      <c r="K91" s="20" t="n">
        <v>0</v>
      </c>
      <c r="L91" s="20" t="n">
        <v>0</v>
      </c>
    </row>
    <row r="92">
      <c r="A92" s="18" t="inlineStr">
        <is>
          <t>건설중인자산</t>
        </is>
      </c>
      <c r="E92" s="20" t="n">
        <v>2378</v>
      </c>
      <c r="H92" s="20" t="n">
        <v>109</v>
      </c>
      <c r="J92" s="20" t="n">
        <v>38</v>
      </c>
      <c r="K92" s="20" t="n">
        <v>29</v>
      </c>
      <c r="L92" s="20" t="n">
        <v>2378</v>
      </c>
    </row>
    <row r="93">
      <c r="A93" s="18" t="inlineStr">
        <is>
          <t>기타</t>
        </is>
      </c>
      <c r="C93" s="20" t="n">
        <v>680</v>
      </c>
      <c r="D93" s="20" t="n">
        <v>735</v>
      </c>
      <c r="E93" s="20" t="n">
        <v>3129</v>
      </c>
      <c r="F93" s="20" t="n">
        <v>3309</v>
      </c>
      <c r="G93" s="20" t="n">
        <v>3412</v>
      </c>
      <c r="H93" s="20" t="n">
        <v>395</v>
      </c>
      <c r="I93" s="20" t="n">
        <v>455</v>
      </c>
      <c r="J93" s="20" t="n">
        <v>435</v>
      </c>
      <c r="K93" s="20" t="n">
        <v>520</v>
      </c>
      <c r="L93" s="20" t="n">
        <v>3129</v>
      </c>
    </row>
    <row r="94">
      <c r="A94" s="18" t="inlineStr">
        <is>
          <t>감가상각누계액</t>
        </is>
      </c>
      <c r="C94" s="20" t="n">
        <v>-422</v>
      </c>
      <c r="D94" s="20" t="n">
        <v>-438</v>
      </c>
      <c r="E94" s="20" t="n">
        <v>-438</v>
      </c>
      <c r="F94" s="20" t="n">
        <v>-457</v>
      </c>
      <c r="G94" s="20" t="n">
        <v>-581</v>
      </c>
      <c r="H94" s="20" t="n">
        <v>-283</v>
      </c>
      <c r="I94" s="20" t="n">
        <v>-333</v>
      </c>
      <c r="J94" s="20" t="n">
        <v>-330</v>
      </c>
      <c r="K94" s="20" t="n">
        <v>-382</v>
      </c>
      <c r="L94" s="20" t="n">
        <v>-438</v>
      </c>
    </row>
    <row r="95">
      <c r="A95" s="18" t="inlineStr">
        <is>
          <t>기타(순액)</t>
        </is>
      </c>
      <c r="C95" s="20" t="n">
        <v>258</v>
      </c>
      <c r="D95" s="20" t="n">
        <v>296</v>
      </c>
      <c r="E95" s="20" t="n">
        <v>2690</v>
      </c>
      <c r="F95" s="20" t="n">
        <v>2852</v>
      </c>
      <c r="G95" s="20" t="n">
        <v>2830</v>
      </c>
      <c r="H95" s="20" t="n">
        <v>112</v>
      </c>
      <c r="I95" s="20" t="n">
        <v>122</v>
      </c>
      <c r="J95" s="20" t="n">
        <v>105</v>
      </c>
      <c r="K95" s="20" t="n">
        <v>138</v>
      </c>
      <c r="L95" s="20" t="n">
        <v>2690</v>
      </c>
    </row>
    <row r="96">
      <c r="A96" s="18" t="inlineStr">
        <is>
          <t>유형자산 합계</t>
        </is>
      </c>
      <c r="C96" s="20" t="n">
        <v>90288</v>
      </c>
      <c r="D96" s="20" t="n">
        <v>90010</v>
      </c>
      <c r="E96" s="20" t="n">
        <v>95508</v>
      </c>
      <c r="F96" s="20" t="n">
        <v>95105</v>
      </c>
      <c r="G96" s="20" t="n">
        <v>91714</v>
      </c>
      <c r="H96" s="20" t="n">
        <v>52139</v>
      </c>
      <c r="I96" s="20" t="n">
        <v>75451</v>
      </c>
      <c r="J96" s="20" t="n">
        <v>75098</v>
      </c>
      <c r="K96" s="20" t="n">
        <v>83719</v>
      </c>
      <c r="L96" s="20" t="n">
        <v>95508</v>
      </c>
    </row>
    <row r="97">
      <c r="A97" s="18" t="inlineStr">
        <is>
          <t>영업권</t>
        </is>
      </c>
      <c r="C97" s="20" t="n">
        <v>14740</v>
      </c>
      <c r="D97" s="20" t="n">
        <v>14516</v>
      </c>
      <c r="E97" s="20" t="n">
        <v>14357</v>
      </c>
      <c r="F97" s="20" t="n">
        <v>14130</v>
      </c>
      <c r="G97" s="20" t="n">
        <v>13908</v>
      </c>
      <c r="H97" s="20" t="n">
        <v>7696</v>
      </c>
      <c r="I97" s="20" t="n">
        <v>16409</v>
      </c>
      <c r="J97" s="20" t="n">
        <v>16109</v>
      </c>
      <c r="K97" s="20" t="n">
        <v>15188</v>
      </c>
      <c r="L97" s="20" t="n">
        <v>14357</v>
      </c>
    </row>
    <row r="98">
      <c r="A98" s="18" t="inlineStr">
        <is>
          <t>기타</t>
        </is>
      </c>
      <c r="C98" s="20" t="n">
        <v>99</v>
      </c>
      <c r="D98" s="20" t="n">
        <v>95</v>
      </c>
      <c r="E98" s="20" t="n">
        <v>106</v>
      </c>
      <c r="F98" s="20" t="n">
        <v>99</v>
      </c>
      <c r="G98" s="20" t="n">
        <v>272</v>
      </c>
      <c r="H98" s="20" t="n">
        <v>77</v>
      </c>
      <c r="I98" s="20" t="n">
        <v>73</v>
      </c>
      <c r="J98" s="20" t="n">
        <v>61</v>
      </c>
      <c r="K98" s="20" t="n">
        <v>88</v>
      </c>
      <c r="L98" s="20" t="n">
        <v>106</v>
      </c>
    </row>
    <row r="99">
      <c r="A99" s="18" t="inlineStr">
        <is>
          <t>무형자산 합계</t>
        </is>
      </c>
      <c r="C99" s="20" t="n">
        <v>14839</v>
      </c>
      <c r="D99" s="20" t="n">
        <v>14612</v>
      </c>
      <c r="E99" s="20" t="n">
        <v>14464</v>
      </c>
      <c r="F99" s="20" t="n">
        <v>14230</v>
      </c>
      <c r="G99" s="20" t="n">
        <v>14180</v>
      </c>
      <c r="H99" s="20" t="n">
        <v>7774</v>
      </c>
      <c r="I99" s="20" t="n">
        <v>16483</v>
      </c>
      <c r="J99" s="20" t="n">
        <v>16170</v>
      </c>
      <c r="K99" s="20" t="n">
        <v>15277</v>
      </c>
      <c r="L99" s="20" t="n">
        <v>14464</v>
      </c>
    </row>
    <row r="100">
      <c r="A100" s="18" t="inlineStr">
        <is>
          <t>투자유가증권</t>
        </is>
      </c>
      <c r="E100" s="20" t="n">
        <v>20126</v>
      </c>
      <c r="H100" s="20" t="n">
        <v>6279</v>
      </c>
      <c r="J100" s="20" t="n">
        <v>7950</v>
      </c>
      <c r="K100" s="20" t="n">
        <v>19546</v>
      </c>
      <c r="L100" s="20" t="n">
        <v>20126</v>
      </c>
    </row>
    <row r="101">
      <c r="A101" s="18" t="inlineStr">
        <is>
          <t>장기대여금</t>
        </is>
      </c>
      <c r="E101" s="20" t="n">
        <v>2419</v>
      </c>
      <c r="H101" s="20" t="n">
        <v>2475</v>
      </c>
      <c r="J101" s="20" t="n">
        <v>2471</v>
      </c>
      <c r="K101" s="20" t="n">
        <v>2438</v>
      </c>
      <c r="L101" s="20" t="n">
        <v>2419</v>
      </c>
    </row>
    <row r="102">
      <c r="A102" s="18" t="inlineStr">
        <is>
          <t>이연법인세자산</t>
        </is>
      </c>
      <c r="E102" s="20" t="n">
        <v>1521</v>
      </c>
      <c r="H102" s="20" t="n">
        <v>352</v>
      </c>
      <c r="J102" s="20" t="n">
        <v>73</v>
      </c>
      <c r="K102" s="20" t="n">
        <v>552</v>
      </c>
      <c r="L102" s="20" t="n">
        <v>1521</v>
      </c>
    </row>
    <row r="103">
      <c r="A103" s="18" t="inlineStr">
        <is>
          <t>기타</t>
        </is>
      </c>
      <c r="C103" s="20" t="n">
        <v>26311</v>
      </c>
      <c r="D103" s="20" t="n">
        <v>27949</v>
      </c>
      <c r="E103" s="20" t="n">
        <v>29406</v>
      </c>
      <c r="F103" s="20" t="n">
        <v>31622</v>
      </c>
      <c r="G103" s="20" t="n">
        <v>33088</v>
      </c>
      <c r="H103" s="20" t="n">
        <v>4827</v>
      </c>
      <c r="I103" s="20" t="n">
        <v>14645</v>
      </c>
      <c r="J103" s="20" t="n">
        <v>4252</v>
      </c>
      <c r="K103" s="20" t="n">
        <v>4985</v>
      </c>
      <c r="L103" s="20" t="n">
        <v>29406</v>
      </c>
    </row>
    <row r="104">
      <c r="A104" s="18" t="inlineStr">
        <is>
          <t>대손충당금</t>
        </is>
      </c>
      <c r="C104" s="20" t="n">
        <v>-1812</v>
      </c>
      <c r="D104" s="20" t="n">
        <v>-1812</v>
      </c>
      <c r="E104" s="20" t="n">
        <v>-1812</v>
      </c>
      <c r="F104" s="20" t="n">
        <v>-1812</v>
      </c>
      <c r="G104" s="20" t="n">
        <v>-1812</v>
      </c>
      <c r="H104" s="20" t="n">
        <v>-1521</v>
      </c>
      <c r="I104" s="20" t="n">
        <v>-1521</v>
      </c>
      <c r="J104" s="20" t="n">
        <v>-1812</v>
      </c>
      <c r="K104" s="20" t="n">
        <v>-1812</v>
      </c>
      <c r="L104" s="20" t="n">
        <v>-1812</v>
      </c>
    </row>
    <row r="105">
      <c r="A105" s="18" t="inlineStr">
        <is>
          <t>투자 및 기타자산 합계</t>
        </is>
      </c>
      <c r="C105" s="20" t="n">
        <v>24498</v>
      </c>
      <c r="D105" s="20" t="n">
        <v>26137</v>
      </c>
      <c r="E105" s="20" t="n">
        <v>27593</v>
      </c>
      <c r="F105" s="20" t="n">
        <v>29809</v>
      </c>
      <c r="G105" s="20" t="n">
        <v>31275</v>
      </c>
      <c r="H105" s="20" t="n">
        <v>12413</v>
      </c>
      <c r="I105" s="20" t="n">
        <v>13124</v>
      </c>
      <c r="J105" s="20" t="n">
        <v>12935</v>
      </c>
      <c r="K105" s="20" t="n">
        <v>25711</v>
      </c>
      <c r="L105" s="20" t="n">
        <v>27593</v>
      </c>
    </row>
    <row r="106">
      <c r="A106" s="9" t="inlineStr">
        <is>
          <t>비유동자산 합계</t>
        </is>
      </c>
      <c r="C106" s="12" t="n">
        <v>129627</v>
      </c>
      <c r="D106" s="12" t="n">
        <v>130759</v>
      </c>
      <c r="E106" s="12" t="n">
        <v>137565</v>
      </c>
      <c r="F106" s="12" t="n">
        <v>139145</v>
      </c>
      <c r="G106" s="12" t="n">
        <v>137170</v>
      </c>
      <c r="H106" s="12" t="n">
        <v>72327</v>
      </c>
      <c r="I106" s="12" t="n">
        <v>105059</v>
      </c>
      <c r="J106" s="12" t="n">
        <v>104204</v>
      </c>
      <c r="K106" s="12" t="n">
        <v>124708</v>
      </c>
      <c r="L106" s="12" t="n">
        <v>137565</v>
      </c>
    </row>
    <row r="107">
      <c r="A107" s="18" t="inlineStr">
        <is>
          <t>주식교부비</t>
        </is>
      </c>
      <c r="H107" s="20" t="n">
        <v>45</v>
      </c>
      <c r="I107" s="20" t="n">
        <v>9</v>
      </c>
    </row>
    <row r="108">
      <c r="A108" s="18" t="inlineStr">
        <is>
          <t>사채발행비</t>
        </is>
      </c>
      <c r="C108" s="20" t="n">
        <v>82</v>
      </c>
      <c r="D108" s="20" t="n">
        <v>78</v>
      </c>
      <c r="E108" s="20" t="n">
        <v>73</v>
      </c>
      <c r="F108" s="20" t="n">
        <v>68</v>
      </c>
      <c r="G108" s="20" t="n">
        <v>129</v>
      </c>
      <c r="J108" s="20" t="n">
        <v>0</v>
      </c>
      <c r="K108" s="20" t="n">
        <v>36</v>
      </c>
      <c r="L108" s="20" t="n">
        <v>73</v>
      </c>
    </row>
    <row r="109">
      <c r="A109" s="18" t="inlineStr">
        <is>
          <t>이연자산 합계</t>
        </is>
      </c>
      <c r="C109" s="20" t="n">
        <v>82</v>
      </c>
      <c r="D109" s="20" t="n">
        <v>78</v>
      </c>
      <c r="E109" s="20" t="n">
        <v>73</v>
      </c>
      <c r="F109" s="20" t="n">
        <v>68</v>
      </c>
      <c r="G109" s="20" t="n">
        <v>129</v>
      </c>
      <c r="H109" s="20" t="n">
        <v>45</v>
      </c>
      <c r="I109" s="20" t="n">
        <v>9</v>
      </c>
      <c r="J109" s="20" t="n">
        <v>0</v>
      </c>
      <c r="K109" s="20" t="n">
        <v>36</v>
      </c>
      <c r="L109" s="20" t="n">
        <v>73</v>
      </c>
    </row>
    <row r="110">
      <c r="A110" s="9" t="inlineStr">
        <is>
          <t>자산 합계</t>
        </is>
      </c>
      <c r="C110" s="12" t="n">
        <v>481057</v>
      </c>
      <c r="D110" s="12" t="n">
        <v>480023</v>
      </c>
      <c r="E110" s="12" t="n">
        <v>509773</v>
      </c>
      <c r="F110" s="12" t="n">
        <v>506706</v>
      </c>
      <c r="G110" s="12" t="n">
        <v>526232</v>
      </c>
      <c r="H110" s="12" t="n">
        <v>263729</v>
      </c>
      <c r="I110" s="12" t="n">
        <v>370270</v>
      </c>
      <c r="J110" s="12" t="n">
        <v>399696</v>
      </c>
      <c r="K110" s="12" t="n">
        <v>459847</v>
      </c>
      <c r="L110" s="12" t="n">
        <v>509773</v>
      </c>
    </row>
    <row r="111">
      <c r="A111" s="18" t="inlineStr">
        <is>
          <t>단기차입금</t>
        </is>
      </c>
      <c r="C111" s="20" t="n">
        <v>6334</v>
      </c>
      <c r="D111" s="20" t="n">
        <v>9887</v>
      </c>
      <c r="E111" s="20" t="n">
        <v>12002</v>
      </c>
      <c r="F111" s="20" t="n">
        <v>15466</v>
      </c>
      <c r="G111" s="20" t="n">
        <v>14470</v>
      </c>
      <c r="H111" s="20" t="n">
        <v>10061</v>
      </c>
      <c r="I111" s="20" t="n">
        <v>39460</v>
      </c>
      <c r="J111" s="20" t="n">
        <v>51537</v>
      </c>
      <c r="K111" s="20" t="n">
        <v>4735</v>
      </c>
      <c r="L111" s="20" t="n">
        <v>12002</v>
      </c>
    </row>
    <row r="112">
      <c r="A112" s="18" t="inlineStr">
        <is>
          <t>1년 내 상환 장기차입금</t>
        </is>
      </c>
      <c r="C112" s="20" t="n">
        <v>76253</v>
      </c>
      <c r="D112" s="20" t="n">
        <v>73009</v>
      </c>
      <c r="E112" s="20" t="n">
        <v>48760</v>
      </c>
      <c r="F112" s="20" t="n">
        <v>54098</v>
      </c>
      <c r="G112" s="20" t="n">
        <v>70003</v>
      </c>
      <c r="H112" s="20" t="n">
        <v>26193</v>
      </c>
      <c r="I112" s="20" t="n">
        <v>32592</v>
      </c>
      <c r="J112" s="20" t="n">
        <v>42699</v>
      </c>
      <c r="K112" s="20" t="n">
        <v>66387</v>
      </c>
      <c r="L112" s="20" t="n">
        <v>48760</v>
      </c>
    </row>
    <row r="113">
      <c r="A113" s="18" t="inlineStr">
        <is>
          <t>리스부채</t>
        </is>
      </c>
      <c r="E113" s="20" t="n">
        <v>0</v>
      </c>
      <c r="H113" s="20" t="n">
        <v>0</v>
      </c>
      <c r="J113" s="20" t="n">
        <v>0</v>
      </c>
      <c r="K113" s="20" t="n">
        <v>0</v>
      </c>
      <c r="L113" s="20" t="n">
        <v>0</v>
      </c>
    </row>
    <row r="114">
      <c r="A114" s="18" t="inlineStr">
        <is>
          <t>미지급금</t>
        </is>
      </c>
      <c r="E114" s="20" t="n">
        <v>5488</v>
      </c>
      <c r="H114" s="20" t="n">
        <v>4702</v>
      </c>
      <c r="J114" s="20" t="n">
        <v>2887</v>
      </c>
      <c r="K114" s="20" t="n">
        <v>4596</v>
      </c>
      <c r="L114" s="20" t="n">
        <v>5488</v>
      </c>
    </row>
    <row r="115">
      <c r="A115" s="18" t="inlineStr">
        <is>
          <t>미지급법인세</t>
        </is>
      </c>
      <c r="C115" s="20" t="n">
        <v>1362</v>
      </c>
      <c r="D115" s="20" t="n">
        <v>1791</v>
      </c>
      <c r="E115" s="20" t="n">
        <v>5138</v>
      </c>
      <c r="F115" s="20" t="n">
        <v>249</v>
      </c>
      <c r="G115" s="20" t="n">
        <v>3051</v>
      </c>
      <c r="H115" s="20" t="n">
        <v>3258</v>
      </c>
      <c r="I115" s="20" t="n">
        <v>3108</v>
      </c>
      <c r="J115" s="20" t="n">
        <v>594</v>
      </c>
      <c r="K115" s="20" t="n">
        <v>6373</v>
      </c>
      <c r="L115" s="20" t="n">
        <v>5138</v>
      </c>
    </row>
    <row r="116">
      <c r="A116" s="18" t="inlineStr">
        <is>
          <t>선수금</t>
        </is>
      </c>
      <c r="E116" s="20" t="n">
        <v>6896</v>
      </c>
      <c r="H116" s="20" t="n">
        <v>5201</v>
      </c>
      <c r="J116" s="20" t="n">
        <v>5960</v>
      </c>
      <c r="K116" s="20" t="n">
        <v>4854</v>
      </c>
      <c r="L116" s="20" t="n">
        <v>6896</v>
      </c>
    </row>
    <row r="117">
      <c r="A117" s="18" t="inlineStr">
        <is>
          <t>예수금</t>
        </is>
      </c>
      <c r="E117" s="20" t="n">
        <v>11884</v>
      </c>
      <c r="H117" s="20" t="n">
        <v>5416</v>
      </c>
      <c r="J117" s="20" t="n">
        <v>4442</v>
      </c>
      <c r="K117" s="20" t="n">
        <v>7607</v>
      </c>
      <c r="L117" s="20" t="n">
        <v>11884</v>
      </c>
    </row>
    <row r="118">
      <c r="A118" s="18" t="inlineStr">
        <is>
          <t>자산복구부채</t>
        </is>
      </c>
      <c r="E118" s="20" t="n">
        <v>0</v>
      </c>
      <c r="J118" s="20" t="n">
        <v>0</v>
      </c>
      <c r="K118" s="20" t="n">
        <v>8</v>
      </c>
      <c r="L118" s="20" t="n">
        <v>0</v>
      </c>
    </row>
    <row r="119">
      <c r="A119" s="18" t="inlineStr">
        <is>
          <t>기타 충당금</t>
        </is>
      </c>
      <c r="E119" s="20" t="n">
        <v>0</v>
      </c>
      <c r="G119" s="20" t="n">
        <v>18</v>
      </c>
      <c r="L119" s="20" t="n">
        <v>0</v>
      </c>
    </row>
    <row r="120">
      <c r="A120" s="18" t="inlineStr">
        <is>
          <t>기타</t>
        </is>
      </c>
      <c r="C120" s="20" t="n">
        <v>17433</v>
      </c>
      <c r="D120" s="20" t="n">
        <v>18452</v>
      </c>
      <c r="E120" s="20" t="n">
        <v>25989</v>
      </c>
      <c r="F120" s="20" t="n">
        <v>17648</v>
      </c>
      <c r="G120" s="20" t="n">
        <v>19227</v>
      </c>
      <c r="H120" s="20" t="n">
        <v>856</v>
      </c>
      <c r="I120" s="20" t="n">
        <v>12971</v>
      </c>
      <c r="J120" s="20" t="n">
        <v>458</v>
      </c>
      <c r="K120" s="20" t="n">
        <v>1090</v>
      </c>
      <c r="L120" s="20" t="n">
        <v>25989</v>
      </c>
    </row>
    <row r="121">
      <c r="A121" s="9" t="inlineStr">
        <is>
          <t>유동부채 합계</t>
        </is>
      </c>
      <c r="C121" s="12" t="n">
        <v>101384</v>
      </c>
      <c r="D121" s="12" t="n">
        <v>103141</v>
      </c>
      <c r="E121" s="12" t="n">
        <v>91890</v>
      </c>
      <c r="F121" s="12" t="n">
        <v>87462</v>
      </c>
      <c r="G121" s="12" t="n">
        <v>106772</v>
      </c>
      <c r="H121" s="12" t="n">
        <v>55690</v>
      </c>
      <c r="I121" s="12" t="n">
        <v>88133</v>
      </c>
      <c r="J121" s="12" t="n">
        <v>108580</v>
      </c>
      <c r="K121" s="12" t="n">
        <v>95654</v>
      </c>
      <c r="L121" s="12" t="n">
        <v>91890</v>
      </c>
    </row>
    <row r="122">
      <c r="A122" s="18" t="inlineStr">
        <is>
          <t>사채</t>
        </is>
      </c>
      <c r="C122" s="20" t="n">
        <v>17400</v>
      </c>
      <c r="D122" s="20" t="n">
        <v>17400</v>
      </c>
      <c r="E122" s="20" t="n">
        <v>17400</v>
      </c>
      <c r="F122" s="20" t="n">
        <v>17400</v>
      </c>
      <c r="G122" s="20" t="n">
        <v>32400</v>
      </c>
      <c r="J122" s="20" t="n">
        <v>0</v>
      </c>
      <c r="K122" s="20" t="n">
        <v>7400</v>
      </c>
      <c r="L122" s="20" t="n">
        <v>17400</v>
      </c>
    </row>
    <row r="123">
      <c r="A123" s="18" t="inlineStr">
        <is>
          <t>장기차입금</t>
        </is>
      </c>
      <c r="C123" s="20" t="n">
        <v>267298</v>
      </c>
      <c r="D123" s="20" t="n">
        <v>261287</v>
      </c>
      <c r="E123" s="20" t="n">
        <v>291606</v>
      </c>
      <c r="F123" s="20" t="n">
        <v>296814</v>
      </c>
      <c r="G123" s="20" t="n">
        <v>275741</v>
      </c>
      <c r="H123" s="20" t="n">
        <v>132810</v>
      </c>
      <c r="I123" s="20" t="n">
        <v>190804</v>
      </c>
      <c r="J123" s="20" t="n">
        <v>199557</v>
      </c>
      <c r="K123" s="20" t="n">
        <v>257872</v>
      </c>
      <c r="L123" s="20" t="n">
        <v>291606</v>
      </c>
    </row>
    <row r="124">
      <c r="A124" s="18" t="inlineStr">
        <is>
          <t>리스부채</t>
        </is>
      </c>
      <c r="E124" s="20" t="n">
        <v>0</v>
      </c>
      <c r="H124" s="20" t="n">
        <v>1</v>
      </c>
      <c r="J124" s="20" t="n">
        <v>0</v>
      </c>
      <c r="K124" s="20" t="n">
        <v>0</v>
      </c>
      <c r="L124" s="20" t="n">
        <v>0</v>
      </c>
    </row>
    <row r="125">
      <c r="A125" s="18" t="inlineStr">
        <is>
          <t>이연법인세부채</t>
        </is>
      </c>
      <c r="E125" s="20" t="n">
        <v>14691</v>
      </c>
      <c r="H125" s="20" t="n">
        <v>7916</v>
      </c>
      <c r="J125" s="20" t="n">
        <v>17087</v>
      </c>
      <c r="K125" s="20" t="n">
        <v>16295</v>
      </c>
      <c r="L125" s="20" t="n">
        <v>14691</v>
      </c>
    </row>
    <row r="126">
      <c r="A126" s="18" t="inlineStr">
        <is>
          <t>임원 주식급여 충당금</t>
        </is>
      </c>
      <c r="C126" s="20" t="n">
        <v>228</v>
      </c>
      <c r="D126" s="20" t="n">
        <v>228</v>
      </c>
      <c r="E126" s="20" t="n">
        <v>294</v>
      </c>
      <c r="F126" s="20" t="n">
        <v>294</v>
      </c>
      <c r="G126" s="20" t="n">
        <v>294</v>
      </c>
      <c r="H126" s="20" t="n">
        <v>186</v>
      </c>
      <c r="I126" s="20" t="n">
        <v>211</v>
      </c>
      <c r="J126" s="20" t="n">
        <v>227</v>
      </c>
      <c r="K126" s="20" t="n">
        <v>229</v>
      </c>
      <c r="L126" s="20" t="n">
        <v>294</v>
      </c>
    </row>
    <row r="127">
      <c r="A127" s="18" t="inlineStr">
        <is>
          <t>주식급여 충당금</t>
        </is>
      </c>
      <c r="C127" s="20" t="n">
        <v>143</v>
      </c>
      <c r="D127" s="20" t="n">
        <v>146</v>
      </c>
      <c r="E127" s="20" t="n">
        <v>151</v>
      </c>
      <c r="F127" s="20" t="n">
        <v>161</v>
      </c>
      <c r="G127" s="20" t="n">
        <v>164</v>
      </c>
      <c r="H127" s="20" t="n">
        <v>109</v>
      </c>
      <c r="I127" s="20" t="n">
        <v>111</v>
      </c>
      <c r="J127" s="20" t="n">
        <v>116</v>
      </c>
      <c r="K127" s="20" t="n">
        <v>128</v>
      </c>
      <c r="L127" s="20" t="n">
        <v>151</v>
      </c>
    </row>
    <row r="128">
      <c r="A128" s="18" t="inlineStr">
        <is>
          <t>기타 충당금</t>
        </is>
      </c>
      <c r="E128" s="20" t="n">
        <v>0</v>
      </c>
      <c r="G128" s="20" t="n">
        <v>7</v>
      </c>
      <c r="L128" s="20" t="n">
        <v>0</v>
      </c>
    </row>
    <row r="129">
      <c r="A129" s="18" t="inlineStr">
        <is>
          <t>자산복구부채</t>
        </is>
      </c>
      <c r="C129" s="20" t="n">
        <v>284</v>
      </c>
      <c r="D129" s="20" t="n">
        <v>296</v>
      </c>
      <c r="E129" s="20" t="n">
        <v>296</v>
      </c>
      <c r="F129" s="20" t="n">
        <v>363</v>
      </c>
      <c r="G129" s="20" t="n">
        <v>515</v>
      </c>
      <c r="H129" s="20" t="n">
        <v>271</v>
      </c>
      <c r="I129" s="20" t="n">
        <v>276</v>
      </c>
      <c r="J129" s="20" t="n">
        <v>277</v>
      </c>
      <c r="K129" s="20" t="n">
        <v>278</v>
      </c>
      <c r="L129" s="20" t="n">
        <v>296</v>
      </c>
    </row>
    <row r="130">
      <c r="A130" s="18" t="inlineStr">
        <is>
          <t>지분법 적용 관련 부채</t>
        </is>
      </c>
      <c r="E130" s="20" t="n">
        <v>3640</v>
      </c>
      <c r="K130" s="20" t="n">
        <v>0</v>
      </c>
      <c r="L130" s="20" t="n">
        <v>3640</v>
      </c>
    </row>
    <row r="131">
      <c r="A131" s="18" t="inlineStr">
        <is>
          <t>기타</t>
        </is>
      </c>
      <c r="C131" s="20" t="n">
        <v>19597</v>
      </c>
      <c r="D131" s="20" t="n">
        <v>19382</v>
      </c>
      <c r="E131" s="20" t="n">
        <v>22012</v>
      </c>
      <c r="F131" s="20" t="n">
        <v>22466</v>
      </c>
      <c r="G131" s="20" t="n">
        <v>22085</v>
      </c>
      <c r="H131" s="20" t="n">
        <v>2598</v>
      </c>
      <c r="I131" s="20" t="n">
        <v>20264</v>
      </c>
      <c r="J131" s="20" t="n">
        <v>3146</v>
      </c>
      <c r="K131" s="20" t="n">
        <v>3307</v>
      </c>
      <c r="L131" s="20" t="n">
        <v>22012</v>
      </c>
    </row>
    <row r="132">
      <c r="A132" s="9" t="inlineStr">
        <is>
          <t>비유동부채 합계</t>
        </is>
      </c>
      <c r="C132" s="12" t="n">
        <v>304953</v>
      </c>
      <c r="D132" s="12" t="n">
        <v>298743</v>
      </c>
      <c r="E132" s="12" t="n">
        <v>331760</v>
      </c>
      <c r="F132" s="12" t="n">
        <v>337499</v>
      </c>
      <c r="G132" s="12" t="n">
        <v>331209</v>
      </c>
      <c r="H132" s="12" t="n">
        <v>143894</v>
      </c>
      <c r="I132" s="12" t="n">
        <v>211668</v>
      </c>
      <c r="J132" s="12" t="n">
        <v>220413</v>
      </c>
      <c r="K132" s="12" t="n">
        <v>285512</v>
      </c>
      <c r="L132" s="12" t="n">
        <v>331760</v>
      </c>
    </row>
    <row r="133">
      <c r="A133" s="9" t="inlineStr">
        <is>
          <t>부채 합계</t>
        </is>
      </c>
      <c r="C133" s="12" t="n">
        <v>406337</v>
      </c>
      <c r="D133" s="12" t="n">
        <v>401884</v>
      </c>
      <c r="E133" s="12" t="n">
        <v>423651</v>
      </c>
      <c r="F133" s="12" t="n">
        <v>424961</v>
      </c>
      <c r="G133" s="12" t="n">
        <v>437981</v>
      </c>
      <c r="H133" s="12" t="n">
        <v>199585</v>
      </c>
      <c r="I133" s="12" t="n">
        <v>299801</v>
      </c>
      <c r="J133" s="12" t="n">
        <v>328994</v>
      </c>
      <c r="K133" s="12" t="n">
        <v>381166</v>
      </c>
      <c r="L133" s="12" t="n">
        <v>423651</v>
      </c>
    </row>
    <row r="134">
      <c r="A134" s="18" t="inlineStr">
        <is>
          <t>자본금</t>
        </is>
      </c>
      <c r="C134" s="20" t="n">
        <v>16519</v>
      </c>
      <c r="D134" s="20" t="n">
        <v>16519</v>
      </c>
      <c r="E134" s="20" t="n">
        <v>16519</v>
      </c>
      <c r="F134" s="20" t="n">
        <v>16519</v>
      </c>
      <c r="G134" s="20" t="n">
        <v>16519</v>
      </c>
      <c r="H134" s="20" t="n">
        <v>16519</v>
      </c>
      <c r="I134" s="20" t="n">
        <v>16519</v>
      </c>
      <c r="J134" s="20" t="n">
        <v>16519</v>
      </c>
      <c r="K134" s="20" t="n">
        <v>16519</v>
      </c>
      <c r="L134" s="20" t="n">
        <v>16519</v>
      </c>
    </row>
    <row r="135">
      <c r="A135" s="18" t="inlineStr">
        <is>
          <t>자본잉여금</t>
        </is>
      </c>
      <c r="C135" s="20" t="n">
        <v>12527</v>
      </c>
      <c r="D135" s="20" t="n">
        <v>12565</v>
      </c>
      <c r="E135" s="20" t="n">
        <v>12565</v>
      </c>
      <c r="F135" s="20" t="n">
        <v>12565</v>
      </c>
      <c r="G135" s="20" t="n">
        <v>12563</v>
      </c>
      <c r="H135" s="20" t="n">
        <v>12424</v>
      </c>
      <c r="I135" s="20" t="n">
        <v>12436</v>
      </c>
      <c r="J135" s="20" t="n">
        <v>12461</v>
      </c>
      <c r="K135" s="20" t="n">
        <v>12523</v>
      </c>
      <c r="L135" s="20" t="n">
        <v>12565</v>
      </c>
    </row>
    <row r="136">
      <c r="A136" s="18" t="inlineStr">
        <is>
          <t>이익잉여금</t>
        </is>
      </c>
      <c r="C136" s="20" t="n">
        <v>48444</v>
      </c>
      <c r="D136" s="20" t="n">
        <v>51405</v>
      </c>
      <c r="E136" s="20" t="n">
        <v>58777</v>
      </c>
      <c r="F136" s="20" t="n">
        <v>53386</v>
      </c>
      <c r="G136" s="20" t="n">
        <v>59027</v>
      </c>
      <c r="H136" s="20" t="n">
        <v>38326</v>
      </c>
      <c r="I136" s="20" t="n">
        <v>44484</v>
      </c>
      <c r="J136" s="20" t="n">
        <v>44703</v>
      </c>
      <c r="K136" s="20" t="n">
        <v>51247</v>
      </c>
      <c r="L136" s="20" t="n">
        <v>58777</v>
      </c>
    </row>
    <row r="137">
      <c r="A137" s="18" t="inlineStr">
        <is>
          <t>자기주식</t>
        </is>
      </c>
      <c r="C137" s="20" t="n">
        <v>-1331</v>
      </c>
      <c r="D137" s="20" t="n">
        <v>-1262</v>
      </c>
      <c r="E137" s="20" t="n">
        <v>-1262</v>
      </c>
      <c r="F137" s="20" t="n">
        <v>-1262</v>
      </c>
      <c r="G137" s="20" t="n">
        <v>-1258</v>
      </c>
      <c r="H137" s="20" t="n">
        <v>-1457</v>
      </c>
      <c r="I137" s="20" t="n">
        <v>-1427</v>
      </c>
      <c r="J137" s="20" t="n">
        <v>-1383</v>
      </c>
      <c r="K137" s="20" t="n">
        <v>-1344</v>
      </c>
      <c r="L137" s="20" t="n">
        <v>-1262</v>
      </c>
    </row>
    <row r="138">
      <c r="A138" s="9" t="inlineStr">
        <is>
          <t>주주자본 합계</t>
        </is>
      </c>
      <c r="C138" s="12" t="n">
        <v>76160</v>
      </c>
      <c r="D138" s="12" t="n">
        <v>79227</v>
      </c>
      <c r="E138" s="12" t="n">
        <v>86600</v>
      </c>
      <c r="F138" s="12" t="n">
        <v>81209</v>
      </c>
      <c r="G138" s="12" t="n">
        <v>86852</v>
      </c>
      <c r="H138" s="12" t="n">
        <v>65813</v>
      </c>
      <c r="I138" s="12" t="n">
        <v>72012</v>
      </c>
      <c r="J138" s="12" t="n">
        <v>72301</v>
      </c>
      <c r="K138" s="12" t="n">
        <v>78946</v>
      </c>
      <c r="L138" s="12" t="n">
        <v>86600</v>
      </c>
    </row>
    <row r="139">
      <c r="A139" s="18" t="inlineStr">
        <is>
          <t>기타유가증권 평가차액</t>
        </is>
      </c>
      <c r="C139" s="20" t="n">
        <v>129</v>
      </c>
      <c r="D139" s="20" t="n">
        <v>195</v>
      </c>
      <c r="E139" s="20" t="n">
        <v>85</v>
      </c>
      <c r="F139" s="20" t="n">
        <v>934</v>
      </c>
      <c r="G139" s="20" t="n">
        <v>1446</v>
      </c>
      <c r="H139" s="20" t="n">
        <v>79</v>
      </c>
      <c r="I139" s="20" t="n">
        <v>58</v>
      </c>
      <c r="J139" s="20" t="n">
        <v>149</v>
      </c>
      <c r="K139" s="20" t="n">
        <v>47</v>
      </c>
      <c r="L139" s="20" t="n">
        <v>85</v>
      </c>
    </row>
    <row r="140">
      <c r="A140" s="18" t="inlineStr">
        <is>
          <t>해외사업환산조정</t>
        </is>
      </c>
      <c r="C140" s="20" t="n">
        <v>-917</v>
      </c>
      <c r="D140" s="20" t="n">
        <v>-613</v>
      </c>
      <c r="E140" s="20" t="n">
        <v>48</v>
      </c>
      <c r="F140" s="20" t="n">
        <v>233</v>
      </c>
      <c r="G140" s="20" t="n">
        <v>468</v>
      </c>
      <c r="H140" s="20" t="n">
        <v>13</v>
      </c>
      <c r="I140" s="20" t="n">
        <v>56</v>
      </c>
      <c r="J140" s="20" t="n">
        <v>52</v>
      </c>
      <c r="K140" s="20" t="n">
        <v>146</v>
      </c>
      <c r="L140" s="20" t="n">
        <v>48</v>
      </c>
    </row>
    <row r="141">
      <c r="A141" s="18" t="inlineStr">
        <is>
          <t>기타포괄손익누계액 합계</t>
        </is>
      </c>
      <c r="C141" s="20" t="n">
        <v>-788</v>
      </c>
      <c r="D141" s="20" t="n">
        <v>-417</v>
      </c>
      <c r="E141" s="20" t="n">
        <v>134</v>
      </c>
      <c r="F141" s="20" t="n">
        <v>1167</v>
      </c>
      <c r="G141" s="20" t="n">
        <v>1915</v>
      </c>
      <c r="H141" s="20" t="n">
        <v>93</v>
      </c>
      <c r="I141" s="20" t="n">
        <v>115</v>
      </c>
      <c r="J141" s="20" t="n">
        <v>202</v>
      </c>
      <c r="K141" s="20" t="n">
        <v>194</v>
      </c>
      <c r="L141" s="20" t="n">
        <v>134</v>
      </c>
    </row>
    <row r="142">
      <c r="A142" s="18" t="inlineStr">
        <is>
          <t>신주예약권</t>
        </is>
      </c>
      <c r="C142" s="20" t="n">
        <v>0</v>
      </c>
      <c r="D142" s="20" t="n">
        <v>0</v>
      </c>
      <c r="E142" s="20" t="n">
        <v>0</v>
      </c>
      <c r="H142" s="20" t="n">
        <v>0</v>
      </c>
      <c r="I142" s="20" t="n">
        <v>0</v>
      </c>
      <c r="J142" s="20" t="n">
        <v>0</v>
      </c>
      <c r="K142" s="20" t="n">
        <v>0</v>
      </c>
      <c r="L142" s="20" t="n">
        <v>0</v>
      </c>
    </row>
    <row r="143">
      <c r="A143" s="18" t="inlineStr">
        <is>
          <t>비지배지분</t>
        </is>
      </c>
      <c r="C143" s="20" t="n">
        <v>-651</v>
      </c>
      <c r="D143" s="20" t="n">
        <v>-670</v>
      </c>
      <c r="E143" s="20" t="n">
        <v>-612</v>
      </c>
      <c r="F143" s="20" t="n">
        <v>-631</v>
      </c>
      <c r="G143" s="20" t="n">
        <v>-517</v>
      </c>
      <c r="H143" s="20" t="n">
        <v>-1761</v>
      </c>
      <c r="I143" s="20" t="n">
        <v>-1659</v>
      </c>
      <c r="J143" s="20" t="n">
        <v>-1801</v>
      </c>
      <c r="K143" s="20" t="n">
        <v>-459</v>
      </c>
      <c r="L143" s="20" t="n">
        <v>-612</v>
      </c>
    </row>
    <row r="144">
      <c r="A144" s="9" t="inlineStr">
        <is>
          <t>순자산 합계</t>
        </is>
      </c>
      <c r="C144" s="12" t="n">
        <v>74720</v>
      </c>
      <c r="D144" s="12" t="n">
        <v>78139</v>
      </c>
      <c r="E144" s="12" t="n">
        <v>86122</v>
      </c>
      <c r="F144" s="12" t="n">
        <v>81745</v>
      </c>
      <c r="G144" s="12" t="n">
        <v>88250</v>
      </c>
      <c r="H144" s="12" t="n">
        <v>64144</v>
      </c>
      <c r="I144" s="12" t="n">
        <v>70469</v>
      </c>
      <c r="J144" s="12" t="n">
        <v>70702</v>
      </c>
      <c r="K144" s="12" t="n">
        <v>78681</v>
      </c>
      <c r="L144" s="12" t="n">
        <v>86122</v>
      </c>
    </row>
    <row r="145">
      <c r="A145" s="9" t="inlineStr">
        <is>
          <t>부채·순자산 합계</t>
        </is>
      </c>
      <c r="C145" s="12" t="n">
        <v>481057</v>
      </c>
      <c r="D145" s="12" t="n">
        <v>480023</v>
      </c>
      <c r="E145" s="12" t="n">
        <v>509773</v>
      </c>
      <c r="F145" s="12" t="n">
        <v>506706</v>
      </c>
      <c r="G145" s="12" t="n">
        <v>526232</v>
      </c>
      <c r="H145" s="12" t="n">
        <v>263729</v>
      </c>
      <c r="I145" s="12" t="n">
        <v>370270</v>
      </c>
      <c r="J145" s="12" t="n">
        <v>399696</v>
      </c>
      <c r="K145" s="12" t="n">
        <v>459847</v>
      </c>
      <c r="L145" s="12" t="n">
        <v>509773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0" t="inlineStr">
        <is>
          <t>에스콘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bs annual</t>
        </is>
      </c>
      <c r="B4" s="52" t="n"/>
      <c r="C4" s="52" t="n"/>
      <c r="D4" s="52" t="n"/>
      <c r="E4" s="52" t="n"/>
      <c r="F4" s="52" t="n"/>
      <c r="G4" s="52" t="n"/>
    </row>
    <row r="5">
      <c r="A5" s="53" t="inlineStr">
        <is>
          <t>항목</t>
        </is>
      </c>
      <c r="B5" s="53" t="inlineStr">
        <is>
          <t>2022</t>
        </is>
      </c>
      <c r="C5" s="53" t="inlineStr">
        <is>
          <t>2023</t>
        </is>
      </c>
      <c r="D5" s="53" t="inlineStr">
        <is>
          <t>2024</t>
        </is>
      </c>
      <c r="E5" s="53" t="inlineStr">
        <is>
          <t>2025</t>
        </is>
      </c>
      <c r="F5" s="53" t="inlineStr">
        <is>
          <t>2026</t>
        </is>
      </c>
      <c r="G5" s="53" t="inlineStr">
        <is>
          <t>출처</t>
        </is>
      </c>
    </row>
    <row r="6">
      <c r="A6" s="54" t="inlineStr">
        <is>
          <t>labels</t>
        </is>
      </c>
      <c r="B6" s="55" t="n">
        <v>2022</v>
      </c>
      <c r="C6" s="55" t="n">
        <v>2023</v>
      </c>
      <c r="D6" s="55" t="n">
        <v>2024</v>
      </c>
      <c r="E6" s="55" t="n">
        <v>2025</v>
      </c>
      <c r="F6" s="55" t="n">
        <v>2026</v>
      </c>
      <c r="G6" s="56" t="inlineStr">
        <is>
          <t>2단계 보고서 자료(회사 설명회 자료·공시)</t>
        </is>
      </c>
    </row>
    <row r="7">
      <c r="A7" s="54" t="inlineStr">
        <is>
          <t>current assets</t>
        </is>
      </c>
      <c r="B7" s="57" t="n">
        <v>1913.6</v>
      </c>
      <c r="C7" s="57" t="n">
        <v>2652</v>
      </c>
      <c r="D7" s="57" t="n">
        <v>2954.9</v>
      </c>
      <c r="E7" s="57" t="n">
        <v>3351</v>
      </c>
      <c r="F7" s="57" t="n">
        <v>3721.3</v>
      </c>
    </row>
    <row r="8">
      <c r="A8" s="54" t="inlineStr">
        <is>
          <t>cash</t>
        </is>
      </c>
      <c r="B8" s="57" t="n">
        <v>357.2</v>
      </c>
      <c r="C8" s="57" t="n">
        <v>376</v>
      </c>
      <c r="D8" s="57" t="n">
        <v>489.1</v>
      </c>
      <c r="E8" s="57" t="n">
        <v>468</v>
      </c>
      <c r="F8" s="57" t="n">
        <v>628.7</v>
      </c>
    </row>
    <row r="9">
      <c r="A9" s="54" t="inlineStr">
        <is>
          <t>st fin</t>
        </is>
      </c>
      <c r="B9" s="58" t="n"/>
      <c r="C9" s="58" t="n"/>
      <c r="D9" s="58" t="n"/>
      <c r="E9" s="58" t="n"/>
      <c r="F9" s="58" t="n"/>
    </row>
    <row r="10">
      <c r="A10" s="54" t="inlineStr">
        <is>
          <t>receivables</t>
        </is>
      </c>
      <c r="B10" s="57" t="n">
        <v>11</v>
      </c>
      <c r="C10" s="57" t="n">
        <v>9.699999999999999</v>
      </c>
      <c r="D10" s="57" t="n">
        <v>10.2</v>
      </c>
      <c r="E10" s="57" t="n">
        <v>12.6</v>
      </c>
      <c r="F10" s="57" t="n">
        <v>14.8</v>
      </c>
    </row>
    <row r="11">
      <c r="A11" s="54" t="inlineStr">
        <is>
          <t>inventory</t>
        </is>
      </c>
      <c r="B11" s="57" t="n">
        <v>48</v>
      </c>
      <c r="C11" s="57" t="n">
        <v>49.2</v>
      </c>
      <c r="D11" s="57" t="n">
        <v>34.1</v>
      </c>
      <c r="E11" s="57" t="n">
        <v>80.7</v>
      </c>
      <c r="F11" s="57" t="n">
        <v>27.9</v>
      </c>
    </row>
    <row r="12">
      <c r="A12" s="54" t="inlineStr">
        <is>
          <t>noncurrent assets</t>
        </is>
      </c>
      <c r="B12" s="57" t="n">
        <v>723.3</v>
      </c>
      <c r="C12" s="57" t="n">
        <v>1050.6</v>
      </c>
      <c r="D12" s="57" t="n">
        <v>1042</v>
      </c>
      <c r="E12" s="57" t="n">
        <v>1247.1</v>
      </c>
      <c r="F12" s="57" t="n">
        <v>1375.7</v>
      </c>
    </row>
    <row r="13">
      <c r="A13" s="54" t="inlineStr">
        <is>
          <t>ppe</t>
        </is>
      </c>
      <c r="B13" s="57" t="n">
        <v>521.4</v>
      </c>
      <c r="C13" s="57" t="n">
        <v>754.5</v>
      </c>
      <c r="D13" s="57" t="n">
        <v>751</v>
      </c>
      <c r="E13" s="57" t="n">
        <v>837.2</v>
      </c>
      <c r="F13" s="57" t="n">
        <v>955.1</v>
      </c>
    </row>
    <row r="14">
      <c r="A14" s="54" t="inlineStr">
        <is>
          <t>intangibles</t>
        </is>
      </c>
      <c r="B14" s="57" t="n">
        <v>77.7</v>
      </c>
      <c r="C14" s="57" t="n">
        <v>164.8</v>
      </c>
      <c r="D14" s="57" t="n">
        <v>161.7</v>
      </c>
      <c r="E14" s="57" t="n">
        <v>152.8</v>
      </c>
      <c r="F14" s="57" t="n">
        <v>144.6</v>
      </c>
    </row>
    <row r="15">
      <c r="A15" s="54" t="inlineStr">
        <is>
          <t>inv property</t>
        </is>
      </c>
      <c r="B15" s="58" t="n"/>
      <c r="C15" s="58" t="n"/>
      <c r="D15" s="58" t="n"/>
      <c r="E15" s="58" t="n"/>
      <c r="F15" s="58" t="n"/>
    </row>
    <row r="16">
      <c r="A16" s="54" t="inlineStr">
        <is>
          <t>합계 assets</t>
        </is>
      </c>
      <c r="B16" s="57" t="n">
        <v>2637.3</v>
      </c>
      <c r="C16" s="57" t="n">
        <v>3702.7</v>
      </c>
      <c r="D16" s="57" t="n">
        <v>3997</v>
      </c>
      <c r="E16" s="57" t="n">
        <v>4598.5</v>
      </c>
      <c r="F16" s="57" t="n">
        <v>5097.7</v>
      </c>
    </row>
    <row r="17">
      <c r="A17" s="54" t="inlineStr">
        <is>
          <t>current liab</t>
        </is>
      </c>
      <c r="B17" s="57" t="n">
        <v>556.9</v>
      </c>
      <c r="C17" s="57" t="n">
        <v>881.3</v>
      </c>
      <c r="D17" s="57" t="n">
        <v>1085.8</v>
      </c>
      <c r="E17" s="57" t="n">
        <v>956.5</v>
      </c>
      <c r="F17" s="57" t="n">
        <v>918.9</v>
      </c>
    </row>
    <row r="18">
      <c r="A18" s="54" t="inlineStr">
        <is>
          <t>payables</t>
        </is>
      </c>
      <c r="B18" s="58" t="n"/>
      <c r="C18" s="58" t="n"/>
      <c r="D18" s="58" t="n"/>
      <c r="E18" s="58" t="n"/>
      <c r="F18" s="58" t="n"/>
    </row>
    <row r="19">
      <c r="A19" s="54" t="inlineStr">
        <is>
          <t>st debt</t>
        </is>
      </c>
      <c r="B19" s="57" t="n">
        <v>100.6</v>
      </c>
      <c r="C19" s="57" t="n">
        <v>394.6</v>
      </c>
      <c r="D19" s="57" t="n">
        <v>515.4</v>
      </c>
      <c r="E19" s="57" t="n">
        <v>47.4</v>
      </c>
      <c r="F19" s="57" t="n">
        <v>120</v>
      </c>
    </row>
    <row r="20">
      <c r="A20" s="54" t="inlineStr">
        <is>
          <t>noncurrent liab</t>
        </is>
      </c>
      <c r="B20" s="57" t="n">
        <v>1438.9</v>
      </c>
      <c r="C20" s="57" t="n">
        <v>2116.7</v>
      </c>
      <c r="D20" s="57" t="n">
        <v>2204.1</v>
      </c>
      <c r="E20" s="57" t="n">
        <v>2855.1</v>
      </c>
      <c r="F20" s="57" t="n">
        <v>3317.6</v>
      </c>
    </row>
    <row r="21">
      <c r="A21" s="54" t="inlineStr">
        <is>
          <t>lt debt</t>
        </is>
      </c>
      <c r="B21" s="57" t="n">
        <v>1328.1</v>
      </c>
      <c r="C21" s="57" t="n">
        <v>1908</v>
      </c>
      <c r="D21" s="57" t="n">
        <v>1995.6</v>
      </c>
      <c r="E21" s="57" t="n">
        <v>2578.7</v>
      </c>
      <c r="F21" s="57" t="n">
        <v>2916.1</v>
      </c>
    </row>
    <row r="22">
      <c r="A22" s="54" t="inlineStr">
        <is>
          <t>bonds</t>
        </is>
      </c>
      <c r="B22" s="58" t="n"/>
      <c r="C22" s="58" t="n"/>
      <c r="D22" s="57" t="n">
        <v>0</v>
      </c>
      <c r="E22" s="57" t="n">
        <v>74</v>
      </c>
      <c r="F22" s="57" t="n">
        <v>174</v>
      </c>
    </row>
    <row r="23">
      <c r="A23" s="54" t="inlineStr">
        <is>
          <t>합계 liab</t>
        </is>
      </c>
      <c r="B23" s="57" t="n">
        <v>1995.8</v>
      </c>
      <c r="C23" s="57" t="n">
        <v>2998</v>
      </c>
      <c r="D23" s="57" t="n">
        <v>3289.9</v>
      </c>
      <c r="E23" s="57" t="n">
        <v>3811.7</v>
      </c>
      <c r="F23" s="57" t="n">
        <v>4236.5</v>
      </c>
    </row>
    <row r="24">
      <c r="A24" s="54" t="inlineStr">
        <is>
          <t>capital stock</t>
        </is>
      </c>
      <c r="B24" s="57" t="n">
        <v>165.2</v>
      </c>
      <c r="C24" s="57" t="n">
        <v>165.2</v>
      </c>
      <c r="D24" s="57" t="n">
        <v>165.2</v>
      </c>
      <c r="E24" s="57" t="n">
        <v>165.2</v>
      </c>
      <c r="F24" s="57" t="n">
        <v>165.2</v>
      </c>
    </row>
    <row r="25">
      <c r="A25" s="54" t="inlineStr">
        <is>
          <t>retained</t>
        </is>
      </c>
      <c r="B25" s="57" t="n">
        <v>383.3</v>
      </c>
      <c r="C25" s="57" t="n">
        <v>444.8</v>
      </c>
      <c r="D25" s="57" t="n">
        <v>447</v>
      </c>
      <c r="E25" s="57" t="n">
        <v>512.5</v>
      </c>
      <c r="F25" s="57" t="n">
        <v>587.8</v>
      </c>
    </row>
    <row r="26">
      <c r="A26" s="54" t="inlineStr">
        <is>
          <t>nci</t>
        </is>
      </c>
      <c r="B26" s="57" t="n">
        <v>-17.6</v>
      </c>
      <c r="C26" s="57" t="n">
        <v>-16.6</v>
      </c>
      <c r="D26" s="57" t="n">
        <v>-18</v>
      </c>
      <c r="E26" s="57" t="n">
        <v>-4.6</v>
      </c>
      <c r="F26" s="57" t="n">
        <v>-6.1</v>
      </c>
    </row>
    <row r="27">
      <c r="A27" s="54" t="inlineStr">
        <is>
          <t>합계 equity</t>
        </is>
      </c>
      <c r="B27" s="57" t="n">
        <v>641.4</v>
      </c>
      <c r="C27" s="57" t="n">
        <v>704.7</v>
      </c>
      <c r="D27" s="57" t="n">
        <v>707</v>
      </c>
      <c r="E27" s="57" t="n">
        <v>786.8</v>
      </c>
      <c r="F27" s="57" t="n">
        <v>861.2</v>
      </c>
    </row>
    <row r="28">
      <c r="A28" s="54" t="inlineStr">
        <is>
          <t>current ltd</t>
        </is>
      </c>
      <c r="B28" s="57" t="n">
        <v>261.9</v>
      </c>
      <c r="C28" s="57" t="n">
        <v>325.9</v>
      </c>
      <c r="D28" s="57" t="n">
        <v>427</v>
      </c>
      <c r="E28" s="57" t="n">
        <v>663.9</v>
      </c>
      <c r="F28" s="57" t="n">
        <v>487.6</v>
      </c>
    </row>
    <row r="29">
      <c r="A29" s="54" t="inlineStr">
        <is>
          <t>equity owner</t>
        </is>
      </c>
      <c r="B29" s="57" t="n">
        <v>659</v>
      </c>
      <c r="C29" s="57" t="n">
        <v>721.3</v>
      </c>
      <c r="D29" s="57" t="n">
        <v>725</v>
      </c>
      <c r="E29" s="57" t="n">
        <v>791.4</v>
      </c>
      <c r="F29" s="57" t="n">
        <v>867.3</v>
      </c>
    </row>
    <row r="31">
      <c r="A31" s="52" t="inlineStr">
        <is>
          <t>cf annual</t>
        </is>
      </c>
      <c r="B31" s="52" t="n"/>
      <c r="C31" s="52" t="n"/>
      <c r="D31" s="52" t="n"/>
      <c r="E31" s="52" t="n"/>
      <c r="F31" s="52" t="n"/>
      <c r="G31" s="52" t="n"/>
    </row>
    <row r="32">
      <c r="A32" s="53" t="inlineStr">
        <is>
          <t>항목</t>
        </is>
      </c>
      <c r="B32" s="53" t="inlineStr">
        <is>
          <t>2022</t>
        </is>
      </c>
      <c r="C32" s="53" t="inlineStr">
        <is>
          <t>2023</t>
        </is>
      </c>
      <c r="D32" s="53" t="inlineStr">
        <is>
          <t>2024</t>
        </is>
      </c>
      <c r="E32" s="53" t="inlineStr">
        <is>
          <t>2025</t>
        </is>
      </c>
      <c r="F32" s="53" t="inlineStr">
        <is>
          <t>2026</t>
        </is>
      </c>
      <c r="G32" s="53" t="inlineStr">
        <is>
          <t>출처</t>
        </is>
      </c>
    </row>
    <row r="33">
      <c r="A33" s="54" t="inlineStr">
        <is>
          <t>labels</t>
        </is>
      </c>
      <c r="B33" s="55" t="n">
        <v>2022</v>
      </c>
      <c r="C33" s="55" t="n">
        <v>2023</v>
      </c>
      <c r="D33" s="55" t="n">
        <v>2024</v>
      </c>
      <c r="E33" s="55" t="n">
        <v>2025</v>
      </c>
      <c r="F33" s="55" t="n">
        <v>2026</v>
      </c>
      <c r="G33" s="56" t="inlineStr">
        <is>
          <t>2단계 보고서 자료(회사 설명회 자료·공시)</t>
        </is>
      </c>
    </row>
    <row r="34">
      <c r="A34" s="54" t="inlineStr">
        <is>
          <t>ocf</t>
        </is>
      </c>
      <c r="B34" s="57" t="n">
        <v>15</v>
      </c>
      <c r="C34" s="57" t="n">
        <v>-492.4</v>
      </c>
      <c r="D34" s="58" t="n"/>
      <c r="E34" s="57" t="n">
        <v>-247.7</v>
      </c>
      <c r="F34" s="57" t="n">
        <v>103.6</v>
      </c>
    </row>
    <row r="35">
      <c r="A35" s="54" t="inlineStr">
        <is>
          <t>설비투자</t>
        </is>
      </c>
      <c r="B35" s="58" t="n"/>
      <c r="C35" s="58" t="n"/>
      <c r="D35" s="58" t="n"/>
      <c r="E35" s="58" t="n"/>
      <c r="F35" s="58" t="n"/>
    </row>
    <row r="36">
      <c r="A36" s="54" t="inlineStr">
        <is>
          <t>dividends</t>
        </is>
      </c>
      <c r="B36" s="57" t="n">
        <v>36.7</v>
      </c>
      <c r="C36" s="57" t="n">
        <v>36.7</v>
      </c>
      <c r="D36" s="58" t="n"/>
      <c r="E36" s="57" t="n">
        <v>46.5</v>
      </c>
      <c r="F36" s="57" t="n">
        <v>46.6</v>
      </c>
    </row>
    <row r="38">
      <c r="A38" s="52" t="inlineStr">
        <is>
          <t>company 예상</t>
        </is>
      </c>
      <c r="B38" s="52" t="n"/>
      <c r="C38" s="52" t="n"/>
      <c r="D38" s="52" t="n"/>
      <c r="E38" s="52" t="n"/>
      <c r="F38" s="52" t="n"/>
      <c r="G38" s="52" t="n"/>
    </row>
    <row r="39">
      <c r="A39" s="53" t="inlineStr">
        <is>
          <t>항목</t>
        </is>
      </c>
      <c r="B39" s="53" t="inlineStr">
        <is>
          <t>값</t>
        </is>
      </c>
      <c r="G39" s="53" t="inlineStr">
        <is>
          <t>출처</t>
        </is>
      </c>
    </row>
    <row r="40">
      <c r="A40" s="54" t="inlineStr">
        <is>
          <t>매출</t>
        </is>
      </c>
      <c r="B40" s="57" t="n">
        <v>1450</v>
      </c>
      <c r="G40" s="56" t="inlineStr">
        <is>
          <t>2단계 보고서 자료(회사 설명회 자료·공시)</t>
        </is>
      </c>
    </row>
    <row r="41">
      <c r="A41" s="54" t="inlineStr">
        <is>
          <t>영업이익</t>
        </is>
      </c>
      <c r="B41" s="57" t="n">
        <v>265</v>
      </c>
    </row>
    <row r="42">
      <c r="A42" s="54" t="inlineStr">
        <is>
          <t>경상이익</t>
        </is>
      </c>
      <c r="B42" s="57" t="n">
        <v>200</v>
      </c>
    </row>
    <row r="43">
      <c r="A43" s="54" t="inlineStr">
        <is>
          <t>순이익</t>
        </is>
      </c>
      <c r="B43" s="57" t="n">
        <v>140</v>
      </c>
    </row>
    <row r="44">
      <c r="A44" s="54" t="inlineStr">
        <is>
          <t>EPS</t>
        </is>
      </c>
      <c r="B44" s="57" t="n">
        <v>151.4</v>
      </c>
    </row>
    <row r="46">
      <c r="A46" s="52" t="inlineStr">
        <is>
          <t>shares</t>
        </is>
      </c>
      <c r="B46" s="52" t="n"/>
      <c r="C46" s="52" t="n"/>
      <c r="D46" s="52" t="n"/>
      <c r="E46" s="52" t="n"/>
      <c r="F46" s="52" t="n"/>
      <c r="G46" s="52" t="n"/>
    </row>
    <row r="47">
      <c r="A47" s="53" t="inlineStr">
        <is>
          <t>항목</t>
        </is>
      </c>
      <c r="B47" s="53" t="inlineStr">
        <is>
          <t>값</t>
        </is>
      </c>
      <c r="G47" s="53" t="inlineStr">
        <is>
          <t>출처</t>
        </is>
      </c>
    </row>
    <row r="48">
      <c r="A48" s="54" t="inlineStr">
        <is>
          <t>issued</t>
        </is>
      </c>
      <c r="B48" s="55" t="n">
        <v>98580887</v>
      </c>
      <c r="G48" s="56" t="inlineStr">
        <is>
          <t>26.9월말 결산단신</t>
        </is>
      </c>
    </row>
    <row r="49">
      <c r="A49" s="54" t="inlineStr">
        <is>
          <t>treasury</t>
        </is>
      </c>
      <c r="B49" s="55" t="n">
        <v>2678754</v>
      </c>
    </row>
    <row r="50">
      <c r="A50" s="54" t="inlineStr">
        <is>
          <t>ex treasury</t>
        </is>
      </c>
      <c r="B50" s="55" t="n">
        <v>95902133</v>
      </c>
    </row>
    <row r="52">
      <c r="A52" s="52" t="inlineStr">
        <is>
          <t>가이던스 FY3 27</t>
        </is>
      </c>
      <c r="B52" s="52" t="n"/>
      <c r="C52" s="52" t="n"/>
      <c r="D52" s="52" t="n"/>
      <c r="E52" s="52" t="n"/>
      <c r="F52" s="52" t="n"/>
      <c r="G52" s="52" t="n"/>
    </row>
    <row r="53">
      <c r="A53" s="53" t="inlineStr">
        <is>
          <t>항목</t>
        </is>
      </c>
      <c r="B53" s="53" t="inlineStr">
        <is>
          <t>값</t>
        </is>
      </c>
      <c r="G53" s="53" t="inlineStr">
        <is>
          <t>출처</t>
        </is>
      </c>
    </row>
    <row r="54">
      <c r="A54" s="54" t="inlineStr">
        <is>
          <t>매출</t>
        </is>
      </c>
      <c r="B54" s="55" t="n">
        <v>1450</v>
      </c>
      <c r="G54" s="56" t="inlineStr">
        <is>
          <t>2단계 보고서 자료(회사 설명회 자료·공시)</t>
        </is>
      </c>
    </row>
    <row r="55">
      <c r="A55" s="54" t="inlineStr">
        <is>
          <t>영업이익</t>
        </is>
      </c>
      <c r="B55" s="55" t="n">
        <v>265</v>
      </c>
    </row>
    <row r="56">
      <c r="A56" s="54" t="inlineStr">
        <is>
          <t>경상</t>
        </is>
      </c>
      <c r="B56" s="55" t="n">
        <v>200</v>
      </c>
    </row>
    <row r="57">
      <c r="A57" s="54" t="inlineStr">
        <is>
          <t>순이익</t>
        </is>
      </c>
      <c r="B57" s="55" t="n">
        <v>140</v>
      </c>
    </row>
    <row r="58">
      <c r="A58" s="54" t="inlineStr">
        <is>
          <t>EPS</t>
        </is>
      </c>
      <c r="B58" s="57" t="n">
        <v>151.42</v>
      </c>
    </row>
    <row r="59">
      <c r="A59" s="54" t="inlineStr">
        <is>
          <t>DPS</t>
        </is>
      </c>
      <c r="B59" s="55" t="n">
        <v>53</v>
      </c>
    </row>
    <row r="61">
      <c r="A61" s="52" t="inlineStr">
        <is>
          <t>밸류에이션 now</t>
        </is>
      </c>
      <c r="B61" s="52" t="n"/>
      <c r="C61" s="52" t="n"/>
      <c r="D61" s="52" t="n"/>
      <c r="E61" s="52" t="n"/>
      <c r="F61" s="52" t="n"/>
      <c r="G61" s="52" t="n"/>
    </row>
    <row r="62">
      <c r="A62" s="53" t="inlineStr">
        <is>
          <t>항목</t>
        </is>
      </c>
      <c r="B62" s="53" t="inlineStr">
        <is>
          <t>값</t>
        </is>
      </c>
      <c r="G62" s="53" t="inlineStr">
        <is>
          <t>출처</t>
        </is>
      </c>
    </row>
    <row r="63">
      <c r="A63" s="54" t="inlineStr">
        <is>
          <t>가격</t>
        </is>
      </c>
      <c r="B63" s="55" t="n">
        <v>1054</v>
      </c>
      <c r="G63" s="56" t="inlineStr">
        <is>
          <t>2단계 보고서 자료(회사 설명회 자료·공시)</t>
        </is>
      </c>
    </row>
    <row r="64">
      <c r="A64" s="54" t="inlineStr">
        <is>
          <t>PER guid</t>
        </is>
      </c>
      <c r="B64" s="57" t="n">
        <v>6.96</v>
      </c>
    </row>
    <row r="65">
      <c r="A65" s="54" t="inlineStr">
        <is>
          <t>div yield</t>
        </is>
      </c>
      <c r="B65" s="57" t="n">
        <v>5.03</v>
      </c>
    </row>
    <row r="66">
      <c r="A66" s="54" t="inlineStr">
        <is>
          <t>PBR</t>
        </is>
      </c>
      <c r="B66" s="57" t="n">
        <v>1.14</v>
      </c>
    </row>
    <row r="67">
      <c r="A67" s="54" t="inlineStr">
        <is>
          <t>BPS</t>
        </is>
      </c>
      <c r="B67" s="57" t="n">
        <v>925.61</v>
      </c>
    </row>
    <row r="69">
      <c r="A69" s="52" t="inlineStr">
        <is>
          <t>filings</t>
        </is>
      </c>
      <c r="B69" s="52" t="n"/>
      <c r="C69" s="52" t="n"/>
      <c r="D69" s="52" t="n"/>
      <c r="E69" s="52" t="n"/>
      <c r="F69" s="52" t="n"/>
      <c r="G69" s="52" t="n"/>
    </row>
    <row r="70">
      <c r="A70" s="53" t="inlineStr">
        <is>
          <t>항목</t>
        </is>
      </c>
      <c r="B70" s="53" t="inlineStr">
        <is>
          <t>title</t>
        </is>
      </c>
      <c r="C70" s="53" t="inlineStr">
        <is>
          <t>doc</t>
        </is>
      </c>
      <c r="G70" s="53" t="inlineStr">
        <is>
          <t>출처</t>
        </is>
      </c>
    </row>
    <row r="71">
      <c r="A71" s="54" t="inlineStr">
        <is>
          <t>2026-10-27</t>
        </is>
      </c>
      <c r="B71" s="58" t="inlineStr">
        <is>
          <t>2027年３月期 第２四半期決算短信〔日本基準〕（連結）</t>
        </is>
      </c>
      <c r="C71" s="58" t="inlineStr">
        <is>
          <t>140120261026555981</t>
        </is>
      </c>
      <c r="G71" s="56" t="inlineStr">
        <is>
          <t>2단계 보고서 자료(회사 설명회 자료·공시)</t>
        </is>
      </c>
    </row>
    <row r="72">
      <c r="A72" s="54" t="inlineStr">
        <is>
          <t>2026-07-28</t>
        </is>
      </c>
      <c r="B72" s="58" t="inlineStr">
        <is>
          <t>2027年３月期 第１四半期決算短信〔日本基準〕（連結）</t>
        </is>
      </c>
      <c r="C72" s="58" t="inlineStr">
        <is>
          <t>140120260724599425</t>
        </is>
      </c>
    </row>
    <row r="73">
      <c r="A73" s="54" t="inlineStr">
        <is>
          <t>2026-04-24</t>
        </is>
      </c>
      <c r="B73" s="58" t="inlineStr">
        <is>
          <t>2026年３月期 決算短信〔日本基準〕（連結）</t>
        </is>
      </c>
      <c r="C73" s="58" t="inlineStr">
        <is>
          <t>140120260423509666</t>
        </is>
      </c>
    </row>
    <row r="74">
      <c r="A74" s="54" t="inlineStr">
        <is>
          <t>2026-01-30</t>
        </is>
      </c>
      <c r="B74" s="58" t="inlineStr">
        <is>
          <t>2026年３月期 第３四半期決算短信〔日本基準〕（連結）</t>
        </is>
      </c>
      <c r="C74" s="58" t="inlineStr">
        <is>
          <t>140120260128540119</t>
        </is>
      </c>
    </row>
    <row r="75">
      <c r="A75" s="54" t="inlineStr">
        <is>
          <t>2025-10-24</t>
        </is>
      </c>
      <c r="B75" s="58" t="inlineStr">
        <is>
          <t>2026年３月期 第２四半期（中間期）決算短信〔日本基準〕（連結）</t>
        </is>
      </c>
      <c r="C75" s="58" t="inlineStr">
        <is>
          <t>140120251023577712</t>
        </is>
      </c>
    </row>
    <row r="76">
      <c r="A76" s="54" t="inlineStr">
        <is>
          <t>2025-07-25</t>
        </is>
      </c>
      <c r="B76" s="58" t="inlineStr">
        <is>
          <t>2026年３月期 第１四半期決算短信〔日本基準〕（連結）</t>
        </is>
      </c>
      <c r="C76" s="58" t="inlineStr">
        <is>
          <t>140120250724519644</t>
        </is>
      </c>
    </row>
    <row r="77">
      <c r="A77" s="54" t="inlineStr">
        <is>
          <t>2025-04-25</t>
        </is>
      </c>
      <c r="B77" s="58" t="inlineStr">
        <is>
          <t>2025年３月期 決算短信〔日本基準〕（連結）</t>
        </is>
      </c>
      <c r="C77" s="58" t="inlineStr">
        <is>
          <t>140120250424523366</t>
        </is>
      </c>
    </row>
    <row r="78">
      <c r="A78" s="54" t="inlineStr">
        <is>
          <t>2025-01-31</t>
        </is>
      </c>
      <c r="B78" s="58" t="inlineStr">
        <is>
          <t>2025年３月期 第３四半期決算短信〔日本基準〕（連結）</t>
        </is>
      </c>
      <c r="C78" s="58" t="inlineStr">
        <is>
          <t>140120250130557956</t>
        </is>
      </c>
    </row>
    <row r="79">
      <c r="A79" s="54" t="inlineStr">
        <is>
          <t>2024-10-25</t>
        </is>
      </c>
      <c r="B79" s="58" t="inlineStr">
        <is>
          <t>2025年３月期 第２四半期（中間期）決算短信〔日本基準〕（連結）</t>
        </is>
      </c>
      <c r="C79" s="58" t="inlineStr">
        <is>
          <t>140120241024501994</t>
        </is>
      </c>
    </row>
    <row r="80">
      <c r="A80" s="54" t="inlineStr">
        <is>
          <t>2024-07-26</t>
        </is>
      </c>
      <c r="B80" s="58" t="inlineStr">
        <is>
          <t>2025年３月期 第１四半期決算短信〔日本基準〕（連結）</t>
        </is>
      </c>
      <c r="C80" s="58" t="inlineStr">
        <is>
          <t>140120240725555166</t>
        </is>
      </c>
    </row>
    <row r="81">
      <c r="A81" s="54" t="inlineStr">
        <is>
          <t>2024-04-24</t>
        </is>
      </c>
      <c r="B81" s="58" t="inlineStr">
        <is>
          <t>2024年３月期 決算短信〔日本基準〕（連結）</t>
        </is>
      </c>
      <c r="C81" s="58" t="inlineStr">
        <is>
          <t>140120240423575052</t>
        </is>
      </c>
    </row>
    <row r="82">
      <c r="A82" s="54" t="inlineStr">
        <is>
          <t>2024-01-30</t>
        </is>
      </c>
      <c r="B82" s="58" t="inlineStr">
        <is>
          <t>2024年３月期 第４四半期決算短信〔日本基準〕（連結）</t>
        </is>
      </c>
      <c r="C82" s="58" t="inlineStr">
        <is>
          <t>140120240129521137</t>
        </is>
      </c>
    </row>
    <row r="83">
      <c r="A83" s="54" t="inlineStr">
        <is>
          <t>2023-10-25</t>
        </is>
      </c>
      <c r="B83" s="58" t="inlineStr">
        <is>
          <t>2023年12月期 第３四半期決算短信〔日本基準〕（連結）</t>
        </is>
      </c>
      <c r="C83" s="58" t="inlineStr">
        <is>
          <t>140120231024570812</t>
        </is>
      </c>
    </row>
    <row r="84">
      <c r="A84" s="54" t="inlineStr">
        <is>
          <t>2023-07-25</t>
        </is>
      </c>
      <c r="B84" s="58" t="inlineStr">
        <is>
          <t>2023年12月期 第２四半期決算短信〔日本基準〕（連結）</t>
        </is>
      </c>
      <c r="C84" s="58" t="inlineStr">
        <is>
          <t>140120230724526123</t>
        </is>
      </c>
    </row>
    <row r="85">
      <c r="A85" s="54" t="inlineStr">
        <is>
          <t>2023-04-27</t>
        </is>
      </c>
      <c r="B85" s="58" t="inlineStr">
        <is>
          <t>2023年12月期 第１四半期決算短信〔日本基準〕（連結）</t>
        </is>
      </c>
      <c r="C85" s="58" t="inlineStr">
        <is>
          <t>140120230425552605</t>
        </is>
      </c>
    </row>
    <row r="86">
      <c r="A86" s="54" t="inlineStr">
        <is>
          <t>2023-01-27</t>
        </is>
      </c>
      <c r="B86" s="58" t="inlineStr">
        <is>
          <t>2022年12月期 決算短信〔日本基準〕（連結）</t>
        </is>
      </c>
      <c r="C86" s="58" t="inlineStr">
        <is>
          <t>140120230127594701</t>
        </is>
      </c>
    </row>
    <row r="87">
      <c r="A87" s="54" t="inlineStr">
        <is>
          <t>2022-01-27</t>
        </is>
      </c>
      <c r="B87" s="58" t="inlineStr">
        <is>
          <t>2021年12月期 決算短信〔日本基準〕（連結）</t>
        </is>
      </c>
      <c r="C87" s="58" t="inlineStr">
        <is>
          <t>140120220126572828</t>
        </is>
      </c>
    </row>
    <row r="88">
      <c r="A88" s="54" t="inlineStr">
        <is>
          <t>2021-01-28</t>
        </is>
      </c>
      <c r="B88" s="58" t="inlineStr">
        <is>
          <t>2020年12月期 決算短信〔日本基準〕（連結）</t>
        </is>
      </c>
      <c r="C88" s="58" t="inlineStr">
        <is>
          <t>140120210127449732</t>
        </is>
      </c>
    </row>
    <row r="89">
      <c r="A89" s="54" t="inlineStr">
        <is>
          <t>2020-01-30</t>
        </is>
      </c>
      <c r="B89" s="58" t="inlineStr">
        <is>
          <t>2019年12月期 決算短信〔日本基準〕（連結）</t>
        </is>
      </c>
      <c r="C89" s="58" t="inlineStr">
        <is>
          <t>140120200128451855</t>
        </is>
      </c>
    </row>
    <row r="90">
      <c r="A90" s="54" t="inlineStr">
        <is>
          <t>2019-02-08</t>
        </is>
      </c>
      <c r="B90" s="58" t="inlineStr">
        <is>
          <t>平成30年12月期 決算短信〔日本基準〕（連結）</t>
        </is>
      </c>
      <c r="C90" s="58" t="inlineStr">
        <is>
          <t>140120190207472214</t>
        </is>
      </c>
    </row>
    <row r="91">
      <c r="A91" s="54" t="inlineStr">
        <is>
          <t>2018-02-08</t>
        </is>
      </c>
      <c r="B91" s="58" t="inlineStr">
        <is>
          <t>平成29年12月期 決算短信〔日本基準〕（連結）</t>
        </is>
      </c>
      <c r="C91" s="58" t="inlineStr">
        <is>
          <t>140120180207466141</t>
        </is>
      </c>
    </row>
    <row r="93">
      <c r="A93" s="52" t="inlineStr">
        <is>
          <t>reactions</t>
        </is>
      </c>
      <c r="B93" s="52" t="n"/>
      <c r="C93" s="52" t="n"/>
      <c r="D93" s="52" t="n"/>
      <c r="E93" s="52" t="n"/>
      <c r="F93" s="52" t="n"/>
      <c r="G93" s="52" t="n"/>
    </row>
    <row r="94">
      <c r="A94" s="53" t="inlineStr">
        <is>
          <t>항목</t>
        </is>
      </c>
      <c r="B94" s="53" t="inlineStr">
        <is>
          <t>기준일</t>
        </is>
      </c>
      <c r="C94" s="53" t="inlineStr">
        <is>
          <t>다음날</t>
        </is>
      </c>
      <c r="D94" s="53" t="inlineStr">
        <is>
          <t>등락%</t>
        </is>
      </c>
      <c r="G94" s="53" t="inlineStr">
        <is>
          <t>출처</t>
        </is>
      </c>
    </row>
    <row r="95">
      <c r="A95" s="54" t="inlineStr">
        <is>
          <t>2025-01-31</t>
        </is>
      </c>
      <c r="B95" s="58" t="inlineStr">
        <is>
          <t>2025-01-31</t>
        </is>
      </c>
      <c r="C95" s="58" t="inlineStr">
        <is>
          <t>2025-02-03</t>
        </is>
      </c>
      <c r="D95" s="57" t="n">
        <v>1</v>
      </c>
      <c r="G95" s="56" t="inlineStr">
        <is>
          <t>2단계 보고서 자료(회사 설명회 자료·공시)</t>
        </is>
      </c>
    </row>
    <row r="96">
      <c r="A96" s="54" t="inlineStr">
        <is>
          <t>2025-04-25</t>
        </is>
      </c>
      <c r="B96" s="58" t="inlineStr">
        <is>
          <t>2025-04-25</t>
        </is>
      </c>
      <c r="C96" s="58" t="inlineStr">
        <is>
          <t>2025-04-28</t>
        </is>
      </c>
      <c r="D96" s="57" t="n">
        <v>2.8</v>
      </c>
    </row>
    <row r="97">
      <c r="A97" s="54" t="inlineStr">
        <is>
          <t>2025-07-25</t>
        </is>
      </c>
      <c r="B97" s="58" t="inlineStr">
        <is>
          <t>2025-07-25</t>
        </is>
      </c>
      <c r="C97" s="58" t="inlineStr">
        <is>
          <t>2025-07-28</t>
        </is>
      </c>
      <c r="D97" s="57" t="n">
        <v>-4.3</v>
      </c>
    </row>
    <row r="98">
      <c r="A98" s="54" t="inlineStr">
        <is>
          <t>2025-10-24</t>
        </is>
      </c>
      <c r="B98" s="58" t="inlineStr">
        <is>
          <t>2025-10-24</t>
        </is>
      </c>
      <c r="C98" s="58" t="inlineStr">
        <is>
          <t>2025-10-27</t>
        </is>
      </c>
      <c r="D98" s="57" t="n">
        <v>-0.1</v>
      </c>
    </row>
    <row r="99">
      <c r="A99" s="54" t="inlineStr">
        <is>
          <t>2026-01-30</t>
        </is>
      </c>
      <c r="B99" s="58" t="inlineStr">
        <is>
          <t>2026-01-30</t>
        </is>
      </c>
      <c r="C99" s="58" t="inlineStr">
        <is>
          <t>2026-02-02</t>
        </is>
      </c>
      <c r="D99" s="57" t="n">
        <v>-4.1</v>
      </c>
    </row>
    <row r="100">
      <c r="A100" s="54" t="inlineStr">
        <is>
          <t>2026-04-24</t>
        </is>
      </c>
      <c r="B100" s="58" t="inlineStr">
        <is>
          <t>2026-04-24</t>
        </is>
      </c>
      <c r="C100" s="58" t="inlineStr">
        <is>
          <t>2026-04-27</t>
        </is>
      </c>
      <c r="D100" s="57" t="n">
        <v>5.6</v>
      </c>
    </row>
    <row r="101">
      <c r="A101" s="54" t="inlineStr">
        <is>
          <t>2026-07-28</t>
        </is>
      </c>
      <c r="B101" s="58" t="inlineStr">
        <is>
          <t>2026-07-28</t>
        </is>
      </c>
      <c r="C101" s="58" t="inlineStr">
        <is>
          <t>2026-07-29</t>
        </is>
      </c>
      <c r="D101" s="57" t="n">
        <v>-0.3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2026-10-27</t>
        </is>
      </c>
      <c r="B4" t="inlineStr">
        <is>
          <t>2027년 3월 결산기 ２분기 결산단신</t>
        </is>
      </c>
      <c r="C4" t="inlineStr">
        <is>
          <t>https://www2.jpx.co.jp/disc/88920/140120261026555981.pdf</t>
        </is>
      </c>
    </row>
    <row r="5">
      <c r="A5" t="inlineStr">
        <is>
          <t>2026-07-28</t>
        </is>
      </c>
      <c r="B5" t="inlineStr">
        <is>
          <t>2027년 3월 결산기 １분기 결산단신</t>
        </is>
      </c>
      <c r="C5" t="inlineStr">
        <is>
          <t>https://www2.jpx.co.jp/disc/88920/140120260724599425.pdf</t>
        </is>
      </c>
    </row>
    <row r="6">
      <c r="A6" t="inlineStr">
        <is>
          <t>2026-04-24</t>
        </is>
      </c>
      <c r="B6" t="inlineStr">
        <is>
          <t>2026년 3월 결산기 연간 결산단신</t>
        </is>
      </c>
      <c r="C6" t="inlineStr">
        <is>
          <t>https://www2.jpx.co.jp/disc/88920/140120260423509666.pdf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https://www2.jpx.co.jp/disc/88920/140120260128540119.pdf</t>
        </is>
      </c>
    </row>
    <row r="8">
      <c r="A8" t="inlineStr">
        <is>
          <t>2025-10-24</t>
        </is>
      </c>
      <c r="B8" t="inlineStr">
        <is>
          <t>2026년 3월 결산기 ２분기 결산단신</t>
        </is>
      </c>
      <c r="C8" t="inlineStr">
        <is>
          <t>https://www2.jpx.co.jp/disc/88920/140120251023577712.pdf</t>
        </is>
      </c>
    </row>
    <row r="9">
      <c r="A9" t="inlineStr">
        <is>
          <t>2025-07-25</t>
        </is>
      </c>
      <c r="B9" t="inlineStr">
        <is>
          <t>2026년 3월 결산기 １분기 결산단신</t>
        </is>
      </c>
      <c r="C9" t="inlineStr">
        <is>
          <t>https://www2.jpx.co.jp/disc/88920/140120250724519644.pdf</t>
        </is>
      </c>
    </row>
    <row r="10">
      <c r="A10" t="inlineStr">
        <is>
          <t>2025-04-25</t>
        </is>
      </c>
      <c r="B10" t="inlineStr">
        <is>
          <t>2025년 3월 결산기 연간 결산단신</t>
        </is>
      </c>
      <c r="C10" t="inlineStr">
        <is>
          <t>https://www2.jpx.co.jp/disc/88920/140120250424523366.pdf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https://www2.jpx.co.jp/disc/88920/140120250130557956.pdf</t>
        </is>
      </c>
    </row>
    <row r="12">
      <c r="A12" t="inlineStr">
        <is>
          <t>2024-10-25</t>
        </is>
      </c>
      <c r="B12" t="inlineStr">
        <is>
          <t>2025년 3월 결산기 ２분기 결산단신</t>
        </is>
      </c>
      <c r="C12" t="inlineStr">
        <is>
          <t>https://www2.jpx.co.jp/disc/88920/140120241024501994.pdf</t>
        </is>
      </c>
    </row>
    <row r="13">
      <c r="A13" t="inlineStr">
        <is>
          <t>2024-07-26</t>
        </is>
      </c>
      <c r="B13" t="inlineStr">
        <is>
          <t>2025년 3월 결산기 １분기 결산단신</t>
        </is>
      </c>
      <c r="C13" t="inlineStr">
        <is>
          <t>https://www2.jpx.co.jp/disc/88920/140120240725555166.pdf</t>
        </is>
      </c>
    </row>
    <row r="14">
      <c r="A14" t="inlineStr">
        <is>
          <t>2024-04-24</t>
        </is>
      </c>
      <c r="B14" t="inlineStr">
        <is>
          <t>2024년 3월 결산기 연간 결산단신</t>
        </is>
      </c>
      <c r="C14" t="inlineStr">
        <is>
          <t>https://www2.jpx.co.jp/disc/88920/140120240423575052.pdf</t>
        </is>
      </c>
    </row>
    <row r="15">
      <c r="A15" t="inlineStr">
        <is>
          <t>2024-01-30</t>
        </is>
      </c>
      <c r="B15" t="inlineStr">
        <is>
          <t>2024년 3월 결산기 ４분기 결산단신</t>
        </is>
      </c>
      <c r="C15" t="inlineStr">
        <is>
          <t>https://www2.jpx.co.jp/disc/88920/140120240129521137.pdf</t>
        </is>
      </c>
    </row>
    <row r="16">
      <c r="A16" t="inlineStr">
        <is>
          <t>2023-10-25</t>
        </is>
      </c>
      <c r="B16" t="inlineStr">
        <is>
          <t>2023년 12월 결산기 ３분기 결산단신</t>
        </is>
      </c>
      <c r="C16" t="inlineStr">
        <is>
          <t>https://www2.jpx.co.jp/disc/88920/140120231024570812.pdf</t>
        </is>
      </c>
    </row>
    <row r="17">
      <c r="A17" t="inlineStr">
        <is>
          <t>2023-07-25</t>
        </is>
      </c>
      <c r="B17" t="inlineStr">
        <is>
          <t>2023년 12월 결산기 ２분기 결산단신</t>
        </is>
      </c>
      <c r="C17" t="inlineStr">
        <is>
          <t>https://www2.jpx.co.jp/disc/88920/140120230724526123.pdf</t>
        </is>
      </c>
    </row>
    <row r="18">
      <c r="A18" t="inlineStr">
        <is>
          <t>2023-04-27</t>
        </is>
      </c>
      <c r="B18" t="inlineStr">
        <is>
          <t>2023년 12월 결산기 １분기 결산단신</t>
        </is>
      </c>
      <c r="C18" t="inlineStr">
        <is>
          <t>https://www2.jpx.co.jp/disc/88920/140120230425552605.pdf</t>
        </is>
      </c>
    </row>
    <row r="19">
      <c r="A19" t="inlineStr">
        <is>
          <t>2023-01-27</t>
        </is>
      </c>
      <c r="B19" t="inlineStr">
        <is>
          <t>2022년 12월 결산기 연간 결산단신</t>
        </is>
      </c>
      <c r="C19" t="inlineStr">
        <is>
          <t>https://www2.jpx.co.jp/disc/88920/140120230127594701.pdf</t>
        </is>
      </c>
    </row>
    <row r="20">
      <c r="A20" t="inlineStr">
        <is>
          <t>2022-01-27</t>
        </is>
      </c>
      <c r="B20" t="inlineStr">
        <is>
          <t>2021년 12월 결산기 연간 결산단신</t>
        </is>
      </c>
      <c r="C20" t="inlineStr">
        <is>
          <t>https://www2.jpx.co.jp/disc/88920/140120220126572828.pdf</t>
        </is>
      </c>
    </row>
    <row r="21">
      <c r="A21" t="inlineStr">
        <is>
          <t>2021-01-28</t>
        </is>
      </c>
      <c r="B21" t="inlineStr">
        <is>
          <t>2020년 12월 결산기 연간 결산단신</t>
        </is>
      </c>
      <c r="C21" t="inlineStr">
        <is>
          <t>https://www2.jpx.co.jp/disc/88920/140120210127449732.pdf</t>
        </is>
      </c>
    </row>
    <row r="22">
      <c r="A22" t="inlineStr">
        <is>
          <t>2020-01-30</t>
        </is>
      </c>
      <c r="B22" t="inlineStr">
        <is>
          <t>2019년 12월 결산기 연간 결산단신</t>
        </is>
      </c>
      <c r="C22" t="inlineStr">
        <is>
          <t>https://www2.jpx.co.jp/disc/88920/140120200128451855.pdf</t>
        </is>
      </c>
    </row>
    <row r="23">
      <c r="A23" t="inlineStr">
        <is>
          <t>2019-02-08</t>
        </is>
      </c>
      <c r="B23" t="inlineStr">
        <is>
          <t>연간 결산단신</t>
        </is>
      </c>
      <c r="C23" t="inlineStr">
        <is>
          <t>https://www2.jpx.co.jp/disc/88920/140120190207472214.pdf</t>
        </is>
      </c>
    </row>
    <row r="24">
      <c r="A24" t="inlineStr">
        <is>
          <t>2018-02-08</t>
        </is>
      </c>
      <c r="B24" t="inlineStr">
        <is>
          <t>연간 결산단신</t>
        </is>
      </c>
      <c r="C24" t="inlineStr">
        <is>
          <t>https://www2.jpx.co.jp/disc/88920/140120180207466141.pdf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2026-10-27T08:01:44Z</dcterms:created>
  <dcterms:modified xmlns:dcterms="http://purl.org/dc/terms/" xmlns:xsi="http://www.w3.org/2001/XMLSchema-instance" xsi:type="dcterms:W3CDTF">2026-10-27T08:01:44Z</dcterms:modified>
</cp:coreProperties>
</file>