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KOA 손익계산서</t>
        </is>
      </c>
    </row>
    <row r="2">
      <c r="A2" s="2" t="inlineStr">
        <is>
          <t>결산기 기준(27.2Q = 2027년 결산기 2분기) · 3월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160.69</v>
      </c>
      <c r="D4" s="6" t="n">
        <v>172.29</v>
      </c>
      <c r="E4" s="6" t="n">
        <v>186.49</v>
      </c>
      <c r="F4" s="6" t="n">
        <v>193.15</v>
      </c>
      <c r="G4" s="6" t="n">
        <v>193.46</v>
      </c>
      <c r="H4" s="6" t="n">
        <v>177.62</v>
      </c>
      <c r="I4" s="6" t="n">
        <v>169.72</v>
      </c>
      <c r="J4" s="6" t="n">
        <v>165.54</v>
      </c>
      <c r="K4" s="6" t="n">
        <v>156.91</v>
      </c>
      <c r="L4" s="6" t="n">
        <v>156.18</v>
      </c>
      <c r="M4" s="6" t="n">
        <v>162.11</v>
      </c>
      <c r="N4" s="6" t="n">
        <v>156.83</v>
      </c>
      <c r="O4" s="6" t="n">
        <v>158.55</v>
      </c>
      <c r="P4" s="6" t="n">
        <v>163.71</v>
      </c>
      <c r="Q4" s="6" t="n">
        <v>168.45</v>
      </c>
      <c r="R4" s="6" t="n">
        <v>177.89</v>
      </c>
      <c r="S4" s="6" t="n">
        <v>184.55</v>
      </c>
      <c r="T4" s="6" t="n">
        <v>191.98</v>
      </c>
      <c r="U4" s="6" t="n">
        <v>208.8</v>
      </c>
      <c r="V4" s="6" t="n">
        <v>227.49</v>
      </c>
      <c r="W4" s="6" t="n">
        <v>558.95</v>
      </c>
      <c r="X4" s="6" t="n">
        <v>500.2</v>
      </c>
      <c r="Y4" s="6" t="n">
        <v>503.78</v>
      </c>
      <c r="Z4" s="6" t="n">
        <v>649.55</v>
      </c>
      <c r="AA4" s="6" t="n">
        <v>750.72</v>
      </c>
      <c r="AB4" s="6" t="n">
        <v>648.35</v>
      </c>
      <c r="AC4" s="6" t="n">
        <v>641.2</v>
      </c>
      <c r="AD4" s="6" t="n">
        <v>722.87</v>
      </c>
      <c r="AE4" s="7" t="inlineStr">
        <is>
          <t>결산단신 XBRL(거래소 공시, TDnet·JPX 보관소). 쓴 문서: 2026-10-23, 2026-07-23, 2026-04-24, 2026-01-28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5" t="inlineStr">
        <is>
          <t>매출원가</t>
        </is>
      </c>
      <c r="C6" s="6" t="n">
        <v>118.23</v>
      </c>
      <c r="D6" s="6" t="n">
        <v>126.78</v>
      </c>
      <c r="E6" s="6" t="n">
        <v>123.21</v>
      </c>
      <c r="F6" s="6" t="n">
        <v>124.63</v>
      </c>
      <c r="G6" s="6" t="n">
        <v>123.83</v>
      </c>
      <c r="H6" s="6" t="n">
        <v>122.13</v>
      </c>
      <c r="I6" s="6" t="n">
        <v>121.6</v>
      </c>
      <c r="J6" s="6" t="n">
        <v>118.09</v>
      </c>
      <c r="K6" s="6" t="n">
        <v>99.56999999999999</v>
      </c>
      <c r="L6" s="6" t="n">
        <v>113.97</v>
      </c>
      <c r="M6" s="6" t="n">
        <v>117.38</v>
      </c>
      <c r="N6" s="6" t="n">
        <v>110.74</v>
      </c>
      <c r="O6" s="6" t="n">
        <v>115.35</v>
      </c>
      <c r="P6" s="6" t="n">
        <v>116.17</v>
      </c>
      <c r="Q6" s="6" t="n">
        <v>120.36</v>
      </c>
      <c r="R6" s="6" t="n">
        <v>124.02</v>
      </c>
      <c r="S6" s="6" t="n">
        <v>119.95</v>
      </c>
      <c r="T6" s="6" t="n">
        <v>139.82</v>
      </c>
      <c r="U6" s="6" t="n">
        <v>150.82</v>
      </c>
      <c r="V6" s="6" t="n">
        <v>148.97</v>
      </c>
      <c r="W6" s="6" t="n">
        <v>378.94</v>
      </c>
      <c r="X6" s="6" t="n">
        <v>368.45</v>
      </c>
      <c r="Y6" s="6" t="n">
        <v>370.36</v>
      </c>
      <c r="Z6" s="6" t="n">
        <v>465.3</v>
      </c>
      <c r="AA6" s="6" t="n">
        <v>493.8</v>
      </c>
      <c r="AB6" s="6" t="n">
        <v>453.23</v>
      </c>
      <c r="AC6" s="6" t="n">
        <v>459.64</v>
      </c>
      <c r="AD6" s="6" t="n">
        <v>504.15</v>
      </c>
    </row>
    <row r="7">
      <c r="A7" s="5" t="inlineStr">
        <is>
          <t>매출총이익</t>
        </is>
      </c>
      <c r="C7" s="6" t="n">
        <v>42.46</v>
      </c>
      <c r="D7" s="6" t="n">
        <v>45.52</v>
      </c>
      <c r="E7" s="6" t="n">
        <v>63.27</v>
      </c>
      <c r="F7" s="6" t="n">
        <v>68.53</v>
      </c>
      <c r="G7" s="6" t="n">
        <v>69.62</v>
      </c>
      <c r="H7" s="6" t="n">
        <v>55.49</v>
      </c>
      <c r="I7" s="6" t="n">
        <v>48.12</v>
      </c>
      <c r="J7" s="6" t="n">
        <v>47.45</v>
      </c>
      <c r="K7" s="6" t="n">
        <v>57.34</v>
      </c>
      <c r="L7" s="6" t="n">
        <v>42.21</v>
      </c>
      <c r="M7" s="6" t="n">
        <v>44.72</v>
      </c>
      <c r="N7" s="6" t="n">
        <v>46.1</v>
      </c>
      <c r="O7" s="6" t="n">
        <v>43.2</v>
      </c>
      <c r="P7" s="6" t="n">
        <v>47.53</v>
      </c>
      <c r="Q7" s="6" t="n">
        <v>48.09</v>
      </c>
      <c r="R7" s="6" t="n">
        <v>53.86</v>
      </c>
      <c r="S7" s="6" t="n">
        <v>64.61</v>
      </c>
      <c r="T7" s="6" t="n">
        <v>52.16</v>
      </c>
      <c r="U7" s="6" t="n">
        <v>57.98</v>
      </c>
      <c r="V7" s="6" t="n">
        <v>78.52</v>
      </c>
      <c r="W7" s="6" t="n">
        <v>180</v>
      </c>
      <c r="X7" s="6" t="n">
        <v>131.75</v>
      </c>
      <c r="Y7" s="6" t="n">
        <v>133.42</v>
      </c>
      <c r="Z7" s="6" t="n">
        <v>184.25</v>
      </c>
      <c r="AA7" s="6" t="n">
        <v>256.91</v>
      </c>
      <c r="AB7" s="6" t="n">
        <v>195.12</v>
      </c>
      <c r="AC7" s="6" t="n">
        <v>181.55</v>
      </c>
      <c r="AD7" s="6" t="n">
        <v>218.72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</row>
    <row r="9">
      <c r="A9" s="10" t="inlineStr">
        <is>
          <t>판매수수료</t>
        </is>
      </c>
      <c r="I9" s="11" t="n">
        <v>2.27</v>
      </c>
      <c r="J9" s="11" t="n">
        <v>2.65</v>
      </c>
      <c r="K9" s="11" t="n">
        <v>2.11</v>
      </c>
      <c r="M9" s="11" t="n">
        <v>2.57</v>
      </c>
      <c r="N9" s="11" t="n">
        <v>2.38</v>
      </c>
      <c r="O9" s="11" t="n">
        <v>2.17</v>
      </c>
      <c r="Q9" s="11" t="n">
        <v>2.16</v>
      </c>
      <c r="R9" s="11" t="n">
        <v>2.99</v>
      </c>
    </row>
    <row r="10">
      <c r="A10" s="10" t="inlineStr">
        <is>
          <t>포장·운반비</t>
        </is>
      </c>
      <c r="I10" s="11" t="n">
        <v>1.36</v>
      </c>
      <c r="J10" s="11" t="n">
        <v>1.36</v>
      </c>
      <c r="K10" s="11" t="n">
        <v>1.38</v>
      </c>
      <c r="L10" s="11" t="n">
        <v>1.34</v>
      </c>
      <c r="M10" s="11" t="n">
        <v>1.48</v>
      </c>
      <c r="N10" s="11" t="n">
        <v>1.45</v>
      </c>
      <c r="O10" s="11" t="n">
        <v>1.46</v>
      </c>
      <c r="P10" s="11" t="n">
        <v>1.68</v>
      </c>
      <c r="Q10" s="11" t="n">
        <v>1.54</v>
      </c>
      <c r="R10" s="11" t="n">
        <v>1.7</v>
      </c>
      <c r="W10" s="11" t="n">
        <v>6.59</v>
      </c>
      <c r="X10" s="11" t="n">
        <v>5.71</v>
      </c>
      <c r="Y10" s="11" t="n">
        <v>5.95</v>
      </c>
      <c r="Z10" s="11" t="n">
        <v>5.62</v>
      </c>
      <c r="AA10" s="11" t="n">
        <v>5.96</v>
      </c>
      <c r="AB10" s="11" t="n">
        <v>5.44</v>
      </c>
      <c r="AC10" s="11" t="n">
        <v>6.07</v>
      </c>
    </row>
    <row r="11">
      <c r="A11" s="10" t="inlineStr">
        <is>
          <t>급여·수당</t>
        </is>
      </c>
      <c r="I11" s="11" t="n">
        <v>15.1</v>
      </c>
      <c r="J11" s="11" t="n">
        <v>16.28</v>
      </c>
      <c r="K11" s="11" t="n">
        <v>21.95</v>
      </c>
      <c r="L11" s="11" t="n">
        <v>17.11</v>
      </c>
      <c r="M11" s="11" t="n">
        <v>17.32</v>
      </c>
      <c r="N11" s="11" t="n">
        <v>16.22</v>
      </c>
      <c r="O11" s="11" t="n">
        <v>20.73</v>
      </c>
      <c r="P11" s="11" t="n">
        <v>16.62</v>
      </c>
      <c r="Q11" s="11" t="n">
        <v>15.68</v>
      </c>
      <c r="R11" s="11" t="n">
        <v>16.03</v>
      </c>
      <c r="S11" s="11" t="n">
        <v>22.87</v>
      </c>
      <c r="T11" s="11" t="n">
        <v>17.98</v>
      </c>
      <c r="U11" s="11" t="n">
        <v>17.13</v>
      </c>
      <c r="V11" s="11" t="n">
        <v>17.52</v>
      </c>
      <c r="W11" s="11" t="n">
        <v>52.35</v>
      </c>
      <c r="X11" s="11" t="n">
        <v>50.47</v>
      </c>
      <c r="Y11" s="11" t="n">
        <v>49.33</v>
      </c>
      <c r="Z11" s="11" t="n">
        <v>55.56</v>
      </c>
      <c r="AA11" s="11" t="n">
        <v>64.84999999999999</v>
      </c>
      <c r="AB11" s="11" t="n">
        <v>70.44</v>
      </c>
      <c r="AC11" s="11" t="n">
        <v>70.89</v>
      </c>
      <c r="AD11" s="11" t="n">
        <v>72.56</v>
      </c>
    </row>
    <row r="12">
      <c r="A12" s="10" t="inlineStr">
        <is>
          <t>상여충당금 전입</t>
        </is>
      </c>
      <c r="I12" s="11" t="n">
        <v>3.64</v>
      </c>
      <c r="J12" s="11" t="n">
        <v>3.26</v>
      </c>
      <c r="K12" s="11" t="n">
        <v>-2.93</v>
      </c>
      <c r="L12" s="11" t="n">
        <v>1.79</v>
      </c>
      <c r="M12" s="11" t="n">
        <v>3.13</v>
      </c>
      <c r="N12" s="11" t="n">
        <v>3.25</v>
      </c>
      <c r="O12" s="11" t="n">
        <v>-2.74</v>
      </c>
      <c r="P12" s="11" t="n">
        <v>1.53</v>
      </c>
      <c r="Q12" s="11" t="n">
        <v>2.59</v>
      </c>
      <c r="R12" s="11" t="n">
        <v>3.61</v>
      </c>
      <c r="S12" s="11" t="n">
        <v>-2.3</v>
      </c>
      <c r="T12" s="11" t="n">
        <v>2.37</v>
      </c>
      <c r="U12" s="11" t="n">
        <v>3.6</v>
      </c>
      <c r="V12" s="11" t="n">
        <v>3.58</v>
      </c>
      <c r="W12" s="11" t="n">
        <v>4.5</v>
      </c>
      <c r="X12" s="11" t="n">
        <v>3.77</v>
      </c>
      <c r="Y12" s="11" t="n">
        <v>3.81</v>
      </c>
      <c r="Z12" s="11" t="n">
        <v>5.48</v>
      </c>
      <c r="AA12" s="11" t="n">
        <v>6.93</v>
      </c>
      <c r="AB12" s="11" t="n">
        <v>5.76</v>
      </c>
      <c r="AC12" s="11" t="n">
        <v>5.17</v>
      </c>
      <c r="AD12" s="11" t="n">
        <v>6.27</v>
      </c>
    </row>
    <row r="13">
      <c r="A13" s="10" t="inlineStr">
        <is>
          <t>감가상각비</t>
        </is>
      </c>
      <c r="W13" s="11" t="n">
        <v>3.1</v>
      </c>
      <c r="X13" s="11" t="n">
        <v>4.03</v>
      </c>
      <c r="Y13" s="11" t="n">
        <v>4.12</v>
      </c>
      <c r="Z13" s="11" t="n">
        <v>4.24</v>
      </c>
      <c r="AA13" s="11" t="n">
        <v>5.75</v>
      </c>
      <c r="AB13" s="11" t="n">
        <v>6.34</v>
      </c>
      <c r="AC13" s="11" t="n">
        <v>9.630000000000001</v>
      </c>
    </row>
    <row r="14">
      <c r="A14" s="10" t="inlineStr">
        <is>
          <t>연구개발비</t>
        </is>
      </c>
      <c r="W14" s="11" t="n">
        <v>13.52</v>
      </c>
      <c r="X14" s="11" t="n">
        <v>13.85</v>
      </c>
      <c r="Y14" s="11" t="n">
        <v>15.42</v>
      </c>
      <c r="Z14" s="11" t="n">
        <v>17.35</v>
      </c>
      <c r="AA14" s="11" t="n">
        <v>20.87</v>
      </c>
      <c r="AB14" s="11" t="n">
        <v>20.75</v>
      </c>
      <c r="AC14" s="11" t="n">
        <v>24.77</v>
      </c>
      <c r="AD14" s="11" t="n">
        <v>24.5</v>
      </c>
    </row>
    <row r="15">
      <c r="A15" s="10" t="inlineStr">
        <is>
          <t>기타</t>
        </is>
      </c>
      <c r="I15" s="11" t="n">
        <v>17.07</v>
      </c>
      <c r="J15" s="11" t="n">
        <v>18.05</v>
      </c>
      <c r="K15" s="11" t="n">
        <v>18.66</v>
      </c>
      <c r="L15" s="11" t="n">
        <v>-0.5600000000000001</v>
      </c>
      <c r="M15" s="11" t="n">
        <v>17.89</v>
      </c>
      <c r="N15" s="11" t="n">
        <v>20.35</v>
      </c>
      <c r="O15" s="11" t="n">
        <v>32.24</v>
      </c>
      <c r="P15" s="11" t="n">
        <v>-1.54</v>
      </c>
      <c r="Q15" s="11" t="n">
        <v>24.8</v>
      </c>
      <c r="R15" s="11" t="n">
        <v>26.18</v>
      </c>
      <c r="S15" s="11" t="n">
        <v>26.06</v>
      </c>
      <c r="T15" s="11" t="n">
        <v>1.86</v>
      </c>
      <c r="U15" s="11" t="n">
        <v>28.73</v>
      </c>
      <c r="V15" s="11" t="n">
        <v>28.54</v>
      </c>
      <c r="W15" s="11" t="n">
        <v>43.21</v>
      </c>
      <c r="X15" s="11" t="n">
        <v>39.23</v>
      </c>
      <c r="Y15" s="11" t="n">
        <v>31.58</v>
      </c>
      <c r="Z15" s="11" t="n">
        <v>38.76</v>
      </c>
      <c r="AA15" s="11" t="n">
        <v>50.31</v>
      </c>
      <c r="AB15" s="11" t="n">
        <v>53.22</v>
      </c>
      <c r="AC15" s="11" t="n">
        <v>68.94</v>
      </c>
      <c r="AD15" s="11" t="n">
        <v>78.90000000000001</v>
      </c>
    </row>
    <row r="16">
      <c r="A16" s="10" t="inlineStr">
        <is>
          <t>판매비와 관리비 합계</t>
        </is>
      </c>
      <c r="C16" s="11" t="n">
        <v>31.15</v>
      </c>
      <c r="D16" s="11" t="n">
        <v>34.28</v>
      </c>
      <c r="E16" s="11" t="n">
        <v>36.51</v>
      </c>
      <c r="F16" s="11" t="n">
        <v>39.19</v>
      </c>
      <c r="G16" s="11" t="n">
        <v>38.93</v>
      </c>
      <c r="H16" s="11" t="n">
        <v>40.06</v>
      </c>
      <c r="I16" s="11" t="n">
        <v>39.46</v>
      </c>
      <c r="J16" s="11" t="n">
        <v>41.6</v>
      </c>
      <c r="K16" s="11" t="n">
        <v>41.17</v>
      </c>
      <c r="L16" s="11" t="n">
        <v>39.75</v>
      </c>
      <c r="M16" s="11" t="n">
        <v>42.42</v>
      </c>
      <c r="N16" s="11" t="n">
        <v>43.65</v>
      </c>
      <c r="O16" s="11" t="n">
        <v>42.33</v>
      </c>
      <c r="P16" s="11" t="n">
        <v>41.39</v>
      </c>
      <c r="Q16" s="11" t="n">
        <v>43.08</v>
      </c>
      <c r="R16" s="11" t="n">
        <v>45.82</v>
      </c>
      <c r="S16" s="11" t="n">
        <v>46.62</v>
      </c>
      <c r="T16" s="11" t="n">
        <v>46.73</v>
      </c>
      <c r="U16" s="11" t="n">
        <v>49.46</v>
      </c>
      <c r="V16" s="11" t="n">
        <v>49.64</v>
      </c>
      <c r="W16" s="11" t="n">
        <v>123.3</v>
      </c>
      <c r="X16" s="11" t="n">
        <v>117.09</v>
      </c>
      <c r="Y16" s="11" t="n">
        <v>110.25</v>
      </c>
      <c r="Z16" s="11" t="n">
        <v>127.03</v>
      </c>
      <c r="AA16" s="11" t="n">
        <v>154.69</v>
      </c>
      <c r="AB16" s="11" t="n">
        <v>161.98</v>
      </c>
      <c r="AC16" s="11" t="n">
        <v>169.79</v>
      </c>
      <c r="AD16" s="11" t="n">
        <v>182.25</v>
      </c>
    </row>
    <row r="17">
      <c r="A17" s="5" t="inlineStr">
        <is>
          <t>영업이익</t>
        </is>
      </c>
      <c r="C17" s="6" t="n">
        <v>11.3</v>
      </c>
      <c r="D17" s="6" t="n">
        <v>11.24</v>
      </c>
      <c r="E17" s="6" t="n">
        <v>26.75</v>
      </c>
      <c r="F17" s="6" t="n">
        <v>29.34</v>
      </c>
      <c r="G17" s="6" t="n">
        <v>30.7</v>
      </c>
      <c r="H17" s="6" t="n">
        <v>15.43</v>
      </c>
      <c r="I17" s="6" t="n">
        <v>8.65</v>
      </c>
      <c r="J17" s="6" t="n">
        <v>5.86</v>
      </c>
      <c r="K17" s="6" t="n">
        <v>16.17</v>
      </c>
      <c r="L17" s="6" t="n">
        <v>2.45</v>
      </c>
      <c r="M17" s="6" t="n">
        <v>2.3</v>
      </c>
      <c r="N17" s="6" t="n">
        <v>2.44</v>
      </c>
      <c r="O17" s="6" t="n">
        <v>0.88</v>
      </c>
      <c r="P17" s="6" t="n">
        <v>6.14</v>
      </c>
      <c r="Q17" s="6" t="n">
        <v>5</v>
      </c>
      <c r="R17" s="6" t="n">
        <v>8.050000000000001</v>
      </c>
      <c r="S17" s="6" t="n">
        <v>17.98</v>
      </c>
      <c r="T17" s="6" t="n">
        <v>5.43</v>
      </c>
      <c r="U17" s="6" t="n">
        <v>8.51</v>
      </c>
      <c r="V17" s="6" t="n">
        <v>28.88</v>
      </c>
      <c r="W17" s="6" t="n">
        <v>56.7</v>
      </c>
      <c r="X17" s="6" t="n">
        <v>14.65</v>
      </c>
      <c r="Y17" s="6" t="n">
        <v>23.17</v>
      </c>
      <c r="Z17" s="6" t="n">
        <v>57.21</v>
      </c>
      <c r="AA17" s="6" t="n">
        <v>102.22</v>
      </c>
      <c r="AB17" s="6" t="n">
        <v>33.13</v>
      </c>
      <c r="AC17" s="6" t="n">
        <v>11.76</v>
      </c>
      <c r="AD17" s="6" t="n">
        <v>36.46</v>
      </c>
    </row>
    <row r="18">
      <c r="A18" s="8" t="inlineStr">
        <is>
          <t>영업이익률</t>
        </is>
      </c>
      <c r="C18" s="9">
        <f>IF(OR(C17="",C4=""),"",IFERROR(C17/C4,""))</f>
        <v/>
      </c>
      <c r="D18" s="9">
        <f>IF(OR(D17="",D4=""),"",IFERROR(D17/D4,""))</f>
        <v/>
      </c>
      <c r="E18" s="9">
        <f>IF(OR(E17="",E4=""),"",IFERROR(E17/E4,""))</f>
        <v/>
      </c>
      <c r="F18" s="9">
        <f>IF(OR(F17="",F4=""),"",IFERROR(F17/F4,""))</f>
        <v/>
      </c>
      <c r="G18" s="9">
        <f>IF(OR(G17="",G4=""),"",IFERROR(G17/G4,""))</f>
        <v/>
      </c>
      <c r="H18" s="9">
        <f>IF(OR(H17="",H4=""),"",IFERROR(H17/H4,""))</f>
        <v/>
      </c>
      <c r="I18" s="9">
        <f>IF(OR(I17="",I4=""),"",IFERROR(I17/I4,""))</f>
        <v/>
      </c>
      <c r="J18" s="9">
        <f>IF(OR(J17="",J4=""),"",IFERROR(J17/J4,""))</f>
        <v/>
      </c>
      <c r="K18" s="9">
        <f>IF(OR(K17="",K4=""),"",IFERROR(K17/K4,""))</f>
        <v/>
      </c>
      <c r="L18" s="9">
        <f>IF(OR(L17="",L4=""),"",IFERROR(L17/L4,""))</f>
        <v/>
      </c>
      <c r="M18" s="9">
        <f>IF(OR(M17="",M4=""),"",IFERROR(M17/M4,""))</f>
        <v/>
      </c>
      <c r="N18" s="9">
        <f>IF(OR(N17="",N4=""),"",IFERROR(N17/N4,""))</f>
        <v/>
      </c>
      <c r="O18" s="9">
        <f>IF(OR(O17="",O4=""),"",IFERROR(O17/O4,""))</f>
        <v/>
      </c>
      <c r="P18" s="9">
        <f>IF(OR(P17="",P4=""),"",IFERROR(P17/P4,""))</f>
        <v/>
      </c>
      <c r="Q18" s="9">
        <f>IF(OR(Q17="",Q4=""),"",IFERROR(Q17/Q4,""))</f>
        <v/>
      </c>
      <c r="R18" s="9">
        <f>IF(OR(R17="",R4=""),"",IFERROR(R17/R4,""))</f>
        <v/>
      </c>
      <c r="S18" s="9">
        <f>IF(OR(S17="",S4=""),"",IFERROR(S17/S4,""))</f>
        <v/>
      </c>
      <c r="T18" s="9">
        <f>IF(OR(T17="",T4=""),"",IFERROR(T17/T4,""))</f>
        <v/>
      </c>
      <c r="U18" s="9">
        <f>IF(OR(U17="",U4=""),"",IFERROR(U17/U4,""))</f>
        <v/>
      </c>
      <c r="V18" s="9">
        <f>IF(OR(V17="",V4=""),"",IFERROR(V17/V4,""))</f>
        <v/>
      </c>
      <c r="W18" s="9">
        <f>IF(OR(W17="",W4=""),"",IFERROR(W17/W4,""))</f>
        <v/>
      </c>
      <c r="X18" s="9">
        <f>IF(OR(X17="",X4=""),"",IFERROR(X17/X4,""))</f>
        <v/>
      </c>
      <c r="Y18" s="9">
        <f>IF(OR(Y17="",Y4=""),"",IFERROR(Y17/Y4,""))</f>
        <v/>
      </c>
      <c r="Z18" s="9">
        <f>IF(OR(Z17="",Z4=""),"",IFERROR(Z17/Z4,""))</f>
        <v/>
      </c>
      <c r="AA18" s="9">
        <f>IF(OR(AA17="",AA4=""),"",IFERROR(AA17/AA4,""))</f>
        <v/>
      </c>
      <c r="AB18" s="9">
        <f>IF(OR(AB17="",AB4=""),"",IFERROR(AB17/AB4,""))</f>
        <v/>
      </c>
      <c r="AC18" s="9">
        <f>IF(OR(AC17="",AC4=""),"",IFERROR(AC17/AC4,""))</f>
        <v/>
      </c>
      <c r="AD18" s="9">
        <f>IF(OR(AD17="",AD4=""),"",IFERROR(AD17/AD4,""))</f>
        <v/>
      </c>
    </row>
    <row r="19">
      <c r="A19" s="8" t="inlineStr">
        <is>
          <t>YoY</t>
        </is>
      </c>
      <c r="G19" s="9">
        <f>IF(OR(G17="",C17=""),"",IFERROR(G17/C17-1,""))</f>
        <v/>
      </c>
      <c r="H19" s="9">
        <f>IF(OR(H17="",D17=""),"",IFERROR(H17/D17-1,""))</f>
        <v/>
      </c>
      <c r="I19" s="9">
        <f>IF(OR(I17="",E17=""),"",IFERROR(I17/E17-1,""))</f>
        <v/>
      </c>
      <c r="J19" s="9">
        <f>IF(OR(J17="",F17=""),"",IFERROR(J17/F17-1,""))</f>
        <v/>
      </c>
      <c r="K19" s="9">
        <f>IF(OR(K17="",G17=""),"",IFERROR(K17/G17-1,""))</f>
        <v/>
      </c>
      <c r="L19" s="9">
        <f>IF(OR(L17="",H17=""),"",IFERROR(L17/H17-1,""))</f>
        <v/>
      </c>
      <c r="M19" s="9">
        <f>IF(OR(M17="",I17=""),"",IFERROR(M17/I17-1,""))</f>
        <v/>
      </c>
      <c r="N19" s="9">
        <f>IF(OR(N17="",J17=""),"",IFERROR(N17/J17-1,""))</f>
        <v/>
      </c>
      <c r="O19" s="9">
        <f>IF(OR(O17="",K17=""),"",IFERROR(O17/K17-1,""))</f>
        <v/>
      </c>
      <c r="P19" s="9">
        <f>IF(OR(P17="",L17=""),"",IFERROR(P17/L17-1,""))</f>
        <v/>
      </c>
      <c r="Q19" s="9">
        <f>IF(OR(Q17="",M17=""),"",IFERROR(Q17/M17-1,""))</f>
        <v/>
      </c>
      <c r="R19" s="9">
        <f>IF(OR(R17="",N17=""),"",IFERROR(R17/N17-1,""))</f>
        <v/>
      </c>
      <c r="S19" s="9">
        <f>IF(OR(S17="",O17=""),"",IFERROR(S17/O17-1,""))</f>
        <v/>
      </c>
      <c r="T19" s="9">
        <f>IF(OR(T17="",P17=""),"",IFERROR(T17/P17-1,""))</f>
        <v/>
      </c>
      <c r="U19" s="9">
        <f>IF(OR(U17="",Q17=""),"",IFERROR(U17/Q17-1,""))</f>
        <v/>
      </c>
      <c r="V19" s="9">
        <f>IF(OR(V17="",R17=""),"",IFERROR(V17/R17-1,""))</f>
        <v/>
      </c>
      <c r="X19" s="9">
        <f>IF(OR(X17="",W17=""),"",IFERROR(X17/W17-1,""))</f>
        <v/>
      </c>
      <c r="Y19" s="9">
        <f>IF(OR(Y17="",X17=""),"",IFERROR(Y17/X17-1,""))</f>
        <v/>
      </c>
      <c r="Z19" s="9">
        <f>IF(OR(Z17="",Y17=""),"",IFERROR(Z17/Y17-1,""))</f>
        <v/>
      </c>
      <c r="AA19" s="9">
        <f>IF(OR(AA17="",Z17=""),"",IFERROR(AA17/Z17-1,""))</f>
        <v/>
      </c>
      <c r="AB19" s="9">
        <f>IF(OR(AB17="",AA17=""),"",IFERROR(AB17/AA17-1,""))</f>
        <v/>
      </c>
      <c r="AC19" s="9">
        <f>IF(OR(AC17="",AB17=""),"",IFERROR(AC17/AB17-1,""))</f>
        <v/>
      </c>
      <c r="AD19" s="9">
        <f>IF(OR(AD17="",AC17=""),"",IFERROR(AD17/AC17-1,""))</f>
        <v/>
      </c>
    </row>
    <row r="20">
      <c r="A20" s="10" t="inlineStr">
        <is>
          <t>이자수익</t>
        </is>
      </c>
      <c r="C20" s="11" t="n">
        <v>0.09</v>
      </c>
      <c r="D20" s="11" t="n">
        <v>0.11</v>
      </c>
      <c r="E20" s="11" t="n">
        <v>0.08</v>
      </c>
      <c r="F20" s="11" t="n">
        <v>0.14</v>
      </c>
      <c r="G20" s="11" t="n">
        <v>0.24</v>
      </c>
      <c r="H20" s="11" t="n">
        <v>0.38</v>
      </c>
      <c r="I20" s="11" t="n">
        <v>0.5600000000000001</v>
      </c>
      <c r="J20" s="11" t="n">
        <v>0.68</v>
      </c>
      <c r="K20" s="11" t="n">
        <v>0.82</v>
      </c>
      <c r="L20" s="11" t="n">
        <v>0.85</v>
      </c>
      <c r="M20" s="11" t="n">
        <v>0.83</v>
      </c>
      <c r="N20" s="11" t="n">
        <v>0.84</v>
      </c>
      <c r="O20" s="11" t="n">
        <v>0.77</v>
      </c>
      <c r="P20" s="11" t="n">
        <v>0.59</v>
      </c>
      <c r="Q20" s="11" t="n">
        <v>0.63</v>
      </c>
      <c r="R20" s="11" t="n">
        <v>0.35</v>
      </c>
      <c r="S20" s="11" t="n">
        <v>0.45</v>
      </c>
      <c r="T20" s="11" t="n">
        <v>0.53</v>
      </c>
      <c r="W20" s="11" t="n">
        <v>0.88</v>
      </c>
      <c r="X20" s="11" t="n">
        <v>0.61</v>
      </c>
      <c r="Y20" s="11" t="n">
        <v>0.32</v>
      </c>
      <c r="Z20" s="11" t="n">
        <v>0.38</v>
      </c>
      <c r="AA20" s="11" t="n">
        <v>0.84</v>
      </c>
      <c r="AB20" s="11" t="n">
        <v>2.91</v>
      </c>
      <c r="AC20" s="11" t="n">
        <v>3.03</v>
      </c>
      <c r="AD20" s="11" t="n">
        <v>1.96</v>
      </c>
    </row>
    <row r="21">
      <c r="A21" s="10" t="inlineStr">
        <is>
          <t>배당금수익</t>
        </is>
      </c>
      <c r="C21" s="11" t="n">
        <v>0.26</v>
      </c>
      <c r="D21" s="11" t="n">
        <v>0</v>
      </c>
      <c r="E21" s="11" t="n">
        <v>0.28</v>
      </c>
      <c r="F21" s="11" t="n">
        <v>0.01</v>
      </c>
      <c r="G21" s="11" t="n">
        <v>0.31</v>
      </c>
      <c r="H21" s="11" t="n">
        <v>0</v>
      </c>
      <c r="I21" s="11" t="n">
        <v>0.32</v>
      </c>
      <c r="J21" s="11" t="n">
        <v>0.01</v>
      </c>
      <c r="K21" s="11" t="n">
        <v>0.39</v>
      </c>
      <c r="L21" s="11" t="n">
        <v>0</v>
      </c>
      <c r="M21" s="11" t="n">
        <v>0.42</v>
      </c>
      <c r="N21" s="11" t="n">
        <v>0.01</v>
      </c>
      <c r="O21" s="11" t="n">
        <v>0.45</v>
      </c>
      <c r="P21" s="11" t="n">
        <v>-0.04</v>
      </c>
      <c r="Q21" s="11" t="n">
        <v>1.4</v>
      </c>
      <c r="R21" s="11" t="n">
        <v>0.01</v>
      </c>
      <c r="U21" s="11" t="n">
        <v>2.14</v>
      </c>
      <c r="W21" s="11" t="n">
        <v>0.72</v>
      </c>
      <c r="X21" s="11" t="n">
        <v>0.66</v>
      </c>
      <c r="Y21" s="11" t="n">
        <v>0.43</v>
      </c>
      <c r="Z21" s="11" t="n">
        <v>0.54</v>
      </c>
      <c r="AA21" s="11" t="n">
        <v>0.6</v>
      </c>
      <c r="AB21" s="11" t="n">
        <v>0.72</v>
      </c>
      <c r="AC21" s="11" t="n">
        <v>0.84</v>
      </c>
    </row>
    <row r="22">
      <c r="A22" s="10" t="inlineStr">
        <is>
          <t>외환차익</t>
        </is>
      </c>
      <c r="C22" s="11" t="n">
        <v>0.57</v>
      </c>
      <c r="D22" s="11" t="n">
        <v>5.51</v>
      </c>
      <c r="E22" s="11" t="n">
        <v>7.49</v>
      </c>
      <c r="F22" s="11" t="n">
        <v>2.31</v>
      </c>
      <c r="G22" s="11" t="n">
        <v>-9.800000000000001</v>
      </c>
      <c r="H22" s="11" t="n">
        <v>0.84</v>
      </c>
      <c r="I22" s="11" t="n">
        <v>7.05</v>
      </c>
      <c r="J22" s="11" t="n">
        <v>-1.81</v>
      </c>
      <c r="K22" s="11" t="n">
        <v>-4.67</v>
      </c>
      <c r="L22" s="11" t="n">
        <v>4.38</v>
      </c>
      <c r="M22" s="11" t="n">
        <v>2.78</v>
      </c>
      <c r="N22" s="11" t="n">
        <v>-2.78</v>
      </c>
      <c r="O22" s="11" t="n">
        <v>0</v>
      </c>
      <c r="P22" s="11" t="n">
        <v>0</v>
      </c>
      <c r="Q22" s="11" t="n">
        <v>0</v>
      </c>
      <c r="W22" s="11" t="n">
        <v>1.48</v>
      </c>
      <c r="X22" s="11" t="n">
        <v>0</v>
      </c>
      <c r="Y22" s="11" t="n">
        <v>1.67</v>
      </c>
      <c r="Z22" s="11" t="n">
        <v>6.08</v>
      </c>
      <c r="AA22" s="11" t="n">
        <v>0.84</v>
      </c>
      <c r="AB22" s="11" t="n">
        <v>4.95</v>
      </c>
      <c r="AC22" s="11" t="n">
        <v>0</v>
      </c>
    </row>
    <row r="23">
      <c r="A23" s="10" t="inlineStr">
        <is>
          <t>선물환 평가이익</t>
        </is>
      </c>
      <c r="W23" s="11" t="n">
        <v>0.09</v>
      </c>
      <c r="X23" s="11" t="n">
        <v>0</v>
      </c>
    </row>
    <row r="24">
      <c r="A24" s="10" t="inlineStr">
        <is>
          <t>작업 부산물 처분이익</t>
        </is>
      </c>
      <c r="I24" s="11" t="n">
        <v>0.44</v>
      </c>
      <c r="M24" s="11" t="n">
        <v>0.37</v>
      </c>
      <c r="Q24" s="11" t="n">
        <v>0.53</v>
      </c>
    </row>
    <row r="25">
      <c r="A25" s="10" t="inlineStr">
        <is>
          <t>경영지도료</t>
        </is>
      </c>
      <c r="I25" s="11" t="n">
        <v>1.26</v>
      </c>
      <c r="J25" s="11" t="n">
        <v>0</v>
      </c>
      <c r="K25" s="11" t="n">
        <v>0</v>
      </c>
      <c r="L25" s="11" t="n">
        <v>0</v>
      </c>
      <c r="M25" s="11" t="n">
        <v>1.04</v>
      </c>
      <c r="N25" s="11" t="n">
        <v>0</v>
      </c>
      <c r="O25" s="11" t="n">
        <v>0</v>
      </c>
      <c r="P25" s="11" t="n">
        <v>0</v>
      </c>
      <c r="Q25" s="11" t="n">
        <v>1.37</v>
      </c>
      <c r="R25" s="11" t="n">
        <v>0</v>
      </c>
      <c r="U25" s="11" t="n">
        <v>1.57</v>
      </c>
      <c r="W25" s="11" t="n">
        <v>0.51</v>
      </c>
      <c r="X25" s="11" t="n">
        <v>0.48</v>
      </c>
      <c r="Y25" s="11" t="n">
        <v>0.23</v>
      </c>
      <c r="Z25" s="11" t="n">
        <v>0.35</v>
      </c>
      <c r="AA25" s="11" t="n">
        <v>0.78</v>
      </c>
      <c r="AB25" s="11" t="n">
        <v>1.26</v>
      </c>
      <c r="AC25" s="11" t="n">
        <v>1.04</v>
      </c>
    </row>
    <row r="26">
      <c r="A26" s="10" t="inlineStr">
        <is>
          <t>고용조정 보조금</t>
        </is>
      </c>
      <c r="C26" s="11" t="n">
        <v>0</v>
      </c>
      <c r="D26" s="11" t="n">
        <v>0</v>
      </c>
      <c r="I26" s="11" t="n">
        <v>0.11</v>
      </c>
      <c r="J26" s="11" t="n">
        <v>0.15</v>
      </c>
      <c r="K26" s="11" t="n">
        <v>0.23</v>
      </c>
      <c r="L26" s="11" t="n">
        <v>0.19</v>
      </c>
      <c r="M26" s="11" t="n">
        <v>0.07000000000000001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X26" s="11" t="n">
        <v>0</v>
      </c>
      <c r="Y26" s="11" t="n">
        <v>2.11</v>
      </c>
      <c r="Z26" s="11" t="n">
        <v>0</v>
      </c>
      <c r="AA26" s="11" t="n">
        <v>0</v>
      </c>
      <c r="AB26" s="11" t="n">
        <v>0.68</v>
      </c>
      <c r="AC26" s="11" t="n">
        <v>0.07000000000000001</v>
      </c>
    </row>
    <row r="27">
      <c r="A27" s="10" t="inlineStr">
        <is>
          <t>보조금 수입</t>
        </is>
      </c>
      <c r="C27" s="11" t="n">
        <v>0</v>
      </c>
      <c r="D27" s="11" t="n">
        <v>0</v>
      </c>
      <c r="X27" s="11" t="n">
        <v>0</v>
      </c>
      <c r="Y27" s="11" t="n">
        <v>0.92</v>
      </c>
      <c r="Z27" s="11" t="n">
        <v>0</v>
      </c>
    </row>
    <row r="28">
      <c r="A28" s="10" t="inlineStr">
        <is>
          <t>지분법이익</t>
        </is>
      </c>
      <c r="I28" s="11" t="n">
        <v>0.44</v>
      </c>
      <c r="J28" s="11" t="n">
        <v>0.53</v>
      </c>
      <c r="K28" s="11" t="n">
        <v>0.71</v>
      </c>
      <c r="L28" s="11" t="n">
        <v>-0.55</v>
      </c>
      <c r="M28" s="11" t="n">
        <v>0.76</v>
      </c>
      <c r="N28" s="11" t="n">
        <v>0.87</v>
      </c>
      <c r="O28" s="11" t="n">
        <v>0.9399999999999999</v>
      </c>
      <c r="P28" s="11" t="n">
        <v>-1</v>
      </c>
      <c r="Q28" s="11" t="n">
        <v>0.87</v>
      </c>
      <c r="R28" s="11" t="n">
        <v>0.73</v>
      </c>
      <c r="S28" s="11" t="n">
        <v>1.1</v>
      </c>
      <c r="T28" s="11" t="n">
        <v>-0.85</v>
      </c>
      <c r="W28" s="11" t="n">
        <v>0.82</v>
      </c>
      <c r="X28" s="11" t="n">
        <v>0.4</v>
      </c>
      <c r="Y28" s="11" t="n">
        <v>0.44</v>
      </c>
      <c r="Z28" s="11" t="n">
        <v>0.85</v>
      </c>
      <c r="AA28" s="11" t="n">
        <v>1.46</v>
      </c>
      <c r="AB28" s="11" t="n">
        <v>1.13</v>
      </c>
      <c r="AC28" s="11" t="n">
        <v>1.57</v>
      </c>
      <c r="AD28" s="11" t="n">
        <v>1.85</v>
      </c>
    </row>
    <row r="29">
      <c r="A29" s="10" t="inlineStr">
        <is>
          <t>작업 부산물 처분이익</t>
        </is>
      </c>
      <c r="W29" s="11" t="n">
        <v>1.74</v>
      </c>
      <c r="X29" s="11" t="n">
        <v>2.35</v>
      </c>
      <c r="Y29" s="11" t="n">
        <v>2.88</v>
      </c>
      <c r="Z29" s="11" t="n">
        <v>3.56</v>
      </c>
      <c r="AA29" s="11" t="n">
        <v>3.42</v>
      </c>
      <c r="AB29" s="11" t="n">
        <v>2.45</v>
      </c>
      <c r="AC29" s="11" t="n">
        <v>3.32</v>
      </c>
      <c r="AD29" s="11" t="n">
        <v>5.3</v>
      </c>
    </row>
    <row r="30">
      <c r="A30" s="10" t="inlineStr">
        <is>
          <t>보조금 수입</t>
        </is>
      </c>
      <c r="I30" s="11" t="n">
        <v>0.3</v>
      </c>
      <c r="J30" s="11" t="n">
        <v>0.03</v>
      </c>
      <c r="K30" s="11" t="n">
        <v>0.5</v>
      </c>
      <c r="L30" s="11" t="n">
        <v>0.2</v>
      </c>
      <c r="M30" s="11" t="n">
        <v>0.2</v>
      </c>
      <c r="N30" s="11" t="n">
        <v>0.09</v>
      </c>
      <c r="O30" s="11" t="n">
        <v>0.77</v>
      </c>
      <c r="P30" s="11" t="n">
        <v>0.23</v>
      </c>
      <c r="Q30" s="11" t="n">
        <v>0.17</v>
      </c>
      <c r="R30" s="11" t="n">
        <v>0.13</v>
      </c>
      <c r="W30" s="11" t="n">
        <v>0.29</v>
      </c>
      <c r="X30" s="11" t="n">
        <v>0.12</v>
      </c>
      <c r="Y30" s="11" t="n">
        <v>0.44</v>
      </c>
      <c r="Z30" s="11" t="n">
        <v>0.55</v>
      </c>
      <c r="AA30" s="11" t="n">
        <v>1.36</v>
      </c>
      <c r="AB30" s="11" t="n">
        <v>1.03</v>
      </c>
      <c r="AC30" s="11" t="n">
        <v>1.29</v>
      </c>
      <c r="AD30" s="11" t="n">
        <v>6.62</v>
      </c>
    </row>
    <row r="31">
      <c r="A31" s="10" t="inlineStr">
        <is>
          <t>대손충당금 환입</t>
        </is>
      </c>
      <c r="W31" s="11" t="n">
        <v>0.02</v>
      </c>
      <c r="X31" s="11" t="n">
        <v>0</v>
      </c>
    </row>
    <row r="32">
      <c r="A32" s="10" t="inlineStr">
        <is>
          <t>기타</t>
        </is>
      </c>
      <c r="C32" s="11" t="n">
        <v>1.65</v>
      </c>
      <c r="D32" s="11" t="n">
        <v>-3.63</v>
      </c>
      <c r="E32" s="11" t="n">
        <v>2.31</v>
      </c>
      <c r="F32" s="11" t="n">
        <v>2.4</v>
      </c>
      <c r="G32" s="11" t="n">
        <v>2.62</v>
      </c>
      <c r="H32" s="11" t="n">
        <v>-4.99</v>
      </c>
      <c r="I32" s="11" t="n">
        <v>0.32</v>
      </c>
      <c r="J32" s="11" t="n">
        <v>0.23</v>
      </c>
      <c r="K32" s="11" t="n">
        <v>0.15</v>
      </c>
      <c r="L32" s="11" t="n">
        <v>1.26</v>
      </c>
      <c r="M32" s="11" t="n">
        <v>0.3</v>
      </c>
      <c r="N32" s="11" t="n">
        <v>0.38</v>
      </c>
      <c r="O32" s="11" t="n">
        <v>5.25</v>
      </c>
      <c r="P32" s="11" t="n">
        <v>-2.36</v>
      </c>
      <c r="Q32" s="11" t="n">
        <v>2.39</v>
      </c>
      <c r="R32" s="11" t="n">
        <v>3.25</v>
      </c>
      <c r="S32" s="11" t="n">
        <v>6.27</v>
      </c>
      <c r="T32" s="11" t="n">
        <v>-3.88</v>
      </c>
      <c r="U32" s="11" t="n">
        <v>3.47</v>
      </c>
      <c r="V32" s="11" t="n">
        <v>0.95</v>
      </c>
      <c r="W32" s="11" t="n">
        <v>1.23</v>
      </c>
      <c r="X32" s="11" t="n">
        <v>1.83</v>
      </c>
      <c r="Y32" s="11" t="n">
        <v>1.61</v>
      </c>
      <c r="Z32" s="11" t="n">
        <v>1.79</v>
      </c>
      <c r="AA32" s="11" t="n">
        <v>2.34</v>
      </c>
      <c r="AB32" s="11" t="n">
        <v>1.96</v>
      </c>
      <c r="AC32" s="11" t="n">
        <v>3.57</v>
      </c>
      <c r="AD32" s="11" t="n">
        <v>8.029999999999999</v>
      </c>
    </row>
    <row r="33">
      <c r="A33" s="5" t="inlineStr">
        <is>
          <t>영업외수익 합계</t>
        </is>
      </c>
      <c r="C33" s="6" t="n">
        <v>2.58</v>
      </c>
      <c r="D33" s="6" t="n">
        <v>7.32</v>
      </c>
      <c r="E33" s="6" t="n">
        <v>10.17</v>
      </c>
      <c r="F33" s="6" t="n">
        <v>4.87</v>
      </c>
      <c r="G33" s="6" t="n">
        <v>-6.65</v>
      </c>
      <c r="H33" s="6" t="n">
        <v>3.29</v>
      </c>
      <c r="I33" s="6" t="n">
        <v>10.84</v>
      </c>
      <c r="J33" s="6" t="n">
        <v>0.52</v>
      </c>
      <c r="K33" s="6" t="n">
        <v>-1.07</v>
      </c>
      <c r="L33" s="6" t="n">
        <v>6.83</v>
      </c>
      <c r="M33" s="6" t="n">
        <v>6.81</v>
      </c>
      <c r="N33" s="6" t="n">
        <v>0.5</v>
      </c>
      <c r="O33" s="6" t="n">
        <v>3.63</v>
      </c>
      <c r="P33" s="6" t="n">
        <v>1.86</v>
      </c>
      <c r="Q33" s="6" t="n">
        <v>5.17</v>
      </c>
      <c r="R33" s="6" t="n">
        <v>3.58</v>
      </c>
      <c r="S33" s="6" t="n">
        <v>7.3</v>
      </c>
      <c r="T33" s="6" t="n">
        <v>7.73</v>
      </c>
      <c r="U33" s="6" t="n">
        <v>7.19</v>
      </c>
      <c r="V33" s="6" t="n">
        <v>2.22</v>
      </c>
      <c r="W33" s="6" t="n">
        <v>7.83</v>
      </c>
      <c r="X33" s="6" t="n">
        <v>6.48</v>
      </c>
      <c r="Y33" s="6" t="n">
        <v>11.1</v>
      </c>
      <c r="Z33" s="6" t="n">
        <v>14.13</v>
      </c>
      <c r="AA33" s="6" t="n">
        <v>11.68</v>
      </c>
      <c r="AB33" s="6" t="n">
        <v>17.12</v>
      </c>
      <c r="AC33" s="6" t="n">
        <v>12.8</v>
      </c>
      <c r="AD33" s="6" t="n">
        <v>23.78</v>
      </c>
    </row>
    <row r="34">
      <c r="A34" s="10" t="inlineStr">
        <is>
          <t>이자비용</t>
        </is>
      </c>
      <c r="C34" s="11" t="n">
        <v>0.12</v>
      </c>
      <c r="D34" s="11" t="n">
        <v>0.1</v>
      </c>
      <c r="E34" s="11" t="n">
        <v>0.14</v>
      </c>
      <c r="F34" s="11" t="n">
        <v>0.14</v>
      </c>
      <c r="G34" s="11" t="n">
        <v>0.29</v>
      </c>
      <c r="H34" s="11" t="n">
        <v>0.29</v>
      </c>
      <c r="I34" s="11" t="n">
        <v>0.31</v>
      </c>
      <c r="J34" s="11" t="n">
        <v>0.31</v>
      </c>
      <c r="K34" s="11" t="n">
        <v>0.44</v>
      </c>
      <c r="L34" s="11" t="n">
        <v>0.45</v>
      </c>
      <c r="M34" s="11" t="n">
        <v>0.55</v>
      </c>
      <c r="N34" s="11" t="n">
        <v>0.85</v>
      </c>
      <c r="O34" s="11" t="n">
        <v>1.03</v>
      </c>
      <c r="P34" s="11" t="n">
        <v>1.27</v>
      </c>
      <c r="Q34" s="11" t="n">
        <v>1.55</v>
      </c>
      <c r="R34" s="11" t="n">
        <v>1.6</v>
      </c>
      <c r="S34" s="11" t="n">
        <v>1.61</v>
      </c>
      <c r="T34" s="11" t="n">
        <v>1.68</v>
      </c>
      <c r="U34" s="11" t="n">
        <v>1.89</v>
      </c>
      <c r="V34" s="11" t="n">
        <v>2.03</v>
      </c>
      <c r="W34" s="11" t="n">
        <v>0.02</v>
      </c>
      <c r="X34" s="11" t="n">
        <v>0.19</v>
      </c>
      <c r="Y34" s="11" t="n">
        <v>0.38</v>
      </c>
      <c r="Z34" s="11" t="n">
        <v>0.45</v>
      </c>
      <c r="AA34" s="11" t="n">
        <v>0.86</v>
      </c>
      <c r="AB34" s="11" t="n">
        <v>1.51</v>
      </c>
      <c r="AC34" s="11" t="n">
        <v>3.7</v>
      </c>
      <c r="AD34" s="11" t="n">
        <v>6.44</v>
      </c>
    </row>
    <row r="35">
      <c r="A35" s="10" t="inlineStr">
        <is>
          <t>외환차손</t>
        </is>
      </c>
      <c r="C35" s="11" t="n">
        <v>-1.12</v>
      </c>
      <c r="E35" s="11" t="n">
        <v>0</v>
      </c>
      <c r="F35" s="11" t="n">
        <v>0</v>
      </c>
      <c r="G35" s="11" t="n">
        <v>0.07000000000000001</v>
      </c>
      <c r="K35" s="11" t="n">
        <v>0</v>
      </c>
      <c r="L35" s="11" t="n">
        <v>0</v>
      </c>
      <c r="M35" s="11" t="n">
        <v>0</v>
      </c>
      <c r="N35" s="11" t="n">
        <v>11.03</v>
      </c>
      <c r="O35" s="11" t="n">
        <v>-8.17</v>
      </c>
      <c r="P35" s="11" t="n">
        <v>2.74</v>
      </c>
      <c r="Q35" s="11" t="n">
        <v>1.88</v>
      </c>
      <c r="R35" s="11" t="n">
        <v>-1.25</v>
      </c>
      <c r="S35" s="11" t="n">
        <v>-0.63</v>
      </c>
      <c r="T35" s="11" t="n">
        <v>0</v>
      </c>
      <c r="U35" s="11" t="n">
        <v>0</v>
      </c>
      <c r="V35" s="11" t="n">
        <v>2.12</v>
      </c>
      <c r="W35" s="11" t="n">
        <v>0</v>
      </c>
      <c r="X35" s="11" t="n">
        <v>2.19</v>
      </c>
      <c r="Y35" s="11" t="n">
        <v>0</v>
      </c>
      <c r="AB35" s="11" t="n">
        <v>0</v>
      </c>
      <c r="AC35" s="11" t="n">
        <v>5.6</v>
      </c>
      <c r="AD35" s="11" t="n">
        <v>0</v>
      </c>
    </row>
    <row r="36">
      <c r="A36" s="10" t="inlineStr">
        <is>
          <t>선물환 평가손실</t>
        </is>
      </c>
      <c r="Y36" s="11" t="n">
        <v>0.55</v>
      </c>
      <c r="Z36" s="11" t="n">
        <v>1.5</v>
      </c>
      <c r="AA36" s="11" t="n">
        <v>0.66</v>
      </c>
      <c r="AB36" s="11" t="n">
        <v>0.72</v>
      </c>
      <c r="AC36" s="11" t="n">
        <v>0.47</v>
      </c>
    </row>
    <row r="37">
      <c r="A37" s="10" t="inlineStr">
        <is>
          <t>불량 손실</t>
        </is>
      </c>
      <c r="W37" s="11" t="n">
        <v>0.49</v>
      </c>
      <c r="X37" s="11" t="n">
        <v>0.38</v>
      </c>
      <c r="Y37" s="11" t="n">
        <v>0.14</v>
      </c>
      <c r="Z37" s="11" t="n">
        <v>0</v>
      </c>
    </row>
    <row r="38">
      <c r="A38" s="10" t="inlineStr">
        <is>
          <t>매출할인</t>
        </is>
      </c>
      <c r="Y38" s="11" t="n">
        <v>0.22</v>
      </c>
      <c r="Z38" s="11" t="n">
        <v>0.28</v>
      </c>
      <c r="AA38" s="11" t="n">
        <v>0.4</v>
      </c>
      <c r="AB38" s="11" t="n">
        <v>0.34</v>
      </c>
      <c r="AC38" s="11" t="n">
        <v>0.26</v>
      </c>
    </row>
    <row r="39">
      <c r="A39" s="10" t="inlineStr">
        <is>
          <t>세액공제 외 원천소득세</t>
        </is>
      </c>
      <c r="I39" s="11" t="n">
        <v>0.17</v>
      </c>
      <c r="M39" s="11" t="n">
        <v>0.12</v>
      </c>
      <c r="Q39" s="11" t="n">
        <v>0.16</v>
      </c>
    </row>
    <row r="40">
      <c r="A40" s="10" t="inlineStr">
        <is>
          <t>선물환 평가손실</t>
        </is>
      </c>
      <c r="I40" s="11" t="n">
        <v>2.37</v>
      </c>
      <c r="M40" s="11" t="n">
        <v>1.02</v>
      </c>
      <c r="Q40" s="11" t="n">
        <v>0.93</v>
      </c>
    </row>
    <row r="41">
      <c r="A41" s="10" t="inlineStr">
        <is>
          <t>일시휴업 비용</t>
        </is>
      </c>
      <c r="C41" s="11" t="n">
        <v>0</v>
      </c>
      <c r="I41" s="11" t="n">
        <v>0.38</v>
      </c>
      <c r="M41" s="11" t="n">
        <v>0.47</v>
      </c>
      <c r="Q41" s="11" t="n">
        <v>0</v>
      </c>
    </row>
    <row r="42">
      <c r="A42" s="10" t="inlineStr">
        <is>
          <t>신디케이트론 수수료</t>
        </is>
      </c>
      <c r="C42" s="11" t="n">
        <v>0</v>
      </c>
      <c r="D42" s="11" t="n">
        <v>0</v>
      </c>
      <c r="G42" s="11" t="n">
        <v>0</v>
      </c>
      <c r="H42" s="11" t="n">
        <v>0</v>
      </c>
      <c r="K42" s="11" t="n">
        <v>0</v>
      </c>
      <c r="L42" s="11" t="n">
        <v>0</v>
      </c>
      <c r="O42" s="11" t="n">
        <v>0</v>
      </c>
      <c r="P42" s="11" t="n">
        <v>0</v>
      </c>
      <c r="Z42" s="11" t="n">
        <v>0</v>
      </c>
      <c r="AA42" s="11" t="n">
        <v>4.82</v>
      </c>
      <c r="AB42" s="11" t="n">
        <v>0.02</v>
      </c>
      <c r="AC42" s="11" t="n">
        <v>0.02</v>
      </c>
    </row>
    <row r="43">
      <c r="A43" s="10" t="inlineStr">
        <is>
          <t>세액공제 외 원천소득세</t>
        </is>
      </c>
      <c r="Y43" s="11" t="n">
        <v>0.22</v>
      </c>
      <c r="Z43" s="11" t="n">
        <v>0.16</v>
      </c>
      <c r="AA43" s="11" t="n">
        <v>0.11</v>
      </c>
      <c r="AB43" s="11" t="n">
        <v>0.17</v>
      </c>
      <c r="AC43" s="11" t="n">
        <v>0.12</v>
      </c>
    </row>
    <row r="44">
      <c r="A44" s="10" t="inlineStr">
        <is>
          <t>일시휴업 비용</t>
        </is>
      </c>
      <c r="X44" s="11" t="n">
        <v>0</v>
      </c>
      <c r="Y44" s="11" t="n">
        <v>2.9</v>
      </c>
      <c r="Z44" s="11" t="n">
        <v>0</v>
      </c>
      <c r="AA44" s="11" t="n">
        <v>0.26</v>
      </c>
      <c r="AB44" s="11" t="n">
        <v>1.86</v>
      </c>
      <c r="AC44" s="11" t="n">
        <v>0.5</v>
      </c>
    </row>
    <row r="45">
      <c r="A45" s="10" t="inlineStr">
        <is>
          <t>기타</t>
        </is>
      </c>
      <c r="C45" s="11" t="n">
        <v>0.45</v>
      </c>
      <c r="D45" s="11" t="n">
        <v>-0.52</v>
      </c>
      <c r="E45" s="11" t="n">
        <v>2.19</v>
      </c>
      <c r="F45" s="11" t="n">
        <v>-1.2</v>
      </c>
      <c r="G45" s="11" t="n">
        <v>-0.06</v>
      </c>
      <c r="H45" s="11" t="n">
        <v>0.45</v>
      </c>
      <c r="I45" s="11" t="n">
        <v>0.24</v>
      </c>
      <c r="J45" s="11" t="n">
        <v>0.31</v>
      </c>
      <c r="K45" s="11" t="n">
        <v>0.37</v>
      </c>
      <c r="L45" s="11" t="n">
        <v>-0.17</v>
      </c>
      <c r="M45" s="11" t="n">
        <v>0.26</v>
      </c>
      <c r="N45" s="11" t="n">
        <v>0.37</v>
      </c>
      <c r="O45" s="11" t="n">
        <v>1.77</v>
      </c>
      <c r="P45" s="11" t="n">
        <v>0.42</v>
      </c>
      <c r="Q45" s="11" t="n">
        <v>1.43</v>
      </c>
      <c r="R45" s="11" t="n">
        <v>0.41</v>
      </c>
      <c r="S45" s="11" t="n">
        <v>-0.31</v>
      </c>
      <c r="T45" s="11" t="n">
        <v>0.04</v>
      </c>
      <c r="U45" s="11" t="n">
        <v>0.65</v>
      </c>
      <c r="V45" s="11" t="n">
        <v>0.27</v>
      </c>
      <c r="W45" s="11" t="n">
        <v>0.97</v>
      </c>
      <c r="X45" s="11" t="n">
        <v>1.09</v>
      </c>
      <c r="Y45" s="11" t="n">
        <v>0.44</v>
      </c>
      <c r="Z45" s="11" t="n">
        <v>0.35</v>
      </c>
      <c r="AA45" s="11" t="n">
        <v>1.38</v>
      </c>
      <c r="AB45" s="11" t="n">
        <v>0.75</v>
      </c>
      <c r="AC45" s="11" t="n">
        <v>2.82</v>
      </c>
      <c r="AD45" s="11" t="n">
        <v>1.57</v>
      </c>
    </row>
    <row r="46">
      <c r="A46" s="10" t="inlineStr">
        <is>
          <t>영업외비용 합계</t>
        </is>
      </c>
      <c r="C46" s="11" t="n">
        <v>-0.5600000000000001</v>
      </c>
      <c r="D46" s="11" t="n">
        <v>1.52</v>
      </c>
      <c r="E46" s="11" t="n">
        <v>2.34</v>
      </c>
      <c r="F46" s="11" t="n">
        <v>3.76</v>
      </c>
      <c r="G46" s="11" t="n">
        <v>0.31</v>
      </c>
      <c r="H46" s="11" t="n">
        <v>2.11</v>
      </c>
      <c r="I46" s="11" t="n">
        <v>3.48</v>
      </c>
      <c r="J46" s="11" t="n">
        <v>-0.6</v>
      </c>
      <c r="K46" s="11" t="n">
        <v>0.68</v>
      </c>
      <c r="L46" s="11" t="n">
        <v>1.84</v>
      </c>
      <c r="M46" s="11" t="n">
        <v>2.45</v>
      </c>
      <c r="N46" s="11" t="n">
        <v>11.28</v>
      </c>
      <c r="O46" s="11" t="n">
        <v>-6.03</v>
      </c>
      <c r="P46" s="11" t="n">
        <v>4.43</v>
      </c>
      <c r="Q46" s="11" t="n">
        <v>4.87</v>
      </c>
      <c r="R46" s="11" t="n">
        <v>0.76</v>
      </c>
      <c r="S46" s="11" t="n">
        <v>0.66</v>
      </c>
      <c r="T46" s="11" t="n">
        <v>1.73</v>
      </c>
      <c r="U46" s="11" t="n">
        <v>2.55</v>
      </c>
      <c r="V46" s="11" t="n">
        <v>4.42</v>
      </c>
      <c r="W46" s="11" t="n">
        <v>1.49</v>
      </c>
      <c r="X46" s="11" t="n">
        <v>3.86</v>
      </c>
      <c r="Y46" s="11" t="n">
        <v>4.88</v>
      </c>
      <c r="Z46" s="11" t="n">
        <v>2.75</v>
      </c>
      <c r="AA46" s="11" t="n">
        <v>8.52</v>
      </c>
      <c r="AB46" s="11" t="n">
        <v>5.4</v>
      </c>
      <c r="AC46" s="11" t="n">
        <v>12.13</v>
      </c>
      <c r="AD46" s="11" t="n">
        <v>8.02</v>
      </c>
    </row>
    <row r="47">
      <c r="A47" s="5" t="inlineStr">
        <is>
          <t>경상이익</t>
        </is>
      </c>
      <c r="C47" s="6" t="n">
        <v>14.45</v>
      </c>
      <c r="D47" s="6" t="n">
        <v>17.03</v>
      </c>
      <c r="E47" s="6" t="n">
        <v>34.59</v>
      </c>
      <c r="F47" s="6" t="n">
        <v>30.45</v>
      </c>
      <c r="G47" s="6" t="n">
        <v>23.73</v>
      </c>
      <c r="H47" s="6" t="n">
        <v>16.61</v>
      </c>
      <c r="I47" s="6" t="n">
        <v>16</v>
      </c>
      <c r="J47" s="6" t="n">
        <v>6.98</v>
      </c>
      <c r="K47" s="6" t="n">
        <v>14.43</v>
      </c>
      <c r="L47" s="6" t="n">
        <v>7.44</v>
      </c>
      <c r="M47" s="6" t="n">
        <v>6.66</v>
      </c>
      <c r="N47" s="6" t="n">
        <v>-8.33</v>
      </c>
      <c r="O47" s="6" t="n">
        <v>10.53</v>
      </c>
      <c r="P47" s="6" t="n">
        <v>3.57</v>
      </c>
      <c r="Q47" s="6" t="n">
        <v>5.3</v>
      </c>
      <c r="R47" s="6" t="n">
        <v>10.88</v>
      </c>
      <c r="S47" s="6" t="n">
        <v>24.61</v>
      </c>
      <c r="T47" s="6" t="n">
        <v>11.44</v>
      </c>
      <c r="U47" s="6" t="n">
        <v>13.15</v>
      </c>
      <c r="V47" s="6" t="n">
        <v>26.68</v>
      </c>
      <c r="W47" s="6" t="n">
        <v>63.04</v>
      </c>
      <c r="X47" s="6" t="n">
        <v>17.27</v>
      </c>
      <c r="Y47" s="6" t="n">
        <v>29.39</v>
      </c>
      <c r="Z47" s="6" t="n">
        <v>68.59</v>
      </c>
      <c r="AA47" s="6" t="n">
        <v>105.38</v>
      </c>
      <c r="AB47" s="6" t="n">
        <v>44.85</v>
      </c>
      <c r="AC47" s="6" t="n">
        <v>12.43</v>
      </c>
      <c r="AD47" s="6" t="n">
        <v>52.23</v>
      </c>
    </row>
    <row r="48">
      <c r="A48" s="8" t="inlineStr">
        <is>
          <t>경상이익률</t>
        </is>
      </c>
      <c r="C48" s="9">
        <f>IF(OR(C47="",C4=""),"",IFERROR(C47/C4,""))</f>
        <v/>
      </c>
      <c r="D48" s="9">
        <f>IF(OR(D47="",D4=""),"",IFERROR(D47/D4,""))</f>
        <v/>
      </c>
      <c r="E48" s="9">
        <f>IF(OR(E47="",E4=""),"",IFERROR(E47/E4,""))</f>
        <v/>
      </c>
      <c r="F48" s="9">
        <f>IF(OR(F47="",F4=""),"",IFERROR(F47/F4,""))</f>
        <v/>
      </c>
      <c r="G48" s="9">
        <f>IF(OR(G47="",G4=""),"",IFERROR(G47/G4,""))</f>
        <v/>
      </c>
      <c r="H48" s="9">
        <f>IF(OR(H47="",H4=""),"",IFERROR(H47/H4,""))</f>
        <v/>
      </c>
      <c r="I48" s="9">
        <f>IF(OR(I47="",I4=""),"",IFERROR(I47/I4,""))</f>
        <v/>
      </c>
      <c r="J48" s="9">
        <f>IF(OR(J47="",J4=""),"",IFERROR(J47/J4,""))</f>
        <v/>
      </c>
      <c r="K48" s="9">
        <f>IF(OR(K47="",K4=""),"",IFERROR(K47/K4,""))</f>
        <v/>
      </c>
      <c r="L48" s="9">
        <f>IF(OR(L47="",L4=""),"",IFERROR(L47/L4,""))</f>
        <v/>
      </c>
      <c r="M48" s="9">
        <f>IF(OR(M47="",M4=""),"",IFERROR(M47/M4,""))</f>
        <v/>
      </c>
      <c r="N48" s="9">
        <f>IF(OR(N47="",N4=""),"",IFERROR(N47/N4,""))</f>
        <v/>
      </c>
      <c r="O48" s="9">
        <f>IF(OR(O47="",O4=""),"",IFERROR(O47/O4,""))</f>
        <v/>
      </c>
      <c r="P48" s="9">
        <f>IF(OR(P47="",P4=""),"",IFERROR(P47/P4,""))</f>
        <v/>
      </c>
      <c r="Q48" s="9">
        <f>IF(OR(Q47="",Q4=""),"",IFERROR(Q47/Q4,""))</f>
        <v/>
      </c>
      <c r="R48" s="9">
        <f>IF(OR(R47="",R4=""),"",IFERROR(R47/R4,""))</f>
        <v/>
      </c>
      <c r="S48" s="9">
        <f>IF(OR(S47="",S4=""),"",IFERROR(S47/S4,""))</f>
        <v/>
      </c>
      <c r="T48" s="9">
        <f>IF(OR(T47="",T4=""),"",IFERROR(T47/T4,""))</f>
        <v/>
      </c>
      <c r="U48" s="9">
        <f>IF(OR(U47="",U4=""),"",IFERROR(U47/U4,""))</f>
        <v/>
      </c>
      <c r="V48" s="9">
        <f>IF(OR(V47="",V4=""),"",IFERROR(V47/V4,""))</f>
        <v/>
      </c>
      <c r="W48" s="9">
        <f>IF(OR(W47="",W4=""),"",IFERROR(W47/W4,""))</f>
        <v/>
      </c>
      <c r="X48" s="9">
        <f>IF(OR(X47="",X4=""),"",IFERROR(X47/X4,""))</f>
        <v/>
      </c>
      <c r="Y48" s="9">
        <f>IF(OR(Y47="",Y4=""),"",IFERROR(Y47/Y4,""))</f>
        <v/>
      </c>
      <c r="Z48" s="9">
        <f>IF(OR(Z47="",Z4=""),"",IFERROR(Z47/Z4,""))</f>
        <v/>
      </c>
      <c r="AA48" s="9">
        <f>IF(OR(AA47="",AA4=""),"",IFERROR(AA47/AA4,""))</f>
        <v/>
      </c>
      <c r="AB48" s="9">
        <f>IF(OR(AB47="",AB4=""),"",IFERROR(AB47/AB4,""))</f>
        <v/>
      </c>
      <c r="AC48" s="9">
        <f>IF(OR(AC47="",AC4=""),"",IFERROR(AC47/AC4,""))</f>
        <v/>
      </c>
      <c r="AD48" s="9">
        <f>IF(OR(AD47="",AD4=""),"",IFERROR(AD47/AD4,""))</f>
        <v/>
      </c>
    </row>
    <row r="49">
      <c r="A49" s="10" t="inlineStr">
        <is>
          <t>고정자산 매각이익</t>
        </is>
      </c>
      <c r="C49" s="11" t="n">
        <v>0</v>
      </c>
      <c r="D49" s="11" t="n">
        <v>0.01</v>
      </c>
      <c r="E49" s="11" t="n">
        <v>0</v>
      </c>
      <c r="F49" s="11" t="n">
        <v>0.01</v>
      </c>
      <c r="G49" s="11" t="n">
        <v>0</v>
      </c>
      <c r="H49" s="11" t="n">
        <v>0.23</v>
      </c>
      <c r="I49" s="11" t="n">
        <v>0</v>
      </c>
      <c r="J49" s="11" t="n">
        <v>0</v>
      </c>
      <c r="K49" s="11" t="n">
        <v>0.01</v>
      </c>
      <c r="L49" s="11" t="n">
        <v>0.01</v>
      </c>
      <c r="M49" s="11" t="n">
        <v>0</v>
      </c>
      <c r="N49" s="11" t="n">
        <v>0</v>
      </c>
      <c r="O49" s="11" t="n">
        <v>0</v>
      </c>
      <c r="P49" s="11" t="n">
        <v>0.12</v>
      </c>
      <c r="Q49" s="11" t="n">
        <v>0</v>
      </c>
      <c r="R49" s="11" t="n">
        <v>0</v>
      </c>
      <c r="U49" s="11" t="n">
        <v>0</v>
      </c>
      <c r="V49" s="11" t="n">
        <v>0.06</v>
      </c>
      <c r="W49" s="11" t="n">
        <v>0.03</v>
      </c>
      <c r="X49" s="11" t="n">
        <v>0.01</v>
      </c>
      <c r="Y49" s="11" t="n">
        <v>0.02</v>
      </c>
      <c r="Z49" s="11" t="n">
        <v>0.19</v>
      </c>
      <c r="AA49" s="11" t="n">
        <v>0.24</v>
      </c>
      <c r="AB49" s="11" t="n">
        <v>0.02</v>
      </c>
      <c r="AC49" s="11" t="n">
        <v>0.12</v>
      </c>
      <c r="AD49" s="11" t="n">
        <v>0</v>
      </c>
    </row>
    <row r="50">
      <c r="A50" s="10" t="inlineStr">
        <is>
          <t>투자유가증권 매각이익</t>
        </is>
      </c>
      <c r="D50" s="11" t="n">
        <v>0</v>
      </c>
      <c r="G50" s="11" t="n">
        <v>0.05</v>
      </c>
      <c r="H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0.61</v>
      </c>
      <c r="P50" s="11" t="n">
        <v>0</v>
      </c>
      <c r="Q50" s="11" t="n">
        <v>0.52</v>
      </c>
      <c r="R50" s="11" t="n">
        <v>1.57</v>
      </c>
      <c r="S50" s="11" t="n">
        <v>0</v>
      </c>
      <c r="T50" s="11" t="n">
        <v>0</v>
      </c>
      <c r="U50" s="11" t="n">
        <v>0</v>
      </c>
      <c r="V50" s="11" t="n">
        <v>0</v>
      </c>
      <c r="W50" s="11" t="n">
        <v>0</v>
      </c>
      <c r="X50" s="11" t="n">
        <v>1.34</v>
      </c>
      <c r="Y50" s="11" t="n">
        <v>0</v>
      </c>
      <c r="Z50" s="11" t="n">
        <v>0.01</v>
      </c>
      <c r="AA50" s="11" t="n">
        <v>0.05</v>
      </c>
      <c r="AB50" s="11" t="n">
        <v>0</v>
      </c>
      <c r="AC50" s="11" t="n">
        <v>0.61</v>
      </c>
      <c r="AD50" s="11" t="n">
        <v>2.09</v>
      </c>
    </row>
    <row r="51">
      <c r="A51" s="10" t="inlineStr">
        <is>
          <t>보조금 수입</t>
        </is>
      </c>
      <c r="X51" s="11" t="n">
        <v>0</v>
      </c>
      <c r="Y51" s="11" t="n">
        <v>0.27</v>
      </c>
      <c r="Z51" s="11" t="n">
        <v>0</v>
      </c>
    </row>
    <row r="52">
      <c r="A52" s="10" t="inlineStr">
        <is>
          <t>특별이익 합계</t>
        </is>
      </c>
      <c r="C52" s="11" t="n">
        <v>0.02</v>
      </c>
      <c r="D52" s="11" t="n">
        <v>0</v>
      </c>
      <c r="E52" s="11" t="n">
        <v>0</v>
      </c>
      <c r="F52" s="11" t="n">
        <v>0.01</v>
      </c>
      <c r="G52" s="11" t="n">
        <v>0.05</v>
      </c>
      <c r="H52" s="11" t="n">
        <v>0.23</v>
      </c>
      <c r="I52" s="11" t="n">
        <v>0</v>
      </c>
      <c r="J52" s="11" t="n">
        <v>0.01</v>
      </c>
      <c r="K52" s="11" t="n">
        <v>0.01</v>
      </c>
      <c r="L52" s="11" t="n">
        <v>0</v>
      </c>
      <c r="M52" s="11" t="n">
        <v>0</v>
      </c>
      <c r="N52" s="11" t="n">
        <v>0</v>
      </c>
      <c r="O52" s="11" t="n">
        <v>0.61</v>
      </c>
      <c r="P52" s="11" t="n">
        <v>0.13</v>
      </c>
      <c r="Q52" s="11" t="n">
        <v>0.52</v>
      </c>
      <c r="R52" s="11" t="n">
        <v>1.57</v>
      </c>
      <c r="S52" s="11" t="n">
        <v>0.01</v>
      </c>
      <c r="T52" s="11" t="n">
        <v>0</v>
      </c>
      <c r="U52" s="11" t="n">
        <v>0</v>
      </c>
      <c r="V52" s="11" t="n">
        <v>31.04</v>
      </c>
      <c r="W52" s="11" t="n">
        <v>0.03</v>
      </c>
      <c r="X52" s="11" t="n">
        <v>1.35</v>
      </c>
      <c r="Y52" s="11" t="n">
        <v>0.29</v>
      </c>
      <c r="Z52" s="11" t="n">
        <v>0.2</v>
      </c>
      <c r="AA52" s="11" t="n">
        <v>0.29</v>
      </c>
      <c r="AB52" s="11" t="n">
        <v>0.02</v>
      </c>
      <c r="AC52" s="11" t="n">
        <v>0.74</v>
      </c>
      <c r="AD52" s="11" t="n">
        <v>2.1</v>
      </c>
    </row>
    <row r="53">
      <c r="A53" s="10" t="inlineStr">
        <is>
          <t>고정자산 처분손실</t>
        </is>
      </c>
      <c r="C53" s="11" t="n">
        <v>0.04</v>
      </c>
      <c r="D53" s="11" t="n">
        <v>0.09</v>
      </c>
      <c r="E53" s="11" t="n">
        <v>0</v>
      </c>
      <c r="F53" s="11" t="n">
        <v>0.22</v>
      </c>
      <c r="G53" s="11" t="n">
        <v>0.01</v>
      </c>
      <c r="H53" s="11" t="n">
        <v>0.77</v>
      </c>
      <c r="I53" s="11" t="n">
        <v>0.31</v>
      </c>
      <c r="J53" s="11" t="n">
        <v>0.39</v>
      </c>
      <c r="K53" s="11" t="n">
        <v>0.03</v>
      </c>
      <c r="L53" s="11" t="n">
        <v>0.53</v>
      </c>
      <c r="M53" s="11" t="n">
        <v>0.02</v>
      </c>
      <c r="N53" s="11" t="n">
        <v>0.34</v>
      </c>
      <c r="O53" s="11" t="n">
        <v>0.16</v>
      </c>
      <c r="P53" s="11" t="n">
        <v>0.12</v>
      </c>
      <c r="Q53" s="11" t="n">
        <v>0.02</v>
      </c>
      <c r="R53" s="11" t="n">
        <v>0.2</v>
      </c>
      <c r="S53" s="11" t="n">
        <v>0.02</v>
      </c>
      <c r="T53" s="11" t="n">
        <v>0.3</v>
      </c>
      <c r="U53" s="11" t="n">
        <v>0.01</v>
      </c>
      <c r="V53" s="11" t="n">
        <v>0.14</v>
      </c>
      <c r="W53" s="11" t="n">
        <v>0.6</v>
      </c>
      <c r="X53" s="11" t="n">
        <v>0.33</v>
      </c>
      <c r="Y53" s="11" t="n">
        <v>0.32</v>
      </c>
      <c r="Z53" s="11" t="n">
        <v>0.15</v>
      </c>
      <c r="AA53" s="11" t="n">
        <v>1</v>
      </c>
      <c r="AB53" s="11" t="n">
        <v>1.26</v>
      </c>
      <c r="AC53" s="11" t="n">
        <v>0.64</v>
      </c>
      <c r="AD53" s="11" t="n">
        <v>0.54</v>
      </c>
    </row>
    <row r="54">
      <c r="A54" s="10" t="inlineStr">
        <is>
          <t>고정자산 매각손실</t>
        </is>
      </c>
      <c r="C54" s="11" t="n">
        <v>0</v>
      </c>
      <c r="D54" s="11" t="n">
        <v>0</v>
      </c>
      <c r="G54" s="11" t="n">
        <v>0</v>
      </c>
      <c r="H54" s="11" t="n">
        <v>0.03</v>
      </c>
      <c r="K54" s="11" t="n">
        <v>0</v>
      </c>
      <c r="L54" s="11" t="n">
        <v>0</v>
      </c>
      <c r="W54" s="11" t="n">
        <v>0.01</v>
      </c>
      <c r="X54" s="11" t="n">
        <v>0</v>
      </c>
      <c r="Z54" s="11" t="n">
        <v>0</v>
      </c>
      <c r="AA54" s="11" t="n">
        <v>0.12</v>
      </c>
      <c r="AB54" s="11" t="n">
        <v>0</v>
      </c>
    </row>
    <row r="55">
      <c r="A55" s="10" t="inlineStr">
        <is>
          <t>손상차손</t>
        </is>
      </c>
      <c r="C55" s="11" t="n">
        <v>0</v>
      </c>
      <c r="D55" s="11" t="n">
        <v>0.06</v>
      </c>
      <c r="G55" s="11" t="n">
        <v>0</v>
      </c>
      <c r="H55" s="11" t="n">
        <v>0.12</v>
      </c>
      <c r="K55" s="11" t="n">
        <v>0</v>
      </c>
      <c r="L55" s="11" t="n">
        <v>0.02</v>
      </c>
      <c r="Q55" s="11" t="n">
        <v>0</v>
      </c>
      <c r="R55" s="11" t="n">
        <v>0</v>
      </c>
      <c r="U55" s="11" t="n">
        <v>0.26</v>
      </c>
      <c r="V55" s="11" t="n">
        <v>0</v>
      </c>
      <c r="W55" s="11" t="n">
        <v>0.02</v>
      </c>
      <c r="X55" s="11" t="n">
        <v>0.04</v>
      </c>
      <c r="Y55" s="11" t="n">
        <v>0.05</v>
      </c>
      <c r="Z55" s="11" t="n">
        <v>0.06</v>
      </c>
      <c r="AA55" s="11" t="n">
        <v>0.22</v>
      </c>
      <c r="AB55" s="11" t="n">
        <v>0.02</v>
      </c>
      <c r="AC55" s="11" t="n">
        <v>0</v>
      </c>
      <c r="AD55" s="11" t="n">
        <v>1.14</v>
      </c>
    </row>
    <row r="56">
      <c r="A56" s="10" t="inlineStr">
        <is>
          <t>분쟁 화해금</t>
        </is>
      </c>
      <c r="W56" s="11" t="n">
        <v>0</v>
      </c>
      <c r="X56" s="11" t="n">
        <v>3.71</v>
      </c>
      <c r="Y56" s="11" t="n">
        <v>0</v>
      </c>
    </row>
    <row r="57">
      <c r="A57" s="10" t="inlineStr">
        <is>
          <t>조업중단 관련 비용</t>
        </is>
      </c>
      <c r="X57" s="11" t="n">
        <v>0</v>
      </c>
      <c r="Y57" s="11" t="n">
        <v>1.39</v>
      </c>
      <c r="Z57" s="11" t="n">
        <v>1.16</v>
      </c>
      <c r="AA57" s="11" t="n">
        <v>1.32</v>
      </c>
      <c r="AB57" s="11" t="n">
        <v>0</v>
      </c>
    </row>
    <row r="58">
      <c r="A58" s="10" t="inlineStr">
        <is>
          <t>보상금 지급</t>
        </is>
      </c>
      <c r="Y58" s="11" t="n">
        <v>0</v>
      </c>
      <c r="Z58" s="11" t="n">
        <v>2.05</v>
      </c>
    </row>
    <row r="59">
      <c r="A59" s="10" t="inlineStr">
        <is>
          <t>보상금 지급</t>
        </is>
      </c>
      <c r="Z59" s="11" t="n">
        <v>2.05</v>
      </c>
      <c r="AA59" s="11" t="n">
        <v>0</v>
      </c>
    </row>
    <row r="60">
      <c r="A60" s="10" t="inlineStr">
        <is>
          <t>환경대책비</t>
        </is>
      </c>
      <c r="Z60" s="11" t="n">
        <v>0</v>
      </c>
      <c r="AA60" s="11" t="n">
        <v>4.9</v>
      </c>
      <c r="AB60" s="11" t="n">
        <v>0</v>
      </c>
    </row>
    <row r="61">
      <c r="A61" s="10" t="inlineStr">
        <is>
          <t>소송 화해금</t>
        </is>
      </c>
      <c r="H61" s="11" t="n">
        <v>0</v>
      </c>
      <c r="L61" s="11" t="n">
        <v>0.01</v>
      </c>
      <c r="P61" s="11" t="n">
        <v>0</v>
      </c>
      <c r="W61" s="11" t="n">
        <v>48.06</v>
      </c>
      <c r="X61" s="11" t="n">
        <v>0</v>
      </c>
      <c r="AA61" s="11" t="n">
        <v>0</v>
      </c>
      <c r="AB61" s="11" t="n">
        <v>3.55</v>
      </c>
      <c r="AC61" s="11" t="n">
        <v>0</v>
      </c>
    </row>
    <row r="62">
      <c r="A62" s="10" t="inlineStr">
        <is>
          <t>조업중단 관련 비용</t>
        </is>
      </c>
      <c r="C62" s="11" t="n">
        <v>0.01</v>
      </c>
      <c r="G62" s="11" t="n">
        <v>3.63</v>
      </c>
    </row>
    <row r="63">
      <c r="A63" s="10" t="inlineStr">
        <is>
          <t>재해 손실</t>
        </is>
      </c>
      <c r="AA63" s="11" t="n">
        <v>0</v>
      </c>
      <c r="AB63" s="11" t="n">
        <v>0.12</v>
      </c>
      <c r="AC63" s="11" t="n">
        <v>0</v>
      </c>
    </row>
    <row r="64">
      <c r="A64" s="10" t="inlineStr">
        <is>
          <t>기타</t>
        </is>
      </c>
      <c r="C64" s="11" t="n">
        <v>0</v>
      </c>
      <c r="D64" s="11" t="n">
        <v>0</v>
      </c>
      <c r="E64" s="11" t="n">
        <v>0.02</v>
      </c>
      <c r="F64" s="11" t="n">
        <v>1.27</v>
      </c>
      <c r="G64" s="11" t="n">
        <v>-1.27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O64" s="11" t="n">
        <v>0</v>
      </c>
      <c r="P64" s="11" t="n">
        <v>0</v>
      </c>
      <c r="W64" s="11" t="n">
        <v>0</v>
      </c>
      <c r="X64" s="11" t="n">
        <v>0.17</v>
      </c>
      <c r="Y64" s="11" t="n">
        <v>0</v>
      </c>
      <c r="Z64" s="11" t="n">
        <v>0</v>
      </c>
      <c r="AA64" s="11" t="n">
        <v>0.02</v>
      </c>
      <c r="AB64" s="11" t="n">
        <v>0</v>
      </c>
      <c r="AC64" s="11" t="n">
        <v>0</v>
      </c>
      <c r="AD64" s="11" t="n">
        <v>0</v>
      </c>
    </row>
    <row r="65">
      <c r="A65" s="10" t="inlineStr">
        <is>
          <t>특별손실 합계</t>
        </is>
      </c>
      <c r="C65" s="11" t="n">
        <v>0.05</v>
      </c>
      <c r="D65" s="11" t="n">
        <v>2.23</v>
      </c>
      <c r="E65" s="11" t="n">
        <v>0.02</v>
      </c>
      <c r="F65" s="11" t="n">
        <v>1.69</v>
      </c>
      <c r="G65" s="11" t="n">
        <v>4.94</v>
      </c>
      <c r="H65" s="11" t="n">
        <v>0.9399999999999999</v>
      </c>
      <c r="I65" s="11" t="n">
        <v>0.31</v>
      </c>
      <c r="J65" s="11" t="n">
        <v>0.39</v>
      </c>
      <c r="K65" s="11" t="n">
        <v>3.57</v>
      </c>
      <c r="L65" s="11" t="n">
        <v>0.6899999999999999</v>
      </c>
      <c r="M65" s="11" t="n">
        <v>0.02</v>
      </c>
      <c r="N65" s="11" t="n">
        <v>0.34</v>
      </c>
      <c r="O65" s="11" t="n">
        <v>0.16</v>
      </c>
      <c r="P65" s="11" t="n">
        <v>0.12</v>
      </c>
      <c r="Q65" s="11" t="n">
        <v>0.02</v>
      </c>
      <c r="R65" s="11" t="n">
        <v>0.2</v>
      </c>
      <c r="S65" s="11" t="n">
        <v>0.02</v>
      </c>
      <c r="T65" s="11" t="n">
        <v>1.45</v>
      </c>
      <c r="U65" s="11" t="n">
        <v>0.28</v>
      </c>
      <c r="V65" s="11" t="n">
        <v>0.22</v>
      </c>
      <c r="W65" s="11" t="n">
        <v>48.72</v>
      </c>
      <c r="X65" s="11" t="n">
        <v>4.26</v>
      </c>
      <c r="Y65" s="11" t="n">
        <v>1.78</v>
      </c>
      <c r="Z65" s="11" t="n">
        <v>3.44</v>
      </c>
      <c r="AA65" s="11" t="n">
        <v>7.59</v>
      </c>
      <c r="AB65" s="11" t="n">
        <v>4.96</v>
      </c>
      <c r="AC65" s="11" t="n">
        <v>0.64</v>
      </c>
      <c r="AD65" s="11" t="n">
        <v>1.69</v>
      </c>
    </row>
    <row r="66">
      <c r="A66" s="10" t="inlineStr">
        <is>
          <t>법인세차감전 순이익</t>
        </is>
      </c>
      <c r="C66" s="11" t="n">
        <v>14.41</v>
      </c>
      <c r="D66" s="11" t="n">
        <v>14.81</v>
      </c>
      <c r="E66" s="11" t="n">
        <v>34.56</v>
      </c>
      <c r="F66" s="11" t="n">
        <v>28.77</v>
      </c>
      <c r="G66" s="11" t="n">
        <v>18.85</v>
      </c>
      <c r="H66" s="11" t="n">
        <v>15.9</v>
      </c>
      <c r="I66" s="11" t="n">
        <v>15.69</v>
      </c>
      <c r="J66" s="11" t="n">
        <v>6.6</v>
      </c>
      <c r="K66" s="11" t="n">
        <v>10.87</v>
      </c>
      <c r="L66" s="11" t="n">
        <v>6.76</v>
      </c>
      <c r="M66" s="11" t="n">
        <v>6.63</v>
      </c>
      <c r="N66" s="11" t="n">
        <v>-8.66</v>
      </c>
      <c r="O66" s="11" t="n">
        <v>10.98</v>
      </c>
      <c r="P66" s="11" t="n">
        <v>3.58</v>
      </c>
      <c r="Q66" s="11" t="n">
        <v>5.8</v>
      </c>
      <c r="R66" s="11" t="n">
        <v>12.25</v>
      </c>
      <c r="S66" s="11" t="n">
        <v>24.6</v>
      </c>
      <c r="T66" s="11" t="n">
        <v>9.99</v>
      </c>
      <c r="U66" s="11" t="n">
        <v>12.86</v>
      </c>
      <c r="V66" s="11" t="n">
        <v>57.51</v>
      </c>
      <c r="W66" s="11" t="n">
        <v>14.35</v>
      </c>
      <c r="X66" s="11" t="n">
        <v>14.35</v>
      </c>
      <c r="Y66" s="11" t="n">
        <v>27.9</v>
      </c>
      <c r="Z66" s="11" t="n">
        <v>65.34999999999999</v>
      </c>
      <c r="AA66" s="11" t="n">
        <v>98.08</v>
      </c>
      <c r="AB66" s="11" t="n">
        <v>39.92</v>
      </c>
      <c r="AC66" s="11" t="n">
        <v>12.53</v>
      </c>
      <c r="AD66" s="11" t="n">
        <v>52.64</v>
      </c>
    </row>
    <row r="67">
      <c r="A67" s="10" t="inlineStr">
        <is>
          <t>법인세·주민세·사업세</t>
        </is>
      </c>
      <c r="W67" s="11" t="n">
        <v>5.19</v>
      </c>
      <c r="X67" s="11" t="n">
        <v>1.43</v>
      </c>
      <c r="Y67" s="11" t="n">
        <v>6.98</v>
      </c>
      <c r="Z67" s="11" t="n">
        <v>24.16</v>
      </c>
      <c r="AA67" s="11" t="n">
        <v>26.47</v>
      </c>
      <c r="AB67" s="11" t="n">
        <v>9.640000000000001</v>
      </c>
      <c r="AC67" s="11" t="n">
        <v>8.300000000000001</v>
      </c>
      <c r="AD67" s="11" t="n">
        <v>18.21</v>
      </c>
    </row>
    <row r="68">
      <c r="A68" s="10" t="inlineStr">
        <is>
          <t>법인세 조정액</t>
        </is>
      </c>
      <c r="W68" s="11" t="n">
        <v>-1.02</v>
      </c>
      <c r="X68" s="11" t="n">
        <v>2.14</v>
      </c>
      <c r="Y68" s="11" t="n">
        <v>0.63</v>
      </c>
      <c r="Z68" s="11" t="n">
        <v>-6.49</v>
      </c>
      <c r="AA68" s="11" t="n">
        <v>-2.06</v>
      </c>
      <c r="AB68" s="11" t="n">
        <v>2.58</v>
      </c>
      <c r="AC68" s="11" t="n">
        <v>1.62</v>
      </c>
      <c r="AD68" s="11" t="n">
        <v>-5.08</v>
      </c>
    </row>
    <row r="69">
      <c r="A69" s="10" t="inlineStr">
        <is>
          <t>법인세 등</t>
        </is>
      </c>
      <c r="C69" s="11" t="n">
        <v>2.85</v>
      </c>
      <c r="D69" s="11" t="n">
        <v>4.71</v>
      </c>
      <c r="E69" s="11" t="n">
        <v>11.08</v>
      </c>
      <c r="F69" s="11" t="n">
        <v>7.1</v>
      </c>
      <c r="G69" s="11" t="n">
        <v>3.61</v>
      </c>
      <c r="H69" s="11" t="n">
        <v>2.61</v>
      </c>
      <c r="I69" s="11" t="n">
        <v>5.1</v>
      </c>
      <c r="J69" s="11" t="n">
        <v>1.96</v>
      </c>
      <c r="K69" s="11" t="n">
        <v>2.16</v>
      </c>
      <c r="L69" s="11" t="n">
        <v>3.01</v>
      </c>
      <c r="M69" s="11" t="n">
        <v>2.94</v>
      </c>
      <c r="N69" s="11" t="n">
        <v>0.75</v>
      </c>
      <c r="O69" s="11" t="n">
        <v>0.5600000000000001</v>
      </c>
      <c r="P69" s="11" t="n">
        <v>5.67</v>
      </c>
      <c r="Q69" s="11" t="n">
        <v>1.6</v>
      </c>
      <c r="R69" s="11" t="n">
        <v>4.9</v>
      </c>
      <c r="S69" s="11" t="n">
        <v>4.52</v>
      </c>
      <c r="T69" s="11" t="n">
        <v>2.1</v>
      </c>
      <c r="U69" s="11" t="n">
        <v>-3.42</v>
      </c>
      <c r="V69" s="11" t="n">
        <v>15.58</v>
      </c>
      <c r="W69" s="11" t="n">
        <v>4.16</v>
      </c>
      <c r="X69" s="11" t="n">
        <v>3.58</v>
      </c>
      <c r="Y69" s="11" t="n">
        <v>7.62</v>
      </c>
      <c r="Z69" s="11" t="n">
        <v>17.66</v>
      </c>
      <c r="AA69" s="11" t="n">
        <v>24.4</v>
      </c>
      <c r="AB69" s="11" t="n">
        <v>12.23</v>
      </c>
      <c r="AC69" s="11" t="n">
        <v>9.92</v>
      </c>
      <c r="AD69" s="11" t="n">
        <v>13.12</v>
      </c>
    </row>
    <row r="70">
      <c r="A70" s="5" t="inlineStr">
        <is>
          <t>순이익</t>
        </is>
      </c>
      <c r="C70" s="6" t="n">
        <v>11.57</v>
      </c>
      <c r="D70" s="6" t="n">
        <v>10.09</v>
      </c>
      <c r="E70" s="6" t="n">
        <v>23.48</v>
      </c>
      <c r="F70" s="6" t="n">
        <v>21.67</v>
      </c>
      <c r="G70" s="6" t="n">
        <v>15.23</v>
      </c>
      <c r="H70" s="6" t="n">
        <v>13.29</v>
      </c>
      <c r="I70" s="6" t="n">
        <v>10.58</v>
      </c>
      <c r="J70" s="6" t="n">
        <v>4.64</v>
      </c>
      <c r="K70" s="6" t="n">
        <v>8.710000000000001</v>
      </c>
      <c r="L70" s="6" t="n">
        <v>3.76</v>
      </c>
      <c r="M70" s="6" t="n">
        <v>3.69</v>
      </c>
      <c r="N70" s="6" t="n">
        <v>-9.41</v>
      </c>
      <c r="O70" s="6" t="n">
        <v>10.42</v>
      </c>
      <c r="P70" s="6" t="n">
        <v>-2.1</v>
      </c>
      <c r="Q70" s="6" t="n">
        <v>4.19</v>
      </c>
      <c r="R70" s="6" t="n">
        <v>7.35</v>
      </c>
      <c r="S70" s="6" t="n">
        <v>20.08</v>
      </c>
      <c r="T70" s="6" t="n">
        <v>7.89</v>
      </c>
      <c r="U70" s="6" t="n">
        <v>16.29</v>
      </c>
      <c r="V70" s="6" t="n">
        <v>41.91</v>
      </c>
      <c r="W70" s="6" t="n">
        <v>10.18</v>
      </c>
      <c r="X70" s="6" t="n">
        <v>10.77</v>
      </c>
      <c r="Y70" s="6" t="n">
        <v>20.27</v>
      </c>
      <c r="Z70" s="6" t="n">
        <v>47.68</v>
      </c>
      <c r="AA70" s="6" t="n">
        <v>73.67</v>
      </c>
      <c r="AB70" s="6" t="n">
        <v>27.69</v>
      </c>
      <c r="AC70" s="6" t="n">
        <v>2.6</v>
      </c>
      <c r="AD70" s="6" t="n">
        <v>39.51</v>
      </c>
    </row>
    <row r="71">
      <c r="A71" s="5" t="inlineStr">
        <is>
          <t>비지배주주 당기순손실</t>
        </is>
      </c>
      <c r="C71" s="6" t="n">
        <v>-0.01</v>
      </c>
      <c r="D71" s="6" t="n">
        <v>0</v>
      </c>
      <c r="E71" s="6" t="n">
        <v>0</v>
      </c>
      <c r="F71" s="6" t="n">
        <v>0</v>
      </c>
      <c r="G71" s="6" t="n">
        <v>0</v>
      </c>
      <c r="H71" s="6" t="n">
        <v>0</v>
      </c>
      <c r="X71" s="6" t="n">
        <v>0</v>
      </c>
      <c r="Y71" s="6" t="n">
        <v>-0.06</v>
      </c>
      <c r="Z71" s="6" t="n">
        <v>-0.03</v>
      </c>
      <c r="AA71" s="6" t="n">
        <v>0</v>
      </c>
    </row>
    <row r="72">
      <c r="A72" s="5" t="inlineStr">
        <is>
          <t>지배주주 순이익</t>
        </is>
      </c>
      <c r="C72" s="6" t="n">
        <v>11.58</v>
      </c>
      <c r="D72" s="6" t="n">
        <v>10.09</v>
      </c>
      <c r="E72" s="6" t="n">
        <v>23.48</v>
      </c>
      <c r="F72" s="6" t="n">
        <v>21.67</v>
      </c>
      <c r="G72" s="6" t="n">
        <v>15.23</v>
      </c>
      <c r="H72" s="6" t="n">
        <v>13.29</v>
      </c>
      <c r="I72" s="6" t="n">
        <v>10.58</v>
      </c>
      <c r="J72" s="6" t="n">
        <v>4.64</v>
      </c>
      <c r="K72" s="6" t="n">
        <v>8.710000000000001</v>
      </c>
      <c r="L72" s="6" t="n">
        <v>3.76</v>
      </c>
      <c r="M72" s="6" t="n">
        <v>3.69</v>
      </c>
      <c r="N72" s="6" t="n">
        <v>-9.41</v>
      </c>
      <c r="O72" s="6" t="n">
        <v>10.42</v>
      </c>
      <c r="P72" s="6" t="n">
        <v>-2.1</v>
      </c>
      <c r="Q72" s="6" t="n">
        <v>4.19</v>
      </c>
      <c r="R72" s="6" t="n">
        <v>7.35</v>
      </c>
      <c r="S72" s="6" t="n">
        <v>20.08</v>
      </c>
      <c r="T72" s="6" t="n">
        <v>7.89</v>
      </c>
      <c r="U72" s="6" t="n">
        <v>16.29</v>
      </c>
      <c r="V72" s="6" t="n">
        <v>41.91</v>
      </c>
      <c r="W72" s="6" t="n">
        <v>10.18</v>
      </c>
      <c r="X72" s="6" t="n">
        <v>10.77</v>
      </c>
      <c r="Y72" s="6" t="n">
        <v>20.34</v>
      </c>
      <c r="Z72" s="6" t="n">
        <v>47.71</v>
      </c>
      <c r="AA72" s="6" t="n">
        <v>73.67</v>
      </c>
      <c r="AB72" s="6" t="n">
        <v>27.69</v>
      </c>
      <c r="AC72" s="6" t="n">
        <v>2.6</v>
      </c>
      <c r="AD72" s="6" t="n">
        <v>39.51</v>
      </c>
    </row>
    <row r="73">
      <c r="A73" s="8" t="inlineStr">
        <is>
          <t>순이익률</t>
        </is>
      </c>
      <c r="C73" s="9">
        <f>IF(OR(C72="",C4=""),"",IFERROR(C72/C4,""))</f>
        <v/>
      </c>
      <c r="D73" s="9">
        <f>IF(OR(D72="",D4=""),"",IFERROR(D72/D4,""))</f>
        <v/>
      </c>
      <c r="E73" s="9">
        <f>IF(OR(E72="",E4=""),"",IFERROR(E72/E4,""))</f>
        <v/>
      </c>
      <c r="F73" s="9">
        <f>IF(OR(F72="",F4=""),"",IFERROR(F72/F4,""))</f>
        <v/>
      </c>
      <c r="G73" s="9">
        <f>IF(OR(G72="",G4=""),"",IFERROR(G72/G4,""))</f>
        <v/>
      </c>
      <c r="H73" s="9">
        <f>IF(OR(H72="",H4=""),"",IFERROR(H72/H4,""))</f>
        <v/>
      </c>
      <c r="I73" s="9">
        <f>IF(OR(I72="",I4=""),"",IFERROR(I72/I4,""))</f>
        <v/>
      </c>
      <c r="J73" s="9">
        <f>IF(OR(J72="",J4=""),"",IFERROR(J72/J4,""))</f>
        <v/>
      </c>
      <c r="K73" s="9">
        <f>IF(OR(K72="",K4=""),"",IFERROR(K72/K4,""))</f>
        <v/>
      </c>
      <c r="L73" s="9">
        <f>IF(OR(L72="",L4=""),"",IFERROR(L72/L4,""))</f>
        <v/>
      </c>
      <c r="M73" s="9">
        <f>IF(OR(M72="",M4=""),"",IFERROR(M72/M4,""))</f>
        <v/>
      </c>
      <c r="N73" s="9">
        <f>IF(OR(N72="",N4=""),"",IFERROR(N72/N4,""))</f>
        <v/>
      </c>
      <c r="O73" s="9">
        <f>IF(OR(O72="",O4=""),"",IFERROR(O72/O4,""))</f>
        <v/>
      </c>
      <c r="P73" s="9">
        <f>IF(OR(P72="",P4=""),"",IFERROR(P72/P4,""))</f>
        <v/>
      </c>
      <c r="Q73" s="9">
        <f>IF(OR(Q72="",Q4=""),"",IFERROR(Q72/Q4,""))</f>
        <v/>
      </c>
      <c r="R73" s="9">
        <f>IF(OR(R72="",R4=""),"",IFERROR(R72/R4,""))</f>
        <v/>
      </c>
      <c r="S73" s="9">
        <f>IF(OR(S72="",S4=""),"",IFERROR(S72/S4,""))</f>
        <v/>
      </c>
      <c r="T73" s="9">
        <f>IF(OR(T72="",T4=""),"",IFERROR(T72/T4,""))</f>
        <v/>
      </c>
      <c r="U73" s="9">
        <f>IF(OR(U72="",U4=""),"",IFERROR(U72/U4,""))</f>
        <v/>
      </c>
      <c r="V73" s="9">
        <f>IF(OR(V72="",V4=""),"",IFERROR(V72/V4,""))</f>
        <v/>
      </c>
      <c r="W73" s="9">
        <f>IF(OR(W72="",W4=""),"",IFERROR(W72/W4,""))</f>
        <v/>
      </c>
      <c r="X73" s="9">
        <f>IF(OR(X72="",X4=""),"",IFERROR(X72/X4,""))</f>
        <v/>
      </c>
      <c r="Y73" s="9">
        <f>IF(OR(Y72="",Y4=""),"",IFERROR(Y72/Y4,""))</f>
        <v/>
      </c>
      <c r="Z73" s="9">
        <f>IF(OR(Z72="",Z4=""),"",IFERROR(Z72/Z4,""))</f>
        <v/>
      </c>
      <c r="AA73" s="9">
        <f>IF(OR(AA72="",AA4=""),"",IFERROR(AA72/AA4,""))</f>
        <v/>
      </c>
      <c r="AB73" s="9">
        <f>IF(OR(AB72="",AB4=""),"",IFERROR(AB72/AB4,""))</f>
        <v/>
      </c>
      <c r="AC73" s="9">
        <f>IF(OR(AC72="",AC4=""),"",IFERROR(AC72/AC4,""))</f>
        <v/>
      </c>
      <c r="AD73" s="9">
        <f>IF(OR(AD72="",AD4=""),"",IFERROR(AD72/AD4,""))</f>
        <v/>
      </c>
    </row>
    <row r="74">
      <c r="A74" s="8" t="inlineStr">
        <is>
          <t>YoY</t>
        </is>
      </c>
      <c r="G74" s="9">
        <f>IF(OR(G72="",C72=""),"",IFERROR(G72/C72-1,""))</f>
        <v/>
      </c>
      <c r="H74" s="9">
        <f>IF(OR(H72="",D72=""),"",IFERROR(H72/D72-1,""))</f>
        <v/>
      </c>
      <c r="I74" s="9">
        <f>IF(OR(I72="",E72=""),"",IFERROR(I72/E72-1,""))</f>
        <v/>
      </c>
      <c r="J74" s="9">
        <f>IF(OR(J72="",F72=""),"",IFERROR(J72/F72-1,""))</f>
        <v/>
      </c>
      <c r="K74" s="9">
        <f>IF(OR(K72="",G72=""),"",IFERROR(K72/G72-1,""))</f>
        <v/>
      </c>
      <c r="L74" s="9">
        <f>IF(OR(L72="",H72=""),"",IFERROR(L72/H72-1,""))</f>
        <v/>
      </c>
      <c r="M74" s="9">
        <f>IF(OR(M72="",I72=""),"",IFERROR(M72/I72-1,""))</f>
        <v/>
      </c>
      <c r="N74" s="9">
        <f>IF(OR(N72="",J72=""),"",IFERROR(N72/J72-1,""))</f>
        <v/>
      </c>
      <c r="O74" s="9">
        <f>IF(OR(O72="",K72=""),"",IFERROR(O72/K72-1,""))</f>
        <v/>
      </c>
      <c r="P74" s="9">
        <f>IF(OR(P72="",L72=""),"",IFERROR(P72/L72-1,""))</f>
        <v/>
      </c>
      <c r="Q74" s="9">
        <f>IF(OR(Q72="",M72=""),"",IFERROR(Q72/M72-1,""))</f>
        <v/>
      </c>
      <c r="R74" s="9">
        <f>IF(OR(R72="",N72=""),"",IFERROR(R72/N72-1,""))</f>
        <v/>
      </c>
      <c r="S74" s="9">
        <f>IF(OR(S72="",O72=""),"",IFERROR(S72/O72-1,""))</f>
        <v/>
      </c>
      <c r="T74" s="9">
        <f>IF(OR(T72="",P72=""),"",IFERROR(T72/P72-1,""))</f>
        <v/>
      </c>
      <c r="U74" s="9">
        <f>IF(OR(U72="",Q72=""),"",IFERROR(U72/Q72-1,""))</f>
        <v/>
      </c>
      <c r="V74" s="9">
        <f>IF(OR(V72="",R72=""),"",IFERROR(V72/R72-1,""))</f>
        <v/>
      </c>
      <c r="X74" s="9">
        <f>IF(OR(X72="",W72=""),"",IFERROR(X72/W72-1,""))</f>
        <v/>
      </c>
      <c r="Y74" s="9">
        <f>IF(OR(Y72="",X72=""),"",IFERROR(Y72/X72-1,""))</f>
        <v/>
      </c>
      <c r="Z74" s="9">
        <f>IF(OR(Z72="",Y72=""),"",IFERROR(Z72/Y72-1,""))</f>
        <v/>
      </c>
      <c r="AA74" s="9">
        <f>IF(OR(AA72="",Z72=""),"",IFERROR(AA72/Z72-1,""))</f>
        <v/>
      </c>
      <c r="AB74" s="9">
        <f>IF(OR(AB72="",AA72=""),"",IFERROR(AB72/AA72-1,""))</f>
        <v/>
      </c>
      <c r="AC74" s="9">
        <f>IF(OR(AC72="",AB72=""),"",IFERROR(AC72/AB72-1,""))</f>
        <v/>
      </c>
      <c r="AD74" s="9">
        <f>IF(OR(AD72="",AC72=""),"",IFERROR(AD72/AC72-1,""))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KOA 포괄손익</t>
        </is>
      </c>
    </row>
    <row r="2">
      <c r="A2" s="2" t="inlineStr">
        <is>
          <t>결산기 기준(27.2Q = 2027년 결산기 2분기) · 3월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11.57</v>
      </c>
      <c r="D4" s="6" t="n">
        <v>10.09</v>
      </c>
      <c r="E4" s="6" t="n">
        <v>23.48</v>
      </c>
      <c r="F4" s="6" t="n">
        <v>21.67</v>
      </c>
      <c r="G4" s="6" t="n">
        <v>15.23</v>
      </c>
      <c r="H4" s="6" t="n">
        <v>13.29</v>
      </c>
      <c r="I4" s="6" t="n">
        <v>10.58</v>
      </c>
      <c r="J4" s="6" t="n">
        <v>4.64</v>
      </c>
      <c r="K4" s="6" t="n">
        <v>8.710000000000001</v>
      </c>
      <c r="L4" s="6" t="n">
        <v>3.76</v>
      </c>
      <c r="M4" s="6" t="n">
        <v>3.69</v>
      </c>
      <c r="N4" s="6" t="n">
        <v>-9.41</v>
      </c>
      <c r="O4" s="6" t="n">
        <v>10.42</v>
      </c>
      <c r="P4" s="6" t="n">
        <v>-2.1</v>
      </c>
      <c r="Q4" s="6" t="n">
        <v>4.19</v>
      </c>
      <c r="R4" s="6" t="n">
        <v>7.35</v>
      </c>
      <c r="S4" s="6" t="n">
        <v>20.08</v>
      </c>
      <c r="T4" s="6" t="n">
        <v>7.89</v>
      </c>
      <c r="U4" s="6" t="n">
        <v>16.29</v>
      </c>
      <c r="V4" s="6" t="n">
        <v>41.91</v>
      </c>
      <c r="W4" s="6" t="n">
        <v>10.18</v>
      </c>
      <c r="X4" s="6" t="n">
        <v>10.77</v>
      </c>
      <c r="Y4" s="6" t="n">
        <v>20.27</v>
      </c>
      <c r="Z4" s="6" t="n">
        <v>47.68</v>
      </c>
      <c r="AA4" s="6" t="n">
        <v>73.67</v>
      </c>
      <c r="AB4" s="6" t="n">
        <v>27.69</v>
      </c>
      <c r="AC4" s="6" t="n">
        <v>2.6</v>
      </c>
      <c r="AD4" s="6" t="n">
        <v>39.51</v>
      </c>
      <c r="AE4" s="7" t="inlineStr">
        <is>
          <t>결산단신 XBRL(거래소 공시, TDnet·JPX 보관소). 쓴 문서: 2026-10-23, 2026-07-23, 2026-04-24, 2026-01-28 외 26건 — '출처' 시트에 전부</t>
        </is>
      </c>
    </row>
    <row r="5">
      <c r="A5" s="10" t="inlineStr">
        <is>
          <t>기타유가증권 평가차액</t>
        </is>
      </c>
      <c r="C5" s="11" t="n">
        <v>-1.81</v>
      </c>
      <c r="D5" s="11" t="n">
        <v>-2.67</v>
      </c>
      <c r="E5" s="11" t="n">
        <v>-1.16</v>
      </c>
      <c r="F5" s="11" t="n">
        <v>-1.58</v>
      </c>
      <c r="G5" s="11" t="n">
        <v>0.68</v>
      </c>
      <c r="H5" s="11" t="n">
        <v>2.09</v>
      </c>
      <c r="I5" s="11" t="n">
        <v>1.87</v>
      </c>
      <c r="J5" s="11" t="n">
        <v>-0.83</v>
      </c>
      <c r="K5" s="11" t="n">
        <v>-0.27</v>
      </c>
      <c r="L5" s="11" t="n">
        <v>2.31</v>
      </c>
      <c r="M5" s="11" t="n">
        <v>2.04</v>
      </c>
      <c r="N5" s="11" t="n">
        <v>-2.26</v>
      </c>
      <c r="O5" s="11" t="n">
        <v>1.48</v>
      </c>
      <c r="P5" s="11" t="n">
        <v>-0.78</v>
      </c>
      <c r="Q5" s="11" t="n">
        <v>0.32</v>
      </c>
      <c r="R5" s="11" t="n">
        <v>2.35</v>
      </c>
      <c r="S5" s="11" t="n">
        <v>2.56</v>
      </c>
      <c r="T5" s="11" t="n">
        <v>2.03</v>
      </c>
      <c r="U5" s="11" t="n">
        <v>5.71</v>
      </c>
      <c r="V5" s="11" t="n">
        <v>2.68</v>
      </c>
      <c r="W5" s="11" t="n">
        <v>-4.13</v>
      </c>
      <c r="X5" s="11" t="n">
        <v>-8.06</v>
      </c>
      <c r="Y5" s="11" t="n">
        <v>11.24</v>
      </c>
      <c r="Z5" s="11" t="n">
        <v>-5.62</v>
      </c>
      <c r="AA5" s="11" t="n">
        <v>0.03</v>
      </c>
      <c r="AB5" s="11" t="n">
        <v>3.08</v>
      </c>
      <c r="AC5" s="11" t="n">
        <v>0.48</v>
      </c>
      <c r="AD5" s="11" t="n">
        <v>7.26</v>
      </c>
    </row>
    <row r="6">
      <c r="A6" s="10" t="inlineStr">
        <is>
          <t>해외사업환산조정</t>
        </is>
      </c>
      <c r="C6" s="11" t="n">
        <v>3.65</v>
      </c>
      <c r="D6" s="11" t="n">
        <v>10.42</v>
      </c>
      <c r="E6" s="11" t="n">
        <v>16.77</v>
      </c>
      <c r="F6" s="11" t="n">
        <v>7.6</v>
      </c>
      <c r="G6" s="11" t="n">
        <v>-10.75</v>
      </c>
      <c r="H6" s="11" t="n">
        <v>-4.46</v>
      </c>
      <c r="I6" s="11" t="n">
        <v>14.04</v>
      </c>
      <c r="J6" s="11" t="n">
        <v>7.85</v>
      </c>
      <c r="K6" s="11" t="n">
        <v>-6.98</v>
      </c>
      <c r="L6" s="11" t="n">
        <v>10.32</v>
      </c>
      <c r="M6" s="11" t="n">
        <v>24.14</v>
      </c>
      <c r="N6" s="11" t="n">
        <v>-8.51</v>
      </c>
      <c r="O6" s="11" t="n">
        <v>8.27</v>
      </c>
      <c r="P6" s="11" t="n">
        <v>-11.91</v>
      </c>
      <c r="Q6" s="11" t="n">
        <v>0.13</v>
      </c>
      <c r="R6" s="11" t="n">
        <v>6.34</v>
      </c>
      <c r="S6" s="11" t="n">
        <v>35.96</v>
      </c>
      <c r="T6" s="11" t="n">
        <v>16.32</v>
      </c>
      <c r="U6" s="11" t="n">
        <v>10.29</v>
      </c>
      <c r="V6" s="11" t="n">
        <v>-11.44</v>
      </c>
      <c r="W6" s="11" t="n">
        <v>-2.63</v>
      </c>
      <c r="X6" s="11" t="n">
        <v>-4.82</v>
      </c>
      <c r="Y6" s="11" t="n">
        <v>5.68</v>
      </c>
      <c r="Z6" s="11" t="n">
        <v>19.82</v>
      </c>
      <c r="AA6" s="11" t="n">
        <v>9.16</v>
      </c>
      <c r="AB6" s="11" t="n">
        <v>25.23</v>
      </c>
      <c r="AC6" s="11" t="n">
        <v>11.99</v>
      </c>
      <c r="AD6" s="11" t="n">
        <v>58.75</v>
      </c>
    </row>
    <row r="7">
      <c r="A7" s="10" t="inlineStr">
        <is>
          <t>퇴직급여 조정액</t>
        </is>
      </c>
      <c r="C7" s="11" t="n">
        <v>0.14</v>
      </c>
      <c r="D7" s="11" t="n">
        <v>0.6</v>
      </c>
      <c r="E7" s="11" t="n">
        <v>0.21</v>
      </c>
      <c r="F7" s="11" t="n">
        <v>0.16</v>
      </c>
      <c r="G7" s="11" t="n">
        <v>0.15</v>
      </c>
      <c r="H7" s="11" t="n">
        <v>-1.04</v>
      </c>
      <c r="I7" s="11" t="n">
        <v>0.27</v>
      </c>
      <c r="J7" s="11" t="n">
        <v>0.16</v>
      </c>
      <c r="K7" s="11" t="n">
        <v>0.17</v>
      </c>
      <c r="L7" s="11" t="n">
        <v>9.640000000000001</v>
      </c>
      <c r="M7" s="11" t="n">
        <v>-0.08</v>
      </c>
      <c r="N7" s="11" t="n">
        <v>-0.1</v>
      </c>
      <c r="O7" s="11" t="n">
        <v>-0.09</v>
      </c>
      <c r="P7" s="11" t="n">
        <v>-1.57</v>
      </c>
      <c r="Q7" s="11" t="n">
        <v>0.06</v>
      </c>
      <c r="R7" s="11" t="n">
        <v>0.07000000000000001</v>
      </c>
      <c r="S7" s="11" t="n">
        <v>-0.02</v>
      </c>
      <c r="T7" s="11" t="n">
        <v>10.58</v>
      </c>
      <c r="U7" s="11" t="n">
        <v>-0.18</v>
      </c>
      <c r="V7" s="11" t="n">
        <v>-0.4</v>
      </c>
      <c r="W7" s="11" t="n">
        <v>-0.85</v>
      </c>
      <c r="X7" s="11" t="n">
        <v>-1.65</v>
      </c>
      <c r="Y7" s="11" t="n">
        <v>0.61</v>
      </c>
      <c r="Z7" s="11" t="n">
        <v>1.02</v>
      </c>
      <c r="AA7" s="11" t="n">
        <v>-0.52</v>
      </c>
      <c r="AB7" s="11" t="n">
        <v>10.24</v>
      </c>
      <c r="AC7" s="11" t="n">
        <v>-1.84</v>
      </c>
      <c r="AD7" s="11" t="n">
        <v>10.69</v>
      </c>
    </row>
    <row r="8">
      <c r="A8" s="10" t="inlineStr">
        <is>
          <t>지분법 적용회사 지분 해당액</t>
        </is>
      </c>
      <c r="C8" s="11" t="n">
        <v>0.1</v>
      </c>
      <c r="D8" s="11" t="n">
        <v>0.2</v>
      </c>
      <c r="E8" s="11" t="n">
        <v>0.17</v>
      </c>
      <c r="F8" s="11" t="n">
        <v>0.51</v>
      </c>
      <c r="G8" s="11" t="n">
        <v>-0.04</v>
      </c>
      <c r="H8" s="11" t="n">
        <v>-0.46</v>
      </c>
      <c r="I8" s="11" t="n">
        <v>0.07000000000000001</v>
      </c>
      <c r="J8" s="11" t="n">
        <v>0.46</v>
      </c>
      <c r="K8" s="11" t="n">
        <v>-0.01</v>
      </c>
      <c r="L8" s="11" t="n">
        <v>-0.08</v>
      </c>
      <c r="M8" s="11" t="n">
        <v>0.17</v>
      </c>
      <c r="N8" s="11" t="n">
        <v>0.35</v>
      </c>
      <c r="O8" s="11" t="n">
        <v>-0.77</v>
      </c>
      <c r="P8" s="11" t="n">
        <v>0.59</v>
      </c>
      <c r="Q8" s="11" t="n">
        <v>0.06</v>
      </c>
      <c r="R8" s="11" t="n">
        <v>-0.6</v>
      </c>
      <c r="S8" s="11" t="n">
        <v>-0.16</v>
      </c>
      <c r="T8" s="11" t="n">
        <v>0.11</v>
      </c>
      <c r="U8" s="11" t="n">
        <v>-0</v>
      </c>
      <c r="V8" s="11" t="n">
        <v>0.3</v>
      </c>
      <c r="W8" s="11" t="n">
        <v>-0.25</v>
      </c>
      <c r="X8" s="11" t="n">
        <v>0.05</v>
      </c>
      <c r="Y8" s="11" t="n">
        <v>0.05</v>
      </c>
      <c r="Z8" s="11" t="n">
        <v>0.67</v>
      </c>
      <c r="AA8" s="11" t="n">
        <v>0.18</v>
      </c>
      <c r="AB8" s="11" t="n">
        <v>0.44</v>
      </c>
      <c r="AC8" s="11" t="n">
        <v>0.34</v>
      </c>
      <c r="AD8" s="11" t="n">
        <v>-0.59</v>
      </c>
    </row>
    <row r="9">
      <c r="A9" s="10" t="inlineStr">
        <is>
          <t>기타포괄손익 합계</t>
        </is>
      </c>
      <c r="C9" s="11" t="n">
        <v>2.08</v>
      </c>
      <c r="D9" s="11" t="n">
        <v>8.539999999999999</v>
      </c>
      <c r="E9" s="11" t="n">
        <v>16</v>
      </c>
      <c r="F9" s="11" t="n">
        <v>6.69</v>
      </c>
      <c r="G9" s="11" t="n">
        <v>-9.960000000000001</v>
      </c>
      <c r="H9" s="11" t="n">
        <v>-3.88</v>
      </c>
      <c r="I9" s="11" t="n">
        <v>16.26</v>
      </c>
      <c r="J9" s="11" t="n">
        <v>7.65</v>
      </c>
      <c r="K9" s="11" t="n">
        <v>-7.09</v>
      </c>
      <c r="L9" s="11" t="n">
        <v>22.19</v>
      </c>
      <c r="M9" s="11" t="n">
        <v>26.27</v>
      </c>
      <c r="N9" s="11" t="n">
        <v>-10.53</v>
      </c>
      <c r="O9" s="11" t="n">
        <v>8.890000000000001</v>
      </c>
      <c r="P9" s="11" t="n">
        <v>-13.66</v>
      </c>
      <c r="Q9" s="11" t="n">
        <v>0.58</v>
      </c>
      <c r="R9" s="11" t="n">
        <v>8.15</v>
      </c>
      <c r="S9" s="11" t="n">
        <v>38.35</v>
      </c>
      <c r="T9" s="11" t="n">
        <v>29.03</v>
      </c>
      <c r="U9" s="11" t="n">
        <v>15.81</v>
      </c>
      <c r="V9" s="11" t="n">
        <v>-8.85</v>
      </c>
      <c r="W9" s="11" t="n">
        <v>-7.88</v>
      </c>
      <c r="X9" s="11" t="n">
        <v>-14.49</v>
      </c>
      <c r="Y9" s="11" t="n">
        <v>17.61</v>
      </c>
      <c r="Z9" s="11" t="n">
        <v>15.89</v>
      </c>
      <c r="AA9" s="11" t="n">
        <v>8.85</v>
      </c>
      <c r="AB9" s="11" t="n">
        <v>39.01</v>
      </c>
      <c r="AC9" s="11" t="n">
        <v>10.97</v>
      </c>
      <c r="AD9" s="11" t="n">
        <v>76.11</v>
      </c>
    </row>
    <row r="10">
      <c r="A10" s="10" t="inlineStr">
        <is>
          <t>포괄이익</t>
        </is>
      </c>
      <c r="C10" s="11" t="n">
        <v>13.65</v>
      </c>
      <c r="D10" s="11" t="n">
        <v>18.64</v>
      </c>
      <c r="E10" s="11" t="n">
        <v>39.48</v>
      </c>
      <c r="F10" s="11" t="n">
        <v>28.36</v>
      </c>
      <c r="G10" s="11" t="n">
        <v>5.28</v>
      </c>
      <c r="H10" s="11" t="n">
        <v>9.4</v>
      </c>
      <c r="I10" s="11" t="n">
        <v>26.84</v>
      </c>
      <c r="J10" s="11" t="n">
        <v>12.29</v>
      </c>
      <c r="K10" s="11" t="n">
        <v>1.63</v>
      </c>
      <c r="L10" s="11" t="n">
        <v>25.94</v>
      </c>
      <c r="M10" s="11" t="n">
        <v>29.97</v>
      </c>
      <c r="N10" s="11" t="n">
        <v>-19.96</v>
      </c>
      <c r="O10" s="11" t="n">
        <v>19.32</v>
      </c>
      <c r="P10" s="11" t="n">
        <v>-15.76</v>
      </c>
      <c r="Q10" s="11" t="n">
        <v>4.77</v>
      </c>
      <c r="R10" s="11" t="n">
        <v>15.51</v>
      </c>
      <c r="S10" s="11" t="n">
        <v>58.43</v>
      </c>
      <c r="T10" s="11" t="n">
        <v>36.91</v>
      </c>
      <c r="U10" s="11" t="n">
        <v>32.11</v>
      </c>
      <c r="V10" s="11" t="n">
        <v>33.06</v>
      </c>
      <c r="W10" s="11" t="n">
        <v>2.3</v>
      </c>
      <c r="X10" s="11" t="n">
        <v>-3.72</v>
      </c>
      <c r="Y10" s="11" t="n">
        <v>37.89</v>
      </c>
      <c r="Z10" s="11" t="n">
        <v>63.58</v>
      </c>
      <c r="AA10" s="11" t="n">
        <v>82.52</v>
      </c>
      <c r="AB10" s="11" t="n">
        <v>66.7</v>
      </c>
      <c r="AC10" s="11" t="n">
        <v>13.57</v>
      </c>
      <c r="AD10" s="11" t="n">
        <v>115.62</v>
      </c>
    </row>
    <row r="11">
      <c r="A11" s="10" t="inlineStr">
        <is>
          <t>지배주주 포괄이익</t>
        </is>
      </c>
      <c r="C11" s="11" t="n">
        <v>13.66</v>
      </c>
      <c r="D11" s="11" t="n">
        <v>18.64</v>
      </c>
      <c r="E11" s="11" t="n">
        <v>39.48</v>
      </c>
      <c r="F11" s="11" t="n">
        <v>28.36</v>
      </c>
      <c r="G11" s="11" t="n">
        <v>5.28</v>
      </c>
      <c r="H11" s="11" t="n">
        <v>9.4</v>
      </c>
      <c r="I11" s="11" t="n">
        <v>26.84</v>
      </c>
      <c r="J11" s="11" t="n">
        <v>12.29</v>
      </c>
      <c r="K11" s="11" t="n">
        <v>1.63</v>
      </c>
      <c r="L11" s="11" t="n">
        <v>25.94</v>
      </c>
      <c r="M11" s="11" t="n">
        <v>29.97</v>
      </c>
      <c r="N11" s="11" t="n">
        <v>-19.96</v>
      </c>
      <c r="O11" s="11" t="n">
        <v>19.32</v>
      </c>
      <c r="P11" s="11" t="n">
        <v>-15.76</v>
      </c>
      <c r="Q11" s="11" t="n">
        <v>4.77</v>
      </c>
      <c r="R11" s="11" t="n">
        <v>15.51</v>
      </c>
      <c r="S11" s="11" t="n">
        <v>58.43</v>
      </c>
      <c r="T11" s="11" t="n">
        <v>36.91</v>
      </c>
      <c r="U11" s="11" t="n">
        <v>32.11</v>
      </c>
      <c r="V11" s="11" t="n">
        <v>33.06</v>
      </c>
      <c r="W11" s="11" t="n">
        <v>2.3</v>
      </c>
      <c r="X11" s="11" t="n">
        <v>-3.72</v>
      </c>
      <c r="Y11" s="11" t="n">
        <v>37.95</v>
      </c>
      <c r="Z11" s="11" t="n">
        <v>63.61</v>
      </c>
      <c r="AA11" s="11" t="n">
        <v>82.52</v>
      </c>
      <c r="AB11" s="11" t="n">
        <v>66.7</v>
      </c>
      <c r="AC11" s="11" t="n">
        <v>13.57</v>
      </c>
      <c r="AD11" s="11" t="n">
        <v>115.62</v>
      </c>
    </row>
    <row r="12">
      <c r="A12" s="10" t="inlineStr">
        <is>
          <t>비지배주주 포괄이익</t>
        </is>
      </c>
      <c r="C12" s="11" t="n">
        <v>-0.01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X12" s="11" t="n">
        <v>0</v>
      </c>
      <c r="Y12" s="11" t="n">
        <v>-0.05</v>
      </c>
      <c r="Z12" s="11" t="n">
        <v>-0.03</v>
      </c>
      <c r="AA12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KOA 재무상태표</t>
        </is>
      </c>
    </row>
    <row r="2">
      <c r="A2" s="2" t="inlineStr">
        <is>
          <t>결산기 기준(27.2Q = 2027년 결산기 2분기) · 3월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218.78</v>
      </c>
      <c r="D4" s="11" t="n">
        <v>229.16</v>
      </c>
      <c r="E4" s="11" t="n">
        <v>232.87</v>
      </c>
      <c r="F4" s="11" t="n">
        <v>269.26</v>
      </c>
      <c r="G4" s="11" t="n">
        <v>267.06</v>
      </c>
      <c r="H4" s="11" t="n">
        <v>286.38</v>
      </c>
      <c r="I4" s="11" t="n">
        <v>266.9</v>
      </c>
      <c r="J4" s="11" t="n">
        <v>337.65</v>
      </c>
      <c r="K4" s="11" t="n">
        <v>311.59</v>
      </c>
      <c r="L4" s="11" t="n">
        <v>313.51</v>
      </c>
      <c r="M4" s="11" t="n">
        <v>304.97</v>
      </c>
      <c r="N4" s="11" t="n">
        <v>336.79</v>
      </c>
      <c r="O4" s="11" t="n">
        <v>298.76</v>
      </c>
      <c r="P4" s="11" t="n">
        <v>266.42</v>
      </c>
      <c r="Q4" s="11" t="n">
        <v>258.26</v>
      </c>
      <c r="R4" s="11" t="n">
        <v>272.43</v>
      </c>
      <c r="S4" s="11" t="n">
        <v>278.94</v>
      </c>
      <c r="T4" s="11" t="n">
        <v>289.97</v>
      </c>
      <c r="U4" s="11" t="n">
        <v>264.57</v>
      </c>
      <c r="V4" s="11" t="n">
        <v>273.33</v>
      </c>
      <c r="W4" s="11" t="n">
        <v>151.97</v>
      </c>
      <c r="X4" s="11" t="n">
        <v>161.26</v>
      </c>
      <c r="Y4" s="11" t="n">
        <v>193.34</v>
      </c>
      <c r="Z4" s="11" t="n">
        <v>229.16</v>
      </c>
      <c r="AA4" s="11" t="n">
        <v>286.38</v>
      </c>
      <c r="AB4" s="11" t="n">
        <v>313.51</v>
      </c>
      <c r="AC4" s="11" t="n">
        <v>266.42</v>
      </c>
      <c r="AD4" s="11" t="n">
        <v>289.97</v>
      </c>
      <c r="AE4" s="7" t="inlineStr">
        <is>
          <t>결산단신 XBRL(거래소 공시, TDnet·JPX 보관소). 쓴 문서: 2026-10-23, 2026-07-23, 2026-04-24, 2026-01-28 외 26건 — '출처' 시트에 전부</t>
        </is>
      </c>
    </row>
    <row r="5">
      <c r="A5" s="10" t="inlineStr">
        <is>
          <t>받을어음·매출채권</t>
        </is>
      </c>
      <c r="C5" s="11" t="n">
        <v>143.54</v>
      </c>
      <c r="D5" s="11" t="n">
        <v>159.79</v>
      </c>
      <c r="E5" s="11" t="n">
        <v>170.68</v>
      </c>
      <c r="F5" s="11" t="n">
        <v>181.62</v>
      </c>
      <c r="G5" s="11" t="n">
        <v>165.59</v>
      </c>
      <c r="H5" s="11" t="n">
        <v>158.59</v>
      </c>
      <c r="I5" s="11" t="n">
        <v>149.75</v>
      </c>
      <c r="J5" s="11" t="n">
        <v>147.46</v>
      </c>
      <c r="K5" s="11" t="n">
        <v>136.36</v>
      </c>
      <c r="L5" s="11" t="n">
        <v>139.21</v>
      </c>
      <c r="M5" s="11" t="n">
        <v>139.48</v>
      </c>
      <c r="N5" s="11" t="n">
        <v>131.82</v>
      </c>
      <c r="O5" s="11" t="n">
        <v>129.36</v>
      </c>
      <c r="P5" s="11" t="n">
        <v>137.86</v>
      </c>
      <c r="Q5" s="11" t="n">
        <v>140.62</v>
      </c>
      <c r="R5" s="11" t="n">
        <v>142.24</v>
      </c>
      <c r="S5" s="11" t="n">
        <v>146.63</v>
      </c>
      <c r="T5" s="11" t="n">
        <v>159.58</v>
      </c>
      <c r="U5" s="11" t="n">
        <v>170.95</v>
      </c>
      <c r="V5" s="11" t="n">
        <v>180.18</v>
      </c>
      <c r="W5" s="11" t="n">
        <v>136.16</v>
      </c>
      <c r="X5" s="11" t="n">
        <v>120.75</v>
      </c>
      <c r="Y5" s="11" t="n">
        <v>137.76</v>
      </c>
      <c r="Z5" s="11" t="n">
        <v>159.79</v>
      </c>
      <c r="AA5" s="11" t="n">
        <v>158.59</v>
      </c>
      <c r="AB5" s="11" t="n">
        <v>139.21</v>
      </c>
      <c r="AC5" s="11" t="n">
        <v>137.86</v>
      </c>
      <c r="AD5" s="11" t="n">
        <v>159.58</v>
      </c>
    </row>
    <row r="6">
      <c r="A6" s="10" t="inlineStr">
        <is>
          <t>재고자산</t>
        </is>
      </c>
      <c r="C6" s="11" t="n">
        <v>101.89</v>
      </c>
      <c r="D6" s="11" t="n">
        <v>108.14</v>
      </c>
      <c r="E6" s="11" t="n">
        <v>117.59</v>
      </c>
      <c r="F6" s="11" t="n">
        <v>131.34</v>
      </c>
      <c r="G6" s="11" t="n">
        <v>136.53</v>
      </c>
      <c r="H6" s="11" t="n">
        <v>139.06</v>
      </c>
      <c r="I6" s="11" t="n">
        <v>148.25</v>
      </c>
      <c r="J6" s="11" t="n">
        <v>139.56</v>
      </c>
      <c r="K6" s="11" t="n">
        <v>136.49</v>
      </c>
      <c r="W6" s="11" t="n">
        <v>76.22</v>
      </c>
      <c r="X6" s="11" t="n">
        <v>73.09</v>
      </c>
      <c r="Y6" s="11" t="n">
        <v>78.3</v>
      </c>
      <c r="Z6" s="11" t="n">
        <v>108.14</v>
      </c>
      <c r="AA6" s="11" t="n">
        <v>139.06</v>
      </c>
    </row>
    <row r="7">
      <c r="A7" s="10" t="inlineStr">
        <is>
          <t>전자기록채권</t>
        </is>
      </c>
      <c r="D7" s="11" t="n">
        <v>22.88</v>
      </c>
      <c r="H7" s="11" t="n">
        <v>25.72</v>
      </c>
      <c r="L7" s="11" t="n">
        <v>22.93</v>
      </c>
      <c r="M7" s="11" t="n">
        <v>22.59</v>
      </c>
      <c r="N7" s="11" t="n">
        <v>21</v>
      </c>
      <c r="O7" s="11" t="n">
        <v>23.82</v>
      </c>
      <c r="P7" s="11" t="n">
        <v>21.59</v>
      </c>
      <c r="Q7" s="11" t="n">
        <v>21.76</v>
      </c>
      <c r="R7" s="11" t="n">
        <v>21.53</v>
      </c>
      <c r="W7" s="11" t="n">
        <v>14.11</v>
      </c>
      <c r="X7" s="11" t="n">
        <v>15.09</v>
      </c>
      <c r="Y7" s="11" t="n">
        <v>17.47</v>
      </c>
      <c r="Z7" s="11" t="n">
        <v>22.88</v>
      </c>
      <c r="AA7" s="11" t="n">
        <v>25.72</v>
      </c>
      <c r="AB7" s="11" t="n">
        <v>22.93</v>
      </c>
      <c r="AC7" s="11" t="n">
        <v>21.59</v>
      </c>
    </row>
    <row r="8">
      <c r="A8" s="10" t="inlineStr">
        <is>
          <t>유가증권</t>
        </is>
      </c>
      <c r="D8" s="11" t="n">
        <v>0</v>
      </c>
      <c r="H8" s="11" t="n">
        <v>10.08</v>
      </c>
      <c r="L8" s="11" t="n">
        <v>11.96</v>
      </c>
      <c r="M8" s="11" t="n">
        <v>12.88</v>
      </c>
      <c r="N8" s="11" t="n">
        <v>11.54</v>
      </c>
      <c r="O8" s="11" t="n">
        <v>12.92</v>
      </c>
      <c r="P8" s="11" t="n">
        <v>0</v>
      </c>
      <c r="W8" s="11" t="n">
        <v>2</v>
      </c>
      <c r="X8" s="11" t="n">
        <v>0</v>
      </c>
      <c r="Z8" s="11" t="n">
        <v>0</v>
      </c>
      <c r="AA8" s="11" t="n">
        <v>10.08</v>
      </c>
      <c r="AB8" s="11" t="n">
        <v>11.96</v>
      </c>
      <c r="AC8" s="11" t="n">
        <v>0</v>
      </c>
    </row>
    <row r="9">
      <c r="A9" s="10" t="inlineStr">
        <is>
          <t>상품·제품</t>
        </is>
      </c>
      <c r="D9" s="11" t="n">
        <v>40.81</v>
      </c>
      <c r="H9" s="11" t="n">
        <v>50.21</v>
      </c>
      <c r="L9" s="11" t="n">
        <v>51.15</v>
      </c>
      <c r="M9" s="11" t="n">
        <v>48.23</v>
      </c>
      <c r="N9" s="11" t="n">
        <v>47.48</v>
      </c>
      <c r="O9" s="11" t="n">
        <v>48.26</v>
      </c>
      <c r="P9" s="11" t="n">
        <v>45.98</v>
      </c>
      <c r="Q9" s="11" t="n">
        <v>43.78</v>
      </c>
      <c r="R9" s="11" t="n">
        <v>48.23</v>
      </c>
      <c r="S9" s="11" t="n">
        <v>51.81</v>
      </c>
      <c r="T9" s="11" t="n">
        <v>49.58</v>
      </c>
      <c r="U9" s="11" t="n">
        <v>49.58</v>
      </c>
      <c r="V9" s="11" t="n">
        <v>51.15</v>
      </c>
      <c r="W9" s="11" t="n">
        <v>36.94</v>
      </c>
      <c r="X9" s="11" t="n">
        <v>29.7</v>
      </c>
      <c r="Y9" s="11" t="n">
        <v>28.8</v>
      </c>
      <c r="Z9" s="11" t="n">
        <v>40.81</v>
      </c>
      <c r="AA9" s="11" t="n">
        <v>50.21</v>
      </c>
      <c r="AB9" s="11" t="n">
        <v>51.15</v>
      </c>
      <c r="AC9" s="11" t="n">
        <v>45.98</v>
      </c>
      <c r="AD9" s="11" t="n">
        <v>49.58</v>
      </c>
    </row>
    <row r="10">
      <c r="A10" s="10" t="inlineStr">
        <is>
          <t>재공품</t>
        </is>
      </c>
      <c r="D10" s="11" t="n">
        <v>42.99</v>
      </c>
      <c r="H10" s="11" t="n">
        <v>53.61</v>
      </c>
      <c r="L10" s="11" t="n">
        <v>53.64</v>
      </c>
      <c r="M10" s="11" t="n">
        <v>54.76</v>
      </c>
      <c r="N10" s="11" t="n">
        <v>56.07</v>
      </c>
      <c r="O10" s="11" t="n">
        <v>56.93</v>
      </c>
      <c r="P10" s="11" t="n">
        <v>55.5</v>
      </c>
      <c r="Q10" s="11" t="n">
        <v>54.62</v>
      </c>
      <c r="R10" s="11" t="n">
        <v>56.06</v>
      </c>
      <c r="S10" s="11" t="n">
        <v>52.12</v>
      </c>
      <c r="T10" s="11" t="n">
        <v>49.44</v>
      </c>
      <c r="U10" s="11" t="n">
        <v>46.85</v>
      </c>
      <c r="V10" s="11" t="n">
        <v>47.97</v>
      </c>
      <c r="W10" s="11" t="n">
        <v>24.81</v>
      </c>
      <c r="X10" s="11" t="n">
        <v>27.3</v>
      </c>
      <c r="Y10" s="11" t="n">
        <v>34.42</v>
      </c>
      <c r="Z10" s="11" t="n">
        <v>42.99</v>
      </c>
      <c r="AA10" s="11" t="n">
        <v>53.61</v>
      </c>
      <c r="AB10" s="11" t="n">
        <v>53.64</v>
      </c>
      <c r="AC10" s="11" t="n">
        <v>55.5</v>
      </c>
      <c r="AD10" s="11" t="n">
        <v>49.44</v>
      </c>
    </row>
    <row r="11">
      <c r="A11" s="10" t="inlineStr">
        <is>
          <t>원재료·저장품</t>
        </is>
      </c>
      <c r="D11" s="11" t="n">
        <v>24.33</v>
      </c>
      <c r="H11" s="11" t="n">
        <v>35.23</v>
      </c>
      <c r="L11" s="11" t="n">
        <v>34.86</v>
      </c>
      <c r="M11" s="11" t="n">
        <v>36.23</v>
      </c>
      <c r="N11" s="11" t="n">
        <v>34.52</v>
      </c>
      <c r="O11" s="11" t="n">
        <v>34.04</v>
      </c>
      <c r="P11" s="11" t="n">
        <v>32.95</v>
      </c>
      <c r="Q11" s="11" t="n">
        <v>32.14</v>
      </c>
      <c r="R11" s="11" t="n">
        <v>33.8</v>
      </c>
      <c r="S11" s="11" t="n">
        <v>37.46</v>
      </c>
      <c r="T11" s="11" t="n">
        <v>35.65</v>
      </c>
      <c r="U11" s="11" t="n">
        <v>37.6</v>
      </c>
      <c r="V11" s="11" t="n">
        <v>40.01</v>
      </c>
      <c r="W11" s="11" t="n">
        <v>14.45</v>
      </c>
      <c r="X11" s="11" t="n">
        <v>16.07</v>
      </c>
      <c r="Y11" s="11" t="n">
        <v>15.07</v>
      </c>
      <c r="Z11" s="11" t="n">
        <v>24.33</v>
      </c>
      <c r="AA11" s="11" t="n">
        <v>35.23</v>
      </c>
      <c r="AB11" s="11" t="n">
        <v>34.86</v>
      </c>
      <c r="AC11" s="11" t="n">
        <v>32.95</v>
      </c>
      <c r="AD11" s="11" t="n">
        <v>35.65</v>
      </c>
    </row>
    <row r="12">
      <c r="A12" s="10" t="inlineStr">
        <is>
          <t>선급비용</t>
        </is>
      </c>
      <c r="D12" s="11" t="n">
        <v>2.67</v>
      </c>
      <c r="H12" s="11" t="n">
        <v>2.87</v>
      </c>
      <c r="L12" s="11" t="n">
        <v>2.95</v>
      </c>
      <c r="M12" s="11" t="n">
        <v>5.15</v>
      </c>
      <c r="N12" s="11" t="n">
        <v>5.3</v>
      </c>
      <c r="O12" s="11" t="n">
        <v>3.96</v>
      </c>
      <c r="P12" s="11" t="n">
        <v>2.87</v>
      </c>
      <c r="Q12" s="11" t="n">
        <v>3.35</v>
      </c>
      <c r="R12" s="11" t="n">
        <v>4.47</v>
      </c>
      <c r="W12" s="11" t="n">
        <v>2.26</v>
      </c>
      <c r="X12" s="11" t="n">
        <v>1.95</v>
      </c>
      <c r="Y12" s="11" t="n">
        <v>1.9</v>
      </c>
      <c r="Z12" s="11" t="n">
        <v>2.67</v>
      </c>
      <c r="AA12" s="11" t="n">
        <v>2.87</v>
      </c>
      <c r="AB12" s="11" t="n">
        <v>2.95</v>
      </c>
      <c r="AC12" s="11" t="n">
        <v>2.87</v>
      </c>
    </row>
    <row r="13">
      <c r="A13" s="10" t="inlineStr">
        <is>
          <t>미수 환급법인세</t>
        </is>
      </c>
      <c r="D13" s="11" t="n">
        <v>0.1</v>
      </c>
      <c r="H13" s="11" t="n">
        <v>0.84</v>
      </c>
      <c r="L13" s="11" t="n">
        <v>6.13</v>
      </c>
      <c r="M13" s="11" t="n">
        <v>2.81</v>
      </c>
      <c r="N13" s="11" t="n">
        <v>0.44</v>
      </c>
      <c r="O13" s="11" t="n">
        <v>1.39</v>
      </c>
      <c r="P13" s="11" t="n">
        <v>0.25</v>
      </c>
      <c r="Q13" s="11" t="n">
        <v>0.7</v>
      </c>
      <c r="R13" s="11" t="n">
        <v>0.14</v>
      </c>
      <c r="W13" s="11" t="n">
        <v>4.7</v>
      </c>
      <c r="X13" s="11" t="n">
        <v>3.2</v>
      </c>
      <c r="Y13" s="11" t="n">
        <v>0.07000000000000001</v>
      </c>
      <c r="Z13" s="11" t="n">
        <v>0.1</v>
      </c>
      <c r="AA13" s="11" t="n">
        <v>0.84</v>
      </c>
      <c r="AB13" s="11" t="n">
        <v>6.13</v>
      </c>
      <c r="AC13" s="11" t="n">
        <v>0.25</v>
      </c>
    </row>
    <row r="14">
      <c r="A14" s="10" t="inlineStr">
        <is>
          <t>기타</t>
        </is>
      </c>
      <c r="C14" s="11" t="n">
        <v>34.9</v>
      </c>
      <c r="D14" s="11" t="n">
        <v>10.51</v>
      </c>
      <c r="E14" s="11" t="n">
        <v>36.74</v>
      </c>
      <c r="F14" s="11" t="n">
        <v>38.47</v>
      </c>
      <c r="G14" s="11" t="n">
        <v>40.35</v>
      </c>
      <c r="H14" s="11" t="n">
        <v>11.28</v>
      </c>
      <c r="I14" s="11" t="n">
        <v>47.81</v>
      </c>
      <c r="J14" s="11" t="n">
        <v>50.54</v>
      </c>
      <c r="K14" s="11" t="n">
        <v>54.94</v>
      </c>
      <c r="L14" s="11" t="n">
        <v>14.79</v>
      </c>
      <c r="M14" s="11" t="n">
        <v>13.94</v>
      </c>
      <c r="N14" s="11" t="n">
        <v>17.89</v>
      </c>
      <c r="O14" s="11" t="n">
        <v>10.45</v>
      </c>
      <c r="P14" s="11" t="n">
        <v>36.81</v>
      </c>
      <c r="Q14" s="11" t="n">
        <v>9.93</v>
      </c>
      <c r="R14" s="11" t="n">
        <v>9.42</v>
      </c>
      <c r="S14" s="11" t="n">
        <v>39.95</v>
      </c>
      <c r="T14" s="11" t="n">
        <v>43.38</v>
      </c>
      <c r="U14" s="11" t="n">
        <v>46.33</v>
      </c>
      <c r="V14" s="11" t="n">
        <v>46.89</v>
      </c>
      <c r="W14" s="11" t="n">
        <v>7.44</v>
      </c>
      <c r="X14" s="11" t="n">
        <v>7.12</v>
      </c>
      <c r="Y14" s="11" t="n">
        <v>7.23</v>
      </c>
      <c r="Z14" s="11" t="n">
        <v>10.51</v>
      </c>
      <c r="AA14" s="11" t="n">
        <v>11.28</v>
      </c>
      <c r="AB14" s="11" t="n">
        <v>14.79</v>
      </c>
      <c r="AC14" s="11" t="n">
        <v>36.81</v>
      </c>
      <c r="AD14" s="11" t="n">
        <v>43.38</v>
      </c>
    </row>
    <row r="15">
      <c r="A15" s="10" t="inlineStr">
        <is>
          <t>대손충당금</t>
        </is>
      </c>
      <c r="D15" s="11" t="n">
        <v>-0.47</v>
      </c>
      <c r="H15" s="11" t="n">
        <v>-0.55</v>
      </c>
      <c r="L15" s="11" t="n">
        <v>-0.54</v>
      </c>
      <c r="M15" s="11" t="n">
        <v>-0.5</v>
      </c>
      <c r="N15" s="11" t="n">
        <v>-0.43</v>
      </c>
      <c r="O15" s="11" t="n">
        <v>-0.53</v>
      </c>
      <c r="P15" s="11" t="n">
        <v>-0.49</v>
      </c>
      <c r="Q15" s="11" t="n">
        <v>-0.5</v>
      </c>
      <c r="R15" s="11" t="n">
        <v>-0.51</v>
      </c>
      <c r="S15" s="11" t="n">
        <v>-0.55</v>
      </c>
      <c r="T15" s="11" t="n">
        <v>-0.6</v>
      </c>
      <c r="U15" s="11" t="n">
        <v>-0.54</v>
      </c>
      <c r="V15" s="11" t="n">
        <v>-0.52</v>
      </c>
      <c r="W15" s="11" t="n">
        <v>-0.44</v>
      </c>
      <c r="X15" s="11" t="n">
        <v>-0.33</v>
      </c>
      <c r="Y15" s="11" t="n">
        <v>-0.31</v>
      </c>
      <c r="Z15" s="11" t="n">
        <v>-0.47</v>
      </c>
      <c r="AA15" s="11" t="n">
        <v>-0.55</v>
      </c>
      <c r="AB15" s="11" t="n">
        <v>-0.54</v>
      </c>
      <c r="AC15" s="11" t="n">
        <v>-0.49</v>
      </c>
      <c r="AD15" s="11" t="n">
        <v>-0.6</v>
      </c>
    </row>
    <row r="16">
      <c r="A16" s="10" t="inlineStr">
        <is>
          <t>유동자산 합계</t>
        </is>
      </c>
      <c r="C16" s="11" t="n">
        <v>499.13</v>
      </c>
      <c r="D16" s="11" t="n">
        <v>532.8</v>
      </c>
      <c r="E16" s="11" t="n">
        <v>557.89</v>
      </c>
      <c r="F16" s="11" t="n">
        <v>620.7</v>
      </c>
      <c r="G16" s="11" t="n">
        <v>609.54</v>
      </c>
      <c r="H16" s="11" t="n">
        <v>634.3</v>
      </c>
      <c r="I16" s="11" t="n">
        <v>612.73</v>
      </c>
      <c r="J16" s="11" t="n">
        <v>675.24</v>
      </c>
      <c r="K16" s="11" t="n">
        <v>639.4</v>
      </c>
      <c r="L16" s="11" t="n">
        <v>650.65</v>
      </c>
      <c r="M16" s="11" t="n">
        <v>640.5700000000001</v>
      </c>
      <c r="N16" s="11" t="n">
        <v>662.48</v>
      </c>
      <c r="O16" s="11" t="n">
        <v>619.4</v>
      </c>
      <c r="P16" s="11" t="n">
        <v>575.05</v>
      </c>
      <c r="Q16" s="11" t="n">
        <v>564.6900000000001</v>
      </c>
      <c r="R16" s="11" t="n">
        <v>587.85</v>
      </c>
      <c r="S16" s="11" t="n">
        <v>606.38</v>
      </c>
      <c r="T16" s="11" t="n">
        <v>627.01</v>
      </c>
      <c r="U16" s="11" t="n">
        <v>615.36</v>
      </c>
      <c r="V16" s="11" t="n">
        <v>639.02</v>
      </c>
      <c r="W16" s="11" t="n">
        <v>394.45</v>
      </c>
      <c r="X16" s="11" t="n">
        <v>382.15</v>
      </c>
      <c r="Y16" s="11" t="n">
        <v>435.78</v>
      </c>
      <c r="Z16" s="11" t="n">
        <v>532.8</v>
      </c>
      <c r="AA16" s="11" t="n">
        <v>634.3</v>
      </c>
      <c r="AB16" s="11" t="n">
        <v>650.65</v>
      </c>
      <c r="AC16" s="11" t="n">
        <v>575.05</v>
      </c>
      <c r="AD16" s="11" t="n">
        <v>627.01</v>
      </c>
    </row>
    <row r="17">
      <c r="A17" s="10" t="inlineStr">
        <is>
          <t>건물·구축물</t>
        </is>
      </c>
      <c r="D17" s="11" t="n">
        <v>276.28</v>
      </c>
      <c r="H17" s="11" t="n">
        <v>290.76</v>
      </c>
      <c r="L17" s="11" t="n">
        <v>311.41</v>
      </c>
      <c r="P17" s="11" t="n">
        <v>420.71</v>
      </c>
      <c r="T17" s="11" t="n">
        <v>606.87</v>
      </c>
      <c r="W17" s="11" t="n">
        <v>235.16</v>
      </c>
      <c r="X17" s="11" t="n">
        <v>244.32</v>
      </c>
      <c r="Y17" s="11" t="n">
        <v>246.72</v>
      </c>
      <c r="Z17" s="11" t="n">
        <v>276.28</v>
      </c>
      <c r="AA17" s="11" t="n">
        <v>290.76</v>
      </c>
      <c r="AB17" s="11" t="n">
        <v>311.41</v>
      </c>
      <c r="AC17" s="11" t="n">
        <v>420.71</v>
      </c>
      <c r="AD17" s="11" t="n">
        <v>606.87</v>
      </c>
    </row>
    <row r="18">
      <c r="A18" s="10" t="inlineStr">
        <is>
          <t>감가상각누계액</t>
        </is>
      </c>
      <c r="D18" s="11" t="n">
        <v>-148.01</v>
      </c>
      <c r="H18" s="11" t="n">
        <v>-156.45</v>
      </c>
      <c r="L18" s="11" t="n">
        <v>-166.76</v>
      </c>
      <c r="P18" s="11" t="n">
        <v>-179.75</v>
      </c>
      <c r="T18" s="11" t="n">
        <v>-190.59</v>
      </c>
      <c r="W18" s="11" t="n">
        <v>-125.06</v>
      </c>
      <c r="X18" s="11" t="n">
        <v>-131.39</v>
      </c>
      <c r="Y18" s="11" t="n">
        <v>-138.68</v>
      </c>
      <c r="Z18" s="11" t="n">
        <v>-148.01</v>
      </c>
      <c r="AA18" s="11" t="n">
        <v>-156.45</v>
      </c>
      <c r="AB18" s="11" t="n">
        <v>-166.76</v>
      </c>
      <c r="AC18" s="11" t="n">
        <v>-179.75</v>
      </c>
      <c r="AD18" s="11" t="n">
        <v>-190.59</v>
      </c>
    </row>
    <row r="19">
      <c r="A19" s="10" t="inlineStr">
        <is>
          <t>손상차손누계액</t>
        </is>
      </c>
      <c r="D19" s="11" t="n">
        <v>-0.06</v>
      </c>
      <c r="H19" s="11" t="n">
        <v>-0.06</v>
      </c>
      <c r="L19" s="11" t="n">
        <v>-0.06</v>
      </c>
      <c r="P19" s="11" t="n">
        <v>-0.06</v>
      </c>
      <c r="T19" s="11" t="n">
        <v>-0.67</v>
      </c>
      <c r="W19" s="11" t="n">
        <v>-0.07000000000000001</v>
      </c>
      <c r="X19" s="11" t="n">
        <v>-0.07000000000000001</v>
      </c>
      <c r="Y19" s="11" t="n">
        <v>-0.07000000000000001</v>
      </c>
      <c r="Z19" s="11" t="n">
        <v>-0.06</v>
      </c>
      <c r="AA19" s="11" t="n">
        <v>-0.06</v>
      </c>
      <c r="AB19" s="11" t="n">
        <v>-0.06</v>
      </c>
      <c r="AC19" s="11" t="n">
        <v>-0.06</v>
      </c>
      <c r="AD19" s="11" t="n">
        <v>-0.67</v>
      </c>
    </row>
    <row r="20">
      <c r="A20" s="10" t="inlineStr">
        <is>
          <t>건물·구축물(순액)</t>
        </is>
      </c>
      <c r="D20" s="11" t="n">
        <v>128.19</v>
      </c>
      <c r="H20" s="11" t="n">
        <v>134.24</v>
      </c>
      <c r="L20" s="11" t="n">
        <v>144.58</v>
      </c>
      <c r="M20" s="11" t="n">
        <v>143.3</v>
      </c>
      <c r="N20" s="11" t="n">
        <v>203.29</v>
      </c>
      <c r="O20" s="11" t="n">
        <v>201.59</v>
      </c>
      <c r="P20" s="11" t="n">
        <v>240.89</v>
      </c>
      <c r="Q20" s="11" t="n">
        <v>399.27</v>
      </c>
      <c r="R20" s="11" t="n">
        <v>403.4</v>
      </c>
      <c r="S20" s="11" t="n">
        <v>416.13</v>
      </c>
      <c r="T20" s="11" t="n">
        <v>415.59</v>
      </c>
      <c r="U20" s="11" t="n">
        <v>416</v>
      </c>
      <c r="V20" s="11" t="n">
        <v>405</v>
      </c>
      <c r="W20" s="11" t="n">
        <v>110.03</v>
      </c>
      <c r="X20" s="11" t="n">
        <v>112.85</v>
      </c>
      <c r="Y20" s="11" t="n">
        <v>107.96</v>
      </c>
      <c r="Z20" s="11" t="n">
        <v>128.19</v>
      </c>
      <c r="AA20" s="11" t="n">
        <v>134.24</v>
      </c>
      <c r="AB20" s="11" t="n">
        <v>144.58</v>
      </c>
      <c r="AC20" s="11" t="n">
        <v>240.89</v>
      </c>
      <c r="AD20" s="11" t="n">
        <v>415.59</v>
      </c>
    </row>
    <row r="21">
      <c r="A21" s="10" t="inlineStr">
        <is>
          <t>기계장치·운반구</t>
        </is>
      </c>
      <c r="D21" s="11" t="n">
        <v>453.67</v>
      </c>
      <c r="H21" s="11" t="n">
        <v>498.39</v>
      </c>
      <c r="L21" s="11" t="n">
        <v>540.3200000000001</v>
      </c>
      <c r="P21" s="11" t="n">
        <v>594.6799999999999</v>
      </c>
      <c r="T21" s="11" t="n">
        <v>648.87</v>
      </c>
      <c r="W21" s="11" t="n">
        <v>389.61</v>
      </c>
      <c r="X21" s="11" t="n">
        <v>414.77</v>
      </c>
      <c r="Y21" s="11" t="n">
        <v>429.86</v>
      </c>
      <c r="Z21" s="11" t="n">
        <v>453.67</v>
      </c>
      <c r="AA21" s="11" t="n">
        <v>498.39</v>
      </c>
      <c r="AB21" s="11" t="n">
        <v>540.3200000000001</v>
      </c>
      <c r="AC21" s="11" t="n">
        <v>594.6799999999999</v>
      </c>
      <c r="AD21" s="11" t="n">
        <v>648.87</v>
      </c>
    </row>
    <row r="22">
      <c r="A22" s="10" t="inlineStr">
        <is>
          <t>감가상각누계액</t>
        </is>
      </c>
      <c r="D22" s="11" t="n">
        <v>-361.38</v>
      </c>
      <c r="H22" s="11" t="n">
        <v>-377.68</v>
      </c>
      <c r="L22" s="11" t="n">
        <v>-397.15</v>
      </c>
      <c r="P22" s="11" t="n">
        <v>-426.57</v>
      </c>
      <c r="T22" s="11" t="n">
        <v>-448.3</v>
      </c>
      <c r="W22" s="11" t="n">
        <v>-310.06</v>
      </c>
      <c r="X22" s="11" t="n">
        <v>-323.22</v>
      </c>
      <c r="Y22" s="11" t="n">
        <v>-342.34</v>
      </c>
      <c r="Z22" s="11" t="n">
        <v>-361.38</v>
      </c>
      <c r="AA22" s="11" t="n">
        <v>-377.68</v>
      </c>
      <c r="AB22" s="11" t="n">
        <v>-397.15</v>
      </c>
      <c r="AC22" s="11" t="n">
        <v>-426.57</v>
      </c>
      <c r="AD22" s="11" t="n">
        <v>-448.3</v>
      </c>
    </row>
    <row r="23">
      <c r="A23" s="10" t="inlineStr">
        <is>
          <t>손상차손누계액</t>
        </is>
      </c>
      <c r="D23" s="11" t="n">
        <v>-2.53</v>
      </c>
      <c r="H23" s="11" t="n">
        <v>-2.66</v>
      </c>
      <c r="L23" s="11" t="n">
        <v>-2.53</v>
      </c>
      <c r="P23" s="11" t="n">
        <v>-2.11</v>
      </c>
      <c r="T23" s="11" t="n">
        <v>-2.48</v>
      </c>
      <c r="W23" s="11" t="n">
        <v>-2.52</v>
      </c>
      <c r="X23" s="11" t="n">
        <v>-2.36</v>
      </c>
      <c r="Y23" s="11" t="n">
        <v>-2.48</v>
      </c>
      <c r="Z23" s="11" t="n">
        <v>-2.53</v>
      </c>
      <c r="AA23" s="11" t="n">
        <v>-2.66</v>
      </c>
      <c r="AB23" s="11" t="n">
        <v>-2.53</v>
      </c>
      <c r="AC23" s="11" t="n">
        <v>-2.11</v>
      </c>
      <c r="AD23" s="11" t="n">
        <v>-2.48</v>
      </c>
    </row>
    <row r="24">
      <c r="A24" s="10" t="inlineStr">
        <is>
          <t>기계장치·운반구(순액)</t>
        </is>
      </c>
      <c r="D24" s="11" t="n">
        <v>89.73999999999999</v>
      </c>
      <c r="H24" s="11" t="n">
        <v>118.03</v>
      </c>
      <c r="L24" s="11" t="n">
        <v>140.63</v>
      </c>
      <c r="M24" s="11" t="n">
        <v>144.51</v>
      </c>
      <c r="N24" s="11" t="n">
        <v>150.12</v>
      </c>
      <c r="O24" s="11" t="n">
        <v>170.66</v>
      </c>
      <c r="P24" s="11" t="n">
        <v>166</v>
      </c>
      <c r="Q24" s="11" t="n">
        <v>163.06</v>
      </c>
      <c r="R24" s="11" t="n">
        <v>173.97</v>
      </c>
      <c r="S24" s="11" t="n">
        <v>198.5</v>
      </c>
      <c r="T24" s="11" t="n">
        <v>198.08</v>
      </c>
      <c r="U24" s="11" t="n">
        <v>197.82</v>
      </c>
      <c r="V24" s="11" t="n">
        <v>194.37</v>
      </c>
      <c r="W24" s="11" t="n">
        <v>77.02</v>
      </c>
      <c r="X24" s="11" t="n">
        <v>89.18000000000001</v>
      </c>
      <c r="Y24" s="11" t="n">
        <v>85.03</v>
      </c>
      <c r="Z24" s="11" t="n">
        <v>89.73999999999999</v>
      </c>
      <c r="AA24" s="11" t="n">
        <v>118.03</v>
      </c>
      <c r="AB24" s="11" t="n">
        <v>140.63</v>
      </c>
      <c r="AC24" s="11" t="n">
        <v>166</v>
      </c>
      <c r="AD24" s="11" t="n">
        <v>198.08</v>
      </c>
    </row>
    <row r="25">
      <c r="A25" s="10" t="inlineStr">
        <is>
          <t>공구·기구·비품</t>
        </is>
      </c>
      <c r="D25" s="11" t="n">
        <v>33.83</v>
      </c>
      <c r="H25" s="11" t="n">
        <v>38.45</v>
      </c>
      <c r="L25" s="11" t="n">
        <v>41.03</v>
      </c>
      <c r="P25" s="11" t="n">
        <v>46.48</v>
      </c>
      <c r="W25" s="11" t="n">
        <v>28.61</v>
      </c>
      <c r="X25" s="11" t="n">
        <v>29.6</v>
      </c>
      <c r="Y25" s="11" t="n">
        <v>30.71</v>
      </c>
      <c r="Z25" s="11" t="n">
        <v>33.83</v>
      </c>
      <c r="AA25" s="11" t="n">
        <v>38.45</v>
      </c>
      <c r="AB25" s="11" t="n">
        <v>41.03</v>
      </c>
      <c r="AC25" s="11" t="n">
        <v>46.48</v>
      </c>
    </row>
    <row r="26">
      <c r="A26" s="10" t="inlineStr">
        <is>
          <t>감가상각누계액</t>
        </is>
      </c>
      <c r="D26" s="11" t="n">
        <v>-26.81</v>
      </c>
      <c r="H26" s="11" t="n">
        <v>-29.36</v>
      </c>
      <c r="L26" s="11" t="n">
        <v>-31.8</v>
      </c>
      <c r="P26" s="11" t="n">
        <v>-34.03</v>
      </c>
      <c r="W26" s="11" t="n">
        <v>-23.18</v>
      </c>
      <c r="X26" s="11" t="n">
        <v>-23.78</v>
      </c>
      <c r="Y26" s="11" t="n">
        <v>-25.48</v>
      </c>
      <c r="Z26" s="11" t="n">
        <v>-26.81</v>
      </c>
      <c r="AA26" s="11" t="n">
        <v>-29.36</v>
      </c>
      <c r="AB26" s="11" t="n">
        <v>-31.8</v>
      </c>
      <c r="AC26" s="11" t="n">
        <v>-34.03</v>
      </c>
    </row>
    <row r="27">
      <c r="A27" s="10" t="inlineStr">
        <is>
          <t>손상차손누계액</t>
        </is>
      </c>
      <c r="D27" s="11" t="n">
        <v>-0</v>
      </c>
      <c r="H27" s="11" t="n">
        <v>-0.01</v>
      </c>
      <c r="L27" s="11" t="n">
        <v>-0</v>
      </c>
      <c r="P27" s="11" t="n">
        <v>-0</v>
      </c>
      <c r="W27" s="11" t="n">
        <v>-0</v>
      </c>
      <c r="X27" s="11" t="n">
        <v>-0</v>
      </c>
      <c r="Y27" s="11" t="n">
        <v>-0</v>
      </c>
      <c r="Z27" s="11" t="n">
        <v>-0</v>
      </c>
      <c r="AA27" s="11" t="n">
        <v>-0.01</v>
      </c>
      <c r="AB27" s="11" t="n">
        <v>-0</v>
      </c>
      <c r="AC27" s="11" t="n">
        <v>-0</v>
      </c>
    </row>
    <row r="28">
      <c r="A28" s="10" t="inlineStr">
        <is>
          <t>공구·기구·비품(순액)</t>
        </is>
      </c>
      <c r="D28" s="11" t="n">
        <v>7.02</v>
      </c>
      <c r="H28" s="11" t="n">
        <v>9.08</v>
      </c>
      <c r="L28" s="11" t="n">
        <v>9.220000000000001</v>
      </c>
      <c r="M28" s="11" t="n">
        <v>9.32</v>
      </c>
      <c r="N28" s="11" t="n">
        <v>10.84</v>
      </c>
      <c r="O28" s="11" t="n">
        <v>10.46</v>
      </c>
      <c r="P28" s="11" t="n">
        <v>12.44</v>
      </c>
      <c r="Q28" s="11" t="n">
        <v>12.56</v>
      </c>
      <c r="R28" s="11" t="n">
        <v>12.2</v>
      </c>
      <c r="W28" s="11" t="n">
        <v>5.43</v>
      </c>
      <c r="X28" s="11" t="n">
        <v>5.8</v>
      </c>
      <c r="Y28" s="11" t="n">
        <v>5.22</v>
      </c>
      <c r="Z28" s="11" t="n">
        <v>7.02</v>
      </c>
      <c r="AA28" s="11" t="n">
        <v>9.08</v>
      </c>
      <c r="AB28" s="11" t="n">
        <v>9.220000000000001</v>
      </c>
      <c r="AC28" s="11" t="n">
        <v>12.44</v>
      </c>
    </row>
    <row r="29">
      <c r="A29" s="10" t="inlineStr">
        <is>
          <t>기타(순액)</t>
        </is>
      </c>
      <c r="D29" s="11" t="n">
        <v>7.96</v>
      </c>
      <c r="H29" s="11" t="n">
        <v>6.65</v>
      </c>
      <c r="L29" s="11" t="n">
        <v>6.44</v>
      </c>
      <c r="M29" s="11" t="n">
        <v>6.35</v>
      </c>
      <c r="N29" s="11" t="n">
        <v>5.55</v>
      </c>
      <c r="O29" s="11" t="n">
        <v>5.53</v>
      </c>
      <c r="P29" s="11" t="n">
        <v>4.81</v>
      </c>
      <c r="Q29" s="11" t="n">
        <v>4.21</v>
      </c>
      <c r="R29" s="11" t="n">
        <v>3.8</v>
      </c>
      <c r="W29" s="11" t="n">
        <v>0.6</v>
      </c>
      <c r="X29" s="11" t="n">
        <v>9.24</v>
      </c>
      <c r="Y29" s="11" t="n">
        <v>8.300000000000001</v>
      </c>
      <c r="Z29" s="11" t="n">
        <v>7.96</v>
      </c>
      <c r="AA29" s="11" t="n">
        <v>6.65</v>
      </c>
      <c r="AB29" s="11" t="n">
        <v>6.44</v>
      </c>
      <c r="AC29" s="11" t="n">
        <v>4.81</v>
      </c>
    </row>
    <row r="30">
      <c r="A30" s="10" t="inlineStr">
        <is>
          <t>토지</t>
        </is>
      </c>
      <c r="D30" s="11" t="n">
        <v>65.94</v>
      </c>
      <c r="H30" s="11" t="n">
        <v>67.98</v>
      </c>
      <c r="L30" s="11" t="n">
        <v>68.14</v>
      </c>
      <c r="M30" s="11" t="n">
        <v>68.59</v>
      </c>
      <c r="N30" s="11" t="n">
        <v>68.56999999999999</v>
      </c>
      <c r="O30" s="11" t="n">
        <v>68.62</v>
      </c>
      <c r="P30" s="11" t="n">
        <v>68.59999999999999</v>
      </c>
      <c r="Q30" s="11" t="n">
        <v>68.65000000000001</v>
      </c>
      <c r="R30" s="11" t="n">
        <v>68.69</v>
      </c>
      <c r="T30" s="11" t="n">
        <v>68.77</v>
      </c>
      <c r="W30" s="11" t="n">
        <v>63.12</v>
      </c>
      <c r="X30" s="11" t="n">
        <v>64.15000000000001</v>
      </c>
      <c r="Y30" s="11" t="n">
        <v>64.28</v>
      </c>
      <c r="Z30" s="11" t="n">
        <v>65.94</v>
      </c>
      <c r="AA30" s="11" t="n">
        <v>67.98</v>
      </c>
      <c r="AB30" s="11" t="n">
        <v>68.14</v>
      </c>
      <c r="AC30" s="11" t="n">
        <v>68.59999999999999</v>
      </c>
      <c r="AD30" s="11" t="n">
        <v>68.77</v>
      </c>
    </row>
    <row r="31">
      <c r="A31" s="10" t="inlineStr">
        <is>
          <t>건설중인자산</t>
        </is>
      </c>
      <c r="D31" s="11" t="n">
        <v>22.36</v>
      </c>
      <c r="H31" s="11" t="n">
        <v>64.98999999999999</v>
      </c>
      <c r="L31" s="11" t="n">
        <v>157.12</v>
      </c>
      <c r="M31" s="11" t="n">
        <v>196.37</v>
      </c>
      <c r="N31" s="11" t="n">
        <v>193.49</v>
      </c>
      <c r="O31" s="11" t="n">
        <v>229.67</v>
      </c>
      <c r="P31" s="11" t="n">
        <v>221.95</v>
      </c>
      <c r="Q31" s="11" t="n">
        <v>84.98999999999999</v>
      </c>
      <c r="R31" s="11" t="n">
        <v>66.27</v>
      </c>
      <c r="S31" s="11" t="n">
        <v>49.19</v>
      </c>
      <c r="T31" s="11" t="n">
        <v>44.17</v>
      </c>
      <c r="W31" s="11" t="n">
        <v>26.78</v>
      </c>
      <c r="X31" s="11" t="n">
        <v>14.45</v>
      </c>
      <c r="Y31" s="11" t="n">
        <v>11.62</v>
      </c>
      <c r="Z31" s="11" t="n">
        <v>22.36</v>
      </c>
      <c r="AA31" s="11" t="n">
        <v>64.98999999999999</v>
      </c>
      <c r="AB31" s="11" t="n">
        <v>157.12</v>
      </c>
      <c r="AC31" s="11" t="n">
        <v>221.95</v>
      </c>
      <c r="AD31" s="11" t="n">
        <v>44.17</v>
      </c>
    </row>
    <row r="32">
      <c r="A32" s="10" t="inlineStr">
        <is>
          <t>기타</t>
        </is>
      </c>
      <c r="D32" s="11" t="n">
        <v>13.23</v>
      </c>
      <c r="H32" s="11" t="n">
        <v>13.21</v>
      </c>
      <c r="L32" s="11" t="n">
        <v>15.22</v>
      </c>
      <c r="P32" s="11" t="n">
        <v>17.26</v>
      </c>
      <c r="S32" s="11" t="n">
        <v>87.64</v>
      </c>
      <c r="T32" s="11" t="n">
        <v>131.16</v>
      </c>
      <c r="U32" s="11" t="n">
        <v>123.67</v>
      </c>
      <c r="V32" s="11" t="n">
        <v>120.57</v>
      </c>
      <c r="W32" s="11" t="n">
        <v>0.99</v>
      </c>
      <c r="X32" s="11" t="n">
        <v>10.9</v>
      </c>
      <c r="Y32" s="11" t="n">
        <v>11.62</v>
      </c>
      <c r="Z32" s="11" t="n">
        <v>13.23</v>
      </c>
      <c r="AA32" s="11" t="n">
        <v>13.21</v>
      </c>
      <c r="AB32" s="11" t="n">
        <v>15.22</v>
      </c>
      <c r="AC32" s="11" t="n">
        <v>17.26</v>
      </c>
      <c r="AD32" s="11" t="n">
        <v>131.16</v>
      </c>
    </row>
    <row r="33">
      <c r="A33" s="10" t="inlineStr">
        <is>
          <t>감가상각누계액</t>
        </is>
      </c>
      <c r="D33" s="11" t="n">
        <v>-5.26</v>
      </c>
      <c r="H33" s="11" t="n">
        <v>-6.55</v>
      </c>
      <c r="L33" s="11" t="n">
        <v>-8.77</v>
      </c>
      <c r="P33" s="11" t="n">
        <v>-7.81</v>
      </c>
      <c r="W33" s="11" t="n">
        <v>-0.38</v>
      </c>
      <c r="X33" s="11" t="n">
        <v>-1.65</v>
      </c>
      <c r="Y33" s="11" t="n">
        <v>-3.31</v>
      </c>
      <c r="Z33" s="11" t="n">
        <v>-5.26</v>
      </c>
      <c r="AA33" s="11" t="n">
        <v>-6.55</v>
      </c>
      <c r="AB33" s="11" t="n">
        <v>-8.77</v>
      </c>
      <c r="AC33" s="11" t="n">
        <v>-7.81</v>
      </c>
    </row>
    <row r="34">
      <c r="A34" s="10" t="inlineStr">
        <is>
          <t>유형자산 합계</t>
        </is>
      </c>
      <c r="C34" s="11" t="n">
        <v>304.7</v>
      </c>
      <c r="D34" s="11" t="n">
        <v>321.24</v>
      </c>
      <c r="E34" s="11" t="n">
        <v>340.26</v>
      </c>
      <c r="F34" s="11" t="n">
        <v>377.47</v>
      </c>
      <c r="G34" s="11" t="n">
        <v>390.19</v>
      </c>
      <c r="H34" s="11" t="n">
        <v>401</v>
      </c>
      <c r="I34" s="11" t="n">
        <v>408.63</v>
      </c>
      <c r="J34" s="11" t="n">
        <v>453.81</v>
      </c>
      <c r="K34" s="11" t="n">
        <v>484.91</v>
      </c>
      <c r="L34" s="11" t="n">
        <v>526.16</v>
      </c>
      <c r="M34" s="11" t="n">
        <v>568.46</v>
      </c>
      <c r="N34" s="11" t="n">
        <v>631.89</v>
      </c>
      <c r="O34" s="11" t="n">
        <v>686.5599999999999</v>
      </c>
      <c r="P34" s="11" t="n">
        <v>714.73</v>
      </c>
      <c r="Q34" s="11" t="n">
        <v>732.78</v>
      </c>
      <c r="R34" s="11" t="n">
        <v>728.35</v>
      </c>
      <c r="S34" s="11" t="n">
        <v>751.47</v>
      </c>
      <c r="T34" s="11" t="n">
        <v>744.85</v>
      </c>
      <c r="U34" s="11" t="n">
        <v>737.5</v>
      </c>
      <c r="V34" s="11" t="n">
        <v>719.95</v>
      </c>
      <c r="W34" s="11" t="n">
        <v>283.01</v>
      </c>
      <c r="X34" s="11" t="n">
        <v>295.7</v>
      </c>
      <c r="Y34" s="11" t="n">
        <v>282.43</v>
      </c>
      <c r="Z34" s="11" t="n">
        <v>321.24</v>
      </c>
      <c r="AA34" s="11" t="n">
        <v>401</v>
      </c>
      <c r="AB34" s="11" t="n">
        <v>526.16</v>
      </c>
      <c r="AC34" s="11" t="n">
        <v>714.73</v>
      </c>
      <c r="AD34" s="11" t="n">
        <v>744.85</v>
      </c>
    </row>
    <row r="35">
      <c r="A35" s="10" t="inlineStr">
        <is>
          <t>무형자산</t>
        </is>
      </c>
      <c r="C35" s="11" t="n">
        <v>7.64</v>
      </c>
      <c r="D35" s="11" t="n">
        <v>7.63</v>
      </c>
      <c r="E35" s="11" t="n">
        <v>7.9</v>
      </c>
      <c r="F35" s="11" t="n">
        <v>7.95</v>
      </c>
      <c r="G35" s="11" t="n">
        <v>7.78</v>
      </c>
      <c r="H35" s="11" t="n">
        <v>7.37</v>
      </c>
      <c r="I35" s="11" t="n">
        <v>11.77</v>
      </c>
      <c r="J35" s="11" t="n">
        <v>13.73</v>
      </c>
      <c r="K35" s="11" t="n">
        <v>26.98</v>
      </c>
      <c r="L35" s="11" t="n">
        <v>27.69</v>
      </c>
      <c r="M35" s="11" t="n">
        <v>29.38</v>
      </c>
      <c r="N35" s="11" t="n">
        <v>30.47</v>
      </c>
      <c r="O35" s="11" t="n">
        <v>31.3</v>
      </c>
      <c r="P35" s="11" t="n">
        <v>31.52</v>
      </c>
      <c r="Q35" s="11" t="n">
        <v>32.2</v>
      </c>
      <c r="R35" s="11" t="n">
        <v>33.45</v>
      </c>
      <c r="S35" s="11" t="n">
        <v>30.67</v>
      </c>
      <c r="T35" s="11" t="n">
        <v>30.21</v>
      </c>
      <c r="U35" s="11" t="n">
        <v>30.31</v>
      </c>
      <c r="V35" s="11" t="n">
        <v>29.28</v>
      </c>
      <c r="W35" s="11" t="n">
        <v>5.56</v>
      </c>
      <c r="X35" s="11" t="n">
        <v>6.12</v>
      </c>
      <c r="Y35" s="11" t="n">
        <v>7.45</v>
      </c>
      <c r="Z35" s="11" t="n">
        <v>7.63</v>
      </c>
      <c r="AA35" s="11" t="n">
        <v>7.37</v>
      </c>
      <c r="AB35" s="11" t="n">
        <v>27.69</v>
      </c>
      <c r="AC35" s="11" t="n">
        <v>31.52</v>
      </c>
      <c r="AD35" s="11" t="n">
        <v>30.21</v>
      </c>
    </row>
    <row r="36">
      <c r="A36" s="10" t="inlineStr">
        <is>
          <t>투자유가증권</t>
        </is>
      </c>
      <c r="D36" s="11" t="n">
        <v>44.41</v>
      </c>
      <c r="H36" s="11" t="n">
        <v>43.13</v>
      </c>
      <c r="L36" s="11" t="n">
        <v>47.73</v>
      </c>
      <c r="M36" s="11" t="n">
        <v>50.51</v>
      </c>
      <c r="N36" s="11" t="n">
        <v>48.42</v>
      </c>
      <c r="O36" s="11" t="n">
        <v>50.77</v>
      </c>
      <c r="P36" s="11" t="n">
        <v>49.42</v>
      </c>
      <c r="Q36" s="11" t="n">
        <v>49.99</v>
      </c>
      <c r="R36" s="11" t="n">
        <v>53.15</v>
      </c>
      <c r="T36" s="11" t="n">
        <v>59.97</v>
      </c>
      <c r="W36" s="11" t="n">
        <v>51.61</v>
      </c>
      <c r="X36" s="11" t="n">
        <v>41.74</v>
      </c>
      <c r="Y36" s="11" t="n">
        <v>52.63</v>
      </c>
      <c r="Z36" s="11" t="n">
        <v>44.41</v>
      </c>
      <c r="AA36" s="11" t="n">
        <v>43.13</v>
      </c>
      <c r="AB36" s="11" t="n">
        <v>47.73</v>
      </c>
      <c r="AC36" s="11" t="n">
        <v>49.42</v>
      </c>
      <c r="AD36" s="11" t="n">
        <v>59.97</v>
      </c>
    </row>
    <row r="37">
      <c r="A37" s="10" t="inlineStr">
        <is>
          <t>이연법인세자산</t>
        </is>
      </c>
      <c r="D37" s="11" t="n">
        <v>10.17</v>
      </c>
      <c r="H37" s="11" t="n">
        <v>12.32</v>
      </c>
      <c r="L37" s="11" t="n">
        <v>6.4</v>
      </c>
      <c r="M37" s="11" t="n">
        <v>6.65</v>
      </c>
      <c r="N37" s="11" t="n">
        <v>6.66</v>
      </c>
      <c r="O37" s="11" t="n">
        <v>5.78</v>
      </c>
      <c r="P37" s="11" t="n">
        <v>5.6</v>
      </c>
      <c r="Q37" s="11" t="n">
        <v>7.01</v>
      </c>
      <c r="R37" s="11" t="n">
        <v>5.33</v>
      </c>
      <c r="W37" s="11" t="n">
        <v>4.62</v>
      </c>
      <c r="X37" s="11" t="n">
        <v>6.28</v>
      </c>
      <c r="Y37" s="11" t="n">
        <v>2.59</v>
      </c>
      <c r="Z37" s="11" t="n">
        <v>10.17</v>
      </c>
      <c r="AA37" s="11" t="n">
        <v>12.32</v>
      </c>
      <c r="AB37" s="11" t="n">
        <v>6.4</v>
      </c>
      <c r="AC37" s="11" t="n">
        <v>5.6</v>
      </c>
    </row>
    <row r="38">
      <c r="A38" s="10" t="inlineStr">
        <is>
          <t>퇴직급여자산</t>
        </is>
      </c>
      <c r="D38" s="11" t="n">
        <v>0.75</v>
      </c>
      <c r="H38" s="11" t="n">
        <v>0.29</v>
      </c>
      <c r="L38" s="11" t="n">
        <v>2.64</v>
      </c>
      <c r="M38" s="11" t="n">
        <v>2.72</v>
      </c>
      <c r="N38" s="11" t="n">
        <v>2.77</v>
      </c>
      <c r="O38" s="11" t="n">
        <v>2.84</v>
      </c>
      <c r="P38" s="11" t="n">
        <v>2.39</v>
      </c>
      <c r="Q38" s="11" t="n">
        <v>2.47</v>
      </c>
      <c r="R38" s="11" t="n">
        <v>2.55</v>
      </c>
      <c r="W38" s="11" t="n">
        <v>0.47</v>
      </c>
      <c r="X38" s="11" t="n">
        <v>0</v>
      </c>
      <c r="Y38" s="11" t="n">
        <v>0.31</v>
      </c>
      <c r="Z38" s="11" t="n">
        <v>0.75</v>
      </c>
      <c r="AA38" s="11" t="n">
        <v>0.29</v>
      </c>
      <c r="AB38" s="11" t="n">
        <v>2.64</v>
      </c>
      <c r="AC38" s="11" t="n">
        <v>2.39</v>
      </c>
    </row>
    <row r="39">
      <c r="A39" s="10" t="inlineStr">
        <is>
          <t>기타</t>
        </is>
      </c>
      <c r="D39" s="11" t="n">
        <v>33.16</v>
      </c>
      <c r="H39" s="11" t="n">
        <v>29.55</v>
      </c>
      <c r="L39" s="11" t="n">
        <v>34.67</v>
      </c>
      <c r="M39" s="11" t="n">
        <v>32.64</v>
      </c>
      <c r="N39" s="11" t="n">
        <v>33.89</v>
      </c>
      <c r="O39" s="11" t="n">
        <v>34.83</v>
      </c>
      <c r="P39" s="11" t="n">
        <v>43.21</v>
      </c>
      <c r="Q39" s="11" t="n">
        <v>28.55</v>
      </c>
      <c r="R39" s="11" t="n">
        <v>30.33</v>
      </c>
      <c r="S39" s="11" t="n">
        <v>97.05</v>
      </c>
      <c r="T39" s="11" t="n">
        <v>113.71</v>
      </c>
      <c r="U39" s="11" t="n">
        <v>130.16</v>
      </c>
      <c r="V39" s="11" t="n">
        <v>121.33</v>
      </c>
      <c r="W39" s="11" t="n">
        <v>34.1</v>
      </c>
      <c r="X39" s="11" t="n">
        <v>26.86</v>
      </c>
      <c r="Y39" s="11" t="n">
        <v>32.48</v>
      </c>
      <c r="Z39" s="11" t="n">
        <v>33.16</v>
      </c>
      <c r="AA39" s="11" t="n">
        <v>29.55</v>
      </c>
      <c r="AB39" s="11" t="n">
        <v>34.67</v>
      </c>
      <c r="AC39" s="11" t="n">
        <v>43.21</v>
      </c>
      <c r="AD39" s="11" t="n">
        <v>113.71</v>
      </c>
    </row>
    <row r="40">
      <c r="A40" s="10" t="inlineStr">
        <is>
          <t>대손충당금</t>
        </is>
      </c>
      <c r="D40" s="11" t="n">
        <v>-0.29</v>
      </c>
      <c r="H40" s="11" t="n">
        <v>-0.31</v>
      </c>
      <c r="L40" s="11" t="n">
        <v>-0.31</v>
      </c>
      <c r="M40" s="11" t="n">
        <v>-0.33</v>
      </c>
      <c r="N40" s="11" t="n">
        <v>-0.33</v>
      </c>
      <c r="O40" s="11" t="n">
        <v>-0.3</v>
      </c>
      <c r="P40" s="11" t="n">
        <v>-0.3</v>
      </c>
      <c r="Q40" s="11" t="n">
        <v>-0.3</v>
      </c>
      <c r="R40" s="11" t="n">
        <v>-0.3</v>
      </c>
      <c r="S40" s="11" t="n">
        <v>-0.3</v>
      </c>
      <c r="T40" s="11" t="n">
        <v>-0.3</v>
      </c>
      <c r="U40" s="11" t="n">
        <v>-1.51</v>
      </c>
      <c r="V40" s="11" t="n">
        <v>-0.3</v>
      </c>
      <c r="W40" s="11" t="n">
        <v>-0.29</v>
      </c>
      <c r="X40" s="11" t="n">
        <v>-0.29</v>
      </c>
      <c r="Y40" s="11" t="n">
        <v>-0.29</v>
      </c>
      <c r="Z40" s="11" t="n">
        <v>-0.29</v>
      </c>
      <c r="AA40" s="11" t="n">
        <v>-0.31</v>
      </c>
      <c r="AB40" s="11" t="n">
        <v>-0.31</v>
      </c>
      <c r="AC40" s="11" t="n">
        <v>-0.3</v>
      </c>
      <c r="AD40" s="11" t="n">
        <v>-0.3</v>
      </c>
    </row>
    <row r="41">
      <c r="A41" s="10" t="inlineStr">
        <is>
          <t>투자 및 기타자산 합계</t>
        </is>
      </c>
      <c r="C41" s="11" t="n">
        <v>84.75</v>
      </c>
      <c r="D41" s="11" t="n">
        <v>88.2</v>
      </c>
      <c r="E41" s="11" t="n">
        <v>85.73</v>
      </c>
      <c r="F41" s="11" t="n">
        <v>89.11</v>
      </c>
      <c r="G41" s="11" t="n">
        <v>91.31</v>
      </c>
      <c r="H41" s="11" t="n">
        <v>84.98999999999999</v>
      </c>
      <c r="I41" s="11" t="n">
        <v>91.78</v>
      </c>
      <c r="J41" s="11" t="n">
        <v>94.20999999999999</v>
      </c>
      <c r="K41" s="11" t="n">
        <v>93.53</v>
      </c>
      <c r="L41" s="11" t="n">
        <v>91.14</v>
      </c>
      <c r="M41" s="11" t="n">
        <v>92.2</v>
      </c>
      <c r="N41" s="11" t="n">
        <v>91.42</v>
      </c>
      <c r="O41" s="11" t="n">
        <v>93.93000000000001</v>
      </c>
      <c r="P41" s="11" t="n">
        <v>92.34</v>
      </c>
      <c r="Q41" s="11" t="n">
        <v>87.72</v>
      </c>
      <c r="R41" s="11" t="n">
        <v>91.09</v>
      </c>
      <c r="S41" s="11" t="n">
        <v>96.75</v>
      </c>
      <c r="T41" s="11" t="n">
        <v>113.41</v>
      </c>
      <c r="U41" s="11" t="n">
        <v>128.65</v>
      </c>
      <c r="V41" s="11" t="n">
        <v>121.03</v>
      </c>
      <c r="W41" s="11" t="n">
        <v>90.52</v>
      </c>
      <c r="X41" s="11" t="n">
        <v>74.59</v>
      </c>
      <c r="Y41" s="11" t="n">
        <v>87.72</v>
      </c>
      <c r="Z41" s="11" t="n">
        <v>88.2</v>
      </c>
      <c r="AA41" s="11" t="n">
        <v>84.98999999999999</v>
      </c>
      <c r="AB41" s="11" t="n">
        <v>91.14</v>
      </c>
      <c r="AC41" s="11" t="n">
        <v>92.34</v>
      </c>
      <c r="AD41" s="11" t="n">
        <v>113.41</v>
      </c>
    </row>
    <row r="42">
      <c r="A42" s="10" t="inlineStr">
        <is>
          <t>비유동자산 합계</t>
        </is>
      </c>
      <c r="C42" s="11" t="n">
        <v>397.1</v>
      </c>
      <c r="D42" s="11" t="n">
        <v>417.08</v>
      </c>
      <c r="E42" s="11" t="n">
        <v>433.89</v>
      </c>
      <c r="F42" s="11" t="n">
        <v>474.53</v>
      </c>
      <c r="G42" s="11" t="n">
        <v>489.28</v>
      </c>
      <c r="H42" s="11" t="n">
        <v>493.37</v>
      </c>
      <c r="I42" s="11" t="n">
        <v>512.1900000000001</v>
      </c>
      <c r="J42" s="11" t="n">
        <v>561.76</v>
      </c>
      <c r="K42" s="11" t="n">
        <v>605.4299999999999</v>
      </c>
      <c r="L42" s="11" t="n">
        <v>645.01</v>
      </c>
      <c r="M42" s="11" t="n">
        <v>690.05</v>
      </c>
      <c r="N42" s="11" t="n">
        <v>753.79</v>
      </c>
      <c r="O42" s="11" t="n">
        <v>811.8</v>
      </c>
      <c r="P42" s="11" t="n">
        <v>838.6</v>
      </c>
      <c r="Q42" s="11" t="n">
        <v>852.7</v>
      </c>
      <c r="R42" s="11" t="n">
        <v>852.9</v>
      </c>
      <c r="S42" s="11" t="n">
        <v>878.89</v>
      </c>
      <c r="T42" s="11" t="n">
        <v>888.48</v>
      </c>
      <c r="U42" s="11" t="n">
        <v>896.47</v>
      </c>
      <c r="V42" s="11" t="n">
        <v>870.27</v>
      </c>
      <c r="W42" s="11" t="n">
        <v>379.1</v>
      </c>
      <c r="X42" s="11" t="n">
        <v>376.43</v>
      </c>
      <c r="Y42" s="11" t="n">
        <v>377.62</v>
      </c>
      <c r="Z42" s="11" t="n">
        <v>417.08</v>
      </c>
      <c r="AA42" s="11" t="n">
        <v>493.37</v>
      </c>
      <c r="AB42" s="11" t="n">
        <v>645.01</v>
      </c>
      <c r="AC42" s="11" t="n">
        <v>838.6</v>
      </c>
      <c r="AD42" s="11" t="n">
        <v>888.48</v>
      </c>
    </row>
    <row r="43">
      <c r="A43" s="10" t="inlineStr">
        <is>
          <t>자산 합계</t>
        </is>
      </c>
      <c r="C43" s="11" t="n">
        <v>896.24</v>
      </c>
      <c r="D43" s="11" t="n">
        <v>949.89</v>
      </c>
      <c r="E43" s="11" t="n">
        <v>991.79</v>
      </c>
      <c r="F43" s="11" t="n">
        <v>1095.23</v>
      </c>
      <c r="G43" s="11" t="n">
        <v>1098.83</v>
      </c>
      <c r="H43" s="11" t="n">
        <v>1127.68</v>
      </c>
      <c r="I43" s="11" t="n">
        <v>1124.93</v>
      </c>
      <c r="J43" s="11" t="n">
        <v>1237.01</v>
      </c>
      <c r="K43" s="11" t="n">
        <v>1244.83</v>
      </c>
      <c r="L43" s="11" t="n">
        <v>1295.66</v>
      </c>
      <c r="M43" s="11" t="n">
        <v>1330.62</v>
      </c>
      <c r="N43" s="11" t="n">
        <v>1416.28</v>
      </c>
      <c r="O43" s="11" t="n">
        <v>1431.21</v>
      </c>
      <c r="P43" s="11" t="n">
        <v>1413.65</v>
      </c>
      <c r="Q43" s="11" t="n">
        <v>1417.4</v>
      </c>
      <c r="R43" s="11" t="n">
        <v>1440.76</v>
      </c>
      <c r="S43" s="11" t="n">
        <v>1485.28</v>
      </c>
      <c r="T43" s="11" t="n">
        <v>1515.5</v>
      </c>
      <c r="U43" s="11" t="n">
        <v>1511.84</v>
      </c>
      <c r="V43" s="11" t="n">
        <v>1509.3</v>
      </c>
      <c r="W43" s="11" t="n">
        <v>773.55</v>
      </c>
      <c r="X43" s="11" t="n">
        <v>758.58</v>
      </c>
      <c r="Y43" s="11" t="n">
        <v>813.4</v>
      </c>
      <c r="Z43" s="11" t="n">
        <v>949.89</v>
      </c>
      <c r="AA43" s="11" t="n">
        <v>1127.68</v>
      </c>
      <c r="AB43" s="11" t="n">
        <v>1295.66</v>
      </c>
      <c r="AC43" s="11" t="n">
        <v>1413.65</v>
      </c>
      <c r="AD43" s="11" t="n">
        <v>1515.5</v>
      </c>
    </row>
    <row r="44">
      <c r="A44" s="10" t="inlineStr">
        <is>
          <t>지급어음·매입채무</t>
        </is>
      </c>
      <c r="C44" s="11" t="n">
        <v>55.44</v>
      </c>
      <c r="D44" s="11" t="n">
        <v>58.2</v>
      </c>
      <c r="E44" s="11" t="n">
        <v>56.29</v>
      </c>
      <c r="F44" s="11" t="n">
        <v>50.54</v>
      </c>
      <c r="G44" s="11" t="n">
        <v>67.73999999999999</v>
      </c>
      <c r="H44" s="11" t="n">
        <v>56.23</v>
      </c>
      <c r="I44" s="11" t="n">
        <v>46.68</v>
      </c>
      <c r="J44" s="11" t="n">
        <v>44.02</v>
      </c>
      <c r="K44" s="11" t="n">
        <v>38.29</v>
      </c>
      <c r="L44" s="11" t="n">
        <v>44.14</v>
      </c>
      <c r="M44" s="11" t="n">
        <v>39.52</v>
      </c>
      <c r="N44" s="11" t="n">
        <v>43.87</v>
      </c>
      <c r="O44" s="11" t="n">
        <v>39.79</v>
      </c>
      <c r="P44" s="11" t="n">
        <v>39.35</v>
      </c>
      <c r="Q44" s="11" t="n">
        <v>38.92</v>
      </c>
      <c r="R44" s="11" t="n">
        <v>40.47</v>
      </c>
      <c r="S44" s="11" t="n">
        <v>46.49</v>
      </c>
      <c r="T44" s="11" t="n">
        <v>32.33</v>
      </c>
      <c r="U44" s="11" t="n">
        <v>38.61</v>
      </c>
      <c r="V44" s="11" t="n">
        <v>44.68</v>
      </c>
      <c r="W44" s="11" t="n">
        <v>48.39</v>
      </c>
      <c r="X44" s="11" t="n">
        <v>43.52</v>
      </c>
      <c r="Y44" s="11" t="n">
        <v>49.57</v>
      </c>
      <c r="Z44" s="11" t="n">
        <v>58.2</v>
      </c>
      <c r="AA44" s="11" t="n">
        <v>56.23</v>
      </c>
      <c r="AB44" s="11" t="n">
        <v>44.14</v>
      </c>
      <c r="AC44" s="11" t="n">
        <v>39.35</v>
      </c>
      <c r="AD44" s="11" t="n">
        <v>32.33</v>
      </c>
    </row>
    <row r="45">
      <c r="A45" s="10" t="inlineStr">
        <is>
          <t>전자기록채무</t>
        </is>
      </c>
      <c r="D45" s="11" t="n">
        <v>10.84</v>
      </c>
      <c r="H45" s="11" t="n">
        <v>12.62</v>
      </c>
      <c r="L45" s="11" t="n">
        <v>7.84</v>
      </c>
      <c r="M45" s="11" t="n">
        <v>8.43</v>
      </c>
      <c r="N45" s="11" t="n">
        <v>10.55</v>
      </c>
      <c r="O45" s="11" t="n">
        <v>11.59</v>
      </c>
      <c r="P45" s="11" t="n">
        <v>8.23</v>
      </c>
      <c r="Q45" s="11" t="n">
        <v>9.359999999999999</v>
      </c>
      <c r="R45" s="11" t="n">
        <v>12.33</v>
      </c>
      <c r="W45" s="11" t="n">
        <v>9.02</v>
      </c>
      <c r="X45" s="11" t="n">
        <v>6.97</v>
      </c>
      <c r="Y45" s="11" t="n">
        <v>8.279999999999999</v>
      </c>
      <c r="Z45" s="11" t="n">
        <v>10.84</v>
      </c>
      <c r="AA45" s="11" t="n">
        <v>12.62</v>
      </c>
      <c r="AB45" s="11" t="n">
        <v>7.84</v>
      </c>
      <c r="AC45" s="11" t="n">
        <v>8.23</v>
      </c>
    </row>
    <row r="46">
      <c r="A46" s="10" t="inlineStr">
        <is>
          <t>설비구입 지급어음</t>
        </is>
      </c>
      <c r="D46" s="11" t="n">
        <v>0.07000000000000001</v>
      </c>
      <c r="H46" s="11" t="n">
        <v>0.5</v>
      </c>
      <c r="L46" s="11" t="n">
        <v>2.66</v>
      </c>
      <c r="P46" s="11" t="n">
        <v>2.1</v>
      </c>
      <c r="W46" s="11" t="n">
        <v>0.93</v>
      </c>
      <c r="X46" s="11" t="n">
        <v>1.13</v>
      </c>
      <c r="Y46" s="11" t="n">
        <v>0.04</v>
      </c>
      <c r="Z46" s="11" t="n">
        <v>0.07000000000000001</v>
      </c>
      <c r="AA46" s="11" t="n">
        <v>0.5</v>
      </c>
      <c r="AB46" s="11" t="n">
        <v>2.66</v>
      </c>
      <c r="AC46" s="11" t="n">
        <v>2.1</v>
      </c>
    </row>
    <row r="47">
      <c r="A47" s="10" t="inlineStr">
        <is>
          <t>설비구입 지급어음</t>
        </is>
      </c>
      <c r="L47" s="11" t="n">
        <v>2.66</v>
      </c>
      <c r="M47" s="11" t="n">
        <v>1.64</v>
      </c>
      <c r="O47" s="11" t="n">
        <v>1.97</v>
      </c>
      <c r="P47" s="11" t="n">
        <v>2.1</v>
      </c>
      <c r="Q47" s="11" t="n">
        <v>0.6</v>
      </c>
      <c r="AB47" s="11" t="n">
        <v>2.66</v>
      </c>
      <c r="AC47" s="11" t="n">
        <v>2.1</v>
      </c>
    </row>
    <row r="48">
      <c r="A48" s="10" t="inlineStr">
        <is>
          <t>설비구입 지급어음</t>
        </is>
      </c>
      <c r="L48" s="11" t="n">
        <v>2.66</v>
      </c>
      <c r="N48" s="11" t="n">
        <v>1.51</v>
      </c>
      <c r="P48" s="11" t="n">
        <v>2.1</v>
      </c>
      <c r="R48" s="11" t="n">
        <v>0.45</v>
      </c>
      <c r="AB48" s="11" t="n">
        <v>2.66</v>
      </c>
      <c r="AC48" s="11" t="n">
        <v>2.1</v>
      </c>
    </row>
    <row r="49">
      <c r="A49" s="10" t="inlineStr">
        <is>
          <t>단기차입금</t>
        </is>
      </c>
      <c r="C49" s="11" t="n">
        <v>34.5</v>
      </c>
      <c r="D49" s="11" t="n">
        <v>33.38</v>
      </c>
      <c r="E49" s="11" t="n">
        <v>40.1</v>
      </c>
      <c r="F49" s="11" t="n">
        <v>40.65</v>
      </c>
      <c r="G49" s="11" t="n">
        <v>2.73</v>
      </c>
      <c r="H49" s="11" t="n">
        <v>2.28</v>
      </c>
      <c r="I49" s="11" t="n">
        <v>3.3</v>
      </c>
      <c r="J49" s="11" t="n">
        <v>2.81</v>
      </c>
      <c r="K49" s="11" t="n">
        <v>3.61</v>
      </c>
      <c r="L49" s="11" t="n">
        <v>6.74</v>
      </c>
      <c r="M49" s="11" t="n">
        <v>4.75</v>
      </c>
      <c r="N49" s="11" t="n">
        <v>11.19</v>
      </c>
      <c r="O49" s="11" t="n">
        <v>20.82</v>
      </c>
      <c r="P49" s="11" t="n">
        <v>33.18</v>
      </c>
      <c r="Q49" s="11" t="n">
        <v>53.04</v>
      </c>
      <c r="R49" s="11" t="n">
        <v>70.91</v>
      </c>
      <c r="S49" s="11" t="n">
        <v>82.51000000000001</v>
      </c>
      <c r="T49" s="11" t="n">
        <v>98.81</v>
      </c>
      <c r="U49" s="11" t="n">
        <v>87.98999999999999</v>
      </c>
      <c r="V49" s="11" t="n">
        <v>75.08</v>
      </c>
      <c r="W49" s="11" t="n">
        <v>2.21</v>
      </c>
      <c r="X49" s="11" t="n">
        <v>12.27</v>
      </c>
      <c r="Y49" s="11" t="n">
        <v>14.53</v>
      </c>
      <c r="Z49" s="11" t="n">
        <v>33.38</v>
      </c>
      <c r="AA49" s="11" t="n">
        <v>2.28</v>
      </c>
      <c r="AB49" s="11" t="n">
        <v>6.74</v>
      </c>
      <c r="AC49" s="11" t="n">
        <v>33.18</v>
      </c>
      <c r="AD49" s="11" t="n">
        <v>98.81</v>
      </c>
    </row>
    <row r="50">
      <c r="A50" s="10" t="inlineStr">
        <is>
          <t>미지급금</t>
        </is>
      </c>
      <c r="D50" s="11" t="n">
        <v>30.87</v>
      </c>
      <c r="H50" s="11" t="n">
        <v>32.32</v>
      </c>
      <c r="L50" s="11" t="n">
        <v>45.25</v>
      </c>
      <c r="M50" s="11" t="n">
        <v>42.68</v>
      </c>
      <c r="N50" s="11" t="n">
        <v>27.3</v>
      </c>
      <c r="O50" s="11" t="n">
        <v>32.34</v>
      </c>
      <c r="P50" s="11" t="n">
        <v>29.4</v>
      </c>
      <c r="Q50" s="11" t="n">
        <v>22.62</v>
      </c>
      <c r="R50" s="11" t="n">
        <v>17.08</v>
      </c>
      <c r="W50" s="11" t="n">
        <v>32.57</v>
      </c>
      <c r="X50" s="11" t="n">
        <v>9.08</v>
      </c>
      <c r="Y50" s="11" t="n">
        <v>9.06</v>
      </c>
      <c r="Z50" s="11" t="n">
        <v>30.87</v>
      </c>
      <c r="AA50" s="11" t="n">
        <v>32.32</v>
      </c>
      <c r="AB50" s="11" t="n">
        <v>45.25</v>
      </c>
      <c r="AC50" s="11" t="n">
        <v>29.4</v>
      </c>
    </row>
    <row r="51">
      <c r="A51" s="10" t="inlineStr">
        <is>
          <t>미지급법인세</t>
        </is>
      </c>
      <c r="D51" s="11" t="n">
        <v>20.61</v>
      </c>
      <c r="H51" s="11" t="n">
        <v>14.73</v>
      </c>
      <c r="L51" s="11" t="n">
        <v>1.38</v>
      </c>
      <c r="M51" s="11" t="n">
        <v>1.86</v>
      </c>
      <c r="N51" s="11" t="n">
        <v>3.56</v>
      </c>
      <c r="O51" s="11" t="n">
        <v>1.64</v>
      </c>
      <c r="P51" s="11" t="n">
        <v>3.02</v>
      </c>
      <c r="Q51" s="11" t="n">
        <v>2.87</v>
      </c>
      <c r="R51" s="11" t="n">
        <v>7.18</v>
      </c>
      <c r="W51" s="11" t="n">
        <v>2.79</v>
      </c>
      <c r="X51" s="11" t="n">
        <v>2.24</v>
      </c>
      <c r="Y51" s="11" t="n">
        <v>4.51</v>
      </c>
      <c r="Z51" s="11" t="n">
        <v>20.61</v>
      </c>
      <c r="AA51" s="11" t="n">
        <v>14.73</v>
      </c>
      <c r="AB51" s="11" t="n">
        <v>1.38</v>
      </c>
      <c r="AC51" s="11" t="n">
        <v>3.02</v>
      </c>
    </row>
    <row r="52">
      <c r="A52" s="10" t="inlineStr">
        <is>
          <t>미지급비용</t>
        </is>
      </c>
      <c r="D52" s="11" t="n">
        <v>19.39</v>
      </c>
      <c r="H52" s="11" t="n">
        <v>16.87</v>
      </c>
      <c r="L52" s="11" t="n">
        <v>17.75</v>
      </c>
      <c r="M52" s="11" t="n">
        <v>20.74</v>
      </c>
      <c r="N52" s="11" t="n">
        <v>18.43</v>
      </c>
      <c r="O52" s="11" t="n">
        <v>19.41</v>
      </c>
      <c r="P52" s="11" t="n">
        <v>16.84</v>
      </c>
      <c r="Q52" s="11" t="n">
        <v>18.58</v>
      </c>
      <c r="R52" s="11" t="n">
        <v>19.28</v>
      </c>
      <c r="W52" s="11" t="n">
        <v>12.99</v>
      </c>
      <c r="X52" s="11" t="n">
        <v>12.55</v>
      </c>
      <c r="Y52" s="11" t="n">
        <v>13.8</v>
      </c>
      <c r="Z52" s="11" t="n">
        <v>19.39</v>
      </c>
      <c r="AA52" s="11" t="n">
        <v>16.87</v>
      </c>
      <c r="AB52" s="11" t="n">
        <v>17.75</v>
      </c>
      <c r="AC52" s="11" t="n">
        <v>16.84</v>
      </c>
    </row>
    <row r="53">
      <c r="A53" s="10" t="inlineStr">
        <is>
          <t>상여충당금</t>
        </is>
      </c>
      <c r="D53" s="11" t="n">
        <v>17.98</v>
      </c>
      <c r="H53" s="11" t="n">
        <v>21.56</v>
      </c>
      <c r="L53" s="11" t="n">
        <v>18.45</v>
      </c>
      <c r="M53" s="11" t="n">
        <v>11.12</v>
      </c>
      <c r="N53" s="11" t="n">
        <v>20.24</v>
      </c>
      <c r="O53" s="11" t="n">
        <v>11.43</v>
      </c>
      <c r="P53" s="11" t="n">
        <v>16.39</v>
      </c>
      <c r="Q53" s="11" t="n">
        <v>9.359999999999999</v>
      </c>
      <c r="R53" s="11" t="n">
        <v>19.51</v>
      </c>
      <c r="S53" s="11" t="n">
        <v>11.92</v>
      </c>
      <c r="T53" s="11" t="n">
        <v>19.54</v>
      </c>
      <c r="U53" s="11" t="n">
        <v>10.76</v>
      </c>
      <c r="V53" s="11" t="n">
        <v>19.57</v>
      </c>
      <c r="W53" s="11" t="n">
        <v>15.57</v>
      </c>
      <c r="X53" s="11" t="n">
        <v>13.34</v>
      </c>
      <c r="Y53" s="11" t="n">
        <v>14</v>
      </c>
      <c r="Z53" s="11" t="n">
        <v>17.98</v>
      </c>
      <c r="AA53" s="11" t="n">
        <v>21.56</v>
      </c>
      <c r="AB53" s="11" t="n">
        <v>18.45</v>
      </c>
      <c r="AC53" s="11" t="n">
        <v>16.39</v>
      </c>
      <c r="AD53" s="11" t="n">
        <v>19.54</v>
      </c>
    </row>
    <row r="54">
      <c r="A54" s="10" t="inlineStr">
        <is>
          <t>수주손실 충당금</t>
        </is>
      </c>
      <c r="D54" s="11" t="n">
        <v>4.12</v>
      </c>
      <c r="H54" s="11" t="n">
        <v>5.53</v>
      </c>
      <c r="L54" s="11" t="n">
        <v>3.55</v>
      </c>
      <c r="M54" s="11" t="n">
        <v>1.9</v>
      </c>
      <c r="N54" s="11" t="n">
        <v>1.51</v>
      </c>
      <c r="O54" s="11" t="n">
        <v>1.86</v>
      </c>
      <c r="P54" s="11" t="n">
        <v>1.93</v>
      </c>
      <c r="Q54" s="11" t="n">
        <v>1.59</v>
      </c>
      <c r="R54" s="11" t="n">
        <v>1.52</v>
      </c>
      <c r="T54" s="11" t="n">
        <v>2.59</v>
      </c>
      <c r="U54" s="11" t="n">
        <v>2.21</v>
      </c>
      <c r="Y54" s="11" t="n">
        <v>2.2</v>
      </c>
      <c r="Z54" s="11" t="n">
        <v>4.12</v>
      </c>
      <c r="AA54" s="11" t="n">
        <v>5.53</v>
      </c>
      <c r="AB54" s="11" t="n">
        <v>3.55</v>
      </c>
      <c r="AC54" s="11" t="n">
        <v>1.93</v>
      </c>
      <c r="AD54" s="11" t="n">
        <v>2.59</v>
      </c>
    </row>
    <row r="55">
      <c r="A55" s="10" t="inlineStr">
        <is>
          <t>기타</t>
        </is>
      </c>
      <c r="C55" s="11" t="n">
        <v>80.28</v>
      </c>
      <c r="D55" s="11" t="n">
        <v>9.029999999999999</v>
      </c>
      <c r="E55" s="11" t="n">
        <v>101.09</v>
      </c>
      <c r="F55" s="11" t="n">
        <v>135.66</v>
      </c>
      <c r="G55" s="11" t="n">
        <v>106.67</v>
      </c>
      <c r="H55" s="11" t="n">
        <v>12.1</v>
      </c>
      <c r="I55" s="11" t="n">
        <v>103.22</v>
      </c>
      <c r="J55" s="11" t="n">
        <v>132.82</v>
      </c>
      <c r="K55" s="11" t="n">
        <v>91.86</v>
      </c>
      <c r="L55" s="11" t="n">
        <v>9.119999999999999</v>
      </c>
      <c r="M55" s="11" t="n">
        <v>12.28</v>
      </c>
      <c r="N55" s="11" t="n">
        <v>7.99</v>
      </c>
      <c r="O55" s="11" t="n">
        <v>11.45</v>
      </c>
      <c r="P55" s="11" t="n">
        <v>68.48</v>
      </c>
      <c r="Q55" s="11" t="n">
        <v>12.75</v>
      </c>
      <c r="R55" s="11" t="n">
        <v>36</v>
      </c>
      <c r="S55" s="11" t="n">
        <v>95.40000000000001</v>
      </c>
      <c r="T55" s="11" t="n">
        <v>97.73</v>
      </c>
      <c r="U55" s="11" t="n">
        <v>95.84</v>
      </c>
      <c r="V55" s="11" t="n">
        <v>71.42</v>
      </c>
      <c r="W55" s="11" t="n">
        <v>11.32</v>
      </c>
      <c r="X55" s="11" t="n">
        <v>5.09</v>
      </c>
      <c r="Y55" s="11" t="n">
        <v>8.18</v>
      </c>
      <c r="Z55" s="11" t="n">
        <v>9.029999999999999</v>
      </c>
      <c r="AA55" s="11" t="n">
        <v>12.1</v>
      </c>
      <c r="AB55" s="11" t="n">
        <v>9.119999999999999</v>
      </c>
      <c r="AC55" s="11" t="n">
        <v>68.48</v>
      </c>
      <c r="AD55" s="11" t="n">
        <v>97.73</v>
      </c>
    </row>
    <row r="56">
      <c r="A56" s="10" t="inlineStr">
        <is>
          <t>유동부채 합계</t>
        </is>
      </c>
      <c r="C56" s="11" t="n">
        <v>170.23</v>
      </c>
      <c r="D56" s="11" t="n">
        <v>204.54</v>
      </c>
      <c r="E56" s="11" t="n">
        <v>197.5</v>
      </c>
      <c r="F56" s="11" t="n">
        <v>226.85</v>
      </c>
      <c r="G56" s="11" t="n">
        <v>177.15</v>
      </c>
      <c r="H56" s="11" t="n">
        <v>174.8</v>
      </c>
      <c r="I56" s="11" t="n">
        <v>153.21</v>
      </c>
      <c r="J56" s="11" t="n">
        <v>179.66</v>
      </c>
      <c r="K56" s="11" t="n">
        <v>133.77</v>
      </c>
      <c r="L56" s="11" t="n">
        <v>156.92</v>
      </c>
      <c r="M56" s="11" t="n">
        <v>144.98</v>
      </c>
      <c r="N56" s="11" t="n">
        <v>146.18</v>
      </c>
      <c r="O56" s="11" t="n">
        <v>152.34</v>
      </c>
      <c r="P56" s="11" t="n">
        <v>159.35</v>
      </c>
      <c r="Q56" s="11" t="n">
        <v>169.75</v>
      </c>
      <c r="R56" s="11" t="n">
        <v>224.77</v>
      </c>
      <c r="S56" s="11" t="n">
        <v>236.34</v>
      </c>
      <c r="T56" s="11" t="n">
        <v>248.43</v>
      </c>
      <c r="U56" s="11" t="n">
        <v>235.43</v>
      </c>
      <c r="V56" s="11" t="n">
        <v>210.78</v>
      </c>
      <c r="W56" s="11" t="n">
        <v>135.82</v>
      </c>
      <c r="X56" s="11" t="n">
        <v>106.23</v>
      </c>
      <c r="Y56" s="11" t="n">
        <v>124.21</v>
      </c>
      <c r="Z56" s="11" t="n">
        <v>204.54</v>
      </c>
      <c r="AA56" s="11" t="n">
        <v>174.8</v>
      </c>
      <c r="AB56" s="11" t="n">
        <v>156.92</v>
      </c>
      <c r="AC56" s="11" t="n">
        <v>159.35</v>
      </c>
      <c r="AD56" s="11" t="n">
        <v>248.43</v>
      </c>
    </row>
    <row r="57">
      <c r="A57" s="10" t="inlineStr">
        <is>
          <t>장기차입금</t>
        </is>
      </c>
      <c r="C57" s="11" t="n">
        <v>32.36</v>
      </c>
      <c r="D57" s="11" t="n">
        <v>32.32</v>
      </c>
      <c r="E57" s="11" t="n">
        <v>49.19</v>
      </c>
      <c r="F57" s="11" t="n">
        <v>96.11</v>
      </c>
      <c r="G57" s="11" t="n">
        <v>154.15</v>
      </c>
      <c r="H57" s="11" t="n">
        <v>167.54</v>
      </c>
      <c r="I57" s="11" t="n">
        <v>167.42</v>
      </c>
      <c r="J57" s="11" t="n">
        <v>240.54</v>
      </c>
      <c r="K57" s="11" t="n">
        <v>301.02</v>
      </c>
      <c r="L57" s="11" t="n">
        <v>305.35</v>
      </c>
      <c r="M57" s="11" t="n">
        <v>331.15</v>
      </c>
      <c r="N57" s="11" t="n">
        <v>434.79</v>
      </c>
      <c r="O57" s="11" t="n">
        <v>424.22</v>
      </c>
      <c r="P57" s="11" t="n">
        <v>411.81</v>
      </c>
      <c r="Q57" s="11" t="n">
        <v>407.61</v>
      </c>
      <c r="R57" s="11" t="n">
        <v>388.12</v>
      </c>
      <c r="S57" s="11" t="n">
        <v>366.56</v>
      </c>
      <c r="T57" s="11" t="n">
        <v>355.32</v>
      </c>
      <c r="U57" s="11" t="n">
        <v>344.1</v>
      </c>
      <c r="V57" s="11" t="n">
        <v>330.73</v>
      </c>
      <c r="W57" s="11" t="n">
        <v>2.17</v>
      </c>
      <c r="X57" s="11" t="n">
        <v>26.33</v>
      </c>
      <c r="Y57" s="11" t="n">
        <v>29.51</v>
      </c>
      <c r="Z57" s="11" t="n">
        <v>32.32</v>
      </c>
      <c r="AA57" s="11" t="n">
        <v>167.54</v>
      </c>
      <c r="AB57" s="11" t="n">
        <v>305.35</v>
      </c>
      <c r="AC57" s="11" t="n">
        <v>411.81</v>
      </c>
      <c r="AD57" s="11" t="n">
        <v>355.32</v>
      </c>
    </row>
    <row r="58">
      <c r="A58" s="10" t="inlineStr">
        <is>
          <t>이연법인세부채</t>
        </is>
      </c>
      <c r="D58" s="11" t="n">
        <v>7.27</v>
      </c>
      <c r="H58" s="11" t="n">
        <v>7.12</v>
      </c>
      <c r="L58" s="11" t="n">
        <v>9.52</v>
      </c>
      <c r="M58" s="11" t="n">
        <v>8.699999999999999</v>
      </c>
      <c r="N58" s="11" t="n">
        <v>8.529999999999999</v>
      </c>
      <c r="O58" s="11" t="n">
        <v>8.56</v>
      </c>
      <c r="P58" s="11" t="n">
        <v>9.550000000000001</v>
      </c>
      <c r="Q58" s="11" t="n">
        <v>9.51</v>
      </c>
      <c r="R58" s="11" t="n">
        <v>9.119999999999999</v>
      </c>
      <c r="T58" s="11" t="n">
        <v>15.62</v>
      </c>
      <c r="W58" s="11" t="n">
        <v>6.25</v>
      </c>
      <c r="X58" s="11" t="n">
        <v>5.89</v>
      </c>
      <c r="Y58" s="11" t="n">
        <v>8.199999999999999</v>
      </c>
      <c r="Z58" s="11" t="n">
        <v>7.27</v>
      </c>
      <c r="AA58" s="11" t="n">
        <v>7.12</v>
      </c>
      <c r="AB58" s="11" t="n">
        <v>9.52</v>
      </c>
      <c r="AC58" s="11" t="n">
        <v>9.550000000000001</v>
      </c>
      <c r="AD58" s="11" t="n">
        <v>15.62</v>
      </c>
    </row>
    <row r="59">
      <c r="A59" s="10" t="inlineStr">
        <is>
          <t>자산복구부채</t>
        </is>
      </c>
      <c r="D59" s="11" t="n">
        <v>0.36</v>
      </c>
      <c r="H59" s="11" t="n">
        <v>0.4</v>
      </c>
      <c r="L59" s="11" t="n">
        <v>0.45</v>
      </c>
      <c r="M59" s="11" t="n">
        <v>0.48</v>
      </c>
      <c r="N59" s="11" t="n">
        <v>0.42</v>
      </c>
      <c r="O59" s="11" t="n">
        <v>0.47</v>
      </c>
      <c r="P59" s="11" t="n">
        <v>0.45</v>
      </c>
      <c r="Q59" s="11" t="n">
        <v>0.43</v>
      </c>
      <c r="R59" s="11" t="n">
        <v>0.44</v>
      </c>
      <c r="W59" s="11" t="n">
        <v>0.04</v>
      </c>
      <c r="X59" s="11" t="n">
        <v>0.32</v>
      </c>
      <c r="Y59" s="11" t="n">
        <v>0.33</v>
      </c>
      <c r="Z59" s="11" t="n">
        <v>0.36</v>
      </c>
      <c r="AA59" s="11" t="n">
        <v>0.4</v>
      </c>
      <c r="AB59" s="11" t="n">
        <v>0.45</v>
      </c>
      <c r="AC59" s="11" t="n">
        <v>0.45</v>
      </c>
    </row>
    <row r="60">
      <c r="A60" s="10" t="inlineStr">
        <is>
          <t>퇴직급여부채</t>
        </is>
      </c>
      <c r="C60" s="11" t="n">
        <v>19.54</v>
      </c>
      <c r="D60" s="11" t="n">
        <v>19.04</v>
      </c>
      <c r="E60" s="11" t="n">
        <v>18.84</v>
      </c>
      <c r="F60" s="11" t="n">
        <v>18.53</v>
      </c>
      <c r="G60" s="11" t="n">
        <v>18.35</v>
      </c>
      <c r="H60" s="11" t="n">
        <v>19.21</v>
      </c>
      <c r="I60" s="11" t="n">
        <v>19.5</v>
      </c>
      <c r="J60" s="11" t="n">
        <v>19.77</v>
      </c>
      <c r="K60" s="11" t="n">
        <v>20.14</v>
      </c>
      <c r="L60" s="11" t="n">
        <v>9.130000000000001</v>
      </c>
      <c r="M60" s="11" t="n">
        <v>9.49</v>
      </c>
      <c r="N60" s="11" t="n">
        <v>9.66</v>
      </c>
      <c r="O60" s="11" t="n">
        <v>9.67</v>
      </c>
      <c r="P60" s="11" t="n">
        <v>12.29</v>
      </c>
      <c r="Q60" s="11" t="n">
        <v>12.63</v>
      </c>
      <c r="R60" s="11" t="n">
        <v>12.71</v>
      </c>
      <c r="T60" s="11" t="n">
        <v>5.8</v>
      </c>
      <c r="U60" s="11" t="n">
        <v>5.69</v>
      </c>
      <c r="V60" s="11" t="n">
        <v>5.72</v>
      </c>
      <c r="W60" s="11" t="n">
        <v>21.17</v>
      </c>
      <c r="X60" s="11" t="n">
        <v>21.72</v>
      </c>
      <c r="Y60" s="11" t="n">
        <v>20.7</v>
      </c>
      <c r="Z60" s="11" t="n">
        <v>19.04</v>
      </c>
      <c r="AA60" s="11" t="n">
        <v>19.21</v>
      </c>
      <c r="AB60" s="11" t="n">
        <v>9.130000000000001</v>
      </c>
      <c r="AC60" s="11" t="n">
        <v>12.29</v>
      </c>
      <c r="AD60" s="11" t="n">
        <v>5.8</v>
      </c>
    </row>
    <row r="61">
      <c r="A61" s="10" t="inlineStr">
        <is>
          <t>기타</t>
        </is>
      </c>
      <c r="C61" s="11" t="n">
        <v>22.47</v>
      </c>
      <c r="D61" s="11" t="n">
        <v>15.31</v>
      </c>
      <c r="E61" s="11" t="n">
        <v>23.13</v>
      </c>
      <c r="F61" s="11" t="n">
        <v>21.91</v>
      </c>
      <c r="G61" s="11" t="n">
        <v>21.34</v>
      </c>
      <c r="H61" s="11" t="n">
        <v>21.36</v>
      </c>
      <c r="I61" s="11" t="n">
        <v>29.98</v>
      </c>
      <c r="J61" s="11" t="n">
        <v>29.59</v>
      </c>
      <c r="K61" s="11" t="n">
        <v>30.1</v>
      </c>
      <c r="L61" s="11" t="n">
        <v>28.54</v>
      </c>
      <c r="M61" s="11" t="n">
        <v>29.37</v>
      </c>
      <c r="N61" s="11" t="n">
        <v>29.85</v>
      </c>
      <c r="O61" s="11" t="n">
        <v>39.07</v>
      </c>
      <c r="P61" s="11" t="n">
        <v>51.82</v>
      </c>
      <c r="Q61" s="11" t="n">
        <v>37.13</v>
      </c>
      <c r="R61" s="11" t="n">
        <v>9.57</v>
      </c>
      <c r="S61" s="11" t="n">
        <v>33.53</v>
      </c>
      <c r="T61" s="11" t="n">
        <v>20.16</v>
      </c>
      <c r="U61" s="11" t="n">
        <v>16.54</v>
      </c>
      <c r="V61" s="11" t="n">
        <v>16.97</v>
      </c>
      <c r="W61" s="11" t="n">
        <v>9.67</v>
      </c>
      <c r="X61" s="11" t="n">
        <v>15.91</v>
      </c>
      <c r="Y61" s="11" t="n">
        <v>15.08</v>
      </c>
      <c r="Z61" s="11" t="n">
        <v>15.31</v>
      </c>
      <c r="AA61" s="11" t="n">
        <v>21.36</v>
      </c>
      <c r="AB61" s="11" t="n">
        <v>28.54</v>
      </c>
      <c r="AC61" s="11" t="n">
        <v>51.82</v>
      </c>
      <c r="AD61" s="11" t="n">
        <v>20.16</v>
      </c>
    </row>
    <row r="62">
      <c r="A62" s="10" t="inlineStr">
        <is>
          <t>비유동부채 합계</t>
        </is>
      </c>
      <c r="C62" s="11" t="n">
        <v>74.38</v>
      </c>
      <c r="D62" s="11" t="n">
        <v>74.31</v>
      </c>
      <c r="E62" s="11" t="n">
        <v>91.17</v>
      </c>
      <c r="F62" s="11" t="n">
        <v>136.56</v>
      </c>
      <c r="G62" s="11" t="n">
        <v>193.85</v>
      </c>
      <c r="H62" s="11" t="n">
        <v>215.65</v>
      </c>
      <c r="I62" s="11" t="n">
        <v>216.91</v>
      </c>
      <c r="J62" s="11" t="n">
        <v>289.9</v>
      </c>
      <c r="K62" s="11" t="n">
        <v>351.26</v>
      </c>
      <c r="L62" s="11" t="n">
        <v>353.01</v>
      </c>
      <c r="M62" s="11" t="n">
        <v>379.2</v>
      </c>
      <c r="N62" s="11" t="n">
        <v>483.27</v>
      </c>
      <c r="O62" s="11" t="n">
        <v>482.01</v>
      </c>
      <c r="P62" s="11" t="n">
        <v>473.19</v>
      </c>
      <c r="Q62" s="11" t="n">
        <v>467.32</v>
      </c>
      <c r="R62" s="11" t="n">
        <v>419.99</v>
      </c>
      <c r="S62" s="11" t="n">
        <v>400.09</v>
      </c>
      <c r="T62" s="11" t="n">
        <v>381.3</v>
      </c>
      <c r="U62" s="11" t="n">
        <v>366.33</v>
      </c>
      <c r="V62" s="11" t="n">
        <v>353.42</v>
      </c>
      <c r="W62" s="11" t="n">
        <v>39.33</v>
      </c>
      <c r="X62" s="11" t="n">
        <v>70.18000000000001</v>
      </c>
      <c r="Y62" s="11" t="n">
        <v>73.83</v>
      </c>
      <c r="Z62" s="11" t="n">
        <v>74.31</v>
      </c>
      <c r="AA62" s="11" t="n">
        <v>215.65</v>
      </c>
      <c r="AB62" s="11" t="n">
        <v>353.01</v>
      </c>
      <c r="AC62" s="11" t="n">
        <v>473.19</v>
      </c>
      <c r="AD62" s="11" t="n">
        <v>381.3</v>
      </c>
    </row>
    <row r="63">
      <c r="A63" s="10" t="inlineStr">
        <is>
          <t>부채 합계</t>
        </is>
      </c>
      <c r="C63" s="11" t="n">
        <v>244.62</v>
      </c>
      <c r="D63" s="11" t="n">
        <v>278.85</v>
      </c>
      <c r="E63" s="11" t="n">
        <v>288.68</v>
      </c>
      <c r="F63" s="11" t="n">
        <v>363.42</v>
      </c>
      <c r="G63" s="11" t="n">
        <v>371.01</v>
      </c>
      <c r="H63" s="11" t="n">
        <v>390.45</v>
      </c>
      <c r="I63" s="11" t="n">
        <v>370.13</v>
      </c>
      <c r="J63" s="11" t="n">
        <v>469.57</v>
      </c>
      <c r="K63" s="11" t="n">
        <v>485.04</v>
      </c>
      <c r="L63" s="11" t="n">
        <v>509.93</v>
      </c>
      <c r="M63" s="11" t="n">
        <v>524.1900000000001</v>
      </c>
      <c r="N63" s="11" t="n">
        <v>629.46</v>
      </c>
      <c r="O63" s="11" t="n">
        <v>634.35</v>
      </c>
      <c r="P63" s="11" t="n">
        <v>632.55</v>
      </c>
      <c r="Q63" s="11" t="n">
        <v>637.08</v>
      </c>
      <c r="R63" s="11" t="n">
        <v>644.76</v>
      </c>
      <c r="S63" s="11" t="n">
        <v>636.4299999999999</v>
      </c>
      <c r="T63" s="11" t="n">
        <v>629.73</v>
      </c>
      <c r="U63" s="11" t="n">
        <v>601.77</v>
      </c>
      <c r="V63" s="11" t="n">
        <v>564.2</v>
      </c>
      <c r="W63" s="11" t="n">
        <v>175.15</v>
      </c>
      <c r="X63" s="11" t="n">
        <v>176.42</v>
      </c>
      <c r="Y63" s="11" t="n">
        <v>198.05</v>
      </c>
      <c r="Z63" s="11" t="n">
        <v>278.85</v>
      </c>
      <c r="AA63" s="11" t="n">
        <v>390.45</v>
      </c>
      <c r="AB63" s="11" t="n">
        <v>509.93</v>
      </c>
      <c r="AC63" s="11" t="n">
        <v>632.55</v>
      </c>
      <c r="AD63" s="11" t="n">
        <v>629.73</v>
      </c>
    </row>
    <row r="64">
      <c r="A64" s="10" t="inlineStr">
        <is>
          <t>자본금</t>
        </is>
      </c>
      <c r="C64" s="11" t="n">
        <v>60.33</v>
      </c>
      <c r="D64" s="11" t="n">
        <v>60.33</v>
      </c>
      <c r="E64" s="11" t="n">
        <v>60.33</v>
      </c>
      <c r="F64" s="11" t="n">
        <v>60.33</v>
      </c>
      <c r="G64" s="11" t="n">
        <v>60.33</v>
      </c>
      <c r="H64" s="11" t="n">
        <v>60.33</v>
      </c>
      <c r="I64" s="11" t="n">
        <v>60.33</v>
      </c>
      <c r="J64" s="11" t="n">
        <v>60.33</v>
      </c>
      <c r="K64" s="11" t="n">
        <v>60.33</v>
      </c>
      <c r="L64" s="11" t="n">
        <v>60.33</v>
      </c>
      <c r="M64" s="11" t="n">
        <v>60.33</v>
      </c>
      <c r="N64" s="11" t="n">
        <v>60.33</v>
      </c>
      <c r="O64" s="11" t="n">
        <v>60.33</v>
      </c>
      <c r="P64" s="11" t="n">
        <v>60.33</v>
      </c>
      <c r="Q64" s="11" t="n">
        <v>60.33</v>
      </c>
      <c r="R64" s="11" t="n">
        <v>60.33</v>
      </c>
      <c r="S64" s="11" t="n">
        <v>60.33</v>
      </c>
      <c r="T64" s="11" t="n">
        <v>60.33</v>
      </c>
      <c r="U64" s="11" t="n">
        <v>60.33</v>
      </c>
      <c r="V64" s="11" t="n">
        <v>60.33</v>
      </c>
      <c r="W64" s="11" t="n">
        <v>60.33</v>
      </c>
      <c r="X64" s="11" t="n">
        <v>60.33</v>
      </c>
      <c r="Y64" s="11" t="n">
        <v>60.33</v>
      </c>
      <c r="Z64" s="11" t="n">
        <v>60.33</v>
      </c>
      <c r="AA64" s="11" t="n">
        <v>60.33</v>
      </c>
      <c r="AB64" s="11" t="n">
        <v>60.33</v>
      </c>
      <c r="AC64" s="11" t="n">
        <v>60.33</v>
      </c>
      <c r="AD64" s="11" t="n">
        <v>60.33</v>
      </c>
    </row>
    <row r="65">
      <c r="A65" s="10" t="inlineStr">
        <is>
          <t>자본잉여금</t>
        </is>
      </c>
      <c r="C65" s="11" t="n">
        <v>91.86</v>
      </c>
      <c r="D65" s="11" t="n">
        <v>91.91</v>
      </c>
      <c r="E65" s="11" t="n">
        <v>91.91</v>
      </c>
      <c r="F65" s="11" t="n">
        <v>92.11</v>
      </c>
      <c r="G65" s="11" t="n">
        <v>92.11</v>
      </c>
      <c r="H65" s="11" t="n">
        <v>92.11</v>
      </c>
      <c r="I65" s="11" t="n">
        <v>92.11</v>
      </c>
      <c r="J65" s="11" t="n">
        <v>92.31999999999999</v>
      </c>
      <c r="K65" s="11" t="n">
        <v>92.31999999999999</v>
      </c>
      <c r="L65" s="11" t="n">
        <v>92.31999999999999</v>
      </c>
      <c r="M65" s="11" t="n">
        <v>92.31999999999999</v>
      </c>
      <c r="N65" s="11" t="n">
        <v>92.5</v>
      </c>
      <c r="O65" s="11" t="n">
        <v>92.5</v>
      </c>
      <c r="P65" s="11" t="n">
        <v>90.18000000000001</v>
      </c>
      <c r="Q65" s="11" t="n">
        <v>90.18000000000001</v>
      </c>
      <c r="R65" s="11" t="n">
        <v>90.2</v>
      </c>
      <c r="S65" s="11" t="n">
        <v>90.2</v>
      </c>
      <c r="T65" s="11" t="n">
        <v>90.2</v>
      </c>
      <c r="U65" s="11" t="n">
        <v>90.2</v>
      </c>
      <c r="V65" s="11" t="n">
        <v>90.56</v>
      </c>
      <c r="W65" s="11" t="n">
        <v>91.95</v>
      </c>
      <c r="X65" s="11" t="n">
        <v>91.95</v>
      </c>
      <c r="Y65" s="11" t="n">
        <v>91.86</v>
      </c>
      <c r="Z65" s="11" t="n">
        <v>91.91</v>
      </c>
      <c r="AA65" s="11" t="n">
        <v>92.11</v>
      </c>
      <c r="AB65" s="11" t="n">
        <v>92.31999999999999</v>
      </c>
      <c r="AC65" s="11" t="n">
        <v>90.18000000000001</v>
      </c>
      <c r="AD65" s="11" t="n">
        <v>90.2</v>
      </c>
    </row>
    <row r="66">
      <c r="A66" s="10" t="inlineStr">
        <is>
          <t>이익잉여금</t>
        </is>
      </c>
      <c r="C66" s="11" t="n">
        <v>507.44</v>
      </c>
      <c r="D66" s="11" t="n">
        <v>517.53</v>
      </c>
      <c r="E66" s="11" t="n">
        <v>533.61</v>
      </c>
      <c r="F66" s="11" t="n">
        <v>555.28</v>
      </c>
      <c r="G66" s="11" t="n">
        <v>561.24</v>
      </c>
      <c r="H66" s="11" t="n">
        <v>574.53</v>
      </c>
      <c r="I66" s="11" t="n">
        <v>575.84</v>
      </c>
      <c r="J66" s="11" t="n">
        <v>580.48</v>
      </c>
      <c r="K66" s="11" t="n">
        <v>579.92</v>
      </c>
      <c r="L66" s="11" t="n">
        <v>583.6799999999999</v>
      </c>
      <c r="M66" s="11" t="n">
        <v>578.1</v>
      </c>
      <c r="N66" s="11" t="n">
        <v>568.67</v>
      </c>
      <c r="O66" s="11" t="n">
        <v>569.8200000000001</v>
      </c>
      <c r="P66" s="11" t="n">
        <v>549.08</v>
      </c>
      <c r="Q66" s="11" t="n">
        <v>547.72</v>
      </c>
      <c r="R66" s="11" t="n">
        <v>555.0700000000001</v>
      </c>
      <c r="S66" s="11" t="n">
        <v>569.58</v>
      </c>
      <c r="T66" s="11" t="n">
        <v>577.47</v>
      </c>
      <c r="U66" s="11" t="n">
        <v>585.9400000000001</v>
      </c>
      <c r="V66" s="11" t="n">
        <v>629.36</v>
      </c>
      <c r="W66" s="11" t="n">
        <v>467.06</v>
      </c>
      <c r="X66" s="11" t="n">
        <v>464.49</v>
      </c>
      <c r="Y66" s="11" t="n">
        <v>479.1</v>
      </c>
      <c r="Z66" s="11" t="n">
        <v>517.53</v>
      </c>
      <c r="AA66" s="11" t="n">
        <v>574.53</v>
      </c>
      <c r="AB66" s="11" t="n">
        <v>583.6799999999999</v>
      </c>
      <c r="AC66" s="11" t="n">
        <v>549.08</v>
      </c>
      <c r="AD66" s="11" t="n">
        <v>577.47</v>
      </c>
    </row>
    <row r="67">
      <c r="A67" s="10" t="inlineStr">
        <is>
          <t>자기주식</t>
        </is>
      </c>
      <c r="C67" s="11" t="n">
        <v>-24.74</v>
      </c>
      <c r="D67" s="11" t="n">
        <v>-23.95</v>
      </c>
      <c r="E67" s="11" t="n">
        <v>-23.96</v>
      </c>
      <c r="F67" s="11" t="n">
        <v>-23.81</v>
      </c>
      <c r="G67" s="11" t="n">
        <v>-23.81</v>
      </c>
      <c r="H67" s="11" t="n">
        <v>-23.81</v>
      </c>
      <c r="I67" s="11" t="n">
        <v>-23.81</v>
      </c>
      <c r="J67" s="11" t="n">
        <v>-23.67</v>
      </c>
      <c r="K67" s="11" t="n">
        <v>-23.67</v>
      </c>
      <c r="L67" s="11" t="n">
        <v>-23.68</v>
      </c>
      <c r="M67" s="11" t="n">
        <v>-23.68</v>
      </c>
      <c r="N67" s="11" t="n">
        <v>-23.51</v>
      </c>
      <c r="O67" s="11" t="n">
        <v>-23.51</v>
      </c>
      <c r="P67" s="11" t="n">
        <v>-2.54</v>
      </c>
      <c r="Q67" s="11" t="n">
        <v>-2.54</v>
      </c>
      <c r="R67" s="11" t="n">
        <v>-2.4</v>
      </c>
      <c r="S67" s="11" t="n">
        <v>-2.4</v>
      </c>
      <c r="T67" s="11" t="n">
        <v>-2.4</v>
      </c>
      <c r="U67" s="11" t="n">
        <v>-2.4</v>
      </c>
      <c r="V67" s="11" t="n">
        <v>-2.29</v>
      </c>
      <c r="W67" s="11" t="n">
        <v>-27.15</v>
      </c>
      <c r="X67" s="11" t="n">
        <v>-26.32</v>
      </c>
      <c r="Y67" s="11" t="n">
        <v>-25.33</v>
      </c>
      <c r="Z67" s="11" t="n">
        <v>-23.95</v>
      </c>
      <c r="AA67" s="11" t="n">
        <v>-23.81</v>
      </c>
      <c r="AB67" s="11" t="n">
        <v>-23.68</v>
      </c>
      <c r="AC67" s="11" t="n">
        <v>-2.54</v>
      </c>
      <c r="AD67" s="11" t="n">
        <v>-2.4</v>
      </c>
    </row>
    <row r="68">
      <c r="A68" s="10" t="inlineStr">
        <is>
          <t>주주자본 합계</t>
        </is>
      </c>
      <c r="C68" s="11" t="n">
        <v>634.89</v>
      </c>
      <c r="D68" s="11" t="n">
        <v>645.8200000000001</v>
      </c>
      <c r="E68" s="11" t="n">
        <v>661.9</v>
      </c>
      <c r="F68" s="11" t="n">
        <v>683.91</v>
      </c>
      <c r="G68" s="11" t="n">
        <v>689.87</v>
      </c>
      <c r="H68" s="11" t="n">
        <v>703.16</v>
      </c>
      <c r="I68" s="11" t="n">
        <v>704.47</v>
      </c>
      <c r="J68" s="11" t="n">
        <v>709.46</v>
      </c>
      <c r="K68" s="11" t="n">
        <v>708.9</v>
      </c>
      <c r="L68" s="11" t="n">
        <v>712.65</v>
      </c>
      <c r="M68" s="11" t="n">
        <v>707.0700000000001</v>
      </c>
      <c r="N68" s="11" t="n">
        <v>698</v>
      </c>
      <c r="O68" s="11" t="n">
        <v>699.15</v>
      </c>
      <c r="P68" s="11" t="n">
        <v>697.05</v>
      </c>
      <c r="Q68" s="11" t="n">
        <v>695.6900000000001</v>
      </c>
      <c r="R68" s="11" t="n">
        <v>703.21</v>
      </c>
      <c r="S68" s="11" t="n">
        <v>717.71</v>
      </c>
      <c r="T68" s="11" t="n">
        <v>725.6</v>
      </c>
      <c r="U68" s="11" t="n">
        <v>734.0700000000001</v>
      </c>
      <c r="V68" s="11" t="n">
        <v>777.96</v>
      </c>
      <c r="W68" s="11" t="n">
        <v>592.1900000000001</v>
      </c>
      <c r="X68" s="11" t="n">
        <v>590.45</v>
      </c>
      <c r="Y68" s="11" t="n">
        <v>605.95</v>
      </c>
      <c r="Z68" s="11" t="n">
        <v>645.8200000000001</v>
      </c>
      <c r="AA68" s="11" t="n">
        <v>703.16</v>
      </c>
      <c r="AB68" s="11" t="n">
        <v>712.65</v>
      </c>
      <c r="AC68" s="11" t="n">
        <v>697.05</v>
      </c>
      <c r="AD68" s="11" t="n">
        <v>725.6</v>
      </c>
    </row>
    <row r="69">
      <c r="A69" s="10" t="inlineStr">
        <is>
          <t>기타유가증권 평가차액</t>
        </is>
      </c>
      <c r="C69" s="11" t="n">
        <v>18.27</v>
      </c>
      <c r="D69" s="11" t="n">
        <v>15.59</v>
      </c>
      <c r="E69" s="11" t="n">
        <v>14.42</v>
      </c>
      <c r="F69" s="11" t="n">
        <v>12.85</v>
      </c>
      <c r="G69" s="11" t="n">
        <v>13.53</v>
      </c>
      <c r="H69" s="11" t="n">
        <v>15.63</v>
      </c>
      <c r="I69" s="11" t="n">
        <v>17.5</v>
      </c>
      <c r="J69" s="11" t="n">
        <v>16.67</v>
      </c>
      <c r="K69" s="11" t="n">
        <v>16.4</v>
      </c>
      <c r="L69" s="11" t="n">
        <v>18.71</v>
      </c>
      <c r="M69" s="11" t="n">
        <v>20.76</v>
      </c>
      <c r="N69" s="11" t="n">
        <v>18.48</v>
      </c>
      <c r="O69" s="11" t="n">
        <v>19.97</v>
      </c>
      <c r="P69" s="11" t="n">
        <v>19.2</v>
      </c>
      <c r="Q69" s="11" t="n">
        <v>19.52</v>
      </c>
      <c r="R69" s="11" t="n">
        <v>21.87</v>
      </c>
      <c r="S69" s="11" t="n">
        <v>24.43</v>
      </c>
      <c r="T69" s="11" t="n">
        <v>26.46</v>
      </c>
      <c r="U69" s="11" t="n">
        <v>32.17</v>
      </c>
      <c r="V69" s="11" t="n">
        <v>34.85</v>
      </c>
      <c r="W69" s="11" t="n">
        <v>18.03</v>
      </c>
      <c r="X69" s="11" t="n">
        <v>9.970000000000001</v>
      </c>
      <c r="Y69" s="11" t="n">
        <v>21.22</v>
      </c>
      <c r="Z69" s="11" t="n">
        <v>15.59</v>
      </c>
      <c r="AA69" s="11" t="n">
        <v>15.63</v>
      </c>
      <c r="AB69" s="11" t="n">
        <v>18.71</v>
      </c>
      <c r="AC69" s="11" t="n">
        <v>19.2</v>
      </c>
      <c r="AD69" s="11" t="n">
        <v>26.46</v>
      </c>
    </row>
    <row r="70">
      <c r="A70" s="10" t="inlineStr">
        <is>
          <t>해외사업환산조정</t>
        </is>
      </c>
      <c r="C70" s="11" t="n">
        <v>2.37</v>
      </c>
      <c r="D70" s="11" t="n">
        <v>12.99</v>
      </c>
      <c r="E70" s="11" t="n">
        <v>29.94</v>
      </c>
      <c r="F70" s="11" t="n">
        <v>38.06</v>
      </c>
      <c r="G70" s="11" t="n">
        <v>27.27</v>
      </c>
      <c r="H70" s="11" t="n">
        <v>22.34</v>
      </c>
      <c r="I70" s="11" t="n">
        <v>36.46</v>
      </c>
      <c r="J70" s="11" t="n">
        <v>44.77</v>
      </c>
      <c r="K70" s="11" t="n">
        <v>37.79</v>
      </c>
      <c r="L70" s="11" t="n">
        <v>48.03</v>
      </c>
      <c r="M70" s="11" t="n">
        <v>72.34</v>
      </c>
      <c r="N70" s="11" t="n">
        <v>64.18000000000001</v>
      </c>
      <c r="O70" s="11" t="n">
        <v>71.67</v>
      </c>
      <c r="P70" s="11" t="n">
        <v>60.36</v>
      </c>
      <c r="Q70" s="11" t="n">
        <v>60.55</v>
      </c>
      <c r="R70" s="11" t="n">
        <v>66.29000000000001</v>
      </c>
      <c r="S70" s="11" t="n">
        <v>102.1</v>
      </c>
      <c r="T70" s="11" t="n">
        <v>118.52</v>
      </c>
      <c r="U70" s="11" t="n">
        <v>128.81</v>
      </c>
      <c r="V70" s="11" t="n">
        <v>117.67</v>
      </c>
      <c r="W70" s="11" t="n">
        <v>-8.460000000000001</v>
      </c>
      <c r="X70" s="11" t="n">
        <v>-13.23</v>
      </c>
      <c r="Y70" s="11" t="n">
        <v>-7.49</v>
      </c>
      <c r="Z70" s="11" t="n">
        <v>12.99</v>
      </c>
      <c r="AA70" s="11" t="n">
        <v>22.34</v>
      </c>
      <c r="AB70" s="11" t="n">
        <v>48.03</v>
      </c>
      <c r="AC70" s="11" t="n">
        <v>60.36</v>
      </c>
      <c r="AD70" s="11" t="n">
        <v>118.52</v>
      </c>
    </row>
    <row r="71">
      <c r="A71" s="10" t="inlineStr">
        <is>
          <t>퇴직급여 조정누계액</t>
        </is>
      </c>
      <c r="C71" s="11" t="n">
        <v>-3.98</v>
      </c>
      <c r="D71" s="11" t="n">
        <v>-3.38</v>
      </c>
      <c r="E71" s="11" t="n">
        <v>-3.16</v>
      </c>
      <c r="F71" s="11" t="n">
        <v>-3.01</v>
      </c>
      <c r="G71" s="11" t="n">
        <v>-2.86</v>
      </c>
      <c r="H71" s="11" t="n">
        <v>-3.91</v>
      </c>
      <c r="I71" s="11" t="n">
        <v>-3.64</v>
      </c>
      <c r="J71" s="11" t="n">
        <v>-3.47</v>
      </c>
      <c r="K71" s="11" t="n">
        <v>-3.3</v>
      </c>
      <c r="L71" s="11" t="n">
        <v>6.33</v>
      </c>
      <c r="M71" s="11" t="n">
        <v>6.24</v>
      </c>
      <c r="N71" s="11" t="n">
        <v>6.14</v>
      </c>
      <c r="O71" s="11" t="n">
        <v>6.05</v>
      </c>
      <c r="P71" s="11" t="n">
        <v>4.48</v>
      </c>
      <c r="Q71" s="11" t="n">
        <v>4.54</v>
      </c>
      <c r="R71" s="11" t="n">
        <v>4.61</v>
      </c>
      <c r="S71" s="11" t="n">
        <v>4.59</v>
      </c>
      <c r="T71" s="11" t="n">
        <v>15.17</v>
      </c>
      <c r="U71" s="11" t="n">
        <v>14.99</v>
      </c>
      <c r="V71" s="11" t="n">
        <v>14.59</v>
      </c>
      <c r="W71" s="11" t="n">
        <v>-3.36</v>
      </c>
      <c r="X71" s="11" t="n">
        <v>-5.02</v>
      </c>
      <c r="Y71" s="11" t="n">
        <v>-4.4</v>
      </c>
      <c r="Z71" s="11" t="n">
        <v>-3.38</v>
      </c>
      <c r="AA71" s="11" t="n">
        <v>-3.91</v>
      </c>
      <c r="AB71" s="11" t="n">
        <v>6.33</v>
      </c>
      <c r="AC71" s="11" t="n">
        <v>4.48</v>
      </c>
      <c r="AD71" s="11" t="n">
        <v>15.17</v>
      </c>
    </row>
    <row r="72">
      <c r="A72" s="10" t="inlineStr">
        <is>
          <t>기타포괄손익누계액 합계</t>
        </is>
      </c>
      <c r="C72" s="11" t="n">
        <v>16.66</v>
      </c>
      <c r="D72" s="11" t="n">
        <v>25.2</v>
      </c>
      <c r="E72" s="11" t="n">
        <v>41.2</v>
      </c>
      <c r="F72" s="11" t="n">
        <v>47.9</v>
      </c>
      <c r="G72" s="11" t="n">
        <v>37.94</v>
      </c>
      <c r="H72" s="11" t="n">
        <v>34.06</v>
      </c>
      <c r="I72" s="11" t="n">
        <v>50.32</v>
      </c>
      <c r="J72" s="11" t="n">
        <v>57.97</v>
      </c>
      <c r="K72" s="11" t="n">
        <v>50.89</v>
      </c>
      <c r="L72" s="11" t="n">
        <v>73.06999999999999</v>
      </c>
      <c r="M72" s="11" t="n">
        <v>99.34999999999999</v>
      </c>
      <c r="N72" s="11" t="n">
        <v>88.81</v>
      </c>
      <c r="O72" s="11" t="n">
        <v>97.7</v>
      </c>
      <c r="P72" s="11" t="n">
        <v>84.04000000000001</v>
      </c>
      <c r="Q72" s="11" t="n">
        <v>84.62</v>
      </c>
      <c r="R72" s="11" t="n">
        <v>92.78</v>
      </c>
      <c r="S72" s="11" t="n">
        <v>131.13</v>
      </c>
      <c r="T72" s="11" t="n">
        <v>160.16</v>
      </c>
      <c r="U72" s="11" t="n">
        <v>175.98</v>
      </c>
      <c r="V72" s="11" t="n">
        <v>167.12</v>
      </c>
      <c r="W72" s="11" t="n">
        <v>6.2</v>
      </c>
      <c r="X72" s="11" t="n">
        <v>-8.289999999999999</v>
      </c>
      <c r="Y72" s="11" t="n">
        <v>9.31</v>
      </c>
      <c r="Z72" s="11" t="n">
        <v>25.2</v>
      </c>
      <c r="AA72" s="11" t="n">
        <v>34.06</v>
      </c>
      <c r="AB72" s="11" t="n">
        <v>73.06999999999999</v>
      </c>
      <c r="AC72" s="11" t="n">
        <v>84.04000000000001</v>
      </c>
      <c r="AD72" s="11" t="n">
        <v>160.16</v>
      </c>
    </row>
    <row r="73">
      <c r="A73" s="10" t="inlineStr">
        <is>
          <t>비지배지분</t>
        </is>
      </c>
      <c r="C73" s="11" t="n">
        <v>0.05</v>
      </c>
      <c r="D73" s="11" t="n">
        <v>0</v>
      </c>
      <c r="X73" s="11" t="n">
        <v>0</v>
      </c>
      <c r="Y73" s="11" t="n">
        <v>0.08</v>
      </c>
      <c r="Z73" s="11" t="n">
        <v>0</v>
      </c>
    </row>
    <row r="74">
      <c r="A74" s="10" t="inlineStr">
        <is>
          <t>순자산 합계</t>
        </is>
      </c>
      <c r="C74" s="11" t="n">
        <v>651.61</v>
      </c>
      <c r="D74" s="11" t="n">
        <v>671.03</v>
      </c>
      <c r="E74" s="11" t="n">
        <v>703.11</v>
      </c>
      <c r="F74" s="11" t="n">
        <v>731.8099999999999</v>
      </c>
      <c r="G74" s="11" t="n">
        <v>727.8200000000001</v>
      </c>
      <c r="H74" s="11" t="n">
        <v>737.22</v>
      </c>
      <c r="I74" s="11" t="n">
        <v>754.8</v>
      </c>
      <c r="J74" s="11" t="n">
        <v>767.4299999999999</v>
      </c>
      <c r="K74" s="11" t="n">
        <v>759.79</v>
      </c>
      <c r="L74" s="11" t="n">
        <v>785.73</v>
      </c>
      <c r="M74" s="11" t="n">
        <v>806.42</v>
      </c>
      <c r="N74" s="11" t="n">
        <v>786.8200000000001</v>
      </c>
      <c r="O74" s="11" t="n">
        <v>796.86</v>
      </c>
      <c r="P74" s="11" t="n">
        <v>781.1</v>
      </c>
      <c r="Q74" s="11" t="n">
        <v>780.3200000000001</v>
      </c>
      <c r="R74" s="11" t="n">
        <v>795.99</v>
      </c>
      <c r="S74" s="11" t="n">
        <v>848.85</v>
      </c>
      <c r="T74" s="11" t="n">
        <v>885.77</v>
      </c>
      <c r="U74" s="11" t="n">
        <v>910.0599999999999</v>
      </c>
      <c r="V74" s="11" t="n">
        <v>945.09</v>
      </c>
      <c r="W74" s="11" t="n">
        <v>598.39</v>
      </c>
      <c r="X74" s="11" t="n">
        <v>582.16</v>
      </c>
      <c r="Y74" s="11" t="n">
        <v>615.35</v>
      </c>
      <c r="Z74" s="11" t="n">
        <v>671.03</v>
      </c>
      <c r="AA74" s="11" t="n">
        <v>737.22</v>
      </c>
      <c r="AB74" s="11" t="n">
        <v>785.73</v>
      </c>
      <c r="AC74" s="11" t="n">
        <v>781.1</v>
      </c>
      <c r="AD74" s="11" t="n">
        <v>885.77</v>
      </c>
    </row>
    <row r="75">
      <c r="A75" s="10" t="inlineStr">
        <is>
          <t>부채·순자산 합계</t>
        </is>
      </c>
      <c r="C75" s="11" t="n">
        <v>896.24</v>
      </c>
      <c r="D75" s="11" t="n">
        <v>949.89</v>
      </c>
      <c r="E75" s="11" t="n">
        <v>991.79</v>
      </c>
      <c r="F75" s="11" t="n">
        <v>1095.23</v>
      </c>
      <c r="G75" s="11" t="n">
        <v>1098.83</v>
      </c>
      <c r="H75" s="11" t="n">
        <v>1127.68</v>
      </c>
      <c r="I75" s="11" t="n">
        <v>1124.93</v>
      </c>
      <c r="J75" s="11" t="n">
        <v>1237.01</v>
      </c>
      <c r="K75" s="11" t="n">
        <v>1244.83</v>
      </c>
      <c r="L75" s="11" t="n">
        <v>1295.66</v>
      </c>
      <c r="M75" s="11" t="n">
        <v>1330.62</v>
      </c>
      <c r="N75" s="11" t="n">
        <v>1416.28</v>
      </c>
      <c r="O75" s="11" t="n">
        <v>1431.21</v>
      </c>
      <c r="P75" s="11" t="n">
        <v>1413.65</v>
      </c>
      <c r="Q75" s="11" t="n">
        <v>1417.4</v>
      </c>
      <c r="R75" s="11" t="n">
        <v>1440.76</v>
      </c>
      <c r="S75" s="11" t="n">
        <v>1485.28</v>
      </c>
      <c r="T75" s="11" t="n">
        <v>1515.5</v>
      </c>
      <c r="U75" s="11" t="n">
        <v>1511.84</v>
      </c>
      <c r="V75" s="11" t="n">
        <v>1509.3</v>
      </c>
      <c r="W75" s="11" t="n">
        <v>773.55</v>
      </c>
      <c r="X75" s="11" t="n">
        <v>758.58</v>
      </c>
      <c r="Y75" s="11" t="n">
        <v>813.4</v>
      </c>
      <c r="Z75" s="11" t="n">
        <v>949.89</v>
      </c>
      <c r="AA75" s="11" t="n">
        <v>1127.68</v>
      </c>
      <c r="AB75" s="11" t="n">
        <v>1295.66</v>
      </c>
      <c r="AC75" s="11" t="n">
        <v>1413.65</v>
      </c>
      <c r="AD75" s="11" t="n">
        <v>1515.5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KOA 현금흐름표</t>
        </is>
      </c>
    </row>
    <row r="2">
      <c r="A2" s="2" t="inlineStr">
        <is>
          <t>결산기 기준(27.2Q = 2027년 결산기 2분기) · 3월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65.34999999999999</v>
      </c>
      <c r="F4" s="11" t="n">
        <v>63.33</v>
      </c>
      <c r="H4" s="11" t="n">
        <v>98.08</v>
      </c>
      <c r="J4" s="11" t="n">
        <v>22.29</v>
      </c>
      <c r="L4" s="11" t="n">
        <v>39.92</v>
      </c>
      <c r="N4" s="11" t="n">
        <v>-2.03</v>
      </c>
      <c r="P4" s="11" t="n">
        <v>12.53</v>
      </c>
      <c r="R4" s="11" t="n">
        <v>18.05</v>
      </c>
      <c r="T4" s="11" t="n">
        <v>52.64</v>
      </c>
      <c r="V4" s="11" t="n">
        <v>70.37</v>
      </c>
      <c r="W4" s="11" t="n">
        <v>14.35</v>
      </c>
      <c r="X4" s="11" t="n">
        <v>14.35</v>
      </c>
      <c r="Y4" s="11" t="n">
        <v>27.9</v>
      </c>
      <c r="Z4" s="11" t="n">
        <v>65.34999999999999</v>
      </c>
      <c r="AA4" s="11" t="n">
        <v>98.08</v>
      </c>
      <c r="AB4" s="11" t="n">
        <v>39.92</v>
      </c>
      <c r="AC4" s="11" t="n">
        <v>12.53</v>
      </c>
      <c r="AD4" s="11" t="n">
        <v>52.64</v>
      </c>
      <c r="AE4" s="7" t="inlineStr">
        <is>
          <t>결산단신 XBRL(거래소 공시, TDnet·JPX 보관소). 쓴 문서: 2026-10-23, 2026-07-23, 2026-04-24, 2026-01-28 외 26건 — '출처' 시트에 전부</t>
        </is>
      </c>
    </row>
    <row r="5">
      <c r="A5" s="10" t="inlineStr">
        <is>
          <t>감가상각비</t>
        </is>
      </c>
      <c r="D5" s="11" t="n">
        <v>35.25</v>
      </c>
      <c r="F5" s="11" t="n">
        <v>18.41</v>
      </c>
      <c r="H5" s="11" t="n">
        <v>40.68</v>
      </c>
      <c r="J5" s="11" t="n">
        <v>23.04</v>
      </c>
      <c r="L5" s="11" t="n">
        <v>48.9</v>
      </c>
      <c r="N5" s="11" t="n">
        <v>25.9</v>
      </c>
      <c r="P5" s="11" t="n">
        <v>58.6</v>
      </c>
      <c r="R5" s="11" t="n">
        <v>32.4</v>
      </c>
      <c r="T5" s="11" t="n">
        <v>70.23999999999999</v>
      </c>
      <c r="V5" s="11" t="n">
        <v>35.89</v>
      </c>
      <c r="W5" s="11" t="n">
        <v>29.44</v>
      </c>
      <c r="X5" s="11" t="n">
        <v>34.37</v>
      </c>
      <c r="Y5" s="11" t="n">
        <v>35.85</v>
      </c>
      <c r="Z5" s="11" t="n">
        <v>35.25</v>
      </c>
      <c r="AA5" s="11" t="n">
        <v>40.68</v>
      </c>
      <c r="AB5" s="11" t="n">
        <v>48.9</v>
      </c>
      <c r="AC5" s="11" t="n">
        <v>58.6</v>
      </c>
      <c r="AD5" s="11" t="n">
        <v>70.23999999999999</v>
      </c>
    </row>
    <row r="6">
      <c r="A6" s="10" t="inlineStr">
        <is>
          <t>소송 화해금</t>
        </is>
      </c>
      <c r="W6" s="11" t="n">
        <v>48.06</v>
      </c>
      <c r="X6" s="11" t="n">
        <v>0</v>
      </c>
    </row>
    <row r="7">
      <c r="A7" s="10" t="inlineStr">
        <is>
          <t>분쟁 화해금</t>
        </is>
      </c>
      <c r="W7" s="11" t="n">
        <v>0</v>
      </c>
      <c r="X7" s="11" t="n">
        <v>3.71</v>
      </c>
      <c r="Y7" s="11" t="n">
        <v>0</v>
      </c>
    </row>
    <row r="8">
      <c r="A8" s="10" t="inlineStr">
        <is>
          <t>대손충당금 증감</t>
        </is>
      </c>
      <c r="D8" s="11" t="n">
        <v>0.11</v>
      </c>
      <c r="H8" s="11" t="n">
        <v>0.06</v>
      </c>
      <c r="J8" s="11" t="n">
        <v>-0.02</v>
      </c>
      <c r="L8" s="11" t="n">
        <v>-0.07000000000000001</v>
      </c>
      <c r="N8" s="11" t="n">
        <v>-0.07000000000000001</v>
      </c>
      <c r="P8" s="11" t="n">
        <v>-0.06</v>
      </c>
      <c r="R8" s="11" t="n">
        <v>0.01</v>
      </c>
      <c r="W8" s="11" t="n">
        <v>0.06</v>
      </c>
      <c r="X8" s="11" t="n">
        <v>-0.1</v>
      </c>
      <c r="Y8" s="11" t="n">
        <v>-0.02</v>
      </c>
      <c r="Z8" s="11" t="n">
        <v>0.11</v>
      </c>
      <c r="AA8" s="11" t="n">
        <v>0.06</v>
      </c>
      <c r="AB8" s="11" t="n">
        <v>-0.07000000000000001</v>
      </c>
      <c r="AC8" s="11" t="n">
        <v>-0.06</v>
      </c>
    </row>
    <row r="9">
      <c r="A9" s="10" t="inlineStr">
        <is>
          <t>상여충당금 증감</t>
        </is>
      </c>
      <c r="D9" s="11" t="n">
        <v>3.71</v>
      </c>
      <c r="H9" s="11" t="n">
        <v>3.44</v>
      </c>
      <c r="J9" s="11" t="n">
        <v>0.61</v>
      </c>
      <c r="L9" s="11" t="n">
        <v>-3.25</v>
      </c>
      <c r="N9" s="11" t="n">
        <v>1.64</v>
      </c>
      <c r="P9" s="11" t="n">
        <v>-2.21</v>
      </c>
      <c r="R9" s="11" t="n">
        <v>3.13</v>
      </c>
      <c r="T9" s="11" t="n">
        <v>2.94</v>
      </c>
      <c r="V9" s="11" t="n">
        <v>0</v>
      </c>
      <c r="W9" s="11" t="n">
        <v>0.87</v>
      </c>
      <c r="X9" s="11" t="n">
        <v>-2.16</v>
      </c>
      <c r="Y9" s="11" t="n">
        <v>0.61</v>
      </c>
      <c r="Z9" s="11" t="n">
        <v>3.71</v>
      </c>
      <c r="AA9" s="11" t="n">
        <v>3.44</v>
      </c>
      <c r="AB9" s="11" t="n">
        <v>-3.25</v>
      </c>
      <c r="AC9" s="11" t="n">
        <v>-2.21</v>
      </c>
      <c r="AD9" s="11" t="n">
        <v>2.94</v>
      </c>
    </row>
    <row r="10">
      <c r="A10" s="10" t="inlineStr">
        <is>
          <t>수주손실 충당금 증감</t>
        </is>
      </c>
      <c r="D10" s="11" t="n">
        <v>1.91</v>
      </c>
      <c r="H10" s="11" t="n">
        <v>1.41</v>
      </c>
      <c r="J10" s="11" t="n">
        <v>-0.37</v>
      </c>
      <c r="L10" s="11" t="n">
        <v>-1.98</v>
      </c>
      <c r="N10" s="11" t="n">
        <v>-2.04</v>
      </c>
      <c r="P10" s="11" t="n">
        <v>-1.61</v>
      </c>
      <c r="R10" s="11" t="n">
        <v>-0.41</v>
      </c>
      <c r="T10" s="11" t="n">
        <v>0.66</v>
      </c>
      <c r="Y10" s="11" t="n">
        <v>2.2</v>
      </c>
      <c r="Z10" s="11" t="n">
        <v>1.91</v>
      </c>
      <c r="AA10" s="11" t="n">
        <v>1.41</v>
      </c>
      <c r="AB10" s="11" t="n">
        <v>-1.98</v>
      </c>
      <c r="AC10" s="11" t="n">
        <v>-1.61</v>
      </c>
      <c r="AD10" s="11" t="n">
        <v>0.66</v>
      </c>
    </row>
    <row r="11">
      <c r="A11" s="10" t="inlineStr">
        <is>
          <t>퇴직급여부채 증감</t>
        </is>
      </c>
      <c r="D11" s="11" t="n">
        <v>-0.71</v>
      </c>
      <c r="H11" s="11" t="n">
        <v>-0.06</v>
      </c>
      <c r="J11" s="11" t="n">
        <v>0.87</v>
      </c>
      <c r="L11" s="11" t="n">
        <v>1.9</v>
      </c>
      <c r="N11" s="11" t="n">
        <v>0.13</v>
      </c>
      <c r="P11" s="11" t="n">
        <v>0.29</v>
      </c>
      <c r="R11" s="11" t="n">
        <v>0.43</v>
      </c>
      <c r="W11" s="11" t="n">
        <v>-0.6</v>
      </c>
      <c r="X11" s="11" t="n">
        <v>-1.35</v>
      </c>
      <c r="Y11" s="11" t="n">
        <v>-0.19</v>
      </c>
      <c r="Z11" s="11" t="n">
        <v>-0.71</v>
      </c>
      <c r="AA11" s="11" t="n">
        <v>-0.06</v>
      </c>
      <c r="AB11" s="11" t="n">
        <v>1.9</v>
      </c>
      <c r="AC11" s="11" t="n">
        <v>0.29</v>
      </c>
    </row>
    <row r="12">
      <c r="A12" s="10" t="inlineStr">
        <is>
          <t>환경대책 충당금 증감</t>
        </is>
      </c>
      <c r="W12" s="11" t="n">
        <v>-4.1</v>
      </c>
      <c r="X12" s="11" t="n">
        <v>0</v>
      </c>
    </row>
    <row r="13">
      <c r="A13" s="10" t="inlineStr">
        <is>
          <t>이자·배당금 수익</t>
        </is>
      </c>
      <c r="D13" s="11" t="n">
        <v>-0.92</v>
      </c>
      <c r="H13" s="11" t="n">
        <v>-1.45</v>
      </c>
      <c r="J13" s="11" t="n">
        <v>-1.57</v>
      </c>
      <c r="L13" s="11" t="n">
        <v>-3.64</v>
      </c>
      <c r="N13" s="11" t="n">
        <v>-2.1</v>
      </c>
      <c r="P13" s="11" t="n">
        <v>-3.88</v>
      </c>
      <c r="R13" s="11" t="n">
        <v>-2.39</v>
      </c>
      <c r="T13" s="11" t="n">
        <v>-3.87</v>
      </c>
      <c r="V13" s="11" t="n">
        <v>-1.51</v>
      </c>
      <c r="W13" s="11" t="n">
        <v>-1.61</v>
      </c>
      <c r="X13" s="11" t="n">
        <v>-1.28</v>
      </c>
      <c r="Y13" s="11" t="n">
        <v>-0.76</v>
      </c>
      <c r="Z13" s="11" t="n">
        <v>-0.92</v>
      </c>
      <c r="AA13" s="11" t="n">
        <v>-1.45</v>
      </c>
      <c r="AB13" s="11" t="n">
        <v>-3.64</v>
      </c>
      <c r="AC13" s="11" t="n">
        <v>-3.88</v>
      </c>
      <c r="AD13" s="11" t="n">
        <v>-3.87</v>
      </c>
    </row>
    <row r="14">
      <c r="A14" s="10" t="inlineStr">
        <is>
          <t>이자비용</t>
        </is>
      </c>
      <c r="D14" s="11" t="n">
        <v>0.45</v>
      </c>
      <c r="H14" s="11" t="n">
        <v>0.86</v>
      </c>
      <c r="J14" s="11" t="n">
        <v>0.62</v>
      </c>
      <c r="L14" s="11" t="n">
        <v>1.51</v>
      </c>
      <c r="N14" s="11" t="n">
        <v>1.4</v>
      </c>
      <c r="P14" s="11" t="n">
        <v>3.7</v>
      </c>
      <c r="R14" s="11" t="n">
        <v>3.16</v>
      </c>
      <c r="T14" s="11" t="n">
        <v>6.47</v>
      </c>
      <c r="V14" s="11" t="n">
        <v>3.92</v>
      </c>
      <c r="W14" s="11" t="n">
        <v>0.02</v>
      </c>
      <c r="X14" s="11" t="n">
        <v>0.19</v>
      </c>
      <c r="Y14" s="11" t="n">
        <v>0.38</v>
      </c>
      <c r="Z14" s="11" t="n">
        <v>0.45</v>
      </c>
      <c r="AA14" s="11" t="n">
        <v>0.86</v>
      </c>
      <c r="AB14" s="11" t="n">
        <v>1.51</v>
      </c>
      <c r="AC14" s="11" t="n">
        <v>3.7</v>
      </c>
      <c r="AD14" s="11" t="n">
        <v>6.47</v>
      </c>
    </row>
    <row r="15">
      <c r="A15" s="10" t="inlineStr">
        <is>
          <t>외환차손익</t>
        </is>
      </c>
      <c r="J15" s="11" t="n">
        <v>-3.86</v>
      </c>
      <c r="N15" s="11" t="n">
        <v>0.26</v>
      </c>
      <c r="R15" s="11" t="n">
        <v>-1.07</v>
      </c>
    </row>
    <row r="16">
      <c r="A16" s="10" t="inlineStr">
        <is>
          <t>지분법손익</t>
        </is>
      </c>
      <c r="D16" s="11" t="n">
        <v>-0.85</v>
      </c>
      <c r="H16" s="11" t="n">
        <v>-1.46</v>
      </c>
      <c r="J16" s="11" t="n">
        <v>-0.97</v>
      </c>
      <c r="L16" s="11" t="n">
        <v>-1.13</v>
      </c>
      <c r="N16" s="11" t="n">
        <v>-1.63</v>
      </c>
      <c r="P16" s="11" t="n">
        <v>-1.57</v>
      </c>
      <c r="R16" s="11" t="n">
        <v>-1.6</v>
      </c>
      <c r="T16" s="11" t="n">
        <v>-1.85</v>
      </c>
      <c r="V16" s="11" t="n">
        <v>-2.89</v>
      </c>
      <c r="W16" s="11" t="n">
        <v>-0.82</v>
      </c>
      <c r="X16" s="11" t="n">
        <v>-0.4</v>
      </c>
      <c r="Y16" s="11" t="n">
        <v>-0.44</v>
      </c>
      <c r="Z16" s="11" t="n">
        <v>-0.85</v>
      </c>
      <c r="AA16" s="11" t="n">
        <v>-1.46</v>
      </c>
      <c r="AB16" s="11" t="n">
        <v>-1.13</v>
      </c>
      <c r="AC16" s="11" t="n">
        <v>-1.57</v>
      </c>
      <c r="AD16" s="11" t="n">
        <v>-1.85</v>
      </c>
    </row>
    <row r="17">
      <c r="A17" s="10" t="inlineStr">
        <is>
          <t>신디케이트론 수수료</t>
        </is>
      </c>
      <c r="H17" s="11" t="n">
        <v>4.82</v>
      </c>
      <c r="L17" s="11" t="n">
        <v>0.02</v>
      </c>
      <c r="P17" s="11" t="n">
        <v>0.02</v>
      </c>
      <c r="AA17" s="11" t="n">
        <v>4.82</v>
      </c>
      <c r="AB17" s="11" t="n">
        <v>0.02</v>
      </c>
      <c r="AC17" s="11" t="n">
        <v>0.02</v>
      </c>
    </row>
    <row r="18">
      <c r="A18" s="10" t="inlineStr">
        <is>
          <t>신디케이트론 수수료</t>
        </is>
      </c>
      <c r="J18" s="11" t="n">
        <v>0.02</v>
      </c>
      <c r="N18" s="11" t="n">
        <v>0.02</v>
      </c>
      <c r="R18" s="11" t="n">
        <v>0.02</v>
      </c>
    </row>
    <row r="19">
      <c r="A19" s="10" t="inlineStr">
        <is>
          <t>손상차손</t>
        </is>
      </c>
      <c r="D19" s="11" t="n">
        <v>0.06</v>
      </c>
      <c r="H19" s="11" t="n">
        <v>0.22</v>
      </c>
      <c r="L19" s="11" t="n">
        <v>0.02</v>
      </c>
      <c r="P19" s="11" t="n">
        <v>0</v>
      </c>
      <c r="T19" s="11" t="n">
        <v>1.14</v>
      </c>
      <c r="W19" s="11" t="n">
        <v>0.02</v>
      </c>
      <c r="X19" s="11" t="n">
        <v>0.04</v>
      </c>
      <c r="Y19" s="11" t="n">
        <v>0.05</v>
      </c>
      <c r="Z19" s="11" t="n">
        <v>0.06</v>
      </c>
      <c r="AA19" s="11" t="n">
        <v>0.22</v>
      </c>
      <c r="AB19" s="11" t="n">
        <v>0.02</v>
      </c>
      <c r="AC19" s="11" t="n">
        <v>0</v>
      </c>
      <c r="AD19" s="11" t="n">
        <v>1.14</v>
      </c>
    </row>
    <row r="20">
      <c r="A20" s="10" t="inlineStr">
        <is>
          <t>보상금 지급</t>
        </is>
      </c>
      <c r="D20" s="11" t="n">
        <v>2.05</v>
      </c>
      <c r="Y20" s="11" t="n">
        <v>0</v>
      </c>
      <c r="Z20" s="11" t="n">
        <v>2.05</v>
      </c>
    </row>
    <row r="21">
      <c r="A21" s="10" t="inlineStr">
        <is>
          <t>보상금 지급</t>
        </is>
      </c>
      <c r="D21" s="11" t="n">
        <v>2.05</v>
      </c>
      <c r="H21" s="11" t="n">
        <v>0</v>
      </c>
      <c r="Z21" s="11" t="n">
        <v>2.05</v>
      </c>
      <c r="AA21" s="11" t="n">
        <v>0</v>
      </c>
    </row>
    <row r="22">
      <c r="A22" s="10" t="inlineStr">
        <is>
          <t>투자유가증권 매각손익</t>
        </is>
      </c>
      <c r="D22" s="11" t="n">
        <v>-0.01</v>
      </c>
      <c r="H22" s="11" t="n">
        <v>-0.05</v>
      </c>
      <c r="L22" s="11" t="n">
        <v>-0</v>
      </c>
      <c r="P22" s="11" t="n">
        <v>-0.61</v>
      </c>
      <c r="R22" s="11" t="n">
        <v>-2.09</v>
      </c>
      <c r="T22" s="11" t="n">
        <v>-2.09</v>
      </c>
      <c r="V22" s="11" t="n">
        <v>0</v>
      </c>
      <c r="W22" s="11" t="n">
        <v>0</v>
      </c>
      <c r="X22" s="11" t="n">
        <v>-1.34</v>
      </c>
      <c r="Y22" s="11" t="n">
        <v>-0</v>
      </c>
      <c r="Z22" s="11" t="n">
        <v>-0.01</v>
      </c>
      <c r="AA22" s="11" t="n">
        <v>-0.05</v>
      </c>
      <c r="AB22" s="11" t="n">
        <v>-0</v>
      </c>
      <c r="AC22" s="11" t="n">
        <v>-0.61</v>
      </c>
      <c r="AD22" s="11" t="n">
        <v>-2.09</v>
      </c>
    </row>
    <row r="23">
      <c r="A23" s="10" t="inlineStr">
        <is>
          <t>유형자산 매각손익</t>
        </is>
      </c>
      <c r="D23" s="11" t="n">
        <v>-0.19</v>
      </c>
      <c r="H23" s="11" t="n">
        <v>-0.11</v>
      </c>
      <c r="L23" s="11" t="n">
        <v>-0.02</v>
      </c>
      <c r="P23" s="11" t="n">
        <v>-0.12</v>
      </c>
      <c r="W23" s="11" t="n">
        <v>0.58</v>
      </c>
      <c r="X23" s="11" t="n">
        <v>0.31</v>
      </c>
      <c r="Y23" s="11" t="n">
        <v>0.3</v>
      </c>
      <c r="Z23" s="11" t="n">
        <v>-0.19</v>
      </c>
      <c r="AA23" s="11" t="n">
        <v>-0.11</v>
      </c>
      <c r="AB23" s="11" t="n">
        <v>-0.02</v>
      </c>
      <c r="AC23" s="11" t="n">
        <v>-0.12</v>
      </c>
    </row>
    <row r="24">
      <c r="A24" s="10" t="inlineStr">
        <is>
          <t>이전 보상금</t>
        </is>
      </c>
      <c r="R24" s="11" t="n">
        <v>0</v>
      </c>
      <c r="V24" s="11" t="n">
        <v>-30.98</v>
      </c>
    </row>
    <row r="25">
      <c r="A25" s="10" t="inlineStr">
        <is>
          <t>매출채권 증감</t>
        </is>
      </c>
      <c r="D25" s="11" t="n">
        <v>-17.98</v>
      </c>
      <c r="F25" s="11" t="n">
        <v>-10.24</v>
      </c>
      <c r="H25" s="11" t="n">
        <v>3.57</v>
      </c>
      <c r="J25" s="11" t="n">
        <v>18.33</v>
      </c>
      <c r="L25" s="11" t="n">
        <v>28.09</v>
      </c>
      <c r="N25" s="11" t="n">
        <v>9.48</v>
      </c>
      <c r="P25" s="11" t="n">
        <v>3.41</v>
      </c>
      <c r="R25" s="11" t="n">
        <v>-3.56</v>
      </c>
      <c r="T25" s="11" t="n">
        <v>-16.21</v>
      </c>
      <c r="V25" s="11" t="n">
        <v>-21.79</v>
      </c>
      <c r="W25" s="11" t="n">
        <v>-2.84</v>
      </c>
      <c r="X25" s="11" t="n">
        <v>12.58</v>
      </c>
      <c r="Y25" s="11" t="n">
        <v>-16.18</v>
      </c>
      <c r="Z25" s="11" t="n">
        <v>-17.98</v>
      </c>
      <c r="AA25" s="11" t="n">
        <v>3.57</v>
      </c>
      <c r="AB25" s="11" t="n">
        <v>28.09</v>
      </c>
      <c r="AC25" s="11" t="n">
        <v>3.41</v>
      </c>
      <c r="AD25" s="11" t="n">
        <v>-16.21</v>
      </c>
    </row>
    <row r="26">
      <c r="A26" s="10" t="inlineStr">
        <is>
          <t>재고자산 증감</t>
        </is>
      </c>
      <c r="D26" s="11" t="n">
        <v>-24.56</v>
      </c>
      <c r="F26" s="11" t="n">
        <v>-14.21</v>
      </c>
      <c r="H26" s="11" t="n">
        <v>-26.5</v>
      </c>
      <c r="J26" s="11" t="n">
        <v>6.41</v>
      </c>
      <c r="L26" s="11" t="n">
        <v>7.25</v>
      </c>
      <c r="N26" s="11" t="n">
        <v>2.09</v>
      </c>
      <c r="P26" s="11" t="n">
        <v>6.77</v>
      </c>
      <c r="R26" s="11" t="n">
        <v>-3.47</v>
      </c>
      <c r="T26" s="11" t="n">
        <v>5.36</v>
      </c>
      <c r="V26" s="11" t="n">
        <v>-4.32</v>
      </c>
      <c r="W26" s="11" t="n">
        <v>-17.66</v>
      </c>
      <c r="X26" s="11" t="n">
        <v>1.76</v>
      </c>
      <c r="Y26" s="11" t="n">
        <v>-3.31</v>
      </c>
      <c r="Z26" s="11" t="n">
        <v>-24.56</v>
      </c>
      <c r="AA26" s="11" t="n">
        <v>-26.5</v>
      </c>
      <c r="AB26" s="11" t="n">
        <v>7.25</v>
      </c>
      <c r="AC26" s="11" t="n">
        <v>6.77</v>
      </c>
      <c r="AD26" s="11" t="n">
        <v>5.36</v>
      </c>
    </row>
    <row r="27">
      <c r="A27" s="10" t="inlineStr">
        <is>
          <t>매입채무 증감</t>
        </is>
      </c>
      <c r="D27" s="11" t="n">
        <v>1.85</v>
      </c>
      <c r="F27" s="11" t="n">
        <v>-8.59</v>
      </c>
      <c r="H27" s="11" t="n">
        <v>-5.02</v>
      </c>
      <c r="J27" s="11" t="n">
        <v>-16.97</v>
      </c>
      <c r="L27" s="11" t="n">
        <v>-21.09</v>
      </c>
      <c r="N27" s="11" t="n">
        <v>0.37</v>
      </c>
      <c r="P27" s="11" t="n">
        <v>-5.31</v>
      </c>
      <c r="R27" s="11" t="n">
        <v>5.36</v>
      </c>
      <c r="T27" s="11" t="n">
        <v>-9.140000000000001</v>
      </c>
      <c r="V27" s="11" t="n">
        <v>13.74</v>
      </c>
      <c r="W27" s="11" t="n">
        <v>6.01</v>
      </c>
      <c r="X27" s="11" t="n">
        <v>-4.79</v>
      </c>
      <c r="Y27" s="11" t="n">
        <v>3.55</v>
      </c>
      <c r="Z27" s="11" t="n">
        <v>1.85</v>
      </c>
      <c r="AA27" s="11" t="n">
        <v>-5.02</v>
      </c>
      <c r="AB27" s="11" t="n">
        <v>-21.09</v>
      </c>
      <c r="AC27" s="11" t="n">
        <v>-5.31</v>
      </c>
      <c r="AD27" s="11" t="n">
        <v>-9.140000000000001</v>
      </c>
    </row>
    <row r="28">
      <c r="A28" s="10" t="inlineStr">
        <is>
          <t>미수 소비세 증감</t>
        </is>
      </c>
      <c r="L28" s="11" t="n">
        <v>-2.81</v>
      </c>
      <c r="P28" s="11" t="n">
        <v>3.63</v>
      </c>
      <c r="R28" s="11" t="n">
        <v>0.08</v>
      </c>
      <c r="T28" s="11" t="n">
        <v>0.62</v>
      </c>
      <c r="V28" s="11" t="n">
        <v>-1.89</v>
      </c>
      <c r="AB28" s="11" t="n">
        <v>-2.81</v>
      </c>
      <c r="AC28" s="11" t="n">
        <v>3.63</v>
      </c>
      <c r="AD28" s="11" t="n">
        <v>0.62</v>
      </c>
    </row>
    <row r="29">
      <c r="A29" s="10" t="inlineStr">
        <is>
          <t>기타</t>
        </is>
      </c>
      <c r="D29" s="11" t="n">
        <v>1.83</v>
      </c>
      <c r="F29" s="11" t="n">
        <v>-18.7</v>
      </c>
      <c r="H29" s="11" t="n">
        <v>-4.11</v>
      </c>
      <c r="J29" s="11" t="n">
        <v>-3.23</v>
      </c>
      <c r="L29" s="11" t="n">
        <v>1.17</v>
      </c>
      <c r="N29" s="11" t="n">
        <v>-10.08</v>
      </c>
      <c r="P29" s="11" t="n">
        <v>9.359999999999999</v>
      </c>
      <c r="R29" s="11" t="n">
        <v>1.98</v>
      </c>
      <c r="T29" s="11" t="n">
        <v>-10.34</v>
      </c>
      <c r="V29" s="11" t="n">
        <v>0.02</v>
      </c>
      <c r="W29" s="11" t="n">
        <v>-1.58</v>
      </c>
      <c r="X29" s="11" t="n">
        <v>-0.02</v>
      </c>
      <c r="Y29" s="11" t="n">
        <v>3.56</v>
      </c>
      <c r="Z29" s="11" t="n">
        <v>1.83</v>
      </c>
      <c r="AA29" s="11" t="n">
        <v>-4.11</v>
      </c>
      <c r="AB29" s="11" t="n">
        <v>1.17</v>
      </c>
      <c r="AC29" s="11" t="n">
        <v>9.359999999999999</v>
      </c>
      <c r="AD29" s="11" t="n">
        <v>-10.34</v>
      </c>
    </row>
    <row r="30">
      <c r="A30" s="10" t="inlineStr">
        <is>
          <t>소계</t>
        </is>
      </c>
      <c r="D30" s="11" t="n">
        <v>67.34999999999999</v>
      </c>
      <c r="F30" s="11" t="n">
        <v>30.01</v>
      </c>
      <c r="H30" s="11" t="n">
        <v>114.38</v>
      </c>
      <c r="J30" s="11" t="n">
        <v>45.23</v>
      </c>
      <c r="L30" s="11" t="n">
        <v>94.78</v>
      </c>
      <c r="N30" s="11" t="n">
        <v>23.35</v>
      </c>
      <c r="P30" s="11" t="n">
        <v>82.81999999999999</v>
      </c>
      <c r="R30" s="11" t="n">
        <v>51.05</v>
      </c>
      <c r="T30" s="11" t="n">
        <v>96.56999999999999</v>
      </c>
      <c r="V30" s="11" t="n">
        <v>60.55</v>
      </c>
      <c r="W30" s="11" t="n">
        <v>70.22</v>
      </c>
      <c r="X30" s="11" t="n">
        <v>55.87</v>
      </c>
      <c r="Y30" s="11" t="n">
        <v>53.53</v>
      </c>
      <c r="Z30" s="11" t="n">
        <v>67.34999999999999</v>
      </c>
      <c r="AA30" s="11" t="n">
        <v>114.38</v>
      </c>
      <c r="AB30" s="11" t="n">
        <v>94.78</v>
      </c>
      <c r="AC30" s="11" t="n">
        <v>82.81999999999999</v>
      </c>
      <c r="AD30" s="11" t="n">
        <v>96.56999999999999</v>
      </c>
    </row>
    <row r="31">
      <c r="A31" s="10" t="inlineStr">
        <is>
          <t>이자·배당금 수취</t>
        </is>
      </c>
      <c r="D31" s="11" t="n">
        <v>1.52</v>
      </c>
      <c r="H31" s="11" t="n">
        <v>2.34</v>
      </c>
      <c r="J31" s="11" t="n">
        <v>2.87</v>
      </c>
      <c r="L31" s="11" t="n">
        <v>4.93</v>
      </c>
      <c r="N31" s="11" t="n">
        <v>3.18</v>
      </c>
      <c r="P31" s="11" t="n">
        <v>5</v>
      </c>
      <c r="R31" s="11" t="n">
        <v>2.94</v>
      </c>
      <c r="T31" s="11" t="n">
        <v>4.42</v>
      </c>
      <c r="V31" s="11" t="n">
        <v>3.09</v>
      </c>
      <c r="W31" s="11" t="n">
        <v>2.19</v>
      </c>
      <c r="X31" s="11" t="n">
        <v>1.82</v>
      </c>
      <c r="Y31" s="11" t="n">
        <v>1.3</v>
      </c>
      <c r="Z31" s="11" t="n">
        <v>1.52</v>
      </c>
      <c r="AA31" s="11" t="n">
        <v>2.34</v>
      </c>
      <c r="AB31" s="11" t="n">
        <v>4.93</v>
      </c>
      <c r="AC31" s="11" t="n">
        <v>5</v>
      </c>
      <c r="AD31" s="11" t="n">
        <v>4.42</v>
      </c>
    </row>
    <row r="32">
      <c r="A32" s="10" t="inlineStr">
        <is>
          <t>이자 지급</t>
        </is>
      </c>
      <c r="D32" s="11" t="n">
        <v>-0.45</v>
      </c>
      <c r="H32" s="11" t="n">
        <v>-0.71</v>
      </c>
      <c r="J32" s="11" t="n">
        <v>-0.57</v>
      </c>
      <c r="L32" s="11" t="n">
        <v>-1.52</v>
      </c>
      <c r="N32" s="11" t="n">
        <v>-1.28</v>
      </c>
      <c r="P32" s="11" t="n">
        <v>-3.48</v>
      </c>
      <c r="R32" s="11" t="n">
        <v>-3.06</v>
      </c>
      <c r="T32" s="11" t="n">
        <v>-6.11</v>
      </c>
      <c r="V32" s="11" t="n">
        <v>-3.99</v>
      </c>
      <c r="W32" s="11" t="n">
        <v>-0.02</v>
      </c>
      <c r="X32" s="11" t="n">
        <v>-0.19</v>
      </c>
      <c r="Y32" s="11" t="n">
        <v>-0.38</v>
      </c>
      <c r="Z32" s="11" t="n">
        <v>-0.45</v>
      </c>
      <c r="AA32" s="11" t="n">
        <v>-0.71</v>
      </c>
      <c r="AB32" s="11" t="n">
        <v>-1.52</v>
      </c>
      <c r="AC32" s="11" t="n">
        <v>-3.48</v>
      </c>
      <c r="AD32" s="11" t="n">
        <v>-6.11</v>
      </c>
    </row>
    <row r="33">
      <c r="A33" s="10" t="inlineStr">
        <is>
          <t>법인세 납부</t>
        </is>
      </c>
      <c r="D33" s="11" t="n">
        <v>-9.140000000000001</v>
      </c>
      <c r="F33" s="11" t="n">
        <v>-20.52</v>
      </c>
      <c r="H33" s="11" t="n">
        <v>-31.42</v>
      </c>
      <c r="J33" s="11" t="n">
        <v>-14.85</v>
      </c>
      <c r="L33" s="11" t="n">
        <v>-28.33</v>
      </c>
      <c r="N33" s="11" t="n">
        <v>-3.27</v>
      </c>
      <c r="P33" s="11" t="n">
        <v>-7.41</v>
      </c>
      <c r="R33" s="11" t="n">
        <v>-4.6</v>
      </c>
      <c r="T33" s="11" t="n">
        <v>-8.359999999999999</v>
      </c>
      <c r="V33" s="11" t="n">
        <v>-17.58</v>
      </c>
      <c r="W33" s="11" t="n">
        <v>-17.79</v>
      </c>
      <c r="X33" s="11" t="n">
        <v>-5.37</v>
      </c>
      <c r="Y33" s="11" t="n">
        <v>-5.04</v>
      </c>
      <c r="Z33" s="11" t="n">
        <v>-9.140000000000001</v>
      </c>
      <c r="AA33" s="11" t="n">
        <v>-31.42</v>
      </c>
      <c r="AB33" s="11" t="n">
        <v>-28.33</v>
      </c>
      <c r="AC33" s="11" t="n">
        <v>-7.41</v>
      </c>
      <c r="AD33" s="11" t="n">
        <v>-8.359999999999999</v>
      </c>
    </row>
    <row r="34">
      <c r="A34" s="10" t="inlineStr">
        <is>
          <t>법인세 환급</t>
        </is>
      </c>
      <c r="D34" s="11" t="n">
        <v>0.42</v>
      </c>
      <c r="F34" s="11" t="n">
        <v>2.2</v>
      </c>
      <c r="H34" s="11" t="n">
        <v>2.29</v>
      </c>
      <c r="J34" s="11" t="n">
        <v>0.8100000000000001</v>
      </c>
      <c r="L34" s="11" t="n">
        <v>1.03</v>
      </c>
      <c r="N34" s="11" t="n">
        <v>6.12</v>
      </c>
      <c r="P34" s="11" t="n">
        <v>7.68</v>
      </c>
      <c r="R34" s="11" t="n">
        <v>1.89</v>
      </c>
      <c r="T34" s="11" t="n">
        <v>1.97</v>
      </c>
      <c r="V34" s="11" t="n">
        <v>0.08</v>
      </c>
      <c r="W34" s="11" t="n">
        <v>1.34</v>
      </c>
      <c r="X34" s="11" t="n">
        <v>5.85</v>
      </c>
      <c r="Y34" s="11" t="n">
        <v>3.53</v>
      </c>
      <c r="Z34" s="11" t="n">
        <v>0.42</v>
      </c>
      <c r="AA34" s="11" t="n">
        <v>2.29</v>
      </c>
      <c r="AB34" s="11" t="n">
        <v>1.03</v>
      </c>
      <c r="AC34" s="11" t="n">
        <v>7.68</v>
      </c>
      <c r="AD34" s="11" t="n">
        <v>1.97</v>
      </c>
    </row>
    <row r="35">
      <c r="A35" s="10" t="inlineStr">
        <is>
          <t>기타</t>
        </is>
      </c>
      <c r="F35" s="11" t="n">
        <v>1.21</v>
      </c>
      <c r="J35" s="11" t="n">
        <v>2.29</v>
      </c>
    </row>
    <row r="36">
      <c r="A36" s="10" t="inlineStr">
        <is>
          <t>소송 화해금 지급</t>
        </is>
      </c>
      <c r="L36" s="11" t="n">
        <v>0</v>
      </c>
      <c r="P36" s="11" t="n">
        <v>-3.58</v>
      </c>
      <c r="T36" s="11" t="n">
        <v>0</v>
      </c>
      <c r="W36" s="11" t="n">
        <v>-34.47</v>
      </c>
      <c r="X36" s="11" t="n">
        <v>-13.34</v>
      </c>
      <c r="Y36" s="11" t="n">
        <v>0</v>
      </c>
      <c r="AB36" s="11" t="n">
        <v>0</v>
      </c>
      <c r="AC36" s="11" t="n">
        <v>-3.58</v>
      </c>
      <c r="AD36" s="11" t="n">
        <v>0</v>
      </c>
    </row>
    <row r="37">
      <c r="A37" s="10" t="inlineStr">
        <is>
          <t>분쟁 화해금 지급</t>
        </is>
      </c>
      <c r="W37" s="11" t="n">
        <v>0</v>
      </c>
      <c r="X37" s="11" t="n">
        <v>-3.7</v>
      </c>
      <c r="Y37" s="11" t="n">
        <v>0</v>
      </c>
    </row>
    <row r="38">
      <c r="A38" s="10" t="inlineStr">
        <is>
          <t>이전 보상금 수취</t>
        </is>
      </c>
      <c r="R38" s="11" t="n">
        <v>0</v>
      </c>
      <c r="V38" s="11" t="n">
        <v>9.01</v>
      </c>
    </row>
    <row r="39">
      <c r="A39" s="10" t="inlineStr">
        <is>
          <t>영업활동 현금흐름</t>
        </is>
      </c>
      <c r="D39" s="11" t="n">
        <v>59.71</v>
      </c>
      <c r="F39" s="11" t="n">
        <v>12.9</v>
      </c>
      <c r="H39" s="11" t="n">
        <v>86.88</v>
      </c>
      <c r="J39" s="11" t="n">
        <v>33.48</v>
      </c>
      <c r="L39" s="11" t="n">
        <v>70.89</v>
      </c>
      <c r="N39" s="11" t="n">
        <v>28.1</v>
      </c>
      <c r="P39" s="11" t="n">
        <v>81.01000000000001</v>
      </c>
      <c r="R39" s="11" t="n">
        <v>48.22</v>
      </c>
      <c r="T39" s="11" t="n">
        <v>88.48999999999999</v>
      </c>
      <c r="V39" s="11" t="n">
        <v>51.16</v>
      </c>
      <c r="W39" s="11" t="n">
        <v>21.46</v>
      </c>
      <c r="X39" s="11" t="n">
        <v>40.94</v>
      </c>
      <c r="Y39" s="11" t="n">
        <v>52.94</v>
      </c>
      <c r="Z39" s="11" t="n">
        <v>59.71</v>
      </c>
      <c r="AA39" s="11" t="n">
        <v>86.88</v>
      </c>
      <c r="AB39" s="11" t="n">
        <v>70.89</v>
      </c>
      <c r="AC39" s="11" t="n">
        <v>81.01000000000001</v>
      </c>
      <c r="AD39" s="11" t="n">
        <v>88.48999999999999</v>
      </c>
    </row>
    <row r="40">
      <c r="A40" s="10" t="inlineStr">
        <is>
          <t>정기예금 예입</t>
        </is>
      </c>
      <c r="D40" s="11" t="n">
        <v>-19.59</v>
      </c>
      <c r="H40" s="11" t="n">
        <v>-49.83</v>
      </c>
      <c r="J40" s="11" t="n">
        <v>-20.11</v>
      </c>
      <c r="L40" s="11" t="n">
        <v>-35.97</v>
      </c>
      <c r="N40" s="11" t="n">
        <v>-11.95</v>
      </c>
      <c r="P40" s="11" t="n">
        <v>-6.74</v>
      </c>
      <c r="R40" s="11" t="n">
        <v>-23.54</v>
      </c>
      <c r="T40" s="11" t="n">
        <v>-28.25</v>
      </c>
      <c r="V40" s="11" t="n">
        <v>-13.16</v>
      </c>
      <c r="W40" s="11" t="n">
        <v>-19.31</v>
      </c>
      <c r="X40" s="11" t="n">
        <v>-23.37</v>
      </c>
      <c r="Y40" s="11" t="n">
        <v>-11.46</v>
      </c>
      <c r="Z40" s="11" t="n">
        <v>-19.59</v>
      </c>
      <c r="AA40" s="11" t="n">
        <v>-49.83</v>
      </c>
      <c r="AB40" s="11" t="n">
        <v>-35.97</v>
      </c>
      <c r="AC40" s="11" t="n">
        <v>-6.74</v>
      </c>
      <c r="AD40" s="11" t="n">
        <v>-28.25</v>
      </c>
    </row>
    <row r="41">
      <c r="A41" s="10" t="inlineStr">
        <is>
          <t>정기예금 인출</t>
        </is>
      </c>
      <c r="D41" s="11" t="n">
        <v>7.31</v>
      </c>
      <c r="H41" s="11" t="n">
        <v>49.3</v>
      </c>
      <c r="J41" s="11" t="n">
        <v>26.3</v>
      </c>
      <c r="L41" s="11" t="n">
        <v>42.72</v>
      </c>
      <c r="N41" s="11" t="n">
        <v>16.59</v>
      </c>
      <c r="P41" s="11" t="n">
        <v>11.67</v>
      </c>
      <c r="R41" s="11" t="n">
        <v>20.45</v>
      </c>
      <c r="T41" s="11" t="n">
        <v>30.99</v>
      </c>
      <c r="V41" s="11" t="n">
        <v>10.45</v>
      </c>
      <c r="W41" s="11" t="n">
        <v>20.88</v>
      </c>
      <c r="X41" s="11" t="n">
        <v>22</v>
      </c>
      <c r="Y41" s="11" t="n">
        <v>8.960000000000001</v>
      </c>
      <c r="Z41" s="11" t="n">
        <v>7.31</v>
      </c>
      <c r="AA41" s="11" t="n">
        <v>49.3</v>
      </c>
      <c r="AB41" s="11" t="n">
        <v>42.72</v>
      </c>
      <c r="AC41" s="11" t="n">
        <v>11.67</v>
      </c>
      <c r="AD41" s="11" t="n">
        <v>30.99</v>
      </c>
    </row>
    <row r="42">
      <c r="A42" s="10" t="inlineStr">
        <is>
          <t>유가증권 취득</t>
        </is>
      </c>
      <c r="D42" s="11" t="n">
        <v>0</v>
      </c>
      <c r="H42" s="11" t="n">
        <v>-10.27</v>
      </c>
      <c r="J42" s="11" t="n">
        <v>-0.24</v>
      </c>
      <c r="L42" s="11" t="n">
        <v>-0.51</v>
      </c>
      <c r="N42" s="11" t="n">
        <v>-0.28</v>
      </c>
      <c r="P42" s="11" t="n">
        <v>0</v>
      </c>
      <c r="R42" s="11" t="n">
        <v>0</v>
      </c>
      <c r="W42" s="11" t="n">
        <v>-0.04</v>
      </c>
      <c r="X42" s="11" t="n">
        <v>0</v>
      </c>
      <c r="Z42" s="11" t="n">
        <v>0</v>
      </c>
      <c r="AA42" s="11" t="n">
        <v>-10.27</v>
      </c>
      <c r="AB42" s="11" t="n">
        <v>-0.51</v>
      </c>
      <c r="AC42" s="11" t="n">
        <v>0</v>
      </c>
    </row>
    <row r="43">
      <c r="A43" s="10" t="inlineStr">
        <is>
          <t>유가증권 상환 수입</t>
        </is>
      </c>
      <c r="L43" s="11" t="n">
        <v>0</v>
      </c>
      <c r="P43" s="11" t="n">
        <v>12.06</v>
      </c>
      <c r="T43" s="11" t="n">
        <v>0</v>
      </c>
      <c r="AB43" s="11" t="n">
        <v>0</v>
      </c>
      <c r="AC43" s="11" t="n">
        <v>12.06</v>
      </c>
      <c r="AD43" s="11" t="n">
        <v>0</v>
      </c>
    </row>
    <row r="44">
      <c r="A44" s="10" t="inlineStr">
        <is>
          <t>유형자산 취득(설비투자)</t>
        </is>
      </c>
      <c r="D44" s="11" t="n">
        <v>-46.37</v>
      </c>
      <c r="F44" s="11" t="n">
        <v>-43.43</v>
      </c>
      <c r="H44" s="11" t="n">
        <v>-116.46</v>
      </c>
      <c r="J44" s="11" t="n">
        <v>-51.43</v>
      </c>
      <c r="L44" s="11" t="n">
        <v>-156.9</v>
      </c>
      <c r="N44" s="11" t="n">
        <v>-133.28</v>
      </c>
      <c r="P44" s="11" t="n">
        <v>-250.72</v>
      </c>
      <c r="R44" s="11" t="n">
        <v>-54.97</v>
      </c>
      <c r="T44" s="11" t="n">
        <v>-74.17</v>
      </c>
      <c r="V44" s="11" t="n">
        <v>-17.11</v>
      </c>
      <c r="W44" s="11" t="n">
        <v>-55.43</v>
      </c>
      <c r="X44" s="11" t="n">
        <v>-54.13</v>
      </c>
      <c r="Y44" s="11" t="n">
        <v>-21.33</v>
      </c>
      <c r="Z44" s="11" t="n">
        <v>-46.37</v>
      </c>
      <c r="AA44" s="11" t="n">
        <v>-116.46</v>
      </c>
      <c r="AB44" s="11" t="n">
        <v>-156.9</v>
      </c>
      <c r="AC44" s="11" t="n">
        <v>-250.72</v>
      </c>
      <c r="AD44" s="11" t="n">
        <v>-74.17</v>
      </c>
    </row>
    <row r="45">
      <c r="A45" s="10" t="inlineStr">
        <is>
          <t>유형자산 매각</t>
        </is>
      </c>
      <c r="D45" s="11" t="n">
        <v>0.67</v>
      </c>
      <c r="H45" s="11" t="n">
        <v>0.41</v>
      </c>
      <c r="J45" s="11" t="n">
        <v>0.08</v>
      </c>
      <c r="L45" s="11" t="n">
        <v>0.15</v>
      </c>
      <c r="N45" s="11" t="n">
        <v>0.02</v>
      </c>
      <c r="P45" s="11" t="n">
        <v>0.12</v>
      </c>
      <c r="R45" s="11" t="n">
        <v>0.02</v>
      </c>
      <c r="W45" s="11" t="n">
        <v>0.27</v>
      </c>
      <c r="X45" s="11" t="n">
        <v>0.05</v>
      </c>
      <c r="Y45" s="11" t="n">
        <v>0.02</v>
      </c>
      <c r="Z45" s="11" t="n">
        <v>0.67</v>
      </c>
      <c r="AA45" s="11" t="n">
        <v>0.41</v>
      </c>
      <c r="AB45" s="11" t="n">
        <v>0.15</v>
      </c>
      <c r="AC45" s="11" t="n">
        <v>0.12</v>
      </c>
    </row>
    <row r="46">
      <c r="A46" s="10" t="inlineStr">
        <is>
          <t>비연결 자회사 주식 취득</t>
        </is>
      </c>
      <c r="W46" s="11" t="n">
        <v>-2.56</v>
      </c>
      <c r="X46" s="11" t="n">
        <v>0</v>
      </c>
    </row>
    <row r="47">
      <c r="A47" s="10" t="inlineStr">
        <is>
          <t>무형자산 취득</t>
        </is>
      </c>
      <c r="D47" s="11" t="n">
        <v>-1.14</v>
      </c>
      <c r="H47" s="11" t="n">
        <v>-1.11</v>
      </c>
      <c r="J47" s="11" t="n">
        <v>-1.77</v>
      </c>
      <c r="L47" s="11" t="n">
        <v>-21.44</v>
      </c>
      <c r="N47" s="11" t="n">
        <v>-1.52</v>
      </c>
      <c r="P47" s="11" t="n">
        <v>-4.38</v>
      </c>
      <c r="R47" s="11" t="n">
        <v>-1.89</v>
      </c>
      <c r="T47" s="11" t="n">
        <v>-1.49</v>
      </c>
      <c r="V47" s="11" t="n">
        <v>-0.19</v>
      </c>
      <c r="Y47" s="11" t="n">
        <v>-2.19</v>
      </c>
      <c r="Z47" s="11" t="n">
        <v>-1.14</v>
      </c>
      <c r="AA47" s="11" t="n">
        <v>-1.11</v>
      </c>
      <c r="AB47" s="11" t="n">
        <v>-21.44</v>
      </c>
      <c r="AC47" s="11" t="n">
        <v>-4.38</v>
      </c>
      <c r="AD47" s="11" t="n">
        <v>-1.49</v>
      </c>
    </row>
    <row r="48">
      <c r="A48" s="10" t="inlineStr">
        <is>
          <t>투자유가증권 취득</t>
        </is>
      </c>
      <c r="D48" s="11" t="n">
        <v>-0.01</v>
      </c>
      <c r="H48" s="11" t="n">
        <v>-0.01</v>
      </c>
      <c r="J48" s="11" t="n">
        <v>-0</v>
      </c>
      <c r="L48" s="11" t="n">
        <v>-0.01</v>
      </c>
      <c r="N48" s="11" t="n">
        <v>-0</v>
      </c>
      <c r="P48" s="11" t="n">
        <v>-0.01</v>
      </c>
      <c r="R48" s="11" t="n">
        <v>-0.07000000000000001</v>
      </c>
      <c r="W48" s="11" t="n">
        <v>-0.03</v>
      </c>
      <c r="X48" s="11" t="n">
        <v>-2.37</v>
      </c>
      <c r="Y48" s="11" t="n">
        <v>-0.01</v>
      </c>
      <c r="Z48" s="11" t="n">
        <v>-0.01</v>
      </c>
      <c r="AA48" s="11" t="n">
        <v>-0.01</v>
      </c>
      <c r="AB48" s="11" t="n">
        <v>-0.01</v>
      </c>
      <c r="AC48" s="11" t="n">
        <v>-0.01</v>
      </c>
    </row>
    <row r="49">
      <c r="A49" s="10" t="inlineStr">
        <is>
          <t>투자유가증권 매각</t>
        </is>
      </c>
      <c r="D49" s="11" t="n">
        <v>1.06</v>
      </c>
      <c r="H49" s="11" t="n">
        <v>2.07</v>
      </c>
      <c r="L49" s="11" t="n">
        <v>0</v>
      </c>
      <c r="N49" s="11" t="n">
        <v>0</v>
      </c>
      <c r="P49" s="11" t="n">
        <v>0.63</v>
      </c>
      <c r="R49" s="11" t="n">
        <v>2.42</v>
      </c>
      <c r="T49" s="11" t="n">
        <v>4.2</v>
      </c>
      <c r="V49" s="11" t="n">
        <v>0</v>
      </c>
      <c r="W49" s="11" t="n">
        <v>0</v>
      </c>
      <c r="X49" s="11" t="n">
        <v>1.57</v>
      </c>
      <c r="Y49" s="11" t="n">
        <v>0</v>
      </c>
      <c r="Z49" s="11" t="n">
        <v>1.06</v>
      </c>
      <c r="AA49" s="11" t="n">
        <v>2.07</v>
      </c>
      <c r="AB49" s="11" t="n">
        <v>0</v>
      </c>
      <c r="AC49" s="11" t="n">
        <v>0.63</v>
      </c>
      <c r="AD49" s="11" t="n">
        <v>4.2</v>
      </c>
    </row>
    <row r="50">
      <c r="A50" s="10" t="inlineStr">
        <is>
          <t>장기대여</t>
        </is>
      </c>
      <c r="D50" s="11" t="n">
        <v>0</v>
      </c>
      <c r="H50" s="11" t="n">
        <v>-0.5</v>
      </c>
      <c r="L50" s="11" t="n">
        <v>0</v>
      </c>
      <c r="W50" s="11" t="n">
        <v>-0.78</v>
      </c>
      <c r="X50" s="11" t="n">
        <v>-0.02</v>
      </c>
      <c r="Y50" s="11" t="n">
        <v>0</v>
      </c>
      <c r="Z50" s="11" t="n">
        <v>0</v>
      </c>
      <c r="AA50" s="11" t="n">
        <v>-0.5</v>
      </c>
      <c r="AB50" s="11" t="n">
        <v>0</v>
      </c>
    </row>
    <row r="51">
      <c r="A51" s="10" t="inlineStr">
        <is>
          <t>기타 투자 지출</t>
        </is>
      </c>
      <c r="D51" s="11" t="n">
        <v>-1.55</v>
      </c>
      <c r="H51" s="11" t="n">
        <v>-1.61</v>
      </c>
      <c r="L51" s="11" t="n">
        <v>-2.6</v>
      </c>
      <c r="P51" s="11" t="n">
        <v>-2.91</v>
      </c>
      <c r="T51" s="11" t="n">
        <v>-4.12</v>
      </c>
      <c r="W51" s="11" t="n">
        <v>-1.84</v>
      </c>
      <c r="X51" s="11" t="n">
        <v>-1.69</v>
      </c>
      <c r="Y51" s="11" t="n">
        <v>-1.19</v>
      </c>
      <c r="Z51" s="11" t="n">
        <v>-1.55</v>
      </c>
      <c r="AA51" s="11" t="n">
        <v>-1.61</v>
      </c>
      <c r="AB51" s="11" t="n">
        <v>-2.6</v>
      </c>
      <c r="AC51" s="11" t="n">
        <v>-2.91</v>
      </c>
      <c r="AD51" s="11" t="n">
        <v>-4.12</v>
      </c>
    </row>
    <row r="52">
      <c r="A52" s="10" t="inlineStr">
        <is>
          <t>기타 투자 수입</t>
        </is>
      </c>
      <c r="D52" s="11" t="n">
        <v>0.72</v>
      </c>
      <c r="H52" s="11" t="n">
        <v>0.28</v>
      </c>
      <c r="L52" s="11" t="n">
        <v>1.16</v>
      </c>
      <c r="P52" s="11" t="n">
        <v>1.23</v>
      </c>
      <c r="T52" s="11" t="n">
        <v>4.33</v>
      </c>
      <c r="W52" s="11" t="n">
        <v>0.39</v>
      </c>
      <c r="X52" s="11" t="n">
        <v>4.94</v>
      </c>
      <c r="Y52" s="11" t="n">
        <v>1.17</v>
      </c>
      <c r="Z52" s="11" t="n">
        <v>0.72</v>
      </c>
      <c r="AA52" s="11" t="n">
        <v>0.28</v>
      </c>
      <c r="AB52" s="11" t="n">
        <v>1.16</v>
      </c>
      <c r="AC52" s="11" t="n">
        <v>1.23</v>
      </c>
      <c r="AD52" s="11" t="n">
        <v>4.33</v>
      </c>
    </row>
    <row r="53">
      <c r="A53" s="10" t="inlineStr">
        <is>
          <t>기타 투자 지출</t>
        </is>
      </c>
      <c r="R53" s="11" t="n">
        <v>-0.76</v>
      </c>
      <c r="V53" s="11" t="n">
        <v>-1.24</v>
      </c>
    </row>
    <row r="54">
      <c r="A54" s="10" t="inlineStr">
        <is>
          <t>기타 투자 수입</t>
        </is>
      </c>
      <c r="R54" s="11" t="n">
        <v>4.64</v>
      </c>
      <c r="V54" s="11" t="n">
        <v>7.55</v>
      </c>
    </row>
    <row r="55">
      <c r="A55" s="10" t="inlineStr">
        <is>
          <t>기타</t>
        </is>
      </c>
      <c r="D55" s="11" t="n">
        <v>-0.29</v>
      </c>
      <c r="F55" s="11" t="n">
        <v>-4.06</v>
      </c>
      <c r="H55" s="11" t="n">
        <v>-1.51</v>
      </c>
      <c r="J55" s="11" t="n">
        <v>-1.02</v>
      </c>
      <c r="L55" s="11" t="n">
        <v>-0.57</v>
      </c>
      <c r="N55" s="11" t="n">
        <v>-1.63</v>
      </c>
      <c r="P55" s="11" t="n">
        <v>-0.24</v>
      </c>
      <c r="R55" s="11" t="n">
        <v>0.24</v>
      </c>
      <c r="T55" s="11" t="n">
        <v>0.11</v>
      </c>
      <c r="V55" s="11" t="n">
        <v>0.72</v>
      </c>
      <c r="W55" s="11" t="n">
        <v>15.87</v>
      </c>
      <c r="X55" s="11" t="n">
        <v>-1.75</v>
      </c>
      <c r="Y55" s="11" t="n">
        <v>-0.96</v>
      </c>
      <c r="Z55" s="11" t="n">
        <v>-0.29</v>
      </c>
      <c r="AA55" s="11" t="n">
        <v>-1.51</v>
      </c>
      <c r="AB55" s="11" t="n">
        <v>-0.57</v>
      </c>
      <c r="AC55" s="11" t="n">
        <v>-0.24</v>
      </c>
      <c r="AD55" s="11" t="n">
        <v>0.11</v>
      </c>
    </row>
    <row r="56">
      <c r="A56" s="10" t="inlineStr">
        <is>
          <t>투자활동 현금흐름</t>
        </is>
      </c>
      <c r="D56" s="11" t="n">
        <v>-59.2</v>
      </c>
      <c r="F56" s="11" t="n">
        <v>-47.5</v>
      </c>
      <c r="H56" s="11" t="n">
        <v>-129.26</v>
      </c>
      <c r="J56" s="11" t="n">
        <v>-48.21</v>
      </c>
      <c r="L56" s="11" t="n">
        <v>-173.99</v>
      </c>
      <c r="N56" s="11" t="n">
        <v>-132.06</v>
      </c>
      <c r="P56" s="11" t="n">
        <v>-239.39</v>
      </c>
      <c r="R56" s="11" t="n">
        <v>-53.39</v>
      </c>
      <c r="T56" s="11" t="n">
        <v>-68.41</v>
      </c>
      <c r="V56" s="11" t="n">
        <v>-12.99</v>
      </c>
      <c r="W56" s="11" t="n">
        <v>-42.61</v>
      </c>
      <c r="X56" s="11" t="n">
        <v>-54.77</v>
      </c>
      <c r="Y56" s="11" t="n">
        <v>-26.99</v>
      </c>
      <c r="Z56" s="11" t="n">
        <v>-59.2</v>
      </c>
      <c r="AA56" s="11" t="n">
        <v>-129.26</v>
      </c>
      <c r="AB56" s="11" t="n">
        <v>-173.99</v>
      </c>
      <c r="AC56" s="11" t="n">
        <v>-239.39</v>
      </c>
      <c r="AD56" s="11" t="n">
        <v>-68.41</v>
      </c>
    </row>
    <row r="57">
      <c r="A57" s="10" t="inlineStr">
        <is>
          <t>단기차입금 상환</t>
        </is>
      </c>
      <c r="D57" s="11" t="n">
        <v>-4.93</v>
      </c>
      <c r="F57" s="11" t="n">
        <v>-1.56</v>
      </c>
      <c r="H57" s="11" t="n">
        <v>-12.61</v>
      </c>
      <c r="J57" s="11" t="n">
        <v>-1.56</v>
      </c>
      <c r="L57" s="11" t="n">
        <v>-4.85</v>
      </c>
      <c r="N57" s="11" t="n">
        <v>-2.1</v>
      </c>
      <c r="P57" s="11" t="n">
        <v>-10.22</v>
      </c>
      <c r="R57" s="11" t="n">
        <v>-2.53</v>
      </c>
      <c r="T57" s="11" t="n">
        <v>-2.67</v>
      </c>
      <c r="V57" s="11" t="n">
        <v>-5.54</v>
      </c>
      <c r="W57" s="11" t="n">
        <v>-2.54</v>
      </c>
      <c r="X57" s="11" t="n">
        <v>-12.5</v>
      </c>
      <c r="Y57" s="11" t="n">
        <v>-12.59</v>
      </c>
      <c r="Z57" s="11" t="n">
        <v>-4.93</v>
      </c>
      <c r="AA57" s="11" t="n">
        <v>-12.61</v>
      </c>
      <c r="AB57" s="11" t="n">
        <v>-4.85</v>
      </c>
      <c r="AC57" s="11" t="n">
        <v>-10.22</v>
      </c>
      <c r="AD57" s="11" t="n">
        <v>-2.67</v>
      </c>
    </row>
    <row r="58">
      <c r="A58" s="10" t="inlineStr">
        <is>
          <t>단기차입</t>
        </is>
      </c>
      <c r="D58" s="11" t="n">
        <v>2.5</v>
      </c>
      <c r="F58" s="11" t="n">
        <v>1.5</v>
      </c>
      <c r="H58" s="11" t="n">
        <v>2.36</v>
      </c>
      <c r="J58" s="11" t="n">
        <v>2.1</v>
      </c>
      <c r="L58" s="11" t="n">
        <v>5.6</v>
      </c>
      <c r="N58" s="11" t="n">
        <v>6.74</v>
      </c>
      <c r="P58" s="11" t="n">
        <v>14.13</v>
      </c>
      <c r="R58" s="11" t="n">
        <v>0.98</v>
      </c>
      <c r="T58" s="11" t="n">
        <v>1.99</v>
      </c>
      <c r="V58" s="11" t="n">
        <v>1</v>
      </c>
      <c r="W58" s="11" t="n">
        <v>2.5</v>
      </c>
      <c r="X58" s="11" t="n">
        <v>22.5</v>
      </c>
      <c r="Y58" s="11" t="n">
        <v>14.68</v>
      </c>
      <c r="Z58" s="11" t="n">
        <v>2.5</v>
      </c>
      <c r="AA58" s="11" t="n">
        <v>2.36</v>
      </c>
      <c r="AB58" s="11" t="n">
        <v>5.6</v>
      </c>
      <c r="AC58" s="11" t="n">
        <v>14.13</v>
      </c>
      <c r="AD58" s="11" t="n">
        <v>1.99</v>
      </c>
    </row>
    <row r="59">
      <c r="A59" s="10" t="inlineStr">
        <is>
          <t>장기차입금 상환</t>
        </is>
      </c>
      <c r="D59" s="11" t="n">
        <v>-1.19</v>
      </c>
      <c r="F59" s="11" t="n">
        <v>-0.16</v>
      </c>
      <c r="H59" s="11" t="n">
        <v>-28.45</v>
      </c>
      <c r="J59" s="11" t="n">
        <v>-0.22</v>
      </c>
      <c r="L59" s="11" t="n">
        <v>-0.57</v>
      </c>
      <c r="N59" s="11" t="n">
        <v>-3.25</v>
      </c>
      <c r="P59" s="11" t="n">
        <v>-4.22</v>
      </c>
      <c r="R59" s="11" t="n">
        <v>-8.470000000000001</v>
      </c>
      <c r="T59" s="11" t="n">
        <v>-32.04</v>
      </c>
      <c r="V59" s="11" t="n">
        <v>-44.84</v>
      </c>
      <c r="W59" s="11" t="n">
        <v>-1.03</v>
      </c>
      <c r="X59" s="11" t="n">
        <v>-1.19</v>
      </c>
      <c r="Y59" s="11" t="n">
        <v>-1.35</v>
      </c>
      <c r="Z59" s="11" t="n">
        <v>-1.19</v>
      </c>
      <c r="AA59" s="11" t="n">
        <v>-28.45</v>
      </c>
      <c r="AB59" s="11" t="n">
        <v>-0.57</v>
      </c>
      <c r="AC59" s="11" t="n">
        <v>-4.22</v>
      </c>
      <c r="AD59" s="11" t="n">
        <v>-32.04</v>
      </c>
    </row>
    <row r="60">
      <c r="A60" s="10" t="inlineStr">
        <is>
          <t>장기차입</t>
        </is>
      </c>
      <c r="D60" s="11" t="n">
        <v>25.1</v>
      </c>
      <c r="F60" s="11" t="n">
        <v>71.08</v>
      </c>
      <c r="H60" s="11" t="n">
        <v>142.79</v>
      </c>
      <c r="J60" s="11" t="n">
        <v>73.20999999999999</v>
      </c>
      <c r="L60" s="11" t="n">
        <v>141.68</v>
      </c>
      <c r="N60" s="11" t="n">
        <v>131.79</v>
      </c>
      <c r="P60" s="11" t="n">
        <v>132.7</v>
      </c>
      <c r="R60" s="11" t="n">
        <v>23.86</v>
      </c>
      <c r="T60" s="11" t="n">
        <v>40.07</v>
      </c>
      <c r="V60" s="11" t="n">
        <v>0</v>
      </c>
      <c r="W60" s="11" t="n">
        <v>0.49</v>
      </c>
      <c r="X60" s="11" t="n">
        <v>25.35</v>
      </c>
      <c r="Y60" s="11" t="n">
        <v>4.6</v>
      </c>
      <c r="Z60" s="11" t="n">
        <v>25.1</v>
      </c>
      <c r="AA60" s="11" t="n">
        <v>142.79</v>
      </c>
      <c r="AB60" s="11" t="n">
        <v>141.68</v>
      </c>
      <c r="AC60" s="11" t="n">
        <v>132.7</v>
      </c>
      <c r="AD60" s="11" t="n">
        <v>40.07</v>
      </c>
    </row>
    <row r="61">
      <c r="A61" s="10" t="inlineStr">
        <is>
          <t>자기주식 취득</t>
        </is>
      </c>
      <c r="D61" s="11" t="n">
        <v>-0</v>
      </c>
      <c r="H61" s="11" t="n">
        <v>-0</v>
      </c>
      <c r="J61" s="11" t="n">
        <v>-0</v>
      </c>
      <c r="L61" s="11" t="n">
        <v>-0</v>
      </c>
      <c r="N61" s="11" t="n">
        <v>-0</v>
      </c>
      <c r="P61" s="11" t="n">
        <v>-0</v>
      </c>
      <c r="R61" s="11" t="n">
        <v>-0</v>
      </c>
      <c r="W61" s="11" t="n">
        <v>-0.01</v>
      </c>
      <c r="X61" s="11" t="n">
        <v>-0</v>
      </c>
      <c r="Y61" s="11" t="n">
        <v>-0</v>
      </c>
      <c r="Z61" s="11" t="n">
        <v>-0</v>
      </c>
      <c r="AA61" s="11" t="n">
        <v>-0</v>
      </c>
      <c r="AB61" s="11" t="n">
        <v>-0</v>
      </c>
      <c r="AC61" s="11" t="n">
        <v>-0</v>
      </c>
    </row>
    <row r="62">
      <c r="A62" s="10" t="inlineStr">
        <is>
          <t>자기주식 처분</t>
        </is>
      </c>
      <c r="D62" s="11" t="n">
        <v>1.37</v>
      </c>
      <c r="H62" s="11" t="n">
        <v>0</v>
      </c>
      <c r="W62" s="11" t="n">
        <v>0.96</v>
      </c>
      <c r="X62" s="11" t="n">
        <v>0.98</v>
      </c>
      <c r="Y62" s="11" t="n">
        <v>0.98</v>
      </c>
      <c r="Z62" s="11" t="n">
        <v>1.37</v>
      </c>
      <c r="AA62" s="11" t="n">
        <v>0</v>
      </c>
    </row>
    <row r="63">
      <c r="A63" s="10" t="inlineStr">
        <is>
          <t>배당금 지급</t>
        </is>
      </c>
      <c r="D63" s="11" t="n">
        <v>-9.300000000000001</v>
      </c>
      <c r="F63" s="11" t="n">
        <v>-7.41</v>
      </c>
      <c r="H63" s="11" t="n">
        <v>-16.64</v>
      </c>
      <c r="J63" s="11" t="n">
        <v>-9.27</v>
      </c>
      <c r="L63" s="11" t="n">
        <v>-18.53</v>
      </c>
      <c r="N63" s="11" t="n">
        <v>-9.210000000000001</v>
      </c>
      <c r="P63" s="11" t="n">
        <v>-18.47</v>
      </c>
      <c r="R63" s="11" t="n">
        <v>-5.54</v>
      </c>
      <c r="T63" s="11" t="n">
        <v>-11.15</v>
      </c>
      <c r="V63" s="11" t="n">
        <v>-6.28</v>
      </c>
      <c r="W63" s="11" t="n">
        <v>-13.3</v>
      </c>
      <c r="X63" s="11" t="n">
        <v>-13.33</v>
      </c>
      <c r="Y63" s="11" t="n">
        <v>-1.68</v>
      </c>
      <c r="Z63" s="11" t="n">
        <v>-9.300000000000001</v>
      </c>
      <c r="AA63" s="11" t="n">
        <v>-16.64</v>
      </c>
      <c r="AB63" s="11" t="n">
        <v>-18.53</v>
      </c>
      <c r="AC63" s="11" t="n">
        <v>-18.47</v>
      </c>
      <c r="AD63" s="11" t="n">
        <v>-11.15</v>
      </c>
    </row>
    <row r="64">
      <c r="A64" s="10" t="inlineStr">
        <is>
          <t>신디케이트론 수수료 지급</t>
        </is>
      </c>
      <c r="F64" s="11" t="n">
        <v>-4.82</v>
      </c>
      <c r="J64" s="11" t="n">
        <v>-0.02</v>
      </c>
    </row>
    <row r="65">
      <c r="A65" s="10" t="inlineStr">
        <is>
          <t>신디케이트론 수수료 지급</t>
        </is>
      </c>
      <c r="H65" s="11" t="n">
        <v>-4.82</v>
      </c>
      <c r="L65" s="11" t="n">
        <v>-0.02</v>
      </c>
      <c r="P65" s="11" t="n">
        <v>-0.02</v>
      </c>
      <c r="AA65" s="11" t="n">
        <v>-4.82</v>
      </c>
      <c r="AB65" s="11" t="n">
        <v>-0.02</v>
      </c>
      <c r="AC65" s="11" t="n">
        <v>-0.02</v>
      </c>
    </row>
    <row r="66">
      <c r="A66" s="10" t="inlineStr">
        <is>
          <t>신디케이트론 수수료 지급</t>
        </is>
      </c>
      <c r="J66" s="11" t="n">
        <v>-0.02</v>
      </c>
      <c r="N66" s="11" t="n">
        <v>-0.02</v>
      </c>
      <c r="R66" s="11" t="n">
        <v>-0.02</v>
      </c>
    </row>
    <row r="67">
      <c r="A67" s="10" t="inlineStr">
        <is>
          <t>기타</t>
        </is>
      </c>
      <c r="D67" s="11" t="n">
        <v>-1.06</v>
      </c>
      <c r="F67" s="11" t="n">
        <v>-0.53</v>
      </c>
      <c r="H67" s="11" t="n">
        <v>-2.15</v>
      </c>
      <c r="J67" s="11" t="n">
        <v>-0.66</v>
      </c>
      <c r="L67" s="11" t="n">
        <v>-0.37</v>
      </c>
      <c r="N67" s="11" t="n">
        <v>-0.64</v>
      </c>
      <c r="P67" s="11" t="n">
        <v>-1.39</v>
      </c>
      <c r="R67" s="11" t="n">
        <v>-0.61</v>
      </c>
      <c r="T67" s="11" t="n">
        <v>-1.31</v>
      </c>
      <c r="V67" s="11" t="n">
        <v>0.02</v>
      </c>
      <c r="W67" s="11" t="n">
        <v>-0</v>
      </c>
      <c r="X67" s="11" t="n">
        <v>-0.18</v>
      </c>
      <c r="Y67" s="11" t="n">
        <v>-0.52</v>
      </c>
      <c r="Z67" s="11" t="n">
        <v>-1.06</v>
      </c>
      <c r="AA67" s="11" t="n">
        <v>-2.15</v>
      </c>
      <c r="AB67" s="11" t="n">
        <v>-0.37</v>
      </c>
      <c r="AC67" s="11" t="n">
        <v>-1.39</v>
      </c>
      <c r="AD67" s="11" t="n">
        <v>-1.31</v>
      </c>
    </row>
    <row r="68">
      <c r="A68" s="10" t="inlineStr">
        <is>
          <t>재무활동 현금흐름</t>
        </is>
      </c>
      <c r="D68" s="11" t="n">
        <v>12.47</v>
      </c>
      <c r="F68" s="11" t="n">
        <v>58.08</v>
      </c>
      <c r="H68" s="11" t="n">
        <v>80.45999999999999</v>
      </c>
      <c r="J68" s="11" t="n">
        <v>63.56</v>
      </c>
      <c r="L68" s="11" t="n">
        <v>122.92</v>
      </c>
      <c r="N68" s="11" t="n">
        <v>123.29</v>
      </c>
      <c r="P68" s="11" t="n">
        <v>112.52</v>
      </c>
      <c r="R68" s="11" t="n">
        <v>7.67</v>
      </c>
      <c r="T68" s="11" t="n">
        <v>-5.1</v>
      </c>
      <c r="V68" s="11" t="n">
        <v>-55.64</v>
      </c>
      <c r="W68" s="11" t="n">
        <v>-12.94</v>
      </c>
      <c r="X68" s="11" t="n">
        <v>21.61</v>
      </c>
      <c r="Y68" s="11" t="n">
        <v>4.1</v>
      </c>
      <c r="Z68" s="11" t="n">
        <v>12.47</v>
      </c>
      <c r="AA68" s="11" t="n">
        <v>80.45999999999999</v>
      </c>
      <c r="AB68" s="11" t="n">
        <v>122.92</v>
      </c>
      <c r="AC68" s="11" t="n">
        <v>112.52</v>
      </c>
      <c r="AD68" s="11" t="n">
        <v>-5.1</v>
      </c>
    </row>
    <row r="69">
      <c r="A69" s="10" t="inlineStr">
        <is>
          <t>현금성자산 환산차이</t>
        </is>
      </c>
      <c r="D69" s="11" t="n">
        <v>8.960000000000001</v>
      </c>
      <c r="F69" s="11" t="n">
        <v>12.15</v>
      </c>
      <c r="H69" s="11" t="n">
        <v>12.49</v>
      </c>
      <c r="J69" s="11" t="n">
        <v>14.02</v>
      </c>
      <c r="L69" s="11" t="n">
        <v>17.82</v>
      </c>
      <c r="N69" s="11" t="n">
        <v>5.92</v>
      </c>
      <c r="P69" s="11" t="n">
        <v>2.18</v>
      </c>
      <c r="R69" s="11" t="n">
        <v>-0.06</v>
      </c>
      <c r="T69" s="11" t="n">
        <v>11.13</v>
      </c>
      <c r="V69" s="11" t="n">
        <v>1.72</v>
      </c>
      <c r="W69" s="11" t="n">
        <v>-1.15</v>
      </c>
      <c r="X69" s="11" t="n">
        <v>-1.94</v>
      </c>
      <c r="Y69" s="11" t="n">
        <v>3.48</v>
      </c>
      <c r="Z69" s="11" t="n">
        <v>8.960000000000001</v>
      </c>
      <c r="AA69" s="11" t="n">
        <v>12.49</v>
      </c>
      <c r="AB69" s="11" t="n">
        <v>17.82</v>
      </c>
      <c r="AC69" s="11" t="n">
        <v>2.18</v>
      </c>
      <c r="AD69" s="11" t="n">
        <v>11.13</v>
      </c>
    </row>
    <row r="70">
      <c r="A70" s="10" t="inlineStr">
        <is>
          <t>현금성자산 증감</t>
        </is>
      </c>
      <c r="D70" s="11" t="n">
        <v>21.95</v>
      </c>
      <c r="F70" s="11" t="n">
        <v>35.63</v>
      </c>
      <c r="H70" s="11" t="n">
        <v>50.58</v>
      </c>
      <c r="J70" s="11" t="n">
        <v>62.85</v>
      </c>
      <c r="L70" s="11" t="n">
        <v>37.65</v>
      </c>
      <c r="N70" s="11" t="n">
        <v>25.25</v>
      </c>
      <c r="P70" s="11" t="n">
        <v>-43.66</v>
      </c>
      <c r="R70" s="11" t="n">
        <v>2.43</v>
      </c>
      <c r="T70" s="11" t="n">
        <v>26.1</v>
      </c>
      <c r="V70" s="11" t="n">
        <v>-15.74</v>
      </c>
      <c r="W70" s="11" t="n">
        <v>-35.24</v>
      </c>
      <c r="X70" s="11" t="n">
        <v>5.85</v>
      </c>
      <c r="Y70" s="11" t="n">
        <v>33.52</v>
      </c>
      <c r="Z70" s="11" t="n">
        <v>21.95</v>
      </c>
      <c r="AA70" s="11" t="n">
        <v>50.58</v>
      </c>
      <c r="AB70" s="11" t="n">
        <v>37.65</v>
      </c>
      <c r="AC70" s="11" t="n">
        <v>-43.66</v>
      </c>
      <c r="AD70" s="11" t="n">
        <v>26.1</v>
      </c>
    </row>
    <row r="71">
      <c r="A71" s="10" t="inlineStr">
        <is>
          <t>합병에 따른 현금성자산 증가</t>
        </is>
      </c>
      <c r="W71" s="11" t="n">
        <v>0.44</v>
      </c>
      <c r="X71" s="11" t="n">
        <v>0</v>
      </c>
    </row>
    <row r="72">
      <c r="A72" s="10" t="inlineStr">
        <is>
          <t>연결범위 변경에 따른 현금성자산 증감</t>
        </is>
      </c>
      <c r="D72" s="11" t="n">
        <v>0</v>
      </c>
      <c r="X72" s="11" t="n">
        <v>0</v>
      </c>
      <c r="Y72" s="11" t="n">
        <v>2.14</v>
      </c>
      <c r="Z72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KOA 부문</t>
        </is>
      </c>
    </row>
    <row r="2">
      <c r="A2" s="2" t="inlineStr">
        <is>
          <t>결산기 기준(27.2Q = 2027년 결산기 2분기) · 3월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ReportableSegmentsMember · 외부 고객 매출</t>
        </is>
      </c>
      <c r="I4" s="11" t="n">
        <v>169.72</v>
      </c>
      <c r="J4" s="11" t="n">
        <v>165.54</v>
      </c>
      <c r="K4" s="11" t="n">
        <v>156.91</v>
      </c>
      <c r="L4" s="11" t="n">
        <v>156.18</v>
      </c>
      <c r="M4" s="11" t="n">
        <v>162.11</v>
      </c>
      <c r="N4" s="11" t="n">
        <v>156.83</v>
      </c>
      <c r="O4" s="11" t="n">
        <v>158.55</v>
      </c>
      <c r="P4" s="11" t="n">
        <v>163.71</v>
      </c>
      <c r="Q4" s="11" t="n">
        <v>168.45</v>
      </c>
      <c r="R4" s="11" t="n">
        <v>177.89</v>
      </c>
      <c r="S4" s="11" t="n">
        <v>184.55</v>
      </c>
      <c r="T4" s="11" t="n">
        <v>191.98</v>
      </c>
      <c r="U4" s="11" t="n">
        <v>208.8</v>
      </c>
      <c r="V4" s="11" t="n">
        <v>227.49</v>
      </c>
      <c r="AB4" s="11" t="n">
        <v>648.35</v>
      </c>
      <c r="AC4" s="11" t="n">
        <v>641.2</v>
      </c>
      <c r="AD4" s="11" t="n">
        <v>722.87</v>
      </c>
      <c r="AE4" s="7" t="inlineStr">
        <is>
          <t>결산단신 XBRL(거래소 공시, TDnet·JPX 보관소). 쓴 문서: 2026-10-23, 2026-07-23, 2026-04-24, 2026-01-28 외 26건 — '출처' 시트에 전부</t>
        </is>
      </c>
    </row>
    <row r="5">
      <c r="A5" s="10" t="inlineStr">
        <is>
          <t>ReconcilingItemsMember · 외부 고객 매출</t>
        </is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AB5" s="11" t="n">
        <v>0</v>
      </c>
      <c r="AC5" s="11" t="n">
        <v>0</v>
      </c>
      <c r="AD5" s="11" t="n">
        <v>0</v>
      </c>
    </row>
    <row r="6">
      <c r="A6" s="5" t="inlineStr">
        <is>
          <t>외부 고객 매출</t>
        </is>
      </c>
      <c r="I6" s="6" t="n">
        <v>169.72</v>
      </c>
      <c r="J6" s="6" t="n">
        <v>165.54</v>
      </c>
      <c r="K6" s="6" t="n">
        <v>156.91</v>
      </c>
      <c r="L6" s="6" t="n">
        <v>156.18</v>
      </c>
      <c r="M6" s="6" t="n">
        <v>162.11</v>
      </c>
      <c r="N6" s="6" t="n">
        <v>156.83</v>
      </c>
      <c r="O6" s="6" t="n">
        <v>158.55</v>
      </c>
      <c r="P6" s="6" t="n">
        <v>163.71</v>
      </c>
      <c r="Q6" s="6" t="n">
        <v>168.45</v>
      </c>
      <c r="R6" s="6" t="n">
        <v>177.89</v>
      </c>
      <c r="S6" s="6" t="n">
        <v>184.55</v>
      </c>
      <c r="T6" s="6" t="n">
        <v>191.98</v>
      </c>
      <c r="U6" s="6" t="n">
        <v>208.8</v>
      </c>
      <c r="V6" s="6" t="n">
        <v>227.49</v>
      </c>
      <c r="AB6" s="6" t="n">
        <v>648.35</v>
      </c>
      <c r="AC6" s="6" t="n">
        <v>641.2</v>
      </c>
      <c r="AD6" s="6" t="n">
        <v>722.87</v>
      </c>
    </row>
    <row r="7">
      <c r="A7" s="10" t="inlineStr">
        <is>
          <t>JapanReportableSegmentsMember · 부문 간 내부매출·대체</t>
        </is>
      </c>
      <c r="AB7" s="11" t="n">
        <v>301.09</v>
      </c>
      <c r="AC7" s="11" t="n">
        <v>315.94</v>
      </c>
      <c r="AD7" s="11" t="n">
        <v>355.95</v>
      </c>
    </row>
    <row r="8">
      <c r="A8" s="10" t="inlineStr">
        <is>
          <t>AsiaReportableSegmentsMember · 부문 간 내부매출·대체</t>
        </is>
      </c>
      <c r="AB8" s="11" t="n">
        <v>123.51</v>
      </c>
      <c r="AC8" s="11" t="n">
        <v>127.91</v>
      </c>
      <c r="AD8" s="11" t="n">
        <v>137.97</v>
      </c>
    </row>
    <row r="9">
      <c r="A9" s="10" t="inlineStr">
        <is>
          <t>AmericaReportableSegmentsMember · 부문 간 내부매출·대체</t>
        </is>
      </c>
      <c r="AB9" s="11" t="n">
        <v>0.08</v>
      </c>
      <c r="AC9" s="11" t="n">
        <v>0.04</v>
      </c>
      <c r="AD9" s="11" t="n">
        <v>0.16</v>
      </c>
    </row>
    <row r="10">
      <c r="A10" s="10" t="inlineStr">
        <is>
          <t>EuropeReportableSegmentsMember · 부문 간 내부매출·대체</t>
        </is>
      </c>
      <c r="AB10" s="11" t="n">
        <v>0</v>
      </c>
      <c r="AC10" s="11" t="n">
        <v>0.01</v>
      </c>
      <c r="AD10" s="11" t="n">
        <v>0</v>
      </c>
    </row>
    <row r="11">
      <c r="A11" s="10" t="inlineStr">
        <is>
          <t>JapanReportableSegmentsMember · 부문 간 내부매출·대체</t>
        </is>
      </c>
      <c r="I11" s="11" t="n">
        <v>77.95999999999999</v>
      </c>
      <c r="M11" s="11" t="n">
        <v>81.91</v>
      </c>
      <c r="Q11" s="11" t="n">
        <v>86.41</v>
      </c>
      <c r="U11" s="11" t="n">
        <v>109.62</v>
      </c>
    </row>
    <row r="12">
      <c r="A12" s="10" t="inlineStr">
        <is>
          <t>AsiaReportableSegmentsMember · 부문 간 내부매출·대체</t>
        </is>
      </c>
      <c r="I12" s="11" t="n">
        <v>33.01</v>
      </c>
      <c r="M12" s="11" t="n">
        <v>34.19</v>
      </c>
      <c r="Q12" s="11" t="n">
        <v>33.79</v>
      </c>
      <c r="U12" s="11" t="n">
        <v>40.35</v>
      </c>
    </row>
    <row r="13">
      <c r="A13" s="10" t="inlineStr">
        <is>
          <t>AmericaReportableSegmentsMember · 부문 간 내부매출·대체</t>
        </is>
      </c>
      <c r="I13" s="11" t="n">
        <v>0.01</v>
      </c>
      <c r="M13" s="11" t="n">
        <v>0.01</v>
      </c>
      <c r="Q13" s="11" t="n">
        <v>0.01</v>
      </c>
      <c r="U13" s="11" t="n">
        <v>0.01</v>
      </c>
    </row>
    <row r="14">
      <c r="A14" s="10" t="inlineStr">
        <is>
          <t>EuropeReportableSegmentsMember · 부문 간 내부매출·대체</t>
        </is>
      </c>
      <c r="I14" s="11" t="n">
        <v>0</v>
      </c>
      <c r="M14" s="11" t="n">
        <v>0</v>
      </c>
      <c r="Q14" s="11" t="n">
        <v>0</v>
      </c>
      <c r="U14" s="11" t="n">
        <v>0</v>
      </c>
    </row>
    <row r="15">
      <c r="A15" s="10" t="inlineStr">
        <is>
          <t>ReportableSegmentsMember · 부문 간 내부매출·대체</t>
        </is>
      </c>
      <c r="I15" s="11" t="n">
        <v>110.99</v>
      </c>
      <c r="J15" s="11" t="n">
        <v>114.44</v>
      </c>
      <c r="K15" s="11" t="n">
        <v>100.87</v>
      </c>
      <c r="L15" s="11" t="n">
        <v>98.39</v>
      </c>
      <c r="M15" s="11" t="n">
        <v>116.11</v>
      </c>
      <c r="N15" s="11" t="n">
        <v>107.26</v>
      </c>
      <c r="O15" s="11" t="n">
        <v>106.8</v>
      </c>
      <c r="P15" s="11" t="n">
        <v>113.75</v>
      </c>
      <c r="Q15" s="11" t="n">
        <v>120.21</v>
      </c>
      <c r="R15" s="11" t="n">
        <v>130.93</v>
      </c>
      <c r="S15" s="11" t="n">
        <v>124.45</v>
      </c>
      <c r="T15" s="11" t="n">
        <v>118.5</v>
      </c>
      <c r="U15" s="11" t="n">
        <v>149.99</v>
      </c>
      <c r="V15" s="11" t="n">
        <v>169.14</v>
      </c>
      <c r="AB15" s="11" t="n">
        <v>424.69</v>
      </c>
      <c r="AC15" s="11" t="n">
        <v>443.92</v>
      </c>
      <c r="AD15" s="11" t="n">
        <v>494.09</v>
      </c>
    </row>
    <row r="16">
      <c r="A16" s="10" t="inlineStr">
        <is>
          <t>ReconcilingItemsMember · 부문 간 내부매출·대체</t>
        </is>
      </c>
      <c r="I16" s="11" t="n">
        <v>-110.99</v>
      </c>
      <c r="J16" s="11" t="n">
        <v>-114.44</v>
      </c>
      <c r="K16" s="11" t="n">
        <v>-100.87</v>
      </c>
      <c r="L16" s="11" t="n">
        <v>-98.39</v>
      </c>
      <c r="M16" s="11" t="n">
        <v>-116.11</v>
      </c>
      <c r="N16" s="11" t="n">
        <v>-107.26</v>
      </c>
      <c r="O16" s="11" t="n">
        <v>-106.8</v>
      </c>
      <c r="P16" s="11" t="n">
        <v>-113.75</v>
      </c>
      <c r="Q16" s="11" t="n">
        <v>-120.21</v>
      </c>
      <c r="R16" s="11" t="n">
        <v>-130.93</v>
      </c>
      <c r="S16" s="11" t="n">
        <v>-124.45</v>
      </c>
      <c r="T16" s="11" t="n">
        <v>-118.5</v>
      </c>
      <c r="U16" s="11" t="n">
        <v>-149.99</v>
      </c>
      <c r="V16" s="11" t="n">
        <v>-169.14</v>
      </c>
      <c r="AB16" s="11" t="n">
        <v>-424.69</v>
      </c>
      <c r="AC16" s="11" t="n">
        <v>-443.92</v>
      </c>
      <c r="AD16" s="11" t="n">
        <v>-494.09</v>
      </c>
    </row>
    <row r="17">
      <c r="A17" s="10" t="inlineStr">
        <is>
          <t>부문 간 내부매출·대체</t>
        </is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  <c r="V17" s="11" t="n">
        <v>0</v>
      </c>
      <c r="AB17" s="11" t="n">
        <v>0</v>
      </c>
      <c r="AC17" s="11" t="n">
        <v>0</v>
      </c>
      <c r="AD17" s="11" t="n">
        <v>0</v>
      </c>
    </row>
    <row r="18">
      <c r="A18" s="10" t="inlineStr">
        <is>
          <t>JapanReportableSegmentsMember · 합계</t>
        </is>
      </c>
      <c r="AB18" s="11" t="n">
        <v>515.65</v>
      </c>
      <c r="AC18" s="11" t="n">
        <v>516.38</v>
      </c>
      <c r="AD18" s="11" t="n">
        <v>578.42</v>
      </c>
    </row>
    <row r="19">
      <c r="A19" s="10" t="inlineStr">
        <is>
          <t>AsiaReportableSegmentsMember · 합계</t>
        </is>
      </c>
      <c r="AB19" s="11" t="n">
        <v>324.68</v>
      </c>
      <c r="AC19" s="11" t="n">
        <v>337.86</v>
      </c>
      <c r="AD19" s="11" t="n">
        <v>385.49</v>
      </c>
    </row>
    <row r="20">
      <c r="A20" s="10" t="inlineStr">
        <is>
          <t>AmericaReportableSegmentsMember · 합계</t>
        </is>
      </c>
      <c r="AB20" s="11" t="n">
        <v>113.19</v>
      </c>
      <c r="AC20" s="11" t="n">
        <v>109.62</v>
      </c>
      <c r="AD20" s="11" t="n">
        <v>115.03</v>
      </c>
    </row>
    <row r="21">
      <c r="A21" s="10" t="inlineStr">
        <is>
          <t>EuropeReportableSegmentsMember · 합계</t>
        </is>
      </c>
      <c r="AB21" s="11" t="n">
        <v>119.5</v>
      </c>
      <c r="AC21" s="11" t="n">
        <v>121.25</v>
      </c>
      <c r="AD21" s="11" t="n">
        <v>138.01</v>
      </c>
    </row>
    <row r="22">
      <c r="A22" s="10" t="inlineStr">
        <is>
          <t>JapanReportableSegmentsMember · 계</t>
        </is>
      </c>
      <c r="I22" s="11" t="n">
        <v>136.4</v>
      </c>
      <c r="M22" s="11" t="n">
        <v>131.76</v>
      </c>
      <c r="Q22" s="11" t="n">
        <v>138.58</v>
      </c>
      <c r="U22" s="11" t="n">
        <v>174.52</v>
      </c>
    </row>
    <row r="23">
      <c r="A23" s="10" t="inlineStr">
        <is>
          <t>AsiaReportableSegmentsMember · 계</t>
        </is>
      </c>
      <c r="I23" s="11" t="n">
        <v>86.98</v>
      </c>
      <c r="M23" s="11" t="n">
        <v>85.11</v>
      </c>
      <c r="Q23" s="11" t="n">
        <v>89.25</v>
      </c>
      <c r="U23" s="11" t="n">
        <v>110.63</v>
      </c>
    </row>
    <row r="24">
      <c r="A24" s="10" t="inlineStr">
        <is>
          <t>AmericaReportableSegmentsMember · 계</t>
        </is>
      </c>
      <c r="I24" s="11" t="n">
        <v>27.96</v>
      </c>
      <c r="M24" s="11" t="n">
        <v>30.07</v>
      </c>
      <c r="Q24" s="11" t="n">
        <v>26.73</v>
      </c>
      <c r="U24" s="11" t="n">
        <v>34.19</v>
      </c>
    </row>
    <row r="25">
      <c r="A25" s="10" t="inlineStr">
        <is>
          <t>EuropeReportableSegmentsMember · 계</t>
        </is>
      </c>
      <c r="I25" s="11" t="n">
        <v>29.35</v>
      </c>
      <c r="M25" s="11" t="n">
        <v>31.28</v>
      </c>
      <c r="Q25" s="11" t="n">
        <v>34.1</v>
      </c>
      <c r="U25" s="11" t="n">
        <v>39.44</v>
      </c>
    </row>
    <row r="26">
      <c r="A26" s="10" t="inlineStr">
        <is>
          <t>ReportableSegmentsMember · 계</t>
        </is>
      </c>
      <c r="I26" s="11" t="n">
        <v>280.71</v>
      </c>
      <c r="J26" s="11" t="n">
        <v>279.98</v>
      </c>
      <c r="K26" s="11" t="n">
        <v>257.79</v>
      </c>
      <c r="L26" s="11" t="n">
        <v>254.56</v>
      </c>
      <c r="M26" s="11" t="n">
        <v>278.22</v>
      </c>
      <c r="N26" s="11" t="n">
        <v>264.09</v>
      </c>
      <c r="O26" s="11" t="n">
        <v>265.36</v>
      </c>
      <c r="P26" s="11" t="n">
        <v>277.45</v>
      </c>
      <c r="Q26" s="11" t="n">
        <v>288.67</v>
      </c>
      <c r="R26" s="11" t="n">
        <v>308.81</v>
      </c>
      <c r="S26" s="11" t="n">
        <v>309.01</v>
      </c>
      <c r="T26" s="11" t="n">
        <v>310.47</v>
      </c>
      <c r="U26" s="11" t="n">
        <v>358.79</v>
      </c>
      <c r="V26" s="11" t="n">
        <v>396.64</v>
      </c>
      <c r="AB26" s="11" t="n">
        <v>1073.04</v>
      </c>
      <c r="AC26" s="11" t="n">
        <v>1085.12</v>
      </c>
      <c r="AD26" s="11" t="n">
        <v>1216.96</v>
      </c>
    </row>
    <row r="27">
      <c r="A27" s="10" t="inlineStr">
        <is>
          <t>ReconcilingItemsMember · 계</t>
        </is>
      </c>
      <c r="I27" s="11" t="n">
        <v>-110.99</v>
      </c>
      <c r="J27" s="11" t="n">
        <v>-114.44</v>
      </c>
      <c r="K27" s="11" t="n">
        <v>-100.87</v>
      </c>
      <c r="L27" s="11" t="n">
        <v>-98.39</v>
      </c>
      <c r="M27" s="11" t="n">
        <v>-116.11</v>
      </c>
      <c r="N27" s="11" t="n">
        <v>-107.26</v>
      </c>
      <c r="O27" s="11" t="n">
        <v>-106.8</v>
      </c>
      <c r="P27" s="11" t="n">
        <v>-113.75</v>
      </c>
      <c r="Q27" s="11" t="n">
        <v>-120.21</v>
      </c>
      <c r="R27" s="11" t="n">
        <v>-130.93</v>
      </c>
      <c r="S27" s="11" t="n">
        <v>-124.45</v>
      </c>
      <c r="T27" s="11" t="n">
        <v>-118.5</v>
      </c>
      <c r="U27" s="11" t="n">
        <v>-149.99</v>
      </c>
      <c r="V27" s="11" t="n">
        <v>-169.14</v>
      </c>
      <c r="AB27" s="11" t="n">
        <v>-424.69</v>
      </c>
      <c r="AC27" s="11" t="n">
        <v>-443.92</v>
      </c>
      <c r="AD27" s="11" t="n">
        <v>-494.09</v>
      </c>
    </row>
    <row r="28">
      <c r="A28" s="5" t="inlineStr">
        <is>
          <t>계</t>
        </is>
      </c>
      <c r="I28" s="6" t="n">
        <v>169.72</v>
      </c>
      <c r="J28" s="6" t="n">
        <v>165.54</v>
      </c>
      <c r="K28" s="6" t="n">
        <v>156.91</v>
      </c>
      <c r="L28" s="6" t="n">
        <v>156.18</v>
      </c>
      <c r="M28" s="6" t="n">
        <v>162.11</v>
      </c>
      <c r="N28" s="6" t="n">
        <v>156.83</v>
      </c>
      <c r="O28" s="6" t="n">
        <v>158.55</v>
      </c>
      <c r="P28" s="6" t="n">
        <v>163.71</v>
      </c>
      <c r="Q28" s="6" t="n">
        <v>168.45</v>
      </c>
      <c r="R28" s="6" t="n">
        <v>177.89</v>
      </c>
      <c r="S28" s="6" t="n">
        <v>184.55</v>
      </c>
      <c r="T28" s="6" t="n">
        <v>191.98</v>
      </c>
      <c r="U28" s="6" t="n">
        <v>208.8</v>
      </c>
      <c r="V28" s="6" t="n">
        <v>227.49</v>
      </c>
      <c r="AB28" s="6" t="n">
        <v>648.35</v>
      </c>
      <c r="AC28" s="6" t="n">
        <v>641.2</v>
      </c>
      <c r="AD28" s="6" t="n">
        <v>722.87</v>
      </c>
    </row>
    <row r="29">
      <c r="A29" s="10" t="inlineStr">
        <is>
          <t>JapanReportableSegmentsMember · 부문 이익(손실)</t>
        </is>
      </c>
      <c r="AB29" s="11" t="n">
        <v>4.33</v>
      </c>
      <c r="AC29" s="11" t="n">
        <v>-10.56</v>
      </c>
      <c r="AD29" s="11" t="n">
        <v>13.35</v>
      </c>
    </row>
    <row r="30">
      <c r="A30" s="10" t="inlineStr">
        <is>
          <t>AsiaReportableSegmentsMember · 부문 이익(손실)</t>
        </is>
      </c>
      <c r="AB30" s="11" t="n">
        <v>13.06</v>
      </c>
      <c r="AC30" s="11" t="n">
        <v>13.93</v>
      </c>
      <c r="AD30" s="11" t="n">
        <v>15.49</v>
      </c>
    </row>
    <row r="31">
      <c r="A31" s="10" t="inlineStr">
        <is>
          <t>AmericaReportableSegmentsMember · 부문 이익(손실)</t>
        </is>
      </c>
      <c r="AB31" s="11" t="n">
        <v>6.15</v>
      </c>
      <c r="AC31" s="11" t="n">
        <v>2.48</v>
      </c>
      <c r="AD31" s="11" t="n">
        <v>1.13</v>
      </c>
    </row>
    <row r="32">
      <c r="A32" s="10" t="inlineStr">
        <is>
          <t>EuropeReportableSegmentsMember · 부문 이익(손실)</t>
        </is>
      </c>
      <c r="AB32" s="11" t="n">
        <v>5.24</v>
      </c>
      <c r="AC32" s="11" t="n">
        <v>4.73</v>
      </c>
      <c r="AD32" s="11" t="n">
        <v>5.87</v>
      </c>
    </row>
    <row r="33">
      <c r="A33" s="10" t="inlineStr">
        <is>
          <t>JapanReportableSegmentsMember · 부문 이익(손실)</t>
        </is>
      </c>
      <c r="I33" s="11" t="n">
        <v>2.01</v>
      </c>
      <c r="M33" s="11" t="n">
        <v>3.55</v>
      </c>
      <c r="Q33" s="11" t="n">
        <v>-0.11</v>
      </c>
      <c r="U33" s="11" t="n">
        <v>8.539999999999999</v>
      </c>
    </row>
    <row r="34">
      <c r="A34" s="10" t="inlineStr">
        <is>
          <t>AsiaReportableSegmentsMember · 부문 이익(손실)</t>
        </is>
      </c>
      <c r="I34" s="11" t="n">
        <v>0.51</v>
      </c>
      <c r="M34" s="11" t="n">
        <v>-1.35</v>
      </c>
      <c r="Q34" s="11" t="n">
        <v>3.56</v>
      </c>
      <c r="U34" s="11" t="n">
        <v>-1.29</v>
      </c>
    </row>
    <row r="35">
      <c r="A35" s="10" t="inlineStr">
        <is>
          <t>AmericaReportableSegmentsMember · 부문 이익(손실)</t>
        </is>
      </c>
      <c r="I35" s="11" t="n">
        <v>0.92</v>
      </c>
      <c r="M35" s="11" t="n">
        <v>1.08</v>
      </c>
      <c r="Q35" s="11" t="n">
        <v>0.19</v>
      </c>
      <c r="U35" s="11" t="n">
        <v>1.46</v>
      </c>
    </row>
    <row r="36">
      <c r="A36" s="10" t="inlineStr">
        <is>
          <t>EuropeReportableSegmentsMember · 부문 이익(손실)</t>
        </is>
      </c>
      <c r="I36" s="11" t="n">
        <v>2.44</v>
      </c>
      <c r="M36" s="11" t="n">
        <v>0.96</v>
      </c>
      <c r="Q36" s="11" t="n">
        <v>2.37</v>
      </c>
      <c r="U36" s="11" t="n">
        <v>2.13</v>
      </c>
    </row>
    <row r="37">
      <c r="A37" s="10" t="inlineStr">
        <is>
          <t>ReportableSegmentsMember · 부문 이익</t>
        </is>
      </c>
      <c r="I37" s="11" t="n">
        <v>5.9</v>
      </c>
      <c r="J37" s="11" t="n">
        <v>12.31</v>
      </c>
      <c r="K37" s="11" t="n">
        <v>13.16</v>
      </c>
      <c r="L37" s="11" t="n">
        <v>-2.57</v>
      </c>
      <c r="M37" s="11" t="n">
        <v>4.24</v>
      </c>
      <c r="N37" s="11" t="n">
        <v>-1.06</v>
      </c>
      <c r="O37" s="11" t="n">
        <v>-0.14</v>
      </c>
      <c r="P37" s="11" t="n">
        <v>7.55</v>
      </c>
      <c r="Q37" s="11" t="n">
        <v>6.02</v>
      </c>
      <c r="R37" s="11" t="n">
        <v>11.94</v>
      </c>
      <c r="S37" s="11" t="n">
        <v>20.23</v>
      </c>
      <c r="T37" s="11" t="n">
        <v>-2.32</v>
      </c>
      <c r="U37" s="11" t="n">
        <v>10.85</v>
      </c>
      <c r="V37" s="11" t="n">
        <v>29</v>
      </c>
      <c r="AB37" s="11" t="n">
        <v>28.8</v>
      </c>
      <c r="AC37" s="11" t="n">
        <v>10.59</v>
      </c>
      <c r="AD37" s="11" t="n">
        <v>35.87</v>
      </c>
    </row>
    <row r="38">
      <c r="A38" s="10" t="inlineStr">
        <is>
          <t>ReconcilingItemsMember · 부문 이익</t>
        </is>
      </c>
      <c r="I38" s="11" t="n">
        <v>2.75</v>
      </c>
      <c r="J38" s="11" t="n">
        <v>-6.45</v>
      </c>
      <c r="K38" s="11" t="n">
        <v>3.01</v>
      </c>
      <c r="L38" s="11" t="n">
        <v>5.02</v>
      </c>
      <c r="M38" s="11" t="n">
        <v>-1.94</v>
      </c>
      <c r="N38" s="11" t="n">
        <v>3.49</v>
      </c>
      <c r="O38" s="11" t="n">
        <v>1.02</v>
      </c>
      <c r="P38" s="11" t="n">
        <v>-1.4</v>
      </c>
      <c r="Q38" s="11" t="n">
        <v>-1.01</v>
      </c>
      <c r="R38" s="11" t="n">
        <v>-3.9</v>
      </c>
      <c r="S38" s="11" t="n">
        <v>-2.24</v>
      </c>
      <c r="T38" s="11" t="n">
        <v>7.74</v>
      </c>
      <c r="U38" s="11" t="n">
        <v>-2.34</v>
      </c>
      <c r="V38" s="11" t="n">
        <v>-0.12</v>
      </c>
      <c r="AB38" s="11" t="n">
        <v>4.33</v>
      </c>
      <c r="AC38" s="11" t="n">
        <v>1.17</v>
      </c>
      <c r="AD38" s="11" t="n">
        <v>0.59</v>
      </c>
    </row>
    <row r="39">
      <c r="A39" s="5" t="inlineStr">
        <is>
          <t>부문 이익</t>
        </is>
      </c>
      <c r="I39" s="6" t="n">
        <v>8.65</v>
      </c>
      <c r="J39" s="6" t="n">
        <v>5.86</v>
      </c>
      <c r="K39" s="6" t="n">
        <v>16.17</v>
      </c>
      <c r="L39" s="6" t="n">
        <v>2.45</v>
      </c>
      <c r="M39" s="6" t="n">
        <v>2.3</v>
      </c>
      <c r="N39" s="6" t="n">
        <v>2.44</v>
      </c>
      <c r="O39" s="6" t="n">
        <v>0.88</v>
      </c>
      <c r="P39" s="6" t="n">
        <v>6.14</v>
      </c>
      <c r="Q39" s="6" t="n">
        <v>5</v>
      </c>
      <c r="R39" s="6" t="n">
        <v>8.050000000000001</v>
      </c>
      <c r="S39" s="6" t="n">
        <v>17.98</v>
      </c>
      <c r="T39" s="6" t="n">
        <v>5.43</v>
      </c>
      <c r="U39" s="6" t="n">
        <v>8.51</v>
      </c>
      <c r="V39" s="6" t="n">
        <v>28.88</v>
      </c>
      <c r="AB39" s="6" t="n">
        <v>33.13</v>
      </c>
      <c r="AC39" s="6" t="n">
        <v>11.76</v>
      </c>
      <c r="AD39" s="6" t="n">
        <v>36.46</v>
      </c>
    </row>
    <row r="40">
      <c r="A40" s="10" t="inlineStr">
        <is>
          <t>JapanReportableSegmentsMember · 외부 고객 매출</t>
        </is>
      </c>
      <c r="I40" s="11" t="n">
        <v>58.44</v>
      </c>
      <c r="M40" s="11" t="n">
        <v>49.84</v>
      </c>
      <c r="Q40" s="11" t="n">
        <v>52.17</v>
      </c>
      <c r="U40" s="11" t="n">
        <v>64.89</v>
      </c>
    </row>
    <row r="41">
      <c r="A41" s="10" t="inlineStr">
        <is>
          <t>AsiaReportableSegmentsMember · 외부 고객 매출</t>
        </is>
      </c>
      <c r="I41" s="11" t="n">
        <v>53.97</v>
      </c>
      <c r="M41" s="11" t="n">
        <v>50.92</v>
      </c>
      <c r="Q41" s="11" t="n">
        <v>55.45</v>
      </c>
      <c r="U41" s="11" t="n">
        <v>70.27</v>
      </c>
    </row>
    <row r="42">
      <c r="A42" s="10" t="inlineStr">
        <is>
          <t>AmericaReportableSegmentsMember · 외부 고객 매출</t>
        </is>
      </c>
      <c r="I42" s="11" t="n">
        <v>27.94</v>
      </c>
      <c r="M42" s="11" t="n">
        <v>30.06</v>
      </c>
      <c r="Q42" s="11" t="n">
        <v>26.71</v>
      </c>
      <c r="U42" s="11" t="n">
        <v>34.18</v>
      </c>
    </row>
    <row r="43">
      <c r="A43" s="10" t="inlineStr">
        <is>
          <t>EuropeReportableSegmentsMember · 외부 고객 매출</t>
        </is>
      </c>
      <c r="I43" s="11" t="n">
        <v>29.35</v>
      </c>
      <c r="M43" s="11" t="n">
        <v>31.28</v>
      </c>
      <c r="Q43" s="11" t="n">
        <v>34.1</v>
      </c>
      <c r="U43" s="11" t="n">
        <v>39.44</v>
      </c>
    </row>
    <row r="44">
      <c r="A44" s="10" t="inlineStr">
        <is>
          <t>JapanReportableSegmentsMember · 외부 고객 매출</t>
        </is>
      </c>
      <c r="AB44" s="11" t="n">
        <v>214.56</v>
      </c>
      <c r="AC44" s="11" t="n">
        <v>200.43</v>
      </c>
      <c r="AD44" s="11" t="n">
        <v>222.47</v>
      </c>
    </row>
    <row r="45">
      <c r="A45" s="10" t="inlineStr">
        <is>
          <t>AsiaReportableSegmentsMember · 외부 고객 매출</t>
        </is>
      </c>
      <c r="AB45" s="11" t="n">
        <v>201.17</v>
      </c>
      <c r="AC45" s="11" t="n">
        <v>209.95</v>
      </c>
      <c r="AD45" s="11" t="n">
        <v>247.51</v>
      </c>
    </row>
    <row r="46">
      <c r="A46" s="10" t="inlineStr">
        <is>
          <t>AmericaReportableSegmentsMember · 외부 고객 매출</t>
        </is>
      </c>
      <c r="AB46" s="11" t="n">
        <v>113.11</v>
      </c>
      <c r="AC46" s="11" t="n">
        <v>109.58</v>
      </c>
      <c r="AD46" s="11" t="n">
        <v>114.87</v>
      </c>
    </row>
    <row r="47">
      <c r="A47" s="10" t="inlineStr">
        <is>
          <t>EuropeReportableSegmentsMember · 외부 고객 매출</t>
        </is>
      </c>
      <c r="AB47" s="11" t="n">
        <v>119.5</v>
      </c>
      <c r="AC47" s="11" t="n">
        <v>121.23</v>
      </c>
      <c r="AD47" s="11" t="n">
        <v>138.01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KOA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가이던스 FY3 27 · 1H guide vs 실적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guide 매출</t>
        </is>
      </c>
      <c r="B6" s="15" t="n">
        <v>430</v>
      </c>
      <c r="C6" s="3" t="inlineStr">
        <is>
          <t>2단계 보고서 자료(회사 설명회 자료·공시)</t>
        </is>
      </c>
    </row>
    <row r="7">
      <c r="A7" s="14" t="inlineStr">
        <is>
          <t>act 매출</t>
        </is>
      </c>
      <c r="B7" s="11" t="n">
        <v>436.3</v>
      </c>
    </row>
    <row r="8">
      <c r="A8" s="14" t="inlineStr">
        <is>
          <t>guide 영업이익</t>
        </is>
      </c>
      <c r="B8" s="11" t="n">
        <v>25.4</v>
      </c>
    </row>
    <row r="9">
      <c r="A9" s="14" t="inlineStr">
        <is>
          <t>act 영업이익</t>
        </is>
      </c>
      <c r="B9" s="11" t="n">
        <v>37.4</v>
      </c>
    </row>
    <row r="10">
      <c r="A10" s="14" t="inlineStr">
        <is>
          <t>guide 순이익</t>
        </is>
      </c>
      <c r="B10" s="11" t="n">
        <v>52.5</v>
      </c>
    </row>
    <row r="11">
      <c r="A11" s="14" t="inlineStr">
        <is>
          <t>act 순이익</t>
        </is>
      </c>
      <c r="B11" s="11" t="n">
        <v>58.2</v>
      </c>
    </row>
    <row r="13">
      <c r="A13" s="12" t="inlineStr">
        <is>
          <t>가이던스 FY3 27 · 2H implied</t>
        </is>
      </c>
      <c r="B13" s="12" t="n"/>
      <c r="C13" s="12" t="n"/>
    </row>
    <row r="14">
      <c r="A14" s="13" t="inlineStr">
        <is>
          <t>항목</t>
        </is>
      </c>
      <c r="B14" s="13" t="inlineStr">
        <is>
          <t>값</t>
        </is>
      </c>
      <c r="C14" s="13" t="inlineStr">
        <is>
          <t>출처</t>
        </is>
      </c>
    </row>
    <row r="15">
      <c r="A15" s="14" t="inlineStr">
        <is>
          <t>매출</t>
        </is>
      </c>
      <c r="B15" s="11" t="n">
        <v>478.7</v>
      </c>
      <c r="C15" s="3" t="inlineStr">
        <is>
          <t>2단계 보고서 자료(회사 설명회 자료·공시)</t>
        </is>
      </c>
    </row>
    <row r="16">
      <c r="A16" s="14" t="inlineStr">
        <is>
          <t>영업이익</t>
        </is>
      </c>
      <c r="B16" s="11" t="n">
        <v>45.7</v>
      </c>
    </row>
    <row r="17">
      <c r="A17" s="14" t="inlineStr">
        <is>
          <t>순이익</t>
        </is>
      </c>
      <c r="B17" s="11" t="n">
        <v>38.4</v>
      </c>
    </row>
    <row r="19">
      <c r="A19" s="12" t="inlineStr">
        <is>
          <t>가이던스 FY3 27 · midterm FY3 28 목표주가</t>
        </is>
      </c>
      <c r="B19" s="12" t="n"/>
      <c r="C19" s="12" t="n"/>
    </row>
    <row r="20">
      <c r="A20" s="13" t="inlineStr">
        <is>
          <t>항목</t>
        </is>
      </c>
      <c r="B20" s="13" t="inlineStr">
        <is>
          <t>값</t>
        </is>
      </c>
      <c r="C20" s="13" t="inlineStr">
        <is>
          <t>출처</t>
        </is>
      </c>
    </row>
    <row r="21">
      <c r="A21" s="14" t="inlineStr">
        <is>
          <t>매출</t>
        </is>
      </c>
      <c r="B21" s="15" t="n">
        <v>800</v>
      </c>
      <c r="C21" s="3" t="inlineStr">
        <is>
          <t>2단계 보고서 자료(회사 설명회 자료·공시)</t>
        </is>
      </c>
    </row>
    <row r="22">
      <c r="A22" s="14" t="inlineStr">
        <is>
          <t>영업이익</t>
        </is>
      </c>
      <c r="B22" s="11" t="n">
        <v>74</v>
      </c>
    </row>
    <row r="24">
      <c r="A24" s="12" t="inlineStr">
        <is>
          <t>컨센서스 yahoo</t>
        </is>
      </c>
      <c r="B24" s="12" t="n"/>
      <c r="C24" s="12" t="n"/>
    </row>
    <row r="25">
      <c r="A25" s="13" t="inlineStr">
        <is>
          <t>항목</t>
        </is>
      </c>
      <c r="B25" s="13" t="inlineStr">
        <is>
          <t>값</t>
        </is>
      </c>
      <c r="C25" s="13" t="inlineStr">
        <is>
          <t>출처</t>
        </is>
      </c>
    </row>
    <row r="26">
      <c r="A26" s="14" t="inlineStr">
        <is>
          <t>FY3/27_eps</t>
        </is>
      </c>
      <c r="B26" s="11" t="n">
        <v>221.5</v>
      </c>
      <c r="C26" s="3" t="inlineStr">
        <is>
          <t>발표 전 기준(분기 영업이익 컨센 없음)</t>
        </is>
      </c>
    </row>
    <row r="27">
      <c r="A27" s="14" t="inlineStr">
        <is>
          <t>FY3/27_rev</t>
        </is>
      </c>
      <c r="B27" s="11" t="n">
        <v>897.4</v>
      </c>
    </row>
    <row r="28">
      <c r="A28" s="14" t="inlineStr">
        <is>
          <t>애널리스트 수</t>
        </is>
      </c>
      <c r="B28" s="15" t="n">
        <v>2</v>
      </c>
    </row>
    <row r="29">
      <c r="A29" s="14" t="inlineStr">
        <is>
          <t>3Q 매출</t>
        </is>
      </c>
      <c r="B29" s="15" t="n">
        <v>230</v>
      </c>
    </row>
    <row r="30">
      <c r="A30" s="14" t="inlineStr">
        <is>
          <t>FY3/28_eps</t>
        </is>
      </c>
      <c r="B30" s="11" t="n">
        <v>134.3</v>
      </c>
    </row>
    <row r="31">
      <c r="A31" s="14" t="inlineStr">
        <is>
          <t>FY3/28_rev</t>
        </is>
      </c>
      <c r="B31" s="11" t="n">
        <v>905.2</v>
      </c>
    </row>
    <row r="32">
      <c r="A32" s="14" t="inlineStr">
        <is>
          <t>애널리스트 수 fy28</t>
        </is>
      </c>
      <c r="B32" s="15" t="n">
        <v>3</v>
      </c>
    </row>
    <row r="33">
      <c r="A33" s="14" t="inlineStr">
        <is>
          <t>목표주가</t>
        </is>
      </c>
      <c r="B33" s="15" t="n">
        <v>2400</v>
      </c>
    </row>
    <row r="35">
      <c r="A35" s="12" t="inlineStr">
        <is>
          <t>presentation 2Q · usage 비중 2Q</t>
        </is>
      </c>
      <c r="B35" s="12" t="n"/>
      <c r="C35" s="12" t="n"/>
    </row>
    <row r="36">
      <c r="A36" s="13" t="inlineStr">
        <is>
          <t>항목</t>
        </is>
      </c>
      <c r="B36" s="13" t="inlineStr">
        <is>
          <t>값</t>
        </is>
      </c>
      <c r="C36" s="13" t="inlineStr">
        <is>
          <t>출처</t>
        </is>
      </c>
    </row>
    <row r="37">
      <c r="A37" s="14" t="inlineStr">
        <is>
          <t>자동차</t>
        </is>
      </c>
      <c r="B37" s="15" t="n">
        <v>47</v>
      </c>
      <c r="C37" s="3" t="inlineStr">
        <is>
          <t>2단계 보고서 자료(회사 설명회 자료·공시)</t>
        </is>
      </c>
    </row>
    <row r="38">
      <c r="A38" s="14" t="inlineStr">
        <is>
          <t>산업기기</t>
        </is>
      </c>
      <c r="B38" s="15" t="n">
        <v>13</v>
      </c>
    </row>
    <row r="39">
      <c r="A39" s="14" t="inlineStr">
        <is>
          <t>통신</t>
        </is>
      </c>
      <c r="B39" s="15" t="n">
        <v>9</v>
      </c>
    </row>
    <row r="40">
      <c r="A40" s="14" t="inlineStr">
        <is>
          <t>전원</t>
        </is>
      </c>
      <c r="B40" s="15" t="n">
        <v>6</v>
      </c>
    </row>
    <row r="41">
      <c r="A41" s="14" t="inlineStr">
        <is>
          <t>가전</t>
        </is>
      </c>
      <c r="B41" s="15" t="n">
        <v>4</v>
      </c>
    </row>
    <row r="42">
      <c r="A42" s="14" t="inlineStr">
        <is>
          <t>기타</t>
        </is>
      </c>
      <c r="B42" s="15" t="n">
        <v>21</v>
      </c>
    </row>
    <row r="44">
      <c r="A44" s="12" t="inlineStr">
        <is>
          <t>비교 기업 · weekly 1y close last</t>
        </is>
      </c>
      <c r="B44" s="12" t="n"/>
      <c r="C44" s="12" t="n"/>
    </row>
    <row r="45">
      <c r="A45" s="13" t="inlineStr">
        <is>
          <t>항목</t>
        </is>
      </c>
      <c r="B45" s="13" t="inlineStr">
        <is>
          <t>값</t>
        </is>
      </c>
      <c r="C45" s="13" t="inlineStr">
        <is>
          <t>출처</t>
        </is>
      </c>
    </row>
    <row r="46">
      <c r="A46" s="14" t="inlineStr">
        <is>
          <t>로옴</t>
        </is>
      </c>
      <c r="B46" s="15" t="n">
        <v>3732</v>
      </c>
      <c r="C46" s="3" t="inlineStr">
        <is>
          <t>모두 2Q 미발표(로옴 11/5, 호쿠리쿠전기공업 11/10, 다이요유덴 11/5, 무라타 10/30, 니치콘 11/6). 분기 매출·영업이익(억 엔)</t>
        </is>
      </c>
    </row>
    <row r="47">
      <c r="A47" s="14" t="inlineStr">
        <is>
          <t>호쿠리쿠전기공업</t>
        </is>
      </c>
      <c r="B47" s="15" t="n">
        <v>2221</v>
      </c>
    </row>
    <row r="48">
      <c r="A48" s="14" t="inlineStr">
        <is>
          <t>다이요유덴</t>
        </is>
      </c>
      <c r="B48" s="15" t="n">
        <v>8364</v>
      </c>
    </row>
    <row r="49">
      <c r="A49" s="14" t="inlineStr">
        <is>
          <t>무라타</t>
        </is>
      </c>
      <c r="B49" s="15" t="n">
        <v>6275</v>
      </c>
    </row>
    <row r="50">
      <c r="A50" s="14" t="inlineStr">
        <is>
          <t>니치콘</t>
        </is>
      </c>
      <c r="B50" s="15" t="n">
        <v>2124</v>
      </c>
    </row>
    <row r="52">
      <c r="A52" s="12" t="inlineStr">
        <is>
          <t>비교 기업 · chg 1y</t>
        </is>
      </c>
      <c r="B52" s="12" t="n"/>
      <c r="C52" s="12" t="n"/>
    </row>
    <row r="53">
      <c r="A53" s="13" t="inlineStr">
        <is>
          <t>항목</t>
        </is>
      </c>
      <c r="B53" s="13" t="inlineStr">
        <is>
          <t>값</t>
        </is>
      </c>
      <c r="C53" s="13" t="inlineStr">
        <is>
          <t>출처</t>
        </is>
      </c>
    </row>
    <row r="54">
      <c r="A54" s="14" t="inlineStr">
        <is>
          <t>로옴</t>
        </is>
      </c>
      <c r="B54" s="11" t="n">
        <v>63</v>
      </c>
      <c r="C54" s="3" t="inlineStr">
        <is>
          <t>모두 2Q 미발표(로옴 11/5, 호쿠리쿠전기공업 11/10, 다이요유덴 11/5, 무라타 10/30, 니치콘 11/6). 분기 매출·영업이익(억 엔)</t>
        </is>
      </c>
    </row>
    <row r="55">
      <c r="A55" s="14" t="inlineStr">
        <is>
          <t>호쿠리쿠전기공업</t>
        </is>
      </c>
      <c r="B55" s="11" t="n">
        <v>6.6</v>
      </c>
    </row>
    <row r="56">
      <c r="A56" s="14" t="inlineStr">
        <is>
          <t>다이요유덴</t>
        </is>
      </c>
      <c r="B56" s="11" t="n">
        <v>133.3</v>
      </c>
    </row>
    <row r="57">
      <c r="A57" s="14" t="inlineStr">
        <is>
          <t>무라타</t>
        </is>
      </c>
      <c r="B57" s="11" t="n">
        <v>119.4</v>
      </c>
    </row>
    <row r="58">
      <c r="A58" s="14" t="inlineStr">
        <is>
          <t>니치콘</t>
        </is>
      </c>
      <c r="B58" s="11" t="n">
        <v>43.9</v>
      </c>
    </row>
    <row r="60">
      <c r="A60" s="12" t="inlineStr">
        <is>
          <t>컨센서스 2026 10 23</t>
        </is>
      </c>
      <c r="B60" s="12" t="n"/>
      <c r="C60" s="12" t="n"/>
    </row>
    <row r="61">
      <c r="A61" s="13" t="inlineStr">
        <is>
          <t>항목</t>
        </is>
      </c>
      <c r="B61" s="13" t="inlineStr">
        <is>
          <t>값</t>
        </is>
      </c>
      <c r="C61" s="13" t="inlineStr">
        <is>
          <t>출처</t>
        </is>
      </c>
    </row>
    <row r="62">
      <c r="A62" s="14" t="inlineStr">
        <is>
          <t>3Q27 매출</t>
        </is>
      </c>
      <c r="B62" s="11" t="n">
        <v>230</v>
      </c>
      <c r="C62" s="3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63">
      <c r="A63" s="14" t="inlineStr">
        <is>
          <t>4Q27 매출</t>
        </is>
      </c>
      <c r="B63" s="11" t="n">
        <v>230</v>
      </c>
    </row>
    <row r="64">
      <c r="A64" s="14" t="inlineStr">
        <is>
          <t>목표주가 가격</t>
        </is>
      </c>
      <c r="B64" s="15" t="n">
        <v>2400</v>
      </c>
    </row>
    <row r="65">
      <c r="A65" s="14" t="inlineStr">
        <is>
          <t>목표주가 애널리스트 수</t>
        </is>
      </c>
      <c r="B65" s="15" t="n">
        <v>1</v>
      </c>
    </row>
    <row r="67">
      <c r="A67" s="12" t="inlineStr">
        <is>
          <t>consensus_2026_10_23 · FY3/27</t>
        </is>
      </c>
      <c r="B67" s="12" t="n"/>
      <c r="C67" s="12" t="n"/>
    </row>
    <row r="68">
      <c r="A68" s="13" t="inlineStr">
        <is>
          <t>항목</t>
        </is>
      </c>
      <c r="B68" s="13" t="inlineStr">
        <is>
          <t>값</t>
        </is>
      </c>
      <c r="C68" s="13" t="inlineStr">
        <is>
          <t>출처</t>
        </is>
      </c>
    </row>
    <row r="69">
      <c r="A69" s="14" t="inlineStr">
        <is>
          <t>EPS avg</t>
        </is>
      </c>
      <c r="B69" s="11" t="n">
        <v>221.5</v>
      </c>
      <c r="C69" s="3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0">
      <c r="A70" s="14" t="inlineStr">
        <is>
          <t>애널리스트 수</t>
        </is>
      </c>
      <c r="B70" s="15" t="n">
        <v>2</v>
      </c>
    </row>
    <row r="71">
      <c r="A71" s="14" t="inlineStr">
        <is>
          <t>매출 avg</t>
        </is>
      </c>
      <c r="B71" s="11" t="n">
        <v>897.4</v>
      </c>
    </row>
    <row r="73">
      <c r="A73" s="12" t="inlineStr">
        <is>
          <t>consensus_2026_10_23 · FY3/28</t>
        </is>
      </c>
      <c r="B73" s="12" t="n"/>
      <c r="C73" s="12" t="n"/>
    </row>
    <row r="74">
      <c r="A74" s="13" t="inlineStr">
        <is>
          <t>항목</t>
        </is>
      </c>
      <c r="B74" s="13" t="inlineStr">
        <is>
          <t>값</t>
        </is>
      </c>
      <c r="C74" s="13" t="inlineStr">
        <is>
          <t>출처</t>
        </is>
      </c>
    </row>
    <row r="75">
      <c r="A75" s="14" t="inlineStr">
        <is>
          <t>EPS avg</t>
        </is>
      </c>
      <c r="B75" s="11" t="n">
        <v>134.3</v>
      </c>
      <c r="C75" s="3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6">
      <c r="A76" s="14" t="inlineStr">
        <is>
          <t>EPS 최저</t>
        </is>
      </c>
      <c r="B76" s="11" t="n">
        <v>105</v>
      </c>
    </row>
    <row r="77">
      <c r="A77" s="14" t="inlineStr">
        <is>
          <t>EPS 최고</t>
        </is>
      </c>
      <c r="B77" s="11" t="n">
        <v>155.2</v>
      </c>
    </row>
    <row r="78">
      <c r="A78" s="14" t="inlineStr">
        <is>
          <t>애널리스트 수</t>
        </is>
      </c>
      <c r="B78" s="15" t="n">
        <v>3</v>
      </c>
    </row>
    <row r="79">
      <c r="A79" s="14" t="inlineStr">
        <is>
          <t>매출 avg</t>
        </is>
      </c>
      <c r="B79" s="11" t="n">
        <v>905.2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https://www2.jpx.co.jp/disc/69990/140120261022554582.pdf</t>
        </is>
      </c>
    </row>
    <row r="5">
      <c r="A5" t="inlineStr">
        <is>
          <t>2026-07-23</t>
        </is>
      </c>
      <c r="B5" t="inlineStr">
        <is>
          <t>2027년 3월 결산기 1분기 결산단신</t>
        </is>
      </c>
      <c r="C5" t="inlineStr">
        <is>
          <t>https://www2.jpx.co.jp/disc/69990/140120260722597184.pdf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https://www2.jpx.co.jp/disc/69990/140120260423509516.pdf</t>
        </is>
      </c>
    </row>
    <row r="7">
      <c r="A7" t="inlineStr">
        <is>
          <t>2026-01-28</t>
        </is>
      </c>
      <c r="B7" t="inlineStr">
        <is>
          <t>2026년 3월 결산기 ３분기 결산단신</t>
        </is>
      </c>
      <c r="C7" t="inlineStr">
        <is>
          <t>https://www2.jpx.co.jp/disc/69990/140120260127539348.pdf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https://www2.jpx.co.jp/disc/69990/140120251002567574.pdf</t>
        </is>
      </c>
    </row>
    <row r="9">
      <c r="A9" t="inlineStr">
        <is>
          <t>2025-07-23</t>
        </is>
      </c>
      <c r="B9" t="inlineStr">
        <is>
          <t>2026년 3월 결산기 １분기 결산단신</t>
        </is>
      </c>
      <c r="C9" t="inlineStr">
        <is>
          <t>https://www2.jpx.co.jp/disc/69990/140120250718516534.pdf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https://www2.jpx.co.jp/disc/69990/140120250423521192.pdf</t>
        </is>
      </c>
    </row>
    <row r="11">
      <c r="A11" t="inlineStr">
        <is>
          <t>2025-01-27</t>
        </is>
      </c>
      <c r="B11" t="inlineStr">
        <is>
          <t>2025년 3월 결산기 ３분기 결산단신</t>
        </is>
      </c>
      <c r="C11" t="inlineStr">
        <is>
          <t>https://www2.jpx.co.jp/disc/69990/140120250127555380.pdf</t>
        </is>
      </c>
    </row>
    <row r="12">
      <c r="A12" t="inlineStr">
        <is>
          <t>2024-10-23</t>
        </is>
      </c>
      <c r="B12" t="inlineStr">
        <is>
          <t>2025년 3월 결산기 ２분기 결산단신</t>
        </is>
      </c>
      <c r="C12" t="inlineStr">
        <is>
          <t>https://www2.jpx.co.jp/disc/69990/140120241023501512.pdf</t>
        </is>
      </c>
    </row>
    <row r="13">
      <c r="A13" t="inlineStr">
        <is>
          <t>2024-07-23</t>
        </is>
      </c>
      <c r="B13" t="inlineStr">
        <is>
          <t>2025년 3월 결산기 １분기 결산단신</t>
        </is>
      </c>
      <c r="C13" t="inlineStr">
        <is>
          <t>https://www2.jpx.co.jp/disc/69990/140120240722552748.pdf</t>
        </is>
      </c>
    </row>
    <row r="14">
      <c r="A14" t="inlineStr">
        <is>
          <t>2024-04-23</t>
        </is>
      </c>
      <c r="B14" t="inlineStr">
        <is>
          <t>2024년 3월 결산기 연간 결산단신</t>
        </is>
      </c>
      <c r="C14" t="inlineStr">
        <is>
          <t>https://www2.jpx.co.jp/disc/69990/140120240422573864.pdf</t>
        </is>
      </c>
    </row>
    <row r="15">
      <c r="A15" t="inlineStr">
        <is>
          <t>2024-01-26</t>
        </is>
      </c>
      <c r="B15" t="inlineStr">
        <is>
          <t>2024년 3월 결산기 ３분기 결산단신</t>
        </is>
      </c>
      <c r="C15" t="inlineStr">
        <is>
          <t>https://www2.jpx.co.jp/disc/69990/140120240126519912.pdf</t>
        </is>
      </c>
    </row>
    <row r="16">
      <c r="A16" t="inlineStr">
        <is>
          <t>2023-10-24</t>
        </is>
      </c>
      <c r="B16" t="inlineStr">
        <is>
          <t>2024년 3월 결산기 ２분기 결산단신</t>
        </is>
      </c>
      <c r="C16" t="inlineStr">
        <is>
          <t>https://www2.jpx.co.jp/disc/69990/140120231006563792.pdf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https://www2.jpx.co.jp/disc/69990/140120230724525642.pdf</t>
        </is>
      </c>
    </row>
    <row r="18">
      <c r="A18" t="inlineStr">
        <is>
          <t>2023-04-25</t>
        </is>
      </c>
      <c r="B18" t="inlineStr">
        <is>
          <t>2023년 3월 결산기 연간 결산단신</t>
        </is>
      </c>
      <c r="C18" t="inlineStr">
        <is>
          <t>https://www2.jpx.co.jp/disc/69990/140120230425552281.pdf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https://www2.jpx.co.jp/disc/69990/140120230127594946.pdf</t>
        </is>
      </c>
    </row>
    <row r="20">
      <c r="A20" t="inlineStr">
        <is>
          <t>2022-10-25</t>
        </is>
      </c>
      <c r="B20" t="inlineStr">
        <is>
          <t>2023년 3월 결산기 ２분기 결산단신</t>
        </is>
      </c>
      <c r="C20" t="inlineStr">
        <is>
          <t>https://www2.jpx.co.jp/disc/69990/140120221025548930.pdf</t>
        </is>
      </c>
    </row>
    <row r="21">
      <c r="A21" t="inlineStr">
        <is>
          <t>2022-07-25</t>
        </is>
      </c>
      <c r="B21" t="inlineStr">
        <is>
          <t>2023년 3월 결산기 １분기 결산단신</t>
        </is>
      </c>
      <c r="C21" t="inlineStr">
        <is>
          <t>https://www2.jpx.co.jp/disc/69990/140120220725503972.pdf</t>
        </is>
      </c>
    </row>
    <row r="22">
      <c r="A22" t="inlineStr">
        <is>
          <t>2022-04-22</t>
        </is>
      </c>
      <c r="B22" t="inlineStr">
        <is>
          <t>2022년 3월 결산기 연간 결산단신</t>
        </is>
      </c>
      <c r="C22" t="inlineStr">
        <is>
          <t>https://www2.jpx.co.jp/disc/69990/140120220422526010.pdf</t>
        </is>
      </c>
    </row>
    <row r="23">
      <c r="A23" t="inlineStr">
        <is>
          <t>2022-01-27</t>
        </is>
      </c>
      <c r="B23" t="inlineStr">
        <is>
          <t>2022년 3월 결산기 ３분기 결산단신</t>
        </is>
      </c>
      <c r="C23" t="inlineStr">
        <is>
          <t>https://www2.jpx.co.jp/disc/69990/140120220127573783.pdf</t>
        </is>
      </c>
    </row>
    <row r="24">
      <c r="A24" t="inlineStr">
        <is>
          <t>2021-10-21</t>
        </is>
      </c>
      <c r="B24" t="inlineStr">
        <is>
          <t>2022년 3월 결산기 ２분기 결산단신</t>
        </is>
      </c>
      <c r="C24" t="inlineStr">
        <is>
          <t>https://www2.jpx.co.jp/disc/69990/140120211021414454.pdf</t>
        </is>
      </c>
    </row>
    <row r="25">
      <c r="A25" t="inlineStr">
        <is>
          <t>2021-07-27</t>
        </is>
      </c>
      <c r="B25" t="inlineStr">
        <is>
          <t>2022년 3월 결산기 １분기 결산단신</t>
        </is>
      </c>
      <c r="C25" t="inlineStr">
        <is>
          <t>https://www2.jpx.co.jp/disc/69990/140120210727471598.pdf</t>
        </is>
      </c>
    </row>
    <row r="26">
      <c r="A26" t="inlineStr">
        <is>
          <t>2021-04-22</t>
        </is>
      </c>
      <c r="B26" t="inlineStr">
        <is>
          <t>2021년 3월 결산기 연간 결산단신</t>
        </is>
      </c>
      <c r="C26" t="inlineStr">
        <is>
          <t>https://www2.jpx.co.jp/disc/69990/140120210422498129.pdf</t>
        </is>
      </c>
    </row>
    <row r="27">
      <c r="A27" t="inlineStr">
        <is>
          <t>2021-01-26</t>
        </is>
      </c>
      <c r="B27" t="inlineStr">
        <is>
          <t>2021년 3월 결산기 ３분기 결산단신</t>
        </is>
      </c>
      <c r="C27" t="inlineStr">
        <is>
          <t>https://www2.jpx.co.jp/disc/69990/140120210126448873.pdf</t>
        </is>
      </c>
    </row>
    <row r="28">
      <c r="A28" t="inlineStr">
        <is>
          <t>2020-10-20</t>
        </is>
      </c>
      <c r="B28" t="inlineStr">
        <is>
          <t>2021년 3월 결산기 ２분기 결산단신</t>
        </is>
      </c>
      <c r="C28" t="inlineStr">
        <is>
          <t>https://www2.jpx.co.jp/disc/69990/140120201020405690.pdf</t>
        </is>
      </c>
    </row>
    <row r="29">
      <c r="A29" t="inlineStr">
        <is>
          <t>2020-07-22</t>
        </is>
      </c>
      <c r="B29" t="inlineStr">
        <is>
          <t>2021년 3월 결산기 １분기 결산단신</t>
        </is>
      </c>
      <c r="C29" t="inlineStr">
        <is>
          <t>https://www2.jpx.co.jp/disc/69990/140120200722465946.pdf</t>
        </is>
      </c>
    </row>
    <row r="30">
      <c r="A30" t="inlineStr">
        <is>
          <t>2020-04-21</t>
        </is>
      </c>
      <c r="B30" t="inlineStr">
        <is>
          <t>2020년 3월 결산기 연간 결산단신</t>
        </is>
      </c>
      <c r="C30" t="inlineStr">
        <is>
          <t>https://www2.jpx.co.jp/disc/69990/140120200421496899.pdf</t>
        </is>
      </c>
    </row>
    <row r="31">
      <c r="A31" t="inlineStr">
        <is>
          <t>2020-01-27</t>
        </is>
      </c>
      <c r="B31" t="inlineStr">
        <is>
          <t>３분기 결산단신</t>
        </is>
      </c>
      <c r="C31" t="inlineStr">
        <is>
          <t>https://www2.jpx.co.jp/disc/69990/140120200124450533.pdf</t>
        </is>
      </c>
    </row>
    <row r="32">
      <c r="A32" t="inlineStr">
        <is>
          <t>2019-10-18</t>
        </is>
      </c>
      <c r="B32" t="inlineStr">
        <is>
          <t>２분기 결산단신</t>
        </is>
      </c>
      <c r="C32" t="inlineStr">
        <is>
          <t>https://www2.jpx.co.jp/disc/69990/140120191018409605.pdf</t>
        </is>
      </c>
    </row>
    <row r="33">
      <c r="A33" t="inlineStr">
        <is>
          <t>2019-07-23</t>
        </is>
      </c>
      <c r="B33" t="inlineStr">
        <is>
          <t>１분기 결산단신</t>
        </is>
      </c>
      <c r="C33" t="inlineStr">
        <is>
          <t>https://www2.jpx.co.jp/disc/69990/140120190723474475.pdf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2026-10-25T06:59:21Z</dcterms:created>
  <dcterms:modified xmlns:dcterms="http://purl.org/dc/terms/" xmlns:xsi="http://www.w3.org/2001/XMLSchema-instance" xsi:type="dcterms:W3CDTF">2026-10-25T06:59:21Z</dcterms:modified>
</cp:coreProperties>
</file>