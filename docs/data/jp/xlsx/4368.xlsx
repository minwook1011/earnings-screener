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46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4368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15999.892</v>
      </c>
      <c r="D4" s="12" t="n">
        <v>15835.24</v>
      </c>
      <c r="E4" s="12" t="n">
        <v>17431.688</v>
      </c>
      <c r="F4" s="12" t="n">
        <v>17324.665</v>
      </c>
      <c r="G4" s="12" t="n">
        <v>17664.282</v>
      </c>
      <c r="H4" s="12" t="n">
        <v>5030.191</v>
      </c>
      <c r="I4" s="12" t="n">
        <v>18658.089</v>
      </c>
      <c r="J4" s="12" t="n">
        <v>19047.799</v>
      </c>
      <c r="K4" s="12" t="n">
        <v>20223.08</v>
      </c>
      <c r="L4" s="12" t="n">
        <v>6170.108</v>
      </c>
      <c r="M4" s="12" t="n">
        <v>22819.442</v>
      </c>
      <c r="N4" s="12" t="n">
        <v>22777.177</v>
      </c>
      <c r="O4" s="11" t="n">
        <v>36224.356</v>
      </c>
      <c r="P4" s="12" t="n">
        <v>40221.619</v>
      </c>
      <c r="Q4" s="12" t="n">
        <v>34504.967</v>
      </c>
      <c r="R4" s="12" t="n">
        <v>41310.689</v>
      </c>
      <c r="S4" s="12" t="n">
        <v>42209.38</v>
      </c>
      <c r="T4" s="12" t="n">
        <v>46166.438</v>
      </c>
      <c r="U4" s="12" t="n">
        <v>68459.39200000001</v>
      </c>
      <c r="V4" s="12" t="n">
        <v>58970.273</v>
      </c>
      <c r="W4" s="12" t="n">
        <v>57450.826</v>
      </c>
      <c r="X4" s="12" t="n">
        <v>64099.076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생명과학 사업</t>
        </is>
      </c>
      <c r="B7" s="10" t="n"/>
      <c r="C7" s="19" t="n">
        <v>8868.972</v>
      </c>
      <c r="D7" s="20" t="n"/>
      <c r="E7" s="20" t="n">
        <v>9389.278</v>
      </c>
      <c r="F7" s="20" t="n">
        <v>9279.262000000001</v>
      </c>
      <c r="G7" s="20" t="n">
        <v>8836.409</v>
      </c>
      <c r="H7" s="20" t="n"/>
      <c r="I7" s="20" t="n">
        <v>8955.786</v>
      </c>
      <c r="J7" s="20" t="n">
        <v>8827.664000000001</v>
      </c>
      <c r="K7" s="20" t="n">
        <v>8613.153</v>
      </c>
      <c r="L7" s="20" t="n"/>
      <c r="M7" s="20" t="n">
        <v>9845.598</v>
      </c>
      <c r="N7" s="20" t="n">
        <v>9981.59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전자재료 사업</t>
        </is>
      </c>
      <c r="B10" s="10" t="n"/>
      <c r="C10" s="19" t="n">
        <v>7130.921</v>
      </c>
      <c r="D10" s="20" t="n"/>
      <c r="E10" s="20" t="n">
        <v>8042.41</v>
      </c>
      <c r="F10" s="20" t="n">
        <v>8045.403</v>
      </c>
      <c r="G10" s="20" t="n">
        <v>8827.873</v>
      </c>
      <c r="H10" s="20" t="n"/>
      <c r="I10" s="20" t="n">
        <v>9702.302</v>
      </c>
      <c r="J10" s="20" t="n">
        <v>10220.136</v>
      </c>
      <c r="K10" s="20" t="n">
        <v>11609.926</v>
      </c>
      <c r="L10" s="20" t="n"/>
      <c r="M10" s="20" t="n">
        <v>12973.844</v>
      </c>
      <c r="N10" s="20" t="n">
        <v>12795.586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생명과학 사업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34142.983</v>
      </c>
      <c r="W13" s="20" t="n">
        <v>36287.718</v>
      </c>
      <c r="X13" s="20" t="n">
        <v>35411.14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전자재료 및 기능성 화학품 사업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24827.289</v>
      </c>
      <c r="W16" s="20" t="n">
        <v>33213.808</v>
      </c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전자재료 사업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33213.808</v>
      </c>
      <c r="X19" s="20" t="n">
        <v>41514.883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10986.496</v>
      </c>
      <c r="D23" s="20" t="n">
        <v>10595.549</v>
      </c>
      <c r="E23" s="20" t="n">
        <v>11188.897</v>
      </c>
      <c r="F23" s="20" t="n">
        <v>10651.915</v>
      </c>
      <c r="G23" s="20" t="n">
        <v>10602.786</v>
      </c>
      <c r="H23" s="20" t="n">
        <v>4173.666</v>
      </c>
      <c r="I23" s="20" t="n">
        <v>11444.179</v>
      </c>
      <c r="J23" s="20" t="n">
        <v>11429.835</v>
      </c>
      <c r="K23" s="20" t="n">
        <v>12735.021</v>
      </c>
      <c r="L23" s="20" t="n">
        <v>4555.643</v>
      </c>
      <c r="M23" s="20" t="n">
        <v>13714.233</v>
      </c>
      <c r="N23" s="20" t="n">
        <v>12667.61</v>
      </c>
      <c r="O23" s="19" t="n">
        <v>19965.499</v>
      </c>
      <c r="P23" s="20" t="n">
        <v>22980.128</v>
      </c>
      <c r="Q23" s="20" t="n">
        <v>21451.597</v>
      </c>
      <c r="R23" s="20" t="n">
        <v>25896.348</v>
      </c>
      <c r="S23" s="20" t="n">
        <v>25861.584</v>
      </c>
      <c r="T23" s="20" t="n">
        <v>27225.691</v>
      </c>
      <c r="U23" s="20" t="n">
        <v>40048.359</v>
      </c>
      <c r="V23" s="20" t="n">
        <v>38396.998</v>
      </c>
      <c r="W23" s="20" t="n">
        <v>36617.264</v>
      </c>
      <c r="X23" s="20" t="n">
        <v>40164.678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2368.088</v>
      </c>
      <c r="D29" s="20" t="n">
        <v>2382.11</v>
      </c>
      <c r="E29" s="20" t="n">
        <v>2332.019</v>
      </c>
      <c r="F29" s="20" t="n">
        <v>2438.478</v>
      </c>
      <c r="G29" s="20" t="n">
        <v>2610.778</v>
      </c>
      <c r="H29" s="20" t="n">
        <v>404.956</v>
      </c>
      <c r="I29" s="20" t="n">
        <v>2519.839</v>
      </c>
      <c r="J29" s="20" t="n">
        <v>2565.08</v>
      </c>
      <c r="K29" s="20" t="n">
        <v>2671.831</v>
      </c>
      <c r="L29" s="20" t="n">
        <v>819.333</v>
      </c>
      <c r="M29" s="20" t="n">
        <v>2932.925</v>
      </c>
      <c r="N29" s="20" t="n">
        <v>2987.518</v>
      </c>
      <c r="O29" s="19" t="n">
        <v>6391.02</v>
      </c>
      <c r="P29" s="20" t="n">
        <v>6704.344</v>
      </c>
      <c r="Q29" s="20" t="n">
        <v>5317.712</v>
      </c>
      <c r="R29" s="20" t="n">
        <v>6583.801</v>
      </c>
      <c r="S29" s="20" t="n">
        <v>6715.583</v>
      </c>
      <c r="T29" s="20" t="n">
        <v>6651.766</v>
      </c>
      <c r="U29" s="20" t="n">
        <v>9480.422</v>
      </c>
      <c r="V29" s="20" t="n">
        <v>9489.325999999999</v>
      </c>
      <c r="W29" s="20" t="n">
        <v>7786.231</v>
      </c>
      <c r="X29" s="20" t="n">
        <v>8576.083000000001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2645.307</v>
      </c>
      <c r="D31" s="12" t="n">
        <v>2857.581</v>
      </c>
      <c r="E31" s="12" t="n">
        <v>3910.771</v>
      </c>
      <c r="F31" s="12" t="n">
        <v>4234.273</v>
      </c>
      <c r="G31" s="12" t="n">
        <v>4450.716</v>
      </c>
      <c r="H31" s="12" t="n">
        <v>451.57</v>
      </c>
      <c r="I31" s="12" t="n">
        <v>4694.069</v>
      </c>
      <c r="J31" s="12" t="n">
        <v>5052.884</v>
      </c>
      <c r="K31" s="12" t="n">
        <v>4816.228</v>
      </c>
      <c r="L31" s="12" t="n">
        <v>795.133</v>
      </c>
      <c r="M31" s="12" t="n">
        <v>6172.283</v>
      </c>
      <c r="N31" s="12" t="n">
        <v>7122.049</v>
      </c>
      <c r="O31" s="11" t="n">
        <v>9867.834999999999</v>
      </c>
      <c r="P31" s="12" t="n">
        <v>10537.146</v>
      </c>
      <c r="Q31" s="12" t="n">
        <v>7735.656</v>
      </c>
      <c r="R31" s="12" t="n">
        <v>8830.539000000001</v>
      </c>
      <c r="S31" s="12" t="n">
        <v>9632.212</v>
      </c>
      <c r="T31" s="12" t="n">
        <v>12288.98</v>
      </c>
      <c r="U31" s="12" t="n">
        <v>18930.611</v>
      </c>
      <c r="V31" s="12" t="n">
        <v>11083.948</v>
      </c>
      <c r="W31" s="12" t="n">
        <v>13047.33</v>
      </c>
      <c r="X31" s="12" t="n">
        <v>15358.314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37.216</v>
      </c>
      <c r="D47" s="20" t="n">
        <v>141.456</v>
      </c>
      <c r="E47" s="20" t="n">
        <v>20.258</v>
      </c>
      <c r="F47" s="20" t="n">
        <v>60.927</v>
      </c>
      <c r="G47" s="20" t="n">
        <v>0</v>
      </c>
      <c r="H47" s="20" t="n">
        <v>-45.078</v>
      </c>
      <c r="I47" s="20" t="n">
        <v>6.166</v>
      </c>
      <c r="J47" s="20" t="n">
        <v>2.236</v>
      </c>
      <c r="K47" s="20" t="n">
        <v>184.817</v>
      </c>
      <c r="L47" s="20" t="n">
        <v>-0.515</v>
      </c>
      <c r="M47" s="20" t="n">
        <v>3703.86</v>
      </c>
      <c r="N47" s="20" t="n">
        <v>9.127000000000001</v>
      </c>
      <c r="O47" s="19" t="n">
        <v>1.811</v>
      </c>
      <c r="P47" s="20" t="n">
        <v>0.803</v>
      </c>
      <c r="Q47" s="20" t="n">
        <v>25.204</v>
      </c>
      <c r="R47" s="20" t="n">
        <v>78.944</v>
      </c>
      <c r="S47" s="20" t="n">
        <v>13.284</v>
      </c>
      <c r="T47" s="20" t="n">
        <v>227.403</v>
      </c>
      <c r="U47" s="20" t="n">
        <v>388.682</v>
      </c>
      <c r="V47" s="20" t="n">
        <v>192.369</v>
      </c>
      <c r="W47" s="20" t="n">
        <v>36.107</v>
      </c>
      <c r="X47" s="20" t="n">
        <v>192.704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15.758</v>
      </c>
      <c r="D49" s="20" t="n">
        <v>1.643</v>
      </c>
      <c r="E49" s="20" t="n">
        <v>12.232</v>
      </c>
      <c r="F49" s="20" t="n">
        <v>9.173</v>
      </c>
      <c r="G49" s="20" t="n">
        <v>18.862</v>
      </c>
      <c r="H49" s="20" t="n">
        <v>339.583</v>
      </c>
      <c r="I49" s="20" t="n">
        <v>4.066</v>
      </c>
      <c r="J49" s="20" t="n">
        <v>17.058</v>
      </c>
      <c r="K49" s="20" t="n">
        <v>10.117</v>
      </c>
      <c r="L49" s="20" t="n">
        <v>185.375</v>
      </c>
      <c r="M49" s="20" t="n">
        <v>95.38500000000001</v>
      </c>
      <c r="N49" s="20" t="n">
        <v>35.971</v>
      </c>
      <c r="O49" s="19" t="n">
        <v>51.445</v>
      </c>
      <c r="P49" s="20" t="n">
        <v>961.021</v>
      </c>
      <c r="Q49" s="20" t="n">
        <v>50.327</v>
      </c>
      <c r="R49" s="20" t="n">
        <v>157.649</v>
      </c>
      <c r="S49" s="20" t="n">
        <v>30.169</v>
      </c>
      <c r="T49" s="20" t="n">
        <v>20.055</v>
      </c>
      <c r="U49" s="20" t="n">
        <v>46.458</v>
      </c>
      <c r="V49" s="20" t="n">
        <v>69.25700000000001</v>
      </c>
      <c r="W49" s="20" t="n">
        <v>379.85</v>
      </c>
      <c r="X49" s="20" t="n">
        <v>216.616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-158.719</v>
      </c>
      <c r="D51" s="20" t="n">
        <v>373.039</v>
      </c>
      <c r="E51" s="20" t="n">
        <v>429.097</v>
      </c>
      <c r="F51" s="20" t="n">
        <v>-247.158</v>
      </c>
      <c r="G51" s="20" t="n">
        <v>492.168</v>
      </c>
      <c r="H51" s="20" t="n">
        <v>1154.459</v>
      </c>
      <c r="I51" s="20" t="n">
        <v>122.84</v>
      </c>
      <c r="J51" s="20" t="n">
        <v>114.515</v>
      </c>
      <c r="K51" s="20" t="n">
        <v>393.649</v>
      </c>
      <c r="L51" s="20" t="n">
        <v>3131.79</v>
      </c>
      <c r="M51" s="20" t="n">
        <v>220.727</v>
      </c>
      <c r="N51" s="20" t="n">
        <v>78.919</v>
      </c>
      <c r="O51" s="19" t="n">
        <v>186.652</v>
      </c>
      <c r="P51" s="20" t="n">
        <v>129.911</v>
      </c>
      <c r="Q51" s="20" t="n">
        <v>2119.172</v>
      </c>
      <c r="R51" s="20" t="n">
        <v>155.586</v>
      </c>
      <c r="S51" s="20" t="n">
        <v>123.804</v>
      </c>
      <c r="T51" s="20" t="n">
        <v>1686.007</v>
      </c>
      <c r="U51" s="20" t="n">
        <v>821.9059999999999</v>
      </c>
      <c r="V51" s="20" t="n">
        <v>952.398</v>
      </c>
      <c r="W51" s="20" t="n">
        <v>1828.566</v>
      </c>
      <c r="X51" s="20" t="n">
        <v>3762.794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33.603</v>
      </c>
      <c r="D53" s="20" t="n">
        <v>46.482</v>
      </c>
      <c r="E53" s="20" t="n">
        <v>49.19</v>
      </c>
      <c r="F53" s="20" t="n">
        <v>328.843</v>
      </c>
      <c r="G53" s="20" t="n">
        <v>-264.658</v>
      </c>
      <c r="H53" s="20" t="n">
        <v>31.566</v>
      </c>
      <c r="I53" s="20" t="n">
        <v>284.229</v>
      </c>
      <c r="J53" s="20" t="n">
        <v>-107.556</v>
      </c>
      <c r="K53" s="20" t="n">
        <v>-56.682</v>
      </c>
      <c r="L53" s="20" t="n">
        <v>36.084</v>
      </c>
      <c r="M53" s="20" t="n">
        <v>29.552</v>
      </c>
      <c r="N53" s="20" t="n">
        <v>207.156</v>
      </c>
      <c r="O53" s="19" t="n">
        <v>15.809</v>
      </c>
      <c r="P53" s="20" t="n">
        <v>299.477</v>
      </c>
      <c r="Q53" s="20" t="n">
        <v>0.641</v>
      </c>
      <c r="R53" s="20" t="n">
        <v>31.645</v>
      </c>
      <c r="S53" s="20" t="n">
        <v>9.567</v>
      </c>
      <c r="T53" s="20" t="n">
        <v>4.222</v>
      </c>
      <c r="U53" s="20" t="n">
        <v>12.42</v>
      </c>
      <c r="V53" s="20" t="n">
        <v>153.263</v>
      </c>
      <c r="W53" s="20" t="n">
        <v>144.941</v>
      </c>
      <c r="X53" s="20" t="n">
        <v>156.075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2474.442</v>
      </c>
      <c r="D55" s="12" t="n">
        <v>3323.951</v>
      </c>
      <c r="E55" s="12" t="n">
        <v>4298.705</v>
      </c>
      <c r="F55" s="12" t="n">
        <v>3710.025</v>
      </c>
      <c r="G55" s="12" t="n">
        <v>5188.68</v>
      </c>
      <c r="H55" s="12" t="n">
        <v>1189.802</v>
      </c>
      <c r="I55" s="12" t="n">
        <v>4534.78</v>
      </c>
      <c r="J55" s="12" t="n">
        <v>5260.133</v>
      </c>
      <c r="K55" s="12" t="n">
        <v>5441.26</v>
      </c>
      <c r="L55" s="12" t="n">
        <v>3704.949</v>
      </c>
      <c r="M55" s="12" t="n">
        <v>9971.933999999999</v>
      </c>
      <c r="N55" s="12" t="n">
        <v>6966.967</v>
      </c>
      <c r="O55" s="11" t="n">
        <v>9989.044</v>
      </c>
      <c r="P55" s="12" t="n">
        <v>9407.361999999999</v>
      </c>
      <c r="Q55" s="12" t="n">
        <v>9829.063</v>
      </c>
      <c r="R55" s="12" t="n">
        <v>8875.776</v>
      </c>
      <c r="S55" s="12" t="n">
        <v>9729.563</v>
      </c>
      <c r="T55" s="12" t="n">
        <v>14178.112</v>
      </c>
      <c r="U55" s="12" t="n">
        <v>20082.321</v>
      </c>
      <c r="V55" s="12" t="n">
        <v>12006.194</v>
      </c>
      <c r="W55" s="12" t="n">
        <v>14387.212</v>
      </c>
      <c r="X55" s="12" t="n">
        <v>18941.122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654.999</v>
      </c>
      <c r="D57" s="20" t="n">
        <v>1087.332</v>
      </c>
      <c r="E57" s="20" t="n">
        <v>1414.142</v>
      </c>
      <c r="F57" s="20" t="n">
        <v>986.275</v>
      </c>
      <c r="G57" s="20" t="n">
        <v>1627.264</v>
      </c>
      <c r="H57" s="20" t="n">
        <v>-490.681</v>
      </c>
      <c r="I57" s="20" t="n">
        <v>1429.602</v>
      </c>
      <c r="J57" s="20" t="n">
        <v>1485.386</v>
      </c>
      <c r="K57" s="20" t="n">
        <v>1632.005</v>
      </c>
      <c r="L57" s="20" t="n">
        <v>-246.993</v>
      </c>
      <c r="M57" s="20" t="n">
        <v>3283.038</v>
      </c>
      <c r="N57" s="20" t="n">
        <v>1993.262</v>
      </c>
      <c r="O57" s="19" t="n">
        <v>3092.132</v>
      </c>
      <c r="P57" s="20" t="n">
        <v>2814.196</v>
      </c>
      <c r="Q57" s="20" t="n">
        <v>2460</v>
      </c>
      <c r="R57" s="20" t="n">
        <v>1861.453</v>
      </c>
      <c r="S57" s="20" t="n">
        <v>2921.483</v>
      </c>
      <c r="T57" s="20" t="n">
        <v>4016</v>
      </c>
      <c r="U57" s="20" t="n">
        <v>5952.861</v>
      </c>
      <c r="V57" s="20" t="n">
        <v>3662.894</v>
      </c>
      <c r="W57" s="20" t="n">
        <v>3537</v>
      </c>
      <c r="X57" s="20" t="n">
        <v>4300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1819.443</v>
      </c>
      <c r="D59" s="12" t="n">
        <v>2236.618</v>
      </c>
      <c r="E59" s="12" t="n">
        <v>2884.562</v>
      </c>
      <c r="F59" s="12" t="n">
        <v>2723.751</v>
      </c>
      <c r="G59" s="12" t="n">
        <v>3561.416</v>
      </c>
      <c r="H59" s="12" t="n">
        <v>1680.483</v>
      </c>
      <c r="I59" s="12" t="n">
        <v>3105.177</v>
      </c>
      <c r="J59" s="12" t="n">
        <v>3774.747</v>
      </c>
      <c r="K59" s="12" t="n">
        <v>3809.256</v>
      </c>
      <c r="L59" s="12" t="n">
        <v>3951.942</v>
      </c>
      <c r="M59" s="12" t="n">
        <v>6688.896</v>
      </c>
      <c r="N59" s="12" t="n">
        <v>4973.704</v>
      </c>
      <c r="O59" s="11" t="n">
        <v>6896.911</v>
      </c>
      <c r="P59" s="12" t="n">
        <v>6593.165</v>
      </c>
      <c r="Q59" s="12" t="n">
        <v>7369.063</v>
      </c>
      <c r="R59" s="12" t="n">
        <v>7014.323</v>
      </c>
      <c r="S59" s="12" t="n">
        <v>6808.079</v>
      </c>
      <c r="T59" s="12" t="n">
        <v>10162.112</v>
      </c>
      <c r="U59" s="12" t="n">
        <v>14129.459</v>
      </c>
      <c r="V59" s="12" t="n">
        <v>8343.299000000001</v>
      </c>
      <c r="W59" s="12" t="n">
        <v>10850.212</v>
      </c>
      <c r="X59" s="12" t="n">
        <v>14641.122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1819.443</v>
      </c>
      <c r="D61" s="12" t="n">
        <v>2236.618</v>
      </c>
      <c r="E61" s="12" t="n">
        <v>2884.562</v>
      </c>
      <c r="F61" s="12" t="n">
        <v>2723.751</v>
      </c>
      <c r="G61" s="12" t="n">
        <v>3561.416</v>
      </c>
      <c r="H61" s="12" t="n">
        <v>2453.056</v>
      </c>
      <c r="I61" s="12" t="n">
        <v>3105.177</v>
      </c>
      <c r="J61" s="12" t="n">
        <v>3774.747</v>
      </c>
      <c r="K61" s="12" t="n">
        <v>3809.256</v>
      </c>
      <c r="L61" s="12" t="n">
        <v>3622.402</v>
      </c>
      <c r="M61" s="12" t="n">
        <v>6688.896</v>
      </c>
      <c r="N61" s="12" t="n">
        <v>4973.704</v>
      </c>
      <c r="O61" s="11" t="n">
        <v>6895.594</v>
      </c>
      <c r="P61" s="12" t="n">
        <v>6592.287</v>
      </c>
      <c r="Q61" s="12" t="n">
        <v>6881.266</v>
      </c>
      <c r="R61" s="12" t="n">
        <v>7014.323</v>
      </c>
      <c r="S61" s="12" t="n">
        <v>6808.079</v>
      </c>
      <c r="T61" s="12" t="n">
        <v>10890.394</v>
      </c>
      <c r="U61" s="12" t="n">
        <v>14129.459</v>
      </c>
      <c r="V61" s="12" t="n">
        <v>8343.299000000001</v>
      </c>
      <c r="W61" s="12" t="n">
        <v>11622.785</v>
      </c>
      <c r="X61" s="12" t="n">
        <v>14311.582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15999.892</v>
      </c>
      <c r="D96" s="12" t="n">
        <v>15835.24</v>
      </c>
      <c r="E96" s="12" t="n">
        <v>17431.688</v>
      </c>
      <c r="F96" s="12" t="n">
        <v>17324.665</v>
      </c>
      <c r="G96" s="12" t="n">
        <v>17664.282</v>
      </c>
      <c r="H96" s="12" t="n">
        <v>5030.191</v>
      </c>
      <c r="I96" s="12" t="n">
        <v>18658.089</v>
      </c>
      <c r="J96" s="12" t="n">
        <v>19047.799</v>
      </c>
      <c r="K96" s="12" t="n">
        <v>20223.08</v>
      </c>
      <c r="L96" s="12" t="n">
        <v>6170.108</v>
      </c>
      <c r="M96" s="12" t="n">
        <v>22819.442</v>
      </c>
      <c r="N96" s="12" t="n">
        <v>22777.177</v>
      </c>
      <c r="T96" s="12" t="n">
        <v>6510.031</v>
      </c>
      <c r="U96" s="12" t="n">
        <v>15825.273</v>
      </c>
      <c r="V96" s="12" t="n">
        <v>15835.24</v>
      </c>
      <c r="W96" s="12" t="n">
        <v>5030.191</v>
      </c>
      <c r="X96" s="12" t="n">
        <v>6170.108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10986.496</v>
      </c>
      <c r="D98" s="20" t="n">
        <v>10595.549</v>
      </c>
      <c r="E98" s="20" t="n">
        <v>11188.897</v>
      </c>
      <c r="F98" s="20" t="n">
        <v>10651.915</v>
      </c>
      <c r="G98" s="20" t="n">
        <v>10602.786</v>
      </c>
      <c r="H98" s="20" t="n">
        <v>4173.666</v>
      </c>
      <c r="I98" s="20" t="n">
        <v>11444.179</v>
      </c>
      <c r="J98" s="20" t="n">
        <v>11429.835</v>
      </c>
      <c r="K98" s="20" t="n">
        <v>12735.021</v>
      </c>
      <c r="L98" s="20" t="n">
        <v>4555.643</v>
      </c>
      <c r="M98" s="20" t="n">
        <v>13714.233</v>
      </c>
      <c r="N98" s="20" t="n">
        <v>12667.61</v>
      </c>
      <c r="T98" s="20" t="n">
        <v>3533.159</v>
      </c>
      <c r="U98" s="20" t="n">
        <v>9208.561</v>
      </c>
      <c r="V98" s="20" t="n">
        <v>10595.549</v>
      </c>
      <c r="W98" s="20" t="n">
        <v>4173.666</v>
      </c>
      <c r="X98" s="20" t="n">
        <v>4555.643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5013.396</v>
      </c>
      <c r="D100" s="12" t="n">
        <v>5239.691</v>
      </c>
      <c r="E100" s="12" t="n">
        <v>6242.79</v>
      </c>
      <c r="F100" s="12" t="n">
        <v>6672.751</v>
      </c>
      <c r="G100" s="12" t="n">
        <v>7061.495</v>
      </c>
      <c r="H100" s="12" t="n">
        <v>856.526</v>
      </c>
      <c r="I100" s="12" t="n">
        <v>7213.909</v>
      </c>
      <c r="J100" s="12" t="n">
        <v>7617.964</v>
      </c>
      <c r="K100" s="12" t="n">
        <v>7488.059</v>
      </c>
      <c r="L100" s="12" t="n">
        <v>1614.465</v>
      </c>
      <c r="M100" s="12" t="n">
        <v>9105.209000000001</v>
      </c>
      <c r="N100" s="12" t="n">
        <v>10109.566</v>
      </c>
      <c r="T100" s="12" t="n">
        <v>2976.873</v>
      </c>
      <c r="U100" s="12" t="n">
        <v>6616.713</v>
      </c>
      <c r="V100" s="12" t="n">
        <v>5239.691</v>
      </c>
      <c r="W100" s="12" t="n">
        <v>856.526</v>
      </c>
      <c r="X100" s="12" t="n">
        <v>1614.465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2368.088</v>
      </c>
      <c r="D102" s="20" t="n">
        <v>2382.11</v>
      </c>
      <c r="E102" s="20" t="n">
        <v>2332.019</v>
      </c>
      <c r="F102" s="20" t="n">
        <v>2438.478</v>
      </c>
      <c r="G102" s="20" t="n">
        <v>2610.778</v>
      </c>
      <c r="H102" s="20" t="n">
        <v>404.956</v>
      </c>
      <c r="I102" s="20" t="n">
        <v>2519.839</v>
      </c>
      <c r="J102" s="20" t="n">
        <v>2565.08</v>
      </c>
      <c r="K102" s="20" t="n">
        <v>2671.831</v>
      </c>
      <c r="L102" s="20" t="n">
        <v>819.333</v>
      </c>
      <c r="M102" s="20" t="n">
        <v>2932.925</v>
      </c>
      <c r="N102" s="20" t="n">
        <v>2987.518</v>
      </c>
      <c r="T102" s="20" t="n">
        <v>947.497</v>
      </c>
      <c r="U102" s="20" t="n">
        <v>2389.56</v>
      </c>
      <c r="V102" s="20" t="n">
        <v>2382.11</v>
      </c>
      <c r="W102" s="20" t="n">
        <v>404.956</v>
      </c>
      <c r="X102" s="20" t="n">
        <v>819.333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2645.307</v>
      </c>
      <c r="D104" s="12" t="n">
        <v>2857.581</v>
      </c>
      <c r="E104" s="12" t="n">
        <v>3910.771</v>
      </c>
      <c r="F104" s="12" t="n">
        <v>4234.273</v>
      </c>
      <c r="G104" s="12" t="n">
        <v>4450.716</v>
      </c>
      <c r="H104" s="12" t="n">
        <v>451.57</v>
      </c>
      <c r="I104" s="12" t="n">
        <v>4694.069</v>
      </c>
      <c r="J104" s="12" t="n">
        <v>5052.884</v>
      </c>
      <c r="K104" s="12" t="n">
        <v>4816.228</v>
      </c>
      <c r="L104" s="12" t="n">
        <v>795.133</v>
      </c>
      <c r="M104" s="12" t="n">
        <v>6172.283</v>
      </c>
      <c r="N104" s="12" t="n">
        <v>7122.049</v>
      </c>
      <c r="T104" s="12" t="n">
        <v>2029.376</v>
      </c>
      <c r="U104" s="12" t="n">
        <v>4227.153</v>
      </c>
      <c r="V104" s="12" t="n">
        <v>2857.581</v>
      </c>
      <c r="W104" s="12" t="n">
        <v>451.57</v>
      </c>
      <c r="X104" s="12" t="n">
        <v>795.133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59.18</v>
      </c>
      <c r="D107" s="20" t="n">
        <v>60.634</v>
      </c>
      <c r="E107" s="20" t="n">
        <v>73.438</v>
      </c>
      <c r="F107" s="20" t="n">
        <v>83.623</v>
      </c>
      <c r="G107" s="20" t="n">
        <v>90.17100000000001</v>
      </c>
      <c r="H107" s="20" t="n">
        <v>91.88500000000001</v>
      </c>
      <c r="I107" s="20" t="n">
        <v>103.869</v>
      </c>
      <c r="J107" s="20" t="n">
        <v>103.597</v>
      </c>
      <c r="K107" s="20" t="n">
        <v>103.336</v>
      </c>
      <c r="L107" s="20" t="n">
        <v>117.168</v>
      </c>
      <c r="M107" s="20" t="n">
        <v>132.236</v>
      </c>
      <c r="N107" s="20" t="n">
        <v>146.205</v>
      </c>
      <c r="T107" s="20" t="n">
        <v>4.343</v>
      </c>
      <c r="U107" s="20" t="n">
        <v>60.652</v>
      </c>
      <c r="V107" s="20" t="n">
        <v>60.634</v>
      </c>
      <c r="W107" s="20" t="n">
        <v>91.88500000000001</v>
      </c>
      <c r="X107" s="20" t="n">
        <v>117.168</v>
      </c>
    </row>
    <row r="108">
      <c r="A108" s="18" t="inlineStr">
        <is>
          <t>배당금수익</t>
        </is>
      </c>
      <c r="C108" s="20" t="n">
        <v>6.036</v>
      </c>
      <c r="D108" s="20" t="n">
        <v>0</v>
      </c>
      <c r="E108" s="20" t="n">
        <v>6.161</v>
      </c>
      <c r="F108" s="20" t="n">
        <v>0</v>
      </c>
      <c r="G108" s="20" t="n">
        <v>7.431</v>
      </c>
      <c r="H108" s="20" t="n">
        <v>0</v>
      </c>
      <c r="I108" s="20" t="n">
        <v>7.987</v>
      </c>
      <c r="J108" s="20" t="n">
        <v>0</v>
      </c>
      <c r="K108" s="20" t="n">
        <v>7.748</v>
      </c>
      <c r="L108" s="20" t="n">
        <v>0</v>
      </c>
      <c r="M108" s="20" t="n">
        <v>4.423</v>
      </c>
      <c r="N108" s="20" t="n">
        <v>0</v>
      </c>
      <c r="T108" s="20" t="n">
        <v>0.019</v>
      </c>
      <c r="U108" s="20" t="n">
        <v>0.005</v>
      </c>
      <c r="V108" s="20" t="n">
        <v>0</v>
      </c>
      <c r="W108" s="20" t="n">
        <v>0</v>
      </c>
      <c r="X108" s="20" t="n">
        <v>0</v>
      </c>
    </row>
    <row r="109">
      <c r="A109" s="18" t="inlineStr">
        <is>
          <t>외환차익</t>
        </is>
      </c>
      <c r="C109" s="20" t="n">
        <v>-236.247</v>
      </c>
      <c r="D109" s="20" t="n">
        <v>302.779</v>
      </c>
      <c r="E109" s="20" t="n">
        <v>339.629</v>
      </c>
      <c r="F109" s="20" t="n">
        <v>-339.629</v>
      </c>
      <c r="G109" s="20" t="n">
        <v>382.717</v>
      </c>
      <c r="H109" s="20" t="n">
        <v>-355.896</v>
      </c>
      <c r="I109" s="20" t="n">
        <v>0</v>
      </c>
      <c r="L109" s="20" t="n">
        <v>218.216</v>
      </c>
      <c r="M109" s="20" t="n">
        <v>75.66800000000001</v>
      </c>
      <c r="T109" s="20" t="n">
        <v>340.257</v>
      </c>
      <c r="U109" s="20" t="n">
        <v>53.743</v>
      </c>
      <c r="V109" s="20" t="n">
        <v>302.779</v>
      </c>
      <c r="W109" s="20" t="n">
        <v>-355.896</v>
      </c>
      <c r="X109" s="20" t="n">
        <v>218.216</v>
      </c>
    </row>
    <row r="110">
      <c r="A110" s="18" t="inlineStr">
        <is>
          <t>기타</t>
        </is>
      </c>
      <c r="C110" s="20" t="n">
        <v>12.312</v>
      </c>
      <c r="D110" s="20" t="n">
        <v>9.625</v>
      </c>
      <c r="E110" s="20" t="n">
        <v>9.867000000000001</v>
      </c>
      <c r="F110" s="20" t="n">
        <v>8.849</v>
      </c>
      <c r="G110" s="20" t="n">
        <v>11.849</v>
      </c>
      <c r="H110" s="20" t="n">
        <v>3.039</v>
      </c>
      <c r="I110" s="20" t="n">
        <v>10.983</v>
      </c>
      <c r="J110" s="20" t="n">
        <v>10.918</v>
      </c>
      <c r="K110" s="20" t="n">
        <v>11.871</v>
      </c>
      <c r="L110" s="20" t="n">
        <v>-25.886</v>
      </c>
      <c r="M110" s="20" t="n">
        <v>8.398999999999999</v>
      </c>
      <c r="N110" s="20" t="n">
        <v>8.382</v>
      </c>
      <c r="T110" s="20" t="n">
        <v>-15.509</v>
      </c>
      <c r="U110" s="20" t="n">
        <v>8.644</v>
      </c>
      <c r="V110" s="20" t="n">
        <v>9.625</v>
      </c>
      <c r="W110" s="20" t="n">
        <v>3.039</v>
      </c>
      <c r="X110" s="20" t="n">
        <v>-25.886</v>
      </c>
    </row>
    <row r="111">
      <c r="A111" s="18" t="inlineStr">
        <is>
          <t>영업외수익 합계</t>
        </is>
      </c>
      <c r="C111" s="20" t="n">
        <v>-158.719</v>
      </c>
      <c r="D111" s="20" t="n">
        <v>373.039</v>
      </c>
      <c r="E111" s="20" t="n">
        <v>429.097</v>
      </c>
      <c r="F111" s="20" t="n">
        <v>-247.158</v>
      </c>
      <c r="G111" s="20" t="n">
        <v>492.168</v>
      </c>
      <c r="H111" s="20" t="n">
        <v>1154.459</v>
      </c>
      <c r="I111" s="20" t="n">
        <v>122.84</v>
      </c>
      <c r="J111" s="20" t="n">
        <v>114.515</v>
      </c>
      <c r="K111" s="20" t="n">
        <v>393.649</v>
      </c>
      <c r="L111" s="20" t="n">
        <v>3131.79</v>
      </c>
      <c r="M111" s="20" t="n">
        <v>220.727</v>
      </c>
      <c r="N111" s="20" t="n">
        <v>78.919</v>
      </c>
      <c r="T111" s="20" t="n">
        <v>1478.256</v>
      </c>
      <c r="U111" s="20" t="n">
        <v>123.046</v>
      </c>
      <c r="V111" s="20" t="n">
        <v>373.039</v>
      </c>
      <c r="W111" s="20" t="n">
        <v>1154.459</v>
      </c>
      <c r="X111" s="20" t="n">
        <v>3131.79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이자비용</t>
        </is>
      </c>
      <c r="C113" s="20" t="n">
        <v>33.151</v>
      </c>
      <c r="D113" s="20" t="n">
        <v>32.79</v>
      </c>
      <c r="E113" s="20" t="n">
        <v>32.789</v>
      </c>
      <c r="F113" s="20" t="n">
        <v>33.151</v>
      </c>
      <c r="G113" s="20" t="n">
        <v>33.15</v>
      </c>
      <c r="H113" s="20" t="n">
        <v>32.429</v>
      </c>
      <c r="I113" s="20" t="n">
        <v>32.789</v>
      </c>
      <c r="J113" s="20" t="n">
        <v>31.993</v>
      </c>
      <c r="K113" s="20" t="n">
        <v>30.335</v>
      </c>
      <c r="L113" s="20" t="n">
        <v>28.106</v>
      </c>
      <c r="M113" s="20" t="n">
        <v>26.715</v>
      </c>
      <c r="N113" s="20" t="n">
        <v>25.362</v>
      </c>
      <c r="U113" s="20" t="n">
        <v>0</v>
      </c>
      <c r="V113" s="20" t="n">
        <v>32.79</v>
      </c>
      <c r="W113" s="20" t="n">
        <v>32.429</v>
      </c>
      <c r="X113" s="20" t="n">
        <v>28.106</v>
      </c>
    </row>
    <row r="114">
      <c r="A114" s="18" t="inlineStr">
        <is>
          <t>지급수수료</t>
        </is>
      </c>
      <c r="C114" s="20" t="n">
        <v>0</v>
      </c>
      <c r="D114" s="20" t="n">
        <v>0</v>
      </c>
      <c r="T114" s="20" t="n">
        <v>0</v>
      </c>
      <c r="U114" s="20" t="n">
        <v>-0.012</v>
      </c>
      <c r="V114" s="20" t="n">
        <v>0</v>
      </c>
    </row>
    <row r="115">
      <c r="A115" s="18" t="inlineStr">
        <is>
          <t>감가상각비</t>
        </is>
      </c>
      <c r="C115" s="20" t="n">
        <v>0.256</v>
      </c>
      <c r="D115" s="20" t="n">
        <v>0.257</v>
      </c>
      <c r="E115" s="20" t="n">
        <v>0.267</v>
      </c>
      <c r="F115" s="20" t="n">
        <v>0.291</v>
      </c>
      <c r="G115" s="20" t="n">
        <v>0.295</v>
      </c>
      <c r="H115" s="20" t="n">
        <v>-0.002</v>
      </c>
      <c r="I115" s="20" t="n">
        <v>0</v>
      </c>
      <c r="J115" s="20" t="n">
        <v>0</v>
      </c>
      <c r="K115" s="20" t="n">
        <v>0</v>
      </c>
      <c r="L115" s="20" t="n">
        <v>0</v>
      </c>
      <c r="T115" s="20" t="n">
        <v>0.6879999999999999</v>
      </c>
      <c r="U115" s="20" t="n">
        <v>0.578</v>
      </c>
      <c r="V115" s="20" t="n">
        <v>0.257</v>
      </c>
      <c r="W115" s="20" t="n">
        <v>-0.002</v>
      </c>
      <c r="X115" s="20" t="n">
        <v>0</v>
      </c>
    </row>
    <row r="116">
      <c r="A116" s="18" t="inlineStr">
        <is>
          <t>투자조합 운용손실</t>
        </is>
      </c>
      <c r="C116" s="20" t="n">
        <v>-2.263</v>
      </c>
      <c r="D116" s="20" t="n">
        <v>11.085</v>
      </c>
      <c r="E116" s="20" t="n">
        <v>16.116</v>
      </c>
      <c r="F116" s="20" t="n">
        <v>14.98</v>
      </c>
      <c r="G116" s="20" t="n">
        <v>-18.539</v>
      </c>
      <c r="H116" s="20" t="n">
        <v>0.173</v>
      </c>
      <c r="I116" s="20" t="n">
        <v>6.718</v>
      </c>
      <c r="J116" s="20" t="n">
        <v>16.977</v>
      </c>
      <c r="K116" s="20" t="n">
        <v>0.312</v>
      </c>
      <c r="L116" s="20" t="n">
        <v>8.74</v>
      </c>
      <c r="M116" s="20" t="n">
        <v>2.606</v>
      </c>
      <c r="N116" s="20" t="n">
        <v>8.653</v>
      </c>
      <c r="T116" s="20" t="n">
        <v>0.76</v>
      </c>
      <c r="U116" s="20" t="n">
        <v>1.362</v>
      </c>
      <c r="V116" s="20" t="n">
        <v>11.085</v>
      </c>
      <c r="W116" s="20" t="n">
        <v>0.173</v>
      </c>
      <c r="X116" s="20" t="n">
        <v>8.74</v>
      </c>
    </row>
    <row r="117">
      <c r="A117" s="18" t="inlineStr">
        <is>
          <t>외환차손</t>
        </is>
      </c>
      <c r="E117" s="20" t="n">
        <v>0</v>
      </c>
      <c r="F117" s="20" t="n">
        <v>279.792</v>
      </c>
      <c r="I117" s="20" t="n">
        <v>244.701</v>
      </c>
      <c r="J117" s="20" t="n">
        <v>-157.078</v>
      </c>
      <c r="M117" s="20" t="n">
        <v>0</v>
      </c>
      <c r="N117" s="20" t="n">
        <v>162.429</v>
      </c>
    </row>
    <row r="118">
      <c r="A118" s="18" t="inlineStr">
        <is>
          <t>기타</t>
        </is>
      </c>
      <c r="C118" s="20" t="n">
        <v>2.461</v>
      </c>
      <c r="D118" s="20" t="n">
        <v>2.348</v>
      </c>
      <c r="E118" s="20" t="n">
        <v>0.016</v>
      </c>
      <c r="F118" s="20" t="n">
        <v>0.628</v>
      </c>
      <c r="G118" s="20" t="n">
        <v>0.23</v>
      </c>
      <c r="H118" s="20" t="n">
        <v>-0.184</v>
      </c>
      <c r="I118" s="20" t="n">
        <v>0.019</v>
      </c>
      <c r="J118" s="20" t="n">
        <v>0.553</v>
      </c>
      <c r="K118" s="20" t="n">
        <v>0.294</v>
      </c>
      <c r="L118" s="20" t="n">
        <v>-0.762</v>
      </c>
      <c r="M118" s="20" t="n">
        <v>0.23</v>
      </c>
      <c r="N118" s="20" t="n">
        <v>10.711</v>
      </c>
      <c r="T118" s="20" t="n">
        <v>0.186</v>
      </c>
      <c r="U118" s="20" t="n">
        <v>0.449</v>
      </c>
      <c r="V118" s="20" t="n">
        <v>2.348</v>
      </c>
      <c r="W118" s="20" t="n">
        <v>-0.184</v>
      </c>
      <c r="X118" s="20" t="n">
        <v>-0.762</v>
      </c>
    </row>
    <row r="119">
      <c r="A119" s="18" t="inlineStr">
        <is>
          <t>영업외비용 합계</t>
        </is>
      </c>
      <c r="C119" s="20" t="n">
        <v>33.603</v>
      </c>
      <c r="D119" s="20" t="n">
        <v>46.482</v>
      </c>
      <c r="E119" s="20" t="n">
        <v>49.19</v>
      </c>
      <c r="F119" s="20" t="n">
        <v>328.843</v>
      </c>
      <c r="G119" s="20" t="n">
        <v>-264.658</v>
      </c>
      <c r="H119" s="20" t="n">
        <v>31.566</v>
      </c>
      <c r="I119" s="20" t="n">
        <v>284.229</v>
      </c>
      <c r="J119" s="20" t="n">
        <v>-107.556</v>
      </c>
      <c r="K119" s="20" t="n">
        <v>-56.682</v>
      </c>
      <c r="L119" s="20" t="n">
        <v>36.084</v>
      </c>
      <c r="M119" s="20" t="n">
        <v>29.552</v>
      </c>
      <c r="N119" s="20" t="n">
        <v>207.156</v>
      </c>
      <c r="T119" s="20" t="n">
        <v>-0.999</v>
      </c>
      <c r="U119" s="20" t="n">
        <v>2.379</v>
      </c>
      <c r="V119" s="20" t="n">
        <v>46.482</v>
      </c>
      <c r="W119" s="20" t="n">
        <v>31.566</v>
      </c>
      <c r="X119" s="20" t="n">
        <v>36.084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경상이익</t>
        </is>
      </c>
      <c r="C121" s="12" t="n">
        <v>2452.984</v>
      </c>
      <c r="D121" s="12" t="n">
        <v>3184.139</v>
      </c>
      <c r="E121" s="12" t="n">
        <v>4290.678</v>
      </c>
      <c r="F121" s="12" t="n">
        <v>3658.272</v>
      </c>
      <c r="G121" s="12" t="n">
        <v>5207.543</v>
      </c>
      <c r="H121" s="12" t="n">
        <v>1574.462</v>
      </c>
      <c r="I121" s="12" t="n">
        <v>4532.68</v>
      </c>
      <c r="J121" s="12" t="n">
        <v>5274.955</v>
      </c>
      <c r="K121" s="12" t="n">
        <v>5266.56</v>
      </c>
      <c r="L121" s="12" t="n">
        <v>3890.839</v>
      </c>
      <c r="M121" s="12" t="n">
        <v>6363.458</v>
      </c>
      <c r="N121" s="12" t="n">
        <v>6993.812</v>
      </c>
      <c r="T121" s="12" t="n">
        <v>3508.631</v>
      </c>
      <c r="U121" s="12" t="n">
        <v>4347.82</v>
      </c>
      <c r="V121" s="12" t="n">
        <v>3184.139</v>
      </c>
      <c r="W121" s="12" t="n">
        <v>1574.462</v>
      </c>
      <c r="X121" s="12" t="n">
        <v>3890.839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고정자산 매각이익</t>
        </is>
      </c>
      <c r="C123" s="20" t="n">
        <v>0.652</v>
      </c>
      <c r="D123" s="20" t="n">
        <v>0.018</v>
      </c>
      <c r="E123" s="20" t="n">
        <v>0.001</v>
      </c>
      <c r="F123" s="20" t="n">
        <v>60.927</v>
      </c>
      <c r="G123" s="20" t="n">
        <v>0</v>
      </c>
      <c r="H123" s="20" t="n">
        <v>-59.949</v>
      </c>
      <c r="I123" s="20" t="n">
        <v>0.578</v>
      </c>
      <c r="J123" s="20" t="n">
        <v>2.235</v>
      </c>
      <c r="K123" s="20" t="n">
        <v>0.016</v>
      </c>
      <c r="L123" s="20" t="n">
        <v>-0.63</v>
      </c>
      <c r="M123" s="20" t="n">
        <v>0.031</v>
      </c>
      <c r="N123" s="20" t="n">
        <v>8.195</v>
      </c>
      <c r="T123" s="20" t="n">
        <v>0.109</v>
      </c>
      <c r="U123" s="20" t="n">
        <v>0.002</v>
      </c>
      <c r="V123" s="20" t="n">
        <v>0.018</v>
      </c>
      <c r="W123" s="20" t="n">
        <v>-59.949</v>
      </c>
      <c r="X123" s="20" t="n">
        <v>-0.63</v>
      </c>
    </row>
    <row r="124">
      <c r="A124" s="18" t="inlineStr">
        <is>
          <t>투자유가증권 매각이익</t>
        </is>
      </c>
      <c r="C124" s="20" t="n">
        <v>0</v>
      </c>
      <c r="D124" s="20" t="n">
        <v>0</v>
      </c>
      <c r="E124" s="20" t="n">
        <v>0</v>
      </c>
      <c r="F124" s="20" t="n">
        <v>0</v>
      </c>
      <c r="G124" s="20" t="n">
        <v>0</v>
      </c>
      <c r="H124" s="20" t="n">
        <v>0</v>
      </c>
      <c r="L124" s="20" t="n">
        <v>0.115</v>
      </c>
      <c r="T124" s="20" t="n">
        <v>136.628</v>
      </c>
      <c r="U124" s="20" t="n">
        <v>19.322</v>
      </c>
      <c r="V124" s="20" t="n">
        <v>0</v>
      </c>
      <c r="W124" s="20" t="n">
        <v>0</v>
      </c>
      <c r="X124" s="20" t="n">
        <v>0.115</v>
      </c>
    </row>
    <row r="125">
      <c r="A125" s="18" t="inlineStr">
        <is>
          <t>회원권 매각 이익</t>
        </is>
      </c>
      <c r="T125" s="20" t="n">
        <v>0</v>
      </c>
      <c r="U125" s="20" t="n">
        <v>0</v>
      </c>
    </row>
    <row r="126">
      <c r="A126" s="18" t="inlineStr">
        <is>
          <t>보조금 수입</t>
        </is>
      </c>
      <c r="C126" s="20" t="n">
        <v>36.563</v>
      </c>
      <c r="D126" s="20" t="n">
        <v>0.293</v>
      </c>
      <c r="E126" s="20" t="n">
        <v>20.257</v>
      </c>
      <c r="F126" s="20" t="n">
        <v>0</v>
      </c>
      <c r="G126" s="20" t="n">
        <v>0</v>
      </c>
      <c r="H126" s="20" t="n">
        <v>14.87</v>
      </c>
      <c r="I126" s="20" t="n">
        <v>5.588</v>
      </c>
      <c r="J126" s="20" t="n">
        <v>0</v>
      </c>
      <c r="K126" s="20" t="n">
        <v>0</v>
      </c>
      <c r="L126" s="20" t="n">
        <v>0</v>
      </c>
      <c r="M126" s="20" t="n">
        <v>3703.829</v>
      </c>
      <c r="N126" s="20" t="n">
        <v>0.9320000000000001</v>
      </c>
      <c r="U126" s="20" t="n">
        <v>4.2</v>
      </c>
      <c r="V126" s="20" t="n">
        <v>0.293</v>
      </c>
      <c r="W126" s="20" t="n">
        <v>14.87</v>
      </c>
      <c r="X126" s="20" t="n">
        <v>0</v>
      </c>
    </row>
    <row r="127">
      <c r="A127" s="18" t="inlineStr">
        <is>
          <t>특별이익 합계</t>
        </is>
      </c>
      <c r="C127" s="20" t="n">
        <v>37.216</v>
      </c>
      <c r="D127" s="20" t="n">
        <v>141.456</v>
      </c>
      <c r="E127" s="20" t="n">
        <v>20.258</v>
      </c>
      <c r="F127" s="20" t="n">
        <v>60.927</v>
      </c>
      <c r="G127" s="20" t="n">
        <v>0</v>
      </c>
      <c r="H127" s="20" t="n">
        <v>-45.078</v>
      </c>
      <c r="I127" s="20" t="n">
        <v>6.166</v>
      </c>
      <c r="J127" s="20" t="n">
        <v>2.236</v>
      </c>
      <c r="K127" s="20" t="n">
        <v>184.817</v>
      </c>
      <c r="L127" s="20" t="n">
        <v>-0.515</v>
      </c>
      <c r="M127" s="20" t="n">
        <v>3703.86</v>
      </c>
      <c r="N127" s="20" t="n">
        <v>9.127000000000001</v>
      </c>
      <c r="T127" s="20" t="n">
        <v>136.738</v>
      </c>
      <c r="U127" s="20" t="n">
        <v>23.524</v>
      </c>
      <c r="V127" s="20" t="n">
        <v>141.456</v>
      </c>
      <c r="W127" s="20" t="n">
        <v>-45.078</v>
      </c>
      <c r="X127" s="20" t="n">
        <v>-0.515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T128" s="15">
        <f>IF(OR(T127="",S127=""),"",IF(T127*S127&lt;=0,"",IFERROR(T127/S127-1,"")))</f>
        <v/>
      </c>
      <c r="U128" s="15">
        <f>IF(OR(U127="",T127=""),"",IF(U127*T127&lt;=0,"",IFERROR(U127/T127-1,"")))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18" t="inlineStr">
        <is>
          <t>고정자산 매각손실</t>
        </is>
      </c>
      <c r="D129" s="20" t="n">
        <v>0</v>
      </c>
      <c r="E129" s="20" t="n">
        <v>0</v>
      </c>
      <c r="F129" s="20" t="n">
        <v>0</v>
      </c>
      <c r="G129" s="20" t="n">
        <v>8.387</v>
      </c>
      <c r="H129" s="20" t="n">
        <v>0</v>
      </c>
      <c r="I129" s="20" t="n">
        <v>0.195</v>
      </c>
      <c r="J129" s="20" t="n">
        <v>0.003</v>
      </c>
      <c r="K129" s="20" t="n">
        <v>0.005</v>
      </c>
      <c r="L129" s="20" t="n">
        <v>-0.203</v>
      </c>
      <c r="M129" s="20" t="n">
        <v>0</v>
      </c>
      <c r="N129" s="20" t="n">
        <v>0</v>
      </c>
      <c r="V129" s="20" t="n">
        <v>0</v>
      </c>
      <c r="W129" s="20" t="n">
        <v>0</v>
      </c>
      <c r="X129" s="20" t="n">
        <v>-0.203</v>
      </c>
    </row>
    <row r="130">
      <c r="A130" s="18" t="inlineStr">
        <is>
          <t>고정자산 제각손실</t>
        </is>
      </c>
      <c r="C130" s="20" t="n">
        <v>15.758</v>
      </c>
      <c r="D130" s="20" t="n">
        <v>1.643</v>
      </c>
      <c r="E130" s="20" t="n">
        <v>12.232</v>
      </c>
      <c r="F130" s="20" t="n">
        <v>9.173</v>
      </c>
      <c r="G130" s="20" t="n">
        <v>10.474</v>
      </c>
      <c r="H130" s="20" t="n">
        <v>339.583</v>
      </c>
      <c r="I130" s="20" t="n">
        <v>3.871</v>
      </c>
      <c r="J130" s="20" t="n">
        <v>17.054</v>
      </c>
      <c r="K130" s="20" t="n">
        <v>10.113</v>
      </c>
      <c r="L130" s="20" t="n">
        <v>183.674</v>
      </c>
      <c r="M130" s="20" t="n">
        <v>95.38500000000001</v>
      </c>
      <c r="N130" s="20" t="n">
        <v>35.971</v>
      </c>
      <c r="T130" s="20" t="n">
        <v>-0.364</v>
      </c>
      <c r="U130" s="20" t="n">
        <v>7.235</v>
      </c>
      <c r="V130" s="20" t="n">
        <v>1.643</v>
      </c>
      <c r="W130" s="20" t="n">
        <v>339.583</v>
      </c>
      <c r="X130" s="20" t="n">
        <v>183.674</v>
      </c>
    </row>
    <row r="131">
      <c r="A131" s="18" t="inlineStr">
        <is>
          <t>특별손실 합계</t>
        </is>
      </c>
      <c r="C131" s="20" t="n">
        <v>15.758</v>
      </c>
      <c r="D131" s="20" t="n">
        <v>1.643</v>
      </c>
      <c r="E131" s="20" t="n">
        <v>12.232</v>
      </c>
      <c r="F131" s="20" t="n">
        <v>9.173</v>
      </c>
      <c r="G131" s="20" t="n">
        <v>18.862</v>
      </c>
      <c r="H131" s="20" t="n">
        <v>339.583</v>
      </c>
      <c r="I131" s="20" t="n">
        <v>4.066</v>
      </c>
      <c r="J131" s="20" t="n">
        <v>17.058</v>
      </c>
      <c r="K131" s="20" t="n">
        <v>10.117</v>
      </c>
      <c r="L131" s="20" t="n">
        <v>185.375</v>
      </c>
      <c r="M131" s="20" t="n">
        <v>95.38500000000001</v>
      </c>
      <c r="N131" s="20" t="n">
        <v>35.971</v>
      </c>
      <c r="T131" s="20" t="n">
        <v>0.704</v>
      </c>
      <c r="U131" s="20" t="n">
        <v>24.551</v>
      </c>
      <c r="V131" s="20" t="n">
        <v>1.643</v>
      </c>
      <c r="W131" s="20" t="n">
        <v>339.583</v>
      </c>
      <c r="X131" s="20" t="n">
        <v>185.375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T132" s="15">
        <f>IF(OR(T131="",S131=""),"",IF(T131*S131&lt;=0,"",IFERROR(T131/S131-1,"")))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9" t="inlineStr">
        <is>
          <t>법인세차감전 순이익</t>
        </is>
      </c>
      <c r="C133" s="12" t="n">
        <v>2474.442</v>
      </c>
      <c r="D133" s="12" t="n">
        <v>3323.951</v>
      </c>
      <c r="E133" s="12" t="n">
        <v>4298.705</v>
      </c>
      <c r="F133" s="12" t="n">
        <v>3710.025</v>
      </c>
      <c r="G133" s="12" t="n">
        <v>5188.68</v>
      </c>
      <c r="H133" s="12" t="n">
        <v>1189.802</v>
      </c>
      <c r="I133" s="12" t="n">
        <v>4534.78</v>
      </c>
      <c r="J133" s="12" t="n">
        <v>5260.133</v>
      </c>
      <c r="K133" s="12" t="n">
        <v>5441.26</v>
      </c>
      <c r="L133" s="12" t="n">
        <v>3704.949</v>
      </c>
      <c r="M133" s="12" t="n">
        <v>9971.933999999999</v>
      </c>
      <c r="N133" s="12" t="n">
        <v>6966.967</v>
      </c>
      <c r="T133" s="12" t="n">
        <v>3644.663</v>
      </c>
      <c r="U133" s="12" t="n">
        <v>4346.792</v>
      </c>
      <c r="V133" s="12" t="n">
        <v>3323.951</v>
      </c>
      <c r="W133" s="12" t="n">
        <v>1189.802</v>
      </c>
      <c r="X133" s="12" t="n">
        <v>3704.949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T134" s="15">
        <f>IF(OR(T133="",S133=""),"",IF(S133&lt;=0,"",IFERROR(T133/S133-1,"")))</f>
        <v/>
      </c>
      <c r="U134" s="15">
        <f>IF(OR(U133="",T133=""),"",IF(T133&lt;=0,"",IFERROR(U133/T133-1,"")))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5">
      <c r="A135" s="18" t="inlineStr">
        <is>
          <t>법인세·주민세·사업세</t>
        </is>
      </c>
      <c r="C135" s="20" t="n">
        <v>613.107</v>
      </c>
      <c r="D135" s="20" t="n">
        <v>1918.656</v>
      </c>
      <c r="E135" s="20" t="n">
        <v>1310.027</v>
      </c>
      <c r="F135" s="20" t="n">
        <v>989.414</v>
      </c>
      <c r="G135" s="20" t="n">
        <v>1555.613</v>
      </c>
      <c r="H135" s="20" t="n">
        <v>-418.054</v>
      </c>
      <c r="I135" s="20" t="n">
        <v>1410.836</v>
      </c>
      <c r="J135" s="20" t="n">
        <v>1395.27</v>
      </c>
      <c r="K135" s="20" t="n">
        <v>1530.857</v>
      </c>
      <c r="L135" s="20" t="n">
        <v>163.037</v>
      </c>
      <c r="M135" s="20" t="n">
        <v>3276.147</v>
      </c>
      <c r="N135" s="20" t="n">
        <v>1954.209</v>
      </c>
      <c r="T135" s="20" t="n">
        <v>816.104</v>
      </c>
      <c r="U135" s="20" t="n">
        <v>1471.896</v>
      </c>
      <c r="V135" s="20" t="n">
        <v>1918.656</v>
      </c>
      <c r="W135" s="20" t="n">
        <v>-418.054</v>
      </c>
      <c r="X135" s="20" t="n">
        <v>163.037</v>
      </c>
    </row>
    <row r="136">
      <c r="A136" s="18" t="inlineStr">
        <is>
          <t>법인세 조정액</t>
        </is>
      </c>
      <c r="C136" s="20" t="n">
        <v>41.892</v>
      </c>
      <c r="D136" s="20" t="n">
        <v>-831.323</v>
      </c>
      <c r="E136" s="20" t="n">
        <v>104.115</v>
      </c>
      <c r="F136" s="20" t="n">
        <v>-3.14</v>
      </c>
      <c r="G136" s="20" t="n">
        <v>71.651</v>
      </c>
      <c r="H136" s="20" t="n">
        <v>-72.626</v>
      </c>
      <c r="I136" s="20" t="n">
        <v>18.766</v>
      </c>
      <c r="J136" s="20" t="n">
        <v>90.11499999999999</v>
      </c>
      <c r="K136" s="20" t="n">
        <v>101.149</v>
      </c>
      <c r="L136" s="20" t="n">
        <v>-410.03</v>
      </c>
      <c r="M136" s="20" t="n">
        <v>6.891</v>
      </c>
      <c r="N136" s="20" t="n">
        <v>39.053</v>
      </c>
      <c r="T136" s="20" t="n">
        <v>-2.69</v>
      </c>
      <c r="U136" s="20" t="n">
        <v>-245.635</v>
      </c>
      <c r="V136" s="20" t="n">
        <v>-831.323</v>
      </c>
      <c r="W136" s="20" t="n">
        <v>-72.626</v>
      </c>
      <c r="X136" s="20" t="n">
        <v>-410.03</v>
      </c>
    </row>
    <row r="137">
      <c r="A137" s="18" t="inlineStr">
        <is>
          <t>법인세 등 합계</t>
        </is>
      </c>
      <c r="C137" s="20" t="n">
        <v>654.999</v>
      </c>
      <c r="D137" s="20" t="n">
        <v>1087.332</v>
      </c>
      <c r="E137" s="20" t="n">
        <v>1414.142</v>
      </c>
      <c r="F137" s="20" t="n">
        <v>986.275</v>
      </c>
      <c r="G137" s="20" t="n">
        <v>1627.264</v>
      </c>
      <c r="H137" s="20" t="n">
        <v>-490.681</v>
      </c>
      <c r="I137" s="20" t="n">
        <v>1429.602</v>
      </c>
      <c r="J137" s="20" t="n">
        <v>1485.386</v>
      </c>
      <c r="K137" s="20" t="n">
        <v>1632.005</v>
      </c>
      <c r="L137" s="20" t="n">
        <v>-246.993</v>
      </c>
      <c r="M137" s="20" t="n">
        <v>3283.038</v>
      </c>
      <c r="N137" s="20" t="n">
        <v>1993.262</v>
      </c>
      <c r="T137" s="20" t="n">
        <v>813.413</v>
      </c>
      <c r="U137" s="20" t="n">
        <v>1226.26</v>
      </c>
      <c r="V137" s="20" t="n">
        <v>1087.332</v>
      </c>
      <c r="W137" s="20" t="n">
        <v>-490.681</v>
      </c>
      <c r="X137" s="20" t="n">
        <v>-246.993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M138" s="15">
        <f>IF(OR(M137="",I137=""),"",IF(M137*I137&lt;=0,"",IFERROR(M137/I137-1,"")))</f>
        <v/>
      </c>
      <c r="N138" s="15">
        <f>IF(OR(N137="",J137=""),"",IF(N137*J137&lt;=0,"",IFERROR(N137/J137-1,"")))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9" t="inlineStr">
        <is>
          <t>순이익</t>
        </is>
      </c>
      <c r="C139" s="12" t="n">
        <v>1819.443</v>
      </c>
      <c r="D139" s="12" t="n">
        <v>2236.618</v>
      </c>
      <c r="E139" s="12" t="n">
        <v>2884.562</v>
      </c>
      <c r="F139" s="12" t="n">
        <v>2723.751</v>
      </c>
      <c r="G139" s="12" t="n">
        <v>3561.416</v>
      </c>
      <c r="H139" s="12" t="n">
        <v>1680.483</v>
      </c>
      <c r="I139" s="12" t="n">
        <v>3105.177</v>
      </c>
      <c r="J139" s="12" t="n">
        <v>3774.747</v>
      </c>
      <c r="K139" s="12" t="n">
        <v>3809.256</v>
      </c>
      <c r="L139" s="12" t="n">
        <v>3951.942</v>
      </c>
      <c r="M139" s="12" t="n">
        <v>6688.896</v>
      </c>
      <c r="N139" s="12" t="n">
        <v>4973.704</v>
      </c>
      <c r="T139" s="12" t="n">
        <v>2831.251</v>
      </c>
      <c r="U139" s="12" t="n">
        <v>3120.532</v>
      </c>
      <c r="V139" s="12" t="n">
        <v>2236.618</v>
      </c>
      <c r="W139" s="12" t="n">
        <v>1680.483</v>
      </c>
      <c r="X139" s="12" t="n">
        <v>3951.942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9" t="inlineStr">
        <is>
          <t>지배주주 순이익</t>
        </is>
      </c>
      <c r="C141" s="12" t="n">
        <v>1819.443</v>
      </c>
      <c r="D141" s="12" t="n">
        <v>2236.618</v>
      </c>
      <c r="E141" s="12" t="n">
        <v>2884.562</v>
      </c>
      <c r="F141" s="12" t="n">
        <v>2723.751</v>
      </c>
      <c r="G141" s="12" t="n">
        <v>3561.416</v>
      </c>
      <c r="H141" s="12" t="n">
        <v>2453.056</v>
      </c>
      <c r="I141" s="12" t="n">
        <v>3105.177</v>
      </c>
      <c r="J141" s="12" t="n">
        <v>3774.747</v>
      </c>
      <c r="K141" s="12" t="n">
        <v>3809.256</v>
      </c>
      <c r="L141" s="12" t="n">
        <v>3622.402</v>
      </c>
      <c r="M141" s="12" t="n">
        <v>6688.896</v>
      </c>
      <c r="N141" s="12" t="n">
        <v>4973.704</v>
      </c>
      <c r="T141" s="12" t="n">
        <v>3559.533</v>
      </c>
      <c r="U141" s="12" t="n">
        <v>3120.532</v>
      </c>
      <c r="V141" s="12" t="n">
        <v>2236.618</v>
      </c>
      <c r="W141" s="12" t="n">
        <v>2453.056</v>
      </c>
      <c r="X141" s="12" t="n">
        <v>3622.402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4">
      <c r="A144" s="16" t="inlineStr">
        <is>
          <t>포괄손익 · 전 항목</t>
        </is>
      </c>
      <c r="B144" s="42" t="inlineStr">
        <is>
          <t>분기 = 3개월 단독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2024.3Q</t>
        </is>
      </c>
      <c r="D145" s="5" t="inlineStr">
        <is>
          <t>2024.4Q</t>
        </is>
      </c>
      <c r="E145" s="5" t="inlineStr">
        <is>
          <t>2025.1Q</t>
        </is>
      </c>
      <c r="F145" s="5" t="inlineStr">
        <is>
          <t>2025.2Q</t>
        </is>
      </c>
      <c r="G145" s="5" t="inlineStr">
        <is>
          <t>2025.3Q</t>
        </is>
      </c>
      <c r="H145" s="5" t="inlineStr">
        <is>
          <t>2025.4Q</t>
        </is>
      </c>
      <c r="I145" s="5" t="inlineStr">
        <is>
          <t>2026.1Q</t>
        </is>
      </c>
      <c r="J145" s="5" t="inlineStr">
        <is>
          <t>2026.2Q</t>
        </is>
      </c>
      <c r="K145" s="5" t="inlineStr">
        <is>
          <t>2026.3Q</t>
        </is>
      </c>
      <c r="L145" s="5" t="inlineStr">
        <is>
          <t>2026.4Q</t>
        </is>
      </c>
      <c r="M145" s="5" t="inlineStr">
        <is>
          <t>2027.1Q</t>
        </is>
      </c>
      <c r="N145" s="5" t="inlineStr">
        <is>
          <t>2027.2Q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9" t="inlineStr">
        <is>
          <t>순이익</t>
        </is>
      </c>
      <c r="C146" s="12" t="n">
        <v>1819.443</v>
      </c>
      <c r="D146" s="12" t="n">
        <v>2236.618</v>
      </c>
      <c r="E146" s="12" t="n">
        <v>2884.562</v>
      </c>
      <c r="F146" s="12" t="n">
        <v>2723.751</v>
      </c>
      <c r="G146" s="12" t="n">
        <v>3561.416</v>
      </c>
      <c r="H146" s="12" t="n">
        <v>2453.056</v>
      </c>
      <c r="I146" s="12" t="n">
        <v>3105.177</v>
      </c>
      <c r="J146" s="12" t="n">
        <v>3774.747</v>
      </c>
      <c r="K146" s="12" t="n">
        <v>3809.256</v>
      </c>
      <c r="L146" s="12" t="n">
        <v>3622.402</v>
      </c>
      <c r="M146" s="12" t="n">
        <v>6688.896</v>
      </c>
      <c r="N146" s="12" t="n">
        <v>4973.704</v>
      </c>
      <c r="T146" s="12" t="n">
        <v>3559.533</v>
      </c>
      <c r="U146" s="12" t="n">
        <v>3120.532</v>
      </c>
      <c r="V146" s="12" t="n">
        <v>2236.618</v>
      </c>
      <c r="W146" s="12" t="n">
        <v>2453.056</v>
      </c>
      <c r="X146" s="12" t="n">
        <v>3622.402</v>
      </c>
    </row>
    <row r="147">
      <c r="A147" s="18" t="inlineStr">
        <is>
          <t>기타유가증권 평가차액</t>
        </is>
      </c>
      <c r="C147" s="20" t="n">
        <v>3.212</v>
      </c>
      <c r="D147" s="20" t="n">
        <v>47.959</v>
      </c>
      <c r="E147" s="20" t="n">
        <v>-25.444</v>
      </c>
      <c r="F147" s="20" t="n">
        <v>-53.62</v>
      </c>
      <c r="G147" s="20" t="n">
        <v>19.779</v>
      </c>
      <c r="H147" s="20" t="n">
        <v>-37.566</v>
      </c>
      <c r="I147" s="20" t="n">
        <v>14.149</v>
      </c>
      <c r="J147" s="20" t="n">
        <v>27.868</v>
      </c>
      <c r="K147" s="20" t="n">
        <v>-101.036</v>
      </c>
      <c r="L147" s="20" t="n">
        <v>24.219</v>
      </c>
      <c r="M147" s="20" t="n">
        <v>147.095</v>
      </c>
      <c r="N147" s="20" t="n">
        <v>-83.256</v>
      </c>
      <c r="T147" s="20" t="n">
        <v>-132.499</v>
      </c>
      <c r="U147" s="20" t="n">
        <v>9.238</v>
      </c>
      <c r="V147" s="20" t="n">
        <v>47.959</v>
      </c>
      <c r="W147" s="20" t="n">
        <v>-37.566</v>
      </c>
      <c r="X147" s="20" t="n">
        <v>24.219</v>
      </c>
    </row>
    <row r="148">
      <c r="A148" s="18" t="inlineStr">
        <is>
          <t>이연헤지손익</t>
        </is>
      </c>
      <c r="C148" s="20" t="n">
        <v>-18.018</v>
      </c>
      <c r="D148" s="20" t="n">
        <v>29.46</v>
      </c>
      <c r="E148" s="20" t="n">
        <v>5.688</v>
      </c>
      <c r="F148" s="20" t="n">
        <v>-27.765</v>
      </c>
      <c r="G148" s="20" t="n">
        <v>45.222</v>
      </c>
      <c r="H148" s="20" t="n">
        <v>-31.813</v>
      </c>
      <c r="I148" s="20" t="n">
        <v>-7.113</v>
      </c>
      <c r="J148" s="20" t="n">
        <v>9.526999999999999</v>
      </c>
      <c r="K148" s="20" t="n">
        <v>2.782</v>
      </c>
      <c r="L148" s="20" t="n">
        <v>3.536</v>
      </c>
      <c r="M148" s="20" t="n">
        <v>-4.17</v>
      </c>
      <c r="N148" s="20" t="n">
        <v>-11.529</v>
      </c>
      <c r="T148" s="20" t="n">
        <v>10.358</v>
      </c>
      <c r="U148" s="20" t="n">
        <v>12.131</v>
      </c>
      <c r="V148" s="20" t="n">
        <v>29.46</v>
      </c>
      <c r="W148" s="20" t="n">
        <v>-31.813</v>
      </c>
      <c r="X148" s="20" t="n">
        <v>3.536</v>
      </c>
    </row>
    <row r="149">
      <c r="A149" s="18" t="inlineStr">
        <is>
          <t>해외사업환산조정</t>
        </is>
      </c>
      <c r="C149" s="20" t="n">
        <v>-575.449</v>
      </c>
      <c r="D149" s="20" t="n">
        <v>820.1130000000001</v>
      </c>
      <c r="E149" s="20" t="n">
        <v>910.822</v>
      </c>
      <c r="F149" s="20" t="n">
        <v>-1428.787</v>
      </c>
      <c r="G149" s="20" t="n">
        <v>1277.272</v>
      </c>
      <c r="H149" s="20" t="n">
        <v>-877.453</v>
      </c>
      <c r="I149" s="20" t="n">
        <v>-380.823</v>
      </c>
      <c r="J149" s="20" t="n">
        <v>519.298</v>
      </c>
      <c r="K149" s="20" t="n">
        <v>1081.026</v>
      </c>
      <c r="L149" s="20" t="n">
        <v>426.938</v>
      </c>
      <c r="M149" s="20" t="n">
        <v>393.162</v>
      </c>
      <c r="N149" s="20" t="n">
        <v>-423.313</v>
      </c>
      <c r="T149" s="20" t="n">
        <v>735.4690000000001</v>
      </c>
      <c r="U149" s="20" t="n">
        <v>188.377</v>
      </c>
      <c r="V149" s="20" t="n">
        <v>820.1130000000001</v>
      </c>
      <c r="W149" s="20" t="n">
        <v>-877.453</v>
      </c>
      <c r="X149" s="20" t="n">
        <v>426.938</v>
      </c>
    </row>
    <row r="150">
      <c r="A150" s="18" t="inlineStr">
        <is>
          <t>기타포괄손익 합계</t>
        </is>
      </c>
      <c r="C150" s="20" t="n">
        <v>-590.255</v>
      </c>
      <c r="D150" s="20" t="n">
        <v>897.533</v>
      </c>
      <c r="E150" s="20" t="n">
        <v>891.0650000000001</v>
      </c>
      <c r="F150" s="20" t="n">
        <v>-1510.172</v>
      </c>
      <c r="G150" s="20" t="n">
        <v>1342.274</v>
      </c>
      <c r="H150" s="20" t="n">
        <v>-946.832</v>
      </c>
      <c r="I150" s="20" t="n">
        <v>-373.787</v>
      </c>
      <c r="J150" s="20" t="n">
        <v>556.694</v>
      </c>
      <c r="K150" s="20" t="n">
        <v>982.771</v>
      </c>
      <c r="L150" s="20" t="n">
        <v>454.693</v>
      </c>
      <c r="M150" s="20" t="n">
        <v>536.087</v>
      </c>
      <c r="N150" s="20" t="n">
        <v>-518.098</v>
      </c>
      <c r="T150" s="20" t="n">
        <v>613.328</v>
      </c>
      <c r="U150" s="20" t="n">
        <v>209.745</v>
      </c>
      <c r="V150" s="20" t="n">
        <v>897.533</v>
      </c>
      <c r="W150" s="20" t="n">
        <v>-946.832</v>
      </c>
      <c r="X150" s="20" t="n">
        <v>454.693</v>
      </c>
    </row>
    <row r="151">
      <c r="A151" s="9" t="inlineStr">
        <is>
          <t>포괄이익</t>
        </is>
      </c>
      <c r="C151" s="12" t="n">
        <v>1229.188</v>
      </c>
      <c r="D151" s="12" t="n">
        <v>3134.151</v>
      </c>
      <c r="E151" s="12" t="n">
        <v>3775.628</v>
      </c>
      <c r="F151" s="12" t="n">
        <v>1213.578</v>
      </c>
      <c r="G151" s="12" t="n">
        <v>4903.69</v>
      </c>
      <c r="H151" s="12" t="n">
        <v>1506.223</v>
      </c>
      <c r="I151" s="12" t="n">
        <v>2731.39</v>
      </c>
      <c r="J151" s="12" t="n">
        <v>4331.442</v>
      </c>
      <c r="K151" s="12" t="n">
        <v>4792.026</v>
      </c>
      <c r="L151" s="12" t="n">
        <v>4077.096</v>
      </c>
      <c r="M151" s="12" t="n">
        <v>7224.984</v>
      </c>
      <c r="N151" s="12" t="n">
        <v>4455.606</v>
      </c>
      <c r="T151" s="12" t="n">
        <v>4172.861</v>
      </c>
      <c r="U151" s="12" t="n">
        <v>3330.278</v>
      </c>
      <c r="V151" s="12" t="n">
        <v>3134.151</v>
      </c>
      <c r="W151" s="12" t="n">
        <v>1506.223</v>
      </c>
      <c r="X151" s="12" t="n">
        <v>4077.096</v>
      </c>
    </row>
    <row r="152">
      <c r="A152" s="9" t="inlineStr">
        <is>
          <t>지배주주 포괄이익</t>
        </is>
      </c>
      <c r="C152" s="12" t="n">
        <v>1229.188</v>
      </c>
      <c r="D152" s="12" t="n">
        <v>3134.151</v>
      </c>
      <c r="E152" s="12" t="n">
        <v>3775.628</v>
      </c>
      <c r="F152" s="12" t="n">
        <v>1213.578</v>
      </c>
      <c r="G152" s="12" t="n">
        <v>4903.69</v>
      </c>
      <c r="H152" s="12" t="n">
        <v>1506.223</v>
      </c>
      <c r="I152" s="12" t="n">
        <v>2731.39</v>
      </c>
      <c r="J152" s="12" t="n">
        <v>4331.442</v>
      </c>
      <c r="K152" s="12" t="n">
        <v>4792.026</v>
      </c>
      <c r="L152" s="12" t="n">
        <v>4077.096</v>
      </c>
      <c r="M152" s="12" t="n">
        <v>7224.984</v>
      </c>
      <c r="N152" s="12" t="n">
        <v>4455.606</v>
      </c>
      <c r="T152" s="12" t="n">
        <v>4172.861</v>
      </c>
      <c r="U152" s="12" t="n">
        <v>3330.278</v>
      </c>
      <c r="V152" s="12" t="n">
        <v>3134.151</v>
      </c>
      <c r="W152" s="12" t="n">
        <v>1506.223</v>
      </c>
      <c r="X152" s="12" t="n">
        <v>4077.096</v>
      </c>
    </row>
    <row r="153">
      <c r="A153" s="9" t="inlineStr">
        <is>
          <t>비지배주주 포괄이익</t>
        </is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12" t="n">
        <v>0</v>
      </c>
    </row>
    <row r="155">
      <c r="A155" s="16" t="inlineStr">
        <is>
          <t>부문 · 전 항목</t>
        </is>
      </c>
      <c r="B155" s="42" t="inlineStr">
        <is>
          <t>부문 · 항목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2024.3Q</t>
        </is>
      </c>
      <c r="D156" s="5" t="inlineStr">
        <is>
          <t>2024.4Q</t>
        </is>
      </c>
      <c r="E156" s="5" t="inlineStr">
        <is>
          <t>2025.1Q</t>
        </is>
      </c>
      <c r="F156" s="5" t="inlineStr">
        <is>
          <t>2025.2Q</t>
        </is>
      </c>
      <c r="G156" s="5" t="inlineStr">
        <is>
          <t>2025.3Q</t>
        </is>
      </c>
      <c r="H156" s="5" t="inlineStr">
        <is>
          <t>2025.4Q</t>
        </is>
      </c>
      <c r="I156" s="5" t="inlineStr">
        <is>
          <t>2026.1Q</t>
        </is>
      </c>
      <c r="J156" s="5" t="inlineStr">
        <is>
          <t>2026.2Q</t>
        </is>
      </c>
      <c r="K156" s="5" t="inlineStr">
        <is>
          <t>2026.3Q</t>
        </is>
      </c>
      <c r="L156" s="5" t="inlineStr">
        <is>
          <t>2026.4Q</t>
        </is>
      </c>
      <c r="M156" s="5" t="inlineStr">
        <is>
          <t>2027.1Q</t>
        </is>
      </c>
      <c r="N156" s="5" t="inlineStr">
        <is>
          <t>2027.2Q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18" t="inlineStr">
        <is>
          <t>생명과학 사업 · 외부 고객 매출</t>
        </is>
      </c>
      <c r="C157" s="20" t="n">
        <v>8868.972</v>
      </c>
      <c r="E157" s="20" t="n">
        <v>9389.278</v>
      </c>
      <c r="F157" s="20" t="n">
        <v>9279.262000000001</v>
      </c>
      <c r="G157" s="20" t="n">
        <v>8836.409</v>
      </c>
      <c r="I157" s="20" t="n">
        <v>8955.786</v>
      </c>
      <c r="J157" s="20" t="n">
        <v>8827.664000000001</v>
      </c>
      <c r="K157" s="20" t="n">
        <v>8613.153</v>
      </c>
      <c r="M157" s="20" t="n">
        <v>9845.598</v>
      </c>
      <c r="N157" s="20" t="n">
        <v>9981.59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</row>
    <row r="159">
      <c r="A159" s="18" t="inlineStr">
        <is>
          <t>전자재료 사업 · 외부 고객 매출</t>
        </is>
      </c>
      <c r="C159" s="20" t="n">
        <v>7130.921</v>
      </c>
      <c r="E159" s="20" t="n">
        <v>8042.41</v>
      </c>
      <c r="F159" s="20" t="n">
        <v>8045.403</v>
      </c>
      <c r="G159" s="20" t="n">
        <v>8827.873</v>
      </c>
      <c r="I159" s="20" t="n">
        <v>9702.302</v>
      </c>
      <c r="J159" s="20" t="n">
        <v>10220.136</v>
      </c>
      <c r="K159" s="20" t="n">
        <v>11609.926</v>
      </c>
      <c r="M159" s="20" t="n">
        <v>12973.844</v>
      </c>
      <c r="N159" s="20" t="n">
        <v>12795.586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</row>
    <row r="161">
      <c r="A161" s="18" t="inlineStr">
        <is>
          <t>보고부문 합계 · 외부 고객 매출</t>
        </is>
      </c>
      <c r="C161" s="20" t="n">
        <v>15999.892</v>
      </c>
      <c r="D161" s="20" t="n">
        <v>15835.24</v>
      </c>
      <c r="E161" s="20" t="n">
        <v>17431.688</v>
      </c>
      <c r="F161" s="20" t="n">
        <v>17324.665</v>
      </c>
      <c r="G161" s="20" t="n">
        <v>17664.282</v>
      </c>
      <c r="H161" s="20" t="n">
        <v>17080.892</v>
      </c>
      <c r="I161" s="20" t="n">
        <v>18658.089</v>
      </c>
      <c r="J161" s="20" t="n">
        <v>19047.799</v>
      </c>
      <c r="K161" s="20" t="n">
        <v>20223.08</v>
      </c>
      <c r="L161" s="20" t="n">
        <v>18997.055</v>
      </c>
      <c r="M161" s="20" t="n">
        <v>22819.442</v>
      </c>
      <c r="N161" s="20" t="n">
        <v>22777.177</v>
      </c>
      <c r="V161" s="20" t="n">
        <v>15835.24</v>
      </c>
      <c r="W161" s="20" t="n">
        <v>17080.892</v>
      </c>
      <c r="X161" s="20" t="n">
        <v>18997.055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조정액 · 외부 고객 매출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V163" s="20" t="n">
        <v>0</v>
      </c>
      <c r="W163" s="20" t="n">
        <v>0</v>
      </c>
      <c r="X163" s="20" t="n">
        <v>0</v>
      </c>
    </row>
    <row r="164">
      <c r="A164" s="9" t="inlineStr">
        <is>
          <t>외부 고객 매출</t>
        </is>
      </c>
      <c r="C164" s="12" t="n">
        <v>15999.892</v>
      </c>
      <c r="D164" s="12" t="n">
        <v>15835.24</v>
      </c>
      <c r="E164" s="12" t="n">
        <v>17431.688</v>
      </c>
      <c r="F164" s="12" t="n">
        <v>17324.665</v>
      </c>
      <c r="G164" s="12" t="n">
        <v>17664.282</v>
      </c>
      <c r="H164" s="12" t="n">
        <v>17080.892</v>
      </c>
      <c r="I164" s="12" t="n">
        <v>18658.089</v>
      </c>
      <c r="J164" s="12" t="n">
        <v>19047.799</v>
      </c>
      <c r="K164" s="12" t="n">
        <v>20223.08</v>
      </c>
      <c r="L164" s="12" t="n">
        <v>18997.055</v>
      </c>
      <c r="M164" s="12" t="n">
        <v>22819.442</v>
      </c>
      <c r="N164" s="12" t="n">
        <v>22777.177</v>
      </c>
      <c r="V164" s="12" t="n">
        <v>15835.24</v>
      </c>
      <c r="W164" s="12" t="n">
        <v>17080.892</v>
      </c>
      <c r="X164" s="12" t="n">
        <v>18997.055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생명과학 사업 · 부문 간 내부매출·대체</t>
        </is>
      </c>
      <c r="C166" s="20" t="n">
        <v>0</v>
      </c>
      <c r="E166" s="20" t="n">
        <v>0</v>
      </c>
      <c r="F166" s="20" t="n">
        <v>0</v>
      </c>
      <c r="G166" s="20" t="n">
        <v>0</v>
      </c>
      <c r="I166" s="20" t="n">
        <v>0</v>
      </c>
      <c r="J166" s="20" t="n">
        <v>0</v>
      </c>
      <c r="K166" s="20" t="n">
        <v>0</v>
      </c>
      <c r="M166" s="20" t="n">
        <v>0</v>
      </c>
      <c r="N166" s="20" t="n">
        <v>0</v>
      </c>
    </row>
    <row r="167">
      <c r="A167" s="18" t="inlineStr">
        <is>
          <t>전자재료 사업 · 부문 간 내부매출·대체</t>
        </is>
      </c>
      <c r="C167" s="20" t="n">
        <v>0</v>
      </c>
      <c r="E167" s="20" t="n">
        <v>0</v>
      </c>
      <c r="F167" s="20" t="n">
        <v>0</v>
      </c>
      <c r="G167" s="20" t="n">
        <v>0</v>
      </c>
      <c r="I167" s="20" t="n">
        <v>0</v>
      </c>
      <c r="J167" s="20" t="n">
        <v>0</v>
      </c>
      <c r="K167" s="20" t="n">
        <v>0</v>
      </c>
      <c r="M167" s="20" t="n">
        <v>0</v>
      </c>
      <c r="N167" s="20" t="n">
        <v>0</v>
      </c>
    </row>
    <row r="168">
      <c r="A168" s="18" t="inlineStr">
        <is>
          <t>보고부문 합계 · 부문 간 내부매출·대체</t>
        </is>
      </c>
      <c r="C168" s="20" t="n">
        <v>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V168" s="20" t="n">
        <v>0</v>
      </c>
      <c r="W168" s="20" t="n">
        <v>0</v>
      </c>
      <c r="X168" s="20" t="n">
        <v>0</v>
      </c>
    </row>
    <row r="169">
      <c r="A169" s="18" t="inlineStr">
        <is>
          <t>조정액 · 부문 간 내부매출·대체</t>
        </is>
      </c>
      <c r="C169" s="20" t="n">
        <v>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V169" s="20" t="n">
        <v>0</v>
      </c>
      <c r="W169" s="20" t="n">
        <v>0</v>
      </c>
      <c r="X169" s="20" t="n">
        <v>0</v>
      </c>
    </row>
    <row r="170">
      <c r="A170" s="18" t="inlineStr">
        <is>
          <t>부문 간 내부매출·대체</t>
        </is>
      </c>
      <c r="C170" s="20" t="n">
        <v>0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0</v>
      </c>
      <c r="K170" s="20" t="n">
        <v>0</v>
      </c>
      <c r="L170" s="20" t="n">
        <v>0</v>
      </c>
      <c r="M170" s="20" t="n">
        <v>0</v>
      </c>
      <c r="N170" s="20" t="n">
        <v>0</v>
      </c>
      <c r="V170" s="20" t="n">
        <v>0</v>
      </c>
      <c r="W170" s="20" t="n">
        <v>0</v>
      </c>
      <c r="X170" s="20" t="n">
        <v>0</v>
      </c>
    </row>
    <row r="171">
      <c r="A171" s="18" t="inlineStr">
        <is>
          <t>생명과학 사업 · 계</t>
        </is>
      </c>
      <c r="C171" s="20" t="n">
        <v>8868.972</v>
      </c>
      <c r="E171" s="20" t="n">
        <v>9389.278</v>
      </c>
      <c r="F171" s="20" t="n">
        <v>9279.262000000001</v>
      </c>
      <c r="G171" s="20" t="n">
        <v>8836.409</v>
      </c>
      <c r="I171" s="20" t="n">
        <v>8955.786</v>
      </c>
      <c r="J171" s="20" t="n">
        <v>8827.664000000001</v>
      </c>
      <c r="K171" s="20" t="n">
        <v>8613.153</v>
      </c>
      <c r="M171" s="20" t="n">
        <v>9845.598</v>
      </c>
      <c r="N171" s="20" t="n">
        <v>9981.59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</row>
    <row r="173">
      <c r="A173" s="18" t="inlineStr">
        <is>
          <t>전자재료 사업 · 계</t>
        </is>
      </c>
      <c r="C173" s="20" t="n">
        <v>7130.921</v>
      </c>
      <c r="E173" s="20" t="n">
        <v>8042.41</v>
      </c>
      <c r="F173" s="20" t="n">
        <v>8045.403</v>
      </c>
      <c r="G173" s="20" t="n">
        <v>8827.873</v>
      </c>
      <c r="I173" s="20" t="n">
        <v>9702.302</v>
      </c>
      <c r="J173" s="20" t="n">
        <v>10220.136</v>
      </c>
      <c r="K173" s="20" t="n">
        <v>11609.926</v>
      </c>
      <c r="M173" s="20" t="n">
        <v>12973.844</v>
      </c>
      <c r="N173" s="20" t="n">
        <v>12795.586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</row>
    <row r="175">
      <c r="A175" s="18" t="inlineStr">
        <is>
          <t>보고부문 합계 · 계</t>
        </is>
      </c>
      <c r="C175" s="20" t="n">
        <v>15999.892</v>
      </c>
      <c r="D175" s="20" t="n">
        <v>15835.24</v>
      </c>
      <c r="E175" s="20" t="n">
        <v>17431.688</v>
      </c>
      <c r="F175" s="20" t="n">
        <v>17324.665</v>
      </c>
      <c r="G175" s="20" t="n">
        <v>17664.282</v>
      </c>
      <c r="H175" s="20" t="n">
        <v>17080.892</v>
      </c>
      <c r="I175" s="20" t="n">
        <v>18658.089</v>
      </c>
      <c r="J175" s="20" t="n">
        <v>19047.799</v>
      </c>
      <c r="K175" s="20" t="n">
        <v>20223.08</v>
      </c>
      <c r="L175" s="20" t="n">
        <v>18997.055</v>
      </c>
      <c r="M175" s="20" t="n">
        <v>22819.442</v>
      </c>
      <c r="N175" s="20" t="n">
        <v>22777.177</v>
      </c>
      <c r="V175" s="20" t="n">
        <v>15835.24</v>
      </c>
      <c r="W175" s="20" t="n">
        <v>17080.892</v>
      </c>
      <c r="X175" s="20" t="n">
        <v>18997.055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조정액 · 계</t>
        </is>
      </c>
      <c r="C177" s="20" t="n">
        <v>0</v>
      </c>
      <c r="D177" s="20" t="n">
        <v>0</v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V177" s="20" t="n">
        <v>0</v>
      </c>
      <c r="W177" s="20" t="n">
        <v>0</v>
      </c>
      <c r="X177" s="20" t="n">
        <v>0</v>
      </c>
    </row>
    <row r="178">
      <c r="A178" s="9" t="inlineStr">
        <is>
          <t>계</t>
        </is>
      </c>
      <c r="C178" s="12" t="n">
        <v>15999.892</v>
      </c>
      <c r="D178" s="12" t="n">
        <v>15835.24</v>
      </c>
      <c r="E178" s="12" t="n">
        <v>17431.688</v>
      </c>
      <c r="F178" s="12" t="n">
        <v>17324.665</v>
      </c>
      <c r="G178" s="12" t="n">
        <v>17664.282</v>
      </c>
      <c r="H178" s="12" t="n">
        <v>17080.892</v>
      </c>
      <c r="I178" s="12" t="n">
        <v>18658.089</v>
      </c>
      <c r="J178" s="12" t="n">
        <v>19047.799</v>
      </c>
      <c r="K178" s="12" t="n">
        <v>20223.08</v>
      </c>
      <c r="L178" s="12" t="n">
        <v>18997.055</v>
      </c>
      <c r="M178" s="12" t="n">
        <v>22819.442</v>
      </c>
      <c r="N178" s="12" t="n">
        <v>22777.177</v>
      </c>
      <c r="V178" s="12" t="n">
        <v>15835.24</v>
      </c>
      <c r="W178" s="12" t="n">
        <v>17080.892</v>
      </c>
      <c r="X178" s="12" t="n">
        <v>18997.055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생명과학 사업 · 부문 이익</t>
        </is>
      </c>
      <c r="C180" s="20" t="n">
        <v>1428.566</v>
      </c>
      <c r="E180" s="20" t="n">
        <v>1290.373</v>
      </c>
      <c r="F180" s="20" t="n">
        <v>1450.964</v>
      </c>
      <c r="G180" s="20" t="n">
        <v>1283.054</v>
      </c>
      <c r="I180" s="20" t="n">
        <v>1215.22</v>
      </c>
      <c r="J180" s="20" t="n">
        <v>1301.015</v>
      </c>
      <c r="K180" s="20" t="n">
        <v>1390.929</v>
      </c>
      <c r="M180" s="20" t="n">
        <v>1791.139</v>
      </c>
      <c r="N180" s="20" t="n">
        <v>1657.697</v>
      </c>
    </row>
    <row r="181">
      <c r="A181" s="43" t="inlineStr">
        <is>
          <t>OPM</t>
        </is>
      </c>
      <c r="B181" s="3" t="inlineStr">
        <is>
          <t>영업이익 ÷ 매출</t>
        </is>
      </c>
      <c r="C181" s="15">
        <f>IF(OR(C180="",C171=""),"",IF(C171&lt;=0,"",IFERROR(C180/C171,"")))</f>
        <v/>
      </c>
      <c r="E181" s="15">
        <f>IF(OR(E180="",E171=""),"",IF(E171&lt;=0,"",IFERROR(E180/E171,"")))</f>
        <v/>
      </c>
      <c r="F181" s="15">
        <f>IF(OR(F180="",F171=""),"",IF(F171&lt;=0,"",IFERROR(F180/F171,"")))</f>
        <v/>
      </c>
      <c r="G181" s="15">
        <f>IF(OR(G180="",G171=""),"",IF(G171&lt;=0,"",IFERROR(G180/G171,"")))</f>
        <v/>
      </c>
      <c r="I181" s="15">
        <f>IF(OR(I180="",I171=""),"",IF(I171&lt;=0,"",IFERROR(I180/I171,"")))</f>
        <v/>
      </c>
      <c r="J181" s="15">
        <f>IF(OR(J180="",J171=""),"",IF(J171&lt;=0,"",IFERROR(J180/J171,"")))</f>
        <v/>
      </c>
      <c r="K181" s="15">
        <f>IF(OR(K180="",K171=""),"",IF(K171&lt;=0,"",IFERROR(K180/K171,"")))</f>
        <v/>
      </c>
      <c r="M181" s="15">
        <f>IF(OR(M180="",M171=""),"",IF(M171&lt;=0,"",IFERROR(M180/M171,"")))</f>
        <v/>
      </c>
      <c r="N181" s="15">
        <f>IF(OR(N180="",N171=""),"",IF(N171&lt;=0,"",IFERROR(N180/N171,"")))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IF(OR(G180="",C180=""),"",IF(C180&lt;=0,"",IFERROR(G180/C180-1,"")))</f>
        <v/>
      </c>
      <c r="I182" s="15">
        <f>IF(OR(I180="",E180=""),"",IF(E180&lt;=0,"",IFERROR(I180/E180-1,"")))</f>
        <v/>
      </c>
      <c r="J182" s="15">
        <f>IF(OR(J180="",F180=""),"",IF(F180&lt;=0,"",IFERROR(J180/F180-1,"")))</f>
        <v/>
      </c>
      <c r="K182" s="15">
        <f>IF(OR(K180="",G180=""),"",IF(G180&lt;=0,"",IFERROR(K180/G180-1,"")))</f>
        <v/>
      </c>
      <c r="M182" s="15">
        <f>IF(OR(M180="",I180=""),"",IF(I180&lt;=0,"",IFERROR(M180/I180-1,"")))</f>
        <v/>
      </c>
      <c r="N182" s="15">
        <f>IF(OR(N180="",J180=""),"",IF(J180&lt;=0,"",IFERROR(N180/J180-1,"")))</f>
        <v/>
      </c>
    </row>
    <row r="183">
      <c r="A183" s="18" t="inlineStr">
        <is>
          <t>전자재료 사업 · 부문 이익</t>
        </is>
      </c>
      <c r="C183" s="20" t="n">
        <v>1713.35</v>
      </c>
      <c r="E183" s="20" t="n">
        <v>3215.106</v>
      </c>
      <c r="F183" s="20" t="n">
        <v>3301.446</v>
      </c>
      <c r="G183" s="20" t="n">
        <v>3754.647</v>
      </c>
      <c r="I183" s="20" t="n">
        <v>4071.741</v>
      </c>
      <c r="J183" s="20" t="n">
        <v>4353.843</v>
      </c>
      <c r="K183" s="20" t="n">
        <v>4025.403</v>
      </c>
      <c r="M183" s="20" t="n">
        <v>5075.606</v>
      </c>
      <c r="N183" s="20" t="n">
        <v>6145.209</v>
      </c>
    </row>
    <row r="184">
      <c r="A184" s="43" t="inlineStr">
        <is>
          <t>OPM</t>
        </is>
      </c>
      <c r="B184" s="3" t="inlineStr">
        <is>
          <t>영업이익 ÷ 매출</t>
        </is>
      </c>
      <c r="C184" s="15">
        <f>IF(OR(C183="",C173=""),"",IF(C173&lt;=0,"",IFERROR(C183/C173,"")))</f>
        <v/>
      </c>
      <c r="E184" s="15">
        <f>IF(OR(E183="",E173=""),"",IF(E173&lt;=0,"",IFERROR(E183/E173,"")))</f>
        <v/>
      </c>
      <c r="F184" s="15">
        <f>IF(OR(F183="",F173=""),"",IF(F173&lt;=0,"",IFERROR(F183/F173,"")))</f>
        <v/>
      </c>
      <c r="G184" s="15">
        <f>IF(OR(G183="",G173=""),"",IF(G173&lt;=0,"",IFERROR(G183/G173,"")))</f>
        <v/>
      </c>
      <c r="I184" s="15">
        <f>IF(OR(I183="",I173=""),"",IF(I173&lt;=0,"",IFERROR(I183/I173,"")))</f>
        <v/>
      </c>
      <c r="J184" s="15">
        <f>IF(OR(J183="",J173=""),"",IF(J173&lt;=0,"",IFERROR(J183/J173,"")))</f>
        <v/>
      </c>
      <c r="K184" s="15">
        <f>IF(OR(K183="",K173=""),"",IF(K173&lt;=0,"",IFERROR(K183/K173,"")))</f>
        <v/>
      </c>
      <c r="M184" s="15">
        <f>IF(OR(M183="",M173=""),"",IF(M173&lt;=0,"",IFERROR(M183/M173,"")))</f>
        <v/>
      </c>
      <c r="N184" s="15">
        <f>IF(OR(N183="",N173=""),"",IF(N173&lt;=0,"",IFERROR(N183/N173,"")))</f>
        <v/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IF(OR(G183="",C183=""),"",IF(C183&lt;=0,"",IFERROR(G183/C183-1,"")))</f>
        <v/>
      </c>
      <c r="I185" s="15">
        <f>IF(OR(I183="",E183=""),"",IF(E183&lt;=0,"",IFERROR(I183/E183-1,"")))</f>
        <v/>
      </c>
      <c r="J185" s="15">
        <f>IF(OR(J183="",F183=""),"",IF(F183&lt;=0,"",IFERROR(J183/F183-1,"")))</f>
        <v/>
      </c>
      <c r="K185" s="15">
        <f>IF(OR(K183="",G183=""),"",IF(G183&lt;=0,"",IFERROR(K183/G183-1,"")))</f>
        <v/>
      </c>
      <c r="M185" s="15">
        <f>IF(OR(M183="",I183=""),"",IF(I183&lt;=0,"",IFERROR(M183/I183-1,"")))</f>
        <v/>
      </c>
      <c r="N185" s="15">
        <f>IF(OR(N183="",J183=""),"",IF(J183&lt;=0,"",IFERROR(N183/J183-1,"")))</f>
        <v/>
      </c>
    </row>
    <row r="186">
      <c r="A186" s="18" t="inlineStr">
        <is>
          <t>보고부문 합계 · 부문 이익</t>
        </is>
      </c>
      <c r="C186" s="20" t="n">
        <v>3141.916</v>
      </c>
      <c r="D186" s="20" t="n">
        <v>3421.099</v>
      </c>
      <c r="E186" s="20" t="n">
        <v>4505.479</v>
      </c>
      <c r="F186" s="20" t="n">
        <v>4752.411</v>
      </c>
      <c r="G186" s="20" t="n">
        <v>5037.701</v>
      </c>
      <c r="H186" s="20" t="n">
        <v>4165.026</v>
      </c>
      <c r="I186" s="20" t="n">
        <v>5286.961</v>
      </c>
      <c r="J186" s="20" t="n">
        <v>5654.859</v>
      </c>
      <c r="K186" s="20" t="n">
        <v>5416.332</v>
      </c>
      <c r="L186" s="20" t="n">
        <v>4876.775</v>
      </c>
      <c r="M186" s="20" t="n">
        <v>6866.746</v>
      </c>
      <c r="N186" s="20" t="n">
        <v>7802.905</v>
      </c>
      <c r="V186" s="20" t="n">
        <v>3421.099</v>
      </c>
      <c r="W186" s="20" t="n">
        <v>4165.026</v>
      </c>
      <c r="X186" s="20" t="n">
        <v>4876.775</v>
      </c>
    </row>
    <row r="187">
      <c r="A187" s="43" t="inlineStr">
        <is>
          <t>OPM</t>
        </is>
      </c>
      <c r="B187" s="3" t="inlineStr">
        <is>
          <t>영업이익 ÷ 매출</t>
        </is>
      </c>
      <c r="C187" s="15">
        <f>IF(OR(C186="",C175=""),"",IF(C175&lt;=0,"",IFERROR(C186/C175,"")))</f>
        <v/>
      </c>
      <c r="D187" s="15">
        <f>IF(OR(D186="",D175=""),"",IF(D175&lt;=0,"",IFERROR(D186/D175,"")))</f>
        <v/>
      </c>
      <c r="E187" s="15">
        <f>IF(OR(E186="",E175=""),"",IF(E175&lt;=0,"",IFERROR(E186/E175,"")))</f>
        <v/>
      </c>
      <c r="F187" s="15">
        <f>IF(OR(F186="",F175=""),"",IF(F175&lt;=0,"",IFERROR(F186/F175,"")))</f>
        <v/>
      </c>
      <c r="G187" s="15">
        <f>IF(OR(G186="",G175=""),"",IF(G175&lt;=0,"",IFERROR(G186/G175,"")))</f>
        <v/>
      </c>
      <c r="H187" s="15">
        <f>IF(OR(H186="",H175=""),"",IF(H175&lt;=0,"",IFERROR(H186/H175,"")))</f>
        <v/>
      </c>
      <c r="I187" s="15">
        <f>IF(OR(I186="",I175=""),"",IF(I175&lt;=0,"",IFERROR(I186/I175,"")))</f>
        <v/>
      </c>
      <c r="J187" s="15">
        <f>IF(OR(J186="",J175=""),"",IF(J175&lt;=0,"",IFERROR(J186/J175,"")))</f>
        <v/>
      </c>
      <c r="K187" s="15">
        <f>IF(OR(K186="",K175=""),"",IF(K175&lt;=0,"",IFERROR(K186/K175,"")))</f>
        <v/>
      </c>
      <c r="L187" s="15">
        <f>IF(OR(L186="",L175=""),"",IF(L175&lt;=0,"",IFERROR(L186/L175,"")))</f>
        <v/>
      </c>
      <c r="M187" s="15">
        <f>IF(OR(M186="",M175=""),"",IF(M175&lt;=0,"",IFERROR(M186/M175,"")))</f>
        <v/>
      </c>
      <c r="N187" s="15">
        <f>IF(OR(N186="",N175=""),"",IF(N175&lt;=0,"",IFERROR(N186/N175,"")))</f>
        <v/>
      </c>
      <c r="V187" s="15">
        <f>IF(OR(V186="",V175=""),"",IF(V175&lt;=0,"",IFERROR(V186/V175,"")))</f>
        <v/>
      </c>
      <c r="W187" s="15">
        <f>IF(OR(W186="",W175=""),"",IF(W175&lt;=0,"",IFERROR(W186/W175,"")))</f>
        <v/>
      </c>
      <c r="X187" s="15">
        <f>IF(OR(X186="",X175=""),"",IF(X175&lt;=0,"",IFERROR(X186/X175,"")))</f>
        <v/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IF(OR(G186="",C186=""),"",IF(C186&lt;=0,"",IFERROR(G186/C186-1,"")))</f>
        <v/>
      </c>
      <c r="H188" s="15">
        <f>IF(OR(H186="",D186=""),"",IF(D186&lt;=0,"",IFERROR(H186/D186-1,"")))</f>
        <v/>
      </c>
      <c r="I188" s="15">
        <f>IF(OR(I186="",E186=""),"",IF(E186&lt;=0,"",IFERROR(I186/E186-1,"")))</f>
        <v/>
      </c>
      <c r="J188" s="15">
        <f>IF(OR(J186="",F186=""),"",IF(F186&lt;=0,"",IFERROR(J186/F186-1,"")))</f>
        <v/>
      </c>
      <c r="K188" s="15">
        <f>IF(OR(K186="",G186=""),"",IF(G186&lt;=0,"",IFERROR(K186/G186-1,"")))</f>
        <v/>
      </c>
      <c r="L188" s="15">
        <f>IF(OR(L186="",H186=""),"",IF(H186&lt;=0,"",IFERROR(L186/H186-1,"")))</f>
        <v/>
      </c>
      <c r="M188" s="15">
        <f>IF(OR(M186="",I186=""),"",IF(I186&lt;=0,"",IFERROR(M186/I186-1,"")))</f>
        <v/>
      </c>
      <c r="N188" s="15">
        <f>IF(OR(N186="",J186=""),"",IF(J186&lt;=0,"",IFERROR(N186/J186-1,"")))</f>
        <v/>
      </c>
      <c r="V188" s="15">
        <f>IF(OR(V186="",U186=""),"",IF(U186&lt;=0,"",IFERROR(V186/U186-1,"")))</f>
        <v/>
      </c>
      <c r="W188" s="15">
        <f>IF(OR(W186="",V186=""),"",IF(V186&lt;=0,"",IFERROR(W186/V186-1,"")))</f>
        <v/>
      </c>
      <c r="X188" s="15">
        <f>IF(OR(X186="",W186=""),"",IF(W186&lt;=0,"",IFERROR(X186/W186-1,"")))</f>
        <v/>
      </c>
    </row>
    <row r="189">
      <c r="A189" s="18" t="inlineStr">
        <is>
          <t>조정액 · 부문 이익</t>
        </is>
      </c>
      <c r="C189" s="20" t="n">
        <v>-496.609</v>
      </c>
      <c r="D189" s="20" t="n">
        <v>-563.5170000000001</v>
      </c>
      <c r="E189" s="20" t="n">
        <v>-594.708</v>
      </c>
      <c r="F189" s="20" t="n">
        <v>-518.1369999999999</v>
      </c>
      <c r="G189" s="20" t="n">
        <v>-586.985</v>
      </c>
      <c r="H189" s="20" t="n">
        <v>-530.278</v>
      </c>
      <c r="I189" s="20" t="n">
        <v>-592.891</v>
      </c>
      <c r="J189" s="20" t="n">
        <v>-601.975</v>
      </c>
      <c r="K189" s="20" t="n">
        <v>-600.104</v>
      </c>
      <c r="L189" s="20" t="n">
        <v>-589.417</v>
      </c>
      <c r="M189" s="20" t="n">
        <v>-694.462</v>
      </c>
      <c r="N189" s="20" t="n">
        <v>-680.857</v>
      </c>
      <c r="V189" s="20" t="n">
        <v>-563.5170000000001</v>
      </c>
      <c r="W189" s="20" t="n">
        <v>-530.278</v>
      </c>
      <c r="X189" s="20" t="n">
        <v>-589.417</v>
      </c>
    </row>
    <row r="190">
      <c r="A190" s="9" t="inlineStr">
        <is>
          <t>부문 이익</t>
        </is>
      </c>
      <c r="C190" s="12" t="n">
        <v>2645.307</v>
      </c>
      <c r="D190" s="12" t="n">
        <v>2857.581</v>
      </c>
      <c r="E190" s="12" t="n">
        <v>3910.771</v>
      </c>
      <c r="F190" s="12" t="n">
        <v>4234.273</v>
      </c>
      <c r="G190" s="12" t="n">
        <v>4450.716</v>
      </c>
      <c r="H190" s="12" t="n">
        <v>3634.748</v>
      </c>
      <c r="I190" s="12" t="n">
        <v>4694.069</v>
      </c>
      <c r="J190" s="12" t="n">
        <v>5052.884</v>
      </c>
      <c r="K190" s="12" t="n">
        <v>4816.228</v>
      </c>
      <c r="L190" s="12" t="n">
        <v>4287.358</v>
      </c>
      <c r="M190" s="12" t="n">
        <v>6172.283</v>
      </c>
      <c r="N190" s="12" t="n">
        <v>7122.049</v>
      </c>
      <c r="V190" s="12" t="n">
        <v>2857.581</v>
      </c>
      <c r="W190" s="12" t="n">
        <v>3634.748</v>
      </c>
      <c r="X190" s="12" t="n">
        <v>4287.358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IF(OR(C190="",C164=""),"",IF(C164&lt;=0,"",IFERROR(C190/C164,"")))</f>
        <v/>
      </c>
      <c r="D191" s="15">
        <f>IF(OR(D190="",D164=""),"",IF(D164&lt;=0,"",IFERROR(D190/D164,"")))</f>
        <v/>
      </c>
      <c r="E191" s="15">
        <f>IF(OR(E190="",E164=""),"",IF(E164&lt;=0,"",IFERROR(E190/E164,"")))</f>
        <v/>
      </c>
      <c r="F191" s="15">
        <f>IF(OR(F190="",F164=""),"",IF(F164&lt;=0,"",IFERROR(F190/F164,"")))</f>
        <v/>
      </c>
      <c r="G191" s="15">
        <f>IF(OR(G190="",G164=""),"",IF(G164&lt;=0,"",IFERROR(G190/G164,"")))</f>
        <v/>
      </c>
      <c r="H191" s="15">
        <f>IF(OR(H190="",H164=""),"",IF(H164&lt;=0,"",IFERROR(H190/H164,"")))</f>
        <v/>
      </c>
      <c r="I191" s="15">
        <f>IF(OR(I190="",I164=""),"",IF(I164&lt;=0,"",IFERROR(I190/I164,"")))</f>
        <v/>
      </c>
      <c r="J191" s="15">
        <f>IF(OR(J190="",J164=""),"",IF(J164&lt;=0,"",IFERROR(J190/J164,"")))</f>
        <v/>
      </c>
      <c r="K191" s="15">
        <f>IF(OR(K190="",K164=""),"",IF(K164&lt;=0,"",IFERROR(K190/K164,"")))</f>
        <v/>
      </c>
      <c r="L191" s="15">
        <f>IF(OR(L190="",L164=""),"",IF(L164&lt;=0,"",IFERROR(L190/L164,"")))</f>
        <v/>
      </c>
      <c r="M191" s="15">
        <f>IF(OR(M190="",M164=""),"",IF(M164&lt;=0,"",IFERROR(M190/M164,"")))</f>
        <v/>
      </c>
      <c r="N191" s="15">
        <f>IF(OR(N190="",N164=""),"",IF(N164&lt;=0,"",IFERROR(N190/N164,"")))</f>
        <v/>
      </c>
      <c r="V191" s="15">
        <f>IF(OR(V190="",V164=""),"",IF(V164&lt;=0,"",IFERROR(V190/V164,"")))</f>
        <v/>
      </c>
      <c r="W191" s="15">
        <f>IF(OR(W190="",W164=""),"",IF(W164&lt;=0,"",IFERROR(W190/W164,"")))</f>
        <v/>
      </c>
      <c r="X191" s="15">
        <f>IF(OR(X190="",X164=""),"",IF(X164&lt;=0,"",IFERROR(X190/X164,"")))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N192" s="15">
        <f>IF(OR(N190="",J190=""),"",IF(J190&lt;=0,"",IFERROR(N190/J190-1,"")))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3">
      <c r="A193" s="18" t="inlineStr">
        <is>
          <t>생명과학 사업 · 감가상각비</t>
        </is>
      </c>
      <c r="E193" s="20" t="n">
        <v>347.747</v>
      </c>
      <c r="F193" s="20" t="n">
        <v>379.307</v>
      </c>
      <c r="G193" s="20" t="n">
        <v>411.072</v>
      </c>
      <c r="I193" s="20" t="n">
        <v>371.654</v>
      </c>
      <c r="J193" s="20" t="n">
        <v>409.176</v>
      </c>
      <c r="K193" s="20" t="n">
        <v>419.539</v>
      </c>
      <c r="M193" s="20" t="n">
        <v>399.949</v>
      </c>
      <c r="N193" s="20" t="n">
        <v>419.736</v>
      </c>
    </row>
    <row r="194">
      <c r="A194" s="18" t="inlineStr">
        <is>
          <t>전자재료 사업 · 감가상각비</t>
        </is>
      </c>
      <c r="E194" s="20" t="n">
        <v>1417.334</v>
      </c>
      <c r="F194" s="20" t="n">
        <v>1450.705</v>
      </c>
      <c r="G194" s="20" t="n">
        <v>1485.95</v>
      </c>
      <c r="I194" s="20" t="n">
        <v>1781.319</v>
      </c>
      <c r="J194" s="20" t="n">
        <v>1918.318</v>
      </c>
      <c r="K194" s="20" t="n">
        <v>2296.912</v>
      </c>
      <c r="M194" s="20" t="n">
        <v>2577.842</v>
      </c>
      <c r="N194" s="20" t="n">
        <v>2612.494</v>
      </c>
    </row>
    <row r="195">
      <c r="A195" s="18" t="inlineStr">
        <is>
          <t>보고부문 합계 · 감가상각비</t>
        </is>
      </c>
      <c r="D195" s="20" t="n">
        <v>2167.538</v>
      </c>
      <c r="E195" s="20" t="n">
        <v>1765.082</v>
      </c>
      <c r="F195" s="20" t="n">
        <v>1830.012</v>
      </c>
      <c r="G195" s="20" t="n">
        <v>1897.022</v>
      </c>
      <c r="H195" s="20" t="n">
        <v>2599.6</v>
      </c>
      <c r="I195" s="20" t="n">
        <v>2152.973</v>
      </c>
      <c r="J195" s="20" t="n">
        <v>2327.495</v>
      </c>
      <c r="K195" s="20" t="n">
        <v>2716.451</v>
      </c>
      <c r="L195" s="20" t="n">
        <v>3536.371</v>
      </c>
      <c r="M195" s="20" t="n">
        <v>2977.791</v>
      </c>
      <c r="N195" s="20" t="n">
        <v>3032.231</v>
      </c>
      <c r="V195" s="20" t="n">
        <v>2167.538</v>
      </c>
      <c r="W195" s="20" t="n">
        <v>2599.6</v>
      </c>
      <c r="X195" s="20" t="n">
        <v>3536.371</v>
      </c>
    </row>
    <row r="196">
      <c r="A196" s="18" t="inlineStr">
        <is>
          <t>조정액 · 감가상각비</t>
        </is>
      </c>
      <c r="D196" s="20" t="n">
        <v>58.127</v>
      </c>
      <c r="E196" s="20" t="n">
        <v>53.72</v>
      </c>
      <c r="F196" s="20" t="n">
        <v>53.867</v>
      </c>
      <c r="G196" s="20" t="n">
        <v>54.82</v>
      </c>
      <c r="H196" s="20" t="n">
        <v>55.194</v>
      </c>
      <c r="I196" s="20" t="n">
        <v>50.447</v>
      </c>
      <c r="J196" s="20" t="n">
        <v>50.907</v>
      </c>
      <c r="K196" s="20" t="n">
        <v>51.078</v>
      </c>
      <c r="L196" s="20" t="n">
        <v>51.013</v>
      </c>
      <c r="M196" s="20" t="n">
        <v>47.628</v>
      </c>
      <c r="N196" s="20" t="n">
        <v>49.821</v>
      </c>
      <c r="V196" s="20" t="n">
        <v>58.127</v>
      </c>
      <c r="W196" s="20" t="n">
        <v>55.194</v>
      </c>
      <c r="X196" s="20" t="n">
        <v>51.013</v>
      </c>
    </row>
    <row r="197">
      <c r="A197" s="18" t="inlineStr">
        <is>
          <t>감가상각비</t>
        </is>
      </c>
      <c r="D197" s="20" t="n">
        <v>2225.665</v>
      </c>
      <c r="E197" s="20" t="n">
        <v>1818.803</v>
      </c>
      <c r="F197" s="20" t="n">
        <v>1883.878</v>
      </c>
      <c r="G197" s="20" t="n">
        <v>1951.842</v>
      </c>
      <c r="H197" s="20" t="n">
        <v>2654.795</v>
      </c>
      <c r="I197" s="20" t="n">
        <v>2203.421</v>
      </c>
      <c r="J197" s="20" t="n">
        <v>2378.402</v>
      </c>
      <c r="K197" s="20" t="n">
        <v>2767.529</v>
      </c>
      <c r="L197" s="20" t="n">
        <v>3587.384</v>
      </c>
      <c r="M197" s="20" t="n">
        <v>3025.42</v>
      </c>
      <c r="N197" s="20" t="n">
        <v>3082.051</v>
      </c>
      <c r="V197" s="20" t="n">
        <v>2225.665</v>
      </c>
      <c r="W197" s="20" t="n">
        <v>2654.795</v>
      </c>
      <c r="X197" s="20" t="n">
        <v>3587.384</v>
      </c>
    </row>
    <row r="199">
      <c r="A199" s="16" t="inlineStr">
        <is>
          <t>현금흐름표 · 전 항목</t>
        </is>
      </c>
      <c r="B199" s="42" t="inlineStr">
        <is>
          <t>분기 = 결산기 첫날부터 누계(공시 그대로)</t>
        </is>
      </c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</row>
    <row r="200">
      <c r="A200" s="5" t="inlineStr">
        <is>
          <t>항목</t>
        </is>
      </c>
      <c r="B200" s="5" t="inlineStr">
        <is>
          <t>참고</t>
        </is>
      </c>
      <c r="C200" s="5" t="inlineStr">
        <is>
          <t>2024.3Q</t>
        </is>
      </c>
      <c r="D200" s="5" t="inlineStr">
        <is>
          <t>2024.4Q</t>
        </is>
      </c>
      <c r="E200" s="5" t="inlineStr">
        <is>
          <t>2025.1Q</t>
        </is>
      </c>
      <c r="F200" s="5" t="inlineStr">
        <is>
          <t>2025.2Q</t>
        </is>
      </c>
      <c r="G200" s="5" t="inlineStr">
        <is>
          <t>2025.3Q</t>
        </is>
      </c>
      <c r="H200" s="5" t="inlineStr">
        <is>
          <t>2025.4Q</t>
        </is>
      </c>
      <c r="I200" s="5" t="inlineStr">
        <is>
          <t>2026.1Q</t>
        </is>
      </c>
      <c r="J200" s="5" t="inlineStr">
        <is>
          <t>2026.2Q</t>
        </is>
      </c>
      <c r="K200" s="5" t="inlineStr">
        <is>
          <t>2026.3Q</t>
        </is>
      </c>
      <c r="L200" s="5" t="inlineStr">
        <is>
          <t>2026.4Q</t>
        </is>
      </c>
      <c r="M200" s="5" t="inlineStr">
        <is>
          <t>2027.1Q</t>
        </is>
      </c>
      <c r="N200" s="5" t="inlineStr">
        <is>
          <t>2027.2Q</t>
        </is>
      </c>
      <c r="O200" s="5" t="inlineStr">
        <is>
          <t>2017</t>
        </is>
      </c>
      <c r="P200" s="5" t="inlineStr">
        <is>
          <t>2018</t>
        </is>
      </c>
      <c r="Q200" s="5" t="inlineStr">
        <is>
          <t>2019</t>
        </is>
      </c>
      <c r="R200" s="5" t="inlineStr">
        <is>
          <t>2020</t>
        </is>
      </c>
      <c r="S200" s="5" t="inlineStr">
        <is>
          <t>2021</t>
        </is>
      </c>
      <c r="T200" s="5" t="inlineStr">
        <is>
          <t>2022</t>
        </is>
      </c>
      <c r="U200" s="5" t="inlineStr">
        <is>
          <t>2023</t>
        </is>
      </c>
      <c r="V200" s="5" t="inlineStr">
        <is>
          <t>2024</t>
        </is>
      </c>
      <c r="W200" s="5" t="inlineStr">
        <is>
          <t>2025</t>
        </is>
      </c>
      <c r="X200" s="5" t="inlineStr">
        <is>
          <t>2026</t>
        </is>
      </c>
      <c r="Y200" s="5" t="inlineStr">
        <is>
          <t>2027(MW)</t>
        </is>
      </c>
      <c r="Z200" s="5" t="inlineStr">
        <is>
          <t>2028(MW)</t>
        </is>
      </c>
      <c r="AA200" s="5" t="inlineStr">
        <is>
          <t>2029(MW)</t>
        </is>
      </c>
      <c r="AB200" s="5" t="inlineStr">
        <is>
          <t>2030(MW)</t>
        </is>
      </c>
      <c r="AC200" s="5" t="inlineStr">
        <is>
          <t>2031(MW)</t>
        </is>
      </c>
    </row>
    <row r="201">
      <c r="A201" s="9" t="inlineStr">
        <is>
          <t>법인세차감전 순이익</t>
        </is>
      </c>
      <c r="C201" s="12" t="n">
        <v>8682.243</v>
      </c>
      <c r="D201" s="12" t="n">
        <v>12006.194</v>
      </c>
      <c r="E201" s="12" t="n">
        <v>4298.705</v>
      </c>
      <c r="F201" s="12" t="n">
        <v>8008.73</v>
      </c>
      <c r="G201" s="12" t="n">
        <v>13197.41</v>
      </c>
      <c r="H201" s="12" t="n">
        <v>16267.256</v>
      </c>
      <c r="I201" s="12" t="n">
        <v>4534.78</v>
      </c>
      <c r="J201" s="12" t="n">
        <v>9794.913</v>
      </c>
      <c r="K201" s="12" t="n">
        <v>15236.173</v>
      </c>
      <c r="L201" s="12" t="n">
        <v>19528.007</v>
      </c>
      <c r="M201" s="12" t="n">
        <v>9971.933999999999</v>
      </c>
      <c r="N201" s="12" t="n">
        <v>16938.901</v>
      </c>
      <c r="O201" s="12" t="n">
        <v>9989.044</v>
      </c>
      <c r="P201" s="12" t="n">
        <v>9407.361999999999</v>
      </c>
      <c r="Q201" s="12" t="n">
        <v>9795.57</v>
      </c>
      <c r="R201" s="12" t="n">
        <v>8875.776</v>
      </c>
      <c r="S201" s="12" t="n">
        <v>9729.563</v>
      </c>
      <c r="T201" s="12" t="n">
        <v>15713.912</v>
      </c>
      <c r="U201" s="12" t="n">
        <v>20082.321</v>
      </c>
      <c r="V201" s="12" t="n">
        <v>12006.194</v>
      </c>
      <c r="W201" s="12" t="n">
        <v>16267.256</v>
      </c>
      <c r="X201" s="12" t="n">
        <v>19528.007</v>
      </c>
    </row>
    <row r="202">
      <c r="A202" s="18" t="inlineStr">
        <is>
          <t>감가상각비</t>
        </is>
      </c>
      <c r="C202" s="20" t="n">
        <v>4934.499</v>
      </c>
      <c r="D202" s="20" t="n">
        <v>7160.164</v>
      </c>
      <c r="E202" s="20" t="n">
        <v>1818.803</v>
      </c>
      <c r="F202" s="20" t="n">
        <v>3702.681</v>
      </c>
      <c r="G202" s="20" t="n">
        <v>5654.523</v>
      </c>
      <c r="H202" s="20" t="n">
        <v>8309.317999999999</v>
      </c>
      <c r="I202" s="20" t="n">
        <v>2203.421</v>
      </c>
      <c r="J202" s="20" t="n">
        <v>4581.823</v>
      </c>
      <c r="K202" s="20" t="n">
        <v>7349.352</v>
      </c>
      <c r="L202" s="20" t="n">
        <v>10936.736</v>
      </c>
      <c r="M202" s="20" t="n">
        <v>3025.42</v>
      </c>
      <c r="N202" s="20" t="n">
        <v>6107.471</v>
      </c>
      <c r="O202" s="20" t="n">
        <v>1341.292</v>
      </c>
      <c r="P202" s="20" t="n">
        <v>1613.246</v>
      </c>
      <c r="Q202" s="20" t="n">
        <v>3044.487</v>
      </c>
      <c r="R202" s="20" t="n">
        <v>4532.187</v>
      </c>
      <c r="S202" s="20" t="n">
        <v>5027.035</v>
      </c>
      <c r="T202" s="20" t="n">
        <v>4453.399</v>
      </c>
      <c r="U202" s="20" t="n">
        <v>4337.558</v>
      </c>
      <c r="V202" s="20" t="n">
        <v>7160.164</v>
      </c>
      <c r="W202" s="20" t="n">
        <v>8309.317999999999</v>
      </c>
      <c r="X202" s="20" t="n">
        <v>10936.736</v>
      </c>
    </row>
    <row r="203">
      <c r="A203" s="18" t="inlineStr">
        <is>
          <t>대손충당금 증감</t>
        </is>
      </c>
      <c r="C203" s="20" t="n">
        <v>-3.653</v>
      </c>
      <c r="D203" s="20" t="n">
        <v>-3.121</v>
      </c>
      <c r="E203" s="20" t="n">
        <v>2.144</v>
      </c>
      <c r="F203" s="20" t="n">
        <v>4.002</v>
      </c>
      <c r="G203" s="20" t="n">
        <v>1.047</v>
      </c>
      <c r="H203" s="20" t="n">
        <v>2.074</v>
      </c>
      <c r="I203" s="20" t="n">
        <v>0.111</v>
      </c>
      <c r="J203" s="20" t="n">
        <v>0.641</v>
      </c>
      <c r="K203" s="20" t="n">
        <v>-1.01</v>
      </c>
      <c r="L203" s="20" t="n">
        <v>0.544</v>
      </c>
      <c r="M203" s="20" t="n">
        <v>0.478</v>
      </c>
      <c r="N203" s="20" t="n">
        <v>1.902</v>
      </c>
      <c r="O203" s="20" t="n">
        <v>-0.5</v>
      </c>
      <c r="P203" s="20" t="n">
        <v>0.255</v>
      </c>
      <c r="Q203" s="20" t="n">
        <v>4.109</v>
      </c>
      <c r="R203" s="20" t="n">
        <v>0.6909999999999999</v>
      </c>
      <c r="S203" s="20" t="n">
        <v>0.228</v>
      </c>
      <c r="T203" s="20" t="n">
        <v>3.822</v>
      </c>
      <c r="U203" s="20" t="n">
        <v>-0.671</v>
      </c>
      <c r="V203" s="20" t="n">
        <v>-3.121</v>
      </c>
      <c r="W203" s="20" t="n">
        <v>2.074</v>
      </c>
      <c r="X203" s="20" t="n">
        <v>0.544</v>
      </c>
    </row>
    <row r="204">
      <c r="A204" s="18" t="inlineStr">
        <is>
          <t>상여충당금 증감</t>
        </is>
      </c>
      <c r="C204" s="20" t="n">
        <v>-333.537</v>
      </c>
      <c r="D204" s="20" t="n">
        <v>-120.817</v>
      </c>
      <c r="E204" s="20" t="n">
        <v>-217.964</v>
      </c>
      <c r="F204" s="20" t="n">
        <v>65.492</v>
      </c>
      <c r="G204" s="20" t="n">
        <v>-179.669</v>
      </c>
      <c r="H204" s="20" t="n">
        <v>47.83</v>
      </c>
      <c r="I204" s="20" t="n">
        <v>-239.341</v>
      </c>
      <c r="J204" s="20" t="n">
        <v>71.714</v>
      </c>
      <c r="K204" s="20" t="n">
        <v>-197.748</v>
      </c>
      <c r="L204" s="20" t="n">
        <v>64.68000000000001</v>
      </c>
      <c r="M204" s="20" t="n">
        <v>-264.613</v>
      </c>
      <c r="N204" s="20" t="n">
        <v>113.465</v>
      </c>
      <c r="O204" s="20" t="n">
        <v>125.865</v>
      </c>
      <c r="P204" s="20" t="n">
        <v>25.398</v>
      </c>
      <c r="Q204" s="20" t="n">
        <v>-89.996</v>
      </c>
      <c r="R204" s="20" t="n">
        <v>46.933</v>
      </c>
      <c r="S204" s="20" t="n">
        <v>96.851</v>
      </c>
      <c r="T204" s="20" t="n">
        <v>-20.071</v>
      </c>
      <c r="U204" s="20" t="n">
        <v>61.296</v>
      </c>
      <c r="V204" s="20" t="n">
        <v>-120.817</v>
      </c>
      <c r="W204" s="20" t="n">
        <v>47.83</v>
      </c>
      <c r="X204" s="20" t="n">
        <v>64.68000000000001</v>
      </c>
    </row>
    <row r="205">
      <c r="A205" s="18" t="inlineStr">
        <is>
          <t>임원 상여충당금 증감</t>
        </is>
      </c>
      <c r="C205" s="20" t="n">
        <v>-4.19</v>
      </c>
      <c r="D205" s="20" t="n">
        <v>-36.1</v>
      </c>
      <c r="E205" s="20" t="n">
        <v>-5.87</v>
      </c>
      <c r="F205" s="20" t="n">
        <v>22.31</v>
      </c>
      <c r="G205" s="20" t="n">
        <v>55.26</v>
      </c>
      <c r="H205" s="20" t="n">
        <v>16.65</v>
      </c>
      <c r="I205" s="20" t="n">
        <v>-17.707</v>
      </c>
      <c r="J205" s="20" t="n">
        <v>19.002</v>
      </c>
      <c r="K205" s="20" t="n">
        <v>56.825</v>
      </c>
      <c r="L205" s="20" t="n">
        <v>43.262</v>
      </c>
      <c r="M205" s="20" t="n">
        <v>-55.364</v>
      </c>
      <c r="N205" s="20" t="n">
        <v>-19.735</v>
      </c>
      <c r="O205" s="20" t="n">
        <v>-95.09999999999999</v>
      </c>
      <c r="P205" s="20" t="n">
        <v>-65.3</v>
      </c>
      <c r="Q205" s="20" t="n">
        <v>63.4</v>
      </c>
      <c r="R205" s="20" t="n">
        <v>15.44</v>
      </c>
      <c r="S205" s="20" t="n">
        <v>-29.08</v>
      </c>
      <c r="T205" s="20" t="n">
        <v>11.24</v>
      </c>
      <c r="U205" s="20" t="n">
        <v>6.2</v>
      </c>
      <c r="V205" s="20" t="n">
        <v>-36.1</v>
      </c>
      <c r="W205" s="20" t="n">
        <v>16.65</v>
      </c>
      <c r="X205" s="20" t="n">
        <v>43.262</v>
      </c>
    </row>
    <row r="206">
      <c r="A206" s="18" t="inlineStr">
        <is>
          <t>퇴직급여부채 증감</t>
        </is>
      </c>
      <c r="C206" s="20" t="n">
        <v>74.211</v>
      </c>
      <c r="D206" s="20" t="n">
        <v>-1.837</v>
      </c>
      <c r="E206" s="20" t="n">
        <v>10.597</v>
      </c>
      <c r="F206" s="20" t="n">
        <v>24.759</v>
      </c>
      <c r="G206" s="20" t="n">
        <v>30.01</v>
      </c>
      <c r="H206" s="20" t="n">
        <v>-304.803</v>
      </c>
      <c r="I206" s="20" t="n">
        <v>14.843</v>
      </c>
      <c r="J206" s="20" t="n">
        <v>-5.974</v>
      </c>
      <c r="K206" s="20" t="n">
        <v>2.577</v>
      </c>
      <c r="L206" s="20" t="n">
        <v>-44.767</v>
      </c>
      <c r="M206" s="20" t="n">
        <v>14.165</v>
      </c>
      <c r="N206" s="20" t="n">
        <v>36.514</v>
      </c>
      <c r="O206" s="20" t="n">
        <v>33.626</v>
      </c>
      <c r="P206" s="20" t="n">
        <v>24.114</v>
      </c>
      <c r="Q206" s="20" t="n">
        <v>18.285</v>
      </c>
      <c r="R206" s="20" t="n">
        <v>-17.672</v>
      </c>
      <c r="S206" s="20" t="n">
        <v>-140.105</v>
      </c>
      <c r="T206" s="20" t="n">
        <v>15.222</v>
      </c>
      <c r="U206" s="20" t="n">
        <v>87.42400000000001</v>
      </c>
      <c r="V206" s="20" t="n">
        <v>-1.837</v>
      </c>
      <c r="W206" s="20" t="n">
        <v>-304.803</v>
      </c>
      <c r="X206" s="20" t="n">
        <v>-44.767</v>
      </c>
    </row>
    <row r="207">
      <c r="A207" s="18" t="inlineStr">
        <is>
          <t>수선충당금 증감액</t>
        </is>
      </c>
      <c r="C207" s="20" t="n">
        <v>-104.406</v>
      </c>
      <c r="D207" s="20" t="n">
        <v>18.053</v>
      </c>
      <c r="E207" s="20" t="n">
        <v>-114.505</v>
      </c>
      <c r="F207" s="20" t="n">
        <v>-209.103</v>
      </c>
      <c r="G207" s="20" t="n">
        <v>-98.34399999999999</v>
      </c>
      <c r="H207" s="20" t="n">
        <v>77.55500000000001</v>
      </c>
      <c r="I207" s="20" t="n">
        <v>-95.255</v>
      </c>
      <c r="J207" s="20" t="n">
        <v>-263.379</v>
      </c>
      <c r="K207" s="20" t="n">
        <v>-69.50700000000001</v>
      </c>
      <c r="L207" s="20" t="n">
        <v>55.162</v>
      </c>
      <c r="M207" s="20" t="n">
        <v>-58.571</v>
      </c>
      <c r="N207" s="20" t="n">
        <v>-309.306</v>
      </c>
      <c r="O207" s="20" t="n">
        <v>0</v>
      </c>
      <c r="P207" s="20" t="n">
        <v>171.304</v>
      </c>
      <c r="Q207" s="20" t="n">
        <v>97.545</v>
      </c>
      <c r="R207" s="20" t="n">
        <v>11.701</v>
      </c>
      <c r="S207" s="20" t="n">
        <v>47.314</v>
      </c>
      <c r="T207" s="20" t="n">
        <v>45.649</v>
      </c>
      <c r="U207" s="20" t="n">
        <v>-17.49</v>
      </c>
      <c r="V207" s="20" t="n">
        <v>18.053</v>
      </c>
      <c r="W207" s="20" t="n">
        <v>77.55500000000001</v>
      </c>
      <c r="X207" s="20" t="n">
        <v>55.162</v>
      </c>
    </row>
    <row r="208">
      <c r="A208" s="18" t="inlineStr">
        <is>
          <t>임원 퇴직 공로 충당금 증감액(△는 감소)</t>
        </is>
      </c>
      <c r="O208" s="20" t="n">
        <v>0</v>
      </c>
      <c r="P208" s="20" t="n">
        <v>936.45</v>
      </c>
      <c r="Q208" s="20" t="n">
        <v>-936.45</v>
      </c>
      <c r="R208" s="20" t="n">
        <v>0</v>
      </c>
    </row>
    <row r="209">
      <c r="A209" s="18" t="inlineStr">
        <is>
          <t>이자·배당금 수익</t>
        </is>
      </c>
      <c r="C209" s="20" t="n">
        <v>-198.181</v>
      </c>
      <c r="D209" s="20" t="n">
        <v>-258.815</v>
      </c>
      <c r="E209" s="20" t="n">
        <v>-79.59999999999999</v>
      </c>
      <c r="F209" s="20" t="n">
        <v>-163.222</v>
      </c>
      <c r="G209" s="20" t="n">
        <v>-260.824</v>
      </c>
      <c r="H209" s="20" t="n">
        <v>-352.71</v>
      </c>
      <c r="I209" s="20" t="n">
        <v>-111.856</v>
      </c>
      <c r="J209" s="20" t="n">
        <v>-215.453</v>
      </c>
      <c r="K209" s="20" t="n">
        <v>-326.537</v>
      </c>
      <c r="L209" s="20" t="n">
        <v>-443.705</v>
      </c>
      <c r="M209" s="20" t="n">
        <v>-136.659</v>
      </c>
      <c r="N209" s="20" t="n">
        <v>-282.864</v>
      </c>
      <c r="O209" s="20" t="n">
        <v>-47.592</v>
      </c>
      <c r="P209" s="20" t="n">
        <v>-85.488</v>
      </c>
      <c r="Q209" s="20" t="n">
        <v>-90.206</v>
      </c>
      <c r="R209" s="20" t="n">
        <v>-99.631</v>
      </c>
      <c r="S209" s="20" t="n">
        <v>-45.804</v>
      </c>
      <c r="T209" s="20" t="n">
        <v>-47.769</v>
      </c>
      <c r="U209" s="20" t="n">
        <v>-160.358</v>
      </c>
      <c r="V209" s="20" t="n">
        <v>-258.815</v>
      </c>
      <c r="W209" s="20" t="n">
        <v>-352.71</v>
      </c>
      <c r="X209" s="20" t="n">
        <v>-443.705</v>
      </c>
    </row>
    <row r="210">
      <c r="A210" s="18" t="inlineStr">
        <is>
          <t>이자비용</t>
        </is>
      </c>
      <c r="C210" s="20" t="n">
        <v>88.88800000000001</v>
      </c>
      <c r="D210" s="20" t="n">
        <v>121.678</v>
      </c>
      <c r="E210" s="20" t="n">
        <v>32.789</v>
      </c>
      <c r="F210" s="20" t="n">
        <v>65.94</v>
      </c>
      <c r="G210" s="20" t="n">
        <v>99.09</v>
      </c>
      <c r="H210" s="20" t="n">
        <v>131.519</v>
      </c>
      <c r="I210" s="20" t="n">
        <v>32.789</v>
      </c>
      <c r="J210" s="20" t="n">
        <v>64.782</v>
      </c>
      <c r="K210" s="20" t="n">
        <v>95.117</v>
      </c>
      <c r="L210" s="20" t="n">
        <v>123.223</v>
      </c>
      <c r="M210" s="20" t="n">
        <v>26.715</v>
      </c>
      <c r="N210" s="20" t="n">
        <v>52.077</v>
      </c>
      <c r="U210" s="20" t="n">
        <v>0</v>
      </c>
      <c r="V210" s="20" t="n">
        <v>121.678</v>
      </c>
      <c r="W210" s="20" t="n">
        <v>131.519</v>
      </c>
      <c r="X210" s="20" t="n">
        <v>123.223</v>
      </c>
    </row>
    <row r="211">
      <c r="A211" s="18" t="inlineStr">
        <is>
          <t>외환차손익</t>
        </is>
      </c>
      <c r="C211" s="20" t="n">
        <v>-347.93</v>
      </c>
      <c r="D211" s="20" t="n">
        <v>-555.299</v>
      </c>
      <c r="E211" s="20" t="n">
        <v>-270.745</v>
      </c>
      <c r="F211" s="20" t="n">
        <v>179.617</v>
      </c>
      <c r="G211" s="20" t="n">
        <v>-241.556</v>
      </c>
      <c r="H211" s="20" t="n">
        <v>-31.943</v>
      </c>
      <c r="I211" s="20" t="n">
        <v>140.244</v>
      </c>
      <c r="J211" s="20" t="n">
        <v>34.473</v>
      </c>
      <c r="K211" s="20" t="n">
        <v>-156.729</v>
      </c>
      <c r="L211" s="20" t="n">
        <v>-258.895</v>
      </c>
      <c r="M211" s="20" t="n">
        <v>-15.358</v>
      </c>
      <c r="N211" s="20" t="n">
        <v>116.542</v>
      </c>
      <c r="O211" s="20" t="n">
        <v>-13.591</v>
      </c>
      <c r="P211" s="20" t="n">
        <v>226.031</v>
      </c>
      <c r="Q211" s="20" t="n">
        <v>-163.671</v>
      </c>
      <c r="R211" s="20" t="n">
        <v>36.456</v>
      </c>
      <c r="S211" s="20" t="n">
        <v>-51.553</v>
      </c>
      <c r="T211" s="20" t="n">
        <v>-363.397</v>
      </c>
      <c r="U211" s="20" t="n">
        <v>-392.579</v>
      </c>
      <c r="V211" s="20" t="n">
        <v>-555.299</v>
      </c>
      <c r="W211" s="20" t="n">
        <v>-31.943</v>
      </c>
      <c r="X211" s="20" t="n">
        <v>-258.895</v>
      </c>
    </row>
    <row r="212">
      <c r="A212" s="18" t="inlineStr">
        <is>
          <t>투자사업조합 운용 손익(△는 이익)</t>
        </is>
      </c>
      <c r="C212" s="20" t="n">
        <v>13.284</v>
      </c>
      <c r="D212" s="20" t="n">
        <v>24.369</v>
      </c>
      <c r="E212" s="20" t="n">
        <v>16.116</v>
      </c>
      <c r="F212" s="20" t="n">
        <v>31.096</v>
      </c>
      <c r="G212" s="20" t="n">
        <v>12.557</v>
      </c>
      <c r="H212" s="20" t="n">
        <v>12.73</v>
      </c>
      <c r="I212" s="20" t="n">
        <v>6.718</v>
      </c>
      <c r="J212" s="20" t="n">
        <v>23.695</v>
      </c>
      <c r="K212" s="20" t="n">
        <v>24.007</v>
      </c>
      <c r="L212" s="20" t="n">
        <v>32.747</v>
      </c>
      <c r="M212" s="20" t="n">
        <v>2.606</v>
      </c>
      <c r="N212" s="20" t="n">
        <v>11.259</v>
      </c>
      <c r="R212" s="20" t="n">
        <v>0</v>
      </c>
      <c r="S212" s="20" t="n">
        <v>4.099</v>
      </c>
      <c r="T212" s="20" t="n">
        <v>3.251</v>
      </c>
      <c r="U212" s="20" t="n">
        <v>6.525</v>
      </c>
      <c r="V212" s="20" t="n">
        <v>24.369</v>
      </c>
      <c r="W212" s="20" t="n">
        <v>12.73</v>
      </c>
      <c r="X212" s="20" t="n">
        <v>32.747</v>
      </c>
    </row>
    <row r="213">
      <c r="A213" s="18" t="inlineStr">
        <is>
          <t>보험금 수익</t>
        </is>
      </c>
      <c r="Q213" s="20" t="n">
        <v>0</v>
      </c>
      <c r="R213" s="20" t="n">
        <v>-65.267</v>
      </c>
      <c r="S213" s="20" t="n">
        <v>-0.475</v>
      </c>
      <c r="T213" s="20" t="n">
        <v>0</v>
      </c>
    </row>
    <row r="214">
      <c r="A214" s="18" t="inlineStr">
        <is>
          <t>출자금 평가손</t>
        </is>
      </c>
      <c r="H214" s="20" t="n">
        <v>0</v>
      </c>
      <c r="L214" s="20" t="n">
        <v>18.869</v>
      </c>
      <c r="W214" s="20" t="n">
        <v>0</v>
      </c>
      <c r="X214" s="20" t="n">
        <v>18.869</v>
      </c>
    </row>
    <row r="215">
      <c r="A215" s="18" t="inlineStr">
        <is>
          <t>고정자산 매각손익</t>
        </is>
      </c>
      <c r="C215" s="20" t="n">
        <v>-2.249</v>
      </c>
      <c r="D215" s="20" t="n">
        <v>-2.267</v>
      </c>
      <c r="E215" s="20" t="n">
        <v>-0.001</v>
      </c>
      <c r="F215" s="20" t="n">
        <v>-60.928</v>
      </c>
      <c r="G215" s="20" t="n">
        <v>-52.54</v>
      </c>
      <c r="H215" s="20" t="n">
        <v>-51.435</v>
      </c>
      <c r="I215" s="20" t="n">
        <v>-0.382</v>
      </c>
      <c r="J215" s="20" t="n">
        <v>-2.614</v>
      </c>
      <c r="K215" s="20" t="n">
        <v>-2.626</v>
      </c>
      <c r="L215" s="20" t="n">
        <v>-2.631</v>
      </c>
      <c r="M215" s="20" t="n">
        <v>-0.031</v>
      </c>
      <c r="N215" s="20" t="n">
        <v>-8.226000000000001</v>
      </c>
      <c r="O215" s="20" t="n">
        <v>-1.414</v>
      </c>
      <c r="P215" s="20" t="n">
        <v>-0.37</v>
      </c>
      <c r="Q215" s="20" t="n">
        <v>0</v>
      </c>
      <c r="R215" s="20" t="n">
        <v>-0.039</v>
      </c>
      <c r="S215" s="20" t="n">
        <v>-0.09</v>
      </c>
      <c r="T215" s="20" t="n">
        <v>0.391</v>
      </c>
      <c r="U215" s="20" t="n">
        <v>-0.046</v>
      </c>
      <c r="V215" s="20" t="n">
        <v>-2.267</v>
      </c>
      <c r="W215" s="20" t="n">
        <v>-51.435</v>
      </c>
      <c r="X215" s="20" t="n">
        <v>-2.631</v>
      </c>
    </row>
    <row r="216">
      <c r="A216" s="18" t="inlineStr">
        <is>
          <t>고정자산 제각손실</t>
        </is>
      </c>
      <c r="C216" s="20" t="n">
        <v>67.614</v>
      </c>
      <c r="D216" s="20" t="n">
        <v>69.25700000000001</v>
      </c>
      <c r="E216" s="20" t="n">
        <v>12.232</v>
      </c>
      <c r="F216" s="20" t="n">
        <v>21.405</v>
      </c>
      <c r="G216" s="20" t="n">
        <v>31.879</v>
      </c>
      <c r="H216" s="20" t="n">
        <v>381.505</v>
      </c>
      <c r="I216" s="20" t="n">
        <v>3.871</v>
      </c>
      <c r="J216" s="20" t="n">
        <v>20.925</v>
      </c>
      <c r="K216" s="20" t="n">
        <v>31.038</v>
      </c>
      <c r="L216" s="20" t="n">
        <v>217.725</v>
      </c>
      <c r="M216" s="20" t="n">
        <v>95.38500000000001</v>
      </c>
      <c r="N216" s="20" t="n">
        <v>131.356</v>
      </c>
      <c r="O216" s="20" t="n">
        <v>6.174</v>
      </c>
      <c r="P216" s="20" t="n">
        <v>24.138</v>
      </c>
      <c r="Q216" s="20" t="n">
        <v>56.63</v>
      </c>
      <c r="R216" s="20" t="n">
        <v>154.698</v>
      </c>
      <c r="S216" s="20" t="n">
        <v>30.166</v>
      </c>
      <c r="T216" s="20" t="n">
        <v>21.654</v>
      </c>
      <c r="U216" s="20" t="n">
        <v>29.142</v>
      </c>
      <c r="V216" s="20" t="n">
        <v>69.25700000000001</v>
      </c>
      <c r="W216" s="20" t="n">
        <v>381.505</v>
      </c>
      <c r="X216" s="20" t="n">
        <v>217.725</v>
      </c>
    </row>
    <row r="217">
      <c r="A217" s="18" t="inlineStr">
        <is>
          <t>손상차손</t>
        </is>
      </c>
      <c r="D217" s="20" t="n">
        <v>0</v>
      </c>
      <c r="H217" s="20" t="n">
        <v>0</v>
      </c>
      <c r="L217" s="20" t="n">
        <v>1.903</v>
      </c>
      <c r="O217" s="20" t="n">
        <v>44.874</v>
      </c>
      <c r="P217" s="20" t="n">
        <v>0</v>
      </c>
      <c r="Q217" s="20" t="n">
        <v>31.56</v>
      </c>
      <c r="R217" s="20" t="n">
        <v>0</v>
      </c>
      <c r="T217" s="20" t="n">
        <v>0</v>
      </c>
      <c r="U217" s="20" t="n">
        <v>17.315</v>
      </c>
      <c r="V217" s="20" t="n">
        <v>0</v>
      </c>
      <c r="W217" s="20" t="n">
        <v>0</v>
      </c>
      <c r="X217" s="20" t="n">
        <v>1.903</v>
      </c>
    </row>
    <row r="218">
      <c r="A218" s="18" t="inlineStr">
        <is>
          <t>투자유가증권 매각손익</t>
        </is>
      </c>
      <c r="C218" s="20" t="n">
        <v>-12.1</v>
      </c>
      <c r="D218" s="20" t="n">
        <v>-12.1</v>
      </c>
      <c r="E218" s="20" t="n">
        <v>0</v>
      </c>
      <c r="F218" s="20" t="n">
        <v>0</v>
      </c>
      <c r="G218" s="20" t="n">
        <v>0</v>
      </c>
      <c r="H218" s="20" t="n">
        <v>0</v>
      </c>
      <c r="K218" s="20" t="n">
        <v>-184.801</v>
      </c>
      <c r="L218" s="20" t="n">
        <v>-184.916</v>
      </c>
      <c r="O218" s="20" t="n">
        <v>0</v>
      </c>
      <c r="P218" s="20" t="n">
        <v>0</v>
      </c>
      <c r="Q218" s="20" t="n">
        <v>-4.784</v>
      </c>
      <c r="R218" s="20" t="n">
        <v>0</v>
      </c>
      <c r="S218" s="20" t="n">
        <v>0</v>
      </c>
      <c r="T218" s="20" t="n">
        <v>-226.065</v>
      </c>
      <c r="U218" s="20" t="n">
        <v>-384.435</v>
      </c>
      <c r="V218" s="20" t="n">
        <v>-12.1</v>
      </c>
      <c r="W218" s="20" t="n">
        <v>0</v>
      </c>
      <c r="X218" s="20" t="n">
        <v>-184.916</v>
      </c>
    </row>
    <row r="219">
      <c r="A219" s="18" t="inlineStr">
        <is>
          <t>투자유가증권 평가손실</t>
        </is>
      </c>
      <c r="P219" s="20" t="n">
        <v>0</v>
      </c>
      <c r="Q219" s="20" t="n">
        <v>5.294</v>
      </c>
      <c r="R219" s="20" t="n">
        <v>2.95</v>
      </c>
      <c r="S219" s="20" t="n">
        <v>0</v>
      </c>
    </row>
    <row r="220">
      <c r="A220" s="18" t="inlineStr">
        <is>
          <t>관계회사 주식 매각이익</t>
        </is>
      </c>
      <c r="P220" s="20" t="n">
        <v>0</v>
      </c>
      <c r="Q220" s="20" t="n">
        <v>-9.224</v>
      </c>
      <c r="R220" s="20" t="n">
        <v>0</v>
      </c>
    </row>
    <row r="221">
      <c r="A221" s="18" t="inlineStr">
        <is>
          <t>회원권 매각 손익(△는 이익)</t>
        </is>
      </c>
      <c r="S221" s="20" t="n">
        <v>0</v>
      </c>
      <c r="T221" s="20" t="n">
        <v>-0.272</v>
      </c>
      <c r="U221" s="20" t="n">
        <v>0</v>
      </c>
    </row>
    <row r="222">
      <c r="A222" s="18" t="inlineStr">
        <is>
          <t>보조금 수입</t>
        </is>
      </c>
      <c r="C222" s="20" t="n">
        <v>-36.563</v>
      </c>
      <c r="D222" s="20" t="n">
        <v>-36.856</v>
      </c>
      <c r="E222" s="20" t="n">
        <v>-20.257</v>
      </c>
      <c r="F222" s="20" t="n">
        <v>-20.257</v>
      </c>
      <c r="G222" s="20" t="n">
        <v>-20.257</v>
      </c>
      <c r="H222" s="20" t="n">
        <v>-35.432</v>
      </c>
      <c r="I222" s="20" t="n">
        <v>-5.588</v>
      </c>
      <c r="J222" s="20" t="n">
        <v>-5.588</v>
      </c>
      <c r="K222" s="20" t="n">
        <v>-5.588</v>
      </c>
      <c r="L222" s="20" t="n">
        <v>-5.588</v>
      </c>
      <c r="M222" s="20" t="n">
        <v>-3703.829</v>
      </c>
      <c r="N222" s="20" t="n">
        <v>-3704.761</v>
      </c>
      <c r="Q222" s="20" t="n">
        <v>0</v>
      </c>
      <c r="R222" s="20" t="n">
        <v>-13.637</v>
      </c>
      <c r="S222" s="20" t="n">
        <v>-12.715</v>
      </c>
      <c r="T222" s="20" t="n">
        <v>0</v>
      </c>
      <c r="U222" s="20" t="n">
        <v>-4.2</v>
      </c>
      <c r="V222" s="20" t="n">
        <v>-36.856</v>
      </c>
      <c r="W222" s="20" t="n">
        <v>-35.432</v>
      </c>
      <c r="X222" s="20" t="n">
        <v>-5.588</v>
      </c>
    </row>
    <row r="223">
      <c r="A223" s="18" t="inlineStr">
        <is>
          <t>이전 보상금</t>
        </is>
      </c>
      <c r="D223" s="20" t="n">
        <v>-141.144</v>
      </c>
      <c r="H223" s="20" t="n">
        <v>0</v>
      </c>
      <c r="U223" s="20" t="n">
        <v>0</v>
      </c>
      <c r="V223" s="20" t="n">
        <v>-141.144</v>
      </c>
      <c r="W223" s="20" t="n">
        <v>0</v>
      </c>
    </row>
    <row r="224">
      <c r="A224" s="18" t="inlineStr">
        <is>
          <t>매출채권 증감</t>
        </is>
      </c>
      <c r="C224" s="20" t="n">
        <v>-756.511</v>
      </c>
      <c r="D224" s="20" t="n">
        <v>-1208.319</v>
      </c>
      <c r="E224" s="20" t="n">
        <v>-429.525</v>
      </c>
      <c r="F224" s="20" t="n">
        <v>224.616</v>
      </c>
      <c r="G224" s="20" t="n">
        <v>-1654.953</v>
      </c>
      <c r="H224" s="20" t="n">
        <v>390.274</v>
      </c>
      <c r="I224" s="20" t="n">
        <v>-977.932</v>
      </c>
      <c r="J224" s="20" t="n">
        <v>-1229.814</v>
      </c>
      <c r="K224" s="20" t="n">
        <v>-2090.321</v>
      </c>
      <c r="L224" s="20" t="n">
        <v>-282.765</v>
      </c>
      <c r="M224" s="20" t="n">
        <v>-2919.698</v>
      </c>
      <c r="N224" s="20" t="n">
        <v>-3129.486</v>
      </c>
      <c r="O224" s="20" t="n">
        <v>-363.312</v>
      </c>
      <c r="P224" s="20" t="n">
        <v>-1543.916</v>
      </c>
      <c r="Q224" s="20" t="n">
        <v>392.871</v>
      </c>
      <c r="R224" s="20" t="n">
        <v>521.451</v>
      </c>
      <c r="S224" s="20" t="n">
        <v>-154.518</v>
      </c>
      <c r="T224" s="20" t="n">
        <v>-4125.619</v>
      </c>
      <c r="U224" s="20" t="n">
        <v>81.426</v>
      </c>
      <c r="V224" s="20" t="n">
        <v>-1208.319</v>
      </c>
      <c r="W224" s="20" t="n">
        <v>390.274</v>
      </c>
      <c r="X224" s="20" t="n">
        <v>-282.765</v>
      </c>
    </row>
    <row r="225">
      <c r="A225" s="18" t="inlineStr">
        <is>
          <t>재고자산 증감</t>
        </is>
      </c>
      <c r="C225" s="20" t="n">
        <v>-1956.142</v>
      </c>
      <c r="D225" s="20" t="n">
        <v>-1039.706</v>
      </c>
      <c r="E225" s="20" t="n">
        <v>1773.825</v>
      </c>
      <c r="F225" s="20" t="n">
        <v>937.54</v>
      </c>
      <c r="G225" s="20" t="n">
        <v>-19.737</v>
      </c>
      <c r="H225" s="20" t="n">
        <v>-730.6130000000001</v>
      </c>
      <c r="I225" s="20" t="n">
        <v>113.74</v>
      </c>
      <c r="J225" s="20" t="n">
        <v>-297.105</v>
      </c>
      <c r="K225" s="20" t="n">
        <v>590.546</v>
      </c>
      <c r="L225" s="20" t="n">
        <v>70.64400000000001</v>
      </c>
      <c r="M225" s="20" t="n">
        <v>245.796</v>
      </c>
      <c r="N225" s="20" t="n">
        <v>-1643.957</v>
      </c>
      <c r="O225" s="20" t="n">
        <v>48.451</v>
      </c>
      <c r="P225" s="20" t="n">
        <v>-1893.681</v>
      </c>
      <c r="Q225" s="20" t="n">
        <v>-54.847</v>
      </c>
      <c r="R225" s="20" t="n">
        <v>-172.953</v>
      </c>
      <c r="S225" s="20" t="n">
        <v>-271.816</v>
      </c>
      <c r="T225" s="20" t="n">
        <v>-2976.352</v>
      </c>
      <c r="U225" s="20" t="n">
        <v>-3977.2</v>
      </c>
      <c r="V225" s="20" t="n">
        <v>-1039.706</v>
      </c>
      <c r="W225" s="20" t="n">
        <v>-730.6130000000001</v>
      </c>
      <c r="X225" s="20" t="n">
        <v>70.64400000000001</v>
      </c>
    </row>
    <row r="226">
      <c r="A226" s="18" t="inlineStr">
        <is>
          <t>매입채무 증감</t>
        </is>
      </c>
      <c r="C226" s="20" t="n">
        <v>-798.782</v>
      </c>
      <c r="D226" s="20" t="n">
        <v>-1034.677</v>
      </c>
      <c r="E226" s="20" t="n">
        <v>790.575</v>
      </c>
      <c r="F226" s="20" t="n">
        <v>894.077</v>
      </c>
      <c r="G226" s="20" t="n">
        <v>857.991</v>
      </c>
      <c r="H226" s="20" t="n">
        <v>709.539</v>
      </c>
      <c r="I226" s="20" t="n">
        <v>-90.60899999999999</v>
      </c>
      <c r="J226" s="20" t="n">
        <v>-117.376</v>
      </c>
      <c r="K226" s="20" t="n">
        <v>-499.699</v>
      </c>
      <c r="L226" s="20" t="n">
        <v>-314.832</v>
      </c>
      <c r="M226" s="20" t="n">
        <v>444.648</v>
      </c>
      <c r="N226" s="20" t="n">
        <v>827.615</v>
      </c>
      <c r="O226" s="20" t="n">
        <v>805.766</v>
      </c>
      <c r="P226" s="20" t="n">
        <v>-399.471</v>
      </c>
      <c r="Q226" s="20" t="n">
        <v>-567.915</v>
      </c>
      <c r="R226" s="20" t="n">
        <v>214.905</v>
      </c>
      <c r="S226" s="20" t="n">
        <v>-82.539</v>
      </c>
      <c r="T226" s="20" t="n">
        <v>907.943</v>
      </c>
      <c r="U226" s="20" t="n">
        <v>217.416</v>
      </c>
      <c r="V226" s="20" t="n">
        <v>-1034.677</v>
      </c>
      <c r="W226" s="20" t="n">
        <v>709.539</v>
      </c>
      <c r="X226" s="20" t="n">
        <v>-314.832</v>
      </c>
    </row>
    <row r="227">
      <c r="A227" s="18" t="inlineStr">
        <is>
          <t>미지급금 증감</t>
        </is>
      </c>
      <c r="C227" s="20" t="n">
        <v>-400.869</v>
      </c>
      <c r="D227" s="20" t="n">
        <v>-76.223</v>
      </c>
      <c r="E227" s="20" t="n">
        <v>557.6950000000001</v>
      </c>
      <c r="F227" s="20" t="n">
        <v>386.229</v>
      </c>
      <c r="G227" s="20" t="n">
        <v>119.629</v>
      </c>
      <c r="H227" s="20" t="n">
        <v>615.744</v>
      </c>
      <c r="I227" s="20" t="n">
        <v>118.735</v>
      </c>
      <c r="J227" s="20" t="n">
        <v>50.96</v>
      </c>
      <c r="K227" s="20" t="n">
        <v>-411.08</v>
      </c>
      <c r="L227" s="20" t="n">
        <v>21.9</v>
      </c>
      <c r="M227" s="20" t="n">
        <v>472.816</v>
      </c>
      <c r="N227" s="20" t="n">
        <v>28.302</v>
      </c>
      <c r="O227" s="20" t="n">
        <v>257.464</v>
      </c>
      <c r="P227" s="20" t="n">
        <v>-146.387</v>
      </c>
      <c r="Q227" s="20" t="n">
        <v>129.528</v>
      </c>
      <c r="R227" s="20" t="n">
        <v>-47.757</v>
      </c>
      <c r="S227" s="20" t="n">
        <v>212.662</v>
      </c>
      <c r="T227" s="20" t="n">
        <v>400.244</v>
      </c>
      <c r="U227" s="20" t="n">
        <v>83.736</v>
      </c>
      <c r="V227" s="20" t="n">
        <v>-76.223</v>
      </c>
      <c r="W227" s="20" t="n">
        <v>615.744</v>
      </c>
      <c r="X227" s="20" t="n">
        <v>21.9</v>
      </c>
    </row>
    <row r="228">
      <c r="A228" s="18" t="inlineStr">
        <is>
          <t>미수 소비세 증감</t>
        </is>
      </c>
      <c r="H228" s="20" t="n">
        <v>1055.399</v>
      </c>
      <c r="L228" s="20" t="n">
        <v>-596.115</v>
      </c>
      <c r="W228" s="20" t="n">
        <v>1055.399</v>
      </c>
      <c r="X228" s="20" t="n">
        <v>-596.115</v>
      </c>
    </row>
    <row r="229">
      <c r="A229" s="18" t="inlineStr">
        <is>
          <t>기타</t>
        </is>
      </c>
      <c r="C229" s="20" t="n">
        <v>-1734.025</v>
      </c>
      <c r="D229" s="20" t="n">
        <v>-1649.22</v>
      </c>
      <c r="E229" s="20" t="n">
        <v>-204.677</v>
      </c>
      <c r="F229" s="20" t="n">
        <v>1677.435</v>
      </c>
      <c r="G229" s="20" t="n">
        <v>1884.294</v>
      </c>
      <c r="H229" s="20" t="n">
        <v>-301.973</v>
      </c>
      <c r="I229" s="20" t="n">
        <v>261.948</v>
      </c>
      <c r="J229" s="20" t="n">
        <v>908.819</v>
      </c>
      <c r="K229" s="20" t="n">
        <v>-647.302</v>
      </c>
      <c r="L229" s="20" t="n">
        <v>-339.335</v>
      </c>
      <c r="M229" s="20" t="n">
        <v>439.105</v>
      </c>
      <c r="N229" s="20" t="n">
        <v>2113.139</v>
      </c>
      <c r="O229" s="20" t="n">
        <v>-63.258</v>
      </c>
      <c r="P229" s="20" t="n">
        <v>-296.971</v>
      </c>
      <c r="Q229" s="20" t="n">
        <v>-336.516</v>
      </c>
      <c r="R229" s="20" t="n">
        <v>161.284</v>
      </c>
      <c r="S229" s="20" t="n">
        <v>504.537</v>
      </c>
      <c r="T229" s="20" t="n">
        <v>-631.033</v>
      </c>
      <c r="U229" s="20" t="n">
        <v>-235.406</v>
      </c>
      <c r="V229" s="20" t="n">
        <v>-1649.22</v>
      </c>
      <c r="W229" s="20" t="n">
        <v>-301.973</v>
      </c>
      <c r="X229" s="20" t="n">
        <v>-339.335</v>
      </c>
    </row>
    <row r="230">
      <c r="A230" s="18" t="inlineStr">
        <is>
          <t>소계</t>
        </is>
      </c>
      <c r="C230" s="20" t="n">
        <v>7171.596</v>
      </c>
      <c r="D230" s="20" t="n">
        <v>13223.209</v>
      </c>
      <c r="E230" s="20" t="n">
        <v>7970.339</v>
      </c>
      <c r="F230" s="20" t="n">
        <v>15792.426</v>
      </c>
      <c r="G230" s="20" t="n">
        <v>19415.811</v>
      </c>
      <c r="H230" s="20" t="n">
        <v>26208.487</v>
      </c>
      <c r="I230" s="20" t="n">
        <v>5892.534</v>
      </c>
      <c r="J230" s="20" t="n">
        <v>13434.445</v>
      </c>
      <c r="K230" s="20" t="n">
        <v>18792.683</v>
      </c>
      <c r="L230" s="20" t="n">
        <v>28641.854</v>
      </c>
      <c r="M230" s="20" t="n">
        <v>7584.946</v>
      </c>
      <c r="N230" s="20" t="n">
        <v>17380.213</v>
      </c>
      <c r="O230" s="20" t="n">
        <v>12067.79</v>
      </c>
      <c r="P230" s="20" t="n">
        <v>7996.714</v>
      </c>
      <c r="Q230" s="20" t="n">
        <v>11385.67</v>
      </c>
      <c r="R230" s="20" t="n">
        <v>14157.517</v>
      </c>
      <c r="S230" s="20" t="n">
        <v>14863.76</v>
      </c>
      <c r="T230" s="20" t="n">
        <v>13186.148</v>
      </c>
      <c r="U230" s="20" t="n">
        <v>19837.973</v>
      </c>
      <c r="V230" s="20" t="n">
        <v>13223.209</v>
      </c>
      <c r="W230" s="20" t="n">
        <v>26208.487</v>
      </c>
      <c r="X230" s="20" t="n">
        <v>28641.854</v>
      </c>
    </row>
    <row r="231">
      <c r="A231" s="18" t="inlineStr">
        <is>
          <t>이자·배당금 수취</t>
        </is>
      </c>
      <c r="C231" s="20" t="n">
        <v>197.172</v>
      </c>
      <c r="D231" s="20" t="n">
        <v>245.043</v>
      </c>
      <c r="E231" s="20" t="n">
        <v>80.502</v>
      </c>
      <c r="F231" s="20" t="n">
        <v>152.743</v>
      </c>
      <c r="G231" s="20" t="n">
        <v>263.071</v>
      </c>
      <c r="H231" s="20" t="n">
        <v>345.27</v>
      </c>
      <c r="I231" s="20" t="n">
        <v>116.354</v>
      </c>
      <c r="J231" s="20" t="n">
        <v>210.28</v>
      </c>
      <c r="K231" s="20" t="n">
        <v>333.086</v>
      </c>
      <c r="L231" s="20" t="n">
        <v>440.825</v>
      </c>
      <c r="M231" s="20" t="n">
        <v>131.526</v>
      </c>
      <c r="N231" s="20" t="n">
        <v>241.248</v>
      </c>
      <c r="O231" s="20" t="n">
        <v>44.321</v>
      </c>
      <c r="P231" s="20" t="n">
        <v>78.629</v>
      </c>
      <c r="Q231" s="20" t="n">
        <v>79.596</v>
      </c>
      <c r="R231" s="20" t="n">
        <v>97.206</v>
      </c>
      <c r="S231" s="20" t="n">
        <v>51.76</v>
      </c>
      <c r="T231" s="20" t="n">
        <v>48.038</v>
      </c>
      <c r="U231" s="20" t="n">
        <v>148.273</v>
      </c>
      <c r="V231" s="20" t="n">
        <v>245.043</v>
      </c>
      <c r="W231" s="20" t="n">
        <v>345.27</v>
      </c>
      <c r="X231" s="20" t="n">
        <v>440.825</v>
      </c>
    </row>
    <row r="232">
      <c r="A232" s="18" t="inlineStr">
        <is>
          <t>보험금 수취</t>
        </is>
      </c>
      <c r="Q232" s="20" t="n">
        <v>0</v>
      </c>
      <c r="R232" s="20" t="n">
        <v>65.267</v>
      </c>
      <c r="S232" s="20" t="n">
        <v>0.475</v>
      </c>
      <c r="T232" s="20" t="n">
        <v>0</v>
      </c>
    </row>
    <row r="233">
      <c r="A233" s="18" t="inlineStr">
        <is>
          <t>이자 지급</t>
        </is>
      </c>
      <c r="C233" s="20" t="n">
        <v>-70.79900000000001</v>
      </c>
      <c r="D233" s="20" t="n">
        <v>-103.916</v>
      </c>
      <c r="E233" s="20" t="n">
        <v>-32.462</v>
      </c>
      <c r="F233" s="20" t="n">
        <v>-69.02500000000001</v>
      </c>
      <c r="G233" s="20" t="n">
        <v>-98.68600000000001</v>
      </c>
      <c r="H233" s="20" t="n">
        <v>-135.087</v>
      </c>
      <c r="I233" s="20" t="n">
        <v>-32.307</v>
      </c>
      <c r="J233" s="20" t="n">
        <v>-65.03400000000001</v>
      </c>
      <c r="K233" s="20" t="n">
        <v>-93.06</v>
      </c>
      <c r="L233" s="20" t="n">
        <v>-125.808</v>
      </c>
      <c r="M233" s="20" t="n">
        <v>-26.583</v>
      </c>
      <c r="N233" s="20" t="n">
        <v>-52.761</v>
      </c>
      <c r="U233" s="20" t="n">
        <v>0</v>
      </c>
      <c r="V233" s="20" t="n">
        <v>-103.916</v>
      </c>
      <c r="W233" s="20" t="n">
        <v>-135.087</v>
      </c>
      <c r="X233" s="20" t="n">
        <v>-125.808</v>
      </c>
    </row>
    <row r="234">
      <c r="A234" s="18" t="inlineStr">
        <is>
          <t>보조금 수취</t>
        </is>
      </c>
      <c r="C234" s="20" t="n">
        <v>36.563</v>
      </c>
      <c r="D234" s="20" t="n">
        <v>36.856</v>
      </c>
      <c r="E234" s="20" t="n">
        <v>20.257</v>
      </c>
      <c r="F234" s="20" t="n">
        <v>20.257</v>
      </c>
      <c r="G234" s="20" t="n">
        <v>20.257</v>
      </c>
      <c r="H234" s="20" t="n">
        <v>35.432</v>
      </c>
      <c r="I234" s="20" t="n">
        <v>5.588</v>
      </c>
      <c r="J234" s="20" t="n">
        <v>5.588</v>
      </c>
      <c r="K234" s="20" t="n">
        <v>5.588</v>
      </c>
      <c r="L234" s="20" t="n">
        <v>5.588</v>
      </c>
      <c r="M234" s="20" t="n">
        <v>8.896000000000001</v>
      </c>
      <c r="N234" s="20" t="n">
        <v>3704.761</v>
      </c>
      <c r="Q234" s="20" t="n">
        <v>0</v>
      </c>
      <c r="R234" s="20" t="n">
        <v>13.637</v>
      </c>
      <c r="S234" s="20" t="n">
        <v>12.715</v>
      </c>
      <c r="T234" s="20" t="n">
        <v>0</v>
      </c>
      <c r="U234" s="20" t="n">
        <v>4.2</v>
      </c>
      <c r="V234" s="20" t="n">
        <v>36.856</v>
      </c>
      <c r="W234" s="20" t="n">
        <v>35.432</v>
      </c>
      <c r="X234" s="20" t="n">
        <v>5.588</v>
      </c>
    </row>
    <row r="235">
      <c r="A235" s="18" t="inlineStr">
        <is>
          <t>법인세 납부</t>
        </is>
      </c>
      <c r="O235" s="20" t="n">
        <v>-2698.597</v>
      </c>
      <c r="P235" s="20" t="n">
        <v>-3229.744</v>
      </c>
      <c r="Q235" s="20" t="n">
        <v>-3316.773</v>
      </c>
      <c r="R235" s="20" t="n">
        <v>-2396.721</v>
      </c>
      <c r="S235" s="20" t="n">
        <v>-2108.16</v>
      </c>
      <c r="T235" s="20" t="n">
        <v>-3035.124</v>
      </c>
      <c r="U235" s="20" t="n">
        <v>-6064.462</v>
      </c>
    </row>
    <row r="236">
      <c r="A236" s="18" t="inlineStr">
        <is>
          <t>이전 보상금 수취</t>
        </is>
      </c>
      <c r="D236" s="20" t="n">
        <v>141.144</v>
      </c>
      <c r="H236" s="20" t="n">
        <v>0</v>
      </c>
      <c r="U236" s="20" t="n">
        <v>0</v>
      </c>
      <c r="V236" s="20" t="n">
        <v>141.144</v>
      </c>
      <c r="W236" s="20" t="n">
        <v>0</v>
      </c>
    </row>
    <row r="237">
      <c r="A237" s="18" t="inlineStr">
        <is>
          <t>법인세 납부</t>
        </is>
      </c>
      <c r="C237" s="20" t="n">
        <v>-6205.303</v>
      </c>
      <c r="D237" s="20" t="n">
        <v>-6480.957</v>
      </c>
      <c r="E237" s="20" t="n">
        <v>-1207.061</v>
      </c>
      <c r="F237" s="20" t="n">
        <v>-1330.093</v>
      </c>
      <c r="G237" s="20" t="n">
        <v>-3502.707</v>
      </c>
      <c r="H237" s="20" t="n">
        <v>-3752.566</v>
      </c>
      <c r="I237" s="20" t="n">
        <v>-1721.252</v>
      </c>
      <c r="J237" s="20" t="n">
        <v>-1986.431</v>
      </c>
      <c r="K237" s="20" t="n">
        <v>-3861.316</v>
      </c>
      <c r="L237" s="20" t="n">
        <v>-4168.934</v>
      </c>
      <c r="M237" s="20" t="n">
        <v>-2981.995</v>
      </c>
      <c r="N237" s="20" t="n">
        <v>-3301.788</v>
      </c>
      <c r="U237" s="20" t="n">
        <v>-6064.462</v>
      </c>
      <c r="V237" s="20" t="n">
        <v>-6480.957</v>
      </c>
      <c r="W237" s="20" t="n">
        <v>-3752.566</v>
      </c>
      <c r="X237" s="20" t="n">
        <v>-4168.934</v>
      </c>
    </row>
    <row r="238">
      <c r="A238" s="9" t="inlineStr">
        <is>
          <t>영업활동 현금흐름</t>
        </is>
      </c>
      <c r="C238" s="12" t="n">
        <v>1129.229</v>
      </c>
      <c r="D238" s="12" t="n">
        <v>7061.38</v>
      </c>
      <c r="E238" s="12" t="n">
        <v>6831.574</v>
      </c>
      <c r="F238" s="12" t="n">
        <v>14566.307</v>
      </c>
      <c r="G238" s="12" t="n">
        <v>16097.745</v>
      </c>
      <c r="H238" s="12" t="n">
        <v>22701.537</v>
      </c>
      <c r="I238" s="12" t="n">
        <v>4260.917</v>
      </c>
      <c r="J238" s="12" t="n">
        <v>11598.848</v>
      </c>
      <c r="K238" s="12" t="n">
        <v>15176.981</v>
      </c>
      <c r="L238" s="12" t="n">
        <v>24793.525</v>
      </c>
      <c r="M238" s="12" t="n">
        <v>4716.79</v>
      </c>
      <c r="N238" s="12" t="n">
        <v>17971.673</v>
      </c>
      <c r="O238" s="12" t="n">
        <v>9413.514999999999</v>
      </c>
      <c r="P238" s="12" t="n">
        <v>4845.599</v>
      </c>
      <c r="Q238" s="12" t="n">
        <v>8148.493</v>
      </c>
      <c r="R238" s="12" t="n">
        <v>11936.908</v>
      </c>
      <c r="S238" s="12" t="n">
        <v>12820.551</v>
      </c>
      <c r="T238" s="12" t="n">
        <v>10199.062</v>
      </c>
      <c r="U238" s="12" t="n">
        <v>13925.984</v>
      </c>
      <c r="V238" s="12" t="n">
        <v>7061.38</v>
      </c>
      <c r="W238" s="12" t="n">
        <v>22701.537</v>
      </c>
      <c r="X238" s="12" t="n">
        <v>24793.525</v>
      </c>
    </row>
    <row r="239">
      <c r="A239" s="18" t="inlineStr">
        <is>
          <t>정기예금 예입</t>
        </is>
      </c>
      <c r="C239" s="20" t="n">
        <v>-4418.911</v>
      </c>
      <c r="D239" s="20" t="n">
        <v>-5014.895</v>
      </c>
      <c r="E239" s="20" t="n">
        <v>-1444.526</v>
      </c>
      <c r="F239" s="20" t="n">
        <v>-1593.349</v>
      </c>
      <c r="G239" s="20" t="n">
        <v>-3077.367</v>
      </c>
      <c r="H239" s="20" t="n">
        <v>-3084.954</v>
      </c>
      <c r="I239" s="20" t="n">
        <v>-1308.297</v>
      </c>
      <c r="J239" s="20" t="n">
        <v>-1330.016</v>
      </c>
      <c r="K239" s="20" t="n">
        <v>-4232.483</v>
      </c>
      <c r="L239" s="20" t="n">
        <v>-5660.304</v>
      </c>
      <c r="M239" s="20" t="n">
        <v>-3905.611</v>
      </c>
      <c r="N239" s="20" t="n">
        <v>-4555.05</v>
      </c>
      <c r="O239" s="20" t="n">
        <v>-9244.325999999999</v>
      </c>
      <c r="P239" s="20" t="n">
        <v>-69.38500000000001</v>
      </c>
      <c r="Q239" s="20" t="n">
        <v>-847.275</v>
      </c>
      <c r="R239" s="20" t="n">
        <v>-399.841</v>
      </c>
      <c r="S239" s="20" t="n">
        <v>-1046.504</v>
      </c>
      <c r="T239" s="20" t="n">
        <v>-1499.564</v>
      </c>
      <c r="U239" s="20" t="n">
        <v>-1153.949</v>
      </c>
      <c r="V239" s="20" t="n">
        <v>-5014.895</v>
      </c>
      <c r="W239" s="20" t="n">
        <v>-3084.954</v>
      </c>
      <c r="X239" s="20" t="n">
        <v>-5660.304</v>
      </c>
    </row>
    <row r="240">
      <c r="A240" s="18" t="inlineStr">
        <is>
          <t>정기예금 인출</t>
        </is>
      </c>
      <c r="C240" s="20" t="n">
        <v>1423.773</v>
      </c>
      <c r="D240" s="20" t="n">
        <v>4207.456</v>
      </c>
      <c r="E240" s="20" t="n">
        <v>1405.327</v>
      </c>
      <c r="F240" s="20" t="n">
        <v>1423.225</v>
      </c>
      <c r="G240" s="20" t="n">
        <v>2900.189</v>
      </c>
      <c r="H240" s="20" t="n">
        <v>3034.559</v>
      </c>
      <c r="I240" s="20" t="n">
        <v>1129.282</v>
      </c>
      <c r="J240" s="20" t="n">
        <v>1549.921</v>
      </c>
      <c r="K240" s="20" t="n">
        <v>3444.508</v>
      </c>
      <c r="L240" s="20" t="n">
        <v>4853.465</v>
      </c>
      <c r="M240" s="20" t="n">
        <v>3368.483</v>
      </c>
      <c r="N240" s="20" t="n">
        <v>4095.075</v>
      </c>
      <c r="O240" s="20" t="n">
        <v>15285.309</v>
      </c>
      <c r="P240" s="20" t="n">
        <v>546.069</v>
      </c>
      <c r="Q240" s="20" t="n">
        <v>221.157</v>
      </c>
      <c r="R240" s="20" t="n">
        <v>641.921</v>
      </c>
      <c r="S240" s="20" t="n">
        <v>723.3579999999999</v>
      </c>
      <c r="T240" s="20" t="n">
        <v>1548.124</v>
      </c>
      <c r="U240" s="20" t="n">
        <v>898</v>
      </c>
      <c r="V240" s="20" t="n">
        <v>4207.456</v>
      </c>
      <c r="W240" s="20" t="n">
        <v>3034.559</v>
      </c>
      <c r="X240" s="20" t="n">
        <v>4853.465</v>
      </c>
    </row>
    <row r="241">
      <c r="A241" s="18" t="inlineStr">
        <is>
          <t>유가증권 취득</t>
        </is>
      </c>
      <c r="O241" s="20" t="n">
        <v>-731.835</v>
      </c>
      <c r="P241" s="20" t="n">
        <v>-665.16</v>
      </c>
      <c r="Q241" s="20" t="n">
        <v>-99.819</v>
      </c>
      <c r="R241" s="20" t="n">
        <v>-336.15</v>
      </c>
      <c r="S241" s="20" t="n">
        <v>-214.241</v>
      </c>
      <c r="T241" s="20" t="n">
        <v>-113.503</v>
      </c>
      <c r="U241" s="20" t="n">
        <v>0</v>
      </c>
    </row>
    <row r="242">
      <c r="A242" s="18" t="inlineStr">
        <is>
          <t>유가증권 매각</t>
        </is>
      </c>
      <c r="C242" s="20" t="n">
        <v>0</v>
      </c>
      <c r="D242" s="20" t="n">
        <v>0</v>
      </c>
      <c r="O242" s="20" t="n">
        <v>407.83</v>
      </c>
      <c r="P242" s="20" t="n">
        <v>669.886</v>
      </c>
      <c r="Q242" s="20" t="n">
        <v>676.494</v>
      </c>
      <c r="R242" s="20" t="n">
        <v>338.402</v>
      </c>
      <c r="S242" s="20" t="n">
        <v>202.574</v>
      </c>
      <c r="T242" s="20" t="n">
        <v>113.503</v>
      </c>
      <c r="U242" s="20" t="n">
        <v>136.97</v>
      </c>
      <c r="V242" s="20" t="n">
        <v>0</v>
      </c>
    </row>
    <row r="243">
      <c r="A243" s="18" t="inlineStr">
        <is>
          <t>유형자산 취득(설비투자)</t>
        </is>
      </c>
      <c r="C243" s="20" t="n">
        <v>-14422.208</v>
      </c>
      <c r="D243" s="20" t="n">
        <v>-14944.269</v>
      </c>
      <c r="E243" s="20" t="n">
        <v>-4830.811</v>
      </c>
      <c r="F243" s="20" t="n">
        <v>-12295.95</v>
      </c>
      <c r="G243" s="20" t="n">
        <v>-17630.331</v>
      </c>
      <c r="H243" s="20" t="n">
        <v>-18353.961</v>
      </c>
      <c r="I243" s="20" t="n">
        <v>-5816.82</v>
      </c>
      <c r="J243" s="20" t="n">
        <v>-6468.677</v>
      </c>
      <c r="K243" s="20" t="n">
        <v>-2940.65</v>
      </c>
      <c r="L243" s="20" t="n">
        <v>-7348.653</v>
      </c>
      <c r="M243" s="20" t="n">
        <v>-5006.402</v>
      </c>
      <c r="N243" s="20" t="n">
        <v>-6728.727</v>
      </c>
      <c r="O243" s="20" t="n">
        <v>-668.183</v>
      </c>
      <c r="P243" s="20" t="n">
        <v>-6180.039</v>
      </c>
      <c r="Q243" s="20" t="n">
        <v>-13570.498</v>
      </c>
      <c r="R243" s="20" t="n">
        <v>-3800.779</v>
      </c>
      <c r="S243" s="20" t="n">
        <v>-1817.592</v>
      </c>
      <c r="T243" s="20" t="n">
        <v>-9225.803</v>
      </c>
      <c r="U243" s="20" t="n">
        <v>-13433.048</v>
      </c>
      <c r="V243" s="20" t="n">
        <v>-14944.269</v>
      </c>
      <c r="W243" s="20" t="n">
        <v>-18353.961</v>
      </c>
      <c r="X243" s="20" t="n">
        <v>-7348.653</v>
      </c>
    </row>
    <row r="244">
      <c r="A244" s="18" t="inlineStr">
        <is>
          <t>유형자산 매각</t>
        </is>
      </c>
      <c r="C244" s="20" t="n">
        <v>2.323</v>
      </c>
      <c r="D244" s="20" t="n">
        <v>2.342</v>
      </c>
      <c r="E244" s="20" t="n">
        <v>0.001</v>
      </c>
      <c r="F244" s="20" t="n">
        <v>0.001</v>
      </c>
      <c r="G244" s="20" t="n">
        <v>16.473</v>
      </c>
      <c r="H244" s="20" t="n">
        <v>26.406</v>
      </c>
      <c r="I244" s="20" t="n">
        <v>1.044</v>
      </c>
      <c r="J244" s="20" t="n">
        <v>3.309</v>
      </c>
      <c r="K244" s="20" t="n">
        <v>3.337</v>
      </c>
      <c r="L244" s="20" t="n">
        <v>3.358</v>
      </c>
      <c r="M244" s="20" t="n">
        <v>0.031</v>
      </c>
      <c r="N244" s="20" t="n">
        <v>8.757999999999999</v>
      </c>
      <c r="O244" s="20" t="n">
        <v>2.86</v>
      </c>
      <c r="P244" s="20" t="n">
        <v>1.616</v>
      </c>
      <c r="Q244" s="20" t="n">
        <v>0</v>
      </c>
      <c r="R244" s="20" t="n">
        <v>0.885</v>
      </c>
      <c r="S244" s="20" t="n">
        <v>0.111</v>
      </c>
      <c r="T244" s="20" t="n">
        <v>1.465</v>
      </c>
      <c r="U244" s="20" t="n">
        <v>0.137</v>
      </c>
      <c r="V244" s="20" t="n">
        <v>2.342</v>
      </c>
      <c r="W244" s="20" t="n">
        <v>26.406</v>
      </c>
      <c r="X244" s="20" t="n">
        <v>3.358</v>
      </c>
    </row>
    <row r="245">
      <c r="A245" s="18" t="inlineStr">
        <is>
          <t>유형자산 제각 지출</t>
        </is>
      </c>
      <c r="C245" s="20" t="n">
        <v>-10.05</v>
      </c>
      <c r="D245" s="20" t="n">
        <v>-10.05</v>
      </c>
      <c r="G245" s="20" t="n">
        <v>0</v>
      </c>
      <c r="H245" s="20" t="n">
        <v>0</v>
      </c>
      <c r="U245" s="20" t="n">
        <v>0</v>
      </c>
      <c r="V245" s="20" t="n">
        <v>-10.05</v>
      </c>
      <c r="W245" s="20" t="n">
        <v>0</v>
      </c>
    </row>
    <row r="246">
      <c r="A246" s="18" t="inlineStr">
        <is>
          <t>무형자산 취득</t>
        </is>
      </c>
      <c r="C246" s="20" t="n">
        <v>-2629.06</v>
      </c>
      <c r="D246" s="20" t="n">
        <v>-2643.31</v>
      </c>
      <c r="E246" s="20" t="n">
        <v>-8.228</v>
      </c>
      <c r="F246" s="20" t="n">
        <v>-15.429</v>
      </c>
      <c r="G246" s="20" t="n">
        <v>-26.809</v>
      </c>
      <c r="H246" s="20" t="n">
        <v>-1784.817</v>
      </c>
      <c r="I246" s="20" t="n">
        <v>-126.684</v>
      </c>
      <c r="J246" s="20" t="n">
        <v>-305.369</v>
      </c>
      <c r="K246" s="20" t="n">
        <v>-2744.68</v>
      </c>
      <c r="L246" s="20" t="n">
        <v>-2761.277</v>
      </c>
      <c r="M246" s="20" t="n">
        <v>-57.532</v>
      </c>
      <c r="N246" s="20" t="n">
        <v>-74.732</v>
      </c>
      <c r="O246" s="20" t="n">
        <v>-41.108</v>
      </c>
      <c r="P246" s="20" t="n">
        <v>-778.8680000000001</v>
      </c>
      <c r="Q246" s="20" t="n">
        <v>-1739.039</v>
      </c>
      <c r="R246" s="20" t="n">
        <v>-733.561</v>
      </c>
      <c r="S246" s="20" t="n">
        <v>-396.574</v>
      </c>
      <c r="T246" s="20" t="n">
        <v>-395.869</v>
      </c>
      <c r="U246" s="20" t="n">
        <v>-201.759</v>
      </c>
      <c r="V246" s="20" t="n">
        <v>-2643.31</v>
      </c>
      <c r="W246" s="20" t="n">
        <v>-1784.817</v>
      </c>
      <c r="X246" s="20" t="n">
        <v>-2761.277</v>
      </c>
    </row>
    <row r="247">
      <c r="A247" s="18" t="inlineStr">
        <is>
          <t>무형자산 매각 수입</t>
        </is>
      </c>
      <c r="C247" s="20" t="n">
        <v>0</v>
      </c>
      <c r="D247" s="20" t="n">
        <v>0</v>
      </c>
      <c r="F247" s="20" t="n">
        <v>67.18899999999999</v>
      </c>
      <c r="G247" s="20" t="n">
        <v>67.18899999999999</v>
      </c>
      <c r="H247" s="20" t="n">
        <v>67.03</v>
      </c>
      <c r="J247" s="20" t="n">
        <v>0</v>
      </c>
      <c r="K247" s="20" t="n">
        <v>0</v>
      </c>
      <c r="L247" s="20" t="n">
        <v>0</v>
      </c>
      <c r="V247" s="20" t="n">
        <v>0</v>
      </c>
      <c r="W247" s="20" t="n">
        <v>67.03</v>
      </c>
      <c r="X247" s="20" t="n">
        <v>0</v>
      </c>
    </row>
    <row r="248">
      <c r="A248" s="18" t="inlineStr">
        <is>
          <t>투자유가증권 취득</t>
        </is>
      </c>
      <c r="C248" s="20" t="n">
        <v>-105.291</v>
      </c>
      <c r="D248" s="20" t="n">
        <v>-105.592</v>
      </c>
      <c r="E248" s="20" t="n">
        <v>-2.538</v>
      </c>
      <c r="F248" s="20" t="n">
        <v>-2.839</v>
      </c>
      <c r="G248" s="20" t="n">
        <v>-5.404</v>
      </c>
      <c r="H248" s="20" t="n">
        <v>-5.701</v>
      </c>
      <c r="I248" s="20" t="n">
        <v>-2.604</v>
      </c>
      <c r="J248" s="20" t="n">
        <v>-52.903</v>
      </c>
      <c r="K248" s="20" t="n">
        <v>-55.549</v>
      </c>
      <c r="L248" s="20" t="n">
        <v>-105.851</v>
      </c>
      <c r="M248" s="20" t="n">
        <v>-2.789</v>
      </c>
      <c r="N248" s="20" t="n">
        <v>-3.09</v>
      </c>
      <c r="O248" s="20" t="n">
        <v>-5.822</v>
      </c>
      <c r="P248" s="20" t="n">
        <v>-6.081</v>
      </c>
      <c r="Q248" s="20" t="n">
        <v>-9.117000000000001</v>
      </c>
      <c r="R248" s="20" t="n">
        <v>-10.241</v>
      </c>
      <c r="S248" s="20" t="n">
        <v>-58.413</v>
      </c>
      <c r="T248" s="20" t="n">
        <v>-60.621</v>
      </c>
      <c r="U248" s="20" t="n">
        <v>-159.727</v>
      </c>
      <c r="V248" s="20" t="n">
        <v>-105.592</v>
      </c>
      <c r="W248" s="20" t="n">
        <v>-5.701</v>
      </c>
      <c r="X248" s="20" t="n">
        <v>-105.851</v>
      </c>
    </row>
    <row r="249">
      <c r="A249" s="18" t="inlineStr">
        <is>
          <t>투자유가증권 매각</t>
        </is>
      </c>
      <c r="C249" s="20" t="n">
        <v>22.994</v>
      </c>
      <c r="D249" s="20" t="n">
        <v>22.994</v>
      </c>
      <c r="E249" s="20" t="n">
        <v>0</v>
      </c>
      <c r="F249" s="20" t="n">
        <v>0</v>
      </c>
      <c r="G249" s="20" t="n">
        <v>0</v>
      </c>
      <c r="H249" s="20" t="n">
        <v>0</v>
      </c>
      <c r="K249" s="20" t="n">
        <v>241.794</v>
      </c>
      <c r="L249" s="20" t="n">
        <v>241.908</v>
      </c>
      <c r="O249" s="20" t="n">
        <v>14</v>
      </c>
      <c r="P249" s="20" t="n">
        <v>0</v>
      </c>
      <c r="Q249" s="20" t="n">
        <v>8.035</v>
      </c>
      <c r="R249" s="20" t="n">
        <v>0</v>
      </c>
      <c r="S249" s="20" t="n">
        <v>0</v>
      </c>
      <c r="T249" s="20" t="n">
        <v>291.8</v>
      </c>
      <c r="U249" s="20" t="n">
        <v>536.859</v>
      </c>
      <c r="V249" s="20" t="n">
        <v>22.994</v>
      </c>
      <c r="W249" s="20" t="n">
        <v>0</v>
      </c>
      <c r="X249" s="20" t="n">
        <v>241.908</v>
      </c>
    </row>
    <row r="250">
      <c r="A250" s="18" t="inlineStr">
        <is>
          <t>연결범위 변경 자회사 주식 매각</t>
        </is>
      </c>
      <c r="P250" s="20" t="n">
        <v>0</v>
      </c>
      <c r="Q250" s="20" t="n">
        <v>5.608</v>
      </c>
      <c r="R250" s="20" t="n">
        <v>0</v>
      </c>
    </row>
    <row r="251">
      <c r="A251" s="18" t="inlineStr">
        <is>
          <t>사업양수 지출</t>
        </is>
      </c>
      <c r="O251" s="20" t="n">
        <v>0</v>
      </c>
      <c r="P251" s="20" t="n">
        <v>-1485.824</v>
      </c>
      <c r="Q251" s="20" t="n">
        <v>0</v>
      </c>
    </row>
    <row r="252">
      <c r="A252" s="18" t="inlineStr">
        <is>
          <t>단기대여금 회수 수입</t>
        </is>
      </c>
      <c r="O252" s="20" t="n">
        <v>3.392</v>
      </c>
      <c r="P252" s="20" t="n">
        <v>3.469</v>
      </c>
      <c r="Q252" s="20" t="n">
        <v>3.572</v>
      </c>
      <c r="R252" s="20" t="n">
        <v>0</v>
      </c>
    </row>
    <row r="253">
      <c r="A253" s="18" t="inlineStr">
        <is>
          <t>장기대여</t>
        </is>
      </c>
      <c r="O253" s="20" t="n">
        <v>-0.5</v>
      </c>
      <c r="P253" s="20" t="n">
        <v>0</v>
      </c>
      <c r="Q253" s="20" t="n">
        <v>-0.122</v>
      </c>
      <c r="R253" s="20" t="n">
        <v>0</v>
      </c>
    </row>
    <row r="254">
      <c r="A254" s="18" t="inlineStr">
        <is>
          <t>장기대여금 회수</t>
        </is>
      </c>
      <c r="C254" s="20" t="n">
        <v>0</v>
      </c>
      <c r="D254" s="20" t="n">
        <v>0</v>
      </c>
      <c r="E254" s="20" t="n">
        <v>0</v>
      </c>
      <c r="F254" s="20" t="n">
        <v>0</v>
      </c>
      <c r="G254" s="20" t="n">
        <v>0</v>
      </c>
      <c r="H254" s="20" t="n">
        <v>0</v>
      </c>
      <c r="I254" s="20" t="n">
        <v>0</v>
      </c>
      <c r="J254" s="20" t="n">
        <v>0</v>
      </c>
      <c r="K254" s="20" t="n">
        <v>0</v>
      </c>
      <c r="L254" s="20" t="n">
        <v>0</v>
      </c>
      <c r="M254" s="20" t="n">
        <v>0</v>
      </c>
      <c r="N254" s="20" t="n">
        <v>0</v>
      </c>
      <c r="O254" s="20" t="n">
        <v>0.324</v>
      </c>
      <c r="P254" s="20" t="n">
        <v>0.278</v>
      </c>
      <c r="Q254" s="20" t="n">
        <v>0</v>
      </c>
      <c r="R254" s="20" t="n">
        <v>0.051</v>
      </c>
      <c r="S254" s="20" t="n">
        <v>0.059</v>
      </c>
      <c r="T254" s="20" t="n">
        <v>0</v>
      </c>
      <c r="U254" s="20" t="n">
        <v>0</v>
      </c>
      <c r="V254" s="20" t="n">
        <v>0</v>
      </c>
      <c r="W254" s="20" t="n">
        <v>0</v>
      </c>
      <c r="X254" s="20" t="n">
        <v>0</v>
      </c>
    </row>
    <row r="255">
      <c r="A255" s="18" t="inlineStr">
        <is>
          <t>투자조합 분배 수입</t>
        </is>
      </c>
      <c r="C255" s="20" t="n">
        <v>20.254</v>
      </c>
      <c r="D255" s="20" t="n">
        <v>20.254</v>
      </c>
      <c r="F255" s="20" t="n">
        <v>27.99</v>
      </c>
      <c r="G255" s="20" t="n">
        <v>27.99</v>
      </c>
      <c r="H255" s="20" t="n">
        <v>27.99</v>
      </c>
      <c r="J255" s="20" t="n">
        <v>0</v>
      </c>
      <c r="K255" s="20" t="n">
        <v>0</v>
      </c>
      <c r="L255" s="20" t="n">
        <v>0</v>
      </c>
      <c r="T255" s="20" t="n">
        <v>0</v>
      </c>
      <c r="U255" s="20" t="n">
        <v>5.162</v>
      </c>
      <c r="V255" s="20" t="n">
        <v>20.254</v>
      </c>
      <c r="W255" s="20" t="n">
        <v>27.99</v>
      </c>
      <c r="X255" s="20" t="n">
        <v>0</v>
      </c>
    </row>
    <row r="256">
      <c r="A256" s="18" t="inlineStr">
        <is>
          <t>기타</t>
        </is>
      </c>
      <c r="C256" s="20" t="n">
        <v>-147.445</v>
      </c>
      <c r="D256" s="20" t="n">
        <v>-111.274</v>
      </c>
      <c r="E256" s="20" t="n">
        <v>-385.052</v>
      </c>
      <c r="F256" s="20" t="n">
        <v>-388.877</v>
      </c>
      <c r="G256" s="20" t="n">
        <v>-493.064</v>
      </c>
      <c r="H256" s="20" t="n">
        <v>-464.78</v>
      </c>
      <c r="I256" s="20" t="n">
        <v>-23.62</v>
      </c>
      <c r="J256" s="20" t="n">
        <v>-223.391</v>
      </c>
      <c r="K256" s="20" t="n">
        <v>-247.59</v>
      </c>
      <c r="L256" s="20" t="n">
        <v>-291.704</v>
      </c>
      <c r="M256" s="20" t="n">
        <v>-109.161</v>
      </c>
      <c r="N256" s="20" t="n">
        <v>-147.499</v>
      </c>
      <c r="O256" s="20" t="n">
        <v>-38.669</v>
      </c>
      <c r="P256" s="20" t="n">
        <v>-60.562</v>
      </c>
      <c r="Q256" s="20" t="n">
        <v>-5.571</v>
      </c>
      <c r="R256" s="20" t="n">
        <v>-21.285</v>
      </c>
      <c r="S256" s="20" t="n">
        <v>-12.797</v>
      </c>
      <c r="T256" s="20" t="n">
        <v>-34.562</v>
      </c>
      <c r="U256" s="20" t="n">
        <v>-46.27</v>
      </c>
      <c r="V256" s="20" t="n">
        <v>-111.274</v>
      </c>
      <c r="W256" s="20" t="n">
        <v>-464.78</v>
      </c>
      <c r="X256" s="20" t="n">
        <v>-291.704</v>
      </c>
    </row>
    <row r="257">
      <c r="A257" s="9" t="inlineStr">
        <is>
          <t>투자활동 현금흐름</t>
        </is>
      </c>
      <c r="C257" s="12" t="n">
        <v>-20263.62</v>
      </c>
      <c r="D257" s="12" t="n">
        <v>-18576.343</v>
      </c>
      <c r="E257" s="12" t="n">
        <v>-5265.828</v>
      </c>
      <c r="F257" s="12" t="n">
        <v>-12778.039</v>
      </c>
      <c r="G257" s="12" t="n">
        <v>-18221.134</v>
      </c>
      <c r="H257" s="12" t="n">
        <v>-20538.228</v>
      </c>
      <c r="I257" s="12" t="n">
        <v>-6147.7</v>
      </c>
      <c r="J257" s="12" t="n">
        <v>-6827.127</v>
      </c>
      <c r="K257" s="12" t="n">
        <v>-6531.314</v>
      </c>
      <c r="L257" s="12" t="n">
        <v>-11069.057</v>
      </c>
      <c r="M257" s="12" t="n">
        <v>-5712.982</v>
      </c>
      <c r="N257" s="12" t="n">
        <v>-7405.266</v>
      </c>
      <c r="O257" s="12" t="n">
        <v>4983.272</v>
      </c>
      <c r="P257" s="12" t="n">
        <v>-8024.601</v>
      </c>
      <c r="Q257" s="12" t="n">
        <v>-15356.573</v>
      </c>
      <c r="R257" s="12" t="n">
        <v>-4320.598</v>
      </c>
      <c r="S257" s="12" t="n">
        <v>-2620.018</v>
      </c>
      <c r="T257" s="12" t="n">
        <v>-9375.030000000001</v>
      </c>
      <c r="U257" s="12" t="n">
        <v>-13417.624</v>
      </c>
      <c r="V257" s="12" t="n">
        <v>-18576.343</v>
      </c>
      <c r="W257" s="12" t="n">
        <v>-20538.228</v>
      </c>
      <c r="X257" s="12" t="n">
        <v>-11069.057</v>
      </c>
    </row>
    <row r="258">
      <c r="A258" s="18" t="inlineStr">
        <is>
          <t>장기차입</t>
        </is>
      </c>
      <c r="C258" s="20" t="n">
        <v>20000</v>
      </c>
      <c r="D258" s="20" t="n">
        <v>20000</v>
      </c>
      <c r="E258" s="20" t="n">
        <v>0</v>
      </c>
      <c r="F258" s="20" t="n">
        <v>0</v>
      </c>
      <c r="G258" s="20" t="n">
        <v>0</v>
      </c>
      <c r="H258" s="20" t="n">
        <v>0</v>
      </c>
      <c r="U258" s="20" t="n">
        <v>0</v>
      </c>
      <c r="V258" s="20" t="n">
        <v>20000</v>
      </c>
      <c r="W258" s="20" t="n">
        <v>0</v>
      </c>
    </row>
    <row r="259">
      <c r="A259" s="18" t="inlineStr">
        <is>
          <t>장기차입금 상환</t>
        </is>
      </c>
      <c r="E259" s="20" t="n">
        <v>0</v>
      </c>
      <c r="F259" s="20" t="n">
        <v>0</v>
      </c>
      <c r="G259" s="20" t="n">
        <v>0</v>
      </c>
      <c r="H259" s="20" t="n">
        <v>0</v>
      </c>
      <c r="I259" s="20" t="n">
        <v>-100</v>
      </c>
      <c r="J259" s="20" t="n">
        <v>-1100</v>
      </c>
      <c r="K259" s="20" t="n">
        <v>-2000</v>
      </c>
      <c r="L259" s="20" t="n">
        <v>-3100</v>
      </c>
      <c r="M259" s="20" t="n">
        <v>-1000</v>
      </c>
      <c r="N259" s="20" t="n">
        <v>-2000</v>
      </c>
      <c r="W259" s="20" t="n">
        <v>0</v>
      </c>
      <c r="X259" s="20" t="n">
        <v>-3100</v>
      </c>
    </row>
    <row r="260">
      <c r="A260" s="18" t="inlineStr">
        <is>
          <t>자기주식 취득</t>
        </is>
      </c>
      <c r="C260" s="20" t="n">
        <v>-0.703</v>
      </c>
      <c r="D260" s="20" t="n">
        <v>-0.744</v>
      </c>
      <c r="E260" s="20" t="n">
        <v>-0.145</v>
      </c>
      <c r="F260" s="20" t="n">
        <v>-0.236</v>
      </c>
      <c r="G260" s="20" t="n">
        <v>-0.473</v>
      </c>
      <c r="H260" s="20" t="n">
        <v>-0.631</v>
      </c>
      <c r="I260" s="20" t="n">
        <v>0</v>
      </c>
      <c r="J260" s="20" t="n">
        <v>0</v>
      </c>
      <c r="K260" s="20" t="n">
        <v>-0.245</v>
      </c>
      <c r="L260" s="20" t="n">
        <v>-0.245</v>
      </c>
      <c r="N260" s="20" t="n">
        <v>-0.144</v>
      </c>
      <c r="O260" s="20" t="n">
        <v>-0.33</v>
      </c>
      <c r="P260" s="20" t="n">
        <v>-0.057</v>
      </c>
      <c r="Q260" s="20" t="n">
        <v>-0.103</v>
      </c>
      <c r="R260" s="20" t="n">
        <v>-0.442</v>
      </c>
      <c r="S260" s="20" t="n">
        <v>-0.076</v>
      </c>
      <c r="T260" s="20" t="n">
        <v>-1107.79</v>
      </c>
      <c r="U260" s="20" t="n">
        <v>-0.15</v>
      </c>
      <c r="V260" s="20" t="n">
        <v>-0.744</v>
      </c>
      <c r="W260" s="20" t="n">
        <v>-0.631</v>
      </c>
      <c r="X260" s="20" t="n">
        <v>-0.245</v>
      </c>
    </row>
    <row r="261">
      <c r="A261" s="18" t="inlineStr">
        <is>
          <t>배당금 지급</t>
        </is>
      </c>
      <c r="C261" s="20" t="n">
        <v>-2314.361</v>
      </c>
      <c r="D261" s="20" t="n">
        <v>-2325.355</v>
      </c>
      <c r="E261" s="20" t="n">
        <v>-1152.392</v>
      </c>
      <c r="F261" s="20" t="n">
        <v>-1163.171</v>
      </c>
      <c r="G261" s="20" t="n">
        <v>-2394.691</v>
      </c>
      <c r="H261" s="20" t="n">
        <v>-2396.208</v>
      </c>
      <c r="I261" s="20" t="n">
        <v>-1327.951</v>
      </c>
      <c r="J261" s="20" t="n">
        <v>-1339.552</v>
      </c>
      <c r="K261" s="20" t="n">
        <v>-2782.82</v>
      </c>
      <c r="L261" s="20" t="n">
        <v>-2784.923</v>
      </c>
      <c r="M261" s="20" t="n">
        <v>-1435.201</v>
      </c>
      <c r="N261" s="20" t="n">
        <v>-1444.025</v>
      </c>
      <c r="O261" s="20" t="n">
        <v>-1525.765</v>
      </c>
      <c r="P261" s="20" t="n">
        <v>-1668.572</v>
      </c>
      <c r="Q261" s="20" t="n">
        <v>-1632.891</v>
      </c>
      <c r="R261" s="20" t="n">
        <v>-1633.264</v>
      </c>
      <c r="S261" s="20" t="n">
        <v>-1633.337</v>
      </c>
      <c r="T261" s="20" t="n">
        <v>-1768.811</v>
      </c>
      <c r="U261" s="20" t="n">
        <v>-2114.417</v>
      </c>
      <c r="V261" s="20" t="n">
        <v>-2325.355</v>
      </c>
      <c r="W261" s="20" t="n">
        <v>-2396.208</v>
      </c>
      <c r="X261" s="20" t="n">
        <v>-2784.923</v>
      </c>
    </row>
    <row r="262">
      <c r="A262" s="18" t="inlineStr">
        <is>
          <t>비지배주주 배당금 지급</t>
        </is>
      </c>
      <c r="O262" s="20" t="n">
        <v>-0.4</v>
      </c>
      <c r="P262" s="20" t="n">
        <v>-0.4</v>
      </c>
      <c r="Q262" s="20" t="n">
        <v>-0.4</v>
      </c>
      <c r="R262" s="20" t="n">
        <v>0</v>
      </c>
    </row>
    <row r="263">
      <c r="A263" s="18" t="inlineStr">
        <is>
          <t>리스부채 상환</t>
        </is>
      </c>
      <c r="C263" s="20" t="n">
        <v>-7.526</v>
      </c>
      <c r="D263" s="20" t="n">
        <v>-10.057</v>
      </c>
      <c r="E263" s="20" t="n">
        <v>-2.723</v>
      </c>
      <c r="F263" s="20" t="n">
        <v>-5.432</v>
      </c>
      <c r="G263" s="20" t="n">
        <v>-9.188000000000001</v>
      </c>
      <c r="H263" s="20" t="n">
        <v>-12.393</v>
      </c>
      <c r="I263" s="20" t="n">
        <v>-4.779</v>
      </c>
      <c r="J263" s="20" t="n">
        <v>-9.342000000000001</v>
      </c>
      <c r="K263" s="20" t="n">
        <v>-14.542</v>
      </c>
      <c r="L263" s="20" t="n">
        <v>-19.876</v>
      </c>
      <c r="M263" s="20" t="n">
        <v>-5.398</v>
      </c>
      <c r="N263" s="20" t="n">
        <v>-9.869999999999999</v>
      </c>
      <c r="O263" s="20" t="n">
        <v>-6.649</v>
      </c>
      <c r="P263" s="20" t="n">
        <v>-6.649</v>
      </c>
      <c r="Q263" s="20" t="n">
        <v>-6.092</v>
      </c>
      <c r="R263" s="20" t="n">
        <v>-7.771</v>
      </c>
      <c r="S263" s="20" t="n">
        <v>-5.65</v>
      </c>
      <c r="T263" s="20" t="n">
        <v>-5.825</v>
      </c>
      <c r="U263" s="20" t="n">
        <v>-10.068</v>
      </c>
      <c r="V263" s="20" t="n">
        <v>-10.057</v>
      </c>
      <c r="W263" s="20" t="n">
        <v>-12.393</v>
      </c>
      <c r="X263" s="20" t="n">
        <v>-19.876</v>
      </c>
    </row>
    <row r="264">
      <c r="A264" s="9" t="inlineStr">
        <is>
          <t>재무활동 현금흐름</t>
        </is>
      </c>
      <c r="C264" s="12" t="n">
        <v>17677.408</v>
      </c>
      <c r="D264" s="12" t="n">
        <v>17663.842</v>
      </c>
      <c r="E264" s="12" t="n">
        <v>-1155.26</v>
      </c>
      <c r="F264" s="12" t="n">
        <v>-1168.841</v>
      </c>
      <c r="G264" s="12" t="n">
        <v>-2404.353</v>
      </c>
      <c r="H264" s="12" t="n">
        <v>-2409.233</v>
      </c>
      <c r="I264" s="12" t="n">
        <v>-1432.73</v>
      </c>
      <c r="J264" s="12" t="n">
        <v>-2448.894</v>
      </c>
      <c r="K264" s="12" t="n">
        <v>-4797.608</v>
      </c>
      <c r="L264" s="12" t="n">
        <v>-5905.045</v>
      </c>
      <c r="M264" s="12" t="n">
        <v>-2440.599</v>
      </c>
      <c r="N264" s="12" t="n">
        <v>-3454.041</v>
      </c>
      <c r="O264" s="12" t="n">
        <v>-1533.146</v>
      </c>
      <c r="P264" s="12" t="n">
        <v>-1675.679</v>
      </c>
      <c r="Q264" s="12" t="n">
        <v>-1639.486</v>
      </c>
      <c r="R264" s="12" t="n">
        <v>-1641.478</v>
      </c>
      <c r="S264" s="12" t="n">
        <v>-1639.065</v>
      </c>
      <c r="T264" s="12" t="n">
        <v>-2882.427</v>
      </c>
      <c r="U264" s="12" t="n">
        <v>-2124.635</v>
      </c>
      <c r="V264" s="12" t="n">
        <v>17663.842</v>
      </c>
      <c r="W264" s="12" t="n">
        <v>-2409.233</v>
      </c>
      <c r="X264" s="12" t="n">
        <v>-5905.045</v>
      </c>
    </row>
    <row r="265">
      <c r="A265" s="18" t="inlineStr">
        <is>
          <t>현금성자산 환산차이</t>
        </is>
      </c>
      <c r="C265" s="20" t="n">
        <v>534.429</v>
      </c>
      <c r="D265" s="20" t="n">
        <v>984.005</v>
      </c>
      <c r="E265" s="20" t="n">
        <v>497.964</v>
      </c>
      <c r="F265" s="20" t="n">
        <v>-331.904</v>
      </c>
      <c r="G265" s="20" t="n">
        <v>466.153</v>
      </c>
      <c r="H265" s="20" t="n">
        <v>-0.441</v>
      </c>
      <c r="I265" s="20" t="n">
        <v>-256.111</v>
      </c>
      <c r="J265" s="20" t="n">
        <v>34.573</v>
      </c>
      <c r="K265" s="20" t="n">
        <v>561.061</v>
      </c>
      <c r="L265" s="20" t="n">
        <v>839.6180000000001</v>
      </c>
      <c r="M265" s="20" t="n">
        <v>124.002</v>
      </c>
      <c r="N265" s="20" t="n">
        <v>-74.533</v>
      </c>
      <c r="O265" s="20" t="n">
        <v>-92.541</v>
      </c>
      <c r="P265" s="20" t="n">
        <v>-200.208</v>
      </c>
      <c r="Q265" s="20" t="n">
        <v>140.889</v>
      </c>
      <c r="R265" s="20" t="n">
        <v>-115.465</v>
      </c>
      <c r="S265" s="20" t="n">
        <v>191.475</v>
      </c>
      <c r="T265" s="20" t="n">
        <v>682.526</v>
      </c>
      <c r="U265" s="20" t="n">
        <v>507.044</v>
      </c>
      <c r="V265" s="20" t="n">
        <v>984.005</v>
      </c>
      <c r="W265" s="20" t="n">
        <v>-0.441</v>
      </c>
      <c r="X265" s="20" t="n">
        <v>839.6180000000001</v>
      </c>
    </row>
    <row r="266">
      <c r="A266" s="18" t="inlineStr">
        <is>
          <t>현금성자산 증감</t>
        </is>
      </c>
      <c r="C266" s="20" t="n">
        <v>-922.552</v>
      </c>
      <c r="D266" s="20" t="n">
        <v>7132.884</v>
      </c>
      <c r="E266" s="20" t="n">
        <v>908.45</v>
      </c>
      <c r="F266" s="20" t="n">
        <v>287.522</v>
      </c>
      <c r="G266" s="20" t="n">
        <v>-4061.588</v>
      </c>
      <c r="H266" s="20" t="n">
        <v>-246.366</v>
      </c>
      <c r="I266" s="20" t="n">
        <v>-3575.625</v>
      </c>
      <c r="J266" s="20" t="n">
        <v>2357.4</v>
      </c>
      <c r="K266" s="20" t="n">
        <v>4409.119</v>
      </c>
      <c r="L266" s="20" t="n">
        <v>8659.040000000001</v>
      </c>
      <c r="M266" s="20" t="n">
        <v>-3312.789</v>
      </c>
      <c r="N266" s="20" t="n">
        <v>7037.831</v>
      </c>
      <c r="O266" s="20" t="n">
        <v>12771.099</v>
      </c>
      <c r="P266" s="20" t="n">
        <v>-5054.889</v>
      </c>
      <c r="Q266" s="20" t="n">
        <v>-8706.677</v>
      </c>
      <c r="R266" s="20" t="n">
        <v>5859.365</v>
      </c>
      <c r="S266" s="20" t="n">
        <v>8752.941999999999</v>
      </c>
      <c r="T266" s="20" t="n">
        <v>-1375.868</v>
      </c>
      <c r="U266" s="20" t="n">
        <v>-1109.23</v>
      </c>
      <c r="V266" s="20" t="n">
        <v>7132.884</v>
      </c>
      <c r="W266" s="20" t="n">
        <v>-246.366</v>
      </c>
      <c r="X266" s="20" t="n">
        <v>8659.040000000001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4368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70108.62</v>
      </c>
      <c r="D5" s="12" t="n">
        <v>75575.306</v>
      </c>
      <c r="E5" s="12" t="n">
        <v>78476.053</v>
      </c>
      <c r="F5" s="12" t="n">
        <v>82179.393</v>
      </c>
      <c r="G5" s="12" t="n">
        <v>89022.075</v>
      </c>
      <c r="H5" s="11" t="n">
        <v>43042.054</v>
      </c>
      <c r="I5" s="12" t="n">
        <v>55344.047</v>
      </c>
      <c r="J5" s="12" t="n">
        <v>55843.033</v>
      </c>
      <c r="K5" s="12" t="n">
        <v>67052.435</v>
      </c>
      <c r="L5" s="12" t="n">
        <v>78476.053</v>
      </c>
    </row>
    <row r="6">
      <c r="A6" s="18" t="inlineStr">
        <is>
          <t>현금및현금성자산</t>
        </is>
      </c>
      <c r="B6" s="10" t="n"/>
      <c r="C6" s="19" t="n">
        <v>33464.723</v>
      </c>
      <c r="D6" s="20" t="n">
        <v>36726.14</v>
      </c>
      <c r="E6" s="20" t="n">
        <v>41006.795</v>
      </c>
      <c r="F6" s="20" t="n">
        <v>38292.068</v>
      </c>
      <c r="G6" s="20" t="n">
        <v>48452.787</v>
      </c>
      <c r="H6" s="19" t="n">
        <v>20007.336</v>
      </c>
      <c r="I6" s="20" t="n">
        <v>23412.586</v>
      </c>
      <c r="J6" s="20" t="n">
        <v>25247.778</v>
      </c>
      <c r="K6" s="20" t="n">
        <v>31295.73</v>
      </c>
      <c r="L6" s="20" t="n">
        <v>41006.795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123.756</v>
      </c>
      <c r="I7" s="20" t="n">
        <v>0</v>
      </c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17296.107</v>
      </c>
      <c r="D8" s="20" t="n">
        <v>18315.013</v>
      </c>
      <c r="E8" s="20" t="n">
        <v>16626.358</v>
      </c>
      <c r="F8" s="20" t="n">
        <v>19621.452</v>
      </c>
      <c r="G8" s="20" t="n">
        <v>19739.931</v>
      </c>
      <c r="H8" s="19" t="n">
        <v>14886.764</v>
      </c>
      <c r="I8" s="20" t="n">
        <v>14968.781</v>
      </c>
      <c r="J8" s="20" t="n">
        <v>16457.71</v>
      </c>
      <c r="K8" s="20" t="n">
        <v>16046.056</v>
      </c>
      <c r="L8" s="20" t="n">
        <v>16626.358</v>
      </c>
    </row>
    <row r="9">
      <c r="A9" s="18" t="inlineStr">
        <is>
          <t>재고자산</t>
        </is>
      </c>
      <c r="B9" s="10" t="n"/>
      <c r="C9" s="19" t="n">
        <v>18475.747</v>
      </c>
      <c r="D9" s="20" t="n">
        <v>17851.683</v>
      </c>
      <c r="E9" s="20" t="n">
        <v>18409.068</v>
      </c>
      <c r="F9" s="20" t="n">
        <v>18276.103</v>
      </c>
      <c r="G9" s="20" t="n">
        <v>20056.558</v>
      </c>
      <c r="H9" s="19" t="n">
        <v>8894.884</v>
      </c>
      <c r="I9" s="20" t="n">
        <v>16040.657</v>
      </c>
      <c r="J9" s="20" t="n">
        <v>13312.248</v>
      </c>
      <c r="K9" s="20" t="n">
        <v>18153.76</v>
      </c>
      <c r="L9" s="20" t="n">
        <v>18409.068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74341.25199999999</v>
      </c>
      <c r="D11" s="12" t="n">
        <v>73847.389</v>
      </c>
      <c r="E11" s="12" t="n">
        <v>73780.224</v>
      </c>
      <c r="F11" s="12" t="n">
        <v>84650.243</v>
      </c>
      <c r="G11" s="12" t="n">
        <v>82788.284</v>
      </c>
      <c r="H11" s="11" t="n">
        <v>40969.475</v>
      </c>
      <c r="I11" s="12" t="n">
        <v>58184.824</v>
      </c>
      <c r="J11" s="12" t="n">
        <v>65661.62699999999</v>
      </c>
      <c r="K11" s="12" t="n">
        <v>74449.636</v>
      </c>
      <c r="L11" s="12" t="n">
        <v>73780.224</v>
      </c>
    </row>
    <row r="12">
      <c r="A12" s="18" t="inlineStr">
        <is>
          <t>유형자산</t>
        </is>
      </c>
      <c r="B12" s="10" t="n"/>
      <c r="C12" s="19" t="n">
        <v>67053.077</v>
      </c>
      <c r="D12" s="20" t="n">
        <v>64719.999</v>
      </c>
      <c r="E12" s="20" t="n">
        <v>64540.33</v>
      </c>
      <c r="F12" s="20" t="n">
        <v>75667.07000000001</v>
      </c>
      <c r="G12" s="20" t="n">
        <v>74392.106</v>
      </c>
      <c r="H12" s="19" t="n">
        <v>32662.44</v>
      </c>
      <c r="I12" s="20" t="n">
        <v>54301.501</v>
      </c>
      <c r="J12" s="20" t="n">
        <v>55305.885</v>
      </c>
      <c r="K12" s="20" t="n">
        <v>66982.58500000001</v>
      </c>
      <c r="L12" s="20" t="n">
        <v>64540.33</v>
      </c>
    </row>
    <row r="13">
      <c r="A13" s="18" t="inlineStr">
        <is>
          <t>무형자산</t>
        </is>
      </c>
      <c r="B13" s="10" t="n"/>
      <c r="C13" s="19" t="n">
        <v>3751.406</v>
      </c>
      <c r="D13" s="20" t="n">
        <v>5875.494</v>
      </c>
      <c r="E13" s="20" t="n">
        <v>5490.989</v>
      </c>
      <c r="F13" s="20" t="n">
        <v>5147.19</v>
      </c>
      <c r="G13" s="20" t="n">
        <v>4751.72</v>
      </c>
      <c r="H13" s="19" t="n">
        <v>1714.606</v>
      </c>
      <c r="I13" s="20" t="n">
        <v>1346.426</v>
      </c>
      <c r="J13" s="20" t="n">
        <v>2940.678</v>
      </c>
      <c r="K13" s="20" t="n">
        <v>4006.424</v>
      </c>
      <c r="L13" s="20" t="n">
        <v>5490.989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144449.873</v>
      </c>
      <c r="D16" s="12" t="n">
        <v>149422.695</v>
      </c>
      <c r="E16" s="12" t="n">
        <v>152256.278</v>
      </c>
      <c r="F16" s="12" t="n">
        <v>166829.636</v>
      </c>
      <c r="G16" s="12" t="n">
        <v>171810.359</v>
      </c>
      <c r="H16" s="11" t="n">
        <v>84011.52899999999</v>
      </c>
      <c r="I16" s="12" t="n">
        <v>113528.872</v>
      </c>
      <c r="J16" s="12" t="n">
        <v>121504.661</v>
      </c>
      <c r="K16" s="12" t="n">
        <v>141502.071</v>
      </c>
      <c r="L16" s="12" t="n">
        <v>152256.278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17719.952</v>
      </c>
      <c r="D18" s="12" t="n">
        <v>20221.903</v>
      </c>
      <c r="E18" s="12" t="n">
        <v>19844.13</v>
      </c>
      <c r="F18" s="12" t="n">
        <v>29631.79</v>
      </c>
      <c r="G18" s="12" t="n">
        <v>31159.777</v>
      </c>
      <c r="H18" s="11" t="n">
        <v>14735.91</v>
      </c>
      <c r="I18" s="12" t="n">
        <v>23908.669</v>
      </c>
      <c r="J18" s="12" t="n">
        <v>15904.377</v>
      </c>
      <c r="K18" s="12" t="n">
        <v>18489.603</v>
      </c>
      <c r="L18" s="12" t="n">
        <v>19844.13</v>
      </c>
    </row>
    <row r="19">
      <c r="A19" s="18" t="inlineStr">
        <is>
          <t>매입채무</t>
        </is>
      </c>
      <c r="B19" s="10" t="n"/>
      <c r="C19" s="19" t="n">
        <v>2968.632</v>
      </c>
      <c r="D19" s="20" t="n">
        <v>2641.505</v>
      </c>
      <c r="E19" s="20" t="n">
        <v>2836.663</v>
      </c>
      <c r="F19" s="20" t="n">
        <v>3304.236</v>
      </c>
      <c r="G19" s="20" t="n">
        <v>3655.977</v>
      </c>
      <c r="H19" s="19" t="n">
        <v>3859.611</v>
      </c>
      <c r="I19" s="20" t="n">
        <v>3190.61</v>
      </c>
      <c r="J19" s="20" t="n">
        <v>2375.457</v>
      </c>
      <c r="K19" s="20" t="n">
        <v>3073.443</v>
      </c>
      <c r="L19" s="20" t="n">
        <v>2836.663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4000</v>
      </c>
      <c r="D21" s="20" t="n">
        <v>4000</v>
      </c>
      <c r="E21" s="20" t="n">
        <v>4000</v>
      </c>
      <c r="F21" s="20" t="n">
        <v>4000</v>
      </c>
      <c r="G21" s="20" t="n">
        <v>4000</v>
      </c>
      <c r="H21" s="19" t="n"/>
      <c r="I21" s="20" t="n"/>
      <c r="J21" s="20" t="n">
        <v>0</v>
      </c>
      <c r="K21" s="20" t="n">
        <v>3100</v>
      </c>
      <c r="L21" s="20" t="n">
        <v>4000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16941.762</v>
      </c>
      <c r="D23" s="12" t="n">
        <v>16058.143</v>
      </c>
      <c r="E23" s="12" t="n">
        <v>15195.224</v>
      </c>
      <c r="F23" s="12" t="n">
        <v>14193.227</v>
      </c>
      <c r="G23" s="12" t="n">
        <v>13181.904</v>
      </c>
      <c r="H23" s="11" t="n">
        <v>1848.497</v>
      </c>
      <c r="I23" s="12" t="n">
        <v>2117.377</v>
      </c>
      <c r="J23" s="12" t="n">
        <v>21951.925</v>
      </c>
      <c r="K23" s="12" t="n">
        <v>18963.49</v>
      </c>
      <c r="L23" s="12" t="n">
        <v>15195.224</v>
      </c>
    </row>
    <row r="24">
      <c r="A24" s="18" t="inlineStr">
        <is>
          <t>장기차입금</t>
        </is>
      </c>
      <c r="B24" s="10" t="n"/>
      <c r="C24" s="19" t="n">
        <v>14900</v>
      </c>
      <c r="D24" s="20" t="n">
        <v>14000</v>
      </c>
      <c r="E24" s="20" t="n">
        <v>12900</v>
      </c>
      <c r="F24" s="20" t="n">
        <v>11900</v>
      </c>
      <c r="G24" s="20" t="n">
        <v>10900</v>
      </c>
      <c r="H24" s="19" t="n"/>
      <c r="I24" s="20" t="n">
        <v>0</v>
      </c>
      <c r="J24" s="20" t="n">
        <v>20000</v>
      </c>
      <c r="K24" s="20" t="n">
        <v>16900</v>
      </c>
      <c r="L24" s="20" t="n">
        <v>12900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34661.714</v>
      </c>
      <c r="D27" s="12" t="n">
        <v>36280.047</v>
      </c>
      <c r="E27" s="12" t="n">
        <v>35039.354</v>
      </c>
      <c r="F27" s="12" t="n">
        <v>43825.017</v>
      </c>
      <c r="G27" s="12" t="n">
        <v>44341.682</v>
      </c>
      <c r="H27" s="11" t="n">
        <v>16584.408</v>
      </c>
      <c r="I27" s="12" t="n">
        <v>26026.047</v>
      </c>
      <c r="J27" s="12" t="n">
        <v>37856.303</v>
      </c>
      <c r="K27" s="12" t="n">
        <v>37453.093</v>
      </c>
      <c r="L27" s="12" t="n">
        <v>35039.354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109788.158</v>
      </c>
      <c r="D31" s="12" t="n">
        <v>113142.647</v>
      </c>
      <c r="E31" s="12" t="n">
        <v>117216.923</v>
      </c>
      <c r="F31" s="12" t="n">
        <v>123004.618</v>
      </c>
      <c r="G31" s="12" t="n">
        <v>127468.677</v>
      </c>
      <c r="H31" s="11" t="n">
        <v>67427.121</v>
      </c>
      <c r="I31" s="12" t="n">
        <v>87502.82399999999</v>
      </c>
      <c r="J31" s="12" t="n">
        <v>83648.357</v>
      </c>
      <c r="K31" s="12" t="n">
        <v>104048.977</v>
      </c>
      <c r="L31" s="12" t="n">
        <v>117216.923</v>
      </c>
    </row>
    <row r="32">
      <c r="A32" s="18" t="inlineStr">
        <is>
          <t>자본금</t>
        </is>
      </c>
      <c r="B32" s="10" t="n"/>
      <c r="C32" s="19" t="n">
        <v>4334.047</v>
      </c>
      <c r="D32" s="20" t="n">
        <v>4334.047</v>
      </c>
      <c r="E32" s="20" t="n">
        <v>4334.047</v>
      </c>
      <c r="F32" s="20" t="n">
        <v>4334.047</v>
      </c>
      <c r="G32" s="20" t="n">
        <v>4334.047</v>
      </c>
      <c r="H32" s="19" t="n">
        <v>4334.047</v>
      </c>
      <c r="I32" s="20" t="n">
        <v>4334.047</v>
      </c>
      <c r="J32" s="20" t="n">
        <v>4334.047</v>
      </c>
      <c r="K32" s="20" t="n">
        <v>4334.047</v>
      </c>
      <c r="L32" s="20" t="n">
        <v>4334.047</v>
      </c>
    </row>
    <row r="33">
      <c r="A33" s="18" t="inlineStr">
        <is>
          <t>이익잉여금</t>
        </is>
      </c>
      <c r="B33" s="10" t="n"/>
      <c r="C33" s="19" t="n">
        <v>96927.07399999999</v>
      </c>
      <c r="D33" s="20" t="n">
        <v>99298.04700000001</v>
      </c>
      <c r="E33" s="20" t="n">
        <v>102917.629</v>
      </c>
      <c r="F33" s="20" t="n">
        <v>108160.641</v>
      </c>
      <c r="G33" s="20" t="n">
        <v>113134.346</v>
      </c>
      <c r="H33" s="19" t="n">
        <v>58941.095</v>
      </c>
      <c r="I33" s="20" t="n">
        <v>76183.899</v>
      </c>
      <c r="J33" s="20" t="n">
        <v>75275.034</v>
      </c>
      <c r="K33" s="20" t="n">
        <v>91405.565</v>
      </c>
      <c r="L33" s="20" t="n">
        <v>102917.629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109788.158</v>
      </c>
      <c r="D35" s="12" t="n">
        <v>113142.647</v>
      </c>
      <c r="E35" s="12" t="n">
        <v>117216.923</v>
      </c>
      <c r="F35" s="12" t="n">
        <v>123004.618</v>
      </c>
      <c r="G35" s="12" t="n">
        <v>127468.677</v>
      </c>
      <c r="H35" s="11" t="n">
        <v>67427.121</v>
      </c>
      <c r="I35" s="12" t="n">
        <v>87502.82399999999</v>
      </c>
      <c r="J35" s="12" t="n">
        <v>83648.357</v>
      </c>
      <c r="K35" s="12" t="n">
        <v>104048.977</v>
      </c>
      <c r="L35" s="12" t="n">
        <v>117216.923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19734.078</v>
      </c>
      <c r="D37" s="12" t="n">
        <v>21780.773</v>
      </c>
      <c r="E37" s="12" t="n">
        <v>24793.525</v>
      </c>
      <c r="F37" s="12" t="n">
        <v>25249.398</v>
      </c>
      <c r="G37" s="12" t="n">
        <v>31166.35</v>
      </c>
      <c r="H37" s="11" t="n">
        <v>10199.062</v>
      </c>
      <c r="I37" s="12" t="n">
        <v>13925.984</v>
      </c>
      <c r="J37" s="12" t="n">
        <v>7061.38</v>
      </c>
      <c r="K37" s="12" t="n">
        <v>22701.537</v>
      </c>
      <c r="L37" s="12" t="n">
        <v>24793.525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14601.445</v>
      </c>
      <c r="D38" s="20" t="n">
        <v>8166.968</v>
      </c>
      <c r="E38" s="20" t="n">
        <v>10109.93</v>
      </c>
      <c r="F38" s="20" t="n">
        <v>9230.360000000001</v>
      </c>
      <c r="G38" s="20" t="n">
        <v>10139.343</v>
      </c>
      <c r="H38" s="19" t="n">
        <v>9621.672</v>
      </c>
      <c r="I38" s="20" t="n">
        <v>13634.807</v>
      </c>
      <c r="J38" s="20" t="n">
        <v>17587.579</v>
      </c>
      <c r="K38" s="20" t="n">
        <v>20138.778</v>
      </c>
      <c r="L38" s="20" t="n">
        <v>10109.93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2572.589</v>
      </c>
      <c r="D40" s="20" t="n">
        <v>2784.337</v>
      </c>
      <c r="E40" s="20" t="n">
        <v>2784.923</v>
      </c>
      <c r="F40" s="20" t="n">
        <v>2892.173</v>
      </c>
      <c r="G40" s="20" t="n">
        <v>2889.396</v>
      </c>
      <c r="H40" s="19" t="n">
        <v>1768.811</v>
      </c>
      <c r="I40" s="20" t="n">
        <v>2114.417</v>
      </c>
      <c r="J40" s="20" t="n">
        <v>2325.355</v>
      </c>
      <c r="K40" s="20" t="n">
        <v>2396.208</v>
      </c>
      <c r="L40" s="20" t="n">
        <v>2784.923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33464.723</v>
      </c>
      <c r="D71" s="20" t="n">
        <v>36726.14</v>
      </c>
      <c r="E71" s="20" t="n">
        <v>41006.795</v>
      </c>
      <c r="F71" s="20" t="n">
        <v>38292.068</v>
      </c>
      <c r="G71" s="20" t="n">
        <v>48452.787</v>
      </c>
      <c r="H71" s="20" t="n">
        <v>20007.336</v>
      </c>
      <c r="I71" s="20" t="n">
        <v>23412.586</v>
      </c>
      <c r="J71" s="20" t="n">
        <v>25247.778</v>
      </c>
      <c r="K71" s="20" t="n">
        <v>31295.73</v>
      </c>
      <c r="L71" s="20" t="n">
        <v>41006.795</v>
      </c>
    </row>
    <row r="72">
      <c r="A72" s="18" t="inlineStr">
        <is>
          <t>매출채권</t>
        </is>
      </c>
      <c r="E72" s="20" t="n">
        <v>14551.07</v>
      </c>
      <c r="H72" s="20" t="n">
        <v>13027.869</v>
      </c>
      <c r="I72" s="20" t="n">
        <v>13296.144</v>
      </c>
      <c r="J72" s="20" t="n">
        <v>14661.399</v>
      </c>
      <c r="K72" s="20" t="n">
        <v>14205.014</v>
      </c>
      <c r="L72" s="20" t="n">
        <v>14551.07</v>
      </c>
    </row>
    <row r="73">
      <c r="A73" s="18" t="inlineStr">
        <is>
          <t>받을어음·매출채권</t>
        </is>
      </c>
      <c r="C73" s="20" t="n">
        <v>17296.107</v>
      </c>
      <c r="D73" s="20" t="n">
        <v>18315.013</v>
      </c>
      <c r="E73" s="20" t="n">
        <v>16626.358</v>
      </c>
      <c r="F73" s="20" t="n">
        <v>19621.452</v>
      </c>
      <c r="G73" s="20" t="n">
        <v>19739.931</v>
      </c>
      <c r="H73" s="20" t="n">
        <v>14886.764</v>
      </c>
      <c r="I73" s="20" t="n">
        <v>14968.781</v>
      </c>
      <c r="J73" s="20" t="n">
        <v>16457.71</v>
      </c>
      <c r="K73" s="20" t="n">
        <v>16046.056</v>
      </c>
      <c r="L73" s="20" t="n">
        <v>16626.358</v>
      </c>
    </row>
    <row r="74">
      <c r="A74" s="18" t="inlineStr">
        <is>
          <t>유가증권</t>
        </is>
      </c>
      <c r="H74" s="20" t="n">
        <v>123.756</v>
      </c>
      <c r="I74" s="20" t="n">
        <v>0</v>
      </c>
    </row>
    <row r="75">
      <c r="A75" s="18" t="inlineStr">
        <is>
          <t>상품·제품</t>
        </is>
      </c>
      <c r="C75" s="20" t="n">
        <v>14409.922</v>
      </c>
      <c r="D75" s="20" t="n">
        <v>13581.04</v>
      </c>
      <c r="E75" s="20" t="n">
        <v>14205.343</v>
      </c>
      <c r="F75" s="20" t="n">
        <v>13100.192</v>
      </c>
      <c r="G75" s="20" t="n">
        <v>14902.014</v>
      </c>
      <c r="H75" s="20" t="n">
        <v>6575.026</v>
      </c>
      <c r="I75" s="20" t="n">
        <v>11880.482</v>
      </c>
      <c r="J75" s="20" t="n">
        <v>10627.481</v>
      </c>
      <c r="K75" s="20" t="n">
        <v>14058.439</v>
      </c>
      <c r="L75" s="20" t="n">
        <v>14205.343</v>
      </c>
    </row>
    <row r="76">
      <c r="A76" s="18" t="inlineStr">
        <is>
          <t>재공품</t>
        </is>
      </c>
      <c r="C76" s="20" t="n">
        <v>656.335</v>
      </c>
      <c r="D76" s="20" t="n">
        <v>602.813</v>
      </c>
      <c r="E76" s="20" t="n">
        <v>703.343</v>
      </c>
      <c r="F76" s="20" t="n">
        <v>1017.971</v>
      </c>
      <c r="G76" s="20" t="n">
        <v>785.7910000000001</v>
      </c>
      <c r="H76" s="20" t="n">
        <v>630.342</v>
      </c>
      <c r="I76" s="20" t="n">
        <v>691.534</v>
      </c>
      <c r="J76" s="20" t="n">
        <v>686.143</v>
      </c>
      <c r="K76" s="20" t="n">
        <v>675.979</v>
      </c>
      <c r="L76" s="20" t="n">
        <v>703.343</v>
      </c>
    </row>
    <row r="77">
      <c r="A77" s="18" t="inlineStr">
        <is>
          <t>원재료·저장품</t>
        </is>
      </c>
      <c r="C77" s="20" t="n">
        <v>3409.49</v>
      </c>
      <c r="D77" s="20" t="n">
        <v>3667.83</v>
      </c>
      <c r="E77" s="20" t="n">
        <v>3500.382</v>
      </c>
      <c r="F77" s="20" t="n">
        <v>4157.94</v>
      </c>
      <c r="G77" s="20" t="n">
        <v>4368.753</v>
      </c>
      <c r="H77" s="20" t="n">
        <v>1689.516</v>
      </c>
      <c r="I77" s="20" t="n">
        <v>3468.641</v>
      </c>
      <c r="J77" s="20" t="n">
        <v>1998.624</v>
      </c>
      <c r="K77" s="20" t="n">
        <v>3419.342</v>
      </c>
      <c r="L77" s="20" t="n">
        <v>3500.382</v>
      </c>
    </row>
    <row r="78">
      <c r="A78" s="18" t="inlineStr">
        <is>
          <t>미수 소비세</t>
        </is>
      </c>
      <c r="E78" s="20" t="n">
        <v>1622.623</v>
      </c>
      <c r="K78" s="20" t="n">
        <v>1028.736</v>
      </c>
      <c r="L78" s="20" t="n">
        <v>1622.623</v>
      </c>
    </row>
    <row r="79">
      <c r="A79" s="18" t="inlineStr">
        <is>
          <t>기타</t>
        </is>
      </c>
      <c r="C79" s="20" t="n">
        <v>887.486</v>
      </c>
      <c r="D79" s="20" t="n">
        <v>2696.875</v>
      </c>
      <c r="E79" s="20" t="n">
        <v>2450.191</v>
      </c>
      <c r="F79" s="20" t="n">
        <v>6006.849</v>
      </c>
      <c r="G79" s="20" t="n">
        <v>790.799</v>
      </c>
      <c r="H79" s="20" t="n">
        <v>1113.285</v>
      </c>
      <c r="I79" s="20" t="n">
        <v>936.534</v>
      </c>
      <c r="J79" s="20" t="n">
        <v>2623.395</v>
      </c>
      <c r="K79" s="20" t="n">
        <v>543.001</v>
      </c>
      <c r="L79" s="20" t="n">
        <v>2450.191</v>
      </c>
    </row>
    <row r="80">
      <c r="A80" s="18" t="inlineStr">
        <is>
          <t>대손충당금</t>
        </is>
      </c>
      <c r="C80" s="20" t="n">
        <v>-15.446</v>
      </c>
      <c r="D80" s="20" t="n">
        <v>-14.407</v>
      </c>
      <c r="E80" s="20" t="n">
        <v>-16.363</v>
      </c>
      <c r="F80" s="20" t="n">
        <v>-17.08</v>
      </c>
      <c r="G80" s="20" t="n">
        <v>-18.002</v>
      </c>
      <c r="H80" s="20" t="n">
        <v>-1.321</v>
      </c>
      <c r="I80" s="20" t="n">
        <v>-14.513</v>
      </c>
      <c r="J80" s="20" t="n">
        <v>-1.79</v>
      </c>
      <c r="K80" s="20" t="n">
        <v>-14.851</v>
      </c>
      <c r="L80" s="20" t="n">
        <v>-16.363</v>
      </c>
    </row>
    <row r="81">
      <c r="A81" s="9" t="inlineStr">
        <is>
          <t>유동자산 합계</t>
        </is>
      </c>
      <c r="C81" s="12" t="n">
        <v>70108.62</v>
      </c>
      <c r="D81" s="12" t="n">
        <v>75575.306</v>
      </c>
      <c r="E81" s="12" t="n">
        <v>78476.053</v>
      </c>
      <c r="F81" s="12" t="n">
        <v>82179.393</v>
      </c>
      <c r="G81" s="12" t="n">
        <v>89022.075</v>
      </c>
      <c r="H81" s="12" t="n">
        <v>43042.054</v>
      </c>
      <c r="I81" s="12" t="n">
        <v>55344.047</v>
      </c>
      <c r="J81" s="12" t="n">
        <v>55843.033</v>
      </c>
      <c r="K81" s="12" t="n">
        <v>67052.435</v>
      </c>
      <c r="L81" s="12" t="n">
        <v>78476.053</v>
      </c>
    </row>
    <row r="82">
      <c r="A82" s="18" t="inlineStr">
        <is>
          <t>건물</t>
        </is>
      </c>
      <c r="E82" s="20" t="n">
        <v>19251.658</v>
      </c>
      <c r="H82" s="20" t="n">
        <v>7392.104</v>
      </c>
      <c r="I82" s="20" t="n">
        <v>7301.688</v>
      </c>
      <c r="J82" s="20" t="n">
        <v>11616.793</v>
      </c>
      <c r="K82" s="20" t="n">
        <v>14848.438</v>
      </c>
      <c r="L82" s="20" t="n">
        <v>19251.658</v>
      </c>
    </row>
    <row r="83">
      <c r="A83" s="18" t="inlineStr">
        <is>
          <t>구축물</t>
        </is>
      </c>
      <c r="E83" s="20" t="n">
        <v>5040.061</v>
      </c>
      <c r="H83" s="20" t="n">
        <v>1077.908</v>
      </c>
      <c r="I83" s="20" t="n">
        <v>919.145</v>
      </c>
      <c r="J83" s="20" t="n">
        <v>2973.08</v>
      </c>
      <c r="K83" s="20" t="n">
        <v>3425.724</v>
      </c>
      <c r="L83" s="20" t="n">
        <v>5040.061</v>
      </c>
    </row>
    <row r="84">
      <c r="A84" s="18" t="inlineStr">
        <is>
          <t>기계장치</t>
        </is>
      </c>
      <c r="E84" s="20" t="n">
        <v>23102.368</v>
      </c>
      <c r="H84" s="20" t="n">
        <v>5919.047</v>
      </c>
      <c r="I84" s="20" t="n">
        <v>5099.255</v>
      </c>
      <c r="J84" s="20" t="n">
        <v>13339.703</v>
      </c>
      <c r="K84" s="20" t="n">
        <v>16252.021</v>
      </c>
      <c r="L84" s="20" t="n">
        <v>23102.368</v>
      </c>
    </row>
    <row r="85">
      <c r="A85" s="18" t="inlineStr">
        <is>
          <t>차량운반구</t>
        </is>
      </c>
      <c r="E85" s="20" t="n">
        <v>8.927</v>
      </c>
      <c r="H85" s="20" t="n">
        <v>11.416</v>
      </c>
      <c r="I85" s="20" t="n">
        <v>43.117</v>
      </c>
      <c r="J85" s="20" t="n">
        <v>27.889</v>
      </c>
      <c r="K85" s="20" t="n">
        <v>17.778</v>
      </c>
      <c r="L85" s="20" t="n">
        <v>8.927</v>
      </c>
    </row>
    <row r="86">
      <c r="A86" s="18" t="inlineStr">
        <is>
          <t>공구·기구·비품</t>
        </is>
      </c>
      <c r="E86" s="20" t="n">
        <v>758.299</v>
      </c>
      <c r="H86" s="20" t="n">
        <v>287.578</v>
      </c>
      <c r="I86" s="20" t="n">
        <v>630.186</v>
      </c>
      <c r="J86" s="20" t="n">
        <v>868.13</v>
      </c>
      <c r="K86" s="20" t="n">
        <v>838.95</v>
      </c>
      <c r="L86" s="20" t="n">
        <v>758.299</v>
      </c>
    </row>
    <row r="87">
      <c r="A87" s="18" t="inlineStr">
        <is>
          <t>건물·구축물</t>
        </is>
      </c>
      <c r="E87" s="20" t="n">
        <v>41983.664</v>
      </c>
      <c r="H87" s="20" t="n">
        <v>20788.477</v>
      </c>
      <c r="I87" s="20" t="n">
        <v>21392.69</v>
      </c>
      <c r="J87" s="20" t="n">
        <v>29139.532</v>
      </c>
      <c r="K87" s="20" t="n">
        <v>33948.274</v>
      </c>
      <c r="L87" s="20" t="n">
        <v>41983.664</v>
      </c>
    </row>
    <row r="88">
      <c r="A88" s="18" t="inlineStr">
        <is>
          <t>감가상각누계액</t>
        </is>
      </c>
      <c r="E88" s="20" t="n">
        <v>-16491.484</v>
      </c>
      <c r="H88" s="20" t="n">
        <v>-11137.413</v>
      </c>
      <c r="I88" s="20" t="n">
        <v>-11974.615</v>
      </c>
      <c r="J88" s="20" t="n">
        <v>-13320.922</v>
      </c>
      <c r="K88" s="20" t="n">
        <v>-14513.262</v>
      </c>
      <c r="L88" s="20" t="n">
        <v>-16491.484</v>
      </c>
    </row>
    <row r="89">
      <c r="A89" s="18" t="inlineStr">
        <is>
          <t>건물·구축물(순액)</t>
        </is>
      </c>
      <c r="C89" s="20" t="n">
        <v>18913.246</v>
      </c>
      <c r="D89" s="20" t="n">
        <v>24245.286</v>
      </c>
      <c r="E89" s="20" t="n">
        <v>25492.18</v>
      </c>
      <c r="F89" s="20" t="n">
        <v>25019.74</v>
      </c>
      <c r="G89" s="20" t="n">
        <v>24874.576</v>
      </c>
      <c r="H89" s="20" t="n">
        <v>9651.063</v>
      </c>
      <c r="I89" s="20" t="n">
        <v>9418.074000000001</v>
      </c>
      <c r="J89" s="20" t="n">
        <v>15818.609</v>
      </c>
      <c r="K89" s="20" t="n">
        <v>19435.011</v>
      </c>
      <c r="L89" s="20" t="n">
        <v>25492.18</v>
      </c>
    </row>
    <row r="90">
      <c r="A90" s="18" t="inlineStr">
        <is>
          <t>기계장치·운반구</t>
        </is>
      </c>
      <c r="E90" s="20" t="n">
        <v>69551.102</v>
      </c>
      <c r="H90" s="20" t="n">
        <v>34369.808</v>
      </c>
      <c r="I90" s="20" t="n">
        <v>35741.898</v>
      </c>
      <c r="J90" s="20" t="n">
        <v>48985.504</v>
      </c>
      <c r="K90" s="20" t="n">
        <v>55532.435</v>
      </c>
      <c r="L90" s="20" t="n">
        <v>69551.102</v>
      </c>
    </row>
    <row r="91">
      <c r="A91" s="18" t="inlineStr">
        <is>
          <t>감가상각누계액</t>
        </is>
      </c>
      <c r="E91" s="20" t="n">
        <v>-44147.326</v>
      </c>
      <c r="H91" s="20" t="n">
        <v>-27320.329</v>
      </c>
      <c r="I91" s="20" t="n">
        <v>-29501.284</v>
      </c>
      <c r="J91" s="20" t="n">
        <v>-33895.026</v>
      </c>
      <c r="K91" s="20" t="n">
        <v>-37040.7</v>
      </c>
      <c r="L91" s="20" t="n">
        <v>-44147.326</v>
      </c>
    </row>
    <row r="92">
      <c r="A92" s="18" t="inlineStr">
        <is>
          <t>기계장치·운반구(순액)</t>
        </is>
      </c>
      <c r="C92" s="20" t="n">
        <v>17719.557</v>
      </c>
      <c r="D92" s="20" t="n">
        <v>27122.361</v>
      </c>
      <c r="E92" s="20" t="n">
        <v>25403.776</v>
      </c>
      <c r="F92" s="20" t="n">
        <v>23899.142</v>
      </c>
      <c r="G92" s="20" t="n">
        <v>22172.937</v>
      </c>
      <c r="H92" s="20" t="n">
        <v>7049.478</v>
      </c>
      <c r="I92" s="20" t="n">
        <v>6240.614</v>
      </c>
      <c r="J92" s="20" t="n">
        <v>15090.477</v>
      </c>
      <c r="K92" s="20" t="n">
        <v>18491.734</v>
      </c>
      <c r="L92" s="20" t="n">
        <v>25403.776</v>
      </c>
    </row>
    <row r="93">
      <c r="A93" s="18" t="inlineStr">
        <is>
          <t>토지</t>
        </is>
      </c>
      <c r="C93" s="20" t="n">
        <v>8432.429</v>
      </c>
      <c r="D93" s="20" t="n">
        <v>8439.662</v>
      </c>
      <c r="E93" s="20" t="n">
        <v>8442.867</v>
      </c>
      <c r="F93" s="20" t="n">
        <v>8445.249</v>
      </c>
      <c r="G93" s="20" t="n">
        <v>8440.407999999999</v>
      </c>
      <c r="H93" s="20" t="n">
        <v>6787.206</v>
      </c>
      <c r="I93" s="20" t="n">
        <v>6913.458</v>
      </c>
      <c r="J93" s="20" t="n">
        <v>6787.206</v>
      </c>
      <c r="K93" s="20" t="n">
        <v>8433.034</v>
      </c>
      <c r="L93" s="20" t="n">
        <v>8442.867</v>
      </c>
    </row>
    <row r="94">
      <c r="A94" s="18" t="inlineStr">
        <is>
          <t>리스자산</t>
        </is>
      </c>
      <c r="E94" s="20" t="n">
        <v>65.977</v>
      </c>
      <c r="H94" s="20" t="n">
        <v>18.702</v>
      </c>
      <c r="I94" s="20" t="n">
        <v>11.958</v>
      </c>
      <c r="J94" s="20" t="n">
        <v>6.768</v>
      </c>
      <c r="K94" s="20" t="n">
        <v>53.99</v>
      </c>
      <c r="L94" s="20" t="n">
        <v>65.977</v>
      </c>
    </row>
    <row r="95">
      <c r="A95" s="18" t="inlineStr">
        <is>
          <t>건설중인자산</t>
        </is>
      </c>
      <c r="C95" s="20" t="n">
        <v>21045.936</v>
      </c>
      <c r="D95" s="20" t="n">
        <v>3963.222</v>
      </c>
      <c r="E95" s="20" t="n">
        <v>4188.076</v>
      </c>
      <c r="F95" s="20" t="n">
        <v>17328.242</v>
      </c>
      <c r="G95" s="20" t="n">
        <v>17919.401</v>
      </c>
      <c r="H95" s="20" t="n">
        <v>11168.474</v>
      </c>
      <c r="I95" s="20" t="n">
        <v>30938.084</v>
      </c>
      <c r="J95" s="20" t="n">
        <v>19686.313</v>
      </c>
      <c r="K95" s="20" t="n">
        <v>19567.556</v>
      </c>
      <c r="L95" s="20" t="n">
        <v>4188.076</v>
      </c>
    </row>
    <row r="96">
      <c r="A96" s="18" t="inlineStr">
        <is>
          <t>기타</t>
        </is>
      </c>
      <c r="E96" s="20" t="n">
        <v>5318.982</v>
      </c>
      <c r="H96" s="20" t="n">
        <v>3272.118</v>
      </c>
      <c r="I96" s="20" t="n">
        <v>3831.573</v>
      </c>
      <c r="J96" s="20" t="n">
        <v>4505.891</v>
      </c>
      <c r="K96" s="20" t="n">
        <v>4899.55</v>
      </c>
      <c r="L96" s="20" t="n">
        <v>5318.982</v>
      </c>
    </row>
    <row r="97">
      <c r="A97" s="18" t="inlineStr">
        <is>
          <t>감가상각누계액</t>
        </is>
      </c>
      <c r="E97" s="20" t="n">
        <v>-4305.552</v>
      </c>
      <c r="H97" s="20" t="n">
        <v>-2832.696</v>
      </c>
      <c r="I97" s="20" t="n">
        <v>-3040.303</v>
      </c>
      <c r="J97" s="20" t="n">
        <v>-3463.787</v>
      </c>
      <c r="K97" s="20" t="n">
        <v>-3844.302</v>
      </c>
      <c r="L97" s="20" t="n">
        <v>-4305.552</v>
      </c>
    </row>
    <row r="98">
      <c r="A98" s="18" t="inlineStr">
        <is>
          <t>기타(순액)</t>
        </is>
      </c>
      <c r="C98" s="20" t="n">
        <v>941.907</v>
      </c>
      <c r="D98" s="20" t="n">
        <v>949.466</v>
      </c>
      <c r="E98" s="20" t="n">
        <v>1013.429</v>
      </c>
      <c r="F98" s="20" t="n">
        <v>974.6950000000001</v>
      </c>
      <c r="G98" s="20" t="n">
        <v>984.7809999999999</v>
      </c>
      <c r="H98" s="20" t="n">
        <v>439.421</v>
      </c>
      <c r="I98" s="20" t="n">
        <v>791.27</v>
      </c>
      <c r="J98" s="20" t="n">
        <v>1042.104</v>
      </c>
      <c r="K98" s="20" t="n">
        <v>1055.247</v>
      </c>
      <c r="L98" s="20" t="n">
        <v>1013.429</v>
      </c>
    </row>
    <row r="99">
      <c r="A99" s="18" t="inlineStr">
        <is>
          <t>유형자산 합계</t>
        </is>
      </c>
      <c r="C99" s="20" t="n">
        <v>67053.077</v>
      </c>
      <c r="D99" s="20" t="n">
        <v>64719.999</v>
      </c>
      <c r="E99" s="20" t="n">
        <v>64540.33</v>
      </c>
      <c r="F99" s="20" t="n">
        <v>75667.07000000001</v>
      </c>
      <c r="G99" s="20" t="n">
        <v>74392.106</v>
      </c>
      <c r="H99" s="20" t="n">
        <v>32662.44</v>
      </c>
      <c r="I99" s="20" t="n">
        <v>54301.501</v>
      </c>
      <c r="J99" s="20" t="n">
        <v>55305.885</v>
      </c>
      <c r="K99" s="20" t="n">
        <v>66982.58500000001</v>
      </c>
      <c r="L99" s="20" t="n">
        <v>64540.33</v>
      </c>
    </row>
    <row r="100">
      <c r="A100" s="18" t="inlineStr">
        <is>
          <t>무형자산</t>
        </is>
      </c>
      <c r="C100" s="20" t="n">
        <v>3751.406</v>
      </c>
      <c r="D100" s="20" t="n">
        <v>5875.494</v>
      </c>
      <c r="E100" s="20" t="n">
        <v>5490.989</v>
      </c>
      <c r="F100" s="20" t="n">
        <v>5147.19</v>
      </c>
      <c r="G100" s="20" t="n">
        <v>4751.72</v>
      </c>
      <c r="H100" s="20" t="n">
        <v>1714.606</v>
      </c>
      <c r="I100" s="20" t="n">
        <v>1346.426</v>
      </c>
      <c r="J100" s="20" t="n">
        <v>2940.678</v>
      </c>
      <c r="K100" s="20" t="n">
        <v>4006.424</v>
      </c>
      <c r="L100" s="20" t="n">
        <v>5490.989</v>
      </c>
    </row>
    <row r="101">
      <c r="A101" s="18" t="inlineStr">
        <is>
          <t>투자유가증권</t>
        </is>
      </c>
      <c r="C101" s="20" t="n">
        <v>805.008</v>
      </c>
      <c r="D101" s="20" t="n">
        <v>602.915</v>
      </c>
      <c r="E101" s="20" t="n">
        <v>679.817</v>
      </c>
      <c r="F101" s="20" t="n">
        <v>894.644</v>
      </c>
      <c r="G101" s="20" t="n">
        <v>764.804</v>
      </c>
      <c r="H101" s="20" t="n">
        <v>1030.246</v>
      </c>
      <c r="I101" s="20" t="n">
        <v>691.304</v>
      </c>
      <c r="J101" s="20" t="n">
        <v>885.432</v>
      </c>
      <c r="K101" s="20" t="n">
        <v>714.487</v>
      </c>
      <c r="L101" s="20" t="n">
        <v>679.817</v>
      </c>
    </row>
    <row r="102">
      <c r="A102" s="18" t="inlineStr">
        <is>
          <t>관계회사 주식</t>
        </is>
      </c>
      <c r="E102" s="20" t="n">
        <v>2269.307</v>
      </c>
      <c r="H102" s="20" t="n">
        <v>2269.307</v>
      </c>
      <c r="I102" s="20" t="n">
        <v>2269.307</v>
      </c>
      <c r="J102" s="20" t="n">
        <v>2269.307</v>
      </c>
      <c r="K102" s="20" t="n">
        <v>2269.307</v>
      </c>
      <c r="L102" s="20" t="n">
        <v>2269.307</v>
      </c>
    </row>
    <row r="103">
      <c r="A103" s="18" t="inlineStr">
        <is>
          <t>출자금</t>
        </is>
      </c>
      <c r="E103" s="20" t="n">
        <v>14.373</v>
      </c>
      <c r="H103" s="20" t="n">
        <v>14.373</v>
      </c>
      <c r="I103" s="20" t="n">
        <v>14.373</v>
      </c>
      <c r="J103" s="20" t="n">
        <v>14.373</v>
      </c>
      <c r="K103" s="20" t="n">
        <v>14.373</v>
      </c>
      <c r="L103" s="20" t="n">
        <v>14.373</v>
      </c>
    </row>
    <row r="104">
      <c r="A104" s="18" t="inlineStr">
        <is>
          <t>관계회사 출자금</t>
        </is>
      </c>
      <c r="E104" s="20" t="n">
        <v>1145.699</v>
      </c>
      <c r="H104" s="20" t="n">
        <v>1145.699</v>
      </c>
      <c r="I104" s="20" t="n">
        <v>1145.699</v>
      </c>
      <c r="J104" s="20" t="n">
        <v>1145.699</v>
      </c>
      <c r="K104" s="20" t="n">
        <v>1145.699</v>
      </c>
      <c r="L104" s="20" t="n">
        <v>1145.699</v>
      </c>
    </row>
    <row r="105">
      <c r="A105" s="18" t="inlineStr">
        <is>
          <t>장기선급비용</t>
        </is>
      </c>
      <c r="C105" s="20" t="n">
        <v>458.82</v>
      </c>
      <c r="D105" s="20" t="n">
        <v>437.555</v>
      </c>
      <c r="E105" s="20" t="n">
        <v>434.498</v>
      </c>
      <c r="F105" s="20" t="n">
        <v>391.331</v>
      </c>
      <c r="G105" s="20" t="n">
        <v>349.237</v>
      </c>
      <c r="H105" s="20" t="n">
        <v>492.355</v>
      </c>
      <c r="I105" s="20" t="n">
        <v>366.419</v>
      </c>
      <c r="J105" s="20" t="n">
        <v>224.916</v>
      </c>
      <c r="K105" s="20" t="n">
        <v>540.921</v>
      </c>
      <c r="L105" s="20" t="n">
        <v>434.498</v>
      </c>
    </row>
    <row r="106">
      <c r="A106" s="18" t="inlineStr">
        <is>
          <t>이연법인세자산</t>
        </is>
      </c>
      <c r="C106" s="20" t="n">
        <v>1593.063</v>
      </c>
      <c r="D106" s="20" t="n">
        <v>1537.628</v>
      </c>
      <c r="E106" s="20" t="n">
        <v>1897.402</v>
      </c>
      <c r="F106" s="20" t="n">
        <v>1820.485</v>
      </c>
      <c r="G106" s="20" t="n">
        <v>1820.709</v>
      </c>
      <c r="H106" s="20" t="n">
        <v>1407.75</v>
      </c>
      <c r="I106" s="20" t="n">
        <v>1173.7</v>
      </c>
      <c r="J106" s="20" t="n">
        <v>2503.548</v>
      </c>
      <c r="K106" s="20" t="n">
        <v>1720.436</v>
      </c>
      <c r="L106" s="20" t="n">
        <v>1897.402</v>
      </c>
    </row>
    <row r="107">
      <c r="A107" s="18" t="inlineStr">
        <is>
          <t>퇴직급여자산</t>
        </is>
      </c>
      <c r="C107" s="20" t="n">
        <v>232.038</v>
      </c>
      <c r="D107" s="20" t="n">
        <v>224.4</v>
      </c>
      <c r="E107" s="20" t="n">
        <v>299.86</v>
      </c>
      <c r="F107" s="20" t="n">
        <v>291.877</v>
      </c>
      <c r="G107" s="20" t="n">
        <v>283.895</v>
      </c>
      <c r="H107" s="20" t="n">
        <v>121.063</v>
      </c>
      <c r="I107" s="20" t="n">
        <v>102.262</v>
      </c>
      <c r="J107" s="20" t="n">
        <v>171.023</v>
      </c>
      <c r="K107" s="20" t="n">
        <v>247.313</v>
      </c>
      <c r="L107" s="20" t="n">
        <v>299.86</v>
      </c>
    </row>
    <row r="108">
      <c r="A108" s="18" t="inlineStr">
        <is>
          <t>기타</t>
        </is>
      </c>
      <c r="C108" s="20" t="n">
        <v>447.837</v>
      </c>
      <c r="D108" s="20" t="n">
        <v>449.394</v>
      </c>
      <c r="E108" s="20" t="n">
        <v>437.325</v>
      </c>
      <c r="F108" s="20" t="n">
        <v>437.642</v>
      </c>
      <c r="G108" s="20" t="n">
        <v>425.809</v>
      </c>
      <c r="H108" s="20" t="n">
        <v>725.051</v>
      </c>
      <c r="I108" s="20" t="n">
        <v>203.209</v>
      </c>
      <c r="J108" s="20" t="n">
        <v>596.701</v>
      </c>
      <c r="K108" s="20" t="n">
        <v>237.467</v>
      </c>
      <c r="L108" s="20" t="n">
        <v>437.325</v>
      </c>
    </row>
    <row r="109">
      <c r="A109" s="18" t="inlineStr">
        <is>
          <t>대손충당금</t>
        </is>
      </c>
      <c r="C109" s="20" t="n">
        <v>-0</v>
      </c>
      <c r="D109" s="20" t="n">
        <v>-0</v>
      </c>
      <c r="E109" s="20" t="n">
        <v>0</v>
      </c>
      <c r="H109" s="20" t="n">
        <v>-0</v>
      </c>
      <c r="I109" s="20" t="n">
        <v>-0</v>
      </c>
      <c r="J109" s="20" t="n">
        <v>-0</v>
      </c>
      <c r="K109" s="20" t="n">
        <v>-0</v>
      </c>
      <c r="L109" s="20" t="n">
        <v>0</v>
      </c>
    </row>
    <row r="110">
      <c r="A110" s="18" t="inlineStr">
        <is>
          <t>투자 및 기타자산 합계</t>
        </is>
      </c>
      <c r="C110" s="20" t="n">
        <v>3536.768</v>
      </c>
      <c r="D110" s="20" t="n">
        <v>3251.894</v>
      </c>
      <c r="E110" s="20" t="n">
        <v>3748.904</v>
      </c>
      <c r="F110" s="20" t="n">
        <v>3835.982</v>
      </c>
      <c r="G110" s="20" t="n">
        <v>3644.456</v>
      </c>
      <c r="H110" s="20" t="n">
        <v>6592.429</v>
      </c>
      <c r="I110" s="20" t="n">
        <v>2536.896</v>
      </c>
      <c r="J110" s="20" t="n">
        <v>7415.062</v>
      </c>
      <c r="K110" s="20" t="n">
        <v>3460.627</v>
      </c>
      <c r="L110" s="20" t="n">
        <v>3748.904</v>
      </c>
    </row>
    <row r="111">
      <c r="A111" s="9" t="inlineStr">
        <is>
          <t>비유동자산 합계</t>
        </is>
      </c>
      <c r="C111" s="12" t="n">
        <v>74341.25199999999</v>
      </c>
      <c r="D111" s="12" t="n">
        <v>73847.389</v>
      </c>
      <c r="E111" s="12" t="n">
        <v>73780.224</v>
      </c>
      <c r="F111" s="12" t="n">
        <v>84650.243</v>
      </c>
      <c r="G111" s="12" t="n">
        <v>82788.284</v>
      </c>
      <c r="H111" s="12" t="n">
        <v>40969.475</v>
      </c>
      <c r="I111" s="12" t="n">
        <v>58184.824</v>
      </c>
      <c r="J111" s="12" t="n">
        <v>65661.62699999999</v>
      </c>
      <c r="K111" s="12" t="n">
        <v>74449.636</v>
      </c>
      <c r="L111" s="12" t="n">
        <v>73780.224</v>
      </c>
    </row>
    <row r="112">
      <c r="A112" s="9" t="inlineStr">
        <is>
          <t>자산 합계</t>
        </is>
      </c>
      <c r="C112" s="12" t="n">
        <v>144449.873</v>
      </c>
      <c r="D112" s="12" t="n">
        <v>149422.695</v>
      </c>
      <c r="E112" s="12" t="n">
        <v>152256.278</v>
      </c>
      <c r="F112" s="12" t="n">
        <v>166829.636</v>
      </c>
      <c r="G112" s="12" t="n">
        <v>171810.359</v>
      </c>
      <c r="H112" s="12" t="n">
        <v>84011.52899999999</v>
      </c>
      <c r="I112" s="12" t="n">
        <v>113528.872</v>
      </c>
      <c r="J112" s="12" t="n">
        <v>121504.661</v>
      </c>
      <c r="K112" s="12" t="n">
        <v>141502.071</v>
      </c>
      <c r="L112" s="12" t="n">
        <v>152256.278</v>
      </c>
    </row>
    <row r="113">
      <c r="A113" s="18" t="inlineStr">
        <is>
          <t>지급어음</t>
        </is>
      </c>
      <c r="H113" s="20" t="n">
        <v>1.876</v>
      </c>
      <c r="I113" s="20" t="n">
        <v>6.774</v>
      </c>
      <c r="J113" s="20" t="n">
        <v>12.03</v>
      </c>
      <c r="K113" s="20" t="n">
        <v>0</v>
      </c>
    </row>
    <row r="114">
      <c r="A114" s="18" t="inlineStr">
        <is>
          <t>지급어음·매입채무</t>
        </is>
      </c>
      <c r="C114" s="20" t="n">
        <v>2968.632</v>
      </c>
      <c r="D114" s="20" t="n">
        <v>2641.505</v>
      </c>
      <c r="H114" s="20" t="n">
        <v>3039.108</v>
      </c>
      <c r="I114" s="20" t="n">
        <v>3294.849</v>
      </c>
      <c r="J114" s="20" t="n">
        <v>2359.211</v>
      </c>
      <c r="K114" s="20" t="n">
        <v>3073.443</v>
      </c>
    </row>
    <row r="115">
      <c r="A115" s="18" t="inlineStr">
        <is>
          <t>매입채무</t>
        </is>
      </c>
      <c r="E115" s="20" t="n">
        <v>2836.663</v>
      </c>
      <c r="F115" s="20" t="n">
        <v>3304.236</v>
      </c>
      <c r="G115" s="20" t="n">
        <v>3655.977</v>
      </c>
      <c r="H115" s="20" t="n">
        <v>3859.611</v>
      </c>
      <c r="I115" s="20" t="n">
        <v>3190.61</v>
      </c>
      <c r="J115" s="20" t="n">
        <v>2375.457</v>
      </c>
      <c r="K115" s="20" t="n">
        <v>3073.443</v>
      </c>
      <c r="L115" s="20" t="n">
        <v>2836.663</v>
      </c>
    </row>
    <row r="116">
      <c r="A116" s="18" t="inlineStr">
        <is>
          <t>1년 내 상환 장기차입금</t>
        </is>
      </c>
      <c r="C116" s="20" t="n">
        <v>4000</v>
      </c>
      <c r="D116" s="20" t="n">
        <v>4000</v>
      </c>
      <c r="E116" s="20" t="n">
        <v>4000</v>
      </c>
      <c r="F116" s="20" t="n">
        <v>4000</v>
      </c>
      <c r="G116" s="20" t="n">
        <v>4000</v>
      </c>
      <c r="J116" s="20" t="n">
        <v>0</v>
      </c>
      <c r="K116" s="20" t="n">
        <v>3100</v>
      </c>
      <c r="L116" s="20" t="n">
        <v>4000</v>
      </c>
    </row>
    <row r="117">
      <c r="A117" s="18" t="inlineStr">
        <is>
          <t>미지급금</t>
        </is>
      </c>
      <c r="C117" s="20" t="n">
        <v>2606.599</v>
      </c>
      <c r="D117" s="20" t="n">
        <v>2169.125</v>
      </c>
      <c r="E117" s="20" t="n">
        <v>2684.275</v>
      </c>
      <c r="F117" s="20" t="n">
        <v>3109.908</v>
      </c>
      <c r="G117" s="20" t="n">
        <v>2647.954</v>
      </c>
      <c r="H117" s="20" t="n">
        <v>1580.893</v>
      </c>
      <c r="I117" s="20" t="n">
        <v>1983.822</v>
      </c>
      <c r="J117" s="20" t="n">
        <v>1718.305</v>
      </c>
      <c r="K117" s="20" t="n">
        <v>2625.862</v>
      </c>
      <c r="L117" s="20" t="n">
        <v>2684.275</v>
      </c>
    </row>
    <row r="118">
      <c r="A118" s="18" t="inlineStr">
        <is>
          <t>설비관련 미지급금</t>
        </is>
      </c>
      <c r="C118" s="20" t="n">
        <v>3726.584</v>
      </c>
      <c r="D118" s="20" t="n">
        <v>7113.917</v>
      </c>
      <c r="E118" s="20" t="n">
        <v>5429.273</v>
      </c>
      <c r="F118" s="20" t="n">
        <v>14045.08</v>
      </c>
      <c r="G118" s="20" t="n">
        <v>13798.962</v>
      </c>
      <c r="H118" s="20" t="n">
        <v>4900.333</v>
      </c>
      <c r="I118" s="20" t="n">
        <v>13775.37</v>
      </c>
      <c r="J118" s="20" t="n">
        <v>9281.253000000001</v>
      </c>
      <c r="K118" s="20" t="n">
        <v>6207.343</v>
      </c>
      <c r="L118" s="20" t="n">
        <v>5429.273</v>
      </c>
    </row>
    <row r="119">
      <c r="A119" s="18" t="inlineStr">
        <is>
          <t>미지급비용</t>
        </is>
      </c>
      <c r="E119" s="20" t="n">
        <v>249.729</v>
      </c>
      <c r="H119" s="20" t="n">
        <v>180.899</v>
      </c>
      <c r="I119" s="20" t="n">
        <v>198.332</v>
      </c>
      <c r="J119" s="20" t="n">
        <v>226.722</v>
      </c>
      <c r="K119" s="20" t="n">
        <v>219.154</v>
      </c>
      <c r="L119" s="20" t="n">
        <v>249.729</v>
      </c>
    </row>
    <row r="120">
      <c r="A120" s="18" t="inlineStr">
        <is>
          <t>미지급법인세</t>
        </is>
      </c>
      <c r="C120" s="20" t="n">
        <v>2714.416</v>
      </c>
      <c r="D120" s="20" t="n">
        <v>2336.974</v>
      </c>
      <c r="E120" s="20" t="n">
        <v>3056.555</v>
      </c>
      <c r="F120" s="20" t="n">
        <v>3315.862</v>
      </c>
      <c r="G120" s="20" t="n">
        <v>5032.38</v>
      </c>
      <c r="H120" s="20" t="n">
        <v>2920.552</v>
      </c>
      <c r="I120" s="20" t="n">
        <v>3301.849</v>
      </c>
      <c r="J120" s="20" t="n">
        <v>1182.088</v>
      </c>
      <c r="K120" s="20" t="n">
        <v>1847.953</v>
      </c>
      <c r="L120" s="20" t="n">
        <v>3056.555</v>
      </c>
    </row>
    <row r="121">
      <c r="A121" s="18" t="inlineStr">
        <is>
          <t>상여충당금</t>
        </is>
      </c>
      <c r="C121" s="20" t="n">
        <v>693.609</v>
      </c>
      <c r="D121" s="20" t="n">
        <v>432.107</v>
      </c>
      <c r="E121" s="20" t="n">
        <v>691.096</v>
      </c>
      <c r="F121" s="20" t="n">
        <v>428.881</v>
      </c>
      <c r="G121" s="20" t="n">
        <v>804.849</v>
      </c>
      <c r="H121" s="20" t="n">
        <v>592.5839999999999</v>
      </c>
      <c r="I121" s="20" t="n">
        <v>690.054</v>
      </c>
      <c r="J121" s="20" t="n">
        <v>516.849</v>
      </c>
      <c r="K121" s="20" t="n">
        <v>620.29</v>
      </c>
      <c r="L121" s="20" t="n">
        <v>691.096</v>
      </c>
    </row>
    <row r="122">
      <c r="A122" s="18" t="inlineStr">
        <is>
          <t>임원 상여충당금</t>
        </is>
      </c>
      <c r="C122" s="20" t="n">
        <v>71.352</v>
      </c>
      <c r="D122" s="20" t="n">
        <v>109.175</v>
      </c>
      <c r="E122" s="20" t="n">
        <v>95.61199999999999</v>
      </c>
      <c r="F122" s="20" t="n">
        <v>40.248</v>
      </c>
      <c r="G122" s="20" t="n">
        <v>75.877</v>
      </c>
      <c r="H122" s="20" t="n">
        <v>65.59999999999999</v>
      </c>
      <c r="I122" s="20" t="n">
        <v>71.8</v>
      </c>
      <c r="J122" s="20" t="n">
        <v>35.7</v>
      </c>
      <c r="K122" s="20" t="n">
        <v>52.35</v>
      </c>
      <c r="L122" s="20" t="n">
        <v>95.61199999999999</v>
      </c>
    </row>
    <row r="123">
      <c r="A123" s="18" t="inlineStr">
        <is>
          <t>수선충당금</t>
        </is>
      </c>
      <c r="C123" s="20" t="n">
        <v>188.254</v>
      </c>
      <c r="D123" s="20" t="n">
        <v>382.125</v>
      </c>
      <c r="E123" s="20" t="n">
        <v>506.796</v>
      </c>
      <c r="F123" s="20" t="n">
        <v>448.224</v>
      </c>
      <c r="G123" s="20" t="n">
        <v>197.489</v>
      </c>
      <c r="H123" s="20" t="n">
        <v>373.514</v>
      </c>
      <c r="I123" s="20" t="n">
        <v>356.024</v>
      </c>
      <c r="J123" s="20" t="n">
        <v>374.078</v>
      </c>
      <c r="K123" s="20" t="n">
        <v>451.633</v>
      </c>
      <c r="L123" s="20" t="n">
        <v>506.796</v>
      </c>
    </row>
    <row r="124">
      <c r="A124" s="18" t="inlineStr">
        <is>
          <t>기타</t>
        </is>
      </c>
      <c r="C124" s="20" t="n">
        <v>750.503</v>
      </c>
      <c r="D124" s="20" t="n">
        <v>1036.971</v>
      </c>
      <c r="E124" s="20" t="n">
        <v>543.856</v>
      </c>
      <c r="F124" s="20" t="n">
        <v>939.347</v>
      </c>
      <c r="G124" s="20" t="n">
        <v>946.2859999999999</v>
      </c>
      <c r="H124" s="20" t="n">
        <v>260.046</v>
      </c>
      <c r="I124" s="20" t="n">
        <v>434.899</v>
      </c>
      <c r="J124" s="20" t="n">
        <v>181.891</v>
      </c>
      <c r="K124" s="20" t="n">
        <v>510.725</v>
      </c>
      <c r="L124" s="20" t="n">
        <v>543.856</v>
      </c>
    </row>
    <row r="125">
      <c r="A125" s="9" t="inlineStr">
        <is>
          <t>유동부채 합계</t>
        </is>
      </c>
      <c r="C125" s="12" t="n">
        <v>17719.952</v>
      </c>
      <c r="D125" s="12" t="n">
        <v>20221.903</v>
      </c>
      <c r="E125" s="12" t="n">
        <v>19844.13</v>
      </c>
      <c r="F125" s="12" t="n">
        <v>29631.79</v>
      </c>
      <c r="G125" s="12" t="n">
        <v>31159.777</v>
      </c>
      <c r="H125" s="12" t="n">
        <v>14735.91</v>
      </c>
      <c r="I125" s="12" t="n">
        <v>23908.669</v>
      </c>
      <c r="J125" s="12" t="n">
        <v>15904.377</v>
      </c>
      <c r="K125" s="12" t="n">
        <v>18489.603</v>
      </c>
      <c r="L125" s="12" t="n">
        <v>19844.13</v>
      </c>
    </row>
    <row r="126">
      <c r="A126" s="18" t="inlineStr">
        <is>
          <t>장기차입금</t>
        </is>
      </c>
      <c r="C126" s="20" t="n">
        <v>14900</v>
      </c>
      <c r="D126" s="20" t="n">
        <v>14000</v>
      </c>
      <c r="E126" s="20" t="n">
        <v>12900</v>
      </c>
      <c r="F126" s="20" t="n">
        <v>11900</v>
      </c>
      <c r="G126" s="20" t="n">
        <v>10900</v>
      </c>
      <c r="I126" s="20" t="n">
        <v>0</v>
      </c>
      <c r="J126" s="20" t="n">
        <v>20000</v>
      </c>
      <c r="K126" s="20" t="n">
        <v>16900</v>
      </c>
      <c r="L126" s="20" t="n">
        <v>12900</v>
      </c>
    </row>
    <row r="127">
      <c r="A127" s="18" t="inlineStr">
        <is>
          <t>퇴직급여충당금</t>
        </is>
      </c>
      <c r="E127" s="20" t="n">
        <v>1465.305</v>
      </c>
      <c r="H127" s="20" t="n">
        <v>1552.825</v>
      </c>
      <c r="I127" s="20" t="n">
        <v>1620.894</v>
      </c>
      <c r="J127" s="20" t="n">
        <v>1687.595</v>
      </c>
      <c r="K127" s="20" t="n">
        <v>1458.466</v>
      </c>
      <c r="L127" s="20" t="n">
        <v>1465.305</v>
      </c>
    </row>
    <row r="128">
      <c r="A128" s="18" t="inlineStr">
        <is>
          <t>이연법인세부채</t>
        </is>
      </c>
      <c r="C128" s="20" t="n">
        <v>304.438</v>
      </c>
      <c r="D128" s="20" t="n">
        <v>322.07</v>
      </c>
      <c r="E128" s="20" t="n">
        <v>394.174</v>
      </c>
      <c r="F128" s="20" t="n">
        <v>396.589</v>
      </c>
      <c r="G128" s="20" t="n">
        <v>379.167</v>
      </c>
      <c r="H128" s="20" t="n">
        <v>187.187</v>
      </c>
      <c r="I128" s="20" t="n">
        <v>191.191</v>
      </c>
      <c r="J128" s="20" t="n">
        <v>298.524</v>
      </c>
      <c r="K128" s="20" t="n">
        <v>303.532</v>
      </c>
      <c r="L128" s="20" t="n">
        <v>394.174</v>
      </c>
    </row>
    <row r="129">
      <c r="A129" s="18" t="inlineStr">
        <is>
          <t>퇴직급여부채</t>
        </is>
      </c>
      <c r="C129" s="20" t="n">
        <v>1442.64</v>
      </c>
      <c r="D129" s="20" t="n">
        <v>1443.97</v>
      </c>
      <c r="E129" s="20" t="n">
        <v>1472.003</v>
      </c>
      <c r="F129" s="20" t="n">
        <v>1478.17</v>
      </c>
      <c r="G129" s="20" t="n">
        <v>1492.291</v>
      </c>
      <c r="H129" s="20" t="n">
        <v>1555.891</v>
      </c>
      <c r="I129" s="20" t="n">
        <v>1624.715</v>
      </c>
      <c r="J129" s="20" t="n">
        <v>1691.884</v>
      </c>
      <c r="K129" s="20" t="n">
        <v>1463.632</v>
      </c>
      <c r="L129" s="20" t="n">
        <v>1472.003</v>
      </c>
    </row>
    <row r="130">
      <c r="A130" s="18" t="inlineStr">
        <is>
          <t>자산복구부채</t>
        </is>
      </c>
      <c r="C130" s="20" t="n">
        <v>17.924</v>
      </c>
      <c r="D130" s="20" t="n">
        <v>17.924</v>
      </c>
      <c r="E130" s="20" t="n">
        <v>155.418</v>
      </c>
      <c r="F130" s="20" t="n">
        <v>153.289</v>
      </c>
      <c r="G130" s="20" t="n">
        <v>153.289</v>
      </c>
      <c r="H130" s="20" t="n">
        <v>8.289</v>
      </c>
      <c r="I130" s="20" t="n">
        <v>27.974</v>
      </c>
      <c r="J130" s="20" t="n">
        <v>17.924</v>
      </c>
      <c r="K130" s="20" t="n">
        <v>17.924</v>
      </c>
      <c r="L130" s="20" t="n">
        <v>155.418</v>
      </c>
    </row>
    <row r="131">
      <c r="A131" s="18" t="inlineStr">
        <is>
          <t>장기 설비 관련 미지급금</t>
        </is>
      </c>
      <c r="C131" s="20" t="n">
        <v>130.478</v>
      </c>
      <c r="D131" s="20" t="n">
        <v>126.785</v>
      </c>
      <c r="E131" s="20" t="n">
        <v>123.092</v>
      </c>
      <c r="F131" s="20" t="n">
        <v>119.399</v>
      </c>
      <c r="G131" s="20" t="n">
        <v>115.706</v>
      </c>
      <c r="H131" s="20" t="n">
        <v>182.18</v>
      </c>
      <c r="I131" s="20" t="n">
        <v>167.408</v>
      </c>
      <c r="J131" s="20" t="n">
        <v>152.636</v>
      </c>
      <c r="K131" s="20" t="n">
        <v>137.864</v>
      </c>
      <c r="L131" s="20" t="n">
        <v>123.092</v>
      </c>
    </row>
    <row r="132">
      <c r="A132" s="18" t="inlineStr">
        <is>
          <t>기타</t>
        </is>
      </c>
      <c r="C132" s="20" t="n">
        <v>146.279</v>
      </c>
      <c r="D132" s="20" t="n">
        <v>147.391</v>
      </c>
      <c r="E132" s="20" t="n">
        <v>150.536</v>
      </c>
      <c r="F132" s="20" t="n">
        <v>145.777</v>
      </c>
      <c r="G132" s="20" t="n">
        <v>141.448</v>
      </c>
      <c r="H132" s="20" t="n">
        <v>113.492</v>
      </c>
      <c r="I132" s="20" t="n">
        <v>106.088</v>
      </c>
      <c r="J132" s="20" t="n">
        <v>111.693</v>
      </c>
      <c r="K132" s="20" t="n">
        <v>140.535</v>
      </c>
      <c r="L132" s="20" t="n">
        <v>150.536</v>
      </c>
    </row>
    <row r="133">
      <c r="A133" s="9" t="inlineStr">
        <is>
          <t>비유동부채 합계</t>
        </is>
      </c>
      <c r="C133" s="12" t="n">
        <v>16941.762</v>
      </c>
      <c r="D133" s="12" t="n">
        <v>16058.143</v>
      </c>
      <c r="E133" s="12" t="n">
        <v>15195.224</v>
      </c>
      <c r="F133" s="12" t="n">
        <v>14193.227</v>
      </c>
      <c r="G133" s="12" t="n">
        <v>13181.904</v>
      </c>
      <c r="H133" s="12" t="n">
        <v>1848.497</v>
      </c>
      <c r="I133" s="12" t="n">
        <v>2117.377</v>
      </c>
      <c r="J133" s="12" t="n">
        <v>21951.925</v>
      </c>
      <c r="K133" s="12" t="n">
        <v>18963.49</v>
      </c>
      <c r="L133" s="12" t="n">
        <v>15195.224</v>
      </c>
    </row>
    <row r="134">
      <c r="A134" s="9" t="inlineStr">
        <is>
          <t>부채 합계</t>
        </is>
      </c>
      <c r="C134" s="12" t="n">
        <v>34661.714</v>
      </c>
      <c r="D134" s="12" t="n">
        <v>36280.047</v>
      </c>
      <c r="E134" s="12" t="n">
        <v>35039.354</v>
      </c>
      <c r="F134" s="12" t="n">
        <v>43825.017</v>
      </c>
      <c r="G134" s="12" t="n">
        <v>44341.682</v>
      </c>
      <c r="H134" s="12" t="n">
        <v>16584.408</v>
      </c>
      <c r="I134" s="12" t="n">
        <v>26026.047</v>
      </c>
      <c r="J134" s="12" t="n">
        <v>37856.303</v>
      </c>
      <c r="K134" s="12" t="n">
        <v>37453.093</v>
      </c>
      <c r="L134" s="12" t="n">
        <v>35039.354</v>
      </c>
    </row>
    <row r="135">
      <c r="A135" s="18" t="inlineStr">
        <is>
          <t>자본금</t>
        </is>
      </c>
      <c r="C135" s="20" t="n">
        <v>4334.047</v>
      </c>
      <c r="D135" s="20" t="n">
        <v>4334.047</v>
      </c>
      <c r="E135" s="20" t="n">
        <v>4334.047</v>
      </c>
      <c r="F135" s="20" t="n">
        <v>4334.047</v>
      </c>
      <c r="G135" s="20" t="n">
        <v>4334.047</v>
      </c>
      <c r="H135" s="20" t="n">
        <v>4334.047</v>
      </c>
      <c r="I135" s="20" t="n">
        <v>4334.047</v>
      </c>
      <c r="J135" s="20" t="n">
        <v>4334.047</v>
      </c>
      <c r="K135" s="20" t="n">
        <v>4334.047</v>
      </c>
      <c r="L135" s="20" t="n">
        <v>4334.047</v>
      </c>
    </row>
    <row r="136">
      <c r="A136" s="18" t="inlineStr">
        <is>
          <t>자본준비금</t>
        </is>
      </c>
      <c r="E136" s="20" t="n">
        <v>4820.722</v>
      </c>
      <c r="H136" s="20" t="n">
        <v>4820.722</v>
      </c>
      <c r="I136" s="20" t="n">
        <v>4820.722</v>
      </c>
      <c r="J136" s="20" t="n">
        <v>4820.722</v>
      </c>
      <c r="K136" s="20" t="n">
        <v>4820.722</v>
      </c>
      <c r="L136" s="20" t="n">
        <v>4820.722</v>
      </c>
    </row>
    <row r="137">
      <c r="A137" s="18" t="inlineStr">
        <is>
          <t>자본잉여금</t>
        </is>
      </c>
      <c r="C137" s="20" t="n">
        <v>4820.722</v>
      </c>
      <c r="D137" s="20" t="n">
        <v>4820.722</v>
      </c>
      <c r="E137" s="20" t="n">
        <v>4820.722</v>
      </c>
      <c r="F137" s="20" t="n">
        <v>4829.317</v>
      </c>
      <c r="G137" s="20" t="n">
        <v>4826.152</v>
      </c>
      <c r="H137" s="20" t="n">
        <v>4820.722</v>
      </c>
      <c r="I137" s="20" t="n">
        <v>4820.722</v>
      </c>
      <c r="J137" s="20" t="n">
        <v>4820.722</v>
      </c>
      <c r="K137" s="20" t="n">
        <v>4820.722</v>
      </c>
      <c r="L137" s="20" t="n">
        <v>4820.722</v>
      </c>
    </row>
    <row r="138">
      <c r="A138" s="18" t="inlineStr">
        <is>
          <t>이익준비금</t>
        </is>
      </c>
      <c r="E138" s="20" t="n">
        <v>103.68</v>
      </c>
      <c r="H138" s="20" t="n">
        <v>103.68</v>
      </c>
      <c r="I138" s="20" t="n">
        <v>103.68</v>
      </c>
      <c r="J138" s="20" t="n">
        <v>103.68</v>
      </c>
      <c r="K138" s="20" t="n">
        <v>103.68</v>
      </c>
      <c r="L138" s="20" t="n">
        <v>103.68</v>
      </c>
    </row>
    <row r="139">
      <c r="A139" s="18" t="inlineStr">
        <is>
          <t>압축 적립금</t>
        </is>
      </c>
      <c r="E139" s="20" t="n">
        <v>62.767</v>
      </c>
      <c r="H139" s="20" t="n">
        <v>83.631</v>
      </c>
      <c r="I139" s="20" t="n">
        <v>78.619</v>
      </c>
      <c r="J139" s="20" t="n">
        <v>73.607</v>
      </c>
      <c r="K139" s="20" t="n">
        <v>67.779</v>
      </c>
      <c r="L139" s="20" t="n">
        <v>62.767</v>
      </c>
    </row>
    <row r="140">
      <c r="A140" s="18" t="inlineStr">
        <is>
          <t>별도적립금</t>
        </is>
      </c>
      <c r="E140" s="20" t="n">
        <v>8233.978999999999</v>
      </c>
      <c r="H140" s="20" t="n">
        <v>8233.978999999999</v>
      </c>
      <c r="I140" s="20" t="n">
        <v>8233.978999999999</v>
      </c>
      <c r="J140" s="20" t="n">
        <v>8233.978999999999</v>
      </c>
      <c r="K140" s="20" t="n">
        <v>8233.978999999999</v>
      </c>
      <c r="L140" s="20" t="n">
        <v>8233.978999999999</v>
      </c>
    </row>
    <row r="141">
      <c r="A141" s="18" t="inlineStr">
        <is>
          <t>이월이익잉여금</t>
        </is>
      </c>
      <c r="E141" s="20" t="n">
        <v>87179.41099999999</v>
      </c>
      <c r="H141" s="20" t="n">
        <v>50519.805</v>
      </c>
      <c r="I141" s="20" t="n">
        <v>61452.325</v>
      </c>
      <c r="J141" s="20" t="n">
        <v>66863.768</v>
      </c>
      <c r="K141" s="20" t="n">
        <v>75321.38099999999</v>
      </c>
      <c r="L141" s="20" t="n">
        <v>87179.41099999999</v>
      </c>
    </row>
    <row r="142">
      <c r="A142" s="18" t="inlineStr">
        <is>
          <t>이익잉여금</t>
        </is>
      </c>
      <c r="C142" s="20" t="n">
        <v>96927.07399999999</v>
      </c>
      <c r="D142" s="20" t="n">
        <v>99298.04700000001</v>
      </c>
      <c r="E142" s="20" t="n">
        <v>102917.629</v>
      </c>
      <c r="F142" s="20" t="n">
        <v>108160.641</v>
      </c>
      <c r="G142" s="20" t="n">
        <v>113134.346</v>
      </c>
      <c r="H142" s="20" t="n">
        <v>58941.095</v>
      </c>
      <c r="I142" s="20" t="n">
        <v>76183.899</v>
      </c>
      <c r="J142" s="20" t="n">
        <v>75275.034</v>
      </c>
      <c r="K142" s="20" t="n">
        <v>91405.565</v>
      </c>
      <c r="L142" s="20" t="n">
        <v>102917.629</v>
      </c>
    </row>
    <row r="143">
      <c r="A143" s="18" t="inlineStr">
        <is>
          <t>자기주식</t>
        </is>
      </c>
      <c r="C143" s="20" t="n">
        <v>-1022.269</v>
      </c>
      <c r="D143" s="20" t="n">
        <v>-1021.523</v>
      </c>
      <c r="E143" s="20" t="n">
        <v>-1021.523</v>
      </c>
      <c r="F143" s="20" t="n">
        <v>-1021.523</v>
      </c>
      <c r="G143" s="20" t="n">
        <v>-1009.906</v>
      </c>
      <c r="H143" s="20" t="n">
        <v>-1112.561</v>
      </c>
      <c r="I143" s="20" t="n">
        <v>-1112.711</v>
      </c>
      <c r="J143" s="20" t="n">
        <v>-1087.246</v>
      </c>
      <c r="K143" s="20" t="n">
        <v>-1057.033</v>
      </c>
      <c r="L143" s="20" t="n">
        <v>-1021.523</v>
      </c>
    </row>
    <row r="144">
      <c r="A144" s="9" t="inlineStr">
        <is>
          <t>주주자본 합계</t>
        </is>
      </c>
      <c r="C144" s="12" t="n">
        <v>105059.574</v>
      </c>
      <c r="D144" s="12" t="n">
        <v>107431.293</v>
      </c>
      <c r="E144" s="12" t="n">
        <v>111050.875</v>
      </c>
      <c r="F144" s="12" t="n">
        <v>116302.483</v>
      </c>
      <c r="G144" s="12" t="n">
        <v>121284.64</v>
      </c>
      <c r="H144" s="12" t="n">
        <v>66983.304</v>
      </c>
      <c r="I144" s="12" t="n">
        <v>84225.95699999999</v>
      </c>
      <c r="J144" s="12" t="n">
        <v>83342.557</v>
      </c>
      <c r="K144" s="12" t="n">
        <v>99503.30100000001</v>
      </c>
      <c r="L144" s="12" t="n">
        <v>111050.875</v>
      </c>
    </row>
    <row r="145">
      <c r="A145" s="18" t="inlineStr">
        <is>
          <t>기타유가증권 평가차액</t>
        </is>
      </c>
      <c r="C145" s="20" t="n">
        <v>233.907</v>
      </c>
      <c r="D145" s="20" t="n">
        <v>132.87</v>
      </c>
      <c r="E145" s="20" t="n">
        <v>157.089</v>
      </c>
      <c r="F145" s="20" t="n">
        <v>304.184</v>
      </c>
      <c r="G145" s="20" t="n">
        <v>220.929</v>
      </c>
      <c r="H145" s="20" t="n">
        <v>421.137</v>
      </c>
      <c r="I145" s="20" t="n">
        <v>188.739</v>
      </c>
      <c r="J145" s="20" t="n">
        <v>288.741</v>
      </c>
      <c r="K145" s="20" t="n">
        <v>191.889</v>
      </c>
      <c r="L145" s="20" t="n">
        <v>157.089</v>
      </c>
    </row>
    <row r="146">
      <c r="A146" s="18" t="inlineStr">
        <is>
          <t>이연헤지손익</t>
        </is>
      </c>
      <c r="C146" s="20" t="n">
        <v>11.097</v>
      </c>
      <c r="D146" s="20" t="n">
        <v>13.879</v>
      </c>
      <c r="E146" s="20" t="n">
        <v>17.415</v>
      </c>
      <c r="F146" s="20" t="n">
        <v>13.244</v>
      </c>
      <c r="G146" s="20" t="n">
        <v>1.716</v>
      </c>
      <c r="H146" s="20" t="n">
        <v>22.679</v>
      </c>
      <c r="I146" s="20" t="n">
        <v>-3.019</v>
      </c>
      <c r="J146" s="20" t="n">
        <v>17.058</v>
      </c>
      <c r="K146" s="20" t="n">
        <v>8.682</v>
      </c>
      <c r="L146" s="20" t="n">
        <v>17.415</v>
      </c>
    </row>
    <row r="147">
      <c r="A147" s="18" t="inlineStr">
        <is>
          <t>해외사업환산조정</t>
        </is>
      </c>
      <c r="C147" s="20" t="n">
        <v>4483.579</v>
      </c>
      <c r="D147" s="20" t="n">
        <v>5564.604</v>
      </c>
      <c r="E147" s="20" t="n">
        <v>5991.543</v>
      </c>
      <c r="F147" s="20" t="n">
        <v>6384.705</v>
      </c>
      <c r="G147" s="20" t="n">
        <v>5961.392</v>
      </c>
      <c r="H147" s="20" t="n">
        <v>2631.711</v>
      </c>
      <c r="I147" s="20" t="n">
        <v>3091.146</v>
      </c>
      <c r="J147" s="20" t="n">
        <v>4463.249</v>
      </c>
      <c r="K147" s="20" t="n">
        <v>4345.103</v>
      </c>
      <c r="L147" s="20" t="n">
        <v>5991.543</v>
      </c>
    </row>
    <row r="148">
      <c r="A148" s="18" t="inlineStr">
        <is>
          <t>기타포괄손익누계액 합계</t>
        </is>
      </c>
      <c r="C148" s="20" t="n">
        <v>4728.584</v>
      </c>
      <c r="D148" s="20" t="n">
        <v>5711.354</v>
      </c>
      <c r="E148" s="20" t="n">
        <v>6166.047</v>
      </c>
      <c r="F148" s="20" t="n">
        <v>6702.135</v>
      </c>
      <c r="G148" s="20" t="n">
        <v>6184.037</v>
      </c>
      <c r="H148" s="20" t="n">
        <v>443.816</v>
      </c>
      <c r="I148" s="20" t="n">
        <v>3276.866</v>
      </c>
      <c r="J148" s="20" t="n">
        <v>305.799</v>
      </c>
      <c r="K148" s="20" t="n">
        <v>4545.676</v>
      </c>
      <c r="L148" s="20" t="n">
        <v>6166.047</v>
      </c>
    </row>
    <row r="149">
      <c r="A149" s="9" t="inlineStr">
        <is>
          <t>순자산 합계</t>
        </is>
      </c>
      <c r="C149" s="12" t="n">
        <v>109788.158</v>
      </c>
      <c r="D149" s="12" t="n">
        <v>113142.647</v>
      </c>
      <c r="E149" s="12" t="n">
        <v>117216.923</v>
      </c>
      <c r="F149" s="12" t="n">
        <v>123004.618</v>
      </c>
      <c r="G149" s="12" t="n">
        <v>127468.677</v>
      </c>
      <c r="H149" s="12" t="n">
        <v>67427.121</v>
      </c>
      <c r="I149" s="12" t="n">
        <v>87502.82399999999</v>
      </c>
      <c r="J149" s="12" t="n">
        <v>83648.357</v>
      </c>
      <c r="K149" s="12" t="n">
        <v>104048.977</v>
      </c>
      <c r="L149" s="12" t="n">
        <v>117216.923</v>
      </c>
    </row>
    <row r="150">
      <c r="A150" s="9" t="inlineStr">
        <is>
          <t>부채·순자산 합계</t>
        </is>
      </c>
      <c r="C150" s="12" t="n">
        <v>144449.873</v>
      </c>
      <c r="D150" s="12" t="n">
        <v>149422.695</v>
      </c>
      <c r="E150" s="12" t="n">
        <v>152256.278</v>
      </c>
      <c r="F150" s="12" t="n">
        <v>166829.636</v>
      </c>
      <c r="G150" s="12" t="n">
        <v>171810.359</v>
      </c>
      <c r="H150" s="12" t="n">
        <v>84011.52899999999</v>
      </c>
      <c r="I150" s="12" t="n">
        <v>113528.872</v>
      </c>
      <c r="J150" s="12" t="n">
        <v>121504.661</v>
      </c>
      <c r="K150" s="12" t="n">
        <v>141502.071</v>
      </c>
      <c r="L150" s="12" t="n">
        <v>152256.278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0" t="inlineStr">
        <is>
          <t>4368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current filing · 상반기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</row>
    <row r="5">
      <c r="A5" s="53" t="inlineStr">
        <is>
          <t>항목</t>
        </is>
      </c>
      <c r="B5" s="53" t="inlineStr">
        <is>
          <t>값</t>
        </is>
      </c>
      <c r="N5" s="53" t="inlineStr">
        <is>
          <t>출처</t>
        </is>
      </c>
    </row>
    <row r="6">
      <c r="A6" s="54" t="inlineStr">
        <is>
          <t>매출</t>
        </is>
      </c>
      <c r="B6" s="55" t="n">
        <v>456</v>
      </c>
      <c r="N6" s="56" t="inlineStr">
        <is>
          <t>2단계 보고서 자료(회사 설명회 자료·공시)</t>
        </is>
      </c>
    </row>
    <row r="7">
      <c r="A7" s="54" t="inlineStr">
        <is>
          <t>매출 YoY</t>
        </is>
      </c>
      <c r="B7" s="55" t="n">
        <v>20.9</v>
      </c>
    </row>
    <row r="8">
      <c r="A8" s="54" t="inlineStr">
        <is>
          <t>영업이익</t>
        </is>
      </c>
      <c r="B8" s="55" t="n">
        <v>132.9</v>
      </c>
    </row>
    <row r="9">
      <c r="A9" s="54" t="inlineStr">
        <is>
          <t>영업이익 YoY</t>
        </is>
      </c>
      <c r="B9" s="55" t="n">
        <v>36.4</v>
      </c>
    </row>
    <row r="10">
      <c r="A10" s="54" t="inlineStr">
        <is>
          <t>ord</t>
        </is>
      </c>
      <c r="B10" s="55" t="n">
        <v>133.6</v>
      </c>
    </row>
    <row r="11">
      <c r="A11" s="54" t="inlineStr">
        <is>
          <t>순이익</t>
        </is>
      </c>
      <c r="B11" s="55" t="n">
        <v>116.6</v>
      </c>
    </row>
    <row r="12">
      <c r="A12" s="54" t="inlineStr">
        <is>
          <t>순이익 YoY</t>
        </is>
      </c>
      <c r="B12" s="55" t="n">
        <v>69.5</v>
      </c>
    </row>
    <row r="13">
      <c r="A13" s="54" t="inlineStr">
        <is>
          <t>EPS</t>
        </is>
      </c>
      <c r="B13" s="55" t="n">
        <v>110.23</v>
      </c>
    </row>
    <row r="15">
      <c r="A15" s="52" t="inlineStr">
        <is>
          <t>current filing · 2Q</t>
        </is>
      </c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</row>
    <row r="16">
      <c r="A16" s="53" t="inlineStr">
        <is>
          <t>항목</t>
        </is>
      </c>
      <c r="B16" s="53" t="inlineStr">
        <is>
          <t>값</t>
        </is>
      </c>
      <c r="N16" s="53" t="inlineStr">
        <is>
          <t>출처</t>
        </is>
      </c>
    </row>
    <row r="17">
      <c r="A17" s="54" t="inlineStr">
        <is>
          <t>매출</t>
        </is>
      </c>
      <c r="B17" s="55" t="n">
        <v>227.8</v>
      </c>
      <c r="N17" s="56" t="inlineStr">
        <is>
          <t>2단계 보고서 자료(회사 설명회 자료·공시)</t>
        </is>
      </c>
    </row>
    <row r="18">
      <c r="A18" s="54" t="inlineStr">
        <is>
          <t>영업이익</t>
        </is>
      </c>
      <c r="B18" s="55" t="n">
        <v>71.2</v>
      </c>
    </row>
    <row r="19">
      <c r="A19" s="54" t="inlineStr">
        <is>
          <t>ord</t>
        </is>
      </c>
      <c r="B19" s="55" t="n">
        <v>69.90000000000001</v>
      </c>
    </row>
    <row r="20">
      <c r="A20" s="54" t="inlineStr">
        <is>
          <t>순이익</t>
        </is>
      </c>
      <c r="B20" s="55" t="n">
        <v>49.7</v>
      </c>
    </row>
    <row r="21">
      <c r="A21" s="54" t="inlineStr">
        <is>
          <t>gp</t>
        </is>
      </c>
      <c r="B21" s="55" t="n">
        <v>101.1</v>
      </c>
    </row>
    <row r="22">
      <c r="A22" s="54" t="inlineStr">
        <is>
          <t>sga</t>
        </is>
      </c>
      <c r="B22" s="55" t="n">
        <v>29.9</v>
      </c>
    </row>
    <row r="24">
      <c r="A24" s="52" t="inlineStr">
        <is>
          <t>current filing · 상반기 pl</t>
        </is>
      </c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</row>
    <row r="25">
      <c r="A25" s="53" t="inlineStr">
        <is>
          <t>항목</t>
        </is>
      </c>
      <c r="B25" s="53" t="inlineStr">
        <is>
          <t>값</t>
        </is>
      </c>
      <c r="N25" s="53" t="inlineStr">
        <is>
          <t>출처</t>
        </is>
      </c>
    </row>
    <row r="26">
      <c r="A26" s="54" t="inlineStr">
        <is>
          <t>매출원가</t>
        </is>
      </c>
      <c r="B26" s="55" t="n">
        <v>263.8</v>
      </c>
      <c r="N26" s="56" t="inlineStr">
        <is>
          <t>2단계 보고서 자료(회사 설명회 자료·공시)</t>
        </is>
      </c>
    </row>
    <row r="27">
      <c r="A27" s="54" t="inlineStr">
        <is>
          <t>매출총이익</t>
        </is>
      </c>
      <c r="B27" s="55" t="n">
        <v>192.1</v>
      </c>
    </row>
    <row r="28">
      <c r="A28" s="54" t="inlineStr">
        <is>
          <t>판관비</t>
        </is>
      </c>
      <c r="B28" s="55" t="n">
        <v>59.2</v>
      </c>
    </row>
    <row r="29">
      <c r="A29" s="54" t="inlineStr">
        <is>
          <t>영업외수익</t>
        </is>
      </c>
      <c r="B29" s="55" t="n">
        <v>3</v>
      </c>
    </row>
    <row r="30">
      <c r="A30" s="54" t="inlineStr">
        <is>
          <t>수취이자</t>
        </is>
      </c>
      <c r="B30" s="55" t="n">
        <v>2.8</v>
      </c>
    </row>
    <row r="31">
      <c r="A31" s="54" t="inlineStr">
        <is>
          <t>영업외비용</t>
        </is>
      </c>
      <c r="B31" s="55" t="n">
        <v>2.4</v>
      </c>
    </row>
    <row r="32">
      <c r="A32" s="54" t="inlineStr">
        <is>
          <t>지급이자</t>
        </is>
      </c>
      <c r="B32" s="55" t="n">
        <v>0.5</v>
      </c>
    </row>
    <row r="33">
      <c r="A33" s="54" t="inlineStr">
        <is>
          <t>환차손</t>
        </is>
      </c>
      <c r="B33" s="55" t="n">
        <v>1.6</v>
      </c>
    </row>
    <row r="34">
      <c r="A34" s="54" t="inlineStr">
        <is>
          <t>보조금수입(특별이익)</t>
        </is>
      </c>
      <c r="B34" s="55" t="n">
        <v>37</v>
      </c>
    </row>
    <row r="35">
      <c r="A35" s="54" t="inlineStr">
        <is>
          <t>고정자산제각손(특별손실)</t>
        </is>
      </c>
      <c r="B35" s="55" t="n">
        <v>1.3</v>
      </c>
    </row>
    <row r="36">
      <c r="A36" s="54" t="inlineStr">
        <is>
          <t>세전</t>
        </is>
      </c>
      <c r="B36" s="55" t="n">
        <v>169.4</v>
      </c>
    </row>
    <row r="37">
      <c r="A37" s="54" t="inlineStr">
        <is>
          <t>법인세</t>
        </is>
      </c>
      <c r="B37" s="55" t="n">
        <v>52.8</v>
      </c>
    </row>
    <row r="38">
      <c r="A38" s="54" t="inlineStr">
        <is>
          <t>감가상각비</t>
        </is>
      </c>
      <c r="B38" s="55" t="n">
        <v>61.1</v>
      </c>
    </row>
    <row r="40">
      <c r="A40" s="52" t="inlineStr">
        <is>
          <t>current filing · 상반기 직전 pl</t>
        </is>
      </c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</row>
    <row r="41">
      <c r="A41" s="53" t="inlineStr">
        <is>
          <t>항목</t>
        </is>
      </c>
      <c r="B41" s="53" t="inlineStr">
        <is>
          <t>값</t>
        </is>
      </c>
      <c r="N41" s="53" t="inlineStr">
        <is>
          <t>출처</t>
        </is>
      </c>
    </row>
    <row r="42">
      <c r="A42" s="54" t="inlineStr">
        <is>
          <t>매출원가</t>
        </is>
      </c>
      <c r="B42" s="55" t="n">
        <v>228.7</v>
      </c>
      <c r="N42" s="56" t="inlineStr">
        <is>
          <t>2단계 보고서 자료(회사 설명회 자료·공시)</t>
        </is>
      </c>
    </row>
    <row r="43">
      <c r="A43" s="54" t="inlineStr">
        <is>
          <t>매출총이익</t>
        </is>
      </c>
      <c r="B43" s="55" t="n">
        <v>148.3</v>
      </c>
    </row>
    <row r="44">
      <c r="A44" s="54" t="inlineStr">
        <is>
          <t>판관비</t>
        </is>
      </c>
      <c r="B44" s="55" t="n">
        <v>50.8</v>
      </c>
    </row>
    <row r="45">
      <c r="A45" s="54" t="inlineStr">
        <is>
          <t>보조금</t>
        </is>
      </c>
      <c r="B45" s="55" t="n">
        <v>0.06</v>
      </c>
    </row>
    <row r="46">
      <c r="A46" s="54" t="inlineStr">
        <is>
          <t>세전</t>
        </is>
      </c>
      <c r="B46" s="55" t="n">
        <v>97.90000000000001</v>
      </c>
    </row>
    <row r="47">
      <c r="A47" s="54" t="inlineStr">
        <is>
          <t>감가상각비</t>
        </is>
      </c>
      <c r="B47" s="55" t="n">
        <v>45.8</v>
      </c>
    </row>
    <row r="49">
      <c r="A49" s="52" t="inlineStr">
        <is>
          <t>current filing · seg 2Q 매출</t>
        </is>
      </c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</row>
    <row r="50">
      <c r="A50" s="53" t="inlineStr">
        <is>
          <t>항목</t>
        </is>
      </c>
      <c r="B50" s="53" t="inlineStr">
        <is>
          <t>값</t>
        </is>
      </c>
      <c r="N50" s="53" t="inlineStr">
        <is>
          <t>출처</t>
        </is>
      </c>
    </row>
    <row r="51">
      <c r="A51" s="54" t="inlineStr">
        <is>
          <t>라이프사이언스</t>
        </is>
      </c>
      <c r="B51" s="55" t="n">
        <v>99.8</v>
      </c>
      <c r="N51" s="56" t="inlineStr">
        <is>
          <t>2단계 보고서 자료(회사 설명회 자료·공시)</t>
        </is>
      </c>
    </row>
    <row r="52">
      <c r="A52" s="54" t="inlineStr">
        <is>
          <t>전자재료</t>
        </is>
      </c>
      <c r="B52" s="55" t="n">
        <v>128</v>
      </c>
    </row>
    <row r="54">
      <c r="A54" s="52" t="inlineStr">
        <is>
          <t>current filing · 가이던스 new</t>
        </is>
      </c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</row>
    <row r="55">
      <c r="A55" s="53" t="inlineStr">
        <is>
          <t>항목</t>
        </is>
      </c>
      <c r="B55" s="53" t="inlineStr">
        <is>
          <t>값</t>
        </is>
      </c>
      <c r="N55" s="53" t="inlineStr">
        <is>
          <t>출처</t>
        </is>
      </c>
    </row>
    <row r="56">
      <c r="A56" s="54" t="inlineStr">
        <is>
          <t>매출</t>
        </is>
      </c>
      <c r="B56" s="57" t="n">
        <v>930</v>
      </c>
      <c r="N56" s="56" t="inlineStr">
        <is>
          <t>2단계 보고서 자료(회사 설명회 자료·공시)</t>
        </is>
      </c>
    </row>
    <row r="57">
      <c r="A57" s="54" t="inlineStr">
        <is>
          <t>영업이익</t>
        </is>
      </c>
      <c r="B57" s="57" t="n">
        <v>280</v>
      </c>
    </row>
    <row r="58">
      <c r="A58" s="54" t="inlineStr">
        <is>
          <t>ord</t>
        </is>
      </c>
      <c r="B58" s="57" t="n">
        <v>281</v>
      </c>
    </row>
    <row r="59">
      <c r="A59" s="54" t="inlineStr">
        <is>
          <t>순이익</t>
        </is>
      </c>
      <c r="B59" s="57" t="n">
        <v>219</v>
      </c>
    </row>
    <row r="60">
      <c r="A60" s="54" t="inlineStr">
        <is>
          <t>EPS</t>
        </is>
      </c>
      <c r="B60" s="55" t="n">
        <v>206.99</v>
      </c>
    </row>
    <row r="61">
      <c r="A61" s="54" t="inlineStr">
        <is>
          <t>ebitda</t>
        </is>
      </c>
      <c r="B61" s="57" t="n">
        <v>407</v>
      </c>
    </row>
    <row r="63">
      <c r="A63" s="52" t="inlineStr">
        <is>
          <t>current filing · implied 2h</t>
        </is>
      </c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</row>
    <row r="64">
      <c r="A64" s="53" t="inlineStr">
        <is>
          <t>항목</t>
        </is>
      </c>
      <c r="B64" s="53" t="inlineStr">
        <is>
          <t>값</t>
        </is>
      </c>
      <c r="N64" s="53" t="inlineStr">
        <is>
          <t>출처</t>
        </is>
      </c>
    </row>
    <row r="65">
      <c r="A65" s="54" t="inlineStr">
        <is>
          <t>매출</t>
        </is>
      </c>
      <c r="B65" s="55" t="n">
        <v>474</v>
      </c>
      <c r="N65" s="56" t="inlineStr">
        <is>
          <t>2단계 보고서 자료(회사 설명회 자료·공시)</t>
        </is>
      </c>
    </row>
    <row r="66">
      <c r="A66" s="54" t="inlineStr">
        <is>
          <t>영업이익</t>
        </is>
      </c>
      <c r="B66" s="55" t="n">
        <v>147.1</v>
      </c>
    </row>
    <row r="67">
      <c r="A67" s="54" t="inlineStr">
        <is>
          <t>순이익</t>
        </is>
      </c>
      <c r="B67" s="55" t="n">
        <v>102.4</v>
      </c>
    </row>
    <row r="69">
      <c r="A69" s="52" t="inlineStr">
        <is>
          <t>current filing · bs</t>
        </is>
      </c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</row>
    <row r="70">
      <c r="A70" s="53" t="inlineStr">
        <is>
          <t>항목</t>
        </is>
      </c>
      <c r="B70" s="53" t="inlineStr">
        <is>
          <t>값</t>
        </is>
      </c>
      <c r="N70" s="53" t="inlineStr">
        <is>
          <t>출처</t>
        </is>
      </c>
    </row>
    <row r="71">
      <c r="A71" s="54" t="inlineStr">
        <is>
          <t>총자산</t>
        </is>
      </c>
      <c r="B71" s="55" t="n">
        <v>1718.1</v>
      </c>
      <c r="N71" s="56" t="inlineStr">
        <is>
          <t>2단계 보고서 자료(회사 설명회 자료·공시)</t>
        </is>
      </c>
    </row>
    <row r="72">
      <c r="A72" s="54" t="inlineStr">
        <is>
          <t>순자산</t>
        </is>
      </c>
      <c r="B72" s="55" t="n">
        <v>1274.7</v>
      </c>
    </row>
    <row r="73">
      <c r="A73" s="54" t="inlineStr">
        <is>
          <t>자기자본비율</t>
        </is>
      </c>
      <c r="B73" s="55" t="n">
        <v>74.2</v>
      </c>
    </row>
    <row r="74">
      <c r="A74" s="54" t="inlineStr">
        <is>
          <t>현금</t>
        </is>
      </c>
      <c r="B74" s="55" t="n">
        <v>484.5</v>
      </c>
    </row>
    <row r="75">
      <c r="A75" s="54" t="inlineStr">
        <is>
          <t>장기차입(1년내 포함)</t>
        </is>
      </c>
      <c r="B75" s="55" t="n">
        <v>149</v>
      </c>
    </row>
    <row r="76">
      <c r="A76" s="54" t="inlineStr">
        <is>
          <t>건설가계정</t>
        </is>
      </c>
      <c r="B76" s="55" t="n">
        <v>179.2</v>
      </c>
    </row>
    <row r="77">
      <c r="A77" s="54" t="inlineStr">
        <is>
          <t>설비관계미지급금</t>
        </is>
      </c>
      <c r="B77" s="55" t="n">
        <v>138</v>
      </c>
    </row>
    <row r="79">
      <c r="A79" s="52" t="inlineStr">
        <is>
          <t>current filing · cf 상반기</t>
        </is>
      </c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</row>
    <row r="80">
      <c r="A80" s="53" t="inlineStr">
        <is>
          <t>항목</t>
        </is>
      </c>
      <c r="B80" s="53" t="inlineStr">
        <is>
          <t>값</t>
        </is>
      </c>
      <c r="N80" s="53" t="inlineStr">
        <is>
          <t>출처</t>
        </is>
      </c>
    </row>
    <row r="81">
      <c r="A81" s="54" t="inlineStr">
        <is>
          <t>영업CF</t>
        </is>
      </c>
      <c r="B81" s="55" t="n">
        <v>179.7</v>
      </c>
      <c r="N81" s="56" t="inlineStr">
        <is>
          <t>2단계 보고서 자료(회사 설명회 자료·공시)</t>
        </is>
      </c>
    </row>
    <row r="82">
      <c r="A82" s="54" t="inlineStr">
        <is>
          <t>유형자산취득</t>
        </is>
      </c>
      <c r="B82" s="55" t="n">
        <v>-67.3</v>
      </c>
    </row>
    <row r="83">
      <c r="A83" s="54" t="inlineStr">
        <is>
          <t>배당</t>
        </is>
      </c>
      <c r="B83" s="55" t="n">
        <v>-14.4</v>
      </c>
    </row>
    <row r="85">
      <c r="A85" s="52" t="inlineStr">
        <is>
          <t>current filing · shares</t>
        </is>
      </c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</row>
    <row r="86">
      <c r="A86" s="53" t="inlineStr">
        <is>
          <t>항목</t>
        </is>
      </c>
      <c r="B86" s="53" t="inlineStr">
        <is>
          <t>값</t>
        </is>
      </c>
      <c r="N86" s="53" t="inlineStr">
        <is>
          <t>출처</t>
        </is>
      </c>
    </row>
    <row r="87">
      <c r="A87" s="54" t="inlineStr">
        <is>
          <t>issued</t>
        </is>
      </c>
      <c r="B87" s="57" t="n">
        <v>106533000</v>
      </c>
      <c r="N87" s="56" t="inlineStr">
        <is>
          <t>2단계 보고서 자료(회사 설명회 자료·공시)</t>
        </is>
      </c>
    </row>
    <row r="88">
      <c r="A88" s="54" t="inlineStr">
        <is>
          <t>treasury</t>
        </is>
      </c>
      <c r="B88" s="57" t="n">
        <v>728179</v>
      </c>
    </row>
    <row r="89">
      <c r="A89" s="54" t="inlineStr">
        <is>
          <t>out</t>
        </is>
      </c>
      <c r="B89" s="57" t="n">
        <v>105804821</v>
      </c>
    </row>
    <row r="91">
      <c r="A91" s="52" t="inlineStr">
        <is>
          <t>부문별 quarterly</t>
        </is>
      </c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</row>
    <row r="92">
      <c r="A92" s="53" t="inlineStr">
        <is>
          <t>항목</t>
        </is>
      </c>
      <c r="B92" s="53" t="inlineStr">
        <is>
          <t>2024.3Q</t>
        </is>
      </c>
      <c r="C92" s="53" t="inlineStr">
        <is>
          <t>2024.4Q</t>
        </is>
      </c>
      <c r="D92" s="53" t="inlineStr">
        <is>
          <t>2025.1Q</t>
        </is>
      </c>
      <c r="E92" s="53" t="inlineStr">
        <is>
          <t>2025.2Q</t>
        </is>
      </c>
      <c r="F92" s="53" t="inlineStr">
        <is>
          <t>2025.3Q</t>
        </is>
      </c>
      <c r="G92" s="53" t="inlineStr">
        <is>
          <t>2025.4Q</t>
        </is>
      </c>
      <c r="H92" s="53" t="inlineStr">
        <is>
          <t>2026.1Q</t>
        </is>
      </c>
      <c r="I92" s="53" t="inlineStr">
        <is>
          <t>2026.2Q</t>
        </is>
      </c>
      <c r="J92" s="53" t="inlineStr">
        <is>
          <t>2026.3Q</t>
        </is>
      </c>
      <c r="K92" s="53" t="inlineStr">
        <is>
          <t>2026.4Q</t>
        </is>
      </c>
      <c r="L92" s="53" t="inlineStr">
        <is>
          <t>2027.1Q</t>
        </is>
      </c>
      <c r="M92" s="53" t="inlineStr">
        <is>
          <t>2027.2Q</t>
        </is>
      </c>
      <c r="N92" s="53" t="inlineStr">
        <is>
          <t>출처</t>
        </is>
      </c>
    </row>
    <row r="93">
      <c r="A93" s="54" t="inlineStr">
        <is>
          <t>라이프사이언스</t>
        </is>
      </c>
      <c r="B93" s="55" t="n">
        <v>88.7</v>
      </c>
      <c r="C93" s="58" t="n"/>
      <c r="D93" s="55" t="n">
        <v>93.90000000000001</v>
      </c>
      <c r="E93" s="55" t="n">
        <v>92.8</v>
      </c>
      <c r="F93" s="55" t="n">
        <v>88.40000000000001</v>
      </c>
      <c r="G93" s="58" t="n"/>
      <c r="H93" s="55" t="n">
        <v>89.59999999999999</v>
      </c>
      <c r="I93" s="55" t="n">
        <v>88.3</v>
      </c>
      <c r="J93" s="55" t="n">
        <v>86.09999999999999</v>
      </c>
      <c r="K93" s="58" t="n"/>
      <c r="L93" s="55" t="n">
        <v>98.5</v>
      </c>
      <c r="M93" s="55" t="n">
        <v>99.8</v>
      </c>
      <c r="N93" s="56" t="inlineStr">
        <is>
          <t>부문 매출(외부 고객, prep XBRL). 4Q는 연간−3Q누계로 계산. 부문이익 분기값은 prep에 없음 — 결산단신 부문표에서.</t>
        </is>
      </c>
    </row>
    <row r="94">
      <c r="A94" s="54" t="inlineStr">
        <is>
          <t>전자재료</t>
        </is>
      </c>
      <c r="B94" s="55" t="n">
        <v>71.3</v>
      </c>
      <c r="C94" s="58" t="n"/>
      <c r="D94" s="55" t="n">
        <v>80.40000000000001</v>
      </c>
      <c r="E94" s="55" t="n">
        <v>80.5</v>
      </c>
      <c r="F94" s="55" t="n">
        <v>88.3</v>
      </c>
      <c r="G94" s="58" t="n"/>
      <c r="H94" s="55" t="n">
        <v>97</v>
      </c>
      <c r="I94" s="55" t="n">
        <v>102.2</v>
      </c>
      <c r="J94" s="55" t="n">
        <v>116.1</v>
      </c>
      <c r="K94" s="58" t="n"/>
      <c r="L94" s="55" t="n">
        <v>129.7</v>
      </c>
      <c r="M94" s="55" t="n">
        <v>128</v>
      </c>
    </row>
    <row r="96">
      <c r="A96" s="52" t="inlineStr">
        <is>
          <t>bs annual</t>
        </is>
      </c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</row>
    <row r="97">
      <c r="A97" s="53" t="inlineStr">
        <is>
          <t>항목</t>
        </is>
      </c>
      <c r="B97" s="53" t="inlineStr">
        <is>
          <t>2022</t>
        </is>
      </c>
      <c r="C97" s="53" t="inlineStr">
        <is>
          <t>2023</t>
        </is>
      </c>
      <c r="D97" s="53" t="inlineStr">
        <is>
          <t>2024</t>
        </is>
      </c>
      <c r="E97" s="53" t="inlineStr">
        <is>
          <t>2025</t>
        </is>
      </c>
      <c r="F97" s="53" t="inlineStr">
        <is>
          <t>2026</t>
        </is>
      </c>
      <c r="N97" s="53" t="inlineStr">
        <is>
          <t>출처</t>
        </is>
      </c>
    </row>
    <row r="98">
      <c r="A98" s="54" t="inlineStr">
        <is>
          <t>labels</t>
        </is>
      </c>
      <c r="B98" s="57" t="n">
        <v>2022</v>
      </c>
      <c r="C98" s="57" t="n">
        <v>2023</v>
      </c>
      <c r="D98" s="57" t="n">
        <v>2024</v>
      </c>
      <c r="E98" s="57" t="n">
        <v>2025</v>
      </c>
      <c r="F98" s="57" t="n">
        <v>2026</v>
      </c>
      <c r="N98" s="56" t="inlineStr">
        <is>
          <t>2단계 보고서 자료(회사 설명회 자료·공시)</t>
        </is>
      </c>
    </row>
    <row r="99">
      <c r="A99" s="54" t="inlineStr">
        <is>
          <t>current assets</t>
        </is>
      </c>
      <c r="B99" s="55" t="n">
        <v>430.4</v>
      </c>
      <c r="C99" s="55" t="n">
        <v>553.4</v>
      </c>
      <c r="D99" s="55" t="n">
        <v>558.4</v>
      </c>
      <c r="E99" s="55" t="n">
        <v>670.5</v>
      </c>
      <c r="F99" s="55" t="n">
        <v>784.8</v>
      </c>
    </row>
    <row r="100">
      <c r="A100" s="54" t="inlineStr">
        <is>
          <t>cash</t>
        </is>
      </c>
      <c r="B100" s="55" t="n">
        <v>200.1</v>
      </c>
      <c r="C100" s="55" t="n">
        <v>234.1</v>
      </c>
      <c r="D100" s="55" t="n">
        <v>252.5</v>
      </c>
      <c r="E100" s="55" t="n">
        <v>313</v>
      </c>
      <c r="F100" s="55" t="n">
        <v>410.1</v>
      </c>
    </row>
    <row r="101">
      <c r="A101" s="54" t="inlineStr">
        <is>
          <t>st fin</t>
        </is>
      </c>
      <c r="B101" s="55" t="n">
        <v>1.2</v>
      </c>
      <c r="C101" s="55" t="n">
        <v>0</v>
      </c>
      <c r="D101" s="58" t="n"/>
      <c r="E101" s="58" t="n"/>
      <c r="F101" s="58" t="n"/>
    </row>
    <row r="102">
      <c r="A102" s="54" t="inlineStr">
        <is>
          <t>receivables</t>
        </is>
      </c>
      <c r="B102" s="55" t="n">
        <v>148.9</v>
      </c>
      <c r="C102" s="55" t="n">
        <v>149.7</v>
      </c>
      <c r="D102" s="55" t="n">
        <v>164.6</v>
      </c>
      <c r="E102" s="55" t="n">
        <v>160.5</v>
      </c>
      <c r="F102" s="55" t="n">
        <v>166.3</v>
      </c>
    </row>
    <row r="103">
      <c r="A103" s="54" t="inlineStr">
        <is>
          <t>inventory</t>
        </is>
      </c>
      <c r="B103" s="55" t="n">
        <v>88.90000000000001</v>
      </c>
      <c r="C103" s="55" t="n">
        <v>160.4</v>
      </c>
      <c r="D103" s="55" t="n">
        <v>133.1</v>
      </c>
      <c r="E103" s="55" t="n">
        <v>181.5</v>
      </c>
      <c r="F103" s="55" t="n">
        <v>184.1</v>
      </c>
    </row>
    <row r="104">
      <c r="A104" s="54" t="inlineStr">
        <is>
          <t>noncurrent assets</t>
        </is>
      </c>
      <c r="B104" s="55" t="n">
        <v>409.7</v>
      </c>
      <c r="C104" s="55" t="n">
        <v>581.8</v>
      </c>
      <c r="D104" s="55" t="n">
        <v>656.6</v>
      </c>
      <c r="E104" s="55" t="n">
        <v>744.5</v>
      </c>
      <c r="F104" s="55" t="n">
        <v>737.8</v>
      </c>
    </row>
    <row r="105">
      <c r="A105" s="54" t="inlineStr">
        <is>
          <t>ppe</t>
        </is>
      </c>
      <c r="B105" s="55" t="n">
        <v>326.6</v>
      </c>
      <c r="C105" s="55" t="n">
        <v>543</v>
      </c>
      <c r="D105" s="55" t="n">
        <v>553.1</v>
      </c>
      <c r="E105" s="55" t="n">
        <v>669.8</v>
      </c>
      <c r="F105" s="55" t="n">
        <v>645.4</v>
      </c>
    </row>
    <row r="106">
      <c r="A106" s="54" t="inlineStr">
        <is>
          <t>intangibles</t>
        </is>
      </c>
      <c r="B106" s="55" t="n">
        <v>17.1</v>
      </c>
      <c r="C106" s="55" t="n">
        <v>13.5</v>
      </c>
      <c r="D106" s="55" t="n">
        <v>29.4</v>
      </c>
      <c r="E106" s="55" t="n">
        <v>40.1</v>
      </c>
      <c r="F106" s="55" t="n">
        <v>54.9</v>
      </c>
    </row>
    <row r="107">
      <c r="A107" s="54" t="inlineStr">
        <is>
          <t>inv property</t>
        </is>
      </c>
      <c r="B107" s="58" t="n"/>
      <c r="C107" s="58" t="n"/>
      <c r="D107" s="58" t="n"/>
      <c r="E107" s="58" t="n"/>
      <c r="F107" s="58" t="n"/>
    </row>
    <row r="108">
      <c r="A108" s="54" t="inlineStr">
        <is>
          <t>합계 assets</t>
        </is>
      </c>
      <c r="B108" s="55" t="n">
        <v>840.1</v>
      </c>
      <c r="C108" s="55" t="n">
        <v>1135.3</v>
      </c>
      <c r="D108" s="55" t="n">
        <v>1215</v>
      </c>
      <c r="E108" s="55" t="n">
        <v>1415</v>
      </c>
      <c r="F108" s="55" t="n">
        <v>1522.6</v>
      </c>
    </row>
    <row r="109">
      <c r="A109" s="54" t="inlineStr">
        <is>
          <t>current liab</t>
        </is>
      </c>
      <c r="B109" s="55" t="n">
        <v>147.4</v>
      </c>
      <c r="C109" s="55" t="n">
        <v>239.1</v>
      </c>
      <c r="D109" s="55" t="n">
        <v>159</v>
      </c>
      <c r="E109" s="55" t="n">
        <v>184.9</v>
      </c>
      <c r="F109" s="55" t="n">
        <v>198.4</v>
      </c>
    </row>
    <row r="110">
      <c r="A110" s="54" t="inlineStr">
        <is>
          <t>payables</t>
        </is>
      </c>
      <c r="B110" s="55" t="n">
        <v>38.6</v>
      </c>
      <c r="C110" s="55" t="n">
        <v>31.9</v>
      </c>
      <c r="D110" s="55" t="n">
        <v>23.8</v>
      </c>
      <c r="E110" s="55" t="n">
        <v>30.7</v>
      </c>
      <c r="F110" s="55" t="n">
        <v>28.4</v>
      </c>
    </row>
    <row r="111">
      <c r="A111" s="54" t="inlineStr">
        <is>
          <t>st debt</t>
        </is>
      </c>
      <c r="B111" s="58" t="n"/>
      <c r="C111" s="58" t="n"/>
      <c r="D111" s="58" t="n"/>
      <c r="E111" s="58" t="n"/>
      <c r="F111" s="58" t="n"/>
    </row>
    <row r="112">
      <c r="A112" s="54" t="inlineStr">
        <is>
          <t>noncurrent liab</t>
        </is>
      </c>
      <c r="B112" s="55" t="n">
        <v>18.5</v>
      </c>
      <c r="C112" s="55" t="n">
        <v>21.2</v>
      </c>
      <c r="D112" s="55" t="n">
        <v>219.5</v>
      </c>
      <c r="E112" s="55" t="n">
        <v>189.6</v>
      </c>
      <c r="F112" s="55" t="n">
        <v>152</v>
      </c>
    </row>
    <row r="113">
      <c r="A113" s="54" t="inlineStr">
        <is>
          <t>lt debt</t>
        </is>
      </c>
      <c r="B113" s="58" t="n"/>
      <c r="C113" s="55" t="n">
        <v>0</v>
      </c>
      <c r="D113" s="55" t="n">
        <v>200</v>
      </c>
      <c r="E113" s="55" t="n">
        <v>169</v>
      </c>
      <c r="F113" s="55" t="n">
        <v>129</v>
      </c>
    </row>
    <row r="114">
      <c r="A114" s="54" t="inlineStr">
        <is>
          <t>bonds</t>
        </is>
      </c>
      <c r="B114" s="58" t="n"/>
      <c r="C114" s="58" t="n"/>
      <c r="D114" s="58" t="n"/>
      <c r="E114" s="58" t="n"/>
      <c r="F114" s="58" t="n"/>
    </row>
    <row r="115">
      <c r="A115" s="54" t="inlineStr">
        <is>
          <t>합계 liab</t>
        </is>
      </c>
      <c r="B115" s="55" t="n">
        <v>165.8</v>
      </c>
      <c r="C115" s="55" t="n">
        <v>260.3</v>
      </c>
      <c r="D115" s="55" t="n">
        <v>378.6</v>
      </c>
      <c r="E115" s="55" t="n">
        <v>374.5</v>
      </c>
      <c r="F115" s="55" t="n">
        <v>350.4</v>
      </c>
    </row>
    <row r="116">
      <c r="A116" s="54" t="inlineStr">
        <is>
          <t>capital stock</t>
        </is>
      </c>
      <c r="B116" s="55" t="n">
        <v>43.3</v>
      </c>
      <c r="C116" s="55" t="n">
        <v>43.3</v>
      </c>
      <c r="D116" s="55" t="n">
        <v>43.3</v>
      </c>
      <c r="E116" s="55" t="n">
        <v>43.3</v>
      </c>
      <c r="F116" s="55" t="n">
        <v>43.3</v>
      </c>
    </row>
    <row r="117">
      <c r="A117" s="54" t="inlineStr">
        <is>
          <t>retained</t>
        </is>
      </c>
      <c r="B117" s="55" t="n">
        <v>589.4</v>
      </c>
      <c r="C117" s="55" t="n">
        <v>761.8</v>
      </c>
      <c r="D117" s="55" t="n">
        <v>752.8</v>
      </c>
      <c r="E117" s="55" t="n">
        <v>914.1</v>
      </c>
      <c r="F117" s="55" t="n">
        <v>1029.2</v>
      </c>
    </row>
    <row r="118">
      <c r="A118" s="54" t="inlineStr">
        <is>
          <t>nci</t>
        </is>
      </c>
      <c r="B118" s="58" t="n"/>
      <c r="C118" s="58" t="n"/>
      <c r="D118" s="58" t="n"/>
      <c r="E118" s="58" t="n"/>
      <c r="F118" s="58" t="n"/>
    </row>
    <row r="119">
      <c r="A119" s="54" t="inlineStr">
        <is>
          <t>합계 equity</t>
        </is>
      </c>
      <c r="B119" s="55" t="n">
        <v>674.3</v>
      </c>
      <c r="C119" s="55" t="n">
        <v>875</v>
      </c>
      <c r="D119" s="55" t="n">
        <v>836.5</v>
      </c>
      <c r="E119" s="55" t="n">
        <v>1040.5</v>
      </c>
      <c r="F119" s="55" t="n">
        <v>1172.2</v>
      </c>
    </row>
    <row r="120">
      <c r="A120" s="54" t="inlineStr">
        <is>
          <t>current ltd</t>
        </is>
      </c>
      <c r="B120" s="58" t="n"/>
      <c r="C120" s="58" t="n"/>
      <c r="D120" s="55" t="n">
        <v>0</v>
      </c>
      <c r="E120" s="55" t="n">
        <v>31</v>
      </c>
      <c r="F120" s="55" t="n">
        <v>40</v>
      </c>
    </row>
    <row r="121">
      <c r="A121" s="54" t="inlineStr">
        <is>
          <t>equity owner</t>
        </is>
      </c>
      <c r="B121" s="55" t="n">
        <v>674.3</v>
      </c>
      <c r="C121" s="55" t="n">
        <v>875</v>
      </c>
      <c r="D121" s="55" t="n">
        <v>836.5</v>
      </c>
      <c r="E121" s="55" t="n">
        <v>1040.5</v>
      </c>
      <c r="F121" s="55" t="n">
        <v>1172.2</v>
      </c>
    </row>
    <row r="123">
      <c r="A123" s="52" t="inlineStr">
        <is>
          <t>cf annual</t>
        </is>
      </c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</row>
    <row r="124">
      <c r="A124" s="53" t="inlineStr">
        <is>
          <t>항목</t>
        </is>
      </c>
      <c r="B124" s="53" t="inlineStr">
        <is>
          <t>2022</t>
        </is>
      </c>
      <c r="C124" s="53" t="inlineStr">
        <is>
          <t>2023</t>
        </is>
      </c>
      <c r="D124" s="53" t="inlineStr">
        <is>
          <t>2024</t>
        </is>
      </c>
      <c r="E124" s="53" t="inlineStr">
        <is>
          <t>2025</t>
        </is>
      </c>
      <c r="F124" s="53" t="inlineStr">
        <is>
          <t>2026</t>
        </is>
      </c>
      <c r="N124" s="53" t="inlineStr">
        <is>
          <t>출처</t>
        </is>
      </c>
    </row>
    <row r="125">
      <c r="A125" s="54" t="inlineStr">
        <is>
          <t>labels</t>
        </is>
      </c>
      <c r="B125" s="57" t="n">
        <v>2022</v>
      </c>
      <c r="C125" s="57" t="n">
        <v>2023</v>
      </c>
      <c r="D125" s="57" t="n">
        <v>2024</v>
      </c>
      <c r="E125" s="57" t="n">
        <v>2025</v>
      </c>
      <c r="F125" s="57" t="n">
        <v>2026</v>
      </c>
      <c r="N125" s="56" t="inlineStr">
        <is>
          <t>2단계 보고서 자료(회사 설명회 자료·공시)</t>
        </is>
      </c>
    </row>
    <row r="126">
      <c r="A126" s="54" t="inlineStr">
        <is>
          <t>ocf</t>
        </is>
      </c>
      <c r="B126" s="55" t="n">
        <v>102</v>
      </c>
      <c r="C126" s="55" t="n">
        <v>139.3</v>
      </c>
      <c r="D126" s="55" t="n">
        <v>70.59999999999999</v>
      </c>
      <c r="E126" s="55" t="n">
        <v>227</v>
      </c>
      <c r="F126" s="55" t="n">
        <v>247.9</v>
      </c>
    </row>
    <row r="127">
      <c r="A127" s="54" t="inlineStr">
        <is>
          <t>설비투자</t>
        </is>
      </c>
      <c r="B127" s="55" t="n">
        <v>96.2</v>
      </c>
      <c r="C127" s="55" t="n">
        <v>136.3</v>
      </c>
      <c r="D127" s="55" t="n">
        <v>175.9</v>
      </c>
      <c r="E127" s="55" t="n">
        <v>201.4</v>
      </c>
      <c r="F127" s="55" t="n">
        <v>101.1</v>
      </c>
    </row>
    <row r="128">
      <c r="A128" s="54" t="inlineStr">
        <is>
          <t>dividends</t>
        </is>
      </c>
      <c r="B128" s="55" t="n">
        <v>17.7</v>
      </c>
      <c r="C128" s="55" t="n">
        <v>21.1</v>
      </c>
      <c r="D128" s="55" t="n">
        <v>23.3</v>
      </c>
      <c r="E128" s="55" t="n">
        <v>24</v>
      </c>
      <c r="F128" s="55" t="n">
        <v>27.8</v>
      </c>
    </row>
    <row r="130">
      <c r="A130" s="52" t="inlineStr">
        <is>
          <t>컨센서스</t>
        </is>
      </c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</row>
    <row r="131">
      <c r="A131" s="53" t="inlineStr">
        <is>
          <t>항목</t>
        </is>
      </c>
      <c r="B131" s="53" t="inlineStr">
        <is>
          <t>값</t>
        </is>
      </c>
      <c r="N131" s="53" t="inlineStr">
        <is>
          <t>출처</t>
        </is>
      </c>
    </row>
    <row r="132">
      <c r="A132" s="54" t="inlineStr">
        <is>
          <t>2Q 매출 avg</t>
        </is>
      </c>
      <c r="B132" s="55" t="n">
        <v>232.6</v>
      </c>
      <c r="N132" s="56" t="inlineStr">
        <is>
          <t>야후 파이낸스 2026-10-30 · 영업이익 컨센 없음. 애널리스트 2~4명이라 '애널리스트 n명 추정'으로 표기</t>
        </is>
      </c>
    </row>
    <row r="133">
      <c r="A133" s="54" t="inlineStr">
        <is>
          <t>2Q 매출 애널리스트 수</t>
        </is>
      </c>
      <c r="B133" s="57" t="n">
        <v>2</v>
      </c>
    </row>
    <row r="134">
      <c r="A134" s="54" t="inlineStr">
        <is>
          <t>3Q 매출 avg</t>
        </is>
      </c>
      <c r="B134" s="55" t="n">
        <v>242</v>
      </c>
    </row>
    <row r="136">
      <c r="A136" s="52" t="inlineStr">
        <is>
          <t>컨센서스 · fy27</t>
        </is>
      </c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</row>
    <row r="137">
      <c r="A137" s="53" t="inlineStr">
        <is>
          <t>항목</t>
        </is>
      </c>
      <c r="B137" s="53" t="inlineStr">
        <is>
          <t>값</t>
        </is>
      </c>
      <c r="N137" s="53" t="inlineStr">
        <is>
          <t>출처</t>
        </is>
      </c>
    </row>
    <row r="138">
      <c r="A138" s="54" t="inlineStr">
        <is>
          <t>매출</t>
        </is>
      </c>
      <c r="B138" s="55" t="n">
        <v>936.3</v>
      </c>
      <c r="N138" s="56" t="inlineStr">
        <is>
          <t>야후 파이낸스 2026-10-30 · 영업이익 컨센 없음. 애널리스트 2~4명이라 '애널리스트 n명 추정'으로 표기</t>
        </is>
      </c>
    </row>
    <row r="139">
      <c r="A139" s="54" t="inlineStr">
        <is>
          <t>EPS</t>
        </is>
      </c>
      <c r="B139" s="55" t="n">
        <v>198.2</v>
      </c>
    </row>
    <row r="140">
      <c r="A140" s="54" t="inlineStr">
        <is>
          <t>애널리스트 수</t>
        </is>
      </c>
      <c r="B140" s="57" t="n">
        <v>4</v>
      </c>
    </row>
    <row r="142">
      <c r="A142" s="52" t="inlineStr">
        <is>
          <t>컨센서스 · fy28</t>
        </is>
      </c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</row>
    <row r="143">
      <c r="A143" s="53" t="inlineStr">
        <is>
          <t>항목</t>
        </is>
      </c>
      <c r="B143" s="53" t="inlineStr">
        <is>
          <t>값</t>
        </is>
      </c>
      <c r="N143" s="53" t="inlineStr">
        <is>
          <t>출처</t>
        </is>
      </c>
    </row>
    <row r="144">
      <c r="A144" s="54" t="inlineStr">
        <is>
          <t>매출</t>
        </is>
      </c>
      <c r="B144" s="55" t="n">
        <v>1033.1</v>
      </c>
      <c r="N144" s="56" t="inlineStr">
        <is>
          <t>야후 파이낸스 2026-10-30 · 영업이익 컨센 없음. 애널리스트 2~4명이라 '애널리스트 n명 추정'으로 표기</t>
        </is>
      </c>
    </row>
    <row r="145">
      <c r="A145" s="54" t="inlineStr">
        <is>
          <t>EPS</t>
        </is>
      </c>
      <c r="B145" s="55" t="n">
        <v>208.7</v>
      </c>
    </row>
    <row r="146">
      <c r="A146" s="54" t="inlineStr">
        <is>
          <t>애널리스트 수</t>
        </is>
      </c>
      <c r="B146" s="57" t="n">
        <v>4</v>
      </c>
    </row>
    <row r="148">
      <c r="A148" s="52" t="inlineStr">
        <is>
          <t>컨센서스 · 목표주가</t>
        </is>
      </c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</row>
    <row r="149">
      <c r="A149" s="53" t="inlineStr">
        <is>
          <t>항목</t>
        </is>
      </c>
      <c r="B149" s="53" t="inlineStr">
        <is>
          <t>값</t>
        </is>
      </c>
      <c r="N149" s="53" t="inlineStr">
        <is>
          <t>출처</t>
        </is>
      </c>
    </row>
    <row r="150">
      <c r="A150" s="54" t="inlineStr">
        <is>
          <t>평균</t>
        </is>
      </c>
      <c r="B150" s="57" t="n">
        <v>4700</v>
      </c>
      <c r="N150" s="56" t="inlineStr">
        <is>
          <t>야후 파이낸스 2026-10-30 · 영업이익 컨센 없음. 애널리스트 2~4명이라 '애널리스트 n명 추정'으로 표기</t>
        </is>
      </c>
    </row>
    <row r="151">
      <c r="A151" s="54" t="inlineStr">
        <is>
          <t>중앙값</t>
        </is>
      </c>
      <c r="B151" s="57" t="n">
        <v>4900</v>
      </c>
    </row>
    <row r="152">
      <c r="A152" s="54" t="inlineStr">
        <is>
          <t>최고</t>
        </is>
      </c>
      <c r="B152" s="57" t="n">
        <v>5200</v>
      </c>
    </row>
    <row r="153">
      <c r="A153" s="54" t="inlineStr">
        <is>
          <t>최저</t>
        </is>
      </c>
      <c r="B153" s="57" t="n">
        <v>4000</v>
      </c>
    </row>
    <row r="154">
      <c r="A154" s="54" t="inlineStr">
        <is>
          <t>애널리스트 수</t>
        </is>
      </c>
      <c r="B154" s="57" t="n">
        <v>3</v>
      </c>
    </row>
    <row r="156">
      <c r="A156" s="52" t="inlineStr">
        <is>
          <t>market</t>
        </is>
      </c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</row>
    <row r="157">
      <c r="A157" s="53" t="inlineStr">
        <is>
          <t>항목</t>
        </is>
      </c>
      <c r="B157" s="53" t="inlineStr">
        <is>
          <t>값</t>
        </is>
      </c>
      <c r="N157" s="53" t="inlineStr">
        <is>
          <t>출처</t>
        </is>
      </c>
    </row>
    <row r="158">
      <c r="A158" s="54" t="inlineStr">
        <is>
          <t>mcap</t>
        </is>
      </c>
      <c r="B158" s="57" t="n">
        <v>3057</v>
      </c>
      <c r="N158" s="56" t="inlineStr">
        <is>
          <t>2단계 보고서 자료(회사 설명회 자료·공시)</t>
        </is>
      </c>
    </row>
    <row r="159">
      <c r="A159" s="54" t="inlineStr">
        <is>
          <t>PER 가이던스</t>
        </is>
      </c>
      <c r="B159" s="55" t="n">
        <v>13.96</v>
      </c>
    </row>
    <row r="160">
      <c r="A160" s="54" t="inlineStr">
        <is>
          <t>div yield</t>
        </is>
      </c>
      <c r="B160" s="55" t="n">
        <v>0.97</v>
      </c>
    </row>
    <row r="161">
      <c r="A161" s="54" t="inlineStr">
        <is>
          <t>PBR</t>
        </is>
      </c>
      <c r="B161" s="55" t="n">
        <v>2.4</v>
      </c>
    </row>
    <row r="163">
      <c r="A163" s="52" t="inlineStr">
        <is>
          <t>reactions</t>
        </is>
      </c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</row>
    <row r="164">
      <c r="A164" s="53" t="inlineStr">
        <is>
          <t>항목</t>
        </is>
      </c>
      <c r="B164" s="53" t="inlineStr">
        <is>
          <t>기준일</t>
        </is>
      </c>
      <c r="C164" s="53" t="inlineStr">
        <is>
          <t>다음날</t>
        </is>
      </c>
      <c r="D164" s="53" t="inlineStr">
        <is>
          <t>등락%</t>
        </is>
      </c>
      <c r="N164" s="53" t="inlineStr">
        <is>
          <t>출처</t>
        </is>
      </c>
    </row>
    <row r="165">
      <c r="A165" s="54" t="inlineStr">
        <is>
          <t>2025-02-07</t>
        </is>
      </c>
      <c r="B165" s="58" t="inlineStr">
        <is>
          <t>2025-02-07</t>
        </is>
      </c>
      <c r="C165" s="58" t="inlineStr">
        <is>
          <t>2025-02-10</t>
        </is>
      </c>
      <c r="D165" s="55" t="n">
        <v>0.2</v>
      </c>
      <c r="N165" s="56" t="inlineStr">
        <is>
          <t>2단계 보고서 자료(회사 설명회 자료·공시)</t>
        </is>
      </c>
    </row>
    <row r="166">
      <c r="A166" s="54" t="inlineStr">
        <is>
          <t>2025-05-12</t>
        </is>
      </c>
      <c r="B166" s="58" t="inlineStr">
        <is>
          <t>2025-05-12</t>
        </is>
      </c>
      <c r="C166" s="58" t="inlineStr">
        <is>
          <t>2025-05-13</t>
        </is>
      </c>
      <c r="D166" s="55" t="n">
        <v>0.3</v>
      </c>
    </row>
    <row r="167">
      <c r="A167" s="54" t="inlineStr">
        <is>
          <t>2025-08-08</t>
        </is>
      </c>
      <c r="B167" s="58" t="inlineStr">
        <is>
          <t>2025-08-08</t>
        </is>
      </c>
      <c r="C167" s="58" t="inlineStr">
        <is>
          <t>2025-08-12</t>
        </is>
      </c>
      <c r="D167" s="55" t="n">
        <v>3.9</v>
      </c>
    </row>
    <row r="168">
      <c r="A168" s="54" t="inlineStr">
        <is>
          <t>2025-10-31</t>
        </is>
      </c>
      <c r="B168" s="58" t="inlineStr">
        <is>
          <t>2025-10-31</t>
        </is>
      </c>
      <c r="C168" s="58" t="inlineStr">
        <is>
          <t>2025-11-04</t>
        </is>
      </c>
      <c r="D168" s="55" t="n">
        <v>10.7</v>
      </c>
    </row>
    <row r="169">
      <c r="A169" s="54" t="inlineStr">
        <is>
          <t>2026-02-06</t>
        </is>
      </c>
      <c r="B169" s="58" t="inlineStr">
        <is>
          <t>2026-02-06</t>
        </is>
      </c>
      <c r="C169" s="58" t="inlineStr">
        <is>
          <t>2026-02-09</t>
        </is>
      </c>
      <c r="D169" s="55" t="n">
        <v>6.6</v>
      </c>
    </row>
    <row r="170">
      <c r="A170" s="54" t="inlineStr">
        <is>
          <t>2026-05-11</t>
        </is>
      </c>
      <c r="B170" s="58" t="inlineStr">
        <is>
          <t>2026-05-11</t>
        </is>
      </c>
      <c r="C170" s="58" t="inlineStr">
        <is>
          <t>2026-05-12</t>
        </is>
      </c>
      <c r="D170" s="55" t="n">
        <v>21.3</v>
      </c>
    </row>
    <row r="171">
      <c r="A171" s="54" t="inlineStr">
        <is>
          <t>2026-08-07</t>
        </is>
      </c>
      <c r="B171" s="58" t="inlineStr">
        <is>
          <t>2026-08-07</t>
        </is>
      </c>
      <c r="C171" s="58" t="inlineStr">
        <is>
          <t>2026-08-10</t>
        </is>
      </c>
      <c r="D171" s="55" t="n">
        <v>-11.9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https://www2.jpx.co.jp/disc/43680/140120261030561153.pdf</t>
        </is>
      </c>
    </row>
    <row r="5">
      <c r="A5" t="inlineStr">
        <is>
          <t>2026-08-07</t>
        </is>
      </c>
      <c r="B5" t="inlineStr">
        <is>
          <t>2027년 3월 결산기 1분기 결산단신</t>
        </is>
      </c>
      <c r="C5" t="inlineStr">
        <is>
          <t>https://www2.jpx.co.jp/disc/43680/140120260807515047.pdf</t>
        </is>
      </c>
    </row>
    <row r="6">
      <c r="A6" t="inlineStr">
        <is>
          <t>2026-05-11</t>
        </is>
      </c>
      <c r="B6" t="inlineStr">
        <is>
          <t>2026년 3월 결산기 연간 결산단신</t>
        </is>
      </c>
      <c r="C6" t="inlineStr">
        <is>
          <t>https://www2.jpx.co.jp/disc/43680/140120260511522373.pdf</t>
        </is>
      </c>
    </row>
    <row r="7">
      <c r="A7" t="inlineStr">
        <is>
          <t>2026-02-06</t>
        </is>
      </c>
      <c r="B7" t="inlineStr">
        <is>
          <t>2026년 3월 결산기 3분기 결산단신</t>
        </is>
      </c>
      <c r="C7" t="inlineStr">
        <is>
          <t>https://www2.jpx.co.jp/disc/43680/140120260206550192.pdf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https://www2.jpx.co.jp/disc/43680/140120251031584140.pdf</t>
        </is>
      </c>
    </row>
    <row r="9">
      <c r="A9" t="inlineStr">
        <is>
          <t>2025-08-08</t>
        </is>
      </c>
      <c r="B9" t="inlineStr">
        <is>
          <t>2026년 3월 결산기 1분기 결산단신</t>
        </is>
      </c>
      <c r="C9" t="inlineStr">
        <is>
          <t>https://www2.jpx.co.jp/disc/43680/140120250808537713.pdf</t>
        </is>
      </c>
    </row>
    <row r="10">
      <c r="A10" t="inlineStr">
        <is>
          <t>2025-05-12</t>
        </is>
      </c>
      <c r="B10" t="inlineStr">
        <is>
          <t>2025년 3월 결산기 연간 결산단신</t>
        </is>
      </c>
      <c r="C10" t="inlineStr">
        <is>
          <t>https://www2.jpx.co.jp/disc/43680/140120250512541966.pdf</t>
        </is>
      </c>
    </row>
    <row r="11">
      <c r="A11" t="inlineStr">
        <is>
          <t>2025-02-07</t>
        </is>
      </c>
      <c r="B11" t="inlineStr">
        <is>
          <t>2025년 3월 결산기 3분기 결산단신</t>
        </is>
      </c>
      <c r="C11" t="inlineStr">
        <is>
          <t>https://www2.jpx.co.jp/disc/43680/140120250207566816.pdf</t>
        </is>
      </c>
    </row>
    <row r="12">
      <c r="A12" t="inlineStr">
        <is>
          <t>2024-10-31</t>
        </is>
      </c>
      <c r="B12" t="inlineStr">
        <is>
          <t>2025년 3월 결산기 2분기 결산단신</t>
        </is>
      </c>
      <c r="C12" t="inlineStr">
        <is>
          <t>https://www2.jpx.co.jp/disc/43680/140120241031507360.pdf</t>
        </is>
      </c>
    </row>
    <row r="13">
      <c r="A13" t="inlineStr">
        <is>
          <t>2024-08-07</t>
        </is>
      </c>
      <c r="B13" t="inlineStr">
        <is>
          <t>2025년 3월 결산기 1분기 결산단신</t>
        </is>
      </c>
      <c r="C13" t="inlineStr">
        <is>
          <t>https://www2.jpx.co.jp/disc/43680/140120240807565315.pdf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https://www2.jpx.co.jp/disc/43680/140120240510589535.pdf</t>
        </is>
      </c>
    </row>
    <row r="15">
      <c r="A15" t="inlineStr">
        <is>
          <t>2024-01-31</t>
        </is>
      </c>
      <c r="B15" t="inlineStr">
        <is>
          <t>2024년 3월 결산기 3분기 결산단신</t>
        </is>
      </c>
      <c r="C15" t="inlineStr">
        <is>
          <t>https://www2.jpx.co.jp/disc/43680/140120240131523180.pdf</t>
        </is>
      </c>
    </row>
    <row r="16">
      <c r="A16" t="inlineStr">
        <is>
          <t>2023-10-31</t>
        </is>
      </c>
      <c r="B16" t="inlineStr">
        <is>
          <t>2024년 3월 결산기 2분기 결산단신</t>
        </is>
      </c>
      <c r="C16" t="inlineStr">
        <is>
          <t>https://www2.jpx.co.jp/disc/43680/140120231031576211.pdf</t>
        </is>
      </c>
    </row>
    <row r="17">
      <c r="A17" t="inlineStr">
        <is>
          <t>2023-07-31</t>
        </is>
      </c>
      <c r="B17" t="inlineStr">
        <is>
          <t>2024년 3월 결산기 1분기 결산단신</t>
        </is>
      </c>
      <c r="C17" t="inlineStr">
        <is>
          <t>https://www2.jpx.co.jp/disc/43680/140120230731530710.pdf</t>
        </is>
      </c>
    </row>
    <row r="18">
      <c r="A18" t="inlineStr">
        <is>
          <t>2023-05-11</t>
        </is>
      </c>
      <c r="B18" t="inlineStr">
        <is>
          <t>2023년 3월 결산기 연간 결산단신</t>
        </is>
      </c>
      <c r="C18" t="inlineStr">
        <is>
          <t>https://www2.jpx.co.jp/disc/43680/140120230511565796.pdf</t>
        </is>
      </c>
    </row>
    <row r="19">
      <c r="A19" t="inlineStr">
        <is>
          <t>2023-01-31</t>
        </is>
      </c>
      <c r="B19" t="inlineStr">
        <is>
          <t>2023년 3월 결산기 3분기 결산단신</t>
        </is>
      </c>
      <c r="C19" t="inlineStr">
        <is>
          <t>https://www2.jpx.co.jp/disc/43680/140120230131597244.pdf</t>
        </is>
      </c>
    </row>
    <row r="20">
      <c r="A20" t="inlineStr">
        <is>
          <t>2022-05-09</t>
        </is>
      </c>
      <c r="B20" t="inlineStr">
        <is>
          <t>2022년 3월 결산기 연간 결산단신</t>
        </is>
      </c>
      <c r="C20" t="inlineStr">
        <is>
          <t>https://www2.jpx.co.jp/disc/43680/140120220509535456.pdf</t>
        </is>
      </c>
    </row>
    <row r="21">
      <c r="A21" t="inlineStr">
        <is>
          <t>2021-05-07</t>
        </is>
      </c>
      <c r="B21" t="inlineStr">
        <is>
          <t>2021년 3월 결산기 연간 결산단신</t>
        </is>
      </c>
      <c r="C21" t="inlineStr">
        <is>
          <t>https://www2.jpx.co.jp/disc/43680/140120210507407625.pdf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https://www2.jpx.co.jp/disc/43680/140120200508407104.pdf</t>
        </is>
      </c>
    </row>
    <row r="23">
      <c r="A23" t="inlineStr">
        <is>
          <t>2019-05-09</t>
        </is>
      </c>
      <c r="B23" t="inlineStr">
        <is>
          <t>2019년 3월 결산기 연간 결산단신</t>
        </is>
      </c>
      <c r="C23" t="inlineStr">
        <is>
          <t>https://www2.jpx.co.jp/disc/43680/140120190509418931.pdf</t>
        </is>
      </c>
    </row>
    <row r="24">
      <c r="A24" t="inlineStr">
        <is>
          <t>2018-05-07</t>
        </is>
      </c>
      <c r="B24" t="inlineStr">
        <is>
          <t>연간 결산단신</t>
        </is>
      </c>
      <c r="C24" t="inlineStr">
        <is>
          <t>https://www2.jpx.co.jp/disc/43680/140120180507428121.pdf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4368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94.5</v>
      </c>
      <c r="D5" s="65" t="n">
        <v>98.09999999999999</v>
      </c>
      <c r="E5" s="65" t="n">
        <v>97.7</v>
      </c>
      <c r="F5" s="65" t="n">
        <v>107.2</v>
      </c>
      <c r="G5" s="65" t="n">
        <v>99.3</v>
      </c>
      <c r="H5" s="65" t="n">
        <v>106.8</v>
      </c>
      <c r="I5" s="65" t="n">
        <v>106.3</v>
      </c>
      <c r="J5" s="65" t="n">
        <v>110.9</v>
      </c>
      <c r="K5" s="65" t="n">
        <v>21</v>
      </c>
      <c r="L5" s="65" t="n">
        <v>99.8</v>
      </c>
      <c r="M5" s="65" t="n">
        <v>103.6</v>
      </c>
      <c r="N5" s="65" t="n">
        <v>109.3</v>
      </c>
      <c r="O5" s="65" t="n">
        <v>100.5</v>
      </c>
      <c r="P5" s="65" t="n">
        <v>102</v>
      </c>
      <c r="Q5" s="65" t="n">
        <v>101.4</v>
      </c>
      <c r="R5" s="65" t="n">
        <v>108.4</v>
      </c>
      <c r="S5" s="65" t="n">
        <v>110.3</v>
      </c>
      <c r="T5" s="65" t="n">
        <v>128.3</v>
      </c>
      <c r="U5" s="65" t="n">
        <v>123.4</v>
      </c>
      <c r="V5" s="65" t="n">
        <v>144.9</v>
      </c>
      <c r="W5" s="65" t="n">
        <v>65.09999999999999</v>
      </c>
      <c r="X5" s="65" t="n">
        <v>175.4</v>
      </c>
      <c r="Y5" s="65" t="n">
        <v>178.2</v>
      </c>
      <c r="Z5" s="65" t="n">
        <v>172.7</v>
      </c>
      <c r="AA5" s="65" t="n">
        <v>158.3</v>
      </c>
      <c r="AB5" s="65" t="n">
        <v>136.4</v>
      </c>
      <c r="AC5" s="65" t="n">
        <v>134.9</v>
      </c>
      <c r="AD5" s="65" t="n">
        <v>160</v>
      </c>
      <c r="AE5" s="65" t="n">
        <v>158.4</v>
      </c>
      <c r="AF5" s="65" t="n">
        <v>174.3</v>
      </c>
      <c r="AG5" s="65" t="n">
        <v>173.2</v>
      </c>
      <c r="AH5" s="65" t="n">
        <v>176.6</v>
      </c>
      <c r="AI5" s="65" t="n">
        <v>50.3</v>
      </c>
      <c r="AJ5" s="65" t="n">
        <v>186.6</v>
      </c>
      <c r="AK5" s="65" t="n">
        <v>190.5</v>
      </c>
      <c r="AL5" s="65" t="n">
        <v>202.2</v>
      </c>
      <c r="AM5" s="65" t="n">
        <v>61.7</v>
      </c>
      <c r="AN5" s="65" t="n">
        <v>228.2</v>
      </c>
      <c r="AO5" s="65" t="n">
        <v>227.8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5.1</v>
      </c>
      <c r="H6" s="66" t="n">
        <v>8.9</v>
      </c>
      <c r="I6" s="66" t="n">
        <v>8.800000000000001</v>
      </c>
      <c r="J6" s="66" t="n">
        <v>3.5</v>
      </c>
      <c r="K6" s="66" t="n">
        <v>-78.90000000000001</v>
      </c>
      <c r="L6" s="66" t="n">
        <v>-6.6</v>
      </c>
      <c r="M6" s="66" t="n">
        <v>-2.5</v>
      </c>
      <c r="N6" s="66" t="n">
        <v>-1.4</v>
      </c>
      <c r="O6" s="66" t="n">
        <v>378.6</v>
      </c>
      <c r="P6" s="66" t="n">
        <v>2.2</v>
      </c>
      <c r="Q6" s="66" t="n">
        <v>-2.1</v>
      </c>
      <c r="R6" s="66" t="n">
        <v>-0.8</v>
      </c>
      <c r="S6" s="66" t="n">
        <v>9.800000000000001</v>
      </c>
      <c r="T6" s="66" t="n">
        <v>25.8</v>
      </c>
      <c r="U6" s="66" t="n">
        <v>21.7</v>
      </c>
      <c r="V6" s="66" t="n">
        <v>33.7</v>
      </c>
      <c r="W6" s="66" t="n">
        <v>-41</v>
      </c>
      <c r="X6" s="66" t="n">
        <v>36.7</v>
      </c>
      <c r="Y6" s="66" t="n">
        <v>44.4</v>
      </c>
      <c r="Z6" s="66" t="n">
        <v>19.2</v>
      </c>
      <c r="AA6" s="66" t="n">
        <v>143.2</v>
      </c>
      <c r="AB6" s="66" t="n">
        <v>-22.2</v>
      </c>
      <c r="AC6" s="66" t="n">
        <v>-24.3</v>
      </c>
      <c r="AD6" s="66" t="n">
        <v>-7.4</v>
      </c>
      <c r="AE6" s="66" t="n">
        <v>0.1</v>
      </c>
      <c r="AF6" s="66" t="n">
        <v>27.8</v>
      </c>
      <c r="AG6" s="66" t="n">
        <v>28.4</v>
      </c>
      <c r="AH6" s="66" t="n">
        <v>10.4</v>
      </c>
      <c r="AI6" s="66" t="n">
        <v>-68.2</v>
      </c>
      <c r="AJ6" s="66" t="n">
        <v>7.1</v>
      </c>
      <c r="AK6" s="66" t="n">
        <v>10</v>
      </c>
      <c r="AL6" s="66" t="n">
        <v>14.5</v>
      </c>
      <c r="AM6" s="66" t="n">
        <v>22.7</v>
      </c>
      <c r="AN6" s="66" t="n">
        <v>22.3</v>
      </c>
      <c r="AO6" s="66" t="n">
        <v>19.6</v>
      </c>
    </row>
    <row r="7">
      <c r="A7" s="64" t="inlineStr">
        <is>
          <t>영업이익</t>
        </is>
      </c>
      <c r="B7" s="65" t="n"/>
      <c r="C7" s="65" t="n">
        <v>25.1</v>
      </c>
      <c r="D7" s="65" t="n">
        <v>28.8</v>
      </c>
      <c r="E7" s="65" t="n">
        <v>25.5</v>
      </c>
      <c r="F7" s="65" t="n">
        <v>27.4</v>
      </c>
      <c r="G7" s="65" t="n">
        <v>23.7</v>
      </c>
      <c r="H7" s="65" t="n">
        <v>26.5</v>
      </c>
      <c r="I7" s="65" t="n">
        <v>25.9</v>
      </c>
      <c r="J7" s="65" t="n">
        <v>22.4</v>
      </c>
      <c r="K7" s="65" t="n">
        <v>2.5</v>
      </c>
      <c r="L7" s="65" t="n">
        <v>21.3</v>
      </c>
      <c r="M7" s="65" t="n">
        <v>22.4</v>
      </c>
      <c r="N7" s="65" t="n">
        <v>25.7</v>
      </c>
      <c r="O7" s="65" t="n">
        <v>19</v>
      </c>
      <c r="P7" s="65" t="n">
        <v>23.5</v>
      </c>
      <c r="Q7" s="65" t="n">
        <v>22.8</v>
      </c>
      <c r="R7" s="65" t="n">
        <v>25.6</v>
      </c>
      <c r="S7" s="65" t="n">
        <v>24.4</v>
      </c>
      <c r="T7" s="65" t="n">
        <v>33.7</v>
      </c>
      <c r="U7" s="65" t="n">
        <v>30.5</v>
      </c>
      <c r="V7" s="65" t="n">
        <v>38.3</v>
      </c>
      <c r="W7" s="65" t="n">
        <v>20.3</v>
      </c>
      <c r="X7" s="65" t="n">
        <v>46.9</v>
      </c>
      <c r="Y7" s="65" t="n">
        <v>48.9</v>
      </c>
      <c r="Z7" s="65" t="n">
        <v>51.2</v>
      </c>
      <c r="AA7" s="65" t="n">
        <v>42.3</v>
      </c>
      <c r="AB7" s="65" t="n">
        <v>31.9</v>
      </c>
      <c r="AC7" s="65" t="n">
        <v>23.9</v>
      </c>
      <c r="AD7" s="65" t="n">
        <v>26.5</v>
      </c>
      <c r="AE7" s="65" t="n">
        <v>28.6</v>
      </c>
      <c r="AF7" s="65" t="n">
        <v>39.1</v>
      </c>
      <c r="AG7" s="65" t="n">
        <v>42.3</v>
      </c>
      <c r="AH7" s="65" t="n">
        <v>44.5</v>
      </c>
      <c r="AI7" s="65" t="n">
        <v>4.5</v>
      </c>
      <c r="AJ7" s="65" t="n">
        <v>46.9</v>
      </c>
      <c r="AK7" s="65" t="n">
        <v>50.5</v>
      </c>
      <c r="AL7" s="65" t="n">
        <v>48.2</v>
      </c>
      <c r="AM7" s="65" t="n">
        <v>8</v>
      </c>
      <c r="AN7" s="65" t="n">
        <v>61.7</v>
      </c>
      <c r="AO7" s="65" t="n">
        <v>71.2</v>
      </c>
    </row>
    <row r="8">
      <c r="A8" s="64" t="inlineStr">
        <is>
          <t>영업이익률</t>
        </is>
      </c>
      <c r="B8" s="66" t="n"/>
      <c r="C8" s="66" t="n">
        <v>26.6</v>
      </c>
      <c r="D8" s="66" t="n">
        <v>29.4</v>
      </c>
      <c r="E8" s="66" t="n">
        <v>26.1</v>
      </c>
      <c r="F8" s="66" t="n">
        <v>25.6</v>
      </c>
      <c r="G8" s="66" t="n">
        <v>23.9</v>
      </c>
      <c r="H8" s="66" t="n">
        <v>24.8</v>
      </c>
      <c r="I8" s="66" t="n">
        <v>24.4</v>
      </c>
      <c r="J8" s="66" t="n">
        <v>20.2</v>
      </c>
      <c r="K8" s="66" t="n">
        <v>11.9</v>
      </c>
      <c r="L8" s="66" t="n">
        <v>21.3</v>
      </c>
      <c r="M8" s="66" t="n">
        <v>21.6</v>
      </c>
      <c r="N8" s="66" t="n">
        <v>23.5</v>
      </c>
      <c r="O8" s="66" t="n">
        <v>18.9</v>
      </c>
      <c r="P8" s="66" t="n">
        <v>23</v>
      </c>
      <c r="Q8" s="66" t="n">
        <v>22.5</v>
      </c>
      <c r="R8" s="66" t="n">
        <v>23.6</v>
      </c>
      <c r="S8" s="66" t="n">
        <v>22.1</v>
      </c>
      <c r="T8" s="66" t="n">
        <v>26.3</v>
      </c>
      <c r="U8" s="66" t="n">
        <v>24.7</v>
      </c>
      <c r="V8" s="66" t="n">
        <v>26.4</v>
      </c>
      <c r="W8" s="66" t="n">
        <v>31.2</v>
      </c>
      <c r="X8" s="66" t="n">
        <v>26.7</v>
      </c>
      <c r="Y8" s="66" t="n">
        <v>27.4</v>
      </c>
      <c r="Z8" s="66" t="n">
        <v>29.6</v>
      </c>
      <c r="AA8" s="66" t="n">
        <v>26.7</v>
      </c>
      <c r="AB8" s="66" t="n">
        <v>23.4</v>
      </c>
      <c r="AC8" s="66" t="n">
        <v>17.7</v>
      </c>
      <c r="AD8" s="66" t="n">
        <v>16.6</v>
      </c>
      <c r="AE8" s="66" t="n">
        <v>18.1</v>
      </c>
      <c r="AF8" s="66" t="n">
        <v>22.4</v>
      </c>
      <c r="AG8" s="66" t="n">
        <v>24.4</v>
      </c>
      <c r="AH8" s="66" t="n">
        <v>25.2</v>
      </c>
      <c r="AI8" s="66" t="n">
        <v>8.9</v>
      </c>
      <c r="AJ8" s="66" t="n">
        <v>25.1</v>
      </c>
      <c r="AK8" s="66" t="n">
        <v>26.5</v>
      </c>
      <c r="AL8" s="66" t="n">
        <v>23.8</v>
      </c>
      <c r="AM8" s="66" t="n">
        <v>13</v>
      </c>
      <c r="AN8" s="66" t="n">
        <v>27</v>
      </c>
      <c r="AO8" s="66" t="n">
        <v>31.3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-5.6</v>
      </c>
      <c r="H9" s="66" t="n">
        <v>-8</v>
      </c>
      <c r="I9" s="66" t="n">
        <v>1.6</v>
      </c>
      <c r="J9" s="66" t="n">
        <v>-18.2</v>
      </c>
      <c r="K9" s="66" t="n">
        <v>-89.5</v>
      </c>
      <c r="L9" s="66" t="n">
        <v>-19.6</v>
      </c>
      <c r="M9" s="66" t="n">
        <v>-13.5</v>
      </c>
      <c r="N9" s="66" t="n">
        <v>14.7</v>
      </c>
      <c r="O9" s="66" t="n">
        <v>660</v>
      </c>
      <c r="P9" s="66" t="n">
        <v>10.3</v>
      </c>
      <c r="Q9" s="66" t="n">
        <v>1.8</v>
      </c>
      <c r="R9" s="66" t="n">
        <v>-0.4</v>
      </c>
      <c r="S9" s="66" t="n">
        <v>28.4</v>
      </c>
      <c r="T9" s="66" t="n">
        <v>43.4</v>
      </c>
      <c r="U9" s="66" t="n">
        <v>33.8</v>
      </c>
      <c r="V9" s="66" t="n">
        <v>49.6</v>
      </c>
      <c r="W9" s="66" t="n">
        <v>-16.8</v>
      </c>
      <c r="X9" s="66" t="n">
        <v>39.2</v>
      </c>
      <c r="Y9" s="66" t="n">
        <v>60.3</v>
      </c>
      <c r="Z9" s="66" t="n">
        <v>33.7</v>
      </c>
      <c r="AA9" s="66" t="n">
        <v>108.4</v>
      </c>
      <c r="AB9" s="66" t="n">
        <v>-32</v>
      </c>
      <c r="AC9" s="66" t="n">
        <v>-51.1</v>
      </c>
      <c r="AD9" s="66" t="n">
        <v>-48.2</v>
      </c>
      <c r="AE9" s="66" t="n">
        <v>-32.4</v>
      </c>
      <c r="AF9" s="66" t="n">
        <v>22.6</v>
      </c>
      <c r="AG9" s="66" t="n">
        <v>77</v>
      </c>
      <c r="AH9" s="66" t="n">
        <v>67.90000000000001</v>
      </c>
      <c r="AI9" s="66" t="n">
        <v>-84.3</v>
      </c>
      <c r="AJ9" s="66" t="n">
        <v>19.9</v>
      </c>
      <c r="AK9" s="66" t="n">
        <v>19.4</v>
      </c>
      <c r="AL9" s="66" t="n">
        <v>8.300000000000001</v>
      </c>
      <c r="AM9" s="66" t="n">
        <v>77.8</v>
      </c>
      <c r="AN9" s="66" t="n">
        <v>31.6</v>
      </c>
      <c r="AO9" s="66" t="n">
        <v>41</v>
      </c>
    </row>
    <row r="10">
      <c r="A10" s="64" t="inlineStr">
        <is>
          <t>유동자산</t>
        </is>
      </c>
      <c r="B10" s="65" t="n"/>
      <c r="C10" s="65" t="n">
        <v>413.5</v>
      </c>
      <c r="D10" s="65" t="n"/>
      <c r="E10" s="65" t="n"/>
      <c r="F10" s="65" t="n">
        <v>410.3</v>
      </c>
      <c r="G10" s="65" t="n">
        <v>394.7</v>
      </c>
      <c r="H10" s="65" t="n">
        <v>370.5</v>
      </c>
      <c r="I10" s="65" t="n">
        <v>383.2</v>
      </c>
      <c r="J10" s="65" t="n">
        <v>311</v>
      </c>
      <c r="K10" s="65" t="n">
        <v>239</v>
      </c>
      <c r="L10" s="65" t="n">
        <v>309.3</v>
      </c>
      <c r="M10" s="65" t="n">
        <v>327.9</v>
      </c>
      <c r="N10" s="65" t="n">
        <v>341.9</v>
      </c>
      <c r="O10" s="65" t="n">
        <v>289.4</v>
      </c>
      <c r="P10" s="65" t="n">
        <v>365.5</v>
      </c>
      <c r="Q10" s="65" t="n">
        <v>388.6</v>
      </c>
      <c r="R10" s="65" t="n">
        <v>404.4</v>
      </c>
      <c r="S10" s="65" t="n">
        <v>376.8</v>
      </c>
      <c r="T10" s="65" t="n">
        <v>463.1</v>
      </c>
      <c r="U10" s="65" t="n">
        <v>484.8</v>
      </c>
      <c r="V10" s="65" t="n">
        <v>448</v>
      </c>
      <c r="W10" s="65" t="n">
        <v>430.4</v>
      </c>
      <c r="X10" s="65" t="n">
        <v>509.9</v>
      </c>
      <c r="Y10" s="65" t="n">
        <v>524.8</v>
      </c>
      <c r="Z10" s="65" t="n">
        <v>501.1</v>
      </c>
      <c r="AA10" s="65" t="n">
        <v>553.4</v>
      </c>
      <c r="AB10" s="65" t="n">
        <v>632.4</v>
      </c>
      <c r="AC10" s="65" t="n">
        <v>663.1</v>
      </c>
      <c r="AD10" s="65" t="n">
        <v>630.3</v>
      </c>
      <c r="AE10" s="65" t="n">
        <v>558.4</v>
      </c>
      <c r="AF10" s="65" t="n">
        <v>685.4</v>
      </c>
      <c r="AG10" s="65" t="n">
        <v>654.8</v>
      </c>
      <c r="AH10" s="65" t="n">
        <v>648.8</v>
      </c>
      <c r="AI10" s="65" t="n">
        <v>670.5</v>
      </c>
      <c r="AJ10" s="65" t="n">
        <v>642.3</v>
      </c>
      <c r="AK10" s="65" t="n">
        <v>701.1</v>
      </c>
      <c r="AL10" s="65" t="n">
        <v>755.8</v>
      </c>
      <c r="AM10" s="65" t="n">
        <v>784.8</v>
      </c>
      <c r="AN10" s="65" t="n">
        <v>821.8</v>
      </c>
      <c r="AO10" s="65" t="n">
        <v>890.2</v>
      </c>
    </row>
    <row r="11">
      <c r="A11" s="64" t="inlineStr">
        <is>
          <t>유동부채</t>
        </is>
      </c>
      <c r="B11" s="65" t="n"/>
      <c r="C11" s="65" t="n">
        <v>93</v>
      </c>
      <c r="D11" s="65" t="n"/>
      <c r="E11" s="65" t="n"/>
      <c r="F11" s="65" t="n">
        <v>118.3</v>
      </c>
      <c r="G11" s="65" t="n">
        <v>122.7</v>
      </c>
      <c r="H11" s="65" t="n">
        <v>118.7</v>
      </c>
      <c r="I11" s="65" t="n">
        <v>134.7</v>
      </c>
      <c r="J11" s="65" t="n">
        <v>85.2</v>
      </c>
      <c r="K11" s="65" t="n">
        <v>69.5</v>
      </c>
      <c r="L11" s="65" t="n">
        <v>64.8</v>
      </c>
      <c r="M11" s="65" t="n">
        <v>81.90000000000001</v>
      </c>
      <c r="N11" s="65" t="n">
        <v>75.7</v>
      </c>
      <c r="O11" s="65" t="n">
        <v>68.7</v>
      </c>
      <c r="P11" s="65" t="n">
        <v>68.5</v>
      </c>
      <c r="Q11" s="65" t="n">
        <v>65.59999999999999</v>
      </c>
      <c r="R11" s="65" t="n">
        <v>63</v>
      </c>
      <c r="S11" s="65" t="n">
        <v>75.90000000000001</v>
      </c>
      <c r="T11" s="65" t="n">
        <v>80.7</v>
      </c>
      <c r="U11" s="65" t="n">
        <v>149.2</v>
      </c>
      <c r="V11" s="65" t="n">
        <v>88.5</v>
      </c>
      <c r="W11" s="65" t="n">
        <v>147.4</v>
      </c>
      <c r="X11" s="65" t="n">
        <v>167.9</v>
      </c>
      <c r="Y11" s="65" t="n">
        <v>138.9</v>
      </c>
      <c r="Z11" s="65" t="n">
        <v>214</v>
      </c>
      <c r="AA11" s="65" t="n">
        <v>239.1</v>
      </c>
      <c r="AB11" s="65" t="n">
        <v>126</v>
      </c>
      <c r="AC11" s="65" t="n">
        <v>136.7</v>
      </c>
      <c r="AD11" s="65" t="n">
        <v>110.8</v>
      </c>
      <c r="AE11" s="65" t="n">
        <v>159</v>
      </c>
      <c r="AF11" s="65" t="n">
        <v>163.5</v>
      </c>
      <c r="AG11" s="65" t="n">
        <v>148.7</v>
      </c>
      <c r="AH11" s="65" t="n">
        <v>123.7</v>
      </c>
      <c r="AI11" s="65" t="n">
        <v>184.9</v>
      </c>
      <c r="AJ11" s="65" t="n">
        <v>137.5</v>
      </c>
      <c r="AK11" s="65" t="n">
        <v>177.2</v>
      </c>
      <c r="AL11" s="65" t="n">
        <v>202.2</v>
      </c>
      <c r="AM11" s="65" t="n">
        <v>198.4</v>
      </c>
      <c r="AN11" s="65" t="n">
        <v>296.3</v>
      </c>
      <c r="AO11" s="65" t="n">
        <v>311.6</v>
      </c>
    </row>
    <row r="12">
      <c r="A12" s="64" t="inlineStr">
        <is>
          <t>부채총계</t>
        </is>
      </c>
      <c r="B12" s="65" t="n"/>
      <c r="C12" s="65" t="n">
        <v>114.3</v>
      </c>
      <c r="D12" s="65" t="n"/>
      <c r="E12" s="65" t="n"/>
      <c r="F12" s="65" t="n">
        <v>140.5</v>
      </c>
      <c r="G12" s="65" t="n">
        <v>140.8</v>
      </c>
      <c r="H12" s="65" t="n">
        <v>136.4</v>
      </c>
      <c r="I12" s="65" t="n">
        <v>152.4</v>
      </c>
      <c r="J12" s="65" t="n">
        <v>103.2</v>
      </c>
      <c r="K12" s="65" t="n">
        <v>87</v>
      </c>
      <c r="L12" s="65" t="n">
        <v>83.09999999999999</v>
      </c>
      <c r="M12" s="65" t="n">
        <v>99.5</v>
      </c>
      <c r="N12" s="65" t="n">
        <v>93.7</v>
      </c>
      <c r="O12" s="65" t="n">
        <v>85.90000000000001</v>
      </c>
      <c r="P12" s="65" t="n">
        <v>86.5</v>
      </c>
      <c r="Q12" s="65" t="n">
        <v>85.59999999999999</v>
      </c>
      <c r="R12" s="65" t="n">
        <v>83</v>
      </c>
      <c r="S12" s="65" t="n">
        <v>94.3</v>
      </c>
      <c r="T12" s="65" t="n">
        <v>100.7</v>
      </c>
      <c r="U12" s="65" t="n">
        <v>169.3</v>
      </c>
      <c r="V12" s="65" t="n">
        <v>108.8</v>
      </c>
      <c r="W12" s="65" t="n">
        <v>165.8</v>
      </c>
      <c r="X12" s="65" t="n">
        <v>188.7</v>
      </c>
      <c r="Y12" s="65" t="n">
        <v>160.2</v>
      </c>
      <c r="Z12" s="65" t="n">
        <v>234.8</v>
      </c>
      <c r="AA12" s="65" t="n">
        <v>260.3</v>
      </c>
      <c r="AB12" s="65" t="n">
        <v>347.5</v>
      </c>
      <c r="AC12" s="65" t="n">
        <v>358.4</v>
      </c>
      <c r="AD12" s="65" t="n">
        <v>332.3</v>
      </c>
      <c r="AE12" s="65" t="n">
        <v>378.6</v>
      </c>
      <c r="AF12" s="65" t="n">
        <v>385.3</v>
      </c>
      <c r="AG12" s="65" t="n">
        <v>360.3</v>
      </c>
      <c r="AH12" s="65" t="n">
        <v>326.8</v>
      </c>
      <c r="AI12" s="65" t="n">
        <v>374.5</v>
      </c>
      <c r="AJ12" s="65" t="n">
        <v>317.1</v>
      </c>
      <c r="AK12" s="65" t="n">
        <v>346.6</v>
      </c>
      <c r="AL12" s="65" t="n">
        <v>362.8</v>
      </c>
      <c r="AM12" s="65" t="n">
        <v>350.4</v>
      </c>
      <c r="AN12" s="65" t="n">
        <v>438.3</v>
      </c>
      <c r="AO12" s="65" t="n">
        <v>443.4</v>
      </c>
    </row>
    <row r="13">
      <c r="A13" s="64" t="inlineStr">
        <is>
          <t>자기자본</t>
        </is>
      </c>
      <c r="B13" s="66" t="n"/>
      <c r="C13" s="66" t="n">
        <v>451.6</v>
      </c>
      <c r="D13" s="66" t="n"/>
      <c r="E13" s="66" t="n"/>
      <c r="F13" s="66" t="n">
        <v>497.1</v>
      </c>
      <c r="G13" s="66" t="n">
        <v>501.5</v>
      </c>
      <c r="H13" s="66" t="n">
        <v>512.7</v>
      </c>
      <c r="I13" s="66" t="n">
        <v>533.9</v>
      </c>
      <c r="J13" s="66" t="n">
        <v>538.4</v>
      </c>
      <c r="K13" s="66" t="n">
        <v>499</v>
      </c>
      <c r="L13" s="66" t="n">
        <v>554.8</v>
      </c>
      <c r="M13" s="66" t="n">
        <v>570.7</v>
      </c>
      <c r="N13" s="66" t="n">
        <v>584.3</v>
      </c>
      <c r="O13" s="66" t="n">
        <v>549.5</v>
      </c>
      <c r="P13" s="66" t="n">
        <v>610</v>
      </c>
      <c r="Q13" s="66" t="n">
        <v>626</v>
      </c>
      <c r="R13" s="66" t="n">
        <v>635.4</v>
      </c>
      <c r="S13" s="66" t="n">
        <v>602.5</v>
      </c>
      <c r="T13" s="66" t="n">
        <v>675.2</v>
      </c>
      <c r="U13" s="66" t="n">
        <v>688.3</v>
      </c>
      <c r="V13" s="66" t="n">
        <v>711.3</v>
      </c>
      <c r="W13" s="66" t="n">
        <v>674.3</v>
      </c>
      <c r="X13" s="66" t="n">
        <v>788.1</v>
      </c>
      <c r="Y13" s="66" t="n">
        <v>829.5</v>
      </c>
      <c r="Z13" s="66" t="n">
        <v>841.9</v>
      </c>
      <c r="AA13" s="66" t="n">
        <v>875</v>
      </c>
      <c r="AB13" s="66" t="n">
        <v>896.1</v>
      </c>
      <c r="AC13" s="66" t="n">
        <v>918.2</v>
      </c>
      <c r="AD13" s="66" t="n">
        <v>918.9</v>
      </c>
      <c r="AE13" s="66" t="n">
        <v>836.5</v>
      </c>
      <c r="AF13" s="66" t="n">
        <v>976.4</v>
      </c>
      <c r="AG13" s="66" t="n">
        <v>988.7</v>
      </c>
      <c r="AH13" s="66" t="n">
        <v>1025.4</v>
      </c>
      <c r="AI13" s="66" t="n">
        <v>1040.5</v>
      </c>
      <c r="AJ13" s="66" t="n">
        <v>1054.5</v>
      </c>
      <c r="AK13" s="66" t="n">
        <v>1097.9</v>
      </c>
      <c r="AL13" s="66" t="n">
        <v>1131.4</v>
      </c>
      <c r="AM13" s="66" t="n">
        <v>1172.2</v>
      </c>
      <c r="AN13" s="66" t="n">
        <v>1230</v>
      </c>
      <c r="AO13" s="66" t="n">
        <v>1274.7</v>
      </c>
    </row>
    <row r="14">
      <c r="A14" s="64" t="inlineStr">
        <is>
          <t>유동비율</t>
        </is>
      </c>
      <c r="B14" s="66" t="n"/>
      <c r="C14" s="66" t="n">
        <v>444.6</v>
      </c>
      <c r="D14" s="66" t="n"/>
      <c r="E14" s="66" t="n"/>
      <c r="F14" s="66" t="n">
        <v>346.8</v>
      </c>
      <c r="G14" s="66" t="n">
        <v>321.7</v>
      </c>
      <c r="H14" s="66" t="n">
        <v>312.1</v>
      </c>
      <c r="I14" s="66" t="n">
        <v>284.5</v>
      </c>
      <c r="J14" s="66" t="n">
        <v>365</v>
      </c>
      <c r="K14" s="66" t="n">
        <v>343.9</v>
      </c>
      <c r="L14" s="66" t="n">
        <v>477.3</v>
      </c>
      <c r="M14" s="66" t="n">
        <v>400.4</v>
      </c>
      <c r="N14" s="66" t="n">
        <v>451.7</v>
      </c>
      <c r="O14" s="66" t="n">
        <v>421.3</v>
      </c>
      <c r="P14" s="66" t="n">
        <v>533.6</v>
      </c>
      <c r="Q14" s="66" t="n">
        <v>592.4</v>
      </c>
      <c r="R14" s="66" t="n">
        <v>641.9</v>
      </c>
      <c r="S14" s="66" t="n">
        <v>496.4</v>
      </c>
      <c r="T14" s="66" t="n">
        <v>573.9</v>
      </c>
      <c r="U14" s="66" t="n">
        <v>324.9</v>
      </c>
      <c r="V14" s="66" t="n">
        <v>506.2</v>
      </c>
      <c r="W14" s="66" t="n">
        <v>292</v>
      </c>
      <c r="X14" s="66" t="n">
        <v>303.7</v>
      </c>
      <c r="Y14" s="66" t="n">
        <v>377.8</v>
      </c>
      <c r="Z14" s="66" t="n">
        <v>234.2</v>
      </c>
      <c r="AA14" s="66" t="n">
        <v>231.5</v>
      </c>
      <c r="AB14" s="66" t="n">
        <v>501.9</v>
      </c>
      <c r="AC14" s="66" t="n">
        <v>485.1</v>
      </c>
      <c r="AD14" s="66" t="n">
        <v>568.9</v>
      </c>
      <c r="AE14" s="66" t="n">
        <v>351.2</v>
      </c>
      <c r="AF14" s="66" t="n">
        <v>419.2</v>
      </c>
      <c r="AG14" s="66" t="n">
        <v>440.3</v>
      </c>
      <c r="AH14" s="66" t="n">
        <v>524.5</v>
      </c>
      <c r="AI14" s="66" t="n">
        <v>362.6</v>
      </c>
      <c r="AJ14" s="66" t="n">
        <v>467.1</v>
      </c>
      <c r="AK14" s="66" t="n">
        <v>395.7</v>
      </c>
      <c r="AL14" s="66" t="n">
        <v>373.8</v>
      </c>
      <c r="AM14" s="66" t="n">
        <v>395.6</v>
      </c>
      <c r="AN14" s="66" t="n">
        <v>277.4</v>
      </c>
      <c r="AO14" s="66" t="n">
        <v>285.7</v>
      </c>
    </row>
    <row r="15">
      <c r="A15" s="64" t="inlineStr">
        <is>
          <t>부채비율</t>
        </is>
      </c>
      <c r="B15" s="66" t="n"/>
      <c r="C15" s="66" t="n">
        <v>25.3</v>
      </c>
      <c r="D15" s="66" t="n"/>
      <c r="E15" s="66" t="n"/>
      <c r="F15" s="66" t="n">
        <v>28.3</v>
      </c>
      <c r="G15" s="66" t="n">
        <v>28.1</v>
      </c>
      <c r="H15" s="66" t="n">
        <v>26.6</v>
      </c>
      <c r="I15" s="66" t="n">
        <v>28.5</v>
      </c>
      <c r="J15" s="66" t="n">
        <v>19.2</v>
      </c>
      <c r="K15" s="66" t="n">
        <v>17.4</v>
      </c>
      <c r="L15" s="66" t="n">
        <v>15</v>
      </c>
      <c r="M15" s="66" t="n">
        <v>17.4</v>
      </c>
      <c r="N15" s="66" t="n">
        <v>16</v>
      </c>
      <c r="O15" s="66" t="n">
        <v>15.6</v>
      </c>
      <c r="P15" s="66" t="n">
        <v>14.2</v>
      </c>
      <c r="Q15" s="66" t="n">
        <v>13.7</v>
      </c>
      <c r="R15" s="66" t="n">
        <v>13.1</v>
      </c>
      <c r="S15" s="66" t="n">
        <v>15.7</v>
      </c>
      <c r="T15" s="66" t="n">
        <v>14.9</v>
      </c>
      <c r="U15" s="66" t="n">
        <v>24.6</v>
      </c>
      <c r="V15" s="66" t="n">
        <v>15.3</v>
      </c>
      <c r="W15" s="66" t="n">
        <v>24.6</v>
      </c>
      <c r="X15" s="66" t="n">
        <v>23.9</v>
      </c>
      <c r="Y15" s="66" t="n">
        <v>19.3</v>
      </c>
      <c r="Z15" s="66" t="n">
        <v>27.9</v>
      </c>
      <c r="AA15" s="66" t="n">
        <v>29.7</v>
      </c>
      <c r="AB15" s="66" t="n">
        <v>38.8</v>
      </c>
      <c r="AC15" s="66" t="n">
        <v>39</v>
      </c>
      <c r="AD15" s="66" t="n">
        <v>36.2</v>
      </c>
      <c r="AE15" s="66" t="n">
        <v>45.3</v>
      </c>
      <c r="AF15" s="66" t="n">
        <v>39.5</v>
      </c>
      <c r="AG15" s="66" t="n">
        <v>36.4</v>
      </c>
      <c r="AH15" s="66" t="n">
        <v>31.9</v>
      </c>
      <c r="AI15" s="66" t="n">
        <v>36</v>
      </c>
      <c r="AJ15" s="66" t="n">
        <v>30.1</v>
      </c>
      <c r="AK15" s="66" t="n">
        <v>31.6</v>
      </c>
      <c r="AL15" s="66" t="n">
        <v>32.1</v>
      </c>
      <c r="AM15" s="66" t="n">
        <v>29.9</v>
      </c>
      <c r="AN15" s="66" t="n">
        <v>35.6</v>
      </c>
      <c r="AO15" s="66" t="n">
        <v>34.8</v>
      </c>
    </row>
    <row r="16">
      <c r="A16" s="64" t="inlineStr">
        <is>
          <t>순차입금/자기자본</t>
        </is>
      </c>
      <c r="B16" s="66" t="n"/>
      <c r="C16" s="66" t="n">
        <v>-54.2</v>
      </c>
      <c r="D16" s="66" t="n"/>
      <c r="E16" s="66" t="n"/>
      <c r="F16" s="66" t="n">
        <v>-40.9</v>
      </c>
      <c r="G16" s="66" t="n">
        <v>-37.8</v>
      </c>
      <c r="H16" s="66" t="n">
        <v>-32.7</v>
      </c>
      <c r="I16" s="66" t="n">
        <v>-33.1</v>
      </c>
      <c r="J16" s="66" t="n">
        <v>-18.4</v>
      </c>
      <c r="K16" s="66" t="n">
        <v>-15.1</v>
      </c>
      <c r="L16" s="66" t="n">
        <v>-21.2</v>
      </c>
      <c r="M16" s="66" t="n">
        <v>-24</v>
      </c>
      <c r="N16" s="66" t="n">
        <v>-24.2</v>
      </c>
      <c r="O16" s="66" t="n">
        <v>-23.1</v>
      </c>
      <c r="P16" s="66" t="n">
        <v>-29.2</v>
      </c>
      <c r="Q16" s="66" t="n">
        <v>-32</v>
      </c>
      <c r="R16" s="66" t="n">
        <v>-32.2</v>
      </c>
      <c r="S16" s="66" t="n">
        <v>-36.3</v>
      </c>
      <c r="T16" s="66" t="n">
        <v>-38.4</v>
      </c>
      <c r="U16" s="66" t="n">
        <v>-38.9</v>
      </c>
      <c r="V16" s="66" t="n">
        <v>-28.3</v>
      </c>
      <c r="W16" s="66" t="n">
        <v>-29.7</v>
      </c>
      <c r="X16" s="66" t="n">
        <v>-25.4</v>
      </c>
      <c r="Y16" s="66" t="n">
        <v>-25.7</v>
      </c>
      <c r="Z16" s="66" t="n">
        <v>-20.8</v>
      </c>
      <c r="AA16" s="66" t="n">
        <v>-26.8</v>
      </c>
      <c r="AB16" s="66" t="n">
        <v>-11.6</v>
      </c>
      <c r="AC16" s="66" t="n">
        <v>-10.2</v>
      </c>
      <c r="AD16" s="66" t="n">
        <v>-6</v>
      </c>
      <c r="AE16" s="66" t="n">
        <v>-6.3</v>
      </c>
      <c r="AF16" s="66" t="n">
        <v>-12.8</v>
      </c>
      <c r="AG16" s="66" t="n">
        <v>-12.1</v>
      </c>
      <c r="AH16" s="66" t="n">
        <v>-7.5</v>
      </c>
      <c r="AI16" s="66" t="n">
        <v>-10.9</v>
      </c>
      <c r="AJ16" s="66" t="n">
        <v>-7.6</v>
      </c>
      <c r="AK16" s="66" t="n">
        <v>-13.3</v>
      </c>
      <c r="AL16" s="66" t="n">
        <v>-16.6</v>
      </c>
      <c r="AM16" s="66" t="n">
        <v>-20.6</v>
      </c>
      <c r="AN16" s="66" t="n">
        <v>-18.2</v>
      </c>
      <c r="AO16" s="66" t="n">
        <v>-26.3</v>
      </c>
    </row>
    <row r="17">
      <c r="A17" s="64" t="inlineStr">
        <is>
          <t>재고자산</t>
        </is>
      </c>
      <c r="B17" s="65" t="n"/>
      <c r="C17" s="65" t="n">
        <v>59.1</v>
      </c>
      <c r="D17" s="65" t="n"/>
      <c r="E17" s="65" t="n"/>
      <c r="F17" s="65" t="n">
        <v>68.8</v>
      </c>
      <c r="G17" s="65" t="n">
        <v>80.09999999999999</v>
      </c>
      <c r="H17" s="65" t="n">
        <v>81.2</v>
      </c>
      <c r="I17" s="65" t="n">
        <v>81.09999999999999</v>
      </c>
      <c r="J17" s="65" t="n">
        <v>81.3</v>
      </c>
      <c r="K17" s="65" t="n">
        <v>60.4</v>
      </c>
      <c r="L17" s="65" t="n">
        <v>78.09999999999999</v>
      </c>
      <c r="M17" s="65" t="n">
        <v>79.09999999999999</v>
      </c>
      <c r="N17" s="65" t="n">
        <v>80.3</v>
      </c>
      <c r="O17" s="65" t="n">
        <v>61.2</v>
      </c>
      <c r="P17" s="65" t="n">
        <v>81.90000000000001</v>
      </c>
      <c r="Q17" s="65" t="n">
        <v>86.2</v>
      </c>
      <c r="R17" s="65" t="n">
        <v>83.3</v>
      </c>
      <c r="S17" s="65" t="n">
        <v>61.5</v>
      </c>
      <c r="T17" s="65" t="n">
        <v>79.7</v>
      </c>
      <c r="U17" s="65" t="n">
        <v>89.8</v>
      </c>
      <c r="V17" s="65" t="n">
        <v>100.7</v>
      </c>
      <c r="W17" s="65" t="n">
        <v>89</v>
      </c>
      <c r="X17" s="65" t="n">
        <v>134.3</v>
      </c>
      <c r="Y17" s="65" t="n">
        <v>138.9</v>
      </c>
      <c r="Z17" s="65" t="n">
        <v>149.3</v>
      </c>
      <c r="AA17" s="65" t="n">
        <v>160.4</v>
      </c>
      <c r="AB17" s="65" t="n">
        <v>180.8</v>
      </c>
      <c r="AC17" s="65" t="n">
        <v>193.1</v>
      </c>
      <c r="AD17" s="65" t="n">
        <v>181.5</v>
      </c>
      <c r="AE17" s="65" t="n">
        <v>133.2</v>
      </c>
      <c r="AF17" s="65" t="n">
        <v>158.7</v>
      </c>
      <c r="AG17" s="65" t="n">
        <v>164.1</v>
      </c>
      <c r="AH17" s="65" t="n">
        <v>176.5</v>
      </c>
      <c r="AI17" s="65" t="n">
        <v>181.6</v>
      </c>
      <c r="AJ17" s="65" t="n">
        <v>179.2</v>
      </c>
      <c r="AK17" s="65" t="n">
        <v>184.8</v>
      </c>
      <c r="AL17" s="65" t="n">
        <v>178.5</v>
      </c>
      <c r="AM17" s="65" t="n">
        <v>184.1</v>
      </c>
      <c r="AN17" s="65" t="n">
        <v>182.8</v>
      </c>
      <c r="AO17" s="65" t="n">
        <v>200.6</v>
      </c>
    </row>
    <row r="18">
      <c r="A18" s="64" t="inlineStr">
        <is>
          <t>재고자산 회전일수</t>
        </is>
      </c>
      <c r="B18" s="65" t="n"/>
      <c r="C18" s="65" t="n">
        <v>103</v>
      </c>
      <c r="D18" s="65" t="n"/>
      <c r="E18" s="65" t="n"/>
      <c r="F18" s="65" t="n">
        <v>100</v>
      </c>
      <c r="G18" s="65" t="n">
        <v>125</v>
      </c>
      <c r="H18" s="65" t="n">
        <v>117</v>
      </c>
      <c r="I18" s="65" t="n">
        <v>118</v>
      </c>
      <c r="J18" s="65" t="n">
        <v>104</v>
      </c>
      <c r="K18" s="65" t="n">
        <v>314</v>
      </c>
      <c r="L18" s="65" t="n">
        <v>114</v>
      </c>
      <c r="M18" s="65" t="n">
        <v>111</v>
      </c>
      <c r="N18" s="65" t="n">
        <v>110</v>
      </c>
      <c r="O18" s="65" t="n">
        <v>86</v>
      </c>
      <c r="P18" s="65" t="n">
        <v>119</v>
      </c>
      <c r="Q18" s="65" t="n">
        <v>127</v>
      </c>
      <c r="R18" s="65" t="n">
        <v>115</v>
      </c>
      <c r="S18" s="65" t="n">
        <v>81</v>
      </c>
      <c r="T18" s="65" t="n">
        <v>94</v>
      </c>
      <c r="U18" s="65" t="n">
        <v>110</v>
      </c>
      <c r="V18" s="65" t="n">
        <v>107</v>
      </c>
      <c r="W18" s="65" t="n">
        <v>229</v>
      </c>
      <c r="X18" s="65" t="n">
        <v>116</v>
      </c>
      <c r="Y18" s="65" t="n">
        <v>120</v>
      </c>
      <c r="Z18" s="65" t="n">
        <v>139</v>
      </c>
      <c r="AA18" s="65" t="n">
        <v>158</v>
      </c>
      <c r="AB18" s="65" t="n">
        <v>204</v>
      </c>
      <c r="AC18" s="65" t="n">
        <v>201</v>
      </c>
      <c r="AD18" s="65" t="n">
        <v>150</v>
      </c>
      <c r="AE18" s="65" t="n">
        <v>114</v>
      </c>
      <c r="AF18" s="65" t="n">
        <v>129</v>
      </c>
      <c r="AG18" s="65" t="n">
        <v>140</v>
      </c>
      <c r="AH18" s="65" t="n">
        <v>152</v>
      </c>
      <c r="AI18" s="65" t="n">
        <v>396</v>
      </c>
      <c r="AJ18" s="65" t="n">
        <v>143</v>
      </c>
      <c r="AK18" s="65" t="n">
        <v>147</v>
      </c>
      <c r="AL18" s="65" t="n">
        <v>127</v>
      </c>
      <c r="AM18" s="65" t="n">
        <v>367</v>
      </c>
      <c r="AN18" s="65" t="n">
        <v>121</v>
      </c>
      <c r="AO18" s="65" t="n">
        <v>144</v>
      </c>
    </row>
    <row r="19">
      <c r="A19" s="64" t="inlineStr">
        <is>
          <t>매출채권 회전일수</t>
        </is>
      </c>
      <c r="B19" s="65" t="n"/>
      <c r="C19" s="65" t="n">
        <v>94</v>
      </c>
      <c r="D19" s="65" t="n"/>
      <c r="E19" s="65" t="n"/>
      <c r="F19" s="65" t="n">
        <v>101</v>
      </c>
      <c r="G19" s="65" t="n">
        <v>103</v>
      </c>
      <c r="H19" s="65" t="n">
        <v>97</v>
      </c>
      <c r="I19" s="65" t="n">
        <v>99</v>
      </c>
      <c r="J19" s="65" t="n">
        <v>98</v>
      </c>
      <c r="K19" s="65" t="n">
        <v>472</v>
      </c>
      <c r="L19" s="65" t="n">
        <v>98</v>
      </c>
      <c r="M19" s="65" t="n">
        <v>92</v>
      </c>
      <c r="N19" s="65" t="n">
        <v>96</v>
      </c>
      <c r="O19" s="65" t="n">
        <v>93</v>
      </c>
      <c r="P19" s="65" t="n">
        <v>90</v>
      </c>
      <c r="Q19" s="65" t="n">
        <v>88</v>
      </c>
      <c r="R19" s="65" t="n">
        <v>93</v>
      </c>
      <c r="S19" s="65" t="n">
        <v>87</v>
      </c>
      <c r="T19" s="65" t="n">
        <v>84</v>
      </c>
      <c r="U19" s="65" t="n">
        <v>88</v>
      </c>
      <c r="V19" s="65" t="n">
        <v>87</v>
      </c>
      <c r="W19" s="65" t="n">
        <v>208</v>
      </c>
      <c r="X19" s="65" t="n">
        <v>84</v>
      </c>
      <c r="Y19" s="65" t="n">
        <v>83</v>
      </c>
      <c r="Z19" s="65" t="n">
        <v>87</v>
      </c>
      <c r="AA19" s="65" t="n">
        <v>86</v>
      </c>
      <c r="AB19" s="65" t="n">
        <v>89</v>
      </c>
      <c r="AC19" s="65" t="n">
        <v>100</v>
      </c>
      <c r="AD19" s="65" t="n">
        <v>90</v>
      </c>
      <c r="AE19" s="65" t="n">
        <v>95</v>
      </c>
      <c r="AF19" s="65" t="n">
        <v>89</v>
      </c>
      <c r="AG19" s="65" t="n">
        <v>85</v>
      </c>
      <c r="AH19" s="65" t="n">
        <v>94</v>
      </c>
      <c r="AI19" s="65" t="n">
        <v>290</v>
      </c>
      <c r="AJ19" s="65" t="n">
        <v>83</v>
      </c>
      <c r="AK19" s="65" t="n">
        <v>83</v>
      </c>
      <c r="AL19" s="65" t="n">
        <v>82</v>
      </c>
      <c r="AM19" s="65" t="n">
        <v>245</v>
      </c>
      <c r="AN19" s="65" t="n">
        <v>78</v>
      </c>
      <c r="AO19" s="65" t="n">
        <v>79</v>
      </c>
    </row>
    <row r="20">
      <c r="A20" s="64" t="inlineStr">
        <is>
          <t>매입채무 회전일수</t>
        </is>
      </c>
      <c r="B20" s="65" t="n"/>
      <c r="C20" s="65" t="n">
        <v>49</v>
      </c>
      <c r="D20" s="65" t="n"/>
      <c r="E20" s="65" t="n"/>
      <c r="F20" s="65" t="n">
        <v>41</v>
      </c>
      <c r="G20" s="65" t="n">
        <v>40</v>
      </c>
      <c r="H20" s="65" t="n">
        <v>32</v>
      </c>
      <c r="I20" s="65" t="n">
        <v>37</v>
      </c>
      <c r="J20" s="65" t="n">
        <v>28</v>
      </c>
      <c r="K20" s="65" t="n">
        <v>95</v>
      </c>
      <c r="L20" s="65" t="n">
        <v>24</v>
      </c>
      <c r="M20" s="65" t="n">
        <v>28</v>
      </c>
      <c r="N20" s="65" t="n">
        <v>27</v>
      </c>
      <c r="O20" s="65" t="n">
        <v>30</v>
      </c>
      <c r="P20" s="65" t="n">
        <v>27</v>
      </c>
      <c r="Q20" s="65" t="n">
        <v>27</v>
      </c>
      <c r="R20" s="65" t="n">
        <v>24</v>
      </c>
      <c r="S20" s="65" t="n">
        <v>29</v>
      </c>
      <c r="T20" s="65" t="n">
        <v>20</v>
      </c>
      <c r="U20" s="65" t="n">
        <v>28</v>
      </c>
      <c r="V20" s="65" t="n">
        <v>27</v>
      </c>
      <c r="W20" s="65" t="n">
        <v>100</v>
      </c>
      <c r="X20" s="65" t="n">
        <v>28</v>
      </c>
      <c r="Y20" s="65" t="n">
        <v>25</v>
      </c>
      <c r="Z20" s="65" t="n">
        <v>27</v>
      </c>
      <c r="AA20" s="65" t="n">
        <v>32</v>
      </c>
      <c r="AB20" s="65" t="n">
        <v>40</v>
      </c>
      <c r="AC20" s="65" t="n">
        <v>34</v>
      </c>
      <c r="AD20" s="65" t="n">
        <v>21</v>
      </c>
      <c r="AE20" s="65" t="n">
        <v>20</v>
      </c>
      <c r="AF20" s="65" t="n">
        <v>26</v>
      </c>
      <c r="AG20" s="65" t="n">
        <v>28</v>
      </c>
      <c r="AH20" s="65" t="n">
        <v>28</v>
      </c>
      <c r="AI20" s="65" t="n">
        <v>67</v>
      </c>
      <c r="AJ20" s="65" t="n">
        <v>24</v>
      </c>
      <c r="AK20" s="65" t="n">
        <v>24</v>
      </c>
      <c r="AL20" s="65" t="n">
        <v>19</v>
      </c>
      <c r="AM20" s="65" t="n">
        <v>57</v>
      </c>
      <c r="AN20" s="65" t="n">
        <v>22</v>
      </c>
      <c r="AO20" s="65" t="n">
        <v>26</v>
      </c>
    </row>
    <row r="21">
      <c r="A21" s="64" t="inlineStr">
        <is>
          <t>현금전환주기(CCC)</t>
        </is>
      </c>
      <c r="B21" s="65" t="n"/>
      <c r="C21" s="65" t="n">
        <v>148</v>
      </c>
      <c r="D21" s="65" t="n"/>
      <c r="E21" s="65" t="n"/>
      <c r="F21" s="65" t="n">
        <v>160</v>
      </c>
      <c r="G21" s="65" t="n">
        <v>188</v>
      </c>
      <c r="H21" s="65" t="n">
        <v>182</v>
      </c>
      <c r="I21" s="65" t="n">
        <v>180</v>
      </c>
      <c r="J21" s="65" t="n">
        <v>174</v>
      </c>
      <c r="K21" s="65" t="n">
        <v>691</v>
      </c>
      <c r="L21" s="65" t="n">
        <v>188</v>
      </c>
      <c r="M21" s="65" t="n">
        <v>175</v>
      </c>
      <c r="N21" s="65" t="n">
        <v>179</v>
      </c>
      <c r="O21" s="65" t="n">
        <v>149</v>
      </c>
      <c r="P21" s="65" t="n">
        <v>182</v>
      </c>
      <c r="Q21" s="65" t="n">
        <v>188</v>
      </c>
      <c r="R21" s="65" t="n">
        <v>184</v>
      </c>
      <c r="S21" s="65" t="n">
        <v>139</v>
      </c>
      <c r="T21" s="65" t="n">
        <v>158</v>
      </c>
      <c r="U21" s="65" t="n">
        <v>170</v>
      </c>
      <c r="V21" s="65" t="n">
        <v>167</v>
      </c>
      <c r="W21" s="65" t="n">
        <v>337</v>
      </c>
      <c r="X21" s="65" t="n">
        <v>172</v>
      </c>
      <c r="Y21" s="65" t="n">
        <v>178</v>
      </c>
      <c r="Z21" s="65" t="n">
        <v>199</v>
      </c>
      <c r="AA21" s="65" t="n">
        <v>212</v>
      </c>
      <c r="AB21" s="65" t="n">
        <v>253</v>
      </c>
      <c r="AC21" s="65" t="n">
        <v>267</v>
      </c>
      <c r="AD21" s="65" t="n">
        <v>219</v>
      </c>
      <c r="AE21" s="65" t="n">
        <v>189</v>
      </c>
      <c r="AF21" s="65" t="n">
        <v>192</v>
      </c>
      <c r="AG21" s="65" t="n">
        <v>197</v>
      </c>
      <c r="AH21" s="65" t="n">
        <v>218</v>
      </c>
      <c r="AI21" s="65" t="n">
        <v>619</v>
      </c>
      <c r="AJ21" s="65" t="n">
        <v>202</v>
      </c>
      <c r="AK21" s="65" t="n">
        <v>206</v>
      </c>
      <c r="AL21" s="65" t="n">
        <v>190</v>
      </c>
      <c r="AM21" s="65" t="n">
        <v>555</v>
      </c>
      <c r="AN21" s="65" t="n">
        <v>177</v>
      </c>
      <c r="AO21" s="65" t="n">
        <v>197</v>
      </c>
    </row>
    <row r="22">
      <c r="A22" s="64" t="inlineStr">
        <is>
          <t>총 차입금</t>
        </is>
      </c>
      <c r="B22" s="65" t="n"/>
      <c r="C22" s="65" t="n">
        <v>0</v>
      </c>
      <c r="D22" s="65" t="n"/>
      <c r="E22" s="65" t="n"/>
      <c r="F22" s="65" t="n">
        <v>0</v>
      </c>
      <c r="G22" s="65" t="n">
        <v>0</v>
      </c>
      <c r="H22" s="65" t="n">
        <v>0</v>
      </c>
      <c r="I22" s="65" t="n">
        <v>0</v>
      </c>
      <c r="J22" s="65" t="n">
        <v>0</v>
      </c>
      <c r="K22" s="65" t="n">
        <v>0</v>
      </c>
      <c r="L22" s="65" t="n">
        <v>0</v>
      </c>
      <c r="M22" s="65" t="n">
        <v>0</v>
      </c>
      <c r="N22" s="65" t="n">
        <v>0</v>
      </c>
      <c r="O22" s="65" t="n">
        <v>0</v>
      </c>
      <c r="P22" s="65" t="n">
        <v>0</v>
      </c>
      <c r="Q22" s="65" t="n">
        <v>0</v>
      </c>
      <c r="R22" s="65" t="n">
        <v>0</v>
      </c>
      <c r="S22" s="65" t="n">
        <v>0</v>
      </c>
      <c r="T22" s="65" t="n">
        <v>0</v>
      </c>
      <c r="U22" s="65" t="n">
        <v>0</v>
      </c>
      <c r="V22" s="65" t="n">
        <v>0</v>
      </c>
      <c r="W22" s="65" t="n">
        <v>0</v>
      </c>
      <c r="X22" s="65" t="n">
        <v>0</v>
      </c>
      <c r="Y22" s="65" t="n">
        <v>0</v>
      </c>
      <c r="Z22" s="65" t="n">
        <v>0</v>
      </c>
      <c r="AA22" s="65" t="n">
        <v>0</v>
      </c>
      <c r="AB22" s="65" t="n">
        <v>200</v>
      </c>
      <c r="AC22" s="65" t="n">
        <v>200</v>
      </c>
      <c r="AD22" s="65" t="n">
        <v>200</v>
      </c>
      <c r="AE22" s="65" t="n">
        <v>200</v>
      </c>
      <c r="AF22" s="65" t="n">
        <v>200</v>
      </c>
      <c r="AG22" s="65" t="n">
        <v>200</v>
      </c>
      <c r="AH22" s="65" t="n">
        <v>200</v>
      </c>
      <c r="AI22" s="65" t="n">
        <v>200</v>
      </c>
      <c r="AJ22" s="65" t="n">
        <v>199</v>
      </c>
      <c r="AK22" s="65" t="n">
        <v>189</v>
      </c>
      <c r="AL22" s="65" t="n">
        <v>180</v>
      </c>
      <c r="AM22" s="65" t="n">
        <v>169</v>
      </c>
      <c r="AN22" s="65" t="n">
        <v>159</v>
      </c>
      <c r="AO22" s="65" t="n">
        <v>149</v>
      </c>
    </row>
    <row r="23">
      <c r="A23" s="64" t="inlineStr">
        <is>
          <t>현금</t>
        </is>
      </c>
      <c r="B23" s="65" t="n"/>
      <c r="C23" s="65" t="n">
        <v>244.7</v>
      </c>
      <c r="D23" s="65" t="n"/>
      <c r="E23" s="65" t="n"/>
      <c r="F23" s="65" t="n">
        <v>203.5</v>
      </c>
      <c r="G23" s="65" t="n">
        <v>189.4</v>
      </c>
      <c r="H23" s="65" t="n">
        <v>167.5</v>
      </c>
      <c r="I23" s="65" t="n">
        <v>176.6</v>
      </c>
      <c r="J23" s="65" t="n">
        <v>98.8</v>
      </c>
      <c r="K23" s="65" t="n">
        <v>75.40000000000001</v>
      </c>
      <c r="L23" s="65" t="n">
        <v>117.8</v>
      </c>
      <c r="M23" s="65" t="n">
        <v>136.8</v>
      </c>
      <c r="N23" s="65" t="n">
        <v>141.6</v>
      </c>
      <c r="O23" s="65" t="n">
        <v>127.2</v>
      </c>
      <c r="P23" s="65" t="n">
        <v>178</v>
      </c>
      <c r="Q23" s="65" t="n">
        <v>200.2</v>
      </c>
      <c r="R23" s="65" t="n">
        <v>204.3</v>
      </c>
      <c r="S23" s="65" t="n">
        <v>218.7</v>
      </c>
      <c r="T23" s="65" t="n">
        <v>259</v>
      </c>
      <c r="U23" s="65" t="n">
        <v>268</v>
      </c>
      <c r="V23" s="65" t="n">
        <v>201.1</v>
      </c>
      <c r="W23" s="65" t="n">
        <v>200.1</v>
      </c>
      <c r="X23" s="65" t="n">
        <v>200.5</v>
      </c>
      <c r="Y23" s="65" t="n">
        <v>213.5</v>
      </c>
      <c r="Z23" s="65" t="n">
        <v>174.9</v>
      </c>
      <c r="AA23" s="65" t="n">
        <v>234.1</v>
      </c>
      <c r="AB23" s="65" t="n">
        <v>303.9</v>
      </c>
      <c r="AC23" s="65" t="n">
        <v>293.8</v>
      </c>
      <c r="AD23" s="65" t="n">
        <v>255.3</v>
      </c>
      <c r="AE23" s="65" t="n">
        <v>252.5</v>
      </c>
      <c r="AF23" s="65" t="n">
        <v>325.3</v>
      </c>
      <c r="AG23" s="65" t="n">
        <v>319.2</v>
      </c>
      <c r="AH23" s="65" t="n">
        <v>277.3</v>
      </c>
      <c r="AI23" s="65" t="n">
        <v>313</v>
      </c>
      <c r="AJ23" s="65" t="n">
        <v>278.7</v>
      </c>
      <c r="AK23" s="65" t="n">
        <v>334.6</v>
      </c>
      <c r="AL23" s="65" t="n">
        <v>367.3</v>
      </c>
      <c r="AM23" s="65" t="n">
        <v>410.1</v>
      </c>
      <c r="AN23" s="65" t="n">
        <v>382.9</v>
      </c>
      <c r="AO23" s="65" t="n">
        <v>484.5</v>
      </c>
    </row>
    <row r="24">
      <c r="A24" s="64" t="inlineStr">
        <is>
          <t>부문별 매출 · ライフサイエンス事業、報告セグメント 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85.3</v>
      </c>
      <c r="AC24" s="65" t="n">
        <v>84.5</v>
      </c>
      <c r="AD24" s="65" t="n">
        <v>88.7</v>
      </c>
      <c r="AE24" s="65" t="n"/>
      <c r="AF24" s="65" t="n">
        <v>93.90000000000001</v>
      </c>
      <c r="AG24" s="65" t="n">
        <v>92.8</v>
      </c>
      <c r="AH24" s="65" t="n">
        <v>88.40000000000001</v>
      </c>
      <c r="AI24" s="65" t="n"/>
      <c r="AJ24" s="65" t="n">
        <v>89.59999999999999</v>
      </c>
      <c r="AK24" s="65" t="n">
        <v>88.3</v>
      </c>
      <c r="AL24" s="65" t="n">
        <v>86.09999999999999</v>
      </c>
      <c r="AM24" s="65" t="n"/>
      <c r="AN24" s="65" t="n">
        <v>98.5</v>
      </c>
      <c r="AO24" s="65" t="n">
        <v>99.8</v>
      </c>
      <c r="AP24" s="61" t="inlineStr">
        <is>
          <t>결산단신 부문 정보(외부 고객 매출)</t>
        </is>
      </c>
    </row>
    <row r="25">
      <c r="A25" s="64" t="inlineStr">
        <is>
          <t>부문별 매출 · 電子材料事業、報告セグメント [メンバー]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51.1</v>
      </c>
      <c r="AC25" s="65" t="n">
        <v>50.5</v>
      </c>
      <c r="AD25" s="65" t="n">
        <v>71.3</v>
      </c>
      <c r="AE25" s="65" t="n"/>
      <c r="AF25" s="65" t="n">
        <v>80.40000000000001</v>
      </c>
      <c r="AG25" s="65" t="n">
        <v>80.5</v>
      </c>
      <c r="AH25" s="65" t="n">
        <v>88.3</v>
      </c>
      <c r="AI25" s="65" t="n"/>
      <c r="AJ25" s="65" t="n">
        <v>97</v>
      </c>
      <c r="AK25" s="65" t="n">
        <v>102.2</v>
      </c>
      <c r="AL25" s="65" t="n">
        <v>116.1</v>
      </c>
      <c r="AM25" s="65" t="n"/>
      <c r="AN25" s="65" t="n">
        <v>129.7</v>
      </c>
      <c r="AO25" s="65" t="n">
        <v>128</v>
      </c>
      <c r="AP25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2026-10-30T11:49:16Z</dcterms:created>
  <dcterms:modified xmlns:dcterms="http://purl.org/dc/terms/" xmlns:xsi="http://www.w3.org/2001/XMLSchema-instance" xsi:type="dcterms:W3CDTF">2026-10-30T11:49:35Z</dcterms:modified>
</cp:coreProperties>
</file>