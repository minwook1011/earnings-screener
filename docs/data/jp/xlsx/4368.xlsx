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5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7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3" fillId="8" borderId="0" applyAlignment="1" pivotButton="0" quotePrefix="0" xfId="0">
      <alignment horizontal="center"/>
    </xf>
    <xf numFmtId="0" fontId="24" fillId="0" borderId="0" pivotButton="0" quotePrefix="0" xfId="0"/>
    <xf numFmtId="3" fontId="24" fillId="0" borderId="0" pivotButton="0" quotePrefix="0" xfId="0"/>
    <xf numFmtId="170" fontId="24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부문별 매출 (억 엔)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'재무제표 한눈에 보기'!A24</f>
            </strRef>
          </tx>
          <spPr>
            <a:ln xmlns:a="http://schemas.openxmlformats.org/drawingml/2006/main"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보기'!$B$24:$AO$24</f>
            </numRef>
          </val>
          <smooth val="0"/>
        </ser>
        <ser>
          <idx val="1"/>
          <order val="1"/>
          <tx>
            <strRef>
              <f>'재무제표 한눈에 보기'!A25</f>
            </strRef>
          </tx>
          <spPr>
            <a:ln xmlns:a="http://schemas.openxmlformats.org/drawingml/2006/main" w="22000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보기'!$B$25:$AO$25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27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46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22</col>
      <colOff>0</colOff>
      <row>46</row>
      <rowOff>0</rowOff>
    </from>
    <ext cx="864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6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4368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15999.892</v>
      </c>
      <c r="D4" s="12" t="n">
        <v>15835.24</v>
      </c>
      <c r="E4" s="12" t="n">
        <v>17431.688</v>
      </c>
      <c r="F4" s="12" t="n">
        <v>17324.665</v>
      </c>
      <c r="G4" s="12" t="n">
        <v>17664.282</v>
      </c>
      <c r="H4" s="12" t="n">
        <v>5030.191</v>
      </c>
      <c r="I4" s="12" t="n">
        <v>18658.089</v>
      </c>
      <c r="J4" s="12" t="n">
        <v>19047.799</v>
      </c>
      <c r="K4" s="12" t="n">
        <v>20223.08</v>
      </c>
      <c r="L4" s="12" t="n">
        <v>6170.108</v>
      </c>
      <c r="M4" s="12" t="n">
        <v>22819.442</v>
      </c>
      <c r="N4" s="12" t="n">
        <v>22777.177</v>
      </c>
      <c r="O4" s="11" t="n">
        <v>36224.356</v>
      </c>
      <c r="P4" s="12" t="n">
        <v>40221.619</v>
      </c>
      <c r="Q4" s="12" t="n">
        <v>34504.967</v>
      </c>
      <c r="R4" s="12" t="n">
        <v>41310.689</v>
      </c>
      <c r="S4" s="12" t="n">
        <v>42209.38</v>
      </c>
      <c r="T4" s="12" t="n">
        <v>46166.438</v>
      </c>
      <c r="U4" s="12" t="n">
        <v>68459.39200000001</v>
      </c>
      <c r="V4" s="12" t="n">
        <v>58970.273</v>
      </c>
      <c r="W4" s="12" t="n">
        <v>57450.826</v>
      </c>
      <c r="X4" s="12" t="n">
        <v>64099.076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Life Science Business Unit</t>
        </is>
      </c>
      <c r="B7" s="10" t="n"/>
      <c r="C7" s="19" t="n">
        <v>8868.972</v>
      </c>
      <c r="D7" s="20" t="n"/>
      <c r="E7" s="20" t="n">
        <v>9389.278</v>
      </c>
      <c r="F7" s="20" t="n">
        <v>9279.262000000001</v>
      </c>
      <c r="G7" s="20" t="n">
        <v>8836.409</v>
      </c>
      <c r="H7" s="20" t="n"/>
      <c r="I7" s="20" t="n">
        <v>8955.786</v>
      </c>
      <c r="J7" s="20" t="n">
        <v>8827.664000000001</v>
      </c>
      <c r="K7" s="20" t="n">
        <v>8613.153</v>
      </c>
      <c r="L7" s="20" t="n"/>
      <c r="M7" s="20" t="n">
        <v>9845.598</v>
      </c>
      <c r="N7" s="20" t="n">
        <v>9981.59</v>
      </c>
      <c r="O7" s="19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전자재료 사업</t>
        </is>
      </c>
      <c r="B10" s="10" t="n"/>
      <c r="C10" s="19" t="n">
        <v>7130.921</v>
      </c>
      <c r="D10" s="20" t="n"/>
      <c r="E10" s="20" t="n">
        <v>8042.41</v>
      </c>
      <c r="F10" s="20" t="n">
        <v>8045.403</v>
      </c>
      <c r="G10" s="20" t="n">
        <v>8827.873</v>
      </c>
      <c r="H10" s="20" t="n"/>
      <c r="I10" s="20" t="n">
        <v>9702.302</v>
      </c>
      <c r="J10" s="20" t="n">
        <v>10220.136</v>
      </c>
      <c r="K10" s="20" t="n">
        <v>11609.926</v>
      </c>
      <c r="L10" s="20" t="n"/>
      <c r="M10" s="20" t="n">
        <v>12973.844</v>
      </c>
      <c r="N10" s="20" t="n">
        <v>12795.586</v>
      </c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Life Science Business Unit Reportable Segments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34142.983</v>
      </c>
      <c r="W13" s="20" t="n">
        <v>36287.718</v>
      </c>
      <c r="X13" s="20" t="n">
        <v>35411.14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Electronic Materials And Functional Chemicals Business Unit</t>
        </is>
      </c>
      <c r="B16" s="10" t="n"/>
      <c r="C16" s="19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>
        <v>24827.289</v>
      </c>
      <c r="W16" s="20" t="n">
        <v>33213.808</v>
      </c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전자재료 사업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>
        <v>33213.808</v>
      </c>
      <c r="X19" s="20" t="n">
        <v>41514.883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10986.496</v>
      </c>
      <c r="D23" s="20" t="n">
        <v>10595.549</v>
      </c>
      <c r="E23" s="20" t="n">
        <v>11188.897</v>
      </c>
      <c r="F23" s="20" t="n">
        <v>10651.915</v>
      </c>
      <c r="G23" s="20" t="n">
        <v>10602.786</v>
      </c>
      <c r="H23" s="20" t="n">
        <v>4173.666</v>
      </c>
      <c r="I23" s="20" t="n">
        <v>11444.179</v>
      </c>
      <c r="J23" s="20" t="n">
        <v>11429.835</v>
      </c>
      <c r="K23" s="20" t="n">
        <v>12735.021</v>
      </c>
      <c r="L23" s="20" t="n">
        <v>4555.643</v>
      </c>
      <c r="M23" s="20" t="n">
        <v>13714.233</v>
      </c>
      <c r="N23" s="20" t="n">
        <v>12667.61</v>
      </c>
      <c r="O23" s="19" t="n">
        <v>19965.499</v>
      </c>
      <c r="P23" s="20" t="n">
        <v>22980.128</v>
      </c>
      <c r="Q23" s="20" t="n">
        <v>21451.597</v>
      </c>
      <c r="R23" s="20" t="n">
        <v>25896.348</v>
      </c>
      <c r="S23" s="20" t="n">
        <v>25861.584</v>
      </c>
      <c r="T23" s="20" t="n">
        <v>27225.691</v>
      </c>
      <c r="U23" s="20" t="n">
        <v>40048.359</v>
      </c>
      <c r="V23" s="20" t="n">
        <v>38396.998</v>
      </c>
      <c r="W23" s="20" t="n">
        <v>36617.264</v>
      </c>
      <c r="X23" s="20" t="n">
        <v>40164.678</v>
      </c>
      <c r="Y23" s="19" t="n"/>
      <c r="Z23" s="20" t="n"/>
      <c r="AA23" s="20" t="n"/>
      <c r="AB23" s="20" t="n"/>
      <c r="AC23" s="20" t="n"/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IF(OR(G23="",C23=""),"",IF(C23&lt;=0,"",IFERROR(G23/C23-1,"")))</f>
        <v/>
      </c>
      <c r="H24" s="15">
        <f>IF(OR(H23="",D23=""),"",IF(D23&lt;=0,"",IFERROR(H23/D23-1,"")))</f>
        <v/>
      </c>
      <c r="I24" s="15">
        <f>IF(OR(I23="",E23=""),"",IF(E23&lt;=0,"",IFERROR(I23/E23-1,"")))</f>
        <v/>
      </c>
      <c r="J24" s="15">
        <f>IF(OR(J23="",F23=""),"",IF(F23&lt;=0,"",IFERROR(J23/F23-1,"")))</f>
        <v/>
      </c>
      <c r="K24" s="15">
        <f>IF(OR(K23="",G23=""),"",IF(G23&lt;=0,"",IFERROR(K23/G23-1,"")))</f>
        <v/>
      </c>
      <c r="L24" s="15">
        <f>IF(OR(L23="",H23=""),"",IF(H23&lt;=0,"",IFERROR(L23/H23-1,"")))</f>
        <v/>
      </c>
      <c r="M24" s="15">
        <f>IF(OR(M23="",I23=""),"",IF(I23&lt;=0,"",IFERROR(M23/I23-1,"")))</f>
        <v/>
      </c>
      <c r="N24" s="15">
        <f>IF(OR(N23="",J23=""),"",IF(J23&lt;=0,"",IFERROR(N23/J23-1,"")))</f>
        <v/>
      </c>
      <c r="O24" s="14" t="n"/>
      <c r="P24" s="15">
        <f>IF(OR(P23="",O23=""),"",IF(O23&lt;=0,"",IFERROR(P23/O23-1,"")))</f>
        <v/>
      </c>
      <c r="Q24" s="15">
        <f>IF(OR(Q23="",P23=""),"",IF(P23&lt;=0,"",IFERROR(Q23/P23-1,"")))</f>
        <v/>
      </c>
      <c r="R24" s="15">
        <f>IF(OR(R23="",Q23=""),"",IF(Q23&lt;=0,"",IFERROR(R23/Q23-1,"")))</f>
        <v/>
      </c>
      <c r="S24" s="15">
        <f>IF(OR(S23="",R23=""),"",IF(R23&lt;=0,"",IFERROR(S23/R23-1,"")))</f>
        <v/>
      </c>
      <c r="T24" s="15">
        <f>IF(OR(T23="",S23=""),"",IF(S23&lt;=0,"",IFERROR(T23/S23-1,"")))</f>
        <v/>
      </c>
      <c r="U24" s="15">
        <f>IF(OR(U23="",T23=""),"",IF(T23&lt;=0,"",IFERROR(U23/T23-1,"")))</f>
        <v/>
      </c>
      <c r="V24" s="15">
        <f>IF(OR(V23="",U23=""),"",IF(U23&lt;=0,"",IFERROR(V23/U23-1,"")))</f>
        <v/>
      </c>
      <c r="W24" s="15">
        <f>IF(OR(W23="",V23=""),"",IF(V23&lt;=0,"",IFERROR(W23/V23-1,"")))</f>
        <v/>
      </c>
      <c r="X24" s="15">
        <f>IF(OR(X23="",W23=""),"",IF(W23&lt;=0,"",IFERROR(X23/W23-1,"")))</f>
        <v/>
      </c>
      <c r="Y24" s="14">
        <f>IF(OR(Y23="",X23=""),"",IF(X23&lt;=0,"",IFERROR(Y23/X23-1,"")))</f>
        <v/>
      </c>
      <c r="Z24" s="15">
        <f>IF(OR(Z23="",Y23=""),"",IF(Y23&lt;=0,"",IFERROR(Z23/Y23-1,"")))</f>
        <v/>
      </c>
      <c r="AA24" s="15">
        <f>IF(OR(AA23="",Z23=""),"",IF(Z23&lt;=0,"",IFERROR(AA23/Z23-1,"")))</f>
        <v/>
      </c>
      <c r="AB24" s="15">
        <f>IF(OR(AB23="",AA23=""),"",IF(AA23&lt;=0,"",IFERROR(AB23/AA23-1,"")))</f>
        <v/>
      </c>
      <c r="AC24" s="15">
        <f>IF(OR(AC23="",AB23=""),"",IF(AB23&lt;=0,"",IFERROR(AC23/AB23-1,"")))</f>
        <v/>
      </c>
    </row>
    <row r="25">
      <c r="A25" s="18" t="inlineStr">
        <is>
          <t>매출총이익</t>
        </is>
      </c>
      <c r="B25" s="10" t="n"/>
      <c r="C25" s="19">
        <f>IF(OR(C4="",C23=""),"",IFERROR(C4-C23,""))</f>
        <v/>
      </c>
      <c r="D25" s="20">
        <f>IF(OR(D4="",D23=""),"",IFERROR(D4-D23,""))</f>
        <v/>
      </c>
      <c r="E25" s="20">
        <f>IF(OR(E4="",E23=""),"",IFERROR(E4-E23,""))</f>
        <v/>
      </c>
      <c r="F25" s="20">
        <f>IF(OR(F4="",F23=""),"",IFERROR(F4-F23,""))</f>
        <v/>
      </c>
      <c r="G25" s="20">
        <f>IF(OR(G4="",G23=""),"",IFERROR(G4-G23,""))</f>
        <v/>
      </c>
      <c r="H25" s="20">
        <f>IF(OR(H4="",H23=""),"",IFERROR(H4-H23,""))</f>
        <v/>
      </c>
      <c r="I25" s="20">
        <f>IF(OR(I4="",I23=""),"",IFERROR(I4-I23,""))</f>
        <v/>
      </c>
      <c r="J25" s="20">
        <f>IF(OR(J4="",J23=""),"",IFERROR(J4-J23,""))</f>
        <v/>
      </c>
      <c r="K25" s="20">
        <f>IF(OR(K4="",K23=""),"",IFERROR(K4-K23,""))</f>
        <v/>
      </c>
      <c r="L25" s="20">
        <f>IF(OR(L4="",L23=""),"",IFERROR(L4-L23,""))</f>
        <v/>
      </c>
      <c r="M25" s="20">
        <f>IF(OR(M4="",M23=""),"",IFERROR(M4-M23,""))</f>
        <v/>
      </c>
      <c r="N25" s="20">
        <f>IF(OR(N4="",N23=""),"",IFERROR(N4-N23,""))</f>
        <v/>
      </c>
      <c r="O25" s="19">
        <f>IF(OR(O4="",O23=""),"",IFERROR(O4-O23,""))</f>
        <v/>
      </c>
      <c r="P25" s="20">
        <f>IF(OR(P4="",P23=""),"",IFERROR(P4-P23,""))</f>
        <v/>
      </c>
      <c r="Q25" s="20">
        <f>IF(OR(Q4="",Q23=""),"",IFERROR(Q4-Q23,""))</f>
        <v/>
      </c>
      <c r="R25" s="20">
        <f>IF(OR(R4="",R23=""),"",IFERROR(R4-R23,""))</f>
        <v/>
      </c>
      <c r="S25" s="20">
        <f>IF(OR(S4="",S23=""),"",IFERROR(S4-S23,""))</f>
        <v/>
      </c>
      <c r="T25" s="20">
        <f>IF(OR(T4="",T23=""),"",IFERROR(T4-T23,""))</f>
        <v/>
      </c>
      <c r="U25" s="20">
        <f>IF(OR(U4="",U23=""),"",IFERROR(U4-U23,""))</f>
        <v/>
      </c>
      <c r="V25" s="20">
        <f>IF(OR(V4="",V23=""),"",IFERROR(V4-V23,""))</f>
        <v/>
      </c>
      <c r="W25" s="20">
        <f>IF(OR(W4="",W23=""),"",IFERROR(W4-W23,""))</f>
        <v/>
      </c>
      <c r="X25" s="20">
        <f>IF(OR(X4="",X23=""),"",IFERROR(X4-X23,""))</f>
        <v/>
      </c>
      <c r="Y25" s="19" t="n"/>
      <c r="Z25" s="20" t="n"/>
      <c r="AA25" s="20" t="n"/>
      <c r="AB25" s="20" t="n"/>
      <c r="AC25" s="20" t="n"/>
    </row>
    <row r="26">
      <c r="A26" s="13" t="inlineStr">
        <is>
          <t>GPM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IF(OR(G25="",C25=""),"",IF(C25&lt;=0,"",IFERROR(G25/C25-1,"")))</f>
        <v/>
      </c>
      <c r="H27" s="15">
        <f>IF(OR(H25="",D25=""),"",IF(D25&lt;=0,"",IFERROR(H25/D25-1,"")))</f>
        <v/>
      </c>
      <c r="I27" s="15">
        <f>IF(OR(I25="",E25=""),"",IF(E25&lt;=0,"",IFERROR(I25/E25-1,"")))</f>
        <v/>
      </c>
      <c r="J27" s="15">
        <f>IF(OR(J25="",F25=""),"",IF(F25&lt;=0,"",IFERROR(J25/F25-1,"")))</f>
        <v/>
      </c>
      <c r="K27" s="15">
        <f>IF(OR(K25="",G25=""),"",IF(G25&lt;=0,"",IFERROR(K25/G25-1,"")))</f>
        <v/>
      </c>
      <c r="L27" s="15">
        <f>IF(OR(L25="",H25=""),"",IF(H25&lt;=0,"",IFERROR(L25/H25-1,"")))</f>
        <v/>
      </c>
      <c r="M27" s="15">
        <f>IF(OR(M25="",I25=""),"",IF(I25&lt;=0,"",IFERROR(M25/I25-1,"")))</f>
        <v/>
      </c>
      <c r="N27" s="15">
        <f>IF(OR(N25="",J25=""),"",IF(J25&lt;=0,"",IFERROR(N25/J25-1,"")))</f>
        <v/>
      </c>
      <c r="O27" s="14" t="n"/>
      <c r="P27" s="15">
        <f>IF(OR(P25="",O25=""),"",IF(O25&lt;=0,"",IFERROR(P25/O25-1,"")))</f>
        <v/>
      </c>
      <c r="Q27" s="15">
        <f>IF(OR(Q25="",P25=""),"",IF(P25&lt;=0,"",IFERROR(Q25/P25-1,"")))</f>
        <v/>
      </c>
      <c r="R27" s="15">
        <f>IF(OR(R25="",Q25=""),"",IF(Q25&lt;=0,"",IFERROR(R25/Q25-1,"")))</f>
        <v/>
      </c>
      <c r="S27" s="15">
        <f>IF(OR(S25="",R25=""),"",IF(R25&lt;=0,"",IFERROR(S25/R25-1,"")))</f>
        <v/>
      </c>
      <c r="T27" s="15">
        <f>IF(OR(T25="",S25=""),"",IF(S25&lt;=0,"",IFERROR(T25/S25-1,"")))</f>
        <v/>
      </c>
      <c r="U27" s="15">
        <f>IF(OR(U25="",T25=""),"",IF(T25&lt;=0,"",IFERROR(U25/T25-1,"")))</f>
        <v/>
      </c>
      <c r="V27" s="15">
        <f>IF(OR(V25="",U25=""),"",IF(U25&lt;=0,"",IFERROR(V25/U25-1,"")))</f>
        <v/>
      </c>
      <c r="W27" s="15">
        <f>IF(OR(W25="",V25=""),"",IF(V25&lt;=0,"",IFERROR(W25/V25-1,"")))</f>
        <v/>
      </c>
      <c r="X27" s="15">
        <f>IF(OR(X25="",W25=""),"",IF(W25&lt;=0,"",IFERROR(X25/W25-1,"")))</f>
        <v/>
      </c>
      <c r="Y27" s="14">
        <f>IF(OR(Y25="",X25=""),"",IF(X25&lt;=0,"",IFERROR(Y25/X25-1,"")))</f>
        <v/>
      </c>
      <c r="Z27" s="15">
        <f>IF(OR(Z25="",Y25=""),"",IF(Y25&lt;=0,"",IFERROR(Z25/Y25-1,"")))</f>
        <v/>
      </c>
      <c r="AA27" s="15">
        <f>IF(OR(AA25="",Z25=""),"",IF(Z25&lt;=0,"",IFERROR(AA25/Z25-1,"")))</f>
        <v/>
      </c>
      <c r="AB27" s="15">
        <f>IF(OR(AB25="",AA25=""),"",IF(AA25&lt;=0,"",IFERROR(AB25/AA25-1,"")))</f>
        <v/>
      </c>
      <c r="AC27" s="15">
        <f>IF(OR(AC25="",AB25=""),"",IF(AB25&lt;=0,"",IFERROR(AC25/AB25-1,"")))</f>
        <v/>
      </c>
    </row>
    <row r="28">
      <c r="A28" s="23" t="inlineStr">
        <is>
          <t>판매관리비</t>
        </is>
      </c>
      <c r="B28" s="23" t="n"/>
      <c r="C28" s="24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4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4" t="n"/>
      <c r="Z28" s="23" t="n"/>
      <c r="AA28" s="23" t="n"/>
      <c r="AB28" s="23" t="n"/>
      <c r="AC28" s="23" t="n"/>
    </row>
    <row r="29">
      <c r="A29" s="18" t="inlineStr">
        <is>
          <t>전체 판관비</t>
        </is>
      </c>
      <c r="B29" s="10" t="n"/>
      <c r="C29" s="19" t="n">
        <v>2368.088</v>
      </c>
      <c r="D29" s="20" t="n">
        <v>2382.11</v>
      </c>
      <c r="E29" s="20" t="n">
        <v>2332.019</v>
      </c>
      <c r="F29" s="20" t="n">
        <v>2438.478</v>
      </c>
      <c r="G29" s="20" t="n">
        <v>2610.778</v>
      </c>
      <c r="H29" s="20" t="n">
        <v>404.956</v>
      </c>
      <c r="I29" s="20" t="n">
        <v>2519.839</v>
      </c>
      <c r="J29" s="20" t="n">
        <v>2565.08</v>
      </c>
      <c r="K29" s="20" t="n">
        <v>2671.831</v>
      </c>
      <c r="L29" s="20" t="n">
        <v>819.333</v>
      </c>
      <c r="M29" s="20" t="n">
        <v>2932.925</v>
      </c>
      <c r="N29" s="20" t="n">
        <v>2987.518</v>
      </c>
      <c r="O29" s="19" t="n">
        <v>6391.02</v>
      </c>
      <c r="P29" s="20" t="n">
        <v>6704.344</v>
      </c>
      <c r="Q29" s="20" t="n">
        <v>5317.712</v>
      </c>
      <c r="R29" s="20" t="n">
        <v>6583.801</v>
      </c>
      <c r="S29" s="20" t="n">
        <v>6715.583</v>
      </c>
      <c r="T29" s="20" t="n">
        <v>6651.766</v>
      </c>
      <c r="U29" s="20" t="n">
        <v>9480.422</v>
      </c>
      <c r="V29" s="20" t="n">
        <v>9489.325999999999</v>
      </c>
      <c r="W29" s="20" t="n">
        <v>7786.231</v>
      </c>
      <c r="X29" s="20" t="n">
        <v>8576.083000000001</v>
      </c>
      <c r="Y29" s="19" t="n"/>
      <c r="Z29" s="20" t="n"/>
      <c r="AA29" s="20" t="n"/>
      <c r="AB29" s="20" t="n"/>
      <c r="AC29" s="20" t="n"/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IF(OR(G29="",C29=""),"",IF(C29&lt;=0,"",IFERROR(G29/C29-1,"")))</f>
        <v/>
      </c>
      <c r="H30" s="15">
        <f>IF(OR(H29="",D29=""),"",IF(D29&lt;=0,"",IFERROR(H29/D29-1,"")))</f>
        <v/>
      </c>
      <c r="I30" s="15">
        <f>IF(OR(I29="",E29=""),"",IF(E29&lt;=0,"",IFERROR(I29/E29-1,"")))</f>
        <v/>
      </c>
      <c r="J30" s="15">
        <f>IF(OR(J29="",F29=""),"",IF(F29&lt;=0,"",IFERROR(J29/F29-1,"")))</f>
        <v/>
      </c>
      <c r="K30" s="15">
        <f>IF(OR(K29="",G29=""),"",IF(G29&lt;=0,"",IFERROR(K29/G29-1,"")))</f>
        <v/>
      </c>
      <c r="L30" s="15">
        <f>IF(OR(L29="",H29=""),"",IF(H29&lt;=0,"",IFERROR(L29/H29-1,"")))</f>
        <v/>
      </c>
      <c r="M30" s="15">
        <f>IF(OR(M29="",I29=""),"",IF(I29&lt;=0,"",IFERROR(M29/I29-1,"")))</f>
        <v/>
      </c>
      <c r="N30" s="15">
        <f>IF(OR(N29="",J29=""),"",IF(J29&lt;=0,"",IFERROR(N29/J29-1,"")))</f>
        <v/>
      </c>
      <c r="O30" s="14" t="n"/>
      <c r="P30" s="15">
        <f>IF(OR(P29="",O29=""),"",IF(O29&lt;=0,"",IFERROR(P29/O29-1,"")))</f>
        <v/>
      </c>
      <c r="Q30" s="15">
        <f>IF(OR(Q29="",P29=""),"",IF(P29&lt;=0,"",IFERROR(Q29/P29-1,"")))</f>
        <v/>
      </c>
      <c r="R30" s="15">
        <f>IF(OR(R29="",Q29=""),"",IF(Q29&lt;=0,"",IFERROR(R29/Q29-1,"")))</f>
        <v/>
      </c>
      <c r="S30" s="15">
        <f>IF(OR(S29="",R29=""),"",IF(R29&lt;=0,"",IFERROR(S29/R29-1,"")))</f>
        <v/>
      </c>
      <c r="T30" s="15">
        <f>IF(OR(T29="",S29=""),"",IF(S29&lt;=0,"",IFERROR(T29/S29-1,"")))</f>
        <v/>
      </c>
      <c r="U30" s="15">
        <f>IF(OR(U29="",T29=""),"",IF(T29&lt;=0,"",IFERROR(U29/T29-1,"")))</f>
        <v/>
      </c>
      <c r="V30" s="15">
        <f>IF(OR(V29="",U29=""),"",IF(U29&lt;=0,"",IFERROR(V29/U29-1,"")))</f>
        <v/>
      </c>
      <c r="W30" s="15">
        <f>IF(OR(W29="",V29=""),"",IF(V29&lt;=0,"",IFERROR(W29/V29-1,"")))</f>
        <v/>
      </c>
      <c r="X30" s="15">
        <f>IF(OR(X29="",W29=""),"",IF(W29&lt;=0,"",IFERROR(X29/W29-1,"")))</f>
        <v/>
      </c>
      <c r="Y30" s="14">
        <f>IF(OR(Y29="",X29=""),"",IF(X29&lt;=0,"",IFERROR(Y29/X29-1,"")))</f>
        <v/>
      </c>
      <c r="Z30" s="15">
        <f>IF(OR(Z29="",Y29=""),"",IF(Y29&lt;=0,"",IFERROR(Z29/Y29-1,"")))</f>
        <v/>
      </c>
      <c r="AA30" s="15">
        <f>IF(OR(AA29="",Z29=""),"",IF(Z29&lt;=0,"",IFERROR(AA29/Z29-1,"")))</f>
        <v/>
      </c>
      <c r="AB30" s="15">
        <f>IF(OR(AB29="",AA29=""),"",IF(AA29&lt;=0,"",IFERROR(AB29/AA29-1,"")))</f>
        <v/>
      </c>
      <c r="AC30" s="15">
        <f>IF(OR(AC29="",AB29=""),"",IF(AB29&lt;=0,"",IFERROR(AC29/AB29-1,"")))</f>
        <v/>
      </c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2645.307</v>
      </c>
      <c r="D31" s="12" t="n">
        <v>2857.581</v>
      </c>
      <c r="E31" s="12" t="n">
        <v>3910.771</v>
      </c>
      <c r="F31" s="12" t="n">
        <v>4234.273</v>
      </c>
      <c r="G31" s="12" t="n">
        <v>4450.716</v>
      </c>
      <c r="H31" s="12" t="n">
        <v>451.57</v>
      </c>
      <c r="I31" s="12" t="n">
        <v>4694.069</v>
      </c>
      <c r="J31" s="12" t="n">
        <v>5052.884</v>
      </c>
      <c r="K31" s="12" t="n">
        <v>4816.228</v>
      </c>
      <c r="L31" s="12" t="n">
        <v>795.133</v>
      </c>
      <c r="M31" s="12" t="n">
        <v>6172.283</v>
      </c>
      <c r="N31" s="12" t="n">
        <v>7122.049</v>
      </c>
      <c r="O31" s="11" t="n">
        <v>9867.834999999999</v>
      </c>
      <c r="P31" s="12" t="n">
        <v>10537.146</v>
      </c>
      <c r="Q31" s="12" t="n">
        <v>7735.656</v>
      </c>
      <c r="R31" s="12" t="n">
        <v>8830.539000000001</v>
      </c>
      <c r="S31" s="12" t="n">
        <v>9632.212</v>
      </c>
      <c r="T31" s="12" t="n">
        <v>12288.98</v>
      </c>
      <c r="U31" s="12" t="n">
        <v>18930.611</v>
      </c>
      <c r="V31" s="12" t="n">
        <v>11083.948</v>
      </c>
      <c r="W31" s="12" t="n">
        <v>13047.33</v>
      </c>
      <c r="X31" s="12" t="n">
        <v>15358.314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IF(O29="","",O29)</f>
        <v/>
      </c>
      <c r="P35" s="12">
        <f>IF(P29="","",P29)</f>
        <v/>
      </c>
      <c r="Q35" s="12">
        <f>IF(Q29="","",Q29)</f>
        <v/>
      </c>
      <c r="R35" s="12">
        <f>IF(R29="","",R29)</f>
        <v/>
      </c>
      <c r="S35" s="12">
        <f>IF(S29="","",S29)</f>
        <v/>
      </c>
      <c r="T35" s="12">
        <f>IF(T29="","",T29)</f>
        <v/>
      </c>
      <c r="U35" s="12">
        <f>IF(U29="","",U29)</f>
        <v/>
      </c>
      <c r="V35" s="12">
        <f>IF(V29="","",V29)</f>
        <v/>
      </c>
      <c r="W35" s="12">
        <f>IF(W29="","",W29)</f>
        <v/>
      </c>
      <c r="X35" s="12">
        <f>IF(X29="","",X29)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특별이익</t>
        </is>
      </c>
      <c r="B47" s="10" t="n"/>
      <c r="C47" s="19" t="n">
        <v>37.216</v>
      </c>
      <c r="D47" s="20" t="n">
        <v>141.456</v>
      </c>
      <c r="E47" s="20" t="n">
        <v>20.258</v>
      </c>
      <c r="F47" s="20" t="n">
        <v>60.927</v>
      </c>
      <c r="G47" s="20" t="n">
        <v>0</v>
      </c>
      <c r="H47" s="20" t="n">
        <v>-45.078</v>
      </c>
      <c r="I47" s="20" t="n">
        <v>6.166</v>
      </c>
      <c r="J47" s="20" t="n">
        <v>2.236</v>
      </c>
      <c r="K47" s="20" t="n">
        <v>184.817</v>
      </c>
      <c r="L47" s="20" t="n">
        <v>-0.515</v>
      </c>
      <c r="M47" s="20" t="n">
        <v>3703.86</v>
      </c>
      <c r="N47" s="20" t="n">
        <v>9.127000000000001</v>
      </c>
      <c r="O47" s="19" t="n">
        <v>1.811</v>
      </c>
      <c r="P47" s="20" t="n">
        <v>0.803</v>
      </c>
      <c r="Q47" s="20" t="n">
        <v>25.204</v>
      </c>
      <c r="R47" s="20" t="n">
        <v>78.944</v>
      </c>
      <c r="S47" s="20" t="n">
        <v>13.284</v>
      </c>
      <c r="T47" s="20" t="n">
        <v>227.403</v>
      </c>
      <c r="U47" s="20" t="n">
        <v>388.682</v>
      </c>
      <c r="V47" s="20" t="n">
        <v>192.369</v>
      </c>
      <c r="W47" s="20" t="n">
        <v>36.107</v>
      </c>
      <c r="X47" s="20" t="n">
        <v>192.704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특별손실</t>
        </is>
      </c>
      <c r="B49" s="10" t="n"/>
      <c r="C49" s="19" t="n">
        <v>15.758</v>
      </c>
      <c r="D49" s="20" t="n">
        <v>1.643</v>
      </c>
      <c r="E49" s="20" t="n">
        <v>12.232</v>
      </c>
      <c r="F49" s="20" t="n">
        <v>9.173</v>
      </c>
      <c r="G49" s="20" t="n">
        <v>18.862</v>
      </c>
      <c r="H49" s="20" t="n">
        <v>339.583</v>
      </c>
      <c r="I49" s="20" t="n">
        <v>4.066</v>
      </c>
      <c r="J49" s="20" t="n">
        <v>17.058</v>
      </c>
      <c r="K49" s="20" t="n">
        <v>10.117</v>
      </c>
      <c r="L49" s="20" t="n">
        <v>185.375</v>
      </c>
      <c r="M49" s="20" t="n">
        <v>95.38500000000001</v>
      </c>
      <c r="N49" s="20" t="n">
        <v>35.971</v>
      </c>
      <c r="O49" s="19" t="n">
        <v>51.445</v>
      </c>
      <c r="P49" s="20" t="n">
        <v>961.021</v>
      </c>
      <c r="Q49" s="20" t="n">
        <v>50.327</v>
      </c>
      <c r="R49" s="20" t="n">
        <v>157.649</v>
      </c>
      <c r="S49" s="20" t="n">
        <v>30.169</v>
      </c>
      <c r="T49" s="20" t="n">
        <v>20.055</v>
      </c>
      <c r="U49" s="20" t="n">
        <v>46.458</v>
      </c>
      <c r="V49" s="20" t="n">
        <v>69.25700000000001</v>
      </c>
      <c r="W49" s="20" t="n">
        <v>379.85</v>
      </c>
      <c r="X49" s="20" t="n">
        <v>216.616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영업외수익</t>
        </is>
      </c>
      <c r="B51" s="10" t="n"/>
      <c r="C51" s="19" t="n">
        <v>-158.719</v>
      </c>
      <c r="D51" s="20" t="n">
        <v>373.039</v>
      </c>
      <c r="E51" s="20" t="n">
        <v>429.097</v>
      </c>
      <c r="F51" s="20" t="n">
        <v>-247.158</v>
      </c>
      <c r="G51" s="20" t="n">
        <v>492.168</v>
      </c>
      <c r="H51" s="20" t="n">
        <v>1154.459</v>
      </c>
      <c r="I51" s="20" t="n">
        <v>122.84</v>
      </c>
      <c r="J51" s="20" t="n">
        <v>114.515</v>
      </c>
      <c r="K51" s="20" t="n">
        <v>393.649</v>
      </c>
      <c r="L51" s="20" t="n">
        <v>3131.79</v>
      </c>
      <c r="M51" s="20" t="n">
        <v>220.727</v>
      </c>
      <c r="N51" s="20" t="n">
        <v>78.919</v>
      </c>
      <c r="O51" s="19" t="n">
        <v>186.652</v>
      </c>
      <c r="P51" s="20" t="n">
        <v>129.911</v>
      </c>
      <c r="Q51" s="20" t="n">
        <v>2119.172</v>
      </c>
      <c r="R51" s="20" t="n">
        <v>155.586</v>
      </c>
      <c r="S51" s="20" t="n">
        <v>123.804</v>
      </c>
      <c r="T51" s="20" t="n">
        <v>1686.007</v>
      </c>
      <c r="U51" s="20" t="n">
        <v>821.9059999999999</v>
      </c>
      <c r="V51" s="20" t="n">
        <v>952.398</v>
      </c>
      <c r="W51" s="20" t="n">
        <v>1828.566</v>
      </c>
      <c r="X51" s="20" t="n">
        <v>3762.794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영업외비용</t>
        </is>
      </c>
      <c r="B53" s="10" t="n"/>
      <c r="C53" s="19" t="n">
        <v>33.603</v>
      </c>
      <c r="D53" s="20" t="n">
        <v>46.482</v>
      </c>
      <c r="E53" s="20" t="n">
        <v>49.19</v>
      </c>
      <c r="F53" s="20" t="n">
        <v>328.843</v>
      </c>
      <c r="G53" s="20" t="n">
        <v>-264.658</v>
      </c>
      <c r="H53" s="20" t="n">
        <v>31.566</v>
      </c>
      <c r="I53" s="20" t="n">
        <v>284.229</v>
      </c>
      <c r="J53" s="20" t="n">
        <v>-107.556</v>
      </c>
      <c r="K53" s="20" t="n">
        <v>-56.682</v>
      </c>
      <c r="L53" s="20" t="n">
        <v>36.084</v>
      </c>
      <c r="M53" s="20" t="n">
        <v>29.552</v>
      </c>
      <c r="N53" s="20" t="n">
        <v>207.156</v>
      </c>
      <c r="O53" s="19" t="n">
        <v>15.809</v>
      </c>
      <c r="P53" s="20" t="n">
        <v>299.477</v>
      </c>
      <c r="Q53" s="20" t="n">
        <v>0.641</v>
      </c>
      <c r="R53" s="20" t="n">
        <v>31.645</v>
      </c>
      <c r="S53" s="20" t="n">
        <v>9.567</v>
      </c>
      <c r="T53" s="20" t="n">
        <v>4.222</v>
      </c>
      <c r="U53" s="20" t="n">
        <v>12.42</v>
      </c>
      <c r="V53" s="20" t="n">
        <v>153.263</v>
      </c>
      <c r="W53" s="20" t="n">
        <v>144.941</v>
      </c>
      <c r="X53" s="20" t="n">
        <v>156.075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2474.442</v>
      </c>
      <c r="D55" s="12" t="n">
        <v>3323.951</v>
      </c>
      <c r="E55" s="12" t="n">
        <v>4298.705</v>
      </c>
      <c r="F55" s="12" t="n">
        <v>3710.025</v>
      </c>
      <c r="G55" s="12" t="n">
        <v>5188.68</v>
      </c>
      <c r="H55" s="12" t="n">
        <v>1189.802</v>
      </c>
      <c r="I55" s="12" t="n">
        <v>4534.78</v>
      </c>
      <c r="J55" s="12" t="n">
        <v>5260.133</v>
      </c>
      <c r="K55" s="12" t="n">
        <v>5441.26</v>
      </c>
      <c r="L55" s="12" t="n">
        <v>3704.949</v>
      </c>
      <c r="M55" s="12" t="n">
        <v>9971.933999999999</v>
      </c>
      <c r="N55" s="12" t="n">
        <v>6966.967</v>
      </c>
      <c r="O55" s="11" t="n">
        <v>9989.044</v>
      </c>
      <c r="P55" s="12" t="n">
        <v>9407.361999999999</v>
      </c>
      <c r="Q55" s="12" t="n">
        <v>9829.063</v>
      </c>
      <c r="R55" s="12" t="n">
        <v>8875.776</v>
      </c>
      <c r="S55" s="12" t="n">
        <v>9729.563</v>
      </c>
      <c r="T55" s="12" t="n">
        <v>14178.112</v>
      </c>
      <c r="U55" s="12" t="n">
        <v>20082.321</v>
      </c>
      <c r="V55" s="12" t="n">
        <v>12006.194</v>
      </c>
      <c r="W55" s="12" t="n">
        <v>14387.212</v>
      </c>
      <c r="X55" s="12" t="n">
        <v>18941.122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3" t="inlineStr">
        <is>
          <t>YoY</t>
        </is>
      </c>
      <c r="B56" s="10" t="n"/>
      <c r="C56" s="14" t="n"/>
      <c r="D56" s="15" t="n"/>
      <c r="E56" s="15" t="n"/>
      <c r="F56" s="15" t="n"/>
      <c r="G56" s="15">
        <f>IF(OR(G55="",C55=""),"",IF(C55&lt;=0,"",IFERROR(G55/C55-1,"")))</f>
        <v/>
      </c>
      <c r="H56" s="15">
        <f>IF(OR(H55="",D55=""),"",IF(D55&lt;=0,"",IFERROR(H55/D55-1,"")))</f>
        <v/>
      </c>
      <c r="I56" s="15">
        <f>IF(OR(I55="",E55=""),"",IF(E55&lt;=0,"",IFERROR(I55/E55-1,"")))</f>
        <v/>
      </c>
      <c r="J56" s="15">
        <f>IF(OR(J55="",F55=""),"",IF(F55&lt;=0,"",IFERROR(J55/F55-1,"")))</f>
        <v/>
      </c>
      <c r="K56" s="15">
        <f>IF(OR(K55="",G55=""),"",IF(G55&lt;=0,"",IFERROR(K55/G55-1,"")))</f>
        <v/>
      </c>
      <c r="L56" s="15">
        <f>IF(OR(L55="",H55=""),"",IF(H55&lt;=0,"",IFERROR(L55/H55-1,"")))</f>
        <v/>
      </c>
      <c r="M56" s="15">
        <f>IF(OR(M55="",I55=""),"",IF(I55&lt;=0,"",IFERROR(M55/I55-1,"")))</f>
        <v/>
      </c>
      <c r="N56" s="15">
        <f>IF(OR(N55="",J55=""),"",IF(J55&lt;=0,"",IFERROR(N55/J55-1,"")))</f>
        <v/>
      </c>
      <c r="O56" s="14" t="n"/>
      <c r="P56" s="15">
        <f>IF(OR(P55="",O55=""),"",IF(O55&lt;=0,"",IFERROR(P55/O55-1,"")))</f>
        <v/>
      </c>
      <c r="Q56" s="15">
        <f>IF(OR(Q55="",P55=""),"",IF(P55&lt;=0,"",IFERROR(Q55/P55-1,"")))</f>
        <v/>
      </c>
      <c r="R56" s="15">
        <f>IF(OR(R55="",Q55=""),"",IF(Q55&lt;=0,"",IFERROR(R55/Q55-1,"")))</f>
        <v/>
      </c>
      <c r="S56" s="15">
        <f>IF(OR(S55="",R55=""),"",IF(R55&lt;=0,"",IFERROR(S55/R55-1,"")))</f>
        <v/>
      </c>
      <c r="T56" s="15">
        <f>IF(OR(T55="",S55=""),"",IF(S55&lt;=0,"",IFERROR(T55/S55-1,"")))</f>
        <v/>
      </c>
      <c r="U56" s="15">
        <f>IF(OR(U55="",T55=""),"",IF(T55&lt;=0,"",IFERROR(U55/T55-1,"")))</f>
        <v/>
      </c>
      <c r="V56" s="15">
        <f>IF(OR(V55="",U55=""),"",IF(U55&lt;=0,"",IFERROR(V55/U55-1,"")))</f>
        <v/>
      </c>
      <c r="W56" s="15">
        <f>IF(OR(W55="",V55=""),"",IF(V55&lt;=0,"",IFERROR(W55/V55-1,"")))</f>
        <v/>
      </c>
      <c r="X56" s="15">
        <f>IF(OR(X55="",W55=""),"",IF(W55&lt;=0,"",IFERROR(X55/W55-1,"")))</f>
        <v/>
      </c>
      <c r="Y56" s="14">
        <f>IF(OR(Y55="",X55=""),"",IF(X55&lt;=0,"",IFERROR(Y55/X55-1,"")))</f>
        <v/>
      </c>
      <c r="Z56" s="15">
        <f>IF(OR(Z55="",Y55=""),"",IF(Y55&lt;=0,"",IFERROR(Z55/Y55-1,"")))</f>
        <v/>
      </c>
      <c r="AA56" s="15">
        <f>IF(OR(AA55="",Z55=""),"",IF(Z55&lt;=0,"",IFERROR(AA55/Z55-1,"")))</f>
        <v/>
      </c>
      <c r="AB56" s="15">
        <f>IF(OR(AB55="",AA55=""),"",IF(AA55&lt;=0,"",IFERROR(AB55/AA55-1,"")))</f>
        <v/>
      </c>
      <c r="AC56" s="15">
        <f>IF(OR(AC55="",AB55=""),"",IF(AB55&lt;=0,"",IFERROR(AC55/AB55-1,"")))</f>
        <v/>
      </c>
    </row>
    <row r="57">
      <c r="A57" s="18" t="inlineStr">
        <is>
          <t>법인세비용(수익)</t>
        </is>
      </c>
      <c r="B57" s="10" t="n"/>
      <c r="C57" s="19" t="n">
        <v>654.999</v>
      </c>
      <c r="D57" s="20" t="n">
        <v>1087.332</v>
      </c>
      <c r="E57" s="20" t="n">
        <v>1414.142</v>
      </c>
      <c r="F57" s="20" t="n">
        <v>986.275</v>
      </c>
      <c r="G57" s="20" t="n">
        <v>1627.264</v>
      </c>
      <c r="H57" s="20" t="n">
        <v>-490.681</v>
      </c>
      <c r="I57" s="20" t="n">
        <v>1429.602</v>
      </c>
      <c r="J57" s="20" t="n">
        <v>1485.386</v>
      </c>
      <c r="K57" s="20" t="n">
        <v>1632.005</v>
      </c>
      <c r="L57" s="20" t="n">
        <v>-246.993</v>
      </c>
      <c r="M57" s="20" t="n">
        <v>3283.038</v>
      </c>
      <c r="N57" s="20" t="n">
        <v>1993.262</v>
      </c>
      <c r="O57" s="19" t="n">
        <v>3092.132</v>
      </c>
      <c r="P57" s="20" t="n">
        <v>2814.196</v>
      </c>
      <c r="Q57" s="20" t="n">
        <v>2460</v>
      </c>
      <c r="R57" s="20" t="n">
        <v>1861.453</v>
      </c>
      <c r="S57" s="20" t="n">
        <v>2921.483</v>
      </c>
      <c r="T57" s="20" t="n">
        <v>4016</v>
      </c>
      <c r="U57" s="20" t="n">
        <v>5952.861</v>
      </c>
      <c r="V57" s="20" t="n">
        <v>3662.894</v>
      </c>
      <c r="W57" s="20" t="n">
        <v>3537</v>
      </c>
      <c r="X57" s="20" t="n">
        <v>4300</v>
      </c>
      <c r="Y57" s="19">
        <f>IF(OR(Y55="",Y58=""),"",IFERROR(MAX(Y55,0)*Y58,""))</f>
        <v/>
      </c>
      <c r="Z57" s="20">
        <f>IF(OR(Z55="",Z58=""),"",IFERROR(MAX(Z55,0)*Z58,""))</f>
        <v/>
      </c>
      <c r="AA57" s="20">
        <f>IF(OR(AA55="",AA58=""),"",IFERROR(MAX(AA55,0)*AA58,""))</f>
        <v/>
      </c>
      <c r="AB57" s="20">
        <f>IF(OR(AB55="",AB58=""),"",IFERROR(MAX(AB55,0)*AB58,""))</f>
        <v/>
      </c>
      <c r="AC57" s="20">
        <f>IF(OR(AC55="",AC58=""),"",IFERROR(MAX(AC55,0)*AC58,""))</f>
        <v/>
      </c>
    </row>
    <row r="58">
      <c r="A58" s="13" t="inlineStr">
        <is>
          <t>법인세율</t>
        </is>
      </c>
      <c r="B58" s="10" t="inlineStr">
        <is>
          <t>MW 기본 30%</t>
        </is>
      </c>
      <c r="C58" s="14">
        <f>IF(OR(C57="",C55=""),"",IFERROR(C57/C55,""))</f>
        <v/>
      </c>
      <c r="D58" s="15">
        <f>IF(OR(D57="",D55=""),"",IFERROR(D57/D55,""))</f>
        <v/>
      </c>
      <c r="E58" s="15">
        <f>IF(OR(E57="",E55=""),"",IFERROR(E57/E55,""))</f>
        <v/>
      </c>
      <c r="F58" s="15">
        <f>IF(OR(F57="",F55=""),"",IFERROR(F57/F55,""))</f>
        <v/>
      </c>
      <c r="G58" s="15">
        <f>IF(OR(G57="",G55=""),"",IFERROR(G57/G55,""))</f>
        <v/>
      </c>
      <c r="H58" s="15">
        <f>IF(OR(H57="",H55=""),"",IFERROR(H57/H55,""))</f>
        <v/>
      </c>
      <c r="I58" s="15">
        <f>IF(OR(I57="",I55=""),"",IFERROR(I57/I55,""))</f>
        <v/>
      </c>
      <c r="J58" s="15">
        <f>IF(OR(J57="",J55=""),"",IFERROR(J57/J55,""))</f>
        <v/>
      </c>
      <c r="K58" s="15">
        <f>IF(OR(K57="",K55=""),"",IFERROR(K57/K55,""))</f>
        <v/>
      </c>
      <c r="L58" s="15">
        <f>IF(OR(L57="",L55=""),"",IFERROR(L57/L55,""))</f>
        <v/>
      </c>
      <c r="M58" s="15">
        <f>IF(OR(M57="",M55=""),"",IFERROR(M57/M55,""))</f>
        <v/>
      </c>
      <c r="N58" s="15">
        <f>IF(OR(N57="",N55=""),"",IFERROR(N57/N55,""))</f>
        <v/>
      </c>
      <c r="O58" s="14">
        <f>IF(OR(O57="",O55=""),"",IFERROR(O57/O55,""))</f>
        <v/>
      </c>
      <c r="P58" s="15">
        <f>IF(OR(P57="",P55=""),"",IFERROR(P57/P55,""))</f>
        <v/>
      </c>
      <c r="Q58" s="15">
        <f>IF(OR(Q57="",Q55=""),"",IFERROR(Q57/Q55,""))</f>
        <v/>
      </c>
      <c r="R58" s="15">
        <f>IF(OR(R57="",R55=""),"",IFERROR(R57/R55,""))</f>
        <v/>
      </c>
      <c r="S58" s="15">
        <f>IF(OR(S57="",S55=""),"",IFERROR(S57/S55,""))</f>
        <v/>
      </c>
      <c r="T58" s="15">
        <f>IF(OR(T57="",T55=""),"",IFERROR(T57/T55,""))</f>
        <v/>
      </c>
      <c r="U58" s="15">
        <f>IF(OR(U57="",U55=""),"",IFERROR(U57/U55,""))</f>
        <v/>
      </c>
      <c r="V58" s="15">
        <f>IF(OR(V57="",V55=""),"",IFERROR(V57/V55,""))</f>
        <v/>
      </c>
      <c r="W58" s="15">
        <f>IF(OR(W57="",W55=""),"",IFERROR(W57/W55,""))</f>
        <v/>
      </c>
      <c r="X58" s="15">
        <f>IF(OR(X57="",X55=""),"",IFERROR(X57/X55,""))</f>
        <v/>
      </c>
      <c r="Y58" s="25" t="n">
        <v>0.3</v>
      </c>
      <c r="Z58" s="26" t="n">
        <v>0.3</v>
      </c>
      <c r="AA58" s="26" t="n">
        <v>0.3</v>
      </c>
      <c r="AB58" s="26" t="n">
        <v>0.3</v>
      </c>
      <c r="AC58" s="26" t="n">
        <v>0.3</v>
      </c>
    </row>
    <row r="59">
      <c r="A59" s="9" t="inlineStr">
        <is>
          <t>당기순이익(손실)</t>
        </is>
      </c>
      <c r="B59" s="10" t="n"/>
      <c r="C59" s="11" t="n">
        <v>1819.443</v>
      </c>
      <c r="D59" s="12" t="n">
        <v>2236.618</v>
      </c>
      <c r="E59" s="12" t="n">
        <v>2884.562</v>
      </c>
      <c r="F59" s="12" t="n">
        <v>2723.751</v>
      </c>
      <c r="G59" s="12" t="n">
        <v>3561.416</v>
      </c>
      <c r="H59" s="12" t="n">
        <v>1680.483</v>
      </c>
      <c r="I59" s="12" t="n">
        <v>3105.177</v>
      </c>
      <c r="J59" s="12" t="n">
        <v>3774.747</v>
      </c>
      <c r="K59" s="12" t="n">
        <v>3809.256</v>
      </c>
      <c r="L59" s="12" t="n">
        <v>3951.942</v>
      </c>
      <c r="M59" s="12" t="n">
        <v>6688.896</v>
      </c>
      <c r="N59" s="12" t="n">
        <v>4973.704</v>
      </c>
      <c r="O59" s="11" t="n">
        <v>6896.911</v>
      </c>
      <c r="P59" s="12" t="n">
        <v>6593.165</v>
      </c>
      <c r="Q59" s="12" t="n">
        <v>7369.063</v>
      </c>
      <c r="R59" s="12" t="n">
        <v>7014.323</v>
      </c>
      <c r="S59" s="12" t="n">
        <v>6808.079</v>
      </c>
      <c r="T59" s="12" t="n">
        <v>10162.112</v>
      </c>
      <c r="U59" s="12" t="n">
        <v>14129.459</v>
      </c>
      <c r="V59" s="12" t="n">
        <v>8343.299000000001</v>
      </c>
      <c r="W59" s="12" t="n">
        <v>10850.212</v>
      </c>
      <c r="X59" s="12" t="n">
        <v>14641.122</v>
      </c>
      <c r="Y59" s="11">
        <f>IF(OR(Y55=""),"",IFERROR(Y55-Y57,""))</f>
        <v/>
      </c>
      <c r="Z59" s="12">
        <f>IF(OR(Z55=""),"",IFERROR(Z55-Z57,""))</f>
        <v/>
      </c>
      <c r="AA59" s="12">
        <f>IF(OR(AA55=""),"",IFERROR(AA55-AA57,""))</f>
        <v/>
      </c>
      <c r="AB59" s="12">
        <f>IF(OR(AB55=""),"",IFERROR(AB55-AB57,""))</f>
        <v/>
      </c>
      <c r="AC59" s="12">
        <f>IF(OR(AC55=""),"",IFERROR(AC55-AC57,""))</f>
        <v/>
      </c>
    </row>
    <row r="60">
      <c r="A60" s="13" t="inlineStr">
        <is>
          <t>YoY</t>
        </is>
      </c>
      <c r="B60" s="10" t="n"/>
      <c r="C60" s="14" t="n"/>
      <c r="D60" s="15" t="n"/>
      <c r="E60" s="15" t="n"/>
      <c r="F60" s="15" t="n"/>
      <c r="G60" s="15">
        <f>IF(OR(G59="",C59=""),"",IF(C59&lt;=0,"",IFERROR(G59/C59-1,"")))</f>
        <v/>
      </c>
      <c r="H60" s="15">
        <f>IF(OR(H59="",D59=""),"",IF(D59&lt;=0,"",IFERROR(H59/D59-1,"")))</f>
        <v/>
      </c>
      <c r="I60" s="15">
        <f>IF(OR(I59="",E59=""),"",IF(E59&lt;=0,"",IFERROR(I59/E59-1,"")))</f>
        <v/>
      </c>
      <c r="J60" s="15">
        <f>IF(OR(J59="",F59=""),"",IF(F59&lt;=0,"",IFERROR(J59/F59-1,"")))</f>
        <v/>
      </c>
      <c r="K60" s="15">
        <f>IF(OR(K59="",G59=""),"",IF(G59&lt;=0,"",IFERROR(K59/G59-1,"")))</f>
        <v/>
      </c>
      <c r="L60" s="15">
        <f>IF(OR(L59="",H59=""),"",IF(H59&lt;=0,"",IFERROR(L59/H59-1,"")))</f>
        <v/>
      </c>
      <c r="M60" s="15">
        <f>IF(OR(M59="",I59=""),"",IF(I59&lt;=0,"",IFERROR(M59/I59-1,"")))</f>
        <v/>
      </c>
      <c r="N60" s="15">
        <f>IF(OR(N59="",J59=""),"",IF(J59&lt;=0,"",IFERROR(N59/J59-1,"")))</f>
        <v/>
      </c>
      <c r="O60" s="14" t="n"/>
      <c r="P60" s="15">
        <f>IF(OR(P59="",O59=""),"",IF(O59&lt;=0,"",IFERROR(P59/O59-1,"")))</f>
        <v/>
      </c>
      <c r="Q60" s="15">
        <f>IF(OR(Q59="",P59=""),"",IF(P59&lt;=0,"",IFERROR(Q59/P59-1,"")))</f>
        <v/>
      </c>
      <c r="R60" s="15">
        <f>IF(OR(R59="",Q59=""),"",IF(Q59&lt;=0,"",IFERROR(R59/Q59-1,"")))</f>
        <v/>
      </c>
      <c r="S60" s="15">
        <f>IF(OR(S59="",R59=""),"",IF(R59&lt;=0,"",IFERROR(S59/R59-1,"")))</f>
        <v/>
      </c>
      <c r="T60" s="15">
        <f>IF(OR(T59="",S59=""),"",IF(S59&lt;=0,"",IFERROR(T59/S59-1,"")))</f>
        <v/>
      </c>
      <c r="U60" s="15">
        <f>IF(OR(U59="",T59=""),"",IF(T59&lt;=0,"",IFERROR(U59/T59-1,"")))</f>
        <v/>
      </c>
      <c r="V60" s="15">
        <f>IF(OR(V59="",U59=""),"",IF(U59&lt;=0,"",IFERROR(V59/U59-1,"")))</f>
        <v/>
      </c>
      <c r="W60" s="15">
        <f>IF(OR(W59="",V59=""),"",IF(V59&lt;=0,"",IFERROR(W59/V59-1,"")))</f>
        <v/>
      </c>
      <c r="X60" s="15">
        <f>IF(OR(X59="",W59=""),"",IF(W59&lt;=0,"",IFERROR(X59/W59-1,"")))</f>
        <v/>
      </c>
      <c r="Y60" s="14">
        <f>IF(OR(Y59="",X59=""),"",IF(X59&lt;=0,"",IFERROR(Y59/X59-1,"")))</f>
        <v/>
      </c>
      <c r="Z60" s="15">
        <f>IF(OR(Z59="",Y59=""),"",IF(Y59&lt;=0,"",IFERROR(Z59/Y59-1,"")))</f>
        <v/>
      </c>
      <c r="AA60" s="15">
        <f>IF(OR(AA59="",Z59=""),"",IF(Z59&lt;=0,"",IFERROR(AA59/Z59-1,"")))</f>
        <v/>
      </c>
      <c r="AB60" s="15">
        <f>IF(OR(AB59="",AA59=""),"",IF(AA59&lt;=0,"",IFERROR(AB59/AA59-1,"")))</f>
        <v/>
      </c>
      <c r="AC60" s="15">
        <f>IF(OR(AC59="",AB59=""),"",IF(AB59&lt;=0,"",IFERROR(AC59/AB59-1,"")))</f>
        <v/>
      </c>
    </row>
    <row r="61">
      <c r="A61" s="9" t="inlineStr">
        <is>
          <t>지배주주 순이익</t>
        </is>
      </c>
      <c r="B61" s="10" t="n"/>
      <c r="C61" s="11" t="n">
        <v>1819.443</v>
      </c>
      <c r="D61" s="12" t="n">
        <v>2236.618</v>
      </c>
      <c r="E61" s="12" t="n">
        <v>2884.562</v>
      </c>
      <c r="F61" s="12" t="n">
        <v>2723.751</v>
      </c>
      <c r="G61" s="12" t="n">
        <v>3561.416</v>
      </c>
      <c r="H61" s="12" t="n">
        <v>2453.056</v>
      </c>
      <c r="I61" s="12" t="n">
        <v>3105.177</v>
      </c>
      <c r="J61" s="12" t="n">
        <v>3774.747</v>
      </c>
      <c r="K61" s="12" t="n">
        <v>3809.256</v>
      </c>
      <c r="L61" s="12" t="n">
        <v>3622.402</v>
      </c>
      <c r="M61" s="12" t="n">
        <v>6688.896</v>
      </c>
      <c r="N61" s="12" t="n">
        <v>4973.704</v>
      </c>
      <c r="O61" s="11" t="n">
        <v>6895.594</v>
      </c>
      <c r="P61" s="12" t="n">
        <v>6592.287</v>
      </c>
      <c r="Q61" s="12" t="n">
        <v>6881.266</v>
      </c>
      <c r="R61" s="12" t="n">
        <v>7014.323</v>
      </c>
      <c r="S61" s="12" t="n">
        <v>6808.079</v>
      </c>
      <c r="T61" s="12" t="n">
        <v>10890.394</v>
      </c>
      <c r="U61" s="12" t="n">
        <v>14129.459</v>
      </c>
      <c r="V61" s="12" t="n">
        <v>8343.299000000001</v>
      </c>
      <c r="W61" s="12" t="n">
        <v>11622.785</v>
      </c>
      <c r="X61" s="12" t="n">
        <v>14311.582</v>
      </c>
      <c r="Y61" s="11">
        <f>IF(OR(Y59="",Y62=""),"",IFERROR(Y59*Y62,""))</f>
        <v/>
      </c>
      <c r="Z61" s="12">
        <f>IF(OR(Z59="",Z62=""),"",IFERROR(Z59*Z62,""))</f>
        <v/>
      </c>
      <c r="AA61" s="12">
        <f>IF(OR(AA59="",AA62=""),"",IFERROR(AA59*AA62,""))</f>
        <v/>
      </c>
      <c r="AB61" s="12">
        <f>IF(OR(AB59="",AB62=""),"",IFERROR(AB59*AB62,""))</f>
        <v/>
      </c>
      <c r="AC61" s="12">
        <f>IF(OR(AC59="",AC62=""),"",IFERROR(AC59*AC62,""))</f>
        <v/>
      </c>
    </row>
    <row r="62">
      <c r="A62" s="13" t="inlineStr">
        <is>
          <t>지배주주 순이익률</t>
        </is>
      </c>
      <c r="B62" s="10" t="inlineStr">
        <is>
          <t>MW 기본 100%</t>
        </is>
      </c>
      <c r="C62" s="14">
        <f>IF(OR(C61="",C59=""),"",IFERROR(C61/C59,""))</f>
        <v/>
      </c>
      <c r="D62" s="15">
        <f>IF(OR(D61="",D59=""),"",IFERROR(D61/D59,""))</f>
        <v/>
      </c>
      <c r="E62" s="15">
        <f>IF(OR(E61="",E59=""),"",IFERROR(E61/E59,""))</f>
        <v/>
      </c>
      <c r="F62" s="15">
        <f>IF(OR(F61="",F59=""),"",IFERROR(F61/F59,""))</f>
        <v/>
      </c>
      <c r="G62" s="15">
        <f>IF(OR(G61="",G59=""),"",IFERROR(G61/G59,""))</f>
        <v/>
      </c>
      <c r="H62" s="15">
        <f>IF(OR(H61="",H59=""),"",IFERROR(H61/H59,""))</f>
        <v/>
      </c>
      <c r="I62" s="15">
        <f>IF(OR(I61="",I59=""),"",IFERROR(I61/I59,""))</f>
        <v/>
      </c>
      <c r="J62" s="15">
        <f>IF(OR(J61="",J59=""),"",IFERROR(J61/J59,""))</f>
        <v/>
      </c>
      <c r="K62" s="15">
        <f>IF(OR(K61="",K59=""),"",IFERROR(K61/K59,""))</f>
        <v/>
      </c>
      <c r="L62" s="15">
        <f>IF(OR(L61="",L59=""),"",IFERROR(L61/L59,""))</f>
        <v/>
      </c>
      <c r="M62" s="15">
        <f>IF(OR(M61="",M59=""),"",IFERROR(M61/M59,""))</f>
        <v/>
      </c>
      <c r="N62" s="15">
        <f>IF(OR(N61="",N59=""),"",IFERROR(N61/N59,""))</f>
        <v/>
      </c>
      <c r="O62" s="14">
        <f>IF(OR(O61="",O59=""),"",IFERROR(O61/O59,""))</f>
        <v/>
      </c>
      <c r="P62" s="15">
        <f>IF(OR(P61="",P59=""),"",IFERROR(P61/P59,""))</f>
        <v/>
      </c>
      <c r="Q62" s="15">
        <f>IF(OR(Q61="",Q59=""),"",IFERROR(Q61/Q59,""))</f>
        <v/>
      </c>
      <c r="R62" s="15">
        <f>IF(OR(R61="",R59=""),"",IFERROR(R61/R59,""))</f>
        <v/>
      </c>
      <c r="S62" s="15">
        <f>IF(OR(S61="",S59=""),"",IFERROR(S61/S59,""))</f>
        <v/>
      </c>
      <c r="T62" s="15">
        <f>IF(OR(T61="",T59=""),"",IFERROR(T61/T59,""))</f>
        <v/>
      </c>
      <c r="U62" s="15">
        <f>IF(OR(U61="",U59=""),"",IFERROR(U61/U59,""))</f>
        <v/>
      </c>
      <c r="V62" s="15">
        <f>IF(OR(V61="",V59=""),"",IFERROR(V61/V59,""))</f>
        <v/>
      </c>
      <c r="W62" s="15">
        <f>IF(OR(W61="",W59=""),"",IFERROR(W61/W59,""))</f>
        <v/>
      </c>
      <c r="X62" s="15">
        <f>IF(OR(X61="",X59=""),"",IFERROR(X61/X59,""))</f>
        <v/>
      </c>
      <c r="Y62" s="25" t="n">
        <v>1</v>
      </c>
      <c r="Z62" s="26" t="n">
        <v>1</v>
      </c>
      <c r="AA62" s="26" t="n">
        <v>1</v>
      </c>
      <c r="AB62" s="26" t="n">
        <v>1</v>
      </c>
      <c r="AC62" s="26" t="n">
        <v>1</v>
      </c>
    </row>
    <row r="63">
      <c r="A63" s="13" t="inlineStr">
        <is>
          <t>지배주주 순이익 YoY</t>
        </is>
      </c>
      <c r="B63" s="10" t="n"/>
      <c r="C63" s="14" t="n"/>
      <c r="D63" s="15" t="n"/>
      <c r="E63" s="15" t="n"/>
      <c r="F63" s="15" t="n"/>
      <c r="G63" s="15">
        <f>IF(OR(G61="",C61=""),"",IF(C61&lt;=0,"",IFERROR(G61/C61-1,"")))</f>
        <v/>
      </c>
      <c r="H63" s="15">
        <f>IF(OR(H61="",D61=""),"",IF(D61&lt;=0,"",IFERROR(H61/D61-1,"")))</f>
        <v/>
      </c>
      <c r="I63" s="15">
        <f>IF(OR(I61="",E61=""),"",IF(E61&lt;=0,"",IFERROR(I61/E61-1,"")))</f>
        <v/>
      </c>
      <c r="J63" s="15">
        <f>IF(OR(J61="",F61=""),"",IF(F61&lt;=0,"",IFERROR(J61/F61-1,"")))</f>
        <v/>
      </c>
      <c r="K63" s="15">
        <f>IF(OR(K61="",G61=""),"",IF(G61&lt;=0,"",IFERROR(K61/G61-1,"")))</f>
        <v/>
      </c>
      <c r="L63" s="15">
        <f>IF(OR(L61="",H61=""),"",IF(H61&lt;=0,"",IFERROR(L61/H61-1,"")))</f>
        <v/>
      </c>
      <c r="M63" s="15">
        <f>IF(OR(M61="",I61=""),"",IF(I61&lt;=0,"",IFERROR(M61/I61-1,"")))</f>
        <v/>
      </c>
      <c r="N63" s="15">
        <f>IF(OR(N61="",J61=""),"",IF(J61&lt;=0,"",IFERROR(N61/J61-1,"")))</f>
        <v/>
      </c>
      <c r="O63" s="14" t="n"/>
      <c r="P63" s="15">
        <f>IF(OR(P61="",O61=""),"",IF(O61&lt;=0,"",IFERROR(P61/O61-1,"")))</f>
        <v/>
      </c>
      <c r="Q63" s="15">
        <f>IF(OR(Q61="",P61=""),"",IF(P61&lt;=0,"",IFERROR(Q61/P61-1,"")))</f>
        <v/>
      </c>
      <c r="R63" s="15">
        <f>IF(OR(R61="",Q61=""),"",IF(Q61&lt;=0,"",IFERROR(R61/Q61-1,"")))</f>
        <v/>
      </c>
      <c r="S63" s="15">
        <f>IF(OR(S61="",R61=""),"",IF(R61&lt;=0,"",IFERROR(S61/R61-1,"")))</f>
        <v/>
      </c>
      <c r="T63" s="15">
        <f>IF(OR(T61="",S61=""),"",IF(S61&lt;=0,"",IFERROR(T61/S61-1,"")))</f>
        <v/>
      </c>
      <c r="U63" s="15">
        <f>IF(OR(U61="",T61=""),"",IF(T61&lt;=0,"",IFERROR(U61/T61-1,"")))</f>
        <v/>
      </c>
      <c r="V63" s="15">
        <f>IF(OR(V61="",U61=""),"",IF(U61&lt;=0,"",IFERROR(V61/U61-1,"")))</f>
        <v/>
      </c>
      <c r="W63" s="15">
        <f>IF(OR(W61="",V61=""),"",IF(V61&lt;=0,"",IFERROR(W61/V61-1,"")))</f>
        <v/>
      </c>
      <c r="X63" s="15">
        <f>IF(OR(X61="",W61=""),"",IF(W61&lt;=0,"",IFERROR(X61/W61-1,"")))</f>
        <v/>
      </c>
      <c r="Y63" s="14">
        <f>IF(OR(Y61="",X61=""),"",IF(X61&lt;=0,"",IFERROR(Y61/X61-1,"")))</f>
        <v/>
      </c>
      <c r="Z63" s="15">
        <f>IF(OR(Z61="",Y61=""),"",IF(Y61&lt;=0,"",IFERROR(Z61/Y61-1,"")))</f>
        <v/>
      </c>
      <c r="AA63" s="15">
        <f>IF(OR(AA61="",Z61=""),"",IF(Z61&lt;=0,"",IFERROR(AA61/Z61-1,"")))</f>
        <v/>
      </c>
      <c r="AB63" s="15">
        <f>IF(OR(AB61="",AA61=""),"",IF(AA61&lt;=0,"",IFERROR(AB61/AA61-1,"")))</f>
        <v/>
      </c>
      <c r="AC63" s="15">
        <f>IF(OR(AC61="",AB61=""),"",IF(AB61&lt;=0,"",IFERROR(AC61/AB61-1,"")))</f>
        <v/>
      </c>
    </row>
    <row r="64">
      <c r="A64" s="16" t="inlineStr">
        <is>
          <t>목표주가 산출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현재 주가 ()</t>
        </is>
      </c>
      <c r="B65" s="27" t="n"/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8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8" t="n"/>
      <c r="Z65" s="29" t="n"/>
      <c r="AA65" s="29" t="n"/>
      <c r="AB65" s="29" t="n"/>
      <c r="AC65" s="29" t="n"/>
    </row>
    <row r="66">
      <c r="A66" s="18" t="inlineStr">
        <is>
          <t>발행주식수 (보통주)</t>
        </is>
      </c>
      <c r="B66" s="27" t="n"/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8" t="n"/>
      <c r="Z66" s="29" t="n"/>
      <c r="AA66" s="29" t="n"/>
      <c r="AB66" s="29" t="n"/>
      <c r="AC66" s="29" t="n"/>
    </row>
    <row r="67">
      <c r="A67" s="18" t="inlineStr">
        <is>
          <t>시가총액 (백만엔)</t>
        </is>
      </c>
      <c r="B67" s="12">
        <f>IF(OR(B65="",B66=""),"",B65*B66/1000000.0)</f>
        <v/>
      </c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19" t="n"/>
      <c r="Z67" s="20" t="n"/>
      <c r="AA67" s="20" t="n"/>
      <c r="AB67" s="20" t="n"/>
      <c r="AC67" s="20" t="n"/>
    </row>
    <row r="68">
      <c r="A68" s="13" t="inlineStr">
        <is>
          <t>OPM</t>
        </is>
      </c>
      <c r="B68" s="10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4">
        <f>IF(O32="","",O32)</f>
        <v/>
      </c>
      <c r="P68" s="15">
        <f>IF(P32="","",P32)</f>
        <v/>
      </c>
      <c r="Q68" s="15">
        <f>IF(Q32="","",Q32)</f>
        <v/>
      </c>
      <c r="R68" s="15">
        <f>IF(R32="","",R32)</f>
        <v/>
      </c>
      <c r="S68" s="15">
        <f>IF(S32="","",S32)</f>
        <v/>
      </c>
      <c r="T68" s="15">
        <f>IF(T32="","",T32)</f>
        <v/>
      </c>
      <c r="U68" s="15">
        <f>IF(U32="","",U32)</f>
        <v/>
      </c>
      <c r="V68" s="15">
        <f>IF(V32="","",V32)</f>
        <v/>
      </c>
      <c r="W68" s="15">
        <f>IF(W32="","",W32)</f>
        <v/>
      </c>
      <c r="X68" s="15">
        <f>IF(X32="","",X32)</f>
        <v/>
      </c>
      <c r="Y68" s="14">
        <f>IF(Y32="","",Y32)</f>
        <v/>
      </c>
      <c r="Z68" s="15">
        <f>IF(Z32="","",Z32)</f>
        <v/>
      </c>
      <c r="AA68" s="15">
        <f>IF(AA32="","",AA32)</f>
        <v/>
      </c>
      <c r="AB68" s="15">
        <f>IF(AB32="","",AB32)</f>
        <v/>
      </c>
      <c r="AC68" s="15">
        <f>IF(AC32="","",AC32)</f>
        <v/>
      </c>
    </row>
    <row r="69">
      <c r="A69" s="13" t="inlineStr">
        <is>
          <t>지배주주 순이익 증가율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>
        <f>IF(OR(P61="",O61=""),"",IFERROR(P61/O61-1,""))</f>
        <v/>
      </c>
      <c r="Q69" s="15">
        <f>IF(OR(Q61="",P61=""),"",IFERROR(Q61/P61-1,""))</f>
        <v/>
      </c>
      <c r="R69" s="15">
        <f>IF(OR(R61="",Q61=""),"",IFERROR(R61/Q61-1,""))</f>
        <v/>
      </c>
      <c r="S69" s="15">
        <f>IF(OR(S61="",R61=""),"",IFERROR(S61/R61-1,""))</f>
        <v/>
      </c>
      <c r="T69" s="15">
        <f>IF(OR(T61="",S61=""),"",IFERROR(T61/S61-1,""))</f>
        <v/>
      </c>
      <c r="U69" s="15">
        <f>IF(OR(U61="",T61=""),"",IFERROR(U61/T61-1,""))</f>
        <v/>
      </c>
      <c r="V69" s="15">
        <f>IF(OR(V61="",U61=""),"",IFERROR(V61/U61-1,""))</f>
        <v/>
      </c>
      <c r="W69" s="15">
        <f>IF(OR(W61="",V61=""),"",IFERROR(W61/V61-1,""))</f>
        <v/>
      </c>
      <c r="X69" s="15">
        <f>IF(OR(X61="",W61=""),"",IFERROR(X61/W61-1,""))</f>
        <v/>
      </c>
      <c r="Y69" s="14">
        <f>IF(OR(Y61="",X61=""),"",IFERROR(Y61/X61-1,""))</f>
        <v/>
      </c>
      <c r="Z69" s="15">
        <f>IF(OR(Z61="",Y61=""),"",IFERROR(Z61/Y61-1,""))</f>
        <v/>
      </c>
      <c r="AA69" s="15">
        <f>IF(OR(AA61="",Z61=""),"",IFERROR(AA61/Z61-1,""))</f>
        <v/>
      </c>
      <c r="AB69" s="15">
        <f>IF(OR(AB61="",AA61=""),"",IFERROR(AB61/AA61-1,""))</f>
        <v/>
      </c>
      <c r="AC69" s="15">
        <f>IF(OR(AC61="",AB61=""),"",IFERROR(AC61/AB61-1,""))</f>
        <v/>
      </c>
    </row>
    <row r="70">
      <c r="A70" s="18" t="inlineStr">
        <is>
          <t>P/E (현재 주가)</t>
        </is>
      </c>
      <c r="B70" s="10" t="inlineStr">
        <is>
          <t>시총 ÷ 지배순이익</t>
        </is>
      </c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  <c r="O70" s="30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>
        <f>IF(OR($B$67="",X61=""),"",IFERROR($B$67/X61,""))</f>
        <v/>
      </c>
      <c r="Y70" s="30">
        <f>IF(OR($B$67="",Y61=""),"",IFERROR($B$67/Y61,""))</f>
        <v/>
      </c>
      <c r="Z70" s="31">
        <f>IF(OR($B$67="",Z61=""),"",IFERROR($B$67/Z61,""))</f>
        <v/>
      </c>
      <c r="AA70" s="31">
        <f>IF(OR($B$67="",AA61=""),"",IFERROR($B$67/AA61,""))</f>
        <v/>
      </c>
      <c r="AB70" s="31">
        <f>IF(OR($B$67="",AB61=""),"",IFERROR($B$67/AB61,""))</f>
        <v/>
      </c>
      <c r="AC70" s="31">
        <f>IF(OR($B$67="",AC61=""),"",IFERROR($B$67/AC61,""))</f>
        <v/>
      </c>
    </row>
    <row r="71">
      <c r="A71" s="18" t="inlineStr">
        <is>
          <t>Target P/E</t>
        </is>
      </c>
      <c r="B71" s="10" t="inlineStr">
        <is>
          <t>직접 입력</t>
        </is>
      </c>
      <c r="C71" s="30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2" t="n"/>
      <c r="Z71" s="33" t="n"/>
      <c r="AA71" s="33" t="n"/>
      <c r="AB71" s="33" t="n"/>
      <c r="AC71" s="33" t="n"/>
    </row>
    <row r="72">
      <c r="A72" s="18" t="inlineStr">
        <is>
          <t>EPS</t>
        </is>
      </c>
      <c r="B72" s="10" t="inlineStr">
        <is>
          <t>지배순이익 ÷ 주식수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>
        <f>IF(OR(O61="",$B$66=""),"",IFERROR(O61*1000000.0/$B$66,""))</f>
        <v/>
      </c>
      <c r="P72" s="29">
        <f>IF(OR(P61="",$B$66=""),"",IFERROR(P61*1000000.0/$B$66,""))</f>
        <v/>
      </c>
      <c r="Q72" s="29">
        <f>IF(OR(Q61="",$B$66=""),"",IFERROR(Q61*1000000.0/$B$66,""))</f>
        <v/>
      </c>
      <c r="R72" s="29">
        <f>IF(OR(R61="",$B$66=""),"",IFERROR(R61*1000000.0/$B$66,""))</f>
        <v/>
      </c>
      <c r="S72" s="29">
        <f>IF(OR(S61="",$B$66=""),"",IFERROR(S61*1000000.0/$B$66,""))</f>
        <v/>
      </c>
      <c r="T72" s="29">
        <f>IF(OR(T61="",$B$66=""),"",IFERROR(T61*1000000.0/$B$66,""))</f>
        <v/>
      </c>
      <c r="U72" s="29">
        <f>IF(OR(U61="",$B$66=""),"",IFERROR(U61*1000000.0/$B$66,""))</f>
        <v/>
      </c>
      <c r="V72" s="29">
        <f>IF(OR(V61="",$B$66=""),"",IFERROR(V61*1000000.0/$B$66,""))</f>
        <v/>
      </c>
      <c r="W72" s="29">
        <f>IF(OR(W61="",$B$66=""),"",IFERROR(W61*1000000.0/$B$66,""))</f>
        <v/>
      </c>
      <c r="X72" s="29">
        <f>IF(OR(X61="",$B$66=""),"",IFERROR(X61*1000000.0/$B$66,""))</f>
        <v/>
      </c>
      <c r="Y72" s="28">
        <f>IF(OR(Y61="",$B$66=""),"",IFERROR(Y61*1000000.0/$B$66,""))</f>
        <v/>
      </c>
      <c r="Z72" s="29">
        <f>IF(OR(Z61="",$B$66=""),"",IFERROR(Z61*1000000.0/$B$66,""))</f>
        <v/>
      </c>
      <c r="AA72" s="29">
        <f>IF(OR(AA61="",$B$66=""),"",IFERROR(AA61*1000000.0/$B$66,""))</f>
        <v/>
      </c>
      <c r="AB72" s="29">
        <f>IF(OR(AB61="",$B$66=""),"",IFERROR(AB61*1000000.0/$B$66,""))</f>
        <v/>
      </c>
      <c r="AC72" s="29">
        <f>IF(OR(AC61="",$B$66=""),"",IFERROR(AC61*1000000.0/$B$66,""))</f>
        <v/>
      </c>
    </row>
    <row r="73">
      <c r="A73" s="9" t="inlineStr">
        <is>
          <t>목표주가</t>
        </is>
      </c>
      <c r="B73" s="10" t="n"/>
      <c r="C73" s="34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34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34">
        <f>IF(OR(Y72="",Y71=""),"",IFERROR(Y72*Y71,""))</f>
        <v/>
      </c>
      <c r="Z73" s="27">
        <f>IF(OR(Z72="",Z71=""),"",IFERROR(Z72*Z71,""))</f>
        <v/>
      </c>
      <c r="AA73" s="27">
        <f>IF(OR(AA72="",AA71=""),"",IFERROR(AA72*AA71,""))</f>
        <v/>
      </c>
      <c r="AB73" s="27">
        <f>IF(OR(AB72="",AB71=""),"",IFERROR(AB72*AB71,""))</f>
        <v/>
      </c>
      <c r="AC73" s="27">
        <f>IF(OR(AC72="",AC71=""),"",IFERROR(AC72*AC71,""))</f>
        <v/>
      </c>
    </row>
    <row r="74">
      <c r="A74" s="18" t="inlineStr">
        <is>
          <t>상승여력</t>
        </is>
      </c>
      <c r="B74" s="10" t="n"/>
      <c r="C74" s="3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5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>
        <f>IF(OR(Y73="",$B$65=""),"",IFERROR(Y73/$B$65-1,""))</f>
        <v/>
      </c>
      <c r="Z74" s="38">
        <f>IF(OR(Z73="",$B$65=""),"",IFERROR(Z73/$B$65-1,""))</f>
        <v/>
      </c>
      <c r="AA74" s="38">
        <f>IF(OR(AA73="",$B$65=""),"",IFERROR(AA73/$B$65-1,""))</f>
        <v/>
      </c>
      <c r="AB74" s="38">
        <f>IF(OR(AB73="",$B$65=""),"",IFERROR(AB73/$B$65-1,""))</f>
        <v/>
      </c>
      <c r="AC74" s="38">
        <f>IF(OR(AC73="",$B$65=""),"",IFERROR(AC73/$B$65-1,""))</f>
        <v/>
      </c>
    </row>
    <row r="75">
      <c r="A75" s="16" t="inlineStr">
        <is>
          <t>자산가치 산출</t>
        </is>
      </c>
      <c r="B75" s="16" t="inlineStr">
        <is>
          <t>최신 분기 BS</t>
        </is>
      </c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7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7" t="n"/>
      <c r="Z75" s="16" t="n"/>
      <c r="AA75" s="16" t="n"/>
      <c r="AB75" s="16" t="n"/>
      <c r="AC75" s="16" t="n"/>
    </row>
    <row r="76">
      <c r="A76" s="18" t="inlineStr">
        <is>
          <t>현금및현금성자산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'재무상태표'!G6</f>
        <v/>
      </c>
      <c r="Y76" s="19">
        <f>'재무상태표'!G6</f>
        <v/>
      </c>
      <c r="Z76" s="20">
        <f>'재무상태표'!G6</f>
        <v/>
      </c>
      <c r="AA76" s="20">
        <f>'재무상태표'!G6</f>
        <v/>
      </c>
      <c r="AB76" s="20">
        <f>'재무상태표'!G6</f>
        <v/>
      </c>
      <c r="AC76" s="20">
        <f>'재무상태표'!G6</f>
        <v/>
      </c>
    </row>
    <row r="77">
      <c r="A77" s="18" t="inlineStr">
        <is>
          <t>단기금융상품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'재무상태표'!G7</f>
        <v/>
      </c>
      <c r="Y77" s="19">
        <f>'재무상태표'!G7</f>
        <v/>
      </c>
      <c r="Z77" s="20">
        <f>'재무상태표'!G7</f>
        <v/>
      </c>
      <c r="AA77" s="20">
        <f>'재무상태표'!G7</f>
        <v/>
      </c>
      <c r="AB77" s="20">
        <f>'재무상태표'!G7</f>
        <v/>
      </c>
      <c r="AC77" s="20">
        <f>'재무상태표'!G7</f>
        <v/>
      </c>
    </row>
    <row r="78">
      <c r="A78" s="18" t="inlineStr">
        <is>
          <t>투자부동산</t>
        </is>
      </c>
      <c r="B78" s="10" t="n"/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>
        <f>'재무상태표'!G14</f>
        <v/>
      </c>
      <c r="Y78" s="19">
        <f>'재무상태표'!G14</f>
        <v/>
      </c>
      <c r="Z78" s="20">
        <f>'재무상태표'!G14</f>
        <v/>
      </c>
      <c r="AA78" s="20">
        <f>'재무상태표'!G14</f>
        <v/>
      </c>
      <c r="AB78" s="20">
        <f>'재무상태표'!G14</f>
        <v/>
      </c>
      <c r="AC78" s="20">
        <f>'재무상태표'!G14</f>
        <v/>
      </c>
    </row>
    <row r="79">
      <c r="A79" s="18" t="inlineStr">
        <is>
          <t>지배자본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'재무상태표'!G31</f>
        <v/>
      </c>
      <c r="Y79" s="19">
        <f>'재무상태표'!G31</f>
        <v/>
      </c>
      <c r="Z79" s="20">
        <f>'재무상태표'!G31</f>
        <v/>
      </c>
      <c r="AA79" s="20">
        <f>'재무상태표'!G31</f>
        <v/>
      </c>
      <c r="AB79" s="20">
        <f>'재무상태표'!G31</f>
        <v/>
      </c>
      <c r="AC79" s="20">
        <f>'재무상태표'!G31</f>
        <v/>
      </c>
    </row>
    <row r="80">
      <c r="A80" s="18" t="inlineStr">
        <is>
          <t>부채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'재무상태표'!G27</f>
        <v/>
      </c>
      <c r="Y80" s="19">
        <f>'재무상태표'!G27</f>
        <v/>
      </c>
      <c r="Z80" s="20">
        <f>'재무상태표'!G27</f>
        <v/>
      </c>
      <c r="AA80" s="20">
        <f>'재무상태표'!G27</f>
        <v/>
      </c>
      <c r="AB80" s="20">
        <f>'재무상태표'!G27</f>
        <v/>
      </c>
      <c r="AC80" s="20">
        <f>'재무상태표'!G27</f>
        <v/>
      </c>
    </row>
    <row r="81">
      <c r="A81" s="13" t="inlineStr">
        <is>
          <t>부채비율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>
        <f>IF(OR(X80="",X79=""),"",IFERROR(X80/X79,""))</f>
        <v/>
      </c>
      <c r="Y81" s="14">
        <f>IF(OR(Y80="",Y79=""),"",IFERROR(Y80/Y79,""))</f>
        <v/>
      </c>
      <c r="Z81" s="15">
        <f>IF(OR(Z80="",Z79=""),"",IFERROR(Z80/Z79,""))</f>
        <v/>
      </c>
      <c r="AA81" s="15">
        <f>IF(OR(AA80="",AA79=""),"",IFERROR(AA80/AA79,""))</f>
        <v/>
      </c>
      <c r="AB81" s="15">
        <f>IF(OR(AB80="",AB79=""),"",IFERROR(AB80/AB79,""))</f>
        <v/>
      </c>
      <c r="AC81" s="15">
        <f>IF(OR(AC80="",AC79=""),"",IFERROR(AC80/AC79,""))</f>
        <v/>
      </c>
    </row>
    <row r="82">
      <c r="A82" s="9" t="inlineStr">
        <is>
          <t>자산가치</t>
        </is>
      </c>
      <c r="B82" s="10" t="inlineStr">
        <is>
          <t>현금+단기금융+투자부동산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>
        <f>SUM(X76,X77,X78)</f>
        <v/>
      </c>
      <c r="Y82" s="11">
        <f>SUM(Y76,Y77,Y78)</f>
        <v/>
      </c>
      <c r="Z82" s="12">
        <f>SUM(Z76,Z77,Z78)</f>
        <v/>
      </c>
      <c r="AA82" s="12">
        <f>SUM(AA76,AA77,AA78)</f>
        <v/>
      </c>
      <c r="AB82" s="12">
        <f>SUM(AB76,AB77,AB78)</f>
        <v/>
      </c>
      <c r="AC82" s="12">
        <f>SUM(AC76,AC77,AC78)</f>
        <v/>
      </c>
    </row>
    <row r="83">
      <c r="A83" s="16" t="inlineStr">
        <is>
          <t>기업가치 산출</t>
        </is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7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7" t="n"/>
      <c r="Z83" s="16" t="n"/>
      <c r="AA83" s="16" t="n"/>
      <c r="AB83" s="16" t="n"/>
      <c r="AC83" s="16" t="n"/>
    </row>
    <row r="84">
      <c r="A84" s="18" t="inlineStr">
        <is>
          <t>목표 시가총액 (P/E)</t>
        </is>
      </c>
      <c r="B84" s="10" t="inlineStr">
        <is>
          <t>지배순이익 × Target P/E</t>
        </is>
      </c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19">
        <f>IF(OR(Y61="",Y71=""),"",IFERROR(Y61*Y71,""))</f>
        <v/>
      </c>
      <c r="Z84" s="20">
        <f>IF(OR(Z61="",Z71=""),"",IFERROR(Z61*Z71,""))</f>
        <v/>
      </c>
      <c r="AA84" s="20">
        <f>IF(OR(AA61="",AA71=""),"",IFERROR(AA61*AA71,""))</f>
        <v/>
      </c>
      <c r="AB84" s="20">
        <f>IF(OR(AB61="",AB71=""),"",IFERROR(AB61*AB71,""))</f>
        <v/>
      </c>
      <c r="AC84" s="20">
        <f>IF(OR(AC61="",AC71=""),"",IFERROR(AC61*AC71,""))</f>
        <v/>
      </c>
    </row>
    <row r="85">
      <c r="A85" s="9" t="inlineStr">
        <is>
          <t>기업가치</t>
        </is>
      </c>
      <c r="B85" s="10" t="inlineStr">
        <is>
          <t>목표시총 + 자산가치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1">
        <f>IF(OR(Y84=""),"",IFERROR(Y84+Y82,""))</f>
        <v/>
      </c>
      <c r="Z85" s="12">
        <f>IF(OR(Z84=""),"",IFERROR(Z84+Z82,""))</f>
        <v/>
      </c>
      <c r="AA85" s="12">
        <f>IF(OR(AA84=""),"",IFERROR(AA84+AA82,""))</f>
        <v/>
      </c>
      <c r="AB85" s="12">
        <f>IF(OR(AB84=""),"",IFERROR(AB84+AB82,""))</f>
        <v/>
      </c>
      <c r="AC85" s="12">
        <f>IF(OR(AC84=""),"",IFERROR(AC84+AC82,""))</f>
        <v/>
      </c>
    </row>
    <row r="86">
      <c r="A86" s="18" t="inlineStr">
        <is>
          <t>현재 시가총액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19">
        <f>$B$67</f>
        <v/>
      </c>
      <c r="Z86" s="20">
        <f>$B$67</f>
        <v/>
      </c>
      <c r="AA86" s="20">
        <f>$B$67</f>
        <v/>
      </c>
      <c r="AB86" s="20">
        <f>$B$67</f>
        <v/>
      </c>
      <c r="AC86" s="20">
        <f>$B$67</f>
        <v/>
      </c>
    </row>
    <row r="87">
      <c r="A87" s="18" t="inlineStr">
        <is>
          <t>상승여력</t>
        </is>
      </c>
      <c r="B87" s="10" t="n"/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5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7">
        <f>IF(OR(Y85="",Y86=""),"",IFERROR(Y85/Y86-1,""))</f>
        <v/>
      </c>
      <c r="Z87" s="38">
        <f>IF(OR(Z85="",Z86=""),"",IFERROR(Z85/Z86-1,""))</f>
        <v/>
      </c>
      <c r="AA87" s="38">
        <f>IF(OR(AA85="",AA86=""),"",IFERROR(AA85/AA86-1,""))</f>
        <v/>
      </c>
      <c r="AB87" s="38">
        <f>IF(OR(AB85="",AB86=""),"",IFERROR(AB85/AB86-1,""))</f>
        <v/>
      </c>
      <c r="AC87" s="38">
        <f>IF(OR(AC85="",AC86=""),"",IFERROR(AC85/AC86-1,""))</f>
        <v/>
      </c>
    </row>
    <row r="88">
      <c r="C88" s="39" t="n"/>
      <c r="O88" s="39" t="n"/>
      <c r="Y88" s="39" t="n"/>
    </row>
    <row r="89">
      <c r="A89" s="40" t="inlineStr">
        <is>
          <t>출처</t>
        </is>
      </c>
      <c r="C89" s="39" t="n"/>
      <c r="O89" s="39" t="n"/>
      <c r="Y89" s="39" t="n"/>
    </row>
    <row r="90">
      <c r="A90" s="41" t="inlineStr">
        <is>
          <t>결산단신 XBRL(TDnet·JPX 보관소) — 쓴 문서는 '출처' 시트</t>
        </is>
      </c>
      <c r="C90" s="39" t="n"/>
      <c r="O90" s="39" t="n"/>
      <c r="Y90" s="39" t="n"/>
    </row>
    <row r="91">
      <c r="A91" s="41" t="inlineStr">
        <is>
          <t>분기 = 누계에서 앞 분기를 뺀 3개월 값</t>
        </is>
      </c>
      <c r="C91" s="39" t="n"/>
      <c r="O91" s="39" t="n"/>
      <c r="Y91" s="39" t="n"/>
    </row>
    <row r="92">
      <c r="A92" s="41" t="inlineStr">
        <is>
          <t>주가: 야후 파이낸스 일봉</t>
        </is>
      </c>
      <c r="C92" s="39" t="n"/>
      <c r="O92" s="39" t="n"/>
      <c r="Y92" s="39" t="n"/>
    </row>
    <row r="94">
      <c r="A94" s="16" t="inlineStr">
        <is>
          <t>손익계산서 · 전 항목</t>
        </is>
      </c>
      <c r="B94" s="42" t="inlineStr">
        <is>
          <t>분기 = 3개월 단독</t>
        </is>
      </c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</row>
    <row r="95">
      <c r="A95" s="5" t="inlineStr">
        <is>
          <t>항목</t>
        </is>
      </c>
      <c r="B95" s="5" t="inlineStr">
        <is>
          <t>참고</t>
        </is>
      </c>
      <c r="C95" s="5" t="inlineStr">
        <is>
          <t>2024.3Q</t>
        </is>
      </c>
      <c r="D95" s="5" t="inlineStr">
        <is>
          <t>2024.4Q</t>
        </is>
      </c>
      <c r="E95" s="5" t="inlineStr">
        <is>
          <t>2025.1Q</t>
        </is>
      </c>
      <c r="F95" s="5" t="inlineStr">
        <is>
          <t>2025.2Q</t>
        </is>
      </c>
      <c r="G95" s="5" t="inlineStr">
        <is>
          <t>2025.3Q</t>
        </is>
      </c>
      <c r="H95" s="5" t="inlineStr">
        <is>
          <t>2025.4Q</t>
        </is>
      </c>
      <c r="I95" s="5" t="inlineStr">
        <is>
          <t>2026.1Q</t>
        </is>
      </c>
      <c r="J95" s="5" t="inlineStr">
        <is>
          <t>2026.2Q</t>
        </is>
      </c>
      <c r="K95" s="5" t="inlineStr">
        <is>
          <t>2026.3Q</t>
        </is>
      </c>
      <c r="L95" s="5" t="inlineStr">
        <is>
          <t>2026.4Q</t>
        </is>
      </c>
      <c r="M95" s="5" t="inlineStr">
        <is>
          <t>2027.1Q</t>
        </is>
      </c>
      <c r="N95" s="5" t="inlineStr">
        <is>
          <t>2027.2Q</t>
        </is>
      </c>
      <c r="O95" s="5" t="inlineStr">
        <is>
          <t>2017</t>
        </is>
      </c>
      <c r="P95" s="5" t="inlineStr">
        <is>
          <t>2018</t>
        </is>
      </c>
      <c r="Q95" s="5" t="inlineStr">
        <is>
          <t>2019</t>
        </is>
      </c>
      <c r="R95" s="5" t="inlineStr">
        <is>
          <t>2020</t>
        </is>
      </c>
      <c r="S95" s="5" t="inlineStr">
        <is>
          <t>2021</t>
        </is>
      </c>
      <c r="T95" s="5" t="inlineStr">
        <is>
          <t>2022</t>
        </is>
      </c>
      <c r="U95" s="5" t="inlineStr">
        <is>
          <t>2023</t>
        </is>
      </c>
      <c r="V95" s="5" t="inlineStr">
        <is>
          <t>2024</t>
        </is>
      </c>
      <c r="W95" s="5" t="inlineStr">
        <is>
          <t>2025</t>
        </is>
      </c>
      <c r="X95" s="5" t="inlineStr">
        <is>
          <t>2026</t>
        </is>
      </c>
      <c r="Y95" s="5" t="inlineStr">
        <is>
          <t>2027(MW)</t>
        </is>
      </c>
      <c r="Z95" s="5" t="inlineStr">
        <is>
          <t>2028(MW)</t>
        </is>
      </c>
      <c r="AA95" s="5" t="inlineStr">
        <is>
          <t>2029(MW)</t>
        </is>
      </c>
      <c r="AB95" s="5" t="inlineStr">
        <is>
          <t>2030(MW)</t>
        </is>
      </c>
      <c r="AC95" s="5" t="inlineStr">
        <is>
          <t>2031(MW)</t>
        </is>
      </c>
    </row>
    <row r="96">
      <c r="A96" s="9" t="inlineStr">
        <is>
          <t>매출액</t>
        </is>
      </c>
      <c r="C96" s="12" t="n">
        <v>15999.892</v>
      </c>
      <c r="D96" s="12" t="n">
        <v>15835.24</v>
      </c>
      <c r="E96" s="12" t="n">
        <v>17431.688</v>
      </c>
      <c r="F96" s="12" t="n">
        <v>17324.665</v>
      </c>
      <c r="G96" s="12" t="n">
        <v>17664.282</v>
      </c>
      <c r="H96" s="12" t="n">
        <v>5030.191</v>
      </c>
      <c r="I96" s="12" t="n">
        <v>18658.089</v>
      </c>
      <c r="J96" s="12" t="n">
        <v>19047.799</v>
      </c>
      <c r="K96" s="12" t="n">
        <v>20223.08</v>
      </c>
      <c r="L96" s="12" t="n">
        <v>6170.108</v>
      </c>
      <c r="M96" s="12" t="n">
        <v>22819.442</v>
      </c>
      <c r="N96" s="12" t="n">
        <v>22777.177</v>
      </c>
      <c r="T96" s="12" t="n">
        <v>6510.031</v>
      </c>
      <c r="U96" s="12" t="n">
        <v>15825.273</v>
      </c>
      <c r="V96" s="12" t="n">
        <v>15835.24</v>
      </c>
      <c r="W96" s="12" t="n">
        <v>5030.191</v>
      </c>
      <c r="X96" s="12" t="n">
        <v>6170.108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I97" s="15">
        <f>IF(OR(I96="",E96=""),"",IF(E96&lt;=0,"",IFERROR(I96/E96-1,"")))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M97" s="15">
        <f>IF(OR(M96="",I96=""),"",IF(I96&lt;=0,"",IFERROR(M96/I96-1,"")))</f>
        <v/>
      </c>
      <c r="N97" s="15">
        <f>IF(OR(N96="",J96=""),"",IF(J96&lt;=0,"",IFERROR(N96/J96-1,"")))</f>
        <v/>
      </c>
      <c r="T97" s="15">
        <f>IF(OR(T96="",S96=""),"",IF(S96&lt;=0,"",IFERROR(T96/S96-1,"")))</f>
        <v/>
      </c>
      <c r="U97" s="15">
        <f>IF(OR(U96="",T96=""),"",IF(T96&lt;=0,"",IFERROR(U96/T96-1,"")))</f>
        <v/>
      </c>
      <c r="V97" s="15">
        <f>IF(OR(V96="",U96=""),"",IF(U96&lt;=0,"",IFERROR(V96/U96-1,"")))</f>
        <v/>
      </c>
      <c r="W97" s="15">
        <f>IF(OR(W96="",V96=""),"",IF(V96&lt;=0,"",IFERROR(W96/V96-1,"")))</f>
        <v/>
      </c>
      <c r="X97" s="15">
        <f>IF(OR(X96="",W96=""),"",IF(W96&lt;=0,"",IFERROR(X96/W96-1,"")))</f>
        <v/>
      </c>
    </row>
    <row r="98">
      <c r="A98" s="18" t="inlineStr">
        <is>
          <t>매출원가</t>
        </is>
      </c>
      <c r="C98" s="20" t="n">
        <v>10986.496</v>
      </c>
      <c r="D98" s="20" t="n">
        <v>10595.549</v>
      </c>
      <c r="E98" s="20" t="n">
        <v>11188.897</v>
      </c>
      <c r="F98" s="20" t="n">
        <v>10651.915</v>
      </c>
      <c r="G98" s="20" t="n">
        <v>10602.786</v>
      </c>
      <c r="H98" s="20" t="n">
        <v>4173.666</v>
      </c>
      <c r="I98" s="20" t="n">
        <v>11444.179</v>
      </c>
      <c r="J98" s="20" t="n">
        <v>11429.835</v>
      </c>
      <c r="K98" s="20" t="n">
        <v>12735.021</v>
      </c>
      <c r="L98" s="20" t="n">
        <v>4555.643</v>
      </c>
      <c r="M98" s="20" t="n">
        <v>13714.233</v>
      </c>
      <c r="N98" s="20" t="n">
        <v>12667.61</v>
      </c>
      <c r="T98" s="20" t="n">
        <v>3533.159</v>
      </c>
      <c r="U98" s="20" t="n">
        <v>9208.561</v>
      </c>
      <c r="V98" s="20" t="n">
        <v>10595.549</v>
      </c>
      <c r="W98" s="20" t="n">
        <v>4173.666</v>
      </c>
      <c r="X98" s="20" t="n">
        <v>4555.643</v>
      </c>
    </row>
    <row r="99">
      <c r="A99" s="43" t="inlineStr">
        <is>
          <t>YoY</t>
        </is>
      </c>
      <c r="B99" s="3" t="inlineStr">
        <is>
          <t>전년 같은 분기·전년 대비</t>
        </is>
      </c>
      <c r="G99" s="15">
        <f>IF(OR(G98="",C98=""),"",IF(G98*C98&lt;=0,"",IFERROR(G98/C98-1,"")))</f>
        <v/>
      </c>
      <c r="H99" s="15">
        <f>IF(OR(H98="",D98=""),"",IF(H98*D98&lt;=0,"",IFERROR(H98/D98-1,"")))</f>
        <v/>
      </c>
      <c r="I99" s="15">
        <f>IF(OR(I98="",E98=""),"",IF(I98*E98&lt;=0,"",IFERROR(I98/E98-1,"")))</f>
        <v/>
      </c>
      <c r="J99" s="15">
        <f>IF(OR(J98="",F98=""),"",IF(J98*F98&lt;=0,"",IFERROR(J98/F98-1,"")))</f>
        <v/>
      </c>
      <c r="K99" s="15">
        <f>IF(OR(K98="",G98=""),"",IF(K98*G98&lt;=0,"",IFERROR(K98/G98-1,"")))</f>
        <v/>
      </c>
      <c r="L99" s="15">
        <f>IF(OR(L98="",H98=""),"",IF(L98*H98&lt;=0,"",IFERROR(L98/H98-1,"")))</f>
        <v/>
      </c>
      <c r="M99" s="15">
        <f>IF(OR(M98="",I98=""),"",IF(M98*I98&lt;=0,"",IFERROR(M98/I98-1,"")))</f>
        <v/>
      </c>
      <c r="N99" s="15">
        <f>IF(OR(N98="",J98=""),"",IF(N98*J98&lt;=0,"",IFERROR(N98/J98-1,"")))</f>
        <v/>
      </c>
      <c r="T99" s="15">
        <f>IF(OR(T98="",S98=""),"",IF(T98*S98&lt;=0,"",IFERROR(T98/S98-1,"")))</f>
        <v/>
      </c>
      <c r="U99" s="15">
        <f>IF(OR(U98="",T98=""),"",IF(U98*T98&lt;=0,"",IFERROR(U98/T98-1,"")))</f>
        <v/>
      </c>
      <c r="V99" s="15">
        <f>IF(OR(V98="",U98=""),"",IF(V98*U98&lt;=0,"",IFERROR(V98/U98-1,"")))</f>
        <v/>
      </c>
      <c r="W99" s="15">
        <f>IF(OR(W98="",V98=""),"",IF(W98*V98&lt;=0,"",IFERROR(W98/V98-1,"")))</f>
        <v/>
      </c>
      <c r="X99" s="15">
        <f>IF(OR(X98="",W98=""),"",IF(X98*W98&lt;=0,"",IFERROR(X98/W98-1,"")))</f>
        <v/>
      </c>
    </row>
    <row r="100">
      <c r="A100" s="9" t="inlineStr">
        <is>
          <t>매출총이익</t>
        </is>
      </c>
      <c r="C100" s="12" t="n">
        <v>5013.396</v>
      </c>
      <c r="D100" s="12" t="n">
        <v>5239.691</v>
      </c>
      <c r="E100" s="12" t="n">
        <v>6242.79</v>
      </c>
      <c r="F100" s="12" t="n">
        <v>6672.751</v>
      </c>
      <c r="G100" s="12" t="n">
        <v>7061.495</v>
      </c>
      <c r="H100" s="12" t="n">
        <v>856.526</v>
      </c>
      <c r="I100" s="12" t="n">
        <v>7213.909</v>
      </c>
      <c r="J100" s="12" t="n">
        <v>7617.964</v>
      </c>
      <c r="K100" s="12" t="n">
        <v>7488.059</v>
      </c>
      <c r="L100" s="12" t="n">
        <v>1614.465</v>
      </c>
      <c r="M100" s="12" t="n">
        <v>9105.209000000001</v>
      </c>
      <c r="N100" s="12" t="n">
        <v>10109.566</v>
      </c>
      <c r="T100" s="12" t="n">
        <v>2976.873</v>
      </c>
      <c r="U100" s="12" t="n">
        <v>6616.713</v>
      </c>
      <c r="V100" s="12" t="n">
        <v>5239.691</v>
      </c>
      <c r="W100" s="12" t="n">
        <v>856.526</v>
      </c>
      <c r="X100" s="12" t="n">
        <v>1614.465</v>
      </c>
    </row>
    <row r="101">
      <c r="A101" s="43" t="inlineStr">
        <is>
          <t>YoY</t>
        </is>
      </c>
      <c r="B101" s="3" t="inlineStr">
        <is>
          <t>전년 같은 분기·전년 대비</t>
        </is>
      </c>
      <c r="G101" s="15">
        <f>IF(OR(G100="",C100=""),"",IF(C100&lt;=0,"",IFERROR(G100/C100-1,"")))</f>
        <v/>
      </c>
      <c r="H101" s="15">
        <f>IF(OR(H100="",D100=""),"",IF(D100&lt;=0,"",IFERROR(H100/D100-1,"")))</f>
        <v/>
      </c>
      <c r="I101" s="15">
        <f>IF(OR(I100="",E100=""),"",IF(E100&lt;=0,"",IFERROR(I100/E100-1,"")))</f>
        <v/>
      </c>
      <c r="J101" s="15">
        <f>IF(OR(J100="",F100=""),"",IF(F100&lt;=0,"",IFERROR(J100/F100-1,"")))</f>
        <v/>
      </c>
      <c r="K101" s="15">
        <f>IF(OR(K100="",G100=""),"",IF(G100&lt;=0,"",IFERROR(K100/G100-1,"")))</f>
        <v/>
      </c>
      <c r="L101" s="15">
        <f>IF(OR(L100="",H100=""),"",IF(H100&lt;=0,"",IFERROR(L100/H100-1,"")))</f>
        <v/>
      </c>
      <c r="M101" s="15">
        <f>IF(OR(M100="",I100=""),"",IF(I100&lt;=0,"",IFERROR(M100/I100-1,"")))</f>
        <v/>
      </c>
      <c r="N101" s="15">
        <f>IF(OR(N100="",J100=""),"",IF(J100&lt;=0,"",IFERROR(N100/J100-1,"")))</f>
        <v/>
      </c>
      <c r="T101" s="15">
        <f>IF(OR(T100="",S100=""),"",IF(S100&lt;=0,"",IFERROR(T100/S100-1,"")))</f>
        <v/>
      </c>
      <c r="U101" s="15">
        <f>IF(OR(U100="",T100=""),"",IF(T100&lt;=0,"",IFERROR(U100/T100-1,"")))</f>
        <v/>
      </c>
      <c r="V101" s="15">
        <f>IF(OR(V100="",U100=""),"",IF(U100&lt;=0,"",IFERROR(V100/U100-1,"")))</f>
        <v/>
      </c>
      <c r="W101" s="15">
        <f>IF(OR(W100="",V100=""),"",IF(V100&lt;=0,"",IFERROR(W100/V100-1,"")))</f>
        <v/>
      </c>
      <c r="X101" s="15">
        <f>IF(OR(X100="",W100=""),"",IF(W100&lt;=0,"",IFERROR(X100/W100-1,"")))</f>
        <v/>
      </c>
    </row>
    <row r="102">
      <c r="A102" s="18" t="inlineStr">
        <is>
          <t>판매비와 관리비</t>
        </is>
      </c>
      <c r="C102" s="20" t="n">
        <v>2368.088</v>
      </c>
      <c r="D102" s="20" t="n">
        <v>2382.11</v>
      </c>
      <c r="E102" s="20" t="n">
        <v>2332.019</v>
      </c>
      <c r="F102" s="20" t="n">
        <v>2438.478</v>
      </c>
      <c r="G102" s="20" t="n">
        <v>2610.778</v>
      </c>
      <c r="H102" s="20" t="n">
        <v>404.956</v>
      </c>
      <c r="I102" s="20" t="n">
        <v>2519.839</v>
      </c>
      <c r="J102" s="20" t="n">
        <v>2565.08</v>
      </c>
      <c r="K102" s="20" t="n">
        <v>2671.831</v>
      </c>
      <c r="L102" s="20" t="n">
        <v>819.333</v>
      </c>
      <c r="M102" s="20" t="n">
        <v>2932.925</v>
      </c>
      <c r="N102" s="20" t="n">
        <v>2987.518</v>
      </c>
      <c r="T102" s="20" t="n">
        <v>947.497</v>
      </c>
      <c r="U102" s="20" t="n">
        <v>2389.56</v>
      </c>
      <c r="V102" s="20" t="n">
        <v>2382.11</v>
      </c>
      <c r="W102" s="20" t="n">
        <v>404.956</v>
      </c>
      <c r="X102" s="20" t="n">
        <v>819.333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IF(OR(G102="",C102=""),"",IF(G102*C102&lt;=0,"",IFERROR(G102/C102-1,"")))</f>
        <v/>
      </c>
      <c r="H103" s="15">
        <f>IF(OR(H102="",D102=""),"",IF(H102*D102&lt;=0,"",IFERROR(H102/D102-1,"")))</f>
        <v/>
      </c>
      <c r="I103" s="15">
        <f>IF(OR(I102="",E102=""),"",IF(I102*E102&lt;=0,"",IFERROR(I102/E102-1,"")))</f>
        <v/>
      </c>
      <c r="J103" s="15">
        <f>IF(OR(J102="",F102=""),"",IF(J102*F102&lt;=0,"",IFERROR(J102/F102-1,"")))</f>
        <v/>
      </c>
      <c r="K103" s="15">
        <f>IF(OR(K102="",G102=""),"",IF(K102*G102&lt;=0,"",IFERROR(K102/G102-1,"")))</f>
        <v/>
      </c>
      <c r="L103" s="15">
        <f>IF(OR(L102="",H102=""),"",IF(L102*H102&lt;=0,"",IFERROR(L102/H102-1,"")))</f>
        <v/>
      </c>
      <c r="M103" s="15">
        <f>IF(OR(M102="",I102=""),"",IF(M102*I102&lt;=0,"",IFERROR(M102/I102-1,"")))</f>
        <v/>
      </c>
      <c r="N103" s="15">
        <f>IF(OR(N102="",J102=""),"",IF(N102*J102&lt;=0,"",IFERROR(N102/J102-1,"")))</f>
        <v/>
      </c>
      <c r="T103" s="15">
        <f>IF(OR(T102="",S102=""),"",IF(T102*S102&lt;=0,"",IFERROR(T102/S102-1,"")))</f>
        <v/>
      </c>
      <c r="U103" s="15">
        <f>IF(OR(U102="",T102=""),"",IF(U102*T102&lt;=0,"",IFERROR(U102/T102-1,"")))</f>
        <v/>
      </c>
      <c r="V103" s="15">
        <f>IF(OR(V102="",U102=""),"",IF(V102*U102&lt;=0,"",IFERROR(V102/U102-1,"")))</f>
        <v/>
      </c>
      <c r="W103" s="15">
        <f>IF(OR(W102="",V102=""),"",IF(W102*V102&lt;=0,"",IFERROR(W102/V102-1,"")))</f>
        <v/>
      </c>
      <c r="X103" s="15">
        <f>IF(OR(X102="",W102=""),"",IF(X102*W102&lt;=0,"",IFERROR(X102/W102-1,"")))</f>
        <v/>
      </c>
    </row>
    <row r="104">
      <c r="A104" s="9" t="inlineStr">
        <is>
          <t>영업이익</t>
        </is>
      </c>
      <c r="C104" s="12" t="n">
        <v>2645.307</v>
      </c>
      <c r="D104" s="12" t="n">
        <v>2857.581</v>
      </c>
      <c r="E104" s="12" t="n">
        <v>3910.771</v>
      </c>
      <c r="F104" s="12" t="n">
        <v>4234.273</v>
      </c>
      <c r="G104" s="12" t="n">
        <v>4450.716</v>
      </c>
      <c r="H104" s="12" t="n">
        <v>451.57</v>
      </c>
      <c r="I104" s="12" t="n">
        <v>4694.069</v>
      </c>
      <c r="J104" s="12" t="n">
        <v>5052.884</v>
      </c>
      <c r="K104" s="12" t="n">
        <v>4816.228</v>
      </c>
      <c r="L104" s="12" t="n">
        <v>795.133</v>
      </c>
      <c r="M104" s="12" t="n">
        <v>6172.283</v>
      </c>
      <c r="N104" s="12" t="n">
        <v>7122.049</v>
      </c>
      <c r="T104" s="12" t="n">
        <v>2029.376</v>
      </c>
      <c r="U104" s="12" t="n">
        <v>4227.153</v>
      </c>
      <c r="V104" s="12" t="n">
        <v>2857.581</v>
      </c>
      <c r="W104" s="12" t="n">
        <v>451.57</v>
      </c>
      <c r="X104" s="12" t="n">
        <v>795.133</v>
      </c>
    </row>
    <row r="105">
      <c r="A105" s="43" t="inlineStr">
        <is>
          <t>OPM</t>
        </is>
      </c>
      <c r="B105" s="3" t="inlineStr">
        <is>
          <t>영업이익 ÷ 매출</t>
        </is>
      </c>
      <c r="C105" s="15">
        <f>IF(OR(C104="",C96=""),"",IF(C96&lt;=0,"",IFERROR(C104/C96,"")))</f>
        <v/>
      </c>
      <c r="D105" s="15">
        <f>IF(OR(D104="",D96=""),"",IF(D96&lt;=0,"",IFERROR(D104/D96,"")))</f>
        <v/>
      </c>
      <c r="E105" s="15">
        <f>IF(OR(E104="",E96=""),"",IF(E96&lt;=0,"",IFERROR(E104/E96,"")))</f>
        <v/>
      </c>
      <c r="F105" s="15">
        <f>IF(OR(F104="",F96=""),"",IF(F96&lt;=0,"",IFERROR(F104/F96,"")))</f>
        <v/>
      </c>
      <c r="G105" s="15">
        <f>IF(OR(G104="",G96=""),"",IF(G96&lt;=0,"",IFERROR(G104/G96,"")))</f>
        <v/>
      </c>
      <c r="H105" s="15">
        <f>IF(OR(H104="",H96=""),"",IF(H96&lt;=0,"",IFERROR(H104/H96,"")))</f>
        <v/>
      </c>
      <c r="I105" s="15">
        <f>IF(OR(I104="",I96=""),"",IF(I96&lt;=0,"",IFERROR(I104/I96,"")))</f>
        <v/>
      </c>
      <c r="J105" s="15">
        <f>IF(OR(J104="",J96=""),"",IF(J96&lt;=0,"",IFERROR(J104/J96,"")))</f>
        <v/>
      </c>
      <c r="K105" s="15">
        <f>IF(OR(K104="",K96=""),"",IF(K96&lt;=0,"",IFERROR(K104/K96,"")))</f>
        <v/>
      </c>
      <c r="L105" s="15">
        <f>IF(OR(L104="",L96=""),"",IF(L96&lt;=0,"",IFERROR(L104/L96,"")))</f>
        <v/>
      </c>
      <c r="M105" s="15">
        <f>IF(OR(M104="",M96=""),"",IF(M96&lt;=0,"",IFERROR(M104/M96,"")))</f>
        <v/>
      </c>
      <c r="N105" s="15">
        <f>IF(OR(N104="",N96=""),"",IF(N96&lt;=0,"",IFERROR(N104/N96,"")))</f>
        <v/>
      </c>
      <c r="T105" s="15">
        <f>IF(OR(T104="",T96=""),"",IF(T96&lt;=0,"",IFERROR(T104/T96,"")))</f>
        <v/>
      </c>
      <c r="U105" s="15">
        <f>IF(OR(U104="",U96=""),"",IF(U96&lt;=0,"",IFERROR(U104/U96,"")))</f>
        <v/>
      </c>
      <c r="V105" s="15">
        <f>IF(OR(V104="",V96=""),"",IF(V96&lt;=0,"",IFERROR(V104/V96,"")))</f>
        <v/>
      </c>
      <c r="W105" s="15">
        <f>IF(OR(W104="",W96=""),"",IF(W96&lt;=0,"",IFERROR(W104/W96,"")))</f>
        <v/>
      </c>
      <c r="X105" s="15">
        <f>IF(OR(X104="",X96=""),"",IF(X96&lt;=0,"",IFERROR(X104/X96,"")))</f>
        <v/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IF(OR(G104="",C104=""),"",IF(C104&lt;=0,"",IFERROR(G104/C104-1,"")))</f>
        <v/>
      </c>
      <c r="H106" s="15">
        <f>IF(OR(H104="",D104=""),"",IF(D104&lt;=0,"",IFERROR(H104/D104-1,"")))</f>
        <v/>
      </c>
      <c r="I106" s="15">
        <f>IF(OR(I104="",E104=""),"",IF(E104&lt;=0,"",IFERROR(I104/E104-1,"")))</f>
        <v/>
      </c>
      <c r="J106" s="15">
        <f>IF(OR(J104="",F104=""),"",IF(F104&lt;=0,"",IFERROR(J104/F104-1,"")))</f>
        <v/>
      </c>
      <c r="K106" s="15">
        <f>IF(OR(K104="",G104=""),"",IF(G104&lt;=0,"",IFERROR(K104/G104-1,"")))</f>
        <v/>
      </c>
      <c r="L106" s="15">
        <f>IF(OR(L104="",H104=""),"",IF(H104&lt;=0,"",IFERROR(L104/H104-1,"")))</f>
        <v/>
      </c>
      <c r="M106" s="15">
        <f>IF(OR(M104="",I104=""),"",IF(I104&lt;=0,"",IFERROR(M104/I104-1,"")))</f>
        <v/>
      </c>
      <c r="N106" s="15">
        <f>IF(OR(N104="",J104=""),"",IF(J104&lt;=0,"",IFERROR(N104/J104-1,"")))</f>
        <v/>
      </c>
      <c r="T106" s="15">
        <f>IF(OR(T104="",S104=""),"",IF(S104&lt;=0,"",IFERROR(T104/S104-1,"")))</f>
        <v/>
      </c>
      <c r="U106" s="15">
        <f>IF(OR(U104="",T104=""),"",IF(T104&lt;=0,"",IFERROR(U104/T104-1,"")))</f>
        <v/>
      </c>
      <c r="V106" s="15">
        <f>IF(OR(V104="",U104=""),"",IF(U104&lt;=0,"",IFERROR(V104/U104-1,"")))</f>
        <v/>
      </c>
      <c r="W106" s="15">
        <f>IF(OR(W104="",V104=""),"",IF(V104&lt;=0,"",IFERROR(W104/V104-1,"")))</f>
        <v/>
      </c>
      <c r="X106" s="15">
        <f>IF(OR(X104="",W104=""),"",IF(W104&lt;=0,"",IFERROR(X104/W104-1,"")))</f>
        <v/>
      </c>
    </row>
    <row r="107">
      <c r="A107" s="18" t="inlineStr">
        <is>
          <t>이자수익</t>
        </is>
      </c>
      <c r="C107" s="20" t="n">
        <v>59.18</v>
      </c>
      <c r="D107" s="20" t="n">
        <v>60.634</v>
      </c>
      <c r="E107" s="20" t="n">
        <v>73.438</v>
      </c>
      <c r="F107" s="20" t="n">
        <v>83.623</v>
      </c>
      <c r="G107" s="20" t="n">
        <v>90.17100000000001</v>
      </c>
      <c r="H107" s="20" t="n">
        <v>91.88500000000001</v>
      </c>
      <c r="I107" s="20" t="n">
        <v>103.869</v>
      </c>
      <c r="J107" s="20" t="n">
        <v>103.597</v>
      </c>
      <c r="K107" s="20" t="n">
        <v>103.336</v>
      </c>
      <c r="L107" s="20" t="n">
        <v>117.168</v>
      </c>
      <c r="M107" s="20" t="n">
        <v>132.236</v>
      </c>
      <c r="N107" s="20" t="n">
        <v>146.205</v>
      </c>
      <c r="T107" s="20" t="n">
        <v>4.343</v>
      </c>
      <c r="U107" s="20" t="n">
        <v>60.652</v>
      </c>
      <c r="V107" s="20" t="n">
        <v>60.634</v>
      </c>
      <c r="W107" s="20" t="n">
        <v>91.88500000000001</v>
      </c>
      <c r="X107" s="20" t="n">
        <v>117.168</v>
      </c>
    </row>
    <row r="108">
      <c r="A108" s="18" t="inlineStr">
        <is>
          <t>배당금수익</t>
        </is>
      </c>
      <c r="C108" s="20" t="n">
        <v>6.036</v>
      </c>
      <c r="D108" s="20" t="n">
        <v>0</v>
      </c>
      <c r="E108" s="20" t="n">
        <v>6.161</v>
      </c>
      <c r="F108" s="20" t="n">
        <v>0</v>
      </c>
      <c r="G108" s="20" t="n">
        <v>7.431</v>
      </c>
      <c r="H108" s="20" t="n">
        <v>0</v>
      </c>
      <c r="I108" s="20" t="n">
        <v>7.987</v>
      </c>
      <c r="J108" s="20" t="n">
        <v>0</v>
      </c>
      <c r="K108" s="20" t="n">
        <v>7.748</v>
      </c>
      <c r="L108" s="20" t="n">
        <v>0</v>
      </c>
      <c r="M108" s="20" t="n">
        <v>4.423</v>
      </c>
      <c r="N108" s="20" t="n">
        <v>0</v>
      </c>
      <c r="T108" s="20" t="n">
        <v>0.019</v>
      </c>
      <c r="U108" s="20" t="n">
        <v>0.005</v>
      </c>
      <c r="V108" s="20" t="n">
        <v>0</v>
      </c>
      <c r="W108" s="20" t="n">
        <v>0</v>
      </c>
      <c r="X108" s="20" t="n">
        <v>0</v>
      </c>
    </row>
    <row r="109">
      <c r="A109" s="18" t="inlineStr">
        <is>
          <t>외환차익</t>
        </is>
      </c>
      <c r="C109" s="20" t="n">
        <v>-236.247</v>
      </c>
      <c r="D109" s="20" t="n">
        <v>302.779</v>
      </c>
      <c r="E109" s="20" t="n">
        <v>339.629</v>
      </c>
      <c r="F109" s="20" t="n">
        <v>-339.629</v>
      </c>
      <c r="G109" s="20" t="n">
        <v>382.717</v>
      </c>
      <c r="H109" s="20" t="n">
        <v>-355.896</v>
      </c>
      <c r="I109" s="20" t="n">
        <v>0</v>
      </c>
      <c r="L109" s="20" t="n">
        <v>218.216</v>
      </c>
      <c r="M109" s="20" t="n">
        <v>75.66800000000001</v>
      </c>
      <c r="T109" s="20" t="n">
        <v>340.257</v>
      </c>
      <c r="U109" s="20" t="n">
        <v>53.743</v>
      </c>
      <c r="V109" s="20" t="n">
        <v>302.779</v>
      </c>
      <c r="W109" s="20" t="n">
        <v>-355.896</v>
      </c>
      <c r="X109" s="20" t="n">
        <v>218.216</v>
      </c>
    </row>
    <row r="110">
      <c r="A110" s="18" t="inlineStr">
        <is>
          <t>기타</t>
        </is>
      </c>
      <c r="C110" s="20" t="n">
        <v>12.312</v>
      </c>
      <c r="D110" s="20" t="n">
        <v>9.625</v>
      </c>
      <c r="E110" s="20" t="n">
        <v>9.867000000000001</v>
      </c>
      <c r="F110" s="20" t="n">
        <v>8.849</v>
      </c>
      <c r="G110" s="20" t="n">
        <v>11.849</v>
      </c>
      <c r="H110" s="20" t="n">
        <v>3.039</v>
      </c>
      <c r="I110" s="20" t="n">
        <v>10.983</v>
      </c>
      <c r="J110" s="20" t="n">
        <v>10.918</v>
      </c>
      <c r="K110" s="20" t="n">
        <v>11.871</v>
      </c>
      <c r="L110" s="20" t="n">
        <v>-25.886</v>
      </c>
      <c r="M110" s="20" t="n">
        <v>8.398999999999999</v>
      </c>
      <c r="N110" s="20" t="n">
        <v>8.382</v>
      </c>
      <c r="T110" s="20" t="n">
        <v>-15.509</v>
      </c>
      <c r="U110" s="20" t="n">
        <v>8.644</v>
      </c>
      <c r="V110" s="20" t="n">
        <v>9.625</v>
      </c>
      <c r="W110" s="20" t="n">
        <v>3.039</v>
      </c>
      <c r="X110" s="20" t="n">
        <v>-25.886</v>
      </c>
    </row>
    <row r="111">
      <c r="A111" s="18" t="inlineStr">
        <is>
          <t>영업외수익 합계</t>
        </is>
      </c>
      <c r="C111" s="20" t="n">
        <v>-158.719</v>
      </c>
      <c r="D111" s="20" t="n">
        <v>373.039</v>
      </c>
      <c r="E111" s="20" t="n">
        <v>429.097</v>
      </c>
      <c r="F111" s="20" t="n">
        <v>-247.158</v>
      </c>
      <c r="G111" s="20" t="n">
        <v>492.168</v>
      </c>
      <c r="H111" s="20" t="n">
        <v>1154.459</v>
      </c>
      <c r="I111" s="20" t="n">
        <v>122.84</v>
      </c>
      <c r="J111" s="20" t="n">
        <v>114.515</v>
      </c>
      <c r="K111" s="20" t="n">
        <v>393.649</v>
      </c>
      <c r="L111" s="20" t="n">
        <v>3131.79</v>
      </c>
      <c r="M111" s="20" t="n">
        <v>220.727</v>
      </c>
      <c r="N111" s="20" t="n">
        <v>78.919</v>
      </c>
      <c r="T111" s="20" t="n">
        <v>1478.256</v>
      </c>
      <c r="U111" s="20" t="n">
        <v>123.046</v>
      </c>
      <c r="V111" s="20" t="n">
        <v>373.039</v>
      </c>
      <c r="W111" s="20" t="n">
        <v>1154.459</v>
      </c>
      <c r="X111" s="20" t="n">
        <v>3131.79</v>
      </c>
    </row>
    <row r="112">
      <c r="A112" s="43" t="inlineStr">
        <is>
          <t>YoY</t>
        </is>
      </c>
      <c r="B112" s="3" t="inlineStr">
        <is>
          <t>전년 같은 분기·전년 대비</t>
        </is>
      </c>
      <c r="G112" s="15">
        <f>IF(OR(G111="",C111=""),"",IF(G111*C111&lt;=0,"",IFERROR(G111/C111-1,"")))</f>
        <v/>
      </c>
      <c r="H112" s="15">
        <f>IF(OR(H111="",D111=""),"",IF(H111*D111&lt;=0,"",IFERROR(H111/D111-1,"")))</f>
        <v/>
      </c>
      <c r="I112" s="15">
        <f>IF(OR(I111="",E111=""),"",IF(I111*E111&lt;=0,"",IFERROR(I111/E111-1,"")))</f>
        <v/>
      </c>
      <c r="J112" s="15">
        <f>IF(OR(J111="",F111=""),"",IF(J111*F111&lt;=0,"",IFERROR(J111/F111-1,"")))</f>
        <v/>
      </c>
      <c r="K112" s="15">
        <f>IF(OR(K111="",G111=""),"",IF(K111*G111&lt;=0,"",IFERROR(K111/G111-1,"")))</f>
        <v/>
      </c>
      <c r="L112" s="15">
        <f>IF(OR(L111="",H111=""),"",IF(L111*H111&lt;=0,"",IFERROR(L111/H111-1,"")))</f>
        <v/>
      </c>
      <c r="M112" s="15">
        <f>IF(OR(M111="",I111=""),"",IF(M111*I111&lt;=0,"",IFERROR(M111/I111-1,"")))</f>
        <v/>
      </c>
      <c r="N112" s="15">
        <f>IF(OR(N111="",J111=""),"",IF(N111*J111&lt;=0,"",IFERROR(N111/J111-1,"")))</f>
        <v/>
      </c>
      <c r="T112" s="15">
        <f>IF(OR(T111="",S111=""),"",IF(T111*S111&lt;=0,"",IFERROR(T111/S111-1,"")))</f>
        <v/>
      </c>
      <c r="U112" s="15">
        <f>IF(OR(U111="",T111=""),"",IF(U111*T111&lt;=0,"",IFERROR(U111/T111-1,"")))</f>
        <v/>
      </c>
      <c r="V112" s="15">
        <f>IF(OR(V111="",U111=""),"",IF(V111*U111&lt;=0,"",IFERROR(V111/U111-1,"")))</f>
        <v/>
      </c>
      <c r="W112" s="15">
        <f>IF(OR(W111="",V111=""),"",IF(W111*V111&lt;=0,"",IFERROR(W111/V111-1,"")))</f>
        <v/>
      </c>
      <c r="X112" s="15">
        <f>IF(OR(X111="",W111=""),"",IF(X111*W111&lt;=0,"",IFERROR(X111/W111-1,"")))</f>
        <v/>
      </c>
    </row>
    <row r="113">
      <c r="A113" s="18" t="inlineStr">
        <is>
          <t>이자비용</t>
        </is>
      </c>
      <c r="C113" s="20" t="n">
        <v>33.151</v>
      </c>
      <c r="D113" s="20" t="n">
        <v>32.79</v>
      </c>
      <c r="E113" s="20" t="n">
        <v>32.789</v>
      </c>
      <c r="F113" s="20" t="n">
        <v>33.151</v>
      </c>
      <c r="G113" s="20" t="n">
        <v>33.15</v>
      </c>
      <c r="H113" s="20" t="n">
        <v>32.429</v>
      </c>
      <c r="I113" s="20" t="n">
        <v>32.789</v>
      </c>
      <c r="J113" s="20" t="n">
        <v>31.993</v>
      </c>
      <c r="K113" s="20" t="n">
        <v>30.335</v>
      </c>
      <c r="L113" s="20" t="n">
        <v>28.106</v>
      </c>
      <c r="M113" s="20" t="n">
        <v>26.715</v>
      </c>
      <c r="N113" s="20" t="n">
        <v>25.362</v>
      </c>
      <c r="U113" s="20" t="n">
        <v>0</v>
      </c>
      <c r="V113" s="20" t="n">
        <v>32.79</v>
      </c>
      <c r="W113" s="20" t="n">
        <v>32.429</v>
      </c>
      <c r="X113" s="20" t="n">
        <v>28.106</v>
      </c>
    </row>
    <row r="114">
      <c r="A114" s="18" t="inlineStr">
        <is>
          <t>지급수수료</t>
        </is>
      </c>
      <c r="C114" s="20" t="n">
        <v>0</v>
      </c>
      <c r="D114" s="20" t="n">
        <v>0</v>
      </c>
      <c r="T114" s="20" t="n">
        <v>0</v>
      </c>
      <c r="U114" s="20" t="n">
        <v>-0.012</v>
      </c>
      <c r="V114" s="20" t="n">
        <v>0</v>
      </c>
    </row>
    <row r="115">
      <c r="A115" s="18" t="inlineStr">
        <is>
          <t>감가상각비</t>
        </is>
      </c>
      <c r="C115" s="20" t="n">
        <v>0.256</v>
      </c>
      <c r="D115" s="20" t="n">
        <v>0.257</v>
      </c>
      <c r="E115" s="20" t="n">
        <v>0.267</v>
      </c>
      <c r="F115" s="20" t="n">
        <v>0.291</v>
      </c>
      <c r="G115" s="20" t="n">
        <v>0.295</v>
      </c>
      <c r="H115" s="20" t="n">
        <v>-0.002</v>
      </c>
      <c r="I115" s="20" t="n">
        <v>0</v>
      </c>
      <c r="J115" s="20" t="n">
        <v>0</v>
      </c>
      <c r="K115" s="20" t="n">
        <v>0</v>
      </c>
      <c r="L115" s="20" t="n">
        <v>0</v>
      </c>
      <c r="T115" s="20" t="n">
        <v>0.6879999999999999</v>
      </c>
      <c r="U115" s="20" t="n">
        <v>0.578</v>
      </c>
      <c r="V115" s="20" t="n">
        <v>0.257</v>
      </c>
      <c r="W115" s="20" t="n">
        <v>-0.002</v>
      </c>
      <c r="X115" s="20" t="n">
        <v>0</v>
      </c>
    </row>
    <row r="116">
      <c r="A116" s="18" t="inlineStr">
        <is>
          <t>투자조합 운용손실</t>
        </is>
      </c>
      <c r="C116" s="20" t="n">
        <v>-2.263</v>
      </c>
      <c r="D116" s="20" t="n">
        <v>11.085</v>
      </c>
      <c r="E116" s="20" t="n">
        <v>16.116</v>
      </c>
      <c r="F116" s="20" t="n">
        <v>14.98</v>
      </c>
      <c r="G116" s="20" t="n">
        <v>-18.539</v>
      </c>
      <c r="H116" s="20" t="n">
        <v>0.173</v>
      </c>
      <c r="I116" s="20" t="n">
        <v>6.718</v>
      </c>
      <c r="J116" s="20" t="n">
        <v>16.977</v>
      </c>
      <c r="K116" s="20" t="n">
        <v>0.312</v>
      </c>
      <c r="L116" s="20" t="n">
        <v>8.74</v>
      </c>
      <c r="M116" s="20" t="n">
        <v>2.606</v>
      </c>
      <c r="N116" s="20" t="n">
        <v>8.653</v>
      </c>
      <c r="T116" s="20" t="n">
        <v>0.76</v>
      </c>
      <c r="U116" s="20" t="n">
        <v>1.362</v>
      </c>
      <c r="V116" s="20" t="n">
        <v>11.085</v>
      </c>
      <c r="W116" s="20" t="n">
        <v>0.173</v>
      </c>
      <c r="X116" s="20" t="n">
        <v>8.74</v>
      </c>
    </row>
    <row r="117">
      <c r="A117" s="18" t="inlineStr">
        <is>
          <t>외환차손</t>
        </is>
      </c>
      <c r="E117" s="20" t="n">
        <v>0</v>
      </c>
      <c r="F117" s="20" t="n">
        <v>279.792</v>
      </c>
      <c r="I117" s="20" t="n">
        <v>244.701</v>
      </c>
      <c r="J117" s="20" t="n">
        <v>-157.078</v>
      </c>
      <c r="M117" s="20" t="n">
        <v>0</v>
      </c>
      <c r="N117" s="20" t="n">
        <v>162.429</v>
      </c>
    </row>
    <row r="118">
      <c r="A118" s="18" t="inlineStr">
        <is>
          <t>기타</t>
        </is>
      </c>
      <c r="C118" s="20" t="n">
        <v>2.461</v>
      </c>
      <c r="D118" s="20" t="n">
        <v>2.348</v>
      </c>
      <c r="E118" s="20" t="n">
        <v>0.016</v>
      </c>
      <c r="F118" s="20" t="n">
        <v>0.628</v>
      </c>
      <c r="G118" s="20" t="n">
        <v>0.23</v>
      </c>
      <c r="H118" s="20" t="n">
        <v>-0.184</v>
      </c>
      <c r="I118" s="20" t="n">
        <v>0.019</v>
      </c>
      <c r="J118" s="20" t="n">
        <v>0.553</v>
      </c>
      <c r="K118" s="20" t="n">
        <v>0.294</v>
      </c>
      <c r="L118" s="20" t="n">
        <v>-0.762</v>
      </c>
      <c r="M118" s="20" t="n">
        <v>0.23</v>
      </c>
      <c r="N118" s="20" t="n">
        <v>10.711</v>
      </c>
      <c r="T118" s="20" t="n">
        <v>0.186</v>
      </c>
      <c r="U118" s="20" t="n">
        <v>0.449</v>
      </c>
      <c r="V118" s="20" t="n">
        <v>2.348</v>
      </c>
      <c r="W118" s="20" t="n">
        <v>-0.184</v>
      </c>
      <c r="X118" s="20" t="n">
        <v>-0.762</v>
      </c>
    </row>
    <row r="119">
      <c r="A119" s="18" t="inlineStr">
        <is>
          <t>영업외비용 합계</t>
        </is>
      </c>
      <c r="C119" s="20" t="n">
        <v>33.603</v>
      </c>
      <c r="D119" s="20" t="n">
        <v>46.482</v>
      </c>
      <c r="E119" s="20" t="n">
        <v>49.19</v>
      </c>
      <c r="F119" s="20" t="n">
        <v>328.843</v>
      </c>
      <c r="G119" s="20" t="n">
        <v>-264.658</v>
      </c>
      <c r="H119" s="20" t="n">
        <v>31.566</v>
      </c>
      <c r="I119" s="20" t="n">
        <v>284.229</v>
      </c>
      <c r="J119" s="20" t="n">
        <v>-107.556</v>
      </c>
      <c r="K119" s="20" t="n">
        <v>-56.682</v>
      </c>
      <c r="L119" s="20" t="n">
        <v>36.084</v>
      </c>
      <c r="M119" s="20" t="n">
        <v>29.552</v>
      </c>
      <c r="N119" s="20" t="n">
        <v>207.156</v>
      </c>
      <c r="T119" s="20" t="n">
        <v>-0.999</v>
      </c>
      <c r="U119" s="20" t="n">
        <v>2.379</v>
      </c>
      <c r="V119" s="20" t="n">
        <v>46.482</v>
      </c>
      <c r="W119" s="20" t="n">
        <v>31.566</v>
      </c>
      <c r="X119" s="20" t="n">
        <v>36.084</v>
      </c>
    </row>
    <row r="120">
      <c r="A120" s="43" t="inlineStr">
        <is>
          <t>YoY</t>
        </is>
      </c>
      <c r="B120" s="3" t="inlineStr">
        <is>
          <t>전년 같은 분기·전년 대비</t>
        </is>
      </c>
      <c r="G120" s="15">
        <f>IF(OR(G119="",C119=""),"",IF(G119*C119&lt;=0,"",IFERROR(G119/C119-1,"")))</f>
        <v/>
      </c>
      <c r="H120" s="15">
        <f>IF(OR(H119="",D119=""),"",IF(H119*D119&lt;=0,"",IFERROR(H119/D119-1,"")))</f>
        <v/>
      </c>
      <c r="I120" s="15">
        <f>IF(OR(I119="",E119=""),"",IF(I119*E119&lt;=0,"",IFERROR(I119/E119-1,"")))</f>
        <v/>
      </c>
      <c r="J120" s="15">
        <f>IF(OR(J119="",F119=""),"",IF(J119*F119&lt;=0,"",IFERROR(J119/F119-1,"")))</f>
        <v/>
      </c>
      <c r="K120" s="15">
        <f>IF(OR(K119="",G119=""),"",IF(K119*G119&lt;=0,"",IFERROR(K119/G119-1,"")))</f>
        <v/>
      </c>
      <c r="L120" s="15">
        <f>IF(OR(L119="",H119=""),"",IF(L119*H119&lt;=0,"",IFERROR(L119/H119-1,"")))</f>
        <v/>
      </c>
      <c r="M120" s="15">
        <f>IF(OR(M119="",I119=""),"",IF(M119*I119&lt;=0,"",IFERROR(M119/I119-1,"")))</f>
        <v/>
      </c>
      <c r="N120" s="15">
        <f>IF(OR(N119="",J119=""),"",IF(N119*J119&lt;=0,"",IFERROR(N119/J119-1,"")))</f>
        <v/>
      </c>
      <c r="T120" s="15">
        <f>IF(OR(T119="",S119=""),"",IF(T119*S119&lt;=0,"",IFERROR(T119/S119-1,"")))</f>
        <v/>
      </c>
      <c r="U120" s="15">
        <f>IF(OR(U119="",T119=""),"",IF(U119*T119&lt;=0,"",IFERROR(U119/T119-1,"")))</f>
        <v/>
      </c>
      <c r="V120" s="15">
        <f>IF(OR(V119="",U119=""),"",IF(V119*U119&lt;=0,"",IFERROR(V119/U119-1,"")))</f>
        <v/>
      </c>
      <c r="W120" s="15">
        <f>IF(OR(W119="",V119=""),"",IF(W119*V119&lt;=0,"",IFERROR(W119/V119-1,"")))</f>
        <v/>
      </c>
      <c r="X120" s="15">
        <f>IF(OR(X119="",W119=""),"",IF(X119*W119&lt;=0,"",IFERROR(X119/W119-1,"")))</f>
        <v/>
      </c>
    </row>
    <row r="121">
      <c r="A121" s="9" t="inlineStr">
        <is>
          <t>경상이익</t>
        </is>
      </c>
      <c r="C121" s="12" t="n">
        <v>2452.984</v>
      </c>
      <c r="D121" s="12" t="n">
        <v>3184.139</v>
      </c>
      <c r="E121" s="12" t="n">
        <v>4290.678</v>
      </c>
      <c r="F121" s="12" t="n">
        <v>3658.272</v>
      </c>
      <c r="G121" s="12" t="n">
        <v>5207.543</v>
      </c>
      <c r="H121" s="12" t="n">
        <v>1574.462</v>
      </c>
      <c r="I121" s="12" t="n">
        <v>4532.68</v>
      </c>
      <c r="J121" s="12" t="n">
        <v>5274.955</v>
      </c>
      <c r="K121" s="12" t="n">
        <v>5266.56</v>
      </c>
      <c r="L121" s="12" t="n">
        <v>3890.839</v>
      </c>
      <c r="M121" s="12" t="n">
        <v>6363.458</v>
      </c>
      <c r="N121" s="12" t="n">
        <v>6993.812</v>
      </c>
      <c r="T121" s="12" t="n">
        <v>3508.631</v>
      </c>
      <c r="U121" s="12" t="n">
        <v>4347.82</v>
      </c>
      <c r="V121" s="12" t="n">
        <v>3184.139</v>
      </c>
      <c r="W121" s="12" t="n">
        <v>1574.462</v>
      </c>
      <c r="X121" s="12" t="n">
        <v>3890.839</v>
      </c>
    </row>
    <row r="122">
      <c r="A122" s="43" t="inlineStr">
        <is>
          <t>YoY</t>
        </is>
      </c>
      <c r="B122" s="3" t="inlineStr">
        <is>
          <t>전년 같은 분기·전년 대비</t>
        </is>
      </c>
      <c r="G122" s="15">
        <f>IF(OR(G121="",C121=""),"",IF(C121&lt;=0,"",IFERROR(G121/C121-1,"")))</f>
        <v/>
      </c>
      <c r="H122" s="15">
        <f>IF(OR(H121="",D121=""),"",IF(D121&lt;=0,"",IFERROR(H121/D121-1,"")))</f>
        <v/>
      </c>
      <c r="I122" s="15">
        <f>IF(OR(I121="",E121=""),"",IF(E121&lt;=0,"",IFERROR(I121/E121-1,"")))</f>
        <v/>
      </c>
      <c r="J122" s="15">
        <f>IF(OR(J121="",F121=""),"",IF(F121&lt;=0,"",IFERROR(J121/F121-1,"")))</f>
        <v/>
      </c>
      <c r="K122" s="15">
        <f>IF(OR(K121="",G121=""),"",IF(G121&lt;=0,"",IFERROR(K121/G121-1,"")))</f>
        <v/>
      </c>
      <c r="L122" s="15">
        <f>IF(OR(L121="",H121=""),"",IF(H121&lt;=0,"",IFERROR(L121/H121-1,"")))</f>
        <v/>
      </c>
      <c r="M122" s="15">
        <f>IF(OR(M121="",I121=""),"",IF(I121&lt;=0,"",IFERROR(M121/I121-1,"")))</f>
        <v/>
      </c>
      <c r="N122" s="15">
        <f>IF(OR(N121="",J121=""),"",IF(J121&lt;=0,"",IFERROR(N121/J121-1,"")))</f>
        <v/>
      </c>
      <c r="T122" s="15">
        <f>IF(OR(T121="",S121=""),"",IF(S121&lt;=0,"",IFERROR(T121/S121-1,"")))</f>
        <v/>
      </c>
      <c r="U122" s="15">
        <f>IF(OR(U121="",T121=""),"",IF(T121&lt;=0,"",IFERROR(U121/T121-1,"")))</f>
        <v/>
      </c>
      <c r="V122" s="15">
        <f>IF(OR(V121="",U121=""),"",IF(U121&lt;=0,"",IFERROR(V121/U121-1,"")))</f>
        <v/>
      </c>
      <c r="W122" s="15">
        <f>IF(OR(W121="",V121=""),"",IF(V121&lt;=0,"",IFERROR(W121/V121-1,"")))</f>
        <v/>
      </c>
      <c r="X122" s="15">
        <f>IF(OR(X121="",W121=""),"",IF(W121&lt;=0,"",IFERROR(X121/W121-1,"")))</f>
        <v/>
      </c>
    </row>
    <row r="123">
      <c r="A123" s="18" t="inlineStr">
        <is>
          <t>고정자산 매각이익</t>
        </is>
      </c>
      <c r="C123" s="20" t="n">
        <v>0.652</v>
      </c>
      <c r="D123" s="20" t="n">
        <v>0.018</v>
      </c>
      <c r="E123" s="20" t="n">
        <v>0.001</v>
      </c>
      <c r="F123" s="20" t="n">
        <v>60.927</v>
      </c>
      <c r="G123" s="20" t="n">
        <v>0</v>
      </c>
      <c r="H123" s="20" t="n">
        <v>-59.949</v>
      </c>
      <c r="I123" s="20" t="n">
        <v>0.578</v>
      </c>
      <c r="J123" s="20" t="n">
        <v>2.235</v>
      </c>
      <c r="K123" s="20" t="n">
        <v>0.016</v>
      </c>
      <c r="L123" s="20" t="n">
        <v>-0.63</v>
      </c>
      <c r="M123" s="20" t="n">
        <v>0.031</v>
      </c>
      <c r="N123" s="20" t="n">
        <v>8.195</v>
      </c>
      <c r="T123" s="20" t="n">
        <v>0.109</v>
      </c>
      <c r="U123" s="20" t="n">
        <v>0.002</v>
      </c>
      <c r="V123" s="20" t="n">
        <v>0.018</v>
      </c>
      <c r="W123" s="20" t="n">
        <v>-59.949</v>
      </c>
      <c r="X123" s="20" t="n">
        <v>-0.63</v>
      </c>
    </row>
    <row r="124">
      <c r="A124" s="18" t="inlineStr">
        <is>
          <t>투자유가증권 매각이익</t>
        </is>
      </c>
      <c r="C124" s="20" t="n">
        <v>0</v>
      </c>
      <c r="D124" s="20" t="n">
        <v>0</v>
      </c>
      <c r="E124" s="20" t="n">
        <v>0</v>
      </c>
      <c r="F124" s="20" t="n">
        <v>0</v>
      </c>
      <c r="G124" s="20" t="n">
        <v>0</v>
      </c>
      <c r="H124" s="20" t="n">
        <v>0</v>
      </c>
      <c r="L124" s="20" t="n">
        <v>0.115</v>
      </c>
      <c r="T124" s="20" t="n">
        <v>136.628</v>
      </c>
      <c r="U124" s="20" t="n">
        <v>19.322</v>
      </c>
      <c r="V124" s="20" t="n">
        <v>0</v>
      </c>
      <c r="W124" s="20" t="n">
        <v>0</v>
      </c>
      <c r="X124" s="20" t="n">
        <v>0.115</v>
      </c>
    </row>
    <row r="125">
      <c r="A125" s="18" t="inlineStr">
        <is>
          <t>Gain On Sales Of Memberships EI</t>
        </is>
      </c>
      <c r="T125" s="20" t="n">
        <v>0</v>
      </c>
      <c r="U125" s="20" t="n">
        <v>0</v>
      </c>
    </row>
    <row r="126">
      <c r="A126" s="18" t="inlineStr">
        <is>
          <t>보조금 수입</t>
        </is>
      </c>
      <c r="C126" s="20" t="n">
        <v>36.563</v>
      </c>
      <c r="D126" s="20" t="n">
        <v>0.293</v>
      </c>
      <c r="E126" s="20" t="n">
        <v>20.257</v>
      </c>
      <c r="F126" s="20" t="n">
        <v>0</v>
      </c>
      <c r="G126" s="20" t="n">
        <v>0</v>
      </c>
      <c r="H126" s="20" t="n">
        <v>14.87</v>
      </c>
      <c r="I126" s="20" t="n">
        <v>5.588</v>
      </c>
      <c r="J126" s="20" t="n">
        <v>0</v>
      </c>
      <c r="K126" s="20" t="n">
        <v>0</v>
      </c>
      <c r="L126" s="20" t="n">
        <v>0</v>
      </c>
      <c r="M126" s="20" t="n">
        <v>3703.829</v>
      </c>
      <c r="N126" s="20" t="n">
        <v>0.9320000000000001</v>
      </c>
      <c r="U126" s="20" t="n">
        <v>4.2</v>
      </c>
      <c r="V126" s="20" t="n">
        <v>0.293</v>
      </c>
      <c r="W126" s="20" t="n">
        <v>14.87</v>
      </c>
      <c r="X126" s="20" t="n">
        <v>0</v>
      </c>
    </row>
    <row r="127">
      <c r="A127" s="18" t="inlineStr">
        <is>
          <t>특별이익 합계</t>
        </is>
      </c>
      <c r="C127" s="20" t="n">
        <v>37.216</v>
      </c>
      <c r="D127" s="20" t="n">
        <v>141.456</v>
      </c>
      <c r="E127" s="20" t="n">
        <v>20.258</v>
      </c>
      <c r="F127" s="20" t="n">
        <v>60.927</v>
      </c>
      <c r="G127" s="20" t="n">
        <v>0</v>
      </c>
      <c r="H127" s="20" t="n">
        <v>-45.078</v>
      </c>
      <c r="I127" s="20" t="n">
        <v>6.166</v>
      </c>
      <c r="J127" s="20" t="n">
        <v>2.236</v>
      </c>
      <c r="K127" s="20" t="n">
        <v>184.817</v>
      </c>
      <c r="L127" s="20" t="n">
        <v>-0.515</v>
      </c>
      <c r="M127" s="20" t="n">
        <v>3703.86</v>
      </c>
      <c r="N127" s="20" t="n">
        <v>9.127000000000001</v>
      </c>
      <c r="T127" s="20" t="n">
        <v>136.738</v>
      </c>
      <c r="U127" s="20" t="n">
        <v>23.524</v>
      </c>
      <c r="V127" s="20" t="n">
        <v>141.456</v>
      </c>
      <c r="W127" s="20" t="n">
        <v>-45.078</v>
      </c>
      <c r="X127" s="20" t="n">
        <v>-0.515</v>
      </c>
    </row>
    <row r="128">
      <c r="A128" s="43" t="inlineStr">
        <is>
          <t>YoY</t>
        </is>
      </c>
      <c r="B128" s="3" t="inlineStr">
        <is>
          <t>전년 같은 분기·전년 대비</t>
        </is>
      </c>
      <c r="G128" s="15">
        <f>IF(OR(G127="",C127=""),"",IF(G127*C127&lt;=0,"",IFERROR(G127/C127-1,"")))</f>
        <v/>
      </c>
      <c r="H128" s="15">
        <f>IF(OR(H127="",D127=""),"",IF(H127*D127&lt;=0,"",IFERROR(H127/D127-1,"")))</f>
        <v/>
      </c>
      <c r="I128" s="15">
        <f>IF(OR(I127="",E127=""),"",IF(I127*E127&lt;=0,"",IFERROR(I127/E127-1,"")))</f>
        <v/>
      </c>
      <c r="J128" s="15">
        <f>IF(OR(J127="",F127=""),"",IF(J127*F127&lt;=0,"",IFERROR(J127/F127-1,"")))</f>
        <v/>
      </c>
      <c r="K128" s="15">
        <f>IF(OR(K127="",G127=""),"",IF(K127*G127&lt;=0,"",IFERROR(K127/G127-1,"")))</f>
        <v/>
      </c>
      <c r="L128" s="15">
        <f>IF(OR(L127="",H127=""),"",IF(L127*H127&lt;=0,"",IFERROR(L127/H127-1,"")))</f>
        <v/>
      </c>
      <c r="M128" s="15">
        <f>IF(OR(M127="",I127=""),"",IF(M127*I127&lt;=0,"",IFERROR(M127/I127-1,"")))</f>
        <v/>
      </c>
      <c r="N128" s="15">
        <f>IF(OR(N127="",J127=""),"",IF(N127*J127&lt;=0,"",IFERROR(N127/J127-1,"")))</f>
        <v/>
      </c>
      <c r="T128" s="15">
        <f>IF(OR(T127="",S127=""),"",IF(T127*S127&lt;=0,"",IFERROR(T127/S127-1,"")))</f>
        <v/>
      </c>
      <c r="U128" s="15">
        <f>IF(OR(U127="",T127=""),"",IF(U127*T127&lt;=0,"",IFERROR(U127/T127-1,"")))</f>
        <v/>
      </c>
      <c r="V128" s="15">
        <f>IF(OR(V127="",U127=""),"",IF(V127*U127&lt;=0,"",IFERROR(V127/U127-1,"")))</f>
        <v/>
      </c>
      <c r="W128" s="15">
        <f>IF(OR(W127="",V127=""),"",IF(W127*V127&lt;=0,"",IFERROR(W127/V127-1,"")))</f>
        <v/>
      </c>
      <c r="X128" s="15">
        <f>IF(OR(X127="",W127=""),"",IF(X127*W127&lt;=0,"",IFERROR(X127/W127-1,"")))</f>
        <v/>
      </c>
    </row>
    <row r="129">
      <c r="A129" s="18" t="inlineStr">
        <is>
          <t>고정자산 매각손실</t>
        </is>
      </c>
      <c r="D129" s="20" t="n">
        <v>0</v>
      </c>
      <c r="E129" s="20" t="n">
        <v>0</v>
      </c>
      <c r="F129" s="20" t="n">
        <v>0</v>
      </c>
      <c r="G129" s="20" t="n">
        <v>8.387</v>
      </c>
      <c r="H129" s="20" t="n">
        <v>0</v>
      </c>
      <c r="I129" s="20" t="n">
        <v>0.195</v>
      </c>
      <c r="J129" s="20" t="n">
        <v>0.003</v>
      </c>
      <c r="K129" s="20" t="n">
        <v>0.005</v>
      </c>
      <c r="L129" s="20" t="n">
        <v>-0.203</v>
      </c>
      <c r="M129" s="20" t="n">
        <v>0</v>
      </c>
      <c r="N129" s="20" t="n">
        <v>0</v>
      </c>
      <c r="V129" s="20" t="n">
        <v>0</v>
      </c>
      <c r="W129" s="20" t="n">
        <v>0</v>
      </c>
      <c r="X129" s="20" t="n">
        <v>-0.203</v>
      </c>
    </row>
    <row r="130">
      <c r="A130" s="18" t="inlineStr">
        <is>
          <t>고정자산 제각손실</t>
        </is>
      </c>
      <c r="C130" s="20" t="n">
        <v>15.758</v>
      </c>
      <c r="D130" s="20" t="n">
        <v>1.643</v>
      </c>
      <c r="E130" s="20" t="n">
        <v>12.232</v>
      </c>
      <c r="F130" s="20" t="n">
        <v>9.173</v>
      </c>
      <c r="G130" s="20" t="n">
        <v>10.474</v>
      </c>
      <c r="H130" s="20" t="n">
        <v>339.583</v>
      </c>
      <c r="I130" s="20" t="n">
        <v>3.871</v>
      </c>
      <c r="J130" s="20" t="n">
        <v>17.054</v>
      </c>
      <c r="K130" s="20" t="n">
        <v>10.113</v>
      </c>
      <c r="L130" s="20" t="n">
        <v>183.674</v>
      </c>
      <c r="M130" s="20" t="n">
        <v>95.38500000000001</v>
      </c>
      <c r="N130" s="20" t="n">
        <v>35.971</v>
      </c>
      <c r="T130" s="20" t="n">
        <v>-0.364</v>
      </c>
      <c r="U130" s="20" t="n">
        <v>7.235</v>
      </c>
      <c r="V130" s="20" t="n">
        <v>1.643</v>
      </c>
      <c r="W130" s="20" t="n">
        <v>339.583</v>
      </c>
      <c r="X130" s="20" t="n">
        <v>183.674</v>
      </c>
    </row>
    <row r="131">
      <c r="A131" s="18" t="inlineStr">
        <is>
          <t>특별손실 합계</t>
        </is>
      </c>
      <c r="C131" s="20" t="n">
        <v>15.758</v>
      </c>
      <c r="D131" s="20" t="n">
        <v>1.643</v>
      </c>
      <c r="E131" s="20" t="n">
        <v>12.232</v>
      </c>
      <c r="F131" s="20" t="n">
        <v>9.173</v>
      </c>
      <c r="G131" s="20" t="n">
        <v>18.862</v>
      </c>
      <c r="H131" s="20" t="n">
        <v>339.583</v>
      </c>
      <c r="I131" s="20" t="n">
        <v>4.066</v>
      </c>
      <c r="J131" s="20" t="n">
        <v>17.058</v>
      </c>
      <c r="K131" s="20" t="n">
        <v>10.117</v>
      </c>
      <c r="L131" s="20" t="n">
        <v>185.375</v>
      </c>
      <c r="M131" s="20" t="n">
        <v>95.38500000000001</v>
      </c>
      <c r="N131" s="20" t="n">
        <v>35.971</v>
      </c>
      <c r="T131" s="20" t="n">
        <v>0.704</v>
      </c>
      <c r="U131" s="20" t="n">
        <v>24.551</v>
      </c>
      <c r="V131" s="20" t="n">
        <v>1.643</v>
      </c>
      <c r="W131" s="20" t="n">
        <v>339.583</v>
      </c>
      <c r="X131" s="20" t="n">
        <v>185.375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IF(OR(G131="",C131=""),"",IF(G131*C131&lt;=0,"",IFERROR(G131/C131-1,"")))</f>
        <v/>
      </c>
      <c r="H132" s="15">
        <f>IF(OR(H131="",D131=""),"",IF(H131*D131&lt;=0,"",IFERROR(H131/D131-1,"")))</f>
        <v/>
      </c>
      <c r="I132" s="15">
        <f>IF(OR(I131="",E131=""),"",IF(I131*E131&lt;=0,"",IFERROR(I131/E131-1,"")))</f>
        <v/>
      </c>
      <c r="J132" s="15">
        <f>IF(OR(J131="",F131=""),"",IF(J131*F131&lt;=0,"",IFERROR(J131/F131-1,"")))</f>
        <v/>
      </c>
      <c r="K132" s="15">
        <f>IF(OR(K131="",G131=""),"",IF(K131*G131&lt;=0,"",IFERROR(K131/G131-1,"")))</f>
        <v/>
      </c>
      <c r="L132" s="15">
        <f>IF(OR(L131="",H131=""),"",IF(L131*H131&lt;=0,"",IFERROR(L131/H131-1,"")))</f>
        <v/>
      </c>
      <c r="M132" s="15">
        <f>IF(OR(M131="",I131=""),"",IF(M131*I131&lt;=0,"",IFERROR(M131/I131-1,"")))</f>
        <v/>
      </c>
      <c r="N132" s="15">
        <f>IF(OR(N131="",J131=""),"",IF(N131*J131&lt;=0,"",IFERROR(N131/J131-1,"")))</f>
        <v/>
      </c>
      <c r="T132" s="15">
        <f>IF(OR(T131="",S131=""),"",IF(T131*S131&lt;=0,"",IFERROR(T131/S131-1,"")))</f>
        <v/>
      </c>
      <c r="U132" s="15">
        <f>IF(OR(U131="",T131=""),"",IF(U131*T131&lt;=0,"",IFERROR(U131/T131-1,"")))</f>
        <v/>
      </c>
      <c r="V132" s="15">
        <f>IF(OR(V131="",U131=""),"",IF(V131*U131&lt;=0,"",IFERROR(V131/U131-1,"")))</f>
        <v/>
      </c>
      <c r="W132" s="15">
        <f>IF(OR(W131="",V131=""),"",IF(W131*V131&lt;=0,"",IFERROR(W131/V131-1,"")))</f>
        <v/>
      </c>
      <c r="X132" s="15">
        <f>IF(OR(X131="",W131=""),"",IF(X131*W131&lt;=0,"",IFERROR(X131/W131-1,"")))</f>
        <v/>
      </c>
    </row>
    <row r="133">
      <c r="A133" s="9" t="inlineStr">
        <is>
          <t>법인세차감전 순이익</t>
        </is>
      </c>
      <c r="C133" s="12" t="n">
        <v>2474.442</v>
      </c>
      <c r="D133" s="12" t="n">
        <v>3323.951</v>
      </c>
      <c r="E133" s="12" t="n">
        <v>4298.705</v>
      </c>
      <c r="F133" s="12" t="n">
        <v>3710.025</v>
      </c>
      <c r="G133" s="12" t="n">
        <v>5188.68</v>
      </c>
      <c r="H133" s="12" t="n">
        <v>1189.802</v>
      </c>
      <c r="I133" s="12" t="n">
        <v>4534.78</v>
      </c>
      <c r="J133" s="12" t="n">
        <v>5260.133</v>
      </c>
      <c r="K133" s="12" t="n">
        <v>5441.26</v>
      </c>
      <c r="L133" s="12" t="n">
        <v>3704.949</v>
      </c>
      <c r="M133" s="12" t="n">
        <v>9971.933999999999</v>
      </c>
      <c r="N133" s="12" t="n">
        <v>6966.967</v>
      </c>
      <c r="T133" s="12" t="n">
        <v>3644.663</v>
      </c>
      <c r="U133" s="12" t="n">
        <v>4346.792</v>
      </c>
      <c r="V133" s="12" t="n">
        <v>3323.951</v>
      </c>
      <c r="W133" s="12" t="n">
        <v>1189.802</v>
      </c>
      <c r="X133" s="12" t="n">
        <v>3704.949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G134" s="15">
        <f>IF(OR(G133="",C133=""),"",IF(C133&lt;=0,"",IFERROR(G133/C133-1,"")))</f>
        <v/>
      </c>
      <c r="H134" s="15">
        <f>IF(OR(H133="",D133=""),"",IF(D133&lt;=0,"",IFERROR(H133/D133-1,"")))</f>
        <v/>
      </c>
      <c r="I134" s="15">
        <f>IF(OR(I133="",E133=""),"",IF(E133&lt;=0,"",IFERROR(I133/E133-1,"")))</f>
        <v/>
      </c>
      <c r="J134" s="15">
        <f>IF(OR(J133="",F133=""),"",IF(F133&lt;=0,"",IFERROR(J133/F133-1,"")))</f>
        <v/>
      </c>
      <c r="K134" s="15">
        <f>IF(OR(K133="",G133=""),"",IF(G133&lt;=0,"",IFERROR(K133/G133-1,"")))</f>
        <v/>
      </c>
      <c r="L134" s="15">
        <f>IF(OR(L133="",H133=""),"",IF(H133&lt;=0,"",IFERROR(L133/H133-1,"")))</f>
        <v/>
      </c>
      <c r="M134" s="15">
        <f>IF(OR(M133="",I133=""),"",IF(I133&lt;=0,"",IFERROR(M133/I133-1,"")))</f>
        <v/>
      </c>
      <c r="N134" s="15">
        <f>IF(OR(N133="",J133=""),"",IF(J133&lt;=0,"",IFERROR(N133/J133-1,"")))</f>
        <v/>
      </c>
      <c r="T134" s="15">
        <f>IF(OR(T133="",S133=""),"",IF(S133&lt;=0,"",IFERROR(T133/S133-1,"")))</f>
        <v/>
      </c>
      <c r="U134" s="15">
        <f>IF(OR(U133="",T133=""),"",IF(T133&lt;=0,"",IFERROR(U133/T133-1,"")))</f>
        <v/>
      </c>
      <c r="V134" s="15">
        <f>IF(OR(V133="",U133=""),"",IF(U133&lt;=0,"",IFERROR(V133/U133-1,"")))</f>
        <v/>
      </c>
      <c r="W134" s="15">
        <f>IF(OR(W133="",V133=""),"",IF(V133&lt;=0,"",IFERROR(W133/V133-1,"")))</f>
        <v/>
      </c>
      <c r="X134" s="15">
        <f>IF(OR(X133="",W133=""),"",IF(W133&lt;=0,"",IFERROR(X133/W133-1,"")))</f>
        <v/>
      </c>
    </row>
    <row r="135">
      <c r="A135" s="18" t="inlineStr">
        <is>
          <t>법인세·주민세·사업세</t>
        </is>
      </c>
      <c r="C135" s="20" t="n">
        <v>613.107</v>
      </c>
      <c r="D135" s="20" t="n">
        <v>1918.656</v>
      </c>
      <c r="E135" s="20" t="n">
        <v>1310.027</v>
      </c>
      <c r="F135" s="20" t="n">
        <v>989.414</v>
      </c>
      <c r="G135" s="20" t="n">
        <v>1555.613</v>
      </c>
      <c r="H135" s="20" t="n">
        <v>-418.054</v>
      </c>
      <c r="I135" s="20" t="n">
        <v>1410.836</v>
      </c>
      <c r="J135" s="20" t="n">
        <v>1395.27</v>
      </c>
      <c r="K135" s="20" t="n">
        <v>1530.857</v>
      </c>
      <c r="L135" s="20" t="n">
        <v>163.037</v>
      </c>
      <c r="M135" s="20" t="n">
        <v>3276.147</v>
      </c>
      <c r="N135" s="20" t="n">
        <v>1954.209</v>
      </c>
      <c r="T135" s="20" t="n">
        <v>816.104</v>
      </c>
      <c r="U135" s="20" t="n">
        <v>1471.896</v>
      </c>
      <c r="V135" s="20" t="n">
        <v>1918.656</v>
      </c>
      <c r="W135" s="20" t="n">
        <v>-418.054</v>
      </c>
      <c r="X135" s="20" t="n">
        <v>163.037</v>
      </c>
    </row>
    <row r="136">
      <c r="A136" s="18" t="inlineStr">
        <is>
          <t>법인세 조정액</t>
        </is>
      </c>
      <c r="C136" s="20" t="n">
        <v>41.892</v>
      </c>
      <c r="D136" s="20" t="n">
        <v>-831.323</v>
      </c>
      <c r="E136" s="20" t="n">
        <v>104.115</v>
      </c>
      <c r="F136" s="20" t="n">
        <v>-3.14</v>
      </c>
      <c r="G136" s="20" t="n">
        <v>71.651</v>
      </c>
      <c r="H136" s="20" t="n">
        <v>-72.626</v>
      </c>
      <c r="I136" s="20" t="n">
        <v>18.766</v>
      </c>
      <c r="J136" s="20" t="n">
        <v>90.11499999999999</v>
      </c>
      <c r="K136" s="20" t="n">
        <v>101.149</v>
      </c>
      <c r="L136" s="20" t="n">
        <v>-410.03</v>
      </c>
      <c r="M136" s="20" t="n">
        <v>6.891</v>
      </c>
      <c r="N136" s="20" t="n">
        <v>39.053</v>
      </c>
      <c r="T136" s="20" t="n">
        <v>-2.69</v>
      </c>
      <c r="U136" s="20" t="n">
        <v>-245.635</v>
      </c>
      <c r="V136" s="20" t="n">
        <v>-831.323</v>
      </c>
      <c r="W136" s="20" t="n">
        <v>-72.626</v>
      </c>
      <c r="X136" s="20" t="n">
        <v>-410.03</v>
      </c>
    </row>
    <row r="137">
      <c r="A137" s="18" t="inlineStr">
        <is>
          <t>법인세 등 합계</t>
        </is>
      </c>
      <c r="C137" s="20" t="n">
        <v>654.999</v>
      </c>
      <c r="D137" s="20" t="n">
        <v>1087.332</v>
      </c>
      <c r="E137" s="20" t="n">
        <v>1414.142</v>
      </c>
      <c r="F137" s="20" t="n">
        <v>986.275</v>
      </c>
      <c r="G137" s="20" t="n">
        <v>1627.264</v>
      </c>
      <c r="H137" s="20" t="n">
        <v>-490.681</v>
      </c>
      <c r="I137" s="20" t="n">
        <v>1429.602</v>
      </c>
      <c r="J137" s="20" t="n">
        <v>1485.386</v>
      </c>
      <c r="K137" s="20" t="n">
        <v>1632.005</v>
      </c>
      <c r="L137" s="20" t="n">
        <v>-246.993</v>
      </c>
      <c r="M137" s="20" t="n">
        <v>3283.038</v>
      </c>
      <c r="N137" s="20" t="n">
        <v>1993.262</v>
      </c>
      <c r="T137" s="20" t="n">
        <v>813.413</v>
      </c>
      <c r="U137" s="20" t="n">
        <v>1226.26</v>
      </c>
      <c r="V137" s="20" t="n">
        <v>1087.332</v>
      </c>
      <c r="W137" s="20" t="n">
        <v>-490.681</v>
      </c>
      <c r="X137" s="20" t="n">
        <v>-246.993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IF(OR(G137="",C137=""),"",IF(G137*C137&lt;=0,"",IFERROR(G137/C137-1,"")))</f>
        <v/>
      </c>
      <c r="H138" s="15">
        <f>IF(OR(H137="",D137=""),"",IF(H137*D137&lt;=0,"",IFERROR(H137/D137-1,"")))</f>
        <v/>
      </c>
      <c r="I138" s="15">
        <f>IF(OR(I137="",E137=""),"",IF(I137*E137&lt;=0,"",IFERROR(I137/E137-1,"")))</f>
        <v/>
      </c>
      <c r="J138" s="15">
        <f>IF(OR(J137="",F137=""),"",IF(J137*F137&lt;=0,"",IFERROR(J137/F137-1,"")))</f>
        <v/>
      </c>
      <c r="K138" s="15">
        <f>IF(OR(K137="",G137=""),"",IF(K137*G137&lt;=0,"",IFERROR(K137/G137-1,"")))</f>
        <v/>
      </c>
      <c r="L138" s="15">
        <f>IF(OR(L137="",H137=""),"",IF(L137*H137&lt;=0,"",IFERROR(L137/H137-1,"")))</f>
        <v/>
      </c>
      <c r="M138" s="15">
        <f>IF(OR(M137="",I137=""),"",IF(M137*I137&lt;=0,"",IFERROR(M137/I137-1,"")))</f>
        <v/>
      </c>
      <c r="N138" s="15">
        <f>IF(OR(N137="",J137=""),"",IF(N137*J137&lt;=0,"",IFERROR(N137/J137-1,"")))</f>
        <v/>
      </c>
      <c r="T138" s="15">
        <f>IF(OR(T137="",S137=""),"",IF(T137*S137&lt;=0,"",IFERROR(T137/S137-1,"")))</f>
        <v/>
      </c>
      <c r="U138" s="15">
        <f>IF(OR(U137="",T137=""),"",IF(U137*T137&lt;=0,"",IFERROR(U137/T137-1,"")))</f>
        <v/>
      </c>
      <c r="V138" s="15">
        <f>IF(OR(V137="",U137=""),"",IF(V137*U137&lt;=0,"",IFERROR(V137/U137-1,"")))</f>
        <v/>
      </c>
      <c r="W138" s="15">
        <f>IF(OR(W137="",V137=""),"",IF(W137*V137&lt;=0,"",IFERROR(W137/V137-1,"")))</f>
        <v/>
      </c>
      <c r="X138" s="15">
        <f>IF(OR(X137="",W137=""),"",IF(X137*W137&lt;=0,"",IFERROR(X137/W137-1,"")))</f>
        <v/>
      </c>
    </row>
    <row r="139">
      <c r="A139" s="9" t="inlineStr">
        <is>
          <t>순이익</t>
        </is>
      </c>
      <c r="C139" s="12" t="n">
        <v>1819.443</v>
      </c>
      <c r="D139" s="12" t="n">
        <v>2236.618</v>
      </c>
      <c r="E139" s="12" t="n">
        <v>2884.562</v>
      </c>
      <c r="F139" s="12" t="n">
        <v>2723.751</v>
      </c>
      <c r="G139" s="12" t="n">
        <v>3561.416</v>
      </c>
      <c r="H139" s="12" t="n">
        <v>1680.483</v>
      </c>
      <c r="I139" s="12" t="n">
        <v>3105.177</v>
      </c>
      <c r="J139" s="12" t="n">
        <v>3774.747</v>
      </c>
      <c r="K139" s="12" t="n">
        <v>3809.256</v>
      </c>
      <c r="L139" s="12" t="n">
        <v>3951.942</v>
      </c>
      <c r="M139" s="12" t="n">
        <v>6688.896</v>
      </c>
      <c r="N139" s="12" t="n">
        <v>4973.704</v>
      </c>
      <c r="T139" s="12" t="n">
        <v>2831.251</v>
      </c>
      <c r="U139" s="12" t="n">
        <v>3120.532</v>
      </c>
      <c r="V139" s="12" t="n">
        <v>2236.618</v>
      </c>
      <c r="W139" s="12" t="n">
        <v>1680.483</v>
      </c>
      <c r="X139" s="12" t="n">
        <v>3951.942</v>
      </c>
    </row>
    <row r="140">
      <c r="A140" s="43" t="inlineStr">
        <is>
          <t>YoY</t>
        </is>
      </c>
      <c r="B140" s="3" t="inlineStr">
        <is>
          <t>전년 같은 분기·전년 대비</t>
        </is>
      </c>
      <c r="G140" s="15">
        <f>IF(OR(G139="",C139=""),"",IF(C139&lt;=0,"",IFERROR(G139/C139-1,"")))</f>
        <v/>
      </c>
      <c r="H140" s="15">
        <f>IF(OR(H139="",D139=""),"",IF(D139&lt;=0,"",IFERROR(H139/D139-1,"")))</f>
        <v/>
      </c>
      <c r="I140" s="15">
        <f>IF(OR(I139="",E139=""),"",IF(E139&lt;=0,"",IFERROR(I139/E139-1,"")))</f>
        <v/>
      </c>
      <c r="J140" s="15">
        <f>IF(OR(J139="",F139=""),"",IF(F139&lt;=0,"",IFERROR(J139/F139-1,"")))</f>
        <v/>
      </c>
      <c r="K140" s="15">
        <f>IF(OR(K139="",G139=""),"",IF(G139&lt;=0,"",IFERROR(K139/G139-1,"")))</f>
        <v/>
      </c>
      <c r="L140" s="15">
        <f>IF(OR(L139="",H139=""),"",IF(H139&lt;=0,"",IFERROR(L139/H139-1,"")))</f>
        <v/>
      </c>
      <c r="M140" s="15">
        <f>IF(OR(M139="",I139=""),"",IF(I139&lt;=0,"",IFERROR(M139/I139-1,"")))</f>
        <v/>
      </c>
      <c r="N140" s="15">
        <f>IF(OR(N139="",J139=""),"",IF(J139&lt;=0,"",IFERROR(N139/J139-1,"")))</f>
        <v/>
      </c>
      <c r="T140" s="15">
        <f>IF(OR(T139="",S139=""),"",IF(S139&lt;=0,"",IFERROR(T139/S139-1,"")))</f>
        <v/>
      </c>
      <c r="U140" s="15">
        <f>IF(OR(U139="",T139=""),"",IF(T139&lt;=0,"",IFERROR(U139/T139-1,"")))</f>
        <v/>
      </c>
      <c r="V140" s="15">
        <f>IF(OR(V139="",U139=""),"",IF(U139&lt;=0,"",IFERROR(V139/U139-1,"")))</f>
        <v/>
      </c>
      <c r="W140" s="15">
        <f>IF(OR(W139="",V139=""),"",IF(V139&lt;=0,"",IFERROR(W139/V139-1,"")))</f>
        <v/>
      </c>
      <c r="X140" s="15">
        <f>IF(OR(X139="",W139=""),"",IF(W139&lt;=0,"",IFERROR(X139/W139-1,"")))</f>
        <v/>
      </c>
    </row>
    <row r="141">
      <c r="A141" s="9" t="inlineStr">
        <is>
          <t>지배주주 순이익</t>
        </is>
      </c>
      <c r="C141" s="12" t="n">
        <v>1819.443</v>
      </c>
      <c r="D141" s="12" t="n">
        <v>2236.618</v>
      </c>
      <c r="E141" s="12" t="n">
        <v>2884.562</v>
      </c>
      <c r="F141" s="12" t="n">
        <v>2723.751</v>
      </c>
      <c r="G141" s="12" t="n">
        <v>3561.416</v>
      </c>
      <c r="H141" s="12" t="n">
        <v>2453.056</v>
      </c>
      <c r="I141" s="12" t="n">
        <v>3105.177</v>
      </c>
      <c r="J141" s="12" t="n">
        <v>3774.747</v>
      </c>
      <c r="K141" s="12" t="n">
        <v>3809.256</v>
      </c>
      <c r="L141" s="12" t="n">
        <v>3622.402</v>
      </c>
      <c r="M141" s="12" t="n">
        <v>6688.896</v>
      </c>
      <c r="N141" s="12" t="n">
        <v>4973.704</v>
      </c>
      <c r="T141" s="12" t="n">
        <v>3559.533</v>
      </c>
      <c r="U141" s="12" t="n">
        <v>3120.532</v>
      </c>
      <c r="V141" s="12" t="n">
        <v>2236.618</v>
      </c>
      <c r="W141" s="12" t="n">
        <v>2453.056</v>
      </c>
      <c r="X141" s="12" t="n">
        <v>3622.402</v>
      </c>
    </row>
    <row r="142">
      <c r="A142" s="43" t="inlineStr">
        <is>
          <t>YoY</t>
        </is>
      </c>
      <c r="B142" s="3" t="inlineStr">
        <is>
          <t>전년 같은 분기·전년 대비</t>
        </is>
      </c>
      <c r="G142" s="15">
        <f>IF(OR(G141="",C141=""),"",IF(C141&lt;=0,"",IFERROR(G141/C141-1,"")))</f>
        <v/>
      </c>
      <c r="H142" s="15">
        <f>IF(OR(H141="",D141=""),"",IF(D141&lt;=0,"",IFERROR(H141/D141-1,"")))</f>
        <v/>
      </c>
      <c r="I142" s="15">
        <f>IF(OR(I141="",E141=""),"",IF(E141&lt;=0,"",IFERROR(I141/E141-1,"")))</f>
        <v/>
      </c>
      <c r="J142" s="15">
        <f>IF(OR(J141="",F141=""),"",IF(F141&lt;=0,"",IFERROR(J141/F141-1,"")))</f>
        <v/>
      </c>
      <c r="K142" s="15">
        <f>IF(OR(K141="",G141=""),"",IF(G141&lt;=0,"",IFERROR(K141/G141-1,"")))</f>
        <v/>
      </c>
      <c r="L142" s="15">
        <f>IF(OR(L141="",H141=""),"",IF(H141&lt;=0,"",IFERROR(L141/H141-1,"")))</f>
        <v/>
      </c>
      <c r="M142" s="15">
        <f>IF(OR(M141="",I141=""),"",IF(I141&lt;=0,"",IFERROR(M141/I141-1,"")))</f>
        <v/>
      </c>
      <c r="N142" s="15">
        <f>IF(OR(N141="",J141=""),"",IF(J141&lt;=0,"",IFERROR(N141/J141-1,"")))</f>
        <v/>
      </c>
      <c r="T142" s="15">
        <f>IF(OR(T141="",S141=""),"",IF(S141&lt;=0,"",IFERROR(T141/S141-1,"")))</f>
        <v/>
      </c>
      <c r="U142" s="15">
        <f>IF(OR(U141="",T141=""),"",IF(T141&lt;=0,"",IFERROR(U141/T141-1,"")))</f>
        <v/>
      </c>
      <c r="V142" s="15">
        <f>IF(OR(V141="",U141=""),"",IF(U141&lt;=0,"",IFERROR(V141/U141-1,"")))</f>
        <v/>
      </c>
      <c r="W142" s="15">
        <f>IF(OR(W141="",V141=""),"",IF(V141&lt;=0,"",IFERROR(W141/V141-1,"")))</f>
        <v/>
      </c>
      <c r="X142" s="15">
        <f>IF(OR(X141="",W141=""),"",IF(W141&lt;=0,"",IFERROR(X141/W141-1,"")))</f>
        <v/>
      </c>
    </row>
    <row r="144">
      <c r="A144" s="16" t="inlineStr">
        <is>
          <t>포괄손익 · 전 항목</t>
        </is>
      </c>
      <c r="B144" s="42" t="inlineStr">
        <is>
          <t>분기 = 3개월 단독</t>
        </is>
      </c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</row>
    <row r="145">
      <c r="A145" s="5" t="inlineStr">
        <is>
          <t>항목</t>
        </is>
      </c>
      <c r="B145" s="5" t="inlineStr">
        <is>
          <t>참고</t>
        </is>
      </c>
      <c r="C145" s="5" t="inlineStr">
        <is>
          <t>2024.3Q</t>
        </is>
      </c>
      <c r="D145" s="5" t="inlineStr">
        <is>
          <t>2024.4Q</t>
        </is>
      </c>
      <c r="E145" s="5" t="inlineStr">
        <is>
          <t>2025.1Q</t>
        </is>
      </c>
      <c r="F145" s="5" t="inlineStr">
        <is>
          <t>2025.2Q</t>
        </is>
      </c>
      <c r="G145" s="5" t="inlineStr">
        <is>
          <t>2025.3Q</t>
        </is>
      </c>
      <c r="H145" s="5" t="inlineStr">
        <is>
          <t>2025.4Q</t>
        </is>
      </c>
      <c r="I145" s="5" t="inlineStr">
        <is>
          <t>2026.1Q</t>
        </is>
      </c>
      <c r="J145" s="5" t="inlineStr">
        <is>
          <t>2026.2Q</t>
        </is>
      </c>
      <c r="K145" s="5" t="inlineStr">
        <is>
          <t>2026.3Q</t>
        </is>
      </c>
      <c r="L145" s="5" t="inlineStr">
        <is>
          <t>2026.4Q</t>
        </is>
      </c>
      <c r="M145" s="5" t="inlineStr">
        <is>
          <t>2027.1Q</t>
        </is>
      </c>
      <c r="N145" s="5" t="inlineStr">
        <is>
          <t>2027.2Q</t>
        </is>
      </c>
      <c r="O145" s="5" t="inlineStr">
        <is>
          <t>2017</t>
        </is>
      </c>
      <c r="P145" s="5" t="inlineStr">
        <is>
          <t>2018</t>
        </is>
      </c>
      <c r="Q145" s="5" t="inlineStr">
        <is>
          <t>2019</t>
        </is>
      </c>
      <c r="R145" s="5" t="inlineStr">
        <is>
          <t>2020</t>
        </is>
      </c>
      <c r="S145" s="5" t="inlineStr">
        <is>
          <t>2021</t>
        </is>
      </c>
      <c r="T145" s="5" t="inlineStr">
        <is>
          <t>2022</t>
        </is>
      </c>
      <c r="U145" s="5" t="inlineStr">
        <is>
          <t>2023</t>
        </is>
      </c>
      <c r="V145" s="5" t="inlineStr">
        <is>
          <t>2024</t>
        </is>
      </c>
      <c r="W145" s="5" t="inlineStr">
        <is>
          <t>2025</t>
        </is>
      </c>
      <c r="X145" s="5" t="inlineStr">
        <is>
          <t>2026</t>
        </is>
      </c>
      <c r="Y145" s="5" t="inlineStr">
        <is>
          <t>2027(MW)</t>
        </is>
      </c>
      <c r="Z145" s="5" t="inlineStr">
        <is>
          <t>2028(MW)</t>
        </is>
      </c>
      <c r="AA145" s="5" t="inlineStr">
        <is>
          <t>2029(MW)</t>
        </is>
      </c>
      <c r="AB145" s="5" t="inlineStr">
        <is>
          <t>2030(MW)</t>
        </is>
      </c>
      <c r="AC145" s="5" t="inlineStr">
        <is>
          <t>2031(MW)</t>
        </is>
      </c>
    </row>
    <row r="146">
      <c r="A146" s="9" t="inlineStr">
        <is>
          <t>순이익</t>
        </is>
      </c>
      <c r="C146" s="12" t="n">
        <v>1819.443</v>
      </c>
      <c r="D146" s="12" t="n">
        <v>2236.618</v>
      </c>
      <c r="E146" s="12" t="n">
        <v>2884.562</v>
      </c>
      <c r="F146" s="12" t="n">
        <v>2723.751</v>
      </c>
      <c r="G146" s="12" t="n">
        <v>3561.416</v>
      </c>
      <c r="H146" s="12" t="n">
        <v>2453.056</v>
      </c>
      <c r="I146" s="12" t="n">
        <v>3105.177</v>
      </c>
      <c r="J146" s="12" t="n">
        <v>3774.747</v>
      </c>
      <c r="K146" s="12" t="n">
        <v>3809.256</v>
      </c>
      <c r="L146" s="12" t="n">
        <v>3622.402</v>
      </c>
      <c r="M146" s="12" t="n">
        <v>6688.896</v>
      </c>
      <c r="N146" s="12" t="n">
        <v>4973.704</v>
      </c>
      <c r="T146" s="12" t="n">
        <v>3559.533</v>
      </c>
      <c r="U146" s="12" t="n">
        <v>3120.532</v>
      </c>
      <c r="V146" s="12" t="n">
        <v>2236.618</v>
      </c>
      <c r="W146" s="12" t="n">
        <v>2453.056</v>
      </c>
      <c r="X146" s="12" t="n">
        <v>3622.402</v>
      </c>
    </row>
    <row r="147">
      <c r="A147" s="18" t="inlineStr">
        <is>
          <t>기타유가증권 평가차액</t>
        </is>
      </c>
      <c r="C147" s="20" t="n">
        <v>3.212</v>
      </c>
      <c r="D147" s="20" t="n">
        <v>47.959</v>
      </c>
      <c r="E147" s="20" t="n">
        <v>-25.444</v>
      </c>
      <c r="F147" s="20" t="n">
        <v>-53.62</v>
      </c>
      <c r="G147" s="20" t="n">
        <v>19.779</v>
      </c>
      <c r="H147" s="20" t="n">
        <v>-37.566</v>
      </c>
      <c r="I147" s="20" t="n">
        <v>14.149</v>
      </c>
      <c r="J147" s="20" t="n">
        <v>27.868</v>
      </c>
      <c r="K147" s="20" t="n">
        <v>-101.036</v>
      </c>
      <c r="L147" s="20" t="n">
        <v>24.219</v>
      </c>
      <c r="M147" s="20" t="n">
        <v>147.095</v>
      </c>
      <c r="N147" s="20" t="n">
        <v>-83.256</v>
      </c>
      <c r="T147" s="20" t="n">
        <v>-132.499</v>
      </c>
      <c r="U147" s="20" t="n">
        <v>9.238</v>
      </c>
      <c r="V147" s="20" t="n">
        <v>47.959</v>
      </c>
      <c r="W147" s="20" t="n">
        <v>-37.566</v>
      </c>
      <c r="X147" s="20" t="n">
        <v>24.219</v>
      </c>
    </row>
    <row r="148">
      <c r="A148" s="18" t="inlineStr">
        <is>
          <t>이연헤지손익</t>
        </is>
      </c>
      <c r="C148" s="20" t="n">
        <v>-18.018</v>
      </c>
      <c r="D148" s="20" t="n">
        <v>29.46</v>
      </c>
      <c r="E148" s="20" t="n">
        <v>5.688</v>
      </c>
      <c r="F148" s="20" t="n">
        <v>-27.765</v>
      </c>
      <c r="G148" s="20" t="n">
        <v>45.222</v>
      </c>
      <c r="H148" s="20" t="n">
        <v>-31.813</v>
      </c>
      <c r="I148" s="20" t="n">
        <v>-7.113</v>
      </c>
      <c r="J148" s="20" t="n">
        <v>9.526999999999999</v>
      </c>
      <c r="K148" s="20" t="n">
        <v>2.782</v>
      </c>
      <c r="L148" s="20" t="n">
        <v>3.536</v>
      </c>
      <c r="M148" s="20" t="n">
        <v>-4.17</v>
      </c>
      <c r="N148" s="20" t="n">
        <v>-11.529</v>
      </c>
      <c r="T148" s="20" t="n">
        <v>10.358</v>
      </c>
      <c r="U148" s="20" t="n">
        <v>12.131</v>
      </c>
      <c r="V148" s="20" t="n">
        <v>29.46</v>
      </c>
      <c r="W148" s="20" t="n">
        <v>-31.813</v>
      </c>
      <c r="X148" s="20" t="n">
        <v>3.536</v>
      </c>
    </row>
    <row r="149">
      <c r="A149" s="18" t="inlineStr">
        <is>
          <t>해외사업환산조정</t>
        </is>
      </c>
      <c r="C149" s="20" t="n">
        <v>-575.449</v>
      </c>
      <c r="D149" s="20" t="n">
        <v>820.1130000000001</v>
      </c>
      <c r="E149" s="20" t="n">
        <v>910.822</v>
      </c>
      <c r="F149" s="20" t="n">
        <v>-1428.787</v>
      </c>
      <c r="G149" s="20" t="n">
        <v>1277.272</v>
      </c>
      <c r="H149" s="20" t="n">
        <v>-877.453</v>
      </c>
      <c r="I149" s="20" t="n">
        <v>-380.823</v>
      </c>
      <c r="J149" s="20" t="n">
        <v>519.298</v>
      </c>
      <c r="K149" s="20" t="n">
        <v>1081.026</v>
      </c>
      <c r="L149" s="20" t="n">
        <v>426.938</v>
      </c>
      <c r="M149" s="20" t="n">
        <v>393.162</v>
      </c>
      <c r="N149" s="20" t="n">
        <v>-423.313</v>
      </c>
      <c r="T149" s="20" t="n">
        <v>735.4690000000001</v>
      </c>
      <c r="U149" s="20" t="n">
        <v>188.377</v>
      </c>
      <c r="V149" s="20" t="n">
        <v>820.1130000000001</v>
      </c>
      <c r="W149" s="20" t="n">
        <v>-877.453</v>
      </c>
      <c r="X149" s="20" t="n">
        <v>426.938</v>
      </c>
    </row>
    <row r="150">
      <c r="A150" s="18" t="inlineStr">
        <is>
          <t>기타포괄손익 합계</t>
        </is>
      </c>
      <c r="C150" s="20" t="n">
        <v>-590.255</v>
      </c>
      <c r="D150" s="20" t="n">
        <v>897.533</v>
      </c>
      <c r="E150" s="20" t="n">
        <v>891.0650000000001</v>
      </c>
      <c r="F150" s="20" t="n">
        <v>-1510.172</v>
      </c>
      <c r="G150" s="20" t="n">
        <v>1342.274</v>
      </c>
      <c r="H150" s="20" t="n">
        <v>-946.832</v>
      </c>
      <c r="I150" s="20" t="n">
        <v>-373.787</v>
      </c>
      <c r="J150" s="20" t="n">
        <v>556.694</v>
      </c>
      <c r="K150" s="20" t="n">
        <v>982.771</v>
      </c>
      <c r="L150" s="20" t="n">
        <v>454.693</v>
      </c>
      <c r="M150" s="20" t="n">
        <v>536.087</v>
      </c>
      <c r="N150" s="20" t="n">
        <v>-518.098</v>
      </c>
      <c r="T150" s="20" t="n">
        <v>613.328</v>
      </c>
      <c r="U150" s="20" t="n">
        <v>209.745</v>
      </c>
      <c r="V150" s="20" t="n">
        <v>897.533</v>
      </c>
      <c r="W150" s="20" t="n">
        <v>-946.832</v>
      </c>
      <c r="X150" s="20" t="n">
        <v>454.693</v>
      </c>
    </row>
    <row r="151">
      <c r="A151" s="9" t="inlineStr">
        <is>
          <t>포괄이익</t>
        </is>
      </c>
      <c r="C151" s="12" t="n">
        <v>1229.188</v>
      </c>
      <c r="D151" s="12" t="n">
        <v>3134.151</v>
      </c>
      <c r="E151" s="12" t="n">
        <v>3775.628</v>
      </c>
      <c r="F151" s="12" t="n">
        <v>1213.578</v>
      </c>
      <c r="G151" s="12" t="n">
        <v>4903.69</v>
      </c>
      <c r="H151" s="12" t="n">
        <v>1506.223</v>
      </c>
      <c r="I151" s="12" t="n">
        <v>2731.39</v>
      </c>
      <c r="J151" s="12" t="n">
        <v>4331.442</v>
      </c>
      <c r="K151" s="12" t="n">
        <v>4792.026</v>
      </c>
      <c r="L151" s="12" t="n">
        <v>4077.096</v>
      </c>
      <c r="M151" s="12" t="n">
        <v>7224.984</v>
      </c>
      <c r="N151" s="12" t="n">
        <v>4455.606</v>
      </c>
      <c r="T151" s="12" t="n">
        <v>4172.861</v>
      </c>
      <c r="U151" s="12" t="n">
        <v>3330.278</v>
      </c>
      <c r="V151" s="12" t="n">
        <v>3134.151</v>
      </c>
      <c r="W151" s="12" t="n">
        <v>1506.223</v>
      </c>
      <c r="X151" s="12" t="n">
        <v>4077.096</v>
      </c>
    </row>
    <row r="152">
      <c r="A152" s="9" t="inlineStr">
        <is>
          <t>지배주주 포괄이익</t>
        </is>
      </c>
      <c r="C152" s="12" t="n">
        <v>1229.188</v>
      </c>
      <c r="D152" s="12" t="n">
        <v>3134.151</v>
      </c>
      <c r="E152" s="12" t="n">
        <v>3775.628</v>
      </c>
      <c r="F152" s="12" t="n">
        <v>1213.578</v>
      </c>
      <c r="G152" s="12" t="n">
        <v>4903.69</v>
      </c>
      <c r="H152" s="12" t="n">
        <v>1506.223</v>
      </c>
      <c r="I152" s="12" t="n">
        <v>2731.39</v>
      </c>
      <c r="J152" s="12" t="n">
        <v>4331.442</v>
      </c>
      <c r="K152" s="12" t="n">
        <v>4792.026</v>
      </c>
      <c r="L152" s="12" t="n">
        <v>4077.096</v>
      </c>
      <c r="M152" s="12" t="n">
        <v>7224.984</v>
      </c>
      <c r="N152" s="12" t="n">
        <v>4455.606</v>
      </c>
      <c r="T152" s="12" t="n">
        <v>4172.861</v>
      </c>
      <c r="U152" s="12" t="n">
        <v>3330.278</v>
      </c>
      <c r="V152" s="12" t="n">
        <v>3134.151</v>
      </c>
      <c r="W152" s="12" t="n">
        <v>1506.223</v>
      </c>
      <c r="X152" s="12" t="n">
        <v>4077.096</v>
      </c>
    </row>
    <row r="153">
      <c r="A153" s="9" t="inlineStr">
        <is>
          <t>비지배주주 포괄이익</t>
        </is>
      </c>
      <c r="C153" s="12" t="n">
        <v>0</v>
      </c>
      <c r="D153" s="12" t="n">
        <v>0</v>
      </c>
      <c r="E153" s="12" t="n">
        <v>0</v>
      </c>
      <c r="F153" s="12" t="n">
        <v>0</v>
      </c>
      <c r="G153" s="12" t="n">
        <v>0</v>
      </c>
      <c r="H153" s="12" t="n">
        <v>0</v>
      </c>
      <c r="I153" s="12" t="n">
        <v>0</v>
      </c>
      <c r="J153" s="12" t="n">
        <v>0</v>
      </c>
      <c r="K153" s="12" t="n">
        <v>0</v>
      </c>
      <c r="L153" s="12" t="n">
        <v>0</v>
      </c>
      <c r="M153" s="12" t="n">
        <v>0</v>
      </c>
      <c r="N153" s="12" t="n">
        <v>0</v>
      </c>
      <c r="T153" s="12" t="n">
        <v>0</v>
      </c>
      <c r="U153" s="12" t="n">
        <v>0</v>
      </c>
      <c r="V153" s="12" t="n">
        <v>0</v>
      </c>
      <c r="W153" s="12" t="n">
        <v>0</v>
      </c>
      <c r="X153" s="12" t="n">
        <v>0</v>
      </c>
    </row>
    <row r="155">
      <c r="A155" s="16" t="inlineStr">
        <is>
          <t>부문 · 전 항목</t>
        </is>
      </c>
      <c r="B155" s="42" t="inlineStr">
        <is>
          <t>부문 · 항목</t>
        </is>
      </c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  <c r="AA155" s="16" t="n"/>
      <c r="AB155" s="16" t="n"/>
      <c r="AC155" s="16" t="n"/>
    </row>
    <row r="156">
      <c r="A156" s="5" t="inlineStr">
        <is>
          <t>항목</t>
        </is>
      </c>
      <c r="B156" s="5" t="inlineStr">
        <is>
          <t>참고</t>
        </is>
      </c>
      <c r="C156" s="5" t="inlineStr">
        <is>
          <t>2024.3Q</t>
        </is>
      </c>
      <c r="D156" s="5" t="inlineStr">
        <is>
          <t>2024.4Q</t>
        </is>
      </c>
      <c r="E156" s="5" t="inlineStr">
        <is>
          <t>2025.1Q</t>
        </is>
      </c>
      <c r="F156" s="5" t="inlineStr">
        <is>
          <t>2025.2Q</t>
        </is>
      </c>
      <c r="G156" s="5" t="inlineStr">
        <is>
          <t>2025.3Q</t>
        </is>
      </c>
      <c r="H156" s="5" t="inlineStr">
        <is>
          <t>2025.4Q</t>
        </is>
      </c>
      <c r="I156" s="5" t="inlineStr">
        <is>
          <t>2026.1Q</t>
        </is>
      </c>
      <c r="J156" s="5" t="inlineStr">
        <is>
          <t>2026.2Q</t>
        </is>
      </c>
      <c r="K156" s="5" t="inlineStr">
        <is>
          <t>2026.3Q</t>
        </is>
      </c>
      <c r="L156" s="5" t="inlineStr">
        <is>
          <t>2026.4Q</t>
        </is>
      </c>
      <c r="M156" s="5" t="inlineStr">
        <is>
          <t>2027.1Q</t>
        </is>
      </c>
      <c r="N156" s="5" t="inlineStr">
        <is>
          <t>2027.2Q</t>
        </is>
      </c>
      <c r="O156" s="5" t="inlineStr">
        <is>
          <t>2017</t>
        </is>
      </c>
      <c r="P156" s="5" t="inlineStr">
        <is>
          <t>2018</t>
        </is>
      </c>
      <c r="Q156" s="5" t="inlineStr">
        <is>
          <t>2019</t>
        </is>
      </c>
      <c r="R156" s="5" t="inlineStr">
        <is>
          <t>2020</t>
        </is>
      </c>
      <c r="S156" s="5" t="inlineStr">
        <is>
          <t>2021</t>
        </is>
      </c>
      <c r="T156" s="5" t="inlineStr">
        <is>
          <t>2022</t>
        </is>
      </c>
      <c r="U156" s="5" t="inlineStr">
        <is>
          <t>2023</t>
        </is>
      </c>
      <c r="V156" s="5" t="inlineStr">
        <is>
          <t>2024</t>
        </is>
      </c>
      <c r="W156" s="5" t="inlineStr">
        <is>
          <t>2025</t>
        </is>
      </c>
      <c r="X156" s="5" t="inlineStr">
        <is>
          <t>2026</t>
        </is>
      </c>
      <c r="Y156" s="5" t="inlineStr">
        <is>
          <t>2027(MW)</t>
        </is>
      </c>
      <c r="Z156" s="5" t="inlineStr">
        <is>
          <t>2028(MW)</t>
        </is>
      </c>
      <c r="AA156" s="5" t="inlineStr">
        <is>
          <t>2029(MW)</t>
        </is>
      </c>
      <c r="AB156" s="5" t="inlineStr">
        <is>
          <t>2030(MW)</t>
        </is>
      </c>
      <c r="AC156" s="5" t="inlineStr">
        <is>
          <t>2031(MW)</t>
        </is>
      </c>
    </row>
    <row r="157">
      <c r="A157" s="18" t="inlineStr">
        <is>
          <t>부문 · 외부 고객 매출</t>
        </is>
      </c>
      <c r="C157" s="20" t="n">
        <v>8868.972</v>
      </c>
      <c r="E157" s="20" t="n">
        <v>9389.278</v>
      </c>
      <c r="F157" s="20" t="n">
        <v>9279.262000000001</v>
      </c>
      <c r="G157" s="20" t="n">
        <v>8836.409</v>
      </c>
      <c r="I157" s="20" t="n">
        <v>8955.786</v>
      </c>
      <c r="J157" s="20" t="n">
        <v>8827.664000000001</v>
      </c>
      <c r="K157" s="20" t="n">
        <v>8613.153</v>
      </c>
      <c r="M157" s="20" t="n">
        <v>9845.598</v>
      </c>
      <c r="N157" s="20" t="n">
        <v>9981.59</v>
      </c>
    </row>
    <row r="158">
      <c r="A158" s="43" t="inlineStr">
        <is>
          <t>YoY</t>
        </is>
      </c>
      <c r="B158" s="3" t="inlineStr">
        <is>
          <t>전년 같은 분기·전년 대비</t>
        </is>
      </c>
      <c r="G158" s="15">
        <f>IF(OR(G157="",C157=""),"",IF(C157&lt;=0,"",IFERROR(G157/C157-1,"")))</f>
        <v/>
      </c>
      <c r="I158" s="15">
        <f>IF(OR(I157="",E157=""),"",IF(E157&lt;=0,"",IFERROR(I157/E157-1,"")))</f>
        <v/>
      </c>
      <c r="J158" s="15">
        <f>IF(OR(J157="",F157=""),"",IF(F157&lt;=0,"",IFERROR(J157/F157-1,"")))</f>
        <v/>
      </c>
      <c r="K158" s="15">
        <f>IF(OR(K157="",G157=""),"",IF(G157&lt;=0,"",IFERROR(K157/G157-1,"")))</f>
        <v/>
      </c>
      <c r="M158" s="15">
        <f>IF(OR(M157="",I157=""),"",IF(I157&lt;=0,"",IFERROR(M157/I157-1,"")))</f>
        <v/>
      </c>
      <c r="N158" s="15">
        <f>IF(OR(N157="",J157=""),"",IF(J157&lt;=0,"",IFERROR(N157/J157-1,"")))</f>
        <v/>
      </c>
    </row>
    <row r="159">
      <c r="A159" s="18" t="inlineStr">
        <is>
          <t>전자재료 사업 · 외부 고객 매출</t>
        </is>
      </c>
      <c r="C159" s="20" t="n">
        <v>7130.921</v>
      </c>
      <c r="E159" s="20" t="n">
        <v>8042.41</v>
      </c>
      <c r="F159" s="20" t="n">
        <v>8045.403</v>
      </c>
      <c r="G159" s="20" t="n">
        <v>8827.873</v>
      </c>
      <c r="I159" s="20" t="n">
        <v>9702.302</v>
      </c>
      <c r="J159" s="20" t="n">
        <v>10220.136</v>
      </c>
      <c r="K159" s="20" t="n">
        <v>11609.926</v>
      </c>
      <c r="M159" s="20" t="n">
        <v>12973.844</v>
      </c>
      <c r="N159" s="20" t="n">
        <v>12795.586</v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G160" s="15">
        <f>IF(OR(G159="",C159=""),"",IF(C159&lt;=0,"",IFERROR(G159/C159-1,"")))</f>
        <v/>
      </c>
      <c r="I160" s="15">
        <f>IF(OR(I159="",E159=""),"",IF(E159&lt;=0,"",IFERROR(I159/E159-1,"")))</f>
        <v/>
      </c>
      <c r="J160" s="15">
        <f>IF(OR(J159="",F159=""),"",IF(F159&lt;=0,"",IFERROR(J159/F159-1,"")))</f>
        <v/>
      </c>
      <c r="K160" s="15">
        <f>IF(OR(K159="",G159=""),"",IF(G159&lt;=0,"",IFERROR(K159/G159-1,"")))</f>
        <v/>
      </c>
      <c r="M160" s="15">
        <f>IF(OR(M159="",I159=""),"",IF(I159&lt;=0,"",IFERROR(M159/I159-1,"")))</f>
        <v/>
      </c>
      <c r="N160" s="15">
        <f>IF(OR(N159="",J159=""),"",IF(J159&lt;=0,"",IFERROR(N159/J159-1,"")))</f>
        <v/>
      </c>
    </row>
    <row r="161">
      <c r="A161" s="18" t="inlineStr">
        <is>
          <t>보고부문 합계 · 외부 고객 매출</t>
        </is>
      </c>
      <c r="C161" s="20" t="n">
        <v>15999.892</v>
      </c>
      <c r="D161" s="20" t="n">
        <v>15835.24</v>
      </c>
      <c r="E161" s="20" t="n">
        <v>17431.688</v>
      </c>
      <c r="F161" s="20" t="n">
        <v>17324.665</v>
      </c>
      <c r="G161" s="20" t="n">
        <v>17664.282</v>
      </c>
      <c r="H161" s="20" t="n">
        <v>17080.892</v>
      </c>
      <c r="I161" s="20" t="n">
        <v>18658.089</v>
      </c>
      <c r="J161" s="20" t="n">
        <v>19047.799</v>
      </c>
      <c r="K161" s="20" t="n">
        <v>20223.08</v>
      </c>
      <c r="L161" s="20" t="n">
        <v>18997.055</v>
      </c>
      <c r="M161" s="20" t="n">
        <v>22819.442</v>
      </c>
      <c r="N161" s="20" t="n">
        <v>22777.177</v>
      </c>
      <c r="V161" s="20" t="n">
        <v>15835.24</v>
      </c>
      <c r="W161" s="20" t="n">
        <v>17080.892</v>
      </c>
      <c r="X161" s="20" t="n">
        <v>18997.055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IF(OR(G161="",C161=""),"",IF(C161&lt;=0,"",IFERROR(G161/C161-1,"")))</f>
        <v/>
      </c>
      <c r="H162" s="15">
        <f>IF(OR(H161="",D161=""),"",IF(D161&lt;=0,"",IFERROR(H161/D161-1,"")))</f>
        <v/>
      </c>
      <c r="I162" s="15">
        <f>IF(OR(I161="",E161=""),"",IF(E161&lt;=0,"",IFERROR(I161/E161-1,"")))</f>
        <v/>
      </c>
      <c r="J162" s="15">
        <f>IF(OR(J161="",F161=""),"",IF(F161&lt;=0,"",IFERROR(J161/F161-1,"")))</f>
        <v/>
      </c>
      <c r="K162" s="15">
        <f>IF(OR(K161="",G161=""),"",IF(G161&lt;=0,"",IFERROR(K161/G161-1,"")))</f>
        <v/>
      </c>
      <c r="L162" s="15">
        <f>IF(OR(L161="",H161=""),"",IF(H161&lt;=0,"",IFERROR(L161/H161-1,"")))</f>
        <v/>
      </c>
      <c r="M162" s="15">
        <f>IF(OR(M161="",I161=""),"",IF(I161&lt;=0,"",IFERROR(M161/I161-1,"")))</f>
        <v/>
      </c>
      <c r="N162" s="15">
        <f>IF(OR(N161="",J161=""),"",IF(J161&lt;=0,"",IFERROR(N161/J161-1,"")))</f>
        <v/>
      </c>
      <c r="V162" s="15">
        <f>IF(OR(V161="",U161=""),"",IF(U161&lt;=0,"",IFERROR(V161/U161-1,"")))</f>
        <v/>
      </c>
      <c r="W162" s="15">
        <f>IF(OR(W161="",V161=""),"",IF(V161&lt;=0,"",IFERROR(W161/V161-1,"")))</f>
        <v/>
      </c>
      <c r="X162" s="15">
        <f>IF(OR(X161="",W161=""),"",IF(W161&lt;=0,"",IFERROR(X161/W161-1,"")))</f>
        <v/>
      </c>
    </row>
    <row r="163">
      <c r="A163" s="18" t="inlineStr">
        <is>
          <t>조정액 · 외부 고객 매출</t>
        </is>
      </c>
      <c r="C163" s="20" t="n">
        <v>0</v>
      </c>
      <c r="D163" s="20" t="n">
        <v>0</v>
      </c>
      <c r="E163" s="20" t="n">
        <v>0</v>
      </c>
      <c r="F163" s="20" t="n">
        <v>0</v>
      </c>
      <c r="G163" s="20" t="n">
        <v>0</v>
      </c>
      <c r="H163" s="20" t="n">
        <v>0</v>
      </c>
      <c r="I163" s="20" t="n">
        <v>0</v>
      </c>
      <c r="J163" s="20" t="n">
        <v>0</v>
      </c>
      <c r="K163" s="20" t="n">
        <v>0</v>
      </c>
      <c r="L163" s="20" t="n">
        <v>0</v>
      </c>
      <c r="M163" s="20" t="n">
        <v>0</v>
      </c>
      <c r="N163" s="20" t="n">
        <v>0</v>
      </c>
      <c r="V163" s="20" t="n">
        <v>0</v>
      </c>
      <c r="W163" s="20" t="n">
        <v>0</v>
      </c>
      <c r="X163" s="20" t="n">
        <v>0</v>
      </c>
    </row>
    <row r="164">
      <c r="A164" s="9" t="inlineStr">
        <is>
          <t>외부 고객 매출</t>
        </is>
      </c>
      <c r="C164" s="12" t="n">
        <v>15999.892</v>
      </c>
      <c r="D164" s="12" t="n">
        <v>15835.24</v>
      </c>
      <c r="E164" s="12" t="n">
        <v>17431.688</v>
      </c>
      <c r="F164" s="12" t="n">
        <v>17324.665</v>
      </c>
      <c r="G164" s="12" t="n">
        <v>17664.282</v>
      </c>
      <c r="H164" s="12" t="n">
        <v>17080.892</v>
      </c>
      <c r="I164" s="12" t="n">
        <v>18658.089</v>
      </c>
      <c r="J164" s="12" t="n">
        <v>19047.799</v>
      </c>
      <c r="K164" s="12" t="n">
        <v>20223.08</v>
      </c>
      <c r="L164" s="12" t="n">
        <v>18997.055</v>
      </c>
      <c r="M164" s="12" t="n">
        <v>22819.442</v>
      </c>
      <c r="N164" s="12" t="n">
        <v>22777.177</v>
      </c>
      <c r="V164" s="12" t="n">
        <v>15835.24</v>
      </c>
      <c r="W164" s="12" t="n">
        <v>17080.892</v>
      </c>
      <c r="X164" s="12" t="n">
        <v>18997.055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I165" s="15">
        <f>IF(OR(I164="",E164=""),"",IF(E164&lt;=0,"",IFERROR(I164/E164-1,"")))</f>
        <v/>
      </c>
      <c r="J165" s="15">
        <f>IF(OR(J164="",F164=""),"",IF(F164&lt;=0,"",IFERROR(J164/F164-1,"")))</f>
        <v/>
      </c>
      <c r="K165" s="15">
        <f>IF(OR(K164="",G164=""),"",IF(G164&lt;=0,"",IFERROR(K164/G164-1,"")))</f>
        <v/>
      </c>
      <c r="L165" s="15">
        <f>IF(OR(L164="",H164=""),"",IF(H164&lt;=0,"",IFERROR(L164/H164-1,"")))</f>
        <v/>
      </c>
      <c r="M165" s="15">
        <f>IF(OR(M164="",I164=""),"",IF(I164&lt;=0,"",IFERROR(M164/I164-1,"")))</f>
        <v/>
      </c>
      <c r="N165" s="15">
        <f>IF(OR(N164="",J164=""),"",IF(J164&lt;=0,"",IFERROR(N164/J164-1,"")))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  <c r="X165" s="15">
        <f>IF(OR(X164="",W164=""),"",IF(W164&lt;=0,"",IFERROR(X164/W164-1,"")))</f>
        <v/>
      </c>
    </row>
    <row r="166">
      <c r="A166" s="18" t="inlineStr">
        <is>
          <t>부문 · 부문 간 내부매출·대체</t>
        </is>
      </c>
      <c r="C166" s="20" t="n">
        <v>0</v>
      </c>
      <c r="E166" s="20" t="n">
        <v>0</v>
      </c>
      <c r="F166" s="20" t="n">
        <v>0</v>
      </c>
      <c r="G166" s="20" t="n">
        <v>0</v>
      </c>
      <c r="I166" s="20" t="n">
        <v>0</v>
      </c>
      <c r="J166" s="20" t="n">
        <v>0</v>
      </c>
      <c r="K166" s="20" t="n">
        <v>0</v>
      </c>
      <c r="M166" s="20" t="n">
        <v>0</v>
      </c>
      <c r="N166" s="20" t="n">
        <v>0</v>
      </c>
    </row>
    <row r="167">
      <c r="A167" s="18" t="inlineStr">
        <is>
          <t>전자재료 사업 · 부문 간 내부매출·대체</t>
        </is>
      </c>
      <c r="C167" s="20" t="n">
        <v>0</v>
      </c>
      <c r="E167" s="20" t="n">
        <v>0</v>
      </c>
      <c r="F167" s="20" t="n">
        <v>0</v>
      </c>
      <c r="G167" s="20" t="n">
        <v>0</v>
      </c>
      <c r="I167" s="20" t="n">
        <v>0</v>
      </c>
      <c r="J167" s="20" t="n">
        <v>0</v>
      </c>
      <c r="K167" s="20" t="n">
        <v>0</v>
      </c>
      <c r="M167" s="20" t="n">
        <v>0</v>
      </c>
      <c r="N167" s="20" t="n">
        <v>0</v>
      </c>
    </row>
    <row r="168">
      <c r="A168" s="18" t="inlineStr">
        <is>
          <t>보고부문 합계 · 부문 간 내부매출·대체</t>
        </is>
      </c>
      <c r="C168" s="20" t="n">
        <v>0</v>
      </c>
      <c r="D168" s="20" t="n">
        <v>0</v>
      </c>
      <c r="E168" s="20" t="n">
        <v>0</v>
      </c>
      <c r="F168" s="20" t="n">
        <v>0</v>
      </c>
      <c r="G168" s="20" t="n">
        <v>0</v>
      </c>
      <c r="H168" s="20" t="n">
        <v>0</v>
      </c>
      <c r="I168" s="20" t="n">
        <v>0</v>
      </c>
      <c r="J168" s="20" t="n">
        <v>0</v>
      </c>
      <c r="K168" s="20" t="n">
        <v>0</v>
      </c>
      <c r="L168" s="20" t="n">
        <v>0</v>
      </c>
      <c r="M168" s="20" t="n">
        <v>0</v>
      </c>
      <c r="N168" s="20" t="n">
        <v>0</v>
      </c>
      <c r="V168" s="20" t="n">
        <v>0</v>
      </c>
      <c r="W168" s="20" t="n">
        <v>0</v>
      </c>
      <c r="X168" s="20" t="n">
        <v>0</v>
      </c>
    </row>
    <row r="169">
      <c r="A169" s="18" t="inlineStr">
        <is>
          <t>조정액 · 부문 간 내부매출·대체</t>
        </is>
      </c>
      <c r="C169" s="20" t="n">
        <v>0</v>
      </c>
      <c r="D169" s="20" t="n">
        <v>0</v>
      </c>
      <c r="E169" s="20" t="n">
        <v>0</v>
      </c>
      <c r="F169" s="20" t="n">
        <v>0</v>
      </c>
      <c r="G169" s="20" t="n">
        <v>0</v>
      </c>
      <c r="H169" s="20" t="n">
        <v>0</v>
      </c>
      <c r="I169" s="20" t="n">
        <v>0</v>
      </c>
      <c r="J169" s="20" t="n">
        <v>0</v>
      </c>
      <c r="K169" s="20" t="n">
        <v>0</v>
      </c>
      <c r="L169" s="20" t="n">
        <v>0</v>
      </c>
      <c r="M169" s="20" t="n">
        <v>0</v>
      </c>
      <c r="N169" s="20" t="n">
        <v>0</v>
      </c>
      <c r="V169" s="20" t="n">
        <v>0</v>
      </c>
      <c r="W169" s="20" t="n">
        <v>0</v>
      </c>
      <c r="X169" s="20" t="n">
        <v>0</v>
      </c>
    </row>
    <row r="170">
      <c r="A170" s="18" t="inlineStr">
        <is>
          <t>부문 간 내부매출·대체</t>
        </is>
      </c>
      <c r="C170" s="20" t="n">
        <v>0</v>
      </c>
      <c r="D170" s="20" t="n">
        <v>0</v>
      </c>
      <c r="E170" s="20" t="n">
        <v>0</v>
      </c>
      <c r="F170" s="20" t="n">
        <v>0</v>
      </c>
      <c r="G170" s="20" t="n">
        <v>0</v>
      </c>
      <c r="H170" s="20" t="n">
        <v>0</v>
      </c>
      <c r="I170" s="20" t="n">
        <v>0</v>
      </c>
      <c r="J170" s="20" t="n">
        <v>0</v>
      </c>
      <c r="K170" s="20" t="n">
        <v>0</v>
      </c>
      <c r="L170" s="20" t="n">
        <v>0</v>
      </c>
      <c r="M170" s="20" t="n">
        <v>0</v>
      </c>
      <c r="N170" s="20" t="n">
        <v>0</v>
      </c>
      <c r="V170" s="20" t="n">
        <v>0</v>
      </c>
      <c r="W170" s="20" t="n">
        <v>0</v>
      </c>
      <c r="X170" s="20" t="n">
        <v>0</v>
      </c>
    </row>
    <row r="171">
      <c r="A171" s="18" t="inlineStr">
        <is>
          <t>부문 · 계</t>
        </is>
      </c>
      <c r="C171" s="20" t="n">
        <v>8868.972</v>
      </c>
      <c r="E171" s="20" t="n">
        <v>9389.278</v>
      </c>
      <c r="F171" s="20" t="n">
        <v>9279.262000000001</v>
      </c>
      <c r="G171" s="20" t="n">
        <v>8836.409</v>
      </c>
      <c r="I171" s="20" t="n">
        <v>8955.786</v>
      </c>
      <c r="J171" s="20" t="n">
        <v>8827.664000000001</v>
      </c>
      <c r="K171" s="20" t="n">
        <v>8613.153</v>
      </c>
      <c r="M171" s="20" t="n">
        <v>9845.598</v>
      </c>
      <c r="N171" s="20" t="n">
        <v>9981.59</v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G172" s="15">
        <f>IF(OR(G171="",C171=""),"",IF(C171&lt;=0,"",IFERROR(G171/C171-1,"")))</f>
        <v/>
      </c>
      <c r="I172" s="15">
        <f>IF(OR(I171="",E171=""),"",IF(E171&lt;=0,"",IFERROR(I171/E171-1,"")))</f>
        <v/>
      </c>
      <c r="J172" s="15">
        <f>IF(OR(J171="",F171=""),"",IF(F171&lt;=0,"",IFERROR(J171/F171-1,"")))</f>
        <v/>
      </c>
      <c r="K172" s="15">
        <f>IF(OR(K171="",G171=""),"",IF(G171&lt;=0,"",IFERROR(K171/G171-1,"")))</f>
        <v/>
      </c>
      <c r="M172" s="15">
        <f>IF(OR(M171="",I171=""),"",IF(I171&lt;=0,"",IFERROR(M171/I171-1,"")))</f>
        <v/>
      </c>
      <c r="N172" s="15">
        <f>IF(OR(N171="",J171=""),"",IF(J171&lt;=0,"",IFERROR(N171/J171-1,"")))</f>
        <v/>
      </c>
    </row>
    <row r="173">
      <c r="A173" s="18" t="inlineStr">
        <is>
          <t>전자재료 사업 · 계</t>
        </is>
      </c>
      <c r="C173" s="20" t="n">
        <v>7130.921</v>
      </c>
      <c r="E173" s="20" t="n">
        <v>8042.41</v>
      </c>
      <c r="F173" s="20" t="n">
        <v>8045.403</v>
      </c>
      <c r="G173" s="20" t="n">
        <v>8827.873</v>
      </c>
      <c r="I173" s="20" t="n">
        <v>9702.302</v>
      </c>
      <c r="J173" s="20" t="n">
        <v>10220.136</v>
      </c>
      <c r="K173" s="20" t="n">
        <v>11609.926</v>
      </c>
      <c r="M173" s="20" t="n">
        <v>12973.844</v>
      </c>
      <c r="N173" s="20" t="n">
        <v>12795.586</v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IF(OR(G173="",C173=""),"",IF(C173&lt;=0,"",IFERROR(G173/C173-1,"")))</f>
        <v/>
      </c>
      <c r="I174" s="15">
        <f>IF(OR(I173="",E173=""),"",IF(E173&lt;=0,"",IFERROR(I173/E173-1,"")))</f>
        <v/>
      </c>
      <c r="J174" s="15">
        <f>IF(OR(J173="",F173=""),"",IF(F173&lt;=0,"",IFERROR(J173/F173-1,"")))</f>
        <v/>
      </c>
      <c r="K174" s="15">
        <f>IF(OR(K173="",G173=""),"",IF(G173&lt;=0,"",IFERROR(K173/G173-1,"")))</f>
        <v/>
      </c>
      <c r="M174" s="15">
        <f>IF(OR(M173="",I173=""),"",IF(I173&lt;=0,"",IFERROR(M173/I173-1,"")))</f>
        <v/>
      </c>
      <c r="N174" s="15">
        <f>IF(OR(N173="",J173=""),"",IF(J173&lt;=0,"",IFERROR(N173/J173-1,"")))</f>
        <v/>
      </c>
    </row>
    <row r="175">
      <c r="A175" s="18" t="inlineStr">
        <is>
          <t>보고부문 합계 · 계</t>
        </is>
      </c>
      <c r="C175" s="20" t="n">
        <v>15999.892</v>
      </c>
      <c r="D175" s="20" t="n">
        <v>15835.24</v>
      </c>
      <c r="E175" s="20" t="n">
        <v>17431.688</v>
      </c>
      <c r="F175" s="20" t="n">
        <v>17324.665</v>
      </c>
      <c r="G175" s="20" t="n">
        <v>17664.282</v>
      </c>
      <c r="H175" s="20" t="n">
        <v>17080.892</v>
      </c>
      <c r="I175" s="20" t="n">
        <v>18658.089</v>
      </c>
      <c r="J175" s="20" t="n">
        <v>19047.799</v>
      </c>
      <c r="K175" s="20" t="n">
        <v>20223.08</v>
      </c>
      <c r="L175" s="20" t="n">
        <v>18997.055</v>
      </c>
      <c r="M175" s="20" t="n">
        <v>22819.442</v>
      </c>
      <c r="N175" s="20" t="n">
        <v>22777.177</v>
      </c>
      <c r="V175" s="20" t="n">
        <v>15835.24</v>
      </c>
      <c r="W175" s="20" t="n">
        <v>17080.892</v>
      </c>
      <c r="X175" s="20" t="n">
        <v>18997.055</v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G176" s="15">
        <f>IF(OR(G175="",C175=""),"",IF(C175&lt;=0,"",IFERROR(G175/C175-1,"")))</f>
        <v/>
      </c>
      <c r="H176" s="15">
        <f>IF(OR(H175="",D175=""),"",IF(D175&lt;=0,"",IFERROR(H175/D175-1,"")))</f>
        <v/>
      </c>
      <c r="I176" s="15">
        <f>IF(OR(I175="",E175=""),"",IF(E175&lt;=0,"",IFERROR(I175/E175-1,"")))</f>
        <v/>
      </c>
      <c r="J176" s="15">
        <f>IF(OR(J175="",F175=""),"",IF(F175&lt;=0,"",IFERROR(J175/F175-1,"")))</f>
        <v/>
      </c>
      <c r="K176" s="15">
        <f>IF(OR(K175="",G175=""),"",IF(G175&lt;=0,"",IFERROR(K175/G175-1,"")))</f>
        <v/>
      </c>
      <c r="L176" s="15">
        <f>IF(OR(L175="",H175=""),"",IF(H175&lt;=0,"",IFERROR(L175/H175-1,"")))</f>
        <v/>
      </c>
      <c r="M176" s="15">
        <f>IF(OR(M175="",I175=""),"",IF(I175&lt;=0,"",IFERROR(M175/I175-1,"")))</f>
        <v/>
      </c>
      <c r="N176" s="15">
        <f>IF(OR(N175="",J175=""),"",IF(J175&lt;=0,"",IFERROR(N175/J175-1,"")))</f>
        <v/>
      </c>
      <c r="V176" s="15">
        <f>IF(OR(V175="",U175=""),"",IF(U175&lt;=0,"",IFERROR(V175/U175-1,"")))</f>
        <v/>
      </c>
      <c r="W176" s="15">
        <f>IF(OR(W175="",V175=""),"",IF(V175&lt;=0,"",IFERROR(W175/V175-1,"")))</f>
        <v/>
      </c>
      <c r="X176" s="15">
        <f>IF(OR(X175="",W175=""),"",IF(W175&lt;=0,"",IFERROR(X175/W175-1,"")))</f>
        <v/>
      </c>
    </row>
    <row r="177">
      <c r="A177" s="18" t="inlineStr">
        <is>
          <t>조정액 · 계</t>
        </is>
      </c>
      <c r="C177" s="20" t="n">
        <v>0</v>
      </c>
      <c r="D177" s="20" t="n">
        <v>0</v>
      </c>
      <c r="E177" s="20" t="n">
        <v>0</v>
      </c>
      <c r="F177" s="20" t="n">
        <v>0</v>
      </c>
      <c r="G177" s="20" t="n">
        <v>0</v>
      </c>
      <c r="H177" s="20" t="n">
        <v>0</v>
      </c>
      <c r="I177" s="20" t="n">
        <v>0</v>
      </c>
      <c r="J177" s="20" t="n">
        <v>0</v>
      </c>
      <c r="K177" s="20" t="n">
        <v>0</v>
      </c>
      <c r="L177" s="20" t="n">
        <v>0</v>
      </c>
      <c r="M177" s="20" t="n">
        <v>0</v>
      </c>
      <c r="N177" s="20" t="n">
        <v>0</v>
      </c>
      <c r="V177" s="20" t="n">
        <v>0</v>
      </c>
      <c r="W177" s="20" t="n">
        <v>0</v>
      </c>
      <c r="X177" s="20" t="n">
        <v>0</v>
      </c>
    </row>
    <row r="178">
      <c r="A178" s="9" t="inlineStr">
        <is>
          <t>계</t>
        </is>
      </c>
      <c r="C178" s="12" t="n">
        <v>15999.892</v>
      </c>
      <c r="D178" s="12" t="n">
        <v>15835.24</v>
      </c>
      <c r="E178" s="12" t="n">
        <v>17431.688</v>
      </c>
      <c r="F178" s="12" t="n">
        <v>17324.665</v>
      </c>
      <c r="G178" s="12" t="n">
        <v>17664.282</v>
      </c>
      <c r="H178" s="12" t="n">
        <v>17080.892</v>
      </c>
      <c r="I178" s="12" t="n">
        <v>18658.089</v>
      </c>
      <c r="J178" s="12" t="n">
        <v>19047.799</v>
      </c>
      <c r="K178" s="12" t="n">
        <v>20223.08</v>
      </c>
      <c r="L178" s="12" t="n">
        <v>18997.055</v>
      </c>
      <c r="M178" s="12" t="n">
        <v>22819.442</v>
      </c>
      <c r="N178" s="12" t="n">
        <v>22777.177</v>
      </c>
      <c r="V178" s="12" t="n">
        <v>15835.24</v>
      </c>
      <c r="W178" s="12" t="n">
        <v>17080.892</v>
      </c>
      <c r="X178" s="12" t="n">
        <v>18997.055</v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G179" s="15">
        <f>IF(OR(G178="",C178=""),"",IF(C178&lt;=0,"",IFERROR(G178/C178-1,"")))</f>
        <v/>
      </c>
      <c r="H179" s="15">
        <f>IF(OR(H178="",D178=""),"",IF(D178&lt;=0,"",IFERROR(H178/D178-1,"")))</f>
        <v/>
      </c>
      <c r="I179" s="15">
        <f>IF(OR(I178="",E178=""),"",IF(E178&lt;=0,"",IFERROR(I178/E178-1,"")))</f>
        <v/>
      </c>
      <c r="J179" s="15">
        <f>IF(OR(J178="",F178=""),"",IF(F178&lt;=0,"",IFERROR(J178/F178-1,"")))</f>
        <v/>
      </c>
      <c r="K179" s="15">
        <f>IF(OR(K178="",G178=""),"",IF(G178&lt;=0,"",IFERROR(K178/G178-1,"")))</f>
        <v/>
      </c>
      <c r="L179" s="15">
        <f>IF(OR(L178="",H178=""),"",IF(H178&lt;=0,"",IFERROR(L178/H178-1,"")))</f>
        <v/>
      </c>
      <c r="M179" s="15">
        <f>IF(OR(M178="",I178=""),"",IF(I178&lt;=0,"",IFERROR(M178/I178-1,"")))</f>
        <v/>
      </c>
      <c r="N179" s="15">
        <f>IF(OR(N178="",J178=""),"",IF(J178&lt;=0,"",IFERROR(N178/J178-1,"")))</f>
        <v/>
      </c>
      <c r="V179" s="15">
        <f>IF(OR(V178="",U178=""),"",IF(U178&lt;=0,"",IFERROR(V178/U178-1,"")))</f>
        <v/>
      </c>
      <c r="W179" s="15">
        <f>IF(OR(W178="",V178=""),"",IF(V178&lt;=0,"",IFERROR(W178/V178-1,"")))</f>
        <v/>
      </c>
      <c r="X179" s="15">
        <f>IF(OR(X178="",W178=""),"",IF(W178&lt;=0,"",IFERROR(X178/W178-1,"")))</f>
        <v/>
      </c>
    </row>
    <row r="180">
      <c r="A180" s="18" t="inlineStr">
        <is>
          <t>부문 · 부문 이익</t>
        </is>
      </c>
      <c r="C180" s="20" t="n">
        <v>1428.566</v>
      </c>
      <c r="E180" s="20" t="n">
        <v>1290.373</v>
      </c>
      <c r="F180" s="20" t="n">
        <v>1450.964</v>
      </c>
      <c r="G180" s="20" t="n">
        <v>1283.054</v>
      </c>
      <c r="I180" s="20" t="n">
        <v>1215.22</v>
      </c>
      <c r="J180" s="20" t="n">
        <v>1301.015</v>
      </c>
      <c r="K180" s="20" t="n">
        <v>1390.929</v>
      </c>
      <c r="M180" s="20" t="n">
        <v>1791.139</v>
      </c>
      <c r="N180" s="20" t="n">
        <v>1657.697</v>
      </c>
    </row>
    <row r="181">
      <c r="A181" s="43" t="inlineStr">
        <is>
          <t>OPM</t>
        </is>
      </c>
      <c r="B181" s="3" t="inlineStr">
        <is>
          <t>영업이익 ÷ 매출</t>
        </is>
      </c>
      <c r="C181" s="15">
        <f>IF(OR(C180="",C171=""),"",IF(C171&lt;=0,"",IFERROR(C180/C171,"")))</f>
        <v/>
      </c>
      <c r="E181" s="15">
        <f>IF(OR(E180="",E171=""),"",IF(E171&lt;=0,"",IFERROR(E180/E171,"")))</f>
        <v/>
      </c>
      <c r="F181" s="15">
        <f>IF(OR(F180="",F171=""),"",IF(F171&lt;=0,"",IFERROR(F180/F171,"")))</f>
        <v/>
      </c>
      <c r="G181" s="15">
        <f>IF(OR(G180="",G171=""),"",IF(G171&lt;=0,"",IFERROR(G180/G171,"")))</f>
        <v/>
      </c>
      <c r="I181" s="15">
        <f>IF(OR(I180="",I171=""),"",IF(I171&lt;=0,"",IFERROR(I180/I171,"")))</f>
        <v/>
      </c>
      <c r="J181" s="15">
        <f>IF(OR(J180="",J171=""),"",IF(J171&lt;=0,"",IFERROR(J180/J171,"")))</f>
        <v/>
      </c>
      <c r="K181" s="15">
        <f>IF(OR(K180="",K171=""),"",IF(K171&lt;=0,"",IFERROR(K180/K171,"")))</f>
        <v/>
      </c>
      <c r="M181" s="15">
        <f>IF(OR(M180="",M171=""),"",IF(M171&lt;=0,"",IFERROR(M180/M171,"")))</f>
        <v/>
      </c>
      <c r="N181" s="15">
        <f>IF(OR(N180="",N171=""),"",IF(N171&lt;=0,"",IFERROR(N180/N171,"")))</f>
        <v/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G182" s="15">
        <f>IF(OR(G180="",C180=""),"",IF(C180&lt;=0,"",IFERROR(G180/C180-1,"")))</f>
        <v/>
      </c>
      <c r="I182" s="15">
        <f>IF(OR(I180="",E180=""),"",IF(E180&lt;=0,"",IFERROR(I180/E180-1,"")))</f>
        <v/>
      </c>
      <c r="J182" s="15">
        <f>IF(OR(J180="",F180=""),"",IF(F180&lt;=0,"",IFERROR(J180/F180-1,"")))</f>
        <v/>
      </c>
      <c r="K182" s="15">
        <f>IF(OR(K180="",G180=""),"",IF(G180&lt;=0,"",IFERROR(K180/G180-1,"")))</f>
        <v/>
      </c>
      <c r="M182" s="15">
        <f>IF(OR(M180="",I180=""),"",IF(I180&lt;=0,"",IFERROR(M180/I180-1,"")))</f>
        <v/>
      </c>
      <c r="N182" s="15">
        <f>IF(OR(N180="",J180=""),"",IF(J180&lt;=0,"",IFERROR(N180/J180-1,"")))</f>
        <v/>
      </c>
    </row>
    <row r="183">
      <c r="A183" s="18" t="inlineStr">
        <is>
          <t>전자재료 사업 · 부문 이익</t>
        </is>
      </c>
      <c r="C183" s="20" t="n">
        <v>1713.35</v>
      </c>
      <c r="E183" s="20" t="n">
        <v>3215.106</v>
      </c>
      <c r="F183" s="20" t="n">
        <v>3301.446</v>
      </c>
      <c r="G183" s="20" t="n">
        <v>3754.647</v>
      </c>
      <c r="I183" s="20" t="n">
        <v>4071.741</v>
      </c>
      <c r="J183" s="20" t="n">
        <v>4353.843</v>
      </c>
      <c r="K183" s="20" t="n">
        <v>4025.403</v>
      </c>
      <c r="M183" s="20" t="n">
        <v>5075.606</v>
      </c>
      <c r="N183" s="20" t="n">
        <v>6145.209</v>
      </c>
    </row>
    <row r="184">
      <c r="A184" s="43" t="inlineStr">
        <is>
          <t>OPM</t>
        </is>
      </c>
      <c r="B184" s="3" t="inlineStr">
        <is>
          <t>영업이익 ÷ 매출</t>
        </is>
      </c>
      <c r="C184" s="15">
        <f>IF(OR(C183="",C173=""),"",IF(C173&lt;=0,"",IFERROR(C183/C173,"")))</f>
        <v/>
      </c>
      <c r="E184" s="15">
        <f>IF(OR(E183="",E173=""),"",IF(E173&lt;=0,"",IFERROR(E183/E173,"")))</f>
        <v/>
      </c>
      <c r="F184" s="15">
        <f>IF(OR(F183="",F173=""),"",IF(F173&lt;=0,"",IFERROR(F183/F173,"")))</f>
        <v/>
      </c>
      <c r="G184" s="15">
        <f>IF(OR(G183="",G173=""),"",IF(G173&lt;=0,"",IFERROR(G183/G173,"")))</f>
        <v/>
      </c>
      <c r="I184" s="15">
        <f>IF(OR(I183="",I173=""),"",IF(I173&lt;=0,"",IFERROR(I183/I173,"")))</f>
        <v/>
      </c>
      <c r="J184" s="15">
        <f>IF(OR(J183="",J173=""),"",IF(J173&lt;=0,"",IFERROR(J183/J173,"")))</f>
        <v/>
      </c>
      <c r="K184" s="15">
        <f>IF(OR(K183="",K173=""),"",IF(K173&lt;=0,"",IFERROR(K183/K173,"")))</f>
        <v/>
      </c>
      <c r="M184" s="15">
        <f>IF(OR(M183="",M173=""),"",IF(M173&lt;=0,"",IFERROR(M183/M173,"")))</f>
        <v/>
      </c>
      <c r="N184" s="15">
        <f>IF(OR(N183="",N173=""),"",IF(N173&lt;=0,"",IFERROR(N183/N173,"")))</f>
        <v/>
      </c>
    </row>
    <row r="185">
      <c r="A185" s="43" t="inlineStr">
        <is>
          <t>YoY</t>
        </is>
      </c>
      <c r="B185" s="3" t="inlineStr">
        <is>
          <t>전년 같은 분기·전년 대비</t>
        </is>
      </c>
      <c r="G185" s="15">
        <f>IF(OR(G183="",C183=""),"",IF(C183&lt;=0,"",IFERROR(G183/C183-1,"")))</f>
        <v/>
      </c>
      <c r="I185" s="15">
        <f>IF(OR(I183="",E183=""),"",IF(E183&lt;=0,"",IFERROR(I183/E183-1,"")))</f>
        <v/>
      </c>
      <c r="J185" s="15">
        <f>IF(OR(J183="",F183=""),"",IF(F183&lt;=0,"",IFERROR(J183/F183-1,"")))</f>
        <v/>
      </c>
      <c r="K185" s="15">
        <f>IF(OR(K183="",G183=""),"",IF(G183&lt;=0,"",IFERROR(K183/G183-1,"")))</f>
        <v/>
      </c>
      <c r="M185" s="15">
        <f>IF(OR(M183="",I183=""),"",IF(I183&lt;=0,"",IFERROR(M183/I183-1,"")))</f>
        <v/>
      </c>
      <c r="N185" s="15">
        <f>IF(OR(N183="",J183=""),"",IF(J183&lt;=0,"",IFERROR(N183/J183-1,"")))</f>
        <v/>
      </c>
    </row>
    <row r="186">
      <c r="A186" s="18" t="inlineStr">
        <is>
          <t>보고부문 합계 · 부문 이익</t>
        </is>
      </c>
      <c r="C186" s="20" t="n">
        <v>3141.916</v>
      </c>
      <c r="D186" s="20" t="n">
        <v>3421.099</v>
      </c>
      <c r="E186" s="20" t="n">
        <v>4505.479</v>
      </c>
      <c r="F186" s="20" t="n">
        <v>4752.411</v>
      </c>
      <c r="G186" s="20" t="n">
        <v>5037.701</v>
      </c>
      <c r="H186" s="20" t="n">
        <v>4165.026</v>
      </c>
      <c r="I186" s="20" t="n">
        <v>5286.961</v>
      </c>
      <c r="J186" s="20" t="n">
        <v>5654.859</v>
      </c>
      <c r="K186" s="20" t="n">
        <v>5416.332</v>
      </c>
      <c r="L186" s="20" t="n">
        <v>4876.775</v>
      </c>
      <c r="M186" s="20" t="n">
        <v>6866.746</v>
      </c>
      <c r="N186" s="20" t="n">
        <v>7802.905</v>
      </c>
      <c r="V186" s="20" t="n">
        <v>3421.099</v>
      </c>
      <c r="W186" s="20" t="n">
        <v>4165.026</v>
      </c>
      <c r="X186" s="20" t="n">
        <v>4876.775</v>
      </c>
    </row>
    <row r="187">
      <c r="A187" s="43" t="inlineStr">
        <is>
          <t>OPM</t>
        </is>
      </c>
      <c r="B187" s="3" t="inlineStr">
        <is>
          <t>영업이익 ÷ 매출</t>
        </is>
      </c>
      <c r="C187" s="15">
        <f>IF(OR(C186="",C175=""),"",IF(C175&lt;=0,"",IFERROR(C186/C175,"")))</f>
        <v/>
      </c>
      <c r="D187" s="15">
        <f>IF(OR(D186="",D175=""),"",IF(D175&lt;=0,"",IFERROR(D186/D175,"")))</f>
        <v/>
      </c>
      <c r="E187" s="15">
        <f>IF(OR(E186="",E175=""),"",IF(E175&lt;=0,"",IFERROR(E186/E175,"")))</f>
        <v/>
      </c>
      <c r="F187" s="15">
        <f>IF(OR(F186="",F175=""),"",IF(F175&lt;=0,"",IFERROR(F186/F175,"")))</f>
        <v/>
      </c>
      <c r="G187" s="15">
        <f>IF(OR(G186="",G175=""),"",IF(G175&lt;=0,"",IFERROR(G186/G175,"")))</f>
        <v/>
      </c>
      <c r="H187" s="15">
        <f>IF(OR(H186="",H175=""),"",IF(H175&lt;=0,"",IFERROR(H186/H175,"")))</f>
        <v/>
      </c>
      <c r="I187" s="15">
        <f>IF(OR(I186="",I175=""),"",IF(I175&lt;=0,"",IFERROR(I186/I175,"")))</f>
        <v/>
      </c>
      <c r="J187" s="15">
        <f>IF(OR(J186="",J175=""),"",IF(J175&lt;=0,"",IFERROR(J186/J175,"")))</f>
        <v/>
      </c>
      <c r="K187" s="15">
        <f>IF(OR(K186="",K175=""),"",IF(K175&lt;=0,"",IFERROR(K186/K175,"")))</f>
        <v/>
      </c>
      <c r="L187" s="15">
        <f>IF(OR(L186="",L175=""),"",IF(L175&lt;=0,"",IFERROR(L186/L175,"")))</f>
        <v/>
      </c>
      <c r="M187" s="15">
        <f>IF(OR(M186="",M175=""),"",IF(M175&lt;=0,"",IFERROR(M186/M175,"")))</f>
        <v/>
      </c>
      <c r="N187" s="15">
        <f>IF(OR(N186="",N175=""),"",IF(N175&lt;=0,"",IFERROR(N186/N175,"")))</f>
        <v/>
      </c>
      <c r="V187" s="15">
        <f>IF(OR(V186="",V175=""),"",IF(V175&lt;=0,"",IFERROR(V186/V175,"")))</f>
        <v/>
      </c>
      <c r="W187" s="15">
        <f>IF(OR(W186="",W175=""),"",IF(W175&lt;=0,"",IFERROR(W186/W175,"")))</f>
        <v/>
      </c>
      <c r="X187" s="15">
        <f>IF(OR(X186="",X175=""),"",IF(X175&lt;=0,"",IFERROR(X186/X175,"")))</f>
        <v/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G188" s="15">
        <f>IF(OR(G186="",C186=""),"",IF(C186&lt;=0,"",IFERROR(G186/C186-1,"")))</f>
        <v/>
      </c>
      <c r="H188" s="15">
        <f>IF(OR(H186="",D186=""),"",IF(D186&lt;=0,"",IFERROR(H186/D186-1,"")))</f>
        <v/>
      </c>
      <c r="I188" s="15">
        <f>IF(OR(I186="",E186=""),"",IF(E186&lt;=0,"",IFERROR(I186/E186-1,"")))</f>
        <v/>
      </c>
      <c r="J188" s="15">
        <f>IF(OR(J186="",F186=""),"",IF(F186&lt;=0,"",IFERROR(J186/F186-1,"")))</f>
        <v/>
      </c>
      <c r="K188" s="15">
        <f>IF(OR(K186="",G186=""),"",IF(G186&lt;=0,"",IFERROR(K186/G186-1,"")))</f>
        <v/>
      </c>
      <c r="L188" s="15">
        <f>IF(OR(L186="",H186=""),"",IF(H186&lt;=0,"",IFERROR(L186/H186-1,"")))</f>
        <v/>
      </c>
      <c r="M188" s="15">
        <f>IF(OR(M186="",I186=""),"",IF(I186&lt;=0,"",IFERROR(M186/I186-1,"")))</f>
        <v/>
      </c>
      <c r="N188" s="15">
        <f>IF(OR(N186="",J186=""),"",IF(J186&lt;=0,"",IFERROR(N186/J186-1,"")))</f>
        <v/>
      </c>
      <c r="V188" s="15">
        <f>IF(OR(V186="",U186=""),"",IF(U186&lt;=0,"",IFERROR(V186/U186-1,"")))</f>
        <v/>
      </c>
      <c r="W188" s="15">
        <f>IF(OR(W186="",V186=""),"",IF(V186&lt;=0,"",IFERROR(W186/V186-1,"")))</f>
        <v/>
      </c>
      <c r="X188" s="15">
        <f>IF(OR(X186="",W186=""),"",IF(W186&lt;=0,"",IFERROR(X186/W186-1,"")))</f>
        <v/>
      </c>
    </row>
    <row r="189">
      <c r="A189" s="18" t="inlineStr">
        <is>
          <t>조정액 · 부문 이익</t>
        </is>
      </c>
      <c r="C189" s="20" t="n">
        <v>-496.609</v>
      </c>
      <c r="D189" s="20" t="n">
        <v>-563.5170000000001</v>
      </c>
      <c r="E189" s="20" t="n">
        <v>-594.708</v>
      </c>
      <c r="F189" s="20" t="n">
        <v>-518.1369999999999</v>
      </c>
      <c r="G189" s="20" t="n">
        <v>-586.985</v>
      </c>
      <c r="H189" s="20" t="n">
        <v>-530.278</v>
      </c>
      <c r="I189" s="20" t="n">
        <v>-592.891</v>
      </c>
      <c r="J189" s="20" t="n">
        <v>-601.975</v>
      </c>
      <c r="K189" s="20" t="n">
        <v>-600.104</v>
      </c>
      <c r="L189" s="20" t="n">
        <v>-589.417</v>
      </c>
      <c r="M189" s="20" t="n">
        <v>-694.462</v>
      </c>
      <c r="N189" s="20" t="n">
        <v>-680.857</v>
      </c>
      <c r="V189" s="20" t="n">
        <v>-563.5170000000001</v>
      </c>
      <c r="W189" s="20" t="n">
        <v>-530.278</v>
      </c>
      <c r="X189" s="20" t="n">
        <v>-589.417</v>
      </c>
    </row>
    <row r="190">
      <c r="A190" s="9" t="inlineStr">
        <is>
          <t>부문 이익</t>
        </is>
      </c>
      <c r="C190" s="12" t="n">
        <v>2645.307</v>
      </c>
      <c r="D190" s="12" t="n">
        <v>2857.581</v>
      </c>
      <c r="E190" s="12" t="n">
        <v>3910.771</v>
      </c>
      <c r="F190" s="12" t="n">
        <v>4234.273</v>
      </c>
      <c r="G190" s="12" t="n">
        <v>4450.716</v>
      </c>
      <c r="H190" s="12" t="n">
        <v>3634.748</v>
      </c>
      <c r="I190" s="12" t="n">
        <v>4694.069</v>
      </c>
      <c r="J190" s="12" t="n">
        <v>5052.884</v>
      </c>
      <c r="K190" s="12" t="n">
        <v>4816.228</v>
      </c>
      <c r="L190" s="12" t="n">
        <v>4287.358</v>
      </c>
      <c r="M190" s="12" t="n">
        <v>6172.283</v>
      </c>
      <c r="N190" s="12" t="n">
        <v>7122.049</v>
      </c>
      <c r="V190" s="12" t="n">
        <v>2857.581</v>
      </c>
      <c r="W190" s="12" t="n">
        <v>3634.748</v>
      </c>
      <c r="X190" s="12" t="n">
        <v>4287.358</v>
      </c>
    </row>
    <row r="191">
      <c r="A191" s="43" t="inlineStr">
        <is>
          <t>OPM</t>
        </is>
      </c>
      <c r="B191" s="3" t="inlineStr">
        <is>
          <t>영업이익 ÷ 매출</t>
        </is>
      </c>
      <c r="C191" s="15">
        <f>IF(OR(C190="",C164=""),"",IF(C164&lt;=0,"",IFERROR(C190/C164,"")))</f>
        <v/>
      </c>
      <c r="D191" s="15">
        <f>IF(OR(D190="",D164=""),"",IF(D164&lt;=0,"",IFERROR(D190/D164,"")))</f>
        <v/>
      </c>
      <c r="E191" s="15">
        <f>IF(OR(E190="",E164=""),"",IF(E164&lt;=0,"",IFERROR(E190/E164,"")))</f>
        <v/>
      </c>
      <c r="F191" s="15">
        <f>IF(OR(F190="",F164=""),"",IF(F164&lt;=0,"",IFERROR(F190/F164,"")))</f>
        <v/>
      </c>
      <c r="G191" s="15">
        <f>IF(OR(G190="",G164=""),"",IF(G164&lt;=0,"",IFERROR(G190/G164,"")))</f>
        <v/>
      </c>
      <c r="H191" s="15">
        <f>IF(OR(H190="",H164=""),"",IF(H164&lt;=0,"",IFERROR(H190/H164,"")))</f>
        <v/>
      </c>
      <c r="I191" s="15">
        <f>IF(OR(I190="",I164=""),"",IF(I164&lt;=0,"",IFERROR(I190/I164,"")))</f>
        <v/>
      </c>
      <c r="J191" s="15">
        <f>IF(OR(J190="",J164=""),"",IF(J164&lt;=0,"",IFERROR(J190/J164,"")))</f>
        <v/>
      </c>
      <c r="K191" s="15">
        <f>IF(OR(K190="",K164=""),"",IF(K164&lt;=0,"",IFERROR(K190/K164,"")))</f>
        <v/>
      </c>
      <c r="L191" s="15">
        <f>IF(OR(L190="",L164=""),"",IF(L164&lt;=0,"",IFERROR(L190/L164,"")))</f>
        <v/>
      </c>
      <c r="M191" s="15">
        <f>IF(OR(M190="",M164=""),"",IF(M164&lt;=0,"",IFERROR(M190/M164,"")))</f>
        <v/>
      </c>
      <c r="N191" s="15">
        <f>IF(OR(N190="",N164=""),"",IF(N164&lt;=0,"",IFERROR(N190/N164,"")))</f>
        <v/>
      </c>
      <c r="V191" s="15">
        <f>IF(OR(V190="",V164=""),"",IF(V164&lt;=0,"",IFERROR(V190/V164,"")))</f>
        <v/>
      </c>
      <c r="W191" s="15">
        <f>IF(OR(W190="",W164=""),"",IF(W164&lt;=0,"",IFERROR(W190/W164,"")))</f>
        <v/>
      </c>
      <c r="X191" s="15">
        <f>IF(OR(X190="",X164=""),"",IF(X164&lt;=0,"",IFERROR(X190/X164,"")))</f>
        <v/>
      </c>
    </row>
    <row r="192">
      <c r="A192" s="43" t="inlineStr">
        <is>
          <t>YoY</t>
        </is>
      </c>
      <c r="B192" s="3" t="inlineStr">
        <is>
          <t>전년 같은 분기·전년 대비</t>
        </is>
      </c>
      <c r="G192" s="15">
        <f>IF(OR(G190="",C190=""),"",IF(C190&lt;=0,"",IFERROR(G190/C190-1,"")))</f>
        <v/>
      </c>
      <c r="H192" s="15">
        <f>IF(OR(H190="",D190=""),"",IF(D190&lt;=0,"",IFERROR(H190/D190-1,"")))</f>
        <v/>
      </c>
      <c r="I192" s="15">
        <f>IF(OR(I190="",E190=""),"",IF(E190&lt;=0,"",IFERROR(I190/E190-1,"")))</f>
        <v/>
      </c>
      <c r="J192" s="15">
        <f>IF(OR(J190="",F190=""),"",IF(F190&lt;=0,"",IFERROR(J190/F190-1,"")))</f>
        <v/>
      </c>
      <c r="K192" s="15">
        <f>IF(OR(K190="",G190=""),"",IF(G190&lt;=0,"",IFERROR(K190/G190-1,"")))</f>
        <v/>
      </c>
      <c r="L192" s="15">
        <f>IF(OR(L190="",H190=""),"",IF(H190&lt;=0,"",IFERROR(L190/H190-1,"")))</f>
        <v/>
      </c>
      <c r="M192" s="15">
        <f>IF(OR(M190="",I190=""),"",IF(I190&lt;=0,"",IFERROR(M190/I190-1,"")))</f>
        <v/>
      </c>
      <c r="N192" s="15">
        <f>IF(OR(N190="",J190=""),"",IF(J190&lt;=0,"",IFERROR(N190/J190-1,"")))</f>
        <v/>
      </c>
      <c r="V192" s="15">
        <f>IF(OR(V190="",U190=""),"",IF(U190&lt;=0,"",IFERROR(V190/U190-1,"")))</f>
        <v/>
      </c>
      <c r="W192" s="15">
        <f>IF(OR(W190="",V190=""),"",IF(V190&lt;=0,"",IFERROR(W190/V190-1,"")))</f>
        <v/>
      </c>
      <c r="X192" s="15">
        <f>IF(OR(X190="",W190=""),"",IF(W190&lt;=0,"",IFERROR(X190/W190-1,"")))</f>
        <v/>
      </c>
    </row>
    <row r="193">
      <c r="A193" s="18" t="inlineStr">
        <is>
          <t>부문 · 감가상각비</t>
        </is>
      </c>
      <c r="E193" s="20" t="n">
        <v>347.747</v>
      </c>
      <c r="F193" s="20" t="n">
        <v>379.307</v>
      </c>
      <c r="G193" s="20" t="n">
        <v>411.072</v>
      </c>
      <c r="I193" s="20" t="n">
        <v>371.654</v>
      </c>
      <c r="J193" s="20" t="n">
        <v>409.176</v>
      </c>
      <c r="K193" s="20" t="n">
        <v>419.539</v>
      </c>
      <c r="M193" s="20" t="n">
        <v>399.949</v>
      </c>
      <c r="N193" s="20" t="n">
        <v>419.736</v>
      </c>
    </row>
    <row r="194">
      <c r="A194" s="18" t="inlineStr">
        <is>
          <t>전자재료 사업 · 감가상각비</t>
        </is>
      </c>
      <c r="E194" s="20" t="n">
        <v>1417.334</v>
      </c>
      <c r="F194" s="20" t="n">
        <v>1450.705</v>
      </c>
      <c r="G194" s="20" t="n">
        <v>1485.95</v>
      </c>
      <c r="I194" s="20" t="n">
        <v>1781.319</v>
      </c>
      <c r="J194" s="20" t="n">
        <v>1918.318</v>
      </c>
      <c r="K194" s="20" t="n">
        <v>2296.912</v>
      </c>
      <c r="M194" s="20" t="n">
        <v>2577.842</v>
      </c>
      <c r="N194" s="20" t="n">
        <v>2612.494</v>
      </c>
    </row>
    <row r="195">
      <c r="A195" s="18" t="inlineStr">
        <is>
          <t>보고부문 합계 · 감가상각비</t>
        </is>
      </c>
      <c r="D195" s="20" t="n">
        <v>2167.538</v>
      </c>
      <c r="E195" s="20" t="n">
        <v>1765.082</v>
      </c>
      <c r="F195" s="20" t="n">
        <v>1830.012</v>
      </c>
      <c r="G195" s="20" t="n">
        <v>1897.022</v>
      </c>
      <c r="H195" s="20" t="n">
        <v>2599.6</v>
      </c>
      <c r="I195" s="20" t="n">
        <v>2152.973</v>
      </c>
      <c r="J195" s="20" t="n">
        <v>2327.495</v>
      </c>
      <c r="K195" s="20" t="n">
        <v>2716.451</v>
      </c>
      <c r="L195" s="20" t="n">
        <v>3536.371</v>
      </c>
      <c r="M195" s="20" t="n">
        <v>2977.791</v>
      </c>
      <c r="N195" s="20" t="n">
        <v>3032.231</v>
      </c>
      <c r="V195" s="20" t="n">
        <v>2167.538</v>
      </c>
      <c r="W195" s="20" t="n">
        <v>2599.6</v>
      </c>
      <c r="X195" s="20" t="n">
        <v>3536.371</v>
      </c>
    </row>
    <row r="196">
      <c r="A196" s="18" t="inlineStr">
        <is>
          <t>조정액 · 감가상각비</t>
        </is>
      </c>
      <c r="D196" s="20" t="n">
        <v>58.127</v>
      </c>
      <c r="E196" s="20" t="n">
        <v>53.72</v>
      </c>
      <c r="F196" s="20" t="n">
        <v>53.867</v>
      </c>
      <c r="G196" s="20" t="n">
        <v>54.82</v>
      </c>
      <c r="H196" s="20" t="n">
        <v>55.194</v>
      </c>
      <c r="I196" s="20" t="n">
        <v>50.447</v>
      </c>
      <c r="J196" s="20" t="n">
        <v>50.907</v>
      </c>
      <c r="K196" s="20" t="n">
        <v>51.078</v>
      </c>
      <c r="L196" s="20" t="n">
        <v>51.013</v>
      </c>
      <c r="M196" s="20" t="n">
        <v>47.628</v>
      </c>
      <c r="N196" s="20" t="n">
        <v>49.821</v>
      </c>
      <c r="V196" s="20" t="n">
        <v>58.127</v>
      </c>
      <c r="W196" s="20" t="n">
        <v>55.194</v>
      </c>
      <c r="X196" s="20" t="n">
        <v>51.013</v>
      </c>
    </row>
    <row r="197">
      <c r="A197" s="18" t="inlineStr">
        <is>
          <t>감가상각비</t>
        </is>
      </c>
      <c r="D197" s="20" t="n">
        <v>2225.665</v>
      </c>
      <c r="E197" s="20" t="n">
        <v>1818.803</v>
      </c>
      <c r="F197" s="20" t="n">
        <v>1883.878</v>
      </c>
      <c r="G197" s="20" t="n">
        <v>1951.842</v>
      </c>
      <c r="H197" s="20" t="n">
        <v>2654.795</v>
      </c>
      <c r="I197" s="20" t="n">
        <v>2203.421</v>
      </c>
      <c r="J197" s="20" t="n">
        <v>2378.402</v>
      </c>
      <c r="K197" s="20" t="n">
        <v>2767.529</v>
      </c>
      <c r="L197" s="20" t="n">
        <v>3587.384</v>
      </c>
      <c r="M197" s="20" t="n">
        <v>3025.42</v>
      </c>
      <c r="N197" s="20" t="n">
        <v>3082.051</v>
      </c>
      <c r="V197" s="20" t="n">
        <v>2225.665</v>
      </c>
      <c r="W197" s="20" t="n">
        <v>2654.795</v>
      </c>
      <c r="X197" s="20" t="n">
        <v>3587.384</v>
      </c>
    </row>
    <row r="199">
      <c r="A199" s="16" t="inlineStr">
        <is>
          <t>현금흐름표 · 전 항목</t>
        </is>
      </c>
      <c r="B199" s="42" t="inlineStr">
        <is>
          <t>분기 = 결산기 첫날부터 누계(공시 그대로)</t>
        </is>
      </c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  <c r="AA199" s="16" t="n"/>
      <c r="AB199" s="16" t="n"/>
      <c r="AC199" s="16" t="n"/>
    </row>
    <row r="200">
      <c r="A200" s="5" t="inlineStr">
        <is>
          <t>항목</t>
        </is>
      </c>
      <c r="B200" s="5" t="inlineStr">
        <is>
          <t>참고</t>
        </is>
      </c>
      <c r="C200" s="5" t="inlineStr">
        <is>
          <t>2024.3Q</t>
        </is>
      </c>
      <c r="D200" s="5" t="inlineStr">
        <is>
          <t>2024.4Q</t>
        </is>
      </c>
      <c r="E200" s="5" t="inlineStr">
        <is>
          <t>2025.1Q</t>
        </is>
      </c>
      <c r="F200" s="5" t="inlineStr">
        <is>
          <t>2025.2Q</t>
        </is>
      </c>
      <c r="G200" s="5" t="inlineStr">
        <is>
          <t>2025.3Q</t>
        </is>
      </c>
      <c r="H200" s="5" t="inlineStr">
        <is>
          <t>2025.4Q</t>
        </is>
      </c>
      <c r="I200" s="5" t="inlineStr">
        <is>
          <t>2026.1Q</t>
        </is>
      </c>
      <c r="J200" s="5" t="inlineStr">
        <is>
          <t>2026.2Q</t>
        </is>
      </c>
      <c r="K200" s="5" t="inlineStr">
        <is>
          <t>2026.3Q</t>
        </is>
      </c>
      <c r="L200" s="5" t="inlineStr">
        <is>
          <t>2026.4Q</t>
        </is>
      </c>
      <c r="M200" s="5" t="inlineStr">
        <is>
          <t>2027.1Q</t>
        </is>
      </c>
      <c r="N200" s="5" t="inlineStr">
        <is>
          <t>2027.2Q</t>
        </is>
      </c>
      <c r="O200" s="5" t="inlineStr">
        <is>
          <t>2017</t>
        </is>
      </c>
      <c r="P200" s="5" t="inlineStr">
        <is>
          <t>2018</t>
        </is>
      </c>
      <c r="Q200" s="5" t="inlineStr">
        <is>
          <t>2019</t>
        </is>
      </c>
      <c r="R200" s="5" t="inlineStr">
        <is>
          <t>2020</t>
        </is>
      </c>
      <c r="S200" s="5" t="inlineStr">
        <is>
          <t>2021</t>
        </is>
      </c>
      <c r="T200" s="5" t="inlineStr">
        <is>
          <t>2022</t>
        </is>
      </c>
      <c r="U200" s="5" t="inlineStr">
        <is>
          <t>2023</t>
        </is>
      </c>
      <c r="V200" s="5" t="inlineStr">
        <is>
          <t>2024</t>
        </is>
      </c>
      <c r="W200" s="5" t="inlineStr">
        <is>
          <t>2025</t>
        </is>
      </c>
      <c r="X200" s="5" t="inlineStr">
        <is>
          <t>2026</t>
        </is>
      </c>
      <c r="Y200" s="5" t="inlineStr">
        <is>
          <t>2027(MW)</t>
        </is>
      </c>
      <c r="Z200" s="5" t="inlineStr">
        <is>
          <t>2028(MW)</t>
        </is>
      </c>
      <c r="AA200" s="5" t="inlineStr">
        <is>
          <t>2029(MW)</t>
        </is>
      </c>
      <c r="AB200" s="5" t="inlineStr">
        <is>
          <t>2030(MW)</t>
        </is>
      </c>
      <c r="AC200" s="5" t="inlineStr">
        <is>
          <t>2031(MW)</t>
        </is>
      </c>
    </row>
    <row r="201">
      <c r="A201" s="9" t="inlineStr">
        <is>
          <t>법인세차감전 순이익</t>
        </is>
      </c>
      <c r="C201" s="12" t="n">
        <v>8682.243</v>
      </c>
      <c r="D201" s="12" t="n">
        <v>12006.194</v>
      </c>
      <c r="E201" s="12" t="n">
        <v>4298.705</v>
      </c>
      <c r="F201" s="12" t="n">
        <v>8008.73</v>
      </c>
      <c r="G201" s="12" t="n">
        <v>13197.41</v>
      </c>
      <c r="H201" s="12" t="n">
        <v>16267.256</v>
      </c>
      <c r="I201" s="12" t="n">
        <v>4534.78</v>
      </c>
      <c r="J201" s="12" t="n">
        <v>9794.913</v>
      </c>
      <c r="K201" s="12" t="n">
        <v>15236.173</v>
      </c>
      <c r="L201" s="12" t="n">
        <v>19528.007</v>
      </c>
      <c r="M201" s="12" t="n">
        <v>9971.933999999999</v>
      </c>
      <c r="N201" s="12" t="n">
        <v>16938.901</v>
      </c>
      <c r="O201" s="12" t="n">
        <v>9989.044</v>
      </c>
      <c r="P201" s="12" t="n">
        <v>9407.361999999999</v>
      </c>
      <c r="Q201" s="12" t="n">
        <v>9795.57</v>
      </c>
      <c r="R201" s="12" t="n">
        <v>8875.776</v>
      </c>
      <c r="S201" s="12" t="n">
        <v>9729.563</v>
      </c>
      <c r="T201" s="12" t="n">
        <v>15713.912</v>
      </c>
      <c r="U201" s="12" t="n">
        <v>20082.321</v>
      </c>
      <c r="V201" s="12" t="n">
        <v>12006.194</v>
      </c>
      <c r="W201" s="12" t="n">
        <v>16267.256</v>
      </c>
      <c r="X201" s="12" t="n">
        <v>19528.007</v>
      </c>
    </row>
    <row r="202">
      <c r="A202" s="18" t="inlineStr">
        <is>
          <t>감가상각비</t>
        </is>
      </c>
      <c r="C202" s="20" t="n">
        <v>4934.499</v>
      </c>
      <c r="D202" s="20" t="n">
        <v>7160.164</v>
      </c>
      <c r="E202" s="20" t="n">
        <v>1818.803</v>
      </c>
      <c r="F202" s="20" t="n">
        <v>3702.681</v>
      </c>
      <c r="G202" s="20" t="n">
        <v>5654.523</v>
      </c>
      <c r="H202" s="20" t="n">
        <v>8309.317999999999</v>
      </c>
      <c r="I202" s="20" t="n">
        <v>2203.421</v>
      </c>
      <c r="J202" s="20" t="n">
        <v>4581.823</v>
      </c>
      <c r="K202" s="20" t="n">
        <v>7349.352</v>
      </c>
      <c r="L202" s="20" t="n">
        <v>10936.736</v>
      </c>
      <c r="M202" s="20" t="n">
        <v>3025.42</v>
      </c>
      <c r="N202" s="20" t="n">
        <v>6107.471</v>
      </c>
      <c r="O202" s="20" t="n">
        <v>1341.292</v>
      </c>
      <c r="P202" s="20" t="n">
        <v>1613.246</v>
      </c>
      <c r="Q202" s="20" t="n">
        <v>3044.487</v>
      </c>
      <c r="R202" s="20" t="n">
        <v>4532.187</v>
      </c>
      <c r="S202" s="20" t="n">
        <v>5027.035</v>
      </c>
      <c r="T202" s="20" t="n">
        <v>4453.399</v>
      </c>
      <c r="U202" s="20" t="n">
        <v>4337.558</v>
      </c>
      <c r="V202" s="20" t="n">
        <v>7160.164</v>
      </c>
      <c r="W202" s="20" t="n">
        <v>8309.317999999999</v>
      </c>
      <c r="X202" s="20" t="n">
        <v>10936.736</v>
      </c>
    </row>
    <row r="203">
      <c r="A203" s="18" t="inlineStr">
        <is>
          <t>대손충당금 증감</t>
        </is>
      </c>
      <c r="C203" s="20" t="n">
        <v>-3.653</v>
      </c>
      <c r="D203" s="20" t="n">
        <v>-3.121</v>
      </c>
      <c r="E203" s="20" t="n">
        <v>2.144</v>
      </c>
      <c r="F203" s="20" t="n">
        <v>4.002</v>
      </c>
      <c r="G203" s="20" t="n">
        <v>1.047</v>
      </c>
      <c r="H203" s="20" t="n">
        <v>2.074</v>
      </c>
      <c r="I203" s="20" t="n">
        <v>0.111</v>
      </c>
      <c r="J203" s="20" t="n">
        <v>0.641</v>
      </c>
      <c r="K203" s="20" t="n">
        <v>-1.01</v>
      </c>
      <c r="L203" s="20" t="n">
        <v>0.544</v>
      </c>
      <c r="M203" s="20" t="n">
        <v>0.478</v>
      </c>
      <c r="N203" s="20" t="n">
        <v>1.902</v>
      </c>
      <c r="O203" s="20" t="n">
        <v>-0.5</v>
      </c>
      <c r="P203" s="20" t="n">
        <v>0.255</v>
      </c>
      <c r="Q203" s="20" t="n">
        <v>4.109</v>
      </c>
      <c r="R203" s="20" t="n">
        <v>0.6909999999999999</v>
      </c>
      <c r="S203" s="20" t="n">
        <v>0.228</v>
      </c>
      <c r="T203" s="20" t="n">
        <v>3.822</v>
      </c>
      <c r="U203" s="20" t="n">
        <v>-0.671</v>
      </c>
      <c r="V203" s="20" t="n">
        <v>-3.121</v>
      </c>
      <c r="W203" s="20" t="n">
        <v>2.074</v>
      </c>
      <c r="X203" s="20" t="n">
        <v>0.544</v>
      </c>
    </row>
    <row r="204">
      <c r="A204" s="18" t="inlineStr">
        <is>
          <t>상여충당금 증감</t>
        </is>
      </c>
      <c r="C204" s="20" t="n">
        <v>-333.537</v>
      </c>
      <c r="D204" s="20" t="n">
        <v>-120.817</v>
      </c>
      <c r="E204" s="20" t="n">
        <v>-217.964</v>
      </c>
      <c r="F204" s="20" t="n">
        <v>65.492</v>
      </c>
      <c r="G204" s="20" t="n">
        <v>-179.669</v>
      </c>
      <c r="H204" s="20" t="n">
        <v>47.83</v>
      </c>
      <c r="I204" s="20" t="n">
        <v>-239.341</v>
      </c>
      <c r="J204" s="20" t="n">
        <v>71.714</v>
      </c>
      <c r="K204" s="20" t="n">
        <v>-197.748</v>
      </c>
      <c r="L204" s="20" t="n">
        <v>64.68000000000001</v>
      </c>
      <c r="M204" s="20" t="n">
        <v>-264.613</v>
      </c>
      <c r="N204" s="20" t="n">
        <v>113.465</v>
      </c>
      <c r="O204" s="20" t="n">
        <v>125.865</v>
      </c>
      <c r="P204" s="20" t="n">
        <v>25.398</v>
      </c>
      <c r="Q204" s="20" t="n">
        <v>-89.996</v>
      </c>
      <c r="R204" s="20" t="n">
        <v>46.933</v>
      </c>
      <c r="S204" s="20" t="n">
        <v>96.851</v>
      </c>
      <c r="T204" s="20" t="n">
        <v>-20.071</v>
      </c>
      <c r="U204" s="20" t="n">
        <v>61.296</v>
      </c>
      <c r="V204" s="20" t="n">
        <v>-120.817</v>
      </c>
      <c r="W204" s="20" t="n">
        <v>47.83</v>
      </c>
      <c r="X204" s="20" t="n">
        <v>64.68000000000001</v>
      </c>
    </row>
    <row r="205">
      <c r="A205" s="18" t="inlineStr">
        <is>
          <t>임원 상여충당금 증감</t>
        </is>
      </c>
      <c r="C205" s="20" t="n">
        <v>-4.19</v>
      </c>
      <c r="D205" s="20" t="n">
        <v>-36.1</v>
      </c>
      <c r="E205" s="20" t="n">
        <v>-5.87</v>
      </c>
      <c r="F205" s="20" t="n">
        <v>22.31</v>
      </c>
      <c r="G205" s="20" t="n">
        <v>55.26</v>
      </c>
      <c r="H205" s="20" t="n">
        <v>16.65</v>
      </c>
      <c r="I205" s="20" t="n">
        <v>-17.707</v>
      </c>
      <c r="J205" s="20" t="n">
        <v>19.002</v>
      </c>
      <c r="K205" s="20" t="n">
        <v>56.825</v>
      </c>
      <c r="L205" s="20" t="n">
        <v>43.262</v>
      </c>
      <c r="M205" s="20" t="n">
        <v>-55.364</v>
      </c>
      <c r="N205" s="20" t="n">
        <v>-19.735</v>
      </c>
      <c r="O205" s="20" t="n">
        <v>-95.09999999999999</v>
      </c>
      <c r="P205" s="20" t="n">
        <v>-65.3</v>
      </c>
      <c r="Q205" s="20" t="n">
        <v>63.4</v>
      </c>
      <c r="R205" s="20" t="n">
        <v>15.44</v>
      </c>
      <c r="S205" s="20" t="n">
        <v>-29.08</v>
      </c>
      <c r="T205" s="20" t="n">
        <v>11.24</v>
      </c>
      <c r="U205" s="20" t="n">
        <v>6.2</v>
      </c>
      <c r="V205" s="20" t="n">
        <v>-36.1</v>
      </c>
      <c r="W205" s="20" t="n">
        <v>16.65</v>
      </c>
      <c r="X205" s="20" t="n">
        <v>43.262</v>
      </c>
    </row>
    <row r="206">
      <c r="A206" s="18" t="inlineStr">
        <is>
          <t>퇴직급여부채 증감</t>
        </is>
      </c>
      <c r="C206" s="20" t="n">
        <v>74.211</v>
      </c>
      <c r="D206" s="20" t="n">
        <v>-1.837</v>
      </c>
      <c r="E206" s="20" t="n">
        <v>10.597</v>
      </c>
      <c r="F206" s="20" t="n">
        <v>24.759</v>
      </c>
      <c r="G206" s="20" t="n">
        <v>30.01</v>
      </c>
      <c r="H206" s="20" t="n">
        <v>-304.803</v>
      </c>
      <c r="I206" s="20" t="n">
        <v>14.843</v>
      </c>
      <c r="J206" s="20" t="n">
        <v>-5.974</v>
      </c>
      <c r="K206" s="20" t="n">
        <v>2.577</v>
      </c>
      <c r="L206" s="20" t="n">
        <v>-44.767</v>
      </c>
      <c r="M206" s="20" t="n">
        <v>14.165</v>
      </c>
      <c r="N206" s="20" t="n">
        <v>36.514</v>
      </c>
      <c r="O206" s="20" t="n">
        <v>33.626</v>
      </c>
      <c r="P206" s="20" t="n">
        <v>24.114</v>
      </c>
      <c r="Q206" s="20" t="n">
        <v>18.285</v>
      </c>
      <c r="R206" s="20" t="n">
        <v>-17.672</v>
      </c>
      <c r="S206" s="20" t="n">
        <v>-140.105</v>
      </c>
      <c r="T206" s="20" t="n">
        <v>15.222</v>
      </c>
      <c r="U206" s="20" t="n">
        <v>87.42400000000001</v>
      </c>
      <c r="V206" s="20" t="n">
        <v>-1.837</v>
      </c>
      <c r="W206" s="20" t="n">
        <v>-304.803</v>
      </c>
      <c r="X206" s="20" t="n">
        <v>-44.767</v>
      </c>
    </row>
    <row r="207">
      <c r="A207" s="18" t="inlineStr">
        <is>
          <t>수선충당금 증감액</t>
        </is>
      </c>
      <c r="C207" s="20" t="n">
        <v>-104.406</v>
      </c>
      <c r="D207" s="20" t="n">
        <v>18.053</v>
      </c>
      <c r="E207" s="20" t="n">
        <v>-114.505</v>
      </c>
      <c r="F207" s="20" t="n">
        <v>-209.103</v>
      </c>
      <c r="G207" s="20" t="n">
        <v>-98.34399999999999</v>
      </c>
      <c r="H207" s="20" t="n">
        <v>77.55500000000001</v>
      </c>
      <c r="I207" s="20" t="n">
        <v>-95.255</v>
      </c>
      <c r="J207" s="20" t="n">
        <v>-263.379</v>
      </c>
      <c r="K207" s="20" t="n">
        <v>-69.50700000000001</v>
      </c>
      <c r="L207" s="20" t="n">
        <v>55.162</v>
      </c>
      <c r="M207" s="20" t="n">
        <v>-58.571</v>
      </c>
      <c r="N207" s="20" t="n">
        <v>-309.306</v>
      </c>
      <c r="O207" s="20" t="n">
        <v>0</v>
      </c>
      <c r="P207" s="20" t="n">
        <v>171.304</v>
      </c>
      <c r="Q207" s="20" t="n">
        <v>97.545</v>
      </c>
      <c r="R207" s="20" t="n">
        <v>11.701</v>
      </c>
      <c r="S207" s="20" t="n">
        <v>47.314</v>
      </c>
      <c r="T207" s="20" t="n">
        <v>45.649</v>
      </c>
      <c r="U207" s="20" t="n">
        <v>-17.49</v>
      </c>
      <c r="V207" s="20" t="n">
        <v>18.053</v>
      </c>
      <c r="W207" s="20" t="n">
        <v>77.55500000000001</v>
      </c>
      <c r="X207" s="20" t="n">
        <v>55.162</v>
      </c>
    </row>
    <row r="208">
      <c r="A208" s="18" t="inlineStr">
        <is>
          <t>Increase Decrease In Provision For Directors Retirement Benefits Ope CF</t>
        </is>
      </c>
      <c r="O208" s="20" t="n">
        <v>0</v>
      </c>
      <c r="P208" s="20" t="n">
        <v>936.45</v>
      </c>
      <c r="Q208" s="20" t="n">
        <v>-936.45</v>
      </c>
      <c r="R208" s="20" t="n">
        <v>0</v>
      </c>
    </row>
    <row r="209">
      <c r="A209" s="18" t="inlineStr">
        <is>
          <t>이자·배당금 수익</t>
        </is>
      </c>
      <c r="C209" s="20" t="n">
        <v>-198.181</v>
      </c>
      <c r="D209" s="20" t="n">
        <v>-258.815</v>
      </c>
      <c r="E209" s="20" t="n">
        <v>-79.59999999999999</v>
      </c>
      <c r="F209" s="20" t="n">
        <v>-163.222</v>
      </c>
      <c r="G209" s="20" t="n">
        <v>-260.824</v>
      </c>
      <c r="H209" s="20" t="n">
        <v>-352.71</v>
      </c>
      <c r="I209" s="20" t="n">
        <v>-111.856</v>
      </c>
      <c r="J209" s="20" t="n">
        <v>-215.453</v>
      </c>
      <c r="K209" s="20" t="n">
        <v>-326.537</v>
      </c>
      <c r="L209" s="20" t="n">
        <v>-443.705</v>
      </c>
      <c r="M209" s="20" t="n">
        <v>-136.659</v>
      </c>
      <c r="N209" s="20" t="n">
        <v>-282.864</v>
      </c>
      <c r="O209" s="20" t="n">
        <v>-47.592</v>
      </c>
      <c r="P209" s="20" t="n">
        <v>-85.488</v>
      </c>
      <c r="Q209" s="20" t="n">
        <v>-90.206</v>
      </c>
      <c r="R209" s="20" t="n">
        <v>-99.631</v>
      </c>
      <c r="S209" s="20" t="n">
        <v>-45.804</v>
      </c>
      <c r="T209" s="20" t="n">
        <v>-47.769</v>
      </c>
      <c r="U209" s="20" t="n">
        <v>-160.358</v>
      </c>
      <c r="V209" s="20" t="n">
        <v>-258.815</v>
      </c>
      <c r="W209" s="20" t="n">
        <v>-352.71</v>
      </c>
      <c r="X209" s="20" t="n">
        <v>-443.705</v>
      </c>
    </row>
    <row r="210">
      <c r="A210" s="18" t="inlineStr">
        <is>
          <t>이자비용</t>
        </is>
      </c>
      <c r="C210" s="20" t="n">
        <v>88.88800000000001</v>
      </c>
      <c r="D210" s="20" t="n">
        <v>121.678</v>
      </c>
      <c r="E210" s="20" t="n">
        <v>32.789</v>
      </c>
      <c r="F210" s="20" t="n">
        <v>65.94</v>
      </c>
      <c r="G210" s="20" t="n">
        <v>99.09</v>
      </c>
      <c r="H210" s="20" t="n">
        <v>131.519</v>
      </c>
      <c r="I210" s="20" t="n">
        <v>32.789</v>
      </c>
      <c r="J210" s="20" t="n">
        <v>64.782</v>
      </c>
      <c r="K210" s="20" t="n">
        <v>95.117</v>
      </c>
      <c r="L210" s="20" t="n">
        <v>123.223</v>
      </c>
      <c r="M210" s="20" t="n">
        <v>26.715</v>
      </c>
      <c r="N210" s="20" t="n">
        <v>52.077</v>
      </c>
      <c r="U210" s="20" t="n">
        <v>0</v>
      </c>
      <c r="V210" s="20" t="n">
        <v>121.678</v>
      </c>
      <c r="W210" s="20" t="n">
        <v>131.519</v>
      </c>
      <c r="X210" s="20" t="n">
        <v>123.223</v>
      </c>
    </row>
    <row r="211">
      <c r="A211" s="18" t="inlineStr">
        <is>
          <t>외환차손익</t>
        </is>
      </c>
      <c r="C211" s="20" t="n">
        <v>-347.93</v>
      </c>
      <c r="D211" s="20" t="n">
        <v>-555.299</v>
      </c>
      <c r="E211" s="20" t="n">
        <v>-270.745</v>
      </c>
      <c r="F211" s="20" t="n">
        <v>179.617</v>
      </c>
      <c r="G211" s="20" t="n">
        <v>-241.556</v>
      </c>
      <c r="H211" s="20" t="n">
        <v>-31.943</v>
      </c>
      <c r="I211" s="20" t="n">
        <v>140.244</v>
      </c>
      <c r="J211" s="20" t="n">
        <v>34.473</v>
      </c>
      <c r="K211" s="20" t="n">
        <v>-156.729</v>
      </c>
      <c r="L211" s="20" t="n">
        <v>-258.895</v>
      </c>
      <c r="M211" s="20" t="n">
        <v>-15.358</v>
      </c>
      <c r="N211" s="20" t="n">
        <v>116.542</v>
      </c>
      <c r="O211" s="20" t="n">
        <v>-13.591</v>
      </c>
      <c r="P211" s="20" t="n">
        <v>226.031</v>
      </c>
      <c r="Q211" s="20" t="n">
        <v>-163.671</v>
      </c>
      <c r="R211" s="20" t="n">
        <v>36.456</v>
      </c>
      <c r="S211" s="20" t="n">
        <v>-51.553</v>
      </c>
      <c r="T211" s="20" t="n">
        <v>-363.397</v>
      </c>
      <c r="U211" s="20" t="n">
        <v>-392.579</v>
      </c>
      <c r="V211" s="20" t="n">
        <v>-555.299</v>
      </c>
      <c r="W211" s="20" t="n">
        <v>-31.943</v>
      </c>
      <c r="X211" s="20" t="n">
        <v>-258.895</v>
      </c>
    </row>
    <row r="212">
      <c r="A212" s="18" t="inlineStr">
        <is>
          <t>투자사업조합 운용 손익(△는 이익)</t>
        </is>
      </c>
      <c r="C212" s="20" t="n">
        <v>13.284</v>
      </c>
      <c r="D212" s="20" t="n">
        <v>24.369</v>
      </c>
      <c r="E212" s="20" t="n">
        <v>16.116</v>
      </c>
      <c r="F212" s="20" t="n">
        <v>31.096</v>
      </c>
      <c r="G212" s="20" t="n">
        <v>12.557</v>
      </c>
      <c r="H212" s="20" t="n">
        <v>12.73</v>
      </c>
      <c r="I212" s="20" t="n">
        <v>6.718</v>
      </c>
      <c r="J212" s="20" t="n">
        <v>23.695</v>
      </c>
      <c r="K212" s="20" t="n">
        <v>24.007</v>
      </c>
      <c r="L212" s="20" t="n">
        <v>32.747</v>
      </c>
      <c r="M212" s="20" t="n">
        <v>2.606</v>
      </c>
      <c r="N212" s="20" t="n">
        <v>11.259</v>
      </c>
      <c r="R212" s="20" t="n">
        <v>0</v>
      </c>
      <c r="S212" s="20" t="n">
        <v>4.099</v>
      </c>
      <c r="T212" s="20" t="n">
        <v>3.251</v>
      </c>
      <c r="U212" s="20" t="n">
        <v>6.525</v>
      </c>
      <c r="V212" s="20" t="n">
        <v>24.369</v>
      </c>
      <c r="W212" s="20" t="n">
        <v>12.73</v>
      </c>
      <c r="X212" s="20" t="n">
        <v>32.747</v>
      </c>
    </row>
    <row r="213">
      <c r="A213" s="18" t="inlineStr">
        <is>
          <t>보험금 수익</t>
        </is>
      </c>
      <c r="Q213" s="20" t="n">
        <v>0</v>
      </c>
      <c r="R213" s="20" t="n">
        <v>-65.267</v>
      </c>
      <c r="S213" s="20" t="n">
        <v>-0.475</v>
      </c>
      <c r="T213" s="20" t="n">
        <v>0</v>
      </c>
    </row>
    <row r="214">
      <c r="A214" s="18" t="inlineStr">
        <is>
          <t>Loss On Valuation Of Investments In Capital Ope CF</t>
        </is>
      </c>
      <c r="H214" s="20" t="n">
        <v>0</v>
      </c>
      <c r="L214" s="20" t="n">
        <v>18.869</v>
      </c>
      <c r="W214" s="20" t="n">
        <v>0</v>
      </c>
      <c r="X214" s="20" t="n">
        <v>18.869</v>
      </c>
    </row>
    <row r="215">
      <c r="A215" s="18" t="inlineStr">
        <is>
          <t>고정자산 매각손익</t>
        </is>
      </c>
      <c r="C215" s="20" t="n">
        <v>-2.249</v>
      </c>
      <c r="D215" s="20" t="n">
        <v>-2.267</v>
      </c>
      <c r="E215" s="20" t="n">
        <v>-0.001</v>
      </c>
      <c r="F215" s="20" t="n">
        <v>-60.928</v>
      </c>
      <c r="G215" s="20" t="n">
        <v>-52.54</v>
      </c>
      <c r="H215" s="20" t="n">
        <v>-51.435</v>
      </c>
      <c r="I215" s="20" t="n">
        <v>-0.382</v>
      </c>
      <c r="J215" s="20" t="n">
        <v>-2.614</v>
      </c>
      <c r="K215" s="20" t="n">
        <v>-2.626</v>
      </c>
      <c r="L215" s="20" t="n">
        <v>-2.631</v>
      </c>
      <c r="M215" s="20" t="n">
        <v>-0.031</v>
      </c>
      <c r="N215" s="20" t="n">
        <v>-8.226000000000001</v>
      </c>
      <c r="O215" s="20" t="n">
        <v>-1.414</v>
      </c>
      <c r="P215" s="20" t="n">
        <v>-0.37</v>
      </c>
      <c r="Q215" s="20" t="n">
        <v>0</v>
      </c>
      <c r="R215" s="20" t="n">
        <v>-0.039</v>
      </c>
      <c r="S215" s="20" t="n">
        <v>-0.09</v>
      </c>
      <c r="T215" s="20" t="n">
        <v>0.391</v>
      </c>
      <c r="U215" s="20" t="n">
        <v>-0.046</v>
      </c>
      <c r="V215" s="20" t="n">
        <v>-2.267</v>
      </c>
      <c r="W215" s="20" t="n">
        <v>-51.435</v>
      </c>
      <c r="X215" s="20" t="n">
        <v>-2.631</v>
      </c>
    </row>
    <row r="216">
      <c r="A216" s="18" t="inlineStr">
        <is>
          <t>고정자산 제각손실</t>
        </is>
      </c>
      <c r="C216" s="20" t="n">
        <v>67.614</v>
      </c>
      <c r="D216" s="20" t="n">
        <v>69.25700000000001</v>
      </c>
      <c r="E216" s="20" t="n">
        <v>12.232</v>
      </c>
      <c r="F216" s="20" t="n">
        <v>21.405</v>
      </c>
      <c r="G216" s="20" t="n">
        <v>31.879</v>
      </c>
      <c r="H216" s="20" t="n">
        <v>381.505</v>
      </c>
      <c r="I216" s="20" t="n">
        <v>3.871</v>
      </c>
      <c r="J216" s="20" t="n">
        <v>20.925</v>
      </c>
      <c r="K216" s="20" t="n">
        <v>31.038</v>
      </c>
      <c r="L216" s="20" t="n">
        <v>217.725</v>
      </c>
      <c r="M216" s="20" t="n">
        <v>95.38500000000001</v>
      </c>
      <c r="N216" s="20" t="n">
        <v>131.356</v>
      </c>
      <c r="O216" s="20" t="n">
        <v>6.174</v>
      </c>
      <c r="P216" s="20" t="n">
        <v>24.138</v>
      </c>
      <c r="Q216" s="20" t="n">
        <v>56.63</v>
      </c>
      <c r="R216" s="20" t="n">
        <v>154.698</v>
      </c>
      <c r="S216" s="20" t="n">
        <v>30.166</v>
      </c>
      <c r="T216" s="20" t="n">
        <v>21.654</v>
      </c>
      <c r="U216" s="20" t="n">
        <v>29.142</v>
      </c>
      <c r="V216" s="20" t="n">
        <v>69.25700000000001</v>
      </c>
      <c r="W216" s="20" t="n">
        <v>381.505</v>
      </c>
      <c r="X216" s="20" t="n">
        <v>217.725</v>
      </c>
    </row>
    <row r="217">
      <c r="A217" s="18" t="inlineStr">
        <is>
          <t>손상차손</t>
        </is>
      </c>
      <c r="D217" s="20" t="n">
        <v>0</v>
      </c>
      <c r="H217" s="20" t="n">
        <v>0</v>
      </c>
      <c r="L217" s="20" t="n">
        <v>1.903</v>
      </c>
      <c r="O217" s="20" t="n">
        <v>44.874</v>
      </c>
      <c r="P217" s="20" t="n">
        <v>0</v>
      </c>
      <c r="Q217" s="20" t="n">
        <v>31.56</v>
      </c>
      <c r="R217" s="20" t="n">
        <v>0</v>
      </c>
      <c r="T217" s="20" t="n">
        <v>0</v>
      </c>
      <c r="U217" s="20" t="n">
        <v>17.315</v>
      </c>
      <c r="V217" s="20" t="n">
        <v>0</v>
      </c>
      <c r="W217" s="20" t="n">
        <v>0</v>
      </c>
      <c r="X217" s="20" t="n">
        <v>1.903</v>
      </c>
    </row>
    <row r="218">
      <c r="A218" s="18" t="inlineStr">
        <is>
          <t>투자유가증권 매각손익</t>
        </is>
      </c>
      <c r="C218" s="20" t="n">
        <v>-12.1</v>
      </c>
      <c r="D218" s="20" t="n">
        <v>-12.1</v>
      </c>
      <c r="E218" s="20" t="n">
        <v>0</v>
      </c>
      <c r="F218" s="20" t="n">
        <v>0</v>
      </c>
      <c r="G218" s="20" t="n">
        <v>0</v>
      </c>
      <c r="H218" s="20" t="n">
        <v>0</v>
      </c>
      <c r="K218" s="20" t="n">
        <v>-184.801</v>
      </c>
      <c r="L218" s="20" t="n">
        <v>-184.916</v>
      </c>
      <c r="O218" s="20" t="n">
        <v>0</v>
      </c>
      <c r="P218" s="20" t="n">
        <v>0</v>
      </c>
      <c r="Q218" s="20" t="n">
        <v>-4.784</v>
      </c>
      <c r="R218" s="20" t="n">
        <v>0</v>
      </c>
      <c r="S218" s="20" t="n">
        <v>0</v>
      </c>
      <c r="T218" s="20" t="n">
        <v>-226.065</v>
      </c>
      <c r="U218" s="20" t="n">
        <v>-384.435</v>
      </c>
      <c r="V218" s="20" t="n">
        <v>-12.1</v>
      </c>
      <c r="W218" s="20" t="n">
        <v>0</v>
      </c>
      <c r="X218" s="20" t="n">
        <v>-184.916</v>
      </c>
    </row>
    <row r="219">
      <c r="A219" s="18" t="inlineStr">
        <is>
          <t>투자유가증권 평가손실</t>
        </is>
      </c>
      <c r="P219" s="20" t="n">
        <v>0</v>
      </c>
      <c r="Q219" s="20" t="n">
        <v>5.294</v>
      </c>
      <c r="R219" s="20" t="n">
        <v>2.95</v>
      </c>
      <c r="S219" s="20" t="n">
        <v>0</v>
      </c>
    </row>
    <row r="220">
      <c r="A220" s="18" t="inlineStr">
        <is>
          <t>관계회사 주식 매각이익</t>
        </is>
      </c>
      <c r="P220" s="20" t="n">
        <v>0</v>
      </c>
      <c r="Q220" s="20" t="n">
        <v>-9.224</v>
      </c>
      <c r="R220" s="20" t="n">
        <v>0</v>
      </c>
    </row>
    <row r="221">
      <c r="A221" s="18" t="inlineStr">
        <is>
          <t>Loss Gain On Sales Of Membership Ope CF</t>
        </is>
      </c>
      <c r="S221" s="20" t="n">
        <v>0</v>
      </c>
      <c r="T221" s="20" t="n">
        <v>-0.272</v>
      </c>
      <c r="U221" s="20" t="n">
        <v>0</v>
      </c>
    </row>
    <row r="222">
      <c r="A222" s="18" t="inlineStr">
        <is>
          <t>보조금 수입</t>
        </is>
      </c>
      <c r="C222" s="20" t="n">
        <v>-36.563</v>
      </c>
      <c r="D222" s="20" t="n">
        <v>-36.856</v>
      </c>
      <c r="E222" s="20" t="n">
        <v>-20.257</v>
      </c>
      <c r="F222" s="20" t="n">
        <v>-20.257</v>
      </c>
      <c r="G222" s="20" t="n">
        <v>-20.257</v>
      </c>
      <c r="H222" s="20" t="n">
        <v>-35.432</v>
      </c>
      <c r="I222" s="20" t="n">
        <v>-5.588</v>
      </c>
      <c r="J222" s="20" t="n">
        <v>-5.588</v>
      </c>
      <c r="K222" s="20" t="n">
        <v>-5.588</v>
      </c>
      <c r="L222" s="20" t="n">
        <v>-5.588</v>
      </c>
      <c r="M222" s="20" t="n">
        <v>-3703.829</v>
      </c>
      <c r="N222" s="20" t="n">
        <v>-3704.761</v>
      </c>
      <c r="Q222" s="20" t="n">
        <v>0</v>
      </c>
      <c r="R222" s="20" t="n">
        <v>-13.637</v>
      </c>
      <c r="S222" s="20" t="n">
        <v>-12.715</v>
      </c>
      <c r="T222" s="20" t="n">
        <v>0</v>
      </c>
      <c r="U222" s="20" t="n">
        <v>-4.2</v>
      </c>
      <c r="V222" s="20" t="n">
        <v>-36.856</v>
      </c>
      <c r="W222" s="20" t="n">
        <v>-35.432</v>
      </c>
      <c r="X222" s="20" t="n">
        <v>-5.588</v>
      </c>
    </row>
    <row r="223">
      <c r="A223" s="18" t="inlineStr">
        <is>
          <t>이전 보상금</t>
        </is>
      </c>
      <c r="D223" s="20" t="n">
        <v>-141.144</v>
      </c>
      <c r="H223" s="20" t="n">
        <v>0</v>
      </c>
      <c r="U223" s="20" t="n">
        <v>0</v>
      </c>
      <c r="V223" s="20" t="n">
        <v>-141.144</v>
      </c>
      <c r="W223" s="20" t="n">
        <v>0</v>
      </c>
    </row>
    <row r="224">
      <c r="A224" s="18" t="inlineStr">
        <is>
          <t>매출채권 증감</t>
        </is>
      </c>
      <c r="C224" s="20" t="n">
        <v>-756.511</v>
      </c>
      <c r="D224" s="20" t="n">
        <v>-1208.319</v>
      </c>
      <c r="E224" s="20" t="n">
        <v>-429.525</v>
      </c>
      <c r="F224" s="20" t="n">
        <v>224.616</v>
      </c>
      <c r="G224" s="20" t="n">
        <v>-1654.953</v>
      </c>
      <c r="H224" s="20" t="n">
        <v>390.274</v>
      </c>
      <c r="I224" s="20" t="n">
        <v>-977.932</v>
      </c>
      <c r="J224" s="20" t="n">
        <v>-1229.814</v>
      </c>
      <c r="K224" s="20" t="n">
        <v>-2090.321</v>
      </c>
      <c r="L224" s="20" t="n">
        <v>-282.765</v>
      </c>
      <c r="M224" s="20" t="n">
        <v>-2919.698</v>
      </c>
      <c r="N224" s="20" t="n">
        <v>-3129.486</v>
      </c>
      <c r="O224" s="20" t="n">
        <v>-363.312</v>
      </c>
      <c r="P224" s="20" t="n">
        <v>-1543.916</v>
      </c>
      <c r="Q224" s="20" t="n">
        <v>392.871</v>
      </c>
      <c r="R224" s="20" t="n">
        <v>521.451</v>
      </c>
      <c r="S224" s="20" t="n">
        <v>-154.518</v>
      </c>
      <c r="T224" s="20" t="n">
        <v>-4125.619</v>
      </c>
      <c r="U224" s="20" t="n">
        <v>81.426</v>
      </c>
      <c r="V224" s="20" t="n">
        <v>-1208.319</v>
      </c>
      <c r="W224" s="20" t="n">
        <v>390.274</v>
      </c>
      <c r="X224" s="20" t="n">
        <v>-282.765</v>
      </c>
    </row>
    <row r="225">
      <c r="A225" s="18" t="inlineStr">
        <is>
          <t>재고자산 증감</t>
        </is>
      </c>
      <c r="C225" s="20" t="n">
        <v>-1956.142</v>
      </c>
      <c r="D225" s="20" t="n">
        <v>-1039.706</v>
      </c>
      <c r="E225" s="20" t="n">
        <v>1773.825</v>
      </c>
      <c r="F225" s="20" t="n">
        <v>937.54</v>
      </c>
      <c r="G225" s="20" t="n">
        <v>-19.737</v>
      </c>
      <c r="H225" s="20" t="n">
        <v>-730.6130000000001</v>
      </c>
      <c r="I225" s="20" t="n">
        <v>113.74</v>
      </c>
      <c r="J225" s="20" t="n">
        <v>-297.105</v>
      </c>
      <c r="K225" s="20" t="n">
        <v>590.546</v>
      </c>
      <c r="L225" s="20" t="n">
        <v>70.64400000000001</v>
      </c>
      <c r="M225" s="20" t="n">
        <v>245.796</v>
      </c>
      <c r="N225" s="20" t="n">
        <v>-1643.957</v>
      </c>
      <c r="O225" s="20" t="n">
        <v>48.451</v>
      </c>
      <c r="P225" s="20" t="n">
        <v>-1893.681</v>
      </c>
      <c r="Q225" s="20" t="n">
        <v>-54.847</v>
      </c>
      <c r="R225" s="20" t="n">
        <v>-172.953</v>
      </c>
      <c r="S225" s="20" t="n">
        <v>-271.816</v>
      </c>
      <c r="T225" s="20" t="n">
        <v>-2976.352</v>
      </c>
      <c r="U225" s="20" t="n">
        <v>-3977.2</v>
      </c>
      <c r="V225" s="20" t="n">
        <v>-1039.706</v>
      </c>
      <c r="W225" s="20" t="n">
        <v>-730.6130000000001</v>
      </c>
      <c r="X225" s="20" t="n">
        <v>70.64400000000001</v>
      </c>
    </row>
    <row r="226">
      <c r="A226" s="18" t="inlineStr">
        <is>
          <t>매입채무 증감</t>
        </is>
      </c>
      <c r="C226" s="20" t="n">
        <v>-798.782</v>
      </c>
      <c r="D226" s="20" t="n">
        <v>-1034.677</v>
      </c>
      <c r="E226" s="20" t="n">
        <v>790.575</v>
      </c>
      <c r="F226" s="20" t="n">
        <v>894.077</v>
      </c>
      <c r="G226" s="20" t="n">
        <v>857.991</v>
      </c>
      <c r="H226" s="20" t="n">
        <v>709.539</v>
      </c>
      <c r="I226" s="20" t="n">
        <v>-90.60899999999999</v>
      </c>
      <c r="J226" s="20" t="n">
        <v>-117.376</v>
      </c>
      <c r="K226" s="20" t="n">
        <v>-499.699</v>
      </c>
      <c r="L226" s="20" t="n">
        <v>-314.832</v>
      </c>
      <c r="M226" s="20" t="n">
        <v>444.648</v>
      </c>
      <c r="N226" s="20" t="n">
        <v>827.615</v>
      </c>
      <c r="O226" s="20" t="n">
        <v>805.766</v>
      </c>
      <c r="P226" s="20" t="n">
        <v>-399.471</v>
      </c>
      <c r="Q226" s="20" t="n">
        <v>-567.915</v>
      </c>
      <c r="R226" s="20" t="n">
        <v>214.905</v>
      </c>
      <c r="S226" s="20" t="n">
        <v>-82.539</v>
      </c>
      <c r="T226" s="20" t="n">
        <v>907.943</v>
      </c>
      <c r="U226" s="20" t="n">
        <v>217.416</v>
      </c>
      <c r="V226" s="20" t="n">
        <v>-1034.677</v>
      </c>
      <c r="W226" s="20" t="n">
        <v>709.539</v>
      </c>
      <c r="X226" s="20" t="n">
        <v>-314.832</v>
      </c>
    </row>
    <row r="227">
      <c r="A227" s="18" t="inlineStr">
        <is>
          <t>미지급금 증감</t>
        </is>
      </c>
      <c r="C227" s="20" t="n">
        <v>-400.869</v>
      </c>
      <c r="D227" s="20" t="n">
        <v>-76.223</v>
      </c>
      <c r="E227" s="20" t="n">
        <v>557.6950000000001</v>
      </c>
      <c r="F227" s="20" t="n">
        <v>386.229</v>
      </c>
      <c r="G227" s="20" t="n">
        <v>119.629</v>
      </c>
      <c r="H227" s="20" t="n">
        <v>615.744</v>
      </c>
      <c r="I227" s="20" t="n">
        <v>118.735</v>
      </c>
      <c r="J227" s="20" t="n">
        <v>50.96</v>
      </c>
      <c r="K227" s="20" t="n">
        <v>-411.08</v>
      </c>
      <c r="L227" s="20" t="n">
        <v>21.9</v>
      </c>
      <c r="M227" s="20" t="n">
        <v>472.816</v>
      </c>
      <c r="N227" s="20" t="n">
        <v>28.302</v>
      </c>
      <c r="O227" s="20" t="n">
        <v>257.464</v>
      </c>
      <c r="P227" s="20" t="n">
        <v>-146.387</v>
      </c>
      <c r="Q227" s="20" t="n">
        <v>129.528</v>
      </c>
      <c r="R227" s="20" t="n">
        <v>-47.757</v>
      </c>
      <c r="S227" s="20" t="n">
        <v>212.662</v>
      </c>
      <c r="T227" s="20" t="n">
        <v>400.244</v>
      </c>
      <c r="U227" s="20" t="n">
        <v>83.736</v>
      </c>
      <c r="V227" s="20" t="n">
        <v>-76.223</v>
      </c>
      <c r="W227" s="20" t="n">
        <v>615.744</v>
      </c>
      <c r="X227" s="20" t="n">
        <v>21.9</v>
      </c>
    </row>
    <row r="228">
      <c r="A228" s="18" t="inlineStr">
        <is>
          <t>미수 소비세 증감</t>
        </is>
      </c>
      <c r="H228" s="20" t="n">
        <v>1055.399</v>
      </c>
      <c r="L228" s="20" t="n">
        <v>-596.115</v>
      </c>
      <c r="W228" s="20" t="n">
        <v>1055.399</v>
      </c>
      <c r="X228" s="20" t="n">
        <v>-596.115</v>
      </c>
    </row>
    <row r="229">
      <c r="A229" s="18" t="inlineStr">
        <is>
          <t>기타</t>
        </is>
      </c>
      <c r="C229" s="20" t="n">
        <v>-1734.025</v>
      </c>
      <c r="D229" s="20" t="n">
        <v>-1649.22</v>
      </c>
      <c r="E229" s="20" t="n">
        <v>-204.677</v>
      </c>
      <c r="F229" s="20" t="n">
        <v>1677.435</v>
      </c>
      <c r="G229" s="20" t="n">
        <v>1884.294</v>
      </c>
      <c r="H229" s="20" t="n">
        <v>-301.973</v>
      </c>
      <c r="I229" s="20" t="n">
        <v>261.948</v>
      </c>
      <c r="J229" s="20" t="n">
        <v>908.819</v>
      </c>
      <c r="K229" s="20" t="n">
        <v>-647.302</v>
      </c>
      <c r="L229" s="20" t="n">
        <v>-339.335</v>
      </c>
      <c r="M229" s="20" t="n">
        <v>439.105</v>
      </c>
      <c r="N229" s="20" t="n">
        <v>2113.139</v>
      </c>
      <c r="O229" s="20" t="n">
        <v>-63.258</v>
      </c>
      <c r="P229" s="20" t="n">
        <v>-296.971</v>
      </c>
      <c r="Q229" s="20" t="n">
        <v>-336.516</v>
      </c>
      <c r="R229" s="20" t="n">
        <v>161.284</v>
      </c>
      <c r="S229" s="20" t="n">
        <v>504.537</v>
      </c>
      <c r="T229" s="20" t="n">
        <v>-631.033</v>
      </c>
      <c r="U229" s="20" t="n">
        <v>-235.406</v>
      </c>
      <c r="V229" s="20" t="n">
        <v>-1649.22</v>
      </c>
      <c r="W229" s="20" t="n">
        <v>-301.973</v>
      </c>
      <c r="X229" s="20" t="n">
        <v>-339.335</v>
      </c>
    </row>
    <row r="230">
      <c r="A230" s="18" t="inlineStr">
        <is>
          <t>소계</t>
        </is>
      </c>
      <c r="C230" s="20" t="n">
        <v>7171.596</v>
      </c>
      <c r="D230" s="20" t="n">
        <v>13223.209</v>
      </c>
      <c r="E230" s="20" t="n">
        <v>7970.339</v>
      </c>
      <c r="F230" s="20" t="n">
        <v>15792.426</v>
      </c>
      <c r="G230" s="20" t="n">
        <v>19415.811</v>
      </c>
      <c r="H230" s="20" t="n">
        <v>26208.487</v>
      </c>
      <c r="I230" s="20" t="n">
        <v>5892.534</v>
      </c>
      <c r="J230" s="20" t="n">
        <v>13434.445</v>
      </c>
      <c r="K230" s="20" t="n">
        <v>18792.683</v>
      </c>
      <c r="L230" s="20" t="n">
        <v>28641.854</v>
      </c>
      <c r="M230" s="20" t="n">
        <v>7584.946</v>
      </c>
      <c r="N230" s="20" t="n">
        <v>17380.213</v>
      </c>
      <c r="O230" s="20" t="n">
        <v>12067.79</v>
      </c>
      <c r="P230" s="20" t="n">
        <v>7996.714</v>
      </c>
      <c r="Q230" s="20" t="n">
        <v>11385.67</v>
      </c>
      <c r="R230" s="20" t="n">
        <v>14157.517</v>
      </c>
      <c r="S230" s="20" t="n">
        <v>14863.76</v>
      </c>
      <c r="T230" s="20" t="n">
        <v>13186.148</v>
      </c>
      <c r="U230" s="20" t="n">
        <v>19837.973</v>
      </c>
      <c r="V230" s="20" t="n">
        <v>13223.209</v>
      </c>
      <c r="W230" s="20" t="n">
        <v>26208.487</v>
      </c>
      <c r="X230" s="20" t="n">
        <v>28641.854</v>
      </c>
    </row>
    <row r="231">
      <c r="A231" s="18" t="inlineStr">
        <is>
          <t>이자·배당금 수취</t>
        </is>
      </c>
      <c r="C231" s="20" t="n">
        <v>197.172</v>
      </c>
      <c r="D231" s="20" t="n">
        <v>245.043</v>
      </c>
      <c r="E231" s="20" t="n">
        <v>80.502</v>
      </c>
      <c r="F231" s="20" t="n">
        <v>152.743</v>
      </c>
      <c r="G231" s="20" t="n">
        <v>263.071</v>
      </c>
      <c r="H231" s="20" t="n">
        <v>345.27</v>
      </c>
      <c r="I231" s="20" t="n">
        <v>116.354</v>
      </c>
      <c r="J231" s="20" t="n">
        <v>210.28</v>
      </c>
      <c r="K231" s="20" t="n">
        <v>333.086</v>
      </c>
      <c r="L231" s="20" t="n">
        <v>440.825</v>
      </c>
      <c r="M231" s="20" t="n">
        <v>131.526</v>
      </c>
      <c r="N231" s="20" t="n">
        <v>241.248</v>
      </c>
      <c r="O231" s="20" t="n">
        <v>44.321</v>
      </c>
      <c r="P231" s="20" t="n">
        <v>78.629</v>
      </c>
      <c r="Q231" s="20" t="n">
        <v>79.596</v>
      </c>
      <c r="R231" s="20" t="n">
        <v>97.206</v>
      </c>
      <c r="S231" s="20" t="n">
        <v>51.76</v>
      </c>
      <c r="T231" s="20" t="n">
        <v>48.038</v>
      </c>
      <c r="U231" s="20" t="n">
        <v>148.273</v>
      </c>
      <c r="V231" s="20" t="n">
        <v>245.043</v>
      </c>
      <c r="W231" s="20" t="n">
        <v>345.27</v>
      </c>
      <c r="X231" s="20" t="n">
        <v>440.825</v>
      </c>
    </row>
    <row r="232">
      <c r="A232" s="18" t="inlineStr">
        <is>
          <t>보험금 수취</t>
        </is>
      </c>
      <c r="Q232" s="20" t="n">
        <v>0</v>
      </c>
      <c r="R232" s="20" t="n">
        <v>65.267</v>
      </c>
      <c r="S232" s="20" t="n">
        <v>0.475</v>
      </c>
      <c r="T232" s="20" t="n">
        <v>0</v>
      </c>
    </row>
    <row r="233">
      <c r="A233" s="18" t="inlineStr">
        <is>
          <t>이자 지급</t>
        </is>
      </c>
      <c r="C233" s="20" t="n">
        <v>-70.79900000000001</v>
      </c>
      <c r="D233" s="20" t="n">
        <v>-103.916</v>
      </c>
      <c r="E233" s="20" t="n">
        <v>-32.462</v>
      </c>
      <c r="F233" s="20" t="n">
        <v>-69.02500000000001</v>
      </c>
      <c r="G233" s="20" t="n">
        <v>-98.68600000000001</v>
      </c>
      <c r="H233" s="20" t="n">
        <v>-135.087</v>
      </c>
      <c r="I233" s="20" t="n">
        <v>-32.307</v>
      </c>
      <c r="J233" s="20" t="n">
        <v>-65.03400000000001</v>
      </c>
      <c r="K233" s="20" t="n">
        <v>-93.06</v>
      </c>
      <c r="L233" s="20" t="n">
        <v>-125.808</v>
      </c>
      <c r="M233" s="20" t="n">
        <v>-26.583</v>
      </c>
      <c r="N233" s="20" t="n">
        <v>-52.761</v>
      </c>
      <c r="U233" s="20" t="n">
        <v>0</v>
      </c>
      <c r="V233" s="20" t="n">
        <v>-103.916</v>
      </c>
      <c r="W233" s="20" t="n">
        <v>-135.087</v>
      </c>
      <c r="X233" s="20" t="n">
        <v>-125.808</v>
      </c>
    </row>
    <row r="234">
      <c r="A234" s="18" t="inlineStr">
        <is>
          <t>보조금 수취</t>
        </is>
      </c>
      <c r="C234" s="20" t="n">
        <v>36.563</v>
      </c>
      <c r="D234" s="20" t="n">
        <v>36.856</v>
      </c>
      <c r="E234" s="20" t="n">
        <v>20.257</v>
      </c>
      <c r="F234" s="20" t="n">
        <v>20.257</v>
      </c>
      <c r="G234" s="20" t="n">
        <v>20.257</v>
      </c>
      <c r="H234" s="20" t="n">
        <v>35.432</v>
      </c>
      <c r="I234" s="20" t="n">
        <v>5.588</v>
      </c>
      <c r="J234" s="20" t="n">
        <v>5.588</v>
      </c>
      <c r="K234" s="20" t="n">
        <v>5.588</v>
      </c>
      <c r="L234" s="20" t="n">
        <v>5.588</v>
      </c>
      <c r="M234" s="20" t="n">
        <v>8.896000000000001</v>
      </c>
      <c r="N234" s="20" t="n">
        <v>3704.761</v>
      </c>
      <c r="Q234" s="20" t="n">
        <v>0</v>
      </c>
      <c r="R234" s="20" t="n">
        <v>13.637</v>
      </c>
      <c r="S234" s="20" t="n">
        <v>12.715</v>
      </c>
      <c r="T234" s="20" t="n">
        <v>0</v>
      </c>
      <c r="U234" s="20" t="n">
        <v>4.2</v>
      </c>
      <c r="V234" s="20" t="n">
        <v>36.856</v>
      </c>
      <c r="W234" s="20" t="n">
        <v>35.432</v>
      </c>
      <c r="X234" s="20" t="n">
        <v>5.588</v>
      </c>
    </row>
    <row r="235">
      <c r="A235" s="18" t="inlineStr">
        <is>
          <t>법인세 납부</t>
        </is>
      </c>
      <c r="O235" s="20" t="n">
        <v>-2698.597</v>
      </c>
      <c r="P235" s="20" t="n">
        <v>-3229.744</v>
      </c>
      <c r="Q235" s="20" t="n">
        <v>-3316.773</v>
      </c>
      <c r="R235" s="20" t="n">
        <v>-2396.721</v>
      </c>
      <c r="S235" s="20" t="n">
        <v>-2108.16</v>
      </c>
      <c r="T235" s="20" t="n">
        <v>-3035.124</v>
      </c>
      <c r="U235" s="20" t="n">
        <v>-6064.462</v>
      </c>
    </row>
    <row r="236">
      <c r="A236" s="18" t="inlineStr">
        <is>
          <t>이전 보상금 수취</t>
        </is>
      </c>
      <c r="D236" s="20" t="n">
        <v>141.144</v>
      </c>
      <c r="H236" s="20" t="n">
        <v>0</v>
      </c>
      <c r="U236" s="20" t="n">
        <v>0</v>
      </c>
      <c r="V236" s="20" t="n">
        <v>141.144</v>
      </c>
      <c r="W236" s="20" t="n">
        <v>0</v>
      </c>
    </row>
    <row r="237">
      <c r="A237" s="18" t="inlineStr">
        <is>
          <t>법인세 납부</t>
        </is>
      </c>
      <c r="C237" s="20" t="n">
        <v>-6205.303</v>
      </c>
      <c r="D237" s="20" t="n">
        <v>-6480.957</v>
      </c>
      <c r="E237" s="20" t="n">
        <v>-1207.061</v>
      </c>
      <c r="F237" s="20" t="n">
        <v>-1330.093</v>
      </c>
      <c r="G237" s="20" t="n">
        <v>-3502.707</v>
      </c>
      <c r="H237" s="20" t="n">
        <v>-3752.566</v>
      </c>
      <c r="I237" s="20" t="n">
        <v>-1721.252</v>
      </c>
      <c r="J237" s="20" t="n">
        <v>-1986.431</v>
      </c>
      <c r="K237" s="20" t="n">
        <v>-3861.316</v>
      </c>
      <c r="L237" s="20" t="n">
        <v>-4168.934</v>
      </c>
      <c r="M237" s="20" t="n">
        <v>-2981.995</v>
      </c>
      <c r="N237" s="20" t="n">
        <v>-3301.788</v>
      </c>
      <c r="U237" s="20" t="n">
        <v>-6064.462</v>
      </c>
      <c r="V237" s="20" t="n">
        <v>-6480.957</v>
      </c>
      <c r="W237" s="20" t="n">
        <v>-3752.566</v>
      </c>
      <c r="X237" s="20" t="n">
        <v>-4168.934</v>
      </c>
    </row>
    <row r="238">
      <c r="A238" s="9" t="inlineStr">
        <is>
          <t>영업활동 현금흐름</t>
        </is>
      </c>
      <c r="C238" s="12" t="n">
        <v>1129.229</v>
      </c>
      <c r="D238" s="12" t="n">
        <v>7061.38</v>
      </c>
      <c r="E238" s="12" t="n">
        <v>6831.574</v>
      </c>
      <c r="F238" s="12" t="n">
        <v>14566.307</v>
      </c>
      <c r="G238" s="12" t="n">
        <v>16097.745</v>
      </c>
      <c r="H238" s="12" t="n">
        <v>22701.537</v>
      </c>
      <c r="I238" s="12" t="n">
        <v>4260.917</v>
      </c>
      <c r="J238" s="12" t="n">
        <v>11598.848</v>
      </c>
      <c r="K238" s="12" t="n">
        <v>15176.981</v>
      </c>
      <c r="L238" s="12" t="n">
        <v>24793.525</v>
      </c>
      <c r="M238" s="12" t="n">
        <v>4716.79</v>
      </c>
      <c r="N238" s="12" t="n">
        <v>17971.673</v>
      </c>
      <c r="O238" s="12" t="n">
        <v>9413.514999999999</v>
      </c>
      <c r="P238" s="12" t="n">
        <v>4845.599</v>
      </c>
      <c r="Q238" s="12" t="n">
        <v>8148.493</v>
      </c>
      <c r="R238" s="12" t="n">
        <v>11936.908</v>
      </c>
      <c r="S238" s="12" t="n">
        <v>12820.551</v>
      </c>
      <c r="T238" s="12" t="n">
        <v>10199.062</v>
      </c>
      <c r="U238" s="12" t="n">
        <v>13925.984</v>
      </c>
      <c r="V238" s="12" t="n">
        <v>7061.38</v>
      </c>
      <c r="W238" s="12" t="n">
        <v>22701.537</v>
      </c>
      <c r="X238" s="12" t="n">
        <v>24793.525</v>
      </c>
    </row>
    <row r="239">
      <c r="A239" s="18" t="inlineStr">
        <is>
          <t>정기예금 예입</t>
        </is>
      </c>
      <c r="C239" s="20" t="n">
        <v>-4418.911</v>
      </c>
      <c r="D239" s="20" t="n">
        <v>-5014.895</v>
      </c>
      <c r="E239" s="20" t="n">
        <v>-1444.526</v>
      </c>
      <c r="F239" s="20" t="n">
        <v>-1593.349</v>
      </c>
      <c r="G239" s="20" t="n">
        <v>-3077.367</v>
      </c>
      <c r="H239" s="20" t="n">
        <v>-3084.954</v>
      </c>
      <c r="I239" s="20" t="n">
        <v>-1308.297</v>
      </c>
      <c r="J239" s="20" t="n">
        <v>-1330.016</v>
      </c>
      <c r="K239" s="20" t="n">
        <v>-4232.483</v>
      </c>
      <c r="L239" s="20" t="n">
        <v>-5660.304</v>
      </c>
      <c r="M239" s="20" t="n">
        <v>-3905.611</v>
      </c>
      <c r="N239" s="20" t="n">
        <v>-4555.05</v>
      </c>
      <c r="O239" s="20" t="n">
        <v>-9244.325999999999</v>
      </c>
      <c r="P239" s="20" t="n">
        <v>-69.38500000000001</v>
      </c>
      <c r="Q239" s="20" t="n">
        <v>-847.275</v>
      </c>
      <c r="R239" s="20" t="n">
        <v>-399.841</v>
      </c>
      <c r="S239" s="20" t="n">
        <v>-1046.504</v>
      </c>
      <c r="T239" s="20" t="n">
        <v>-1499.564</v>
      </c>
      <c r="U239" s="20" t="n">
        <v>-1153.949</v>
      </c>
      <c r="V239" s="20" t="n">
        <v>-5014.895</v>
      </c>
      <c r="W239" s="20" t="n">
        <v>-3084.954</v>
      </c>
      <c r="X239" s="20" t="n">
        <v>-5660.304</v>
      </c>
    </row>
    <row r="240">
      <c r="A240" s="18" t="inlineStr">
        <is>
          <t>정기예금 인출</t>
        </is>
      </c>
      <c r="C240" s="20" t="n">
        <v>1423.773</v>
      </c>
      <c r="D240" s="20" t="n">
        <v>4207.456</v>
      </c>
      <c r="E240" s="20" t="n">
        <v>1405.327</v>
      </c>
      <c r="F240" s="20" t="n">
        <v>1423.225</v>
      </c>
      <c r="G240" s="20" t="n">
        <v>2900.189</v>
      </c>
      <c r="H240" s="20" t="n">
        <v>3034.559</v>
      </c>
      <c r="I240" s="20" t="n">
        <v>1129.282</v>
      </c>
      <c r="J240" s="20" t="n">
        <v>1549.921</v>
      </c>
      <c r="K240" s="20" t="n">
        <v>3444.508</v>
      </c>
      <c r="L240" s="20" t="n">
        <v>4853.465</v>
      </c>
      <c r="M240" s="20" t="n">
        <v>3368.483</v>
      </c>
      <c r="N240" s="20" t="n">
        <v>4095.075</v>
      </c>
      <c r="O240" s="20" t="n">
        <v>15285.309</v>
      </c>
      <c r="P240" s="20" t="n">
        <v>546.069</v>
      </c>
      <c r="Q240" s="20" t="n">
        <v>221.157</v>
      </c>
      <c r="R240" s="20" t="n">
        <v>641.921</v>
      </c>
      <c r="S240" s="20" t="n">
        <v>723.3579999999999</v>
      </c>
      <c r="T240" s="20" t="n">
        <v>1548.124</v>
      </c>
      <c r="U240" s="20" t="n">
        <v>898</v>
      </c>
      <c r="V240" s="20" t="n">
        <v>4207.456</v>
      </c>
      <c r="W240" s="20" t="n">
        <v>3034.559</v>
      </c>
      <c r="X240" s="20" t="n">
        <v>4853.465</v>
      </c>
    </row>
    <row r="241">
      <c r="A241" s="18" t="inlineStr">
        <is>
          <t>유가증권 취득</t>
        </is>
      </c>
      <c r="O241" s="20" t="n">
        <v>-731.835</v>
      </c>
      <c r="P241" s="20" t="n">
        <v>-665.16</v>
      </c>
      <c r="Q241" s="20" t="n">
        <v>-99.819</v>
      </c>
      <c r="R241" s="20" t="n">
        <v>-336.15</v>
      </c>
      <c r="S241" s="20" t="n">
        <v>-214.241</v>
      </c>
      <c r="T241" s="20" t="n">
        <v>-113.503</v>
      </c>
      <c r="U241" s="20" t="n">
        <v>0</v>
      </c>
    </row>
    <row r="242">
      <c r="A242" s="18" t="inlineStr">
        <is>
          <t>유가증권 매각</t>
        </is>
      </c>
      <c r="C242" s="20" t="n">
        <v>0</v>
      </c>
      <c r="D242" s="20" t="n">
        <v>0</v>
      </c>
      <c r="O242" s="20" t="n">
        <v>407.83</v>
      </c>
      <c r="P242" s="20" t="n">
        <v>669.886</v>
      </c>
      <c r="Q242" s="20" t="n">
        <v>676.494</v>
      </c>
      <c r="R242" s="20" t="n">
        <v>338.402</v>
      </c>
      <c r="S242" s="20" t="n">
        <v>202.574</v>
      </c>
      <c r="T242" s="20" t="n">
        <v>113.503</v>
      </c>
      <c r="U242" s="20" t="n">
        <v>136.97</v>
      </c>
      <c r="V242" s="20" t="n">
        <v>0</v>
      </c>
    </row>
    <row r="243">
      <c r="A243" s="18" t="inlineStr">
        <is>
          <t>유형자산 취득(설비투자)</t>
        </is>
      </c>
      <c r="C243" s="20" t="n">
        <v>-14422.208</v>
      </c>
      <c r="D243" s="20" t="n">
        <v>-14944.269</v>
      </c>
      <c r="E243" s="20" t="n">
        <v>-4830.811</v>
      </c>
      <c r="F243" s="20" t="n">
        <v>-12295.95</v>
      </c>
      <c r="G243" s="20" t="n">
        <v>-17630.331</v>
      </c>
      <c r="H243" s="20" t="n">
        <v>-18353.961</v>
      </c>
      <c r="I243" s="20" t="n">
        <v>-5816.82</v>
      </c>
      <c r="J243" s="20" t="n">
        <v>-6468.677</v>
      </c>
      <c r="K243" s="20" t="n">
        <v>-2940.65</v>
      </c>
      <c r="L243" s="20" t="n">
        <v>-7348.653</v>
      </c>
      <c r="M243" s="20" t="n">
        <v>-5006.402</v>
      </c>
      <c r="N243" s="20" t="n">
        <v>-6728.727</v>
      </c>
      <c r="O243" s="20" t="n">
        <v>-668.183</v>
      </c>
      <c r="P243" s="20" t="n">
        <v>-6180.039</v>
      </c>
      <c r="Q243" s="20" t="n">
        <v>-13570.498</v>
      </c>
      <c r="R243" s="20" t="n">
        <v>-3800.779</v>
      </c>
      <c r="S243" s="20" t="n">
        <v>-1817.592</v>
      </c>
      <c r="T243" s="20" t="n">
        <v>-9225.803</v>
      </c>
      <c r="U243" s="20" t="n">
        <v>-13433.048</v>
      </c>
      <c r="V243" s="20" t="n">
        <v>-14944.269</v>
      </c>
      <c r="W243" s="20" t="n">
        <v>-18353.961</v>
      </c>
      <c r="X243" s="20" t="n">
        <v>-7348.653</v>
      </c>
    </row>
    <row r="244">
      <c r="A244" s="18" t="inlineStr">
        <is>
          <t>유형자산 매각</t>
        </is>
      </c>
      <c r="C244" s="20" t="n">
        <v>2.323</v>
      </c>
      <c r="D244" s="20" t="n">
        <v>2.342</v>
      </c>
      <c r="E244" s="20" t="n">
        <v>0.001</v>
      </c>
      <c r="F244" s="20" t="n">
        <v>0.001</v>
      </c>
      <c r="G244" s="20" t="n">
        <v>16.473</v>
      </c>
      <c r="H244" s="20" t="n">
        <v>26.406</v>
      </c>
      <c r="I244" s="20" t="n">
        <v>1.044</v>
      </c>
      <c r="J244" s="20" t="n">
        <v>3.309</v>
      </c>
      <c r="K244" s="20" t="n">
        <v>3.337</v>
      </c>
      <c r="L244" s="20" t="n">
        <v>3.358</v>
      </c>
      <c r="M244" s="20" t="n">
        <v>0.031</v>
      </c>
      <c r="N244" s="20" t="n">
        <v>8.757999999999999</v>
      </c>
      <c r="O244" s="20" t="n">
        <v>2.86</v>
      </c>
      <c r="P244" s="20" t="n">
        <v>1.616</v>
      </c>
      <c r="Q244" s="20" t="n">
        <v>0</v>
      </c>
      <c r="R244" s="20" t="n">
        <v>0.885</v>
      </c>
      <c r="S244" s="20" t="n">
        <v>0.111</v>
      </c>
      <c r="T244" s="20" t="n">
        <v>1.465</v>
      </c>
      <c r="U244" s="20" t="n">
        <v>0.137</v>
      </c>
      <c r="V244" s="20" t="n">
        <v>2.342</v>
      </c>
      <c r="W244" s="20" t="n">
        <v>26.406</v>
      </c>
      <c r="X244" s="20" t="n">
        <v>3.358</v>
      </c>
    </row>
    <row r="245">
      <c r="A245" s="18" t="inlineStr">
        <is>
          <t>유형자산 제각 지출</t>
        </is>
      </c>
      <c r="C245" s="20" t="n">
        <v>-10.05</v>
      </c>
      <c r="D245" s="20" t="n">
        <v>-10.05</v>
      </c>
      <c r="G245" s="20" t="n">
        <v>0</v>
      </c>
      <c r="H245" s="20" t="n">
        <v>0</v>
      </c>
      <c r="U245" s="20" t="n">
        <v>0</v>
      </c>
      <c r="V245" s="20" t="n">
        <v>-10.05</v>
      </c>
      <c r="W245" s="20" t="n">
        <v>0</v>
      </c>
    </row>
    <row r="246">
      <c r="A246" s="18" t="inlineStr">
        <is>
          <t>무형자산 취득</t>
        </is>
      </c>
      <c r="C246" s="20" t="n">
        <v>-2629.06</v>
      </c>
      <c r="D246" s="20" t="n">
        <v>-2643.31</v>
      </c>
      <c r="E246" s="20" t="n">
        <v>-8.228</v>
      </c>
      <c r="F246" s="20" t="n">
        <v>-15.429</v>
      </c>
      <c r="G246" s="20" t="n">
        <v>-26.809</v>
      </c>
      <c r="H246" s="20" t="n">
        <v>-1784.817</v>
      </c>
      <c r="I246" s="20" t="n">
        <v>-126.684</v>
      </c>
      <c r="J246" s="20" t="n">
        <v>-305.369</v>
      </c>
      <c r="K246" s="20" t="n">
        <v>-2744.68</v>
      </c>
      <c r="L246" s="20" t="n">
        <v>-2761.277</v>
      </c>
      <c r="M246" s="20" t="n">
        <v>-57.532</v>
      </c>
      <c r="N246" s="20" t="n">
        <v>-74.732</v>
      </c>
      <c r="O246" s="20" t="n">
        <v>-41.108</v>
      </c>
      <c r="P246" s="20" t="n">
        <v>-778.8680000000001</v>
      </c>
      <c r="Q246" s="20" t="n">
        <v>-1739.039</v>
      </c>
      <c r="R246" s="20" t="n">
        <v>-733.561</v>
      </c>
      <c r="S246" s="20" t="n">
        <v>-396.574</v>
      </c>
      <c r="T246" s="20" t="n">
        <v>-395.869</v>
      </c>
      <c r="U246" s="20" t="n">
        <v>-201.759</v>
      </c>
      <c r="V246" s="20" t="n">
        <v>-2643.31</v>
      </c>
      <c r="W246" s="20" t="n">
        <v>-1784.817</v>
      </c>
      <c r="X246" s="20" t="n">
        <v>-2761.277</v>
      </c>
    </row>
    <row r="247">
      <c r="A247" s="18" t="inlineStr">
        <is>
          <t>무형자산 매각 수입</t>
        </is>
      </c>
      <c r="C247" s="20" t="n">
        <v>0</v>
      </c>
      <c r="D247" s="20" t="n">
        <v>0</v>
      </c>
      <c r="F247" s="20" t="n">
        <v>67.18899999999999</v>
      </c>
      <c r="G247" s="20" t="n">
        <v>67.18899999999999</v>
      </c>
      <c r="H247" s="20" t="n">
        <v>67.03</v>
      </c>
      <c r="J247" s="20" t="n">
        <v>0</v>
      </c>
      <c r="K247" s="20" t="n">
        <v>0</v>
      </c>
      <c r="L247" s="20" t="n">
        <v>0</v>
      </c>
      <c r="V247" s="20" t="n">
        <v>0</v>
      </c>
      <c r="W247" s="20" t="n">
        <v>67.03</v>
      </c>
      <c r="X247" s="20" t="n">
        <v>0</v>
      </c>
    </row>
    <row r="248">
      <c r="A248" s="18" t="inlineStr">
        <is>
          <t>투자유가증권 취득</t>
        </is>
      </c>
      <c r="C248" s="20" t="n">
        <v>-105.291</v>
      </c>
      <c r="D248" s="20" t="n">
        <v>-105.592</v>
      </c>
      <c r="E248" s="20" t="n">
        <v>-2.538</v>
      </c>
      <c r="F248" s="20" t="n">
        <v>-2.839</v>
      </c>
      <c r="G248" s="20" t="n">
        <v>-5.404</v>
      </c>
      <c r="H248" s="20" t="n">
        <v>-5.701</v>
      </c>
      <c r="I248" s="20" t="n">
        <v>-2.604</v>
      </c>
      <c r="J248" s="20" t="n">
        <v>-52.903</v>
      </c>
      <c r="K248" s="20" t="n">
        <v>-55.549</v>
      </c>
      <c r="L248" s="20" t="n">
        <v>-105.851</v>
      </c>
      <c r="M248" s="20" t="n">
        <v>-2.789</v>
      </c>
      <c r="N248" s="20" t="n">
        <v>-3.09</v>
      </c>
      <c r="O248" s="20" t="n">
        <v>-5.822</v>
      </c>
      <c r="P248" s="20" t="n">
        <v>-6.081</v>
      </c>
      <c r="Q248" s="20" t="n">
        <v>-9.117000000000001</v>
      </c>
      <c r="R248" s="20" t="n">
        <v>-10.241</v>
      </c>
      <c r="S248" s="20" t="n">
        <v>-58.413</v>
      </c>
      <c r="T248" s="20" t="n">
        <v>-60.621</v>
      </c>
      <c r="U248" s="20" t="n">
        <v>-159.727</v>
      </c>
      <c r="V248" s="20" t="n">
        <v>-105.592</v>
      </c>
      <c r="W248" s="20" t="n">
        <v>-5.701</v>
      </c>
      <c r="X248" s="20" t="n">
        <v>-105.851</v>
      </c>
    </row>
    <row r="249">
      <c r="A249" s="18" t="inlineStr">
        <is>
          <t>투자유가증권 매각</t>
        </is>
      </c>
      <c r="C249" s="20" t="n">
        <v>22.994</v>
      </c>
      <c r="D249" s="20" t="n">
        <v>22.994</v>
      </c>
      <c r="E249" s="20" t="n">
        <v>0</v>
      </c>
      <c r="F249" s="20" t="n">
        <v>0</v>
      </c>
      <c r="G249" s="20" t="n">
        <v>0</v>
      </c>
      <c r="H249" s="20" t="n">
        <v>0</v>
      </c>
      <c r="K249" s="20" t="n">
        <v>241.794</v>
      </c>
      <c r="L249" s="20" t="n">
        <v>241.908</v>
      </c>
      <c r="O249" s="20" t="n">
        <v>14</v>
      </c>
      <c r="P249" s="20" t="n">
        <v>0</v>
      </c>
      <c r="Q249" s="20" t="n">
        <v>8.035</v>
      </c>
      <c r="R249" s="20" t="n">
        <v>0</v>
      </c>
      <c r="S249" s="20" t="n">
        <v>0</v>
      </c>
      <c r="T249" s="20" t="n">
        <v>291.8</v>
      </c>
      <c r="U249" s="20" t="n">
        <v>536.859</v>
      </c>
      <c r="V249" s="20" t="n">
        <v>22.994</v>
      </c>
      <c r="W249" s="20" t="n">
        <v>0</v>
      </c>
      <c r="X249" s="20" t="n">
        <v>241.908</v>
      </c>
    </row>
    <row r="250">
      <c r="A250" s="18" t="inlineStr">
        <is>
          <t>연결범위 변경 자회사 주식 매각</t>
        </is>
      </c>
      <c r="P250" s="20" t="n">
        <v>0</v>
      </c>
      <c r="Q250" s="20" t="n">
        <v>5.608</v>
      </c>
      <c r="R250" s="20" t="n">
        <v>0</v>
      </c>
    </row>
    <row r="251">
      <c r="A251" s="18" t="inlineStr">
        <is>
          <t>사업양수 지출</t>
        </is>
      </c>
      <c r="O251" s="20" t="n">
        <v>0</v>
      </c>
      <c r="P251" s="20" t="n">
        <v>-1485.824</v>
      </c>
      <c r="Q251" s="20" t="n">
        <v>0</v>
      </c>
    </row>
    <row r="252">
      <c r="A252" s="18" t="inlineStr">
        <is>
          <t>단기대여금 회수 수입</t>
        </is>
      </c>
      <c r="O252" s="20" t="n">
        <v>3.392</v>
      </c>
      <c r="P252" s="20" t="n">
        <v>3.469</v>
      </c>
      <c r="Q252" s="20" t="n">
        <v>3.572</v>
      </c>
      <c r="R252" s="20" t="n">
        <v>0</v>
      </c>
    </row>
    <row r="253">
      <c r="A253" s="18" t="inlineStr">
        <is>
          <t>장기대여</t>
        </is>
      </c>
      <c r="O253" s="20" t="n">
        <v>-0.5</v>
      </c>
      <c r="P253" s="20" t="n">
        <v>0</v>
      </c>
      <c r="Q253" s="20" t="n">
        <v>-0.122</v>
      </c>
      <c r="R253" s="20" t="n">
        <v>0</v>
      </c>
    </row>
    <row r="254">
      <c r="A254" s="18" t="inlineStr">
        <is>
          <t>장기대여금 회수</t>
        </is>
      </c>
      <c r="C254" s="20" t="n">
        <v>0</v>
      </c>
      <c r="D254" s="20" t="n">
        <v>0</v>
      </c>
      <c r="E254" s="20" t="n">
        <v>0</v>
      </c>
      <c r="F254" s="20" t="n">
        <v>0</v>
      </c>
      <c r="G254" s="20" t="n">
        <v>0</v>
      </c>
      <c r="H254" s="20" t="n">
        <v>0</v>
      </c>
      <c r="I254" s="20" t="n">
        <v>0</v>
      </c>
      <c r="J254" s="20" t="n">
        <v>0</v>
      </c>
      <c r="K254" s="20" t="n">
        <v>0</v>
      </c>
      <c r="L254" s="20" t="n">
        <v>0</v>
      </c>
      <c r="M254" s="20" t="n">
        <v>0</v>
      </c>
      <c r="N254" s="20" t="n">
        <v>0</v>
      </c>
      <c r="O254" s="20" t="n">
        <v>0.324</v>
      </c>
      <c r="P254" s="20" t="n">
        <v>0.278</v>
      </c>
      <c r="Q254" s="20" t="n">
        <v>0</v>
      </c>
      <c r="R254" s="20" t="n">
        <v>0.051</v>
      </c>
      <c r="S254" s="20" t="n">
        <v>0.059</v>
      </c>
      <c r="T254" s="20" t="n">
        <v>0</v>
      </c>
      <c r="U254" s="20" t="n">
        <v>0</v>
      </c>
      <c r="V254" s="20" t="n">
        <v>0</v>
      </c>
      <c r="W254" s="20" t="n">
        <v>0</v>
      </c>
      <c r="X254" s="20" t="n">
        <v>0</v>
      </c>
    </row>
    <row r="255">
      <c r="A255" s="18" t="inlineStr">
        <is>
          <t>투자조합 분배 수입</t>
        </is>
      </c>
      <c r="C255" s="20" t="n">
        <v>20.254</v>
      </c>
      <c r="D255" s="20" t="n">
        <v>20.254</v>
      </c>
      <c r="F255" s="20" t="n">
        <v>27.99</v>
      </c>
      <c r="G255" s="20" t="n">
        <v>27.99</v>
      </c>
      <c r="H255" s="20" t="n">
        <v>27.99</v>
      </c>
      <c r="J255" s="20" t="n">
        <v>0</v>
      </c>
      <c r="K255" s="20" t="n">
        <v>0</v>
      </c>
      <c r="L255" s="20" t="n">
        <v>0</v>
      </c>
      <c r="T255" s="20" t="n">
        <v>0</v>
      </c>
      <c r="U255" s="20" t="n">
        <v>5.162</v>
      </c>
      <c r="V255" s="20" t="n">
        <v>20.254</v>
      </c>
      <c r="W255" s="20" t="n">
        <v>27.99</v>
      </c>
      <c r="X255" s="20" t="n">
        <v>0</v>
      </c>
    </row>
    <row r="256">
      <c r="A256" s="18" t="inlineStr">
        <is>
          <t>기타</t>
        </is>
      </c>
      <c r="C256" s="20" t="n">
        <v>-147.445</v>
      </c>
      <c r="D256" s="20" t="n">
        <v>-111.274</v>
      </c>
      <c r="E256" s="20" t="n">
        <v>-385.052</v>
      </c>
      <c r="F256" s="20" t="n">
        <v>-388.877</v>
      </c>
      <c r="G256" s="20" t="n">
        <v>-493.064</v>
      </c>
      <c r="H256" s="20" t="n">
        <v>-464.78</v>
      </c>
      <c r="I256" s="20" t="n">
        <v>-23.62</v>
      </c>
      <c r="J256" s="20" t="n">
        <v>-223.391</v>
      </c>
      <c r="K256" s="20" t="n">
        <v>-247.59</v>
      </c>
      <c r="L256" s="20" t="n">
        <v>-291.704</v>
      </c>
      <c r="M256" s="20" t="n">
        <v>-109.161</v>
      </c>
      <c r="N256" s="20" t="n">
        <v>-147.499</v>
      </c>
      <c r="O256" s="20" t="n">
        <v>-38.669</v>
      </c>
      <c r="P256" s="20" t="n">
        <v>-60.562</v>
      </c>
      <c r="Q256" s="20" t="n">
        <v>-5.571</v>
      </c>
      <c r="R256" s="20" t="n">
        <v>-21.285</v>
      </c>
      <c r="S256" s="20" t="n">
        <v>-12.797</v>
      </c>
      <c r="T256" s="20" t="n">
        <v>-34.562</v>
      </c>
      <c r="U256" s="20" t="n">
        <v>-46.27</v>
      </c>
      <c r="V256" s="20" t="n">
        <v>-111.274</v>
      </c>
      <c r="W256" s="20" t="n">
        <v>-464.78</v>
      </c>
      <c r="X256" s="20" t="n">
        <v>-291.704</v>
      </c>
    </row>
    <row r="257">
      <c r="A257" s="9" t="inlineStr">
        <is>
          <t>투자활동 현금흐름</t>
        </is>
      </c>
      <c r="C257" s="12" t="n">
        <v>-20263.62</v>
      </c>
      <c r="D257" s="12" t="n">
        <v>-18576.343</v>
      </c>
      <c r="E257" s="12" t="n">
        <v>-5265.828</v>
      </c>
      <c r="F257" s="12" t="n">
        <v>-12778.039</v>
      </c>
      <c r="G257" s="12" t="n">
        <v>-18221.134</v>
      </c>
      <c r="H257" s="12" t="n">
        <v>-20538.228</v>
      </c>
      <c r="I257" s="12" t="n">
        <v>-6147.7</v>
      </c>
      <c r="J257" s="12" t="n">
        <v>-6827.127</v>
      </c>
      <c r="K257" s="12" t="n">
        <v>-6531.314</v>
      </c>
      <c r="L257" s="12" t="n">
        <v>-11069.057</v>
      </c>
      <c r="M257" s="12" t="n">
        <v>-5712.982</v>
      </c>
      <c r="N257" s="12" t="n">
        <v>-7405.266</v>
      </c>
      <c r="O257" s="12" t="n">
        <v>4983.272</v>
      </c>
      <c r="P257" s="12" t="n">
        <v>-8024.601</v>
      </c>
      <c r="Q257" s="12" t="n">
        <v>-15356.573</v>
      </c>
      <c r="R257" s="12" t="n">
        <v>-4320.598</v>
      </c>
      <c r="S257" s="12" t="n">
        <v>-2620.018</v>
      </c>
      <c r="T257" s="12" t="n">
        <v>-9375.030000000001</v>
      </c>
      <c r="U257" s="12" t="n">
        <v>-13417.624</v>
      </c>
      <c r="V257" s="12" t="n">
        <v>-18576.343</v>
      </c>
      <c r="W257" s="12" t="n">
        <v>-20538.228</v>
      </c>
      <c r="X257" s="12" t="n">
        <v>-11069.057</v>
      </c>
    </row>
    <row r="258">
      <c r="A258" s="18" t="inlineStr">
        <is>
          <t>장기차입</t>
        </is>
      </c>
      <c r="C258" s="20" t="n">
        <v>20000</v>
      </c>
      <c r="D258" s="20" t="n">
        <v>20000</v>
      </c>
      <c r="E258" s="20" t="n">
        <v>0</v>
      </c>
      <c r="F258" s="20" t="n">
        <v>0</v>
      </c>
      <c r="G258" s="20" t="n">
        <v>0</v>
      </c>
      <c r="H258" s="20" t="n">
        <v>0</v>
      </c>
      <c r="U258" s="20" t="n">
        <v>0</v>
      </c>
      <c r="V258" s="20" t="n">
        <v>20000</v>
      </c>
      <c r="W258" s="20" t="n">
        <v>0</v>
      </c>
    </row>
    <row r="259">
      <c r="A259" s="18" t="inlineStr">
        <is>
          <t>장기차입금 상환</t>
        </is>
      </c>
      <c r="E259" s="20" t="n">
        <v>0</v>
      </c>
      <c r="F259" s="20" t="n">
        <v>0</v>
      </c>
      <c r="G259" s="20" t="n">
        <v>0</v>
      </c>
      <c r="H259" s="20" t="n">
        <v>0</v>
      </c>
      <c r="I259" s="20" t="n">
        <v>-100</v>
      </c>
      <c r="J259" s="20" t="n">
        <v>-1100</v>
      </c>
      <c r="K259" s="20" t="n">
        <v>-2000</v>
      </c>
      <c r="L259" s="20" t="n">
        <v>-3100</v>
      </c>
      <c r="M259" s="20" t="n">
        <v>-1000</v>
      </c>
      <c r="N259" s="20" t="n">
        <v>-2000</v>
      </c>
      <c r="W259" s="20" t="n">
        <v>0</v>
      </c>
      <c r="X259" s="20" t="n">
        <v>-3100</v>
      </c>
    </row>
    <row r="260">
      <c r="A260" s="18" t="inlineStr">
        <is>
          <t>자기주식 취득</t>
        </is>
      </c>
      <c r="C260" s="20" t="n">
        <v>-0.703</v>
      </c>
      <c r="D260" s="20" t="n">
        <v>-0.744</v>
      </c>
      <c r="E260" s="20" t="n">
        <v>-0.145</v>
      </c>
      <c r="F260" s="20" t="n">
        <v>-0.236</v>
      </c>
      <c r="G260" s="20" t="n">
        <v>-0.473</v>
      </c>
      <c r="H260" s="20" t="n">
        <v>-0.631</v>
      </c>
      <c r="I260" s="20" t="n">
        <v>0</v>
      </c>
      <c r="J260" s="20" t="n">
        <v>0</v>
      </c>
      <c r="K260" s="20" t="n">
        <v>-0.245</v>
      </c>
      <c r="L260" s="20" t="n">
        <v>-0.245</v>
      </c>
      <c r="N260" s="20" t="n">
        <v>-0.144</v>
      </c>
      <c r="O260" s="20" t="n">
        <v>-0.33</v>
      </c>
      <c r="P260" s="20" t="n">
        <v>-0.057</v>
      </c>
      <c r="Q260" s="20" t="n">
        <v>-0.103</v>
      </c>
      <c r="R260" s="20" t="n">
        <v>-0.442</v>
      </c>
      <c r="S260" s="20" t="n">
        <v>-0.076</v>
      </c>
      <c r="T260" s="20" t="n">
        <v>-1107.79</v>
      </c>
      <c r="U260" s="20" t="n">
        <v>-0.15</v>
      </c>
      <c r="V260" s="20" t="n">
        <v>-0.744</v>
      </c>
      <c r="W260" s="20" t="n">
        <v>-0.631</v>
      </c>
      <c r="X260" s="20" t="n">
        <v>-0.245</v>
      </c>
    </row>
    <row r="261">
      <c r="A261" s="18" t="inlineStr">
        <is>
          <t>배당금 지급</t>
        </is>
      </c>
      <c r="C261" s="20" t="n">
        <v>-2314.361</v>
      </c>
      <c r="D261" s="20" t="n">
        <v>-2325.355</v>
      </c>
      <c r="E261" s="20" t="n">
        <v>-1152.392</v>
      </c>
      <c r="F261" s="20" t="n">
        <v>-1163.171</v>
      </c>
      <c r="G261" s="20" t="n">
        <v>-2394.691</v>
      </c>
      <c r="H261" s="20" t="n">
        <v>-2396.208</v>
      </c>
      <c r="I261" s="20" t="n">
        <v>-1327.951</v>
      </c>
      <c r="J261" s="20" t="n">
        <v>-1339.552</v>
      </c>
      <c r="K261" s="20" t="n">
        <v>-2782.82</v>
      </c>
      <c r="L261" s="20" t="n">
        <v>-2784.923</v>
      </c>
      <c r="M261" s="20" t="n">
        <v>-1435.201</v>
      </c>
      <c r="N261" s="20" t="n">
        <v>-1444.025</v>
      </c>
      <c r="O261" s="20" t="n">
        <v>-1525.765</v>
      </c>
      <c r="P261" s="20" t="n">
        <v>-1668.572</v>
      </c>
      <c r="Q261" s="20" t="n">
        <v>-1632.891</v>
      </c>
      <c r="R261" s="20" t="n">
        <v>-1633.264</v>
      </c>
      <c r="S261" s="20" t="n">
        <v>-1633.337</v>
      </c>
      <c r="T261" s="20" t="n">
        <v>-1768.811</v>
      </c>
      <c r="U261" s="20" t="n">
        <v>-2114.417</v>
      </c>
      <c r="V261" s="20" t="n">
        <v>-2325.355</v>
      </c>
      <c r="W261" s="20" t="n">
        <v>-2396.208</v>
      </c>
      <c r="X261" s="20" t="n">
        <v>-2784.923</v>
      </c>
    </row>
    <row r="262">
      <c r="A262" s="18" t="inlineStr">
        <is>
          <t>비지배주주 배당금 지급</t>
        </is>
      </c>
      <c r="O262" s="20" t="n">
        <v>-0.4</v>
      </c>
      <c r="P262" s="20" t="n">
        <v>-0.4</v>
      </c>
      <c r="Q262" s="20" t="n">
        <v>-0.4</v>
      </c>
      <c r="R262" s="20" t="n">
        <v>0</v>
      </c>
    </row>
    <row r="263">
      <c r="A263" s="18" t="inlineStr">
        <is>
          <t>리스부채 상환</t>
        </is>
      </c>
      <c r="C263" s="20" t="n">
        <v>-7.526</v>
      </c>
      <c r="D263" s="20" t="n">
        <v>-10.057</v>
      </c>
      <c r="E263" s="20" t="n">
        <v>-2.723</v>
      </c>
      <c r="F263" s="20" t="n">
        <v>-5.432</v>
      </c>
      <c r="G263" s="20" t="n">
        <v>-9.188000000000001</v>
      </c>
      <c r="H263" s="20" t="n">
        <v>-12.393</v>
      </c>
      <c r="I263" s="20" t="n">
        <v>-4.779</v>
      </c>
      <c r="J263" s="20" t="n">
        <v>-9.342000000000001</v>
      </c>
      <c r="K263" s="20" t="n">
        <v>-14.542</v>
      </c>
      <c r="L263" s="20" t="n">
        <v>-19.876</v>
      </c>
      <c r="M263" s="20" t="n">
        <v>-5.398</v>
      </c>
      <c r="N263" s="20" t="n">
        <v>-9.869999999999999</v>
      </c>
      <c r="O263" s="20" t="n">
        <v>-6.649</v>
      </c>
      <c r="P263" s="20" t="n">
        <v>-6.649</v>
      </c>
      <c r="Q263" s="20" t="n">
        <v>-6.092</v>
      </c>
      <c r="R263" s="20" t="n">
        <v>-7.771</v>
      </c>
      <c r="S263" s="20" t="n">
        <v>-5.65</v>
      </c>
      <c r="T263" s="20" t="n">
        <v>-5.825</v>
      </c>
      <c r="U263" s="20" t="n">
        <v>-10.068</v>
      </c>
      <c r="V263" s="20" t="n">
        <v>-10.057</v>
      </c>
      <c r="W263" s="20" t="n">
        <v>-12.393</v>
      </c>
      <c r="X263" s="20" t="n">
        <v>-19.876</v>
      </c>
    </row>
    <row r="264">
      <c r="A264" s="9" t="inlineStr">
        <is>
          <t>재무활동 현금흐름</t>
        </is>
      </c>
      <c r="C264" s="12" t="n">
        <v>17677.408</v>
      </c>
      <c r="D264" s="12" t="n">
        <v>17663.842</v>
      </c>
      <c r="E264" s="12" t="n">
        <v>-1155.26</v>
      </c>
      <c r="F264" s="12" t="n">
        <v>-1168.841</v>
      </c>
      <c r="G264" s="12" t="n">
        <v>-2404.353</v>
      </c>
      <c r="H264" s="12" t="n">
        <v>-2409.233</v>
      </c>
      <c r="I264" s="12" t="n">
        <v>-1432.73</v>
      </c>
      <c r="J264" s="12" t="n">
        <v>-2448.894</v>
      </c>
      <c r="K264" s="12" t="n">
        <v>-4797.608</v>
      </c>
      <c r="L264" s="12" t="n">
        <v>-5905.045</v>
      </c>
      <c r="M264" s="12" t="n">
        <v>-2440.599</v>
      </c>
      <c r="N264" s="12" t="n">
        <v>-3454.041</v>
      </c>
      <c r="O264" s="12" t="n">
        <v>-1533.146</v>
      </c>
      <c r="P264" s="12" t="n">
        <v>-1675.679</v>
      </c>
      <c r="Q264" s="12" t="n">
        <v>-1639.486</v>
      </c>
      <c r="R264" s="12" t="n">
        <v>-1641.478</v>
      </c>
      <c r="S264" s="12" t="n">
        <v>-1639.065</v>
      </c>
      <c r="T264" s="12" t="n">
        <v>-2882.427</v>
      </c>
      <c r="U264" s="12" t="n">
        <v>-2124.635</v>
      </c>
      <c r="V264" s="12" t="n">
        <v>17663.842</v>
      </c>
      <c r="W264" s="12" t="n">
        <v>-2409.233</v>
      </c>
      <c r="X264" s="12" t="n">
        <v>-5905.045</v>
      </c>
    </row>
    <row r="265">
      <c r="A265" s="18" t="inlineStr">
        <is>
          <t>현금성자산 환산차이</t>
        </is>
      </c>
      <c r="C265" s="20" t="n">
        <v>534.429</v>
      </c>
      <c r="D265" s="20" t="n">
        <v>984.005</v>
      </c>
      <c r="E265" s="20" t="n">
        <v>497.964</v>
      </c>
      <c r="F265" s="20" t="n">
        <v>-331.904</v>
      </c>
      <c r="G265" s="20" t="n">
        <v>466.153</v>
      </c>
      <c r="H265" s="20" t="n">
        <v>-0.441</v>
      </c>
      <c r="I265" s="20" t="n">
        <v>-256.111</v>
      </c>
      <c r="J265" s="20" t="n">
        <v>34.573</v>
      </c>
      <c r="K265" s="20" t="n">
        <v>561.061</v>
      </c>
      <c r="L265" s="20" t="n">
        <v>839.6180000000001</v>
      </c>
      <c r="M265" s="20" t="n">
        <v>124.002</v>
      </c>
      <c r="N265" s="20" t="n">
        <v>-74.533</v>
      </c>
      <c r="O265" s="20" t="n">
        <v>-92.541</v>
      </c>
      <c r="P265" s="20" t="n">
        <v>-200.208</v>
      </c>
      <c r="Q265" s="20" t="n">
        <v>140.889</v>
      </c>
      <c r="R265" s="20" t="n">
        <v>-115.465</v>
      </c>
      <c r="S265" s="20" t="n">
        <v>191.475</v>
      </c>
      <c r="T265" s="20" t="n">
        <v>682.526</v>
      </c>
      <c r="U265" s="20" t="n">
        <v>507.044</v>
      </c>
      <c r="V265" s="20" t="n">
        <v>984.005</v>
      </c>
      <c r="W265" s="20" t="n">
        <v>-0.441</v>
      </c>
      <c r="X265" s="20" t="n">
        <v>839.6180000000001</v>
      </c>
    </row>
    <row r="266">
      <c r="A266" s="18" t="inlineStr">
        <is>
          <t>현금성자산 증감</t>
        </is>
      </c>
      <c r="C266" s="20" t="n">
        <v>-922.552</v>
      </c>
      <c r="D266" s="20" t="n">
        <v>7132.884</v>
      </c>
      <c r="E266" s="20" t="n">
        <v>908.45</v>
      </c>
      <c r="F266" s="20" t="n">
        <v>287.522</v>
      </c>
      <c r="G266" s="20" t="n">
        <v>-4061.588</v>
      </c>
      <c r="H266" s="20" t="n">
        <v>-246.366</v>
      </c>
      <c r="I266" s="20" t="n">
        <v>-3575.625</v>
      </c>
      <c r="J266" s="20" t="n">
        <v>2357.4</v>
      </c>
      <c r="K266" s="20" t="n">
        <v>4409.119</v>
      </c>
      <c r="L266" s="20" t="n">
        <v>8659.040000000001</v>
      </c>
      <c r="M266" s="20" t="n">
        <v>-3312.789</v>
      </c>
      <c r="N266" s="20" t="n">
        <v>7037.831</v>
      </c>
      <c r="O266" s="20" t="n">
        <v>12771.099</v>
      </c>
      <c r="P266" s="20" t="n">
        <v>-5054.889</v>
      </c>
      <c r="Q266" s="20" t="n">
        <v>-8706.677</v>
      </c>
      <c r="R266" s="20" t="n">
        <v>5859.365</v>
      </c>
      <c r="S266" s="20" t="n">
        <v>8752.941999999999</v>
      </c>
      <c r="T266" s="20" t="n">
        <v>-1375.868</v>
      </c>
      <c r="U266" s="20" t="n">
        <v>-1109.23</v>
      </c>
      <c r="V266" s="20" t="n">
        <v>7132.884</v>
      </c>
      <c r="W266" s="20" t="n">
        <v>-246.366</v>
      </c>
      <c r="X266" s="20" t="n">
        <v>8659.040000000001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5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4368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70108.62</v>
      </c>
      <c r="D5" s="12" t="n">
        <v>75575.306</v>
      </c>
      <c r="E5" s="12" t="n">
        <v>78476.053</v>
      </c>
      <c r="F5" s="12" t="n">
        <v>82179.393</v>
      </c>
      <c r="G5" s="12" t="n">
        <v>89022.075</v>
      </c>
      <c r="H5" s="11" t="n">
        <v>43042.054</v>
      </c>
      <c r="I5" s="12" t="n">
        <v>55344.047</v>
      </c>
      <c r="J5" s="12" t="n">
        <v>55843.033</v>
      </c>
      <c r="K5" s="12" t="n">
        <v>67052.435</v>
      </c>
      <c r="L5" s="12" t="n">
        <v>78476.053</v>
      </c>
    </row>
    <row r="6">
      <c r="A6" s="18" t="inlineStr">
        <is>
          <t>현금및현금성자산</t>
        </is>
      </c>
      <c r="B6" s="10" t="n"/>
      <c r="C6" s="19" t="n">
        <v>33464.723</v>
      </c>
      <c r="D6" s="20" t="n">
        <v>36726.14</v>
      </c>
      <c r="E6" s="20" t="n">
        <v>41006.795</v>
      </c>
      <c r="F6" s="20" t="n">
        <v>38292.068</v>
      </c>
      <c r="G6" s="20" t="n">
        <v>48452.787</v>
      </c>
      <c r="H6" s="19" t="n">
        <v>20007.336</v>
      </c>
      <c r="I6" s="20" t="n">
        <v>23412.586</v>
      </c>
      <c r="J6" s="20" t="n">
        <v>25247.778</v>
      </c>
      <c r="K6" s="20" t="n">
        <v>31295.73</v>
      </c>
      <c r="L6" s="20" t="n">
        <v>41006.795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>
        <v>123.756</v>
      </c>
      <c r="I7" s="20" t="n">
        <v>0</v>
      </c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17296.107</v>
      </c>
      <c r="D8" s="20" t="n">
        <v>18315.013</v>
      </c>
      <c r="E8" s="20" t="n">
        <v>16626.358</v>
      </c>
      <c r="F8" s="20" t="n">
        <v>19621.452</v>
      </c>
      <c r="G8" s="20" t="n">
        <v>19739.931</v>
      </c>
      <c r="H8" s="19" t="n">
        <v>14886.764</v>
      </c>
      <c r="I8" s="20" t="n">
        <v>14968.781</v>
      </c>
      <c r="J8" s="20" t="n">
        <v>16457.71</v>
      </c>
      <c r="K8" s="20" t="n">
        <v>16046.056</v>
      </c>
      <c r="L8" s="20" t="n">
        <v>16626.358</v>
      </c>
    </row>
    <row r="9">
      <c r="A9" s="18" t="inlineStr">
        <is>
          <t>재고자산</t>
        </is>
      </c>
      <c r="B9" s="10" t="n"/>
      <c r="C9" s="19" t="n">
        <v>18475.747</v>
      </c>
      <c r="D9" s="20" t="n">
        <v>17851.683</v>
      </c>
      <c r="E9" s="20" t="n">
        <v>18409.068</v>
      </c>
      <c r="F9" s="20" t="n">
        <v>18276.103</v>
      </c>
      <c r="G9" s="20" t="n">
        <v>20056.558</v>
      </c>
      <c r="H9" s="19" t="n">
        <v>8894.884</v>
      </c>
      <c r="I9" s="20" t="n">
        <v>16040.657</v>
      </c>
      <c r="J9" s="20" t="n">
        <v>13312.248</v>
      </c>
      <c r="K9" s="20" t="n">
        <v>18153.76</v>
      </c>
      <c r="L9" s="20" t="n">
        <v>18409.068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74341.25199999999</v>
      </c>
      <c r="D11" s="12" t="n">
        <v>73847.389</v>
      </c>
      <c r="E11" s="12" t="n">
        <v>73780.224</v>
      </c>
      <c r="F11" s="12" t="n">
        <v>84650.243</v>
      </c>
      <c r="G11" s="12" t="n">
        <v>82788.284</v>
      </c>
      <c r="H11" s="11" t="n">
        <v>40969.475</v>
      </c>
      <c r="I11" s="12" t="n">
        <v>58184.824</v>
      </c>
      <c r="J11" s="12" t="n">
        <v>65661.62699999999</v>
      </c>
      <c r="K11" s="12" t="n">
        <v>74449.636</v>
      </c>
      <c r="L11" s="12" t="n">
        <v>73780.224</v>
      </c>
    </row>
    <row r="12">
      <c r="A12" s="18" t="inlineStr">
        <is>
          <t>유형자산</t>
        </is>
      </c>
      <c r="B12" s="10" t="n"/>
      <c r="C12" s="19" t="n">
        <v>67053.077</v>
      </c>
      <c r="D12" s="20" t="n">
        <v>64719.999</v>
      </c>
      <c r="E12" s="20" t="n">
        <v>64540.33</v>
      </c>
      <c r="F12" s="20" t="n">
        <v>75667.07000000001</v>
      </c>
      <c r="G12" s="20" t="n">
        <v>74392.106</v>
      </c>
      <c r="H12" s="19" t="n">
        <v>32662.44</v>
      </c>
      <c r="I12" s="20" t="n">
        <v>54301.501</v>
      </c>
      <c r="J12" s="20" t="n">
        <v>55305.885</v>
      </c>
      <c r="K12" s="20" t="n">
        <v>66982.58500000001</v>
      </c>
      <c r="L12" s="20" t="n">
        <v>64540.33</v>
      </c>
    </row>
    <row r="13">
      <c r="A13" s="18" t="inlineStr">
        <is>
          <t>무형자산</t>
        </is>
      </c>
      <c r="B13" s="10" t="n"/>
      <c r="C13" s="19" t="n">
        <v>3751.406</v>
      </c>
      <c r="D13" s="20" t="n">
        <v>5875.494</v>
      </c>
      <c r="E13" s="20" t="n">
        <v>5490.989</v>
      </c>
      <c r="F13" s="20" t="n">
        <v>5147.19</v>
      </c>
      <c r="G13" s="20" t="n">
        <v>4751.72</v>
      </c>
      <c r="H13" s="19" t="n">
        <v>1714.606</v>
      </c>
      <c r="I13" s="20" t="n">
        <v>1346.426</v>
      </c>
      <c r="J13" s="20" t="n">
        <v>2940.678</v>
      </c>
      <c r="K13" s="20" t="n">
        <v>4006.424</v>
      </c>
      <c r="L13" s="20" t="n">
        <v>5490.989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144449.873</v>
      </c>
      <c r="D16" s="12" t="n">
        <v>149422.695</v>
      </c>
      <c r="E16" s="12" t="n">
        <v>152256.278</v>
      </c>
      <c r="F16" s="12" t="n">
        <v>166829.636</v>
      </c>
      <c r="G16" s="12" t="n">
        <v>171810.359</v>
      </c>
      <c r="H16" s="11" t="n">
        <v>84011.52899999999</v>
      </c>
      <c r="I16" s="12" t="n">
        <v>113528.872</v>
      </c>
      <c r="J16" s="12" t="n">
        <v>121504.661</v>
      </c>
      <c r="K16" s="12" t="n">
        <v>141502.071</v>
      </c>
      <c r="L16" s="12" t="n">
        <v>152256.278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17719.952</v>
      </c>
      <c r="D18" s="12" t="n">
        <v>20221.903</v>
      </c>
      <c r="E18" s="12" t="n">
        <v>19844.13</v>
      </c>
      <c r="F18" s="12" t="n">
        <v>29631.79</v>
      </c>
      <c r="G18" s="12" t="n">
        <v>31159.777</v>
      </c>
      <c r="H18" s="11" t="n">
        <v>14735.91</v>
      </c>
      <c r="I18" s="12" t="n">
        <v>23908.669</v>
      </c>
      <c r="J18" s="12" t="n">
        <v>15904.377</v>
      </c>
      <c r="K18" s="12" t="n">
        <v>18489.603</v>
      </c>
      <c r="L18" s="12" t="n">
        <v>19844.13</v>
      </c>
    </row>
    <row r="19">
      <c r="A19" s="18" t="inlineStr">
        <is>
          <t>매입채무</t>
        </is>
      </c>
      <c r="B19" s="10" t="n"/>
      <c r="C19" s="19" t="n">
        <v>2968.632</v>
      </c>
      <c r="D19" s="20" t="n">
        <v>2641.505</v>
      </c>
      <c r="E19" s="20" t="n">
        <v>2836.663</v>
      </c>
      <c r="F19" s="20" t="n">
        <v>3304.236</v>
      </c>
      <c r="G19" s="20" t="n">
        <v>3655.977</v>
      </c>
      <c r="H19" s="19" t="n">
        <v>3859.611</v>
      </c>
      <c r="I19" s="20" t="n">
        <v>3190.61</v>
      </c>
      <c r="J19" s="20" t="n">
        <v>2375.457</v>
      </c>
      <c r="K19" s="20" t="n">
        <v>3073.443</v>
      </c>
      <c r="L19" s="20" t="n">
        <v>2836.663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>
        <v>4000</v>
      </c>
      <c r="D21" s="20" t="n">
        <v>4000</v>
      </c>
      <c r="E21" s="20" t="n">
        <v>4000</v>
      </c>
      <c r="F21" s="20" t="n">
        <v>4000</v>
      </c>
      <c r="G21" s="20" t="n">
        <v>4000</v>
      </c>
      <c r="H21" s="19" t="n"/>
      <c r="I21" s="20" t="n"/>
      <c r="J21" s="20" t="n">
        <v>0</v>
      </c>
      <c r="K21" s="20" t="n">
        <v>3100</v>
      </c>
      <c r="L21" s="20" t="n">
        <v>4000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16941.762</v>
      </c>
      <c r="D23" s="12" t="n">
        <v>16058.143</v>
      </c>
      <c r="E23" s="12" t="n">
        <v>15195.224</v>
      </c>
      <c r="F23" s="12" t="n">
        <v>14193.227</v>
      </c>
      <c r="G23" s="12" t="n">
        <v>13181.904</v>
      </c>
      <c r="H23" s="11" t="n">
        <v>1848.497</v>
      </c>
      <c r="I23" s="12" t="n">
        <v>2117.377</v>
      </c>
      <c r="J23" s="12" t="n">
        <v>21951.925</v>
      </c>
      <c r="K23" s="12" t="n">
        <v>18963.49</v>
      </c>
      <c r="L23" s="12" t="n">
        <v>15195.224</v>
      </c>
    </row>
    <row r="24">
      <c r="A24" s="18" t="inlineStr">
        <is>
          <t>장기차입금</t>
        </is>
      </c>
      <c r="B24" s="10" t="n"/>
      <c r="C24" s="19" t="n">
        <v>14900</v>
      </c>
      <c r="D24" s="20" t="n">
        <v>14000</v>
      </c>
      <c r="E24" s="20" t="n">
        <v>12900</v>
      </c>
      <c r="F24" s="20" t="n">
        <v>11900</v>
      </c>
      <c r="G24" s="20" t="n">
        <v>10900</v>
      </c>
      <c r="H24" s="19" t="n"/>
      <c r="I24" s="20" t="n">
        <v>0</v>
      </c>
      <c r="J24" s="20" t="n">
        <v>20000</v>
      </c>
      <c r="K24" s="20" t="n">
        <v>16900</v>
      </c>
      <c r="L24" s="20" t="n">
        <v>12900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34661.714</v>
      </c>
      <c r="D27" s="12" t="n">
        <v>36280.047</v>
      </c>
      <c r="E27" s="12" t="n">
        <v>35039.354</v>
      </c>
      <c r="F27" s="12" t="n">
        <v>43825.017</v>
      </c>
      <c r="G27" s="12" t="n">
        <v>44341.682</v>
      </c>
      <c r="H27" s="11" t="n">
        <v>16584.408</v>
      </c>
      <c r="I27" s="12" t="n">
        <v>26026.047</v>
      </c>
      <c r="J27" s="12" t="n">
        <v>37856.303</v>
      </c>
      <c r="K27" s="12" t="n">
        <v>37453.093</v>
      </c>
      <c r="L27" s="12" t="n">
        <v>35039.354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109788.158</v>
      </c>
      <c r="D31" s="12" t="n">
        <v>113142.647</v>
      </c>
      <c r="E31" s="12" t="n">
        <v>117216.923</v>
      </c>
      <c r="F31" s="12" t="n">
        <v>123004.618</v>
      </c>
      <c r="G31" s="12" t="n">
        <v>127468.677</v>
      </c>
      <c r="H31" s="11" t="n">
        <v>67427.121</v>
      </c>
      <c r="I31" s="12" t="n">
        <v>87502.82399999999</v>
      </c>
      <c r="J31" s="12" t="n">
        <v>83648.357</v>
      </c>
      <c r="K31" s="12" t="n">
        <v>104048.977</v>
      </c>
      <c r="L31" s="12" t="n">
        <v>117216.923</v>
      </c>
    </row>
    <row r="32">
      <c r="A32" s="18" t="inlineStr">
        <is>
          <t>자본금</t>
        </is>
      </c>
      <c r="B32" s="10" t="n"/>
      <c r="C32" s="19" t="n">
        <v>4334.047</v>
      </c>
      <c r="D32" s="20" t="n">
        <v>4334.047</v>
      </c>
      <c r="E32" s="20" t="n">
        <v>4334.047</v>
      </c>
      <c r="F32" s="20" t="n">
        <v>4334.047</v>
      </c>
      <c r="G32" s="20" t="n">
        <v>4334.047</v>
      </c>
      <c r="H32" s="19" t="n">
        <v>4334.047</v>
      </c>
      <c r="I32" s="20" t="n">
        <v>4334.047</v>
      </c>
      <c r="J32" s="20" t="n">
        <v>4334.047</v>
      </c>
      <c r="K32" s="20" t="n">
        <v>4334.047</v>
      </c>
      <c r="L32" s="20" t="n">
        <v>4334.047</v>
      </c>
    </row>
    <row r="33">
      <c r="A33" s="18" t="inlineStr">
        <is>
          <t>이익잉여금</t>
        </is>
      </c>
      <c r="B33" s="10" t="n"/>
      <c r="C33" s="19" t="n">
        <v>96927.07399999999</v>
      </c>
      <c r="D33" s="20" t="n">
        <v>99298.04700000001</v>
      </c>
      <c r="E33" s="20" t="n">
        <v>102917.629</v>
      </c>
      <c r="F33" s="20" t="n">
        <v>108160.641</v>
      </c>
      <c r="G33" s="20" t="n">
        <v>113134.346</v>
      </c>
      <c r="H33" s="19" t="n">
        <v>58941.095</v>
      </c>
      <c r="I33" s="20" t="n">
        <v>76183.899</v>
      </c>
      <c r="J33" s="20" t="n">
        <v>75275.034</v>
      </c>
      <c r="K33" s="20" t="n">
        <v>91405.565</v>
      </c>
      <c r="L33" s="20" t="n">
        <v>102917.629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109788.158</v>
      </c>
      <c r="D35" s="12" t="n">
        <v>113142.647</v>
      </c>
      <c r="E35" s="12" t="n">
        <v>117216.923</v>
      </c>
      <c r="F35" s="12" t="n">
        <v>123004.618</v>
      </c>
      <c r="G35" s="12" t="n">
        <v>127468.677</v>
      </c>
      <c r="H35" s="11" t="n">
        <v>67427.121</v>
      </c>
      <c r="I35" s="12" t="n">
        <v>87502.82399999999</v>
      </c>
      <c r="J35" s="12" t="n">
        <v>83648.357</v>
      </c>
      <c r="K35" s="12" t="n">
        <v>104048.977</v>
      </c>
      <c r="L35" s="12" t="n">
        <v>117216.923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19734.078</v>
      </c>
      <c r="D37" s="12" t="n">
        <v>21780.773</v>
      </c>
      <c r="E37" s="12" t="n">
        <v>24793.525</v>
      </c>
      <c r="F37" s="12" t="n">
        <v>25249.398</v>
      </c>
      <c r="G37" s="12" t="n">
        <v>31166.35</v>
      </c>
      <c r="H37" s="11" t="n">
        <v>10199.062</v>
      </c>
      <c r="I37" s="12" t="n">
        <v>13925.984</v>
      </c>
      <c r="J37" s="12" t="n">
        <v>7061.38</v>
      </c>
      <c r="K37" s="12" t="n">
        <v>22701.537</v>
      </c>
      <c r="L37" s="12" t="n">
        <v>24793.525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14601.445</v>
      </c>
      <c r="D38" s="20" t="n">
        <v>8166.968</v>
      </c>
      <c r="E38" s="20" t="n">
        <v>10109.93</v>
      </c>
      <c r="F38" s="20" t="n">
        <v>9230.360000000001</v>
      </c>
      <c r="G38" s="20" t="n">
        <v>10139.343</v>
      </c>
      <c r="H38" s="19" t="n">
        <v>9621.672</v>
      </c>
      <c r="I38" s="20" t="n">
        <v>13634.807</v>
      </c>
      <c r="J38" s="20" t="n">
        <v>17587.579</v>
      </c>
      <c r="K38" s="20" t="n">
        <v>20138.778</v>
      </c>
      <c r="L38" s="20" t="n">
        <v>10109.93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2572.589</v>
      </c>
      <c r="D40" s="20" t="n">
        <v>2784.337</v>
      </c>
      <c r="E40" s="20" t="n">
        <v>2784.923</v>
      </c>
      <c r="F40" s="20" t="n">
        <v>2892.173</v>
      </c>
      <c r="G40" s="20" t="n">
        <v>2889.396</v>
      </c>
      <c r="H40" s="19" t="n">
        <v>1768.811</v>
      </c>
      <c r="I40" s="20" t="n">
        <v>2114.417</v>
      </c>
      <c r="J40" s="20" t="n">
        <v>2325.355</v>
      </c>
      <c r="K40" s="20" t="n">
        <v>2396.208</v>
      </c>
      <c r="L40" s="20" t="n">
        <v>2784.923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IFERROR(IF((IF(COUNT('연간'!G61:J61)&lt;4,"",SUM('연간'!G61:J61)))&lt;=0,"적자",C28/(IF(COUNT('연간'!G61:J61)&lt;4,"",SUM('연간'!G61:J61)))),"")</f>
        <v/>
      </c>
      <c r="D49" s="47">
        <f>IFERROR(IF((IF(COUNT('연간'!H61:K61)&lt;4,"",SUM('연간'!H61:K61)))&lt;=0,"적자",D28/(IF(COUNT('연간'!H61:K61)&lt;4,"",SUM('연간'!H61:K61)))),"")</f>
        <v/>
      </c>
      <c r="E49" s="47">
        <f>IFERROR(IF((IF(COUNT('연간'!I61:L61)&lt;4,"",SUM('연간'!I61:L61)))&lt;=0,"적자",E28/(IF(COUNT('연간'!I61:L61)&lt;4,"",SUM('연간'!I61:L61)))),"")</f>
        <v/>
      </c>
      <c r="F49" s="47">
        <f>IFERROR(IF((IF(COUNT('연간'!J61:M61)&lt;4,"",SUM('연간'!J61:M61)))&lt;=0,"적자",F28/(IF(COUNT('연간'!J61:M61)&lt;4,"",SUM('연간'!J61:M61)))),"")</f>
        <v/>
      </c>
      <c r="G49" s="47">
        <f>IFERROR(IF((IF(COUNT('연간'!K61:N61)&lt;4,"",SUM('연간'!K61:N61)))&lt;=0,"적자",G28/(IF(COUNT('연간'!K61:N61)&lt;4,"",SUM('연간'!K61:N61)))),"")</f>
        <v/>
      </c>
      <c r="H49" s="46">
        <f>IFERROR(IF(('연간'!T61)&lt;=0,"적자",H28/('연간'!T61)),"")</f>
        <v/>
      </c>
      <c r="I49" s="47">
        <f>IFERROR(IF(('연간'!U61)&lt;=0,"적자",I28/('연간'!U61)),"")</f>
        <v/>
      </c>
      <c r="J49" s="47">
        <f>IFERROR(IF(('연간'!V61)&lt;=0,"적자",J28/('연간'!V61)),"")</f>
        <v/>
      </c>
      <c r="K49" s="47">
        <f>IFERROR(IF(('연간'!W61)&lt;=0,"적자",K28/('연간'!W61)),"")</f>
        <v/>
      </c>
      <c r="L49" s="47">
        <f>IFERROR(IF(('연간'!X61)&lt;=0,"적자",L28/('연간'!X61)),"")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IFERROR((IF(COUNT('연간'!G61:J61)&lt;4,"",SUM('연간'!G61:J61)))/C31,"")</f>
        <v/>
      </c>
      <c r="D51" s="36">
        <f>IFERROR((IF(COUNT('연간'!H61:K61)&lt;4,"",SUM('연간'!H61:K61)))/D31,"")</f>
        <v/>
      </c>
      <c r="E51" s="36">
        <f>IFERROR((IF(COUNT('연간'!I61:L61)&lt;4,"",SUM('연간'!I61:L61)))/E31,"")</f>
        <v/>
      </c>
      <c r="F51" s="36">
        <f>IFERROR((IF(COUNT('연간'!J61:M61)&lt;4,"",SUM('연간'!J61:M61)))/F31,"")</f>
        <v/>
      </c>
      <c r="G51" s="36">
        <f>IFERROR((IF(COUNT('연간'!K61:N61)&lt;4,"",SUM('연간'!K61:N61)))/G31,"")</f>
        <v/>
      </c>
      <c r="H51" s="35">
        <f>IFERROR(('연간'!T61)/H31,"")</f>
        <v/>
      </c>
      <c r="I51" s="36">
        <f>IFERROR(('연간'!U61)/I31,"")</f>
        <v/>
      </c>
      <c r="J51" s="36">
        <f>IFERROR(('연간'!V61)/J31,"")</f>
        <v/>
      </c>
      <c r="K51" s="36">
        <f>IFERROR(('연간'!W61)/K31,"")</f>
        <v/>
      </c>
      <c r="L51" s="36">
        <f>IFERROR(('연간'!X61)/L31,"")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IFERROR((IF(COUNT('연간'!G59:J59)&lt;4,"",SUM('연간'!G59:J59)))/C16,"")</f>
        <v/>
      </c>
      <c r="D52" s="36">
        <f>IFERROR((IF(COUNT('연간'!H59:K59)&lt;4,"",SUM('연간'!H59:K59)))/D16,"")</f>
        <v/>
      </c>
      <c r="E52" s="36">
        <f>IFERROR((IF(COUNT('연간'!I59:L59)&lt;4,"",SUM('연간'!I59:L59)))/E16,"")</f>
        <v/>
      </c>
      <c r="F52" s="36">
        <f>IFERROR((IF(COUNT('연간'!J59:M59)&lt;4,"",SUM('연간'!J59:M59)))/F16,"")</f>
        <v/>
      </c>
      <c r="G52" s="36">
        <f>IFERROR((IF(COUNT('연간'!K59:N59)&lt;4,"",SUM('연간'!K59:N59)))/G16,"")</f>
        <v/>
      </c>
      <c r="H52" s="35">
        <f>IFERROR(('연간'!T59)/H16,"")</f>
        <v/>
      </c>
      <c r="I52" s="36">
        <f>IFERROR(('연간'!U59)/I16,"")</f>
        <v/>
      </c>
      <c r="J52" s="36">
        <f>IFERROR(('연간'!V59)/J16,"")</f>
        <v/>
      </c>
      <c r="K52" s="36">
        <f>IFERROR(('연간'!W59)/K16,"")</f>
        <v/>
      </c>
      <c r="L52" s="36">
        <f>IFERROR(('연간'!X59)/L16,"")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IFERROR((IF(COUNT('연간'!G25:J25)&lt;4,"",SUM('연간'!G25:J25)))/(IF(COUNT('연간'!G4:J4)&lt;4,"",SUM('연간'!G4:J4))),"")</f>
        <v/>
      </c>
      <c r="D54" s="36">
        <f>IFERROR((IF(COUNT('연간'!H25:K25)&lt;4,"",SUM('연간'!H25:K25)))/(IF(COUNT('연간'!H4:K4)&lt;4,"",SUM('연간'!H4:K4))),"")</f>
        <v/>
      </c>
      <c r="E54" s="36">
        <f>IFERROR((IF(COUNT('연간'!I25:L25)&lt;4,"",SUM('연간'!I25:L25)))/(IF(COUNT('연간'!I4:L4)&lt;4,"",SUM('연간'!I4:L4))),"")</f>
        <v/>
      </c>
      <c r="F54" s="36">
        <f>IFERROR((IF(COUNT('연간'!J25:M25)&lt;4,"",SUM('연간'!J25:M25)))/(IF(COUNT('연간'!J4:M4)&lt;4,"",SUM('연간'!J4:M4))),"")</f>
        <v/>
      </c>
      <c r="G54" s="36">
        <f>IFERROR((IF(COUNT('연간'!K25:N25)&lt;4,"",SUM('연간'!K25:N25)))/(IF(COUNT('연간'!K4:N4)&lt;4,"",SUM('연간'!K4:N4))),"")</f>
        <v/>
      </c>
      <c r="H54" s="35">
        <f>IFERROR(('연간'!T25)/('연간'!T4),"")</f>
        <v/>
      </c>
      <c r="I54" s="36">
        <f>IFERROR(('연간'!U25)/('연간'!U4),"")</f>
        <v/>
      </c>
      <c r="J54" s="36">
        <f>IFERROR(('연간'!V25)/('연간'!V4),"")</f>
        <v/>
      </c>
      <c r="K54" s="36">
        <f>IFERROR(('연간'!W25)/('연간'!W4),"")</f>
        <v/>
      </c>
      <c r="L54" s="36">
        <f>IFERROR(('연간'!X25)/('연간'!X4),"")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IFERROR((IF(COUNT('연간'!G59:J59)&lt;4,"",SUM('연간'!G59:J59)))/(IF(COUNT('연간'!G4:J4)&lt;4,"",SUM('연간'!G4:J4))),"")</f>
        <v/>
      </c>
      <c r="D56" s="36">
        <f>IFERROR((IF(COUNT('연간'!H59:K59)&lt;4,"",SUM('연간'!H59:K59)))/(IF(COUNT('연간'!H4:K4)&lt;4,"",SUM('연간'!H4:K4))),"")</f>
        <v/>
      </c>
      <c r="E56" s="36">
        <f>IFERROR((IF(COUNT('연간'!I59:L59)&lt;4,"",SUM('연간'!I59:L59)))/(IF(COUNT('연간'!I4:L4)&lt;4,"",SUM('연간'!I4:L4))),"")</f>
        <v/>
      </c>
      <c r="F56" s="36">
        <f>IFERROR((IF(COUNT('연간'!J59:M59)&lt;4,"",SUM('연간'!J59:M59)))/(IF(COUNT('연간'!J4:M4)&lt;4,"",SUM('연간'!J4:M4))),"")</f>
        <v/>
      </c>
      <c r="G56" s="36">
        <f>IFERROR((IF(COUNT('연간'!K59:N59)&lt;4,"",SUM('연간'!K59:N59)))/(IF(COUNT('연간'!K4:N4)&lt;4,"",SUM('연간'!K4:N4))),"")</f>
        <v/>
      </c>
      <c r="H56" s="35">
        <f>IFERROR(('연간'!T59)/('연간'!T4),"")</f>
        <v/>
      </c>
      <c r="I56" s="36">
        <f>IFERROR(('연간'!U59)/('연간'!U4),"")</f>
        <v/>
      </c>
      <c r="J56" s="36">
        <f>IFERROR(('연간'!V59)/('연간'!V4),"")</f>
        <v/>
      </c>
      <c r="K56" s="36">
        <f>IFERROR(('연간'!W59)/('연간'!W4),"")</f>
        <v/>
      </c>
      <c r="L56" s="36">
        <f>IFERROR(('연간'!X59)/('연간'!X4),"")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IF(C37="","",IFERROR(C37/(IF(COUNT('연간'!G59:J59)&lt;4,"",SUM('연간'!G59:J59))),""))</f>
        <v/>
      </c>
      <c r="D64" s="31">
        <f>IF(D37="","",IFERROR(D37/(IF(COUNT('연간'!H59:K59)&lt;4,"",SUM('연간'!H59:K59))),""))</f>
        <v/>
      </c>
      <c r="E64" s="31">
        <f>IF(E37="","",IFERROR(E37/(IF(COUNT('연간'!I59:L59)&lt;4,"",SUM('연간'!I59:L59))),""))</f>
        <v/>
      </c>
      <c r="F64" s="31">
        <f>IF(F37="","",IFERROR(F37/(IF(COUNT('연간'!J59:M59)&lt;4,"",SUM('연간'!J59:M59))),""))</f>
        <v/>
      </c>
      <c r="G64" s="31">
        <f>IF(G37="","",IFERROR(G37/(IF(COUNT('연간'!K59:N59)&lt;4,"",SUM('연간'!K59:N59))),""))</f>
        <v/>
      </c>
      <c r="H64" s="30">
        <f>IF(H37="","",IFERROR(H37/('연간'!T59),""))</f>
        <v/>
      </c>
      <c r="I64" s="31">
        <f>IF(I37="","",IFERROR(I37/('연간'!U59),""))</f>
        <v/>
      </c>
      <c r="J64" s="31">
        <f>IF(J37="","",IFERROR(J37/('연간'!V59),""))</f>
        <v/>
      </c>
      <c r="K64" s="31">
        <f>IF(K37="","",IFERROR(K37/('연간'!W59),""))</f>
        <v/>
      </c>
      <c r="L64" s="31">
        <f>IF(L37="","",IFERROR(L37/('연간'!X59),""))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IF(C40="","",IFERROR(C40/(IF(COUNT('연간'!G61:J61)&lt;4,"",SUM('연간'!G61:J61))),""))</f>
        <v/>
      </c>
      <c r="D67" s="36">
        <f>IF(D40="","",IFERROR(D40/(IF(COUNT('연간'!H61:K61)&lt;4,"",SUM('연간'!H61:K61))),""))</f>
        <v/>
      </c>
      <c r="E67" s="36">
        <f>IF(E40="","",IFERROR(E40/(IF(COUNT('연간'!I61:L61)&lt;4,"",SUM('연간'!I61:L61))),""))</f>
        <v/>
      </c>
      <c r="F67" s="36">
        <f>IF(F40="","",IFERROR(F40/(IF(COUNT('연간'!J61:M61)&lt;4,"",SUM('연간'!J61:M61))),""))</f>
        <v/>
      </c>
      <c r="G67" s="36">
        <f>IF(G40="","",IFERROR(G40/(IF(COUNT('연간'!K61:N61)&lt;4,"",SUM('연간'!K61:N61))),""))</f>
        <v/>
      </c>
      <c r="H67" s="35">
        <f>IF(H40="","",IFERROR(H40/('연간'!T61),""))</f>
        <v/>
      </c>
      <c r="I67" s="36">
        <f>IF(I40="","",IFERROR(I40/('연간'!U61),""))</f>
        <v/>
      </c>
      <c r="J67" s="36">
        <f>IF(J40="","",IFERROR(J40/('연간'!V61),""))</f>
        <v/>
      </c>
      <c r="K67" s="36">
        <f>IF(K40="","",IFERROR(K40/('연간'!W61),""))</f>
        <v/>
      </c>
      <c r="L67" s="36">
        <f>IF(L40="","",IFERROR(L40/('연간'!X61),""))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33464.723</v>
      </c>
      <c r="D71" s="20" t="n">
        <v>36726.14</v>
      </c>
      <c r="E71" s="20" t="n">
        <v>41006.795</v>
      </c>
      <c r="F71" s="20" t="n">
        <v>38292.068</v>
      </c>
      <c r="G71" s="20" t="n">
        <v>48452.787</v>
      </c>
      <c r="H71" s="20" t="n">
        <v>20007.336</v>
      </c>
      <c r="I71" s="20" t="n">
        <v>23412.586</v>
      </c>
      <c r="J71" s="20" t="n">
        <v>25247.778</v>
      </c>
      <c r="K71" s="20" t="n">
        <v>31295.73</v>
      </c>
      <c r="L71" s="20" t="n">
        <v>41006.795</v>
      </c>
    </row>
    <row r="72">
      <c r="A72" s="18" t="inlineStr">
        <is>
          <t>매출채권</t>
        </is>
      </c>
      <c r="E72" s="20" t="n">
        <v>14551.07</v>
      </c>
      <c r="H72" s="20" t="n">
        <v>13027.869</v>
      </c>
      <c r="I72" s="20" t="n">
        <v>13296.144</v>
      </c>
      <c r="J72" s="20" t="n">
        <v>14661.399</v>
      </c>
      <c r="K72" s="20" t="n">
        <v>14205.014</v>
      </c>
      <c r="L72" s="20" t="n">
        <v>14551.07</v>
      </c>
    </row>
    <row r="73">
      <c r="A73" s="18" t="inlineStr">
        <is>
          <t>받을어음·매출채권</t>
        </is>
      </c>
      <c r="C73" s="20" t="n">
        <v>17296.107</v>
      </c>
      <c r="D73" s="20" t="n">
        <v>18315.013</v>
      </c>
      <c r="E73" s="20" t="n">
        <v>16626.358</v>
      </c>
      <c r="F73" s="20" t="n">
        <v>19621.452</v>
      </c>
      <c r="G73" s="20" t="n">
        <v>19739.931</v>
      </c>
      <c r="H73" s="20" t="n">
        <v>14886.764</v>
      </c>
      <c r="I73" s="20" t="n">
        <v>14968.781</v>
      </c>
      <c r="J73" s="20" t="n">
        <v>16457.71</v>
      </c>
      <c r="K73" s="20" t="n">
        <v>16046.056</v>
      </c>
      <c r="L73" s="20" t="n">
        <v>16626.358</v>
      </c>
    </row>
    <row r="74">
      <c r="A74" s="18" t="inlineStr">
        <is>
          <t>유가증권</t>
        </is>
      </c>
      <c r="H74" s="20" t="n">
        <v>123.756</v>
      </c>
      <c r="I74" s="20" t="n">
        <v>0</v>
      </c>
    </row>
    <row r="75">
      <c r="A75" s="18" t="inlineStr">
        <is>
          <t>상품·제품</t>
        </is>
      </c>
      <c r="C75" s="20" t="n">
        <v>14409.922</v>
      </c>
      <c r="D75" s="20" t="n">
        <v>13581.04</v>
      </c>
      <c r="E75" s="20" t="n">
        <v>14205.343</v>
      </c>
      <c r="F75" s="20" t="n">
        <v>13100.192</v>
      </c>
      <c r="G75" s="20" t="n">
        <v>14902.014</v>
      </c>
      <c r="H75" s="20" t="n">
        <v>6575.026</v>
      </c>
      <c r="I75" s="20" t="n">
        <v>11880.482</v>
      </c>
      <c r="J75" s="20" t="n">
        <v>10627.481</v>
      </c>
      <c r="K75" s="20" t="n">
        <v>14058.439</v>
      </c>
      <c r="L75" s="20" t="n">
        <v>14205.343</v>
      </c>
    </row>
    <row r="76">
      <c r="A76" s="18" t="inlineStr">
        <is>
          <t>재공품</t>
        </is>
      </c>
      <c r="C76" s="20" t="n">
        <v>656.335</v>
      </c>
      <c r="D76" s="20" t="n">
        <v>602.813</v>
      </c>
      <c r="E76" s="20" t="n">
        <v>703.343</v>
      </c>
      <c r="F76" s="20" t="n">
        <v>1017.971</v>
      </c>
      <c r="G76" s="20" t="n">
        <v>785.7910000000001</v>
      </c>
      <c r="H76" s="20" t="n">
        <v>630.342</v>
      </c>
      <c r="I76" s="20" t="n">
        <v>691.534</v>
      </c>
      <c r="J76" s="20" t="n">
        <v>686.143</v>
      </c>
      <c r="K76" s="20" t="n">
        <v>675.979</v>
      </c>
      <c r="L76" s="20" t="n">
        <v>703.343</v>
      </c>
    </row>
    <row r="77">
      <c r="A77" s="18" t="inlineStr">
        <is>
          <t>원재료·저장품</t>
        </is>
      </c>
      <c r="C77" s="20" t="n">
        <v>3409.49</v>
      </c>
      <c r="D77" s="20" t="n">
        <v>3667.83</v>
      </c>
      <c r="E77" s="20" t="n">
        <v>3500.382</v>
      </c>
      <c r="F77" s="20" t="n">
        <v>4157.94</v>
      </c>
      <c r="G77" s="20" t="n">
        <v>4368.753</v>
      </c>
      <c r="H77" s="20" t="n">
        <v>1689.516</v>
      </c>
      <c r="I77" s="20" t="n">
        <v>3468.641</v>
      </c>
      <c r="J77" s="20" t="n">
        <v>1998.624</v>
      </c>
      <c r="K77" s="20" t="n">
        <v>3419.342</v>
      </c>
      <c r="L77" s="20" t="n">
        <v>3500.382</v>
      </c>
    </row>
    <row r="78">
      <c r="A78" s="18" t="inlineStr">
        <is>
          <t>미수 소비세</t>
        </is>
      </c>
      <c r="E78" s="20" t="n">
        <v>1622.623</v>
      </c>
      <c r="K78" s="20" t="n">
        <v>1028.736</v>
      </c>
      <c r="L78" s="20" t="n">
        <v>1622.623</v>
      </c>
    </row>
    <row r="79">
      <c r="A79" s="18" t="inlineStr">
        <is>
          <t>기타</t>
        </is>
      </c>
      <c r="C79" s="20" t="n">
        <v>887.486</v>
      </c>
      <c r="D79" s="20" t="n">
        <v>2696.875</v>
      </c>
      <c r="E79" s="20" t="n">
        <v>2450.191</v>
      </c>
      <c r="F79" s="20" t="n">
        <v>6006.849</v>
      </c>
      <c r="G79" s="20" t="n">
        <v>790.799</v>
      </c>
      <c r="H79" s="20" t="n">
        <v>1113.285</v>
      </c>
      <c r="I79" s="20" t="n">
        <v>936.534</v>
      </c>
      <c r="J79" s="20" t="n">
        <v>2623.395</v>
      </c>
      <c r="K79" s="20" t="n">
        <v>543.001</v>
      </c>
      <c r="L79" s="20" t="n">
        <v>2450.191</v>
      </c>
    </row>
    <row r="80">
      <c r="A80" s="18" t="inlineStr">
        <is>
          <t>대손충당금</t>
        </is>
      </c>
      <c r="C80" s="20" t="n">
        <v>-15.446</v>
      </c>
      <c r="D80" s="20" t="n">
        <v>-14.407</v>
      </c>
      <c r="E80" s="20" t="n">
        <v>-16.363</v>
      </c>
      <c r="F80" s="20" t="n">
        <v>-17.08</v>
      </c>
      <c r="G80" s="20" t="n">
        <v>-18.002</v>
      </c>
      <c r="H80" s="20" t="n">
        <v>-1.321</v>
      </c>
      <c r="I80" s="20" t="n">
        <v>-14.513</v>
      </c>
      <c r="J80" s="20" t="n">
        <v>-1.79</v>
      </c>
      <c r="K80" s="20" t="n">
        <v>-14.851</v>
      </c>
      <c r="L80" s="20" t="n">
        <v>-16.363</v>
      </c>
    </row>
    <row r="81">
      <c r="A81" s="9" t="inlineStr">
        <is>
          <t>유동자산 합계</t>
        </is>
      </c>
      <c r="C81" s="12" t="n">
        <v>70108.62</v>
      </c>
      <c r="D81" s="12" t="n">
        <v>75575.306</v>
      </c>
      <c r="E81" s="12" t="n">
        <v>78476.053</v>
      </c>
      <c r="F81" s="12" t="n">
        <v>82179.393</v>
      </c>
      <c r="G81" s="12" t="n">
        <v>89022.075</v>
      </c>
      <c r="H81" s="12" t="n">
        <v>43042.054</v>
      </c>
      <c r="I81" s="12" t="n">
        <v>55344.047</v>
      </c>
      <c r="J81" s="12" t="n">
        <v>55843.033</v>
      </c>
      <c r="K81" s="12" t="n">
        <v>67052.435</v>
      </c>
      <c r="L81" s="12" t="n">
        <v>78476.053</v>
      </c>
    </row>
    <row r="82">
      <c r="A82" s="18" t="inlineStr">
        <is>
          <t>건물</t>
        </is>
      </c>
      <c r="E82" s="20" t="n">
        <v>19251.658</v>
      </c>
      <c r="H82" s="20" t="n">
        <v>7392.104</v>
      </c>
      <c r="I82" s="20" t="n">
        <v>7301.688</v>
      </c>
      <c r="J82" s="20" t="n">
        <v>11616.793</v>
      </c>
      <c r="K82" s="20" t="n">
        <v>14848.438</v>
      </c>
      <c r="L82" s="20" t="n">
        <v>19251.658</v>
      </c>
    </row>
    <row r="83">
      <c r="A83" s="18" t="inlineStr">
        <is>
          <t>구축물</t>
        </is>
      </c>
      <c r="E83" s="20" t="n">
        <v>5040.061</v>
      </c>
      <c r="H83" s="20" t="n">
        <v>1077.908</v>
      </c>
      <c r="I83" s="20" t="n">
        <v>919.145</v>
      </c>
      <c r="J83" s="20" t="n">
        <v>2973.08</v>
      </c>
      <c r="K83" s="20" t="n">
        <v>3425.724</v>
      </c>
      <c r="L83" s="20" t="n">
        <v>5040.061</v>
      </c>
    </row>
    <row r="84">
      <c r="A84" s="18" t="inlineStr">
        <is>
          <t>기계장치</t>
        </is>
      </c>
      <c r="E84" s="20" t="n">
        <v>23102.368</v>
      </c>
      <c r="H84" s="20" t="n">
        <v>5919.047</v>
      </c>
      <c r="I84" s="20" t="n">
        <v>5099.255</v>
      </c>
      <c r="J84" s="20" t="n">
        <v>13339.703</v>
      </c>
      <c r="K84" s="20" t="n">
        <v>16252.021</v>
      </c>
      <c r="L84" s="20" t="n">
        <v>23102.368</v>
      </c>
    </row>
    <row r="85">
      <c r="A85" s="18" t="inlineStr">
        <is>
          <t>차량운반구</t>
        </is>
      </c>
      <c r="E85" s="20" t="n">
        <v>8.927</v>
      </c>
      <c r="H85" s="20" t="n">
        <v>11.416</v>
      </c>
      <c r="I85" s="20" t="n">
        <v>43.117</v>
      </c>
      <c r="J85" s="20" t="n">
        <v>27.889</v>
      </c>
      <c r="K85" s="20" t="n">
        <v>17.778</v>
      </c>
      <c r="L85" s="20" t="n">
        <v>8.927</v>
      </c>
    </row>
    <row r="86">
      <c r="A86" s="18" t="inlineStr">
        <is>
          <t>공구·기구·비품</t>
        </is>
      </c>
      <c r="E86" s="20" t="n">
        <v>758.299</v>
      </c>
      <c r="H86" s="20" t="n">
        <v>287.578</v>
      </c>
      <c r="I86" s="20" t="n">
        <v>630.186</v>
      </c>
      <c r="J86" s="20" t="n">
        <v>868.13</v>
      </c>
      <c r="K86" s="20" t="n">
        <v>838.95</v>
      </c>
      <c r="L86" s="20" t="n">
        <v>758.299</v>
      </c>
    </row>
    <row r="87">
      <c r="A87" s="18" t="inlineStr">
        <is>
          <t>건물·구축물</t>
        </is>
      </c>
      <c r="E87" s="20" t="n">
        <v>41983.664</v>
      </c>
      <c r="H87" s="20" t="n">
        <v>20788.477</v>
      </c>
      <c r="I87" s="20" t="n">
        <v>21392.69</v>
      </c>
      <c r="J87" s="20" t="n">
        <v>29139.532</v>
      </c>
      <c r="K87" s="20" t="n">
        <v>33948.274</v>
      </c>
      <c r="L87" s="20" t="n">
        <v>41983.664</v>
      </c>
    </row>
    <row r="88">
      <c r="A88" s="18" t="inlineStr">
        <is>
          <t>감가상각누계액</t>
        </is>
      </c>
      <c r="E88" s="20" t="n">
        <v>-16491.484</v>
      </c>
      <c r="H88" s="20" t="n">
        <v>-11137.413</v>
      </c>
      <c r="I88" s="20" t="n">
        <v>-11974.615</v>
      </c>
      <c r="J88" s="20" t="n">
        <v>-13320.922</v>
      </c>
      <c r="K88" s="20" t="n">
        <v>-14513.262</v>
      </c>
      <c r="L88" s="20" t="n">
        <v>-16491.484</v>
      </c>
    </row>
    <row r="89">
      <c r="A89" s="18" t="inlineStr">
        <is>
          <t>건물·구축물(순액)</t>
        </is>
      </c>
      <c r="C89" s="20" t="n">
        <v>18913.246</v>
      </c>
      <c r="D89" s="20" t="n">
        <v>24245.286</v>
      </c>
      <c r="E89" s="20" t="n">
        <v>25492.18</v>
      </c>
      <c r="F89" s="20" t="n">
        <v>25019.74</v>
      </c>
      <c r="G89" s="20" t="n">
        <v>24874.576</v>
      </c>
      <c r="H89" s="20" t="n">
        <v>9651.063</v>
      </c>
      <c r="I89" s="20" t="n">
        <v>9418.074000000001</v>
      </c>
      <c r="J89" s="20" t="n">
        <v>15818.609</v>
      </c>
      <c r="K89" s="20" t="n">
        <v>19435.011</v>
      </c>
      <c r="L89" s="20" t="n">
        <v>25492.18</v>
      </c>
    </row>
    <row r="90">
      <c r="A90" s="18" t="inlineStr">
        <is>
          <t>기계장치·운반구</t>
        </is>
      </c>
      <c r="E90" s="20" t="n">
        <v>69551.102</v>
      </c>
      <c r="H90" s="20" t="n">
        <v>34369.808</v>
      </c>
      <c r="I90" s="20" t="n">
        <v>35741.898</v>
      </c>
      <c r="J90" s="20" t="n">
        <v>48985.504</v>
      </c>
      <c r="K90" s="20" t="n">
        <v>55532.435</v>
      </c>
      <c r="L90" s="20" t="n">
        <v>69551.102</v>
      </c>
    </row>
    <row r="91">
      <c r="A91" s="18" t="inlineStr">
        <is>
          <t>감가상각누계액</t>
        </is>
      </c>
      <c r="E91" s="20" t="n">
        <v>-44147.326</v>
      </c>
      <c r="H91" s="20" t="n">
        <v>-27320.329</v>
      </c>
      <c r="I91" s="20" t="n">
        <v>-29501.284</v>
      </c>
      <c r="J91" s="20" t="n">
        <v>-33895.026</v>
      </c>
      <c r="K91" s="20" t="n">
        <v>-37040.7</v>
      </c>
      <c r="L91" s="20" t="n">
        <v>-44147.326</v>
      </c>
    </row>
    <row r="92">
      <c r="A92" s="18" t="inlineStr">
        <is>
          <t>기계장치·운반구(순액)</t>
        </is>
      </c>
      <c r="C92" s="20" t="n">
        <v>17719.557</v>
      </c>
      <c r="D92" s="20" t="n">
        <v>27122.361</v>
      </c>
      <c r="E92" s="20" t="n">
        <v>25403.776</v>
      </c>
      <c r="F92" s="20" t="n">
        <v>23899.142</v>
      </c>
      <c r="G92" s="20" t="n">
        <v>22172.937</v>
      </c>
      <c r="H92" s="20" t="n">
        <v>7049.478</v>
      </c>
      <c r="I92" s="20" t="n">
        <v>6240.614</v>
      </c>
      <c r="J92" s="20" t="n">
        <v>15090.477</v>
      </c>
      <c r="K92" s="20" t="n">
        <v>18491.734</v>
      </c>
      <c r="L92" s="20" t="n">
        <v>25403.776</v>
      </c>
    </row>
    <row r="93">
      <c r="A93" s="18" t="inlineStr">
        <is>
          <t>토지</t>
        </is>
      </c>
      <c r="C93" s="20" t="n">
        <v>8432.429</v>
      </c>
      <c r="D93" s="20" t="n">
        <v>8439.662</v>
      </c>
      <c r="E93" s="20" t="n">
        <v>8442.867</v>
      </c>
      <c r="F93" s="20" t="n">
        <v>8445.249</v>
      </c>
      <c r="G93" s="20" t="n">
        <v>8440.407999999999</v>
      </c>
      <c r="H93" s="20" t="n">
        <v>6787.206</v>
      </c>
      <c r="I93" s="20" t="n">
        <v>6913.458</v>
      </c>
      <c r="J93" s="20" t="n">
        <v>6787.206</v>
      </c>
      <c r="K93" s="20" t="n">
        <v>8433.034</v>
      </c>
      <c r="L93" s="20" t="n">
        <v>8442.867</v>
      </c>
    </row>
    <row r="94">
      <c r="A94" s="18" t="inlineStr">
        <is>
          <t>리스자산</t>
        </is>
      </c>
      <c r="E94" s="20" t="n">
        <v>65.977</v>
      </c>
      <c r="H94" s="20" t="n">
        <v>18.702</v>
      </c>
      <c r="I94" s="20" t="n">
        <v>11.958</v>
      </c>
      <c r="J94" s="20" t="n">
        <v>6.768</v>
      </c>
      <c r="K94" s="20" t="n">
        <v>53.99</v>
      </c>
      <c r="L94" s="20" t="n">
        <v>65.977</v>
      </c>
    </row>
    <row r="95">
      <c r="A95" s="18" t="inlineStr">
        <is>
          <t>건설중인자산</t>
        </is>
      </c>
      <c r="C95" s="20" t="n">
        <v>21045.936</v>
      </c>
      <c r="D95" s="20" t="n">
        <v>3963.222</v>
      </c>
      <c r="E95" s="20" t="n">
        <v>4188.076</v>
      </c>
      <c r="F95" s="20" t="n">
        <v>17328.242</v>
      </c>
      <c r="G95" s="20" t="n">
        <v>17919.401</v>
      </c>
      <c r="H95" s="20" t="n">
        <v>11168.474</v>
      </c>
      <c r="I95" s="20" t="n">
        <v>30938.084</v>
      </c>
      <c r="J95" s="20" t="n">
        <v>19686.313</v>
      </c>
      <c r="K95" s="20" t="n">
        <v>19567.556</v>
      </c>
      <c r="L95" s="20" t="n">
        <v>4188.076</v>
      </c>
    </row>
    <row r="96">
      <c r="A96" s="18" t="inlineStr">
        <is>
          <t>기타</t>
        </is>
      </c>
      <c r="E96" s="20" t="n">
        <v>5318.982</v>
      </c>
      <c r="H96" s="20" t="n">
        <v>3272.118</v>
      </c>
      <c r="I96" s="20" t="n">
        <v>3831.573</v>
      </c>
      <c r="J96" s="20" t="n">
        <v>4505.891</v>
      </c>
      <c r="K96" s="20" t="n">
        <v>4899.55</v>
      </c>
      <c r="L96" s="20" t="n">
        <v>5318.982</v>
      </c>
    </row>
    <row r="97">
      <c r="A97" s="18" t="inlineStr">
        <is>
          <t>감가상각누계액</t>
        </is>
      </c>
      <c r="E97" s="20" t="n">
        <v>-4305.552</v>
      </c>
      <c r="H97" s="20" t="n">
        <v>-2832.696</v>
      </c>
      <c r="I97" s="20" t="n">
        <v>-3040.303</v>
      </c>
      <c r="J97" s="20" t="n">
        <v>-3463.787</v>
      </c>
      <c r="K97" s="20" t="n">
        <v>-3844.302</v>
      </c>
      <c r="L97" s="20" t="n">
        <v>-4305.552</v>
      </c>
    </row>
    <row r="98">
      <c r="A98" s="18" t="inlineStr">
        <is>
          <t>기타(순액)</t>
        </is>
      </c>
      <c r="C98" s="20" t="n">
        <v>941.907</v>
      </c>
      <c r="D98" s="20" t="n">
        <v>949.466</v>
      </c>
      <c r="E98" s="20" t="n">
        <v>1013.429</v>
      </c>
      <c r="F98" s="20" t="n">
        <v>974.6950000000001</v>
      </c>
      <c r="G98" s="20" t="n">
        <v>984.7809999999999</v>
      </c>
      <c r="H98" s="20" t="n">
        <v>439.421</v>
      </c>
      <c r="I98" s="20" t="n">
        <v>791.27</v>
      </c>
      <c r="J98" s="20" t="n">
        <v>1042.104</v>
      </c>
      <c r="K98" s="20" t="n">
        <v>1055.247</v>
      </c>
      <c r="L98" s="20" t="n">
        <v>1013.429</v>
      </c>
    </row>
    <row r="99">
      <c r="A99" s="18" t="inlineStr">
        <is>
          <t>유형자산 합계</t>
        </is>
      </c>
      <c r="C99" s="20" t="n">
        <v>67053.077</v>
      </c>
      <c r="D99" s="20" t="n">
        <v>64719.999</v>
      </c>
      <c r="E99" s="20" t="n">
        <v>64540.33</v>
      </c>
      <c r="F99" s="20" t="n">
        <v>75667.07000000001</v>
      </c>
      <c r="G99" s="20" t="n">
        <v>74392.106</v>
      </c>
      <c r="H99" s="20" t="n">
        <v>32662.44</v>
      </c>
      <c r="I99" s="20" t="n">
        <v>54301.501</v>
      </c>
      <c r="J99" s="20" t="n">
        <v>55305.885</v>
      </c>
      <c r="K99" s="20" t="n">
        <v>66982.58500000001</v>
      </c>
      <c r="L99" s="20" t="n">
        <v>64540.33</v>
      </c>
    </row>
    <row r="100">
      <c r="A100" s="18" t="inlineStr">
        <is>
          <t>무형자산</t>
        </is>
      </c>
      <c r="C100" s="20" t="n">
        <v>3751.406</v>
      </c>
      <c r="D100" s="20" t="n">
        <v>5875.494</v>
      </c>
      <c r="E100" s="20" t="n">
        <v>5490.989</v>
      </c>
      <c r="F100" s="20" t="n">
        <v>5147.19</v>
      </c>
      <c r="G100" s="20" t="n">
        <v>4751.72</v>
      </c>
      <c r="H100" s="20" t="n">
        <v>1714.606</v>
      </c>
      <c r="I100" s="20" t="n">
        <v>1346.426</v>
      </c>
      <c r="J100" s="20" t="n">
        <v>2940.678</v>
      </c>
      <c r="K100" s="20" t="n">
        <v>4006.424</v>
      </c>
      <c r="L100" s="20" t="n">
        <v>5490.989</v>
      </c>
    </row>
    <row r="101">
      <c r="A101" s="18" t="inlineStr">
        <is>
          <t>투자유가증권</t>
        </is>
      </c>
      <c r="C101" s="20" t="n">
        <v>805.008</v>
      </c>
      <c r="D101" s="20" t="n">
        <v>602.915</v>
      </c>
      <c r="E101" s="20" t="n">
        <v>679.817</v>
      </c>
      <c r="F101" s="20" t="n">
        <v>894.644</v>
      </c>
      <c r="G101" s="20" t="n">
        <v>764.804</v>
      </c>
      <c r="H101" s="20" t="n">
        <v>1030.246</v>
      </c>
      <c r="I101" s="20" t="n">
        <v>691.304</v>
      </c>
      <c r="J101" s="20" t="n">
        <v>885.432</v>
      </c>
      <c r="K101" s="20" t="n">
        <v>714.487</v>
      </c>
      <c r="L101" s="20" t="n">
        <v>679.817</v>
      </c>
    </row>
    <row r="102">
      <c r="A102" s="18" t="inlineStr">
        <is>
          <t>관계회사 주식</t>
        </is>
      </c>
      <c r="E102" s="20" t="n">
        <v>2269.307</v>
      </c>
      <c r="H102" s="20" t="n">
        <v>2269.307</v>
      </c>
      <c r="I102" s="20" t="n">
        <v>2269.307</v>
      </c>
      <c r="J102" s="20" t="n">
        <v>2269.307</v>
      </c>
      <c r="K102" s="20" t="n">
        <v>2269.307</v>
      </c>
      <c r="L102" s="20" t="n">
        <v>2269.307</v>
      </c>
    </row>
    <row r="103">
      <c r="A103" s="18" t="inlineStr">
        <is>
          <t>출자금</t>
        </is>
      </c>
      <c r="E103" s="20" t="n">
        <v>14.373</v>
      </c>
      <c r="H103" s="20" t="n">
        <v>14.373</v>
      </c>
      <c r="I103" s="20" t="n">
        <v>14.373</v>
      </c>
      <c r="J103" s="20" t="n">
        <v>14.373</v>
      </c>
      <c r="K103" s="20" t="n">
        <v>14.373</v>
      </c>
      <c r="L103" s="20" t="n">
        <v>14.373</v>
      </c>
    </row>
    <row r="104">
      <c r="A104" s="18" t="inlineStr">
        <is>
          <t>관계회사 출자금</t>
        </is>
      </c>
      <c r="E104" s="20" t="n">
        <v>1145.699</v>
      </c>
      <c r="H104" s="20" t="n">
        <v>1145.699</v>
      </c>
      <c r="I104" s="20" t="n">
        <v>1145.699</v>
      </c>
      <c r="J104" s="20" t="n">
        <v>1145.699</v>
      </c>
      <c r="K104" s="20" t="n">
        <v>1145.699</v>
      </c>
      <c r="L104" s="20" t="n">
        <v>1145.699</v>
      </c>
    </row>
    <row r="105">
      <c r="A105" s="18" t="inlineStr">
        <is>
          <t>장기선급비용</t>
        </is>
      </c>
      <c r="C105" s="20" t="n">
        <v>458.82</v>
      </c>
      <c r="D105" s="20" t="n">
        <v>437.555</v>
      </c>
      <c r="E105" s="20" t="n">
        <v>434.498</v>
      </c>
      <c r="F105" s="20" t="n">
        <v>391.331</v>
      </c>
      <c r="G105" s="20" t="n">
        <v>349.237</v>
      </c>
      <c r="H105" s="20" t="n">
        <v>492.355</v>
      </c>
      <c r="I105" s="20" t="n">
        <v>366.419</v>
      </c>
      <c r="J105" s="20" t="n">
        <v>224.916</v>
      </c>
      <c r="K105" s="20" t="n">
        <v>540.921</v>
      </c>
      <c r="L105" s="20" t="n">
        <v>434.498</v>
      </c>
    </row>
    <row r="106">
      <c r="A106" s="18" t="inlineStr">
        <is>
          <t>이연법인세자산</t>
        </is>
      </c>
      <c r="C106" s="20" t="n">
        <v>1593.063</v>
      </c>
      <c r="D106" s="20" t="n">
        <v>1537.628</v>
      </c>
      <c r="E106" s="20" t="n">
        <v>1897.402</v>
      </c>
      <c r="F106" s="20" t="n">
        <v>1820.485</v>
      </c>
      <c r="G106" s="20" t="n">
        <v>1820.709</v>
      </c>
      <c r="H106" s="20" t="n">
        <v>1407.75</v>
      </c>
      <c r="I106" s="20" t="n">
        <v>1173.7</v>
      </c>
      <c r="J106" s="20" t="n">
        <v>2503.548</v>
      </c>
      <c r="K106" s="20" t="n">
        <v>1720.436</v>
      </c>
      <c r="L106" s="20" t="n">
        <v>1897.402</v>
      </c>
    </row>
    <row r="107">
      <c r="A107" s="18" t="inlineStr">
        <is>
          <t>퇴직급여자산</t>
        </is>
      </c>
      <c r="C107" s="20" t="n">
        <v>232.038</v>
      </c>
      <c r="D107" s="20" t="n">
        <v>224.4</v>
      </c>
      <c r="E107" s="20" t="n">
        <v>299.86</v>
      </c>
      <c r="F107" s="20" t="n">
        <v>291.877</v>
      </c>
      <c r="G107" s="20" t="n">
        <v>283.895</v>
      </c>
      <c r="H107" s="20" t="n">
        <v>121.063</v>
      </c>
      <c r="I107" s="20" t="n">
        <v>102.262</v>
      </c>
      <c r="J107" s="20" t="n">
        <v>171.023</v>
      </c>
      <c r="K107" s="20" t="n">
        <v>247.313</v>
      </c>
      <c r="L107" s="20" t="n">
        <v>299.86</v>
      </c>
    </row>
    <row r="108">
      <c r="A108" s="18" t="inlineStr">
        <is>
          <t>기타</t>
        </is>
      </c>
      <c r="C108" s="20" t="n">
        <v>447.837</v>
      </c>
      <c r="D108" s="20" t="n">
        <v>449.394</v>
      </c>
      <c r="E108" s="20" t="n">
        <v>437.325</v>
      </c>
      <c r="F108" s="20" t="n">
        <v>437.642</v>
      </c>
      <c r="G108" s="20" t="n">
        <v>425.809</v>
      </c>
      <c r="H108" s="20" t="n">
        <v>725.051</v>
      </c>
      <c r="I108" s="20" t="n">
        <v>203.209</v>
      </c>
      <c r="J108" s="20" t="n">
        <v>596.701</v>
      </c>
      <c r="K108" s="20" t="n">
        <v>237.467</v>
      </c>
      <c r="L108" s="20" t="n">
        <v>437.325</v>
      </c>
    </row>
    <row r="109">
      <c r="A109" s="18" t="inlineStr">
        <is>
          <t>대손충당금</t>
        </is>
      </c>
      <c r="C109" s="20" t="n">
        <v>-0</v>
      </c>
      <c r="D109" s="20" t="n">
        <v>-0</v>
      </c>
      <c r="E109" s="20" t="n">
        <v>0</v>
      </c>
      <c r="H109" s="20" t="n">
        <v>-0</v>
      </c>
      <c r="I109" s="20" t="n">
        <v>-0</v>
      </c>
      <c r="J109" s="20" t="n">
        <v>-0</v>
      </c>
      <c r="K109" s="20" t="n">
        <v>-0</v>
      </c>
      <c r="L109" s="20" t="n">
        <v>0</v>
      </c>
    </row>
    <row r="110">
      <c r="A110" s="18" t="inlineStr">
        <is>
          <t>투자 및 기타자산 합계</t>
        </is>
      </c>
      <c r="C110" s="20" t="n">
        <v>3536.768</v>
      </c>
      <c r="D110" s="20" t="n">
        <v>3251.894</v>
      </c>
      <c r="E110" s="20" t="n">
        <v>3748.904</v>
      </c>
      <c r="F110" s="20" t="n">
        <v>3835.982</v>
      </c>
      <c r="G110" s="20" t="n">
        <v>3644.456</v>
      </c>
      <c r="H110" s="20" t="n">
        <v>6592.429</v>
      </c>
      <c r="I110" s="20" t="n">
        <v>2536.896</v>
      </c>
      <c r="J110" s="20" t="n">
        <v>7415.062</v>
      </c>
      <c r="K110" s="20" t="n">
        <v>3460.627</v>
      </c>
      <c r="L110" s="20" t="n">
        <v>3748.904</v>
      </c>
    </row>
    <row r="111">
      <c r="A111" s="9" t="inlineStr">
        <is>
          <t>비유동자산 합계</t>
        </is>
      </c>
      <c r="C111" s="12" t="n">
        <v>74341.25199999999</v>
      </c>
      <c r="D111" s="12" t="n">
        <v>73847.389</v>
      </c>
      <c r="E111" s="12" t="n">
        <v>73780.224</v>
      </c>
      <c r="F111" s="12" t="n">
        <v>84650.243</v>
      </c>
      <c r="G111" s="12" t="n">
        <v>82788.284</v>
      </c>
      <c r="H111" s="12" t="n">
        <v>40969.475</v>
      </c>
      <c r="I111" s="12" t="n">
        <v>58184.824</v>
      </c>
      <c r="J111" s="12" t="n">
        <v>65661.62699999999</v>
      </c>
      <c r="K111" s="12" t="n">
        <v>74449.636</v>
      </c>
      <c r="L111" s="12" t="n">
        <v>73780.224</v>
      </c>
    </row>
    <row r="112">
      <c r="A112" s="9" t="inlineStr">
        <is>
          <t>자산 합계</t>
        </is>
      </c>
      <c r="C112" s="12" t="n">
        <v>144449.873</v>
      </c>
      <c r="D112" s="12" t="n">
        <v>149422.695</v>
      </c>
      <c r="E112" s="12" t="n">
        <v>152256.278</v>
      </c>
      <c r="F112" s="12" t="n">
        <v>166829.636</v>
      </c>
      <c r="G112" s="12" t="n">
        <v>171810.359</v>
      </c>
      <c r="H112" s="12" t="n">
        <v>84011.52899999999</v>
      </c>
      <c r="I112" s="12" t="n">
        <v>113528.872</v>
      </c>
      <c r="J112" s="12" t="n">
        <v>121504.661</v>
      </c>
      <c r="K112" s="12" t="n">
        <v>141502.071</v>
      </c>
      <c r="L112" s="12" t="n">
        <v>152256.278</v>
      </c>
    </row>
    <row r="113">
      <c r="A113" s="18" t="inlineStr">
        <is>
          <t>지급어음</t>
        </is>
      </c>
      <c r="H113" s="20" t="n">
        <v>1.876</v>
      </c>
      <c r="I113" s="20" t="n">
        <v>6.774</v>
      </c>
      <c r="J113" s="20" t="n">
        <v>12.03</v>
      </c>
      <c r="K113" s="20" t="n">
        <v>0</v>
      </c>
    </row>
    <row r="114">
      <c r="A114" s="18" t="inlineStr">
        <is>
          <t>지급어음·매입채무</t>
        </is>
      </c>
      <c r="C114" s="20" t="n">
        <v>2968.632</v>
      </c>
      <c r="D114" s="20" t="n">
        <v>2641.505</v>
      </c>
      <c r="H114" s="20" t="n">
        <v>3039.108</v>
      </c>
      <c r="I114" s="20" t="n">
        <v>3294.849</v>
      </c>
      <c r="J114" s="20" t="n">
        <v>2359.211</v>
      </c>
      <c r="K114" s="20" t="n">
        <v>3073.443</v>
      </c>
    </row>
    <row r="115">
      <c r="A115" s="18" t="inlineStr">
        <is>
          <t>매입채무</t>
        </is>
      </c>
      <c r="E115" s="20" t="n">
        <v>2836.663</v>
      </c>
      <c r="F115" s="20" t="n">
        <v>3304.236</v>
      </c>
      <c r="G115" s="20" t="n">
        <v>3655.977</v>
      </c>
      <c r="H115" s="20" t="n">
        <v>3859.611</v>
      </c>
      <c r="I115" s="20" t="n">
        <v>3190.61</v>
      </c>
      <c r="J115" s="20" t="n">
        <v>2375.457</v>
      </c>
      <c r="K115" s="20" t="n">
        <v>3073.443</v>
      </c>
      <c r="L115" s="20" t="n">
        <v>2836.663</v>
      </c>
    </row>
    <row r="116">
      <c r="A116" s="18" t="inlineStr">
        <is>
          <t>1년 내 상환 장기차입금</t>
        </is>
      </c>
      <c r="C116" s="20" t="n">
        <v>4000</v>
      </c>
      <c r="D116" s="20" t="n">
        <v>4000</v>
      </c>
      <c r="E116" s="20" t="n">
        <v>4000</v>
      </c>
      <c r="F116" s="20" t="n">
        <v>4000</v>
      </c>
      <c r="G116" s="20" t="n">
        <v>4000</v>
      </c>
      <c r="J116" s="20" t="n">
        <v>0</v>
      </c>
      <c r="K116" s="20" t="n">
        <v>3100</v>
      </c>
      <c r="L116" s="20" t="n">
        <v>4000</v>
      </c>
    </row>
    <row r="117">
      <c r="A117" s="18" t="inlineStr">
        <is>
          <t>미지급금</t>
        </is>
      </c>
      <c r="C117" s="20" t="n">
        <v>2606.599</v>
      </c>
      <c r="D117" s="20" t="n">
        <v>2169.125</v>
      </c>
      <c r="E117" s="20" t="n">
        <v>2684.275</v>
      </c>
      <c r="F117" s="20" t="n">
        <v>3109.908</v>
      </c>
      <c r="G117" s="20" t="n">
        <v>2647.954</v>
      </c>
      <c r="H117" s="20" t="n">
        <v>1580.893</v>
      </c>
      <c r="I117" s="20" t="n">
        <v>1983.822</v>
      </c>
      <c r="J117" s="20" t="n">
        <v>1718.305</v>
      </c>
      <c r="K117" s="20" t="n">
        <v>2625.862</v>
      </c>
      <c r="L117" s="20" t="n">
        <v>2684.275</v>
      </c>
    </row>
    <row r="118">
      <c r="A118" s="18" t="inlineStr">
        <is>
          <t>설비관련 미지급금</t>
        </is>
      </c>
      <c r="C118" s="20" t="n">
        <v>3726.584</v>
      </c>
      <c r="D118" s="20" t="n">
        <v>7113.917</v>
      </c>
      <c r="E118" s="20" t="n">
        <v>5429.273</v>
      </c>
      <c r="F118" s="20" t="n">
        <v>14045.08</v>
      </c>
      <c r="G118" s="20" t="n">
        <v>13798.962</v>
      </c>
      <c r="H118" s="20" t="n">
        <v>4900.333</v>
      </c>
      <c r="I118" s="20" t="n">
        <v>13775.37</v>
      </c>
      <c r="J118" s="20" t="n">
        <v>9281.253000000001</v>
      </c>
      <c r="K118" s="20" t="n">
        <v>6207.343</v>
      </c>
      <c r="L118" s="20" t="n">
        <v>5429.273</v>
      </c>
    </row>
    <row r="119">
      <c r="A119" s="18" t="inlineStr">
        <is>
          <t>미지급비용</t>
        </is>
      </c>
      <c r="E119" s="20" t="n">
        <v>249.729</v>
      </c>
      <c r="H119" s="20" t="n">
        <v>180.899</v>
      </c>
      <c r="I119" s="20" t="n">
        <v>198.332</v>
      </c>
      <c r="J119" s="20" t="n">
        <v>226.722</v>
      </c>
      <c r="K119" s="20" t="n">
        <v>219.154</v>
      </c>
      <c r="L119" s="20" t="n">
        <v>249.729</v>
      </c>
    </row>
    <row r="120">
      <c r="A120" s="18" t="inlineStr">
        <is>
          <t>미지급법인세</t>
        </is>
      </c>
      <c r="C120" s="20" t="n">
        <v>2714.416</v>
      </c>
      <c r="D120" s="20" t="n">
        <v>2336.974</v>
      </c>
      <c r="E120" s="20" t="n">
        <v>3056.555</v>
      </c>
      <c r="F120" s="20" t="n">
        <v>3315.862</v>
      </c>
      <c r="G120" s="20" t="n">
        <v>5032.38</v>
      </c>
      <c r="H120" s="20" t="n">
        <v>2920.552</v>
      </c>
      <c r="I120" s="20" t="n">
        <v>3301.849</v>
      </c>
      <c r="J120" s="20" t="n">
        <v>1182.088</v>
      </c>
      <c r="K120" s="20" t="n">
        <v>1847.953</v>
      </c>
      <c r="L120" s="20" t="n">
        <v>3056.555</v>
      </c>
    </row>
    <row r="121">
      <c r="A121" s="18" t="inlineStr">
        <is>
          <t>상여충당금</t>
        </is>
      </c>
      <c r="C121" s="20" t="n">
        <v>693.609</v>
      </c>
      <c r="D121" s="20" t="n">
        <v>432.107</v>
      </c>
      <c r="E121" s="20" t="n">
        <v>691.096</v>
      </c>
      <c r="F121" s="20" t="n">
        <v>428.881</v>
      </c>
      <c r="G121" s="20" t="n">
        <v>804.849</v>
      </c>
      <c r="H121" s="20" t="n">
        <v>592.5839999999999</v>
      </c>
      <c r="I121" s="20" t="n">
        <v>690.054</v>
      </c>
      <c r="J121" s="20" t="n">
        <v>516.849</v>
      </c>
      <c r="K121" s="20" t="n">
        <v>620.29</v>
      </c>
      <c r="L121" s="20" t="n">
        <v>691.096</v>
      </c>
    </row>
    <row r="122">
      <c r="A122" s="18" t="inlineStr">
        <is>
          <t>임원 상여충당금</t>
        </is>
      </c>
      <c r="C122" s="20" t="n">
        <v>71.352</v>
      </c>
      <c r="D122" s="20" t="n">
        <v>109.175</v>
      </c>
      <c r="E122" s="20" t="n">
        <v>95.61199999999999</v>
      </c>
      <c r="F122" s="20" t="n">
        <v>40.248</v>
      </c>
      <c r="G122" s="20" t="n">
        <v>75.877</v>
      </c>
      <c r="H122" s="20" t="n">
        <v>65.59999999999999</v>
      </c>
      <c r="I122" s="20" t="n">
        <v>71.8</v>
      </c>
      <c r="J122" s="20" t="n">
        <v>35.7</v>
      </c>
      <c r="K122" s="20" t="n">
        <v>52.35</v>
      </c>
      <c r="L122" s="20" t="n">
        <v>95.61199999999999</v>
      </c>
    </row>
    <row r="123">
      <c r="A123" s="18" t="inlineStr">
        <is>
          <t>수선충당금</t>
        </is>
      </c>
      <c r="C123" s="20" t="n">
        <v>188.254</v>
      </c>
      <c r="D123" s="20" t="n">
        <v>382.125</v>
      </c>
      <c r="E123" s="20" t="n">
        <v>506.796</v>
      </c>
      <c r="F123" s="20" t="n">
        <v>448.224</v>
      </c>
      <c r="G123" s="20" t="n">
        <v>197.489</v>
      </c>
      <c r="H123" s="20" t="n">
        <v>373.514</v>
      </c>
      <c r="I123" s="20" t="n">
        <v>356.024</v>
      </c>
      <c r="J123" s="20" t="n">
        <v>374.078</v>
      </c>
      <c r="K123" s="20" t="n">
        <v>451.633</v>
      </c>
      <c r="L123" s="20" t="n">
        <v>506.796</v>
      </c>
    </row>
    <row r="124">
      <c r="A124" s="18" t="inlineStr">
        <is>
          <t>기타</t>
        </is>
      </c>
      <c r="C124" s="20" t="n">
        <v>750.503</v>
      </c>
      <c r="D124" s="20" t="n">
        <v>1036.971</v>
      </c>
      <c r="E124" s="20" t="n">
        <v>543.856</v>
      </c>
      <c r="F124" s="20" t="n">
        <v>939.347</v>
      </c>
      <c r="G124" s="20" t="n">
        <v>946.2859999999999</v>
      </c>
      <c r="H124" s="20" t="n">
        <v>260.046</v>
      </c>
      <c r="I124" s="20" t="n">
        <v>434.899</v>
      </c>
      <c r="J124" s="20" t="n">
        <v>181.891</v>
      </c>
      <c r="K124" s="20" t="n">
        <v>510.725</v>
      </c>
      <c r="L124" s="20" t="n">
        <v>543.856</v>
      </c>
    </row>
    <row r="125">
      <c r="A125" s="9" t="inlineStr">
        <is>
          <t>유동부채 합계</t>
        </is>
      </c>
      <c r="C125" s="12" t="n">
        <v>17719.952</v>
      </c>
      <c r="D125" s="12" t="n">
        <v>20221.903</v>
      </c>
      <c r="E125" s="12" t="n">
        <v>19844.13</v>
      </c>
      <c r="F125" s="12" t="n">
        <v>29631.79</v>
      </c>
      <c r="G125" s="12" t="n">
        <v>31159.777</v>
      </c>
      <c r="H125" s="12" t="n">
        <v>14735.91</v>
      </c>
      <c r="I125" s="12" t="n">
        <v>23908.669</v>
      </c>
      <c r="J125" s="12" t="n">
        <v>15904.377</v>
      </c>
      <c r="K125" s="12" t="n">
        <v>18489.603</v>
      </c>
      <c r="L125" s="12" t="n">
        <v>19844.13</v>
      </c>
    </row>
    <row r="126">
      <c r="A126" s="18" t="inlineStr">
        <is>
          <t>장기차입금</t>
        </is>
      </c>
      <c r="C126" s="20" t="n">
        <v>14900</v>
      </c>
      <c r="D126" s="20" t="n">
        <v>14000</v>
      </c>
      <c r="E126" s="20" t="n">
        <v>12900</v>
      </c>
      <c r="F126" s="20" t="n">
        <v>11900</v>
      </c>
      <c r="G126" s="20" t="n">
        <v>10900</v>
      </c>
      <c r="I126" s="20" t="n">
        <v>0</v>
      </c>
      <c r="J126" s="20" t="n">
        <v>20000</v>
      </c>
      <c r="K126" s="20" t="n">
        <v>16900</v>
      </c>
      <c r="L126" s="20" t="n">
        <v>12900</v>
      </c>
    </row>
    <row r="127">
      <c r="A127" s="18" t="inlineStr">
        <is>
          <t>퇴직급여충당금</t>
        </is>
      </c>
      <c r="E127" s="20" t="n">
        <v>1465.305</v>
      </c>
      <c r="H127" s="20" t="n">
        <v>1552.825</v>
      </c>
      <c r="I127" s="20" t="n">
        <v>1620.894</v>
      </c>
      <c r="J127" s="20" t="n">
        <v>1687.595</v>
      </c>
      <c r="K127" s="20" t="n">
        <v>1458.466</v>
      </c>
      <c r="L127" s="20" t="n">
        <v>1465.305</v>
      </c>
    </row>
    <row r="128">
      <c r="A128" s="18" t="inlineStr">
        <is>
          <t>이연법인세부채</t>
        </is>
      </c>
      <c r="C128" s="20" t="n">
        <v>304.438</v>
      </c>
      <c r="D128" s="20" t="n">
        <v>322.07</v>
      </c>
      <c r="E128" s="20" t="n">
        <v>394.174</v>
      </c>
      <c r="F128" s="20" t="n">
        <v>396.589</v>
      </c>
      <c r="G128" s="20" t="n">
        <v>379.167</v>
      </c>
      <c r="H128" s="20" t="n">
        <v>187.187</v>
      </c>
      <c r="I128" s="20" t="n">
        <v>191.191</v>
      </c>
      <c r="J128" s="20" t="n">
        <v>298.524</v>
      </c>
      <c r="K128" s="20" t="n">
        <v>303.532</v>
      </c>
      <c r="L128" s="20" t="n">
        <v>394.174</v>
      </c>
    </row>
    <row r="129">
      <c r="A129" s="18" t="inlineStr">
        <is>
          <t>퇴직급여부채</t>
        </is>
      </c>
      <c r="C129" s="20" t="n">
        <v>1442.64</v>
      </c>
      <c r="D129" s="20" t="n">
        <v>1443.97</v>
      </c>
      <c r="E129" s="20" t="n">
        <v>1472.003</v>
      </c>
      <c r="F129" s="20" t="n">
        <v>1478.17</v>
      </c>
      <c r="G129" s="20" t="n">
        <v>1492.291</v>
      </c>
      <c r="H129" s="20" t="n">
        <v>1555.891</v>
      </c>
      <c r="I129" s="20" t="n">
        <v>1624.715</v>
      </c>
      <c r="J129" s="20" t="n">
        <v>1691.884</v>
      </c>
      <c r="K129" s="20" t="n">
        <v>1463.632</v>
      </c>
      <c r="L129" s="20" t="n">
        <v>1472.003</v>
      </c>
    </row>
    <row r="130">
      <c r="A130" s="18" t="inlineStr">
        <is>
          <t>자산복구부채</t>
        </is>
      </c>
      <c r="C130" s="20" t="n">
        <v>17.924</v>
      </c>
      <c r="D130" s="20" t="n">
        <v>17.924</v>
      </c>
      <c r="E130" s="20" t="n">
        <v>155.418</v>
      </c>
      <c r="F130" s="20" t="n">
        <v>153.289</v>
      </c>
      <c r="G130" s="20" t="n">
        <v>153.289</v>
      </c>
      <c r="H130" s="20" t="n">
        <v>8.289</v>
      </c>
      <c r="I130" s="20" t="n">
        <v>27.974</v>
      </c>
      <c r="J130" s="20" t="n">
        <v>17.924</v>
      </c>
      <c r="K130" s="20" t="n">
        <v>17.924</v>
      </c>
      <c r="L130" s="20" t="n">
        <v>155.418</v>
      </c>
    </row>
    <row r="131">
      <c r="A131" s="18" t="inlineStr">
        <is>
          <t>Long Term Accounts Payable Facilities</t>
        </is>
      </c>
      <c r="C131" s="20" t="n">
        <v>130.478</v>
      </c>
      <c r="D131" s="20" t="n">
        <v>126.785</v>
      </c>
      <c r="E131" s="20" t="n">
        <v>123.092</v>
      </c>
      <c r="F131" s="20" t="n">
        <v>119.399</v>
      </c>
      <c r="G131" s="20" t="n">
        <v>115.706</v>
      </c>
      <c r="H131" s="20" t="n">
        <v>182.18</v>
      </c>
      <c r="I131" s="20" t="n">
        <v>167.408</v>
      </c>
      <c r="J131" s="20" t="n">
        <v>152.636</v>
      </c>
      <c r="K131" s="20" t="n">
        <v>137.864</v>
      </c>
      <c r="L131" s="20" t="n">
        <v>123.092</v>
      </c>
    </row>
    <row r="132">
      <c r="A132" s="18" t="inlineStr">
        <is>
          <t>기타</t>
        </is>
      </c>
      <c r="C132" s="20" t="n">
        <v>146.279</v>
      </c>
      <c r="D132" s="20" t="n">
        <v>147.391</v>
      </c>
      <c r="E132" s="20" t="n">
        <v>150.536</v>
      </c>
      <c r="F132" s="20" t="n">
        <v>145.777</v>
      </c>
      <c r="G132" s="20" t="n">
        <v>141.448</v>
      </c>
      <c r="H132" s="20" t="n">
        <v>113.492</v>
      </c>
      <c r="I132" s="20" t="n">
        <v>106.088</v>
      </c>
      <c r="J132" s="20" t="n">
        <v>111.693</v>
      </c>
      <c r="K132" s="20" t="n">
        <v>140.535</v>
      </c>
      <c r="L132" s="20" t="n">
        <v>150.536</v>
      </c>
    </row>
    <row r="133">
      <c r="A133" s="9" t="inlineStr">
        <is>
          <t>비유동부채 합계</t>
        </is>
      </c>
      <c r="C133" s="12" t="n">
        <v>16941.762</v>
      </c>
      <c r="D133" s="12" t="n">
        <v>16058.143</v>
      </c>
      <c r="E133" s="12" t="n">
        <v>15195.224</v>
      </c>
      <c r="F133" s="12" t="n">
        <v>14193.227</v>
      </c>
      <c r="G133" s="12" t="n">
        <v>13181.904</v>
      </c>
      <c r="H133" s="12" t="n">
        <v>1848.497</v>
      </c>
      <c r="I133" s="12" t="n">
        <v>2117.377</v>
      </c>
      <c r="J133" s="12" t="n">
        <v>21951.925</v>
      </c>
      <c r="K133" s="12" t="n">
        <v>18963.49</v>
      </c>
      <c r="L133" s="12" t="n">
        <v>15195.224</v>
      </c>
    </row>
    <row r="134">
      <c r="A134" s="9" t="inlineStr">
        <is>
          <t>부채 합계</t>
        </is>
      </c>
      <c r="C134" s="12" t="n">
        <v>34661.714</v>
      </c>
      <c r="D134" s="12" t="n">
        <v>36280.047</v>
      </c>
      <c r="E134" s="12" t="n">
        <v>35039.354</v>
      </c>
      <c r="F134" s="12" t="n">
        <v>43825.017</v>
      </c>
      <c r="G134" s="12" t="n">
        <v>44341.682</v>
      </c>
      <c r="H134" s="12" t="n">
        <v>16584.408</v>
      </c>
      <c r="I134" s="12" t="n">
        <v>26026.047</v>
      </c>
      <c r="J134" s="12" t="n">
        <v>37856.303</v>
      </c>
      <c r="K134" s="12" t="n">
        <v>37453.093</v>
      </c>
      <c r="L134" s="12" t="n">
        <v>35039.354</v>
      </c>
    </row>
    <row r="135">
      <c r="A135" s="18" t="inlineStr">
        <is>
          <t>자본금</t>
        </is>
      </c>
      <c r="C135" s="20" t="n">
        <v>4334.047</v>
      </c>
      <c r="D135" s="20" t="n">
        <v>4334.047</v>
      </c>
      <c r="E135" s="20" t="n">
        <v>4334.047</v>
      </c>
      <c r="F135" s="20" t="n">
        <v>4334.047</v>
      </c>
      <c r="G135" s="20" t="n">
        <v>4334.047</v>
      </c>
      <c r="H135" s="20" t="n">
        <v>4334.047</v>
      </c>
      <c r="I135" s="20" t="n">
        <v>4334.047</v>
      </c>
      <c r="J135" s="20" t="n">
        <v>4334.047</v>
      </c>
      <c r="K135" s="20" t="n">
        <v>4334.047</v>
      </c>
      <c r="L135" s="20" t="n">
        <v>4334.047</v>
      </c>
    </row>
    <row r="136">
      <c r="A136" s="18" t="inlineStr">
        <is>
          <t>자본준비금</t>
        </is>
      </c>
      <c r="E136" s="20" t="n">
        <v>4820.722</v>
      </c>
      <c r="H136" s="20" t="n">
        <v>4820.722</v>
      </c>
      <c r="I136" s="20" t="n">
        <v>4820.722</v>
      </c>
      <c r="J136" s="20" t="n">
        <v>4820.722</v>
      </c>
      <c r="K136" s="20" t="n">
        <v>4820.722</v>
      </c>
      <c r="L136" s="20" t="n">
        <v>4820.722</v>
      </c>
    </row>
    <row r="137">
      <c r="A137" s="18" t="inlineStr">
        <is>
          <t>자본잉여금</t>
        </is>
      </c>
      <c r="C137" s="20" t="n">
        <v>4820.722</v>
      </c>
      <c r="D137" s="20" t="n">
        <v>4820.722</v>
      </c>
      <c r="E137" s="20" t="n">
        <v>4820.722</v>
      </c>
      <c r="F137" s="20" t="n">
        <v>4829.317</v>
      </c>
      <c r="G137" s="20" t="n">
        <v>4826.152</v>
      </c>
      <c r="H137" s="20" t="n">
        <v>4820.722</v>
      </c>
      <c r="I137" s="20" t="n">
        <v>4820.722</v>
      </c>
      <c r="J137" s="20" t="n">
        <v>4820.722</v>
      </c>
      <c r="K137" s="20" t="n">
        <v>4820.722</v>
      </c>
      <c r="L137" s="20" t="n">
        <v>4820.722</v>
      </c>
    </row>
    <row r="138">
      <c r="A138" s="18" t="inlineStr">
        <is>
          <t>이익준비금</t>
        </is>
      </c>
      <c r="E138" s="20" t="n">
        <v>103.68</v>
      </c>
      <c r="H138" s="20" t="n">
        <v>103.68</v>
      </c>
      <c r="I138" s="20" t="n">
        <v>103.68</v>
      </c>
      <c r="J138" s="20" t="n">
        <v>103.68</v>
      </c>
      <c r="K138" s="20" t="n">
        <v>103.68</v>
      </c>
      <c r="L138" s="20" t="n">
        <v>103.68</v>
      </c>
    </row>
    <row r="139">
      <c r="A139" s="18" t="inlineStr">
        <is>
          <t>압축 적립금</t>
        </is>
      </c>
      <c r="E139" s="20" t="n">
        <v>62.767</v>
      </c>
      <c r="H139" s="20" t="n">
        <v>83.631</v>
      </c>
      <c r="I139" s="20" t="n">
        <v>78.619</v>
      </c>
      <c r="J139" s="20" t="n">
        <v>73.607</v>
      </c>
      <c r="K139" s="20" t="n">
        <v>67.779</v>
      </c>
      <c r="L139" s="20" t="n">
        <v>62.767</v>
      </c>
    </row>
    <row r="140">
      <c r="A140" s="18" t="inlineStr">
        <is>
          <t>별도적립금</t>
        </is>
      </c>
      <c r="E140" s="20" t="n">
        <v>8233.978999999999</v>
      </c>
      <c r="H140" s="20" t="n">
        <v>8233.978999999999</v>
      </c>
      <c r="I140" s="20" t="n">
        <v>8233.978999999999</v>
      </c>
      <c r="J140" s="20" t="n">
        <v>8233.978999999999</v>
      </c>
      <c r="K140" s="20" t="n">
        <v>8233.978999999999</v>
      </c>
      <c r="L140" s="20" t="n">
        <v>8233.978999999999</v>
      </c>
    </row>
    <row r="141">
      <c r="A141" s="18" t="inlineStr">
        <is>
          <t>이월이익잉여금</t>
        </is>
      </c>
      <c r="E141" s="20" t="n">
        <v>87179.41099999999</v>
      </c>
      <c r="H141" s="20" t="n">
        <v>50519.805</v>
      </c>
      <c r="I141" s="20" t="n">
        <v>61452.325</v>
      </c>
      <c r="J141" s="20" t="n">
        <v>66863.768</v>
      </c>
      <c r="K141" s="20" t="n">
        <v>75321.38099999999</v>
      </c>
      <c r="L141" s="20" t="n">
        <v>87179.41099999999</v>
      </c>
    </row>
    <row r="142">
      <c r="A142" s="18" t="inlineStr">
        <is>
          <t>이익잉여금</t>
        </is>
      </c>
      <c r="C142" s="20" t="n">
        <v>96927.07399999999</v>
      </c>
      <c r="D142" s="20" t="n">
        <v>99298.04700000001</v>
      </c>
      <c r="E142" s="20" t="n">
        <v>102917.629</v>
      </c>
      <c r="F142" s="20" t="n">
        <v>108160.641</v>
      </c>
      <c r="G142" s="20" t="n">
        <v>113134.346</v>
      </c>
      <c r="H142" s="20" t="n">
        <v>58941.095</v>
      </c>
      <c r="I142" s="20" t="n">
        <v>76183.899</v>
      </c>
      <c r="J142" s="20" t="n">
        <v>75275.034</v>
      </c>
      <c r="K142" s="20" t="n">
        <v>91405.565</v>
      </c>
      <c r="L142" s="20" t="n">
        <v>102917.629</v>
      </c>
    </row>
    <row r="143">
      <c r="A143" s="18" t="inlineStr">
        <is>
          <t>자기주식</t>
        </is>
      </c>
      <c r="C143" s="20" t="n">
        <v>-1022.269</v>
      </c>
      <c r="D143" s="20" t="n">
        <v>-1021.523</v>
      </c>
      <c r="E143" s="20" t="n">
        <v>-1021.523</v>
      </c>
      <c r="F143" s="20" t="n">
        <v>-1021.523</v>
      </c>
      <c r="G143" s="20" t="n">
        <v>-1009.906</v>
      </c>
      <c r="H143" s="20" t="n">
        <v>-1112.561</v>
      </c>
      <c r="I143" s="20" t="n">
        <v>-1112.711</v>
      </c>
      <c r="J143" s="20" t="n">
        <v>-1087.246</v>
      </c>
      <c r="K143" s="20" t="n">
        <v>-1057.033</v>
      </c>
      <c r="L143" s="20" t="n">
        <v>-1021.523</v>
      </c>
    </row>
    <row r="144">
      <c r="A144" s="9" t="inlineStr">
        <is>
          <t>주주자본 합계</t>
        </is>
      </c>
      <c r="C144" s="12" t="n">
        <v>105059.574</v>
      </c>
      <c r="D144" s="12" t="n">
        <v>107431.293</v>
      </c>
      <c r="E144" s="12" t="n">
        <v>111050.875</v>
      </c>
      <c r="F144" s="12" t="n">
        <v>116302.483</v>
      </c>
      <c r="G144" s="12" t="n">
        <v>121284.64</v>
      </c>
      <c r="H144" s="12" t="n">
        <v>66983.304</v>
      </c>
      <c r="I144" s="12" t="n">
        <v>84225.95699999999</v>
      </c>
      <c r="J144" s="12" t="n">
        <v>83342.557</v>
      </c>
      <c r="K144" s="12" t="n">
        <v>99503.30100000001</v>
      </c>
      <c r="L144" s="12" t="n">
        <v>111050.875</v>
      </c>
    </row>
    <row r="145">
      <c r="A145" s="18" t="inlineStr">
        <is>
          <t>기타유가증권 평가차액</t>
        </is>
      </c>
      <c r="C145" s="20" t="n">
        <v>233.907</v>
      </c>
      <c r="D145" s="20" t="n">
        <v>132.87</v>
      </c>
      <c r="E145" s="20" t="n">
        <v>157.089</v>
      </c>
      <c r="F145" s="20" t="n">
        <v>304.184</v>
      </c>
      <c r="G145" s="20" t="n">
        <v>220.929</v>
      </c>
      <c r="H145" s="20" t="n">
        <v>421.137</v>
      </c>
      <c r="I145" s="20" t="n">
        <v>188.739</v>
      </c>
      <c r="J145" s="20" t="n">
        <v>288.741</v>
      </c>
      <c r="K145" s="20" t="n">
        <v>191.889</v>
      </c>
      <c r="L145" s="20" t="n">
        <v>157.089</v>
      </c>
    </row>
    <row r="146">
      <c r="A146" s="18" t="inlineStr">
        <is>
          <t>이연헤지손익</t>
        </is>
      </c>
      <c r="C146" s="20" t="n">
        <v>11.097</v>
      </c>
      <c r="D146" s="20" t="n">
        <v>13.879</v>
      </c>
      <c r="E146" s="20" t="n">
        <v>17.415</v>
      </c>
      <c r="F146" s="20" t="n">
        <v>13.244</v>
      </c>
      <c r="G146" s="20" t="n">
        <v>1.716</v>
      </c>
      <c r="H146" s="20" t="n">
        <v>22.679</v>
      </c>
      <c r="I146" s="20" t="n">
        <v>-3.019</v>
      </c>
      <c r="J146" s="20" t="n">
        <v>17.058</v>
      </c>
      <c r="K146" s="20" t="n">
        <v>8.682</v>
      </c>
      <c r="L146" s="20" t="n">
        <v>17.415</v>
      </c>
    </row>
    <row r="147">
      <c r="A147" s="18" t="inlineStr">
        <is>
          <t>해외사업환산조정</t>
        </is>
      </c>
      <c r="C147" s="20" t="n">
        <v>4483.579</v>
      </c>
      <c r="D147" s="20" t="n">
        <v>5564.604</v>
      </c>
      <c r="E147" s="20" t="n">
        <v>5991.543</v>
      </c>
      <c r="F147" s="20" t="n">
        <v>6384.705</v>
      </c>
      <c r="G147" s="20" t="n">
        <v>5961.392</v>
      </c>
      <c r="H147" s="20" t="n">
        <v>2631.711</v>
      </c>
      <c r="I147" s="20" t="n">
        <v>3091.146</v>
      </c>
      <c r="J147" s="20" t="n">
        <v>4463.249</v>
      </c>
      <c r="K147" s="20" t="n">
        <v>4345.103</v>
      </c>
      <c r="L147" s="20" t="n">
        <v>5991.543</v>
      </c>
    </row>
    <row r="148">
      <c r="A148" s="18" t="inlineStr">
        <is>
          <t>기타포괄손익누계액 합계</t>
        </is>
      </c>
      <c r="C148" s="20" t="n">
        <v>4728.584</v>
      </c>
      <c r="D148" s="20" t="n">
        <v>5711.354</v>
      </c>
      <c r="E148" s="20" t="n">
        <v>6166.047</v>
      </c>
      <c r="F148" s="20" t="n">
        <v>6702.135</v>
      </c>
      <c r="G148" s="20" t="n">
        <v>6184.037</v>
      </c>
      <c r="H148" s="20" t="n">
        <v>443.816</v>
      </c>
      <c r="I148" s="20" t="n">
        <v>3276.866</v>
      </c>
      <c r="J148" s="20" t="n">
        <v>305.799</v>
      </c>
      <c r="K148" s="20" t="n">
        <v>4545.676</v>
      </c>
      <c r="L148" s="20" t="n">
        <v>6166.047</v>
      </c>
    </row>
    <row r="149">
      <c r="A149" s="9" t="inlineStr">
        <is>
          <t>순자산 합계</t>
        </is>
      </c>
      <c r="C149" s="12" t="n">
        <v>109788.158</v>
      </c>
      <c r="D149" s="12" t="n">
        <v>113142.647</v>
      </c>
      <c r="E149" s="12" t="n">
        <v>117216.923</v>
      </c>
      <c r="F149" s="12" t="n">
        <v>123004.618</v>
      </c>
      <c r="G149" s="12" t="n">
        <v>127468.677</v>
      </c>
      <c r="H149" s="12" t="n">
        <v>67427.121</v>
      </c>
      <c r="I149" s="12" t="n">
        <v>87502.82399999999</v>
      </c>
      <c r="J149" s="12" t="n">
        <v>83648.357</v>
      </c>
      <c r="K149" s="12" t="n">
        <v>104048.977</v>
      </c>
      <c r="L149" s="12" t="n">
        <v>117216.923</v>
      </c>
    </row>
    <row r="150">
      <c r="A150" s="9" t="inlineStr">
        <is>
          <t>부채·순자산 합계</t>
        </is>
      </c>
      <c r="C150" s="12" t="n">
        <v>144449.873</v>
      </c>
      <c r="D150" s="12" t="n">
        <v>149422.695</v>
      </c>
      <c r="E150" s="12" t="n">
        <v>152256.278</v>
      </c>
      <c r="F150" s="12" t="n">
        <v>166829.636</v>
      </c>
      <c r="G150" s="12" t="n">
        <v>171810.359</v>
      </c>
      <c r="H150" s="12" t="n">
        <v>84011.52899999999</v>
      </c>
      <c r="I150" s="12" t="n">
        <v>113528.872</v>
      </c>
      <c r="J150" s="12" t="n">
        <v>121504.661</v>
      </c>
      <c r="K150" s="12" t="n">
        <v>141502.071</v>
      </c>
      <c r="L150" s="12" t="n">
        <v>152256.278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44" customWidth="1" min="14" max="14"/>
  </cols>
  <sheetData>
    <row r="1">
      <c r="A1" s="50" t="inlineStr">
        <is>
          <t>4368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current filing · 상반기</t>
        </is>
      </c>
      <c r="B4" s="52" t="n"/>
      <c r="C4" s="52" t="n"/>
      <c r="D4" s="52" t="n"/>
      <c r="E4" s="52" t="n"/>
      <c r="F4" s="52" t="n"/>
      <c r="G4" s="52" t="n"/>
      <c r="H4" s="52" t="n"/>
      <c r="I4" s="52" t="n"/>
      <c r="J4" s="52" t="n"/>
      <c r="K4" s="52" t="n"/>
      <c r="L4" s="52" t="n"/>
      <c r="M4" s="52" t="n"/>
      <c r="N4" s="52" t="n"/>
    </row>
    <row r="5">
      <c r="A5" s="53" t="inlineStr">
        <is>
          <t>항목</t>
        </is>
      </c>
      <c r="B5" s="53" t="inlineStr">
        <is>
          <t>값</t>
        </is>
      </c>
      <c r="N5" s="53" t="inlineStr">
        <is>
          <t>출처</t>
        </is>
      </c>
    </row>
    <row r="6">
      <c r="A6" s="54" t="inlineStr">
        <is>
          <t>매출</t>
        </is>
      </c>
      <c r="B6" s="55" t="n">
        <v>456</v>
      </c>
      <c r="N6" s="56" t="inlineStr">
        <is>
          <t>2단계 보고서 자료(회사 설명회 자료·공시)</t>
        </is>
      </c>
    </row>
    <row r="7">
      <c r="A7" s="54" t="inlineStr">
        <is>
          <t>매출 YoY</t>
        </is>
      </c>
      <c r="B7" s="55" t="n">
        <v>20.9</v>
      </c>
    </row>
    <row r="8">
      <c r="A8" s="54" t="inlineStr">
        <is>
          <t>영업이익</t>
        </is>
      </c>
      <c r="B8" s="55" t="n">
        <v>132.9</v>
      </c>
    </row>
    <row r="9">
      <c r="A9" s="54" t="inlineStr">
        <is>
          <t>영업이익 YoY</t>
        </is>
      </c>
      <c r="B9" s="55" t="n">
        <v>36.4</v>
      </c>
    </row>
    <row r="10">
      <c r="A10" s="54" t="inlineStr">
        <is>
          <t>ord</t>
        </is>
      </c>
      <c r="B10" s="55" t="n">
        <v>133.6</v>
      </c>
    </row>
    <row r="11">
      <c r="A11" s="54" t="inlineStr">
        <is>
          <t>순이익</t>
        </is>
      </c>
      <c r="B11" s="55" t="n">
        <v>116.6</v>
      </c>
    </row>
    <row r="12">
      <c r="A12" s="54" t="inlineStr">
        <is>
          <t>순이익 YoY</t>
        </is>
      </c>
      <c r="B12" s="55" t="n">
        <v>69.5</v>
      </c>
    </row>
    <row r="13">
      <c r="A13" s="54" t="inlineStr">
        <is>
          <t>EPS</t>
        </is>
      </c>
      <c r="B13" s="55" t="n">
        <v>110.23</v>
      </c>
    </row>
    <row r="15">
      <c r="A15" s="52" t="inlineStr">
        <is>
          <t>current filing · 2Q</t>
        </is>
      </c>
      <c r="B15" s="52" t="n"/>
      <c r="C15" s="52" t="n"/>
      <c r="D15" s="52" t="n"/>
      <c r="E15" s="52" t="n"/>
      <c r="F15" s="52" t="n"/>
      <c r="G15" s="52" t="n"/>
      <c r="H15" s="52" t="n"/>
      <c r="I15" s="52" t="n"/>
      <c r="J15" s="52" t="n"/>
      <c r="K15" s="52" t="n"/>
      <c r="L15" s="52" t="n"/>
      <c r="M15" s="52" t="n"/>
      <c r="N15" s="52" t="n"/>
    </row>
    <row r="16">
      <c r="A16" s="53" t="inlineStr">
        <is>
          <t>항목</t>
        </is>
      </c>
      <c r="B16" s="53" t="inlineStr">
        <is>
          <t>값</t>
        </is>
      </c>
      <c r="N16" s="53" t="inlineStr">
        <is>
          <t>출처</t>
        </is>
      </c>
    </row>
    <row r="17">
      <c r="A17" s="54" t="inlineStr">
        <is>
          <t>매출</t>
        </is>
      </c>
      <c r="B17" s="55" t="n">
        <v>227.8</v>
      </c>
      <c r="N17" s="56" t="inlineStr">
        <is>
          <t>2단계 보고서 자료(회사 설명회 자료·공시)</t>
        </is>
      </c>
    </row>
    <row r="18">
      <c r="A18" s="54" t="inlineStr">
        <is>
          <t>영업이익</t>
        </is>
      </c>
      <c r="B18" s="55" t="n">
        <v>71.2</v>
      </c>
    </row>
    <row r="19">
      <c r="A19" s="54" t="inlineStr">
        <is>
          <t>ord</t>
        </is>
      </c>
      <c r="B19" s="55" t="n">
        <v>69.90000000000001</v>
      </c>
    </row>
    <row r="20">
      <c r="A20" s="54" t="inlineStr">
        <is>
          <t>순이익</t>
        </is>
      </c>
      <c r="B20" s="55" t="n">
        <v>49.7</v>
      </c>
    </row>
    <row r="21">
      <c r="A21" s="54" t="inlineStr">
        <is>
          <t>gp</t>
        </is>
      </c>
      <c r="B21" s="55" t="n">
        <v>101.1</v>
      </c>
    </row>
    <row r="22">
      <c r="A22" s="54" t="inlineStr">
        <is>
          <t>sga</t>
        </is>
      </c>
      <c r="B22" s="55" t="n">
        <v>29.9</v>
      </c>
    </row>
    <row r="24">
      <c r="A24" s="52" t="inlineStr">
        <is>
          <t>current filing · 상반기 pl</t>
        </is>
      </c>
      <c r="B24" s="52" t="n"/>
      <c r="C24" s="52" t="n"/>
      <c r="D24" s="52" t="n"/>
      <c r="E24" s="52" t="n"/>
      <c r="F24" s="52" t="n"/>
      <c r="G24" s="52" t="n"/>
      <c r="H24" s="52" t="n"/>
      <c r="I24" s="52" t="n"/>
      <c r="J24" s="52" t="n"/>
      <c r="K24" s="52" t="n"/>
      <c r="L24" s="52" t="n"/>
      <c r="M24" s="52" t="n"/>
      <c r="N24" s="52" t="n"/>
    </row>
    <row r="25">
      <c r="A25" s="53" t="inlineStr">
        <is>
          <t>항목</t>
        </is>
      </c>
      <c r="B25" s="53" t="inlineStr">
        <is>
          <t>값</t>
        </is>
      </c>
      <c r="N25" s="53" t="inlineStr">
        <is>
          <t>출처</t>
        </is>
      </c>
    </row>
    <row r="26">
      <c r="A26" s="54" t="inlineStr">
        <is>
          <t>매출원가</t>
        </is>
      </c>
      <c r="B26" s="55" t="n">
        <v>263.8</v>
      </c>
      <c r="N26" s="56" t="inlineStr">
        <is>
          <t>2단계 보고서 자료(회사 설명회 자료·공시)</t>
        </is>
      </c>
    </row>
    <row r="27">
      <c r="A27" s="54" t="inlineStr">
        <is>
          <t>매출총이익</t>
        </is>
      </c>
      <c r="B27" s="55" t="n">
        <v>192.1</v>
      </c>
    </row>
    <row r="28">
      <c r="A28" s="54" t="inlineStr">
        <is>
          <t>판관비</t>
        </is>
      </c>
      <c r="B28" s="55" t="n">
        <v>59.2</v>
      </c>
    </row>
    <row r="29">
      <c r="A29" s="54" t="inlineStr">
        <is>
          <t>영업외수익</t>
        </is>
      </c>
      <c r="B29" s="55" t="n">
        <v>3</v>
      </c>
    </row>
    <row r="30">
      <c r="A30" s="54" t="inlineStr">
        <is>
          <t>수취이자</t>
        </is>
      </c>
      <c r="B30" s="55" t="n">
        <v>2.8</v>
      </c>
    </row>
    <row r="31">
      <c r="A31" s="54" t="inlineStr">
        <is>
          <t>영업외비용</t>
        </is>
      </c>
      <c r="B31" s="55" t="n">
        <v>2.4</v>
      </c>
    </row>
    <row r="32">
      <c r="A32" s="54" t="inlineStr">
        <is>
          <t>지급이자</t>
        </is>
      </c>
      <c r="B32" s="55" t="n">
        <v>0.5</v>
      </c>
    </row>
    <row r="33">
      <c r="A33" s="54" t="inlineStr">
        <is>
          <t>환차손</t>
        </is>
      </c>
      <c r="B33" s="55" t="n">
        <v>1.6</v>
      </c>
    </row>
    <row r="34">
      <c r="A34" s="54" t="inlineStr">
        <is>
          <t>보조금수입(특별이익)</t>
        </is>
      </c>
      <c r="B34" s="55" t="n">
        <v>37</v>
      </c>
    </row>
    <row r="35">
      <c r="A35" s="54" t="inlineStr">
        <is>
          <t>고정자산제각손(특별손실)</t>
        </is>
      </c>
      <c r="B35" s="55" t="n">
        <v>1.3</v>
      </c>
    </row>
    <row r="36">
      <c r="A36" s="54" t="inlineStr">
        <is>
          <t>세전</t>
        </is>
      </c>
      <c r="B36" s="55" t="n">
        <v>169.4</v>
      </c>
    </row>
    <row r="37">
      <c r="A37" s="54" t="inlineStr">
        <is>
          <t>법인세</t>
        </is>
      </c>
      <c r="B37" s="55" t="n">
        <v>52.8</v>
      </c>
    </row>
    <row r="38">
      <c r="A38" s="54" t="inlineStr">
        <is>
          <t>감가상각비</t>
        </is>
      </c>
      <c r="B38" s="55" t="n">
        <v>61.1</v>
      </c>
    </row>
    <row r="40">
      <c r="A40" s="52" t="inlineStr">
        <is>
          <t>current filing · 상반기 직전 pl</t>
        </is>
      </c>
      <c r="B40" s="52" t="n"/>
      <c r="C40" s="52" t="n"/>
      <c r="D40" s="52" t="n"/>
      <c r="E40" s="52" t="n"/>
      <c r="F40" s="52" t="n"/>
      <c r="G40" s="52" t="n"/>
      <c r="H40" s="52" t="n"/>
      <c r="I40" s="52" t="n"/>
      <c r="J40" s="52" t="n"/>
      <c r="K40" s="52" t="n"/>
      <c r="L40" s="52" t="n"/>
      <c r="M40" s="52" t="n"/>
      <c r="N40" s="52" t="n"/>
    </row>
    <row r="41">
      <c r="A41" s="53" t="inlineStr">
        <is>
          <t>항목</t>
        </is>
      </c>
      <c r="B41" s="53" t="inlineStr">
        <is>
          <t>값</t>
        </is>
      </c>
      <c r="N41" s="53" t="inlineStr">
        <is>
          <t>출처</t>
        </is>
      </c>
    </row>
    <row r="42">
      <c r="A42" s="54" t="inlineStr">
        <is>
          <t>매출원가</t>
        </is>
      </c>
      <c r="B42" s="55" t="n">
        <v>228.7</v>
      </c>
      <c r="N42" s="56" t="inlineStr">
        <is>
          <t>2단계 보고서 자료(회사 설명회 자료·공시)</t>
        </is>
      </c>
    </row>
    <row r="43">
      <c r="A43" s="54" t="inlineStr">
        <is>
          <t>매출총이익</t>
        </is>
      </c>
      <c r="B43" s="55" t="n">
        <v>148.3</v>
      </c>
    </row>
    <row r="44">
      <c r="A44" s="54" t="inlineStr">
        <is>
          <t>판관비</t>
        </is>
      </c>
      <c r="B44" s="55" t="n">
        <v>50.8</v>
      </c>
    </row>
    <row r="45">
      <c r="A45" s="54" t="inlineStr">
        <is>
          <t>보조금</t>
        </is>
      </c>
      <c r="B45" s="55" t="n">
        <v>0.06</v>
      </c>
    </row>
    <row r="46">
      <c r="A46" s="54" t="inlineStr">
        <is>
          <t>세전</t>
        </is>
      </c>
      <c r="B46" s="55" t="n">
        <v>97.90000000000001</v>
      </c>
    </row>
    <row r="47">
      <c r="A47" s="54" t="inlineStr">
        <is>
          <t>감가상각비</t>
        </is>
      </c>
      <c r="B47" s="55" t="n">
        <v>45.8</v>
      </c>
    </row>
    <row r="49">
      <c r="A49" s="52" t="inlineStr">
        <is>
          <t>current filing · seg 2Q 매출</t>
        </is>
      </c>
      <c r="B49" s="52" t="n"/>
      <c r="C49" s="52" t="n"/>
      <c r="D49" s="52" t="n"/>
      <c r="E49" s="52" t="n"/>
      <c r="F49" s="52" t="n"/>
      <c r="G49" s="52" t="n"/>
      <c r="H49" s="52" t="n"/>
      <c r="I49" s="52" t="n"/>
      <c r="J49" s="52" t="n"/>
      <c r="K49" s="52" t="n"/>
      <c r="L49" s="52" t="n"/>
      <c r="M49" s="52" t="n"/>
      <c r="N49" s="52" t="n"/>
    </row>
    <row r="50">
      <c r="A50" s="53" t="inlineStr">
        <is>
          <t>항목</t>
        </is>
      </c>
      <c r="B50" s="53" t="inlineStr">
        <is>
          <t>값</t>
        </is>
      </c>
      <c r="N50" s="53" t="inlineStr">
        <is>
          <t>출처</t>
        </is>
      </c>
    </row>
    <row r="51">
      <c r="A51" s="54" t="inlineStr">
        <is>
          <t>라이프사이언스</t>
        </is>
      </c>
      <c r="B51" s="55" t="n">
        <v>99.8</v>
      </c>
      <c r="N51" s="56" t="inlineStr">
        <is>
          <t>2단계 보고서 자료(회사 설명회 자료·공시)</t>
        </is>
      </c>
    </row>
    <row r="52">
      <c r="A52" s="54" t="inlineStr">
        <is>
          <t>전자재료</t>
        </is>
      </c>
      <c r="B52" s="55" t="n">
        <v>128</v>
      </c>
    </row>
    <row r="54">
      <c r="A54" s="52" t="inlineStr">
        <is>
          <t>current filing · 가이던스 new</t>
        </is>
      </c>
      <c r="B54" s="52" t="n"/>
      <c r="C54" s="52" t="n"/>
      <c r="D54" s="52" t="n"/>
      <c r="E54" s="52" t="n"/>
      <c r="F54" s="52" t="n"/>
      <c r="G54" s="52" t="n"/>
      <c r="H54" s="52" t="n"/>
      <c r="I54" s="52" t="n"/>
      <c r="J54" s="52" t="n"/>
      <c r="K54" s="52" t="n"/>
      <c r="L54" s="52" t="n"/>
      <c r="M54" s="52" t="n"/>
      <c r="N54" s="52" t="n"/>
    </row>
    <row r="55">
      <c r="A55" s="53" t="inlineStr">
        <is>
          <t>항목</t>
        </is>
      </c>
      <c r="B55" s="53" t="inlineStr">
        <is>
          <t>값</t>
        </is>
      </c>
      <c r="N55" s="53" t="inlineStr">
        <is>
          <t>출처</t>
        </is>
      </c>
    </row>
    <row r="56">
      <c r="A56" s="54" t="inlineStr">
        <is>
          <t>매출</t>
        </is>
      </c>
      <c r="B56" s="57" t="n">
        <v>930</v>
      </c>
      <c r="N56" s="56" t="inlineStr">
        <is>
          <t>2단계 보고서 자료(회사 설명회 자료·공시)</t>
        </is>
      </c>
    </row>
    <row r="57">
      <c r="A57" s="54" t="inlineStr">
        <is>
          <t>영업이익</t>
        </is>
      </c>
      <c r="B57" s="57" t="n">
        <v>280</v>
      </c>
    </row>
    <row r="58">
      <c r="A58" s="54" t="inlineStr">
        <is>
          <t>ord</t>
        </is>
      </c>
      <c r="B58" s="57" t="n">
        <v>281</v>
      </c>
    </row>
    <row r="59">
      <c r="A59" s="54" t="inlineStr">
        <is>
          <t>순이익</t>
        </is>
      </c>
      <c r="B59" s="57" t="n">
        <v>219</v>
      </c>
    </row>
    <row r="60">
      <c r="A60" s="54" t="inlineStr">
        <is>
          <t>EPS</t>
        </is>
      </c>
      <c r="B60" s="55" t="n">
        <v>206.99</v>
      </c>
    </row>
    <row r="61">
      <c r="A61" s="54" t="inlineStr">
        <is>
          <t>ebitda</t>
        </is>
      </c>
      <c r="B61" s="57" t="n">
        <v>407</v>
      </c>
    </row>
    <row r="63">
      <c r="A63" s="52" t="inlineStr">
        <is>
          <t>current filing · implied 2h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</row>
    <row r="64">
      <c r="A64" s="53" t="inlineStr">
        <is>
          <t>항목</t>
        </is>
      </c>
      <c r="B64" s="53" t="inlineStr">
        <is>
          <t>값</t>
        </is>
      </c>
      <c r="N64" s="53" t="inlineStr">
        <is>
          <t>출처</t>
        </is>
      </c>
    </row>
    <row r="65">
      <c r="A65" s="54" t="inlineStr">
        <is>
          <t>매출</t>
        </is>
      </c>
      <c r="B65" s="55" t="n">
        <v>474</v>
      </c>
      <c r="N65" s="56" t="inlineStr">
        <is>
          <t>2단계 보고서 자료(회사 설명회 자료·공시)</t>
        </is>
      </c>
    </row>
    <row r="66">
      <c r="A66" s="54" t="inlineStr">
        <is>
          <t>영업이익</t>
        </is>
      </c>
      <c r="B66" s="55" t="n">
        <v>147.1</v>
      </c>
    </row>
    <row r="67">
      <c r="A67" s="54" t="inlineStr">
        <is>
          <t>순이익</t>
        </is>
      </c>
      <c r="B67" s="55" t="n">
        <v>102.4</v>
      </c>
    </row>
    <row r="69">
      <c r="A69" s="52" t="inlineStr">
        <is>
          <t>current filing · bs</t>
        </is>
      </c>
      <c r="B69" s="52" t="n"/>
      <c r="C69" s="52" t="n"/>
      <c r="D69" s="52" t="n"/>
      <c r="E69" s="52" t="n"/>
      <c r="F69" s="52" t="n"/>
      <c r="G69" s="52" t="n"/>
      <c r="H69" s="52" t="n"/>
      <c r="I69" s="52" t="n"/>
      <c r="J69" s="52" t="n"/>
      <c r="K69" s="52" t="n"/>
      <c r="L69" s="52" t="n"/>
      <c r="M69" s="52" t="n"/>
      <c r="N69" s="52" t="n"/>
    </row>
    <row r="70">
      <c r="A70" s="53" t="inlineStr">
        <is>
          <t>항목</t>
        </is>
      </c>
      <c r="B70" s="53" t="inlineStr">
        <is>
          <t>값</t>
        </is>
      </c>
      <c r="N70" s="53" t="inlineStr">
        <is>
          <t>출처</t>
        </is>
      </c>
    </row>
    <row r="71">
      <c r="A71" s="54" t="inlineStr">
        <is>
          <t>총자산</t>
        </is>
      </c>
      <c r="B71" s="55" t="n">
        <v>1718.1</v>
      </c>
      <c r="N71" s="56" t="inlineStr">
        <is>
          <t>2단계 보고서 자료(회사 설명회 자료·공시)</t>
        </is>
      </c>
    </row>
    <row r="72">
      <c r="A72" s="54" t="inlineStr">
        <is>
          <t>순자산</t>
        </is>
      </c>
      <c r="B72" s="55" t="n">
        <v>1274.7</v>
      </c>
    </row>
    <row r="73">
      <c r="A73" s="54" t="inlineStr">
        <is>
          <t>자기자본비율</t>
        </is>
      </c>
      <c r="B73" s="55" t="n">
        <v>74.2</v>
      </c>
    </row>
    <row r="74">
      <c r="A74" s="54" t="inlineStr">
        <is>
          <t>현금</t>
        </is>
      </c>
      <c r="B74" s="55" t="n">
        <v>484.5</v>
      </c>
    </row>
    <row r="75">
      <c r="A75" s="54" t="inlineStr">
        <is>
          <t>장기차입(1년내 포함)</t>
        </is>
      </c>
      <c r="B75" s="55" t="n">
        <v>149</v>
      </c>
    </row>
    <row r="76">
      <c r="A76" s="54" t="inlineStr">
        <is>
          <t>건설가계정</t>
        </is>
      </c>
      <c r="B76" s="55" t="n">
        <v>179.2</v>
      </c>
    </row>
    <row r="77">
      <c r="A77" s="54" t="inlineStr">
        <is>
          <t>설비관계미지급금</t>
        </is>
      </c>
      <c r="B77" s="55" t="n">
        <v>138</v>
      </c>
    </row>
    <row r="79">
      <c r="A79" s="52" t="inlineStr">
        <is>
          <t>current filing · cf 상반기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</row>
    <row r="80">
      <c r="A80" s="53" t="inlineStr">
        <is>
          <t>항목</t>
        </is>
      </c>
      <c r="B80" s="53" t="inlineStr">
        <is>
          <t>값</t>
        </is>
      </c>
      <c r="N80" s="53" t="inlineStr">
        <is>
          <t>출처</t>
        </is>
      </c>
    </row>
    <row r="81">
      <c r="A81" s="54" t="inlineStr">
        <is>
          <t>영업CF</t>
        </is>
      </c>
      <c r="B81" s="55" t="n">
        <v>179.7</v>
      </c>
      <c r="N81" s="56" t="inlineStr">
        <is>
          <t>2단계 보고서 자료(회사 설명회 자료·공시)</t>
        </is>
      </c>
    </row>
    <row r="82">
      <c r="A82" s="54" t="inlineStr">
        <is>
          <t>유형자산취득</t>
        </is>
      </c>
      <c r="B82" s="55" t="n">
        <v>-67.3</v>
      </c>
    </row>
    <row r="83">
      <c r="A83" s="54" t="inlineStr">
        <is>
          <t>배당</t>
        </is>
      </c>
      <c r="B83" s="55" t="n">
        <v>-14.4</v>
      </c>
    </row>
    <row r="85">
      <c r="A85" s="52" t="inlineStr">
        <is>
          <t>current filing · shares</t>
        </is>
      </c>
      <c r="B85" s="52" t="n"/>
      <c r="C85" s="52" t="n"/>
      <c r="D85" s="52" t="n"/>
      <c r="E85" s="52" t="n"/>
      <c r="F85" s="52" t="n"/>
      <c r="G85" s="52" t="n"/>
      <c r="H85" s="52" t="n"/>
      <c r="I85" s="52" t="n"/>
      <c r="J85" s="52" t="n"/>
      <c r="K85" s="52" t="n"/>
      <c r="L85" s="52" t="n"/>
      <c r="M85" s="52" t="n"/>
      <c r="N85" s="52" t="n"/>
    </row>
    <row r="86">
      <c r="A86" s="53" t="inlineStr">
        <is>
          <t>항목</t>
        </is>
      </c>
      <c r="B86" s="53" t="inlineStr">
        <is>
          <t>값</t>
        </is>
      </c>
      <c r="N86" s="53" t="inlineStr">
        <is>
          <t>출처</t>
        </is>
      </c>
    </row>
    <row r="87">
      <c r="A87" s="54" t="inlineStr">
        <is>
          <t>issued</t>
        </is>
      </c>
      <c r="B87" s="57" t="n">
        <v>106533000</v>
      </c>
      <c r="N87" s="56" t="inlineStr">
        <is>
          <t>2단계 보고서 자료(회사 설명회 자료·공시)</t>
        </is>
      </c>
    </row>
    <row r="88">
      <c r="A88" s="54" t="inlineStr">
        <is>
          <t>treasury</t>
        </is>
      </c>
      <c r="B88" s="57" t="n">
        <v>728179</v>
      </c>
    </row>
    <row r="89">
      <c r="A89" s="54" t="inlineStr">
        <is>
          <t>out</t>
        </is>
      </c>
      <c r="B89" s="57" t="n">
        <v>105804821</v>
      </c>
    </row>
    <row r="91">
      <c r="A91" s="52" t="inlineStr">
        <is>
          <t>부문별 quarterly</t>
        </is>
      </c>
      <c r="B91" s="52" t="n"/>
      <c r="C91" s="52" t="n"/>
      <c r="D91" s="52" t="n"/>
      <c r="E91" s="52" t="n"/>
      <c r="F91" s="52" t="n"/>
      <c r="G91" s="52" t="n"/>
      <c r="H91" s="52" t="n"/>
      <c r="I91" s="52" t="n"/>
      <c r="J91" s="52" t="n"/>
      <c r="K91" s="52" t="n"/>
      <c r="L91" s="52" t="n"/>
      <c r="M91" s="52" t="n"/>
      <c r="N91" s="52" t="n"/>
    </row>
    <row r="92">
      <c r="A92" s="53" t="inlineStr">
        <is>
          <t>항목</t>
        </is>
      </c>
      <c r="B92" s="53" t="inlineStr">
        <is>
          <t>2024.3Q</t>
        </is>
      </c>
      <c r="C92" s="53" t="inlineStr">
        <is>
          <t>2024.4Q</t>
        </is>
      </c>
      <c r="D92" s="53" t="inlineStr">
        <is>
          <t>2025.1Q</t>
        </is>
      </c>
      <c r="E92" s="53" t="inlineStr">
        <is>
          <t>2025.2Q</t>
        </is>
      </c>
      <c r="F92" s="53" t="inlineStr">
        <is>
          <t>2025.3Q</t>
        </is>
      </c>
      <c r="G92" s="53" t="inlineStr">
        <is>
          <t>2025.4Q</t>
        </is>
      </c>
      <c r="H92" s="53" t="inlineStr">
        <is>
          <t>2026.1Q</t>
        </is>
      </c>
      <c r="I92" s="53" t="inlineStr">
        <is>
          <t>2026.2Q</t>
        </is>
      </c>
      <c r="J92" s="53" t="inlineStr">
        <is>
          <t>2026.3Q</t>
        </is>
      </c>
      <c r="K92" s="53" t="inlineStr">
        <is>
          <t>2026.4Q</t>
        </is>
      </c>
      <c r="L92" s="53" t="inlineStr">
        <is>
          <t>2027.1Q</t>
        </is>
      </c>
      <c r="M92" s="53" t="inlineStr">
        <is>
          <t>2027.2Q</t>
        </is>
      </c>
      <c r="N92" s="53" t="inlineStr">
        <is>
          <t>출처</t>
        </is>
      </c>
    </row>
    <row r="93">
      <c r="A93" s="54" t="inlineStr">
        <is>
          <t>라이프사이언스</t>
        </is>
      </c>
      <c r="B93" s="55" t="n">
        <v>88.7</v>
      </c>
      <c r="C93" s="58" t="n"/>
      <c r="D93" s="55" t="n">
        <v>93.90000000000001</v>
      </c>
      <c r="E93" s="55" t="n">
        <v>92.8</v>
      </c>
      <c r="F93" s="55" t="n">
        <v>88.40000000000001</v>
      </c>
      <c r="G93" s="58" t="n"/>
      <c r="H93" s="55" t="n">
        <v>89.59999999999999</v>
      </c>
      <c r="I93" s="55" t="n">
        <v>88.3</v>
      </c>
      <c r="J93" s="55" t="n">
        <v>86.09999999999999</v>
      </c>
      <c r="K93" s="58" t="n"/>
      <c r="L93" s="55" t="n">
        <v>98.5</v>
      </c>
      <c r="M93" s="55" t="n">
        <v>99.8</v>
      </c>
      <c r="N93" s="56" t="inlineStr">
        <is>
          <t>부문 매출(외부 고객, prep XBRL). 4Q는 연간−3Q누계로 계산. 부문이익 분기값은 prep에 없음 — 결산단신 부문표에서.</t>
        </is>
      </c>
    </row>
    <row r="94">
      <c r="A94" s="54" t="inlineStr">
        <is>
          <t>전자재료</t>
        </is>
      </c>
      <c r="B94" s="55" t="n">
        <v>71.3</v>
      </c>
      <c r="C94" s="58" t="n"/>
      <c r="D94" s="55" t="n">
        <v>80.40000000000001</v>
      </c>
      <c r="E94" s="55" t="n">
        <v>80.5</v>
      </c>
      <c r="F94" s="55" t="n">
        <v>88.3</v>
      </c>
      <c r="G94" s="58" t="n"/>
      <c r="H94" s="55" t="n">
        <v>97</v>
      </c>
      <c r="I94" s="55" t="n">
        <v>102.2</v>
      </c>
      <c r="J94" s="55" t="n">
        <v>116.1</v>
      </c>
      <c r="K94" s="58" t="n"/>
      <c r="L94" s="55" t="n">
        <v>129.7</v>
      </c>
      <c r="M94" s="55" t="n">
        <v>128</v>
      </c>
    </row>
    <row r="96">
      <c r="A96" s="52" t="inlineStr">
        <is>
          <t>bs annual</t>
        </is>
      </c>
      <c r="B96" s="52" t="n"/>
      <c r="C96" s="52" t="n"/>
      <c r="D96" s="52" t="n"/>
      <c r="E96" s="52" t="n"/>
      <c r="F96" s="52" t="n"/>
      <c r="G96" s="52" t="n"/>
      <c r="H96" s="52" t="n"/>
      <c r="I96" s="52" t="n"/>
      <c r="J96" s="52" t="n"/>
      <c r="K96" s="52" t="n"/>
      <c r="L96" s="52" t="n"/>
      <c r="M96" s="52" t="n"/>
      <c r="N96" s="52" t="n"/>
    </row>
    <row r="97">
      <c r="A97" s="53" t="inlineStr">
        <is>
          <t>항목</t>
        </is>
      </c>
      <c r="B97" s="53" t="inlineStr">
        <is>
          <t>2022</t>
        </is>
      </c>
      <c r="C97" s="53" t="inlineStr">
        <is>
          <t>2023</t>
        </is>
      </c>
      <c r="D97" s="53" t="inlineStr">
        <is>
          <t>2024</t>
        </is>
      </c>
      <c r="E97" s="53" t="inlineStr">
        <is>
          <t>2025</t>
        </is>
      </c>
      <c r="F97" s="53" t="inlineStr">
        <is>
          <t>2026</t>
        </is>
      </c>
      <c r="N97" s="53" t="inlineStr">
        <is>
          <t>출처</t>
        </is>
      </c>
    </row>
    <row r="98">
      <c r="A98" s="54" t="inlineStr">
        <is>
          <t>labels</t>
        </is>
      </c>
      <c r="B98" s="57" t="n">
        <v>2022</v>
      </c>
      <c r="C98" s="57" t="n">
        <v>2023</v>
      </c>
      <c r="D98" s="57" t="n">
        <v>2024</v>
      </c>
      <c r="E98" s="57" t="n">
        <v>2025</v>
      </c>
      <c r="F98" s="57" t="n">
        <v>2026</v>
      </c>
      <c r="N98" s="56" t="inlineStr">
        <is>
          <t>2단계 보고서 자료(회사 설명회 자료·공시)</t>
        </is>
      </c>
    </row>
    <row r="99">
      <c r="A99" s="54" t="inlineStr">
        <is>
          <t>current assets</t>
        </is>
      </c>
      <c r="B99" s="55" t="n">
        <v>430.4</v>
      </c>
      <c r="C99" s="55" t="n">
        <v>553.4</v>
      </c>
      <c r="D99" s="55" t="n">
        <v>558.4</v>
      </c>
      <c r="E99" s="55" t="n">
        <v>670.5</v>
      </c>
      <c r="F99" s="55" t="n">
        <v>784.8</v>
      </c>
    </row>
    <row r="100">
      <c r="A100" s="54" t="inlineStr">
        <is>
          <t>cash</t>
        </is>
      </c>
      <c r="B100" s="55" t="n">
        <v>200.1</v>
      </c>
      <c r="C100" s="55" t="n">
        <v>234.1</v>
      </c>
      <c r="D100" s="55" t="n">
        <v>252.5</v>
      </c>
      <c r="E100" s="55" t="n">
        <v>313</v>
      </c>
      <c r="F100" s="55" t="n">
        <v>410.1</v>
      </c>
    </row>
    <row r="101">
      <c r="A101" s="54" t="inlineStr">
        <is>
          <t>st fin</t>
        </is>
      </c>
      <c r="B101" s="55" t="n">
        <v>1.2</v>
      </c>
      <c r="C101" s="55" t="n">
        <v>0</v>
      </c>
      <c r="D101" s="58" t="n"/>
      <c r="E101" s="58" t="n"/>
      <c r="F101" s="58" t="n"/>
    </row>
    <row r="102">
      <c r="A102" s="54" t="inlineStr">
        <is>
          <t>receivables</t>
        </is>
      </c>
      <c r="B102" s="55" t="n">
        <v>148.9</v>
      </c>
      <c r="C102" s="55" t="n">
        <v>149.7</v>
      </c>
      <c r="D102" s="55" t="n">
        <v>164.6</v>
      </c>
      <c r="E102" s="55" t="n">
        <v>160.5</v>
      </c>
      <c r="F102" s="55" t="n">
        <v>166.3</v>
      </c>
    </row>
    <row r="103">
      <c r="A103" s="54" t="inlineStr">
        <is>
          <t>inventory</t>
        </is>
      </c>
      <c r="B103" s="55" t="n">
        <v>88.90000000000001</v>
      </c>
      <c r="C103" s="55" t="n">
        <v>160.4</v>
      </c>
      <c r="D103" s="55" t="n">
        <v>133.1</v>
      </c>
      <c r="E103" s="55" t="n">
        <v>181.5</v>
      </c>
      <c r="F103" s="55" t="n">
        <v>184.1</v>
      </c>
    </row>
    <row r="104">
      <c r="A104" s="54" t="inlineStr">
        <is>
          <t>noncurrent assets</t>
        </is>
      </c>
      <c r="B104" s="55" t="n">
        <v>409.7</v>
      </c>
      <c r="C104" s="55" t="n">
        <v>581.8</v>
      </c>
      <c r="D104" s="55" t="n">
        <v>656.6</v>
      </c>
      <c r="E104" s="55" t="n">
        <v>744.5</v>
      </c>
      <c r="F104" s="55" t="n">
        <v>737.8</v>
      </c>
    </row>
    <row r="105">
      <c r="A105" s="54" t="inlineStr">
        <is>
          <t>ppe</t>
        </is>
      </c>
      <c r="B105" s="55" t="n">
        <v>326.6</v>
      </c>
      <c r="C105" s="55" t="n">
        <v>543</v>
      </c>
      <c r="D105" s="55" t="n">
        <v>553.1</v>
      </c>
      <c r="E105" s="55" t="n">
        <v>669.8</v>
      </c>
      <c r="F105" s="55" t="n">
        <v>645.4</v>
      </c>
    </row>
    <row r="106">
      <c r="A106" s="54" t="inlineStr">
        <is>
          <t>intangibles</t>
        </is>
      </c>
      <c r="B106" s="55" t="n">
        <v>17.1</v>
      </c>
      <c r="C106" s="55" t="n">
        <v>13.5</v>
      </c>
      <c r="D106" s="55" t="n">
        <v>29.4</v>
      </c>
      <c r="E106" s="55" t="n">
        <v>40.1</v>
      </c>
      <c r="F106" s="55" t="n">
        <v>54.9</v>
      </c>
    </row>
    <row r="107">
      <c r="A107" s="54" t="inlineStr">
        <is>
          <t>inv property</t>
        </is>
      </c>
      <c r="B107" s="58" t="n"/>
      <c r="C107" s="58" t="n"/>
      <c r="D107" s="58" t="n"/>
      <c r="E107" s="58" t="n"/>
      <c r="F107" s="58" t="n"/>
    </row>
    <row r="108">
      <c r="A108" s="54" t="inlineStr">
        <is>
          <t>합계 assets</t>
        </is>
      </c>
      <c r="B108" s="55" t="n">
        <v>840.1</v>
      </c>
      <c r="C108" s="55" t="n">
        <v>1135.3</v>
      </c>
      <c r="D108" s="55" t="n">
        <v>1215</v>
      </c>
      <c r="E108" s="55" t="n">
        <v>1415</v>
      </c>
      <c r="F108" s="55" t="n">
        <v>1522.6</v>
      </c>
    </row>
    <row r="109">
      <c r="A109" s="54" t="inlineStr">
        <is>
          <t>current liab</t>
        </is>
      </c>
      <c r="B109" s="55" t="n">
        <v>147.4</v>
      </c>
      <c r="C109" s="55" t="n">
        <v>239.1</v>
      </c>
      <c r="D109" s="55" t="n">
        <v>159</v>
      </c>
      <c r="E109" s="55" t="n">
        <v>184.9</v>
      </c>
      <c r="F109" s="55" t="n">
        <v>198.4</v>
      </c>
    </row>
    <row r="110">
      <c r="A110" s="54" t="inlineStr">
        <is>
          <t>payables</t>
        </is>
      </c>
      <c r="B110" s="55" t="n">
        <v>38.6</v>
      </c>
      <c r="C110" s="55" t="n">
        <v>31.9</v>
      </c>
      <c r="D110" s="55" t="n">
        <v>23.8</v>
      </c>
      <c r="E110" s="55" t="n">
        <v>30.7</v>
      </c>
      <c r="F110" s="55" t="n">
        <v>28.4</v>
      </c>
    </row>
    <row r="111">
      <c r="A111" s="54" t="inlineStr">
        <is>
          <t>st debt</t>
        </is>
      </c>
      <c r="B111" s="58" t="n"/>
      <c r="C111" s="58" t="n"/>
      <c r="D111" s="58" t="n"/>
      <c r="E111" s="58" t="n"/>
      <c r="F111" s="58" t="n"/>
    </row>
    <row r="112">
      <c r="A112" s="54" t="inlineStr">
        <is>
          <t>noncurrent liab</t>
        </is>
      </c>
      <c r="B112" s="55" t="n">
        <v>18.5</v>
      </c>
      <c r="C112" s="55" t="n">
        <v>21.2</v>
      </c>
      <c r="D112" s="55" t="n">
        <v>219.5</v>
      </c>
      <c r="E112" s="55" t="n">
        <v>189.6</v>
      </c>
      <c r="F112" s="55" t="n">
        <v>152</v>
      </c>
    </row>
    <row r="113">
      <c r="A113" s="54" t="inlineStr">
        <is>
          <t>lt debt</t>
        </is>
      </c>
      <c r="B113" s="58" t="n"/>
      <c r="C113" s="55" t="n">
        <v>0</v>
      </c>
      <c r="D113" s="55" t="n">
        <v>200</v>
      </c>
      <c r="E113" s="55" t="n">
        <v>169</v>
      </c>
      <c r="F113" s="55" t="n">
        <v>129</v>
      </c>
    </row>
    <row r="114">
      <c r="A114" s="54" t="inlineStr">
        <is>
          <t>bonds</t>
        </is>
      </c>
      <c r="B114" s="58" t="n"/>
      <c r="C114" s="58" t="n"/>
      <c r="D114" s="58" t="n"/>
      <c r="E114" s="58" t="n"/>
      <c r="F114" s="58" t="n"/>
    </row>
    <row r="115">
      <c r="A115" s="54" t="inlineStr">
        <is>
          <t>합계 liab</t>
        </is>
      </c>
      <c r="B115" s="55" t="n">
        <v>165.8</v>
      </c>
      <c r="C115" s="55" t="n">
        <v>260.3</v>
      </c>
      <c r="D115" s="55" t="n">
        <v>378.6</v>
      </c>
      <c r="E115" s="55" t="n">
        <v>374.5</v>
      </c>
      <c r="F115" s="55" t="n">
        <v>350.4</v>
      </c>
    </row>
    <row r="116">
      <c r="A116" s="54" t="inlineStr">
        <is>
          <t>capital stock</t>
        </is>
      </c>
      <c r="B116" s="55" t="n">
        <v>43.3</v>
      </c>
      <c r="C116" s="55" t="n">
        <v>43.3</v>
      </c>
      <c r="D116" s="55" t="n">
        <v>43.3</v>
      </c>
      <c r="E116" s="55" t="n">
        <v>43.3</v>
      </c>
      <c r="F116" s="55" t="n">
        <v>43.3</v>
      </c>
    </row>
    <row r="117">
      <c r="A117" s="54" t="inlineStr">
        <is>
          <t>retained</t>
        </is>
      </c>
      <c r="B117" s="55" t="n">
        <v>589.4</v>
      </c>
      <c r="C117" s="55" t="n">
        <v>761.8</v>
      </c>
      <c r="D117" s="55" t="n">
        <v>752.8</v>
      </c>
      <c r="E117" s="55" t="n">
        <v>914.1</v>
      </c>
      <c r="F117" s="55" t="n">
        <v>1029.2</v>
      </c>
    </row>
    <row r="118">
      <c r="A118" s="54" t="inlineStr">
        <is>
          <t>nci</t>
        </is>
      </c>
      <c r="B118" s="58" t="n"/>
      <c r="C118" s="58" t="n"/>
      <c r="D118" s="58" t="n"/>
      <c r="E118" s="58" t="n"/>
      <c r="F118" s="58" t="n"/>
    </row>
    <row r="119">
      <c r="A119" s="54" t="inlineStr">
        <is>
          <t>합계 equity</t>
        </is>
      </c>
      <c r="B119" s="55" t="n">
        <v>674.3</v>
      </c>
      <c r="C119" s="55" t="n">
        <v>875</v>
      </c>
      <c r="D119" s="55" t="n">
        <v>836.5</v>
      </c>
      <c r="E119" s="55" t="n">
        <v>1040.5</v>
      </c>
      <c r="F119" s="55" t="n">
        <v>1172.2</v>
      </c>
    </row>
    <row r="120">
      <c r="A120" s="54" t="inlineStr">
        <is>
          <t>current ltd</t>
        </is>
      </c>
      <c r="B120" s="58" t="n"/>
      <c r="C120" s="58" t="n"/>
      <c r="D120" s="55" t="n">
        <v>0</v>
      </c>
      <c r="E120" s="55" t="n">
        <v>31</v>
      </c>
      <c r="F120" s="55" t="n">
        <v>40</v>
      </c>
    </row>
    <row r="121">
      <c r="A121" s="54" t="inlineStr">
        <is>
          <t>equity owner</t>
        </is>
      </c>
      <c r="B121" s="55" t="n">
        <v>674.3</v>
      </c>
      <c r="C121" s="55" t="n">
        <v>875</v>
      </c>
      <c r="D121" s="55" t="n">
        <v>836.5</v>
      </c>
      <c r="E121" s="55" t="n">
        <v>1040.5</v>
      </c>
      <c r="F121" s="55" t="n">
        <v>1172.2</v>
      </c>
    </row>
    <row r="123">
      <c r="A123" s="52" t="inlineStr">
        <is>
          <t>cf annual</t>
        </is>
      </c>
      <c r="B123" s="52" t="n"/>
      <c r="C123" s="52" t="n"/>
      <c r="D123" s="52" t="n"/>
      <c r="E123" s="52" t="n"/>
      <c r="F123" s="52" t="n"/>
      <c r="G123" s="52" t="n"/>
      <c r="H123" s="52" t="n"/>
      <c r="I123" s="52" t="n"/>
      <c r="J123" s="52" t="n"/>
      <c r="K123" s="52" t="n"/>
      <c r="L123" s="52" t="n"/>
      <c r="M123" s="52" t="n"/>
      <c r="N123" s="52" t="n"/>
    </row>
    <row r="124">
      <c r="A124" s="53" t="inlineStr">
        <is>
          <t>항목</t>
        </is>
      </c>
      <c r="B124" s="53" t="inlineStr">
        <is>
          <t>2022</t>
        </is>
      </c>
      <c r="C124" s="53" t="inlineStr">
        <is>
          <t>2023</t>
        </is>
      </c>
      <c r="D124" s="53" t="inlineStr">
        <is>
          <t>2024</t>
        </is>
      </c>
      <c r="E124" s="53" t="inlineStr">
        <is>
          <t>2025</t>
        </is>
      </c>
      <c r="F124" s="53" t="inlineStr">
        <is>
          <t>2026</t>
        </is>
      </c>
      <c r="N124" s="53" t="inlineStr">
        <is>
          <t>출처</t>
        </is>
      </c>
    </row>
    <row r="125">
      <c r="A125" s="54" t="inlineStr">
        <is>
          <t>labels</t>
        </is>
      </c>
      <c r="B125" s="57" t="n">
        <v>2022</v>
      </c>
      <c r="C125" s="57" t="n">
        <v>2023</v>
      </c>
      <c r="D125" s="57" t="n">
        <v>2024</v>
      </c>
      <c r="E125" s="57" t="n">
        <v>2025</v>
      </c>
      <c r="F125" s="57" t="n">
        <v>2026</v>
      </c>
      <c r="N125" s="56" t="inlineStr">
        <is>
          <t>2단계 보고서 자료(회사 설명회 자료·공시)</t>
        </is>
      </c>
    </row>
    <row r="126">
      <c r="A126" s="54" t="inlineStr">
        <is>
          <t>ocf</t>
        </is>
      </c>
      <c r="B126" s="55" t="n">
        <v>102</v>
      </c>
      <c r="C126" s="55" t="n">
        <v>139.3</v>
      </c>
      <c r="D126" s="55" t="n">
        <v>70.59999999999999</v>
      </c>
      <c r="E126" s="55" t="n">
        <v>227</v>
      </c>
      <c r="F126" s="55" t="n">
        <v>247.9</v>
      </c>
    </row>
    <row r="127">
      <c r="A127" s="54" t="inlineStr">
        <is>
          <t>설비투자</t>
        </is>
      </c>
      <c r="B127" s="55" t="n">
        <v>96.2</v>
      </c>
      <c r="C127" s="55" t="n">
        <v>136.3</v>
      </c>
      <c r="D127" s="55" t="n">
        <v>175.9</v>
      </c>
      <c r="E127" s="55" t="n">
        <v>201.4</v>
      </c>
      <c r="F127" s="55" t="n">
        <v>101.1</v>
      </c>
    </row>
    <row r="128">
      <c r="A128" s="54" t="inlineStr">
        <is>
          <t>dividends</t>
        </is>
      </c>
      <c r="B128" s="55" t="n">
        <v>17.7</v>
      </c>
      <c r="C128" s="55" t="n">
        <v>21.1</v>
      </c>
      <c r="D128" s="55" t="n">
        <v>23.3</v>
      </c>
      <c r="E128" s="55" t="n">
        <v>24</v>
      </c>
      <c r="F128" s="55" t="n">
        <v>27.8</v>
      </c>
    </row>
    <row r="130">
      <c r="A130" s="52" t="inlineStr">
        <is>
          <t>컨센서스</t>
        </is>
      </c>
      <c r="B130" s="52" t="n"/>
      <c r="C130" s="52" t="n"/>
      <c r="D130" s="52" t="n"/>
      <c r="E130" s="52" t="n"/>
      <c r="F130" s="52" t="n"/>
      <c r="G130" s="52" t="n"/>
      <c r="H130" s="52" t="n"/>
      <c r="I130" s="52" t="n"/>
      <c r="J130" s="52" t="n"/>
      <c r="K130" s="52" t="n"/>
      <c r="L130" s="52" t="n"/>
      <c r="M130" s="52" t="n"/>
      <c r="N130" s="52" t="n"/>
    </row>
    <row r="131">
      <c r="A131" s="53" t="inlineStr">
        <is>
          <t>항목</t>
        </is>
      </c>
      <c r="B131" s="53" t="inlineStr">
        <is>
          <t>값</t>
        </is>
      </c>
      <c r="N131" s="53" t="inlineStr">
        <is>
          <t>출처</t>
        </is>
      </c>
    </row>
    <row r="132">
      <c r="A132" s="54" t="inlineStr">
        <is>
          <t>2Q 매출 avg</t>
        </is>
      </c>
      <c r="B132" s="55" t="n">
        <v>232.6</v>
      </c>
      <c r="N132" s="56" t="inlineStr">
        <is>
          <t>야후 파이낸스 2026-10-30 · 영업이익 컨센 없음. 애널리스트 2~4명이라 '애널리스트 n명 추정'으로 표기</t>
        </is>
      </c>
    </row>
    <row r="133">
      <c r="A133" s="54" t="inlineStr">
        <is>
          <t>2Q 매출 애널리스트 수</t>
        </is>
      </c>
      <c r="B133" s="57" t="n">
        <v>2</v>
      </c>
    </row>
    <row r="134">
      <c r="A134" s="54" t="inlineStr">
        <is>
          <t>3Q 매출 avg</t>
        </is>
      </c>
      <c r="B134" s="55" t="n">
        <v>242</v>
      </c>
    </row>
    <row r="136">
      <c r="A136" s="52" t="inlineStr">
        <is>
          <t>컨센서스 · fy27</t>
        </is>
      </c>
      <c r="B136" s="52" t="n"/>
      <c r="C136" s="52" t="n"/>
      <c r="D136" s="52" t="n"/>
      <c r="E136" s="52" t="n"/>
      <c r="F136" s="52" t="n"/>
      <c r="G136" s="52" t="n"/>
      <c r="H136" s="52" t="n"/>
      <c r="I136" s="52" t="n"/>
      <c r="J136" s="52" t="n"/>
      <c r="K136" s="52" t="n"/>
      <c r="L136" s="52" t="n"/>
      <c r="M136" s="52" t="n"/>
      <c r="N136" s="52" t="n"/>
    </row>
    <row r="137">
      <c r="A137" s="53" t="inlineStr">
        <is>
          <t>항목</t>
        </is>
      </c>
      <c r="B137" s="53" t="inlineStr">
        <is>
          <t>값</t>
        </is>
      </c>
      <c r="N137" s="53" t="inlineStr">
        <is>
          <t>출처</t>
        </is>
      </c>
    </row>
    <row r="138">
      <c r="A138" s="54" t="inlineStr">
        <is>
          <t>매출</t>
        </is>
      </c>
      <c r="B138" s="55" t="n">
        <v>936.3</v>
      </c>
      <c r="N138" s="56" t="inlineStr">
        <is>
          <t>야후 파이낸스 2026-10-30 · 영업이익 컨센 없음. 애널리스트 2~4명이라 '애널리스트 n명 추정'으로 표기</t>
        </is>
      </c>
    </row>
    <row r="139">
      <c r="A139" s="54" t="inlineStr">
        <is>
          <t>EPS</t>
        </is>
      </c>
      <c r="B139" s="55" t="n">
        <v>198.2</v>
      </c>
    </row>
    <row r="140">
      <c r="A140" s="54" t="inlineStr">
        <is>
          <t>애널리스트 수</t>
        </is>
      </c>
      <c r="B140" s="57" t="n">
        <v>4</v>
      </c>
    </row>
    <row r="142">
      <c r="A142" s="52" t="inlineStr">
        <is>
          <t>컨센서스 · fy28</t>
        </is>
      </c>
      <c r="B142" s="52" t="n"/>
      <c r="C142" s="52" t="n"/>
      <c r="D142" s="52" t="n"/>
      <c r="E142" s="52" t="n"/>
      <c r="F142" s="52" t="n"/>
      <c r="G142" s="52" t="n"/>
      <c r="H142" s="52" t="n"/>
      <c r="I142" s="52" t="n"/>
      <c r="J142" s="52" t="n"/>
      <c r="K142" s="52" t="n"/>
      <c r="L142" s="52" t="n"/>
      <c r="M142" s="52" t="n"/>
      <c r="N142" s="52" t="n"/>
    </row>
    <row r="143">
      <c r="A143" s="53" t="inlineStr">
        <is>
          <t>항목</t>
        </is>
      </c>
      <c r="B143" s="53" t="inlineStr">
        <is>
          <t>값</t>
        </is>
      </c>
      <c r="N143" s="53" t="inlineStr">
        <is>
          <t>출처</t>
        </is>
      </c>
    </row>
    <row r="144">
      <c r="A144" s="54" t="inlineStr">
        <is>
          <t>매출</t>
        </is>
      </c>
      <c r="B144" s="55" t="n">
        <v>1033.1</v>
      </c>
      <c r="N144" s="56" t="inlineStr">
        <is>
          <t>야후 파이낸스 2026-10-30 · 영업이익 컨센 없음. 애널리스트 2~4명이라 '애널리스트 n명 추정'으로 표기</t>
        </is>
      </c>
    </row>
    <row r="145">
      <c r="A145" s="54" t="inlineStr">
        <is>
          <t>EPS</t>
        </is>
      </c>
      <c r="B145" s="55" t="n">
        <v>208.7</v>
      </c>
    </row>
    <row r="146">
      <c r="A146" s="54" t="inlineStr">
        <is>
          <t>애널리스트 수</t>
        </is>
      </c>
      <c r="B146" s="57" t="n">
        <v>4</v>
      </c>
    </row>
    <row r="148">
      <c r="A148" s="52" t="inlineStr">
        <is>
          <t>컨센서스 · 목표주가</t>
        </is>
      </c>
      <c r="B148" s="52" t="n"/>
      <c r="C148" s="52" t="n"/>
      <c r="D148" s="52" t="n"/>
      <c r="E148" s="52" t="n"/>
      <c r="F148" s="52" t="n"/>
      <c r="G148" s="52" t="n"/>
      <c r="H148" s="52" t="n"/>
      <c r="I148" s="52" t="n"/>
      <c r="J148" s="52" t="n"/>
      <c r="K148" s="52" t="n"/>
      <c r="L148" s="52" t="n"/>
      <c r="M148" s="52" t="n"/>
      <c r="N148" s="52" t="n"/>
    </row>
    <row r="149">
      <c r="A149" s="53" t="inlineStr">
        <is>
          <t>항목</t>
        </is>
      </c>
      <c r="B149" s="53" t="inlineStr">
        <is>
          <t>값</t>
        </is>
      </c>
      <c r="N149" s="53" t="inlineStr">
        <is>
          <t>출처</t>
        </is>
      </c>
    </row>
    <row r="150">
      <c r="A150" s="54" t="inlineStr">
        <is>
          <t>평균</t>
        </is>
      </c>
      <c r="B150" s="57" t="n">
        <v>4700</v>
      </c>
      <c r="N150" s="56" t="inlineStr">
        <is>
          <t>야후 파이낸스 2026-10-30 · 영업이익 컨센 없음. 애널리스트 2~4명이라 '애널리스트 n명 추정'으로 표기</t>
        </is>
      </c>
    </row>
    <row r="151">
      <c r="A151" s="54" t="inlineStr">
        <is>
          <t>중앙값</t>
        </is>
      </c>
      <c r="B151" s="57" t="n">
        <v>4900</v>
      </c>
    </row>
    <row r="152">
      <c r="A152" s="54" t="inlineStr">
        <is>
          <t>최고</t>
        </is>
      </c>
      <c r="B152" s="57" t="n">
        <v>5200</v>
      </c>
    </row>
    <row r="153">
      <c r="A153" s="54" t="inlineStr">
        <is>
          <t>최저</t>
        </is>
      </c>
      <c r="B153" s="57" t="n">
        <v>4000</v>
      </c>
    </row>
    <row r="154">
      <c r="A154" s="54" t="inlineStr">
        <is>
          <t>애널리스트 수</t>
        </is>
      </c>
      <c r="B154" s="57" t="n">
        <v>3</v>
      </c>
    </row>
    <row r="156">
      <c r="A156" s="52" t="inlineStr">
        <is>
          <t>market</t>
        </is>
      </c>
      <c r="B156" s="52" t="n"/>
      <c r="C156" s="52" t="n"/>
      <c r="D156" s="52" t="n"/>
      <c r="E156" s="52" t="n"/>
      <c r="F156" s="52" t="n"/>
      <c r="G156" s="52" t="n"/>
      <c r="H156" s="52" t="n"/>
      <c r="I156" s="52" t="n"/>
      <c r="J156" s="52" t="n"/>
      <c r="K156" s="52" t="n"/>
      <c r="L156" s="52" t="n"/>
      <c r="M156" s="52" t="n"/>
      <c r="N156" s="52" t="n"/>
    </row>
    <row r="157">
      <c r="A157" s="53" t="inlineStr">
        <is>
          <t>항목</t>
        </is>
      </c>
      <c r="B157" s="53" t="inlineStr">
        <is>
          <t>값</t>
        </is>
      </c>
      <c r="N157" s="53" t="inlineStr">
        <is>
          <t>출처</t>
        </is>
      </c>
    </row>
    <row r="158">
      <c r="A158" s="54" t="inlineStr">
        <is>
          <t>mcap</t>
        </is>
      </c>
      <c r="B158" s="57" t="n">
        <v>3057</v>
      </c>
      <c r="N158" s="56" t="inlineStr">
        <is>
          <t>2단계 보고서 자료(회사 설명회 자료·공시)</t>
        </is>
      </c>
    </row>
    <row r="159">
      <c r="A159" s="54" t="inlineStr">
        <is>
          <t>PER 가이던스</t>
        </is>
      </c>
      <c r="B159" s="55" t="n">
        <v>13.96</v>
      </c>
    </row>
    <row r="160">
      <c r="A160" s="54" t="inlineStr">
        <is>
          <t>div yield</t>
        </is>
      </c>
      <c r="B160" s="55" t="n">
        <v>0.97</v>
      </c>
    </row>
    <row r="161">
      <c r="A161" s="54" t="inlineStr">
        <is>
          <t>PBR</t>
        </is>
      </c>
      <c r="B161" s="55" t="n">
        <v>2.4</v>
      </c>
    </row>
    <row r="163">
      <c r="A163" s="52" t="inlineStr">
        <is>
          <t>reactions</t>
        </is>
      </c>
      <c r="B163" s="52" t="n"/>
      <c r="C163" s="52" t="n"/>
      <c r="D163" s="52" t="n"/>
      <c r="E163" s="52" t="n"/>
      <c r="F163" s="52" t="n"/>
      <c r="G163" s="52" t="n"/>
      <c r="H163" s="52" t="n"/>
      <c r="I163" s="52" t="n"/>
      <c r="J163" s="52" t="n"/>
      <c r="K163" s="52" t="n"/>
      <c r="L163" s="52" t="n"/>
      <c r="M163" s="52" t="n"/>
      <c r="N163" s="52" t="n"/>
    </row>
    <row r="164">
      <c r="A164" s="53" t="inlineStr">
        <is>
          <t>항목</t>
        </is>
      </c>
      <c r="B164" s="53" t="inlineStr">
        <is>
          <t>기준일</t>
        </is>
      </c>
      <c r="C164" s="53" t="inlineStr">
        <is>
          <t>다음날</t>
        </is>
      </c>
      <c r="D164" s="53" t="inlineStr">
        <is>
          <t>등락%</t>
        </is>
      </c>
      <c r="N164" s="53" t="inlineStr">
        <is>
          <t>출처</t>
        </is>
      </c>
    </row>
    <row r="165">
      <c r="A165" s="54" t="inlineStr">
        <is>
          <t>2025-02-07</t>
        </is>
      </c>
      <c r="B165" s="58" t="inlineStr">
        <is>
          <t>2025-02-07</t>
        </is>
      </c>
      <c r="C165" s="58" t="inlineStr">
        <is>
          <t>2025-02-10</t>
        </is>
      </c>
      <c r="D165" s="55" t="n">
        <v>0.2</v>
      </c>
      <c r="N165" s="56" t="inlineStr">
        <is>
          <t>2단계 보고서 자료(회사 설명회 자료·공시)</t>
        </is>
      </c>
    </row>
    <row r="166">
      <c r="A166" s="54" t="inlineStr">
        <is>
          <t>2025-05-12</t>
        </is>
      </c>
      <c r="B166" s="58" t="inlineStr">
        <is>
          <t>2025-05-12</t>
        </is>
      </c>
      <c r="C166" s="58" t="inlineStr">
        <is>
          <t>2025-05-13</t>
        </is>
      </c>
      <c r="D166" s="55" t="n">
        <v>0.3</v>
      </c>
    </row>
    <row r="167">
      <c r="A167" s="54" t="inlineStr">
        <is>
          <t>2025-08-08</t>
        </is>
      </c>
      <c r="B167" s="58" t="inlineStr">
        <is>
          <t>2025-08-08</t>
        </is>
      </c>
      <c r="C167" s="58" t="inlineStr">
        <is>
          <t>2025-08-12</t>
        </is>
      </c>
      <c r="D167" s="55" t="n">
        <v>3.9</v>
      </c>
    </row>
    <row r="168">
      <c r="A168" s="54" t="inlineStr">
        <is>
          <t>2025-10-31</t>
        </is>
      </c>
      <c r="B168" s="58" t="inlineStr">
        <is>
          <t>2025-10-31</t>
        </is>
      </c>
      <c r="C168" s="58" t="inlineStr">
        <is>
          <t>2025-11-04</t>
        </is>
      </c>
      <c r="D168" s="55" t="n">
        <v>10.7</v>
      </c>
    </row>
    <row r="169">
      <c r="A169" s="54" t="inlineStr">
        <is>
          <t>2026-02-06</t>
        </is>
      </c>
      <c r="B169" s="58" t="inlineStr">
        <is>
          <t>2026-02-06</t>
        </is>
      </c>
      <c r="C169" s="58" t="inlineStr">
        <is>
          <t>2026-02-09</t>
        </is>
      </c>
      <c r="D169" s="55" t="n">
        <v>6.6</v>
      </c>
    </row>
    <row r="170">
      <c r="A170" s="54" t="inlineStr">
        <is>
          <t>2026-05-11</t>
        </is>
      </c>
      <c r="B170" s="58" t="inlineStr">
        <is>
          <t>2026-05-11</t>
        </is>
      </c>
      <c r="C170" s="58" t="inlineStr">
        <is>
          <t>2026-05-12</t>
        </is>
      </c>
      <c r="D170" s="55" t="n">
        <v>21.3</v>
      </c>
    </row>
    <row r="171">
      <c r="A171" s="54" t="inlineStr">
        <is>
          <t>2026-08-07</t>
        </is>
      </c>
      <c r="B171" s="58" t="inlineStr">
        <is>
          <t>2026-08-07</t>
        </is>
      </c>
      <c r="C171" s="58" t="inlineStr">
        <is>
          <t>2026-08-10</t>
        </is>
      </c>
      <c r="D171" s="55" t="n">
        <v>-11.9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9" t="inlineStr">
        <is>
          <t>공시일</t>
        </is>
      </c>
      <c r="B3" s="59" t="inlineStr">
        <is>
          <t>문서</t>
        </is>
      </c>
      <c r="C3" s="59" t="inlineStr">
        <is>
          <t>PDF</t>
        </is>
      </c>
    </row>
    <row r="4">
      <c r="A4" t="inlineStr">
        <is>
          <t>2026-10-30</t>
        </is>
      </c>
      <c r="B4" t="inlineStr">
        <is>
          <t>2027년 3월 결산기 2분기 결산단신</t>
        </is>
      </c>
      <c r="C4" t="inlineStr">
        <is>
          <t>https://www2.jpx.co.jp/disc/43680/140120261030561153.pdf</t>
        </is>
      </c>
    </row>
    <row r="5">
      <c r="A5" t="inlineStr">
        <is>
          <t>2026-08-07</t>
        </is>
      </c>
      <c r="B5" t="inlineStr">
        <is>
          <t>2027년 3월 결산기 1분기 결산단신</t>
        </is>
      </c>
      <c r="C5" t="inlineStr">
        <is>
          <t>https://www2.jpx.co.jp/disc/43680/140120260807515047.pdf</t>
        </is>
      </c>
    </row>
    <row r="6">
      <c r="A6" t="inlineStr">
        <is>
          <t>2026-05-11</t>
        </is>
      </c>
      <c r="B6" t="inlineStr">
        <is>
          <t>2026년 3월 결산기 연간 결산단신</t>
        </is>
      </c>
      <c r="C6" t="inlineStr">
        <is>
          <t>https://www2.jpx.co.jp/disc/43680/140120260511522373.pdf</t>
        </is>
      </c>
    </row>
    <row r="7">
      <c r="A7" t="inlineStr">
        <is>
          <t>2026-02-06</t>
        </is>
      </c>
      <c r="B7" t="inlineStr">
        <is>
          <t>2026년 3월 결산기 3분기 결산단신</t>
        </is>
      </c>
      <c r="C7" t="inlineStr">
        <is>
          <t>https://www2.jpx.co.jp/disc/43680/140120260206550192.pdf</t>
        </is>
      </c>
    </row>
    <row r="8">
      <c r="A8" t="inlineStr">
        <is>
          <t>2025-10-31</t>
        </is>
      </c>
      <c r="B8" t="inlineStr">
        <is>
          <t>2026년 3월 결산기 2분기 결산단신</t>
        </is>
      </c>
      <c r="C8" t="inlineStr">
        <is>
          <t>https://www2.jpx.co.jp/disc/43680/140120251031584140.pdf</t>
        </is>
      </c>
    </row>
    <row r="9">
      <c r="A9" t="inlineStr">
        <is>
          <t>2025-08-08</t>
        </is>
      </c>
      <c r="B9" t="inlineStr">
        <is>
          <t>2026년 3월 결산기 1분기 결산단신</t>
        </is>
      </c>
      <c r="C9" t="inlineStr">
        <is>
          <t>https://www2.jpx.co.jp/disc/43680/140120250808537713.pdf</t>
        </is>
      </c>
    </row>
    <row r="10">
      <c r="A10" t="inlineStr">
        <is>
          <t>2025-05-12</t>
        </is>
      </c>
      <c r="B10" t="inlineStr">
        <is>
          <t>2025년 3월 결산기 연간 결산단신</t>
        </is>
      </c>
      <c r="C10" t="inlineStr">
        <is>
          <t>https://www2.jpx.co.jp/disc/43680/140120250512541966.pdf</t>
        </is>
      </c>
    </row>
    <row r="11">
      <c r="A11" t="inlineStr">
        <is>
          <t>2025-02-07</t>
        </is>
      </c>
      <c r="B11" t="inlineStr">
        <is>
          <t>2025년 3월 결산기 3분기 결산단신</t>
        </is>
      </c>
      <c r="C11" t="inlineStr">
        <is>
          <t>https://www2.jpx.co.jp/disc/43680/140120250207566816.pdf</t>
        </is>
      </c>
    </row>
    <row r="12">
      <c r="A12" t="inlineStr">
        <is>
          <t>2024-10-31</t>
        </is>
      </c>
      <c r="B12" t="inlineStr">
        <is>
          <t>2025년 3월 결산기 2분기 결산단신</t>
        </is>
      </c>
      <c r="C12" t="inlineStr">
        <is>
          <t>https://www2.jpx.co.jp/disc/43680/140120241031507360.pdf</t>
        </is>
      </c>
    </row>
    <row r="13">
      <c r="A13" t="inlineStr">
        <is>
          <t>2024-08-07</t>
        </is>
      </c>
      <c r="B13" t="inlineStr">
        <is>
          <t>2025년 3월 결산기 1분기 결산단신</t>
        </is>
      </c>
      <c r="C13" t="inlineStr">
        <is>
          <t>https://www2.jpx.co.jp/disc/43680/140120240807565315.pdf</t>
        </is>
      </c>
    </row>
    <row r="14">
      <c r="A14" t="inlineStr">
        <is>
          <t>2024-05-10</t>
        </is>
      </c>
      <c r="B14" t="inlineStr">
        <is>
          <t>2024년 3월 결산기 연간 결산단신</t>
        </is>
      </c>
      <c r="C14" t="inlineStr">
        <is>
          <t>https://www2.jpx.co.jp/disc/43680/140120240510589535.pdf</t>
        </is>
      </c>
    </row>
    <row r="15">
      <c r="A15" t="inlineStr">
        <is>
          <t>2024-01-31</t>
        </is>
      </c>
      <c r="B15" t="inlineStr">
        <is>
          <t>2024년 3월 결산기 3분기 결산단신</t>
        </is>
      </c>
      <c r="C15" t="inlineStr">
        <is>
          <t>https://www2.jpx.co.jp/disc/43680/140120240131523180.pdf</t>
        </is>
      </c>
    </row>
    <row r="16">
      <c r="A16" t="inlineStr">
        <is>
          <t>2023-10-31</t>
        </is>
      </c>
      <c r="B16" t="inlineStr">
        <is>
          <t>2024년 3월 결산기 2분기 결산단신</t>
        </is>
      </c>
      <c r="C16" t="inlineStr">
        <is>
          <t>https://www2.jpx.co.jp/disc/43680/140120231031576211.pdf</t>
        </is>
      </c>
    </row>
    <row r="17">
      <c r="A17" t="inlineStr">
        <is>
          <t>2023-07-31</t>
        </is>
      </c>
      <c r="B17" t="inlineStr">
        <is>
          <t>2024년 3월 결산기 1분기 결산단신</t>
        </is>
      </c>
      <c r="C17" t="inlineStr">
        <is>
          <t>https://www2.jpx.co.jp/disc/43680/140120230731530710.pdf</t>
        </is>
      </c>
    </row>
    <row r="18">
      <c r="A18" t="inlineStr">
        <is>
          <t>2023-05-11</t>
        </is>
      </c>
      <c r="B18" t="inlineStr">
        <is>
          <t>2023년 3월 결산기 연간 결산단신</t>
        </is>
      </c>
      <c r="C18" t="inlineStr">
        <is>
          <t>https://www2.jpx.co.jp/disc/43680/140120230511565796.pdf</t>
        </is>
      </c>
    </row>
    <row r="19">
      <c r="A19" t="inlineStr">
        <is>
          <t>2023-01-31</t>
        </is>
      </c>
      <c r="B19" t="inlineStr">
        <is>
          <t>2023년 3월 결산기 3분기 결산단신</t>
        </is>
      </c>
      <c r="C19" t="inlineStr">
        <is>
          <t>https://www2.jpx.co.jp/disc/43680/140120230131597244.pdf</t>
        </is>
      </c>
    </row>
    <row r="20">
      <c r="A20" t="inlineStr">
        <is>
          <t>2022-05-09</t>
        </is>
      </c>
      <c r="B20" t="inlineStr">
        <is>
          <t>2022년 3월 결산기 연간 결산단신</t>
        </is>
      </c>
      <c r="C20" t="inlineStr">
        <is>
          <t>https://www2.jpx.co.jp/disc/43680/140120220509535456.pdf</t>
        </is>
      </c>
    </row>
    <row r="21">
      <c r="A21" t="inlineStr">
        <is>
          <t>2021-05-07</t>
        </is>
      </c>
      <c r="B21" t="inlineStr">
        <is>
          <t>2021년 3월 결산기 연간 결산단신</t>
        </is>
      </c>
      <c r="C21" t="inlineStr">
        <is>
          <t>https://www2.jpx.co.jp/disc/43680/140120210507407625.pdf</t>
        </is>
      </c>
    </row>
    <row r="22">
      <c r="A22" t="inlineStr">
        <is>
          <t>2020-05-08</t>
        </is>
      </c>
      <c r="B22" t="inlineStr">
        <is>
          <t>2020년 3월 결산기 연간 결산단신</t>
        </is>
      </c>
      <c r="C22" t="inlineStr">
        <is>
          <t>https://www2.jpx.co.jp/disc/43680/140120200508407104.pdf</t>
        </is>
      </c>
    </row>
    <row r="23">
      <c r="A23" t="inlineStr">
        <is>
          <t>2019-05-09</t>
        </is>
      </c>
      <c r="B23" t="inlineStr">
        <is>
          <t>2019년 3월 결산기 연간 결산단신</t>
        </is>
      </c>
      <c r="C23" t="inlineStr">
        <is>
          <t>https://www2.jpx.co.jp/disc/43680/140120190509418931.pdf</t>
        </is>
      </c>
    </row>
    <row r="24">
      <c r="A24" t="inlineStr">
        <is>
          <t>2018-05-07</t>
        </is>
      </c>
      <c r="B24" t="inlineStr">
        <is>
          <t>연간 결산단신</t>
        </is>
      </c>
      <c r="C24" t="inlineStr">
        <is>
          <t>https://www2.jpx.co.jp/disc/43680/140120180507428121.pdf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60" t="inlineStr">
        <is>
          <t>4368 재무제표 한눈에 보기 — 최근 40개 분기(달력 분기, 3Q26 = 26.7~9) · 단위 억 엔</t>
        </is>
      </c>
    </row>
    <row r="2">
      <c r="A2" s="61" t="inlineStr">
        <is>
          <t>출처: 매출·영업이익 결산단신 XBRL · 재무상태표 등 결산단신 XBRL 36건(2018-01-31~2026-10-30). 부문·지역·수주·수출은 있을 때만(출처는 줄 끝). 총 차입금 = 이자 붙는 부채 전부(단기·장기 차입금, CP, 사채·전환사채, 리스부채)</t>
        </is>
      </c>
    </row>
    <row r="4">
      <c r="A4" s="62" t="inlineStr">
        <is>
          <t>항목</t>
        </is>
      </c>
      <c r="B4" s="63" t="inlineStr">
        <is>
          <t>4Q16</t>
        </is>
      </c>
      <c r="C4" s="63" t="inlineStr">
        <is>
          <t>1Q17</t>
        </is>
      </c>
      <c r="D4" s="63" t="inlineStr">
        <is>
          <t>2Q17</t>
        </is>
      </c>
      <c r="E4" s="63" t="inlineStr">
        <is>
          <t>3Q17</t>
        </is>
      </c>
      <c r="F4" s="63" t="inlineStr">
        <is>
          <t>4Q17</t>
        </is>
      </c>
      <c r="G4" s="63" t="inlineStr">
        <is>
          <t>1Q18</t>
        </is>
      </c>
      <c r="H4" s="63" t="inlineStr">
        <is>
          <t>2Q18</t>
        </is>
      </c>
      <c r="I4" s="63" t="inlineStr">
        <is>
          <t>3Q18</t>
        </is>
      </c>
      <c r="J4" s="63" t="inlineStr">
        <is>
          <t>4Q18</t>
        </is>
      </c>
      <c r="K4" s="63" t="inlineStr">
        <is>
          <t>1Q19</t>
        </is>
      </c>
      <c r="L4" s="63" t="inlineStr">
        <is>
          <t>2Q19</t>
        </is>
      </c>
      <c r="M4" s="63" t="inlineStr">
        <is>
          <t>3Q19</t>
        </is>
      </c>
      <c r="N4" s="63" t="inlineStr">
        <is>
          <t>4Q19</t>
        </is>
      </c>
      <c r="O4" s="63" t="inlineStr">
        <is>
          <t>1Q20</t>
        </is>
      </c>
      <c r="P4" s="63" t="inlineStr">
        <is>
          <t>2Q20</t>
        </is>
      </c>
      <c r="Q4" s="63" t="inlineStr">
        <is>
          <t>3Q20</t>
        </is>
      </c>
      <c r="R4" s="63" t="inlineStr">
        <is>
          <t>4Q20</t>
        </is>
      </c>
      <c r="S4" s="63" t="inlineStr">
        <is>
          <t>1Q21</t>
        </is>
      </c>
      <c r="T4" s="63" t="inlineStr">
        <is>
          <t>2Q21</t>
        </is>
      </c>
      <c r="U4" s="63" t="inlineStr">
        <is>
          <t>3Q21</t>
        </is>
      </c>
      <c r="V4" s="63" t="inlineStr">
        <is>
          <t>4Q21</t>
        </is>
      </c>
      <c r="W4" s="63" t="inlineStr">
        <is>
          <t>1Q22</t>
        </is>
      </c>
      <c r="X4" s="63" t="inlineStr">
        <is>
          <t>2Q22</t>
        </is>
      </c>
      <c r="Y4" s="63" t="inlineStr">
        <is>
          <t>3Q22</t>
        </is>
      </c>
      <c r="Z4" s="63" t="inlineStr">
        <is>
          <t>4Q22</t>
        </is>
      </c>
      <c r="AA4" s="63" t="inlineStr">
        <is>
          <t>1Q23</t>
        </is>
      </c>
      <c r="AB4" s="63" t="inlineStr">
        <is>
          <t>2Q23</t>
        </is>
      </c>
      <c r="AC4" s="63" t="inlineStr">
        <is>
          <t>3Q23</t>
        </is>
      </c>
      <c r="AD4" s="63" t="inlineStr">
        <is>
          <t>4Q23</t>
        </is>
      </c>
      <c r="AE4" s="63" t="inlineStr">
        <is>
          <t>1Q24</t>
        </is>
      </c>
      <c r="AF4" s="63" t="inlineStr">
        <is>
          <t>2Q24</t>
        </is>
      </c>
      <c r="AG4" s="63" t="inlineStr">
        <is>
          <t>3Q24</t>
        </is>
      </c>
      <c r="AH4" s="63" t="inlineStr">
        <is>
          <t>4Q24</t>
        </is>
      </c>
      <c r="AI4" s="63" t="inlineStr">
        <is>
          <t>1Q25</t>
        </is>
      </c>
      <c r="AJ4" s="63" t="inlineStr">
        <is>
          <t>2Q25</t>
        </is>
      </c>
      <c r="AK4" s="63" t="inlineStr">
        <is>
          <t>3Q25</t>
        </is>
      </c>
      <c r="AL4" s="63" t="inlineStr">
        <is>
          <t>4Q25</t>
        </is>
      </c>
      <c r="AM4" s="63" t="inlineStr">
        <is>
          <t>1Q26</t>
        </is>
      </c>
      <c r="AN4" s="63" t="inlineStr">
        <is>
          <t>2Q26</t>
        </is>
      </c>
      <c r="AO4" s="63" t="inlineStr">
        <is>
          <t>3Q26</t>
        </is>
      </c>
      <c r="AP4" s="62" t="inlineStr">
        <is>
          <t>출처</t>
        </is>
      </c>
    </row>
    <row r="5">
      <c r="A5" s="64" t="inlineStr">
        <is>
          <t>매출액</t>
        </is>
      </c>
      <c r="B5" s="65" t="n"/>
      <c r="C5" s="65" t="n">
        <v>94.5</v>
      </c>
      <c r="D5" s="65" t="n">
        <v>98.09999999999999</v>
      </c>
      <c r="E5" s="65" t="n">
        <v>97.7</v>
      </c>
      <c r="F5" s="65" t="n">
        <v>107.2</v>
      </c>
      <c r="G5" s="65" t="n">
        <v>99.3</v>
      </c>
      <c r="H5" s="65" t="n">
        <v>106.8</v>
      </c>
      <c r="I5" s="65" t="n">
        <v>106.3</v>
      </c>
      <c r="J5" s="65" t="n">
        <v>110.9</v>
      </c>
      <c r="K5" s="65" t="n">
        <v>21</v>
      </c>
      <c r="L5" s="65" t="n">
        <v>99.8</v>
      </c>
      <c r="M5" s="65" t="n">
        <v>103.6</v>
      </c>
      <c r="N5" s="65" t="n">
        <v>109.3</v>
      </c>
      <c r="O5" s="65" t="n">
        <v>100.5</v>
      </c>
      <c r="P5" s="65" t="n">
        <v>102</v>
      </c>
      <c r="Q5" s="65" t="n">
        <v>101.4</v>
      </c>
      <c r="R5" s="65" t="n">
        <v>108.4</v>
      </c>
      <c r="S5" s="65" t="n">
        <v>110.3</v>
      </c>
      <c r="T5" s="65" t="n">
        <v>128.3</v>
      </c>
      <c r="U5" s="65" t="n">
        <v>123.4</v>
      </c>
      <c r="V5" s="65" t="n">
        <v>144.9</v>
      </c>
      <c r="W5" s="65" t="n">
        <v>65.09999999999999</v>
      </c>
      <c r="X5" s="65" t="n">
        <v>175.4</v>
      </c>
      <c r="Y5" s="65" t="n">
        <v>178.2</v>
      </c>
      <c r="Z5" s="65" t="n">
        <v>172.7</v>
      </c>
      <c r="AA5" s="65" t="n">
        <v>158.3</v>
      </c>
      <c r="AB5" s="65" t="n">
        <v>136.4</v>
      </c>
      <c r="AC5" s="65" t="n">
        <v>134.9</v>
      </c>
      <c r="AD5" s="65" t="n">
        <v>160</v>
      </c>
      <c r="AE5" s="65" t="n">
        <v>158.4</v>
      </c>
      <c r="AF5" s="65" t="n">
        <v>174.3</v>
      </c>
      <c r="AG5" s="65" t="n">
        <v>173.2</v>
      </c>
      <c r="AH5" s="65" t="n">
        <v>176.6</v>
      </c>
      <c r="AI5" s="65" t="n">
        <v>50.3</v>
      </c>
      <c r="AJ5" s="65" t="n">
        <v>186.6</v>
      </c>
      <c r="AK5" s="65" t="n">
        <v>190.5</v>
      </c>
      <c r="AL5" s="65" t="n">
        <v>202.2</v>
      </c>
      <c r="AM5" s="65" t="n">
        <v>61.7</v>
      </c>
      <c r="AN5" s="65" t="n">
        <v>228.2</v>
      </c>
      <c r="AO5" s="65" t="n">
        <v>227.8</v>
      </c>
    </row>
    <row r="6">
      <c r="A6" s="64" t="inlineStr">
        <is>
          <t>매출액 YoY</t>
        </is>
      </c>
      <c r="B6" s="66" t="n"/>
      <c r="C6" s="66" t="n"/>
      <c r="D6" s="66" t="n"/>
      <c r="E6" s="66" t="n"/>
      <c r="F6" s="66" t="n"/>
      <c r="G6" s="66" t="n">
        <v>5.1</v>
      </c>
      <c r="H6" s="66" t="n">
        <v>8.9</v>
      </c>
      <c r="I6" s="66" t="n">
        <v>8.800000000000001</v>
      </c>
      <c r="J6" s="66" t="n">
        <v>3.5</v>
      </c>
      <c r="K6" s="66" t="n">
        <v>-78.90000000000001</v>
      </c>
      <c r="L6" s="66" t="n">
        <v>-6.6</v>
      </c>
      <c r="M6" s="66" t="n">
        <v>-2.5</v>
      </c>
      <c r="N6" s="66" t="n">
        <v>-1.4</v>
      </c>
      <c r="O6" s="66" t="n">
        <v>378.6</v>
      </c>
      <c r="P6" s="66" t="n">
        <v>2.2</v>
      </c>
      <c r="Q6" s="66" t="n">
        <v>-2.1</v>
      </c>
      <c r="R6" s="66" t="n">
        <v>-0.8</v>
      </c>
      <c r="S6" s="66" t="n">
        <v>9.800000000000001</v>
      </c>
      <c r="T6" s="66" t="n">
        <v>25.8</v>
      </c>
      <c r="U6" s="66" t="n">
        <v>21.7</v>
      </c>
      <c r="V6" s="66" t="n">
        <v>33.7</v>
      </c>
      <c r="W6" s="66" t="n">
        <v>-41</v>
      </c>
      <c r="X6" s="66" t="n">
        <v>36.7</v>
      </c>
      <c r="Y6" s="66" t="n">
        <v>44.4</v>
      </c>
      <c r="Z6" s="66" t="n">
        <v>19.2</v>
      </c>
      <c r="AA6" s="66" t="n">
        <v>143.2</v>
      </c>
      <c r="AB6" s="66" t="n">
        <v>-22.2</v>
      </c>
      <c r="AC6" s="66" t="n">
        <v>-24.3</v>
      </c>
      <c r="AD6" s="66" t="n">
        <v>-7.4</v>
      </c>
      <c r="AE6" s="66" t="n">
        <v>0.1</v>
      </c>
      <c r="AF6" s="66" t="n">
        <v>27.8</v>
      </c>
      <c r="AG6" s="66" t="n">
        <v>28.4</v>
      </c>
      <c r="AH6" s="66" t="n">
        <v>10.4</v>
      </c>
      <c r="AI6" s="66" t="n">
        <v>-68.2</v>
      </c>
      <c r="AJ6" s="66" t="n">
        <v>7.1</v>
      </c>
      <c r="AK6" s="66" t="n">
        <v>10</v>
      </c>
      <c r="AL6" s="66" t="n">
        <v>14.5</v>
      </c>
      <c r="AM6" s="66" t="n">
        <v>22.7</v>
      </c>
      <c r="AN6" s="66" t="n">
        <v>22.3</v>
      </c>
      <c r="AO6" s="66" t="n">
        <v>19.6</v>
      </c>
    </row>
    <row r="7">
      <c r="A7" s="64" t="inlineStr">
        <is>
          <t>영업이익</t>
        </is>
      </c>
      <c r="B7" s="65" t="n"/>
      <c r="C7" s="65" t="n">
        <v>25.1</v>
      </c>
      <c r="D7" s="65" t="n">
        <v>28.8</v>
      </c>
      <c r="E7" s="65" t="n">
        <v>25.5</v>
      </c>
      <c r="F7" s="65" t="n">
        <v>27.4</v>
      </c>
      <c r="G7" s="65" t="n">
        <v>23.7</v>
      </c>
      <c r="H7" s="65" t="n">
        <v>26.5</v>
      </c>
      <c r="I7" s="65" t="n">
        <v>25.9</v>
      </c>
      <c r="J7" s="65" t="n">
        <v>22.4</v>
      </c>
      <c r="K7" s="65" t="n">
        <v>2.5</v>
      </c>
      <c r="L7" s="65" t="n">
        <v>21.3</v>
      </c>
      <c r="M7" s="65" t="n">
        <v>22.4</v>
      </c>
      <c r="N7" s="65" t="n">
        <v>25.7</v>
      </c>
      <c r="O7" s="65" t="n">
        <v>19</v>
      </c>
      <c r="P7" s="65" t="n">
        <v>23.5</v>
      </c>
      <c r="Q7" s="65" t="n">
        <v>22.8</v>
      </c>
      <c r="R7" s="65" t="n">
        <v>25.6</v>
      </c>
      <c r="S7" s="65" t="n">
        <v>24.4</v>
      </c>
      <c r="T7" s="65" t="n">
        <v>33.7</v>
      </c>
      <c r="U7" s="65" t="n">
        <v>30.5</v>
      </c>
      <c r="V7" s="65" t="n">
        <v>38.3</v>
      </c>
      <c r="W7" s="65" t="n">
        <v>20.3</v>
      </c>
      <c r="X7" s="65" t="n">
        <v>46.9</v>
      </c>
      <c r="Y7" s="65" t="n">
        <v>48.9</v>
      </c>
      <c r="Z7" s="65" t="n">
        <v>51.2</v>
      </c>
      <c r="AA7" s="65" t="n">
        <v>42.3</v>
      </c>
      <c r="AB7" s="65" t="n">
        <v>31.9</v>
      </c>
      <c r="AC7" s="65" t="n">
        <v>23.9</v>
      </c>
      <c r="AD7" s="65" t="n">
        <v>26.5</v>
      </c>
      <c r="AE7" s="65" t="n">
        <v>28.6</v>
      </c>
      <c r="AF7" s="65" t="n">
        <v>39.1</v>
      </c>
      <c r="AG7" s="65" t="n">
        <v>42.3</v>
      </c>
      <c r="AH7" s="65" t="n">
        <v>44.5</v>
      </c>
      <c r="AI7" s="65" t="n">
        <v>4.5</v>
      </c>
      <c r="AJ7" s="65" t="n">
        <v>46.9</v>
      </c>
      <c r="AK7" s="65" t="n">
        <v>50.5</v>
      </c>
      <c r="AL7" s="65" t="n">
        <v>48.2</v>
      </c>
      <c r="AM7" s="65" t="n">
        <v>8</v>
      </c>
      <c r="AN7" s="65" t="n">
        <v>61.7</v>
      </c>
      <c r="AO7" s="65" t="n">
        <v>71.2</v>
      </c>
    </row>
    <row r="8">
      <c r="A8" s="64" t="inlineStr">
        <is>
          <t>영업이익률</t>
        </is>
      </c>
      <c r="B8" s="66" t="n"/>
      <c r="C8" s="66" t="n">
        <v>26.6</v>
      </c>
      <c r="D8" s="66" t="n">
        <v>29.4</v>
      </c>
      <c r="E8" s="66" t="n">
        <v>26.1</v>
      </c>
      <c r="F8" s="66" t="n">
        <v>25.6</v>
      </c>
      <c r="G8" s="66" t="n">
        <v>23.9</v>
      </c>
      <c r="H8" s="66" t="n">
        <v>24.8</v>
      </c>
      <c r="I8" s="66" t="n">
        <v>24.4</v>
      </c>
      <c r="J8" s="66" t="n">
        <v>20.2</v>
      </c>
      <c r="K8" s="66" t="n">
        <v>11.9</v>
      </c>
      <c r="L8" s="66" t="n">
        <v>21.3</v>
      </c>
      <c r="M8" s="66" t="n">
        <v>21.6</v>
      </c>
      <c r="N8" s="66" t="n">
        <v>23.5</v>
      </c>
      <c r="O8" s="66" t="n">
        <v>18.9</v>
      </c>
      <c r="P8" s="66" t="n">
        <v>23</v>
      </c>
      <c r="Q8" s="66" t="n">
        <v>22.5</v>
      </c>
      <c r="R8" s="66" t="n">
        <v>23.6</v>
      </c>
      <c r="S8" s="66" t="n">
        <v>22.1</v>
      </c>
      <c r="T8" s="66" t="n">
        <v>26.3</v>
      </c>
      <c r="U8" s="66" t="n">
        <v>24.7</v>
      </c>
      <c r="V8" s="66" t="n">
        <v>26.4</v>
      </c>
      <c r="W8" s="66" t="n">
        <v>31.2</v>
      </c>
      <c r="X8" s="66" t="n">
        <v>26.7</v>
      </c>
      <c r="Y8" s="66" t="n">
        <v>27.4</v>
      </c>
      <c r="Z8" s="66" t="n">
        <v>29.6</v>
      </c>
      <c r="AA8" s="66" t="n">
        <v>26.7</v>
      </c>
      <c r="AB8" s="66" t="n">
        <v>23.4</v>
      </c>
      <c r="AC8" s="66" t="n">
        <v>17.7</v>
      </c>
      <c r="AD8" s="66" t="n">
        <v>16.6</v>
      </c>
      <c r="AE8" s="66" t="n">
        <v>18.1</v>
      </c>
      <c r="AF8" s="66" t="n">
        <v>22.4</v>
      </c>
      <c r="AG8" s="66" t="n">
        <v>24.4</v>
      </c>
      <c r="AH8" s="66" t="n">
        <v>25.2</v>
      </c>
      <c r="AI8" s="66" t="n">
        <v>8.9</v>
      </c>
      <c r="AJ8" s="66" t="n">
        <v>25.1</v>
      </c>
      <c r="AK8" s="66" t="n">
        <v>26.5</v>
      </c>
      <c r="AL8" s="66" t="n">
        <v>23.8</v>
      </c>
      <c r="AM8" s="66" t="n">
        <v>13</v>
      </c>
      <c r="AN8" s="66" t="n">
        <v>27</v>
      </c>
      <c r="AO8" s="66" t="n">
        <v>31.3</v>
      </c>
    </row>
    <row r="9">
      <c r="A9" s="64" t="inlineStr">
        <is>
          <t>영업이익 YoY</t>
        </is>
      </c>
      <c r="B9" s="66" t="n"/>
      <c r="C9" s="66" t="n"/>
      <c r="D9" s="66" t="n"/>
      <c r="E9" s="66" t="n"/>
      <c r="F9" s="66" t="n"/>
      <c r="G9" s="66" t="n">
        <v>-5.6</v>
      </c>
      <c r="H9" s="66" t="n">
        <v>-8</v>
      </c>
      <c r="I9" s="66" t="n">
        <v>1.6</v>
      </c>
      <c r="J9" s="66" t="n">
        <v>-18.2</v>
      </c>
      <c r="K9" s="66" t="n">
        <v>-89.5</v>
      </c>
      <c r="L9" s="66" t="n">
        <v>-19.6</v>
      </c>
      <c r="M9" s="66" t="n">
        <v>-13.5</v>
      </c>
      <c r="N9" s="66" t="n">
        <v>14.7</v>
      </c>
      <c r="O9" s="66" t="n">
        <v>660</v>
      </c>
      <c r="P9" s="66" t="n">
        <v>10.3</v>
      </c>
      <c r="Q9" s="66" t="n">
        <v>1.8</v>
      </c>
      <c r="R9" s="66" t="n">
        <v>-0.4</v>
      </c>
      <c r="S9" s="66" t="n">
        <v>28.4</v>
      </c>
      <c r="T9" s="66" t="n">
        <v>43.4</v>
      </c>
      <c r="U9" s="66" t="n">
        <v>33.8</v>
      </c>
      <c r="V9" s="66" t="n">
        <v>49.6</v>
      </c>
      <c r="W9" s="66" t="n">
        <v>-16.8</v>
      </c>
      <c r="X9" s="66" t="n">
        <v>39.2</v>
      </c>
      <c r="Y9" s="66" t="n">
        <v>60.3</v>
      </c>
      <c r="Z9" s="66" t="n">
        <v>33.7</v>
      </c>
      <c r="AA9" s="66" t="n">
        <v>108.4</v>
      </c>
      <c r="AB9" s="66" t="n">
        <v>-32</v>
      </c>
      <c r="AC9" s="66" t="n">
        <v>-51.1</v>
      </c>
      <c r="AD9" s="66" t="n">
        <v>-48.2</v>
      </c>
      <c r="AE9" s="66" t="n">
        <v>-32.4</v>
      </c>
      <c r="AF9" s="66" t="n">
        <v>22.6</v>
      </c>
      <c r="AG9" s="66" t="n">
        <v>77</v>
      </c>
      <c r="AH9" s="66" t="n">
        <v>67.90000000000001</v>
      </c>
      <c r="AI9" s="66" t="n">
        <v>-84.3</v>
      </c>
      <c r="AJ9" s="66" t="n">
        <v>19.9</v>
      </c>
      <c r="AK9" s="66" t="n">
        <v>19.4</v>
      </c>
      <c r="AL9" s="66" t="n">
        <v>8.300000000000001</v>
      </c>
      <c r="AM9" s="66" t="n">
        <v>77.8</v>
      </c>
      <c r="AN9" s="66" t="n">
        <v>31.6</v>
      </c>
      <c r="AO9" s="66" t="n">
        <v>41</v>
      </c>
    </row>
    <row r="10">
      <c r="A10" s="64" t="inlineStr">
        <is>
          <t>유동자산</t>
        </is>
      </c>
      <c r="B10" s="65" t="n"/>
      <c r="C10" s="65" t="n">
        <v>413.5</v>
      </c>
      <c r="D10" s="65" t="n"/>
      <c r="E10" s="65" t="n"/>
      <c r="F10" s="65" t="n">
        <v>410.3</v>
      </c>
      <c r="G10" s="65" t="n">
        <v>394.7</v>
      </c>
      <c r="H10" s="65" t="n">
        <v>370.5</v>
      </c>
      <c r="I10" s="65" t="n">
        <v>383.2</v>
      </c>
      <c r="J10" s="65" t="n">
        <v>311</v>
      </c>
      <c r="K10" s="65" t="n">
        <v>239</v>
      </c>
      <c r="L10" s="65" t="n">
        <v>309.3</v>
      </c>
      <c r="M10" s="65" t="n">
        <v>327.9</v>
      </c>
      <c r="N10" s="65" t="n">
        <v>341.9</v>
      </c>
      <c r="O10" s="65" t="n">
        <v>289.4</v>
      </c>
      <c r="P10" s="65" t="n">
        <v>365.5</v>
      </c>
      <c r="Q10" s="65" t="n">
        <v>388.6</v>
      </c>
      <c r="R10" s="65" t="n">
        <v>404.4</v>
      </c>
      <c r="S10" s="65" t="n">
        <v>376.8</v>
      </c>
      <c r="T10" s="65" t="n">
        <v>463.1</v>
      </c>
      <c r="U10" s="65" t="n">
        <v>484.8</v>
      </c>
      <c r="V10" s="65" t="n">
        <v>448</v>
      </c>
      <c r="W10" s="65" t="n">
        <v>430.4</v>
      </c>
      <c r="X10" s="65" t="n">
        <v>509.9</v>
      </c>
      <c r="Y10" s="65" t="n">
        <v>524.8</v>
      </c>
      <c r="Z10" s="65" t="n">
        <v>501.1</v>
      </c>
      <c r="AA10" s="65" t="n">
        <v>553.4</v>
      </c>
      <c r="AB10" s="65" t="n">
        <v>632.4</v>
      </c>
      <c r="AC10" s="65" t="n">
        <v>663.1</v>
      </c>
      <c r="AD10" s="65" t="n">
        <v>630.3</v>
      </c>
      <c r="AE10" s="65" t="n">
        <v>558.4</v>
      </c>
      <c r="AF10" s="65" t="n">
        <v>685.4</v>
      </c>
      <c r="AG10" s="65" t="n">
        <v>654.8</v>
      </c>
      <c r="AH10" s="65" t="n">
        <v>648.8</v>
      </c>
      <c r="AI10" s="65" t="n">
        <v>670.5</v>
      </c>
      <c r="AJ10" s="65" t="n">
        <v>642.3</v>
      </c>
      <c r="AK10" s="65" t="n">
        <v>701.1</v>
      </c>
      <c r="AL10" s="65" t="n">
        <v>755.8</v>
      </c>
      <c r="AM10" s="65" t="n">
        <v>784.8</v>
      </c>
      <c r="AN10" s="65" t="n">
        <v>821.8</v>
      </c>
      <c r="AO10" s="65" t="n">
        <v>890.2</v>
      </c>
    </row>
    <row r="11">
      <c r="A11" s="64" t="inlineStr">
        <is>
          <t>유동부채</t>
        </is>
      </c>
      <c r="B11" s="65" t="n"/>
      <c r="C11" s="65" t="n">
        <v>93</v>
      </c>
      <c r="D11" s="65" t="n"/>
      <c r="E11" s="65" t="n"/>
      <c r="F11" s="65" t="n">
        <v>118.3</v>
      </c>
      <c r="G11" s="65" t="n">
        <v>122.7</v>
      </c>
      <c r="H11" s="65" t="n">
        <v>118.7</v>
      </c>
      <c r="I11" s="65" t="n">
        <v>134.7</v>
      </c>
      <c r="J11" s="65" t="n">
        <v>85.2</v>
      </c>
      <c r="K11" s="65" t="n">
        <v>69.5</v>
      </c>
      <c r="L11" s="65" t="n">
        <v>64.8</v>
      </c>
      <c r="M11" s="65" t="n">
        <v>81.90000000000001</v>
      </c>
      <c r="N11" s="65" t="n">
        <v>75.7</v>
      </c>
      <c r="O11" s="65" t="n">
        <v>68.7</v>
      </c>
      <c r="P11" s="65" t="n">
        <v>68.5</v>
      </c>
      <c r="Q11" s="65" t="n">
        <v>65.59999999999999</v>
      </c>
      <c r="R11" s="65" t="n">
        <v>63</v>
      </c>
      <c r="S11" s="65" t="n">
        <v>75.90000000000001</v>
      </c>
      <c r="T11" s="65" t="n">
        <v>80.7</v>
      </c>
      <c r="U11" s="65" t="n">
        <v>149.2</v>
      </c>
      <c r="V11" s="65" t="n">
        <v>88.5</v>
      </c>
      <c r="W11" s="65" t="n">
        <v>147.4</v>
      </c>
      <c r="X11" s="65" t="n">
        <v>167.9</v>
      </c>
      <c r="Y11" s="65" t="n">
        <v>138.9</v>
      </c>
      <c r="Z11" s="65" t="n">
        <v>214</v>
      </c>
      <c r="AA11" s="65" t="n">
        <v>239.1</v>
      </c>
      <c r="AB11" s="65" t="n">
        <v>126</v>
      </c>
      <c r="AC11" s="65" t="n">
        <v>136.7</v>
      </c>
      <c r="AD11" s="65" t="n">
        <v>110.8</v>
      </c>
      <c r="AE11" s="65" t="n">
        <v>159</v>
      </c>
      <c r="AF11" s="65" t="n">
        <v>163.5</v>
      </c>
      <c r="AG11" s="65" t="n">
        <v>148.7</v>
      </c>
      <c r="AH11" s="65" t="n">
        <v>123.7</v>
      </c>
      <c r="AI11" s="65" t="n">
        <v>184.9</v>
      </c>
      <c r="AJ11" s="65" t="n">
        <v>137.5</v>
      </c>
      <c r="AK11" s="65" t="n">
        <v>177.2</v>
      </c>
      <c r="AL11" s="65" t="n">
        <v>202.2</v>
      </c>
      <c r="AM11" s="65" t="n">
        <v>198.4</v>
      </c>
      <c r="AN11" s="65" t="n">
        <v>296.3</v>
      </c>
      <c r="AO11" s="65" t="n">
        <v>311.6</v>
      </c>
    </row>
    <row r="12">
      <c r="A12" s="64" t="inlineStr">
        <is>
          <t>부채총계</t>
        </is>
      </c>
      <c r="B12" s="65" t="n"/>
      <c r="C12" s="65" t="n">
        <v>114.3</v>
      </c>
      <c r="D12" s="65" t="n"/>
      <c r="E12" s="65" t="n"/>
      <c r="F12" s="65" t="n">
        <v>140.5</v>
      </c>
      <c r="G12" s="65" t="n">
        <v>140.8</v>
      </c>
      <c r="H12" s="65" t="n">
        <v>136.4</v>
      </c>
      <c r="I12" s="65" t="n">
        <v>152.4</v>
      </c>
      <c r="J12" s="65" t="n">
        <v>103.2</v>
      </c>
      <c r="K12" s="65" t="n">
        <v>87</v>
      </c>
      <c r="L12" s="65" t="n">
        <v>83.09999999999999</v>
      </c>
      <c r="M12" s="65" t="n">
        <v>99.5</v>
      </c>
      <c r="N12" s="65" t="n">
        <v>93.7</v>
      </c>
      <c r="O12" s="65" t="n">
        <v>85.90000000000001</v>
      </c>
      <c r="P12" s="65" t="n">
        <v>86.5</v>
      </c>
      <c r="Q12" s="65" t="n">
        <v>85.59999999999999</v>
      </c>
      <c r="R12" s="65" t="n">
        <v>83</v>
      </c>
      <c r="S12" s="65" t="n">
        <v>94.3</v>
      </c>
      <c r="T12" s="65" t="n">
        <v>100.7</v>
      </c>
      <c r="U12" s="65" t="n">
        <v>169.3</v>
      </c>
      <c r="V12" s="65" t="n">
        <v>108.8</v>
      </c>
      <c r="W12" s="65" t="n">
        <v>165.8</v>
      </c>
      <c r="X12" s="65" t="n">
        <v>188.7</v>
      </c>
      <c r="Y12" s="65" t="n">
        <v>160.2</v>
      </c>
      <c r="Z12" s="65" t="n">
        <v>234.8</v>
      </c>
      <c r="AA12" s="65" t="n">
        <v>260.3</v>
      </c>
      <c r="AB12" s="65" t="n">
        <v>347.5</v>
      </c>
      <c r="AC12" s="65" t="n">
        <v>358.4</v>
      </c>
      <c r="AD12" s="65" t="n">
        <v>332.3</v>
      </c>
      <c r="AE12" s="65" t="n">
        <v>378.6</v>
      </c>
      <c r="AF12" s="65" t="n">
        <v>385.3</v>
      </c>
      <c r="AG12" s="65" t="n">
        <v>360.3</v>
      </c>
      <c r="AH12" s="65" t="n">
        <v>326.8</v>
      </c>
      <c r="AI12" s="65" t="n">
        <v>374.5</v>
      </c>
      <c r="AJ12" s="65" t="n">
        <v>317.1</v>
      </c>
      <c r="AK12" s="65" t="n">
        <v>346.6</v>
      </c>
      <c r="AL12" s="65" t="n">
        <v>362.8</v>
      </c>
      <c r="AM12" s="65" t="n">
        <v>350.4</v>
      </c>
      <c r="AN12" s="65" t="n">
        <v>438.3</v>
      </c>
      <c r="AO12" s="65" t="n">
        <v>443.4</v>
      </c>
    </row>
    <row r="13">
      <c r="A13" s="64" t="inlineStr">
        <is>
          <t>자기자본</t>
        </is>
      </c>
      <c r="B13" s="66" t="n"/>
      <c r="C13" s="66" t="n">
        <v>451.6</v>
      </c>
      <c r="D13" s="66" t="n"/>
      <c r="E13" s="66" t="n"/>
      <c r="F13" s="66" t="n">
        <v>497.1</v>
      </c>
      <c r="G13" s="66" t="n">
        <v>501.5</v>
      </c>
      <c r="H13" s="66" t="n">
        <v>512.7</v>
      </c>
      <c r="I13" s="66" t="n">
        <v>533.9</v>
      </c>
      <c r="J13" s="66" t="n">
        <v>538.4</v>
      </c>
      <c r="K13" s="66" t="n">
        <v>499</v>
      </c>
      <c r="L13" s="66" t="n">
        <v>554.8</v>
      </c>
      <c r="M13" s="66" t="n">
        <v>570.7</v>
      </c>
      <c r="N13" s="66" t="n">
        <v>584.3</v>
      </c>
      <c r="O13" s="66" t="n">
        <v>549.5</v>
      </c>
      <c r="P13" s="66" t="n">
        <v>610</v>
      </c>
      <c r="Q13" s="66" t="n">
        <v>626</v>
      </c>
      <c r="R13" s="66" t="n">
        <v>635.4</v>
      </c>
      <c r="S13" s="66" t="n">
        <v>602.5</v>
      </c>
      <c r="T13" s="66" t="n">
        <v>675.2</v>
      </c>
      <c r="U13" s="66" t="n">
        <v>688.3</v>
      </c>
      <c r="V13" s="66" t="n">
        <v>711.3</v>
      </c>
      <c r="W13" s="66" t="n">
        <v>674.3</v>
      </c>
      <c r="X13" s="66" t="n">
        <v>788.1</v>
      </c>
      <c r="Y13" s="66" t="n">
        <v>829.5</v>
      </c>
      <c r="Z13" s="66" t="n">
        <v>841.9</v>
      </c>
      <c r="AA13" s="66" t="n">
        <v>875</v>
      </c>
      <c r="AB13" s="66" t="n">
        <v>896.1</v>
      </c>
      <c r="AC13" s="66" t="n">
        <v>918.2</v>
      </c>
      <c r="AD13" s="66" t="n">
        <v>918.9</v>
      </c>
      <c r="AE13" s="66" t="n">
        <v>836.5</v>
      </c>
      <c r="AF13" s="66" t="n">
        <v>976.4</v>
      </c>
      <c r="AG13" s="66" t="n">
        <v>988.7</v>
      </c>
      <c r="AH13" s="66" t="n">
        <v>1025.4</v>
      </c>
      <c r="AI13" s="66" t="n">
        <v>1040.5</v>
      </c>
      <c r="AJ13" s="66" t="n">
        <v>1054.5</v>
      </c>
      <c r="AK13" s="66" t="n">
        <v>1097.9</v>
      </c>
      <c r="AL13" s="66" t="n">
        <v>1131.4</v>
      </c>
      <c r="AM13" s="66" t="n">
        <v>1172.2</v>
      </c>
      <c r="AN13" s="66" t="n">
        <v>1230</v>
      </c>
      <c r="AO13" s="66" t="n">
        <v>1274.7</v>
      </c>
    </row>
    <row r="14">
      <c r="A14" s="64" t="inlineStr">
        <is>
          <t>유동비율</t>
        </is>
      </c>
      <c r="B14" s="66" t="n"/>
      <c r="C14" s="66" t="n">
        <v>444.6</v>
      </c>
      <c r="D14" s="66" t="n"/>
      <c r="E14" s="66" t="n"/>
      <c r="F14" s="66" t="n">
        <v>346.8</v>
      </c>
      <c r="G14" s="66" t="n">
        <v>321.7</v>
      </c>
      <c r="H14" s="66" t="n">
        <v>312.1</v>
      </c>
      <c r="I14" s="66" t="n">
        <v>284.5</v>
      </c>
      <c r="J14" s="66" t="n">
        <v>365</v>
      </c>
      <c r="K14" s="66" t="n">
        <v>343.9</v>
      </c>
      <c r="L14" s="66" t="n">
        <v>477.3</v>
      </c>
      <c r="M14" s="66" t="n">
        <v>400.4</v>
      </c>
      <c r="N14" s="66" t="n">
        <v>451.7</v>
      </c>
      <c r="O14" s="66" t="n">
        <v>421.3</v>
      </c>
      <c r="P14" s="66" t="n">
        <v>533.6</v>
      </c>
      <c r="Q14" s="66" t="n">
        <v>592.4</v>
      </c>
      <c r="R14" s="66" t="n">
        <v>641.9</v>
      </c>
      <c r="S14" s="66" t="n">
        <v>496.4</v>
      </c>
      <c r="T14" s="66" t="n">
        <v>573.9</v>
      </c>
      <c r="U14" s="66" t="n">
        <v>324.9</v>
      </c>
      <c r="V14" s="66" t="n">
        <v>506.2</v>
      </c>
      <c r="W14" s="66" t="n">
        <v>292</v>
      </c>
      <c r="X14" s="66" t="n">
        <v>303.7</v>
      </c>
      <c r="Y14" s="66" t="n">
        <v>377.8</v>
      </c>
      <c r="Z14" s="66" t="n">
        <v>234.2</v>
      </c>
      <c r="AA14" s="66" t="n">
        <v>231.5</v>
      </c>
      <c r="AB14" s="66" t="n">
        <v>501.9</v>
      </c>
      <c r="AC14" s="66" t="n">
        <v>485.1</v>
      </c>
      <c r="AD14" s="66" t="n">
        <v>568.9</v>
      </c>
      <c r="AE14" s="66" t="n">
        <v>351.2</v>
      </c>
      <c r="AF14" s="66" t="n">
        <v>419.2</v>
      </c>
      <c r="AG14" s="66" t="n">
        <v>440.3</v>
      </c>
      <c r="AH14" s="66" t="n">
        <v>524.5</v>
      </c>
      <c r="AI14" s="66" t="n">
        <v>362.6</v>
      </c>
      <c r="AJ14" s="66" t="n">
        <v>467.1</v>
      </c>
      <c r="AK14" s="66" t="n">
        <v>395.7</v>
      </c>
      <c r="AL14" s="66" t="n">
        <v>373.8</v>
      </c>
      <c r="AM14" s="66" t="n">
        <v>395.6</v>
      </c>
      <c r="AN14" s="66" t="n">
        <v>277.4</v>
      </c>
      <c r="AO14" s="66" t="n">
        <v>285.7</v>
      </c>
    </row>
    <row r="15">
      <c r="A15" s="64" t="inlineStr">
        <is>
          <t>부채비율</t>
        </is>
      </c>
      <c r="B15" s="66" t="n"/>
      <c r="C15" s="66" t="n">
        <v>25.3</v>
      </c>
      <c r="D15" s="66" t="n"/>
      <c r="E15" s="66" t="n"/>
      <c r="F15" s="66" t="n">
        <v>28.3</v>
      </c>
      <c r="G15" s="66" t="n">
        <v>28.1</v>
      </c>
      <c r="H15" s="66" t="n">
        <v>26.6</v>
      </c>
      <c r="I15" s="66" t="n">
        <v>28.5</v>
      </c>
      <c r="J15" s="66" t="n">
        <v>19.2</v>
      </c>
      <c r="K15" s="66" t="n">
        <v>17.4</v>
      </c>
      <c r="L15" s="66" t="n">
        <v>15</v>
      </c>
      <c r="M15" s="66" t="n">
        <v>17.4</v>
      </c>
      <c r="N15" s="66" t="n">
        <v>16</v>
      </c>
      <c r="O15" s="66" t="n">
        <v>15.6</v>
      </c>
      <c r="P15" s="66" t="n">
        <v>14.2</v>
      </c>
      <c r="Q15" s="66" t="n">
        <v>13.7</v>
      </c>
      <c r="R15" s="66" t="n">
        <v>13.1</v>
      </c>
      <c r="S15" s="66" t="n">
        <v>15.7</v>
      </c>
      <c r="T15" s="66" t="n">
        <v>14.9</v>
      </c>
      <c r="U15" s="66" t="n">
        <v>24.6</v>
      </c>
      <c r="V15" s="66" t="n">
        <v>15.3</v>
      </c>
      <c r="W15" s="66" t="n">
        <v>24.6</v>
      </c>
      <c r="X15" s="66" t="n">
        <v>23.9</v>
      </c>
      <c r="Y15" s="66" t="n">
        <v>19.3</v>
      </c>
      <c r="Z15" s="66" t="n">
        <v>27.9</v>
      </c>
      <c r="AA15" s="66" t="n">
        <v>29.7</v>
      </c>
      <c r="AB15" s="66" t="n">
        <v>38.8</v>
      </c>
      <c r="AC15" s="66" t="n">
        <v>39</v>
      </c>
      <c r="AD15" s="66" t="n">
        <v>36.2</v>
      </c>
      <c r="AE15" s="66" t="n">
        <v>45.3</v>
      </c>
      <c r="AF15" s="66" t="n">
        <v>39.5</v>
      </c>
      <c r="AG15" s="66" t="n">
        <v>36.4</v>
      </c>
      <c r="AH15" s="66" t="n">
        <v>31.9</v>
      </c>
      <c r="AI15" s="66" t="n">
        <v>36</v>
      </c>
      <c r="AJ15" s="66" t="n">
        <v>30.1</v>
      </c>
      <c r="AK15" s="66" t="n">
        <v>31.6</v>
      </c>
      <c r="AL15" s="66" t="n">
        <v>32.1</v>
      </c>
      <c r="AM15" s="66" t="n">
        <v>29.9</v>
      </c>
      <c r="AN15" s="66" t="n">
        <v>35.6</v>
      </c>
      <c r="AO15" s="66" t="n">
        <v>34.8</v>
      </c>
    </row>
    <row r="16">
      <c r="A16" s="64" t="inlineStr">
        <is>
          <t>순차입금/자기자본</t>
        </is>
      </c>
      <c r="B16" s="66" t="n"/>
      <c r="C16" s="66" t="n">
        <v>-54.2</v>
      </c>
      <c r="D16" s="66" t="n"/>
      <c r="E16" s="66" t="n"/>
      <c r="F16" s="66" t="n">
        <v>-40.9</v>
      </c>
      <c r="G16" s="66" t="n">
        <v>-37.8</v>
      </c>
      <c r="H16" s="66" t="n">
        <v>-32.7</v>
      </c>
      <c r="I16" s="66" t="n">
        <v>-33.1</v>
      </c>
      <c r="J16" s="66" t="n">
        <v>-18.4</v>
      </c>
      <c r="K16" s="66" t="n">
        <v>-15.1</v>
      </c>
      <c r="L16" s="66" t="n">
        <v>-21.2</v>
      </c>
      <c r="M16" s="66" t="n">
        <v>-24</v>
      </c>
      <c r="N16" s="66" t="n">
        <v>-24.2</v>
      </c>
      <c r="O16" s="66" t="n">
        <v>-23.1</v>
      </c>
      <c r="P16" s="66" t="n">
        <v>-29.2</v>
      </c>
      <c r="Q16" s="66" t="n">
        <v>-32</v>
      </c>
      <c r="R16" s="66" t="n">
        <v>-32.2</v>
      </c>
      <c r="S16" s="66" t="n">
        <v>-36.3</v>
      </c>
      <c r="T16" s="66" t="n">
        <v>-38.4</v>
      </c>
      <c r="U16" s="66" t="n">
        <v>-38.9</v>
      </c>
      <c r="V16" s="66" t="n">
        <v>-28.3</v>
      </c>
      <c r="W16" s="66" t="n">
        <v>-29.7</v>
      </c>
      <c r="X16" s="66" t="n">
        <v>-25.4</v>
      </c>
      <c r="Y16" s="66" t="n">
        <v>-25.7</v>
      </c>
      <c r="Z16" s="66" t="n">
        <v>-20.8</v>
      </c>
      <c r="AA16" s="66" t="n">
        <v>-26.8</v>
      </c>
      <c r="AB16" s="66" t="n">
        <v>-11.6</v>
      </c>
      <c r="AC16" s="66" t="n">
        <v>-10.2</v>
      </c>
      <c r="AD16" s="66" t="n">
        <v>-6</v>
      </c>
      <c r="AE16" s="66" t="n">
        <v>-6.3</v>
      </c>
      <c r="AF16" s="66" t="n">
        <v>-12.8</v>
      </c>
      <c r="AG16" s="66" t="n">
        <v>-12.1</v>
      </c>
      <c r="AH16" s="66" t="n">
        <v>-7.5</v>
      </c>
      <c r="AI16" s="66" t="n">
        <v>-10.9</v>
      </c>
      <c r="AJ16" s="66" t="n">
        <v>-7.6</v>
      </c>
      <c r="AK16" s="66" t="n">
        <v>-13.3</v>
      </c>
      <c r="AL16" s="66" t="n">
        <v>-16.6</v>
      </c>
      <c r="AM16" s="66" t="n">
        <v>-20.6</v>
      </c>
      <c r="AN16" s="66" t="n">
        <v>-18.2</v>
      </c>
      <c r="AO16" s="66" t="n">
        <v>-26.3</v>
      </c>
    </row>
    <row r="17">
      <c r="A17" s="64" t="inlineStr">
        <is>
          <t>재고자산</t>
        </is>
      </c>
      <c r="B17" s="65" t="n"/>
      <c r="C17" s="65" t="n">
        <v>59.1</v>
      </c>
      <c r="D17" s="65" t="n"/>
      <c r="E17" s="65" t="n"/>
      <c r="F17" s="65" t="n">
        <v>68.8</v>
      </c>
      <c r="G17" s="65" t="n">
        <v>80.09999999999999</v>
      </c>
      <c r="H17" s="65" t="n">
        <v>81.2</v>
      </c>
      <c r="I17" s="65" t="n">
        <v>81.09999999999999</v>
      </c>
      <c r="J17" s="65" t="n">
        <v>81.3</v>
      </c>
      <c r="K17" s="65" t="n">
        <v>60.4</v>
      </c>
      <c r="L17" s="65" t="n">
        <v>78.09999999999999</v>
      </c>
      <c r="M17" s="65" t="n">
        <v>79.09999999999999</v>
      </c>
      <c r="N17" s="65" t="n">
        <v>80.3</v>
      </c>
      <c r="O17" s="65" t="n">
        <v>61.2</v>
      </c>
      <c r="P17" s="65" t="n">
        <v>81.90000000000001</v>
      </c>
      <c r="Q17" s="65" t="n">
        <v>86.2</v>
      </c>
      <c r="R17" s="65" t="n">
        <v>83.3</v>
      </c>
      <c r="S17" s="65" t="n">
        <v>61.5</v>
      </c>
      <c r="T17" s="65" t="n">
        <v>79.7</v>
      </c>
      <c r="U17" s="65" t="n">
        <v>89.8</v>
      </c>
      <c r="V17" s="65" t="n">
        <v>100.7</v>
      </c>
      <c r="W17" s="65" t="n">
        <v>89</v>
      </c>
      <c r="X17" s="65" t="n">
        <v>134.3</v>
      </c>
      <c r="Y17" s="65" t="n">
        <v>138.9</v>
      </c>
      <c r="Z17" s="65" t="n">
        <v>149.3</v>
      </c>
      <c r="AA17" s="65" t="n">
        <v>160.4</v>
      </c>
      <c r="AB17" s="65" t="n">
        <v>180.8</v>
      </c>
      <c r="AC17" s="65" t="n">
        <v>193.1</v>
      </c>
      <c r="AD17" s="65" t="n">
        <v>181.5</v>
      </c>
      <c r="AE17" s="65" t="n">
        <v>133.2</v>
      </c>
      <c r="AF17" s="65" t="n">
        <v>158.7</v>
      </c>
      <c r="AG17" s="65" t="n">
        <v>164.1</v>
      </c>
      <c r="AH17" s="65" t="n">
        <v>176.5</v>
      </c>
      <c r="AI17" s="65" t="n">
        <v>181.6</v>
      </c>
      <c r="AJ17" s="65" t="n">
        <v>179.2</v>
      </c>
      <c r="AK17" s="65" t="n">
        <v>184.8</v>
      </c>
      <c r="AL17" s="65" t="n">
        <v>178.5</v>
      </c>
      <c r="AM17" s="65" t="n">
        <v>184.1</v>
      </c>
      <c r="AN17" s="65" t="n">
        <v>182.8</v>
      </c>
      <c r="AO17" s="65" t="n">
        <v>200.6</v>
      </c>
    </row>
    <row r="18">
      <c r="A18" s="64" t="inlineStr">
        <is>
          <t>재고자산 회전일수</t>
        </is>
      </c>
      <c r="B18" s="65" t="n"/>
      <c r="C18" s="65" t="n">
        <v>103</v>
      </c>
      <c r="D18" s="65" t="n"/>
      <c r="E18" s="65" t="n"/>
      <c r="F18" s="65" t="n">
        <v>100</v>
      </c>
      <c r="G18" s="65" t="n">
        <v>125</v>
      </c>
      <c r="H18" s="65" t="n">
        <v>117</v>
      </c>
      <c r="I18" s="65" t="n">
        <v>118</v>
      </c>
      <c r="J18" s="65" t="n">
        <v>104</v>
      </c>
      <c r="K18" s="65" t="n">
        <v>314</v>
      </c>
      <c r="L18" s="65" t="n">
        <v>114</v>
      </c>
      <c r="M18" s="65" t="n">
        <v>111</v>
      </c>
      <c r="N18" s="65" t="n">
        <v>110</v>
      </c>
      <c r="O18" s="65" t="n">
        <v>86</v>
      </c>
      <c r="P18" s="65" t="n">
        <v>119</v>
      </c>
      <c r="Q18" s="65" t="n">
        <v>127</v>
      </c>
      <c r="R18" s="65" t="n">
        <v>115</v>
      </c>
      <c r="S18" s="65" t="n">
        <v>81</v>
      </c>
      <c r="T18" s="65" t="n">
        <v>94</v>
      </c>
      <c r="U18" s="65" t="n">
        <v>110</v>
      </c>
      <c r="V18" s="65" t="n">
        <v>107</v>
      </c>
      <c r="W18" s="65" t="n">
        <v>229</v>
      </c>
      <c r="X18" s="65" t="n">
        <v>116</v>
      </c>
      <c r="Y18" s="65" t="n">
        <v>120</v>
      </c>
      <c r="Z18" s="65" t="n">
        <v>139</v>
      </c>
      <c r="AA18" s="65" t="n">
        <v>158</v>
      </c>
      <c r="AB18" s="65" t="n">
        <v>204</v>
      </c>
      <c r="AC18" s="65" t="n">
        <v>201</v>
      </c>
      <c r="AD18" s="65" t="n">
        <v>150</v>
      </c>
      <c r="AE18" s="65" t="n">
        <v>114</v>
      </c>
      <c r="AF18" s="65" t="n">
        <v>129</v>
      </c>
      <c r="AG18" s="65" t="n">
        <v>140</v>
      </c>
      <c r="AH18" s="65" t="n">
        <v>152</v>
      </c>
      <c r="AI18" s="65" t="n">
        <v>396</v>
      </c>
      <c r="AJ18" s="65" t="n">
        <v>143</v>
      </c>
      <c r="AK18" s="65" t="n">
        <v>147</v>
      </c>
      <c r="AL18" s="65" t="n">
        <v>127</v>
      </c>
      <c r="AM18" s="65" t="n">
        <v>367</v>
      </c>
      <c r="AN18" s="65" t="n">
        <v>121</v>
      </c>
      <c r="AO18" s="65" t="n">
        <v>144</v>
      </c>
    </row>
    <row r="19">
      <c r="A19" s="64" t="inlineStr">
        <is>
          <t>매출채권 회전일수</t>
        </is>
      </c>
      <c r="B19" s="65" t="n"/>
      <c r="C19" s="65" t="n">
        <v>94</v>
      </c>
      <c r="D19" s="65" t="n"/>
      <c r="E19" s="65" t="n"/>
      <c r="F19" s="65" t="n">
        <v>101</v>
      </c>
      <c r="G19" s="65" t="n">
        <v>103</v>
      </c>
      <c r="H19" s="65" t="n">
        <v>97</v>
      </c>
      <c r="I19" s="65" t="n">
        <v>99</v>
      </c>
      <c r="J19" s="65" t="n">
        <v>98</v>
      </c>
      <c r="K19" s="65" t="n">
        <v>472</v>
      </c>
      <c r="L19" s="65" t="n">
        <v>98</v>
      </c>
      <c r="M19" s="65" t="n">
        <v>92</v>
      </c>
      <c r="N19" s="65" t="n">
        <v>96</v>
      </c>
      <c r="O19" s="65" t="n">
        <v>93</v>
      </c>
      <c r="P19" s="65" t="n">
        <v>90</v>
      </c>
      <c r="Q19" s="65" t="n">
        <v>88</v>
      </c>
      <c r="R19" s="65" t="n">
        <v>93</v>
      </c>
      <c r="S19" s="65" t="n">
        <v>87</v>
      </c>
      <c r="T19" s="65" t="n">
        <v>84</v>
      </c>
      <c r="U19" s="65" t="n">
        <v>88</v>
      </c>
      <c r="V19" s="65" t="n">
        <v>87</v>
      </c>
      <c r="W19" s="65" t="n">
        <v>208</v>
      </c>
      <c r="X19" s="65" t="n">
        <v>84</v>
      </c>
      <c r="Y19" s="65" t="n">
        <v>83</v>
      </c>
      <c r="Z19" s="65" t="n">
        <v>87</v>
      </c>
      <c r="AA19" s="65" t="n">
        <v>86</v>
      </c>
      <c r="AB19" s="65" t="n">
        <v>89</v>
      </c>
      <c r="AC19" s="65" t="n">
        <v>100</v>
      </c>
      <c r="AD19" s="65" t="n">
        <v>90</v>
      </c>
      <c r="AE19" s="65" t="n">
        <v>95</v>
      </c>
      <c r="AF19" s="65" t="n">
        <v>89</v>
      </c>
      <c r="AG19" s="65" t="n">
        <v>85</v>
      </c>
      <c r="AH19" s="65" t="n">
        <v>94</v>
      </c>
      <c r="AI19" s="65" t="n">
        <v>290</v>
      </c>
      <c r="AJ19" s="65" t="n">
        <v>83</v>
      </c>
      <c r="AK19" s="65" t="n">
        <v>83</v>
      </c>
      <c r="AL19" s="65" t="n">
        <v>82</v>
      </c>
      <c r="AM19" s="65" t="n">
        <v>245</v>
      </c>
      <c r="AN19" s="65" t="n">
        <v>78</v>
      </c>
      <c r="AO19" s="65" t="n">
        <v>79</v>
      </c>
    </row>
    <row r="20">
      <c r="A20" s="64" t="inlineStr">
        <is>
          <t>매입채무 회전일수</t>
        </is>
      </c>
      <c r="B20" s="65" t="n"/>
      <c r="C20" s="65" t="n">
        <v>49</v>
      </c>
      <c r="D20" s="65" t="n"/>
      <c r="E20" s="65" t="n"/>
      <c r="F20" s="65" t="n">
        <v>41</v>
      </c>
      <c r="G20" s="65" t="n">
        <v>40</v>
      </c>
      <c r="H20" s="65" t="n">
        <v>32</v>
      </c>
      <c r="I20" s="65" t="n">
        <v>37</v>
      </c>
      <c r="J20" s="65" t="n">
        <v>28</v>
      </c>
      <c r="K20" s="65" t="n">
        <v>95</v>
      </c>
      <c r="L20" s="65" t="n">
        <v>24</v>
      </c>
      <c r="M20" s="65" t="n">
        <v>28</v>
      </c>
      <c r="N20" s="65" t="n">
        <v>27</v>
      </c>
      <c r="O20" s="65" t="n">
        <v>30</v>
      </c>
      <c r="P20" s="65" t="n">
        <v>27</v>
      </c>
      <c r="Q20" s="65" t="n">
        <v>27</v>
      </c>
      <c r="R20" s="65" t="n">
        <v>24</v>
      </c>
      <c r="S20" s="65" t="n">
        <v>29</v>
      </c>
      <c r="T20" s="65" t="n">
        <v>20</v>
      </c>
      <c r="U20" s="65" t="n">
        <v>28</v>
      </c>
      <c r="V20" s="65" t="n">
        <v>27</v>
      </c>
      <c r="W20" s="65" t="n">
        <v>100</v>
      </c>
      <c r="X20" s="65" t="n">
        <v>28</v>
      </c>
      <c r="Y20" s="65" t="n">
        <v>25</v>
      </c>
      <c r="Z20" s="65" t="n">
        <v>27</v>
      </c>
      <c r="AA20" s="65" t="n">
        <v>32</v>
      </c>
      <c r="AB20" s="65" t="n">
        <v>40</v>
      </c>
      <c r="AC20" s="65" t="n">
        <v>34</v>
      </c>
      <c r="AD20" s="65" t="n">
        <v>21</v>
      </c>
      <c r="AE20" s="65" t="n">
        <v>20</v>
      </c>
      <c r="AF20" s="65" t="n">
        <v>26</v>
      </c>
      <c r="AG20" s="65" t="n">
        <v>28</v>
      </c>
      <c r="AH20" s="65" t="n">
        <v>28</v>
      </c>
      <c r="AI20" s="65" t="n">
        <v>67</v>
      </c>
      <c r="AJ20" s="65" t="n">
        <v>24</v>
      </c>
      <c r="AK20" s="65" t="n">
        <v>24</v>
      </c>
      <c r="AL20" s="65" t="n">
        <v>19</v>
      </c>
      <c r="AM20" s="65" t="n">
        <v>57</v>
      </c>
      <c r="AN20" s="65" t="n">
        <v>22</v>
      </c>
      <c r="AO20" s="65" t="n">
        <v>26</v>
      </c>
    </row>
    <row r="21">
      <c r="A21" s="64" t="inlineStr">
        <is>
          <t>현금전환주기(CCC)</t>
        </is>
      </c>
      <c r="B21" s="65" t="n"/>
      <c r="C21" s="65" t="n">
        <v>148</v>
      </c>
      <c r="D21" s="65" t="n"/>
      <c r="E21" s="65" t="n"/>
      <c r="F21" s="65" t="n">
        <v>160</v>
      </c>
      <c r="G21" s="65" t="n">
        <v>188</v>
      </c>
      <c r="H21" s="65" t="n">
        <v>182</v>
      </c>
      <c r="I21" s="65" t="n">
        <v>180</v>
      </c>
      <c r="J21" s="65" t="n">
        <v>174</v>
      </c>
      <c r="K21" s="65" t="n">
        <v>691</v>
      </c>
      <c r="L21" s="65" t="n">
        <v>188</v>
      </c>
      <c r="M21" s="65" t="n">
        <v>175</v>
      </c>
      <c r="N21" s="65" t="n">
        <v>179</v>
      </c>
      <c r="O21" s="65" t="n">
        <v>149</v>
      </c>
      <c r="P21" s="65" t="n">
        <v>182</v>
      </c>
      <c r="Q21" s="65" t="n">
        <v>188</v>
      </c>
      <c r="R21" s="65" t="n">
        <v>184</v>
      </c>
      <c r="S21" s="65" t="n">
        <v>139</v>
      </c>
      <c r="T21" s="65" t="n">
        <v>158</v>
      </c>
      <c r="U21" s="65" t="n">
        <v>170</v>
      </c>
      <c r="V21" s="65" t="n">
        <v>167</v>
      </c>
      <c r="W21" s="65" t="n">
        <v>337</v>
      </c>
      <c r="X21" s="65" t="n">
        <v>172</v>
      </c>
      <c r="Y21" s="65" t="n">
        <v>178</v>
      </c>
      <c r="Z21" s="65" t="n">
        <v>199</v>
      </c>
      <c r="AA21" s="65" t="n">
        <v>212</v>
      </c>
      <c r="AB21" s="65" t="n">
        <v>253</v>
      </c>
      <c r="AC21" s="65" t="n">
        <v>267</v>
      </c>
      <c r="AD21" s="65" t="n">
        <v>219</v>
      </c>
      <c r="AE21" s="65" t="n">
        <v>189</v>
      </c>
      <c r="AF21" s="65" t="n">
        <v>192</v>
      </c>
      <c r="AG21" s="65" t="n">
        <v>197</v>
      </c>
      <c r="AH21" s="65" t="n">
        <v>218</v>
      </c>
      <c r="AI21" s="65" t="n">
        <v>619</v>
      </c>
      <c r="AJ21" s="65" t="n">
        <v>202</v>
      </c>
      <c r="AK21" s="65" t="n">
        <v>206</v>
      </c>
      <c r="AL21" s="65" t="n">
        <v>190</v>
      </c>
      <c r="AM21" s="65" t="n">
        <v>555</v>
      </c>
      <c r="AN21" s="65" t="n">
        <v>177</v>
      </c>
      <c r="AO21" s="65" t="n">
        <v>197</v>
      </c>
    </row>
    <row r="22">
      <c r="A22" s="64" t="inlineStr">
        <is>
          <t>총 차입금</t>
        </is>
      </c>
      <c r="B22" s="65" t="n"/>
      <c r="C22" s="65" t="n">
        <v>0</v>
      </c>
      <c r="D22" s="65" t="n"/>
      <c r="E22" s="65" t="n"/>
      <c r="F22" s="65" t="n">
        <v>0</v>
      </c>
      <c r="G22" s="65" t="n">
        <v>0</v>
      </c>
      <c r="H22" s="65" t="n">
        <v>0</v>
      </c>
      <c r="I22" s="65" t="n">
        <v>0</v>
      </c>
      <c r="J22" s="65" t="n">
        <v>0</v>
      </c>
      <c r="K22" s="65" t="n">
        <v>0</v>
      </c>
      <c r="L22" s="65" t="n">
        <v>0</v>
      </c>
      <c r="M22" s="65" t="n">
        <v>0</v>
      </c>
      <c r="N22" s="65" t="n">
        <v>0</v>
      </c>
      <c r="O22" s="65" t="n">
        <v>0</v>
      </c>
      <c r="P22" s="65" t="n">
        <v>0</v>
      </c>
      <c r="Q22" s="65" t="n">
        <v>0</v>
      </c>
      <c r="R22" s="65" t="n">
        <v>0</v>
      </c>
      <c r="S22" s="65" t="n">
        <v>0</v>
      </c>
      <c r="T22" s="65" t="n">
        <v>0</v>
      </c>
      <c r="U22" s="65" t="n">
        <v>0</v>
      </c>
      <c r="V22" s="65" t="n">
        <v>0</v>
      </c>
      <c r="W22" s="65" t="n">
        <v>0</v>
      </c>
      <c r="X22" s="65" t="n">
        <v>0</v>
      </c>
      <c r="Y22" s="65" t="n">
        <v>0</v>
      </c>
      <c r="Z22" s="65" t="n">
        <v>0</v>
      </c>
      <c r="AA22" s="65" t="n">
        <v>0</v>
      </c>
      <c r="AB22" s="65" t="n">
        <v>200</v>
      </c>
      <c r="AC22" s="65" t="n">
        <v>200</v>
      </c>
      <c r="AD22" s="65" t="n">
        <v>200</v>
      </c>
      <c r="AE22" s="65" t="n">
        <v>200</v>
      </c>
      <c r="AF22" s="65" t="n">
        <v>200</v>
      </c>
      <c r="AG22" s="65" t="n">
        <v>200</v>
      </c>
      <c r="AH22" s="65" t="n">
        <v>200</v>
      </c>
      <c r="AI22" s="65" t="n">
        <v>200</v>
      </c>
      <c r="AJ22" s="65" t="n">
        <v>199</v>
      </c>
      <c r="AK22" s="65" t="n">
        <v>189</v>
      </c>
      <c r="AL22" s="65" t="n">
        <v>180</v>
      </c>
      <c r="AM22" s="65" t="n">
        <v>169</v>
      </c>
      <c r="AN22" s="65" t="n">
        <v>159</v>
      </c>
      <c r="AO22" s="65" t="n">
        <v>149</v>
      </c>
    </row>
    <row r="23">
      <c r="A23" s="64" t="inlineStr">
        <is>
          <t>현금</t>
        </is>
      </c>
      <c r="B23" s="65" t="n"/>
      <c r="C23" s="65" t="n">
        <v>244.7</v>
      </c>
      <c r="D23" s="65" t="n"/>
      <c r="E23" s="65" t="n"/>
      <c r="F23" s="65" t="n">
        <v>203.5</v>
      </c>
      <c r="G23" s="65" t="n">
        <v>189.4</v>
      </c>
      <c r="H23" s="65" t="n">
        <v>167.5</v>
      </c>
      <c r="I23" s="65" t="n">
        <v>176.6</v>
      </c>
      <c r="J23" s="65" t="n">
        <v>98.8</v>
      </c>
      <c r="K23" s="65" t="n">
        <v>75.40000000000001</v>
      </c>
      <c r="L23" s="65" t="n">
        <v>117.8</v>
      </c>
      <c r="M23" s="65" t="n">
        <v>136.8</v>
      </c>
      <c r="N23" s="65" t="n">
        <v>141.6</v>
      </c>
      <c r="O23" s="65" t="n">
        <v>127.2</v>
      </c>
      <c r="P23" s="65" t="n">
        <v>178</v>
      </c>
      <c r="Q23" s="65" t="n">
        <v>200.2</v>
      </c>
      <c r="R23" s="65" t="n">
        <v>204.3</v>
      </c>
      <c r="S23" s="65" t="n">
        <v>218.7</v>
      </c>
      <c r="T23" s="65" t="n">
        <v>259</v>
      </c>
      <c r="U23" s="65" t="n">
        <v>268</v>
      </c>
      <c r="V23" s="65" t="n">
        <v>201.1</v>
      </c>
      <c r="W23" s="65" t="n">
        <v>200.1</v>
      </c>
      <c r="X23" s="65" t="n">
        <v>200.5</v>
      </c>
      <c r="Y23" s="65" t="n">
        <v>213.5</v>
      </c>
      <c r="Z23" s="65" t="n">
        <v>174.9</v>
      </c>
      <c r="AA23" s="65" t="n">
        <v>234.1</v>
      </c>
      <c r="AB23" s="65" t="n">
        <v>303.9</v>
      </c>
      <c r="AC23" s="65" t="n">
        <v>293.8</v>
      </c>
      <c r="AD23" s="65" t="n">
        <v>255.3</v>
      </c>
      <c r="AE23" s="65" t="n">
        <v>252.5</v>
      </c>
      <c r="AF23" s="65" t="n">
        <v>325.3</v>
      </c>
      <c r="AG23" s="65" t="n">
        <v>319.2</v>
      </c>
      <c r="AH23" s="65" t="n">
        <v>277.3</v>
      </c>
      <c r="AI23" s="65" t="n">
        <v>313</v>
      </c>
      <c r="AJ23" s="65" t="n">
        <v>278.7</v>
      </c>
      <c r="AK23" s="65" t="n">
        <v>334.6</v>
      </c>
      <c r="AL23" s="65" t="n">
        <v>367.3</v>
      </c>
      <c r="AM23" s="65" t="n">
        <v>410.1</v>
      </c>
      <c r="AN23" s="65" t="n">
        <v>382.9</v>
      </c>
      <c r="AO23" s="65" t="n">
        <v>484.5</v>
      </c>
    </row>
    <row r="24">
      <c r="A24" s="64" t="inlineStr">
        <is>
          <t>부문별 매출 · ライフサイエンス事業、報告セグメント [メンバー]</t>
        </is>
      </c>
      <c r="B24" s="65" t="n"/>
      <c r="C24" s="65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65" t="n"/>
      <c r="U24" s="65" t="n"/>
      <c r="V24" s="65" t="n"/>
      <c r="W24" s="65" t="n"/>
      <c r="X24" s="65" t="n"/>
      <c r="Y24" s="65" t="n"/>
      <c r="Z24" s="65" t="n"/>
      <c r="AA24" s="65" t="n"/>
      <c r="AB24" s="65" t="n">
        <v>85.3</v>
      </c>
      <c r="AC24" s="65" t="n">
        <v>84.5</v>
      </c>
      <c r="AD24" s="65" t="n">
        <v>88.7</v>
      </c>
      <c r="AE24" s="65" t="n"/>
      <c r="AF24" s="65" t="n">
        <v>93.90000000000001</v>
      </c>
      <c r="AG24" s="65" t="n">
        <v>92.8</v>
      </c>
      <c r="AH24" s="65" t="n">
        <v>88.40000000000001</v>
      </c>
      <c r="AI24" s="65" t="n"/>
      <c r="AJ24" s="65" t="n">
        <v>89.59999999999999</v>
      </c>
      <c r="AK24" s="65" t="n">
        <v>88.3</v>
      </c>
      <c r="AL24" s="65" t="n">
        <v>86.09999999999999</v>
      </c>
      <c r="AM24" s="65" t="n"/>
      <c r="AN24" s="65" t="n">
        <v>98.5</v>
      </c>
      <c r="AO24" s="65" t="n">
        <v>99.8</v>
      </c>
      <c r="AP24" s="61" t="inlineStr">
        <is>
          <t>결산단신 부문 정보(외부 고객 매출)</t>
        </is>
      </c>
    </row>
    <row r="25">
      <c r="A25" s="64" t="inlineStr">
        <is>
          <t>부문별 매출 · 電子材料事業、報告セグメント [メンバー]</t>
        </is>
      </c>
      <c r="B25" s="65" t="n"/>
      <c r="C25" s="65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65" t="n"/>
      <c r="U25" s="65" t="n"/>
      <c r="V25" s="65" t="n"/>
      <c r="W25" s="65" t="n"/>
      <c r="X25" s="65" t="n"/>
      <c r="Y25" s="65" t="n"/>
      <c r="Z25" s="65" t="n"/>
      <c r="AA25" s="65" t="n"/>
      <c r="AB25" s="65" t="n">
        <v>51.1</v>
      </c>
      <c r="AC25" s="65" t="n">
        <v>50.5</v>
      </c>
      <c r="AD25" s="65" t="n">
        <v>71.3</v>
      </c>
      <c r="AE25" s="65" t="n"/>
      <c r="AF25" s="65" t="n">
        <v>80.40000000000001</v>
      </c>
      <c r="AG25" s="65" t="n">
        <v>80.5</v>
      </c>
      <c r="AH25" s="65" t="n">
        <v>88.3</v>
      </c>
      <c r="AI25" s="65" t="n"/>
      <c r="AJ25" s="65" t="n">
        <v>97</v>
      </c>
      <c r="AK25" s="65" t="n">
        <v>102.2</v>
      </c>
      <c r="AL25" s="65" t="n">
        <v>116.1</v>
      </c>
      <c r="AM25" s="65" t="n"/>
      <c r="AN25" s="65" t="n">
        <v>129.7</v>
      </c>
      <c r="AO25" s="65" t="n">
        <v>128</v>
      </c>
      <c r="AP25" s="61" t="inlineStr">
        <is>
          <t>결산단신 부문 정보(외부 고객 매출)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2026-10-30T11:32:46Z</dcterms:created>
  <dcterms:modified xmlns:dcterms="http://purl.org/dc/terms/" xmlns:xsi="http://www.w3.org/2001/XMLSchema-instance" xsi:type="dcterms:W3CDTF">2026-10-30T11:33:56Z</dcterms:modified>
</cp:coreProperties>
</file>