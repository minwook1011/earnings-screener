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6382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7897.37</v>
      </c>
      <c r="D4" s="12" t="n">
        <v>9777.627</v>
      </c>
      <c r="E4" s="12" t="n">
        <v>11807.573</v>
      </c>
      <c r="F4" s="12" t="n">
        <v>8655.48</v>
      </c>
      <c r="G4" s="12" t="n">
        <v>9420.847</v>
      </c>
      <c r="H4" s="12" t="n">
        <v>10043.353</v>
      </c>
      <c r="I4" s="12" t="n">
        <v>12097.338</v>
      </c>
      <c r="J4" s="12" t="n">
        <v>8882.008</v>
      </c>
      <c r="K4" s="12" t="n">
        <v>10046.754</v>
      </c>
      <c r="L4" s="12" t="n">
        <v>9005.681</v>
      </c>
      <c r="M4" s="12" t="n">
        <v>11025.954</v>
      </c>
      <c r="N4" s="12" t="n">
        <v>9017.018</v>
      </c>
      <c r="O4" s="11" t="n">
        <v>32990.508</v>
      </c>
      <c r="P4" s="12" t="n">
        <v>41714.317</v>
      </c>
      <c r="Q4" s="12" t="n">
        <v>35352.892</v>
      </c>
      <c r="R4" s="12" t="n">
        <v>36748.514</v>
      </c>
      <c r="S4" s="12" t="n">
        <v>35362.006</v>
      </c>
      <c r="T4" s="12" t="n">
        <v>34161.7</v>
      </c>
      <c r="U4" s="12" t="n">
        <v>29047.516</v>
      </c>
      <c r="V4" s="12" t="n">
        <v>36992.78</v>
      </c>
      <c r="W4" s="12" t="n">
        <v>40217.018</v>
      </c>
      <c r="X4" s="12" t="n">
        <v>38960.397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설비 부문</t>
        </is>
      </c>
      <c r="B7" s="10" t="n"/>
      <c r="C7" s="19" t="n">
        <v>5271.147</v>
      </c>
      <c r="D7" s="20" t="n">
        <v>7013.725</v>
      </c>
      <c r="E7" s="20" t="n">
        <v>9265.294</v>
      </c>
      <c r="F7" s="20" t="n">
        <v>6155.649</v>
      </c>
      <c r="G7" s="20" t="n">
        <v>6892.358</v>
      </c>
      <c r="H7" s="20" t="n">
        <v>7341.281</v>
      </c>
      <c r="I7" s="20" t="n">
        <v>9514.063</v>
      </c>
      <c r="J7" s="20" t="n">
        <v>6543.812</v>
      </c>
      <c r="K7" s="20" t="n">
        <v>7446.517</v>
      </c>
      <c r="L7" s="20" t="n">
        <v>6502.832</v>
      </c>
      <c r="M7" s="20" t="n">
        <v>8878.815000000001</v>
      </c>
      <c r="N7" s="20" t="n">
        <v>7064.779</v>
      </c>
      <c r="O7" s="19" t="n"/>
      <c r="P7" s="20" t="n"/>
      <c r="Q7" s="20" t="n"/>
      <c r="R7" s="20" t="n"/>
      <c r="S7" s="20" t="n"/>
      <c r="T7" s="20" t="n"/>
      <c r="U7" s="20" t="n"/>
      <c r="V7" s="20" t="n">
        <v>26768.516</v>
      </c>
      <c r="W7" s="20" t="n">
        <v>29903.351</v>
      </c>
      <c r="X7" s="20" t="n">
        <v>29371.976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자동차부품 부문</t>
        </is>
      </c>
      <c r="B10" s="10" t="n"/>
      <c r="C10" s="19" t="n">
        <v>2626.223</v>
      </c>
      <c r="D10" s="20" t="n">
        <v>2763.902</v>
      </c>
      <c r="E10" s="20" t="n">
        <v>2542.279</v>
      </c>
      <c r="F10" s="20" t="n">
        <v>2499.83</v>
      </c>
      <c r="G10" s="20" t="n">
        <v>2528.489</v>
      </c>
      <c r="H10" s="20" t="n">
        <v>2702.072</v>
      </c>
      <c r="I10" s="20" t="n">
        <v>2583.276</v>
      </c>
      <c r="J10" s="20" t="n">
        <v>2338.196</v>
      </c>
      <c r="K10" s="20" t="n">
        <v>2600.236</v>
      </c>
      <c r="L10" s="20" t="n">
        <v>2502.85</v>
      </c>
      <c r="M10" s="20" t="n">
        <v>2147.138</v>
      </c>
      <c r="N10" s="20" t="n">
        <v>1952.239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10224.264</v>
      </c>
      <c r="W10" s="20" t="n">
        <v>10313.667</v>
      </c>
      <c r="X10" s="20" t="n">
        <v>9588.42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6259.001</v>
      </c>
      <c r="D14" s="20" t="n">
        <v>7680.949</v>
      </c>
      <c r="E14" s="20" t="n">
        <v>9511.35</v>
      </c>
      <c r="F14" s="20" t="n">
        <v>6952.155</v>
      </c>
      <c r="G14" s="20" t="n">
        <v>7545.4</v>
      </c>
      <c r="H14" s="20" t="n">
        <v>7910.141</v>
      </c>
      <c r="I14" s="20" t="n">
        <v>9553.862999999999</v>
      </c>
      <c r="J14" s="20" t="n">
        <v>6979.706</v>
      </c>
      <c r="K14" s="20" t="n">
        <v>7850.132</v>
      </c>
      <c r="L14" s="20" t="n">
        <v>6941.205</v>
      </c>
      <c r="M14" s="20" t="n">
        <v>8605.504999999999</v>
      </c>
      <c r="N14" s="20" t="n">
        <v>7171.666</v>
      </c>
      <c r="O14" s="19" t="n">
        <v>27215.605</v>
      </c>
      <c r="P14" s="20" t="n">
        <v>35093.469</v>
      </c>
      <c r="Q14" s="20" t="n">
        <v>29132.113</v>
      </c>
      <c r="R14" s="20" t="n">
        <v>29816.847</v>
      </c>
      <c r="S14" s="20" t="n">
        <v>28722.338</v>
      </c>
      <c r="T14" s="20" t="n">
        <v>27754.717</v>
      </c>
      <c r="U14" s="20" t="n">
        <v>23459.4</v>
      </c>
      <c r="V14" s="20" t="n">
        <v>29394.584</v>
      </c>
      <c r="W14" s="20" t="n">
        <v>31961.559</v>
      </c>
      <c r="X14" s="20" t="n">
        <v>30376.548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1188.298</v>
      </c>
      <c r="D18" s="20" t="n">
        <v>1132.74</v>
      </c>
      <c r="E18" s="20" t="n">
        <v>1332.602</v>
      </c>
      <c r="F18" s="20" t="n">
        <v>1232.531</v>
      </c>
      <c r="G18" s="20" t="n">
        <v>1208.867</v>
      </c>
      <c r="H18" s="20" t="n">
        <v>1214.261</v>
      </c>
      <c r="I18" s="20" t="n">
        <v>1353.938</v>
      </c>
      <c r="J18" s="20" t="n">
        <v>1268.687</v>
      </c>
      <c r="K18" s="20" t="n">
        <v>1362.658</v>
      </c>
      <c r="L18" s="20" t="n">
        <v>1306.673</v>
      </c>
      <c r="M18" s="20" t="n">
        <v>1454.964</v>
      </c>
      <c r="N18" s="20" t="n">
        <v>1455.876</v>
      </c>
      <c r="O18" s="19" t="n">
        <v>3880.736</v>
      </c>
      <c r="P18" s="20" t="n">
        <v>4171.768</v>
      </c>
      <c r="Q18" s="20" t="n">
        <v>4311.52</v>
      </c>
      <c r="R18" s="20" t="n">
        <v>4286.182</v>
      </c>
      <c r="S18" s="20" t="n">
        <v>4261.25</v>
      </c>
      <c r="T18" s="20" t="n">
        <v>4474.255</v>
      </c>
      <c r="U18" s="20" t="n">
        <v>4622.361</v>
      </c>
      <c r="V18" s="20" t="n">
        <v>4802.73</v>
      </c>
      <c r="W18" s="20" t="n">
        <v>5009.597</v>
      </c>
      <c r="X18" s="20" t="n">
        <v>5392.982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450.07</v>
      </c>
      <c r="D19" s="12" t="n">
        <v>963.938</v>
      </c>
      <c r="E19" s="12" t="n">
        <v>963.621</v>
      </c>
      <c r="F19" s="12" t="n">
        <v>470.794</v>
      </c>
      <c r="G19" s="12" t="n">
        <v>666.579</v>
      </c>
      <c r="H19" s="12" t="n">
        <v>918.95</v>
      </c>
      <c r="I19" s="12" t="n">
        <v>1189.537</v>
      </c>
      <c r="J19" s="12" t="n">
        <v>633.614</v>
      </c>
      <c r="K19" s="12" t="n">
        <v>833.9640000000001</v>
      </c>
      <c r="L19" s="12" t="n">
        <v>757.804</v>
      </c>
      <c r="M19" s="12" t="n">
        <v>965.484</v>
      </c>
      <c r="N19" s="12" t="n">
        <v>389.475</v>
      </c>
      <c r="O19" s="11" t="n">
        <v>1894.167</v>
      </c>
      <c r="P19" s="12" t="n">
        <v>2449.079</v>
      </c>
      <c r="Q19" s="12" t="n">
        <v>1909.259</v>
      </c>
      <c r="R19" s="12" t="n">
        <v>2645.484</v>
      </c>
      <c r="S19" s="12" t="n">
        <v>2378.418</v>
      </c>
      <c r="T19" s="12" t="n">
        <v>1932.727</v>
      </c>
      <c r="U19" s="12" t="n">
        <v>965.754</v>
      </c>
      <c r="V19" s="12" t="n">
        <v>2795.465</v>
      </c>
      <c r="W19" s="12" t="n">
        <v>3245.86</v>
      </c>
      <c r="X19" s="12" t="n">
        <v>3190.866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/>
      <c r="D35" s="20" t="n">
        <v>0</v>
      </c>
      <c r="E35" s="20" t="n">
        <v>0</v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>
        <v>0</v>
      </c>
      <c r="R35" s="20" t="n">
        <v>9.65</v>
      </c>
      <c r="S35" s="20" t="n">
        <v>0</v>
      </c>
      <c r="T35" s="20" t="n">
        <v>220.845</v>
      </c>
      <c r="U35" s="20" t="n">
        <v>318.362</v>
      </c>
      <c r="V35" s="20" t="n">
        <v>0</v>
      </c>
      <c r="W35" s="20" t="n"/>
      <c r="X35" s="20" t="n"/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>
        <v>0</v>
      </c>
      <c r="P37" s="20" t="n">
        <v>11.634</v>
      </c>
      <c r="Q37" s="20" t="n">
        <v>0</v>
      </c>
      <c r="R37" s="20" t="n"/>
      <c r="S37" s="20" t="n"/>
      <c r="T37" s="20" t="n"/>
      <c r="U37" s="20" t="n"/>
      <c r="V37" s="20" t="n"/>
      <c r="W37" s="20" t="n"/>
      <c r="X37" s="20" t="n"/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143.882</v>
      </c>
      <c r="D39" s="20" t="n">
        <v>150.334</v>
      </c>
      <c r="E39" s="20" t="n">
        <v>-138.116</v>
      </c>
      <c r="F39" s="20" t="n">
        <v>173.011</v>
      </c>
      <c r="G39" s="20" t="n">
        <v>168.086</v>
      </c>
      <c r="H39" s="20" t="n">
        <v>265.79</v>
      </c>
      <c r="I39" s="20" t="n">
        <v>-245.431</v>
      </c>
      <c r="J39" s="20" t="n">
        <v>182.291</v>
      </c>
      <c r="K39" s="20" t="n">
        <v>183.203</v>
      </c>
      <c r="L39" s="20" t="n">
        <v>181.148</v>
      </c>
      <c r="M39" s="20" t="n">
        <v>36.369</v>
      </c>
      <c r="N39" s="20" t="n">
        <v>187.905</v>
      </c>
      <c r="O39" s="19" t="n">
        <v>284.987</v>
      </c>
      <c r="P39" s="20" t="n">
        <v>249.047</v>
      </c>
      <c r="Q39" s="20" t="n">
        <v>371.45</v>
      </c>
      <c r="R39" s="20" t="n">
        <v>213.06</v>
      </c>
      <c r="S39" s="20" t="n">
        <v>149.088</v>
      </c>
      <c r="T39" s="20" t="n">
        <v>418.208</v>
      </c>
      <c r="U39" s="20" t="n">
        <v>528.023</v>
      </c>
      <c r="V39" s="20" t="n">
        <v>301.604</v>
      </c>
      <c r="W39" s="20" t="n">
        <v>361.456</v>
      </c>
      <c r="X39" s="20" t="n">
        <v>583.011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14.298</v>
      </c>
      <c r="D41" s="20" t="n">
        <v>50.396</v>
      </c>
      <c r="E41" s="20" t="n">
        <v>5.961</v>
      </c>
      <c r="F41" s="20" t="n">
        <v>22.681</v>
      </c>
      <c r="G41" s="20" t="n">
        <v>27.514</v>
      </c>
      <c r="H41" s="20" t="n">
        <v>26.673</v>
      </c>
      <c r="I41" s="20" t="n">
        <v>8.577999999999999</v>
      </c>
      <c r="J41" s="20" t="n">
        <v>6.159</v>
      </c>
      <c r="K41" s="20" t="n">
        <v>9.99</v>
      </c>
      <c r="L41" s="20" t="n">
        <v>2.493</v>
      </c>
      <c r="M41" s="20" t="n">
        <v>26.463</v>
      </c>
      <c r="N41" s="20" t="n">
        <v>1.358</v>
      </c>
      <c r="O41" s="19" t="n">
        <v>16.196</v>
      </c>
      <c r="P41" s="20" t="n">
        <v>69.65000000000001</v>
      </c>
      <c r="Q41" s="20" t="n">
        <v>31.202</v>
      </c>
      <c r="R41" s="20" t="n">
        <v>22.753</v>
      </c>
      <c r="S41" s="20" t="n">
        <v>103.875</v>
      </c>
      <c r="T41" s="20" t="n">
        <v>15.89</v>
      </c>
      <c r="U41" s="20" t="n">
        <v>22.217</v>
      </c>
      <c r="V41" s="20" t="n">
        <v>90.06100000000001</v>
      </c>
      <c r="W41" s="20" t="n">
        <v>85.446</v>
      </c>
      <c r="X41" s="20" t="n">
        <v>45.105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579.655</v>
      </c>
      <c r="D43" s="12" t="n">
        <v>1063.876</v>
      </c>
      <c r="E43" s="12" t="n">
        <v>819.545</v>
      </c>
      <c r="F43" s="12" t="n">
        <v>621.124</v>
      </c>
      <c r="G43" s="12" t="n">
        <v>807.151</v>
      </c>
      <c r="H43" s="12" t="n">
        <v>1158.067</v>
      </c>
      <c r="I43" s="12" t="n">
        <v>935.528</v>
      </c>
      <c r="J43" s="12" t="n">
        <v>809.747</v>
      </c>
      <c r="K43" s="12" t="n">
        <v>1007.175</v>
      </c>
      <c r="L43" s="12" t="n">
        <v>936.46</v>
      </c>
      <c r="M43" s="12" t="n">
        <v>975.391</v>
      </c>
      <c r="N43" s="12" t="n">
        <v>576.021</v>
      </c>
      <c r="O43" s="11" t="n">
        <v>2162.958</v>
      </c>
      <c r="P43" s="12" t="n">
        <v>2616.842</v>
      </c>
      <c r="Q43" s="12" t="n">
        <v>2249.507</v>
      </c>
      <c r="R43" s="12" t="n">
        <v>2845.44</v>
      </c>
      <c r="S43" s="12" t="n">
        <v>2423.63</v>
      </c>
      <c r="T43" s="12" t="n">
        <v>2555.891</v>
      </c>
      <c r="U43" s="12" t="n">
        <v>1789.922</v>
      </c>
      <c r="V43" s="12" t="n">
        <v>3007.009</v>
      </c>
      <c r="W43" s="12" t="n">
        <v>3521.87</v>
      </c>
      <c r="X43" s="12" t="n">
        <v>3728.773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128.638</v>
      </c>
      <c r="D44" s="20" t="n">
        <v>249.529</v>
      </c>
      <c r="E44" s="20" t="n">
        <v>197.974</v>
      </c>
      <c r="F44" s="20" t="n">
        <v>447.165</v>
      </c>
      <c r="G44" s="20" t="n">
        <v>196.811</v>
      </c>
      <c r="H44" s="20" t="n">
        <v>162.434</v>
      </c>
      <c r="I44" s="20" t="n">
        <v>224.17</v>
      </c>
      <c r="J44" s="20" t="n">
        <v>328.752</v>
      </c>
      <c r="K44" s="20" t="n">
        <v>321.738</v>
      </c>
      <c r="L44" s="20" t="n">
        <v>216.136</v>
      </c>
      <c r="M44" s="20" t="n">
        <v>54.025</v>
      </c>
      <c r="N44" s="20" t="n">
        <v>352.166</v>
      </c>
      <c r="O44" s="19" t="n">
        <v>612.168</v>
      </c>
      <c r="P44" s="20" t="n">
        <v>794.726</v>
      </c>
      <c r="Q44" s="20" t="n">
        <v>685.625</v>
      </c>
      <c r="R44" s="20" t="n">
        <v>852.3630000000001</v>
      </c>
      <c r="S44" s="20" t="n">
        <v>770.901</v>
      </c>
      <c r="T44" s="20" t="n">
        <v>693.8200000000001</v>
      </c>
      <c r="U44" s="20" t="n">
        <v>454.645</v>
      </c>
      <c r="V44" s="20" t="n">
        <v>877.729</v>
      </c>
      <c r="W44" s="20" t="n">
        <v>1030.58</v>
      </c>
      <c r="X44" s="20" t="n">
        <v>920.651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451.016</v>
      </c>
      <c r="D46" s="12" t="n">
        <v>814.347</v>
      </c>
      <c r="E46" s="12" t="n">
        <v>621.571</v>
      </c>
      <c r="F46" s="12" t="n">
        <v>173.958</v>
      </c>
      <c r="G46" s="12" t="n">
        <v>610.341</v>
      </c>
      <c r="H46" s="12" t="n">
        <v>995.6319999999999</v>
      </c>
      <c r="I46" s="12" t="n">
        <v>711.3579999999999</v>
      </c>
      <c r="J46" s="12" t="n">
        <v>480.994</v>
      </c>
      <c r="K46" s="12" t="n">
        <v>685.438</v>
      </c>
      <c r="L46" s="12" t="n">
        <v>720.323</v>
      </c>
      <c r="M46" s="12" t="n">
        <v>921.366</v>
      </c>
      <c r="N46" s="12" t="n">
        <v>223.855</v>
      </c>
      <c r="O46" s="11" t="n">
        <v>1550.79</v>
      </c>
      <c r="P46" s="12" t="n">
        <v>1822.116</v>
      </c>
      <c r="Q46" s="12" t="n">
        <v>1563.881</v>
      </c>
      <c r="R46" s="12" t="n">
        <v>1993.077</v>
      </c>
      <c r="S46" s="12" t="n">
        <v>1652.729</v>
      </c>
      <c r="T46" s="12" t="n">
        <v>1862.07</v>
      </c>
      <c r="U46" s="12" t="n">
        <v>1335.276</v>
      </c>
      <c r="V46" s="12" t="n">
        <v>2129.279</v>
      </c>
      <c r="W46" s="12" t="n">
        <v>2491.289</v>
      </c>
      <c r="X46" s="12" t="n">
        <v>2808.121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434.966</v>
      </c>
      <c r="D47" s="12" t="n">
        <v>799.0599999999999</v>
      </c>
      <c r="E47" s="12" t="n">
        <v>599.485</v>
      </c>
      <c r="F47" s="12" t="n">
        <v>160.915</v>
      </c>
      <c r="G47" s="12" t="n">
        <v>602.422</v>
      </c>
      <c r="H47" s="12" t="n">
        <v>962.934</v>
      </c>
      <c r="I47" s="12" t="n">
        <v>676.92</v>
      </c>
      <c r="J47" s="12" t="n">
        <v>462.261</v>
      </c>
      <c r="K47" s="12" t="n">
        <v>665.8680000000001</v>
      </c>
      <c r="L47" s="12" t="n">
        <v>695.213</v>
      </c>
      <c r="M47" s="12" t="n">
        <v>865.5549999999999</v>
      </c>
      <c r="N47" s="12" t="n">
        <v>209.349</v>
      </c>
      <c r="O47" s="11" t="n">
        <v>1528.126</v>
      </c>
      <c r="P47" s="12" t="n">
        <v>1802.419</v>
      </c>
      <c r="Q47" s="12" t="n">
        <v>1521.58</v>
      </c>
      <c r="R47" s="12" t="n">
        <v>1942.395</v>
      </c>
      <c r="S47" s="12" t="n">
        <v>1620.236</v>
      </c>
      <c r="T47" s="12" t="n">
        <v>1813.411</v>
      </c>
      <c r="U47" s="12" t="n">
        <v>1267.565</v>
      </c>
      <c r="V47" s="12" t="n">
        <v>2058.629</v>
      </c>
      <c r="W47" s="12" t="n">
        <v>2403.191</v>
      </c>
      <c r="X47" s="12" t="n">
        <v>2688.897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(2026.10.26)</t>
        </is>
      </c>
      <c r="B50" s="27" t="n">
        <v>1192</v>
      </c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>
        <v>18220000</v>
      </c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 2026.10.26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7897.37</v>
      </c>
      <c r="D81" s="12" t="n">
        <v>9777.627</v>
      </c>
      <c r="E81" s="12" t="n">
        <v>11807.573</v>
      </c>
      <c r="F81" s="12" t="n">
        <v>8655.48</v>
      </c>
      <c r="G81" s="12" t="n">
        <v>9420.847</v>
      </c>
      <c r="H81" s="12" t="n">
        <v>10043.353</v>
      </c>
      <c r="I81" s="12" t="n">
        <v>12097.338</v>
      </c>
      <c r="J81" s="12" t="n">
        <v>8882.008</v>
      </c>
      <c r="K81" s="12" t="n">
        <v>10046.754</v>
      </c>
      <c r="L81" s="12" t="n">
        <v>9005.681</v>
      </c>
      <c r="M81" s="12" t="n">
        <v>11025.954</v>
      </c>
      <c r="N81" s="12" t="n">
        <v>9017.018</v>
      </c>
      <c r="T81" s="12" t="n">
        <v>9266.094999999999</v>
      </c>
      <c r="U81" s="12" t="n">
        <v>8952.508</v>
      </c>
      <c r="V81" s="12" t="n">
        <v>11807.573</v>
      </c>
      <c r="W81" s="12" t="n">
        <v>12097.338</v>
      </c>
      <c r="X81" s="12" t="n">
        <v>11025.954</v>
      </c>
    </row>
    <row r="82">
      <c r="A82" s="43" t="inlineStr">
        <is>
          <t>YoY</t>
        </is>
      </c>
      <c r="B82" s="3" t="inlineStr">
        <is>
          <t>전년 같은 분기·전년 대비</t>
        </is>
      </c>
      <c r="G82" s="15">
        <f>IF(OR(G81="",C81=""),"",IF(C81&lt;=0,"",IFERROR(G81/C81-1,"")))</f>
        <v/>
      </c>
      <c r="H82" s="15">
        <f>IF(OR(H81="",D81=""),"",IF(D81&lt;=0,"",IFERROR(H81/D81-1,"")))</f>
        <v/>
      </c>
      <c r="I82" s="15">
        <f>IF(OR(I81="",E81=""),"",IF(E81&lt;=0,"",IFERROR(I81/E81-1,"")))</f>
        <v/>
      </c>
      <c r="J82" s="15">
        <f>IF(OR(J81="",F81=""),"",IF(F81&lt;=0,"",IFERROR(J81/F81-1,"")))</f>
        <v/>
      </c>
      <c r="K82" s="15">
        <f>IF(OR(K81="",G81=""),"",IF(G81&lt;=0,"",IFERROR(K81/G81-1,"")))</f>
        <v/>
      </c>
      <c r="L82" s="15">
        <f>IF(OR(L81="",H81=""),"",IF(H81&lt;=0,"",IFERROR(L81/H81-1,"")))</f>
        <v/>
      </c>
      <c r="M82" s="15">
        <f>IF(OR(M81="",I81=""),"",IF(I81&lt;=0,"",IFERROR(M81/I81-1,"")))</f>
        <v/>
      </c>
      <c r="N82" s="15">
        <f>IF(OR(N81="",J81=""),"",IF(J81&lt;=0,"",IFERROR(N81/J81-1,"")))</f>
        <v/>
      </c>
      <c r="T82" s="15">
        <f>IF(OR(T81="",S81=""),"",IF(S81&lt;=0,"",IFERROR(T81/S81-1,"")))</f>
        <v/>
      </c>
      <c r="U82" s="15">
        <f>IF(OR(U81="",T81=""),"",IF(T81&lt;=0,"",IFERROR(U81/T81-1,"")))</f>
        <v/>
      </c>
      <c r="V82" s="15">
        <f>IF(OR(V81="",U81=""),"",IF(U81&lt;=0,"",IFERROR(V81/U81-1,"")))</f>
        <v/>
      </c>
      <c r="W82" s="15">
        <f>IF(OR(W81="",V81=""),"",IF(V81&lt;=0,"",IFERROR(W81/V81-1,"")))</f>
        <v/>
      </c>
      <c r="X82" s="15">
        <f>IF(OR(X81="",W81=""),"",IF(W81&lt;=0,"",IFERROR(X81/W81-1,"")))</f>
        <v/>
      </c>
    </row>
    <row r="83">
      <c r="A83" s="18" t="inlineStr">
        <is>
          <t>매출원가</t>
        </is>
      </c>
      <c r="C83" s="20" t="n">
        <v>6259.001</v>
      </c>
      <c r="D83" s="20" t="n">
        <v>7680.949</v>
      </c>
      <c r="E83" s="20" t="n">
        <v>9511.35</v>
      </c>
      <c r="F83" s="20" t="n">
        <v>6952.155</v>
      </c>
      <c r="G83" s="20" t="n">
        <v>7545.4</v>
      </c>
      <c r="H83" s="20" t="n">
        <v>7910.141</v>
      </c>
      <c r="I83" s="20" t="n">
        <v>9553.862999999999</v>
      </c>
      <c r="J83" s="20" t="n">
        <v>6979.706</v>
      </c>
      <c r="K83" s="20" t="n">
        <v>7850.132</v>
      </c>
      <c r="L83" s="20" t="n">
        <v>6941.205</v>
      </c>
      <c r="M83" s="20" t="n">
        <v>8605.504999999999</v>
      </c>
      <c r="N83" s="20" t="n">
        <v>7171.666</v>
      </c>
      <c r="T83" s="20" t="n">
        <v>7613.734</v>
      </c>
      <c r="U83" s="20" t="n">
        <v>7021.181</v>
      </c>
      <c r="V83" s="20" t="n">
        <v>9511.35</v>
      </c>
      <c r="W83" s="20" t="n">
        <v>9553.862999999999</v>
      </c>
      <c r="X83" s="20" t="n">
        <v>8605.504999999999</v>
      </c>
    </row>
    <row r="84">
      <c r="A84" s="9" t="inlineStr">
        <is>
          <t>매출총이익</t>
        </is>
      </c>
      <c r="C84" s="12" t="n">
        <v>1638.369</v>
      </c>
      <c r="D84" s="12" t="n">
        <v>2096.678</v>
      </c>
      <c r="E84" s="12" t="n">
        <v>2296.223</v>
      </c>
      <c r="F84" s="12" t="n">
        <v>1703.325</v>
      </c>
      <c r="G84" s="12" t="n">
        <v>1875.447</v>
      </c>
      <c r="H84" s="12" t="n">
        <v>2133.211</v>
      </c>
      <c r="I84" s="12" t="n">
        <v>2543.475</v>
      </c>
      <c r="J84" s="12" t="n">
        <v>1902.302</v>
      </c>
      <c r="K84" s="12" t="n">
        <v>2196.621</v>
      </c>
      <c r="L84" s="12" t="n">
        <v>2064.477</v>
      </c>
      <c r="M84" s="12" t="n">
        <v>2420.449</v>
      </c>
      <c r="N84" s="12" t="n">
        <v>1845.352</v>
      </c>
      <c r="T84" s="12" t="n">
        <v>1652.362</v>
      </c>
      <c r="U84" s="12" t="n">
        <v>1931.327</v>
      </c>
      <c r="V84" s="12" t="n">
        <v>2296.223</v>
      </c>
      <c r="W84" s="12" t="n">
        <v>2543.475</v>
      </c>
      <c r="X84" s="12" t="n">
        <v>2420.449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판매비와 관리비</t>
        </is>
      </c>
      <c r="C86" s="20" t="n">
        <v>1188.298</v>
      </c>
      <c r="D86" s="20" t="n">
        <v>1132.74</v>
      </c>
      <c r="E86" s="20" t="n">
        <v>1332.602</v>
      </c>
      <c r="F86" s="20" t="n">
        <v>1232.531</v>
      </c>
      <c r="G86" s="20" t="n">
        <v>1208.867</v>
      </c>
      <c r="H86" s="20" t="n">
        <v>1214.261</v>
      </c>
      <c r="I86" s="20" t="n">
        <v>1353.938</v>
      </c>
      <c r="J86" s="20" t="n">
        <v>1268.687</v>
      </c>
      <c r="K86" s="20" t="n">
        <v>1362.658</v>
      </c>
      <c r="L86" s="20" t="n">
        <v>1306.673</v>
      </c>
      <c r="M86" s="20" t="n">
        <v>1454.964</v>
      </c>
      <c r="N86" s="20" t="n">
        <v>1455.876</v>
      </c>
      <c r="T86" s="20" t="n">
        <v>1165.848</v>
      </c>
      <c r="U86" s="20" t="n">
        <v>1163.239</v>
      </c>
      <c r="V86" s="20" t="n">
        <v>1332.602</v>
      </c>
      <c r="W86" s="20" t="n">
        <v>1353.938</v>
      </c>
      <c r="X86" s="20" t="n">
        <v>1454.964</v>
      </c>
    </row>
    <row r="87">
      <c r="A87" s="9" t="inlineStr">
        <is>
          <t>영업이익</t>
        </is>
      </c>
      <c r="C87" s="12" t="n">
        <v>450.07</v>
      </c>
      <c r="D87" s="12" t="n">
        <v>963.938</v>
      </c>
      <c r="E87" s="12" t="n">
        <v>963.621</v>
      </c>
      <c r="F87" s="12" t="n">
        <v>470.794</v>
      </c>
      <c r="G87" s="12" t="n">
        <v>666.579</v>
      </c>
      <c r="H87" s="12" t="n">
        <v>918.95</v>
      </c>
      <c r="I87" s="12" t="n">
        <v>1189.537</v>
      </c>
      <c r="J87" s="12" t="n">
        <v>633.614</v>
      </c>
      <c r="K87" s="12" t="n">
        <v>833.9640000000001</v>
      </c>
      <c r="L87" s="12" t="n">
        <v>757.804</v>
      </c>
      <c r="M87" s="12" t="n">
        <v>965.484</v>
      </c>
      <c r="N87" s="12" t="n">
        <v>389.475</v>
      </c>
      <c r="T87" s="12" t="n">
        <v>486.513</v>
      </c>
      <c r="U87" s="12" t="n">
        <v>768.088</v>
      </c>
      <c r="V87" s="12" t="n">
        <v>963.621</v>
      </c>
      <c r="W87" s="12" t="n">
        <v>1189.537</v>
      </c>
      <c r="X87" s="12" t="n">
        <v>965.484</v>
      </c>
    </row>
    <row r="88">
      <c r="A88" s="43" t="inlineStr">
        <is>
          <t>OPM</t>
        </is>
      </c>
      <c r="B88" s="3" t="inlineStr">
        <is>
          <t>영업이익 ÷ 매출</t>
        </is>
      </c>
      <c r="C88" s="15">
        <f>IF(OR(C87="",C81=""),"",IF(C81&lt;=0,"",IFERROR(C87/C81,"")))</f>
        <v/>
      </c>
      <c r="D88" s="15">
        <f>IF(OR(D87="",D81=""),"",IF(D81&lt;=0,"",IFERROR(D87/D81,"")))</f>
        <v/>
      </c>
      <c r="E88" s="15">
        <f>IF(OR(E87="",E81=""),"",IF(E81&lt;=0,"",IFERROR(E87/E81,"")))</f>
        <v/>
      </c>
      <c r="F88" s="15">
        <f>IF(OR(F87="",F81=""),"",IF(F81&lt;=0,"",IFERROR(F87/F81,"")))</f>
        <v/>
      </c>
      <c r="G88" s="15">
        <f>IF(OR(G87="",G81=""),"",IF(G81&lt;=0,"",IFERROR(G87/G81,"")))</f>
        <v/>
      </c>
      <c r="H88" s="15">
        <f>IF(OR(H87="",H81=""),"",IF(H81&lt;=0,"",IFERROR(H87/H81,"")))</f>
        <v/>
      </c>
      <c r="I88" s="15">
        <f>IF(OR(I87="",I81=""),"",IF(I81&lt;=0,"",IFERROR(I87/I81,"")))</f>
        <v/>
      </c>
      <c r="J88" s="15">
        <f>IF(OR(J87="",J81=""),"",IF(J81&lt;=0,"",IFERROR(J87/J81,"")))</f>
        <v/>
      </c>
      <c r="K88" s="15">
        <f>IF(OR(K87="",K81=""),"",IF(K81&lt;=0,"",IFERROR(K87/K81,"")))</f>
        <v/>
      </c>
      <c r="L88" s="15">
        <f>IF(OR(L87="",L81=""),"",IF(L81&lt;=0,"",IFERROR(L87/L81,"")))</f>
        <v/>
      </c>
      <c r="M88" s="15">
        <f>IF(OR(M87="",M81=""),"",IF(M81&lt;=0,"",IFERROR(M87/M81,"")))</f>
        <v/>
      </c>
      <c r="N88" s="15">
        <f>IF(OR(N87="",N81=""),"",IF(N81&lt;=0,"",IFERROR(N87/N81,"")))</f>
        <v/>
      </c>
      <c r="T88" s="15">
        <f>IF(OR(T87="",T81=""),"",IF(T81&lt;=0,"",IFERROR(T87/T81,"")))</f>
        <v/>
      </c>
      <c r="U88" s="15">
        <f>IF(OR(U87="",U81=""),"",IF(U81&lt;=0,"",IFERROR(U87/U81,"")))</f>
        <v/>
      </c>
      <c r="V88" s="15">
        <f>IF(OR(V87="",V81=""),"",IF(V81&lt;=0,"",IFERROR(V87/V81,"")))</f>
        <v/>
      </c>
      <c r="W88" s="15">
        <f>IF(OR(W87="",W81=""),"",IF(W81&lt;=0,"",IFERROR(W87/W81,"")))</f>
        <v/>
      </c>
      <c r="X88" s="15">
        <f>IF(OR(X87="",X81=""),"",IF(X81&lt;=0,"",IFERROR(X87/X81,"")))</f>
        <v/>
      </c>
    </row>
    <row r="89">
      <c r="A89" s="43" t="inlineStr">
        <is>
          <t>YoY</t>
        </is>
      </c>
      <c r="B89" s="3" t="inlineStr">
        <is>
          <t>전년 같은 분기·전년 대비</t>
        </is>
      </c>
      <c r="G89" s="15">
        <f>IF(OR(G87="",C87=""),"",IF(C87&lt;=0,"",IFERROR(G87/C87-1,"")))</f>
        <v/>
      </c>
      <c r="H89" s="15">
        <f>IF(OR(H87="",D87=""),"",IF(D87&lt;=0,"",IFERROR(H87/D87-1,"")))</f>
        <v/>
      </c>
      <c r="I89" s="15">
        <f>IF(OR(I87="",E87=""),"",IF(E87&lt;=0,"",IFERROR(I87/E87-1,"")))</f>
        <v/>
      </c>
      <c r="J89" s="15">
        <f>IF(OR(J87="",F87=""),"",IF(F87&lt;=0,"",IFERROR(J87/F87-1,"")))</f>
        <v/>
      </c>
      <c r="K89" s="15">
        <f>IF(OR(K87="",G87=""),"",IF(G87&lt;=0,"",IFERROR(K87/G87-1,"")))</f>
        <v/>
      </c>
      <c r="L89" s="15">
        <f>IF(OR(L87="",H87=""),"",IF(H87&lt;=0,"",IFERROR(L87/H87-1,"")))</f>
        <v/>
      </c>
      <c r="M89" s="15">
        <f>IF(OR(M87="",I87=""),"",IF(I87&lt;=0,"",IFERROR(M87/I87-1,"")))</f>
        <v/>
      </c>
      <c r="N89" s="15">
        <f>IF(OR(N87="",J87=""),"",IF(J87&lt;=0,"",IFERROR(N87/J87-1,"")))</f>
        <v/>
      </c>
      <c r="T89" s="15">
        <f>IF(OR(T87="",S87=""),"",IF(S87&lt;=0,"",IFERROR(T87/S87-1,"")))</f>
        <v/>
      </c>
      <c r="U89" s="15">
        <f>IF(OR(U87="",T87=""),"",IF(T87&lt;=0,"",IFERROR(U87/T87-1,"")))</f>
        <v/>
      </c>
      <c r="V89" s="15">
        <f>IF(OR(V87="",U87=""),"",IF(U87&lt;=0,"",IFERROR(V87/U87-1,"")))</f>
        <v/>
      </c>
      <c r="W89" s="15">
        <f>IF(OR(W87="",V87=""),"",IF(V87&lt;=0,"",IFERROR(W87/V87-1,"")))</f>
        <v/>
      </c>
      <c r="X89" s="15">
        <f>IF(OR(X87="",W87=""),"",IF(W87&lt;=0,"",IFERROR(X87/W87-1,"")))</f>
        <v/>
      </c>
    </row>
    <row r="90">
      <c r="A90" s="18" t="inlineStr">
        <is>
          <t>이자수익</t>
        </is>
      </c>
      <c r="C90" s="20" t="n">
        <v>13.068</v>
      </c>
      <c r="D90" s="20" t="n">
        <v>12.748</v>
      </c>
      <c r="E90" s="20" t="n">
        <v>35.051</v>
      </c>
      <c r="F90" s="20" t="n">
        <v>16.255</v>
      </c>
      <c r="G90" s="20" t="n">
        <v>16.539</v>
      </c>
      <c r="H90" s="20" t="n">
        <v>15.599</v>
      </c>
      <c r="I90" s="20" t="n">
        <v>31.59</v>
      </c>
      <c r="J90" s="20" t="n">
        <v>21.327</v>
      </c>
      <c r="K90" s="20" t="n">
        <v>18.653</v>
      </c>
      <c r="L90" s="20" t="n">
        <v>16.433</v>
      </c>
      <c r="M90" s="20" t="n">
        <v>25.29</v>
      </c>
      <c r="N90" s="20" t="n">
        <v>25.609</v>
      </c>
      <c r="T90" s="20" t="n">
        <v>26.46</v>
      </c>
      <c r="U90" s="20" t="n">
        <v>34.181</v>
      </c>
      <c r="V90" s="20" t="n">
        <v>35.051</v>
      </c>
      <c r="W90" s="20" t="n">
        <v>31.59</v>
      </c>
      <c r="X90" s="20" t="n">
        <v>25.29</v>
      </c>
    </row>
    <row r="91">
      <c r="A91" s="18" t="inlineStr">
        <is>
          <t>배당금수익</t>
        </is>
      </c>
      <c r="C91" s="20" t="n">
        <v>-3.332</v>
      </c>
      <c r="D91" s="20" t="n">
        <v>23.761</v>
      </c>
      <c r="E91" s="20" t="n">
        <v>0.052</v>
      </c>
      <c r="F91" s="20" t="n">
        <v>34.601</v>
      </c>
      <c r="G91" s="20" t="n">
        <v>-0.159</v>
      </c>
      <c r="H91" s="20" t="n">
        <v>31.767</v>
      </c>
      <c r="I91" s="20" t="n">
        <v>3.092</v>
      </c>
      <c r="J91" s="20" t="n">
        <v>37.919</v>
      </c>
      <c r="K91" s="20" t="n">
        <v>9.023999999999999</v>
      </c>
      <c r="L91" s="20" t="n">
        <v>37.542</v>
      </c>
      <c r="M91" s="20" t="n">
        <v>6.543</v>
      </c>
      <c r="N91" s="20" t="n">
        <v>39.597</v>
      </c>
      <c r="T91" s="20" t="n">
        <v>-0.001</v>
      </c>
      <c r="U91" s="20" t="n">
        <v>0.023</v>
      </c>
      <c r="V91" s="20" t="n">
        <v>0.052</v>
      </c>
      <c r="W91" s="20" t="n">
        <v>3.092</v>
      </c>
      <c r="X91" s="20" t="n">
        <v>6.543</v>
      </c>
    </row>
    <row r="92">
      <c r="A92" s="18" t="inlineStr">
        <is>
          <t>외환차익</t>
        </is>
      </c>
      <c r="D92" s="20" t="n">
        <v>2.117</v>
      </c>
      <c r="E92" s="20" t="n">
        <v>-2.117</v>
      </c>
      <c r="H92" s="20" t="n">
        <v>-6.016</v>
      </c>
      <c r="I92" s="20" t="n">
        <v>2.127</v>
      </c>
      <c r="J92" s="20" t="n">
        <v>0</v>
      </c>
      <c r="K92" s="20" t="n">
        <v>0</v>
      </c>
      <c r="L92" s="20" t="n">
        <v>0</v>
      </c>
      <c r="M92" s="20" t="n">
        <v>1.483</v>
      </c>
      <c r="N92" s="20" t="n">
        <v>0.996</v>
      </c>
      <c r="T92" s="20" t="n">
        <v>5.517</v>
      </c>
      <c r="U92" s="20" t="n">
        <v>-13.319</v>
      </c>
      <c r="V92" s="20" t="n">
        <v>-2.117</v>
      </c>
      <c r="W92" s="20" t="n">
        <v>2.127</v>
      </c>
      <c r="X92" s="20" t="n">
        <v>1.483</v>
      </c>
    </row>
    <row r="93">
      <c r="A93" s="18" t="inlineStr">
        <is>
          <t>지분법이익</t>
        </is>
      </c>
      <c r="C93" s="20" t="n">
        <v>125.29</v>
      </c>
      <c r="D93" s="20" t="n">
        <v>103.27</v>
      </c>
      <c r="E93" s="20" t="n">
        <v>-182.338</v>
      </c>
      <c r="F93" s="20" t="n">
        <v>71.51300000000001</v>
      </c>
      <c r="G93" s="20" t="n">
        <v>124.441</v>
      </c>
      <c r="H93" s="20" t="n">
        <v>182.235</v>
      </c>
      <c r="I93" s="20" t="n">
        <v>-301.044</v>
      </c>
      <c r="J93" s="20" t="n">
        <v>117.592</v>
      </c>
      <c r="K93" s="20" t="n">
        <v>149.294</v>
      </c>
      <c r="L93" s="20" t="n">
        <v>120.435</v>
      </c>
      <c r="M93" s="20" t="n">
        <v>-6.566</v>
      </c>
      <c r="N93" s="20" t="n">
        <v>99.16500000000001</v>
      </c>
      <c r="T93" s="20" t="n">
        <v>-1.003</v>
      </c>
      <c r="U93" s="20" t="n">
        <v>36.829</v>
      </c>
      <c r="V93" s="20" t="n">
        <v>-182.338</v>
      </c>
      <c r="W93" s="20" t="n">
        <v>-301.044</v>
      </c>
      <c r="X93" s="20" t="n">
        <v>-6.566</v>
      </c>
    </row>
    <row r="94">
      <c r="A94" s="18" t="inlineStr">
        <is>
          <t>보상금 수취</t>
        </is>
      </c>
      <c r="F94" s="20" t="n">
        <v>40.556</v>
      </c>
      <c r="J94" s="20" t="n">
        <v>0.141</v>
      </c>
      <c r="N94" s="20" t="n">
        <v>0</v>
      </c>
    </row>
    <row r="95">
      <c r="A95" s="18" t="inlineStr">
        <is>
          <t>잡이익</t>
        </is>
      </c>
      <c r="C95" s="20" t="n">
        <v>8.926</v>
      </c>
      <c r="D95" s="20" t="n">
        <v>8.436999999999999</v>
      </c>
      <c r="E95" s="20" t="n">
        <v>2.217</v>
      </c>
      <c r="F95" s="20" t="n">
        <v>10.084</v>
      </c>
      <c r="G95" s="20" t="n">
        <v>56.196</v>
      </c>
      <c r="H95" s="20" t="n">
        <v>42.203</v>
      </c>
      <c r="I95" s="20" t="n">
        <v>-54.473</v>
      </c>
      <c r="J95" s="20" t="n">
        <v>5.31</v>
      </c>
      <c r="K95" s="20" t="n">
        <v>6.374</v>
      </c>
      <c r="L95" s="20" t="n">
        <v>6.737</v>
      </c>
      <c r="M95" s="20" t="n">
        <v>6.938</v>
      </c>
      <c r="N95" s="20" t="n">
        <v>22.536</v>
      </c>
      <c r="T95" s="20" t="n">
        <v>-46.13</v>
      </c>
      <c r="U95" s="20" t="n">
        <v>51.382</v>
      </c>
      <c r="V95" s="20" t="n">
        <v>2.217</v>
      </c>
      <c r="W95" s="20" t="n">
        <v>-54.473</v>
      </c>
      <c r="X95" s="20" t="n">
        <v>6.938</v>
      </c>
    </row>
    <row r="96">
      <c r="A96" s="18" t="inlineStr">
        <is>
          <t>영업외수익 합계</t>
        </is>
      </c>
      <c r="C96" s="20" t="n">
        <v>143.882</v>
      </c>
      <c r="D96" s="20" t="n">
        <v>150.334</v>
      </c>
      <c r="E96" s="20" t="n">
        <v>-138.116</v>
      </c>
      <c r="F96" s="20" t="n">
        <v>173.011</v>
      </c>
      <c r="G96" s="20" t="n">
        <v>168.086</v>
      </c>
      <c r="H96" s="20" t="n">
        <v>265.79</v>
      </c>
      <c r="I96" s="20" t="n">
        <v>-245.431</v>
      </c>
      <c r="J96" s="20" t="n">
        <v>182.291</v>
      </c>
      <c r="K96" s="20" t="n">
        <v>183.203</v>
      </c>
      <c r="L96" s="20" t="n">
        <v>181.148</v>
      </c>
      <c r="M96" s="20" t="n">
        <v>36.369</v>
      </c>
      <c r="N96" s="20" t="n">
        <v>187.905</v>
      </c>
      <c r="T96" s="20" t="n">
        <v>38.673</v>
      </c>
      <c r="U96" s="20" t="n">
        <v>112.923</v>
      </c>
      <c r="V96" s="20" t="n">
        <v>-138.116</v>
      </c>
      <c r="W96" s="20" t="n">
        <v>-245.431</v>
      </c>
      <c r="X96" s="20" t="n">
        <v>36.369</v>
      </c>
    </row>
    <row r="97">
      <c r="A97" s="18" t="inlineStr">
        <is>
          <t>이자비용</t>
        </is>
      </c>
      <c r="E97" s="20" t="n">
        <v>0.206</v>
      </c>
      <c r="F97" s="20" t="n">
        <v>0.192</v>
      </c>
      <c r="I97" s="20" t="n">
        <v>0.136</v>
      </c>
      <c r="J97" s="20" t="n">
        <v>0.165</v>
      </c>
      <c r="M97" s="20" t="n">
        <v>0.113</v>
      </c>
      <c r="N97" s="20" t="n">
        <v>0.211</v>
      </c>
      <c r="T97" s="20" t="n">
        <v>0.5570000000000001</v>
      </c>
      <c r="U97" s="20" t="n">
        <v>0.474</v>
      </c>
      <c r="V97" s="20" t="n">
        <v>0.206</v>
      </c>
      <c r="W97" s="20" t="n">
        <v>0.136</v>
      </c>
      <c r="X97" s="20" t="n">
        <v>0.113</v>
      </c>
    </row>
    <row r="98">
      <c r="A98" s="18" t="inlineStr">
        <is>
          <t>고정자산 제각손실</t>
        </is>
      </c>
      <c r="C98" s="20" t="n">
        <v>5.453</v>
      </c>
      <c r="D98" s="20" t="n">
        <v>48.632</v>
      </c>
      <c r="E98" s="20" t="n">
        <v>0.726</v>
      </c>
      <c r="F98" s="20" t="n">
        <v>17.646</v>
      </c>
      <c r="G98" s="20" t="n">
        <v>2.963</v>
      </c>
      <c r="H98" s="20" t="n">
        <v>27.049</v>
      </c>
      <c r="I98" s="20" t="n">
        <v>4.008</v>
      </c>
      <c r="J98" s="20" t="n">
        <v>2.389</v>
      </c>
      <c r="K98" s="20" t="n">
        <v>4.378</v>
      </c>
      <c r="L98" s="20" t="n">
        <v>7.421</v>
      </c>
      <c r="M98" s="20" t="n">
        <v>24.413</v>
      </c>
      <c r="N98" s="20" t="n">
        <v>0.367</v>
      </c>
      <c r="T98" s="20" t="n">
        <v>7.812</v>
      </c>
      <c r="U98" s="20" t="n">
        <v>1.6</v>
      </c>
      <c r="V98" s="20" t="n">
        <v>0.726</v>
      </c>
      <c r="W98" s="20" t="n">
        <v>4.008</v>
      </c>
      <c r="X98" s="20" t="n">
        <v>24.413</v>
      </c>
    </row>
    <row r="99">
      <c r="A99" s="18" t="inlineStr">
        <is>
          <t>외환차손</t>
        </is>
      </c>
      <c r="H99" s="20" t="n">
        <v>0</v>
      </c>
      <c r="I99" s="20" t="n">
        <v>0</v>
      </c>
      <c r="L99" s="20" t="n">
        <v>-5.537</v>
      </c>
      <c r="W99" s="20" t="n">
        <v>0</v>
      </c>
    </row>
    <row r="100">
      <c r="A100" s="18" t="inlineStr">
        <is>
          <t>고정자산 매각손실</t>
        </is>
      </c>
      <c r="D100" s="20" t="n">
        <v>0.001</v>
      </c>
      <c r="E100" s="20" t="n">
        <v>0.001</v>
      </c>
      <c r="H100" s="20" t="n">
        <v>0</v>
      </c>
      <c r="I100" s="20" t="n">
        <v>0</v>
      </c>
      <c r="T100" s="20" t="n">
        <v>0</v>
      </c>
      <c r="U100" s="20" t="n">
        <v>0</v>
      </c>
      <c r="V100" s="20" t="n">
        <v>0.001</v>
      </c>
      <c r="W100" s="20" t="n">
        <v>0</v>
      </c>
    </row>
    <row r="101">
      <c r="A101" s="18" t="inlineStr">
        <is>
          <t>보상비 지급</t>
        </is>
      </c>
      <c r="D101" s="20" t="n">
        <v>1.421</v>
      </c>
      <c r="E101" s="20" t="n">
        <v>0.461</v>
      </c>
      <c r="H101" s="20" t="n">
        <v>0.059</v>
      </c>
      <c r="I101" s="20" t="n">
        <v>2.831</v>
      </c>
      <c r="L101" s="20" t="n">
        <v>0.098</v>
      </c>
      <c r="M101" s="20" t="n">
        <v>0</v>
      </c>
      <c r="T101" s="20" t="n">
        <v>0</v>
      </c>
      <c r="U101" s="20" t="n">
        <v>0.65</v>
      </c>
      <c r="V101" s="20" t="n">
        <v>0.461</v>
      </c>
      <c r="W101" s="20" t="n">
        <v>2.831</v>
      </c>
      <c r="X101" s="20" t="n">
        <v>0</v>
      </c>
    </row>
    <row r="102">
      <c r="A102" s="18" t="inlineStr">
        <is>
          <t>잡손실</t>
        </is>
      </c>
      <c r="C102" s="20" t="n">
        <v>-3.198</v>
      </c>
      <c r="D102" s="20" t="n">
        <v>9.98</v>
      </c>
      <c r="E102" s="20" t="n">
        <v>-7.552</v>
      </c>
      <c r="F102" s="20" t="n">
        <v>4.842</v>
      </c>
      <c r="G102" s="20" t="n">
        <v>8.077</v>
      </c>
      <c r="H102" s="20" t="n">
        <v>-0.9419999999999999</v>
      </c>
      <c r="I102" s="20" t="n">
        <v>1.603</v>
      </c>
      <c r="J102" s="20" t="n">
        <v>3.604</v>
      </c>
      <c r="K102" s="20" t="n">
        <v>-1.734</v>
      </c>
      <c r="L102" s="20" t="n">
        <v>0.06900000000000001</v>
      </c>
      <c r="M102" s="20" t="n">
        <v>3.754</v>
      </c>
      <c r="N102" s="20" t="n">
        <v>0.78</v>
      </c>
      <c r="T102" s="20" t="n">
        <v>-0.095</v>
      </c>
      <c r="U102" s="20" t="n">
        <v>3.103</v>
      </c>
      <c r="V102" s="20" t="n">
        <v>-7.552</v>
      </c>
      <c r="W102" s="20" t="n">
        <v>1.603</v>
      </c>
      <c r="X102" s="20" t="n">
        <v>3.754</v>
      </c>
    </row>
    <row r="103">
      <c r="A103" s="18" t="inlineStr">
        <is>
          <t>영업외비용 합계</t>
        </is>
      </c>
      <c r="C103" s="20" t="n">
        <v>14.298</v>
      </c>
      <c r="D103" s="20" t="n">
        <v>50.396</v>
      </c>
      <c r="E103" s="20" t="n">
        <v>5.961</v>
      </c>
      <c r="F103" s="20" t="n">
        <v>22.681</v>
      </c>
      <c r="G103" s="20" t="n">
        <v>27.514</v>
      </c>
      <c r="H103" s="20" t="n">
        <v>26.673</v>
      </c>
      <c r="I103" s="20" t="n">
        <v>8.577999999999999</v>
      </c>
      <c r="J103" s="20" t="n">
        <v>6.159</v>
      </c>
      <c r="K103" s="20" t="n">
        <v>9.99</v>
      </c>
      <c r="L103" s="20" t="n">
        <v>2.493</v>
      </c>
      <c r="M103" s="20" t="n">
        <v>26.463</v>
      </c>
      <c r="N103" s="20" t="n">
        <v>1.358</v>
      </c>
      <c r="T103" s="20" t="n">
        <v>8.273999999999999</v>
      </c>
      <c r="U103" s="20" t="n">
        <v>5.826</v>
      </c>
      <c r="V103" s="20" t="n">
        <v>5.961</v>
      </c>
      <c r="W103" s="20" t="n">
        <v>8.577999999999999</v>
      </c>
      <c r="X103" s="20" t="n">
        <v>26.463</v>
      </c>
    </row>
    <row r="104">
      <c r="A104" s="9" t="inlineStr">
        <is>
          <t>경상이익</t>
        </is>
      </c>
      <c r="C104" s="12" t="n">
        <v>579.655</v>
      </c>
      <c r="D104" s="12" t="n">
        <v>1063.876</v>
      </c>
      <c r="E104" s="12" t="n">
        <v>819.545</v>
      </c>
      <c r="F104" s="12" t="n">
        <v>621.124</v>
      </c>
      <c r="G104" s="12" t="n">
        <v>807.151</v>
      </c>
      <c r="H104" s="12" t="n">
        <v>1158.067</v>
      </c>
      <c r="I104" s="12" t="n">
        <v>935.528</v>
      </c>
      <c r="J104" s="12" t="n">
        <v>809.747</v>
      </c>
      <c r="K104" s="12" t="n">
        <v>1007.175</v>
      </c>
      <c r="L104" s="12" t="n">
        <v>936.46</v>
      </c>
      <c r="M104" s="12" t="n">
        <v>975.391</v>
      </c>
      <c r="N104" s="12" t="n">
        <v>576.021</v>
      </c>
      <c r="T104" s="12" t="n">
        <v>516.912</v>
      </c>
      <c r="U104" s="12" t="n">
        <v>875.184</v>
      </c>
      <c r="V104" s="12" t="n">
        <v>819.545</v>
      </c>
      <c r="W104" s="12" t="n">
        <v>935.528</v>
      </c>
      <c r="X104" s="12" t="n">
        <v>975.391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IF(OR(G104="",C104=""),"",IF(C104&lt;=0,"",IFERROR(G104/C104-1,"")))</f>
        <v/>
      </c>
      <c r="H105" s="15">
        <f>IF(OR(H104="",D104=""),"",IF(D104&lt;=0,"",IFERROR(H104/D104-1,"")))</f>
        <v/>
      </c>
      <c r="I105" s="15">
        <f>IF(OR(I104="",E104=""),"",IF(E104&lt;=0,"",IFERROR(I104/E104-1,"")))</f>
        <v/>
      </c>
      <c r="J105" s="15">
        <f>IF(OR(J104="",F104=""),"",IF(F104&lt;=0,"",IFERROR(J104/F104-1,"")))</f>
        <v/>
      </c>
      <c r="K105" s="15">
        <f>IF(OR(K104="",G104=""),"",IF(G104&lt;=0,"",IFERROR(K104/G104-1,"")))</f>
        <v/>
      </c>
      <c r="L105" s="15">
        <f>IF(OR(L104="",H104=""),"",IF(H104&lt;=0,"",IFERROR(L104/H104-1,"")))</f>
        <v/>
      </c>
      <c r="M105" s="15">
        <f>IF(OR(M104="",I104=""),"",IF(I104&lt;=0,"",IFERROR(M104/I104-1,"")))</f>
        <v/>
      </c>
      <c r="N105" s="15">
        <f>IF(OR(N104="",J104=""),"",IF(J104&lt;=0,"",IFERROR(N104/J104-1,"")))</f>
        <v/>
      </c>
      <c r="T105" s="15">
        <f>IF(OR(T104="",S104=""),"",IF(S104&lt;=0,"",IFERROR(T104/S104-1,"")))</f>
        <v/>
      </c>
      <c r="U105" s="15">
        <f>IF(OR(U104="",T104=""),"",IF(T104&lt;=0,"",IFERROR(U104/T104-1,"")))</f>
        <v/>
      </c>
      <c r="V105" s="15">
        <f>IF(OR(V104="",U104=""),"",IF(U104&lt;=0,"",IFERROR(V104/U104-1,"")))</f>
        <v/>
      </c>
      <c r="W105" s="15">
        <f>IF(OR(W104="",V104=""),"",IF(V104&lt;=0,"",IFERROR(W104/V104-1,"")))</f>
        <v/>
      </c>
      <c r="X105" s="15">
        <f>IF(OR(X104="",W104=""),"",IF(W104&lt;=0,"",IFERROR(X104/W104-1,"")))</f>
        <v/>
      </c>
    </row>
    <row r="106">
      <c r="A106" s="18" t="inlineStr">
        <is>
          <t>투자유가증권 매각이익</t>
        </is>
      </c>
      <c r="D106" s="20" t="n">
        <v>0</v>
      </c>
      <c r="E106" s="20" t="n">
        <v>0</v>
      </c>
      <c r="T106" s="20" t="n">
        <v>220.845</v>
      </c>
      <c r="U106" s="20" t="n">
        <v>0</v>
      </c>
      <c r="V106" s="20" t="n">
        <v>0</v>
      </c>
    </row>
    <row r="107">
      <c r="A107" s="18" t="inlineStr">
        <is>
          <t>특별이익 합계</t>
        </is>
      </c>
      <c r="D107" s="20" t="n">
        <v>0</v>
      </c>
      <c r="E107" s="20" t="n">
        <v>0</v>
      </c>
      <c r="T107" s="20" t="n">
        <v>220.845</v>
      </c>
      <c r="U107" s="20" t="n">
        <v>0</v>
      </c>
      <c r="V107" s="20" t="n">
        <v>0</v>
      </c>
    </row>
    <row r="108">
      <c r="A108" s="9" t="inlineStr">
        <is>
          <t>법인세차감전 순이익</t>
        </is>
      </c>
      <c r="C108" s="12" t="n">
        <v>579.655</v>
      </c>
      <c r="D108" s="12" t="n">
        <v>1063.876</v>
      </c>
      <c r="E108" s="12" t="n">
        <v>819.545</v>
      </c>
      <c r="F108" s="12" t="n">
        <v>621.124</v>
      </c>
      <c r="G108" s="12" t="n">
        <v>807.151</v>
      </c>
      <c r="H108" s="12" t="n">
        <v>1158.067</v>
      </c>
      <c r="I108" s="12" t="n">
        <v>935.528</v>
      </c>
      <c r="J108" s="12" t="n">
        <v>809.747</v>
      </c>
      <c r="K108" s="12" t="n">
        <v>1007.175</v>
      </c>
      <c r="L108" s="12" t="n">
        <v>936.46</v>
      </c>
      <c r="M108" s="12" t="n">
        <v>975.391</v>
      </c>
      <c r="N108" s="12" t="n">
        <v>576.021</v>
      </c>
      <c r="T108" s="12" t="n">
        <v>737.758</v>
      </c>
      <c r="U108" s="12" t="n">
        <v>875.184</v>
      </c>
      <c r="V108" s="12" t="n">
        <v>819.545</v>
      </c>
      <c r="W108" s="12" t="n">
        <v>935.528</v>
      </c>
      <c r="X108" s="12" t="n">
        <v>975.391</v>
      </c>
    </row>
    <row r="109">
      <c r="A109" s="18" t="inlineStr">
        <is>
          <t>법인세 등</t>
        </is>
      </c>
      <c r="C109" s="20" t="n">
        <v>128.638</v>
      </c>
      <c r="D109" s="20" t="n">
        <v>249.529</v>
      </c>
      <c r="E109" s="20" t="n">
        <v>197.974</v>
      </c>
      <c r="F109" s="20" t="n">
        <v>447.165</v>
      </c>
      <c r="G109" s="20" t="n">
        <v>196.811</v>
      </c>
      <c r="H109" s="20" t="n">
        <v>162.434</v>
      </c>
      <c r="I109" s="20" t="n">
        <v>224.17</v>
      </c>
      <c r="J109" s="20" t="n">
        <v>328.752</v>
      </c>
      <c r="K109" s="20" t="n">
        <v>321.738</v>
      </c>
      <c r="L109" s="20" t="n">
        <v>216.136</v>
      </c>
      <c r="M109" s="20" t="n">
        <v>54.025</v>
      </c>
      <c r="N109" s="20" t="n">
        <v>352.166</v>
      </c>
      <c r="T109" s="20" t="n">
        <v>149.177</v>
      </c>
      <c r="U109" s="20" t="n">
        <v>186.071</v>
      </c>
      <c r="V109" s="20" t="n">
        <v>197.974</v>
      </c>
      <c r="W109" s="20" t="n">
        <v>224.17</v>
      </c>
      <c r="X109" s="20" t="n">
        <v>54.025</v>
      </c>
    </row>
    <row r="110">
      <c r="A110" s="9" t="inlineStr">
        <is>
          <t>순이익</t>
        </is>
      </c>
      <c r="C110" s="12" t="n">
        <v>451.016</v>
      </c>
      <c r="D110" s="12" t="n">
        <v>814.347</v>
      </c>
      <c r="E110" s="12" t="n">
        <v>621.571</v>
      </c>
      <c r="F110" s="12" t="n">
        <v>173.958</v>
      </c>
      <c r="G110" s="12" t="n">
        <v>610.341</v>
      </c>
      <c r="H110" s="12" t="n">
        <v>995.6319999999999</v>
      </c>
      <c r="I110" s="12" t="n">
        <v>711.3579999999999</v>
      </c>
      <c r="J110" s="12" t="n">
        <v>480.994</v>
      </c>
      <c r="K110" s="12" t="n">
        <v>685.438</v>
      </c>
      <c r="L110" s="12" t="n">
        <v>720.323</v>
      </c>
      <c r="M110" s="12" t="n">
        <v>921.366</v>
      </c>
      <c r="N110" s="12" t="n">
        <v>223.855</v>
      </c>
      <c r="T110" s="12" t="n">
        <v>588.581</v>
      </c>
      <c r="U110" s="12" t="n">
        <v>689.1130000000001</v>
      </c>
      <c r="V110" s="12" t="n">
        <v>621.571</v>
      </c>
      <c r="W110" s="12" t="n">
        <v>711.3579999999999</v>
      </c>
      <c r="X110" s="12" t="n">
        <v>921.366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IF(OR(G110="",C110=""),"",IF(C110&lt;=0,"",IFERROR(G110/C110-1,"")))</f>
        <v/>
      </c>
      <c r="H111" s="15">
        <f>IF(OR(H110="",D110=""),"",IF(D110&lt;=0,"",IFERROR(H110/D110-1,"")))</f>
        <v/>
      </c>
      <c r="I111" s="15">
        <f>IF(OR(I110="",E110=""),"",IF(E110&lt;=0,"",IFERROR(I110/E110-1,"")))</f>
        <v/>
      </c>
      <c r="J111" s="15">
        <f>IF(OR(J110="",F110=""),"",IF(F110&lt;=0,"",IFERROR(J110/F110-1,"")))</f>
        <v/>
      </c>
      <c r="K111" s="15">
        <f>IF(OR(K110="",G110=""),"",IF(G110&lt;=0,"",IFERROR(K110/G110-1,"")))</f>
        <v/>
      </c>
      <c r="L111" s="15">
        <f>IF(OR(L110="",H110=""),"",IF(H110&lt;=0,"",IFERROR(L110/H110-1,"")))</f>
        <v/>
      </c>
      <c r="M111" s="15">
        <f>IF(OR(M110="",I110=""),"",IF(I110&lt;=0,"",IFERROR(M110/I110-1,"")))</f>
        <v/>
      </c>
      <c r="N111" s="15">
        <f>IF(OR(N110="",J110=""),"",IF(J110&lt;=0,"",IFERROR(N110/J110-1,"")))</f>
        <v/>
      </c>
      <c r="T111" s="15">
        <f>IF(OR(T110="",S110=""),"",IF(S110&lt;=0,"",IFERROR(T110/S110-1,"")))</f>
        <v/>
      </c>
      <c r="U111" s="15">
        <f>IF(OR(U110="",T110=""),"",IF(T110&lt;=0,"",IFERROR(U110/T110-1,"")))</f>
        <v/>
      </c>
      <c r="V111" s="15">
        <f>IF(OR(V110="",U110=""),"",IF(U110&lt;=0,"",IFERROR(V110/U110-1,"")))</f>
        <v/>
      </c>
      <c r="W111" s="15">
        <f>IF(OR(W110="",V110=""),"",IF(V110&lt;=0,"",IFERROR(W110/V110-1,"")))</f>
        <v/>
      </c>
      <c r="X111" s="15">
        <f>IF(OR(X110="",W110=""),"",IF(W110&lt;=0,"",IFERROR(X110/W110-1,"")))</f>
        <v/>
      </c>
    </row>
    <row r="112">
      <c r="A112" s="9" t="inlineStr">
        <is>
          <t>비지배주주 순이익</t>
        </is>
      </c>
      <c r="C112" s="12" t="n">
        <v>16.05</v>
      </c>
      <c r="D112" s="12" t="n">
        <v>15.288</v>
      </c>
      <c r="E112" s="12" t="n">
        <v>22.086</v>
      </c>
      <c r="F112" s="12" t="n">
        <v>13.043</v>
      </c>
      <c r="G112" s="12" t="n">
        <v>7.918</v>
      </c>
      <c r="H112" s="12" t="n">
        <v>32.699</v>
      </c>
      <c r="I112" s="12" t="n">
        <v>34.438</v>
      </c>
      <c r="J112" s="12" t="n">
        <v>18.732</v>
      </c>
      <c r="K112" s="12" t="n">
        <v>19.57</v>
      </c>
      <c r="L112" s="12" t="n">
        <v>25.111</v>
      </c>
      <c r="M112" s="12" t="n">
        <v>55.811</v>
      </c>
      <c r="N112" s="12" t="n">
        <v>14.505</v>
      </c>
      <c r="T112" s="12" t="n">
        <v>10.114</v>
      </c>
      <c r="U112" s="12" t="n">
        <v>18.075</v>
      </c>
      <c r="V112" s="12" t="n">
        <v>22.086</v>
      </c>
      <c r="W112" s="12" t="n">
        <v>34.438</v>
      </c>
      <c r="X112" s="12" t="n">
        <v>55.811</v>
      </c>
    </row>
    <row r="113">
      <c r="A113" s="9" t="inlineStr">
        <is>
          <t>지배주주 순이익</t>
        </is>
      </c>
      <c r="C113" s="12" t="n">
        <v>434.966</v>
      </c>
      <c r="D113" s="12" t="n">
        <v>799.0599999999999</v>
      </c>
      <c r="E113" s="12" t="n">
        <v>599.485</v>
      </c>
      <c r="F113" s="12" t="n">
        <v>160.915</v>
      </c>
      <c r="G113" s="12" t="n">
        <v>602.422</v>
      </c>
      <c r="H113" s="12" t="n">
        <v>962.934</v>
      </c>
      <c r="I113" s="12" t="n">
        <v>676.92</v>
      </c>
      <c r="J113" s="12" t="n">
        <v>462.261</v>
      </c>
      <c r="K113" s="12" t="n">
        <v>665.8680000000001</v>
      </c>
      <c r="L113" s="12" t="n">
        <v>695.213</v>
      </c>
      <c r="M113" s="12" t="n">
        <v>865.5549999999999</v>
      </c>
      <c r="N113" s="12" t="n">
        <v>209.349</v>
      </c>
      <c r="T113" s="12" t="n">
        <v>578.467</v>
      </c>
      <c r="U113" s="12" t="n">
        <v>671.038</v>
      </c>
      <c r="V113" s="12" t="n">
        <v>599.485</v>
      </c>
      <c r="W113" s="12" t="n">
        <v>676.92</v>
      </c>
      <c r="X113" s="12" t="n">
        <v>865.5549999999999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IF(OR(G113="",C113=""),"",IF(C113&lt;=0,"",IFERROR(G113/C113-1,"")))</f>
        <v/>
      </c>
      <c r="H114" s="15">
        <f>IF(OR(H113="",D113=""),"",IF(D113&lt;=0,"",IFERROR(H113/D113-1,"")))</f>
        <v/>
      </c>
      <c r="I114" s="15">
        <f>IF(OR(I113="",E113=""),"",IF(E113&lt;=0,"",IFERROR(I113/E113-1,"")))</f>
        <v/>
      </c>
      <c r="J114" s="15">
        <f>IF(OR(J113="",F113=""),"",IF(F113&lt;=0,"",IFERROR(J113/F113-1,"")))</f>
        <v/>
      </c>
      <c r="K114" s="15">
        <f>IF(OR(K113="",G113=""),"",IF(G113&lt;=0,"",IFERROR(K113/G113-1,"")))</f>
        <v/>
      </c>
      <c r="L114" s="15">
        <f>IF(OR(L113="",H113=""),"",IF(H113&lt;=0,"",IFERROR(L113/H113-1,"")))</f>
        <v/>
      </c>
      <c r="M114" s="15">
        <f>IF(OR(M113="",I113=""),"",IF(I113&lt;=0,"",IFERROR(M113/I113-1,"")))</f>
        <v/>
      </c>
      <c r="N114" s="15">
        <f>IF(OR(N113="",J113=""),"",IF(J113&lt;=0,"",IFERROR(N113/J113-1,"")))</f>
        <v/>
      </c>
      <c r="T114" s="15">
        <f>IF(OR(T113="",S113=""),"",IF(S113&lt;=0,"",IFERROR(T113/S113-1,"")))</f>
        <v/>
      </c>
      <c r="U114" s="15">
        <f>IF(OR(U113="",T113=""),"",IF(T113&lt;=0,"",IFERROR(U113/T113-1,"")))</f>
        <v/>
      </c>
      <c r="V114" s="15">
        <f>IF(OR(V113="",U113=""),"",IF(U113&lt;=0,"",IFERROR(V113/U113-1,"")))</f>
        <v/>
      </c>
      <c r="W114" s="15">
        <f>IF(OR(W113="",V113=""),"",IF(V113&lt;=0,"",IFERROR(W113/V113-1,"")))</f>
        <v/>
      </c>
      <c r="X114" s="15">
        <f>IF(OR(X113="",W113=""),"",IF(W113&lt;=0,"",IFERROR(X113/W113-1,"")))</f>
        <v/>
      </c>
    </row>
    <row r="116">
      <c r="A116" s="16" t="inlineStr">
        <is>
          <t>포괄손익 · 전 항목</t>
        </is>
      </c>
      <c r="B116" s="42" t="inlineStr">
        <is>
          <t>분기 = 3개월 단독</t>
        </is>
      </c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</row>
    <row r="117">
      <c r="A117" s="5" t="inlineStr">
        <is>
          <t>항목</t>
        </is>
      </c>
      <c r="B117" s="5" t="inlineStr">
        <is>
          <t>참고</t>
        </is>
      </c>
      <c r="C117" s="5" t="inlineStr">
        <is>
          <t>2024.2Q</t>
        </is>
      </c>
      <c r="D117" s="5" t="inlineStr">
        <is>
          <t>2024.3Q</t>
        </is>
      </c>
      <c r="E117" s="5" t="inlineStr">
        <is>
          <t>2024.4Q</t>
        </is>
      </c>
      <c r="F117" s="5" t="inlineStr">
        <is>
          <t>2025.1Q</t>
        </is>
      </c>
      <c r="G117" s="5" t="inlineStr">
        <is>
          <t>2025.2Q</t>
        </is>
      </c>
      <c r="H117" s="5" t="inlineStr">
        <is>
          <t>2025.3Q</t>
        </is>
      </c>
      <c r="I117" s="5" t="inlineStr">
        <is>
          <t>2025.4Q</t>
        </is>
      </c>
      <c r="J117" s="5" t="inlineStr">
        <is>
          <t>2026.1Q</t>
        </is>
      </c>
      <c r="K117" s="5" t="inlineStr">
        <is>
          <t>2026.2Q</t>
        </is>
      </c>
      <c r="L117" s="5" t="inlineStr">
        <is>
          <t>2026.3Q</t>
        </is>
      </c>
      <c r="M117" s="5" t="inlineStr">
        <is>
          <t>2026.4Q</t>
        </is>
      </c>
      <c r="N117" s="5" t="inlineStr">
        <is>
          <t>2027.1Q</t>
        </is>
      </c>
      <c r="O117" s="5" t="inlineStr">
        <is>
          <t>2017</t>
        </is>
      </c>
      <c r="P117" s="5" t="inlineStr">
        <is>
          <t>2018</t>
        </is>
      </c>
      <c r="Q117" s="5" t="inlineStr">
        <is>
          <t>2019</t>
        </is>
      </c>
      <c r="R117" s="5" t="inlineStr">
        <is>
          <t>2020</t>
        </is>
      </c>
      <c r="S117" s="5" t="inlineStr">
        <is>
          <t>2021</t>
        </is>
      </c>
      <c r="T117" s="5" t="inlineStr">
        <is>
          <t>2022</t>
        </is>
      </c>
      <c r="U117" s="5" t="inlineStr">
        <is>
          <t>2023</t>
        </is>
      </c>
      <c r="V117" s="5" t="inlineStr">
        <is>
          <t>2024</t>
        </is>
      </c>
      <c r="W117" s="5" t="inlineStr">
        <is>
          <t>2025</t>
        </is>
      </c>
      <c r="X117" s="5" t="inlineStr">
        <is>
          <t>2026</t>
        </is>
      </c>
      <c r="Y117" s="5" t="inlineStr">
        <is>
          <t>2027(MW)</t>
        </is>
      </c>
      <c r="Z117" s="5" t="inlineStr">
        <is>
          <t>2028(MW)</t>
        </is>
      </c>
      <c r="AA117" s="5" t="inlineStr">
        <is>
          <t>2029(MW)</t>
        </is>
      </c>
      <c r="AB117" s="5" t="inlineStr">
        <is>
          <t>2030(MW)</t>
        </is>
      </c>
      <c r="AC117" s="5" t="inlineStr">
        <is>
          <t>2031(MW)</t>
        </is>
      </c>
    </row>
    <row r="118">
      <c r="A118" s="9" t="inlineStr">
        <is>
          <t>순이익</t>
        </is>
      </c>
      <c r="C118" s="12" t="n">
        <v>451.016</v>
      </c>
      <c r="D118" s="12" t="n">
        <v>814.347</v>
      </c>
      <c r="E118" s="12" t="n">
        <v>621.571</v>
      </c>
      <c r="F118" s="12" t="n">
        <v>173.958</v>
      </c>
      <c r="G118" s="12" t="n">
        <v>610.341</v>
      </c>
      <c r="H118" s="12" t="n">
        <v>995.6319999999999</v>
      </c>
      <c r="I118" s="12" t="n">
        <v>711.3579999999999</v>
      </c>
      <c r="J118" s="12" t="n">
        <v>480.994</v>
      </c>
      <c r="K118" s="12" t="n">
        <v>685.438</v>
      </c>
      <c r="L118" s="12" t="n">
        <v>720.323</v>
      </c>
      <c r="M118" s="12" t="n">
        <v>921.366</v>
      </c>
      <c r="N118" s="12" t="n">
        <v>223.855</v>
      </c>
      <c r="T118" s="12" t="n">
        <v>588.581</v>
      </c>
      <c r="U118" s="12" t="n">
        <v>689.1130000000001</v>
      </c>
      <c r="V118" s="12" t="n">
        <v>621.571</v>
      </c>
      <c r="W118" s="12" t="n">
        <v>711.3579999999999</v>
      </c>
      <c r="X118" s="12" t="n">
        <v>921.366</v>
      </c>
    </row>
    <row r="119">
      <c r="A119" s="18" t="inlineStr">
        <is>
          <t>기타유가증권 평가차액</t>
        </is>
      </c>
      <c r="C119" s="20" t="n">
        <v>201.107</v>
      </c>
      <c r="D119" s="20" t="n">
        <v>-66.59</v>
      </c>
      <c r="E119" s="20" t="n">
        <v>520.011</v>
      </c>
      <c r="F119" s="20" t="n">
        <v>-217.544</v>
      </c>
      <c r="G119" s="20" t="n">
        <v>-342.898</v>
      </c>
      <c r="H119" s="20" t="n">
        <v>234.162</v>
      </c>
      <c r="I119" s="20" t="n">
        <v>-241.389</v>
      </c>
      <c r="J119" s="20" t="n">
        <v>44.148</v>
      </c>
      <c r="K119" s="20" t="n">
        <v>224.653</v>
      </c>
      <c r="L119" s="20" t="n">
        <v>316.852</v>
      </c>
      <c r="M119" s="20" t="n">
        <v>11.899</v>
      </c>
      <c r="N119" s="20" t="n">
        <v>-139.584</v>
      </c>
      <c r="T119" s="20" t="n">
        <v>-123.066</v>
      </c>
      <c r="U119" s="20" t="n">
        <v>58.246</v>
      </c>
      <c r="V119" s="20" t="n">
        <v>520.011</v>
      </c>
      <c r="W119" s="20" t="n">
        <v>-241.389</v>
      </c>
      <c r="X119" s="20" t="n">
        <v>11.899</v>
      </c>
    </row>
    <row r="120">
      <c r="A120" s="18" t="inlineStr">
        <is>
          <t>해외사업환산조정</t>
        </is>
      </c>
      <c r="C120" s="20" t="n">
        <v>179.617</v>
      </c>
      <c r="D120" s="20" t="n">
        <v>51.798</v>
      </c>
      <c r="E120" s="20" t="n">
        <v>-28.14</v>
      </c>
      <c r="F120" s="20" t="n">
        <v>164.325</v>
      </c>
      <c r="G120" s="20" t="n">
        <v>200.542</v>
      </c>
      <c r="H120" s="20" t="n">
        <v>-110.322</v>
      </c>
      <c r="I120" s="20" t="n">
        <v>212.071</v>
      </c>
      <c r="J120" s="20" t="n">
        <v>-246.076</v>
      </c>
      <c r="K120" s="20" t="n">
        <v>-22.394</v>
      </c>
      <c r="L120" s="20" t="n">
        <v>119.96</v>
      </c>
      <c r="M120" s="20" t="n">
        <v>189.634</v>
      </c>
      <c r="N120" s="20" t="n">
        <v>40.984</v>
      </c>
      <c r="T120" s="20" t="n">
        <v>200.985</v>
      </c>
      <c r="U120" s="20" t="n">
        <v>-206.917</v>
      </c>
      <c r="V120" s="20" t="n">
        <v>-28.14</v>
      </c>
      <c r="W120" s="20" t="n">
        <v>212.071</v>
      </c>
      <c r="X120" s="20" t="n">
        <v>189.634</v>
      </c>
    </row>
    <row r="121">
      <c r="A121" s="18" t="inlineStr">
        <is>
          <t>퇴직급여 조정액</t>
        </is>
      </c>
      <c r="C121" s="20" t="n">
        <v>7.948</v>
      </c>
      <c r="D121" s="20" t="n">
        <v>7.947</v>
      </c>
      <c r="E121" s="20" t="n">
        <v>125.171</v>
      </c>
      <c r="F121" s="20" t="n">
        <v>6.326</v>
      </c>
      <c r="G121" s="20" t="n">
        <v>6.326</v>
      </c>
      <c r="H121" s="20" t="n">
        <v>6.327</v>
      </c>
      <c r="I121" s="20" t="n">
        <v>354.229</v>
      </c>
      <c r="J121" s="20" t="n">
        <v>-2.187</v>
      </c>
      <c r="K121" s="20" t="n">
        <v>-1.975</v>
      </c>
      <c r="L121" s="20" t="n">
        <v>-1.976</v>
      </c>
      <c r="M121" s="20" t="n">
        <v>111.326</v>
      </c>
      <c r="N121" s="20" t="n">
        <v>-2.531</v>
      </c>
      <c r="T121" s="20" t="n">
        <v>-179.06</v>
      </c>
      <c r="U121" s="20" t="n">
        <v>-123.086</v>
      </c>
      <c r="V121" s="20" t="n">
        <v>125.171</v>
      </c>
      <c r="W121" s="20" t="n">
        <v>354.229</v>
      </c>
      <c r="X121" s="20" t="n">
        <v>111.326</v>
      </c>
    </row>
    <row r="122">
      <c r="A122" s="18" t="inlineStr">
        <is>
          <t>지분법 적용회사 지분 해당액</t>
        </is>
      </c>
      <c r="C122" s="20" t="n">
        <v>7.393</v>
      </c>
      <c r="D122" s="20" t="n">
        <v>-22.199</v>
      </c>
      <c r="E122" s="20" t="n">
        <v>25.029</v>
      </c>
      <c r="F122" s="20" t="n">
        <v>34.666</v>
      </c>
      <c r="G122" s="20" t="n">
        <v>-43.141</v>
      </c>
      <c r="H122" s="20" t="n">
        <v>34.696</v>
      </c>
      <c r="I122" s="20" t="n">
        <v>-26.962</v>
      </c>
      <c r="J122" s="20" t="n">
        <v>-23.758</v>
      </c>
      <c r="K122" s="20" t="n">
        <v>18.416</v>
      </c>
      <c r="L122" s="20" t="n">
        <v>25.749</v>
      </c>
      <c r="M122" s="20" t="n">
        <v>41.975</v>
      </c>
      <c r="N122" s="20" t="n">
        <v>-10.927</v>
      </c>
      <c r="T122" s="20" t="n">
        <v>17.851</v>
      </c>
      <c r="U122" s="20" t="n">
        <v>-1.269</v>
      </c>
      <c r="V122" s="20" t="n">
        <v>25.029</v>
      </c>
      <c r="W122" s="20" t="n">
        <v>-26.962</v>
      </c>
      <c r="X122" s="20" t="n">
        <v>41.975</v>
      </c>
    </row>
    <row r="123">
      <c r="A123" s="18" t="inlineStr">
        <is>
          <t>기타포괄손익 합계</t>
        </is>
      </c>
      <c r="C123" s="20" t="n">
        <v>396.065</v>
      </c>
      <c r="D123" s="20" t="n">
        <v>-29.043</v>
      </c>
      <c r="E123" s="20" t="n">
        <v>642.071</v>
      </c>
      <c r="F123" s="20" t="n">
        <v>-12.225</v>
      </c>
      <c r="G123" s="20" t="n">
        <v>-179.172</v>
      </c>
      <c r="H123" s="20" t="n">
        <v>164.863</v>
      </c>
      <c r="I123" s="20" t="n">
        <v>297.947</v>
      </c>
      <c r="J123" s="20" t="n">
        <v>-227.874</v>
      </c>
      <c r="K123" s="20" t="n">
        <v>218.7</v>
      </c>
      <c r="L123" s="20" t="n">
        <v>460.585</v>
      </c>
      <c r="M123" s="20" t="n">
        <v>354.836</v>
      </c>
      <c r="N123" s="20" t="n">
        <v>-112.059</v>
      </c>
      <c r="T123" s="20" t="n">
        <v>-83.292</v>
      </c>
      <c r="U123" s="20" t="n">
        <v>-273.027</v>
      </c>
      <c r="V123" s="20" t="n">
        <v>642.071</v>
      </c>
      <c r="W123" s="20" t="n">
        <v>297.947</v>
      </c>
      <c r="X123" s="20" t="n">
        <v>354.836</v>
      </c>
    </row>
    <row r="124">
      <c r="A124" s="9" t="inlineStr">
        <is>
          <t>포괄이익</t>
        </is>
      </c>
      <c r="C124" s="12" t="n">
        <v>847.08</v>
      </c>
      <c r="D124" s="12" t="n">
        <v>785.304</v>
      </c>
      <c r="E124" s="12" t="n">
        <v>1263.643</v>
      </c>
      <c r="F124" s="12" t="n">
        <v>161.733</v>
      </c>
      <c r="G124" s="12" t="n">
        <v>431.168</v>
      </c>
      <c r="H124" s="12" t="n">
        <v>1160.496</v>
      </c>
      <c r="I124" s="12" t="n">
        <v>1009.306</v>
      </c>
      <c r="J124" s="12" t="n">
        <v>253.119</v>
      </c>
      <c r="K124" s="12" t="n">
        <v>904.139</v>
      </c>
      <c r="L124" s="12" t="n">
        <v>1180.909</v>
      </c>
      <c r="M124" s="12" t="n">
        <v>1276.202</v>
      </c>
      <c r="N124" s="12" t="n">
        <v>111.796</v>
      </c>
      <c r="T124" s="12" t="n">
        <v>505.289</v>
      </c>
      <c r="U124" s="12" t="n">
        <v>416.085</v>
      </c>
      <c r="V124" s="12" t="n">
        <v>1263.643</v>
      </c>
      <c r="W124" s="12" t="n">
        <v>1009.306</v>
      </c>
      <c r="X124" s="12" t="n">
        <v>1276.202</v>
      </c>
    </row>
    <row r="125">
      <c r="A125" s="9" t="inlineStr">
        <is>
          <t>지배주주 포괄이익</t>
        </is>
      </c>
      <c r="C125" s="12" t="n">
        <v>800.139</v>
      </c>
      <c r="D125" s="12" t="n">
        <v>768.258</v>
      </c>
      <c r="E125" s="12" t="n">
        <v>1238.768</v>
      </c>
      <c r="F125" s="12" t="n">
        <v>138.763</v>
      </c>
      <c r="G125" s="12" t="n">
        <v>394.57</v>
      </c>
      <c r="H125" s="12" t="n">
        <v>1138.205</v>
      </c>
      <c r="I125" s="12" t="n">
        <v>939.78</v>
      </c>
      <c r="J125" s="12" t="n">
        <v>271.72</v>
      </c>
      <c r="K125" s="12" t="n">
        <v>870.481</v>
      </c>
      <c r="L125" s="12" t="n">
        <v>1146.959</v>
      </c>
      <c r="M125" s="12" t="n">
        <v>1191.509</v>
      </c>
      <c r="N125" s="12" t="n">
        <v>104.401</v>
      </c>
      <c r="T125" s="12" t="n">
        <v>473.538</v>
      </c>
      <c r="U125" s="12" t="n">
        <v>410.346</v>
      </c>
      <c r="V125" s="12" t="n">
        <v>1238.768</v>
      </c>
      <c r="W125" s="12" t="n">
        <v>939.78</v>
      </c>
      <c r="X125" s="12" t="n">
        <v>1191.509</v>
      </c>
    </row>
    <row r="126">
      <c r="A126" s="9" t="inlineStr">
        <is>
          <t>비지배주주 포괄이익</t>
        </is>
      </c>
      <c r="C126" s="12" t="n">
        <v>46.94</v>
      </c>
      <c r="D126" s="12" t="n">
        <v>17.046</v>
      </c>
      <c r="E126" s="12" t="n">
        <v>24.875</v>
      </c>
      <c r="F126" s="12" t="n">
        <v>22.969</v>
      </c>
      <c r="G126" s="12" t="n">
        <v>36.598</v>
      </c>
      <c r="H126" s="12" t="n">
        <v>22.292</v>
      </c>
      <c r="I126" s="12" t="n">
        <v>69.526</v>
      </c>
      <c r="J126" s="12" t="n">
        <v>-18.6</v>
      </c>
      <c r="K126" s="12" t="n">
        <v>33.656</v>
      </c>
      <c r="L126" s="12" t="n">
        <v>33.95</v>
      </c>
      <c r="M126" s="12" t="n">
        <v>84.694</v>
      </c>
      <c r="N126" s="12" t="n">
        <v>7.394</v>
      </c>
      <c r="T126" s="12" t="n">
        <v>31.751</v>
      </c>
      <c r="U126" s="12" t="n">
        <v>5.739</v>
      </c>
      <c r="V126" s="12" t="n">
        <v>24.875</v>
      </c>
      <c r="W126" s="12" t="n">
        <v>69.526</v>
      </c>
      <c r="X126" s="12" t="n">
        <v>84.694</v>
      </c>
    </row>
    <row r="128">
      <c r="A128" s="16" t="inlineStr">
        <is>
          <t>부문 · 전 항목</t>
        </is>
      </c>
      <c r="B128" s="42" t="inlineStr">
        <is>
          <t>부문 · 항목</t>
        </is>
      </c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</row>
    <row r="129">
      <c r="A129" s="5" t="inlineStr">
        <is>
          <t>항목</t>
        </is>
      </c>
      <c r="B129" s="5" t="inlineStr">
        <is>
          <t>참고</t>
        </is>
      </c>
      <c r="C129" s="5" t="inlineStr">
        <is>
          <t>2024.2Q</t>
        </is>
      </c>
      <c r="D129" s="5" t="inlineStr">
        <is>
          <t>2024.3Q</t>
        </is>
      </c>
      <c r="E129" s="5" t="inlineStr">
        <is>
          <t>2024.4Q</t>
        </is>
      </c>
      <c r="F129" s="5" t="inlineStr">
        <is>
          <t>2025.1Q</t>
        </is>
      </c>
      <c r="G129" s="5" t="inlineStr">
        <is>
          <t>2025.2Q</t>
        </is>
      </c>
      <c r="H129" s="5" t="inlineStr">
        <is>
          <t>2025.3Q</t>
        </is>
      </c>
      <c r="I129" s="5" t="inlineStr">
        <is>
          <t>2025.4Q</t>
        </is>
      </c>
      <c r="J129" s="5" t="inlineStr">
        <is>
          <t>2026.1Q</t>
        </is>
      </c>
      <c r="K129" s="5" t="inlineStr">
        <is>
          <t>2026.2Q</t>
        </is>
      </c>
      <c r="L129" s="5" t="inlineStr">
        <is>
          <t>2026.3Q</t>
        </is>
      </c>
      <c r="M129" s="5" t="inlineStr">
        <is>
          <t>2026.4Q</t>
        </is>
      </c>
      <c r="N129" s="5" t="inlineStr">
        <is>
          <t>2027.1Q</t>
        </is>
      </c>
      <c r="O129" s="5" t="inlineStr">
        <is>
          <t>2017</t>
        </is>
      </c>
      <c r="P129" s="5" t="inlineStr">
        <is>
          <t>2018</t>
        </is>
      </c>
      <c r="Q129" s="5" t="inlineStr">
        <is>
          <t>2019</t>
        </is>
      </c>
      <c r="R129" s="5" t="inlineStr">
        <is>
          <t>2020</t>
        </is>
      </c>
      <c r="S129" s="5" t="inlineStr">
        <is>
          <t>2021</t>
        </is>
      </c>
      <c r="T129" s="5" t="inlineStr">
        <is>
          <t>2022</t>
        </is>
      </c>
      <c r="U129" s="5" t="inlineStr">
        <is>
          <t>2023</t>
        </is>
      </c>
      <c r="V129" s="5" t="inlineStr">
        <is>
          <t>2024</t>
        </is>
      </c>
      <c r="W129" s="5" t="inlineStr">
        <is>
          <t>2025</t>
        </is>
      </c>
      <c r="X129" s="5" t="inlineStr">
        <is>
          <t>2026</t>
        </is>
      </c>
      <c r="Y129" s="5" t="inlineStr">
        <is>
          <t>2027(MW)</t>
        </is>
      </c>
      <c r="Z129" s="5" t="inlineStr">
        <is>
          <t>2028(MW)</t>
        </is>
      </c>
      <c r="AA129" s="5" t="inlineStr">
        <is>
          <t>2029(MW)</t>
        </is>
      </c>
      <c r="AB129" s="5" t="inlineStr">
        <is>
          <t>2030(MW)</t>
        </is>
      </c>
      <c r="AC129" s="5" t="inlineStr">
        <is>
          <t>2031(MW)</t>
        </is>
      </c>
    </row>
    <row r="130">
      <c r="A130" s="18" t="inlineStr">
        <is>
          <t>설비 부문 · 외부 고객 매출</t>
        </is>
      </c>
      <c r="C130" s="20" t="n">
        <v>5271.147</v>
      </c>
      <c r="D130" s="20" t="n">
        <v>7013.725</v>
      </c>
      <c r="E130" s="20" t="n">
        <v>9265.294</v>
      </c>
      <c r="F130" s="20" t="n">
        <v>6155.649</v>
      </c>
      <c r="G130" s="20" t="n">
        <v>6892.358</v>
      </c>
      <c r="H130" s="20" t="n">
        <v>7341.281</v>
      </c>
      <c r="I130" s="20" t="n">
        <v>9514.063</v>
      </c>
      <c r="J130" s="20" t="n">
        <v>6543.812</v>
      </c>
      <c r="K130" s="20" t="n">
        <v>7446.517</v>
      </c>
      <c r="L130" s="20" t="n">
        <v>6502.832</v>
      </c>
      <c r="M130" s="20" t="n">
        <v>8878.815000000001</v>
      </c>
      <c r="N130" s="20" t="n">
        <v>7064.779</v>
      </c>
      <c r="V130" s="20" t="n">
        <v>9265.294</v>
      </c>
      <c r="W130" s="20" t="n">
        <v>9514.063</v>
      </c>
      <c r="X130" s="20" t="n">
        <v>8878.815000000001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18" t="inlineStr">
        <is>
          <t>자동차부품 부문 · 외부 고객 매출</t>
        </is>
      </c>
      <c r="C132" s="20" t="n">
        <v>2626.223</v>
      </c>
      <c r="D132" s="20" t="n">
        <v>2763.902</v>
      </c>
      <c r="E132" s="20" t="n">
        <v>2542.279</v>
      </c>
      <c r="F132" s="20" t="n">
        <v>2499.83</v>
      </c>
      <c r="G132" s="20" t="n">
        <v>2528.489</v>
      </c>
      <c r="H132" s="20" t="n">
        <v>2702.072</v>
      </c>
      <c r="I132" s="20" t="n">
        <v>2583.276</v>
      </c>
      <c r="J132" s="20" t="n">
        <v>2338.196</v>
      </c>
      <c r="K132" s="20" t="n">
        <v>2600.236</v>
      </c>
      <c r="L132" s="20" t="n">
        <v>2502.85</v>
      </c>
      <c r="M132" s="20" t="n">
        <v>2147.138</v>
      </c>
      <c r="N132" s="20" t="n">
        <v>1952.239</v>
      </c>
      <c r="V132" s="20" t="n">
        <v>2542.279</v>
      </c>
      <c r="W132" s="20" t="n">
        <v>2583.276</v>
      </c>
      <c r="X132" s="20" t="n">
        <v>2147.138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IF(OR(G132="",C132=""),"",IF(C132&lt;=0,"",IFERROR(G132/C132-1,"")))</f>
        <v/>
      </c>
      <c r="H133" s="15">
        <f>IF(OR(H132="",D132=""),"",IF(D132&lt;=0,"",IFERROR(H132/D132-1,"")))</f>
        <v/>
      </c>
      <c r="I133" s="15">
        <f>IF(OR(I132="",E132=""),"",IF(E132&lt;=0,"",IFERROR(I132/E132-1,"")))</f>
        <v/>
      </c>
      <c r="J133" s="15">
        <f>IF(OR(J132="",F132=""),"",IF(F132&lt;=0,"",IFERROR(J132/F132-1,"")))</f>
        <v/>
      </c>
      <c r="K133" s="15">
        <f>IF(OR(K132="",G132=""),"",IF(G132&lt;=0,"",IFERROR(K132/G132-1,"")))</f>
        <v/>
      </c>
      <c r="L133" s="15">
        <f>IF(OR(L132="",H132=""),"",IF(H132&lt;=0,"",IFERROR(L132/H132-1,"")))</f>
        <v/>
      </c>
      <c r="M133" s="15">
        <f>IF(OR(M132="",I132=""),"",IF(I132&lt;=0,"",IFERROR(M132/I132-1,"")))</f>
        <v/>
      </c>
      <c r="N133" s="15">
        <f>IF(OR(N132="",J132=""),"",IF(J132&lt;=0,"",IFERROR(N132/J132-1,"")))</f>
        <v/>
      </c>
      <c r="V133" s="15">
        <f>IF(OR(V132="",U132=""),"",IF(U132&lt;=0,"",IFERROR(V132/U132-1,"")))</f>
        <v/>
      </c>
      <c r="W133" s="15">
        <f>IF(OR(W132="",V132=""),"",IF(V132&lt;=0,"",IFERROR(W132/V132-1,"")))</f>
        <v/>
      </c>
      <c r="X133" s="15">
        <f>IF(OR(X132="",W132=""),"",IF(W132&lt;=0,"",IFERROR(X132/W132-1,"")))</f>
        <v/>
      </c>
    </row>
    <row r="134">
      <c r="A134" s="18" t="inlineStr">
        <is>
          <t>보고부문 합계 · 외부 고객 매출</t>
        </is>
      </c>
      <c r="C134" s="20" t="n">
        <v>7897.37</v>
      </c>
      <c r="D134" s="20" t="n">
        <v>9777.627</v>
      </c>
      <c r="E134" s="20" t="n">
        <v>11807.573</v>
      </c>
      <c r="F134" s="20" t="n">
        <v>8655.48</v>
      </c>
      <c r="G134" s="20" t="n">
        <v>9420.847</v>
      </c>
      <c r="H134" s="20" t="n">
        <v>10043.353</v>
      </c>
      <c r="I134" s="20" t="n">
        <v>12097.338</v>
      </c>
      <c r="J134" s="20" t="n">
        <v>8882.008</v>
      </c>
      <c r="K134" s="20" t="n">
        <v>10046.754</v>
      </c>
      <c r="L134" s="20" t="n">
        <v>9005.681</v>
      </c>
      <c r="M134" s="20" t="n">
        <v>11025.954</v>
      </c>
      <c r="N134" s="20" t="n">
        <v>9017.018</v>
      </c>
      <c r="V134" s="20" t="n">
        <v>11807.573</v>
      </c>
      <c r="W134" s="20" t="n">
        <v>12097.338</v>
      </c>
      <c r="X134" s="20" t="n">
        <v>11025.954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조정액 · 외부 고객 매출</t>
        </is>
      </c>
      <c r="C136" s="20" t="n">
        <v>0</v>
      </c>
      <c r="D136" s="20" t="n">
        <v>0</v>
      </c>
      <c r="E136" s="20" t="n">
        <v>0</v>
      </c>
      <c r="F136" s="20" t="n">
        <v>0</v>
      </c>
      <c r="G136" s="20" t="n">
        <v>0</v>
      </c>
      <c r="H136" s="20" t="n">
        <v>0</v>
      </c>
      <c r="I136" s="20" t="n">
        <v>0</v>
      </c>
      <c r="J136" s="20" t="n">
        <v>0</v>
      </c>
      <c r="K136" s="20" t="n">
        <v>0</v>
      </c>
      <c r="L136" s="20" t="n">
        <v>0</v>
      </c>
      <c r="M136" s="20" t="n">
        <v>0</v>
      </c>
      <c r="N136" s="20" t="n">
        <v>0</v>
      </c>
      <c r="V136" s="20" t="n">
        <v>0</v>
      </c>
      <c r="W136" s="20" t="n">
        <v>0</v>
      </c>
      <c r="X136" s="20" t="n">
        <v>0</v>
      </c>
    </row>
    <row r="137">
      <c r="A137" s="9" t="inlineStr">
        <is>
          <t>외부 고객 매출</t>
        </is>
      </c>
      <c r="C137" s="12" t="n">
        <v>7897.37</v>
      </c>
      <c r="D137" s="12" t="n">
        <v>9777.627</v>
      </c>
      <c r="E137" s="12" t="n">
        <v>11807.573</v>
      </c>
      <c r="F137" s="12" t="n">
        <v>8655.48</v>
      </c>
      <c r="G137" s="12" t="n">
        <v>9420.847</v>
      </c>
      <c r="H137" s="12" t="n">
        <v>10043.353</v>
      </c>
      <c r="I137" s="12" t="n">
        <v>12097.338</v>
      </c>
      <c r="J137" s="12" t="n">
        <v>8882.008</v>
      </c>
      <c r="K137" s="12" t="n">
        <v>10046.754</v>
      </c>
      <c r="L137" s="12" t="n">
        <v>9005.681</v>
      </c>
      <c r="M137" s="12" t="n">
        <v>11025.954</v>
      </c>
      <c r="N137" s="12" t="n">
        <v>9017.018</v>
      </c>
      <c r="V137" s="12" t="n">
        <v>11807.573</v>
      </c>
      <c r="W137" s="12" t="n">
        <v>12097.338</v>
      </c>
      <c r="X137" s="12" t="n">
        <v>11025.954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설비 부문 · 부문 간 내부매출·대체</t>
        </is>
      </c>
      <c r="C139" s="20" t="n">
        <v>0</v>
      </c>
      <c r="D139" s="20" t="n">
        <v>0</v>
      </c>
      <c r="E139" s="20" t="n">
        <v>0</v>
      </c>
      <c r="F139" s="20" t="n">
        <v>0</v>
      </c>
      <c r="G139" s="20" t="n">
        <v>0</v>
      </c>
      <c r="H139" s="20" t="n">
        <v>0</v>
      </c>
      <c r="I139" s="20" t="n">
        <v>0</v>
      </c>
      <c r="J139" s="20" t="n">
        <v>0</v>
      </c>
      <c r="K139" s="20" t="n">
        <v>0</v>
      </c>
      <c r="L139" s="20" t="n">
        <v>0</v>
      </c>
      <c r="M139" s="20" t="n">
        <v>0</v>
      </c>
      <c r="N139" s="20" t="n">
        <v>0</v>
      </c>
      <c r="V139" s="20" t="n">
        <v>0</v>
      </c>
      <c r="W139" s="20" t="n">
        <v>0</v>
      </c>
      <c r="X139" s="20" t="n">
        <v>0</v>
      </c>
    </row>
    <row r="140">
      <c r="A140" s="18" t="inlineStr">
        <is>
          <t>자동차부품 부문 · 부문 간 내부매출·대체</t>
        </is>
      </c>
      <c r="C140" s="20" t="n">
        <v>0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0</v>
      </c>
      <c r="K140" s="20" t="n">
        <v>0</v>
      </c>
      <c r="L140" s="20" t="n">
        <v>0</v>
      </c>
      <c r="M140" s="20" t="n">
        <v>0</v>
      </c>
      <c r="N140" s="20" t="n">
        <v>0</v>
      </c>
      <c r="V140" s="20" t="n">
        <v>0</v>
      </c>
      <c r="W140" s="20" t="n">
        <v>0</v>
      </c>
      <c r="X140" s="20" t="n">
        <v>0</v>
      </c>
    </row>
    <row r="141">
      <c r="A141" s="18" t="inlineStr">
        <is>
          <t>보고부문 합계 · 부문 간 내부매출·대체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18" t="inlineStr">
        <is>
          <t>조정액 · 부문 간 내부매출·대체</t>
        </is>
      </c>
      <c r="C142" s="20" t="n">
        <v>0</v>
      </c>
      <c r="D142" s="20" t="n">
        <v>0</v>
      </c>
      <c r="E142" s="20" t="n">
        <v>0</v>
      </c>
      <c r="F142" s="20" t="n">
        <v>0</v>
      </c>
      <c r="G142" s="20" t="n">
        <v>0</v>
      </c>
      <c r="H142" s="20" t="n">
        <v>0</v>
      </c>
      <c r="I142" s="20" t="n">
        <v>0</v>
      </c>
      <c r="J142" s="20" t="n">
        <v>0</v>
      </c>
      <c r="K142" s="20" t="n">
        <v>0</v>
      </c>
      <c r="L142" s="20" t="n">
        <v>0</v>
      </c>
      <c r="M142" s="20" t="n">
        <v>0</v>
      </c>
      <c r="N142" s="20" t="n">
        <v>0</v>
      </c>
      <c r="V142" s="20" t="n">
        <v>0</v>
      </c>
      <c r="W142" s="20" t="n">
        <v>0</v>
      </c>
      <c r="X142" s="20" t="n">
        <v>0</v>
      </c>
    </row>
    <row r="143">
      <c r="A143" s="18" t="inlineStr">
        <is>
          <t>부문 간 내부매출·대체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18" t="inlineStr">
        <is>
          <t>설비 부문 · 계</t>
        </is>
      </c>
      <c r="C144" s="20" t="n">
        <v>5271.147</v>
      </c>
      <c r="D144" s="20" t="n">
        <v>7013.725</v>
      </c>
      <c r="E144" s="20" t="n">
        <v>9265.294</v>
      </c>
      <c r="F144" s="20" t="n">
        <v>6155.649</v>
      </c>
      <c r="G144" s="20" t="n">
        <v>6892.358</v>
      </c>
      <c r="H144" s="20" t="n">
        <v>7341.281</v>
      </c>
      <c r="I144" s="20" t="n">
        <v>9514.063</v>
      </c>
      <c r="J144" s="20" t="n">
        <v>6543.812</v>
      </c>
      <c r="K144" s="20" t="n">
        <v>7446.517</v>
      </c>
      <c r="L144" s="20" t="n">
        <v>6502.832</v>
      </c>
      <c r="M144" s="20" t="n">
        <v>8878.815000000001</v>
      </c>
      <c r="N144" s="20" t="n">
        <v>7064.779</v>
      </c>
      <c r="V144" s="20" t="n">
        <v>9265.294</v>
      </c>
      <c r="W144" s="20" t="n">
        <v>9514.063</v>
      </c>
      <c r="X144" s="20" t="n">
        <v>8878.815000000001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자동차부품 부문 · 계</t>
        </is>
      </c>
      <c r="C146" s="20" t="n">
        <v>2626.223</v>
      </c>
      <c r="D146" s="20" t="n">
        <v>2763.902</v>
      </c>
      <c r="E146" s="20" t="n">
        <v>2542.279</v>
      </c>
      <c r="F146" s="20" t="n">
        <v>2499.83</v>
      </c>
      <c r="G146" s="20" t="n">
        <v>2528.489</v>
      </c>
      <c r="H146" s="20" t="n">
        <v>2702.072</v>
      </c>
      <c r="I146" s="20" t="n">
        <v>2583.276</v>
      </c>
      <c r="J146" s="20" t="n">
        <v>2338.196</v>
      </c>
      <c r="K146" s="20" t="n">
        <v>2600.236</v>
      </c>
      <c r="L146" s="20" t="n">
        <v>2502.85</v>
      </c>
      <c r="M146" s="20" t="n">
        <v>2147.138</v>
      </c>
      <c r="N146" s="20" t="n">
        <v>1952.239</v>
      </c>
      <c r="V146" s="20" t="n">
        <v>2542.279</v>
      </c>
      <c r="W146" s="20" t="n">
        <v>2583.276</v>
      </c>
      <c r="X146" s="20" t="n">
        <v>2147.138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보고부문 합계 · 계</t>
        </is>
      </c>
      <c r="C148" s="20" t="n">
        <v>7897.37</v>
      </c>
      <c r="D148" s="20" t="n">
        <v>9777.627</v>
      </c>
      <c r="E148" s="20" t="n">
        <v>11807.573</v>
      </c>
      <c r="F148" s="20" t="n">
        <v>8655.48</v>
      </c>
      <c r="G148" s="20" t="n">
        <v>9420.847</v>
      </c>
      <c r="H148" s="20" t="n">
        <v>10043.353</v>
      </c>
      <c r="I148" s="20" t="n">
        <v>12097.338</v>
      </c>
      <c r="J148" s="20" t="n">
        <v>8882.008</v>
      </c>
      <c r="K148" s="20" t="n">
        <v>10046.754</v>
      </c>
      <c r="L148" s="20" t="n">
        <v>9005.681</v>
      </c>
      <c r="M148" s="20" t="n">
        <v>11025.954</v>
      </c>
      <c r="N148" s="20" t="n">
        <v>9017.018</v>
      </c>
      <c r="V148" s="20" t="n">
        <v>11807.573</v>
      </c>
      <c r="W148" s="20" t="n">
        <v>12097.338</v>
      </c>
      <c r="X148" s="20" t="n">
        <v>11025.954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조정액 · 계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0</v>
      </c>
      <c r="W150" s="20" t="n">
        <v>0</v>
      </c>
      <c r="X150" s="20" t="n">
        <v>0</v>
      </c>
    </row>
    <row r="151">
      <c r="A151" s="9" t="inlineStr">
        <is>
          <t>계</t>
        </is>
      </c>
      <c r="C151" s="12" t="n">
        <v>7897.37</v>
      </c>
      <c r="D151" s="12" t="n">
        <v>9777.627</v>
      </c>
      <c r="E151" s="12" t="n">
        <v>11807.573</v>
      </c>
      <c r="F151" s="12" t="n">
        <v>8655.48</v>
      </c>
      <c r="G151" s="12" t="n">
        <v>9420.847</v>
      </c>
      <c r="H151" s="12" t="n">
        <v>10043.353</v>
      </c>
      <c r="I151" s="12" t="n">
        <v>12097.338</v>
      </c>
      <c r="J151" s="12" t="n">
        <v>8882.008</v>
      </c>
      <c r="K151" s="12" t="n">
        <v>10046.754</v>
      </c>
      <c r="L151" s="12" t="n">
        <v>9005.681</v>
      </c>
      <c r="M151" s="12" t="n">
        <v>11025.954</v>
      </c>
      <c r="N151" s="12" t="n">
        <v>9017.018</v>
      </c>
      <c r="V151" s="12" t="n">
        <v>11807.573</v>
      </c>
      <c r="W151" s="12" t="n">
        <v>12097.338</v>
      </c>
      <c r="X151" s="12" t="n">
        <v>11025.954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설비 부문 · 부문 이익</t>
        </is>
      </c>
      <c r="C153" s="20" t="n">
        <v>593.179</v>
      </c>
      <c r="D153" s="20" t="n">
        <v>1051.524</v>
      </c>
      <c r="E153" s="20" t="n">
        <v>1301.412</v>
      </c>
      <c r="F153" s="20" t="n">
        <v>607.152</v>
      </c>
      <c r="G153" s="20" t="n">
        <v>794.813</v>
      </c>
      <c r="H153" s="20" t="n">
        <v>1018.086</v>
      </c>
      <c r="I153" s="20" t="n">
        <v>1458.642</v>
      </c>
      <c r="J153" s="20" t="n">
        <v>883.288</v>
      </c>
      <c r="K153" s="20" t="n">
        <v>927.795</v>
      </c>
      <c r="L153" s="20" t="n">
        <v>963.307</v>
      </c>
      <c r="M153" s="20" t="n">
        <v>1381.423</v>
      </c>
      <c r="N153" s="20" t="n">
        <v>955.251</v>
      </c>
      <c r="V153" s="20" t="n">
        <v>1301.412</v>
      </c>
      <c r="W153" s="20" t="n">
        <v>1458.642</v>
      </c>
      <c r="X153" s="20" t="n">
        <v>1381.423</v>
      </c>
    </row>
    <row r="154">
      <c r="A154" s="43" t="inlineStr">
        <is>
          <t>OPM</t>
        </is>
      </c>
      <c r="B154" s="3" t="inlineStr">
        <is>
          <t>영업이익 ÷ 매출</t>
        </is>
      </c>
      <c r="C154" s="15">
        <f>IF(OR(C153="",C144=""),"",IF(C144&lt;=0,"",IFERROR(C153/C144,"")))</f>
        <v/>
      </c>
      <c r="D154" s="15">
        <f>IF(OR(D153="",D144=""),"",IF(D144&lt;=0,"",IFERROR(D153/D144,"")))</f>
        <v/>
      </c>
      <c r="E154" s="15">
        <f>IF(OR(E153="",E144=""),"",IF(E144&lt;=0,"",IFERROR(E153/E144,"")))</f>
        <v/>
      </c>
      <c r="F154" s="15">
        <f>IF(OR(F153="",F144=""),"",IF(F144&lt;=0,"",IFERROR(F153/F144,"")))</f>
        <v/>
      </c>
      <c r="G154" s="15">
        <f>IF(OR(G153="",G144=""),"",IF(G144&lt;=0,"",IFERROR(G153/G144,"")))</f>
        <v/>
      </c>
      <c r="H154" s="15">
        <f>IF(OR(H153="",H144=""),"",IF(H144&lt;=0,"",IFERROR(H153/H144,"")))</f>
        <v/>
      </c>
      <c r="I154" s="15">
        <f>IF(OR(I153="",I144=""),"",IF(I144&lt;=0,"",IFERROR(I153/I144,"")))</f>
        <v/>
      </c>
      <c r="J154" s="15">
        <f>IF(OR(J153="",J144=""),"",IF(J144&lt;=0,"",IFERROR(J153/J144,"")))</f>
        <v/>
      </c>
      <c r="K154" s="15">
        <f>IF(OR(K153="",K144=""),"",IF(K144&lt;=0,"",IFERROR(K153/K144,"")))</f>
        <v/>
      </c>
      <c r="L154" s="15">
        <f>IF(OR(L153="",L144=""),"",IF(L144&lt;=0,"",IFERROR(L153/L144,"")))</f>
        <v/>
      </c>
      <c r="M154" s="15">
        <f>IF(OR(M153="",M144=""),"",IF(M144&lt;=0,"",IFERROR(M153/M144,"")))</f>
        <v/>
      </c>
      <c r="N154" s="15">
        <f>IF(OR(N153="",N144=""),"",IF(N144&lt;=0,"",IFERROR(N153/N144,"")))</f>
        <v/>
      </c>
      <c r="V154" s="15">
        <f>IF(OR(V153="",V144=""),"",IF(V144&lt;=0,"",IFERROR(V153/V144,"")))</f>
        <v/>
      </c>
      <c r="W154" s="15">
        <f>IF(OR(W153="",W144=""),"",IF(W144&lt;=0,"",IFERROR(W153/W144,"")))</f>
        <v/>
      </c>
      <c r="X154" s="15">
        <f>IF(OR(X153="",X144=""),"",IF(X144&lt;=0,"",IFERROR(X153/X144,"")))</f>
        <v/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IF(OR(G153="",C153=""),"",IF(C153&lt;=0,"",IFERROR(G153/C153-1,"")))</f>
        <v/>
      </c>
      <c r="H155" s="15">
        <f>IF(OR(H153="",D153=""),"",IF(D153&lt;=0,"",IFERROR(H153/D153-1,"")))</f>
        <v/>
      </c>
      <c r="I155" s="15">
        <f>IF(OR(I153="",E153=""),"",IF(E153&lt;=0,"",IFERROR(I153/E153-1,"")))</f>
        <v/>
      </c>
      <c r="J155" s="15">
        <f>IF(OR(J153="",F153=""),"",IF(F153&lt;=0,"",IFERROR(J153/F153-1,"")))</f>
        <v/>
      </c>
      <c r="K155" s="15">
        <f>IF(OR(K153="",G153=""),"",IF(G153&lt;=0,"",IFERROR(K153/G153-1,"")))</f>
        <v/>
      </c>
      <c r="L155" s="15">
        <f>IF(OR(L153="",H153=""),"",IF(H153&lt;=0,"",IFERROR(L153/H153-1,"")))</f>
        <v/>
      </c>
      <c r="M155" s="15">
        <f>IF(OR(M153="",I153=""),"",IF(I153&lt;=0,"",IFERROR(M153/I153-1,"")))</f>
        <v/>
      </c>
      <c r="N155" s="15">
        <f>IF(OR(N153="",J153=""),"",IF(J153&lt;=0,"",IFERROR(N153/J153-1,"")))</f>
        <v/>
      </c>
      <c r="V155" s="15">
        <f>IF(OR(V153="",U153=""),"",IF(U153&lt;=0,"",IFERROR(V153/U153-1,"")))</f>
        <v/>
      </c>
      <c r="W155" s="15">
        <f>IF(OR(W153="",V153=""),"",IF(V153&lt;=0,"",IFERROR(W153/V153-1,"")))</f>
        <v/>
      </c>
      <c r="X155" s="15">
        <f>IF(OR(X153="",W153=""),"",IF(W153&lt;=0,"",IFERROR(X153/W153-1,"")))</f>
        <v/>
      </c>
    </row>
    <row r="156">
      <c r="A156" s="18" t="inlineStr">
        <is>
          <t>자동차부품 부문 · 부문 이익</t>
        </is>
      </c>
      <c r="C156" s="20" t="n">
        <v>314.337</v>
      </c>
      <c r="D156" s="20" t="n">
        <v>350.685</v>
      </c>
      <c r="E156" s="20" t="n">
        <v>152.942</v>
      </c>
      <c r="F156" s="20" t="n">
        <v>343.498</v>
      </c>
      <c r="G156" s="20" t="n">
        <v>347.415</v>
      </c>
      <c r="H156" s="20" t="n">
        <v>383.451</v>
      </c>
      <c r="I156" s="20" t="n">
        <v>230.713</v>
      </c>
      <c r="J156" s="20" t="n">
        <v>264.522</v>
      </c>
      <c r="K156" s="20" t="n">
        <v>440.701</v>
      </c>
      <c r="L156" s="20" t="n">
        <v>268.784</v>
      </c>
      <c r="M156" s="20" t="n">
        <v>85.563</v>
      </c>
      <c r="N156" s="20" t="n">
        <v>17.359</v>
      </c>
      <c r="V156" s="20" t="n">
        <v>152.942</v>
      </c>
      <c r="W156" s="20" t="n">
        <v>230.713</v>
      </c>
      <c r="X156" s="20" t="n">
        <v>85.563</v>
      </c>
    </row>
    <row r="157">
      <c r="A157" s="43" t="inlineStr">
        <is>
          <t>OPM</t>
        </is>
      </c>
      <c r="B157" s="3" t="inlineStr">
        <is>
          <t>영업이익 ÷ 매출</t>
        </is>
      </c>
      <c r="C157" s="15">
        <f>IF(OR(C156="",C146=""),"",IF(C146&lt;=0,"",IFERROR(C156/C146,"")))</f>
        <v/>
      </c>
      <c r="D157" s="15">
        <f>IF(OR(D156="",D146=""),"",IF(D146&lt;=0,"",IFERROR(D156/D146,"")))</f>
        <v/>
      </c>
      <c r="E157" s="15">
        <f>IF(OR(E156="",E146=""),"",IF(E146&lt;=0,"",IFERROR(E156/E146,"")))</f>
        <v/>
      </c>
      <c r="F157" s="15">
        <f>IF(OR(F156="",F146=""),"",IF(F146&lt;=0,"",IFERROR(F156/F146,"")))</f>
        <v/>
      </c>
      <c r="G157" s="15">
        <f>IF(OR(G156="",G146=""),"",IF(G146&lt;=0,"",IFERROR(G156/G146,"")))</f>
        <v/>
      </c>
      <c r="H157" s="15">
        <f>IF(OR(H156="",H146=""),"",IF(H146&lt;=0,"",IFERROR(H156/H146,"")))</f>
        <v/>
      </c>
      <c r="I157" s="15">
        <f>IF(OR(I156="",I146=""),"",IF(I146&lt;=0,"",IFERROR(I156/I146,"")))</f>
        <v/>
      </c>
      <c r="J157" s="15">
        <f>IF(OR(J156="",J146=""),"",IF(J146&lt;=0,"",IFERROR(J156/J146,"")))</f>
        <v/>
      </c>
      <c r="K157" s="15">
        <f>IF(OR(K156="",K146=""),"",IF(K146&lt;=0,"",IFERROR(K156/K146,"")))</f>
        <v/>
      </c>
      <c r="L157" s="15">
        <f>IF(OR(L156="",L146=""),"",IF(L146&lt;=0,"",IFERROR(L156/L146,"")))</f>
        <v/>
      </c>
      <c r="M157" s="15">
        <f>IF(OR(M156="",M146=""),"",IF(M146&lt;=0,"",IFERROR(M156/M146,"")))</f>
        <v/>
      </c>
      <c r="N157" s="15">
        <f>IF(OR(N156="",N146=""),"",IF(N146&lt;=0,"",IFERROR(N156/N146,"")))</f>
        <v/>
      </c>
      <c r="V157" s="15">
        <f>IF(OR(V156="",V146=""),"",IF(V146&lt;=0,"",IFERROR(V156/V146,"")))</f>
        <v/>
      </c>
      <c r="W157" s="15">
        <f>IF(OR(W156="",W146=""),"",IF(W146&lt;=0,"",IFERROR(W156/W146,"")))</f>
        <v/>
      </c>
      <c r="X157" s="15">
        <f>IF(OR(X156="",X146=""),"",IF(X146&lt;=0,"",IFERROR(X156/X146,"")))</f>
        <v/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IF(OR(G156="",C156=""),"",IF(C156&lt;=0,"",IFERROR(G156/C156-1,"")))</f>
        <v/>
      </c>
      <c r="H158" s="15">
        <f>IF(OR(H156="",D156=""),"",IF(D156&lt;=0,"",IFERROR(H156/D156-1,"")))</f>
        <v/>
      </c>
      <c r="I158" s="15">
        <f>IF(OR(I156="",E156=""),"",IF(E156&lt;=0,"",IFERROR(I156/E156-1,"")))</f>
        <v/>
      </c>
      <c r="J158" s="15">
        <f>IF(OR(J156="",F156=""),"",IF(F156&lt;=0,"",IFERROR(J156/F156-1,"")))</f>
        <v/>
      </c>
      <c r="K158" s="15">
        <f>IF(OR(K156="",G156=""),"",IF(G156&lt;=0,"",IFERROR(K156/G156-1,"")))</f>
        <v/>
      </c>
      <c r="L158" s="15">
        <f>IF(OR(L156="",H156=""),"",IF(H156&lt;=0,"",IFERROR(L156/H156-1,"")))</f>
        <v/>
      </c>
      <c r="M158" s="15">
        <f>IF(OR(M156="",I156=""),"",IF(I156&lt;=0,"",IFERROR(M156/I156-1,"")))</f>
        <v/>
      </c>
      <c r="N158" s="15">
        <f>IF(OR(N156="",J156=""),"",IF(J156&lt;=0,"",IFERROR(N156/J156-1,"")))</f>
        <v/>
      </c>
      <c r="V158" s="15">
        <f>IF(OR(V156="",U156=""),"",IF(U156&lt;=0,"",IFERROR(V156/U156-1,"")))</f>
        <v/>
      </c>
      <c r="W158" s="15">
        <f>IF(OR(W156="",V156=""),"",IF(V156&lt;=0,"",IFERROR(W156/V156-1,"")))</f>
        <v/>
      </c>
      <c r="X158" s="15">
        <f>IF(OR(X156="",W156=""),"",IF(W156&lt;=0,"",IFERROR(X156/W156-1,"")))</f>
        <v/>
      </c>
    </row>
    <row r="159">
      <c r="A159" s="18" t="inlineStr">
        <is>
          <t>보고부문 합계 · 부문 이익</t>
        </is>
      </c>
      <c r="C159" s="20" t="n">
        <v>907.516</v>
      </c>
      <c r="D159" s="20" t="n">
        <v>1402.208</v>
      </c>
      <c r="E159" s="20" t="n">
        <v>1454.355</v>
      </c>
      <c r="F159" s="20" t="n">
        <v>950.651</v>
      </c>
      <c r="G159" s="20" t="n">
        <v>1142.227</v>
      </c>
      <c r="H159" s="20" t="n">
        <v>1401.538</v>
      </c>
      <c r="I159" s="20" t="n">
        <v>1689.355</v>
      </c>
      <c r="J159" s="20" t="n">
        <v>1147.81</v>
      </c>
      <c r="K159" s="20" t="n">
        <v>1368.496</v>
      </c>
      <c r="L159" s="20" t="n">
        <v>1232.091</v>
      </c>
      <c r="M159" s="20" t="n">
        <v>1466.986</v>
      </c>
      <c r="N159" s="20" t="n">
        <v>972.61</v>
      </c>
      <c r="V159" s="20" t="n">
        <v>1454.355</v>
      </c>
      <c r="W159" s="20" t="n">
        <v>1689.355</v>
      </c>
      <c r="X159" s="20" t="n">
        <v>1466.986</v>
      </c>
    </row>
    <row r="160">
      <c r="A160" s="43" t="inlineStr">
        <is>
          <t>OPM</t>
        </is>
      </c>
      <c r="B160" s="3" t="inlineStr">
        <is>
          <t>영업이익 ÷ 매출</t>
        </is>
      </c>
      <c r="C160" s="15">
        <f>IF(OR(C159="",C148=""),"",IF(C148&lt;=0,"",IFERROR(C159/C148,"")))</f>
        <v/>
      </c>
      <c r="D160" s="15">
        <f>IF(OR(D159="",D148=""),"",IF(D148&lt;=0,"",IFERROR(D159/D148,"")))</f>
        <v/>
      </c>
      <c r="E160" s="15">
        <f>IF(OR(E159="",E148=""),"",IF(E148&lt;=0,"",IFERROR(E159/E148,"")))</f>
        <v/>
      </c>
      <c r="F160" s="15">
        <f>IF(OR(F159="",F148=""),"",IF(F148&lt;=0,"",IFERROR(F159/F148,"")))</f>
        <v/>
      </c>
      <c r="G160" s="15">
        <f>IF(OR(G159="",G148=""),"",IF(G148&lt;=0,"",IFERROR(G159/G148,"")))</f>
        <v/>
      </c>
      <c r="H160" s="15">
        <f>IF(OR(H159="",H148=""),"",IF(H148&lt;=0,"",IFERROR(H159/H148,"")))</f>
        <v/>
      </c>
      <c r="I160" s="15">
        <f>IF(OR(I159="",I148=""),"",IF(I148&lt;=0,"",IFERROR(I159/I148,"")))</f>
        <v/>
      </c>
      <c r="J160" s="15">
        <f>IF(OR(J159="",J148=""),"",IF(J148&lt;=0,"",IFERROR(J159/J148,"")))</f>
        <v/>
      </c>
      <c r="K160" s="15">
        <f>IF(OR(K159="",K148=""),"",IF(K148&lt;=0,"",IFERROR(K159/K148,"")))</f>
        <v/>
      </c>
      <c r="L160" s="15">
        <f>IF(OR(L159="",L148=""),"",IF(L148&lt;=0,"",IFERROR(L159/L148,"")))</f>
        <v/>
      </c>
      <c r="M160" s="15">
        <f>IF(OR(M159="",M148=""),"",IF(M148&lt;=0,"",IFERROR(M159/M148,"")))</f>
        <v/>
      </c>
      <c r="N160" s="15">
        <f>IF(OR(N159="",N148=""),"",IF(N148&lt;=0,"",IFERROR(N159/N148,"")))</f>
        <v/>
      </c>
      <c r="V160" s="15">
        <f>IF(OR(V159="",V148=""),"",IF(V148&lt;=0,"",IFERROR(V159/V148,"")))</f>
        <v/>
      </c>
      <c r="W160" s="15">
        <f>IF(OR(W159="",W148=""),"",IF(W148&lt;=0,"",IFERROR(W159/W148,"")))</f>
        <v/>
      </c>
      <c r="X160" s="15">
        <f>IF(OR(X159="",X148=""),"",IF(X148&lt;=0,"",IFERROR(X159/X148,"")))</f>
        <v/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IF(OR(G159="",C159=""),"",IF(C159&lt;=0,"",IFERROR(G159/C159-1,"")))</f>
        <v/>
      </c>
      <c r="H161" s="15">
        <f>IF(OR(H159="",D159=""),"",IF(D159&lt;=0,"",IFERROR(H159/D159-1,"")))</f>
        <v/>
      </c>
      <c r="I161" s="15">
        <f>IF(OR(I159="",E159=""),"",IF(E159&lt;=0,"",IFERROR(I159/E159-1,"")))</f>
        <v/>
      </c>
      <c r="J161" s="15">
        <f>IF(OR(J159="",F159=""),"",IF(F159&lt;=0,"",IFERROR(J159/F159-1,"")))</f>
        <v/>
      </c>
      <c r="K161" s="15">
        <f>IF(OR(K159="",G159=""),"",IF(G159&lt;=0,"",IFERROR(K159/G159-1,"")))</f>
        <v/>
      </c>
      <c r="L161" s="15">
        <f>IF(OR(L159="",H159=""),"",IF(H159&lt;=0,"",IFERROR(L159/H159-1,"")))</f>
        <v/>
      </c>
      <c r="M161" s="15">
        <f>IF(OR(M159="",I159=""),"",IF(I159&lt;=0,"",IFERROR(M159/I159-1,"")))</f>
        <v/>
      </c>
      <c r="N161" s="15">
        <f>IF(OR(N159="",J159=""),"",IF(J159&lt;=0,"",IFERROR(N159/J159-1,"")))</f>
        <v/>
      </c>
      <c r="V161" s="15">
        <f>IF(OR(V159="",U159=""),"",IF(U159&lt;=0,"",IFERROR(V159/U159-1,"")))</f>
        <v/>
      </c>
      <c r="W161" s="15">
        <f>IF(OR(W159="",V159=""),"",IF(V159&lt;=0,"",IFERROR(W159/V159-1,"")))</f>
        <v/>
      </c>
      <c r="X161" s="15">
        <f>IF(OR(X159="",W159=""),"",IF(W159&lt;=0,"",IFERROR(X159/W159-1,"")))</f>
        <v/>
      </c>
    </row>
    <row r="162">
      <c r="A162" s="18" t="inlineStr">
        <is>
          <t>조정액 · 부문 이익</t>
        </is>
      </c>
      <c r="C162" s="20" t="n">
        <v>-457.445</v>
      </c>
      <c r="D162" s="20" t="n">
        <v>-438.271</v>
      </c>
      <c r="E162" s="20" t="n">
        <v>-490.734</v>
      </c>
      <c r="F162" s="20" t="n">
        <v>-479.857</v>
      </c>
      <c r="G162" s="20" t="n">
        <v>-475.647</v>
      </c>
      <c r="H162" s="20" t="n">
        <v>-482.588</v>
      </c>
      <c r="I162" s="20" t="n">
        <v>-499.818</v>
      </c>
      <c r="J162" s="20" t="n">
        <v>-514.1950000000001</v>
      </c>
      <c r="K162" s="20" t="n">
        <v>-534.533</v>
      </c>
      <c r="L162" s="20" t="n">
        <v>-474.287</v>
      </c>
      <c r="M162" s="20" t="n">
        <v>-501.501</v>
      </c>
      <c r="N162" s="20" t="n">
        <v>-583.134</v>
      </c>
      <c r="V162" s="20" t="n">
        <v>-490.734</v>
      </c>
      <c r="W162" s="20" t="n">
        <v>-499.818</v>
      </c>
      <c r="X162" s="20" t="n">
        <v>-501.501</v>
      </c>
    </row>
    <row r="163">
      <c r="A163" s="9" t="inlineStr">
        <is>
          <t>부문 이익</t>
        </is>
      </c>
      <c r="C163" s="12" t="n">
        <v>450.07</v>
      </c>
      <c r="D163" s="12" t="n">
        <v>963.938</v>
      </c>
      <c r="E163" s="12" t="n">
        <v>963.621</v>
      </c>
      <c r="F163" s="12" t="n">
        <v>470.794</v>
      </c>
      <c r="G163" s="12" t="n">
        <v>666.579</v>
      </c>
      <c r="H163" s="12" t="n">
        <v>918.95</v>
      </c>
      <c r="I163" s="12" t="n">
        <v>1189.537</v>
      </c>
      <c r="J163" s="12" t="n">
        <v>633.614</v>
      </c>
      <c r="K163" s="12" t="n">
        <v>833.9640000000001</v>
      </c>
      <c r="L163" s="12" t="n">
        <v>757.804</v>
      </c>
      <c r="M163" s="12" t="n">
        <v>965.484</v>
      </c>
      <c r="N163" s="12" t="n">
        <v>389.475</v>
      </c>
      <c r="V163" s="12" t="n">
        <v>963.621</v>
      </c>
      <c r="W163" s="12" t="n">
        <v>1189.537</v>
      </c>
      <c r="X163" s="12" t="n">
        <v>965.484</v>
      </c>
    </row>
    <row r="164">
      <c r="A164" s="43" t="inlineStr">
        <is>
          <t>OPM</t>
        </is>
      </c>
      <c r="B164" s="3" t="inlineStr">
        <is>
          <t>영업이익 ÷ 매출</t>
        </is>
      </c>
      <c r="C164" s="15">
        <f>IF(OR(C163="",C137=""),"",IF(C137&lt;=0,"",IFERROR(C163/C137,"")))</f>
        <v/>
      </c>
      <c r="D164" s="15">
        <f>IF(OR(D163="",D137=""),"",IF(D137&lt;=0,"",IFERROR(D163/D137,"")))</f>
        <v/>
      </c>
      <c r="E164" s="15">
        <f>IF(OR(E163="",E137=""),"",IF(E137&lt;=0,"",IFERROR(E163/E137,"")))</f>
        <v/>
      </c>
      <c r="F164" s="15">
        <f>IF(OR(F163="",F137=""),"",IF(F137&lt;=0,"",IFERROR(F163/F137,"")))</f>
        <v/>
      </c>
      <c r="G164" s="15">
        <f>IF(OR(G163="",G137=""),"",IF(G137&lt;=0,"",IFERROR(G163/G137,"")))</f>
        <v/>
      </c>
      <c r="H164" s="15">
        <f>IF(OR(H163="",H137=""),"",IF(H137&lt;=0,"",IFERROR(H163/H137,"")))</f>
        <v/>
      </c>
      <c r="I164" s="15">
        <f>IF(OR(I163="",I137=""),"",IF(I137&lt;=0,"",IFERROR(I163/I137,"")))</f>
        <v/>
      </c>
      <c r="J164" s="15">
        <f>IF(OR(J163="",J137=""),"",IF(J137&lt;=0,"",IFERROR(J163/J137,"")))</f>
        <v/>
      </c>
      <c r="K164" s="15">
        <f>IF(OR(K163="",K137=""),"",IF(K137&lt;=0,"",IFERROR(K163/K137,"")))</f>
        <v/>
      </c>
      <c r="L164" s="15">
        <f>IF(OR(L163="",L137=""),"",IF(L137&lt;=0,"",IFERROR(L163/L137,"")))</f>
        <v/>
      </c>
      <c r="M164" s="15">
        <f>IF(OR(M163="",M137=""),"",IF(M137&lt;=0,"",IFERROR(M163/M137,"")))</f>
        <v/>
      </c>
      <c r="N164" s="15">
        <f>IF(OR(N163="",N137=""),"",IF(N137&lt;=0,"",IFERROR(N163/N137,"")))</f>
        <v/>
      </c>
      <c r="V164" s="15">
        <f>IF(OR(V163="",V137=""),"",IF(V137&lt;=0,"",IFERROR(V163/V137,"")))</f>
        <v/>
      </c>
      <c r="W164" s="15">
        <f>IF(OR(W163="",W137=""),"",IF(W137&lt;=0,"",IFERROR(W163/W137,"")))</f>
        <v/>
      </c>
      <c r="X164" s="15">
        <f>IF(OR(X163="",X137=""),"",IF(X137&lt;=0,"",IFERROR(X163/X137,"")))</f>
        <v/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IF(OR(G163="",C163=""),"",IF(C163&lt;=0,"",IFERROR(G163/C163-1,"")))</f>
        <v/>
      </c>
      <c r="H165" s="15">
        <f>IF(OR(H163="",D163=""),"",IF(D163&lt;=0,"",IFERROR(H163/D163-1,"")))</f>
        <v/>
      </c>
      <c r="I165" s="15">
        <f>IF(OR(I163="",E163=""),"",IF(E163&lt;=0,"",IFERROR(I163/E163-1,"")))</f>
        <v/>
      </c>
      <c r="J165" s="15">
        <f>IF(OR(J163="",F163=""),"",IF(F163&lt;=0,"",IFERROR(J163/F163-1,"")))</f>
        <v/>
      </c>
      <c r="K165" s="15">
        <f>IF(OR(K163="",G163=""),"",IF(G163&lt;=0,"",IFERROR(K163/G163-1,"")))</f>
        <v/>
      </c>
      <c r="L165" s="15">
        <f>IF(OR(L163="",H163=""),"",IF(H163&lt;=0,"",IFERROR(L163/H163-1,"")))</f>
        <v/>
      </c>
      <c r="M165" s="15">
        <f>IF(OR(M163="",I163=""),"",IF(I163&lt;=0,"",IFERROR(M163/I163-1,"")))</f>
        <v/>
      </c>
      <c r="N165" s="15">
        <f>IF(OR(N163="",J163=""),"",IF(J163&lt;=0,"",IFERROR(N163/J163-1,"")))</f>
        <v/>
      </c>
      <c r="V165" s="15">
        <f>IF(OR(V163="",U163=""),"",IF(U163&lt;=0,"",IFERROR(V163/U163-1,"")))</f>
        <v/>
      </c>
      <c r="W165" s="15">
        <f>IF(OR(W163="",V163=""),"",IF(V163&lt;=0,"",IFERROR(W163/V163-1,"")))</f>
        <v/>
      </c>
      <c r="X165" s="15">
        <f>IF(OR(X163="",W163=""),"",IF(W163&lt;=0,"",IFERROR(X163/W163-1,"")))</f>
        <v/>
      </c>
    </row>
    <row r="167">
      <c r="A167" s="16" t="inlineStr">
        <is>
          <t>현금흐름표 · 전 항목</t>
        </is>
      </c>
      <c r="B167" s="42" t="inlineStr">
        <is>
          <t>분기 = 결산기 첫날부터 누계(공시 그대로)</t>
        </is>
      </c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</row>
    <row r="168">
      <c r="A168" s="5" t="inlineStr">
        <is>
          <t>항목</t>
        </is>
      </c>
      <c r="B168" s="5" t="inlineStr">
        <is>
          <t>참고</t>
        </is>
      </c>
      <c r="C168" s="5" t="inlineStr">
        <is>
          <t>2024.2Q</t>
        </is>
      </c>
      <c r="D168" s="5" t="inlineStr">
        <is>
          <t>2024.3Q</t>
        </is>
      </c>
      <c r="E168" s="5" t="inlineStr">
        <is>
          <t>2024.4Q</t>
        </is>
      </c>
      <c r="F168" s="5" t="inlineStr">
        <is>
          <t>2025.1Q</t>
        </is>
      </c>
      <c r="G168" s="5" t="inlineStr">
        <is>
          <t>2025.2Q</t>
        </is>
      </c>
      <c r="H168" s="5" t="inlineStr">
        <is>
          <t>2025.3Q</t>
        </is>
      </c>
      <c r="I168" s="5" t="inlineStr">
        <is>
          <t>2025.4Q</t>
        </is>
      </c>
      <c r="J168" s="5" t="inlineStr">
        <is>
          <t>2026.1Q</t>
        </is>
      </c>
      <c r="K168" s="5" t="inlineStr">
        <is>
          <t>2026.2Q</t>
        </is>
      </c>
      <c r="L168" s="5" t="inlineStr">
        <is>
          <t>2026.3Q</t>
        </is>
      </c>
      <c r="M168" s="5" t="inlineStr">
        <is>
          <t>2026.4Q</t>
        </is>
      </c>
      <c r="N168" s="5" t="inlineStr">
        <is>
          <t>2027.1Q</t>
        </is>
      </c>
      <c r="O168" s="5" t="inlineStr">
        <is>
          <t>2017</t>
        </is>
      </c>
      <c r="P168" s="5" t="inlineStr">
        <is>
          <t>2018</t>
        </is>
      </c>
      <c r="Q168" s="5" t="inlineStr">
        <is>
          <t>2019</t>
        </is>
      </c>
      <c r="R168" s="5" t="inlineStr">
        <is>
          <t>2020</t>
        </is>
      </c>
      <c r="S168" s="5" t="inlineStr">
        <is>
          <t>2021</t>
        </is>
      </c>
      <c r="T168" s="5" t="inlineStr">
        <is>
          <t>2022</t>
        </is>
      </c>
      <c r="U168" s="5" t="inlineStr">
        <is>
          <t>2023</t>
        </is>
      </c>
      <c r="V168" s="5" t="inlineStr">
        <is>
          <t>2024</t>
        </is>
      </c>
      <c r="W168" s="5" t="inlineStr">
        <is>
          <t>2025</t>
        </is>
      </c>
      <c r="X168" s="5" t="inlineStr">
        <is>
          <t>2026</t>
        </is>
      </c>
      <c r="Y168" s="5" t="inlineStr">
        <is>
          <t>2027(MW)</t>
        </is>
      </c>
      <c r="Z168" s="5" t="inlineStr">
        <is>
          <t>2028(MW)</t>
        </is>
      </c>
      <c r="AA168" s="5" t="inlineStr">
        <is>
          <t>2029(MW)</t>
        </is>
      </c>
      <c r="AB168" s="5" t="inlineStr">
        <is>
          <t>2030(MW)</t>
        </is>
      </c>
      <c r="AC168" s="5" t="inlineStr">
        <is>
          <t>2031(MW)</t>
        </is>
      </c>
    </row>
    <row r="169">
      <c r="A169" s="9" t="inlineStr">
        <is>
          <t>법인세차감전 순이익</t>
        </is>
      </c>
      <c r="E169" s="12" t="n">
        <v>3007.009</v>
      </c>
      <c r="I169" s="12" t="n">
        <v>3521.87</v>
      </c>
      <c r="M169" s="12" t="n">
        <v>3728.773</v>
      </c>
      <c r="O169" s="12" t="n">
        <v>2162.958</v>
      </c>
      <c r="P169" s="12" t="n">
        <v>2616.842</v>
      </c>
      <c r="Q169" s="12" t="n">
        <v>2249.507</v>
      </c>
      <c r="R169" s="12" t="n">
        <v>2845.44</v>
      </c>
      <c r="S169" s="12" t="n">
        <v>2423.63</v>
      </c>
      <c r="T169" s="12" t="n">
        <v>2555.891</v>
      </c>
      <c r="U169" s="12" t="n">
        <v>1789.922</v>
      </c>
      <c r="V169" s="12" t="n">
        <v>3007.009</v>
      </c>
      <c r="W169" s="12" t="n">
        <v>3521.87</v>
      </c>
      <c r="X169" s="12" t="n">
        <v>3728.773</v>
      </c>
    </row>
    <row r="170">
      <c r="A170" s="18" t="inlineStr">
        <is>
          <t>감가상각비</t>
        </is>
      </c>
      <c r="E170" s="20" t="n">
        <v>1500.29</v>
      </c>
      <c r="I170" s="20" t="n">
        <v>1035.63</v>
      </c>
      <c r="M170" s="20" t="n">
        <v>1329.429</v>
      </c>
      <c r="O170" s="20" t="n">
        <v>758.6559999999999</v>
      </c>
      <c r="P170" s="20" t="n">
        <v>760.355</v>
      </c>
      <c r="Q170" s="20" t="n">
        <v>869.421</v>
      </c>
      <c r="R170" s="20" t="n">
        <v>855.12</v>
      </c>
      <c r="S170" s="20" t="n">
        <v>774.588</v>
      </c>
      <c r="T170" s="20" t="n">
        <v>918.856</v>
      </c>
      <c r="U170" s="20" t="n">
        <v>1009.912</v>
      </c>
      <c r="V170" s="20" t="n">
        <v>1500.29</v>
      </c>
      <c r="W170" s="20" t="n">
        <v>1035.63</v>
      </c>
      <c r="X170" s="20" t="n">
        <v>1329.429</v>
      </c>
    </row>
    <row r="171">
      <c r="A171" s="18" t="inlineStr">
        <is>
          <t>단계적 취득 차손익</t>
        </is>
      </c>
      <c r="O171" s="20" t="n">
        <v>0</v>
      </c>
      <c r="P171" s="20" t="n">
        <v>11.634</v>
      </c>
      <c r="Q171" s="20" t="n">
        <v>0</v>
      </c>
    </row>
    <row r="172">
      <c r="A172" s="18" t="inlineStr">
        <is>
          <t>상여충당금 증감</t>
        </is>
      </c>
      <c r="E172" s="20" t="n">
        <v>159.301</v>
      </c>
      <c r="I172" s="20" t="n">
        <v>69.39400000000001</v>
      </c>
      <c r="M172" s="20" t="n">
        <v>-9.422000000000001</v>
      </c>
      <c r="O172" s="20" t="n">
        <v>3.336</v>
      </c>
      <c r="P172" s="20" t="n">
        <v>45.808</v>
      </c>
      <c r="Q172" s="20" t="n">
        <v>-23.055</v>
      </c>
      <c r="R172" s="20" t="n">
        <v>64.23</v>
      </c>
      <c r="S172" s="20" t="n">
        <v>-2.816</v>
      </c>
      <c r="T172" s="20" t="n">
        <v>-13.622</v>
      </c>
      <c r="U172" s="20" t="n">
        <v>-60.301</v>
      </c>
      <c r="V172" s="20" t="n">
        <v>159.301</v>
      </c>
      <c r="W172" s="20" t="n">
        <v>69.39400000000001</v>
      </c>
      <c r="X172" s="20" t="n">
        <v>-9.422000000000001</v>
      </c>
    </row>
    <row r="173">
      <c r="A173" s="18" t="inlineStr">
        <is>
          <t>임원 상여충당금 증감</t>
        </is>
      </c>
      <c r="E173" s="20" t="n">
        <v>12.464</v>
      </c>
      <c r="I173" s="20" t="n">
        <v>-25.338</v>
      </c>
      <c r="M173" s="20" t="n">
        <v>2.879</v>
      </c>
      <c r="O173" s="20" t="n">
        <v>21.484</v>
      </c>
      <c r="P173" s="20" t="n">
        <v>2.772</v>
      </c>
      <c r="Q173" s="20" t="n">
        <v>9.166</v>
      </c>
      <c r="R173" s="20" t="n">
        <v>-10.821</v>
      </c>
      <c r="S173" s="20" t="n">
        <v>1.464</v>
      </c>
      <c r="T173" s="20" t="n">
        <v>-0.365</v>
      </c>
      <c r="U173" s="20" t="n">
        <v>1.724</v>
      </c>
      <c r="V173" s="20" t="n">
        <v>12.464</v>
      </c>
      <c r="W173" s="20" t="n">
        <v>-25.338</v>
      </c>
      <c r="X173" s="20" t="n">
        <v>2.879</v>
      </c>
    </row>
    <row r="174">
      <c r="A174" s="18" t="inlineStr">
        <is>
          <t>퇴직급여부채 증감</t>
        </is>
      </c>
      <c r="E174" s="20" t="n">
        <v>66.611</v>
      </c>
      <c r="I174" s="20" t="n">
        <v>-80.90600000000001</v>
      </c>
      <c r="M174" s="20" t="n">
        <v>78.06</v>
      </c>
      <c r="O174" s="20" t="n">
        <v>15.755</v>
      </c>
      <c r="P174" s="20" t="n">
        <v>61.726</v>
      </c>
      <c r="Q174" s="20" t="n">
        <v>23.956</v>
      </c>
      <c r="R174" s="20" t="n">
        <v>8.941000000000001</v>
      </c>
      <c r="S174" s="20" t="n">
        <v>-45.3</v>
      </c>
      <c r="T174" s="20" t="n">
        <v>-991.742</v>
      </c>
      <c r="U174" s="20" t="n">
        <v>165.506</v>
      </c>
      <c r="V174" s="20" t="n">
        <v>66.611</v>
      </c>
      <c r="W174" s="20" t="n">
        <v>-80.90600000000001</v>
      </c>
      <c r="X174" s="20" t="n">
        <v>78.06</v>
      </c>
    </row>
    <row r="175">
      <c r="A175" s="18" t="inlineStr">
        <is>
          <t>퇴직급여자산 증감</t>
        </is>
      </c>
      <c r="E175" s="20" t="n">
        <v>-142.377</v>
      </c>
      <c r="I175" s="20" t="n">
        <v>-309.622</v>
      </c>
      <c r="M175" s="20" t="n">
        <v>-147.601</v>
      </c>
      <c r="O175" s="20" t="n">
        <v>3.026</v>
      </c>
      <c r="P175" s="20" t="n">
        <v>77.816</v>
      </c>
      <c r="Q175" s="20" t="n">
        <v>4.376</v>
      </c>
      <c r="R175" s="20" t="n">
        <v>0</v>
      </c>
      <c r="S175" s="20" t="n">
        <v>-128.916</v>
      </c>
      <c r="T175" s="20" t="n">
        <v>30.713</v>
      </c>
      <c r="U175" s="20" t="n">
        <v>98.203</v>
      </c>
      <c r="V175" s="20" t="n">
        <v>-142.377</v>
      </c>
      <c r="W175" s="20" t="n">
        <v>-309.622</v>
      </c>
      <c r="X175" s="20" t="n">
        <v>-147.601</v>
      </c>
    </row>
    <row r="176">
      <c r="A176" s="18" t="inlineStr">
        <is>
          <t>임원 퇴직위로 충당금 증감</t>
        </is>
      </c>
      <c r="E176" s="20" t="n">
        <v>-4.348</v>
      </c>
      <c r="I176" s="20" t="n">
        <v>-32.229</v>
      </c>
      <c r="M176" s="20" t="n">
        <v>8.369999999999999</v>
      </c>
      <c r="O176" s="20" t="n">
        <v>3.228</v>
      </c>
      <c r="P176" s="20" t="n">
        <v>-10.323</v>
      </c>
      <c r="Q176" s="20" t="n">
        <v>4.425</v>
      </c>
      <c r="R176" s="20" t="n">
        <v>-9.836</v>
      </c>
      <c r="S176" s="20" t="n">
        <v>38.686</v>
      </c>
      <c r="T176" s="20" t="n">
        <v>-144.232</v>
      </c>
      <c r="U176" s="20" t="n">
        <v>6.806</v>
      </c>
      <c r="V176" s="20" t="n">
        <v>-4.348</v>
      </c>
      <c r="W176" s="20" t="n">
        <v>-32.229</v>
      </c>
      <c r="X176" s="20" t="n">
        <v>8.369999999999999</v>
      </c>
    </row>
    <row r="177">
      <c r="A177" s="18" t="inlineStr">
        <is>
          <t>대손충당금 증감</t>
        </is>
      </c>
      <c r="E177" s="20" t="n">
        <v>-1.647</v>
      </c>
      <c r="I177" s="20" t="n">
        <v>2.317</v>
      </c>
      <c r="M177" s="20" t="n">
        <v>-8.407</v>
      </c>
      <c r="O177" s="20" t="n">
        <v>-3.738</v>
      </c>
      <c r="P177" s="20" t="n">
        <v>-5.625</v>
      </c>
      <c r="Q177" s="20" t="n">
        <v>5.081</v>
      </c>
      <c r="R177" s="20" t="n">
        <v>-0.247</v>
      </c>
      <c r="S177" s="20" t="n">
        <v>-0.221</v>
      </c>
      <c r="T177" s="20" t="n">
        <v>13.92</v>
      </c>
      <c r="U177" s="20" t="n">
        <v>-1.175</v>
      </c>
      <c r="V177" s="20" t="n">
        <v>-1.647</v>
      </c>
      <c r="W177" s="20" t="n">
        <v>2.317</v>
      </c>
      <c r="X177" s="20" t="n">
        <v>-8.407</v>
      </c>
    </row>
    <row r="178">
      <c r="A178" s="18" t="inlineStr">
        <is>
          <t>이자·배당금 수익</t>
        </is>
      </c>
      <c r="E178" s="20" t="n">
        <v>-121.231</v>
      </c>
      <c r="I178" s="20" t="n">
        <v>-149.285</v>
      </c>
      <c r="M178" s="20" t="n">
        <v>-172.731</v>
      </c>
      <c r="O178" s="20" t="n">
        <v>-124.318</v>
      </c>
      <c r="P178" s="20" t="n">
        <v>-126.264</v>
      </c>
      <c r="Q178" s="20" t="n">
        <v>-122.875</v>
      </c>
      <c r="R178" s="20" t="n">
        <v>-122.22</v>
      </c>
      <c r="S178" s="20" t="n">
        <v>-100.449</v>
      </c>
      <c r="T178" s="20" t="n">
        <v>-105.889</v>
      </c>
      <c r="U178" s="20" t="n">
        <v>-108.435</v>
      </c>
      <c r="V178" s="20" t="n">
        <v>-121.231</v>
      </c>
      <c r="W178" s="20" t="n">
        <v>-149.285</v>
      </c>
      <c r="X178" s="20" t="n">
        <v>-172.731</v>
      </c>
    </row>
    <row r="179">
      <c r="A179" s="18" t="inlineStr">
        <is>
          <t>이자비용</t>
        </is>
      </c>
      <c r="E179" s="20" t="n">
        <v>0.767</v>
      </c>
      <c r="I179" s="20" t="n">
        <v>0.641</v>
      </c>
      <c r="M179" s="20" t="n">
        <v>0.553</v>
      </c>
      <c r="S179" s="20" t="n">
        <v>0</v>
      </c>
      <c r="T179" s="20" t="n">
        <v>1.196</v>
      </c>
      <c r="U179" s="20" t="n">
        <v>0.787</v>
      </c>
      <c r="V179" s="20" t="n">
        <v>0.767</v>
      </c>
      <c r="W179" s="20" t="n">
        <v>0.641</v>
      </c>
      <c r="X179" s="20" t="n">
        <v>0.553</v>
      </c>
    </row>
    <row r="180">
      <c r="A180" s="18" t="inlineStr">
        <is>
          <t>지분법손익</t>
        </is>
      </c>
      <c r="E180" s="20" t="n">
        <v>-141.69</v>
      </c>
      <c r="I180" s="20" t="n">
        <v>-77.145</v>
      </c>
      <c r="M180" s="20" t="n">
        <v>-380.755</v>
      </c>
      <c r="O180" s="20" t="n">
        <v>-110.716</v>
      </c>
      <c r="P180" s="20" t="n">
        <v>-95.581</v>
      </c>
      <c r="Q180" s="20" t="n">
        <v>-188.379</v>
      </c>
      <c r="R180" s="20" t="n">
        <v>-68.18899999999999</v>
      </c>
      <c r="S180" s="20" t="n">
        <v>93.18300000000001</v>
      </c>
      <c r="T180" s="20" t="n">
        <v>-193.27</v>
      </c>
      <c r="U180" s="20" t="n">
        <v>-281.648</v>
      </c>
      <c r="V180" s="20" t="n">
        <v>-141.69</v>
      </c>
      <c r="W180" s="20" t="n">
        <v>-77.145</v>
      </c>
      <c r="X180" s="20" t="n">
        <v>-380.755</v>
      </c>
    </row>
    <row r="181">
      <c r="A181" s="18" t="inlineStr">
        <is>
          <t>완성공사 보증 충당금 증감액</t>
        </is>
      </c>
      <c r="E181" s="20" t="n">
        <v>6.789</v>
      </c>
      <c r="I181" s="20" t="n">
        <v>8.638999999999999</v>
      </c>
      <c r="M181" s="20" t="n">
        <v>26.333</v>
      </c>
      <c r="O181" s="20" t="n">
        <v>-31.233</v>
      </c>
      <c r="P181" s="20" t="n">
        <v>-6.837</v>
      </c>
      <c r="Q181" s="20" t="n">
        <v>5.915</v>
      </c>
      <c r="R181" s="20" t="n">
        <v>1.009</v>
      </c>
      <c r="S181" s="20" t="n">
        <v>25.612</v>
      </c>
      <c r="T181" s="20" t="n">
        <v>-41.275</v>
      </c>
      <c r="U181" s="20" t="n">
        <v>-13.195</v>
      </c>
      <c r="V181" s="20" t="n">
        <v>6.789</v>
      </c>
      <c r="W181" s="20" t="n">
        <v>8.638999999999999</v>
      </c>
      <c r="X181" s="20" t="n">
        <v>26.333</v>
      </c>
    </row>
    <row r="182">
      <c r="A182" s="18" t="inlineStr">
        <is>
          <t>고정자산 제각손실</t>
        </is>
      </c>
      <c r="E182" s="20" t="n">
        <v>70.004</v>
      </c>
      <c r="I182" s="20" t="n">
        <v>51.666</v>
      </c>
      <c r="M182" s="20" t="n">
        <v>38.601</v>
      </c>
      <c r="O182" s="20" t="n">
        <v>13.223</v>
      </c>
      <c r="P182" s="20" t="n">
        <v>54.89</v>
      </c>
      <c r="Q182" s="20" t="n">
        <v>14.788</v>
      </c>
      <c r="R182" s="20" t="n">
        <v>14.766</v>
      </c>
      <c r="S182" s="20" t="n">
        <v>7.56</v>
      </c>
      <c r="T182" s="20" t="n">
        <v>14.206</v>
      </c>
      <c r="U182" s="20" t="n">
        <v>9.667</v>
      </c>
      <c r="V182" s="20" t="n">
        <v>70.004</v>
      </c>
      <c r="W182" s="20" t="n">
        <v>51.666</v>
      </c>
      <c r="X182" s="20" t="n">
        <v>38.601</v>
      </c>
    </row>
    <row r="183">
      <c r="A183" s="18" t="inlineStr">
        <is>
          <t>투자유가증권 매각손익</t>
        </is>
      </c>
      <c r="E183" s="20" t="n">
        <v>0</v>
      </c>
      <c r="S183" s="20" t="n">
        <v>0</v>
      </c>
      <c r="T183" s="20" t="n">
        <v>-220.845</v>
      </c>
      <c r="U183" s="20" t="n">
        <v>-318.362</v>
      </c>
      <c r="V183" s="20" t="n">
        <v>0</v>
      </c>
    </row>
    <row r="184">
      <c r="A184" s="18" t="inlineStr">
        <is>
          <t>매출채권 증감</t>
        </is>
      </c>
      <c r="E184" s="20" t="n">
        <v>-3060.326</v>
      </c>
      <c r="I184" s="20" t="n">
        <v>-2221.626</v>
      </c>
      <c r="M184" s="20" t="n">
        <v>1963.177</v>
      </c>
      <c r="O184" s="20" t="n">
        <v>-804.893</v>
      </c>
      <c r="P184" s="20" t="n">
        <v>-4651.061</v>
      </c>
      <c r="Q184" s="20" t="n">
        <v>961.59</v>
      </c>
      <c r="R184" s="20" t="n">
        <v>446.188</v>
      </c>
      <c r="S184" s="20" t="n">
        <v>-621.129</v>
      </c>
      <c r="T184" s="20" t="n">
        <v>1934.995</v>
      </c>
      <c r="U184" s="20" t="n">
        <v>3007.942</v>
      </c>
      <c r="V184" s="20" t="n">
        <v>-3060.326</v>
      </c>
      <c r="W184" s="20" t="n">
        <v>-2221.626</v>
      </c>
      <c r="X184" s="20" t="n">
        <v>1963.177</v>
      </c>
    </row>
    <row r="185">
      <c r="A185" s="18" t="inlineStr">
        <is>
          <t>재고자산 증감</t>
        </is>
      </c>
      <c r="E185" s="20" t="n">
        <v>-2.741</v>
      </c>
      <c r="I185" s="20" t="n">
        <v>-57.719</v>
      </c>
      <c r="M185" s="20" t="n">
        <v>-106.346</v>
      </c>
      <c r="O185" s="20" t="n">
        <v>373.836</v>
      </c>
      <c r="P185" s="20" t="n">
        <v>-92.595</v>
      </c>
      <c r="Q185" s="20" t="n">
        <v>-191.481</v>
      </c>
      <c r="R185" s="20" t="n">
        <v>-109.199</v>
      </c>
      <c r="S185" s="20" t="n">
        <v>74.736</v>
      </c>
      <c r="T185" s="20" t="n">
        <v>70.21899999999999</v>
      </c>
      <c r="U185" s="20" t="n">
        <v>-59.533</v>
      </c>
      <c r="V185" s="20" t="n">
        <v>-2.741</v>
      </c>
      <c r="W185" s="20" t="n">
        <v>-57.719</v>
      </c>
      <c r="X185" s="20" t="n">
        <v>-106.346</v>
      </c>
    </row>
    <row r="186">
      <c r="A186" s="18" t="inlineStr">
        <is>
          <t>매입채무 증감</t>
        </is>
      </c>
      <c r="E186" s="20" t="n">
        <v>1637.202</v>
      </c>
      <c r="I186" s="20" t="n">
        <v>-3598.893</v>
      </c>
      <c r="M186" s="20" t="n">
        <v>-1233.976</v>
      </c>
      <c r="O186" s="20" t="n">
        <v>1857.858</v>
      </c>
      <c r="P186" s="20" t="n">
        <v>-247.778</v>
      </c>
      <c r="Q186" s="20" t="n">
        <v>486.777</v>
      </c>
      <c r="R186" s="20" t="n">
        <v>-1407.241</v>
      </c>
      <c r="S186" s="20" t="n">
        <v>-0.859</v>
      </c>
      <c r="T186" s="20" t="n">
        <v>-156.795</v>
      </c>
      <c r="U186" s="20" t="n">
        <v>-799.691</v>
      </c>
      <c r="V186" s="20" t="n">
        <v>1637.202</v>
      </c>
      <c r="W186" s="20" t="n">
        <v>-3598.893</v>
      </c>
      <c r="X186" s="20" t="n">
        <v>-1233.976</v>
      </c>
    </row>
    <row r="187">
      <c r="A187" s="18" t="inlineStr">
        <is>
          <t>선수금 증감</t>
        </is>
      </c>
      <c r="O187" s="20" t="n">
        <v>2357.381</v>
      </c>
      <c r="P187" s="20" t="n">
        <v>-2126.719</v>
      </c>
      <c r="Q187" s="20" t="n">
        <v>-257.688</v>
      </c>
      <c r="R187" s="20" t="n">
        <v>739.593</v>
      </c>
      <c r="S187" s="20" t="n">
        <v>-384.306</v>
      </c>
      <c r="T187" s="20" t="n">
        <v>0</v>
      </c>
    </row>
    <row r="188">
      <c r="A188" s="18" t="inlineStr">
        <is>
          <t>미지급 소비세 증감</t>
        </is>
      </c>
      <c r="O188" s="20" t="n">
        <v>151.464</v>
      </c>
      <c r="P188" s="20" t="n">
        <v>-26.807</v>
      </c>
    </row>
    <row r="189">
      <c r="A189" s="18" t="inlineStr">
        <is>
          <t>계약부채 증감</t>
        </is>
      </c>
      <c r="S189" s="20" t="n">
        <v>0</v>
      </c>
      <c r="T189" s="20" t="n">
        <v>-307.181</v>
      </c>
      <c r="U189" s="20" t="n">
        <v>329.179</v>
      </c>
    </row>
    <row r="190">
      <c r="A190" s="18" t="inlineStr">
        <is>
          <t>계약부채 증감</t>
        </is>
      </c>
      <c r="E190" s="20" t="n">
        <v>126.193</v>
      </c>
      <c r="I190" s="20" t="n">
        <v>-250.444</v>
      </c>
      <c r="M190" s="20" t="n">
        <v>239.195</v>
      </c>
      <c r="U190" s="20" t="n">
        <v>329.179</v>
      </c>
      <c r="V190" s="20" t="n">
        <v>126.193</v>
      </c>
      <c r="W190" s="20" t="n">
        <v>-250.444</v>
      </c>
      <c r="X190" s="20" t="n">
        <v>239.195</v>
      </c>
    </row>
    <row r="191">
      <c r="A191" s="18" t="inlineStr">
        <is>
          <t>선급금 증감</t>
        </is>
      </c>
      <c r="E191" s="20" t="n">
        <v>243.557</v>
      </c>
      <c r="I191" s="20" t="n">
        <v>-17.567</v>
      </c>
      <c r="M191" s="20" t="n">
        <v>-289.431</v>
      </c>
      <c r="T191" s="20" t="n">
        <v>-47.528</v>
      </c>
      <c r="U191" s="20" t="n">
        <v>-204.444</v>
      </c>
      <c r="V191" s="20" t="n">
        <v>243.557</v>
      </c>
      <c r="W191" s="20" t="n">
        <v>-17.567</v>
      </c>
      <c r="X191" s="20" t="n">
        <v>-289.431</v>
      </c>
    </row>
    <row r="192">
      <c r="A192" s="18" t="inlineStr">
        <is>
          <t>기타</t>
        </is>
      </c>
      <c r="E192" s="20" t="n">
        <v>577.6609999999999</v>
      </c>
      <c r="I192" s="20" t="n">
        <v>35.536</v>
      </c>
      <c r="M192" s="20" t="n">
        <v>443.32</v>
      </c>
      <c r="O192" s="20" t="n">
        <v>115.303</v>
      </c>
      <c r="P192" s="20" t="n">
        <v>-390.95</v>
      </c>
      <c r="Q192" s="20" t="n">
        <v>181.121</v>
      </c>
      <c r="R192" s="20" t="n">
        <v>499.855</v>
      </c>
      <c r="S192" s="20" t="n">
        <v>427.673</v>
      </c>
      <c r="T192" s="20" t="n">
        <v>-603.091</v>
      </c>
      <c r="U192" s="20" t="n">
        <v>-73.214</v>
      </c>
      <c r="V192" s="20" t="n">
        <v>577.6609999999999</v>
      </c>
      <c r="W192" s="20" t="n">
        <v>35.536</v>
      </c>
      <c r="X192" s="20" t="n">
        <v>443.32</v>
      </c>
    </row>
    <row r="193">
      <c r="A193" s="18" t="inlineStr">
        <is>
          <t>소계</t>
        </is>
      </c>
      <c r="E193" s="20" t="n">
        <v>3933.49</v>
      </c>
      <c r="I193" s="20" t="n">
        <v>-2095.081</v>
      </c>
      <c r="M193" s="20" t="n">
        <v>5510.02</v>
      </c>
      <c r="O193" s="20" t="n">
        <v>6762.614</v>
      </c>
      <c r="P193" s="20" t="n">
        <v>-4121.889</v>
      </c>
      <c r="Q193" s="20" t="n">
        <v>4032.647</v>
      </c>
      <c r="R193" s="20" t="n">
        <v>3747.391</v>
      </c>
      <c r="S193" s="20" t="n">
        <v>2583.134</v>
      </c>
      <c r="T193" s="20" t="n">
        <v>2714.16</v>
      </c>
      <c r="U193" s="20" t="n">
        <v>4499.649</v>
      </c>
      <c r="V193" s="20" t="n">
        <v>3933.49</v>
      </c>
      <c r="W193" s="20" t="n">
        <v>-2095.081</v>
      </c>
      <c r="X193" s="20" t="n">
        <v>5510.02</v>
      </c>
    </row>
    <row r="194">
      <c r="A194" s="18" t="inlineStr">
        <is>
          <t>이자·배당금 수취</t>
        </is>
      </c>
      <c r="E194" s="20" t="n">
        <v>365.688</v>
      </c>
      <c r="I194" s="20" t="n">
        <v>484.28</v>
      </c>
      <c r="M194" s="20" t="n">
        <v>595.638</v>
      </c>
      <c r="O194" s="20" t="n">
        <v>238.93</v>
      </c>
      <c r="P194" s="20" t="n">
        <v>302.119</v>
      </c>
      <c r="Q194" s="20" t="n">
        <v>232.114</v>
      </c>
      <c r="R194" s="20" t="n">
        <v>234.367</v>
      </c>
      <c r="S194" s="20" t="n">
        <v>315.89</v>
      </c>
      <c r="T194" s="20" t="n">
        <v>303.84</v>
      </c>
      <c r="U194" s="20" t="n">
        <v>312.546</v>
      </c>
      <c r="V194" s="20" t="n">
        <v>365.688</v>
      </c>
      <c r="W194" s="20" t="n">
        <v>484.28</v>
      </c>
      <c r="X194" s="20" t="n">
        <v>595.638</v>
      </c>
    </row>
    <row r="195">
      <c r="A195" s="18" t="inlineStr">
        <is>
          <t>이자 지급</t>
        </is>
      </c>
      <c r="E195" s="20" t="n">
        <v>-0.767</v>
      </c>
      <c r="I195" s="20" t="n">
        <v>-0.641</v>
      </c>
      <c r="M195" s="20" t="n">
        <v>-0.553</v>
      </c>
      <c r="S195" s="20" t="n">
        <v>0</v>
      </c>
      <c r="T195" s="20" t="n">
        <v>-1.196</v>
      </c>
      <c r="U195" s="20" t="n">
        <v>-0.787</v>
      </c>
      <c r="V195" s="20" t="n">
        <v>-0.767</v>
      </c>
      <c r="W195" s="20" t="n">
        <v>-0.641</v>
      </c>
      <c r="X195" s="20" t="n">
        <v>-0.553</v>
      </c>
    </row>
    <row r="196">
      <c r="A196" s="18" t="inlineStr">
        <is>
          <t>법인세 납부</t>
        </is>
      </c>
      <c r="E196" s="20" t="n">
        <v>-679.704</v>
      </c>
      <c r="I196" s="20" t="n">
        <v>-1196.683</v>
      </c>
      <c r="M196" s="20" t="n">
        <v>-1010.384</v>
      </c>
      <c r="O196" s="20" t="n">
        <v>-378.801</v>
      </c>
      <c r="P196" s="20" t="n">
        <v>-891.562</v>
      </c>
      <c r="Q196" s="20" t="n">
        <v>-629.236</v>
      </c>
      <c r="R196" s="20" t="n">
        <v>-756.523</v>
      </c>
      <c r="S196" s="20" t="n">
        <v>-785.636</v>
      </c>
      <c r="T196" s="20" t="n">
        <v>-908.019</v>
      </c>
      <c r="U196" s="20" t="n">
        <v>-470.702</v>
      </c>
      <c r="V196" s="20" t="n">
        <v>-679.704</v>
      </c>
      <c r="W196" s="20" t="n">
        <v>-1196.683</v>
      </c>
      <c r="X196" s="20" t="n">
        <v>-1010.384</v>
      </c>
    </row>
    <row r="197">
      <c r="A197" s="9" t="inlineStr">
        <is>
          <t>영업활동 현금흐름</t>
        </is>
      </c>
      <c r="E197" s="12" t="n">
        <v>3618.706</v>
      </c>
      <c r="I197" s="12" t="n">
        <v>-2808.126</v>
      </c>
      <c r="M197" s="12" t="n">
        <v>5094.721</v>
      </c>
      <c r="O197" s="12" t="n">
        <v>6622.742</v>
      </c>
      <c r="P197" s="12" t="n">
        <v>-4711.332</v>
      </c>
      <c r="Q197" s="12" t="n">
        <v>3635.526</v>
      </c>
      <c r="R197" s="12" t="n">
        <v>3225.234</v>
      </c>
      <c r="S197" s="12" t="n">
        <v>2113.388</v>
      </c>
      <c r="T197" s="12" t="n">
        <v>2108.785</v>
      </c>
      <c r="U197" s="12" t="n">
        <v>4340.706</v>
      </c>
      <c r="V197" s="12" t="n">
        <v>3618.706</v>
      </c>
      <c r="W197" s="12" t="n">
        <v>-2808.126</v>
      </c>
      <c r="X197" s="12" t="n">
        <v>5094.721</v>
      </c>
    </row>
    <row r="198">
      <c r="A198" s="18" t="inlineStr">
        <is>
          <t>정기예금 예입</t>
        </is>
      </c>
      <c r="E198" s="20" t="n">
        <v>-849.082</v>
      </c>
      <c r="I198" s="20" t="n">
        <v>-1606.061</v>
      </c>
      <c r="M198" s="20" t="n">
        <v>-460.098</v>
      </c>
      <c r="O198" s="20" t="n">
        <v>-8.737</v>
      </c>
      <c r="P198" s="20" t="n">
        <v>-161.127</v>
      </c>
      <c r="Q198" s="20" t="n">
        <v>-154.388</v>
      </c>
      <c r="R198" s="20" t="n">
        <v>-597.347</v>
      </c>
      <c r="S198" s="20" t="n">
        <v>-553.49</v>
      </c>
      <c r="T198" s="20" t="n">
        <v>-602.148</v>
      </c>
      <c r="U198" s="20" t="n">
        <v>-421.213</v>
      </c>
      <c r="V198" s="20" t="n">
        <v>-849.082</v>
      </c>
      <c r="W198" s="20" t="n">
        <v>-1606.061</v>
      </c>
      <c r="X198" s="20" t="n">
        <v>-460.098</v>
      </c>
    </row>
    <row r="199">
      <c r="A199" s="18" t="inlineStr">
        <is>
          <t>정기예금 인출</t>
        </is>
      </c>
      <c r="E199" s="20" t="n">
        <v>930.58</v>
      </c>
      <c r="I199" s="20" t="n">
        <v>1132.346</v>
      </c>
      <c r="M199" s="20" t="n">
        <v>1526.734</v>
      </c>
      <c r="P199" s="20" t="n">
        <v>0</v>
      </c>
      <c r="Q199" s="20" t="n">
        <v>278.916</v>
      </c>
      <c r="R199" s="20" t="n">
        <v>349.036</v>
      </c>
      <c r="S199" s="20" t="n">
        <v>742.037</v>
      </c>
      <c r="T199" s="20" t="n">
        <v>771.477</v>
      </c>
      <c r="U199" s="20" t="n">
        <v>490.435</v>
      </c>
      <c r="V199" s="20" t="n">
        <v>930.58</v>
      </c>
      <c r="W199" s="20" t="n">
        <v>1132.346</v>
      </c>
      <c r="X199" s="20" t="n">
        <v>1526.734</v>
      </c>
    </row>
    <row r="200">
      <c r="A200" s="18" t="inlineStr">
        <is>
          <t>유형자산 취득(설비투자)</t>
        </is>
      </c>
      <c r="E200" s="20" t="n">
        <v>-934.813</v>
      </c>
      <c r="I200" s="20" t="n">
        <v>-4176.989</v>
      </c>
      <c r="M200" s="20" t="n">
        <v>-2857.635</v>
      </c>
      <c r="O200" s="20" t="n">
        <v>-932.578</v>
      </c>
      <c r="P200" s="20" t="n">
        <v>-924.846</v>
      </c>
      <c r="Q200" s="20" t="n">
        <v>-690.639</v>
      </c>
      <c r="R200" s="20" t="n">
        <v>-692.958</v>
      </c>
      <c r="S200" s="20" t="n">
        <v>-554.649</v>
      </c>
      <c r="T200" s="20" t="n">
        <v>-1158.15</v>
      </c>
      <c r="U200" s="20" t="n">
        <v>-1364.551</v>
      </c>
      <c r="V200" s="20" t="n">
        <v>-934.813</v>
      </c>
      <c r="W200" s="20" t="n">
        <v>-4176.989</v>
      </c>
      <c r="X200" s="20" t="n">
        <v>-2857.635</v>
      </c>
    </row>
    <row r="201">
      <c r="A201" s="18" t="inlineStr">
        <is>
          <t>유형자산 매각</t>
        </is>
      </c>
      <c r="O201" s="20" t="n">
        <v>17.74</v>
      </c>
      <c r="P201" s="20" t="n">
        <v>0</v>
      </c>
    </row>
    <row r="202">
      <c r="A202" s="18" t="inlineStr">
        <is>
          <t>무형자산 취득</t>
        </is>
      </c>
      <c r="E202" s="20" t="n">
        <v>-26.234</v>
      </c>
      <c r="I202" s="20" t="n">
        <v>-78.60899999999999</v>
      </c>
      <c r="M202" s="20" t="n">
        <v>-29.151</v>
      </c>
      <c r="O202" s="20" t="n">
        <v>-76.78100000000001</v>
      </c>
      <c r="P202" s="20" t="n">
        <v>-71.95099999999999</v>
      </c>
      <c r="Q202" s="20" t="n">
        <v>-56.608</v>
      </c>
      <c r="R202" s="20" t="n">
        <v>-30.69</v>
      </c>
      <c r="S202" s="20" t="n">
        <v>-43.55</v>
      </c>
      <c r="T202" s="20" t="n">
        <v>-56.37</v>
      </c>
      <c r="U202" s="20" t="n">
        <v>-39.216</v>
      </c>
      <c r="V202" s="20" t="n">
        <v>-26.234</v>
      </c>
      <c r="W202" s="20" t="n">
        <v>-78.60899999999999</v>
      </c>
      <c r="X202" s="20" t="n">
        <v>-29.151</v>
      </c>
    </row>
    <row r="203">
      <c r="A203" s="18" t="inlineStr">
        <is>
          <t>투자유가증권 매각</t>
        </is>
      </c>
      <c r="E203" s="20" t="n">
        <v>0</v>
      </c>
      <c r="I203" s="20" t="n">
        <v>42.035</v>
      </c>
      <c r="M203" s="20" t="n">
        <v>2.123</v>
      </c>
      <c r="T203" s="20" t="n">
        <v>0</v>
      </c>
      <c r="U203" s="20" t="n">
        <v>543.15</v>
      </c>
      <c r="V203" s="20" t="n">
        <v>0</v>
      </c>
      <c r="W203" s="20" t="n">
        <v>42.035</v>
      </c>
      <c r="X203" s="20" t="n">
        <v>2.123</v>
      </c>
    </row>
    <row r="204">
      <c r="A204" s="18" t="inlineStr">
        <is>
          <t>대여</t>
        </is>
      </c>
      <c r="Q204" s="20" t="n">
        <v>0</v>
      </c>
      <c r="R204" s="20" t="n">
        <v>-8.034000000000001</v>
      </c>
      <c r="S204" s="20" t="n">
        <v>-309.85</v>
      </c>
      <c r="T204" s="20" t="n">
        <v>-347.7</v>
      </c>
      <c r="U204" s="20" t="n">
        <v>0</v>
      </c>
    </row>
    <row r="205">
      <c r="A205" s="18" t="inlineStr">
        <is>
          <t>대여금 회수</t>
        </is>
      </c>
      <c r="E205" s="20" t="n">
        <v>1.376</v>
      </c>
      <c r="I205" s="20" t="n">
        <v>1.376</v>
      </c>
      <c r="M205" s="20" t="n">
        <v>1.376</v>
      </c>
      <c r="O205" s="20" t="n">
        <v>2.309</v>
      </c>
      <c r="P205" s="20" t="n">
        <v>2.297</v>
      </c>
      <c r="Q205" s="20" t="n">
        <v>2.567</v>
      </c>
      <c r="R205" s="20" t="n">
        <v>4.987</v>
      </c>
      <c r="S205" s="20" t="n">
        <v>2.052</v>
      </c>
      <c r="T205" s="20" t="n">
        <v>1.376</v>
      </c>
      <c r="U205" s="20" t="n">
        <v>8.56</v>
      </c>
      <c r="V205" s="20" t="n">
        <v>1.376</v>
      </c>
      <c r="W205" s="20" t="n">
        <v>1.376</v>
      </c>
      <c r="X205" s="20" t="n">
        <v>1.376</v>
      </c>
    </row>
    <row r="206">
      <c r="A206" s="18" t="inlineStr">
        <is>
          <t>연결범위 변경 자회사 주식 취득(수입)</t>
        </is>
      </c>
      <c r="O206" s="20" t="n">
        <v>0</v>
      </c>
      <c r="P206" s="20" t="n">
        <v>192.753</v>
      </c>
    </row>
    <row r="207">
      <c r="A207" s="18" t="inlineStr">
        <is>
          <t>연결범위 변경 자회사 주식 취득</t>
        </is>
      </c>
      <c r="P207" s="20" t="n">
        <v>192.753</v>
      </c>
      <c r="Q207" s="20" t="n">
        <v>0</v>
      </c>
    </row>
    <row r="208">
      <c r="A208" s="18" t="inlineStr">
        <is>
          <t>기타</t>
        </is>
      </c>
      <c r="E208" s="20" t="n">
        <v>4.06</v>
      </c>
      <c r="I208" s="20" t="n">
        <v>14.618</v>
      </c>
      <c r="M208" s="20" t="n">
        <v>-16.282</v>
      </c>
      <c r="O208" s="20" t="n">
        <v>3.409</v>
      </c>
      <c r="P208" s="20" t="n">
        <v>12.087</v>
      </c>
      <c r="Q208" s="20" t="n">
        <v>2.964</v>
      </c>
      <c r="R208" s="20" t="n">
        <v>0.728</v>
      </c>
      <c r="S208" s="20" t="n">
        <v>3.26</v>
      </c>
      <c r="T208" s="20" t="n">
        <v>71.56399999999999</v>
      </c>
      <c r="U208" s="20" t="n">
        <v>7.989</v>
      </c>
      <c r="V208" s="20" t="n">
        <v>4.06</v>
      </c>
      <c r="W208" s="20" t="n">
        <v>14.618</v>
      </c>
      <c r="X208" s="20" t="n">
        <v>-16.282</v>
      </c>
    </row>
    <row r="209">
      <c r="A209" s="9" t="inlineStr">
        <is>
          <t>투자활동 현금흐름</t>
        </is>
      </c>
      <c r="E209" s="12" t="n">
        <v>-874.114</v>
      </c>
      <c r="I209" s="12" t="n">
        <v>-4671.283</v>
      </c>
      <c r="M209" s="12" t="n">
        <v>-1832.933</v>
      </c>
      <c r="O209" s="12" t="n">
        <v>-994.638</v>
      </c>
      <c r="P209" s="12" t="n">
        <v>-950.787</v>
      </c>
      <c r="Q209" s="12" t="n">
        <v>-617.188</v>
      </c>
      <c r="R209" s="12" t="n">
        <v>-974.278</v>
      </c>
      <c r="S209" s="12" t="n">
        <v>-714.189</v>
      </c>
      <c r="T209" s="12" t="n">
        <v>-1319.951</v>
      </c>
      <c r="U209" s="12" t="n">
        <v>-774.8440000000001</v>
      </c>
      <c r="V209" s="12" t="n">
        <v>-874.114</v>
      </c>
      <c r="W209" s="12" t="n">
        <v>-4671.283</v>
      </c>
      <c r="X209" s="12" t="n">
        <v>-1832.933</v>
      </c>
    </row>
    <row r="210">
      <c r="A210" s="18" t="inlineStr">
        <is>
          <t>자기주식 취득</t>
        </is>
      </c>
      <c r="E210" s="20" t="n">
        <v>-0.042</v>
      </c>
      <c r="I210" s="20" t="n">
        <v>0</v>
      </c>
      <c r="O210" s="20" t="n">
        <v>-0.884</v>
      </c>
      <c r="P210" s="20" t="n">
        <v>-1604.925</v>
      </c>
      <c r="Q210" s="20" t="n">
        <v>-0.003</v>
      </c>
      <c r="R210" s="20" t="n">
        <v>-0.049</v>
      </c>
      <c r="S210" s="20" t="n">
        <v>0</v>
      </c>
      <c r="T210" s="20" t="n">
        <v>-0.028</v>
      </c>
      <c r="U210" s="20" t="n">
        <v>-281.212</v>
      </c>
      <c r="V210" s="20" t="n">
        <v>-0.042</v>
      </c>
      <c r="W210" s="20" t="n">
        <v>0</v>
      </c>
    </row>
    <row r="211">
      <c r="A211" s="18" t="inlineStr">
        <is>
          <t>배당금 지급</t>
        </is>
      </c>
      <c r="E211" s="20" t="n">
        <v>-482.184</v>
      </c>
      <c r="I211" s="20" t="n">
        <v>-724.4640000000001</v>
      </c>
      <c r="M211" s="20" t="n">
        <v>-1063.981</v>
      </c>
      <c r="O211" s="20" t="n">
        <v>-682.711</v>
      </c>
      <c r="P211" s="20" t="n">
        <v>-591.615</v>
      </c>
      <c r="Q211" s="20" t="n">
        <v>-492.022</v>
      </c>
      <c r="R211" s="20" t="n">
        <v>-524.823</v>
      </c>
      <c r="S211" s="20" t="n">
        <v>-492.02</v>
      </c>
      <c r="T211" s="20" t="n">
        <v>-590.919</v>
      </c>
      <c r="U211" s="20" t="n">
        <v>-553.073</v>
      </c>
      <c r="V211" s="20" t="n">
        <v>-482.184</v>
      </c>
      <c r="W211" s="20" t="n">
        <v>-724.4640000000001</v>
      </c>
      <c r="X211" s="20" t="n">
        <v>-1063.981</v>
      </c>
    </row>
    <row r="212">
      <c r="A212" s="18" t="inlineStr">
        <is>
          <t>비지배주주 배당금 지급</t>
        </is>
      </c>
      <c r="E212" s="20" t="n">
        <v>-59.447</v>
      </c>
      <c r="I212" s="20" t="n">
        <v>-200.969</v>
      </c>
      <c r="M212" s="20" t="n">
        <v>-219.849</v>
      </c>
      <c r="P212" s="20" t="n">
        <v>-7.285</v>
      </c>
      <c r="Q212" s="20" t="n">
        <v>-58.623</v>
      </c>
      <c r="R212" s="20" t="n">
        <v>-35.642</v>
      </c>
      <c r="S212" s="20" t="n">
        <v>-34.114</v>
      </c>
      <c r="T212" s="20" t="n">
        <v>-34.304</v>
      </c>
      <c r="U212" s="20" t="n">
        <v>-47.108</v>
      </c>
      <c r="V212" s="20" t="n">
        <v>-59.447</v>
      </c>
      <c r="W212" s="20" t="n">
        <v>-200.969</v>
      </c>
      <c r="X212" s="20" t="n">
        <v>-219.849</v>
      </c>
    </row>
    <row r="213">
      <c r="A213" s="18" t="inlineStr">
        <is>
          <t>리스부채 상환</t>
        </is>
      </c>
      <c r="E213" s="20" t="n">
        <v>-79.589</v>
      </c>
      <c r="I213" s="20" t="n">
        <v>-87.523</v>
      </c>
      <c r="M213" s="20" t="n">
        <v>-94.61</v>
      </c>
      <c r="O213" s="20" t="n">
        <v>-19.351</v>
      </c>
      <c r="P213" s="20" t="n">
        <v>-25.697</v>
      </c>
      <c r="Q213" s="20" t="n">
        <v>-30.803</v>
      </c>
      <c r="R213" s="20" t="n">
        <v>-75.027</v>
      </c>
      <c r="S213" s="20" t="n">
        <v>-78.357</v>
      </c>
      <c r="T213" s="20" t="n">
        <v>-65.934</v>
      </c>
      <c r="U213" s="20" t="n">
        <v>-76.998</v>
      </c>
      <c r="V213" s="20" t="n">
        <v>-79.589</v>
      </c>
      <c r="W213" s="20" t="n">
        <v>-87.523</v>
      </c>
      <c r="X213" s="20" t="n">
        <v>-94.61</v>
      </c>
    </row>
    <row r="214">
      <c r="A214" s="18" t="inlineStr">
        <is>
          <t>기타</t>
        </is>
      </c>
      <c r="O214" s="20" t="n">
        <v>-18.36</v>
      </c>
      <c r="P214" s="20" t="n">
        <v>-7.285</v>
      </c>
    </row>
    <row r="215">
      <c r="A215" s="9" t="inlineStr">
        <is>
          <t>재무활동 현금흐름</t>
        </is>
      </c>
      <c r="E215" s="12" t="n">
        <v>-621.264</v>
      </c>
      <c r="I215" s="12" t="n">
        <v>-1012.957</v>
      </c>
      <c r="M215" s="12" t="n">
        <v>-1378.442</v>
      </c>
      <c r="O215" s="12" t="n">
        <v>-721.307</v>
      </c>
      <c r="P215" s="12" t="n">
        <v>-2229.523</v>
      </c>
      <c r="Q215" s="12" t="n">
        <v>-581.453</v>
      </c>
      <c r="R215" s="12" t="n">
        <v>-635.542</v>
      </c>
      <c r="S215" s="12" t="n">
        <v>-604.492</v>
      </c>
      <c r="T215" s="12" t="n">
        <v>-691.187</v>
      </c>
      <c r="U215" s="12" t="n">
        <v>-958.393</v>
      </c>
      <c r="V215" s="12" t="n">
        <v>-621.264</v>
      </c>
      <c r="W215" s="12" t="n">
        <v>-1012.957</v>
      </c>
      <c r="X215" s="12" t="n">
        <v>-1378.442</v>
      </c>
    </row>
    <row r="216">
      <c r="A216" s="18" t="inlineStr">
        <is>
          <t>현금성자산 환산차이</t>
        </is>
      </c>
      <c r="E216" s="20" t="n">
        <v>218.886</v>
      </c>
      <c r="I216" s="20" t="n">
        <v>291.487</v>
      </c>
      <c r="M216" s="20" t="n">
        <v>74.836</v>
      </c>
      <c r="O216" s="20" t="n">
        <v>-154.024</v>
      </c>
      <c r="P216" s="20" t="n">
        <v>146.895</v>
      </c>
      <c r="Q216" s="20" t="n">
        <v>-140.432</v>
      </c>
      <c r="R216" s="20" t="n">
        <v>47.968</v>
      </c>
      <c r="S216" s="20" t="n">
        <v>-94.05500000000001</v>
      </c>
      <c r="T216" s="20" t="n">
        <v>134.545</v>
      </c>
      <c r="U216" s="20" t="n">
        <v>220.806</v>
      </c>
      <c r="V216" s="20" t="n">
        <v>218.886</v>
      </c>
      <c r="W216" s="20" t="n">
        <v>291.487</v>
      </c>
      <c r="X216" s="20" t="n">
        <v>74.836</v>
      </c>
    </row>
    <row r="217">
      <c r="A217" s="18" t="inlineStr">
        <is>
          <t>현금성자산 증감</t>
        </is>
      </c>
      <c r="E217" s="20" t="n">
        <v>2342.213</v>
      </c>
      <c r="I217" s="20" t="n">
        <v>-8200.879999999999</v>
      </c>
      <c r="M217" s="20" t="n">
        <v>1958.181</v>
      </c>
      <c r="O217" s="20" t="n">
        <v>4752.771</v>
      </c>
      <c r="P217" s="20" t="n">
        <v>-7744.747</v>
      </c>
      <c r="Q217" s="20" t="n">
        <v>2296.451</v>
      </c>
      <c r="R217" s="20" t="n">
        <v>1663.381</v>
      </c>
      <c r="S217" s="20" t="n">
        <v>700.651</v>
      </c>
      <c r="T217" s="20" t="n">
        <v>232.19</v>
      </c>
      <c r="U217" s="20" t="n">
        <v>2828.275</v>
      </c>
      <c r="V217" s="20" t="n">
        <v>2342.213</v>
      </c>
      <c r="W217" s="20" t="n">
        <v>-8200.879999999999</v>
      </c>
      <c r="X217" s="20" t="n">
        <v>1958.181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6382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23630.602</v>
      </c>
      <c r="D5" s="12" t="n">
        <v>22837.21</v>
      </c>
      <c r="E5" s="12" t="n">
        <v>23018.879</v>
      </c>
      <c r="F5" s="12" t="n">
        <v>25003.997</v>
      </c>
      <c r="G5" s="12" t="n">
        <v>26614.506</v>
      </c>
      <c r="H5" s="11" t="n">
        <v>25460.731</v>
      </c>
      <c r="I5" s="12" t="n">
        <v>26147.677</v>
      </c>
      <c r="J5" s="12" t="n">
        <v>31169.23</v>
      </c>
      <c r="K5" s="12" t="n">
        <v>25699.24</v>
      </c>
      <c r="L5" s="12" t="n">
        <v>25003.997</v>
      </c>
    </row>
    <row r="6">
      <c r="A6" s="18" t="inlineStr">
        <is>
          <t>현금및현금성자산</t>
        </is>
      </c>
      <c r="B6" s="10" t="n"/>
      <c r="C6" s="19" t="n">
        <v>8587.036</v>
      </c>
      <c r="D6" s="20" t="n">
        <v>10063.083</v>
      </c>
      <c r="E6" s="20" t="n">
        <v>9240.558000000001</v>
      </c>
      <c r="F6" s="20" t="n">
        <v>10236.223</v>
      </c>
      <c r="G6" s="20" t="n">
        <v>13626.923</v>
      </c>
      <c r="H6" s="19" t="n">
        <v>11880.952</v>
      </c>
      <c r="I6" s="20" t="n">
        <v>14680.786</v>
      </c>
      <c r="J6" s="20" t="n">
        <v>17012.799</v>
      </c>
      <c r="K6" s="20" t="n">
        <v>9358.834000000001</v>
      </c>
      <c r="L6" s="20" t="n">
        <v>10236.223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10826.443</v>
      </c>
      <c r="D8" s="20" t="n">
        <v>9614.965</v>
      </c>
      <c r="E8" s="20" t="n">
        <v>9385.103999999999</v>
      </c>
      <c r="F8" s="20" t="n">
        <v>11307.569</v>
      </c>
      <c r="G8" s="20" t="n">
        <v>9578.906000000001</v>
      </c>
      <c r="H8" s="19" t="n">
        <v>10963.048</v>
      </c>
      <c r="I8" s="20" t="n">
        <v>7913.078</v>
      </c>
      <c r="J8" s="20" t="n">
        <v>9858.436</v>
      </c>
      <c r="K8" s="20" t="n">
        <v>12338.45</v>
      </c>
      <c r="L8" s="20" t="n">
        <v>11307.569</v>
      </c>
    </row>
    <row r="9">
      <c r="A9" s="18" t="inlineStr">
        <is>
          <t>재고자산</t>
        </is>
      </c>
      <c r="B9" s="10" t="n"/>
      <c r="C9" s="19" t="n">
        <v>1338.04</v>
      </c>
      <c r="D9" s="20" t="n">
        <v>1322.638</v>
      </c>
      <c r="E9" s="20" t="n">
        <v>1771.34</v>
      </c>
      <c r="F9" s="20" t="n">
        <v>1316.257</v>
      </c>
      <c r="G9" s="20" t="n">
        <v>1402.754</v>
      </c>
      <c r="H9" s="19" t="n">
        <v>1062.074</v>
      </c>
      <c r="I9" s="20" t="n">
        <v>1129.265</v>
      </c>
      <c r="J9" s="20" t="n">
        <v>1140.936</v>
      </c>
      <c r="K9" s="20" t="n">
        <v>1206.97</v>
      </c>
      <c r="L9" s="20" t="n">
        <v>1316.257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18069.456</v>
      </c>
      <c r="D11" s="12" t="n">
        <v>18382.926</v>
      </c>
      <c r="E11" s="12" t="n">
        <v>18901.77</v>
      </c>
      <c r="F11" s="12" t="n">
        <v>19115.044</v>
      </c>
      <c r="G11" s="12" t="n">
        <v>18860.952</v>
      </c>
      <c r="H11" s="11" t="n">
        <v>13326.175</v>
      </c>
      <c r="I11" s="12" t="n">
        <v>12567.586</v>
      </c>
      <c r="J11" s="12" t="n">
        <v>13598.113</v>
      </c>
      <c r="K11" s="12" t="n">
        <v>16763.871</v>
      </c>
      <c r="L11" s="12" t="n">
        <v>19115.044</v>
      </c>
    </row>
    <row r="12">
      <c r="A12" s="18" t="inlineStr">
        <is>
          <t>유형자산</t>
        </is>
      </c>
      <c r="B12" s="10" t="n"/>
      <c r="C12" s="19" t="n">
        <v>13970.709</v>
      </c>
      <c r="D12" s="20" t="n">
        <v>14232.257</v>
      </c>
      <c r="E12" s="20" t="n">
        <v>14182.631</v>
      </c>
      <c r="F12" s="20" t="n">
        <v>14053.531</v>
      </c>
      <c r="G12" s="20" t="n">
        <v>13928.212</v>
      </c>
      <c r="H12" s="19" t="n">
        <v>9230.834000000001</v>
      </c>
      <c r="I12" s="20" t="n">
        <v>9715.002</v>
      </c>
      <c r="J12" s="20" t="n">
        <v>9257.722</v>
      </c>
      <c r="K12" s="20" t="n">
        <v>12778.972</v>
      </c>
      <c r="L12" s="20" t="n">
        <v>14053.531</v>
      </c>
    </row>
    <row r="13">
      <c r="A13" s="18" t="inlineStr">
        <is>
          <t>무형자산</t>
        </is>
      </c>
      <c r="B13" s="10" t="n"/>
      <c r="C13" s="19" t="n">
        <v>137.218</v>
      </c>
      <c r="D13" s="20" t="n">
        <v>143.225</v>
      </c>
      <c r="E13" s="20" t="n">
        <v>135.396</v>
      </c>
      <c r="F13" s="20" t="n">
        <v>131.777</v>
      </c>
      <c r="G13" s="20" t="n">
        <v>125.176</v>
      </c>
      <c r="H13" s="19" t="n">
        <v>136.749</v>
      </c>
      <c r="I13" s="20" t="n">
        <v>125.581</v>
      </c>
      <c r="J13" s="20" t="n">
        <v>105.555</v>
      </c>
      <c r="K13" s="20" t="n">
        <v>148.323</v>
      </c>
      <c r="L13" s="20" t="n">
        <v>131.777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41700.058</v>
      </c>
      <c r="D16" s="12" t="n">
        <v>41220.137</v>
      </c>
      <c r="E16" s="12" t="n">
        <v>41920.649</v>
      </c>
      <c r="F16" s="12" t="n">
        <v>44119.041</v>
      </c>
      <c r="G16" s="12" t="n">
        <v>45475.458</v>
      </c>
      <c r="H16" s="11" t="n">
        <v>38786.907</v>
      </c>
      <c r="I16" s="12" t="n">
        <v>38715.263</v>
      </c>
      <c r="J16" s="12" t="n">
        <v>44767.343</v>
      </c>
      <c r="K16" s="12" t="n">
        <v>42463.111</v>
      </c>
      <c r="L16" s="12" t="n">
        <v>44119.041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7615.804</v>
      </c>
      <c r="D18" s="12" t="n">
        <v>6307.288</v>
      </c>
      <c r="E18" s="12" t="n">
        <v>6074.135</v>
      </c>
      <c r="F18" s="12" t="n">
        <v>6966.816</v>
      </c>
      <c r="G18" s="12" t="n">
        <v>8909.496999999999</v>
      </c>
      <c r="H18" s="11" t="n">
        <v>9727.991</v>
      </c>
      <c r="I18" s="12" t="n">
        <v>9291.472</v>
      </c>
      <c r="J18" s="12" t="n">
        <v>11870.431</v>
      </c>
      <c r="K18" s="12" t="n">
        <v>7992.873</v>
      </c>
      <c r="L18" s="12" t="n">
        <v>6966.816</v>
      </c>
    </row>
    <row r="19">
      <c r="A19" s="18" t="inlineStr">
        <is>
          <t>매입채무</t>
        </is>
      </c>
      <c r="B19" s="10" t="n"/>
      <c r="C19" s="19" t="n">
        <v>2100.009</v>
      </c>
      <c r="D19" s="20" t="n">
        <v>2106.363</v>
      </c>
      <c r="E19" s="20" t="n">
        <v>2176.283</v>
      </c>
      <c r="F19" s="20" t="n">
        <v>2497.196</v>
      </c>
      <c r="G19" s="20" t="n">
        <v>2450.336</v>
      </c>
      <c r="H19" s="19" t="n">
        <v>3513.19</v>
      </c>
      <c r="I19" s="20" t="n">
        <v>3124.202</v>
      </c>
      <c r="J19" s="20" t="n">
        <v>3585.244</v>
      </c>
      <c r="K19" s="20" t="n">
        <v>3586.63</v>
      </c>
      <c r="L19" s="20" t="n">
        <v>2497.196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1595.783</v>
      </c>
      <c r="D23" s="12" t="n">
        <v>1714.199</v>
      </c>
      <c r="E23" s="12" t="n">
        <v>1886.509</v>
      </c>
      <c r="F23" s="12" t="n">
        <v>1916.018</v>
      </c>
      <c r="G23" s="12" t="n">
        <v>1879.565</v>
      </c>
      <c r="H23" s="11" t="n">
        <v>1501.789</v>
      </c>
      <c r="I23" s="12" t="n">
        <v>1464.785</v>
      </c>
      <c r="J23" s="12" t="n">
        <v>1879.331</v>
      </c>
      <c r="K23" s="12" t="n">
        <v>1590.461</v>
      </c>
      <c r="L23" s="12" t="n">
        <v>1916.018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9211.588</v>
      </c>
      <c r="D27" s="12" t="n">
        <v>8021.487</v>
      </c>
      <c r="E27" s="12" t="n">
        <v>7960.645</v>
      </c>
      <c r="F27" s="12" t="n">
        <v>8882.834000000001</v>
      </c>
      <c r="G27" s="12" t="n">
        <v>10789.062</v>
      </c>
      <c r="H27" s="11" t="n">
        <v>11229.781</v>
      </c>
      <c r="I27" s="12" t="n">
        <v>10756.258</v>
      </c>
      <c r="J27" s="12" t="n">
        <v>13749.762</v>
      </c>
      <c r="K27" s="12" t="n">
        <v>9583.334000000001</v>
      </c>
      <c r="L27" s="12" t="n">
        <v>8882.834000000001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31824.858</v>
      </c>
      <c r="D31" s="12" t="n">
        <v>32721.231</v>
      </c>
      <c r="E31" s="12" t="n">
        <v>33448.635</v>
      </c>
      <c r="F31" s="12" t="n">
        <v>34640.143</v>
      </c>
      <c r="G31" s="12" t="n">
        <v>34082.937</v>
      </c>
      <c r="H31" s="11" t="n">
        <v>26960.738</v>
      </c>
      <c r="I31" s="12" t="n">
        <v>27290.855</v>
      </c>
      <c r="J31" s="12" t="n">
        <v>30285.785</v>
      </c>
      <c r="K31" s="12" t="n">
        <v>32197.565</v>
      </c>
      <c r="L31" s="12" t="n">
        <v>34640.143</v>
      </c>
    </row>
    <row r="32">
      <c r="A32" s="18" t="inlineStr">
        <is>
          <t>자본금</t>
        </is>
      </c>
      <c r="B32" s="10" t="n"/>
      <c r="C32" s="19" t="n">
        <v>1311</v>
      </c>
      <c r="D32" s="20" t="n">
        <v>1311</v>
      </c>
      <c r="E32" s="20" t="n">
        <v>1311</v>
      </c>
      <c r="F32" s="20" t="n">
        <v>1311</v>
      </c>
      <c r="G32" s="20" t="n">
        <v>1311</v>
      </c>
      <c r="H32" s="19" t="n">
        <v>1311</v>
      </c>
      <c r="I32" s="20" t="n">
        <v>1311</v>
      </c>
      <c r="J32" s="20" t="n">
        <v>1311</v>
      </c>
      <c r="K32" s="20" t="n">
        <v>1311</v>
      </c>
      <c r="L32" s="20" t="n">
        <v>1311</v>
      </c>
    </row>
    <row r="33">
      <c r="A33" s="18" t="inlineStr">
        <is>
          <t>이익잉여금</t>
        </is>
      </c>
      <c r="B33" s="10" t="n"/>
      <c r="C33" s="19" t="n">
        <v>28954.301</v>
      </c>
      <c r="D33" s="20" t="n">
        <v>29620.169</v>
      </c>
      <c r="E33" s="20" t="n">
        <v>29895.826</v>
      </c>
      <c r="F33" s="20" t="n">
        <v>30761.381</v>
      </c>
      <c r="G33" s="20" t="n">
        <v>30309.124</v>
      </c>
      <c r="H33" s="19" t="n">
        <v>25166.802</v>
      </c>
      <c r="I33" s="20" t="n">
        <v>25881.294</v>
      </c>
      <c r="J33" s="20" t="n">
        <v>27457.738</v>
      </c>
      <c r="K33" s="20" t="n">
        <v>29136.465</v>
      </c>
      <c r="L33" s="20" t="n">
        <v>30761.381</v>
      </c>
    </row>
    <row r="34">
      <c r="A34" s="18" t="inlineStr">
        <is>
          <t>비지배지분</t>
        </is>
      </c>
      <c r="B34" s="10" t="n"/>
      <c r="C34" s="19" t="n">
        <v>663.612</v>
      </c>
      <c r="D34" s="20" t="n">
        <v>477.419</v>
      </c>
      <c r="E34" s="20" t="n">
        <v>511.369</v>
      </c>
      <c r="F34" s="20" t="n">
        <v>596.063</v>
      </c>
      <c r="G34" s="20" t="n">
        <v>603.458</v>
      </c>
      <c r="H34" s="19" t="n">
        <v>596.3869999999999</v>
      </c>
      <c r="I34" s="20" t="n">
        <v>668.149</v>
      </c>
      <c r="J34" s="20" t="n">
        <v>731.796</v>
      </c>
      <c r="K34" s="20" t="n">
        <v>682.212</v>
      </c>
      <c r="L34" s="20" t="n">
        <v>596.063</v>
      </c>
    </row>
    <row r="35">
      <c r="A35" s="9" t="inlineStr">
        <is>
          <t>자본총계</t>
        </is>
      </c>
      <c r="B35" s="10" t="n"/>
      <c r="C35" s="11" t="n">
        <v>32488.47</v>
      </c>
      <c r="D35" s="12" t="n">
        <v>33198.65</v>
      </c>
      <c r="E35" s="12" t="n">
        <v>33960.004</v>
      </c>
      <c r="F35" s="12" t="n">
        <v>35236.206</v>
      </c>
      <c r="G35" s="12" t="n">
        <v>34686.395</v>
      </c>
      <c r="H35" s="11" t="n">
        <v>27557.125</v>
      </c>
      <c r="I35" s="12" t="n">
        <v>27959.004</v>
      </c>
      <c r="J35" s="12" t="n">
        <v>31017.581</v>
      </c>
      <c r="K35" s="12" t="n">
        <v>32879.777</v>
      </c>
      <c r="L35" s="12" t="n">
        <v>35236.206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5094.721</v>
      </c>
      <c r="G37" s="12" t="n"/>
      <c r="H37" s="11" t="n">
        <v>2108.785</v>
      </c>
      <c r="I37" s="12" t="n">
        <v>4340.706</v>
      </c>
      <c r="J37" s="12" t="n">
        <v>3618.706</v>
      </c>
      <c r="K37" s="12" t="n">
        <v>-2808.126</v>
      </c>
      <c r="L37" s="12" t="n">
        <v>5094.721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2886.786</v>
      </c>
      <c r="G38" s="20" t="n"/>
      <c r="H38" s="19" t="n">
        <v>1214.52</v>
      </c>
      <c r="I38" s="20" t="n">
        <v>1403.767</v>
      </c>
      <c r="J38" s="20" t="n">
        <v>961.047</v>
      </c>
      <c r="K38" s="20" t="n">
        <v>4255.598</v>
      </c>
      <c r="L38" s="20" t="n">
        <v>2886.786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1063.981</v>
      </c>
      <c r="G40" s="20" t="n"/>
      <c r="H40" s="19" t="n">
        <v>590.919</v>
      </c>
      <c r="I40" s="20" t="n">
        <v>553.073</v>
      </c>
      <c r="J40" s="20" t="n">
        <v>482.184</v>
      </c>
      <c r="K40" s="20" t="n">
        <v>724.4640000000001</v>
      </c>
      <c r="L40" s="20" t="n">
        <v>1063.981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IFERROR(IF((IF(COUNT('연간'!G47:J47)&lt;4,"",SUM('연간'!G47:J47)))&lt;=0,"적자",C28/(IF(COUNT('연간'!G47:J47)&lt;4,"",SUM('연간'!G47:J47)))),"")</f>
        <v/>
      </c>
      <c r="D49" s="47">
        <f>IFERROR(IF((IF(COUNT('연간'!H47:K47)&lt;4,"",SUM('연간'!H47:K47)))&lt;=0,"적자",D28/(IF(COUNT('연간'!H47:K47)&lt;4,"",SUM('연간'!H47:K47)))),"")</f>
        <v/>
      </c>
      <c r="E49" s="47">
        <f>IFERROR(IF((IF(COUNT('연간'!I47:L47)&lt;4,"",SUM('연간'!I47:L47)))&lt;=0,"적자",E28/(IF(COUNT('연간'!I47:L47)&lt;4,"",SUM('연간'!I47:L47)))),"")</f>
        <v/>
      </c>
      <c r="F49" s="47">
        <f>IFERROR(IF((IF(COUNT('연간'!J47:M47)&lt;4,"",SUM('연간'!J47:M47)))&lt;=0,"적자",F28/(IF(COUNT('연간'!J47:M47)&lt;4,"",SUM('연간'!J47:M47)))),"")</f>
        <v/>
      </c>
      <c r="G49" s="47">
        <f>IFERROR(IF((IF(COUNT('연간'!K47:N47)&lt;4,"",SUM('연간'!K47:N47)))&lt;=0,"적자",G28/(IF(COUNT('연간'!K47:N47)&lt;4,"",SUM('연간'!K47:N47)))),"")</f>
        <v/>
      </c>
      <c r="H49" s="46">
        <f>IFERROR(IF(('연간'!T47)&lt;=0,"적자",H28/('연간'!T47)),"")</f>
        <v/>
      </c>
      <c r="I49" s="47">
        <f>IFERROR(IF(('연간'!U47)&lt;=0,"적자",I28/('연간'!U47)),"")</f>
        <v/>
      </c>
      <c r="J49" s="47">
        <f>IFERROR(IF(('연간'!V47)&lt;=0,"적자",J28/('연간'!V47)),"")</f>
        <v/>
      </c>
      <c r="K49" s="47">
        <f>IFERROR(IF(('연간'!W47)&lt;=0,"적자",K28/('연간'!W47)),"")</f>
        <v/>
      </c>
      <c r="L49" s="47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8587.036</v>
      </c>
      <c r="D71" s="20" t="n">
        <v>10063.083</v>
      </c>
      <c r="E71" s="20" t="n">
        <v>9240.558000000001</v>
      </c>
      <c r="F71" s="20" t="n">
        <v>10236.223</v>
      </c>
      <c r="G71" s="20" t="n">
        <v>13626.923</v>
      </c>
      <c r="H71" s="20" t="n">
        <v>11880.952</v>
      </c>
      <c r="I71" s="20" t="n">
        <v>14680.786</v>
      </c>
      <c r="J71" s="20" t="n">
        <v>17012.799</v>
      </c>
      <c r="K71" s="20" t="n">
        <v>9358.834000000001</v>
      </c>
      <c r="L71" s="20" t="n">
        <v>10236.223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10826.443</v>
      </c>
      <c r="D73" s="20" t="n">
        <v>9614.965</v>
      </c>
      <c r="E73" s="20" t="n">
        <v>9385.103999999999</v>
      </c>
      <c r="F73" s="20" t="n">
        <v>11307.569</v>
      </c>
      <c r="G73" s="20" t="n">
        <v>9578.906000000001</v>
      </c>
      <c r="H73" s="20" t="n">
        <v>10963.048</v>
      </c>
      <c r="I73" s="20" t="n">
        <v>7913.078</v>
      </c>
      <c r="J73" s="20" t="n">
        <v>9858.436</v>
      </c>
      <c r="K73" s="20" t="n">
        <v>12338.45</v>
      </c>
      <c r="L73" s="20" t="n">
        <v>11307.569</v>
      </c>
    </row>
    <row r="74">
      <c r="A74" s="18" t="inlineStr">
        <is>
          <t>전자기록채권</t>
        </is>
      </c>
      <c r="C74" s="20" t="n">
        <v>2295.149</v>
      </c>
      <c r="D74" s="20" t="n">
        <v>1208.543</v>
      </c>
      <c r="E74" s="20" t="n">
        <v>1643.03</v>
      </c>
      <c r="F74" s="20" t="n">
        <v>1353.843</v>
      </c>
      <c r="G74" s="20" t="n">
        <v>664.482</v>
      </c>
      <c r="H74" s="20" t="n">
        <v>1070.498</v>
      </c>
      <c r="I74" s="20" t="n">
        <v>1252.149</v>
      </c>
      <c r="J74" s="20" t="n">
        <v>2437.395</v>
      </c>
      <c r="K74" s="20" t="n">
        <v>2255.203</v>
      </c>
      <c r="L74" s="20" t="n">
        <v>1353.843</v>
      </c>
    </row>
    <row r="75">
      <c r="A75" s="18" t="inlineStr">
        <is>
          <t>제품</t>
        </is>
      </c>
      <c r="C75" s="20" t="n">
        <v>31.755</v>
      </c>
      <c r="D75" s="20" t="n">
        <v>33.737</v>
      </c>
      <c r="E75" s="20" t="n">
        <v>32.908</v>
      </c>
      <c r="F75" s="20" t="n">
        <v>45.068</v>
      </c>
      <c r="G75" s="20" t="n">
        <v>49.01</v>
      </c>
      <c r="H75" s="20" t="n">
        <v>41.267</v>
      </c>
      <c r="I75" s="20" t="n">
        <v>54.369</v>
      </c>
      <c r="J75" s="20" t="n">
        <v>24.834</v>
      </c>
      <c r="K75" s="20" t="n">
        <v>31.588</v>
      </c>
      <c r="L75" s="20" t="n">
        <v>45.068</v>
      </c>
    </row>
    <row r="76">
      <c r="A76" s="18" t="inlineStr">
        <is>
          <t>재공품</t>
        </is>
      </c>
      <c r="C76" s="20" t="n">
        <v>814.105</v>
      </c>
      <c r="D76" s="20" t="n">
        <v>788.8630000000001</v>
      </c>
      <c r="E76" s="20" t="n">
        <v>1223.582</v>
      </c>
      <c r="F76" s="20" t="n">
        <v>738.078</v>
      </c>
      <c r="G76" s="20" t="n">
        <v>748.611</v>
      </c>
      <c r="H76" s="20" t="n">
        <v>611.491</v>
      </c>
      <c r="I76" s="20" t="n">
        <v>642.806</v>
      </c>
      <c r="J76" s="20" t="n">
        <v>640.04</v>
      </c>
      <c r="K76" s="20" t="n">
        <v>681.217</v>
      </c>
      <c r="L76" s="20" t="n">
        <v>738.078</v>
      </c>
    </row>
    <row r="77">
      <c r="A77" s="18" t="inlineStr">
        <is>
          <t>원재료</t>
        </is>
      </c>
      <c r="C77" s="20" t="n">
        <v>492.18</v>
      </c>
      <c r="D77" s="20" t="n">
        <v>500.038</v>
      </c>
      <c r="E77" s="20" t="n">
        <v>514.85</v>
      </c>
      <c r="F77" s="20" t="n">
        <v>533.111</v>
      </c>
      <c r="G77" s="20" t="n">
        <v>605.133</v>
      </c>
      <c r="H77" s="20" t="n">
        <v>409.316</v>
      </c>
      <c r="I77" s="20" t="n">
        <v>432.09</v>
      </c>
      <c r="J77" s="20" t="n">
        <v>476.062</v>
      </c>
      <c r="K77" s="20" t="n">
        <v>494.165</v>
      </c>
      <c r="L77" s="20" t="n">
        <v>533.111</v>
      </c>
    </row>
    <row r="78">
      <c r="A78" s="18" t="inlineStr">
        <is>
          <t>기타</t>
        </is>
      </c>
      <c r="C78" s="20" t="n">
        <v>584.8869999999999</v>
      </c>
      <c r="D78" s="20" t="n">
        <v>631.6950000000001</v>
      </c>
      <c r="E78" s="20" t="n">
        <v>982.048</v>
      </c>
      <c r="F78" s="20" t="n">
        <v>791.218</v>
      </c>
      <c r="G78" s="20" t="n">
        <v>1342.356</v>
      </c>
      <c r="H78" s="20" t="n">
        <v>486.952</v>
      </c>
      <c r="I78" s="20" t="n">
        <v>1174.549</v>
      </c>
      <c r="J78" s="20" t="n">
        <v>721.693</v>
      </c>
      <c r="K78" s="20" t="n">
        <v>549.169</v>
      </c>
      <c r="L78" s="20" t="n">
        <v>791.218</v>
      </c>
    </row>
    <row r="79">
      <c r="A79" s="18" t="inlineStr">
        <is>
          <t>대손충당금</t>
        </is>
      </c>
      <c r="C79" s="20" t="n">
        <v>-0.956</v>
      </c>
      <c r="D79" s="20" t="n">
        <v>-3.715</v>
      </c>
      <c r="E79" s="20" t="n">
        <v>-3.203</v>
      </c>
      <c r="F79" s="20" t="n">
        <v>-1.117</v>
      </c>
      <c r="G79" s="20" t="n">
        <v>-0.917</v>
      </c>
      <c r="H79" s="20" t="n">
        <v>-2.795</v>
      </c>
      <c r="I79" s="20" t="n">
        <v>-2.153</v>
      </c>
      <c r="J79" s="20" t="n">
        <v>-2.031</v>
      </c>
      <c r="K79" s="20" t="n">
        <v>-9.388999999999999</v>
      </c>
      <c r="L79" s="20" t="n">
        <v>-1.117</v>
      </c>
    </row>
    <row r="80">
      <c r="A80" s="9" t="inlineStr">
        <is>
          <t>유동자산 합계</t>
        </is>
      </c>
      <c r="C80" s="12" t="n">
        <v>23630.602</v>
      </c>
      <c r="D80" s="12" t="n">
        <v>22837.21</v>
      </c>
      <c r="E80" s="12" t="n">
        <v>23018.879</v>
      </c>
      <c r="F80" s="12" t="n">
        <v>25003.997</v>
      </c>
      <c r="G80" s="12" t="n">
        <v>26614.506</v>
      </c>
      <c r="H80" s="12" t="n">
        <v>25460.731</v>
      </c>
      <c r="I80" s="12" t="n">
        <v>26147.677</v>
      </c>
      <c r="J80" s="12" t="n">
        <v>31169.23</v>
      </c>
      <c r="K80" s="12" t="n">
        <v>25699.24</v>
      </c>
      <c r="L80" s="12" t="n">
        <v>25003.997</v>
      </c>
    </row>
    <row r="81">
      <c r="A81" s="18" t="inlineStr">
        <is>
          <t>건물·구축물</t>
        </is>
      </c>
      <c r="F81" s="20" t="n">
        <v>11979.682</v>
      </c>
      <c r="H81" s="20" t="n">
        <v>7626.514</v>
      </c>
      <c r="I81" s="20" t="n">
        <v>7736.331</v>
      </c>
      <c r="J81" s="20" t="n">
        <v>7679.597</v>
      </c>
      <c r="K81" s="20" t="n">
        <v>7751.514</v>
      </c>
      <c r="L81" s="20" t="n">
        <v>11979.682</v>
      </c>
    </row>
    <row r="82">
      <c r="A82" s="18" t="inlineStr">
        <is>
          <t>감가상각누계액</t>
        </is>
      </c>
      <c r="F82" s="20" t="n">
        <v>-6347.942</v>
      </c>
      <c r="H82" s="20" t="n">
        <v>-5848.315</v>
      </c>
      <c r="I82" s="20" t="n">
        <v>-5973.842</v>
      </c>
      <c r="J82" s="20" t="n">
        <v>-5937.131</v>
      </c>
      <c r="K82" s="20" t="n">
        <v>-6070.948</v>
      </c>
      <c r="L82" s="20" t="n">
        <v>-6347.942</v>
      </c>
    </row>
    <row r="83">
      <c r="A83" s="18" t="inlineStr">
        <is>
          <t>건물·구축물(순액)</t>
        </is>
      </c>
      <c r="F83" s="20" t="n">
        <v>5631.739</v>
      </c>
      <c r="G83" s="20" t="n">
        <v>5658.681</v>
      </c>
      <c r="H83" s="20" t="n">
        <v>1778.199</v>
      </c>
      <c r="I83" s="20" t="n">
        <v>1762.488</v>
      </c>
      <c r="J83" s="20" t="n">
        <v>1742.465</v>
      </c>
      <c r="K83" s="20" t="n">
        <v>1680.566</v>
      </c>
      <c r="L83" s="20" t="n">
        <v>5631.739</v>
      </c>
    </row>
    <row r="84">
      <c r="A84" s="18" t="inlineStr">
        <is>
          <t>기계장치·운반구</t>
        </is>
      </c>
      <c r="F84" s="20" t="n">
        <v>10258.598</v>
      </c>
      <c r="H84" s="20" t="n">
        <v>8750.68</v>
      </c>
      <c r="I84" s="20" t="n">
        <v>9073.588</v>
      </c>
      <c r="J84" s="20" t="n">
        <v>9017.351000000001</v>
      </c>
      <c r="K84" s="20" t="n">
        <v>9041.611000000001</v>
      </c>
      <c r="L84" s="20" t="n">
        <v>10258.598</v>
      </c>
    </row>
    <row r="85">
      <c r="A85" s="18" t="inlineStr">
        <is>
          <t>감가상각누계액</t>
        </is>
      </c>
      <c r="F85" s="20" t="n">
        <v>-8008.116</v>
      </c>
      <c r="H85" s="20" t="n">
        <v>-7508.474</v>
      </c>
      <c r="I85" s="20" t="n">
        <v>-7796.28</v>
      </c>
      <c r="J85" s="20" t="n">
        <v>-7768.733</v>
      </c>
      <c r="K85" s="20" t="n">
        <v>-7830.768</v>
      </c>
      <c r="L85" s="20" t="n">
        <v>-8008.116</v>
      </c>
    </row>
    <row r="86">
      <c r="A86" s="18" t="inlineStr">
        <is>
          <t>기계장치·운반구(순액)</t>
        </is>
      </c>
      <c r="F86" s="20" t="n">
        <v>2250.481</v>
      </c>
      <c r="H86" s="20" t="n">
        <v>1242.205</v>
      </c>
      <c r="I86" s="20" t="n">
        <v>1277.308</v>
      </c>
      <c r="J86" s="20" t="n">
        <v>1248.618</v>
      </c>
      <c r="K86" s="20" t="n">
        <v>1210.842</v>
      </c>
      <c r="L86" s="20" t="n">
        <v>2250.481</v>
      </c>
    </row>
    <row r="87">
      <c r="A87" s="18" t="inlineStr">
        <is>
          <t>공구·기구·비품</t>
        </is>
      </c>
      <c r="F87" s="20" t="n">
        <v>10225.324</v>
      </c>
      <c r="H87" s="20" t="n">
        <v>9319.545</v>
      </c>
      <c r="I87" s="20" t="n">
        <v>9425.239</v>
      </c>
      <c r="J87" s="20" t="n">
        <v>9926.227000000001</v>
      </c>
      <c r="K87" s="20" t="n">
        <v>9876.831</v>
      </c>
      <c r="L87" s="20" t="n">
        <v>10225.324</v>
      </c>
    </row>
    <row r="88">
      <c r="A88" s="18" t="inlineStr">
        <is>
          <t>감가상각누계액</t>
        </is>
      </c>
      <c r="F88" s="20" t="n">
        <v>-9787.717000000001</v>
      </c>
      <c r="H88" s="20" t="n">
        <v>-8989.109</v>
      </c>
      <c r="I88" s="20" t="n">
        <v>-8958.802</v>
      </c>
      <c r="J88" s="20" t="n">
        <v>-9563.146000000001</v>
      </c>
      <c r="K88" s="20" t="n">
        <v>-9624.208000000001</v>
      </c>
      <c r="L88" s="20" t="n">
        <v>-9787.717000000001</v>
      </c>
    </row>
    <row r="89">
      <c r="A89" s="18" t="inlineStr">
        <is>
          <t>공구·기구·비품(순액)</t>
        </is>
      </c>
      <c r="F89" s="20" t="n">
        <v>437.606</v>
      </c>
      <c r="H89" s="20" t="n">
        <v>330.436</v>
      </c>
      <c r="I89" s="20" t="n">
        <v>466.437</v>
      </c>
      <c r="J89" s="20" t="n">
        <v>363.08</v>
      </c>
      <c r="K89" s="20" t="n">
        <v>252.622</v>
      </c>
      <c r="L89" s="20" t="n">
        <v>437.606</v>
      </c>
    </row>
    <row r="90">
      <c r="A90" s="18" t="inlineStr">
        <is>
          <t>토지</t>
        </is>
      </c>
      <c r="C90" s="20" t="n">
        <v>5260.983</v>
      </c>
      <c r="D90" s="20" t="n">
        <v>5260.983</v>
      </c>
      <c r="E90" s="20" t="n">
        <v>5260.983</v>
      </c>
      <c r="F90" s="20" t="n">
        <v>5260.983</v>
      </c>
      <c r="G90" s="20" t="n">
        <v>5260.983</v>
      </c>
      <c r="H90" s="20" t="n">
        <v>5226.839</v>
      </c>
      <c r="I90" s="20" t="n">
        <v>5224.365</v>
      </c>
      <c r="J90" s="20" t="n">
        <v>5260.983</v>
      </c>
      <c r="K90" s="20" t="n">
        <v>5260.983</v>
      </c>
      <c r="L90" s="20" t="n">
        <v>5260.983</v>
      </c>
    </row>
    <row r="91">
      <c r="A91" s="18" t="inlineStr">
        <is>
          <t>리스자산</t>
        </is>
      </c>
      <c r="F91" s="20" t="n">
        <v>314.78</v>
      </c>
      <c r="H91" s="20" t="n">
        <v>312.842</v>
      </c>
      <c r="I91" s="20" t="n">
        <v>245.825</v>
      </c>
      <c r="J91" s="20" t="n">
        <v>267.721</v>
      </c>
      <c r="K91" s="20" t="n">
        <v>304.039</v>
      </c>
      <c r="L91" s="20" t="n">
        <v>314.78</v>
      </c>
    </row>
    <row r="92">
      <c r="A92" s="18" t="inlineStr">
        <is>
          <t>감가상각누계액</t>
        </is>
      </c>
      <c r="F92" s="20" t="n">
        <v>-149.265</v>
      </c>
      <c r="H92" s="20" t="n">
        <v>-176.558</v>
      </c>
      <c r="I92" s="20" t="n">
        <v>-143.173</v>
      </c>
      <c r="J92" s="20" t="n">
        <v>-116.591</v>
      </c>
      <c r="K92" s="20" t="n">
        <v>-133.044</v>
      </c>
      <c r="L92" s="20" t="n">
        <v>-149.265</v>
      </c>
    </row>
    <row r="93">
      <c r="A93" s="18" t="inlineStr">
        <is>
          <t>리스자산(순액)</t>
        </is>
      </c>
      <c r="F93" s="20" t="n">
        <v>165.514</v>
      </c>
      <c r="H93" s="20" t="n">
        <v>136.283</v>
      </c>
      <c r="I93" s="20" t="n">
        <v>102.651</v>
      </c>
      <c r="J93" s="20" t="n">
        <v>151.129</v>
      </c>
      <c r="K93" s="20" t="n">
        <v>170.994</v>
      </c>
      <c r="L93" s="20" t="n">
        <v>165.514</v>
      </c>
    </row>
    <row r="94">
      <c r="A94" s="18" t="inlineStr">
        <is>
          <t>건설중인자산</t>
        </is>
      </c>
      <c r="F94" s="20" t="n">
        <v>307.205</v>
      </c>
      <c r="H94" s="20" t="n">
        <v>516.87</v>
      </c>
      <c r="I94" s="20" t="n">
        <v>881.75</v>
      </c>
      <c r="J94" s="20" t="n">
        <v>491.443</v>
      </c>
      <c r="K94" s="20" t="n">
        <v>4202.963</v>
      </c>
      <c r="L94" s="20" t="n">
        <v>307.205</v>
      </c>
    </row>
    <row r="95">
      <c r="A95" s="18" t="inlineStr">
        <is>
          <t>기타(순액)</t>
        </is>
      </c>
      <c r="C95" s="20" t="n">
        <v>8709.726000000001</v>
      </c>
      <c r="D95" s="20" t="n">
        <v>8971.272999999999</v>
      </c>
      <c r="E95" s="20" t="n">
        <v>8921.647000000001</v>
      </c>
      <c r="F95" s="20" t="n">
        <v>3160.808</v>
      </c>
      <c r="G95" s="20" t="n">
        <v>3008.547</v>
      </c>
      <c r="H95" s="20" t="n">
        <v>4003.995</v>
      </c>
      <c r="I95" s="20" t="n">
        <v>4490.637</v>
      </c>
      <c r="J95" s="20" t="n">
        <v>3996.738</v>
      </c>
      <c r="K95" s="20" t="n">
        <v>7517.988</v>
      </c>
      <c r="L95" s="20" t="n">
        <v>3160.808</v>
      </c>
    </row>
    <row r="96">
      <c r="A96" s="18" t="inlineStr">
        <is>
          <t>유형자산 합계</t>
        </is>
      </c>
      <c r="C96" s="20" t="n">
        <v>13970.709</v>
      </c>
      <c r="D96" s="20" t="n">
        <v>14232.257</v>
      </c>
      <c r="E96" s="20" t="n">
        <v>14182.631</v>
      </c>
      <c r="F96" s="20" t="n">
        <v>14053.531</v>
      </c>
      <c r="G96" s="20" t="n">
        <v>13928.212</v>
      </c>
      <c r="H96" s="20" t="n">
        <v>9230.834000000001</v>
      </c>
      <c r="I96" s="20" t="n">
        <v>9715.002</v>
      </c>
      <c r="J96" s="20" t="n">
        <v>9257.722</v>
      </c>
      <c r="K96" s="20" t="n">
        <v>12778.972</v>
      </c>
      <c r="L96" s="20" t="n">
        <v>14053.531</v>
      </c>
    </row>
    <row r="97">
      <c r="A97" s="18" t="inlineStr">
        <is>
          <t>무형자산</t>
        </is>
      </c>
      <c r="C97" s="20" t="n">
        <v>137.218</v>
      </c>
      <c r="D97" s="20" t="n">
        <v>143.225</v>
      </c>
      <c r="E97" s="20" t="n">
        <v>135.396</v>
      </c>
      <c r="F97" s="20" t="n">
        <v>131.777</v>
      </c>
      <c r="G97" s="20" t="n">
        <v>125.176</v>
      </c>
      <c r="H97" s="20" t="n">
        <v>136.749</v>
      </c>
      <c r="I97" s="20" t="n">
        <v>125.581</v>
      </c>
      <c r="J97" s="20" t="n">
        <v>105.555</v>
      </c>
      <c r="K97" s="20" t="n">
        <v>148.323</v>
      </c>
      <c r="L97" s="20" t="n">
        <v>131.777</v>
      </c>
    </row>
    <row r="98">
      <c r="A98" s="18" t="inlineStr">
        <is>
          <t>투자유가증권</t>
        </is>
      </c>
      <c r="F98" s="20" t="n">
        <v>4173.432</v>
      </c>
      <c r="H98" s="20" t="n">
        <v>2923.551</v>
      </c>
      <c r="I98" s="20" t="n">
        <v>2496.783</v>
      </c>
      <c r="J98" s="20" t="n">
        <v>3870.194</v>
      </c>
      <c r="K98" s="20" t="n">
        <v>3169.053</v>
      </c>
      <c r="L98" s="20" t="n">
        <v>4173.432</v>
      </c>
    </row>
    <row r="99">
      <c r="A99" s="18" t="inlineStr">
        <is>
          <t>출자금</t>
        </is>
      </c>
      <c r="F99" s="20" t="n">
        <v>102.356</v>
      </c>
      <c r="H99" s="20" t="n">
        <v>166.816</v>
      </c>
      <c r="I99" s="20" t="n">
        <v>194.325</v>
      </c>
      <c r="J99" s="20" t="n">
        <v>197.573</v>
      </c>
      <c r="K99" s="20" t="n">
        <v>163.697</v>
      </c>
      <c r="L99" s="20" t="n">
        <v>102.356</v>
      </c>
    </row>
    <row r="100">
      <c r="A100" s="18" t="inlineStr">
        <is>
          <t>장기대여금</t>
        </is>
      </c>
      <c r="F100" s="20" t="n">
        <v>3.758</v>
      </c>
      <c r="H100" s="20" t="n">
        <v>739.191</v>
      </c>
      <c r="I100" s="20" t="n">
        <v>7.886</v>
      </c>
      <c r="J100" s="20" t="n">
        <v>6.51</v>
      </c>
      <c r="K100" s="20" t="n">
        <v>5.134</v>
      </c>
      <c r="L100" s="20" t="n">
        <v>3.758</v>
      </c>
    </row>
    <row r="101">
      <c r="A101" s="18" t="inlineStr">
        <is>
          <t>이연법인세자산</t>
        </is>
      </c>
      <c r="F101" s="20" t="n">
        <v>20.001</v>
      </c>
      <c r="H101" s="20" t="n">
        <v>21.261</v>
      </c>
      <c r="I101" s="20" t="n">
        <v>16.946</v>
      </c>
      <c r="J101" s="20" t="n">
        <v>16.932</v>
      </c>
      <c r="K101" s="20" t="n">
        <v>18.332</v>
      </c>
      <c r="L101" s="20" t="n">
        <v>20.001</v>
      </c>
    </row>
    <row r="102">
      <c r="A102" s="18" t="inlineStr">
        <is>
          <t>퇴직급여자산</t>
        </is>
      </c>
      <c r="F102" s="20" t="n">
        <v>599.602</v>
      </c>
      <c r="H102" s="20" t="n">
        <v>98.203</v>
      </c>
      <c r="I102" s="20" t="n">
        <v>0</v>
      </c>
      <c r="J102" s="20" t="n">
        <v>142.377</v>
      </c>
      <c r="K102" s="20" t="n">
        <v>452</v>
      </c>
      <c r="L102" s="20" t="n">
        <v>599.602</v>
      </c>
    </row>
    <row r="103">
      <c r="A103" s="18" t="inlineStr">
        <is>
          <t>기타</t>
        </is>
      </c>
      <c r="C103" s="20" t="n">
        <v>3966.815</v>
      </c>
      <c r="D103" s="20" t="n">
        <v>4012.595</v>
      </c>
      <c r="E103" s="20" t="n">
        <v>4588.894</v>
      </c>
      <c r="F103" s="20" t="n">
        <v>4934.887</v>
      </c>
      <c r="G103" s="20" t="n">
        <v>4812.714</v>
      </c>
      <c r="H103" s="20" t="n">
        <v>41.353</v>
      </c>
      <c r="I103" s="20" t="n">
        <v>42.31</v>
      </c>
      <c r="J103" s="20" t="n">
        <v>30.972</v>
      </c>
      <c r="K103" s="20" t="n">
        <v>33.645</v>
      </c>
      <c r="L103" s="20" t="n">
        <v>4934.887</v>
      </c>
    </row>
    <row r="104">
      <c r="A104" s="18" t="inlineStr">
        <is>
          <t>대손충당금</t>
        </is>
      </c>
      <c r="C104" s="20" t="n">
        <v>-5.288</v>
      </c>
      <c r="D104" s="20" t="n">
        <v>-5.151</v>
      </c>
      <c r="E104" s="20" t="n">
        <v>-5.151</v>
      </c>
      <c r="F104" s="20" t="n">
        <v>-5.151</v>
      </c>
      <c r="G104" s="20" t="n">
        <v>-5.151</v>
      </c>
      <c r="H104" s="20" t="n">
        <v>-31.787</v>
      </c>
      <c r="I104" s="20" t="n">
        <v>-31.25</v>
      </c>
      <c r="J104" s="20" t="n">
        <v>-29.724</v>
      </c>
      <c r="K104" s="20" t="n">
        <v>-5.288</v>
      </c>
      <c r="L104" s="20" t="n">
        <v>-5.151</v>
      </c>
    </row>
    <row r="105">
      <c r="A105" s="18" t="inlineStr">
        <is>
          <t>투자 및 기타자산 합계</t>
        </is>
      </c>
      <c r="C105" s="20" t="n">
        <v>3961.527</v>
      </c>
      <c r="D105" s="20" t="n">
        <v>4007.443</v>
      </c>
      <c r="E105" s="20" t="n">
        <v>4583.742</v>
      </c>
      <c r="F105" s="20" t="n">
        <v>4929.735</v>
      </c>
      <c r="G105" s="20" t="n">
        <v>4807.563</v>
      </c>
      <c r="H105" s="20" t="n">
        <v>3958.591</v>
      </c>
      <c r="I105" s="20" t="n">
        <v>2727.001</v>
      </c>
      <c r="J105" s="20" t="n">
        <v>4234.835</v>
      </c>
      <c r="K105" s="20" t="n">
        <v>3836.575</v>
      </c>
      <c r="L105" s="20" t="n">
        <v>4929.735</v>
      </c>
    </row>
    <row r="106">
      <c r="A106" s="9" t="inlineStr">
        <is>
          <t>비유동자산 합계</t>
        </is>
      </c>
      <c r="C106" s="12" t="n">
        <v>18069.456</v>
      </c>
      <c r="D106" s="12" t="n">
        <v>18382.926</v>
      </c>
      <c r="E106" s="12" t="n">
        <v>18901.77</v>
      </c>
      <c r="F106" s="12" t="n">
        <v>19115.044</v>
      </c>
      <c r="G106" s="12" t="n">
        <v>18860.952</v>
      </c>
      <c r="H106" s="12" t="n">
        <v>13326.175</v>
      </c>
      <c r="I106" s="12" t="n">
        <v>12567.586</v>
      </c>
      <c r="J106" s="12" t="n">
        <v>13598.113</v>
      </c>
      <c r="K106" s="12" t="n">
        <v>16763.871</v>
      </c>
      <c r="L106" s="12" t="n">
        <v>19115.044</v>
      </c>
    </row>
    <row r="107">
      <c r="A107" s="9" t="inlineStr">
        <is>
          <t>자산 합계</t>
        </is>
      </c>
      <c r="C107" s="12" t="n">
        <v>41700.058</v>
      </c>
      <c r="D107" s="12" t="n">
        <v>41220.137</v>
      </c>
      <c r="E107" s="12" t="n">
        <v>41920.649</v>
      </c>
      <c r="F107" s="12" t="n">
        <v>44119.041</v>
      </c>
      <c r="G107" s="12" t="n">
        <v>45475.458</v>
      </c>
      <c r="H107" s="12" t="n">
        <v>38786.907</v>
      </c>
      <c r="I107" s="12" t="n">
        <v>38715.263</v>
      </c>
      <c r="J107" s="12" t="n">
        <v>44767.343</v>
      </c>
      <c r="K107" s="12" t="n">
        <v>42463.111</v>
      </c>
      <c r="L107" s="12" t="n">
        <v>44119.041</v>
      </c>
    </row>
    <row r="108">
      <c r="A108" s="18" t="inlineStr">
        <is>
          <t>지급어음·매입채무</t>
        </is>
      </c>
      <c r="C108" s="20" t="n">
        <v>2100.009</v>
      </c>
      <c r="D108" s="20" t="n">
        <v>2106.363</v>
      </c>
      <c r="E108" s="20" t="n">
        <v>2176.283</v>
      </c>
      <c r="F108" s="20" t="n">
        <v>2497.196</v>
      </c>
      <c r="G108" s="20" t="n">
        <v>2450.336</v>
      </c>
      <c r="H108" s="20" t="n">
        <v>3513.19</v>
      </c>
      <c r="I108" s="20" t="n">
        <v>3124.202</v>
      </c>
      <c r="J108" s="20" t="n">
        <v>3585.244</v>
      </c>
      <c r="K108" s="20" t="n">
        <v>3586.63</v>
      </c>
      <c r="L108" s="20" t="n">
        <v>2497.196</v>
      </c>
    </row>
    <row r="109">
      <c r="A109" s="18" t="inlineStr">
        <is>
          <t>전자기록채무</t>
        </is>
      </c>
      <c r="C109" s="20" t="n">
        <v>1342.984</v>
      </c>
      <c r="D109" s="20" t="n">
        <v>845.853</v>
      </c>
      <c r="E109" s="20" t="n">
        <v>967.067</v>
      </c>
      <c r="F109" s="20" t="n">
        <v>678.979</v>
      </c>
      <c r="G109" s="20" t="n">
        <v>762.08</v>
      </c>
      <c r="H109" s="20" t="n">
        <v>3427.095</v>
      </c>
      <c r="I109" s="20" t="n">
        <v>3133.24</v>
      </c>
      <c r="J109" s="20" t="n">
        <v>4351.319</v>
      </c>
      <c r="K109" s="20" t="n">
        <v>804.48</v>
      </c>
      <c r="L109" s="20" t="n">
        <v>678.979</v>
      </c>
    </row>
    <row r="110">
      <c r="A110" s="18" t="inlineStr">
        <is>
          <t>미지급금</t>
        </is>
      </c>
      <c r="F110" s="20" t="n">
        <v>396.338</v>
      </c>
      <c r="H110" s="20" t="n">
        <v>345.005</v>
      </c>
      <c r="I110" s="20" t="n">
        <v>297.138</v>
      </c>
      <c r="J110" s="20" t="n">
        <v>469.109</v>
      </c>
      <c r="K110" s="20" t="n">
        <v>366.161</v>
      </c>
      <c r="L110" s="20" t="n">
        <v>396.338</v>
      </c>
    </row>
    <row r="111">
      <c r="A111" s="18" t="inlineStr">
        <is>
          <t>미지급비용</t>
        </is>
      </c>
      <c r="F111" s="20" t="n">
        <v>317.935</v>
      </c>
      <c r="H111" s="20" t="n">
        <v>280.833</v>
      </c>
      <c r="I111" s="20" t="n">
        <v>270.012</v>
      </c>
      <c r="J111" s="20" t="n">
        <v>313.354</v>
      </c>
      <c r="K111" s="20" t="n">
        <v>319.195</v>
      </c>
      <c r="L111" s="20" t="n">
        <v>317.935</v>
      </c>
    </row>
    <row r="112">
      <c r="A112" s="18" t="inlineStr">
        <is>
          <t>선수금</t>
        </is>
      </c>
      <c r="H112" s="20" t="n">
        <v>0</v>
      </c>
    </row>
    <row r="113">
      <c r="A113" s="18" t="inlineStr">
        <is>
          <t>계약부채</t>
        </is>
      </c>
      <c r="F113" s="20" t="n">
        <v>564.172</v>
      </c>
      <c r="H113" s="20" t="n">
        <v>100.115</v>
      </c>
      <c r="I113" s="20" t="n">
        <v>431.28</v>
      </c>
      <c r="J113" s="20" t="n">
        <v>563.046</v>
      </c>
      <c r="K113" s="20" t="n">
        <v>316.333</v>
      </c>
      <c r="L113" s="20" t="n">
        <v>564.172</v>
      </c>
    </row>
    <row r="114">
      <c r="A114" s="18" t="inlineStr">
        <is>
          <t>리스부채</t>
        </is>
      </c>
      <c r="F114" s="20" t="n">
        <v>77.279</v>
      </c>
      <c r="H114" s="20" t="n">
        <v>57.818</v>
      </c>
      <c r="I114" s="20" t="n">
        <v>47.896</v>
      </c>
      <c r="J114" s="20" t="n">
        <v>70.072</v>
      </c>
      <c r="K114" s="20" t="n">
        <v>74.178</v>
      </c>
      <c r="L114" s="20" t="n">
        <v>77.279</v>
      </c>
    </row>
    <row r="115">
      <c r="A115" s="18" t="inlineStr">
        <is>
          <t>미지급법인세</t>
        </is>
      </c>
      <c r="C115" s="20" t="n">
        <v>285.429</v>
      </c>
      <c r="D115" s="20" t="n">
        <v>534.073</v>
      </c>
      <c r="E115" s="20" t="n">
        <v>344.872</v>
      </c>
      <c r="F115" s="20" t="n">
        <v>415.007</v>
      </c>
      <c r="G115" s="20" t="n">
        <v>322.905</v>
      </c>
      <c r="H115" s="20" t="n">
        <v>301.152</v>
      </c>
      <c r="I115" s="20" t="n">
        <v>294.131</v>
      </c>
      <c r="J115" s="20" t="n">
        <v>624.061</v>
      </c>
      <c r="K115" s="20" t="n">
        <v>514.986</v>
      </c>
      <c r="L115" s="20" t="n">
        <v>415.007</v>
      </c>
    </row>
    <row r="116">
      <c r="A116" s="18" t="inlineStr">
        <is>
          <t>상여충당금</t>
        </is>
      </c>
      <c r="C116" s="20" t="n">
        <v>442.071</v>
      </c>
      <c r="D116" s="20" t="n">
        <v>873.341</v>
      </c>
      <c r="E116" s="20" t="n">
        <v>422.644</v>
      </c>
      <c r="F116" s="20" t="n">
        <v>874.85</v>
      </c>
      <c r="G116" s="20" t="n">
        <v>455.987</v>
      </c>
      <c r="H116" s="20" t="n">
        <v>715.879</v>
      </c>
      <c r="I116" s="20" t="n">
        <v>655.577</v>
      </c>
      <c r="J116" s="20" t="n">
        <v>814.879</v>
      </c>
      <c r="K116" s="20" t="n">
        <v>884.273</v>
      </c>
      <c r="L116" s="20" t="n">
        <v>874.85</v>
      </c>
    </row>
    <row r="117">
      <c r="A117" s="18" t="inlineStr">
        <is>
          <t>임원 상여충당금</t>
        </is>
      </c>
      <c r="C117" s="20" t="n">
        <v>14.231</v>
      </c>
      <c r="D117" s="20" t="n">
        <v>30.472</v>
      </c>
      <c r="E117" s="20" t="n">
        <v>41.691</v>
      </c>
      <c r="F117" s="20" t="n">
        <v>59.205</v>
      </c>
      <c r="G117" s="20" t="n">
        <v>14.369</v>
      </c>
      <c r="H117" s="20" t="n">
        <v>67.476</v>
      </c>
      <c r="I117" s="20" t="n">
        <v>69.2</v>
      </c>
      <c r="J117" s="20" t="n">
        <v>81.664</v>
      </c>
      <c r="K117" s="20" t="n">
        <v>56.326</v>
      </c>
      <c r="L117" s="20" t="n">
        <v>59.205</v>
      </c>
    </row>
    <row r="118">
      <c r="A118" s="18" t="inlineStr">
        <is>
          <t>완성공사 보증 충당금</t>
        </is>
      </c>
      <c r="C118" s="20" t="n">
        <v>42.705</v>
      </c>
      <c r="D118" s="20" t="n">
        <v>46.7</v>
      </c>
      <c r="E118" s="20" t="n">
        <v>49.152</v>
      </c>
      <c r="F118" s="20" t="n">
        <v>72.358</v>
      </c>
      <c r="G118" s="20" t="n">
        <v>59.714</v>
      </c>
      <c r="H118" s="20" t="n">
        <v>42.744</v>
      </c>
      <c r="I118" s="20" t="n">
        <v>30.123</v>
      </c>
      <c r="J118" s="20" t="n">
        <v>37.441</v>
      </c>
      <c r="K118" s="20" t="n">
        <v>46.05</v>
      </c>
      <c r="L118" s="20" t="n">
        <v>72.358</v>
      </c>
    </row>
    <row r="119">
      <c r="A119" s="18" t="inlineStr">
        <is>
          <t>설비관련 지급어음</t>
        </is>
      </c>
      <c r="H119" s="20" t="n">
        <v>68.379</v>
      </c>
      <c r="I119" s="20" t="n">
        <v>46.28</v>
      </c>
      <c r="J119" s="20" t="n">
        <v>13.794</v>
      </c>
      <c r="K119" s="20" t="n">
        <v>0</v>
      </c>
    </row>
    <row r="120">
      <c r="A120" s="18" t="inlineStr">
        <is>
          <t>기타</t>
        </is>
      </c>
      <c r="C120" s="20" t="n">
        <v>3388.373</v>
      </c>
      <c r="D120" s="20" t="n">
        <v>1870.484</v>
      </c>
      <c r="E120" s="20" t="n">
        <v>2072.423</v>
      </c>
      <c r="F120" s="20" t="n">
        <v>2369.216</v>
      </c>
      <c r="G120" s="20" t="n">
        <v>4844.104</v>
      </c>
      <c r="H120" s="20" t="n">
        <v>808.301</v>
      </c>
      <c r="I120" s="20" t="n">
        <v>892.388</v>
      </c>
      <c r="J120" s="20" t="n">
        <v>946.441</v>
      </c>
      <c r="K120" s="20" t="n">
        <v>1024.256</v>
      </c>
      <c r="L120" s="20" t="n">
        <v>2369.216</v>
      </c>
    </row>
    <row r="121">
      <c r="A121" s="9" t="inlineStr">
        <is>
          <t>유동부채 합계</t>
        </is>
      </c>
      <c r="C121" s="12" t="n">
        <v>7615.804</v>
      </c>
      <c r="D121" s="12" t="n">
        <v>6307.288</v>
      </c>
      <c r="E121" s="12" t="n">
        <v>6074.135</v>
      </c>
      <c r="F121" s="12" t="n">
        <v>6966.816</v>
      </c>
      <c r="G121" s="12" t="n">
        <v>8909.496999999999</v>
      </c>
      <c r="H121" s="12" t="n">
        <v>9727.991</v>
      </c>
      <c r="I121" s="12" t="n">
        <v>9291.472</v>
      </c>
      <c r="J121" s="12" t="n">
        <v>11870.431</v>
      </c>
      <c r="K121" s="12" t="n">
        <v>7992.873</v>
      </c>
      <c r="L121" s="12" t="n">
        <v>6966.816</v>
      </c>
    </row>
    <row r="122">
      <c r="A122" s="18" t="inlineStr">
        <is>
          <t>리스부채</t>
        </is>
      </c>
      <c r="F122" s="20" t="n">
        <v>97.047</v>
      </c>
      <c r="H122" s="20" t="n">
        <v>86.89700000000001</v>
      </c>
      <c r="I122" s="20" t="n">
        <v>59.065</v>
      </c>
      <c r="J122" s="20" t="n">
        <v>86.91800000000001</v>
      </c>
      <c r="K122" s="20" t="n">
        <v>104.401</v>
      </c>
      <c r="L122" s="20" t="n">
        <v>97.047</v>
      </c>
    </row>
    <row r="123">
      <c r="A123" s="18" t="inlineStr">
        <is>
          <t>장기미지급금</t>
        </is>
      </c>
      <c r="F123" s="20" t="n">
        <v>29.082</v>
      </c>
      <c r="H123" s="20" t="n">
        <v>89.976</v>
      </c>
      <c r="I123" s="20" t="n">
        <v>71.95399999999999</v>
      </c>
      <c r="J123" s="20" t="n">
        <v>64.212</v>
      </c>
      <c r="K123" s="20" t="n">
        <v>29.082</v>
      </c>
      <c r="L123" s="20" t="n">
        <v>29.082</v>
      </c>
    </row>
    <row r="124">
      <c r="A124" s="18" t="inlineStr">
        <is>
          <t>이연법인세부채</t>
        </is>
      </c>
      <c r="F124" s="20" t="n">
        <v>1120.325</v>
      </c>
      <c r="H124" s="20" t="n">
        <v>868.97</v>
      </c>
      <c r="I124" s="20" t="n">
        <v>703.96</v>
      </c>
      <c r="J124" s="20" t="n">
        <v>1034.969</v>
      </c>
      <c r="K124" s="20" t="n">
        <v>875.1369999999999</v>
      </c>
      <c r="L124" s="20" t="n">
        <v>1120.325</v>
      </c>
    </row>
    <row r="125">
      <c r="A125" s="18" t="inlineStr">
        <is>
          <t>임원 퇴직위로 충당금</t>
        </is>
      </c>
      <c r="C125" s="20" t="n">
        <v>24.211</v>
      </c>
      <c r="D125" s="20" t="n">
        <v>26.587</v>
      </c>
      <c r="E125" s="20" t="n">
        <v>28.622</v>
      </c>
      <c r="F125" s="20" t="n">
        <v>30.658</v>
      </c>
      <c r="G125" s="20" t="n">
        <v>31.897</v>
      </c>
      <c r="H125" s="20" t="n">
        <v>52.06</v>
      </c>
      <c r="I125" s="20" t="n">
        <v>58.866</v>
      </c>
      <c r="J125" s="20" t="n">
        <v>54.518</v>
      </c>
      <c r="K125" s="20" t="n">
        <v>22.288</v>
      </c>
      <c r="L125" s="20" t="n">
        <v>30.658</v>
      </c>
    </row>
    <row r="126">
      <c r="A126" s="18" t="inlineStr">
        <is>
          <t>퇴직급여부채</t>
        </is>
      </c>
      <c r="C126" s="20" t="n">
        <v>546.073</v>
      </c>
      <c r="D126" s="20" t="n">
        <v>570.254</v>
      </c>
      <c r="E126" s="20" t="n">
        <v>596.317</v>
      </c>
      <c r="F126" s="20" t="n">
        <v>607.5549999999999</v>
      </c>
      <c r="G126" s="20" t="n">
        <v>633.849</v>
      </c>
      <c r="H126" s="20" t="n">
        <v>372.536</v>
      </c>
      <c r="I126" s="20" t="n">
        <v>539.59</v>
      </c>
      <c r="J126" s="20" t="n">
        <v>607.3630000000001</v>
      </c>
      <c r="K126" s="20" t="n">
        <v>528.202</v>
      </c>
      <c r="L126" s="20" t="n">
        <v>607.5549999999999</v>
      </c>
    </row>
    <row r="127">
      <c r="A127" s="18" t="inlineStr">
        <is>
          <t>자산복구부채</t>
        </is>
      </c>
      <c r="F127" s="20" t="n">
        <v>31.35</v>
      </c>
      <c r="H127" s="20" t="n">
        <v>31.35</v>
      </c>
      <c r="I127" s="20" t="n">
        <v>31.35</v>
      </c>
      <c r="J127" s="20" t="n">
        <v>31.35</v>
      </c>
      <c r="K127" s="20" t="n">
        <v>31.35</v>
      </c>
      <c r="L127" s="20" t="n">
        <v>31.35</v>
      </c>
    </row>
    <row r="128">
      <c r="A128" s="18" t="inlineStr">
        <is>
          <t>기타</t>
        </is>
      </c>
      <c r="C128" s="20" t="n">
        <v>1025.498</v>
      </c>
      <c r="D128" s="20" t="n">
        <v>1117.357</v>
      </c>
      <c r="E128" s="20" t="n">
        <v>1261.569</v>
      </c>
      <c r="F128" s="20" t="n">
        <v>1277.804</v>
      </c>
      <c r="G128" s="20" t="n">
        <v>1213.818</v>
      </c>
      <c r="H128" s="20" t="n">
        <v>1077.193</v>
      </c>
      <c r="I128" s="20" t="n">
        <v>866.329</v>
      </c>
      <c r="J128" s="20" t="n">
        <v>1217.45</v>
      </c>
      <c r="K128" s="20" t="n">
        <v>1039.97</v>
      </c>
      <c r="L128" s="20" t="n">
        <v>1277.804</v>
      </c>
    </row>
    <row r="129">
      <c r="A129" s="9" t="inlineStr">
        <is>
          <t>비유동부채 합계</t>
        </is>
      </c>
      <c r="C129" s="12" t="n">
        <v>1595.783</v>
      </c>
      <c r="D129" s="12" t="n">
        <v>1714.199</v>
      </c>
      <c r="E129" s="12" t="n">
        <v>1886.509</v>
      </c>
      <c r="F129" s="12" t="n">
        <v>1916.018</v>
      </c>
      <c r="G129" s="12" t="n">
        <v>1879.565</v>
      </c>
      <c r="H129" s="12" t="n">
        <v>1501.789</v>
      </c>
      <c r="I129" s="12" t="n">
        <v>1464.785</v>
      </c>
      <c r="J129" s="12" t="n">
        <v>1879.331</v>
      </c>
      <c r="K129" s="12" t="n">
        <v>1590.461</v>
      </c>
      <c r="L129" s="12" t="n">
        <v>1916.018</v>
      </c>
    </row>
    <row r="130">
      <c r="A130" s="9" t="inlineStr">
        <is>
          <t>부채 합계</t>
        </is>
      </c>
      <c r="C130" s="12" t="n">
        <v>9211.588</v>
      </c>
      <c r="D130" s="12" t="n">
        <v>8021.487</v>
      </c>
      <c r="E130" s="12" t="n">
        <v>7960.645</v>
      </c>
      <c r="F130" s="12" t="n">
        <v>8882.834000000001</v>
      </c>
      <c r="G130" s="12" t="n">
        <v>10789.062</v>
      </c>
      <c r="H130" s="12" t="n">
        <v>11229.781</v>
      </c>
      <c r="I130" s="12" t="n">
        <v>10756.258</v>
      </c>
      <c r="J130" s="12" t="n">
        <v>13749.762</v>
      </c>
      <c r="K130" s="12" t="n">
        <v>9583.334000000001</v>
      </c>
      <c r="L130" s="12" t="n">
        <v>8882.834000000001</v>
      </c>
    </row>
    <row r="131">
      <c r="A131" s="18" t="inlineStr">
        <is>
          <t>자본금</t>
        </is>
      </c>
      <c r="C131" s="20" t="n">
        <v>1311</v>
      </c>
      <c r="D131" s="20" t="n">
        <v>1311</v>
      </c>
      <c r="E131" s="20" t="n">
        <v>1311</v>
      </c>
      <c r="F131" s="20" t="n">
        <v>1311</v>
      </c>
      <c r="G131" s="20" t="n">
        <v>1311</v>
      </c>
      <c r="H131" s="20" t="n">
        <v>1311</v>
      </c>
      <c r="I131" s="20" t="n">
        <v>1311</v>
      </c>
      <c r="J131" s="20" t="n">
        <v>1311</v>
      </c>
      <c r="K131" s="20" t="n">
        <v>1311</v>
      </c>
      <c r="L131" s="20" t="n">
        <v>1311</v>
      </c>
    </row>
    <row r="132">
      <c r="A132" s="18" t="inlineStr">
        <is>
          <t>자본잉여금</t>
        </is>
      </c>
      <c r="C132" s="20" t="n">
        <v>786.621</v>
      </c>
      <c r="D132" s="20" t="n">
        <v>790.484</v>
      </c>
      <c r="E132" s="20" t="n">
        <v>790.484</v>
      </c>
      <c r="F132" s="20" t="n">
        <v>790.484</v>
      </c>
      <c r="G132" s="20" t="n">
        <v>790.484</v>
      </c>
      <c r="H132" s="20" t="n">
        <v>788.694</v>
      </c>
      <c r="I132" s="20" t="n">
        <v>779.599</v>
      </c>
      <c r="J132" s="20" t="n">
        <v>779.082</v>
      </c>
      <c r="K132" s="20" t="n">
        <v>786.621</v>
      </c>
      <c r="L132" s="20" t="n">
        <v>790.484</v>
      </c>
    </row>
    <row r="133">
      <c r="A133" s="18" t="inlineStr">
        <is>
          <t>이익잉여금</t>
        </is>
      </c>
      <c r="C133" s="20" t="n">
        <v>28954.301</v>
      </c>
      <c r="D133" s="20" t="n">
        <v>29620.169</v>
      </c>
      <c r="E133" s="20" t="n">
        <v>29895.826</v>
      </c>
      <c r="F133" s="20" t="n">
        <v>30761.381</v>
      </c>
      <c r="G133" s="20" t="n">
        <v>30309.124</v>
      </c>
      <c r="H133" s="20" t="n">
        <v>25166.802</v>
      </c>
      <c r="I133" s="20" t="n">
        <v>25881.294</v>
      </c>
      <c r="J133" s="20" t="n">
        <v>27457.738</v>
      </c>
      <c r="K133" s="20" t="n">
        <v>29136.465</v>
      </c>
      <c r="L133" s="20" t="n">
        <v>30761.381</v>
      </c>
    </row>
    <row r="134">
      <c r="A134" s="18" t="inlineStr">
        <is>
          <t>자기주식</t>
        </is>
      </c>
      <c r="C134" s="20" t="n">
        <v>-1781.761</v>
      </c>
      <c r="D134" s="20" t="n">
        <v>-1759.732</v>
      </c>
      <c r="E134" s="20" t="n">
        <v>-1759.732</v>
      </c>
      <c r="F134" s="20" t="n">
        <v>-1759.732</v>
      </c>
      <c r="G134" s="20" t="n">
        <v>-1759.732</v>
      </c>
      <c r="H134" s="20" t="n">
        <v>-1584.53</v>
      </c>
      <c r="I134" s="20" t="n">
        <v>-1828.223</v>
      </c>
      <c r="J134" s="20" t="n">
        <v>-1799.147</v>
      </c>
      <c r="K134" s="20" t="n">
        <v>-1781.761</v>
      </c>
      <c r="L134" s="20" t="n">
        <v>-1759.732</v>
      </c>
    </row>
    <row r="135">
      <c r="A135" s="9" t="inlineStr">
        <is>
          <t>주주자본 합계</t>
        </is>
      </c>
      <c r="C135" s="12" t="n">
        <v>29270.161</v>
      </c>
      <c r="D135" s="12" t="n">
        <v>29961.92</v>
      </c>
      <c r="E135" s="12" t="n">
        <v>30237.577</v>
      </c>
      <c r="F135" s="12" t="n">
        <v>31103.133</v>
      </c>
      <c r="G135" s="12" t="n">
        <v>30650.876</v>
      </c>
      <c r="H135" s="12" t="n">
        <v>25681.965</v>
      </c>
      <c r="I135" s="12" t="n">
        <v>26143.67</v>
      </c>
      <c r="J135" s="12" t="n">
        <v>27748.673</v>
      </c>
      <c r="K135" s="12" t="n">
        <v>29452.326</v>
      </c>
      <c r="L135" s="12" t="n">
        <v>31103.133</v>
      </c>
    </row>
    <row r="136">
      <c r="A136" s="18" t="inlineStr">
        <is>
          <t>기타유가증권 평가차액</t>
        </is>
      </c>
      <c r="C136" s="20" t="n">
        <v>1284.363</v>
      </c>
      <c r="D136" s="20" t="n">
        <v>1509.016</v>
      </c>
      <c r="E136" s="20" t="n">
        <v>1825.868</v>
      </c>
      <c r="F136" s="20" t="n">
        <v>1837.767</v>
      </c>
      <c r="G136" s="20" t="n">
        <v>1698.183</v>
      </c>
      <c r="H136" s="20" t="n">
        <v>1268.559</v>
      </c>
      <c r="I136" s="20" t="n">
        <v>927.502</v>
      </c>
      <c r="J136" s="20" t="n">
        <v>1807.884</v>
      </c>
      <c r="K136" s="20" t="n">
        <v>1240.215</v>
      </c>
      <c r="L136" s="20" t="n">
        <v>1837.767</v>
      </c>
    </row>
    <row r="137">
      <c r="A137" s="18" t="inlineStr">
        <is>
          <t>해외사업환산조정</t>
        </is>
      </c>
      <c r="C137" s="20" t="n">
        <v>1170.955</v>
      </c>
      <c r="D137" s="20" t="n">
        <v>1152.89</v>
      </c>
      <c r="E137" s="20" t="n">
        <v>1289.76</v>
      </c>
      <c r="F137" s="20" t="n">
        <v>1492.487</v>
      </c>
      <c r="G137" s="20" t="n">
        <v>1529.655</v>
      </c>
      <c r="H137" s="20" t="n">
        <v>318.868</v>
      </c>
      <c r="I137" s="20" t="n">
        <v>640.338</v>
      </c>
      <c r="J137" s="20" t="n">
        <v>1000.869</v>
      </c>
      <c r="K137" s="20" t="n">
        <v>1403.457</v>
      </c>
      <c r="L137" s="20" t="n">
        <v>1492.487</v>
      </c>
    </row>
    <row r="138">
      <c r="A138" s="18" t="inlineStr">
        <is>
          <t>퇴직급여 조정누계액</t>
        </is>
      </c>
      <c r="C138" s="20" t="n">
        <v>99.378</v>
      </c>
      <c r="D138" s="20" t="n">
        <v>97.402</v>
      </c>
      <c r="E138" s="20" t="n">
        <v>95.42700000000001</v>
      </c>
      <c r="F138" s="20" t="n">
        <v>206.754</v>
      </c>
      <c r="G138" s="20" t="n">
        <v>204.222</v>
      </c>
      <c r="H138" s="20" t="n">
        <v>-308.655</v>
      </c>
      <c r="I138" s="20" t="n">
        <v>-420.656</v>
      </c>
      <c r="J138" s="20" t="n">
        <v>-271.642</v>
      </c>
      <c r="K138" s="20" t="n">
        <v>101.565</v>
      </c>
      <c r="L138" s="20" t="n">
        <v>206.754</v>
      </c>
    </row>
    <row r="139">
      <c r="A139" s="18" t="inlineStr">
        <is>
          <t>기타포괄손익누계액 합계</t>
        </is>
      </c>
      <c r="C139" s="20" t="n">
        <v>2554.697</v>
      </c>
      <c r="D139" s="20" t="n">
        <v>2759.309</v>
      </c>
      <c r="E139" s="20" t="n">
        <v>3211.056</v>
      </c>
      <c r="F139" s="20" t="n">
        <v>3537.009</v>
      </c>
      <c r="G139" s="20" t="n">
        <v>3432.06</v>
      </c>
      <c r="H139" s="20" t="n">
        <v>1278.772</v>
      </c>
      <c r="I139" s="20" t="n">
        <v>1147.184</v>
      </c>
      <c r="J139" s="20" t="n">
        <v>2537.111</v>
      </c>
      <c r="K139" s="20" t="n">
        <v>2745.238</v>
      </c>
      <c r="L139" s="20" t="n">
        <v>3537.009</v>
      </c>
    </row>
    <row r="140">
      <c r="A140" s="18" t="inlineStr">
        <is>
          <t>비지배지분</t>
        </is>
      </c>
      <c r="C140" s="20" t="n">
        <v>663.612</v>
      </c>
      <c r="D140" s="20" t="n">
        <v>477.419</v>
      </c>
      <c r="E140" s="20" t="n">
        <v>511.369</v>
      </c>
      <c r="F140" s="20" t="n">
        <v>596.063</v>
      </c>
      <c r="G140" s="20" t="n">
        <v>603.458</v>
      </c>
      <c r="H140" s="20" t="n">
        <v>596.3869999999999</v>
      </c>
      <c r="I140" s="20" t="n">
        <v>668.149</v>
      </c>
      <c r="J140" s="20" t="n">
        <v>731.796</v>
      </c>
      <c r="K140" s="20" t="n">
        <v>682.212</v>
      </c>
      <c r="L140" s="20" t="n">
        <v>596.063</v>
      </c>
    </row>
    <row r="141">
      <c r="A141" s="9" t="inlineStr">
        <is>
          <t>순자산 합계</t>
        </is>
      </c>
      <c r="C141" s="12" t="n">
        <v>32488.47</v>
      </c>
      <c r="D141" s="12" t="n">
        <v>33198.65</v>
      </c>
      <c r="E141" s="12" t="n">
        <v>33960.004</v>
      </c>
      <c r="F141" s="12" t="n">
        <v>35236.206</v>
      </c>
      <c r="G141" s="12" t="n">
        <v>34686.395</v>
      </c>
      <c r="H141" s="12" t="n">
        <v>27557.125</v>
      </c>
      <c r="I141" s="12" t="n">
        <v>27959.004</v>
      </c>
      <c r="J141" s="12" t="n">
        <v>31017.581</v>
      </c>
      <c r="K141" s="12" t="n">
        <v>32879.777</v>
      </c>
      <c r="L141" s="12" t="n">
        <v>35236.206</v>
      </c>
    </row>
    <row r="142">
      <c r="A142" s="9" t="inlineStr">
        <is>
          <t>부채·순자산 합계</t>
        </is>
      </c>
      <c r="C142" s="12" t="n">
        <v>41700.058</v>
      </c>
      <c r="D142" s="12" t="n">
        <v>41220.137</v>
      </c>
      <c r="E142" s="12" t="n">
        <v>41920.649</v>
      </c>
      <c r="F142" s="12" t="n">
        <v>44119.041</v>
      </c>
      <c r="G142" s="12" t="n">
        <v>45475.458</v>
      </c>
      <c r="H142" s="12" t="n">
        <v>38786.907</v>
      </c>
      <c r="I142" s="12" t="n">
        <v>38715.263</v>
      </c>
      <c r="J142" s="12" t="n">
        <v>44767.343</v>
      </c>
      <c r="K142" s="12" t="n">
        <v>42463.111</v>
      </c>
      <c r="L142" s="12" t="n">
        <v>44119.041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https://www2.jpx.co.jp/disc/63820/140120260729501630.pdf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https://www2.jpx.co.jp/disc/63820/140120260424510558.pdf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https://www2.jpx.co.jp/disc/63820/140120260116535095.pdf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https://www2.jpx.co.jp/disc/63820/140120251014573267.pdf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https://www2.jpx.co.jp/disc/63820/140120250721517383.pdf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https://www2.jpx.co.jp/disc/63820/140120250410512420.pdf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https://www2.jpx.co.jp/disc/63820/140120241223542839.pdf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https://www2.jpx.co.jp/disc/63820/140120240923587500.pdf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https://www2.jpx.co.jp/disc/63820/140120240722552059.pdf</t>
        </is>
      </c>
    </row>
    <row r="13">
      <c r="A13" t="inlineStr">
        <is>
          <t>2024-04-24</t>
        </is>
      </c>
      <c r="B13" t="inlineStr">
        <is>
          <t>2024년 3월 결산기 연간 결산단신</t>
        </is>
      </c>
      <c r="C13" t="inlineStr">
        <is>
          <t>https://www2.jpx.co.jp/disc/63820/140120240417572316.pdf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https://www2.jpx.co.jp/disc/63820/140120240122517651.pdf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https://www2.jpx.co.jp/disc/63820/140120231019568708.pdf</t>
        </is>
      </c>
    </row>
    <row r="16">
      <c r="A16" t="inlineStr">
        <is>
          <t>2023-07-26</t>
        </is>
      </c>
      <c r="B16" t="inlineStr">
        <is>
          <t>2024년 3월 결산기 １분기 결산단신</t>
        </is>
      </c>
      <c r="C16" t="inlineStr">
        <is>
          <t>https://www2.jpx.co.jp/disc/63820/140120230719523820.pdf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https://www2.jpx.co.jp/disc/63820/140120230421550442.pdf</t>
        </is>
      </c>
    </row>
    <row r="18">
      <c r="A18" t="inlineStr">
        <is>
          <t>2023-02-01</t>
        </is>
      </c>
      <c r="B18" t="inlineStr">
        <is>
          <t>2023년 3월 결산기 ３분기 결산단신</t>
        </is>
      </c>
      <c r="C18" t="inlineStr">
        <is>
          <t>https://www2.jpx.co.jp/disc/63820/140120230124592838.pdf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https://www2.jpx.co.jp/disc/63820/140120221020546874.pdf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https://www2.jpx.co.jp/disc/63820/140120220419523891.pdf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https://www2.jpx.co.jp/disc/63820/140120210428402323.pdf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https://www2.jpx.co.jp/disc/63820/140120200428402083.pdf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https://www2.jpx.co.jp/disc/63820/140120190417405928.pdf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https://www2.jpx.co.jp/disc/63820/140120180413410970.pdf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2026-10-26T10:55:22Z</dcterms:created>
  <dcterms:modified xmlns:dcterms="http://purl.org/dc/terms/" xmlns:xsi="http://www.w3.org/2001/XMLSchema-instance" xsi:type="dcterms:W3CDTF">2026-10-26T10:55:22Z</dcterms:modified>
</cp:coreProperties>
</file>