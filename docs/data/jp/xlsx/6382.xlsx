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9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6382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7897.37</v>
      </c>
      <c r="D4" s="12" t="n">
        <v>9777.627</v>
      </c>
      <c r="E4" s="12" t="n">
        <v>11807.573</v>
      </c>
      <c r="F4" s="12" t="n">
        <v>8655.48</v>
      </c>
      <c r="G4" s="12" t="n">
        <v>9420.847</v>
      </c>
      <c r="H4" s="12" t="n">
        <v>10043.353</v>
      </c>
      <c r="I4" s="12" t="n">
        <v>12097.338</v>
      </c>
      <c r="J4" s="12" t="n">
        <v>8882.008</v>
      </c>
      <c r="K4" s="12" t="n">
        <v>10046.754</v>
      </c>
      <c r="L4" s="12" t="n">
        <v>9005.681</v>
      </c>
      <c r="M4" s="12" t="n">
        <v>11025.954</v>
      </c>
      <c r="N4" s="12" t="n">
        <v>9017.018</v>
      </c>
      <c r="O4" s="11" t="n">
        <v>32990.508</v>
      </c>
      <c r="P4" s="12" t="n">
        <v>41714.317</v>
      </c>
      <c r="Q4" s="12" t="n">
        <v>35352.892</v>
      </c>
      <c r="R4" s="12" t="n">
        <v>36748.514</v>
      </c>
      <c r="S4" s="12" t="n">
        <v>35362.006</v>
      </c>
      <c r="T4" s="12" t="n">
        <v>34161.7</v>
      </c>
      <c r="U4" s="12" t="n">
        <v>29047.516</v>
      </c>
      <c r="V4" s="12" t="n">
        <v>36992.78</v>
      </c>
      <c r="W4" s="12" t="n">
        <v>40217.018</v>
      </c>
      <c r="X4" s="12" t="n">
        <v>38960.397</v>
      </c>
      <c r="Y4" s="11">
        <f>IF(COUNT(Y7,Y10)=0,"",SUM(Y7,Y10))</f>
        <v/>
      </c>
      <c r="Z4" s="12">
        <f>IF(COUNT(Z7,Z10)=0,"",SUM(Z7,Z10))</f>
        <v/>
      </c>
      <c r="AA4" s="12">
        <f>IF(COUNT(AA7,AA10)=0,"",SUM(AA7,AA10))</f>
        <v/>
      </c>
      <c r="AB4" s="12">
        <f>IF(COUNT(AB7,AB10)=0,"",SUM(AB7,AB10))</f>
        <v/>
      </c>
      <c r="AC4" s="12">
        <f>IF(COUNT(AC7,AC10)=0,"",SUM(AC7,AC10))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부문</t>
        </is>
      </c>
      <c r="B7" s="10" t="n"/>
      <c r="C7" s="19" t="n">
        <v>5271.147</v>
      </c>
      <c r="D7" s="20" t="n">
        <v>7013.725</v>
      </c>
      <c r="E7" s="20" t="n">
        <v>9265.294</v>
      </c>
      <c r="F7" s="20" t="n">
        <v>6155.649</v>
      </c>
      <c r="G7" s="20" t="n">
        <v>6892.358</v>
      </c>
      <c r="H7" s="20" t="n">
        <v>7341.281</v>
      </c>
      <c r="I7" s="20" t="n">
        <v>9514.063</v>
      </c>
      <c r="J7" s="20" t="n">
        <v>6543.812</v>
      </c>
      <c r="K7" s="20" t="n">
        <v>7446.517</v>
      </c>
      <c r="L7" s="20" t="n">
        <v>6502.832</v>
      </c>
      <c r="M7" s="20" t="n">
        <v>8878.815000000001</v>
      </c>
      <c r="N7" s="20" t="n">
        <v>7064.779</v>
      </c>
      <c r="O7" s="19" t="n"/>
      <c r="P7" s="20" t="n"/>
      <c r="Q7" s="20" t="n"/>
      <c r="R7" s="20" t="n"/>
      <c r="S7" s="20" t="n"/>
      <c r="T7" s="20" t="n"/>
      <c r="U7" s="20" t="n"/>
      <c r="V7" s="20" t="n">
        <v>26768.516</v>
      </c>
      <c r="W7" s="20" t="n">
        <v>29903.351</v>
      </c>
      <c r="X7" s="20" t="n">
        <v>29371.976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부문</t>
        </is>
      </c>
      <c r="B10" s="10" t="n"/>
      <c r="C10" s="19" t="n">
        <v>2626.223</v>
      </c>
      <c r="D10" s="20" t="n">
        <v>2763.902</v>
      </c>
      <c r="E10" s="20" t="n">
        <v>2542.279</v>
      </c>
      <c r="F10" s="20" t="n">
        <v>2499.83</v>
      </c>
      <c r="G10" s="20" t="n">
        <v>2528.489</v>
      </c>
      <c r="H10" s="20" t="n">
        <v>2702.072</v>
      </c>
      <c r="I10" s="20" t="n">
        <v>2583.276</v>
      </c>
      <c r="J10" s="20" t="n">
        <v>2338.196</v>
      </c>
      <c r="K10" s="20" t="n">
        <v>2600.236</v>
      </c>
      <c r="L10" s="20" t="n">
        <v>2502.85</v>
      </c>
      <c r="M10" s="20" t="n">
        <v>2147.138</v>
      </c>
      <c r="N10" s="20" t="n">
        <v>1952.239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10224.264</v>
      </c>
      <c r="W10" s="20" t="n">
        <v>10313.667</v>
      </c>
      <c r="X10" s="20" t="n">
        <v>9588.42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6" t="inlineStr">
        <is>
          <t>매출원가</t>
        </is>
      </c>
      <c r="B13" s="16" t="n"/>
      <c r="C13" s="17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7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7" t="n"/>
      <c r="Z13" s="16" t="n"/>
      <c r="AA13" s="16" t="n"/>
      <c r="AB13" s="16" t="n"/>
      <c r="AC13" s="16" t="n"/>
    </row>
    <row r="14">
      <c r="A14" s="18" t="inlineStr">
        <is>
          <t>전체 매출원가</t>
        </is>
      </c>
      <c r="B14" s="10" t="n"/>
      <c r="C14" s="19" t="n">
        <v>6259.001</v>
      </c>
      <c r="D14" s="20" t="n">
        <v>7680.949</v>
      </c>
      <c r="E14" s="20" t="n">
        <v>9511.35</v>
      </c>
      <c r="F14" s="20" t="n">
        <v>6952.155</v>
      </c>
      <c r="G14" s="20" t="n">
        <v>7545.4</v>
      </c>
      <c r="H14" s="20" t="n">
        <v>7910.141</v>
      </c>
      <c r="I14" s="20" t="n">
        <v>9553.862999999999</v>
      </c>
      <c r="J14" s="20" t="n">
        <v>6979.706</v>
      </c>
      <c r="K14" s="20" t="n">
        <v>7850.132</v>
      </c>
      <c r="L14" s="20" t="n">
        <v>6941.205</v>
      </c>
      <c r="M14" s="20" t="n">
        <v>8605.504999999999</v>
      </c>
      <c r="N14" s="20" t="n">
        <v>7171.666</v>
      </c>
      <c r="O14" s="19" t="n">
        <v>27215.605</v>
      </c>
      <c r="P14" s="20" t="n">
        <v>35093.469</v>
      </c>
      <c r="Q14" s="20" t="n">
        <v>29132.113</v>
      </c>
      <c r="R14" s="20" t="n">
        <v>29816.847</v>
      </c>
      <c r="S14" s="20" t="n">
        <v>28722.338</v>
      </c>
      <c r="T14" s="20" t="n">
        <v>27754.717</v>
      </c>
      <c r="U14" s="20" t="n">
        <v>23459.4</v>
      </c>
      <c r="V14" s="20" t="n">
        <v>29394.584</v>
      </c>
      <c r="W14" s="20" t="n">
        <v>31961.559</v>
      </c>
      <c r="X14" s="20" t="n">
        <v>30376.548</v>
      </c>
      <c r="Y14" s="19" t="n"/>
      <c r="Z14" s="20" t="n"/>
      <c r="AA14" s="20" t="n"/>
      <c r="AB14" s="20" t="n"/>
      <c r="AC14" s="20" t="n"/>
    </row>
    <row r="15">
      <c r="A15" s="18" t="inlineStr">
        <is>
          <t>매출총이익</t>
        </is>
      </c>
      <c r="B15" s="10" t="n"/>
      <c r="C15" s="19">
        <f>IF(OR(C4="",C14=""),"",IFERROR(C4-C14,""))</f>
        <v/>
      </c>
      <c r="D15" s="20">
        <f>IF(OR(D4="",D14=""),"",IFERROR(D4-D14,""))</f>
        <v/>
      </c>
      <c r="E15" s="20">
        <f>IF(OR(E4="",E14=""),"",IFERROR(E4-E14,""))</f>
        <v/>
      </c>
      <c r="F15" s="20">
        <f>IF(OR(F4="",F14=""),"",IFERROR(F4-F14,""))</f>
        <v/>
      </c>
      <c r="G15" s="20">
        <f>IF(OR(G4="",G14=""),"",IFERROR(G4-G14,""))</f>
        <v/>
      </c>
      <c r="H15" s="20">
        <f>IF(OR(H4="",H14=""),"",IFERROR(H4-H14,""))</f>
        <v/>
      </c>
      <c r="I15" s="20">
        <f>IF(OR(I4="",I14=""),"",IFERROR(I4-I14,""))</f>
        <v/>
      </c>
      <c r="J15" s="20">
        <f>IF(OR(J4="",J14=""),"",IFERROR(J4-J14,""))</f>
        <v/>
      </c>
      <c r="K15" s="20">
        <f>IF(OR(K4="",K14=""),"",IFERROR(K4-K14,""))</f>
        <v/>
      </c>
      <c r="L15" s="20">
        <f>IF(OR(L4="",L14=""),"",IFERROR(L4-L14,""))</f>
        <v/>
      </c>
      <c r="M15" s="20">
        <f>IF(OR(M4="",M14=""),"",IFERROR(M4-M14,""))</f>
        <v/>
      </c>
      <c r="N15" s="20">
        <f>IF(OR(N4="",N14=""),"",IFERROR(N4-N14,""))</f>
        <v/>
      </c>
      <c r="O15" s="19">
        <f>IF(OR(O4="",O14=""),"",IFERROR(O4-O14,""))</f>
        <v/>
      </c>
      <c r="P15" s="20">
        <f>IF(OR(P4="",P14=""),"",IFERROR(P4-P14,""))</f>
        <v/>
      </c>
      <c r="Q15" s="20">
        <f>IF(OR(Q4="",Q14=""),"",IFERROR(Q4-Q14,""))</f>
        <v/>
      </c>
      <c r="R15" s="20">
        <f>IF(OR(R4="",R14=""),"",IFERROR(R4-R14,""))</f>
        <v/>
      </c>
      <c r="S15" s="20">
        <f>IF(OR(S4="",S14=""),"",IFERROR(S4-S14,""))</f>
        <v/>
      </c>
      <c r="T15" s="20">
        <f>IF(OR(T4="",T14=""),"",IFERROR(T4-T14,""))</f>
        <v/>
      </c>
      <c r="U15" s="20">
        <f>IF(OR(U4="",U14=""),"",IFERROR(U4-U14,""))</f>
        <v/>
      </c>
      <c r="V15" s="20">
        <f>IF(OR(V4="",V14=""),"",IFERROR(V4-V14,""))</f>
        <v/>
      </c>
      <c r="W15" s="20">
        <f>IF(OR(W4="",W14=""),"",IFERROR(W4-W14,""))</f>
        <v/>
      </c>
      <c r="X15" s="20">
        <f>IF(OR(X4="",X14=""),"",IFERROR(X4-X14,""))</f>
        <v/>
      </c>
      <c r="Y15" s="19" t="n"/>
      <c r="Z15" s="20" t="n"/>
      <c r="AA15" s="20" t="n"/>
      <c r="AB15" s="20" t="n"/>
      <c r="AC15" s="20" t="n"/>
    </row>
    <row r="16">
      <c r="A16" s="13" t="inlineStr">
        <is>
          <t>GPM</t>
        </is>
      </c>
      <c r="B16" s="10" t="n"/>
      <c r="C16" s="14">
        <f>IF(OR(C15="",C4=""),"",IFERROR(C15/C4,""))</f>
        <v/>
      </c>
      <c r="D16" s="15">
        <f>IF(OR(D15="",D4=""),"",IFERROR(D15/D4,""))</f>
        <v/>
      </c>
      <c r="E16" s="15">
        <f>IF(OR(E15="",E4=""),"",IFERROR(E15/E4,""))</f>
        <v/>
      </c>
      <c r="F16" s="15">
        <f>IF(OR(F15="",F4=""),"",IFERROR(F15/F4,""))</f>
        <v/>
      </c>
      <c r="G16" s="15">
        <f>IF(OR(G15="",G4=""),"",IFERROR(G15/G4,""))</f>
        <v/>
      </c>
      <c r="H16" s="15">
        <f>IF(OR(H15="",H4=""),"",IFERROR(H15/H4,""))</f>
        <v/>
      </c>
      <c r="I16" s="15">
        <f>IF(OR(I15="",I4=""),"",IFERROR(I15/I4,""))</f>
        <v/>
      </c>
      <c r="J16" s="15">
        <f>IF(OR(J15="",J4=""),"",IFERROR(J15/J4,""))</f>
        <v/>
      </c>
      <c r="K16" s="15">
        <f>IF(OR(K15="",K4=""),"",IFERROR(K15/K4,""))</f>
        <v/>
      </c>
      <c r="L16" s="15">
        <f>IF(OR(L15="",L4=""),"",IFERROR(L15/L4,""))</f>
        <v/>
      </c>
      <c r="M16" s="15">
        <f>IF(OR(M15="",M4=""),"",IFERROR(M15/M4,""))</f>
        <v/>
      </c>
      <c r="N16" s="15">
        <f>IF(OR(N15="",N4=""),"",IFERROR(N15/N4,""))</f>
        <v/>
      </c>
      <c r="O16" s="14">
        <f>IF(OR(O15="",O4=""),"",IFERROR(O15/O4,""))</f>
        <v/>
      </c>
      <c r="P16" s="15">
        <f>IF(OR(P15="",P4=""),"",IFERROR(P15/P4,""))</f>
        <v/>
      </c>
      <c r="Q16" s="15">
        <f>IF(OR(Q15="",Q4=""),"",IFERROR(Q15/Q4,""))</f>
        <v/>
      </c>
      <c r="R16" s="15">
        <f>IF(OR(R15="",R4=""),"",IFERROR(R15/R4,""))</f>
        <v/>
      </c>
      <c r="S16" s="15">
        <f>IF(OR(S15="",S4=""),"",IFERROR(S15/S4,""))</f>
        <v/>
      </c>
      <c r="T16" s="15">
        <f>IF(OR(T15="",T4=""),"",IFERROR(T15/T4,""))</f>
        <v/>
      </c>
      <c r="U16" s="15">
        <f>IF(OR(U15="",U4=""),"",IFERROR(U15/U4,""))</f>
        <v/>
      </c>
      <c r="V16" s="15">
        <f>IF(OR(V15="",V4=""),"",IFERROR(V15/V4,""))</f>
        <v/>
      </c>
      <c r="W16" s="15">
        <f>IF(OR(W15="",W4=""),"",IFERROR(W15/W4,""))</f>
        <v/>
      </c>
      <c r="X16" s="15">
        <f>IF(OR(X15="",X4=""),"",IFERROR(X15/X4,""))</f>
        <v/>
      </c>
      <c r="Y16" s="14">
        <f>IF(OR(Y15="",Y4=""),"",IFERROR(Y15/Y4,""))</f>
        <v/>
      </c>
      <c r="Z16" s="15">
        <f>IF(OR(Z15="",Z4=""),"",IFERROR(Z15/Z4,""))</f>
        <v/>
      </c>
      <c r="AA16" s="15">
        <f>IF(OR(AA15="",AA4=""),"",IFERROR(AA15/AA4,""))</f>
        <v/>
      </c>
      <c r="AB16" s="15">
        <f>IF(OR(AB15="",AB4=""),"",IFERROR(AB15/AB4,""))</f>
        <v/>
      </c>
      <c r="AC16" s="15">
        <f>IF(OR(AC15="",AC4=""),"",IFERROR(AC15/AC4,""))</f>
        <v/>
      </c>
    </row>
    <row r="17">
      <c r="A17" s="23" t="inlineStr">
        <is>
          <t>판매관리비</t>
        </is>
      </c>
      <c r="B17" s="23" t="n"/>
      <c r="C17" s="24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4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4" t="n"/>
      <c r="Z17" s="23" t="n"/>
      <c r="AA17" s="23" t="n"/>
      <c r="AB17" s="23" t="n"/>
      <c r="AC17" s="23" t="n"/>
    </row>
    <row r="18">
      <c r="A18" s="18" t="inlineStr">
        <is>
          <t>전체 판관비</t>
        </is>
      </c>
      <c r="B18" s="10" t="n"/>
      <c r="C18" s="19" t="n">
        <v>1188.298</v>
      </c>
      <c r="D18" s="20" t="n">
        <v>1132.74</v>
      </c>
      <c r="E18" s="20" t="n">
        <v>1332.602</v>
      </c>
      <c r="F18" s="20" t="n">
        <v>1232.531</v>
      </c>
      <c r="G18" s="20" t="n">
        <v>1208.867</v>
      </c>
      <c r="H18" s="20" t="n">
        <v>1214.261</v>
      </c>
      <c r="I18" s="20" t="n">
        <v>1353.938</v>
      </c>
      <c r="J18" s="20" t="n">
        <v>1268.687</v>
      </c>
      <c r="K18" s="20" t="n">
        <v>1362.658</v>
      </c>
      <c r="L18" s="20" t="n">
        <v>1306.673</v>
      </c>
      <c r="M18" s="20" t="n">
        <v>1454.964</v>
      </c>
      <c r="N18" s="20" t="n">
        <v>1455.876</v>
      </c>
      <c r="O18" s="19" t="n">
        <v>3880.736</v>
      </c>
      <c r="P18" s="20" t="n">
        <v>4171.768</v>
      </c>
      <c r="Q18" s="20" t="n">
        <v>4311.52</v>
      </c>
      <c r="R18" s="20" t="n">
        <v>4286.182</v>
      </c>
      <c r="S18" s="20" t="n">
        <v>4261.25</v>
      </c>
      <c r="T18" s="20" t="n">
        <v>4474.255</v>
      </c>
      <c r="U18" s="20" t="n">
        <v>4622.361</v>
      </c>
      <c r="V18" s="20" t="n">
        <v>4802.73</v>
      </c>
      <c r="W18" s="20" t="n">
        <v>5009.597</v>
      </c>
      <c r="X18" s="20" t="n">
        <v>5392.982</v>
      </c>
      <c r="Y18" s="19" t="n"/>
      <c r="Z18" s="20" t="n"/>
      <c r="AA18" s="20" t="n"/>
      <c r="AB18" s="20" t="n"/>
      <c r="AC18" s="20" t="n"/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450.07</v>
      </c>
      <c r="D19" s="12" t="n">
        <v>963.938</v>
      </c>
      <c r="E19" s="12" t="n">
        <v>963.621</v>
      </c>
      <c r="F19" s="12" t="n">
        <v>470.794</v>
      </c>
      <c r="G19" s="12" t="n">
        <v>666.579</v>
      </c>
      <c r="H19" s="12" t="n">
        <v>918.95</v>
      </c>
      <c r="I19" s="12" t="n">
        <v>1189.537</v>
      </c>
      <c r="J19" s="12" t="n">
        <v>633.614</v>
      </c>
      <c r="K19" s="12" t="n">
        <v>833.9640000000001</v>
      </c>
      <c r="L19" s="12" t="n">
        <v>757.804</v>
      </c>
      <c r="M19" s="12" t="n">
        <v>965.484</v>
      </c>
      <c r="N19" s="12" t="n">
        <v>389.475</v>
      </c>
      <c r="O19" s="11" t="n">
        <v>1894.167</v>
      </c>
      <c r="P19" s="12" t="n">
        <v>2449.079</v>
      </c>
      <c r="Q19" s="12" t="n">
        <v>1909.259</v>
      </c>
      <c r="R19" s="12" t="n">
        <v>2645.484</v>
      </c>
      <c r="S19" s="12" t="n">
        <v>2378.418</v>
      </c>
      <c r="T19" s="12" t="n">
        <v>1932.727</v>
      </c>
      <c r="U19" s="12" t="n">
        <v>965.754</v>
      </c>
      <c r="V19" s="12" t="n">
        <v>2795.465</v>
      </c>
      <c r="W19" s="12" t="n">
        <v>3245.86</v>
      </c>
      <c r="X19" s="12" t="n">
        <v>3190.866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3" t="inlineStr">
        <is>
          <t>OPM</t>
        </is>
      </c>
      <c r="B20" s="10" t="inlineStr">
        <is>
          <t>MW 입력</t>
        </is>
      </c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25" t="n"/>
      <c r="Z20" s="26" t="n"/>
      <c r="AA20" s="26" t="n"/>
      <c r="AB20" s="26" t="n"/>
      <c r="AC20" s="26" t="n"/>
    </row>
    <row r="21">
      <c r="A21" s="13" t="inlineStr">
        <is>
          <t>증가율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비용의 성격별 분류</t>
        </is>
      </c>
      <c r="B22" s="16" t="inlineStr">
        <is>
          <t>참고 데이터</t>
        </is>
      </c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IF(O18="","",O18)</f>
        <v/>
      </c>
      <c r="P23" s="12">
        <f>IF(P18="","",P18)</f>
        <v/>
      </c>
      <c r="Q23" s="12">
        <f>IF(Q18="","",Q18)</f>
        <v/>
      </c>
      <c r="R23" s="12">
        <f>IF(R18="","",R18)</f>
        <v/>
      </c>
      <c r="S23" s="12">
        <f>IF(S18="","",S18)</f>
        <v/>
      </c>
      <c r="T23" s="12">
        <f>IF(T18="","",T18)</f>
        <v/>
      </c>
      <c r="U23" s="12">
        <f>IF(U18="","",U18)</f>
        <v/>
      </c>
      <c r="V23" s="12">
        <f>IF(V18="","",V18)</f>
        <v/>
      </c>
      <c r="W23" s="12">
        <f>IF(W18="","",W18)</f>
        <v/>
      </c>
      <c r="X23" s="12">
        <f>IF(X18="","",X18)</f>
        <v/>
      </c>
      <c r="Y23" s="11" t="n"/>
      <c r="Z23" s="12" t="n"/>
      <c r="AA23" s="12" t="n"/>
      <c r="AB23" s="12" t="n"/>
      <c r="AC23" s="12" t="n"/>
    </row>
    <row r="24">
      <c r="A24" s="18" t="inlineStr">
        <is>
          <t>급여</t>
        </is>
      </c>
      <c r="B24" s="10" t="inlineStr">
        <is>
          <t>고정비</t>
        </is>
      </c>
      <c r="C24" s="19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19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19" t="n"/>
      <c r="Z24" s="20" t="n"/>
      <c r="AA24" s="20" t="n"/>
      <c r="AB24" s="20" t="n"/>
      <c r="AC24" s="20" t="n"/>
    </row>
    <row r="25">
      <c r="A25" s="13" t="inlineStr">
        <is>
          <t>% of Sales</t>
        </is>
      </c>
      <c r="B25" s="10" t="n"/>
      <c r="C25" s="14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4">
        <f>IF(OR(O24="",O4=""),"",IFERROR(O24/O4,""))</f>
        <v/>
      </c>
      <c r="P25" s="15">
        <f>IF(OR(P24="",P4=""),"",IFERROR(P24/P4,""))</f>
        <v/>
      </c>
      <c r="Q25" s="15">
        <f>IF(OR(Q24="",Q4=""),"",IFERROR(Q24/Q4,""))</f>
        <v/>
      </c>
      <c r="R25" s="15">
        <f>IF(OR(R24="",R4=""),"",IFERROR(R24/R4,""))</f>
        <v/>
      </c>
      <c r="S25" s="15">
        <f>IF(OR(S24="",S4=""),"",IFERROR(S24/S4,""))</f>
        <v/>
      </c>
      <c r="T25" s="15">
        <f>IF(OR(T24="",T4=""),"",IFERROR(T24/T4,""))</f>
        <v/>
      </c>
      <c r="U25" s="15">
        <f>IF(OR(U24="",U4=""),"",IFERROR(U24/U4,""))</f>
        <v/>
      </c>
      <c r="V25" s="15">
        <f>IF(OR(V24="",V4=""),"",IFERROR(V24/V4,""))</f>
        <v/>
      </c>
      <c r="W25" s="15">
        <f>IF(OR(W24="",W4=""),"",IFERROR(W24/W4,""))</f>
        <v/>
      </c>
      <c r="X25" s="15">
        <f>IF(OR(X24="",X4=""),"",IFERROR(X24/X4,""))</f>
        <v/>
      </c>
      <c r="Y25" s="14" t="n"/>
      <c r="Z25" s="15" t="n"/>
      <c r="AA25" s="15" t="n"/>
      <c r="AB25" s="15" t="n"/>
      <c r="AC25" s="15" t="n"/>
    </row>
    <row r="26">
      <c r="A26" s="18" t="inlineStr">
        <is>
          <t>감가상각비</t>
        </is>
      </c>
      <c r="B26" s="10" t="inlineStr">
        <is>
          <t>고정비</t>
        </is>
      </c>
      <c r="C26" s="19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19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19" t="n"/>
      <c r="Z26" s="20" t="n"/>
      <c r="AA26" s="20" t="n"/>
      <c r="AB26" s="20" t="n"/>
      <c r="AC26" s="20" t="n"/>
    </row>
    <row r="27">
      <c r="A27" s="13" t="inlineStr">
        <is>
          <t>% of Sales</t>
        </is>
      </c>
      <c r="B27" s="10" t="n"/>
      <c r="C27" s="14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4">
        <f>IF(OR(O26="",O4=""),"",IFERROR(O26/O4,""))</f>
        <v/>
      </c>
      <c r="P27" s="15">
        <f>IF(OR(P26="",P4=""),"",IFERROR(P26/P4,""))</f>
        <v/>
      </c>
      <c r="Q27" s="15">
        <f>IF(OR(Q26="",Q4=""),"",IFERROR(Q26/Q4,""))</f>
        <v/>
      </c>
      <c r="R27" s="15">
        <f>IF(OR(R26="",R4=""),"",IFERROR(R26/R4,""))</f>
        <v/>
      </c>
      <c r="S27" s="15">
        <f>IF(OR(S26="",S4=""),"",IFERROR(S26/S4,""))</f>
        <v/>
      </c>
      <c r="T27" s="15">
        <f>IF(OR(T26="",T4=""),"",IFERROR(T26/T4,""))</f>
        <v/>
      </c>
      <c r="U27" s="15">
        <f>IF(OR(U26="",U4=""),"",IFERROR(U26/U4,""))</f>
        <v/>
      </c>
      <c r="V27" s="15">
        <f>IF(OR(V26="",V4=""),"",IFERROR(V26/V4,""))</f>
        <v/>
      </c>
      <c r="W27" s="15">
        <f>IF(OR(W26="",W4=""),"",IFERROR(W26/W4,""))</f>
        <v/>
      </c>
      <c r="X27" s="15">
        <f>IF(OR(X26="",X4=""),"",IFERROR(X26/X4,""))</f>
        <v/>
      </c>
      <c r="Y27" s="14" t="n"/>
      <c r="Z27" s="15" t="n"/>
      <c r="AA27" s="15" t="n"/>
      <c r="AB27" s="15" t="n"/>
      <c r="AC27" s="15" t="n"/>
    </row>
    <row r="28">
      <c r="A28" s="18" t="inlineStr">
        <is>
          <t>지급수수료</t>
        </is>
      </c>
      <c r="B28" s="10" t="inlineStr">
        <is>
          <t>고정비</t>
        </is>
      </c>
      <c r="C28" s="19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19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19" t="n"/>
      <c r="Z28" s="20" t="n"/>
      <c r="AA28" s="20" t="n"/>
      <c r="AB28" s="20" t="n"/>
      <c r="AC28" s="20" t="n"/>
    </row>
    <row r="29">
      <c r="A29" s="13" t="inlineStr">
        <is>
          <t>% of Sales</t>
        </is>
      </c>
      <c r="B29" s="10" t="n"/>
      <c r="C29" s="14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14" t="n"/>
      <c r="Z29" s="15" t="n"/>
      <c r="AA29" s="15" t="n"/>
      <c r="AB29" s="15" t="n"/>
      <c r="AC29" s="15" t="n"/>
    </row>
    <row r="30">
      <c r="A30" s="18" t="inlineStr">
        <is>
          <t>연구개발비</t>
        </is>
      </c>
      <c r="B30" s="10" t="inlineStr">
        <is>
          <t>변동비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기타비용</t>
        </is>
      </c>
      <c r="B32" s="10" t="inlineStr">
        <is>
          <t>변동비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>
        <f>IF(OR(O23="",O24="",O26="",O28="",O30=""),"",IFERROR(O23-O24-O26-O28-O30,""))</f>
        <v/>
      </c>
      <c r="P32" s="20">
        <f>IF(OR(P23="",P24="",P26="",P28="",P30=""),"",IFERROR(P23-P24-P26-P28-P30,""))</f>
        <v/>
      </c>
      <c r="Q32" s="20">
        <f>IF(OR(Q23="",Q24="",Q26="",Q28="",Q30=""),"",IFERROR(Q23-Q24-Q26-Q28-Q30,""))</f>
        <v/>
      </c>
      <c r="R32" s="20">
        <f>IF(OR(R23="",R24="",R26="",R28="",R30=""),"",IFERROR(R23-R24-R26-R28-R30,""))</f>
        <v/>
      </c>
      <c r="S32" s="20">
        <f>IF(OR(S23="",S24="",S26="",S28="",S30=""),"",IFERROR(S23-S24-S26-S28-S30,""))</f>
        <v/>
      </c>
      <c r="T32" s="20">
        <f>IF(OR(T23="",T24="",T26="",T28="",T30=""),"",IFERROR(T23-T24-T26-T28-T30,""))</f>
        <v/>
      </c>
      <c r="U32" s="20">
        <f>IF(OR(U23="",U24="",U26="",U28="",U30=""),"",IFERROR(U23-U24-U26-U28-U30,""))</f>
        <v/>
      </c>
      <c r="V32" s="20">
        <f>IF(OR(V23="",V24="",V26="",V28="",V30=""),"",IFERROR(V23-V24-V26-V28-V30,""))</f>
        <v/>
      </c>
      <c r="W32" s="20">
        <f>IF(OR(W23="",W24="",W26="",W28="",W30=""),"",IFERROR(W23-W24-W26-W28-W30,""))</f>
        <v/>
      </c>
      <c r="X32" s="20">
        <f>IF(OR(X23="",X24="",X26="",X28="",X30=""),"",IFERROR(X23-X24-X26-X28-X30,""))</f>
        <v/>
      </c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6" t="inlineStr">
        <is>
          <t>당기순이익 추정</t>
        </is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18" t="inlineStr">
        <is>
          <t>특별이익</t>
        </is>
      </c>
      <c r="B35" s="10" t="n"/>
      <c r="C35" s="19" t="n"/>
      <c r="D35" s="20" t="n">
        <v>0</v>
      </c>
      <c r="E35" s="20" t="n">
        <v>0</v>
      </c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 t="n"/>
      <c r="P35" s="20" t="n"/>
      <c r="Q35" s="20" t="n">
        <v>0</v>
      </c>
      <c r="R35" s="20" t="n">
        <v>9.65</v>
      </c>
      <c r="S35" s="20" t="n">
        <v>0</v>
      </c>
      <c r="T35" s="20" t="n">
        <v>220.845</v>
      </c>
      <c r="U35" s="20" t="n">
        <v>318.362</v>
      </c>
      <c r="V35" s="20" t="n">
        <v>0</v>
      </c>
      <c r="W35" s="20" t="n"/>
      <c r="X35" s="20" t="n"/>
      <c r="Y35" s="19">
        <f>IF(OR(Y4="",Y36=""),"",IFERROR(Y4*Y36,""))</f>
        <v/>
      </c>
      <c r="Z35" s="20">
        <f>IF(OR(Z4="",Z36=""),"",IFERROR(Z4*Z36,""))</f>
        <v/>
      </c>
      <c r="AA35" s="20">
        <f>IF(OR(AA4="",AA36=""),"",IFERROR(AA4*AA36,""))</f>
        <v/>
      </c>
      <c r="AB35" s="20">
        <f>IF(OR(AB4="",AB36=""),"",IFERROR(AB4*AB36,""))</f>
        <v/>
      </c>
      <c r="AC35" s="20">
        <f>IF(OR(AC4="",AC36=""),"",IFERROR(AC4*AC36,""))</f>
        <v/>
      </c>
    </row>
    <row r="36">
      <c r="A36" s="13" t="inlineStr">
        <is>
          <t>% of Sales</t>
        </is>
      </c>
      <c r="B36" s="10" t="inlineStr">
        <is>
          <t>MW = 최근 3년 평균</t>
        </is>
      </c>
      <c r="C36" s="14">
        <f>IF(OR(C35="",C4=""),"",IFERROR(C35/C4,""))</f>
        <v/>
      </c>
      <c r="D36" s="15">
        <f>IF(OR(D35="",D4=""),"",IFERROR(D35/D4,""))</f>
        <v/>
      </c>
      <c r="E36" s="15">
        <f>IF(OR(E35="",E4=""),"",IFERROR(E35/E4,""))</f>
        <v/>
      </c>
      <c r="F36" s="15">
        <f>IF(OR(F35="",F4=""),"",IFERROR(F35/F4,""))</f>
        <v/>
      </c>
      <c r="G36" s="15">
        <f>IF(OR(G35="",G4=""),"",IFERROR(G35/G4,""))</f>
        <v/>
      </c>
      <c r="H36" s="15">
        <f>IF(OR(H35="",H4=""),"",IFERROR(H35/H4,""))</f>
        <v/>
      </c>
      <c r="I36" s="15">
        <f>IF(OR(I35="",I4=""),"",IFERROR(I35/I4,""))</f>
        <v/>
      </c>
      <c r="J36" s="15">
        <f>IF(OR(J35="",J4=""),"",IFERROR(J35/J4,""))</f>
        <v/>
      </c>
      <c r="K36" s="15">
        <f>IF(OR(K35="",K4=""),"",IFERROR(K35/K4,""))</f>
        <v/>
      </c>
      <c r="L36" s="15">
        <f>IF(OR(L35="",L4=""),"",IFERROR(L35/L4,""))</f>
        <v/>
      </c>
      <c r="M36" s="15">
        <f>IF(OR(M35="",M4=""),"",IFERROR(M35/M4,""))</f>
        <v/>
      </c>
      <c r="N36" s="15">
        <f>IF(OR(N35="",N4=""),"",IFERROR(N35/N4,""))</f>
        <v/>
      </c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25">
        <f>IFERROR(AVERAGE(V36,W36,X36),"")</f>
        <v/>
      </c>
      <c r="Z36" s="26">
        <f>Y36</f>
        <v/>
      </c>
      <c r="AA36" s="26">
        <f>Z36</f>
        <v/>
      </c>
      <c r="AB36" s="26">
        <f>AA36</f>
        <v/>
      </c>
      <c r="AC36" s="26">
        <f>AB36</f>
        <v/>
      </c>
    </row>
    <row r="37">
      <c r="A37" s="18" t="inlineStr">
        <is>
          <t>특별손실</t>
        </is>
      </c>
      <c r="B37" s="10" t="n"/>
      <c r="C37" s="19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19" t="n">
        <v>0</v>
      </c>
      <c r="P37" s="20" t="n">
        <v>11.634</v>
      </c>
      <c r="Q37" s="20" t="n">
        <v>0</v>
      </c>
      <c r="R37" s="20" t="n"/>
      <c r="S37" s="20" t="n"/>
      <c r="T37" s="20" t="n"/>
      <c r="U37" s="20" t="n"/>
      <c r="V37" s="20" t="n"/>
      <c r="W37" s="20" t="n"/>
      <c r="X37" s="20" t="n"/>
      <c r="Y37" s="19">
        <f>IF(OR(Y4="",Y38=""),"",IFERROR(Y4*Y38,""))</f>
        <v/>
      </c>
      <c r="Z37" s="20">
        <f>IF(OR(Z4="",Z38=""),"",IFERROR(Z4*Z38,""))</f>
        <v/>
      </c>
      <c r="AA37" s="20">
        <f>IF(OR(AA4="",AA38=""),"",IFERROR(AA4*AA38,""))</f>
        <v/>
      </c>
      <c r="AB37" s="20">
        <f>IF(OR(AB4="",AB38=""),"",IFERROR(AB4*AB38,""))</f>
        <v/>
      </c>
      <c r="AC37" s="20">
        <f>IF(OR(AC4="",AC38=""),"",IFERROR(AC4*AC38,""))</f>
        <v/>
      </c>
    </row>
    <row r="38">
      <c r="A38" s="13" t="inlineStr">
        <is>
          <t>% of Sales</t>
        </is>
      </c>
      <c r="B38" s="10" t="n"/>
      <c r="C38" s="14">
        <f>IF(OR(C37="",C4=""),"",IFERROR(C37/C4,""))</f>
        <v/>
      </c>
      <c r="D38" s="15">
        <f>IF(OR(D37="",D4=""),"",IFERROR(D37/D4,""))</f>
        <v/>
      </c>
      <c r="E38" s="15">
        <f>IF(OR(E37="",E4=""),"",IFERROR(E37/E4,""))</f>
        <v/>
      </c>
      <c r="F38" s="15">
        <f>IF(OR(F37="",F4=""),"",IFERROR(F37/F4,""))</f>
        <v/>
      </c>
      <c r="G38" s="15">
        <f>IF(OR(G37="",G4=""),"",IFERROR(G37/G4,""))</f>
        <v/>
      </c>
      <c r="H38" s="15">
        <f>IF(OR(H37="",H4=""),"",IFERROR(H37/H4,""))</f>
        <v/>
      </c>
      <c r="I38" s="15">
        <f>IF(OR(I37="",I4=""),"",IFERROR(I37/I4,""))</f>
        <v/>
      </c>
      <c r="J38" s="15">
        <f>IF(OR(J37="",J4=""),"",IFERROR(J37/J4,""))</f>
        <v/>
      </c>
      <c r="K38" s="15">
        <f>IF(OR(K37="",K4=""),"",IFERROR(K37/K4,""))</f>
        <v/>
      </c>
      <c r="L38" s="15">
        <f>IF(OR(L37="",L4=""),"",IFERROR(L37/L4,""))</f>
        <v/>
      </c>
      <c r="M38" s="15">
        <f>IF(OR(M37="",M4=""),"",IFERROR(M37/M4,""))</f>
        <v/>
      </c>
      <c r="N38" s="15">
        <f>IF(OR(N37="",N4=""),"",IFERROR(N37/N4,""))</f>
        <v/>
      </c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25">
        <f>IFERROR(AVERAGE(V38,W38,X38),"")</f>
        <v/>
      </c>
      <c r="Z38" s="26">
        <f>Y38</f>
        <v/>
      </c>
      <c r="AA38" s="26">
        <f>Z38</f>
        <v/>
      </c>
      <c r="AB38" s="26">
        <f>AA38</f>
        <v/>
      </c>
      <c r="AC38" s="26">
        <f>AB38</f>
        <v/>
      </c>
    </row>
    <row r="39">
      <c r="A39" s="18" t="inlineStr">
        <is>
          <t>영업외수익</t>
        </is>
      </c>
      <c r="B39" s="10" t="n"/>
      <c r="C39" s="19" t="n">
        <v>143.882</v>
      </c>
      <c r="D39" s="20" t="n">
        <v>150.334</v>
      </c>
      <c r="E39" s="20" t="n">
        <v>-138.116</v>
      </c>
      <c r="F39" s="20" t="n">
        <v>173.011</v>
      </c>
      <c r="G39" s="20" t="n">
        <v>168.086</v>
      </c>
      <c r="H39" s="20" t="n">
        <v>265.79</v>
      </c>
      <c r="I39" s="20" t="n">
        <v>-245.431</v>
      </c>
      <c r="J39" s="20" t="n">
        <v>182.291</v>
      </c>
      <c r="K39" s="20" t="n">
        <v>183.203</v>
      </c>
      <c r="L39" s="20" t="n">
        <v>181.148</v>
      </c>
      <c r="M39" s="20" t="n">
        <v>36.369</v>
      </c>
      <c r="N39" s="20" t="n">
        <v>187.905</v>
      </c>
      <c r="O39" s="19" t="n">
        <v>284.987</v>
      </c>
      <c r="P39" s="20" t="n">
        <v>249.047</v>
      </c>
      <c r="Q39" s="20" t="n">
        <v>371.45</v>
      </c>
      <c r="R39" s="20" t="n">
        <v>213.06</v>
      </c>
      <c r="S39" s="20" t="n">
        <v>149.088</v>
      </c>
      <c r="T39" s="20" t="n">
        <v>418.208</v>
      </c>
      <c r="U39" s="20" t="n">
        <v>528.023</v>
      </c>
      <c r="V39" s="20" t="n">
        <v>301.604</v>
      </c>
      <c r="W39" s="20" t="n">
        <v>361.456</v>
      </c>
      <c r="X39" s="20" t="n">
        <v>583.011</v>
      </c>
      <c r="Y39" s="19">
        <f>IF(OR(Y4="",Y40=""),"",IFERROR(Y4*Y40,""))</f>
        <v/>
      </c>
      <c r="Z39" s="20">
        <f>IF(OR(Z4="",Z40=""),"",IFERROR(Z4*Z40,""))</f>
        <v/>
      </c>
      <c r="AA39" s="20">
        <f>IF(OR(AA4="",AA40=""),"",IFERROR(AA4*AA40,""))</f>
        <v/>
      </c>
      <c r="AB39" s="20">
        <f>IF(OR(AB4="",AB40=""),"",IFERROR(AB4*AB40,""))</f>
        <v/>
      </c>
      <c r="AC39" s="20">
        <f>IF(OR(AC4="",AC40=""),"",IFERROR(AC4*AC40,""))</f>
        <v/>
      </c>
    </row>
    <row r="40">
      <c r="A40" s="13" t="inlineStr">
        <is>
          <t>% of Sales</t>
        </is>
      </c>
      <c r="B40" s="10" t="n"/>
      <c r="C40" s="14">
        <f>IF(OR(C39="",C4=""),"",IFERROR(C39/C4,""))</f>
        <v/>
      </c>
      <c r="D40" s="15">
        <f>IF(OR(D39="",D4=""),"",IFERROR(D39/D4,""))</f>
        <v/>
      </c>
      <c r="E40" s="15">
        <f>IF(OR(E39="",E4=""),"",IFERROR(E39/E4,""))</f>
        <v/>
      </c>
      <c r="F40" s="15">
        <f>IF(OR(F39="",F4=""),"",IFERROR(F39/F4,""))</f>
        <v/>
      </c>
      <c r="G40" s="15">
        <f>IF(OR(G39="",G4=""),"",IFERROR(G39/G4,""))</f>
        <v/>
      </c>
      <c r="H40" s="15">
        <f>IF(OR(H39="",H4=""),"",IFERROR(H39/H4,""))</f>
        <v/>
      </c>
      <c r="I40" s="15">
        <f>IF(OR(I39="",I4=""),"",IFERROR(I39/I4,""))</f>
        <v/>
      </c>
      <c r="J40" s="15">
        <f>IF(OR(J39="",J4=""),"",IFERROR(J39/J4,""))</f>
        <v/>
      </c>
      <c r="K40" s="15">
        <f>IF(OR(K39="",K4=""),"",IFERROR(K39/K4,""))</f>
        <v/>
      </c>
      <c r="L40" s="15">
        <f>IF(OR(L39="",L4=""),"",IFERROR(L39/L4,""))</f>
        <v/>
      </c>
      <c r="M40" s="15">
        <f>IF(OR(M39="",M4=""),"",IFERROR(M39/M4,""))</f>
        <v/>
      </c>
      <c r="N40" s="15">
        <f>IF(OR(N39="",N4=""),"",IFERROR(N39/N4,""))</f>
        <v/>
      </c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25">
        <f>IFERROR(AVERAGE(V40,W40,X40),"")</f>
        <v/>
      </c>
      <c r="Z40" s="26">
        <f>Y40</f>
        <v/>
      </c>
      <c r="AA40" s="26">
        <f>Z40</f>
        <v/>
      </c>
      <c r="AB40" s="26">
        <f>AA40</f>
        <v/>
      </c>
      <c r="AC40" s="26">
        <f>AB40</f>
        <v/>
      </c>
    </row>
    <row r="41">
      <c r="A41" s="18" t="inlineStr">
        <is>
          <t>영업외비용</t>
        </is>
      </c>
      <c r="B41" s="10" t="n"/>
      <c r="C41" s="19" t="n">
        <v>14.298</v>
      </c>
      <c r="D41" s="20" t="n">
        <v>50.396</v>
      </c>
      <c r="E41" s="20" t="n">
        <v>5.961</v>
      </c>
      <c r="F41" s="20" t="n">
        <v>22.681</v>
      </c>
      <c r="G41" s="20" t="n">
        <v>27.514</v>
      </c>
      <c r="H41" s="20" t="n">
        <v>26.673</v>
      </c>
      <c r="I41" s="20" t="n">
        <v>8.577999999999999</v>
      </c>
      <c r="J41" s="20" t="n">
        <v>6.159</v>
      </c>
      <c r="K41" s="20" t="n">
        <v>9.99</v>
      </c>
      <c r="L41" s="20" t="n">
        <v>2.493</v>
      </c>
      <c r="M41" s="20" t="n">
        <v>26.463</v>
      </c>
      <c r="N41" s="20" t="n">
        <v>1.358</v>
      </c>
      <c r="O41" s="19" t="n">
        <v>16.196</v>
      </c>
      <c r="P41" s="20" t="n">
        <v>69.65000000000001</v>
      </c>
      <c r="Q41" s="20" t="n">
        <v>31.202</v>
      </c>
      <c r="R41" s="20" t="n">
        <v>22.753</v>
      </c>
      <c r="S41" s="20" t="n">
        <v>103.875</v>
      </c>
      <c r="T41" s="20" t="n">
        <v>15.89</v>
      </c>
      <c r="U41" s="20" t="n">
        <v>22.217</v>
      </c>
      <c r="V41" s="20" t="n">
        <v>90.06100000000001</v>
      </c>
      <c r="W41" s="20" t="n">
        <v>85.446</v>
      </c>
      <c r="X41" s="20" t="n">
        <v>45.105</v>
      </c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n"/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579.655</v>
      </c>
      <c r="D43" s="12" t="n">
        <v>1063.876</v>
      </c>
      <c r="E43" s="12" t="n">
        <v>819.545</v>
      </c>
      <c r="F43" s="12" t="n">
        <v>621.124</v>
      </c>
      <c r="G43" s="12" t="n">
        <v>807.151</v>
      </c>
      <c r="H43" s="12" t="n">
        <v>1158.067</v>
      </c>
      <c r="I43" s="12" t="n">
        <v>935.528</v>
      </c>
      <c r="J43" s="12" t="n">
        <v>809.747</v>
      </c>
      <c r="K43" s="12" t="n">
        <v>1007.175</v>
      </c>
      <c r="L43" s="12" t="n">
        <v>936.46</v>
      </c>
      <c r="M43" s="12" t="n">
        <v>975.391</v>
      </c>
      <c r="N43" s="12" t="n">
        <v>576.021</v>
      </c>
      <c r="O43" s="11" t="n">
        <v>2162.958</v>
      </c>
      <c r="P43" s="12" t="n">
        <v>2616.842</v>
      </c>
      <c r="Q43" s="12" t="n">
        <v>2249.507</v>
      </c>
      <c r="R43" s="12" t="n">
        <v>2845.44</v>
      </c>
      <c r="S43" s="12" t="n">
        <v>2423.63</v>
      </c>
      <c r="T43" s="12" t="n">
        <v>2555.891</v>
      </c>
      <c r="U43" s="12" t="n">
        <v>1789.922</v>
      </c>
      <c r="V43" s="12" t="n">
        <v>3007.009</v>
      </c>
      <c r="W43" s="12" t="n">
        <v>3521.87</v>
      </c>
      <c r="X43" s="12" t="n">
        <v>3728.773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8" t="inlineStr">
        <is>
          <t>법인세비용(수익)</t>
        </is>
      </c>
      <c r="B44" s="10" t="n"/>
      <c r="C44" s="19" t="n">
        <v>128.638</v>
      </c>
      <c r="D44" s="20" t="n">
        <v>249.529</v>
      </c>
      <c r="E44" s="20" t="n">
        <v>197.974</v>
      </c>
      <c r="F44" s="20" t="n">
        <v>447.165</v>
      </c>
      <c r="G44" s="20" t="n">
        <v>196.811</v>
      </c>
      <c r="H44" s="20" t="n">
        <v>162.434</v>
      </c>
      <c r="I44" s="20" t="n">
        <v>224.17</v>
      </c>
      <c r="J44" s="20" t="n">
        <v>328.752</v>
      </c>
      <c r="K44" s="20" t="n">
        <v>321.738</v>
      </c>
      <c r="L44" s="20" t="n">
        <v>216.136</v>
      </c>
      <c r="M44" s="20" t="n">
        <v>54.025</v>
      </c>
      <c r="N44" s="20" t="n">
        <v>352.166</v>
      </c>
      <c r="O44" s="19" t="n">
        <v>612.168</v>
      </c>
      <c r="P44" s="20" t="n">
        <v>794.726</v>
      </c>
      <c r="Q44" s="20" t="n">
        <v>685.625</v>
      </c>
      <c r="R44" s="20" t="n">
        <v>852.3630000000001</v>
      </c>
      <c r="S44" s="20" t="n">
        <v>770.901</v>
      </c>
      <c r="T44" s="20" t="n">
        <v>693.8200000000001</v>
      </c>
      <c r="U44" s="20" t="n">
        <v>454.645</v>
      </c>
      <c r="V44" s="20" t="n">
        <v>877.729</v>
      </c>
      <c r="W44" s="20" t="n">
        <v>1030.58</v>
      </c>
      <c r="X44" s="20" t="n">
        <v>920.651</v>
      </c>
      <c r="Y44" s="19">
        <f>IF(OR(Y43="",Y45=""),"",IFERROR(MAX(Y43,0)*Y45,""))</f>
        <v/>
      </c>
      <c r="Z44" s="20">
        <f>IF(OR(Z43="",Z45=""),"",IFERROR(MAX(Z43,0)*Z45,""))</f>
        <v/>
      </c>
      <c r="AA44" s="20">
        <f>IF(OR(AA43="",AA45=""),"",IFERROR(MAX(AA43,0)*AA45,""))</f>
        <v/>
      </c>
      <c r="AB44" s="20">
        <f>IF(OR(AB43="",AB45=""),"",IFERROR(MAX(AB43,0)*AB45,""))</f>
        <v/>
      </c>
      <c r="AC44" s="20">
        <f>IF(OR(AC43="",AC45=""),"",IFERROR(MAX(AC43,0)*AC45,""))</f>
        <v/>
      </c>
    </row>
    <row r="45">
      <c r="A45" s="13" t="inlineStr">
        <is>
          <t>법인세율</t>
        </is>
      </c>
      <c r="B45" s="10" t="inlineStr">
        <is>
          <t>MW 기본 30%</t>
        </is>
      </c>
      <c r="C45" s="14">
        <f>IF(OR(C44="",C43=""),"",IFERROR(C44/C43,""))</f>
        <v/>
      </c>
      <c r="D45" s="15">
        <f>IF(OR(D44="",D43=""),"",IFERROR(D44/D43,""))</f>
        <v/>
      </c>
      <c r="E45" s="15">
        <f>IF(OR(E44="",E43=""),"",IFERROR(E44/E43,""))</f>
        <v/>
      </c>
      <c r="F45" s="15">
        <f>IF(OR(F44="",F43=""),"",IFERROR(F44/F43,""))</f>
        <v/>
      </c>
      <c r="G45" s="15">
        <f>IF(OR(G44="",G43=""),"",IFERROR(G44/G43,""))</f>
        <v/>
      </c>
      <c r="H45" s="15">
        <f>IF(OR(H44="",H43=""),"",IFERROR(H44/H43,""))</f>
        <v/>
      </c>
      <c r="I45" s="15">
        <f>IF(OR(I44="",I43=""),"",IFERROR(I44/I43,""))</f>
        <v/>
      </c>
      <c r="J45" s="15">
        <f>IF(OR(J44="",J43=""),"",IFERROR(J44/J43,""))</f>
        <v/>
      </c>
      <c r="K45" s="15">
        <f>IF(OR(K44="",K43=""),"",IFERROR(K44/K43,""))</f>
        <v/>
      </c>
      <c r="L45" s="15">
        <f>IF(OR(L44="",L43=""),"",IFERROR(L44/L43,""))</f>
        <v/>
      </c>
      <c r="M45" s="15">
        <f>IF(OR(M44="",M43=""),"",IFERROR(M44/M43,""))</f>
        <v/>
      </c>
      <c r="N45" s="15">
        <f>IF(OR(N44="",N43=""),"",IFERROR(N44/N43,""))</f>
        <v/>
      </c>
      <c r="O45" s="14">
        <f>IF(OR(O44="",O43=""),"",IFERROR(O44/O43,""))</f>
        <v/>
      </c>
      <c r="P45" s="15">
        <f>IF(OR(P44="",P43=""),"",IFERROR(P44/P43,""))</f>
        <v/>
      </c>
      <c r="Q45" s="15">
        <f>IF(OR(Q44="",Q43=""),"",IFERROR(Q44/Q43,""))</f>
        <v/>
      </c>
      <c r="R45" s="15">
        <f>IF(OR(R44="",R43=""),"",IFERROR(R44/R43,""))</f>
        <v/>
      </c>
      <c r="S45" s="15">
        <f>IF(OR(S44="",S43=""),"",IFERROR(S44/S43,""))</f>
        <v/>
      </c>
      <c r="T45" s="15">
        <f>IF(OR(T44="",T43=""),"",IFERROR(T44/T43,""))</f>
        <v/>
      </c>
      <c r="U45" s="15">
        <f>IF(OR(U44="",U43=""),"",IFERROR(U44/U43,""))</f>
        <v/>
      </c>
      <c r="V45" s="15">
        <f>IF(OR(V44="",V43=""),"",IFERROR(V44/V43,""))</f>
        <v/>
      </c>
      <c r="W45" s="15">
        <f>IF(OR(W44="",W43=""),"",IFERROR(W44/W43,""))</f>
        <v/>
      </c>
      <c r="X45" s="15">
        <f>IF(OR(X44="",X43=""),"",IFERROR(X44/X43,""))</f>
        <v/>
      </c>
      <c r="Y45" s="25" t="n">
        <v>0.3</v>
      </c>
      <c r="Z45" s="26" t="n">
        <v>0.3</v>
      </c>
      <c r="AA45" s="26" t="n">
        <v>0.3</v>
      </c>
      <c r="AB45" s="26" t="n">
        <v>0.3</v>
      </c>
      <c r="AC45" s="26" t="n">
        <v>0.3</v>
      </c>
    </row>
    <row r="46">
      <c r="A46" s="9" t="inlineStr">
        <is>
          <t>당기순이익(손실)</t>
        </is>
      </c>
      <c r="B46" s="10" t="n"/>
      <c r="C46" s="11" t="n">
        <v>451.016</v>
      </c>
      <c r="D46" s="12" t="n">
        <v>814.347</v>
      </c>
      <c r="E46" s="12" t="n">
        <v>621.571</v>
      </c>
      <c r="F46" s="12" t="n">
        <v>173.958</v>
      </c>
      <c r="G46" s="12" t="n">
        <v>610.341</v>
      </c>
      <c r="H46" s="12" t="n">
        <v>995.6319999999999</v>
      </c>
      <c r="I46" s="12" t="n">
        <v>711.3579999999999</v>
      </c>
      <c r="J46" s="12" t="n">
        <v>480.994</v>
      </c>
      <c r="K46" s="12" t="n">
        <v>685.438</v>
      </c>
      <c r="L46" s="12" t="n">
        <v>720.323</v>
      </c>
      <c r="M46" s="12" t="n">
        <v>921.366</v>
      </c>
      <c r="N46" s="12" t="n">
        <v>223.855</v>
      </c>
      <c r="O46" s="11" t="n">
        <v>1550.79</v>
      </c>
      <c r="P46" s="12" t="n">
        <v>1822.116</v>
      </c>
      <c r="Q46" s="12" t="n">
        <v>1563.881</v>
      </c>
      <c r="R46" s="12" t="n">
        <v>1993.077</v>
      </c>
      <c r="S46" s="12" t="n">
        <v>1652.729</v>
      </c>
      <c r="T46" s="12" t="n">
        <v>1862.07</v>
      </c>
      <c r="U46" s="12" t="n">
        <v>1335.276</v>
      </c>
      <c r="V46" s="12" t="n">
        <v>2129.279</v>
      </c>
      <c r="W46" s="12" t="n">
        <v>2491.289</v>
      </c>
      <c r="X46" s="12" t="n">
        <v>2808.121</v>
      </c>
      <c r="Y46" s="11">
        <f>IF(OR(Y43=""),"",IFERROR(Y43-Y44,""))</f>
        <v/>
      </c>
      <c r="Z46" s="12">
        <f>IF(OR(Z43=""),"",IFERROR(Z43-Z44,""))</f>
        <v/>
      </c>
      <c r="AA46" s="12">
        <f>IF(OR(AA43=""),"",IFERROR(AA43-AA44,""))</f>
        <v/>
      </c>
      <c r="AB46" s="12">
        <f>IF(OR(AB43=""),"",IFERROR(AB43-AB44,""))</f>
        <v/>
      </c>
      <c r="AC46" s="12">
        <f>IF(OR(AC43=""),"",IFERROR(AC43-AC44,""))</f>
        <v/>
      </c>
    </row>
    <row r="47">
      <c r="A47" s="9" t="inlineStr">
        <is>
          <t>지배주주 순이익</t>
        </is>
      </c>
      <c r="B47" s="10" t="n"/>
      <c r="C47" s="11" t="n">
        <v>434.966</v>
      </c>
      <c r="D47" s="12" t="n">
        <v>799.0599999999999</v>
      </c>
      <c r="E47" s="12" t="n">
        <v>599.485</v>
      </c>
      <c r="F47" s="12" t="n">
        <v>160.915</v>
      </c>
      <c r="G47" s="12" t="n">
        <v>602.422</v>
      </c>
      <c r="H47" s="12" t="n">
        <v>962.934</v>
      </c>
      <c r="I47" s="12" t="n">
        <v>676.92</v>
      </c>
      <c r="J47" s="12" t="n">
        <v>462.261</v>
      </c>
      <c r="K47" s="12" t="n">
        <v>665.8680000000001</v>
      </c>
      <c r="L47" s="12" t="n">
        <v>695.213</v>
      </c>
      <c r="M47" s="12" t="n">
        <v>865.5549999999999</v>
      </c>
      <c r="N47" s="12" t="n">
        <v>209.349</v>
      </c>
      <c r="O47" s="11" t="n">
        <v>1528.126</v>
      </c>
      <c r="P47" s="12" t="n">
        <v>1802.419</v>
      </c>
      <c r="Q47" s="12" t="n">
        <v>1521.58</v>
      </c>
      <c r="R47" s="12" t="n">
        <v>1942.395</v>
      </c>
      <c r="S47" s="12" t="n">
        <v>1620.236</v>
      </c>
      <c r="T47" s="12" t="n">
        <v>1813.411</v>
      </c>
      <c r="U47" s="12" t="n">
        <v>1267.565</v>
      </c>
      <c r="V47" s="12" t="n">
        <v>2058.629</v>
      </c>
      <c r="W47" s="12" t="n">
        <v>2403.191</v>
      </c>
      <c r="X47" s="12" t="n">
        <v>2688.897</v>
      </c>
      <c r="Y47" s="11">
        <f>IF(OR(Y46="",Y48=""),"",IFERROR(Y46*Y48,""))</f>
        <v/>
      </c>
      <c r="Z47" s="12">
        <f>IF(OR(Z46="",Z48=""),"",IFERROR(Z46*Z48,""))</f>
        <v/>
      </c>
      <c r="AA47" s="12">
        <f>IF(OR(AA46="",AA48=""),"",IFERROR(AA46*AA48,""))</f>
        <v/>
      </c>
      <c r="AB47" s="12">
        <f>IF(OR(AB46="",AB48=""),"",IFERROR(AB46*AB48,""))</f>
        <v/>
      </c>
      <c r="AC47" s="12">
        <f>IF(OR(AC46="",AC48=""),"",IFERROR(AC46*AC48,""))</f>
        <v/>
      </c>
    </row>
    <row r="48">
      <c r="A48" s="13" t="inlineStr">
        <is>
          <t>지배주주 순이익률</t>
        </is>
      </c>
      <c r="B48" s="10" t="inlineStr">
        <is>
          <t>MW 기본 100%</t>
        </is>
      </c>
      <c r="C48" s="14">
        <f>IF(OR(C47="",C46=""),"",IFERROR(C47/C46,""))</f>
        <v/>
      </c>
      <c r="D48" s="15">
        <f>IF(OR(D47="",D46=""),"",IFERROR(D47/D46,""))</f>
        <v/>
      </c>
      <c r="E48" s="15">
        <f>IF(OR(E47="",E46=""),"",IFERROR(E47/E46,""))</f>
        <v/>
      </c>
      <c r="F48" s="15">
        <f>IF(OR(F47="",F46=""),"",IFERROR(F47/F46,""))</f>
        <v/>
      </c>
      <c r="G48" s="15">
        <f>IF(OR(G47="",G46=""),"",IFERROR(G47/G46,""))</f>
        <v/>
      </c>
      <c r="H48" s="15">
        <f>IF(OR(H47="",H46=""),"",IFERROR(H47/H46,""))</f>
        <v/>
      </c>
      <c r="I48" s="15">
        <f>IF(OR(I47="",I46=""),"",IFERROR(I47/I46,""))</f>
        <v/>
      </c>
      <c r="J48" s="15">
        <f>IF(OR(J47="",J46=""),"",IFERROR(J47/J46,""))</f>
        <v/>
      </c>
      <c r="K48" s="15">
        <f>IF(OR(K47="",K46=""),"",IFERROR(K47/K46,""))</f>
        <v/>
      </c>
      <c r="L48" s="15">
        <f>IF(OR(L47="",L46=""),"",IFERROR(L47/L46,""))</f>
        <v/>
      </c>
      <c r="M48" s="15">
        <f>IF(OR(M47="",M46=""),"",IFERROR(M47/M46,""))</f>
        <v/>
      </c>
      <c r="N48" s="15">
        <f>IF(OR(N47="",N46=""),"",IFERROR(N47/N46,""))</f>
        <v/>
      </c>
      <c r="O48" s="14">
        <f>IF(OR(O47="",O46=""),"",IFERROR(O47/O46,""))</f>
        <v/>
      </c>
      <c r="P48" s="15">
        <f>IF(OR(P47="",P46=""),"",IFERROR(P47/P46,""))</f>
        <v/>
      </c>
      <c r="Q48" s="15">
        <f>IF(OR(Q47="",Q46=""),"",IFERROR(Q47/Q46,""))</f>
        <v/>
      </c>
      <c r="R48" s="15">
        <f>IF(OR(R47="",R46=""),"",IFERROR(R47/R46,""))</f>
        <v/>
      </c>
      <c r="S48" s="15">
        <f>IF(OR(S47="",S46=""),"",IFERROR(S47/S46,""))</f>
        <v/>
      </c>
      <c r="T48" s="15">
        <f>IF(OR(T47="",T46=""),"",IFERROR(T47/T46,""))</f>
        <v/>
      </c>
      <c r="U48" s="15">
        <f>IF(OR(U47="",U46=""),"",IFERROR(U47/U46,""))</f>
        <v/>
      </c>
      <c r="V48" s="15">
        <f>IF(OR(V47="",V46=""),"",IFERROR(V47/V46,""))</f>
        <v/>
      </c>
      <c r="W48" s="15">
        <f>IF(OR(W47="",W46=""),"",IFERROR(W47/W46,""))</f>
        <v/>
      </c>
      <c r="X48" s="15">
        <f>IF(OR(X47="",X46=""),"",IFERROR(X47/X46,""))</f>
        <v/>
      </c>
      <c r="Y48" s="25" t="n">
        <v>1</v>
      </c>
      <c r="Z48" s="26" t="n">
        <v>1</v>
      </c>
      <c r="AA48" s="26" t="n">
        <v>1</v>
      </c>
      <c r="AB48" s="26" t="n">
        <v>1</v>
      </c>
      <c r="AC48" s="26" t="n">
        <v>1</v>
      </c>
    </row>
    <row r="49">
      <c r="A49" s="16" t="inlineStr">
        <is>
          <t>목표주가 산출</t>
        </is>
      </c>
      <c r="B49" s="16" t="n"/>
      <c r="C49" s="17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7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7" t="n"/>
      <c r="Z49" s="16" t="n"/>
      <c r="AA49" s="16" t="n"/>
      <c r="AB49" s="16" t="n"/>
      <c r="AC49" s="16" t="n"/>
    </row>
    <row r="50">
      <c r="A50" s="18" t="inlineStr">
        <is>
          <t>현재 주가 ()</t>
        </is>
      </c>
      <c r="B50" s="27" t="n"/>
      <c r="C50" s="28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8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8" t="n"/>
      <c r="Z50" s="29" t="n"/>
      <c r="AA50" s="29" t="n"/>
      <c r="AB50" s="29" t="n"/>
      <c r="AC50" s="29" t="n"/>
    </row>
    <row r="51">
      <c r="A51" s="18" t="inlineStr">
        <is>
          <t>발행주식수 (보통주)</t>
        </is>
      </c>
      <c r="B51" s="27" t="n"/>
      <c r="C51" s="28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8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8" t="n"/>
      <c r="Z51" s="29" t="n"/>
      <c r="AA51" s="29" t="n"/>
      <c r="AB51" s="29" t="n"/>
      <c r="AC51" s="29" t="n"/>
    </row>
    <row r="52">
      <c r="A52" s="18" t="inlineStr">
        <is>
          <t>시가총액 (백만엔)</t>
        </is>
      </c>
      <c r="B52" s="12">
        <f>IF(OR(B50="",B51=""),"",B50*B51/1000000.0)</f>
        <v/>
      </c>
      <c r="C52" s="19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19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19" t="n"/>
      <c r="Z52" s="20" t="n"/>
      <c r="AA52" s="20" t="n"/>
      <c r="AB52" s="20" t="n"/>
      <c r="AC52" s="20" t="n"/>
    </row>
    <row r="53">
      <c r="A53" s="13" t="inlineStr">
        <is>
          <t>OPM</t>
        </is>
      </c>
      <c r="B53" s="10" t="n"/>
      <c r="C53" s="14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4">
        <f>IF(O20="","",O20)</f>
        <v/>
      </c>
      <c r="P53" s="15">
        <f>IF(P20="","",P20)</f>
        <v/>
      </c>
      <c r="Q53" s="15">
        <f>IF(Q20="","",Q20)</f>
        <v/>
      </c>
      <c r="R53" s="15">
        <f>IF(R20="","",R20)</f>
        <v/>
      </c>
      <c r="S53" s="15">
        <f>IF(S20="","",S20)</f>
        <v/>
      </c>
      <c r="T53" s="15">
        <f>IF(T20="","",T20)</f>
        <v/>
      </c>
      <c r="U53" s="15">
        <f>IF(U20="","",U20)</f>
        <v/>
      </c>
      <c r="V53" s="15">
        <f>IF(V20="","",V20)</f>
        <v/>
      </c>
      <c r="W53" s="15">
        <f>IF(W20="","",W20)</f>
        <v/>
      </c>
      <c r="X53" s="15">
        <f>IF(X20="","",X20)</f>
        <v/>
      </c>
      <c r="Y53" s="14">
        <f>IF(Y20="","",Y20)</f>
        <v/>
      </c>
      <c r="Z53" s="15">
        <f>IF(Z20="","",Z20)</f>
        <v/>
      </c>
      <c r="AA53" s="15">
        <f>IF(AA20="","",AA20)</f>
        <v/>
      </c>
      <c r="AB53" s="15">
        <f>IF(AB20="","",AB20)</f>
        <v/>
      </c>
      <c r="AC53" s="15">
        <f>IF(AC20="","",AC20)</f>
        <v/>
      </c>
    </row>
    <row r="54">
      <c r="A54" s="13" t="inlineStr">
        <is>
          <t>지배주주 순이익 증가율</t>
        </is>
      </c>
      <c r="B54" s="10" t="n"/>
      <c r="C54" s="14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4" t="n"/>
      <c r="P54" s="15">
        <f>IF(OR(P47="",O47=""),"",IFERROR(P47/O47-1,""))</f>
        <v/>
      </c>
      <c r="Q54" s="15">
        <f>IF(OR(Q47="",P47=""),"",IFERROR(Q47/P47-1,""))</f>
        <v/>
      </c>
      <c r="R54" s="15">
        <f>IF(OR(R47="",Q47=""),"",IFERROR(R47/Q47-1,""))</f>
        <v/>
      </c>
      <c r="S54" s="15">
        <f>IF(OR(S47="",R47=""),"",IFERROR(S47/R47-1,""))</f>
        <v/>
      </c>
      <c r="T54" s="15">
        <f>IF(OR(T47="",S47=""),"",IFERROR(T47/S47-1,""))</f>
        <v/>
      </c>
      <c r="U54" s="15">
        <f>IF(OR(U47="",T47=""),"",IFERROR(U47/T47-1,""))</f>
        <v/>
      </c>
      <c r="V54" s="15">
        <f>IF(OR(V47="",U47=""),"",IFERROR(V47/U47-1,""))</f>
        <v/>
      </c>
      <c r="W54" s="15">
        <f>IF(OR(W47="",V47=""),"",IFERROR(W47/V47-1,""))</f>
        <v/>
      </c>
      <c r="X54" s="15">
        <f>IF(OR(X47="",W47=""),"",IFERROR(X47/W47-1,""))</f>
        <v/>
      </c>
      <c r="Y54" s="14">
        <f>IF(OR(Y47="",X47=""),"",IFERROR(Y47/X47-1,""))</f>
        <v/>
      </c>
      <c r="Z54" s="15">
        <f>IF(OR(Z47="",Y47=""),"",IFERROR(Z47/Y47-1,""))</f>
        <v/>
      </c>
      <c r="AA54" s="15">
        <f>IF(OR(AA47="",Z47=""),"",IFERROR(AA47/Z47-1,""))</f>
        <v/>
      </c>
      <c r="AB54" s="15">
        <f>IF(OR(AB47="",AA47=""),"",IFERROR(AB47/AA47-1,""))</f>
        <v/>
      </c>
      <c r="AC54" s="15">
        <f>IF(OR(AC47="",AB47=""),"",IFERROR(AC47/AB47-1,""))</f>
        <v/>
      </c>
    </row>
    <row r="55">
      <c r="A55" s="18" t="inlineStr">
        <is>
          <t>P/E (현재 주가)</t>
        </is>
      </c>
      <c r="B55" s="10" t="inlineStr">
        <is>
          <t>시총 ÷ 지배순이익</t>
        </is>
      </c>
      <c r="C55" s="30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0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>
        <f>IF(OR($B$52="",X47=""),"",IFERROR($B$52/X47,""))</f>
        <v/>
      </c>
      <c r="Y55" s="30">
        <f>IF(OR($B$52="",Y47=""),"",IFERROR($B$52/Y47,""))</f>
        <v/>
      </c>
      <c r="Z55" s="31">
        <f>IF(OR($B$52="",Z47=""),"",IFERROR($B$52/Z47,""))</f>
        <v/>
      </c>
      <c r="AA55" s="31">
        <f>IF(OR($B$52="",AA47=""),"",IFERROR($B$52/AA47,""))</f>
        <v/>
      </c>
      <c r="AB55" s="31">
        <f>IF(OR($B$52="",AB47=""),"",IFERROR($B$52/AB47,""))</f>
        <v/>
      </c>
      <c r="AC55" s="31">
        <f>IF(OR($B$52="",AC47=""),"",IFERROR($B$52/AC47,""))</f>
        <v/>
      </c>
    </row>
    <row r="56">
      <c r="A56" s="18" t="inlineStr">
        <is>
          <t>Target P/E</t>
        </is>
      </c>
      <c r="B56" s="10" t="inlineStr">
        <is>
          <t>직접 입력</t>
        </is>
      </c>
      <c r="C56" s="30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0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2" t="n"/>
      <c r="Z56" s="33" t="n"/>
      <c r="AA56" s="33" t="n"/>
      <c r="AB56" s="33" t="n"/>
      <c r="AC56" s="33" t="n"/>
    </row>
    <row r="57">
      <c r="A57" s="18" t="inlineStr">
        <is>
          <t>EPS</t>
        </is>
      </c>
      <c r="B57" s="10" t="inlineStr">
        <is>
          <t>지배순이익 ÷ 주식수</t>
        </is>
      </c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8">
        <f>IF(OR(O47="",$B$51=""),"",IFERROR(O47*1000000.0/$B$51,""))</f>
        <v/>
      </c>
      <c r="P57" s="29">
        <f>IF(OR(P47="",$B$51=""),"",IFERROR(P47*1000000.0/$B$51,""))</f>
        <v/>
      </c>
      <c r="Q57" s="29">
        <f>IF(OR(Q47="",$B$51=""),"",IFERROR(Q47*1000000.0/$B$51,""))</f>
        <v/>
      </c>
      <c r="R57" s="29">
        <f>IF(OR(R47="",$B$51=""),"",IFERROR(R47*1000000.0/$B$51,""))</f>
        <v/>
      </c>
      <c r="S57" s="29">
        <f>IF(OR(S47="",$B$51=""),"",IFERROR(S47*1000000.0/$B$51,""))</f>
        <v/>
      </c>
      <c r="T57" s="29">
        <f>IF(OR(T47="",$B$51=""),"",IFERROR(T47*1000000.0/$B$51,""))</f>
        <v/>
      </c>
      <c r="U57" s="29">
        <f>IF(OR(U47="",$B$51=""),"",IFERROR(U47*1000000.0/$B$51,""))</f>
        <v/>
      </c>
      <c r="V57" s="29">
        <f>IF(OR(V47="",$B$51=""),"",IFERROR(V47*1000000.0/$B$51,""))</f>
        <v/>
      </c>
      <c r="W57" s="29">
        <f>IF(OR(W47="",$B$51=""),"",IFERROR(W47*1000000.0/$B$51,""))</f>
        <v/>
      </c>
      <c r="X57" s="29">
        <f>IF(OR(X47="",$B$51=""),"",IFERROR(X47*1000000.0/$B$51,""))</f>
        <v/>
      </c>
      <c r="Y57" s="28">
        <f>IF(OR(Y47="",$B$51=""),"",IFERROR(Y47*1000000.0/$B$51,""))</f>
        <v/>
      </c>
      <c r="Z57" s="29">
        <f>IF(OR(Z47="",$B$51=""),"",IFERROR(Z47*1000000.0/$B$51,""))</f>
        <v/>
      </c>
      <c r="AA57" s="29">
        <f>IF(OR(AA47="",$B$51=""),"",IFERROR(AA47*1000000.0/$B$51,""))</f>
        <v/>
      </c>
      <c r="AB57" s="29">
        <f>IF(OR(AB47="",$B$51=""),"",IFERROR(AB47*1000000.0/$B$51,""))</f>
        <v/>
      </c>
      <c r="AC57" s="29">
        <f>IF(OR(AC47="",$B$51=""),"",IFERROR(AC47*1000000.0/$B$51,""))</f>
        <v/>
      </c>
    </row>
    <row r="58">
      <c r="A58" s="9" t="inlineStr">
        <is>
          <t>목표주가</t>
        </is>
      </c>
      <c r="B58" s="10" t="n"/>
      <c r="C58" s="34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34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34">
        <f>IF(OR(Y57="",Y56=""),"",IFERROR(Y57*Y56,""))</f>
        <v/>
      </c>
      <c r="Z58" s="27">
        <f>IF(OR(Z57="",Z56=""),"",IFERROR(Z57*Z56,""))</f>
        <v/>
      </c>
      <c r="AA58" s="27">
        <f>IF(OR(AA57="",AA56=""),"",IFERROR(AA57*AA56,""))</f>
        <v/>
      </c>
      <c r="AB58" s="27">
        <f>IF(OR(AB57="",AB56=""),"",IFERROR(AB57*AB56,""))</f>
        <v/>
      </c>
      <c r="AC58" s="27">
        <f>IF(OR(AC57="",AC56=""),"",IFERROR(AC57*AC56,""))</f>
        <v/>
      </c>
    </row>
    <row r="59">
      <c r="A59" s="18" t="inlineStr">
        <is>
          <t>상승여력</t>
        </is>
      </c>
      <c r="B59" s="10" t="n"/>
      <c r="C59" s="35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5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7">
        <f>IF(OR(Y58="",$B$50=""),"",IFERROR(Y58/$B$50-1,""))</f>
        <v/>
      </c>
      <c r="Z59" s="38">
        <f>IF(OR(Z58="",$B$50=""),"",IFERROR(Z58/$B$50-1,""))</f>
        <v/>
      </c>
      <c r="AA59" s="38">
        <f>IF(OR(AA58="",$B$50=""),"",IFERROR(AA58/$B$50-1,""))</f>
        <v/>
      </c>
      <c r="AB59" s="38">
        <f>IF(OR(AB58="",$B$50=""),"",IFERROR(AB58/$B$50-1,""))</f>
        <v/>
      </c>
      <c r="AC59" s="38">
        <f>IF(OR(AC58="",$B$50=""),"",IFERROR(AC58/$B$50-1,""))</f>
        <v/>
      </c>
    </row>
    <row r="60">
      <c r="A60" s="16" t="inlineStr">
        <is>
          <t>자산가치 산출</t>
        </is>
      </c>
      <c r="B60" s="16" t="inlineStr">
        <is>
          <t>최신 분기 BS</t>
        </is>
      </c>
      <c r="C60" s="17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7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7" t="n"/>
      <c r="Z60" s="16" t="n"/>
      <c r="AA60" s="16" t="n"/>
      <c r="AB60" s="16" t="n"/>
      <c r="AC60" s="16" t="n"/>
    </row>
    <row r="61">
      <c r="A61" s="18" t="inlineStr">
        <is>
          <t>현금및현금성자산</t>
        </is>
      </c>
      <c r="B61" s="10" t="n"/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>
        <f>'재무상태표'!G6</f>
        <v/>
      </c>
      <c r="Y61" s="19">
        <f>'재무상태표'!G6</f>
        <v/>
      </c>
      <c r="Z61" s="20">
        <f>'재무상태표'!G6</f>
        <v/>
      </c>
      <c r="AA61" s="20">
        <f>'재무상태표'!G6</f>
        <v/>
      </c>
      <c r="AB61" s="20">
        <f>'재무상태표'!G6</f>
        <v/>
      </c>
      <c r="AC61" s="20">
        <f>'재무상태표'!G6</f>
        <v/>
      </c>
    </row>
    <row r="62">
      <c r="A62" s="18" t="inlineStr">
        <is>
          <t>단기금융상품</t>
        </is>
      </c>
      <c r="B62" s="10" t="n"/>
      <c r="C62" s="19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19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>
        <f>'재무상태표'!G7</f>
        <v/>
      </c>
      <c r="Y62" s="19">
        <f>'재무상태표'!G7</f>
        <v/>
      </c>
      <c r="Z62" s="20">
        <f>'재무상태표'!G7</f>
        <v/>
      </c>
      <c r="AA62" s="20">
        <f>'재무상태표'!G7</f>
        <v/>
      </c>
      <c r="AB62" s="20">
        <f>'재무상태표'!G7</f>
        <v/>
      </c>
      <c r="AC62" s="20">
        <f>'재무상태표'!G7</f>
        <v/>
      </c>
    </row>
    <row r="63">
      <c r="A63" s="18" t="inlineStr">
        <is>
          <t>투자부동산</t>
        </is>
      </c>
      <c r="B63" s="10" t="n"/>
      <c r="C63" s="19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19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>
        <f>'재무상태표'!G14</f>
        <v/>
      </c>
      <c r="Y63" s="19">
        <f>'재무상태표'!G14</f>
        <v/>
      </c>
      <c r="Z63" s="20">
        <f>'재무상태표'!G14</f>
        <v/>
      </c>
      <c r="AA63" s="20">
        <f>'재무상태표'!G14</f>
        <v/>
      </c>
      <c r="AB63" s="20">
        <f>'재무상태표'!G14</f>
        <v/>
      </c>
      <c r="AC63" s="20">
        <f>'재무상태표'!G14</f>
        <v/>
      </c>
    </row>
    <row r="64">
      <c r="A64" s="18" t="inlineStr">
        <is>
          <t>지배자본</t>
        </is>
      </c>
      <c r="B64" s="10" t="n"/>
      <c r="C64" s="19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19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>
        <f>'재무상태표'!G31</f>
        <v/>
      </c>
      <c r="Y64" s="19">
        <f>'재무상태표'!G31</f>
        <v/>
      </c>
      <c r="Z64" s="20">
        <f>'재무상태표'!G31</f>
        <v/>
      </c>
      <c r="AA64" s="20">
        <f>'재무상태표'!G31</f>
        <v/>
      </c>
      <c r="AB64" s="20">
        <f>'재무상태표'!G31</f>
        <v/>
      </c>
      <c r="AC64" s="20">
        <f>'재무상태표'!G31</f>
        <v/>
      </c>
    </row>
    <row r="65">
      <c r="A65" s="18" t="inlineStr">
        <is>
          <t>부채</t>
        </is>
      </c>
      <c r="B65" s="10" t="n"/>
      <c r="C65" s="19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19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>
        <f>'재무상태표'!G27</f>
        <v/>
      </c>
      <c r="Y65" s="19">
        <f>'재무상태표'!G27</f>
        <v/>
      </c>
      <c r="Z65" s="20">
        <f>'재무상태표'!G27</f>
        <v/>
      </c>
      <c r="AA65" s="20">
        <f>'재무상태표'!G27</f>
        <v/>
      </c>
      <c r="AB65" s="20">
        <f>'재무상태표'!G27</f>
        <v/>
      </c>
      <c r="AC65" s="20">
        <f>'재무상태표'!G27</f>
        <v/>
      </c>
    </row>
    <row r="66">
      <c r="A66" s="13" t="inlineStr">
        <is>
          <t>부채비율</t>
        </is>
      </c>
      <c r="B66" s="10" t="n"/>
      <c r="C66" s="14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4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>
        <f>IF(OR(X65="",X64=""),"",IFERROR(X65/X64,""))</f>
        <v/>
      </c>
      <c r="Y66" s="14">
        <f>IF(OR(Y65="",Y64=""),"",IFERROR(Y65/Y64,""))</f>
        <v/>
      </c>
      <c r="Z66" s="15">
        <f>IF(OR(Z65="",Z64=""),"",IFERROR(Z65/Z64,""))</f>
        <v/>
      </c>
      <c r="AA66" s="15">
        <f>IF(OR(AA65="",AA64=""),"",IFERROR(AA65/AA64,""))</f>
        <v/>
      </c>
      <c r="AB66" s="15">
        <f>IF(OR(AB65="",AB64=""),"",IFERROR(AB65/AB64,""))</f>
        <v/>
      </c>
      <c r="AC66" s="15">
        <f>IF(OR(AC65="",AC64=""),"",IFERROR(AC65/AC64,""))</f>
        <v/>
      </c>
    </row>
    <row r="67">
      <c r="A67" s="9" t="inlineStr">
        <is>
          <t>자산가치</t>
        </is>
      </c>
      <c r="B67" s="10" t="inlineStr">
        <is>
          <t>현금+단기금융+투자부동산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>
        <f>SUM(X61,X62,X63)</f>
        <v/>
      </c>
      <c r="Y67" s="11">
        <f>SUM(Y61,Y62,Y63)</f>
        <v/>
      </c>
      <c r="Z67" s="12">
        <f>SUM(Z61,Z62,Z63)</f>
        <v/>
      </c>
      <c r="AA67" s="12">
        <f>SUM(AA61,AA62,AA63)</f>
        <v/>
      </c>
      <c r="AB67" s="12">
        <f>SUM(AB61,AB62,AB63)</f>
        <v/>
      </c>
      <c r="AC67" s="12">
        <f>SUM(AC61,AC62,AC63)</f>
        <v/>
      </c>
    </row>
    <row r="68">
      <c r="A68" s="16" t="inlineStr">
        <is>
          <t>기업가치 산출</t>
        </is>
      </c>
      <c r="B68" s="16" t="n"/>
      <c r="C68" s="17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7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7" t="n"/>
      <c r="Z68" s="16" t="n"/>
      <c r="AA68" s="16" t="n"/>
      <c r="AB68" s="16" t="n"/>
      <c r="AC68" s="16" t="n"/>
    </row>
    <row r="69">
      <c r="A69" s="18" t="inlineStr">
        <is>
          <t>목표 시가총액 (P/E)</t>
        </is>
      </c>
      <c r="B69" s="10" t="inlineStr">
        <is>
          <t>지배순이익 × Target P/E</t>
        </is>
      </c>
      <c r="C69" s="19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19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19">
        <f>IF(OR(Y47="",Y56=""),"",IFERROR(Y47*Y56,""))</f>
        <v/>
      </c>
      <c r="Z69" s="20">
        <f>IF(OR(Z47="",Z56=""),"",IFERROR(Z47*Z56,""))</f>
        <v/>
      </c>
      <c r="AA69" s="20">
        <f>IF(OR(AA47="",AA56=""),"",IFERROR(AA47*AA56,""))</f>
        <v/>
      </c>
      <c r="AB69" s="20">
        <f>IF(OR(AB47="",AB56=""),"",IFERROR(AB47*AB56,""))</f>
        <v/>
      </c>
      <c r="AC69" s="20">
        <f>IF(OR(AC47="",AC56=""),"",IFERROR(AC47*AC56,""))</f>
        <v/>
      </c>
    </row>
    <row r="70">
      <c r="A70" s="9" t="inlineStr">
        <is>
          <t>기업가치</t>
        </is>
      </c>
      <c r="B70" s="10" t="inlineStr">
        <is>
          <t>목표시총 + 자산가치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1">
        <f>IF(OR(Y69=""),"",IFERROR(Y69+Y67,""))</f>
        <v/>
      </c>
      <c r="Z70" s="12">
        <f>IF(OR(Z69=""),"",IFERROR(Z69+Z67,""))</f>
        <v/>
      </c>
      <c r="AA70" s="12">
        <f>IF(OR(AA69=""),"",IFERROR(AA69+AA67,""))</f>
        <v/>
      </c>
      <c r="AB70" s="12">
        <f>IF(OR(AB69=""),"",IFERROR(AB69+AB67,""))</f>
        <v/>
      </c>
      <c r="AC70" s="12">
        <f>IF(OR(AC69=""),"",IFERROR(AC69+AC67,""))</f>
        <v/>
      </c>
    </row>
    <row r="71">
      <c r="A71" s="18" t="inlineStr">
        <is>
          <t>현재 시가총액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19">
        <f>$B$52</f>
        <v/>
      </c>
      <c r="Z71" s="20">
        <f>$B$52</f>
        <v/>
      </c>
      <c r="AA71" s="20">
        <f>$B$52</f>
        <v/>
      </c>
      <c r="AB71" s="20">
        <f>$B$52</f>
        <v/>
      </c>
      <c r="AC71" s="20">
        <f>$B$52</f>
        <v/>
      </c>
    </row>
    <row r="72">
      <c r="A72" s="18" t="inlineStr">
        <is>
          <t>상승여력</t>
        </is>
      </c>
      <c r="B72" s="10" t="n"/>
      <c r="C72" s="35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5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7">
        <f>IF(OR(Y70="",Y71=""),"",IFERROR(Y70/Y71-1,""))</f>
        <v/>
      </c>
      <c r="Z72" s="38">
        <f>IF(OR(Z70="",Z71=""),"",IFERROR(Z70/Z71-1,""))</f>
        <v/>
      </c>
      <c r="AA72" s="38">
        <f>IF(OR(AA70="",AA71=""),"",IFERROR(AA70/AA71-1,""))</f>
        <v/>
      </c>
      <c r="AB72" s="38">
        <f>IF(OR(AB70="",AB71=""),"",IFERROR(AB70/AB71-1,""))</f>
        <v/>
      </c>
      <c r="AC72" s="38">
        <f>IF(OR(AC70="",AC71=""),"",IFERROR(AC70/AC71-1,""))</f>
        <v/>
      </c>
    </row>
    <row r="73">
      <c r="C73" s="39" t="n"/>
      <c r="O73" s="39" t="n"/>
      <c r="Y73" s="39" t="n"/>
    </row>
    <row r="74">
      <c r="A74" s="40" t="inlineStr">
        <is>
          <t>출처</t>
        </is>
      </c>
      <c r="C74" s="39" t="n"/>
      <c r="O74" s="39" t="n"/>
      <c r="Y74" s="39" t="n"/>
    </row>
    <row r="75">
      <c r="A75" s="41" t="inlineStr">
        <is>
          <t>결산단신 XBRL(TDnet·JPX 보관소) — 쓴 문서는 '출처' 시트</t>
        </is>
      </c>
      <c r="C75" s="39" t="n"/>
      <c r="O75" s="39" t="n"/>
      <c r="Y75" s="39" t="n"/>
    </row>
    <row r="76">
      <c r="A76" s="41" t="inlineStr">
        <is>
          <t>분기 = 누계에서 앞 분기를 뺀 3개월 값</t>
        </is>
      </c>
      <c r="C76" s="39" t="n"/>
      <c r="O76" s="39" t="n"/>
      <c r="Y76" s="39" t="n"/>
    </row>
    <row r="77">
      <c r="A77" s="41" t="inlineStr">
        <is>
          <t>주가: 야후 파이낸스 일봉</t>
        </is>
      </c>
      <c r="C77" s="39" t="n"/>
      <c r="O77" s="39" t="n"/>
      <c r="Y77" s="39" t="n"/>
    </row>
    <row r="79">
      <c r="A79" s="16" t="inlineStr">
        <is>
          <t>손익계산서 · 전 항목</t>
        </is>
      </c>
      <c r="B79" s="42" t="inlineStr">
        <is>
          <t>분기 = 3개월 단독</t>
        </is>
      </c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</row>
    <row r="80">
      <c r="A80" s="5" t="inlineStr">
        <is>
          <t>항목</t>
        </is>
      </c>
      <c r="B80" s="5" t="inlineStr">
        <is>
          <t>참고</t>
        </is>
      </c>
      <c r="C80" s="5" t="inlineStr">
        <is>
          <t>2024.2Q</t>
        </is>
      </c>
      <c r="D80" s="5" t="inlineStr">
        <is>
          <t>2024.3Q</t>
        </is>
      </c>
      <c r="E80" s="5" t="inlineStr">
        <is>
          <t>2024.4Q</t>
        </is>
      </c>
      <c r="F80" s="5" t="inlineStr">
        <is>
          <t>2025.1Q</t>
        </is>
      </c>
      <c r="G80" s="5" t="inlineStr">
        <is>
          <t>2025.2Q</t>
        </is>
      </c>
      <c r="H80" s="5" t="inlineStr">
        <is>
          <t>2025.3Q</t>
        </is>
      </c>
      <c r="I80" s="5" t="inlineStr">
        <is>
          <t>2025.4Q</t>
        </is>
      </c>
      <c r="J80" s="5" t="inlineStr">
        <is>
          <t>2026.1Q</t>
        </is>
      </c>
      <c r="K80" s="5" t="inlineStr">
        <is>
          <t>2026.2Q</t>
        </is>
      </c>
      <c r="L80" s="5" t="inlineStr">
        <is>
          <t>2026.3Q</t>
        </is>
      </c>
      <c r="M80" s="5" t="inlineStr">
        <is>
          <t>2026.4Q</t>
        </is>
      </c>
      <c r="N80" s="5" t="inlineStr">
        <is>
          <t>2027.1Q</t>
        </is>
      </c>
      <c r="O80" s="5" t="inlineStr">
        <is>
          <t>2017</t>
        </is>
      </c>
      <c r="P80" s="5" t="inlineStr">
        <is>
          <t>2018</t>
        </is>
      </c>
      <c r="Q80" s="5" t="inlineStr">
        <is>
          <t>2019</t>
        </is>
      </c>
      <c r="R80" s="5" t="inlineStr">
        <is>
          <t>2020</t>
        </is>
      </c>
      <c r="S80" s="5" t="inlineStr">
        <is>
          <t>2021</t>
        </is>
      </c>
      <c r="T80" s="5" t="inlineStr">
        <is>
          <t>2022</t>
        </is>
      </c>
      <c r="U80" s="5" t="inlineStr">
        <is>
          <t>2023</t>
        </is>
      </c>
      <c r="V80" s="5" t="inlineStr">
        <is>
          <t>2024</t>
        </is>
      </c>
      <c r="W80" s="5" t="inlineStr">
        <is>
          <t>2025</t>
        </is>
      </c>
      <c r="X80" s="5" t="inlineStr">
        <is>
          <t>2026</t>
        </is>
      </c>
      <c r="Y80" s="5" t="inlineStr">
        <is>
          <t>2027(MW)</t>
        </is>
      </c>
      <c r="Z80" s="5" t="inlineStr">
        <is>
          <t>2028(MW)</t>
        </is>
      </c>
      <c r="AA80" s="5" t="inlineStr">
        <is>
          <t>2029(MW)</t>
        </is>
      </c>
      <c r="AB80" s="5" t="inlineStr">
        <is>
          <t>2030(MW)</t>
        </is>
      </c>
      <c r="AC80" s="5" t="inlineStr">
        <is>
          <t>2031(MW)</t>
        </is>
      </c>
    </row>
    <row r="81">
      <c r="A81" s="9" t="inlineStr">
        <is>
          <t>매출액</t>
        </is>
      </c>
      <c r="C81" s="12" t="n">
        <v>7897.37</v>
      </c>
      <c r="D81" s="12" t="n">
        <v>9777.627</v>
      </c>
      <c r="E81" s="12" t="n">
        <v>11807.573</v>
      </c>
      <c r="F81" s="12" t="n">
        <v>8655.48</v>
      </c>
      <c r="G81" s="12" t="n">
        <v>9420.847</v>
      </c>
      <c r="H81" s="12" t="n">
        <v>10043.353</v>
      </c>
      <c r="I81" s="12" t="n">
        <v>12097.338</v>
      </c>
      <c r="J81" s="12" t="n">
        <v>8882.008</v>
      </c>
      <c r="K81" s="12" t="n">
        <v>10046.754</v>
      </c>
      <c r="L81" s="12" t="n">
        <v>9005.681</v>
      </c>
      <c r="M81" s="12" t="n">
        <v>11025.954</v>
      </c>
      <c r="N81" s="12" t="n">
        <v>9017.018</v>
      </c>
      <c r="T81" s="12" t="n">
        <v>9266.094999999999</v>
      </c>
      <c r="U81" s="12" t="n">
        <v>8952.508</v>
      </c>
      <c r="V81" s="12" t="n">
        <v>11807.573</v>
      </c>
      <c r="W81" s="12" t="n">
        <v>12097.338</v>
      </c>
      <c r="X81" s="12" t="n">
        <v>11025.954</v>
      </c>
    </row>
    <row r="82">
      <c r="A82" s="18" t="inlineStr">
        <is>
          <t>매출원가</t>
        </is>
      </c>
      <c r="C82" s="20" t="n">
        <v>6259.001</v>
      </c>
      <c r="D82" s="20" t="n">
        <v>7680.949</v>
      </c>
      <c r="E82" s="20" t="n">
        <v>9511.35</v>
      </c>
      <c r="F82" s="20" t="n">
        <v>6952.155</v>
      </c>
      <c r="G82" s="20" t="n">
        <v>7545.4</v>
      </c>
      <c r="H82" s="20" t="n">
        <v>7910.141</v>
      </c>
      <c r="I82" s="20" t="n">
        <v>9553.862999999999</v>
      </c>
      <c r="J82" s="20" t="n">
        <v>6979.706</v>
      </c>
      <c r="K82" s="20" t="n">
        <v>7850.132</v>
      </c>
      <c r="L82" s="20" t="n">
        <v>6941.205</v>
      </c>
      <c r="M82" s="20" t="n">
        <v>8605.504999999999</v>
      </c>
      <c r="N82" s="20" t="n">
        <v>7171.666</v>
      </c>
      <c r="T82" s="20" t="n">
        <v>7613.734</v>
      </c>
      <c r="U82" s="20" t="n">
        <v>7021.181</v>
      </c>
      <c r="V82" s="20" t="n">
        <v>9511.35</v>
      </c>
      <c r="W82" s="20" t="n">
        <v>9553.862999999999</v>
      </c>
      <c r="X82" s="20" t="n">
        <v>8605.504999999999</v>
      </c>
    </row>
    <row r="83">
      <c r="A83" s="9" t="inlineStr">
        <is>
          <t>매출총이익</t>
        </is>
      </c>
      <c r="C83" s="12" t="n">
        <v>1638.369</v>
      </c>
      <c r="D83" s="12" t="n">
        <v>2096.678</v>
      </c>
      <c r="E83" s="12" t="n">
        <v>2296.223</v>
      </c>
      <c r="F83" s="12" t="n">
        <v>1703.325</v>
      </c>
      <c r="G83" s="12" t="n">
        <v>1875.447</v>
      </c>
      <c r="H83" s="12" t="n">
        <v>2133.211</v>
      </c>
      <c r="I83" s="12" t="n">
        <v>2543.475</v>
      </c>
      <c r="J83" s="12" t="n">
        <v>1902.302</v>
      </c>
      <c r="K83" s="12" t="n">
        <v>2196.621</v>
      </c>
      <c r="L83" s="12" t="n">
        <v>2064.477</v>
      </c>
      <c r="M83" s="12" t="n">
        <v>2420.449</v>
      </c>
      <c r="N83" s="12" t="n">
        <v>1845.352</v>
      </c>
      <c r="T83" s="12" t="n">
        <v>1652.362</v>
      </c>
      <c r="U83" s="12" t="n">
        <v>1931.327</v>
      </c>
      <c r="V83" s="12" t="n">
        <v>2296.223</v>
      </c>
      <c r="W83" s="12" t="n">
        <v>2543.475</v>
      </c>
      <c r="X83" s="12" t="n">
        <v>2420.449</v>
      </c>
    </row>
    <row r="84">
      <c r="A84" s="18" t="inlineStr">
        <is>
          <t>판매비와 관리비</t>
        </is>
      </c>
      <c r="C84" s="20" t="n">
        <v>1188.298</v>
      </c>
      <c r="D84" s="20" t="n">
        <v>1132.74</v>
      </c>
      <c r="E84" s="20" t="n">
        <v>1332.602</v>
      </c>
      <c r="F84" s="20" t="n">
        <v>1232.531</v>
      </c>
      <c r="G84" s="20" t="n">
        <v>1208.867</v>
      </c>
      <c r="H84" s="20" t="n">
        <v>1214.261</v>
      </c>
      <c r="I84" s="20" t="n">
        <v>1353.938</v>
      </c>
      <c r="J84" s="20" t="n">
        <v>1268.687</v>
      </c>
      <c r="K84" s="20" t="n">
        <v>1362.658</v>
      </c>
      <c r="L84" s="20" t="n">
        <v>1306.673</v>
      </c>
      <c r="M84" s="20" t="n">
        <v>1454.964</v>
      </c>
      <c r="N84" s="20" t="n">
        <v>1455.876</v>
      </c>
      <c r="T84" s="20" t="n">
        <v>1165.848</v>
      </c>
      <c r="U84" s="20" t="n">
        <v>1163.239</v>
      </c>
      <c r="V84" s="20" t="n">
        <v>1332.602</v>
      </c>
      <c r="W84" s="20" t="n">
        <v>1353.938</v>
      </c>
      <c r="X84" s="20" t="n">
        <v>1454.964</v>
      </c>
    </row>
    <row r="85">
      <c r="A85" s="9" t="inlineStr">
        <is>
          <t>영업이익</t>
        </is>
      </c>
      <c r="C85" s="12" t="n">
        <v>450.07</v>
      </c>
      <c r="D85" s="12" t="n">
        <v>963.938</v>
      </c>
      <c r="E85" s="12" t="n">
        <v>963.621</v>
      </c>
      <c r="F85" s="12" t="n">
        <v>470.794</v>
      </c>
      <c r="G85" s="12" t="n">
        <v>666.579</v>
      </c>
      <c r="H85" s="12" t="n">
        <v>918.95</v>
      </c>
      <c r="I85" s="12" t="n">
        <v>1189.537</v>
      </c>
      <c r="J85" s="12" t="n">
        <v>633.614</v>
      </c>
      <c r="K85" s="12" t="n">
        <v>833.9640000000001</v>
      </c>
      <c r="L85" s="12" t="n">
        <v>757.804</v>
      </c>
      <c r="M85" s="12" t="n">
        <v>965.484</v>
      </c>
      <c r="N85" s="12" t="n">
        <v>389.475</v>
      </c>
      <c r="T85" s="12" t="n">
        <v>486.513</v>
      </c>
      <c r="U85" s="12" t="n">
        <v>768.088</v>
      </c>
      <c r="V85" s="12" t="n">
        <v>963.621</v>
      </c>
      <c r="W85" s="12" t="n">
        <v>1189.537</v>
      </c>
      <c r="X85" s="12" t="n">
        <v>965.484</v>
      </c>
    </row>
    <row r="86">
      <c r="A86" s="18" t="inlineStr">
        <is>
          <t>이자수익</t>
        </is>
      </c>
      <c r="C86" s="20" t="n">
        <v>13.068</v>
      </c>
      <c r="D86" s="20" t="n">
        <v>12.748</v>
      </c>
      <c r="E86" s="20" t="n">
        <v>35.051</v>
      </c>
      <c r="F86" s="20" t="n">
        <v>16.255</v>
      </c>
      <c r="G86" s="20" t="n">
        <v>16.539</v>
      </c>
      <c r="H86" s="20" t="n">
        <v>15.599</v>
      </c>
      <c r="I86" s="20" t="n">
        <v>31.59</v>
      </c>
      <c r="J86" s="20" t="n">
        <v>21.327</v>
      </c>
      <c r="K86" s="20" t="n">
        <v>18.653</v>
      </c>
      <c r="L86" s="20" t="n">
        <v>16.433</v>
      </c>
      <c r="M86" s="20" t="n">
        <v>25.29</v>
      </c>
      <c r="N86" s="20" t="n">
        <v>25.609</v>
      </c>
      <c r="T86" s="20" t="n">
        <v>26.46</v>
      </c>
      <c r="U86" s="20" t="n">
        <v>34.181</v>
      </c>
      <c r="V86" s="20" t="n">
        <v>35.051</v>
      </c>
      <c r="W86" s="20" t="n">
        <v>31.59</v>
      </c>
      <c r="X86" s="20" t="n">
        <v>25.29</v>
      </c>
    </row>
    <row r="87">
      <c r="A87" s="18" t="inlineStr">
        <is>
          <t>배당금수익</t>
        </is>
      </c>
      <c r="C87" s="20" t="n">
        <v>-3.332</v>
      </c>
      <c r="D87" s="20" t="n">
        <v>23.761</v>
      </c>
      <c r="E87" s="20" t="n">
        <v>0.052</v>
      </c>
      <c r="F87" s="20" t="n">
        <v>34.601</v>
      </c>
      <c r="G87" s="20" t="n">
        <v>-0.159</v>
      </c>
      <c r="H87" s="20" t="n">
        <v>31.767</v>
      </c>
      <c r="I87" s="20" t="n">
        <v>3.092</v>
      </c>
      <c r="J87" s="20" t="n">
        <v>37.919</v>
      </c>
      <c r="K87" s="20" t="n">
        <v>9.023999999999999</v>
      </c>
      <c r="L87" s="20" t="n">
        <v>37.542</v>
      </c>
      <c r="M87" s="20" t="n">
        <v>6.543</v>
      </c>
      <c r="N87" s="20" t="n">
        <v>39.597</v>
      </c>
      <c r="T87" s="20" t="n">
        <v>-0.001</v>
      </c>
      <c r="U87" s="20" t="n">
        <v>0.023</v>
      </c>
      <c r="V87" s="20" t="n">
        <v>0.052</v>
      </c>
      <c r="W87" s="20" t="n">
        <v>3.092</v>
      </c>
      <c r="X87" s="20" t="n">
        <v>6.543</v>
      </c>
    </row>
    <row r="88">
      <c r="A88" s="18" t="inlineStr">
        <is>
          <t>외환차익</t>
        </is>
      </c>
      <c r="D88" s="20" t="n">
        <v>2.117</v>
      </c>
      <c r="E88" s="20" t="n">
        <v>-2.117</v>
      </c>
      <c r="H88" s="20" t="n">
        <v>-6.016</v>
      </c>
      <c r="I88" s="20" t="n">
        <v>2.127</v>
      </c>
      <c r="J88" s="20" t="n">
        <v>0</v>
      </c>
      <c r="K88" s="20" t="n">
        <v>0</v>
      </c>
      <c r="L88" s="20" t="n">
        <v>0</v>
      </c>
      <c r="M88" s="20" t="n">
        <v>1.483</v>
      </c>
      <c r="N88" s="20" t="n">
        <v>0.996</v>
      </c>
      <c r="T88" s="20" t="n">
        <v>5.517</v>
      </c>
      <c r="U88" s="20" t="n">
        <v>-13.319</v>
      </c>
      <c r="V88" s="20" t="n">
        <v>-2.117</v>
      </c>
      <c r="W88" s="20" t="n">
        <v>2.127</v>
      </c>
      <c r="X88" s="20" t="n">
        <v>1.483</v>
      </c>
    </row>
    <row r="89">
      <c r="A89" s="18" t="inlineStr">
        <is>
          <t>지분법이익</t>
        </is>
      </c>
      <c r="C89" s="20" t="n">
        <v>125.29</v>
      </c>
      <c r="D89" s="20" t="n">
        <v>103.27</v>
      </c>
      <c r="E89" s="20" t="n">
        <v>-182.338</v>
      </c>
      <c r="F89" s="20" t="n">
        <v>71.51300000000001</v>
      </c>
      <c r="G89" s="20" t="n">
        <v>124.441</v>
      </c>
      <c r="H89" s="20" t="n">
        <v>182.235</v>
      </c>
      <c r="I89" s="20" t="n">
        <v>-301.044</v>
      </c>
      <c r="J89" s="20" t="n">
        <v>117.592</v>
      </c>
      <c r="K89" s="20" t="n">
        <v>149.294</v>
      </c>
      <c r="L89" s="20" t="n">
        <v>120.435</v>
      </c>
      <c r="M89" s="20" t="n">
        <v>-6.566</v>
      </c>
      <c r="N89" s="20" t="n">
        <v>99.16500000000001</v>
      </c>
      <c r="T89" s="20" t="n">
        <v>-1.003</v>
      </c>
      <c r="U89" s="20" t="n">
        <v>36.829</v>
      </c>
      <c r="V89" s="20" t="n">
        <v>-182.338</v>
      </c>
      <c r="W89" s="20" t="n">
        <v>-301.044</v>
      </c>
      <c r="X89" s="20" t="n">
        <v>-6.566</v>
      </c>
    </row>
    <row r="90">
      <c r="A90" s="18" t="inlineStr">
        <is>
          <t>보상금 수취</t>
        </is>
      </c>
      <c r="F90" s="20" t="n">
        <v>40.556</v>
      </c>
      <c r="J90" s="20" t="n">
        <v>0.141</v>
      </c>
      <c r="N90" s="20" t="n">
        <v>0</v>
      </c>
    </row>
    <row r="91">
      <c r="A91" s="18" t="inlineStr">
        <is>
          <t>잡이익</t>
        </is>
      </c>
      <c r="C91" s="20" t="n">
        <v>8.926</v>
      </c>
      <c r="D91" s="20" t="n">
        <v>8.436999999999999</v>
      </c>
      <c r="E91" s="20" t="n">
        <v>2.217</v>
      </c>
      <c r="F91" s="20" t="n">
        <v>10.084</v>
      </c>
      <c r="G91" s="20" t="n">
        <v>56.196</v>
      </c>
      <c r="H91" s="20" t="n">
        <v>42.203</v>
      </c>
      <c r="I91" s="20" t="n">
        <v>-54.473</v>
      </c>
      <c r="J91" s="20" t="n">
        <v>5.31</v>
      </c>
      <c r="K91" s="20" t="n">
        <v>6.374</v>
      </c>
      <c r="L91" s="20" t="n">
        <v>6.737</v>
      </c>
      <c r="M91" s="20" t="n">
        <v>6.938</v>
      </c>
      <c r="N91" s="20" t="n">
        <v>22.536</v>
      </c>
      <c r="T91" s="20" t="n">
        <v>-46.13</v>
      </c>
      <c r="U91" s="20" t="n">
        <v>51.382</v>
      </c>
      <c r="V91" s="20" t="n">
        <v>2.217</v>
      </c>
      <c r="W91" s="20" t="n">
        <v>-54.473</v>
      </c>
      <c r="X91" s="20" t="n">
        <v>6.938</v>
      </c>
    </row>
    <row r="92">
      <c r="A92" s="18" t="inlineStr">
        <is>
          <t>영업외수익 합계</t>
        </is>
      </c>
      <c r="C92" s="20" t="n">
        <v>143.882</v>
      </c>
      <c r="D92" s="20" t="n">
        <v>150.334</v>
      </c>
      <c r="E92" s="20" t="n">
        <v>-138.116</v>
      </c>
      <c r="F92" s="20" t="n">
        <v>173.011</v>
      </c>
      <c r="G92" s="20" t="n">
        <v>168.086</v>
      </c>
      <c r="H92" s="20" t="n">
        <v>265.79</v>
      </c>
      <c r="I92" s="20" t="n">
        <v>-245.431</v>
      </c>
      <c r="J92" s="20" t="n">
        <v>182.291</v>
      </c>
      <c r="K92" s="20" t="n">
        <v>183.203</v>
      </c>
      <c r="L92" s="20" t="n">
        <v>181.148</v>
      </c>
      <c r="M92" s="20" t="n">
        <v>36.369</v>
      </c>
      <c r="N92" s="20" t="n">
        <v>187.905</v>
      </c>
      <c r="T92" s="20" t="n">
        <v>38.673</v>
      </c>
      <c r="U92" s="20" t="n">
        <v>112.923</v>
      </c>
      <c r="V92" s="20" t="n">
        <v>-138.116</v>
      </c>
      <c r="W92" s="20" t="n">
        <v>-245.431</v>
      </c>
      <c r="X92" s="20" t="n">
        <v>36.369</v>
      </c>
    </row>
    <row r="93">
      <c r="A93" s="18" t="inlineStr">
        <is>
          <t>이자비용</t>
        </is>
      </c>
      <c r="E93" s="20" t="n">
        <v>0.206</v>
      </c>
      <c r="F93" s="20" t="n">
        <v>0.192</v>
      </c>
      <c r="I93" s="20" t="n">
        <v>0.136</v>
      </c>
      <c r="J93" s="20" t="n">
        <v>0.165</v>
      </c>
      <c r="M93" s="20" t="n">
        <v>0.113</v>
      </c>
      <c r="N93" s="20" t="n">
        <v>0.211</v>
      </c>
      <c r="T93" s="20" t="n">
        <v>0.5570000000000001</v>
      </c>
      <c r="U93" s="20" t="n">
        <v>0.474</v>
      </c>
      <c r="V93" s="20" t="n">
        <v>0.206</v>
      </c>
      <c r="W93" s="20" t="n">
        <v>0.136</v>
      </c>
      <c r="X93" s="20" t="n">
        <v>0.113</v>
      </c>
    </row>
    <row r="94">
      <c r="A94" s="18" t="inlineStr">
        <is>
          <t>고정자산 제각손실</t>
        </is>
      </c>
      <c r="C94" s="20" t="n">
        <v>5.453</v>
      </c>
      <c r="D94" s="20" t="n">
        <v>48.632</v>
      </c>
      <c r="E94" s="20" t="n">
        <v>0.726</v>
      </c>
      <c r="F94" s="20" t="n">
        <v>17.646</v>
      </c>
      <c r="G94" s="20" t="n">
        <v>2.963</v>
      </c>
      <c r="H94" s="20" t="n">
        <v>27.049</v>
      </c>
      <c r="I94" s="20" t="n">
        <v>4.008</v>
      </c>
      <c r="J94" s="20" t="n">
        <v>2.389</v>
      </c>
      <c r="K94" s="20" t="n">
        <v>4.378</v>
      </c>
      <c r="L94" s="20" t="n">
        <v>7.421</v>
      </c>
      <c r="M94" s="20" t="n">
        <v>24.413</v>
      </c>
      <c r="N94" s="20" t="n">
        <v>0.367</v>
      </c>
      <c r="T94" s="20" t="n">
        <v>7.812</v>
      </c>
      <c r="U94" s="20" t="n">
        <v>1.6</v>
      </c>
      <c r="V94" s="20" t="n">
        <v>0.726</v>
      </c>
      <c r="W94" s="20" t="n">
        <v>4.008</v>
      </c>
      <c r="X94" s="20" t="n">
        <v>24.413</v>
      </c>
    </row>
    <row r="95">
      <c r="A95" s="18" t="inlineStr">
        <is>
          <t>외환차손</t>
        </is>
      </c>
      <c r="H95" s="20" t="n">
        <v>0</v>
      </c>
      <c r="I95" s="20" t="n">
        <v>0</v>
      </c>
      <c r="L95" s="20" t="n">
        <v>-5.537</v>
      </c>
      <c r="W95" s="20" t="n">
        <v>0</v>
      </c>
    </row>
    <row r="96">
      <c r="A96" s="18" t="inlineStr">
        <is>
          <t>고정자산 매각손실</t>
        </is>
      </c>
      <c r="D96" s="20" t="n">
        <v>0.001</v>
      </c>
      <c r="E96" s="20" t="n">
        <v>0.001</v>
      </c>
      <c r="H96" s="20" t="n">
        <v>0</v>
      </c>
      <c r="I96" s="20" t="n">
        <v>0</v>
      </c>
      <c r="T96" s="20" t="n">
        <v>0</v>
      </c>
      <c r="U96" s="20" t="n">
        <v>0</v>
      </c>
      <c r="V96" s="20" t="n">
        <v>0.001</v>
      </c>
      <c r="W96" s="20" t="n">
        <v>0</v>
      </c>
    </row>
    <row r="97">
      <c r="A97" s="18" t="inlineStr">
        <is>
          <t>보상비 지급</t>
        </is>
      </c>
      <c r="D97" s="20" t="n">
        <v>1.421</v>
      </c>
      <c r="E97" s="20" t="n">
        <v>0.461</v>
      </c>
      <c r="H97" s="20" t="n">
        <v>0.059</v>
      </c>
      <c r="I97" s="20" t="n">
        <v>2.831</v>
      </c>
      <c r="L97" s="20" t="n">
        <v>0.098</v>
      </c>
      <c r="M97" s="20" t="n">
        <v>0</v>
      </c>
      <c r="T97" s="20" t="n">
        <v>0</v>
      </c>
      <c r="U97" s="20" t="n">
        <v>0.65</v>
      </c>
      <c r="V97" s="20" t="n">
        <v>0.461</v>
      </c>
      <c r="W97" s="20" t="n">
        <v>2.831</v>
      </c>
      <c r="X97" s="20" t="n">
        <v>0</v>
      </c>
    </row>
    <row r="98">
      <c r="A98" s="18" t="inlineStr">
        <is>
          <t>잡손실</t>
        </is>
      </c>
      <c r="C98" s="20" t="n">
        <v>-3.198</v>
      </c>
      <c r="D98" s="20" t="n">
        <v>9.98</v>
      </c>
      <c r="E98" s="20" t="n">
        <v>-7.552</v>
      </c>
      <c r="F98" s="20" t="n">
        <v>4.842</v>
      </c>
      <c r="G98" s="20" t="n">
        <v>8.077</v>
      </c>
      <c r="H98" s="20" t="n">
        <v>-0.9419999999999999</v>
      </c>
      <c r="I98" s="20" t="n">
        <v>1.603</v>
      </c>
      <c r="J98" s="20" t="n">
        <v>3.604</v>
      </c>
      <c r="K98" s="20" t="n">
        <v>-1.734</v>
      </c>
      <c r="L98" s="20" t="n">
        <v>0.06900000000000001</v>
      </c>
      <c r="M98" s="20" t="n">
        <v>3.754</v>
      </c>
      <c r="N98" s="20" t="n">
        <v>0.78</v>
      </c>
      <c r="T98" s="20" t="n">
        <v>-0.095</v>
      </c>
      <c r="U98" s="20" t="n">
        <v>3.103</v>
      </c>
      <c r="V98" s="20" t="n">
        <v>-7.552</v>
      </c>
      <c r="W98" s="20" t="n">
        <v>1.603</v>
      </c>
      <c r="X98" s="20" t="n">
        <v>3.754</v>
      </c>
    </row>
    <row r="99">
      <c r="A99" s="18" t="inlineStr">
        <is>
          <t>영업외비용 합계</t>
        </is>
      </c>
      <c r="C99" s="20" t="n">
        <v>14.298</v>
      </c>
      <c r="D99" s="20" t="n">
        <v>50.396</v>
      </c>
      <c r="E99" s="20" t="n">
        <v>5.961</v>
      </c>
      <c r="F99" s="20" t="n">
        <v>22.681</v>
      </c>
      <c r="G99" s="20" t="n">
        <v>27.514</v>
      </c>
      <c r="H99" s="20" t="n">
        <v>26.673</v>
      </c>
      <c r="I99" s="20" t="n">
        <v>8.577999999999999</v>
      </c>
      <c r="J99" s="20" t="n">
        <v>6.159</v>
      </c>
      <c r="K99" s="20" t="n">
        <v>9.99</v>
      </c>
      <c r="L99" s="20" t="n">
        <v>2.493</v>
      </c>
      <c r="M99" s="20" t="n">
        <v>26.463</v>
      </c>
      <c r="N99" s="20" t="n">
        <v>1.358</v>
      </c>
      <c r="T99" s="20" t="n">
        <v>8.273999999999999</v>
      </c>
      <c r="U99" s="20" t="n">
        <v>5.826</v>
      </c>
      <c r="V99" s="20" t="n">
        <v>5.961</v>
      </c>
      <c r="W99" s="20" t="n">
        <v>8.577999999999999</v>
      </c>
      <c r="X99" s="20" t="n">
        <v>26.463</v>
      </c>
    </row>
    <row r="100">
      <c r="A100" s="9" t="inlineStr">
        <is>
          <t>경상이익</t>
        </is>
      </c>
      <c r="C100" s="12" t="n">
        <v>579.655</v>
      </c>
      <c r="D100" s="12" t="n">
        <v>1063.876</v>
      </c>
      <c r="E100" s="12" t="n">
        <v>819.545</v>
      </c>
      <c r="F100" s="12" t="n">
        <v>621.124</v>
      </c>
      <c r="G100" s="12" t="n">
        <v>807.151</v>
      </c>
      <c r="H100" s="12" t="n">
        <v>1158.067</v>
      </c>
      <c r="I100" s="12" t="n">
        <v>935.528</v>
      </c>
      <c r="J100" s="12" t="n">
        <v>809.747</v>
      </c>
      <c r="K100" s="12" t="n">
        <v>1007.175</v>
      </c>
      <c r="L100" s="12" t="n">
        <v>936.46</v>
      </c>
      <c r="M100" s="12" t="n">
        <v>975.391</v>
      </c>
      <c r="N100" s="12" t="n">
        <v>576.021</v>
      </c>
      <c r="T100" s="12" t="n">
        <v>516.912</v>
      </c>
      <c r="U100" s="12" t="n">
        <v>875.184</v>
      </c>
      <c r="V100" s="12" t="n">
        <v>819.545</v>
      </c>
      <c r="W100" s="12" t="n">
        <v>935.528</v>
      </c>
      <c r="X100" s="12" t="n">
        <v>975.391</v>
      </c>
    </row>
    <row r="101">
      <c r="A101" s="18" t="inlineStr">
        <is>
          <t>투자유가증권 매각이익</t>
        </is>
      </c>
      <c r="D101" s="20" t="n">
        <v>0</v>
      </c>
      <c r="E101" s="20" t="n">
        <v>0</v>
      </c>
      <c r="T101" s="20" t="n">
        <v>220.845</v>
      </c>
      <c r="U101" s="20" t="n">
        <v>0</v>
      </c>
      <c r="V101" s="20" t="n">
        <v>0</v>
      </c>
    </row>
    <row r="102">
      <c r="A102" s="18" t="inlineStr">
        <is>
          <t>특별이익 합계</t>
        </is>
      </c>
      <c r="D102" s="20" t="n">
        <v>0</v>
      </c>
      <c r="E102" s="20" t="n">
        <v>0</v>
      </c>
      <c r="T102" s="20" t="n">
        <v>220.845</v>
      </c>
      <c r="U102" s="20" t="n">
        <v>0</v>
      </c>
      <c r="V102" s="20" t="n">
        <v>0</v>
      </c>
    </row>
    <row r="103">
      <c r="A103" s="9" t="inlineStr">
        <is>
          <t>법인세차감전 순이익</t>
        </is>
      </c>
      <c r="C103" s="12" t="n">
        <v>579.655</v>
      </c>
      <c r="D103" s="12" t="n">
        <v>1063.876</v>
      </c>
      <c r="E103" s="12" t="n">
        <v>819.545</v>
      </c>
      <c r="F103" s="12" t="n">
        <v>621.124</v>
      </c>
      <c r="G103" s="12" t="n">
        <v>807.151</v>
      </c>
      <c r="H103" s="12" t="n">
        <v>1158.067</v>
      </c>
      <c r="I103" s="12" t="n">
        <v>935.528</v>
      </c>
      <c r="J103" s="12" t="n">
        <v>809.747</v>
      </c>
      <c r="K103" s="12" t="n">
        <v>1007.175</v>
      </c>
      <c r="L103" s="12" t="n">
        <v>936.46</v>
      </c>
      <c r="M103" s="12" t="n">
        <v>975.391</v>
      </c>
      <c r="N103" s="12" t="n">
        <v>576.021</v>
      </c>
      <c r="T103" s="12" t="n">
        <v>737.758</v>
      </c>
      <c r="U103" s="12" t="n">
        <v>875.184</v>
      </c>
      <c r="V103" s="12" t="n">
        <v>819.545</v>
      </c>
      <c r="W103" s="12" t="n">
        <v>935.528</v>
      </c>
      <c r="X103" s="12" t="n">
        <v>975.391</v>
      </c>
    </row>
    <row r="104">
      <c r="A104" s="18" t="inlineStr">
        <is>
          <t>법인세 등</t>
        </is>
      </c>
      <c r="C104" s="20" t="n">
        <v>128.638</v>
      </c>
      <c r="D104" s="20" t="n">
        <v>249.529</v>
      </c>
      <c r="E104" s="20" t="n">
        <v>197.974</v>
      </c>
      <c r="F104" s="20" t="n">
        <v>447.165</v>
      </c>
      <c r="G104" s="20" t="n">
        <v>196.811</v>
      </c>
      <c r="H104" s="20" t="n">
        <v>162.434</v>
      </c>
      <c r="I104" s="20" t="n">
        <v>224.17</v>
      </c>
      <c r="J104" s="20" t="n">
        <v>328.752</v>
      </c>
      <c r="K104" s="20" t="n">
        <v>321.738</v>
      </c>
      <c r="L104" s="20" t="n">
        <v>216.136</v>
      </c>
      <c r="M104" s="20" t="n">
        <v>54.025</v>
      </c>
      <c r="N104" s="20" t="n">
        <v>352.166</v>
      </c>
      <c r="T104" s="20" t="n">
        <v>149.177</v>
      </c>
      <c r="U104" s="20" t="n">
        <v>186.071</v>
      </c>
      <c r="V104" s="20" t="n">
        <v>197.974</v>
      </c>
      <c r="W104" s="20" t="n">
        <v>224.17</v>
      </c>
      <c r="X104" s="20" t="n">
        <v>54.025</v>
      </c>
    </row>
    <row r="105">
      <c r="A105" s="9" t="inlineStr">
        <is>
          <t>순이익</t>
        </is>
      </c>
      <c r="C105" s="12" t="n">
        <v>451.016</v>
      </c>
      <c r="D105" s="12" t="n">
        <v>814.347</v>
      </c>
      <c r="E105" s="12" t="n">
        <v>621.571</v>
      </c>
      <c r="F105" s="12" t="n">
        <v>173.958</v>
      </c>
      <c r="G105" s="12" t="n">
        <v>610.341</v>
      </c>
      <c r="H105" s="12" t="n">
        <v>995.6319999999999</v>
      </c>
      <c r="I105" s="12" t="n">
        <v>711.3579999999999</v>
      </c>
      <c r="J105" s="12" t="n">
        <v>480.994</v>
      </c>
      <c r="K105" s="12" t="n">
        <v>685.438</v>
      </c>
      <c r="L105" s="12" t="n">
        <v>720.323</v>
      </c>
      <c r="M105" s="12" t="n">
        <v>921.366</v>
      </c>
      <c r="N105" s="12" t="n">
        <v>223.855</v>
      </c>
      <c r="T105" s="12" t="n">
        <v>588.581</v>
      </c>
      <c r="U105" s="12" t="n">
        <v>689.1130000000001</v>
      </c>
      <c r="V105" s="12" t="n">
        <v>621.571</v>
      </c>
      <c r="W105" s="12" t="n">
        <v>711.3579999999999</v>
      </c>
      <c r="X105" s="12" t="n">
        <v>921.366</v>
      </c>
    </row>
    <row r="106">
      <c r="A106" s="9" t="inlineStr">
        <is>
          <t>비지배주주 순이익</t>
        </is>
      </c>
      <c r="C106" s="12" t="n">
        <v>16.05</v>
      </c>
      <c r="D106" s="12" t="n">
        <v>15.288</v>
      </c>
      <c r="E106" s="12" t="n">
        <v>22.086</v>
      </c>
      <c r="F106" s="12" t="n">
        <v>13.043</v>
      </c>
      <c r="G106" s="12" t="n">
        <v>7.918</v>
      </c>
      <c r="H106" s="12" t="n">
        <v>32.699</v>
      </c>
      <c r="I106" s="12" t="n">
        <v>34.438</v>
      </c>
      <c r="J106" s="12" t="n">
        <v>18.732</v>
      </c>
      <c r="K106" s="12" t="n">
        <v>19.57</v>
      </c>
      <c r="L106" s="12" t="n">
        <v>25.111</v>
      </c>
      <c r="M106" s="12" t="n">
        <v>55.811</v>
      </c>
      <c r="N106" s="12" t="n">
        <v>14.505</v>
      </c>
      <c r="T106" s="12" t="n">
        <v>10.114</v>
      </c>
      <c r="U106" s="12" t="n">
        <v>18.075</v>
      </c>
      <c r="V106" s="12" t="n">
        <v>22.086</v>
      </c>
      <c r="W106" s="12" t="n">
        <v>34.438</v>
      </c>
      <c r="X106" s="12" t="n">
        <v>55.811</v>
      </c>
    </row>
    <row r="107">
      <c r="A107" s="9" t="inlineStr">
        <is>
          <t>지배주주 순이익</t>
        </is>
      </c>
      <c r="C107" s="12" t="n">
        <v>434.966</v>
      </c>
      <c r="D107" s="12" t="n">
        <v>799.0599999999999</v>
      </c>
      <c r="E107" s="12" t="n">
        <v>599.485</v>
      </c>
      <c r="F107" s="12" t="n">
        <v>160.915</v>
      </c>
      <c r="G107" s="12" t="n">
        <v>602.422</v>
      </c>
      <c r="H107" s="12" t="n">
        <v>962.934</v>
      </c>
      <c r="I107" s="12" t="n">
        <v>676.92</v>
      </c>
      <c r="J107" s="12" t="n">
        <v>462.261</v>
      </c>
      <c r="K107" s="12" t="n">
        <v>665.8680000000001</v>
      </c>
      <c r="L107" s="12" t="n">
        <v>695.213</v>
      </c>
      <c r="M107" s="12" t="n">
        <v>865.5549999999999</v>
      </c>
      <c r="N107" s="12" t="n">
        <v>209.349</v>
      </c>
      <c r="T107" s="12" t="n">
        <v>578.467</v>
      </c>
      <c r="U107" s="12" t="n">
        <v>671.038</v>
      </c>
      <c r="V107" s="12" t="n">
        <v>599.485</v>
      </c>
      <c r="W107" s="12" t="n">
        <v>676.92</v>
      </c>
      <c r="X107" s="12" t="n">
        <v>865.5549999999999</v>
      </c>
    </row>
    <row r="109">
      <c r="A109" s="16" t="inlineStr">
        <is>
          <t>포괄손익 · 전 항목</t>
        </is>
      </c>
      <c r="B109" s="42" t="inlineStr">
        <is>
          <t>분기 = 3개월 단독</t>
        </is>
      </c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</row>
    <row r="110">
      <c r="A110" s="5" t="inlineStr">
        <is>
          <t>항목</t>
        </is>
      </c>
      <c r="B110" s="5" t="inlineStr">
        <is>
          <t>참고</t>
        </is>
      </c>
      <c r="C110" s="5" t="inlineStr">
        <is>
          <t>2024.2Q</t>
        </is>
      </c>
      <c r="D110" s="5" t="inlineStr">
        <is>
          <t>2024.3Q</t>
        </is>
      </c>
      <c r="E110" s="5" t="inlineStr">
        <is>
          <t>2024.4Q</t>
        </is>
      </c>
      <c r="F110" s="5" t="inlineStr">
        <is>
          <t>2025.1Q</t>
        </is>
      </c>
      <c r="G110" s="5" t="inlineStr">
        <is>
          <t>2025.2Q</t>
        </is>
      </c>
      <c r="H110" s="5" t="inlineStr">
        <is>
          <t>2025.3Q</t>
        </is>
      </c>
      <c r="I110" s="5" t="inlineStr">
        <is>
          <t>2025.4Q</t>
        </is>
      </c>
      <c r="J110" s="5" t="inlineStr">
        <is>
          <t>2026.1Q</t>
        </is>
      </c>
      <c r="K110" s="5" t="inlineStr">
        <is>
          <t>2026.2Q</t>
        </is>
      </c>
      <c r="L110" s="5" t="inlineStr">
        <is>
          <t>2026.3Q</t>
        </is>
      </c>
      <c r="M110" s="5" t="inlineStr">
        <is>
          <t>2026.4Q</t>
        </is>
      </c>
      <c r="N110" s="5" t="inlineStr">
        <is>
          <t>2027.1Q</t>
        </is>
      </c>
      <c r="O110" s="5" t="inlineStr">
        <is>
          <t>2017</t>
        </is>
      </c>
      <c r="P110" s="5" t="inlineStr">
        <is>
          <t>2018</t>
        </is>
      </c>
      <c r="Q110" s="5" t="inlineStr">
        <is>
          <t>2019</t>
        </is>
      </c>
      <c r="R110" s="5" t="inlineStr">
        <is>
          <t>2020</t>
        </is>
      </c>
      <c r="S110" s="5" t="inlineStr">
        <is>
          <t>2021</t>
        </is>
      </c>
      <c r="T110" s="5" t="inlineStr">
        <is>
          <t>2022</t>
        </is>
      </c>
      <c r="U110" s="5" t="inlineStr">
        <is>
          <t>2023</t>
        </is>
      </c>
      <c r="V110" s="5" t="inlineStr">
        <is>
          <t>2024</t>
        </is>
      </c>
      <c r="W110" s="5" t="inlineStr">
        <is>
          <t>2025</t>
        </is>
      </c>
      <c r="X110" s="5" t="inlineStr">
        <is>
          <t>2026</t>
        </is>
      </c>
      <c r="Y110" s="5" t="inlineStr">
        <is>
          <t>2027(MW)</t>
        </is>
      </c>
      <c r="Z110" s="5" t="inlineStr">
        <is>
          <t>2028(MW)</t>
        </is>
      </c>
      <c r="AA110" s="5" t="inlineStr">
        <is>
          <t>2029(MW)</t>
        </is>
      </c>
      <c r="AB110" s="5" t="inlineStr">
        <is>
          <t>2030(MW)</t>
        </is>
      </c>
      <c r="AC110" s="5" t="inlineStr">
        <is>
          <t>2031(MW)</t>
        </is>
      </c>
    </row>
    <row r="111">
      <c r="A111" s="9" t="inlineStr">
        <is>
          <t>순이익</t>
        </is>
      </c>
      <c r="C111" s="12" t="n">
        <v>451.016</v>
      </c>
      <c r="D111" s="12" t="n">
        <v>814.347</v>
      </c>
      <c r="E111" s="12" t="n">
        <v>621.571</v>
      </c>
      <c r="F111" s="12" t="n">
        <v>173.958</v>
      </c>
      <c r="G111" s="12" t="n">
        <v>610.341</v>
      </c>
      <c r="H111" s="12" t="n">
        <v>995.6319999999999</v>
      </c>
      <c r="I111" s="12" t="n">
        <v>711.3579999999999</v>
      </c>
      <c r="J111" s="12" t="n">
        <v>480.994</v>
      </c>
      <c r="K111" s="12" t="n">
        <v>685.438</v>
      </c>
      <c r="L111" s="12" t="n">
        <v>720.323</v>
      </c>
      <c r="M111" s="12" t="n">
        <v>921.366</v>
      </c>
      <c r="N111" s="12" t="n">
        <v>223.855</v>
      </c>
      <c r="T111" s="12" t="n">
        <v>588.581</v>
      </c>
      <c r="U111" s="12" t="n">
        <v>689.1130000000001</v>
      </c>
      <c r="V111" s="12" t="n">
        <v>621.571</v>
      </c>
      <c r="W111" s="12" t="n">
        <v>711.3579999999999</v>
      </c>
      <c r="X111" s="12" t="n">
        <v>921.366</v>
      </c>
    </row>
    <row r="112">
      <c r="A112" s="18" t="inlineStr">
        <is>
          <t>기타유가증권 평가차액</t>
        </is>
      </c>
      <c r="C112" s="20" t="n">
        <v>201.107</v>
      </c>
      <c r="D112" s="20" t="n">
        <v>-66.59</v>
      </c>
      <c r="E112" s="20" t="n">
        <v>520.011</v>
      </c>
      <c r="F112" s="20" t="n">
        <v>-217.544</v>
      </c>
      <c r="G112" s="20" t="n">
        <v>-342.898</v>
      </c>
      <c r="H112" s="20" t="n">
        <v>234.162</v>
      </c>
      <c r="I112" s="20" t="n">
        <v>-241.389</v>
      </c>
      <c r="J112" s="20" t="n">
        <v>44.148</v>
      </c>
      <c r="K112" s="20" t="n">
        <v>224.653</v>
      </c>
      <c r="L112" s="20" t="n">
        <v>316.852</v>
      </c>
      <c r="M112" s="20" t="n">
        <v>11.899</v>
      </c>
      <c r="N112" s="20" t="n">
        <v>-139.584</v>
      </c>
      <c r="T112" s="20" t="n">
        <v>-123.066</v>
      </c>
      <c r="U112" s="20" t="n">
        <v>58.246</v>
      </c>
      <c r="V112" s="20" t="n">
        <v>520.011</v>
      </c>
      <c r="W112" s="20" t="n">
        <v>-241.389</v>
      </c>
      <c r="X112" s="20" t="n">
        <v>11.899</v>
      </c>
    </row>
    <row r="113">
      <c r="A113" s="18" t="inlineStr">
        <is>
          <t>해외사업환산조정</t>
        </is>
      </c>
      <c r="C113" s="20" t="n">
        <v>179.617</v>
      </c>
      <c r="D113" s="20" t="n">
        <v>51.798</v>
      </c>
      <c r="E113" s="20" t="n">
        <v>-28.14</v>
      </c>
      <c r="F113" s="20" t="n">
        <v>164.325</v>
      </c>
      <c r="G113" s="20" t="n">
        <v>200.542</v>
      </c>
      <c r="H113" s="20" t="n">
        <v>-110.322</v>
      </c>
      <c r="I113" s="20" t="n">
        <v>212.071</v>
      </c>
      <c r="J113" s="20" t="n">
        <v>-246.076</v>
      </c>
      <c r="K113" s="20" t="n">
        <v>-22.394</v>
      </c>
      <c r="L113" s="20" t="n">
        <v>119.96</v>
      </c>
      <c r="M113" s="20" t="n">
        <v>189.634</v>
      </c>
      <c r="N113" s="20" t="n">
        <v>40.984</v>
      </c>
      <c r="T113" s="20" t="n">
        <v>200.985</v>
      </c>
      <c r="U113" s="20" t="n">
        <v>-206.917</v>
      </c>
      <c r="V113" s="20" t="n">
        <v>-28.14</v>
      </c>
      <c r="W113" s="20" t="n">
        <v>212.071</v>
      </c>
      <c r="X113" s="20" t="n">
        <v>189.634</v>
      </c>
    </row>
    <row r="114">
      <c r="A114" s="18" t="inlineStr">
        <is>
          <t>퇴직급여 조정액</t>
        </is>
      </c>
      <c r="C114" s="20" t="n">
        <v>7.948</v>
      </c>
      <c r="D114" s="20" t="n">
        <v>7.947</v>
      </c>
      <c r="E114" s="20" t="n">
        <v>125.171</v>
      </c>
      <c r="F114" s="20" t="n">
        <v>6.326</v>
      </c>
      <c r="G114" s="20" t="n">
        <v>6.326</v>
      </c>
      <c r="H114" s="20" t="n">
        <v>6.327</v>
      </c>
      <c r="I114" s="20" t="n">
        <v>354.229</v>
      </c>
      <c r="J114" s="20" t="n">
        <v>-2.187</v>
      </c>
      <c r="K114" s="20" t="n">
        <v>-1.975</v>
      </c>
      <c r="L114" s="20" t="n">
        <v>-1.976</v>
      </c>
      <c r="M114" s="20" t="n">
        <v>111.326</v>
      </c>
      <c r="N114" s="20" t="n">
        <v>-2.531</v>
      </c>
      <c r="T114" s="20" t="n">
        <v>-179.06</v>
      </c>
      <c r="U114" s="20" t="n">
        <v>-123.086</v>
      </c>
      <c r="V114" s="20" t="n">
        <v>125.171</v>
      </c>
      <c r="W114" s="20" t="n">
        <v>354.229</v>
      </c>
      <c r="X114" s="20" t="n">
        <v>111.326</v>
      </c>
    </row>
    <row r="115">
      <c r="A115" s="18" t="inlineStr">
        <is>
          <t>지분법 적용회사 지분 해당액</t>
        </is>
      </c>
      <c r="C115" s="20" t="n">
        <v>7.393</v>
      </c>
      <c r="D115" s="20" t="n">
        <v>-22.199</v>
      </c>
      <c r="E115" s="20" t="n">
        <v>25.029</v>
      </c>
      <c r="F115" s="20" t="n">
        <v>34.666</v>
      </c>
      <c r="G115" s="20" t="n">
        <v>-43.141</v>
      </c>
      <c r="H115" s="20" t="n">
        <v>34.696</v>
      </c>
      <c r="I115" s="20" t="n">
        <v>-26.962</v>
      </c>
      <c r="J115" s="20" t="n">
        <v>-23.758</v>
      </c>
      <c r="K115" s="20" t="n">
        <v>18.416</v>
      </c>
      <c r="L115" s="20" t="n">
        <v>25.749</v>
      </c>
      <c r="M115" s="20" t="n">
        <v>41.975</v>
      </c>
      <c r="N115" s="20" t="n">
        <v>-10.927</v>
      </c>
      <c r="T115" s="20" t="n">
        <v>17.851</v>
      </c>
      <c r="U115" s="20" t="n">
        <v>-1.269</v>
      </c>
      <c r="V115" s="20" t="n">
        <v>25.029</v>
      </c>
      <c r="W115" s="20" t="n">
        <v>-26.962</v>
      </c>
      <c r="X115" s="20" t="n">
        <v>41.975</v>
      </c>
    </row>
    <row r="116">
      <c r="A116" s="18" t="inlineStr">
        <is>
          <t>기타포괄손익 합계</t>
        </is>
      </c>
      <c r="C116" s="20" t="n">
        <v>396.065</v>
      </c>
      <c r="D116" s="20" t="n">
        <v>-29.043</v>
      </c>
      <c r="E116" s="20" t="n">
        <v>642.071</v>
      </c>
      <c r="F116" s="20" t="n">
        <v>-12.225</v>
      </c>
      <c r="G116" s="20" t="n">
        <v>-179.172</v>
      </c>
      <c r="H116" s="20" t="n">
        <v>164.863</v>
      </c>
      <c r="I116" s="20" t="n">
        <v>297.947</v>
      </c>
      <c r="J116" s="20" t="n">
        <v>-227.874</v>
      </c>
      <c r="K116" s="20" t="n">
        <v>218.7</v>
      </c>
      <c r="L116" s="20" t="n">
        <v>460.585</v>
      </c>
      <c r="M116" s="20" t="n">
        <v>354.836</v>
      </c>
      <c r="N116" s="20" t="n">
        <v>-112.059</v>
      </c>
      <c r="T116" s="20" t="n">
        <v>-83.292</v>
      </c>
      <c r="U116" s="20" t="n">
        <v>-273.027</v>
      </c>
      <c r="V116" s="20" t="n">
        <v>642.071</v>
      </c>
      <c r="W116" s="20" t="n">
        <v>297.947</v>
      </c>
      <c r="X116" s="20" t="n">
        <v>354.836</v>
      </c>
    </row>
    <row r="117">
      <c r="A117" s="9" t="inlineStr">
        <is>
          <t>포괄이익</t>
        </is>
      </c>
      <c r="C117" s="12" t="n">
        <v>847.08</v>
      </c>
      <c r="D117" s="12" t="n">
        <v>785.304</v>
      </c>
      <c r="E117" s="12" t="n">
        <v>1263.643</v>
      </c>
      <c r="F117" s="12" t="n">
        <v>161.733</v>
      </c>
      <c r="G117" s="12" t="n">
        <v>431.168</v>
      </c>
      <c r="H117" s="12" t="n">
        <v>1160.496</v>
      </c>
      <c r="I117" s="12" t="n">
        <v>1009.306</v>
      </c>
      <c r="J117" s="12" t="n">
        <v>253.119</v>
      </c>
      <c r="K117" s="12" t="n">
        <v>904.139</v>
      </c>
      <c r="L117" s="12" t="n">
        <v>1180.909</v>
      </c>
      <c r="M117" s="12" t="n">
        <v>1276.202</v>
      </c>
      <c r="N117" s="12" t="n">
        <v>111.796</v>
      </c>
      <c r="T117" s="12" t="n">
        <v>505.289</v>
      </c>
      <c r="U117" s="12" t="n">
        <v>416.085</v>
      </c>
      <c r="V117" s="12" t="n">
        <v>1263.643</v>
      </c>
      <c r="W117" s="12" t="n">
        <v>1009.306</v>
      </c>
      <c r="X117" s="12" t="n">
        <v>1276.202</v>
      </c>
    </row>
    <row r="118">
      <c r="A118" s="9" t="inlineStr">
        <is>
          <t>지배주주 포괄이익</t>
        </is>
      </c>
      <c r="C118" s="12" t="n">
        <v>800.139</v>
      </c>
      <c r="D118" s="12" t="n">
        <v>768.258</v>
      </c>
      <c r="E118" s="12" t="n">
        <v>1238.768</v>
      </c>
      <c r="F118" s="12" t="n">
        <v>138.763</v>
      </c>
      <c r="G118" s="12" t="n">
        <v>394.57</v>
      </c>
      <c r="H118" s="12" t="n">
        <v>1138.205</v>
      </c>
      <c r="I118" s="12" t="n">
        <v>939.78</v>
      </c>
      <c r="J118" s="12" t="n">
        <v>271.72</v>
      </c>
      <c r="K118" s="12" t="n">
        <v>870.481</v>
      </c>
      <c r="L118" s="12" t="n">
        <v>1146.959</v>
      </c>
      <c r="M118" s="12" t="n">
        <v>1191.509</v>
      </c>
      <c r="N118" s="12" t="n">
        <v>104.401</v>
      </c>
      <c r="T118" s="12" t="n">
        <v>473.538</v>
      </c>
      <c r="U118" s="12" t="n">
        <v>410.346</v>
      </c>
      <c r="V118" s="12" t="n">
        <v>1238.768</v>
      </c>
      <c r="W118" s="12" t="n">
        <v>939.78</v>
      </c>
      <c r="X118" s="12" t="n">
        <v>1191.509</v>
      </c>
    </row>
    <row r="119">
      <c r="A119" s="9" t="inlineStr">
        <is>
          <t>비지배주주 포괄이익</t>
        </is>
      </c>
      <c r="C119" s="12" t="n">
        <v>46.94</v>
      </c>
      <c r="D119" s="12" t="n">
        <v>17.046</v>
      </c>
      <c r="E119" s="12" t="n">
        <v>24.875</v>
      </c>
      <c r="F119" s="12" t="n">
        <v>22.969</v>
      </c>
      <c r="G119" s="12" t="n">
        <v>36.598</v>
      </c>
      <c r="H119" s="12" t="n">
        <v>22.292</v>
      </c>
      <c r="I119" s="12" t="n">
        <v>69.526</v>
      </c>
      <c r="J119" s="12" t="n">
        <v>-18.6</v>
      </c>
      <c r="K119" s="12" t="n">
        <v>33.656</v>
      </c>
      <c r="L119" s="12" t="n">
        <v>33.95</v>
      </c>
      <c r="M119" s="12" t="n">
        <v>84.694</v>
      </c>
      <c r="N119" s="12" t="n">
        <v>7.394</v>
      </c>
      <c r="T119" s="12" t="n">
        <v>31.751</v>
      </c>
      <c r="U119" s="12" t="n">
        <v>5.739</v>
      </c>
      <c r="V119" s="12" t="n">
        <v>24.875</v>
      </c>
      <c r="W119" s="12" t="n">
        <v>69.526</v>
      </c>
      <c r="X119" s="12" t="n">
        <v>84.694</v>
      </c>
    </row>
    <row r="121">
      <c r="A121" s="16" t="inlineStr">
        <is>
          <t>부문 · 전 항목</t>
        </is>
      </c>
      <c r="B121" s="42" t="inlineStr">
        <is>
          <t>부문 · 항목</t>
        </is>
      </c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</row>
    <row r="122">
      <c r="A122" s="5" t="inlineStr">
        <is>
          <t>항목</t>
        </is>
      </c>
      <c r="B122" s="5" t="inlineStr">
        <is>
          <t>참고</t>
        </is>
      </c>
      <c r="C122" s="5" t="inlineStr">
        <is>
          <t>2024.2Q</t>
        </is>
      </c>
      <c r="D122" s="5" t="inlineStr">
        <is>
          <t>2024.3Q</t>
        </is>
      </c>
      <c r="E122" s="5" t="inlineStr">
        <is>
          <t>2024.4Q</t>
        </is>
      </c>
      <c r="F122" s="5" t="inlineStr">
        <is>
          <t>2025.1Q</t>
        </is>
      </c>
      <c r="G122" s="5" t="inlineStr">
        <is>
          <t>2025.2Q</t>
        </is>
      </c>
      <c r="H122" s="5" t="inlineStr">
        <is>
          <t>2025.3Q</t>
        </is>
      </c>
      <c r="I122" s="5" t="inlineStr">
        <is>
          <t>2025.4Q</t>
        </is>
      </c>
      <c r="J122" s="5" t="inlineStr">
        <is>
          <t>2026.1Q</t>
        </is>
      </c>
      <c r="K122" s="5" t="inlineStr">
        <is>
          <t>2026.2Q</t>
        </is>
      </c>
      <c r="L122" s="5" t="inlineStr">
        <is>
          <t>2026.3Q</t>
        </is>
      </c>
      <c r="M122" s="5" t="inlineStr">
        <is>
          <t>2026.4Q</t>
        </is>
      </c>
      <c r="N122" s="5" t="inlineStr">
        <is>
          <t>2027.1Q</t>
        </is>
      </c>
      <c r="O122" s="5" t="inlineStr">
        <is>
          <t>2017</t>
        </is>
      </c>
      <c r="P122" s="5" t="inlineStr">
        <is>
          <t>2018</t>
        </is>
      </c>
      <c r="Q122" s="5" t="inlineStr">
        <is>
          <t>2019</t>
        </is>
      </c>
      <c r="R122" s="5" t="inlineStr">
        <is>
          <t>2020</t>
        </is>
      </c>
      <c r="S122" s="5" t="inlineStr">
        <is>
          <t>2021</t>
        </is>
      </c>
      <c r="T122" s="5" t="inlineStr">
        <is>
          <t>2022</t>
        </is>
      </c>
      <c r="U122" s="5" t="inlineStr">
        <is>
          <t>2023</t>
        </is>
      </c>
      <c r="V122" s="5" t="inlineStr">
        <is>
          <t>2024</t>
        </is>
      </c>
      <c r="W122" s="5" t="inlineStr">
        <is>
          <t>2025</t>
        </is>
      </c>
      <c r="X122" s="5" t="inlineStr">
        <is>
          <t>2026</t>
        </is>
      </c>
      <c r="Y122" s="5" t="inlineStr">
        <is>
          <t>2027(MW)</t>
        </is>
      </c>
      <c r="Z122" s="5" t="inlineStr">
        <is>
          <t>2028(MW)</t>
        </is>
      </c>
      <c r="AA122" s="5" t="inlineStr">
        <is>
          <t>2029(MW)</t>
        </is>
      </c>
      <c r="AB122" s="5" t="inlineStr">
        <is>
          <t>2030(MW)</t>
        </is>
      </c>
      <c r="AC122" s="5" t="inlineStr">
        <is>
          <t>2031(MW)</t>
        </is>
      </c>
    </row>
    <row r="123">
      <c r="A123" s="18" t="inlineStr">
        <is>
          <t>부문 · 외부 고객 매출</t>
        </is>
      </c>
      <c r="C123" s="20" t="n">
        <v>5271.147</v>
      </c>
      <c r="D123" s="20" t="n">
        <v>7013.725</v>
      </c>
      <c r="E123" s="20" t="n">
        <v>9265.294</v>
      </c>
      <c r="F123" s="20" t="n">
        <v>6155.649</v>
      </c>
      <c r="G123" s="20" t="n">
        <v>6892.358</v>
      </c>
      <c r="H123" s="20" t="n">
        <v>7341.281</v>
      </c>
      <c r="I123" s="20" t="n">
        <v>9514.063</v>
      </c>
      <c r="J123" s="20" t="n">
        <v>6543.812</v>
      </c>
      <c r="K123" s="20" t="n">
        <v>7446.517</v>
      </c>
      <c r="L123" s="20" t="n">
        <v>6502.832</v>
      </c>
      <c r="M123" s="20" t="n">
        <v>8878.815000000001</v>
      </c>
      <c r="N123" s="20" t="n">
        <v>7064.779</v>
      </c>
      <c r="V123" s="20" t="n">
        <v>9265.294</v>
      </c>
      <c r="W123" s="20" t="n">
        <v>9514.063</v>
      </c>
      <c r="X123" s="20" t="n">
        <v>8878.815000000001</v>
      </c>
    </row>
    <row r="124">
      <c r="A124" s="18" t="inlineStr">
        <is>
          <t>부문 · 외부 고객 매출</t>
        </is>
      </c>
      <c r="C124" s="20" t="n">
        <v>2626.223</v>
      </c>
      <c r="D124" s="20" t="n">
        <v>2763.902</v>
      </c>
      <c r="E124" s="20" t="n">
        <v>2542.279</v>
      </c>
      <c r="F124" s="20" t="n">
        <v>2499.83</v>
      </c>
      <c r="G124" s="20" t="n">
        <v>2528.489</v>
      </c>
      <c r="H124" s="20" t="n">
        <v>2702.072</v>
      </c>
      <c r="I124" s="20" t="n">
        <v>2583.276</v>
      </c>
      <c r="J124" s="20" t="n">
        <v>2338.196</v>
      </c>
      <c r="K124" s="20" t="n">
        <v>2600.236</v>
      </c>
      <c r="L124" s="20" t="n">
        <v>2502.85</v>
      </c>
      <c r="M124" s="20" t="n">
        <v>2147.138</v>
      </c>
      <c r="N124" s="20" t="n">
        <v>1952.239</v>
      </c>
      <c r="V124" s="20" t="n">
        <v>2542.279</v>
      </c>
      <c r="W124" s="20" t="n">
        <v>2583.276</v>
      </c>
      <c r="X124" s="20" t="n">
        <v>2147.138</v>
      </c>
    </row>
    <row r="125">
      <c r="A125" s="18" t="inlineStr">
        <is>
          <t>보고부문 합계 · 외부 고객 매출</t>
        </is>
      </c>
      <c r="C125" s="20" t="n">
        <v>7897.37</v>
      </c>
      <c r="D125" s="20" t="n">
        <v>9777.627</v>
      </c>
      <c r="E125" s="20" t="n">
        <v>11807.573</v>
      </c>
      <c r="F125" s="20" t="n">
        <v>8655.48</v>
      </c>
      <c r="G125" s="20" t="n">
        <v>9420.847</v>
      </c>
      <c r="H125" s="20" t="n">
        <v>10043.353</v>
      </c>
      <c r="I125" s="20" t="n">
        <v>12097.338</v>
      </c>
      <c r="J125" s="20" t="n">
        <v>8882.008</v>
      </c>
      <c r="K125" s="20" t="n">
        <v>10046.754</v>
      </c>
      <c r="L125" s="20" t="n">
        <v>9005.681</v>
      </c>
      <c r="M125" s="20" t="n">
        <v>11025.954</v>
      </c>
      <c r="N125" s="20" t="n">
        <v>9017.018</v>
      </c>
      <c r="V125" s="20" t="n">
        <v>11807.573</v>
      </c>
      <c r="W125" s="20" t="n">
        <v>12097.338</v>
      </c>
      <c r="X125" s="20" t="n">
        <v>11025.954</v>
      </c>
    </row>
    <row r="126">
      <c r="A126" s="18" t="inlineStr">
        <is>
          <t>조정액 · 외부 고객 매출</t>
        </is>
      </c>
      <c r="C126" s="20" t="n">
        <v>0</v>
      </c>
      <c r="D126" s="20" t="n">
        <v>0</v>
      </c>
      <c r="E126" s="20" t="n">
        <v>0</v>
      </c>
      <c r="F126" s="20" t="n">
        <v>0</v>
      </c>
      <c r="G126" s="20" t="n">
        <v>0</v>
      </c>
      <c r="H126" s="20" t="n">
        <v>0</v>
      </c>
      <c r="I126" s="20" t="n">
        <v>0</v>
      </c>
      <c r="J126" s="20" t="n">
        <v>0</v>
      </c>
      <c r="K126" s="20" t="n">
        <v>0</v>
      </c>
      <c r="L126" s="20" t="n">
        <v>0</v>
      </c>
      <c r="M126" s="20" t="n">
        <v>0</v>
      </c>
      <c r="N126" s="20" t="n">
        <v>0</v>
      </c>
      <c r="V126" s="20" t="n">
        <v>0</v>
      </c>
      <c r="W126" s="20" t="n">
        <v>0</v>
      </c>
      <c r="X126" s="20" t="n">
        <v>0</v>
      </c>
    </row>
    <row r="127">
      <c r="A127" s="9" t="inlineStr">
        <is>
          <t>외부 고객 매출</t>
        </is>
      </c>
      <c r="C127" s="12" t="n">
        <v>7897.37</v>
      </c>
      <c r="D127" s="12" t="n">
        <v>9777.627</v>
      </c>
      <c r="E127" s="12" t="n">
        <v>11807.573</v>
      </c>
      <c r="F127" s="12" t="n">
        <v>8655.48</v>
      </c>
      <c r="G127" s="12" t="n">
        <v>9420.847</v>
      </c>
      <c r="H127" s="12" t="n">
        <v>10043.353</v>
      </c>
      <c r="I127" s="12" t="n">
        <v>12097.338</v>
      </c>
      <c r="J127" s="12" t="n">
        <v>8882.008</v>
      </c>
      <c r="K127" s="12" t="n">
        <v>10046.754</v>
      </c>
      <c r="L127" s="12" t="n">
        <v>9005.681</v>
      </c>
      <c r="M127" s="12" t="n">
        <v>11025.954</v>
      </c>
      <c r="N127" s="12" t="n">
        <v>9017.018</v>
      </c>
      <c r="V127" s="12" t="n">
        <v>11807.573</v>
      </c>
      <c r="W127" s="12" t="n">
        <v>12097.338</v>
      </c>
      <c r="X127" s="12" t="n">
        <v>11025.954</v>
      </c>
    </row>
    <row r="128">
      <c r="A128" s="18" t="inlineStr">
        <is>
          <t>부문 · 부문 간 내부매출·대체</t>
        </is>
      </c>
      <c r="C128" s="20" t="n">
        <v>0</v>
      </c>
      <c r="D128" s="20" t="n">
        <v>0</v>
      </c>
      <c r="E128" s="20" t="n">
        <v>0</v>
      </c>
      <c r="F128" s="20" t="n">
        <v>0</v>
      </c>
      <c r="G128" s="20" t="n">
        <v>0</v>
      </c>
      <c r="H128" s="20" t="n">
        <v>0</v>
      </c>
      <c r="I128" s="20" t="n">
        <v>0</v>
      </c>
      <c r="J128" s="20" t="n">
        <v>0</v>
      </c>
      <c r="K128" s="20" t="n">
        <v>0</v>
      </c>
      <c r="L128" s="20" t="n">
        <v>0</v>
      </c>
      <c r="M128" s="20" t="n">
        <v>0</v>
      </c>
      <c r="N128" s="20" t="n">
        <v>0</v>
      </c>
      <c r="V128" s="20" t="n">
        <v>0</v>
      </c>
      <c r="W128" s="20" t="n">
        <v>0</v>
      </c>
      <c r="X128" s="20" t="n">
        <v>0</v>
      </c>
    </row>
    <row r="129">
      <c r="A129" s="18" t="inlineStr">
        <is>
          <t>부문 · 부문 간 내부매출·대체</t>
        </is>
      </c>
      <c r="C129" s="20" t="n">
        <v>0</v>
      </c>
      <c r="D129" s="20" t="n">
        <v>0</v>
      </c>
      <c r="E129" s="20" t="n">
        <v>0</v>
      </c>
      <c r="F129" s="20" t="n">
        <v>0</v>
      </c>
      <c r="G129" s="20" t="n">
        <v>0</v>
      </c>
      <c r="H129" s="20" t="n">
        <v>0</v>
      </c>
      <c r="I129" s="20" t="n">
        <v>0</v>
      </c>
      <c r="J129" s="20" t="n">
        <v>0</v>
      </c>
      <c r="K129" s="20" t="n">
        <v>0</v>
      </c>
      <c r="L129" s="20" t="n">
        <v>0</v>
      </c>
      <c r="M129" s="20" t="n">
        <v>0</v>
      </c>
      <c r="N129" s="20" t="n">
        <v>0</v>
      </c>
      <c r="V129" s="20" t="n">
        <v>0</v>
      </c>
      <c r="W129" s="20" t="n">
        <v>0</v>
      </c>
      <c r="X129" s="20" t="n">
        <v>0</v>
      </c>
    </row>
    <row r="130">
      <c r="A130" s="18" t="inlineStr">
        <is>
          <t>보고부문 합계 · 부문 간 내부매출·대체</t>
        </is>
      </c>
      <c r="C130" s="20" t="n">
        <v>0</v>
      </c>
      <c r="D130" s="20" t="n">
        <v>0</v>
      </c>
      <c r="E130" s="20" t="n">
        <v>0</v>
      </c>
      <c r="F130" s="20" t="n">
        <v>0</v>
      </c>
      <c r="G130" s="20" t="n">
        <v>0</v>
      </c>
      <c r="H130" s="20" t="n">
        <v>0</v>
      </c>
      <c r="I130" s="20" t="n">
        <v>0</v>
      </c>
      <c r="J130" s="20" t="n">
        <v>0</v>
      </c>
      <c r="K130" s="20" t="n">
        <v>0</v>
      </c>
      <c r="L130" s="20" t="n">
        <v>0</v>
      </c>
      <c r="M130" s="20" t="n">
        <v>0</v>
      </c>
      <c r="N130" s="20" t="n">
        <v>0</v>
      </c>
      <c r="V130" s="20" t="n">
        <v>0</v>
      </c>
      <c r="W130" s="20" t="n">
        <v>0</v>
      </c>
      <c r="X130" s="20" t="n">
        <v>0</v>
      </c>
    </row>
    <row r="131">
      <c r="A131" s="18" t="inlineStr">
        <is>
          <t>조정액 · 부문 간 내부매출·대체</t>
        </is>
      </c>
      <c r="C131" s="20" t="n">
        <v>0</v>
      </c>
      <c r="D131" s="20" t="n">
        <v>0</v>
      </c>
      <c r="E131" s="20" t="n">
        <v>0</v>
      </c>
      <c r="F131" s="20" t="n">
        <v>0</v>
      </c>
      <c r="G131" s="20" t="n">
        <v>0</v>
      </c>
      <c r="H131" s="20" t="n">
        <v>0</v>
      </c>
      <c r="I131" s="20" t="n">
        <v>0</v>
      </c>
      <c r="J131" s="20" t="n">
        <v>0</v>
      </c>
      <c r="K131" s="20" t="n">
        <v>0</v>
      </c>
      <c r="L131" s="20" t="n">
        <v>0</v>
      </c>
      <c r="M131" s="20" t="n">
        <v>0</v>
      </c>
      <c r="N131" s="20" t="n">
        <v>0</v>
      </c>
      <c r="V131" s="20" t="n">
        <v>0</v>
      </c>
      <c r="W131" s="20" t="n">
        <v>0</v>
      </c>
      <c r="X131" s="20" t="n">
        <v>0</v>
      </c>
    </row>
    <row r="132">
      <c r="A132" s="18" t="inlineStr">
        <is>
          <t>부문 간 내부매출·대체</t>
        </is>
      </c>
      <c r="C132" s="20" t="n">
        <v>0</v>
      </c>
      <c r="D132" s="20" t="n">
        <v>0</v>
      </c>
      <c r="E132" s="20" t="n">
        <v>0</v>
      </c>
      <c r="F132" s="20" t="n">
        <v>0</v>
      </c>
      <c r="G132" s="20" t="n">
        <v>0</v>
      </c>
      <c r="H132" s="20" t="n">
        <v>0</v>
      </c>
      <c r="I132" s="20" t="n">
        <v>0</v>
      </c>
      <c r="J132" s="20" t="n">
        <v>0</v>
      </c>
      <c r="K132" s="20" t="n">
        <v>0</v>
      </c>
      <c r="L132" s="20" t="n">
        <v>0</v>
      </c>
      <c r="M132" s="20" t="n">
        <v>0</v>
      </c>
      <c r="N132" s="20" t="n">
        <v>0</v>
      </c>
      <c r="V132" s="20" t="n">
        <v>0</v>
      </c>
      <c r="W132" s="20" t="n">
        <v>0</v>
      </c>
      <c r="X132" s="20" t="n">
        <v>0</v>
      </c>
    </row>
    <row r="133">
      <c r="A133" s="18" t="inlineStr">
        <is>
          <t>부문 · 계</t>
        </is>
      </c>
      <c r="C133" s="20" t="n">
        <v>5271.147</v>
      </c>
      <c r="D133" s="20" t="n">
        <v>7013.725</v>
      </c>
      <c r="E133" s="20" t="n">
        <v>9265.294</v>
      </c>
      <c r="F133" s="20" t="n">
        <v>6155.649</v>
      </c>
      <c r="G133" s="20" t="n">
        <v>6892.358</v>
      </c>
      <c r="H133" s="20" t="n">
        <v>7341.281</v>
      </c>
      <c r="I133" s="20" t="n">
        <v>9514.063</v>
      </c>
      <c r="J133" s="20" t="n">
        <v>6543.812</v>
      </c>
      <c r="K133" s="20" t="n">
        <v>7446.517</v>
      </c>
      <c r="L133" s="20" t="n">
        <v>6502.832</v>
      </c>
      <c r="M133" s="20" t="n">
        <v>8878.815000000001</v>
      </c>
      <c r="N133" s="20" t="n">
        <v>7064.779</v>
      </c>
      <c r="V133" s="20" t="n">
        <v>9265.294</v>
      </c>
      <c r="W133" s="20" t="n">
        <v>9514.063</v>
      </c>
      <c r="X133" s="20" t="n">
        <v>8878.815000000001</v>
      </c>
    </row>
    <row r="134">
      <c r="A134" s="18" t="inlineStr">
        <is>
          <t>부문 · 계</t>
        </is>
      </c>
      <c r="C134" s="20" t="n">
        <v>2626.223</v>
      </c>
      <c r="D134" s="20" t="n">
        <v>2763.902</v>
      </c>
      <c r="E134" s="20" t="n">
        <v>2542.279</v>
      </c>
      <c r="F134" s="20" t="n">
        <v>2499.83</v>
      </c>
      <c r="G134" s="20" t="n">
        <v>2528.489</v>
      </c>
      <c r="H134" s="20" t="n">
        <v>2702.072</v>
      </c>
      <c r="I134" s="20" t="n">
        <v>2583.276</v>
      </c>
      <c r="J134" s="20" t="n">
        <v>2338.196</v>
      </c>
      <c r="K134" s="20" t="n">
        <v>2600.236</v>
      </c>
      <c r="L134" s="20" t="n">
        <v>2502.85</v>
      </c>
      <c r="M134" s="20" t="n">
        <v>2147.138</v>
      </c>
      <c r="N134" s="20" t="n">
        <v>1952.239</v>
      </c>
      <c r="V134" s="20" t="n">
        <v>2542.279</v>
      </c>
      <c r="W134" s="20" t="n">
        <v>2583.276</v>
      </c>
      <c r="X134" s="20" t="n">
        <v>2147.138</v>
      </c>
    </row>
    <row r="135">
      <c r="A135" s="18" t="inlineStr">
        <is>
          <t>보고부문 합계 · 계</t>
        </is>
      </c>
      <c r="C135" s="20" t="n">
        <v>7897.37</v>
      </c>
      <c r="D135" s="20" t="n">
        <v>9777.627</v>
      </c>
      <c r="E135" s="20" t="n">
        <v>11807.573</v>
      </c>
      <c r="F135" s="20" t="n">
        <v>8655.48</v>
      </c>
      <c r="G135" s="20" t="n">
        <v>9420.847</v>
      </c>
      <c r="H135" s="20" t="n">
        <v>10043.353</v>
      </c>
      <c r="I135" s="20" t="n">
        <v>12097.338</v>
      </c>
      <c r="J135" s="20" t="n">
        <v>8882.008</v>
      </c>
      <c r="K135" s="20" t="n">
        <v>10046.754</v>
      </c>
      <c r="L135" s="20" t="n">
        <v>9005.681</v>
      </c>
      <c r="M135" s="20" t="n">
        <v>11025.954</v>
      </c>
      <c r="N135" s="20" t="n">
        <v>9017.018</v>
      </c>
      <c r="V135" s="20" t="n">
        <v>11807.573</v>
      </c>
      <c r="W135" s="20" t="n">
        <v>12097.338</v>
      </c>
      <c r="X135" s="20" t="n">
        <v>11025.954</v>
      </c>
    </row>
    <row r="136">
      <c r="A136" s="18" t="inlineStr">
        <is>
          <t>조정액 · 계</t>
        </is>
      </c>
      <c r="C136" s="20" t="n">
        <v>0</v>
      </c>
      <c r="D136" s="20" t="n">
        <v>0</v>
      </c>
      <c r="E136" s="20" t="n">
        <v>0</v>
      </c>
      <c r="F136" s="20" t="n">
        <v>0</v>
      </c>
      <c r="G136" s="20" t="n">
        <v>0</v>
      </c>
      <c r="H136" s="20" t="n">
        <v>0</v>
      </c>
      <c r="I136" s="20" t="n">
        <v>0</v>
      </c>
      <c r="J136" s="20" t="n">
        <v>0</v>
      </c>
      <c r="K136" s="20" t="n">
        <v>0</v>
      </c>
      <c r="L136" s="20" t="n">
        <v>0</v>
      </c>
      <c r="M136" s="20" t="n">
        <v>0</v>
      </c>
      <c r="N136" s="20" t="n">
        <v>0</v>
      </c>
      <c r="V136" s="20" t="n">
        <v>0</v>
      </c>
      <c r="W136" s="20" t="n">
        <v>0</v>
      </c>
      <c r="X136" s="20" t="n">
        <v>0</v>
      </c>
    </row>
    <row r="137">
      <c r="A137" s="9" t="inlineStr">
        <is>
          <t>계</t>
        </is>
      </c>
      <c r="C137" s="12" t="n">
        <v>7897.37</v>
      </c>
      <c r="D137" s="12" t="n">
        <v>9777.627</v>
      </c>
      <c r="E137" s="12" t="n">
        <v>11807.573</v>
      </c>
      <c r="F137" s="12" t="n">
        <v>8655.48</v>
      </c>
      <c r="G137" s="12" t="n">
        <v>9420.847</v>
      </c>
      <c r="H137" s="12" t="n">
        <v>10043.353</v>
      </c>
      <c r="I137" s="12" t="n">
        <v>12097.338</v>
      </c>
      <c r="J137" s="12" t="n">
        <v>8882.008</v>
      </c>
      <c r="K137" s="12" t="n">
        <v>10046.754</v>
      </c>
      <c r="L137" s="12" t="n">
        <v>9005.681</v>
      </c>
      <c r="M137" s="12" t="n">
        <v>11025.954</v>
      </c>
      <c r="N137" s="12" t="n">
        <v>9017.018</v>
      </c>
      <c r="V137" s="12" t="n">
        <v>11807.573</v>
      </c>
      <c r="W137" s="12" t="n">
        <v>12097.338</v>
      </c>
      <c r="X137" s="12" t="n">
        <v>11025.954</v>
      </c>
    </row>
    <row r="138">
      <c r="A138" s="18" t="inlineStr">
        <is>
          <t>부문 · 부문 이익</t>
        </is>
      </c>
      <c r="C138" s="20" t="n">
        <v>593.179</v>
      </c>
      <c r="D138" s="20" t="n">
        <v>1051.524</v>
      </c>
      <c r="E138" s="20" t="n">
        <v>1301.412</v>
      </c>
      <c r="F138" s="20" t="n">
        <v>607.152</v>
      </c>
      <c r="G138" s="20" t="n">
        <v>794.813</v>
      </c>
      <c r="H138" s="20" t="n">
        <v>1018.086</v>
      </c>
      <c r="I138" s="20" t="n">
        <v>1458.642</v>
      </c>
      <c r="J138" s="20" t="n">
        <v>883.288</v>
      </c>
      <c r="K138" s="20" t="n">
        <v>927.795</v>
      </c>
      <c r="L138" s="20" t="n">
        <v>963.307</v>
      </c>
      <c r="M138" s="20" t="n">
        <v>1381.423</v>
      </c>
      <c r="N138" s="20" t="n">
        <v>955.251</v>
      </c>
      <c r="V138" s="20" t="n">
        <v>1301.412</v>
      </c>
      <c r="W138" s="20" t="n">
        <v>1458.642</v>
      </c>
      <c r="X138" s="20" t="n">
        <v>1381.423</v>
      </c>
    </row>
    <row r="139">
      <c r="A139" s="18" t="inlineStr">
        <is>
          <t>부문 · 부문 이익</t>
        </is>
      </c>
      <c r="C139" s="20" t="n">
        <v>314.337</v>
      </c>
      <c r="D139" s="20" t="n">
        <v>350.685</v>
      </c>
      <c r="E139" s="20" t="n">
        <v>152.942</v>
      </c>
      <c r="F139" s="20" t="n">
        <v>343.498</v>
      </c>
      <c r="G139" s="20" t="n">
        <v>347.415</v>
      </c>
      <c r="H139" s="20" t="n">
        <v>383.451</v>
      </c>
      <c r="I139" s="20" t="n">
        <v>230.713</v>
      </c>
      <c r="J139" s="20" t="n">
        <v>264.522</v>
      </c>
      <c r="K139" s="20" t="n">
        <v>440.701</v>
      </c>
      <c r="L139" s="20" t="n">
        <v>268.784</v>
      </c>
      <c r="M139" s="20" t="n">
        <v>85.563</v>
      </c>
      <c r="N139" s="20" t="n">
        <v>17.359</v>
      </c>
      <c r="V139" s="20" t="n">
        <v>152.942</v>
      </c>
      <c r="W139" s="20" t="n">
        <v>230.713</v>
      </c>
      <c r="X139" s="20" t="n">
        <v>85.563</v>
      </c>
    </row>
    <row r="140">
      <c r="A140" s="18" t="inlineStr">
        <is>
          <t>보고부문 합계 · 부문 이익</t>
        </is>
      </c>
      <c r="C140" s="20" t="n">
        <v>907.516</v>
      </c>
      <c r="D140" s="20" t="n">
        <v>1402.208</v>
      </c>
      <c r="E140" s="20" t="n">
        <v>1454.355</v>
      </c>
      <c r="F140" s="20" t="n">
        <v>950.651</v>
      </c>
      <c r="G140" s="20" t="n">
        <v>1142.227</v>
      </c>
      <c r="H140" s="20" t="n">
        <v>1401.538</v>
      </c>
      <c r="I140" s="20" t="n">
        <v>1689.355</v>
      </c>
      <c r="J140" s="20" t="n">
        <v>1147.81</v>
      </c>
      <c r="K140" s="20" t="n">
        <v>1368.496</v>
      </c>
      <c r="L140" s="20" t="n">
        <v>1232.091</v>
      </c>
      <c r="M140" s="20" t="n">
        <v>1466.986</v>
      </c>
      <c r="N140" s="20" t="n">
        <v>972.61</v>
      </c>
      <c r="V140" s="20" t="n">
        <v>1454.355</v>
      </c>
      <c r="W140" s="20" t="n">
        <v>1689.355</v>
      </c>
      <c r="X140" s="20" t="n">
        <v>1466.986</v>
      </c>
    </row>
    <row r="141">
      <c r="A141" s="18" t="inlineStr">
        <is>
          <t>조정액 · 부문 이익</t>
        </is>
      </c>
      <c r="C141" s="20" t="n">
        <v>-457.445</v>
      </c>
      <c r="D141" s="20" t="n">
        <v>-438.271</v>
      </c>
      <c r="E141" s="20" t="n">
        <v>-490.734</v>
      </c>
      <c r="F141" s="20" t="n">
        <v>-479.857</v>
      </c>
      <c r="G141" s="20" t="n">
        <v>-475.647</v>
      </c>
      <c r="H141" s="20" t="n">
        <v>-482.588</v>
      </c>
      <c r="I141" s="20" t="n">
        <v>-499.818</v>
      </c>
      <c r="J141" s="20" t="n">
        <v>-514.1950000000001</v>
      </c>
      <c r="K141" s="20" t="n">
        <v>-534.533</v>
      </c>
      <c r="L141" s="20" t="n">
        <v>-474.287</v>
      </c>
      <c r="M141" s="20" t="n">
        <v>-501.501</v>
      </c>
      <c r="N141" s="20" t="n">
        <v>-583.134</v>
      </c>
      <c r="V141" s="20" t="n">
        <v>-490.734</v>
      </c>
      <c r="W141" s="20" t="n">
        <v>-499.818</v>
      </c>
      <c r="X141" s="20" t="n">
        <v>-501.501</v>
      </c>
    </row>
    <row r="142">
      <c r="A142" s="9" t="inlineStr">
        <is>
          <t>부문 이익</t>
        </is>
      </c>
      <c r="C142" s="12" t="n">
        <v>450.07</v>
      </c>
      <c r="D142" s="12" t="n">
        <v>963.938</v>
      </c>
      <c r="E142" s="12" t="n">
        <v>963.621</v>
      </c>
      <c r="F142" s="12" t="n">
        <v>470.794</v>
      </c>
      <c r="G142" s="12" t="n">
        <v>666.579</v>
      </c>
      <c r="H142" s="12" t="n">
        <v>918.95</v>
      </c>
      <c r="I142" s="12" t="n">
        <v>1189.537</v>
      </c>
      <c r="J142" s="12" t="n">
        <v>633.614</v>
      </c>
      <c r="K142" s="12" t="n">
        <v>833.9640000000001</v>
      </c>
      <c r="L142" s="12" t="n">
        <v>757.804</v>
      </c>
      <c r="M142" s="12" t="n">
        <v>965.484</v>
      </c>
      <c r="N142" s="12" t="n">
        <v>389.475</v>
      </c>
      <c r="V142" s="12" t="n">
        <v>963.621</v>
      </c>
      <c r="W142" s="12" t="n">
        <v>1189.537</v>
      </c>
      <c r="X142" s="12" t="n">
        <v>965.484</v>
      </c>
    </row>
    <row r="144">
      <c r="A144" s="16" t="inlineStr">
        <is>
          <t>현금흐름표 · 전 항목</t>
        </is>
      </c>
      <c r="B144" s="42" t="inlineStr">
        <is>
          <t>분기 = 결산기 첫날부터 누계(공시 그대로)</t>
        </is>
      </c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</row>
    <row r="145">
      <c r="A145" s="5" t="inlineStr">
        <is>
          <t>항목</t>
        </is>
      </c>
      <c r="B145" s="5" t="inlineStr">
        <is>
          <t>참고</t>
        </is>
      </c>
      <c r="C145" s="5" t="inlineStr">
        <is>
          <t>2024.2Q</t>
        </is>
      </c>
      <c r="D145" s="5" t="inlineStr">
        <is>
          <t>2024.3Q</t>
        </is>
      </c>
      <c r="E145" s="5" t="inlineStr">
        <is>
          <t>2024.4Q</t>
        </is>
      </c>
      <c r="F145" s="5" t="inlineStr">
        <is>
          <t>2025.1Q</t>
        </is>
      </c>
      <c r="G145" s="5" t="inlineStr">
        <is>
          <t>2025.2Q</t>
        </is>
      </c>
      <c r="H145" s="5" t="inlineStr">
        <is>
          <t>2025.3Q</t>
        </is>
      </c>
      <c r="I145" s="5" t="inlineStr">
        <is>
          <t>2025.4Q</t>
        </is>
      </c>
      <c r="J145" s="5" t="inlineStr">
        <is>
          <t>2026.1Q</t>
        </is>
      </c>
      <c r="K145" s="5" t="inlineStr">
        <is>
          <t>2026.2Q</t>
        </is>
      </c>
      <c r="L145" s="5" t="inlineStr">
        <is>
          <t>2026.3Q</t>
        </is>
      </c>
      <c r="M145" s="5" t="inlineStr">
        <is>
          <t>2026.4Q</t>
        </is>
      </c>
      <c r="N145" s="5" t="inlineStr">
        <is>
          <t>2027.1Q</t>
        </is>
      </c>
      <c r="O145" s="5" t="inlineStr">
        <is>
          <t>2017</t>
        </is>
      </c>
      <c r="P145" s="5" t="inlineStr">
        <is>
          <t>2018</t>
        </is>
      </c>
      <c r="Q145" s="5" t="inlineStr">
        <is>
          <t>2019</t>
        </is>
      </c>
      <c r="R145" s="5" t="inlineStr">
        <is>
          <t>2020</t>
        </is>
      </c>
      <c r="S145" s="5" t="inlineStr">
        <is>
          <t>2021</t>
        </is>
      </c>
      <c r="T145" s="5" t="inlineStr">
        <is>
          <t>2022</t>
        </is>
      </c>
      <c r="U145" s="5" t="inlineStr">
        <is>
          <t>2023</t>
        </is>
      </c>
      <c r="V145" s="5" t="inlineStr">
        <is>
          <t>2024</t>
        </is>
      </c>
      <c r="W145" s="5" t="inlineStr">
        <is>
          <t>2025</t>
        </is>
      </c>
      <c r="X145" s="5" t="inlineStr">
        <is>
          <t>2026</t>
        </is>
      </c>
      <c r="Y145" s="5" t="inlineStr">
        <is>
          <t>2027(MW)</t>
        </is>
      </c>
      <c r="Z145" s="5" t="inlineStr">
        <is>
          <t>2028(MW)</t>
        </is>
      </c>
      <c r="AA145" s="5" t="inlineStr">
        <is>
          <t>2029(MW)</t>
        </is>
      </c>
      <c r="AB145" s="5" t="inlineStr">
        <is>
          <t>2030(MW)</t>
        </is>
      </c>
      <c r="AC145" s="5" t="inlineStr">
        <is>
          <t>2031(MW)</t>
        </is>
      </c>
    </row>
    <row r="146">
      <c r="A146" s="9" t="inlineStr">
        <is>
          <t>법인세차감전 순이익</t>
        </is>
      </c>
      <c r="E146" s="12" t="n">
        <v>3007.009</v>
      </c>
      <c r="I146" s="12" t="n">
        <v>3521.87</v>
      </c>
      <c r="M146" s="12" t="n">
        <v>3728.773</v>
      </c>
      <c r="O146" s="12" t="n">
        <v>2162.958</v>
      </c>
      <c r="P146" s="12" t="n">
        <v>2616.842</v>
      </c>
      <c r="Q146" s="12" t="n">
        <v>2249.507</v>
      </c>
      <c r="R146" s="12" t="n">
        <v>2845.44</v>
      </c>
      <c r="S146" s="12" t="n">
        <v>2423.63</v>
      </c>
      <c r="T146" s="12" t="n">
        <v>2555.891</v>
      </c>
      <c r="U146" s="12" t="n">
        <v>1789.922</v>
      </c>
      <c r="V146" s="12" t="n">
        <v>3007.009</v>
      </c>
      <c r="W146" s="12" t="n">
        <v>3521.87</v>
      </c>
      <c r="X146" s="12" t="n">
        <v>3728.773</v>
      </c>
    </row>
    <row r="147">
      <c r="A147" s="18" t="inlineStr">
        <is>
          <t>감가상각비</t>
        </is>
      </c>
      <c r="E147" s="20" t="n">
        <v>1500.29</v>
      </c>
      <c r="I147" s="20" t="n">
        <v>1035.63</v>
      </c>
      <c r="M147" s="20" t="n">
        <v>1329.429</v>
      </c>
      <c r="O147" s="20" t="n">
        <v>758.6559999999999</v>
      </c>
      <c r="P147" s="20" t="n">
        <v>760.355</v>
      </c>
      <c r="Q147" s="20" t="n">
        <v>869.421</v>
      </c>
      <c r="R147" s="20" t="n">
        <v>855.12</v>
      </c>
      <c r="S147" s="20" t="n">
        <v>774.588</v>
      </c>
      <c r="T147" s="20" t="n">
        <v>918.856</v>
      </c>
      <c r="U147" s="20" t="n">
        <v>1009.912</v>
      </c>
      <c r="V147" s="20" t="n">
        <v>1500.29</v>
      </c>
      <c r="W147" s="20" t="n">
        <v>1035.63</v>
      </c>
      <c r="X147" s="20" t="n">
        <v>1329.429</v>
      </c>
    </row>
    <row r="148">
      <c r="A148" s="18" t="inlineStr">
        <is>
          <t>단계적 취득 차손익</t>
        </is>
      </c>
      <c r="O148" s="20" t="n">
        <v>0</v>
      </c>
      <c r="P148" s="20" t="n">
        <v>11.634</v>
      </c>
      <c r="Q148" s="20" t="n">
        <v>0</v>
      </c>
    </row>
    <row r="149">
      <c r="A149" s="18" t="inlineStr">
        <is>
          <t>상여충당금 증감</t>
        </is>
      </c>
      <c r="E149" s="20" t="n">
        <v>159.301</v>
      </c>
      <c r="I149" s="20" t="n">
        <v>69.39400000000001</v>
      </c>
      <c r="M149" s="20" t="n">
        <v>-9.422000000000001</v>
      </c>
      <c r="O149" s="20" t="n">
        <v>3.336</v>
      </c>
      <c r="P149" s="20" t="n">
        <v>45.808</v>
      </c>
      <c r="Q149" s="20" t="n">
        <v>-23.055</v>
      </c>
      <c r="R149" s="20" t="n">
        <v>64.23</v>
      </c>
      <c r="S149" s="20" t="n">
        <v>-2.816</v>
      </c>
      <c r="T149" s="20" t="n">
        <v>-13.622</v>
      </c>
      <c r="U149" s="20" t="n">
        <v>-60.301</v>
      </c>
      <c r="V149" s="20" t="n">
        <v>159.301</v>
      </c>
      <c r="W149" s="20" t="n">
        <v>69.39400000000001</v>
      </c>
      <c r="X149" s="20" t="n">
        <v>-9.422000000000001</v>
      </c>
    </row>
    <row r="150">
      <c r="A150" s="18" t="inlineStr">
        <is>
          <t>임원 상여충당금 증감</t>
        </is>
      </c>
      <c r="E150" s="20" t="n">
        <v>12.464</v>
      </c>
      <c r="I150" s="20" t="n">
        <v>-25.338</v>
      </c>
      <c r="M150" s="20" t="n">
        <v>2.879</v>
      </c>
      <c r="O150" s="20" t="n">
        <v>21.484</v>
      </c>
      <c r="P150" s="20" t="n">
        <v>2.772</v>
      </c>
      <c r="Q150" s="20" t="n">
        <v>9.166</v>
      </c>
      <c r="R150" s="20" t="n">
        <v>-10.821</v>
      </c>
      <c r="S150" s="20" t="n">
        <v>1.464</v>
      </c>
      <c r="T150" s="20" t="n">
        <v>-0.365</v>
      </c>
      <c r="U150" s="20" t="n">
        <v>1.724</v>
      </c>
      <c r="V150" s="20" t="n">
        <v>12.464</v>
      </c>
      <c r="W150" s="20" t="n">
        <v>-25.338</v>
      </c>
      <c r="X150" s="20" t="n">
        <v>2.879</v>
      </c>
    </row>
    <row r="151">
      <c r="A151" s="18" t="inlineStr">
        <is>
          <t>퇴직급여부채 증감</t>
        </is>
      </c>
      <c r="E151" s="20" t="n">
        <v>66.611</v>
      </c>
      <c r="I151" s="20" t="n">
        <v>-80.90600000000001</v>
      </c>
      <c r="M151" s="20" t="n">
        <v>78.06</v>
      </c>
      <c r="O151" s="20" t="n">
        <v>15.755</v>
      </c>
      <c r="P151" s="20" t="n">
        <v>61.726</v>
      </c>
      <c r="Q151" s="20" t="n">
        <v>23.956</v>
      </c>
      <c r="R151" s="20" t="n">
        <v>8.941000000000001</v>
      </c>
      <c r="S151" s="20" t="n">
        <v>-45.3</v>
      </c>
      <c r="T151" s="20" t="n">
        <v>-991.742</v>
      </c>
      <c r="U151" s="20" t="n">
        <v>165.506</v>
      </c>
      <c r="V151" s="20" t="n">
        <v>66.611</v>
      </c>
      <c r="W151" s="20" t="n">
        <v>-80.90600000000001</v>
      </c>
      <c r="X151" s="20" t="n">
        <v>78.06</v>
      </c>
    </row>
    <row r="152">
      <c r="A152" s="18" t="inlineStr">
        <is>
          <t>퇴직급여자산 증감</t>
        </is>
      </c>
      <c r="E152" s="20" t="n">
        <v>-142.377</v>
      </c>
      <c r="I152" s="20" t="n">
        <v>-309.622</v>
      </c>
      <c r="M152" s="20" t="n">
        <v>-147.601</v>
      </c>
      <c r="O152" s="20" t="n">
        <v>3.026</v>
      </c>
      <c r="P152" s="20" t="n">
        <v>77.816</v>
      </c>
      <c r="Q152" s="20" t="n">
        <v>4.376</v>
      </c>
      <c r="R152" s="20" t="n">
        <v>0</v>
      </c>
      <c r="S152" s="20" t="n">
        <v>-128.916</v>
      </c>
      <c r="T152" s="20" t="n">
        <v>30.713</v>
      </c>
      <c r="U152" s="20" t="n">
        <v>98.203</v>
      </c>
      <c r="V152" s="20" t="n">
        <v>-142.377</v>
      </c>
      <c r="W152" s="20" t="n">
        <v>-309.622</v>
      </c>
      <c r="X152" s="20" t="n">
        <v>-147.601</v>
      </c>
    </row>
    <row r="153">
      <c r="A153" s="18" t="inlineStr">
        <is>
          <t>임원 퇴직위로 충당금 증감</t>
        </is>
      </c>
      <c r="E153" s="20" t="n">
        <v>-4.348</v>
      </c>
      <c r="I153" s="20" t="n">
        <v>-32.229</v>
      </c>
      <c r="M153" s="20" t="n">
        <v>8.369999999999999</v>
      </c>
      <c r="O153" s="20" t="n">
        <v>3.228</v>
      </c>
      <c r="P153" s="20" t="n">
        <v>-10.323</v>
      </c>
      <c r="Q153" s="20" t="n">
        <v>4.425</v>
      </c>
      <c r="R153" s="20" t="n">
        <v>-9.836</v>
      </c>
      <c r="S153" s="20" t="n">
        <v>38.686</v>
      </c>
      <c r="T153" s="20" t="n">
        <v>-144.232</v>
      </c>
      <c r="U153" s="20" t="n">
        <v>6.806</v>
      </c>
      <c r="V153" s="20" t="n">
        <v>-4.348</v>
      </c>
      <c r="W153" s="20" t="n">
        <v>-32.229</v>
      </c>
      <c r="X153" s="20" t="n">
        <v>8.369999999999999</v>
      </c>
    </row>
    <row r="154">
      <c r="A154" s="18" t="inlineStr">
        <is>
          <t>대손충당금 증감</t>
        </is>
      </c>
      <c r="E154" s="20" t="n">
        <v>-1.647</v>
      </c>
      <c r="I154" s="20" t="n">
        <v>2.317</v>
      </c>
      <c r="M154" s="20" t="n">
        <v>-8.407</v>
      </c>
      <c r="O154" s="20" t="n">
        <v>-3.738</v>
      </c>
      <c r="P154" s="20" t="n">
        <v>-5.625</v>
      </c>
      <c r="Q154" s="20" t="n">
        <v>5.081</v>
      </c>
      <c r="R154" s="20" t="n">
        <v>-0.247</v>
      </c>
      <c r="S154" s="20" t="n">
        <v>-0.221</v>
      </c>
      <c r="T154" s="20" t="n">
        <v>13.92</v>
      </c>
      <c r="U154" s="20" t="n">
        <v>-1.175</v>
      </c>
      <c r="V154" s="20" t="n">
        <v>-1.647</v>
      </c>
      <c r="W154" s="20" t="n">
        <v>2.317</v>
      </c>
      <c r="X154" s="20" t="n">
        <v>-8.407</v>
      </c>
    </row>
    <row r="155">
      <c r="A155" s="18" t="inlineStr">
        <is>
          <t>이자·배당금 수익</t>
        </is>
      </c>
      <c r="E155" s="20" t="n">
        <v>-121.231</v>
      </c>
      <c r="I155" s="20" t="n">
        <v>-149.285</v>
      </c>
      <c r="M155" s="20" t="n">
        <v>-172.731</v>
      </c>
      <c r="O155" s="20" t="n">
        <v>-124.318</v>
      </c>
      <c r="P155" s="20" t="n">
        <v>-126.264</v>
      </c>
      <c r="Q155" s="20" t="n">
        <v>-122.875</v>
      </c>
      <c r="R155" s="20" t="n">
        <v>-122.22</v>
      </c>
      <c r="S155" s="20" t="n">
        <v>-100.449</v>
      </c>
      <c r="T155" s="20" t="n">
        <v>-105.889</v>
      </c>
      <c r="U155" s="20" t="n">
        <v>-108.435</v>
      </c>
      <c r="V155" s="20" t="n">
        <v>-121.231</v>
      </c>
      <c r="W155" s="20" t="n">
        <v>-149.285</v>
      </c>
      <c r="X155" s="20" t="n">
        <v>-172.731</v>
      </c>
    </row>
    <row r="156">
      <c r="A156" s="18" t="inlineStr">
        <is>
          <t>이자비용</t>
        </is>
      </c>
      <c r="E156" s="20" t="n">
        <v>0.767</v>
      </c>
      <c r="I156" s="20" t="n">
        <v>0.641</v>
      </c>
      <c r="M156" s="20" t="n">
        <v>0.553</v>
      </c>
      <c r="S156" s="20" t="n">
        <v>0</v>
      </c>
      <c r="T156" s="20" t="n">
        <v>1.196</v>
      </c>
      <c r="U156" s="20" t="n">
        <v>0.787</v>
      </c>
      <c r="V156" s="20" t="n">
        <v>0.767</v>
      </c>
      <c r="W156" s="20" t="n">
        <v>0.641</v>
      </c>
      <c r="X156" s="20" t="n">
        <v>0.553</v>
      </c>
    </row>
    <row r="157">
      <c r="A157" s="18" t="inlineStr">
        <is>
          <t>지분법손익</t>
        </is>
      </c>
      <c r="E157" s="20" t="n">
        <v>-141.69</v>
      </c>
      <c r="I157" s="20" t="n">
        <v>-77.145</v>
      </c>
      <c r="M157" s="20" t="n">
        <v>-380.755</v>
      </c>
      <c r="O157" s="20" t="n">
        <v>-110.716</v>
      </c>
      <c r="P157" s="20" t="n">
        <v>-95.581</v>
      </c>
      <c r="Q157" s="20" t="n">
        <v>-188.379</v>
      </c>
      <c r="R157" s="20" t="n">
        <v>-68.18899999999999</v>
      </c>
      <c r="S157" s="20" t="n">
        <v>93.18300000000001</v>
      </c>
      <c r="T157" s="20" t="n">
        <v>-193.27</v>
      </c>
      <c r="U157" s="20" t="n">
        <v>-281.648</v>
      </c>
      <c r="V157" s="20" t="n">
        <v>-141.69</v>
      </c>
      <c r="W157" s="20" t="n">
        <v>-77.145</v>
      </c>
      <c r="X157" s="20" t="n">
        <v>-380.755</v>
      </c>
    </row>
    <row r="158">
      <c r="A158" s="18" t="inlineStr">
        <is>
          <t>Increase Decrease In Provision For Warranties For Completed Construction Ope CF</t>
        </is>
      </c>
      <c r="E158" s="20" t="n">
        <v>6.789</v>
      </c>
      <c r="I158" s="20" t="n">
        <v>8.638999999999999</v>
      </c>
      <c r="M158" s="20" t="n">
        <v>26.333</v>
      </c>
      <c r="O158" s="20" t="n">
        <v>-31.233</v>
      </c>
      <c r="P158" s="20" t="n">
        <v>-6.837</v>
      </c>
      <c r="Q158" s="20" t="n">
        <v>5.915</v>
      </c>
      <c r="R158" s="20" t="n">
        <v>1.009</v>
      </c>
      <c r="S158" s="20" t="n">
        <v>25.612</v>
      </c>
      <c r="T158" s="20" t="n">
        <v>-41.275</v>
      </c>
      <c r="U158" s="20" t="n">
        <v>-13.195</v>
      </c>
      <c r="V158" s="20" t="n">
        <v>6.789</v>
      </c>
      <c r="W158" s="20" t="n">
        <v>8.638999999999999</v>
      </c>
      <c r="X158" s="20" t="n">
        <v>26.333</v>
      </c>
    </row>
    <row r="159">
      <c r="A159" s="18" t="inlineStr">
        <is>
          <t>고정자산 제각손실</t>
        </is>
      </c>
      <c r="E159" s="20" t="n">
        <v>70.004</v>
      </c>
      <c r="I159" s="20" t="n">
        <v>51.666</v>
      </c>
      <c r="M159" s="20" t="n">
        <v>38.601</v>
      </c>
      <c r="O159" s="20" t="n">
        <v>13.223</v>
      </c>
      <c r="P159" s="20" t="n">
        <v>54.89</v>
      </c>
      <c r="Q159" s="20" t="n">
        <v>14.788</v>
      </c>
      <c r="R159" s="20" t="n">
        <v>14.766</v>
      </c>
      <c r="S159" s="20" t="n">
        <v>7.56</v>
      </c>
      <c r="T159" s="20" t="n">
        <v>14.206</v>
      </c>
      <c r="U159" s="20" t="n">
        <v>9.667</v>
      </c>
      <c r="V159" s="20" t="n">
        <v>70.004</v>
      </c>
      <c r="W159" s="20" t="n">
        <v>51.666</v>
      </c>
      <c r="X159" s="20" t="n">
        <v>38.601</v>
      </c>
    </row>
    <row r="160">
      <c r="A160" s="18" t="inlineStr">
        <is>
          <t>투자유가증권 매각손익</t>
        </is>
      </c>
      <c r="E160" s="20" t="n">
        <v>0</v>
      </c>
      <c r="S160" s="20" t="n">
        <v>0</v>
      </c>
      <c r="T160" s="20" t="n">
        <v>-220.845</v>
      </c>
      <c r="U160" s="20" t="n">
        <v>-318.362</v>
      </c>
      <c r="V160" s="20" t="n">
        <v>0</v>
      </c>
    </row>
    <row r="161">
      <c r="A161" s="18" t="inlineStr">
        <is>
          <t>매출채권 증감</t>
        </is>
      </c>
      <c r="E161" s="20" t="n">
        <v>-3060.326</v>
      </c>
      <c r="I161" s="20" t="n">
        <v>-2221.626</v>
      </c>
      <c r="M161" s="20" t="n">
        <v>1963.177</v>
      </c>
      <c r="O161" s="20" t="n">
        <v>-804.893</v>
      </c>
      <c r="P161" s="20" t="n">
        <v>-4651.061</v>
      </c>
      <c r="Q161" s="20" t="n">
        <v>961.59</v>
      </c>
      <c r="R161" s="20" t="n">
        <v>446.188</v>
      </c>
      <c r="S161" s="20" t="n">
        <v>-621.129</v>
      </c>
      <c r="T161" s="20" t="n">
        <v>1934.995</v>
      </c>
      <c r="U161" s="20" t="n">
        <v>3007.942</v>
      </c>
      <c r="V161" s="20" t="n">
        <v>-3060.326</v>
      </c>
      <c r="W161" s="20" t="n">
        <v>-2221.626</v>
      </c>
      <c r="X161" s="20" t="n">
        <v>1963.177</v>
      </c>
    </row>
    <row r="162">
      <c r="A162" s="18" t="inlineStr">
        <is>
          <t>재고자산 증감</t>
        </is>
      </c>
      <c r="E162" s="20" t="n">
        <v>-2.741</v>
      </c>
      <c r="I162" s="20" t="n">
        <v>-57.719</v>
      </c>
      <c r="M162" s="20" t="n">
        <v>-106.346</v>
      </c>
      <c r="O162" s="20" t="n">
        <v>373.836</v>
      </c>
      <c r="P162" s="20" t="n">
        <v>-92.595</v>
      </c>
      <c r="Q162" s="20" t="n">
        <v>-191.481</v>
      </c>
      <c r="R162" s="20" t="n">
        <v>-109.199</v>
      </c>
      <c r="S162" s="20" t="n">
        <v>74.736</v>
      </c>
      <c r="T162" s="20" t="n">
        <v>70.21899999999999</v>
      </c>
      <c r="U162" s="20" t="n">
        <v>-59.533</v>
      </c>
      <c r="V162" s="20" t="n">
        <v>-2.741</v>
      </c>
      <c r="W162" s="20" t="n">
        <v>-57.719</v>
      </c>
      <c r="X162" s="20" t="n">
        <v>-106.346</v>
      </c>
    </row>
    <row r="163">
      <c r="A163" s="18" t="inlineStr">
        <is>
          <t>매입채무 증감</t>
        </is>
      </c>
      <c r="E163" s="20" t="n">
        <v>1637.202</v>
      </c>
      <c r="I163" s="20" t="n">
        <v>-3598.893</v>
      </c>
      <c r="M163" s="20" t="n">
        <v>-1233.976</v>
      </c>
      <c r="O163" s="20" t="n">
        <v>1857.858</v>
      </c>
      <c r="P163" s="20" t="n">
        <v>-247.778</v>
      </c>
      <c r="Q163" s="20" t="n">
        <v>486.777</v>
      </c>
      <c r="R163" s="20" t="n">
        <v>-1407.241</v>
      </c>
      <c r="S163" s="20" t="n">
        <v>-0.859</v>
      </c>
      <c r="T163" s="20" t="n">
        <v>-156.795</v>
      </c>
      <c r="U163" s="20" t="n">
        <v>-799.691</v>
      </c>
      <c r="V163" s="20" t="n">
        <v>1637.202</v>
      </c>
      <c r="W163" s="20" t="n">
        <v>-3598.893</v>
      </c>
      <c r="X163" s="20" t="n">
        <v>-1233.976</v>
      </c>
    </row>
    <row r="164">
      <c r="A164" s="18" t="inlineStr">
        <is>
          <t>선수금 증감</t>
        </is>
      </c>
      <c r="O164" s="20" t="n">
        <v>2357.381</v>
      </c>
      <c r="P164" s="20" t="n">
        <v>-2126.719</v>
      </c>
      <c r="Q164" s="20" t="n">
        <v>-257.688</v>
      </c>
      <c r="R164" s="20" t="n">
        <v>739.593</v>
      </c>
      <c r="S164" s="20" t="n">
        <v>-384.306</v>
      </c>
      <c r="T164" s="20" t="n">
        <v>0</v>
      </c>
    </row>
    <row r="165">
      <c r="A165" s="18" t="inlineStr">
        <is>
          <t>미지급 소비세 증감</t>
        </is>
      </c>
      <c r="O165" s="20" t="n">
        <v>151.464</v>
      </c>
      <c r="P165" s="20" t="n">
        <v>-26.807</v>
      </c>
    </row>
    <row r="166">
      <c r="A166" s="18" t="inlineStr">
        <is>
          <t>계약부채 증감</t>
        </is>
      </c>
      <c r="S166" s="20" t="n">
        <v>0</v>
      </c>
      <c r="T166" s="20" t="n">
        <v>-307.181</v>
      </c>
      <c r="U166" s="20" t="n">
        <v>329.179</v>
      </c>
    </row>
    <row r="167">
      <c r="A167" s="18" t="inlineStr">
        <is>
          <t>계약부채 증감</t>
        </is>
      </c>
      <c r="E167" s="20" t="n">
        <v>126.193</v>
      </c>
      <c r="I167" s="20" t="n">
        <v>-250.444</v>
      </c>
      <c r="M167" s="20" t="n">
        <v>239.195</v>
      </c>
      <c r="U167" s="20" t="n">
        <v>329.179</v>
      </c>
      <c r="V167" s="20" t="n">
        <v>126.193</v>
      </c>
      <c r="W167" s="20" t="n">
        <v>-250.444</v>
      </c>
      <c r="X167" s="20" t="n">
        <v>239.195</v>
      </c>
    </row>
    <row r="168">
      <c r="A168" s="18" t="inlineStr">
        <is>
          <t>선급금 증감</t>
        </is>
      </c>
      <c r="E168" s="20" t="n">
        <v>243.557</v>
      </c>
      <c r="I168" s="20" t="n">
        <v>-17.567</v>
      </c>
      <c r="M168" s="20" t="n">
        <v>-289.431</v>
      </c>
      <c r="T168" s="20" t="n">
        <v>-47.528</v>
      </c>
      <c r="U168" s="20" t="n">
        <v>-204.444</v>
      </c>
      <c r="V168" s="20" t="n">
        <v>243.557</v>
      </c>
      <c r="W168" s="20" t="n">
        <v>-17.567</v>
      </c>
      <c r="X168" s="20" t="n">
        <v>-289.431</v>
      </c>
    </row>
    <row r="169">
      <c r="A169" s="18" t="inlineStr">
        <is>
          <t>기타</t>
        </is>
      </c>
      <c r="E169" s="20" t="n">
        <v>577.6609999999999</v>
      </c>
      <c r="I169" s="20" t="n">
        <v>35.536</v>
      </c>
      <c r="M169" s="20" t="n">
        <v>443.32</v>
      </c>
      <c r="O169" s="20" t="n">
        <v>115.303</v>
      </c>
      <c r="P169" s="20" t="n">
        <v>-390.95</v>
      </c>
      <c r="Q169" s="20" t="n">
        <v>181.121</v>
      </c>
      <c r="R169" s="20" t="n">
        <v>499.855</v>
      </c>
      <c r="S169" s="20" t="n">
        <v>427.673</v>
      </c>
      <c r="T169" s="20" t="n">
        <v>-603.091</v>
      </c>
      <c r="U169" s="20" t="n">
        <v>-73.214</v>
      </c>
      <c r="V169" s="20" t="n">
        <v>577.6609999999999</v>
      </c>
      <c r="W169" s="20" t="n">
        <v>35.536</v>
      </c>
      <c r="X169" s="20" t="n">
        <v>443.32</v>
      </c>
    </row>
    <row r="170">
      <c r="A170" s="18" t="inlineStr">
        <is>
          <t>소계</t>
        </is>
      </c>
      <c r="E170" s="20" t="n">
        <v>3933.49</v>
      </c>
      <c r="I170" s="20" t="n">
        <v>-2095.081</v>
      </c>
      <c r="M170" s="20" t="n">
        <v>5510.02</v>
      </c>
      <c r="O170" s="20" t="n">
        <v>6762.614</v>
      </c>
      <c r="P170" s="20" t="n">
        <v>-4121.889</v>
      </c>
      <c r="Q170" s="20" t="n">
        <v>4032.647</v>
      </c>
      <c r="R170" s="20" t="n">
        <v>3747.391</v>
      </c>
      <c r="S170" s="20" t="n">
        <v>2583.134</v>
      </c>
      <c r="T170" s="20" t="n">
        <v>2714.16</v>
      </c>
      <c r="U170" s="20" t="n">
        <v>4499.649</v>
      </c>
      <c r="V170" s="20" t="n">
        <v>3933.49</v>
      </c>
      <c r="W170" s="20" t="n">
        <v>-2095.081</v>
      </c>
      <c r="X170" s="20" t="n">
        <v>5510.02</v>
      </c>
    </row>
    <row r="171">
      <c r="A171" s="18" t="inlineStr">
        <is>
          <t>이자·배당금 수취</t>
        </is>
      </c>
      <c r="E171" s="20" t="n">
        <v>365.688</v>
      </c>
      <c r="I171" s="20" t="n">
        <v>484.28</v>
      </c>
      <c r="M171" s="20" t="n">
        <v>595.638</v>
      </c>
      <c r="O171" s="20" t="n">
        <v>238.93</v>
      </c>
      <c r="P171" s="20" t="n">
        <v>302.119</v>
      </c>
      <c r="Q171" s="20" t="n">
        <v>232.114</v>
      </c>
      <c r="R171" s="20" t="n">
        <v>234.367</v>
      </c>
      <c r="S171" s="20" t="n">
        <v>315.89</v>
      </c>
      <c r="T171" s="20" t="n">
        <v>303.84</v>
      </c>
      <c r="U171" s="20" t="n">
        <v>312.546</v>
      </c>
      <c r="V171" s="20" t="n">
        <v>365.688</v>
      </c>
      <c r="W171" s="20" t="n">
        <v>484.28</v>
      </c>
      <c r="X171" s="20" t="n">
        <v>595.638</v>
      </c>
    </row>
    <row r="172">
      <c r="A172" s="18" t="inlineStr">
        <is>
          <t>이자 지급</t>
        </is>
      </c>
      <c r="E172" s="20" t="n">
        <v>-0.767</v>
      </c>
      <c r="I172" s="20" t="n">
        <v>-0.641</v>
      </c>
      <c r="M172" s="20" t="n">
        <v>-0.553</v>
      </c>
      <c r="S172" s="20" t="n">
        <v>0</v>
      </c>
      <c r="T172" s="20" t="n">
        <v>-1.196</v>
      </c>
      <c r="U172" s="20" t="n">
        <v>-0.787</v>
      </c>
      <c r="V172" s="20" t="n">
        <v>-0.767</v>
      </c>
      <c r="W172" s="20" t="n">
        <v>-0.641</v>
      </c>
      <c r="X172" s="20" t="n">
        <v>-0.553</v>
      </c>
    </row>
    <row r="173">
      <c r="A173" s="18" t="inlineStr">
        <is>
          <t>법인세 납부</t>
        </is>
      </c>
      <c r="E173" s="20" t="n">
        <v>-679.704</v>
      </c>
      <c r="I173" s="20" t="n">
        <v>-1196.683</v>
      </c>
      <c r="M173" s="20" t="n">
        <v>-1010.384</v>
      </c>
      <c r="O173" s="20" t="n">
        <v>-378.801</v>
      </c>
      <c r="P173" s="20" t="n">
        <v>-891.562</v>
      </c>
      <c r="Q173" s="20" t="n">
        <v>-629.236</v>
      </c>
      <c r="R173" s="20" t="n">
        <v>-756.523</v>
      </c>
      <c r="S173" s="20" t="n">
        <v>-785.636</v>
      </c>
      <c r="T173" s="20" t="n">
        <v>-908.019</v>
      </c>
      <c r="U173" s="20" t="n">
        <v>-470.702</v>
      </c>
      <c r="V173" s="20" t="n">
        <v>-679.704</v>
      </c>
      <c r="W173" s="20" t="n">
        <v>-1196.683</v>
      </c>
      <c r="X173" s="20" t="n">
        <v>-1010.384</v>
      </c>
    </row>
    <row r="174">
      <c r="A174" s="9" t="inlineStr">
        <is>
          <t>영업활동 현금흐름</t>
        </is>
      </c>
      <c r="E174" s="12" t="n">
        <v>3618.706</v>
      </c>
      <c r="I174" s="12" t="n">
        <v>-2808.126</v>
      </c>
      <c r="M174" s="12" t="n">
        <v>5094.721</v>
      </c>
      <c r="O174" s="12" t="n">
        <v>6622.742</v>
      </c>
      <c r="P174" s="12" t="n">
        <v>-4711.332</v>
      </c>
      <c r="Q174" s="12" t="n">
        <v>3635.526</v>
      </c>
      <c r="R174" s="12" t="n">
        <v>3225.234</v>
      </c>
      <c r="S174" s="12" t="n">
        <v>2113.388</v>
      </c>
      <c r="T174" s="12" t="n">
        <v>2108.785</v>
      </c>
      <c r="U174" s="12" t="n">
        <v>4340.706</v>
      </c>
      <c r="V174" s="12" t="n">
        <v>3618.706</v>
      </c>
      <c r="W174" s="12" t="n">
        <v>-2808.126</v>
      </c>
      <c r="X174" s="12" t="n">
        <v>5094.721</v>
      </c>
    </row>
    <row r="175">
      <c r="A175" s="18" t="inlineStr">
        <is>
          <t>정기예금 예입</t>
        </is>
      </c>
      <c r="E175" s="20" t="n">
        <v>-849.082</v>
      </c>
      <c r="I175" s="20" t="n">
        <v>-1606.061</v>
      </c>
      <c r="M175" s="20" t="n">
        <v>-460.098</v>
      </c>
      <c r="O175" s="20" t="n">
        <v>-8.737</v>
      </c>
      <c r="P175" s="20" t="n">
        <v>-161.127</v>
      </c>
      <c r="Q175" s="20" t="n">
        <v>-154.388</v>
      </c>
      <c r="R175" s="20" t="n">
        <v>-597.347</v>
      </c>
      <c r="S175" s="20" t="n">
        <v>-553.49</v>
      </c>
      <c r="T175" s="20" t="n">
        <v>-602.148</v>
      </c>
      <c r="U175" s="20" t="n">
        <v>-421.213</v>
      </c>
      <c r="V175" s="20" t="n">
        <v>-849.082</v>
      </c>
      <c r="W175" s="20" t="n">
        <v>-1606.061</v>
      </c>
      <c r="X175" s="20" t="n">
        <v>-460.098</v>
      </c>
    </row>
    <row r="176">
      <c r="A176" s="18" t="inlineStr">
        <is>
          <t>정기예금 인출</t>
        </is>
      </c>
      <c r="E176" s="20" t="n">
        <v>930.58</v>
      </c>
      <c r="I176" s="20" t="n">
        <v>1132.346</v>
      </c>
      <c r="M176" s="20" t="n">
        <v>1526.734</v>
      </c>
      <c r="P176" s="20" t="n">
        <v>0</v>
      </c>
      <c r="Q176" s="20" t="n">
        <v>278.916</v>
      </c>
      <c r="R176" s="20" t="n">
        <v>349.036</v>
      </c>
      <c r="S176" s="20" t="n">
        <v>742.037</v>
      </c>
      <c r="T176" s="20" t="n">
        <v>771.477</v>
      </c>
      <c r="U176" s="20" t="n">
        <v>490.435</v>
      </c>
      <c r="V176" s="20" t="n">
        <v>930.58</v>
      </c>
      <c r="W176" s="20" t="n">
        <v>1132.346</v>
      </c>
      <c r="X176" s="20" t="n">
        <v>1526.734</v>
      </c>
    </row>
    <row r="177">
      <c r="A177" s="18" t="inlineStr">
        <is>
          <t>유형자산 취득(설비투자)</t>
        </is>
      </c>
      <c r="E177" s="20" t="n">
        <v>-934.813</v>
      </c>
      <c r="I177" s="20" t="n">
        <v>-4176.989</v>
      </c>
      <c r="M177" s="20" t="n">
        <v>-2857.635</v>
      </c>
      <c r="O177" s="20" t="n">
        <v>-932.578</v>
      </c>
      <c r="P177" s="20" t="n">
        <v>-924.846</v>
      </c>
      <c r="Q177" s="20" t="n">
        <v>-690.639</v>
      </c>
      <c r="R177" s="20" t="n">
        <v>-692.958</v>
      </c>
      <c r="S177" s="20" t="n">
        <v>-554.649</v>
      </c>
      <c r="T177" s="20" t="n">
        <v>-1158.15</v>
      </c>
      <c r="U177" s="20" t="n">
        <v>-1364.551</v>
      </c>
      <c r="V177" s="20" t="n">
        <v>-934.813</v>
      </c>
      <c r="W177" s="20" t="n">
        <v>-4176.989</v>
      </c>
      <c r="X177" s="20" t="n">
        <v>-2857.635</v>
      </c>
    </row>
    <row r="178">
      <c r="A178" s="18" t="inlineStr">
        <is>
          <t>유형자산 매각</t>
        </is>
      </c>
      <c r="O178" s="20" t="n">
        <v>17.74</v>
      </c>
      <c r="P178" s="20" t="n">
        <v>0</v>
      </c>
    </row>
    <row r="179">
      <c r="A179" s="18" t="inlineStr">
        <is>
          <t>무형자산 취득</t>
        </is>
      </c>
      <c r="E179" s="20" t="n">
        <v>-26.234</v>
      </c>
      <c r="I179" s="20" t="n">
        <v>-78.60899999999999</v>
      </c>
      <c r="M179" s="20" t="n">
        <v>-29.151</v>
      </c>
      <c r="O179" s="20" t="n">
        <v>-76.78100000000001</v>
      </c>
      <c r="P179" s="20" t="n">
        <v>-71.95099999999999</v>
      </c>
      <c r="Q179" s="20" t="n">
        <v>-56.608</v>
      </c>
      <c r="R179" s="20" t="n">
        <v>-30.69</v>
      </c>
      <c r="S179" s="20" t="n">
        <v>-43.55</v>
      </c>
      <c r="T179" s="20" t="n">
        <v>-56.37</v>
      </c>
      <c r="U179" s="20" t="n">
        <v>-39.216</v>
      </c>
      <c r="V179" s="20" t="n">
        <v>-26.234</v>
      </c>
      <c r="W179" s="20" t="n">
        <v>-78.60899999999999</v>
      </c>
      <c r="X179" s="20" t="n">
        <v>-29.151</v>
      </c>
    </row>
    <row r="180">
      <c r="A180" s="18" t="inlineStr">
        <is>
          <t>투자유가증권 매각</t>
        </is>
      </c>
      <c r="E180" s="20" t="n">
        <v>0</v>
      </c>
      <c r="I180" s="20" t="n">
        <v>42.035</v>
      </c>
      <c r="M180" s="20" t="n">
        <v>2.123</v>
      </c>
      <c r="T180" s="20" t="n">
        <v>0</v>
      </c>
      <c r="U180" s="20" t="n">
        <v>543.15</v>
      </c>
      <c r="V180" s="20" t="n">
        <v>0</v>
      </c>
      <c r="W180" s="20" t="n">
        <v>42.035</v>
      </c>
      <c r="X180" s="20" t="n">
        <v>2.123</v>
      </c>
    </row>
    <row r="181">
      <c r="A181" s="18" t="inlineStr">
        <is>
          <t>대여</t>
        </is>
      </c>
      <c r="Q181" s="20" t="n">
        <v>0</v>
      </c>
      <c r="R181" s="20" t="n">
        <v>-8.034000000000001</v>
      </c>
      <c r="S181" s="20" t="n">
        <v>-309.85</v>
      </c>
      <c r="T181" s="20" t="n">
        <v>-347.7</v>
      </c>
      <c r="U181" s="20" t="n">
        <v>0</v>
      </c>
    </row>
    <row r="182">
      <c r="A182" s="18" t="inlineStr">
        <is>
          <t>대여금 회수</t>
        </is>
      </c>
      <c r="E182" s="20" t="n">
        <v>1.376</v>
      </c>
      <c r="I182" s="20" t="n">
        <v>1.376</v>
      </c>
      <c r="M182" s="20" t="n">
        <v>1.376</v>
      </c>
      <c r="O182" s="20" t="n">
        <v>2.309</v>
      </c>
      <c r="P182" s="20" t="n">
        <v>2.297</v>
      </c>
      <c r="Q182" s="20" t="n">
        <v>2.567</v>
      </c>
      <c r="R182" s="20" t="n">
        <v>4.987</v>
      </c>
      <c r="S182" s="20" t="n">
        <v>2.052</v>
      </c>
      <c r="T182" s="20" t="n">
        <v>1.376</v>
      </c>
      <c r="U182" s="20" t="n">
        <v>8.56</v>
      </c>
      <c r="V182" s="20" t="n">
        <v>1.376</v>
      </c>
      <c r="W182" s="20" t="n">
        <v>1.376</v>
      </c>
      <c r="X182" s="20" t="n">
        <v>1.376</v>
      </c>
    </row>
    <row r="183">
      <c r="A183" s="18" t="inlineStr">
        <is>
          <t>연결범위 변경 자회사 주식 취득(수입)</t>
        </is>
      </c>
      <c r="O183" s="20" t="n">
        <v>0</v>
      </c>
      <c r="P183" s="20" t="n">
        <v>192.753</v>
      </c>
    </row>
    <row r="184">
      <c r="A184" s="18" t="inlineStr">
        <is>
          <t>연결범위 변경 자회사 주식 취득</t>
        </is>
      </c>
      <c r="P184" s="20" t="n">
        <v>192.753</v>
      </c>
      <c r="Q184" s="20" t="n">
        <v>0</v>
      </c>
    </row>
    <row r="185">
      <c r="A185" s="18" t="inlineStr">
        <is>
          <t>기타</t>
        </is>
      </c>
      <c r="E185" s="20" t="n">
        <v>4.06</v>
      </c>
      <c r="I185" s="20" t="n">
        <v>14.618</v>
      </c>
      <c r="M185" s="20" t="n">
        <v>-16.282</v>
      </c>
      <c r="O185" s="20" t="n">
        <v>3.409</v>
      </c>
      <c r="P185" s="20" t="n">
        <v>12.087</v>
      </c>
      <c r="Q185" s="20" t="n">
        <v>2.964</v>
      </c>
      <c r="R185" s="20" t="n">
        <v>0.728</v>
      </c>
      <c r="S185" s="20" t="n">
        <v>3.26</v>
      </c>
      <c r="T185" s="20" t="n">
        <v>71.56399999999999</v>
      </c>
      <c r="U185" s="20" t="n">
        <v>7.989</v>
      </c>
      <c r="V185" s="20" t="n">
        <v>4.06</v>
      </c>
      <c r="W185" s="20" t="n">
        <v>14.618</v>
      </c>
      <c r="X185" s="20" t="n">
        <v>-16.282</v>
      </c>
    </row>
    <row r="186">
      <c r="A186" s="9" t="inlineStr">
        <is>
          <t>투자활동 현금흐름</t>
        </is>
      </c>
      <c r="E186" s="12" t="n">
        <v>-874.114</v>
      </c>
      <c r="I186" s="12" t="n">
        <v>-4671.283</v>
      </c>
      <c r="M186" s="12" t="n">
        <v>-1832.933</v>
      </c>
      <c r="O186" s="12" t="n">
        <v>-994.638</v>
      </c>
      <c r="P186" s="12" t="n">
        <v>-950.787</v>
      </c>
      <c r="Q186" s="12" t="n">
        <v>-617.188</v>
      </c>
      <c r="R186" s="12" t="n">
        <v>-974.278</v>
      </c>
      <c r="S186" s="12" t="n">
        <v>-714.189</v>
      </c>
      <c r="T186" s="12" t="n">
        <v>-1319.951</v>
      </c>
      <c r="U186" s="12" t="n">
        <v>-774.8440000000001</v>
      </c>
      <c r="V186" s="12" t="n">
        <v>-874.114</v>
      </c>
      <c r="W186" s="12" t="n">
        <v>-4671.283</v>
      </c>
      <c r="X186" s="12" t="n">
        <v>-1832.933</v>
      </c>
    </row>
    <row r="187">
      <c r="A187" s="18" t="inlineStr">
        <is>
          <t>자기주식 취득</t>
        </is>
      </c>
      <c r="E187" s="20" t="n">
        <v>-0.042</v>
      </c>
      <c r="I187" s="20" t="n">
        <v>0</v>
      </c>
      <c r="O187" s="20" t="n">
        <v>-0.884</v>
      </c>
      <c r="P187" s="20" t="n">
        <v>-1604.925</v>
      </c>
      <c r="Q187" s="20" t="n">
        <v>-0.003</v>
      </c>
      <c r="R187" s="20" t="n">
        <v>-0.049</v>
      </c>
      <c r="S187" s="20" t="n">
        <v>0</v>
      </c>
      <c r="T187" s="20" t="n">
        <v>-0.028</v>
      </c>
      <c r="U187" s="20" t="n">
        <v>-281.212</v>
      </c>
      <c r="V187" s="20" t="n">
        <v>-0.042</v>
      </c>
      <c r="W187" s="20" t="n">
        <v>0</v>
      </c>
    </row>
    <row r="188">
      <c r="A188" s="18" t="inlineStr">
        <is>
          <t>배당금 지급</t>
        </is>
      </c>
      <c r="E188" s="20" t="n">
        <v>-482.184</v>
      </c>
      <c r="I188" s="20" t="n">
        <v>-724.4640000000001</v>
      </c>
      <c r="M188" s="20" t="n">
        <v>-1063.981</v>
      </c>
      <c r="O188" s="20" t="n">
        <v>-682.711</v>
      </c>
      <c r="P188" s="20" t="n">
        <v>-591.615</v>
      </c>
      <c r="Q188" s="20" t="n">
        <v>-492.022</v>
      </c>
      <c r="R188" s="20" t="n">
        <v>-524.823</v>
      </c>
      <c r="S188" s="20" t="n">
        <v>-492.02</v>
      </c>
      <c r="T188" s="20" t="n">
        <v>-590.919</v>
      </c>
      <c r="U188" s="20" t="n">
        <v>-553.073</v>
      </c>
      <c r="V188" s="20" t="n">
        <v>-482.184</v>
      </c>
      <c r="W188" s="20" t="n">
        <v>-724.4640000000001</v>
      </c>
      <c r="X188" s="20" t="n">
        <v>-1063.981</v>
      </c>
    </row>
    <row r="189">
      <c r="A189" s="18" t="inlineStr">
        <is>
          <t>비지배주주 배당금 지급</t>
        </is>
      </c>
      <c r="E189" s="20" t="n">
        <v>-59.447</v>
      </c>
      <c r="I189" s="20" t="n">
        <v>-200.969</v>
      </c>
      <c r="M189" s="20" t="n">
        <v>-219.849</v>
      </c>
      <c r="P189" s="20" t="n">
        <v>-7.285</v>
      </c>
      <c r="Q189" s="20" t="n">
        <v>-58.623</v>
      </c>
      <c r="R189" s="20" t="n">
        <v>-35.642</v>
      </c>
      <c r="S189" s="20" t="n">
        <v>-34.114</v>
      </c>
      <c r="T189" s="20" t="n">
        <v>-34.304</v>
      </c>
      <c r="U189" s="20" t="n">
        <v>-47.108</v>
      </c>
      <c r="V189" s="20" t="n">
        <v>-59.447</v>
      </c>
      <c r="W189" s="20" t="n">
        <v>-200.969</v>
      </c>
      <c r="X189" s="20" t="n">
        <v>-219.849</v>
      </c>
    </row>
    <row r="190">
      <c r="A190" s="18" t="inlineStr">
        <is>
          <t>리스부채 상환</t>
        </is>
      </c>
      <c r="E190" s="20" t="n">
        <v>-79.589</v>
      </c>
      <c r="I190" s="20" t="n">
        <v>-87.523</v>
      </c>
      <c r="M190" s="20" t="n">
        <v>-94.61</v>
      </c>
      <c r="O190" s="20" t="n">
        <v>-19.351</v>
      </c>
      <c r="P190" s="20" t="n">
        <v>-25.697</v>
      </c>
      <c r="Q190" s="20" t="n">
        <v>-30.803</v>
      </c>
      <c r="R190" s="20" t="n">
        <v>-75.027</v>
      </c>
      <c r="S190" s="20" t="n">
        <v>-78.357</v>
      </c>
      <c r="T190" s="20" t="n">
        <v>-65.934</v>
      </c>
      <c r="U190" s="20" t="n">
        <v>-76.998</v>
      </c>
      <c r="V190" s="20" t="n">
        <v>-79.589</v>
      </c>
      <c r="W190" s="20" t="n">
        <v>-87.523</v>
      </c>
      <c r="X190" s="20" t="n">
        <v>-94.61</v>
      </c>
    </row>
    <row r="191">
      <c r="A191" s="18" t="inlineStr">
        <is>
          <t>기타</t>
        </is>
      </c>
      <c r="O191" s="20" t="n">
        <v>-18.36</v>
      </c>
      <c r="P191" s="20" t="n">
        <v>-7.285</v>
      </c>
    </row>
    <row r="192">
      <c r="A192" s="9" t="inlineStr">
        <is>
          <t>재무활동 현금흐름</t>
        </is>
      </c>
      <c r="E192" s="12" t="n">
        <v>-621.264</v>
      </c>
      <c r="I192" s="12" t="n">
        <v>-1012.957</v>
      </c>
      <c r="M192" s="12" t="n">
        <v>-1378.442</v>
      </c>
      <c r="O192" s="12" t="n">
        <v>-721.307</v>
      </c>
      <c r="P192" s="12" t="n">
        <v>-2229.523</v>
      </c>
      <c r="Q192" s="12" t="n">
        <v>-581.453</v>
      </c>
      <c r="R192" s="12" t="n">
        <v>-635.542</v>
      </c>
      <c r="S192" s="12" t="n">
        <v>-604.492</v>
      </c>
      <c r="T192" s="12" t="n">
        <v>-691.187</v>
      </c>
      <c r="U192" s="12" t="n">
        <v>-958.393</v>
      </c>
      <c r="V192" s="12" t="n">
        <v>-621.264</v>
      </c>
      <c r="W192" s="12" t="n">
        <v>-1012.957</v>
      </c>
      <c r="X192" s="12" t="n">
        <v>-1378.442</v>
      </c>
    </row>
    <row r="193">
      <c r="A193" s="18" t="inlineStr">
        <is>
          <t>현금성자산 환산차이</t>
        </is>
      </c>
      <c r="E193" s="20" t="n">
        <v>218.886</v>
      </c>
      <c r="I193" s="20" t="n">
        <v>291.487</v>
      </c>
      <c r="M193" s="20" t="n">
        <v>74.836</v>
      </c>
      <c r="O193" s="20" t="n">
        <v>-154.024</v>
      </c>
      <c r="P193" s="20" t="n">
        <v>146.895</v>
      </c>
      <c r="Q193" s="20" t="n">
        <v>-140.432</v>
      </c>
      <c r="R193" s="20" t="n">
        <v>47.968</v>
      </c>
      <c r="S193" s="20" t="n">
        <v>-94.05500000000001</v>
      </c>
      <c r="T193" s="20" t="n">
        <v>134.545</v>
      </c>
      <c r="U193" s="20" t="n">
        <v>220.806</v>
      </c>
      <c r="V193" s="20" t="n">
        <v>218.886</v>
      </c>
      <c r="W193" s="20" t="n">
        <v>291.487</v>
      </c>
      <c r="X193" s="20" t="n">
        <v>74.836</v>
      </c>
    </row>
    <row r="194">
      <c r="A194" s="18" t="inlineStr">
        <is>
          <t>현금성자산 증감</t>
        </is>
      </c>
      <c r="E194" s="20" t="n">
        <v>2342.213</v>
      </c>
      <c r="I194" s="20" t="n">
        <v>-8200.879999999999</v>
      </c>
      <c r="M194" s="20" t="n">
        <v>1958.181</v>
      </c>
      <c r="O194" s="20" t="n">
        <v>4752.771</v>
      </c>
      <c r="P194" s="20" t="n">
        <v>-7744.747</v>
      </c>
      <c r="Q194" s="20" t="n">
        <v>2296.451</v>
      </c>
      <c r="R194" s="20" t="n">
        <v>1663.381</v>
      </c>
      <c r="S194" s="20" t="n">
        <v>700.651</v>
      </c>
      <c r="T194" s="20" t="n">
        <v>232.19</v>
      </c>
      <c r="U194" s="20" t="n">
        <v>2828.275</v>
      </c>
      <c r="V194" s="20" t="n">
        <v>2342.213</v>
      </c>
      <c r="W194" s="20" t="n">
        <v>-8200.879999999999</v>
      </c>
      <c r="X194" s="20" t="n">
        <v>1958.181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6382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23630.602</v>
      </c>
      <c r="D5" s="12" t="n">
        <v>22837.21</v>
      </c>
      <c r="E5" s="12" t="n">
        <v>23018.879</v>
      </c>
      <c r="F5" s="12" t="n">
        <v>25003.997</v>
      </c>
      <c r="G5" s="12" t="n">
        <v>26614.506</v>
      </c>
      <c r="H5" s="11" t="n">
        <v>25460.731</v>
      </c>
      <c r="I5" s="12" t="n">
        <v>26147.677</v>
      </c>
      <c r="J5" s="12" t="n">
        <v>31169.23</v>
      </c>
      <c r="K5" s="12" t="n">
        <v>25699.24</v>
      </c>
      <c r="L5" s="12" t="n">
        <v>25003.997</v>
      </c>
    </row>
    <row r="6">
      <c r="A6" s="18" t="inlineStr">
        <is>
          <t>현금및현금성자산</t>
        </is>
      </c>
      <c r="B6" s="10" t="n"/>
      <c r="C6" s="19" t="n">
        <v>8587.036</v>
      </c>
      <c r="D6" s="20" t="n">
        <v>10063.083</v>
      </c>
      <c r="E6" s="20" t="n">
        <v>9240.558000000001</v>
      </c>
      <c r="F6" s="20" t="n">
        <v>10236.223</v>
      </c>
      <c r="G6" s="20" t="n">
        <v>13626.923</v>
      </c>
      <c r="H6" s="19" t="n">
        <v>11880.952</v>
      </c>
      <c r="I6" s="20" t="n">
        <v>14680.786</v>
      </c>
      <c r="J6" s="20" t="n">
        <v>17012.799</v>
      </c>
      <c r="K6" s="20" t="n">
        <v>9358.834000000001</v>
      </c>
      <c r="L6" s="20" t="n">
        <v>10236.223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10826.443</v>
      </c>
      <c r="D8" s="20" t="n">
        <v>9614.965</v>
      </c>
      <c r="E8" s="20" t="n">
        <v>9385.103999999999</v>
      </c>
      <c r="F8" s="20" t="n">
        <v>11307.569</v>
      </c>
      <c r="G8" s="20" t="n">
        <v>9578.906000000001</v>
      </c>
      <c r="H8" s="19" t="n">
        <v>10963.048</v>
      </c>
      <c r="I8" s="20" t="n">
        <v>7913.078</v>
      </c>
      <c r="J8" s="20" t="n">
        <v>9858.436</v>
      </c>
      <c r="K8" s="20" t="n">
        <v>12338.45</v>
      </c>
      <c r="L8" s="20" t="n">
        <v>11307.569</v>
      </c>
    </row>
    <row r="9">
      <c r="A9" s="18" t="inlineStr">
        <is>
          <t>재고자산</t>
        </is>
      </c>
      <c r="B9" s="10" t="n"/>
      <c r="C9" s="19" t="n">
        <v>1338.04</v>
      </c>
      <c r="D9" s="20" t="n">
        <v>1322.638</v>
      </c>
      <c r="E9" s="20" t="n">
        <v>1771.34</v>
      </c>
      <c r="F9" s="20" t="n">
        <v>1316.257</v>
      </c>
      <c r="G9" s="20" t="n">
        <v>1402.754</v>
      </c>
      <c r="H9" s="19" t="n">
        <v>1062.074</v>
      </c>
      <c r="I9" s="20" t="n">
        <v>1129.265</v>
      </c>
      <c r="J9" s="20" t="n">
        <v>1140.936</v>
      </c>
      <c r="K9" s="20" t="n">
        <v>1206.97</v>
      </c>
      <c r="L9" s="20" t="n">
        <v>1316.257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18069.456</v>
      </c>
      <c r="D11" s="12" t="n">
        <v>18382.926</v>
      </c>
      <c r="E11" s="12" t="n">
        <v>18901.77</v>
      </c>
      <c r="F11" s="12" t="n">
        <v>19115.044</v>
      </c>
      <c r="G11" s="12" t="n">
        <v>18860.952</v>
      </c>
      <c r="H11" s="11" t="n">
        <v>13326.175</v>
      </c>
      <c r="I11" s="12" t="n">
        <v>12567.586</v>
      </c>
      <c r="J11" s="12" t="n">
        <v>13598.113</v>
      </c>
      <c r="K11" s="12" t="n">
        <v>16763.871</v>
      </c>
      <c r="L11" s="12" t="n">
        <v>19115.044</v>
      </c>
    </row>
    <row r="12">
      <c r="A12" s="18" t="inlineStr">
        <is>
          <t>유형자산</t>
        </is>
      </c>
      <c r="B12" s="10" t="n"/>
      <c r="C12" s="19" t="n">
        <v>13970.709</v>
      </c>
      <c r="D12" s="20" t="n">
        <v>14232.257</v>
      </c>
      <c r="E12" s="20" t="n">
        <v>14182.631</v>
      </c>
      <c r="F12" s="20" t="n">
        <v>14053.531</v>
      </c>
      <c r="G12" s="20" t="n">
        <v>13928.212</v>
      </c>
      <c r="H12" s="19" t="n">
        <v>9230.834000000001</v>
      </c>
      <c r="I12" s="20" t="n">
        <v>9715.002</v>
      </c>
      <c r="J12" s="20" t="n">
        <v>9257.722</v>
      </c>
      <c r="K12" s="20" t="n">
        <v>12778.972</v>
      </c>
      <c r="L12" s="20" t="n">
        <v>14053.531</v>
      </c>
    </row>
    <row r="13">
      <c r="A13" s="18" t="inlineStr">
        <is>
          <t>무형자산</t>
        </is>
      </c>
      <c r="B13" s="10" t="n"/>
      <c r="C13" s="19" t="n">
        <v>137.218</v>
      </c>
      <c r="D13" s="20" t="n">
        <v>143.225</v>
      </c>
      <c r="E13" s="20" t="n">
        <v>135.396</v>
      </c>
      <c r="F13" s="20" t="n">
        <v>131.777</v>
      </c>
      <c r="G13" s="20" t="n">
        <v>125.176</v>
      </c>
      <c r="H13" s="19" t="n">
        <v>136.749</v>
      </c>
      <c r="I13" s="20" t="n">
        <v>125.581</v>
      </c>
      <c r="J13" s="20" t="n">
        <v>105.555</v>
      </c>
      <c r="K13" s="20" t="n">
        <v>148.323</v>
      </c>
      <c r="L13" s="20" t="n">
        <v>131.777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41700.058</v>
      </c>
      <c r="D16" s="12" t="n">
        <v>41220.137</v>
      </c>
      <c r="E16" s="12" t="n">
        <v>41920.649</v>
      </c>
      <c r="F16" s="12" t="n">
        <v>44119.041</v>
      </c>
      <c r="G16" s="12" t="n">
        <v>45475.458</v>
      </c>
      <c r="H16" s="11" t="n">
        <v>38786.907</v>
      </c>
      <c r="I16" s="12" t="n">
        <v>38715.263</v>
      </c>
      <c r="J16" s="12" t="n">
        <v>44767.343</v>
      </c>
      <c r="K16" s="12" t="n">
        <v>42463.111</v>
      </c>
      <c r="L16" s="12" t="n">
        <v>44119.041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7615.804</v>
      </c>
      <c r="D18" s="12" t="n">
        <v>6307.288</v>
      </c>
      <c r="E18" s="12" t="n">
        <v>6074.135</v>
      </c>
      <c r="F18" s="12" t="n">
        <v>6966.816</v>
      </c>
      <c r="G18" s="12" t="n">
        <v>8909.496999999999</v>
      </c>
      <c r="H18" s="11" t="n">
        <v>9727.991</v>
      </c>
      <c r="I18" s="12" t="n">
        <v>9291.472</v>
      </c>
      <c r="J18" s="12" t="n">
        <v>11870.431</v>
      </c>
      <c r="K18" s="12" t="n">
        <v>7992.873</v>
      </c>
      <c r="L18" s="12" t="n">
        <v>6966.816</v>
      </c>
    </row>
    <row r="19">
      <c r="A19" s="18" t="inlineStr">
        <is>
          <t>매입채무</t>
        </is>
      </c>
      <c r="B19" s="10" t="n"/>
      <c r="C19" s="19" t="n">
        <v>2100.009</v>
      </c>
      <c r="D19" s="20" t="n">
        <v>2106.363</v>
      </c>
      <c r="E19" s="20" t="n">
        <v>2176.283</v>
      </c>
      <c r="F19" s="20" t="n">
        <v>2497.196</v>
      </c>
      <c r="G19" s="20" t="n">
        <v>2450.336</v>
      </c>
      <c r="H19" s="19" t="n">
        <v>3513.19</v>
      </c>
      <c r="I19" s="20" t="n">
        <v>3124.202</v>
      </c>
      <c r="J19" s="20" t="n">
        <v>3585.244</v>
      </c>
      <c r="K19" s="20" t="n">
        <v>3586.63</v>
      </c>
      <c r="L19" s="20" t="n">
        <v>2497.196</v>
      </c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/>
      <c r="I20" s="20" t="n"/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1595.783</v>
      </c>
      <c r="D23" s="12" t="n">
        <v>1714.199</v>
      </c>
      <c r="E23" s="12" t="n">
        <v>1886.509</v>
      </c>
      <c r="F23" s="12" t="n">
        <v>1916.018</v>
      </c>
      <c r="G23" s="12" t="n">
        <v>1879.565</v>
      </c>
      <c r="H23" s="11" t="n">
        <v>1501.789</v>
      </c>
      <c r="I23" s="12" t="n">
        <v>1464.785</v>
      </c>
      <c r="J23" s="12" t="n">
        <v>1879.331</v>
      </c>
      <c r="K23" s="12" t="n">
        <v>1590.461</v>
      </c>
      <c r="L23" s="12" t="n">
        <v>1916.018</v>
      </c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/>
      <c r="G24" s="20" t="n"/>
      <c r="H24" s="19" t="n"/>
      <c r="I24" s="20" t="n"/>
      <c r="J24" s="20" t="n"/>
      <c r="K24" s="20" t="n"/>
      <c r="L24" s="20" t="n"/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9211.588</v>
      </c>
      <c r="D27" s="12" t="n">
        <v>8021.487</v>
      </c>
      <c r="E27" s="12" t="n">
        <v>7960.645</v>
      </c>
      <c r="F27" s="12" t="n">
        <v>8882.834000000001</v>
      </c>
      <c r="G27" s="12" t="n">
        <v>10789.062</v>
      </c>
      <c r="H27" s="11" t="n">
        <v>11229.781</v>
      </c>
      <c r="I27" s="12" t="n">
        <v>10756.258</v>
      </c>
      <c r="J27" s="12" t="n">
        <v>13749.762</v>
      </c>
      <c r="K27" s="12" t="n">
        <v>9583.334000000001</v>
      </c>
      <c r="L27" s="12" t="n">
        <v>8882.834000000001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31824.858</v>
      </c>
      <c r="D31" s="12" t="n">
        <v>32721.231</v>
      </c>
      <c r="E31" s="12" t="n">
        <v>33448.635</v>
      </c>
      <c r="F31" s="12" t="n">
        <v>34640.143</v>
      </c>
      <c r="G31" s="12" t="n">
        <v>34082.937</v>
      </c>
      <c r="H31" s="11" t="n">
        <v>26960.738</v>
      </c>
      <c r="I31" s="12" t="n">
        <v>27290.855</v>
      </c>
      <c r="J31" s="12" t="n">
        <v>30285.785</v>
      </c>
      <c r="K31" s="12" t="n">
        <v>32197.565</v>
      </c>
      <c r="L31" s="12" t="n">
        <v>34640.143</v>
      </c>
    </row>
    <row r="32">
      <c r="A32" s="18" t="inlineStr">
        <is>
          <t>자본금</t>
        </is>
      </c>
      <c r="B32" s="10" t="n"/>
      <c r="C32" s="19" t="n">
        <v>1311</v>
      </c>
      <c r="D32" s="20" t="n">
        <v>1311</v>
      </c>
      <c r="E32" s="20" t="n">
        <v>1311</v>
      </c>
      <c r="F32" s="20" t="n">
        <v>1311</v>
      </c>
      <c r="G32" s="20" t="n">
        <v>1311</v>
      </c>
      <c r="H32" s="19" t="n">
        <v>1311</v>
      </c>
      <c r="I32" s="20" t="n">
        <v>1311</v>
      </c>
      <c r="J32" s="20" t="n">
        <v>1311</v>
      </c>
      <c r="K32" s="20" t="n">
        <v>1311</v>
      </c>
      <c r="L32" s="20" t="n">
        <v>1311</v>
      </c>
    </row>
    <row r="33">
      <c r="A33" s="18" t="inlineStr">
        <is>
          <t>이익잉여금</t>
        </is>
      </c>
      <c r="B33" s="10" t="n"/>
      <c r="C33" s="19" t="n">
        <v>28954.301</v>
      </c>
      <c r="D33" s="20" t="n">
        <v>29620.169</v>
      </c>
      <c r="E33" s="20" t="n">
        <v>29895.826</v>
      </c>
      <c r="F33" s="20" t="n">
        <v>30761.381</v>
      </c>
      <c r="G33" s="20" t="n">
        <v>30309.124</v>
      </c>
      <c r="H33" s="19" t="n">
        <v>25166.802</v>
      </c>
      <c r="I33" s="20" t="n">
        <v>25881.294</v>
      </c>
      <c r="J33" s="20" t="n">
        <v>27457.738</v>
      </c>
      <c r="K33" s="20" t="n">
        <v>29136.465</v>
      </c>
      <c r="L33" s="20" t="n">
        <v>30761.381</v>
      </c>
    </row>
    <row r="34">
      <c r="A34" s="18" t="inlineStr">
        <is>
          <t>비지배지분</t>
        </is>
      </c>
      <c r="B34" s="10" t="n"/>
      <c r="C34" s="19" t="n">
        <v>663.612</v>
      </c>
      <c r="D34" s="20" t="n">
        <v>477.419</v>
      </c>
      <c r="E34" s="20" t="n">
        <v>511.369</v>
      </c>
      <c r="F34" s="20" t="n">
        <v>596.063</v>
      </c>
      <c r="G34" s="20" t="n">
        <v>603.458</v>
      </c>
      <c r="H34" s="19" t="n">
        <v>596.3869999999999</v>
      </c>
      <c r="I34" s="20" t="n">
        <v>668.149</v>
      </c>
      <c r="J34" s="20" t="n">
        <v>731.796</v>
      </c>
      <c r="K34" s="20" t="n">
        <v>682.212</v>
      </c>
      <c r="L34" s="20" t="n">
        <v>596.063</v>
      </c>
    </row>
    <row r="35">
      <c r="A35" s="9" t="inlineStr">
        <is>
          <t>자본총계</t>
        </is>
      </c>
      <c r="B35" s="10" t="n"/>
      <c r="C35" s="11" t="n">
        <v>32488.47</v>
      </c>
      <c r="D35" s="12" t="n">
        <v>33198.65</v>
      </c>
      <c r="E35" s="12" t="n">
        <v>33960.004</v>
      </c>
      <c r="F35" s="12" t="n">
        <v>35236.206</v>
      </c>
      <c r="G35" s="12" t="n">
        <v>34686.395</v>
      </c>
      <c r="H35" s="11" t="n">
        <v>27557.125</v>
      </c>
      <c r="I35" s="12" t="n">
        <v>27959.004</v>
      </c>
      <c r="J35" s="12" t="n">
        <v>31017.581</v>
      </c>
      <c r="K35" s="12" t="n">
        <v>32879.777</v>
      </c>
      <c r="L35" s="12" t="n">
        <v>35236.206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/>
      <c r="F37" s="12" t="n">
        <v>5094.721</v>
      </c>
      <c r="G37" s="12" t="n"/>
      <c r="H37" s="11" t="n">
        <v>2108.785</v>
      </c>
      <c r="I37" s="12" t="n">
        <v>4340.706</v>
      </c>
      <c r="J37" s="12" t="n">
        <v>3618.706</v>
      </c>
      <c r="K37" s="12" t="n">
        <v>-2808.126</v>
      </c>
      <c r="L37" s="12" t="n">
        <v>5094.721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>
        <v>2886.786</v>
      </c>
      <c r="G38" s="20" t="n"/>
      <c r="H38" s="19" t="n">
        <v>1214.52</v>
      </c>
      <c r="I38" s="20" t="n">
        <v>1403.767</v>
      </c>
      <c r="J38" s="20" t="n">
        <v>961.047</v>
      </c>
      <c r="K38" s="20" t="n">
        <v>4255.598</v>
      </c>
      <c r="L38" s="20" t="n">
        <v>2886.786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/>
      <c r="F40" s="20" t="n">
        <v>1063.981</v>
      </c>
      <c r="G40" s="20" t="n"/>
      <c r="H40" s="19" t="n">
        <v>590.919</v>
      </c>
      <c r="I40" s="20" t="n">
        <v>553.073</v>
      </c>
      <c r="J40" s="20" t="n">
        <v>482.184</v>
      </c>
      <c r="K40" s="20" t="n">
        <v>724.4640000000001</v>
      </c>
      <c r="L40" s="20" t="n">
        <v>1063.981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IFERROR((IF(COUNT('연간'!G19:J19)&lt;4,"",SUM('연간'!G19:J19)))/(IF(COUNT('연간'!G41:J41)&lt;4,"",SUM('연간'!G41:J41))),"")</f>
        <v/>
      </c>
      <c r="D48" s="31">
        <f>IFERROR((IF(COUNT('연간'!H19:K19)&lt;4,"",SUM('연간'!H19:K19)))/(IF(COUNT('연간'!H41:K41)&lt;4,"",SUM('연간'!H41:K41))),"")</f>
        <v/>
      </c>
      <c r="E48" s="31">
        <f>IFERROR((IF(COUNT('연간'!I19:L19)&lt;4,"",SUM('연간'!I19:L19)))/(IF(COUNT('연간'!I41:L41)&lt;4,"",SUM('연간'!I41:L41))),"")</f>
        <v/>
      </c>
      <c r="F48" s="31">
        <f>IFERROR((IF(COUNT('연간'!J19:M19)&lt;4,"",SUM('연간'!J19:M19)))/(IF(COUNT('연간'!J41:M41)&lt;4,"",SUM('연간'!J41:M41))),"")</f>
        <v/>
      </c>
      <c r="G48" s="31">
        <f>IFERROR((IF(COUNT('연간'!K19:N19)&lt;4,"",SUM('연간'!K19:N19)))/(IF(COUNT('연간'!K41:N41)&lt;4,"",SUM('연간'!K41:N41))),"")</f>
        <v/>
      </c>
      <c r="H48" s="30">
        <f>IFERROR(('연간'!T19)/('연간'!T41),"")</f>
        <v/>
      </c>
      <c r="I48" s="31">
        <f>IFERROR(('연간'!U19)/('연간'!U41),"")</f>
        <v/>
      </c>
      <c r="J48" s="31">
        <f>IFERROR(('연간'!V19)/('연간'!V41),"")</f>
        <v/>
      </c>
      <c r="K48" s="31">
        <f>IFERROR(('연간'!W19)/('연간'!W41),"")</f>
        <v/>
      </c>
      <c r="L48" s="31">
        <f>IFERROR(('연간'!X19)/('연간'!X41),"")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IFERROR(IF((IF(COUNT('연간'!G47:J47)&lt;4,"",SUM('연간'!G47:J47)))&lt;=0,"적자",C28/(IF(COUNT('연간'!G47:J47)&lt;4,"",SUM('연간'!G47:J47)))),"")</f>
        <v/>
      </c>
      <c r="D49" s="46">
        <f>IFERROR(IF((IF(COUNT('연간'!H47:K47)&lt;4,"",SUM('연간'!H47:K47)))&lt;=0,"적자",D28/(IF(COUNT('연간'!H47:K47)&lt;4,"",SUM('연간'!H47:K47)))),"")</f>
        <v/>
      </c>
      <c r="E49" s="46">
        <f>IFERROR(IF((IF(COUNT('연간'!I47:L47)&lt;4,"",SUM('연간'!I47:L47)))&lt;=0,"적자",E28/(IF(COUNT('연간'!I47:L47)&lt;4,"",SUM('연간'!I47:L47)))),"")</f>
        <v/>
      </c>
      <c r="F49" s="46">
        <f>IFERROR(IF((IF(COUNT('연간'!J47:M47)&lt;4,"",SUM('연간'!J47:M47)))&lt;=0,"적자",F28/(IF(COUNT('연간'!J47:M47)&lt;4,"",SUM('연간'!J47:M47)))),"")</f>
        <v/>
      </c>
      <c r="G49" s="46">
        <f>IFERROR(IF((IF(COUNT('연간'!K47:N47)&lt;4,"",SUM('연간'!K47:N47)))&lt;=0,"적자",G28/(IF(COUNT('연간'!K47:N47)&lt;4,"",SUM('연간'!K47:N47)))),"")</f>
        <v/>
      </c>
      <c r="H49" s="45">
        <f>IFERROR(IF(('연간'!T47)&lt;=0,"적자",H28/('연간'!T47)),"")</f>
        <v/>
      </c>
      <c r="I49" s="46">
        <f>IFERROR(IF(('연간'!U47)&lt;=0,"적자",I28/('연간'!U47)),"")</f>
        <v/>
      </c>
      <c r="J49" s="46">
        <f>IFERROR(IF(('연간'!V47)&lt;=0,"적자",J28/('연간'!V47)),"")</f>
        <v/>
      </c>
      <c r="K49" s="46">
        <f>IFERROR(IF(('연간'!W47)&lt;=0,"적자",K28/('연간'!W47)),"")</f>
        <v/>
      </c>
      <c r="L49" s="46">
        <f>IFERROR(IF(('연간'!X47)&lt;=0,"적자",L28/('연간'!X47)),"")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IFERROR((IF(COUNT('연간'!G47:J47)&lt;4,"",SUM('연간'!G47:J47)))/C31,"")</f>
        <v/>
      </c>
      <c r="D51" s="36">
        <f>IFERROR((IF(COUNT('연간'!H47:K47)&lt;4,"",SUM('연간'!H47:K47)))/D31,"")</f>
        <v/>
      </c>
      <c r="E51" s="36">
        <f>IFERROR((IF(COUNT('연간'!I47:L47)&lt;4,"",SUM('연간'!I47:L47)))/E31,"")</f>
        <v/>
      </c>
      <c r="F51" s="36">
        <f>IFERROR((IF(COUNT('연간'!J47:M47)&lt;4,"",SUM('연간'!J47:M47)))/F31,"")</f>
        <v/>
      </c>
      <c r="G51" s="36">
        <f>IFERROR((IF(COUNT('연간'!K47:N47)&lt;4,"",SUM('연간'!K47:N47)))/G31,"")</f>
        <v/>
      </c>
      <c r="H51" s="35">
        <f>IFERROR(('연간'!T47)/H31,"")</f>
        <v/>
      </c>
      <c r="I51" s="36">
        <f>IFERROR(('연간'!U47)/I31,"")</f>
        <v/>
      </c>
      <c r="J51" s="36">
        <f>IFERROR(('연간'!V47)/J31,"")</f>
        <v/>
      </c>
      <c r="K51" s="36">
        <f>IFERROR(('연간'!W47)/K31,"")</f>
        <v/>
      </c>
      <c r="L51" s="36">
        <f>IFERROR(('연간'!X47)/L31,"")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IFERROR((IF(COUNT('연간'!G46:J46)&lt;4,"",SUM('연간'!G46:J46)))/C16,"")</f>
        <v/>
      </c>
      <c r="D52" s="36">
        <f>IFERROR((IF(COUNT('연간'!H46:K46)&lt;4,"",SUM('연간'!H46:K46)))/D16,"")</f>
        <v/>
      </c>
      <c r="E52" s="36">
        <f>IFERROR((IF(COUNT('연간'!I46:L46)&lt;4,"",SUM('연간'!I46:L46)))/E16,"")</f>
        <v/>
      </c>
      <c r="F52" s="36">
        <f>IFERROR((IF(COUNT('연간'!J46:M46)&lt;4,"",SUM('연간'!J46:M46)))/F16,"")</f>
        <v/>
      </c>
      <c r="G52" s="36">
        <f>IFERROR((IF(COUNT('연간'!K46:N46)&lt;4,"",SUM('연간'!K46:N46)))/G16,"")</f>
        <v/>
      </c>
      <c r="H52" s="35">
        <f>IFERROR(('연간'!T46)/H16,"")</f>
        <v/>
      </c>
      <c r="I52" s="36">
        <f>IFERROR(('연간'!U46)/I16,"")</f>
        <v/>
      </c>
      <c r="J52" s="36">
        <f>IFERROR(('연간'!V46)/J16,"")</f>
        <v/>
      </c>
      <c r="K52" s="36">
        <f>IFERROR(('연간'!W46)/K16,"")</f>
        <v/>
      </c>
      <c r="L52" s="36">
        <f>IFERROR(('연간'!X46)/L16,"")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IFERROR((IF(COUNT('연간'!G19:J19)&lt;4,"",SUM('연간'!G19:J19)))*(1-0.3)/(C35+C29),"")</f>
        <v/>
      </c>
      <c r="D53" s="36">
        <f>IFERROR((IF(COUNT('연간'!H19:K19)&lt;4,"",SUM('연간'!H19:K19)))*(1-0.3)/(D35+D29),"")</f>
        <v/>
      </c>
      <c r="E53" s="36">
        <f>IFERROR((IF(COUNT('연간'!I19:L19)&lt;4,"",SUM('연간'!I19:L19)))*(1-0.3)/(E35+E29),"")</f>
        <v/>
      </c>
      <c r="F53" s="36">
        <f>IFERROR((IF(COUNT('연간'!J19:M19)&lt;4,"",SUM('연간'!J19:M19)))*(1-0.3)/(F35+F29),"")</f>
        <v/>
      </c>
      <c r="G53" s="36">
        <f>IFERROR((IF(COUNT('연간'!K19:N19)&lt;4,"",SUM('연간'!K19:N19)))*(1-0.3)/(G35+G29),"")</f>
        <v/>
      </c>
      <c r="H53" s="35">
        <f>IFERROR(('연간'!T19)*(1-0.3)/(H35+H29),"")</f>
        <v/>
      </c>
      <c r="I53" s="36">
        <f>IFERROR(('연간'!U19)*(1-0.3)/(I35+I29),"")</f>
        <v/>
      </c>
      <c r="J53" s="36">
        <f>IFERROR(('연간'!V19)*(1-0.3)/(J35+J29),"")</f>
        <v/>
      </c>
      <c r="K53" s="36">
        <f>IFERROR(('연간'!W19)*(1-0.3)/(K35+K29),"")</f>
        <v/>
      </c>
      <c r="L53" s="36">
        <f>IFERROR(('연간'!X19)*(1-0.3)/(L35+L29),"")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IFERROR((IF(COUNT('연간'!G15:J15)&lt;4,"",SUM('연간'!G15:J15)))/(IF(COUNT('연간'!G4:J4)&lt;4,"",SUM('연간'!G4:J4))),"")</f>
        <v/>
      </c>
      <c r="D54" s="36">
        <f>IFERROR((IF(COUNT('연간'!H15:K15)&lt;4,"",SUM('연간'!H15:K15)))/(IF(COUNT('연간'!H4:K4)&lt;4,"",SUM('연간'!H4:K4))),"")</f>
        <v/>
      </c>
      <c r="E54" s="36">
        <f>IFERROR((IF(COUNT('연간'!I15:L15)&lt;4,"",SUM('연간'!I15:L15)))/(IF(COUNT('연간'!I4:L4)&lt;4,"",SUM('연간'!I4:L4))),"")</f>
        <v/>
      </c>
      <c r="F54" s="36">
        <f>IFERROR((IF(COUNT('연간'!J15:M15)&lt;4,"",SUM('연간'!J15:M15)))/(IF(COUNT('연간'!J4:M4)&lt;4,"",SUM('연간'!J4:M4))),"")</f>
        <v/>
      </c>
      <c r="G54" s="36">
        <f>IFERROR((IF(COUNT('연간'!K15:N15)&lt;4,"",SUM('연간'!K15:N15)))/(IF(COUNT('연간'!K4:N4)&lt;4,"",SUM('연간'!K4:N4))),"")</f>
        <v/>
      </c>
      <c r="H54" s="35">
        <f>IFERROR(('연간'!T15)/('연간'!T4),"")</f>
        <v/>
      </c>
      <c r="I54" s="36">
        <f>IFERROR(('연간'!U15)/('연간'!U4),"")</f>
        <v/>
      </c>
      <c r="J54" s="36">
        <f>IFERROR(('연간'!V15)/('연간'!V4),"")</f>
        <v/>
      </c>
      <c r="K54" s="36">
        <f>IFERROR(('연간'!W15)/('연간'!W4),"")</f>
        <v/>
      </c>
      <c r="L54" s="36">
        <f>IFERROR(('연간'!X15)/('연간'!X4),"")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IFERROR((IF(COUNT('연간'!G19:J19)&lt;4,"",SUM('연간'!G19:J19)))/(IF(COUNT('연간'!G4:J4)&lt;4,"",SUM('연간'!G4:J4))),"")</f>
        <v/>
      </c>
      <c r="D55" s="36">
        <f>IFERROR((IF(COUNT('연간'!H19:K19)&lt;4,"",SUM('연간'!H19:K19)))/(IF(COUNT('연간'!H4:K4)&lt;4,"",SUM('연간'!H4:K4))),"")</f>
        <v/>
      </c>
      <c r="E55" s="36">
        <f>IFERROR((IF(COUNT('연간'!I19:L19)&lt;4,"",SUM('연간'!I19:L19)))/(IF(COUNT('연간'!I4:L4)&lt;4,"",SUM('연간'!I4:L4))),"")</f>
        <v/>
      </c>
      <c r="F55" s="36">
        <f>IFERROR((IF(COUNT('연간'!J19:M19)&lt;4,"",SUM('연간'!J19:M19)))/(IF(COUNT('연간'!J4:M4)&lt;4,"",SUM('연간'!J4:M4))),"")</f>
        <v/>
      </c>
      <c r="G55" s="36">
        <f>IFERROR((IF(COUNT('연간'!K19:N19)&lt;4,"",SUM('연간'!K19:N19)))/(IF(COUNT('연간'!K4:N4)&lt;4,"",SUM('연간'!K4:N4))),"")</f>
        <v/>
      </c>
      <c r="H55" s="35">
        <f>IFERROR(('연간'!T19)/('연간'!T4),"")</f>
        <v/>
      </c>
      <c r="I55" s="36">
        <f>IFERROR(('연간'!U19)/('연간'!U4),"")</f>
        <v/>
      </c>
      <c r="J55" s="36">
        <f>IFERROR(('연간'!V19)/('연간'!V4),"")</f>
        <v/>
      </c>
      <c r="K55" s="36">
        <f>IFERROR(('연간'!W19)/('연간'!W4),"")</f>
        <v/>
      </c>
      <c r="L55" s="36">
        <f>IFERROR(('연간'!X19)/('연간'!X4),"")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IFERROR((IF(COUNT('연간'!G46:J46)&lt;4,"",SUM('연간'!G46:J46)))/(IF(COUNT('연간'!G4:J4)&lt;4,"",SUM('연간'!G4:J4))),"")</f>
        <v/>
      </c>
      <c r="D56" s="36">
        <f>IFERROR((IF(COUNT('연간'!H46:K46)&lt;4,"",SUM('연간'!H46:K46)))/(IF(COUNT('연간'!H4:K4)&lt;4,"",SUM('연간'!H4:K4))),"")</f>
        <v/>
      </c>
      <c r="E56" s="36">
        <f>IFERROR((IF(COUNT('연간'!I46:L46)&lt;4,"",SUM('연간'!I46:L46)))/(IF(COUNT('연간'!I4:L4)&lt;4,"",SUM('연간'!I4:L4))),"")</f>
        <v/>
      </c>
      <c r="F56" s="36">
        <f>IFERROR((IF(COUNT('연간'!J46:M46)&lt;4,"",SUM('연간'!J46:M46)))/(IF(COUNT('연간'!J4:M4)&lt;4,"",SUM('연간'!J4:M4))),"")</f>
        <v/>
      </c>
      <c r="G56" s="36">
        <f>IFERROR((IF(COUNT('연간'!K46:N46)&lt;4,"",SUM('연간'!K46:N46)))/(IF(COUNT('연간'!K4:N4)&lt;4,"",SUM('연간'!K4:N4))),"")</f>
        <v/>
      </c>
      <c r="H56" s="35">
        <f>IFERROR(('연간'!T46)/('연간'!T4),"")</f>
        <v/>
      </c>
      <c r="I56" s="36">
        <f>IFERROR(('연간'!U46)/('연간'!U4),"")</f>
        <v/>
      </c>
      <c r="J56" s="36">
        <f>IFERROR(('연간'!V46)/('연간'!V4),"")</f>
        <v/>
      </c>
      <c r="K56" s="36">
        <f>IFERROR(('연간'!W46)/('연간'!W4),"")</f>
        <v/>
      </c>
      <c r="L56" s="36">
        <f>IFERROR(('연간'!X46)/('연간'!X4),"")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IFERROR(C8/(IF(COUNT('연간'!G4:J4)&lt;4,"",SUM('연간'!G4:J4)))*365,"")</f>
        <v/>
      </c>
      <c r="D59" s="48">
        <f>IFERROR(D8/(IF(COUNT('연간'!H4:K4)&lt;4,"",SUM('연간'!H4:K4)))*365,"")</f>
        <v/>
      </c>
      <c r="E59" s="48">
        <f>IFERROR(E8/(IF(COUNT('연간'!I4:L4)&lt;4,"",SUM('연간'!I4:L4)))*365,"")</f>
        <v/>
      </c>
      <c r="F59" s="48">
        <f>IFERROR(F8/(IF(COUNT('연간'!J4:M4)&lt;4,"",SUM('연간'!J4:M4)))*365,"")</f>
        <v/>
      </c>
      <c r="G59" s="48">
        <f>IFERROR(G8/(IF(COUNT('연간'!K4:N4)&lt;4,"",SUM('연간'!K4:N4)))*365,"")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  <c r="L59" s="48">
        <f>IFERROR(L8/('연간'!X4)*365,"")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IFERROR(C9/(IF(COUNT('연간'!G14:J14)&lt;4,"",SUM('연간'!G14:J14)))*365,"")</f>
        <v/>
      </c>
      <c r="D60" s="48">
        <f>IFERROR(D9/(IF(COUNT('연간'!H14:K14)&lt;4,"",SUM('연간'!H14:K14)))*365,"")</f>
        <v/>
      </c>
      <c r="E60" s="48">
        <f>IFERROR(E9/(IF(COUNT('연간'!I14:L14)&lt;4,"",SUM('연간'!I14:L14)))*365,"")</f>
        <v/>
      </c>
      <c r="F60" s="48">
        <f>IFERROR(F9/(IF(COUNT('연간'!J14:M14)&lt;4,"",SUM('연간'!J14:M14)))*365,"")</f>
        <v/>
      </c>
      <c r="G60" s="48">
        <f>IFERROR(G9/(IF(COUNT('연간'!K14:N14)&lt;4,"",SUM('연간'!K14:N14)))*365,"")</f>
        <v/>
      </c>
      <c r="H60" s="47">
        <f>IFERROR(H9/('연간'!T14)*365,"")</f>
        <v/>
      </c>
      <c r="I60" s="48">
        <f>IFERROR(I9/('연간'!U14)*365,"")</f>
        <v/>
      </c>
      <c r="J60" s="48">
        <f>IFERROR(J9/('연간'!V14)*365,"")</f>
        <v/>
      </c>
      <c r="K60" s="48">
        <f>IFERROR(K9/('연간'!W14)*365,"")</f>
        <v/>
      </c>
      <c r="L60" s="48">
        <f>IFERROR(L9/('연간'!X14)*365,"")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IFERROR(C19/(IF(COUNT('연간'!G14:J14)&lt;4,"",SUM('연간'!G14:J14)))*365,"")</f>
        <v/>
      </c>
      <c r="D61" s="48">
        <f>IFERROR(D19/(IF(COUNT('연간'!H14:K14)&lt;4,"",SUM('연간'!H14:K14)))*365,"")</f>
        <v/>
      </c>
      <c r="E61" s="48">
        <f>IFERROR(E19/(IF(COUNT('연간'!I14:L14)&lt;4,"",SUM('연간'!I14:L14)))*365,"")</f>
        <v/>
      </c>
      <c r="F61" s="48">
        <f>IFERROR(F19/(IF(COUNT('연간'!J14:M14)&lt;4,"",SUM('연간'!J14:M14)))*365,"")</f>
        <v/>
      </c>
      <c r="G61" s="48">
        <f>IFERROR(G19/(IF(COUNT('연간'!K14:N14)&lt;4,"",SUM('연간'!K14:N14)))*365,"")</f>
        <v/>
      </c>
      <c r="H61" s="47">
        <f>IFERROR(H19/('연간'!T14)*365,"")</f>
        <v/>
      </c>
      <c r="I61" s="48">
        <f>IFERROR(I19/('연간'!U14)*365,"")</f>
        <v/>
      </c>
      <c r="J61" s="48">
        <f>IFERROR(J19/('연간'!V14)*365,"")</f>
        <v/>
      </c>
      <c r="K61" s="48">
        <f>IFERROR(K19/('연간'!W14)*365,"")</f>
        <v/>
      </c>
      <c r="L61" s="48">
        <f>IFERROR(L19/('연간'!X14)*365,"")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  <c r="L62" s="48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IF(C37="","",IFERROR(C37/(IF(COUNT('연간'!G46:J46)&lt;4,"",SUM('연간'!G46:J46))),""))</f>
        <v/>
      </c>
      <c r="D64" s="31">
        <f>IF(D37="","",IFERROR(D37/(IF(COUNT('연간'!H46:K46)&lt;4,"",SUM('연간'!H46:K46))),""))</f>
        <v/>
      </c>
      <c r="E64" s="31">
        <f>IF(E37="","",IFERROR(E37/(IF(COUNT('연간'!I46:L46)&lt;4,"",SUM('연간'!I46:L46))),""))</f>
        <v/>
      </c>
      <c r="F64" s="31">
        <f>IF(F37="","",IFERROR(F37/(IF(COUNT('연간'!J46:M46)&lt;4,"",SUM('연간'!J46:M46))),""))</f>
        <v/>
      </c>
      <c r="G64" s="31">
        <f>IF(G37="","",IFERROR(G37/(IF(COUNT('연간'!K46:N46)&lt;4,"",SUM('연간'!K46:N46))),""))</f>
        <v/>
      </c>
      <c r="H64" s="30">
        <f>IF(H37="","",IFERROR(H37/('연간'!T46),""))</f>
        <v/>
      </c>
      <c r="I64" s="31">
        <f>IF(I37="","",IFERROR(I37/('연간'!U46),""))</f>
        <v/>
      </c>
      <c r="J64" s="31">
        <f>IF(J37="","",IFERROR(J37/('연간'!V46),""))</f>
        <v/>
      </c>
      <c r="K64" s="31">
        <f>IF(K37="","",IFERROR(K37/('연간'!W46),""))</f>
        <v/>
      </c>
      <c r="L64" s="31">
        <f>IF(L37="","",IFERROR(L37/('연간'!X46),""))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IF(C40="","",IFERROR(C40/(IF(COUNT('연간'!G47:J47)&lt;4,"",SUM('연간'!G47:J47))),""))</f>
        <v/>
      </c>
      <c r="D67" s="36">
        <f>IF(D40="","",IFERROR(D40/(IF(COUNT('연간'!H47:K47)&lt;4,"",SUM('연간'!H47:K47))),""))</f>
        <v/>
      </c>
      <c r="E67" s="36">
        <f>IF(E40="","",IFERROR(E40/(IF(COUNT('연간'!I47:L47)&lt;4,"",SUM('연간'!I47:L47))),""))</f>
        <v/>
      </c>
      <c r="F67" s="36">
        <f>IF(F40="","",IFERROR(F40/(IF(COUNT('연간'!J47:M47)&lt;4,"",SUM('연간'!J47:M47))),""))</f>
        <v/>
      </c>
      <c r="G67" s="36">
        <f>IF(G40="","",IFERROR(G40/(IF(COUNT('연간'!K47:N47)&lt;4,"",SUM('연간'!K47:N47))),""))</f>
        <v/>
      </c>
      <c r="H67" s="35">
        <f>IF(H40="","",IFERROR(H40/('연간'!T47),""))</f>
        <v/>
      </c>
      <c r="I67" s="36">
        <f>IF(I40="","",IFERROR(I40/('연간'!U47),""))</f>
        <v/>
      </c>
      <c r="J67" s="36">
        <f>IF(J40="","",IFERROR(J40/('연간'!V47),""))</f>
        <v/>
      </c>
      <c r="K67" s="36">
        <f>IF(K40="","",IFERROR(K40/('연간'!W47),""))</f>
        <v/>
      </c>
      <c r="L67" s="36">
        <f>IF(L40="","",IFERROR(L40/('연간'!X47),""))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8587.036</v>
      </c>
      <c r="D71" s="20" t="n">
        <v>10063.083</v>
      </c>
      <c r="E71" s="20" t="n">
        <v>9240.558000000001</v>
      </c>
      <c r="F71" s="20" t="n">
        <v>10236.223</v>
      </c>
      <c r="G71" s="20" t="n">
        <v>13626.923</v>
      </c>
      <c r="H71" s="20" t="n">
        <v>11880.952</v>
      </c>
      <c r="I71" s="20" t="n">
        <v>14680.786</v>
      </c>
      <c r="J71" s="20" t="n">
        <v>17012.799</v>
      </c>
      <c r="K71" s="20" t="n">
        <v>9358.834000000001</v>
      </c>
      <c r="L71" s="20" t="n">
        <v>10236.223</v>
      </c>
    </row>
    <row r="72">
      <c r="A72" s="18" t="inlineStr">
        <is>
          <t>받을어음·매출채권</t>
        </is>
      </c>
      <c r="H72" s="20" t="n">
        <v>0</v>
      </c>
    </row>
    <row r="73">
      <c r="A73" s="18" t="inlineStr">
        <is>
          <t>받을어음·매출채권·계약자산</t>
        </is>
      </c>
      <c r="C73" s="20" t="n">
        <v>10826.443</v>
      </c>
      <c r="D73" s="20" t="n">
        <v>9614.965</v>
      </c>
      <c r="E73" s="20" t="n">
        <v>9385.103999999999</v>
      </c>
      <c r="F73" s="20" t="n">
        <v>11307.569</v>
      </c>
      <c r="G73" s="20" t="n">
        <v>9578.906000000001</v>
      </c>
      <c r="H73" s="20" t="n">
        <v>10963.048</v>
      </c>
      <c r="I73" s="20" t="n">
        <v>7913.078</v>
      </c>
      <c r="J73" s="20" t="n">
        <v>9858.436</v>
      </c>
      <c r="K73" s="20" t="n">
        <v>12338.45</v>
      </c>
      <c r="L73" s="20" t="n">
        <v>11307.569</v>
      </c>
    </row>
    <row r="74">
      <c r="A74" s="18" t="inlineStr">
        <is>
          <t>전자기록채권</t>
        </is>
      </c>
      <c r="C74" s="20" t="n">
        <v>2295.149</v>
      </c>
      <c r="D74" s="20" t="n">
        <v>1208.543</v>
      </c>
      <c r="E74" s="20" t="n">
        <v>1643.03</v>
      </c>
      <c r="F74" s="20" t="n">
        <v>1353.843</v>
      </c>
      <c r="G74" s="20" t="n">
        <v>664.482</v>
      </c>
      <c r="H74" s="20" t="n">
        <v>1070.498</v>
      </c>
      <c r="I74" s="20" t="n">
        <v>1252.149</v>
      </c>
      <c r="J74" s="20" t="n">
        <v>2437.395</v>
      </c>
      <c r="K74" s="20" t="n">
        <v>2255.203</v>
      </c>
      <c r="L74" s="20" t="n">
        <v>1353.843</v>
      </c>
    </row>
    <row r="75">
      <c r="A75" s="18" t="inlineStr">
        <is>
          <t>제품</t>
        </is>
      </c>
      <c r="C75" s="20" t="n">
        <v>31.755</v>
      </c>
      <c r="D75" s="20" t="n">
        <v>33.737</v>
      </c>
      <c r="E75" s="20" t="n">
        <v>32.908</v>
      </c>
      <c r="F75" s="20" t="n">
        <v>45.068</v>
      </c>
      <c r="G75" s="20" t="n">
        <v>49.01</v>
      </c>
      <c r="H75" s="20" t="n">
        <v>41.267</v>
      </c>
      <c r="I75" s="20" t="n">
        <v>54.369</v>
      </c>
      <c r="J75" s="20" t="n">
        <v>24.834</v>
      </c>
      <c r="K75" s="20" t="n">
        <v>31.588</v>
      </c>
      <c r="L75" s="20" t="n">
        <v>45.068</v>
      </c>
    </row>
    <row r="76">
      <c r="A76" s="18" t="inlineStr">
        <is>
          <t>재공품</t>
        </is>
      </c>
      <c r="C76" s="20" t="n">
        <v>814.105</v>
      </c>
      <c r="D76" s="20" t="n">
        <v>788.8630000000001</v>
      </c>
      <c r="E76" s="20" t="n">
        <v>1223.582</v>
      </c>
      <c r="F76" s="20" t="n">
        <v>738.078</v>
      </c>
      <c r="G76" s="20" t="n">
        <v>748.611</v>
      </c>
      <c r="H76" s="20" t="n">
        <v>611.491</v>
      </c>
      <c r="I76" s="20" t="n">
        <v>642.806</v>
      </c>
      <c r="J76" s="20" t="n">
        <v>640.04</v>
      </c>
      <c r="K76" s="20" t="n">
        <v>681.217</v>
      </c>
      <c r="L76" s="20" t="n">
        <v>738.078</v>
      </c>
    </row>
    <row r="77">
      <c r="A77" s="18" t="inlineStr">
        <is>
          <t>원재료</t>
        </is>
      </c>
      <c r="C77" s="20" t="n">
        <v>492.18</v>
      </c>
      <c r="D77" s="20" t="n">
        <v>500.038</v>
      </c>
      <c r="E77" s="20" t="n">
        <v>514.85</v>
      </c>
      <c r="F77" s="20" t="n">
        <v>533.111</v>
      </c>
      <c r="G77" s="20" t="n">
        <v>605.133</v>
      </c>
      <c r="H77" s="20" t="n">
        <v>409.316</v>
      </c>
      <c r="I77" s="20" t="n">
        <v>432.09</v>
      </c>
      <c r="J77" s="20" t="n">
        <v>476.062</v>
      </c>
      <c r="K77" s="20" t="n">
        <v>494.165</v>
      </c>
      <c r="L77" s="20" t="n">
        <v>533.111</v>
      </c>
    </row>
    <row r="78">
      <c r="A78" s="18" t="inlineStr">
        <is>
          <t>기타</t>
        </is>
      </c>
      <c r="C78" s="20" t="n">
        <v>584.8869999999999</v>
      </c>
      <c r="D78" s="20" t="n">
        <v>631.6950000000001</v>
      </c>
      <c r="E78" s="20" t="n">
        <v>982.048</v>
      </c>
      <c r="F78" s="20" t="n">
        <v>791.218</v>
      </c>
      <c r="G78" s="20" t="n">
        <v>1342.356</v>
      </c>
      <c r="H78" s="20" t="n">
        <v>486.952</v>
      </c>
      <c r="I78" s="20" t="n">
        <v>1174.549</v>
      </c>
      <c r="J78" s="20" t="n">
        <v>721.693</v>
      </c>
      <c r="K78" s="20" t="n">
        <v>549.169</v>
      </c>
      <c r="L78" s="20" t="n">
        <v>791.218</v>
      </c>
    </row>
    <row r="79">
      <c r="A79" s="18" t="inlineStr">
        <is>
          <t>대손충당금</t>
        </is>
      </c>
      <c r="C79" s="20" t="n">
        <v>-0.956</v>
      </c>
      <c r="D79" s="20" t="n">
        <v>-3.715</v>
      </c>
      <c r="E79" s="20" t="n">
        <v>-3.203</v>
      </c>
      <c r="F79" s="20" t="n">
        <v>-1.117</v>
      </c>
      <c r="G79" s="20" t="n">
        <v>-0.917</v>
      </c>
      <c r="H79" s="20" t="n">
        <v>-2.795</v>
      </c>
      <c r="I79" s="20" t="n">
        <v>-2.153</v>
      </c>
      <c r="J79" s="20" t="n">
        <v>-2.031</v>
      </c>
      <c r="K79" s="20" t="n">
        <v>-9.388999999999999</v>
      </c>
      <c r="L79" s="20" t="n">
        <v>-1.117</v>
      </c>
    </row>
    <row r="80">
      <c r="A80" s="9" t="inlineStr">
        <is>
          <t>유동자산 합계</t>
        </is>
      </c>
      <c r="C80" s="12" t="n">
        <v>23630.602</v>
      </c>
      <c r="D80" s="12" t="n">
        <v>22837.21</v>
      </c>
      <c r="E80" s="12" t="n">
        <v>23018.879</v>
      </c>
      <c r="F80" s="12" t="n">
        <v>25003.997</v>
      </c>
      <c r="G80" s="12" t="n">
        <v>26614.506</v>
      </c>
      <c r="H80" s="12" t="n">
        <v>25460.731</v>
      </c>
      <c r="I80" s="12" t="n">
        <v>26147.677</v>
      </c>
      <c r="J80" s="12" t="n">
        <v>31169.23</v>
      </c>
      <c r="K80" s="12" t="n">
        <v>25699.24</v>
      </c>
      <c r="L80" s="12" t="n">
        <v>25003.997</v>
      </c>
    </row>
    <row r="81">
      <c r="A81" s="18" t="inlineStr">
        <is>
          <t>건물·구축물</t>
        </is>
      </c>
      <c r="F81" s="20" t="n">
        <v>11979.682</v>
      </c>
      <c r="H81" s="20" t="n">
        <v>7626.514</v>
      </c>
      <c r="I81" s="20" t="n">
        <v>7736.331</v>
      </c>
      <c r="J81" s="20" t="n">
        <v>7679.597</v>
      </c>
      <c r="K81" s="20" t="n">
        <v>7751.514</v>
      </c>
      <c r="L81" s="20" t="n">
        <v>11979.682</v>
      </c>
    </row>
    <row r="82">
      <c r="A82" s="18" t="inlineStr">
        <is>
          <t>감가상각누계액</t>
        </is>
      </c>
      <c r="F82" s="20" t="n">
        <v>-6347.942</v>
      </c>
      <c r="H82" s="20" t="n">
        <v>-5848.315</v>
      </c>
      <c r="I82" s="20" t="n">
        <v>-5973.842</v>
      </c>
      <c r="J82" s="20" t="n">
        <v>-5937.131</v>
      </c>
      <c r="K82" s="20" t="n">
        <v>-6070.948</v>
      </c>
      <c r="L82" s="20" t="n">
        <v>-6347.942</v>
      </c>
    </row>
    <row r="83">
      <c r="A83" s="18" t="inlineStr">
        <is>
          <t>건물·구축물(순액)</t>
        </is>
      </c>
      <c r="F83" s="20" t="n">
        <v>5631.739</v>
      </c>
      <c r="G83" s="20" t="n">
        <v>5658.681</v>
      </c>
      <c r="H83" s="20" t="n">
        <v>1778.199</v>
      </c>
      <c r="I83" s="20" t="n">
        <v>1762.488</v>
      </c>
      <c r="J83" s="20" t="n">
        <v>1742.465</v>
      </c>
      <c r="K83" s="20" t="n">
        <v>1680.566</v>
      </c>
      <c r="L83" s="20" t="n">
        <v>5631.739</v>
      </c>
    </row>
    <row r="84">
      <c r="A84" s="18" t="inlineStr">
        <is>
          <t>기계장치·운반구</t>
        </is>
      </c>
      <c r="F84" s="20" t="n">
        <v>10258.598</v>
      </c>
      <c r="H84" s="20" t="n">
        <v>8750.68</v>
      </c>
      <c r="I84" s="20" t="n">
        <v>9073.588</v>
      </c>
      <c r="J84" s="20" t="n">
        <v>9017.351000000001</v>
      </c>
      <c r="K84" s="20" t="n">
        <v>9041.611000000001</v>
      </c>
      <c r="L84" s="20" t="n">
        <v>10258.598</v>
      </c>
    </row>
    <row r="85">
      <c r="A85" s="18" t="inlineStr">
        <is>
          <t>감가상각누계액</t>
        </is>
      </c>
      <c r="F85" s="20" t="n">
        <v>-8008.116</v>
      </c>
      <c r="H85" s="20" t="n">
        <v>-7508.474</v>
      </c>
      <c r="I85" s="20" t="n">
        <v>-7796.28</v>
      </c>
      <c r="J85" s="20" t="n">
        <v>-7768.733</v>
      </c>
      <c r="K85" s="20" t="n">
        <v>-7830.768</v>
      </c>
      <c r="L85" s="20" t="n">
        <v>-8008.116</v>
      </c>
    </row>
    <row r="86">
      <c r="A86" s="18" t="inlineStr">
        <is>
          <t>기계장치·운반구(순액)</t>
        </is>
      </c>
      <c r="F86" s="20" t="n">
        <v>2250.481</v>
      </c>
      <c r="H86" s="20" t="n">
        <v>1242.205</v>
      </c>
      <c r="I86" s="20" t="n">
        <v>1277.308</v>
      </c>
      <c r="J86" s="20" t="n">
        <v>1248.618</v>
      </c>
      <c r="K86" s="20" t="n">
        <v>1210.842</v>
      </c>
      <c r="L86" s="20" t="n">
        <v>2250.481</v>
      </c>
    </row>
    <row r="87">
      <c r="A87" s="18" t="inlineStr">
        <is>
          <t>공구·기구·비품</t>
        </is>
      </c>
      <c r="F87" s="20" t="n">
        <v>10225.324</v>
      </c>
      <c r="H87" s="20" t="n">
        <v>9319.545</v>
      </c>
      <c r="I87" s="20" t="n">
        <v>9425.239</v>
      </c>
      <c r="J87" s="20" t="n">
        <v>9926.227000000001</v>
      </c>
      <c r="K87" s="20" t="n">
        <v>9876.831</v>
      </c>
      <c r="L87" s="20" t="n">
        <v>10225.324</v>
      </c>
    </row>
    <row r="88">
      <c r="A88" s="18" t="inlineStr">
        <is>
          <t>감가상각누계액</t>
        </is>
      </c>
      <c r="F88" s="20" t="n">
        <v>-9787.717000000001</v>
      </c>
      <c r="H88" s="20" t="n">
        <v>-8989.109</v>
      </c>
      <c r="I88" s="20" t="n">
        <v>-8958.802</v>
      </c>
      <c r="J88" s="20" t="n">
        <v>-9563.146000000001</v>
      </c>
      <c r="K88" s="20" t="n">
        <v>-9624.208000000001</v>
      </c>
      <c r="L88" s="20" t="n">
        <v>-9787.717000000001</v>
      </c>
    </row>
    <row r="89">
      <c r="A89" s="18" t="inlineStr">
        <is>
          <t>공구·기구·비품(순액)</t>
        </is>
      </c>
      <c r="F89" s="20" t="n">
        <v>437.606</v>
      </c>
      <c r="H89" s="20" t="n">
        <v>330.436</v>
      </c>
      <c r="I89" s="20" t="n">
        <v>466.437</v>
      </c>
      <c r="J89" s="20" t="n">
        <v>363.08</v>
      </c>
      <c r="K89" s="20" t="n">
        <v>252.622</v>
      </c>
      <c r="L89" s="20" t="n">
        <v>437.606</v>
      </c>
    </row>
    <row r="90">
      <c r="A90" s="18" t="inlineStr">
        <is>
          <t>토지</t>
        </is>
      </c>
      <c r="C90" s="20" t="n">
        <v>5260.983</v>
      </c>
      <c r="D90" s="20" t="n">
        <v>5260.983</v>
      </c>
      <c r="E90" s="20" t="n">
        <v>5260.983</v>
      </c>
      <c r="F90" s="20" t="n">
        <v>5260.983</v>
      </c>
      <c r="G90" s="20" t="n">
        <v>5260.983</v>
      </c>
      <c r="H90" s="20" t="n">
        <v>5226.839</v>
      </c>
      <c r="I90" s="20" t="n">
        <v>5224.365</v>
      </c>
      <c r="J90" s="20" t="n">
        <v>5260.983</v>
      </c>
      <c r="K90" s="20" t="n">
        <v>5260.983</v>
      </c>
      <c r="L90" s="20" t="n">
        <v>5260.983</v>
      </c>
    </row>
    <row r="91">
      <c r="A91" s="18" t="inlineStr">
        <is>
          <t>리스자산</t>
        </is>
      </c>
      <c r="F91" s="20" t="n">
        <v>314.78</v>
      </c>
      <c r="H91" s="20" t="n">
        <v>312.842</v>
      </c>
      <c r="I91" s="20" t="n">
        <v>245.825</v>
      </c>
      <c r="J91" s="20" t="n">
        <v>267.721</v>
      </c>
      <c r="K91" s="20" t="n">
        <v>304.039</v>
      </c>
      <c r="L91" s="20" t="n">
        <v>314.78</v>
      </c>
    </row>
    <row r="92">
      <c r="A92" s="18" t="inlineStr">
        <is>
          <t>감가상각누계액</t>
        </is>
      </c>
      <c r="F92" s="20" t="n">
        <v>-149.265</v>
      </c>
      <c r="H92" s="20" t="n">
        <v>-176.558</v>
      </c>
      <c r="I92" s="20" t="n">
        <v>-143.173</v>
      </c>
      <c r="J92" s="20" t="n">
        <v>-116.591</v>
      </c>
      <c r="K92" s="20" t="n">
        <v>-133.044</v>
      </c>
      <c r="L92" s="20" t="n">
        <v>-149.265</v>
      </c>
    </row>
    <row r="93">
      <c r="A93" s="18" t="inlineStr">
        <is>
          <t>리스자산(순액)</t>
        </is>
      </c>
      <c r="F93" s="20" t="n">
        <v>165.514</v>
      </c>
      <c r="H93" s="20" t="n">
        <v>136.283</v>
      </c>
      <c r="I93" s="20" t="n">
        <v>102.651</v>
      </c>
      <c r="J93" s="20" t="n">
        <v>151.129</v>
      </c>
      <c r="K93" s="20" t="n">
        <v>170.994</v>
      </c>
      <c r="L93" s="20" t="n">
        <v>165.514</v>
      </c>
    </row>
    <row r="94">
      <c r="A94" s="18" t="inlineStr">
        <is>
          <t>건설중인자산</t>
        </is>
      </c>
      <c r="F94" s="20" t="n">
        <v>307.205</v>
      </c>
      <c r="H94" s="20" t="n">
        <v>516.87</v>
      </c>
      <c r="I94" s="20" t="n">
        <v>881.75</v>
      </c>
      <c r="J94" s="20" t="n">
        <v>491.443</v>
      </c>
      <c r="K94" s="20" t="n">
        <v>4202.963</v>
      </c>
      <c r="L94" s="20" t="n">
        <v>307.205</v>
      </c>
    </row>
    <row r="95">
      <c r="A95" s="18" t="inlineStr">
        <is>
          <t>기타(순액)</t>
        </is>
      </c>
      <c r="C95" s="20" t="n">
        <v>8709.726000000001</v>
      </c>
      <c r="D95" s="20" t="n">
        <v>8971.272999999999</v>
      </c>
      <c r="E95" s="20" t="n">
        <v>8921.647000000001</v>
      </c>
      <c r="F95" s="20" t="n">
        <v>3160.808</v>
      </c>
      <c r="G95" s="20" t="n">
        <v>3008.547</v>
      </c>
      <c r="H95" s="20" t="n">
        <v>4003.995</v>
      </c>
      <c r="I95" s="20" t="n">
        <v>4490.637</v>
      </c>
      <c r="J95" s="20" t="n">
        <v>3996.738</v>
      </c>
      <c r="K95" s="20" t="n">
        <v>7517.988</v>
      </c>
      <c r="L95" s="20" t="n">
        <v>3160.808</v>
      </c>
    </row>
    <row r="96">
      <c r="A96" s="18" t="inlineStr">
        <is>
          <t>유형자산 합계</t>
        </is>
      </c>
      <c r="C96" s="20" t="n">
        <v>13970.709</v>
      </c>
      <c r="D96" s="20" t="n">
        <v>14232.257</v>
      </c>
      <c r="E96" s="20" t="n">
        <v>14182.631</v>
      </c>
      <c r="F96" s="20" t="n">
        <v>14053.531</v>
      </c>
      <c r="G96" s="20" t="n">
        <v>13928.212</v>
      </c>
      <c r="H96" s="20" t="n">
        <v>9230.834000000001</v>
      </c>
      <c r="I96" s="20" t="n">
        <v>9715.002</v>
      </c>
      <c r="J96" s="20" t="n">
        <v>9257.722</v>
      </c>
      <c r="K96" s="20" t="n">
        <v>12778.972</v>
      </c>
      <c r="L96" s="20" t="n">
        <v>14053.531</v>
      </c>
    </row>
    <row r="97">
      <c r="A97" s="18" t="inlineStr">
        <is>
          <t>무형자산</t>
        </is>
      </c>
      <c r="C97" s="20" t="n">
        <v>137.218</v>
      </c>
      <c r="D97" s="20" t="n">
        <v>143.225</v>
      </c>
      <c r="E97" s="20" t="n">
        <v>135.396</v>
      </c>
      <c r="F97" s="20" t="n">
        <v>131.777</v>
      </c>
      <c r="G97" s="20" t="n">
        <v>125.176</v>
      </c>
      <c r="H97" s="20" t="n">
        <v>136.749</v>
      </c>
      <c r="I97" s="20" t="n">
        <v>125.581</v>
      </c>
      <c r="J97" s="20" t="n">
        <v>105.555</v>
      </c>
      <c r="K97" s="20" t="n">
        <v>148.323</v>
      </c>
      <c r="L97" s="20" t="n">
        <v>131.777</v>
      </c>
    </row>
    <row r="98">
      <c r="A98" s="18" t="inlineStr">
        <is>
          <t>투자유가증권</t>
        </is>
      </c>
      <c r="F98" s="20" t="n">
        <v>4173.432</v>
      </c>
      <c r="H98" s="20" t="n">
        <v>2923.551</v>
      </c>
      <c r="I98" s="20" t="n">
        <v>2496.783</v>
      </c>
      <c r="J98" s="20" t="n">
        <v>3870.194</v>
      </c>
      <c r="K98" s="20" t="n">
        <v>3169.053</v>
      </c>
      <c r="L98" s="20" t="n">
        <v>4173.432</v>
      </c>
    </row>
    <row r="99">
      <c r="A99" s="18" t="inlineStr">
        <is>
          <t>출자금</t>
        </is>
      </c>
      <c r="F99" s="20" t="n">
        <v>102.356</v>
      </c>
      <c r="H99" s="20" t="n">
        <v>166.816</v>
      </c>
      <c r="I99" s="20" t="n">
        <v>194.325</v>
      </c>
      <c r="J99" s="20" t="n">
        <v>197.573</v>
      </c>
      <c r="K99" s="20" t="n">
        <v>163.697</v>
      </c>
      <c r="L99" s="20" t="n">
        <v>102.356</v>
      </c>
    </row>
    <row r="100">
      <c r="A100" s="18" t="inlineStr">
        <is>
          <t>장기대여금</t>
        </is>
      </c>
      <c r="F100" s="20" t="n">
        <v>3.758</v>
      </c>
      <c r="H100" s="20" t="n">
        <v>739.191</v>
      </c>
      <c r="I100" s="20" t="n">
        <v>7.886</v>
      </c>
      <c r="J100" s="20" t="n">
        <v>6.51</v>
      </c>
      <c r="K100" s="20" t="n">
        <v>5.134</v>
      </c>
      <c r="L100" s="20" t="n">
        <v>3.758</v>
      </c>
    </row>
    <row r="101">
      <c r="A101" s="18" t="inlineStr">
        <is>
          <t>이연법인세자산</t>
        </is>
      </c>
      <c r="F101" s="20" t="n">
        <v>20.001</v>
      </c>
      <c r="H101" s="20" t="n">
        <v>21.261</v>
      </c>
      <c r="I101" s="20" t="n">
        <v>16.946</v>
      </c>
      <c r="J101" s="20" t="n">
        <v>16.932</v>
      </c>
      <c r="K101" s="20" t="n">
        <v>18.332</v>
      </c>
      <c r="L101" s="20" t="n">
        <v>20.001</v>
      </c>
    </row>
    <row r="102">
      <c r="A102" s="18" t="inlineStr">
        <is>
          <t>퇴직급여자산</t>
        </is>
      </c>
      <c r="F102" s="20" t="n">
        <v>599.602</v>
      </c>
      <c r="H102" s="20" t="n">
        <v>98.203</v>
      </c>
      <c r="I102" s="20" t="n">
        <v>0</v>
      </c>
      <c r="J102" s="20" t="n">
        <v>142.377</v>
      </c>
      <c r="K102" s="20" t="n">
        <v>452</v>
      </c>
      <c r="L102" s="20" t="n">
        <v>599.602</v>
      </c>
    </row>
    <row r="103">
      <c r="A103" s="18" t="inlineStr">
        <is>
          <t>기타</t>
        </is>
      </c>
      <c r="C103" s="20" t="n">
        <v>3966.815</v>
      </c>
      <c r="D103" s="20" t="n">
        <v>4012.595</v>
      </c>
      <c r="E103" s="20" t="n">
        <v>4588.894</v>
      </c>
      <c r="F103" s="20" t="n">
        <v>4934.887</v>
      </c>
      <c r="G103" s="20" t="n">
        <v>4812.714</v>
      </c>
      <c r="H103" s="20" t="n">
        <v>41.353</v>
      </c>
      <c r="I103" s="20" t="n">
        <v>42.31</v>
      </c>
      <c r="J103" s="20" t="n">
        <v>30.972</v>
      </c>
      <c r="K103" s="20" t="n">
        <v>33.645</v>
      </c>
      <c r="L103" s="20" t="n">
        <v>4934.887</v>
      </c>
    </row>
    <row r="104">
      <c r="A104" s="18" t="inlineStr">
        <is>
          <t>대손충당금</t>
        </is>
      </c>
      <c r="C104" s="20" t="n">
        <v>-5.288</v>
      </c>
      <c r="D104" s="20" t="n">
        <v>-5.151</v>
      </c>
      <c r="E104" s="20" t="n">
        <v>-5.151</v>
      </c>
      <c r="F104" s="20" t="n">
        <v>-5.151</v>
      </c>
      <c r="G104" s="20" t="n">
        <v>-5.151</v>
      </c>
      <c r="H104" s="20" t="n">
        <v>-31.787</v>
      </c>
      <c r="I104" s="20" t="n">
        <v>-31.25</v>
      </c>
      <c r="J104" s="20" t="n">
        <v>-29.724</v>
      </c>
      <c r="K104" s="20" t="n">
        <v>-5.288</v>
      </c>
      <c r="L104" s="20" t="n">
        <v>-5.151</v>
      </c>
    </row>
    <row r="105">
      <c r="A105" s="18" t="inlineStr">
        <is>
          <t>투자 및 기타자산 합계</t>
        </is>
      </c>
      <c r="C105" s="20" t="n">
        <v>3961.527</v>
      </c>
      <c r="D105" s="20" t="n">
        <v>4007.443</v>
      </c>
      <c r="E105" s="20" t="n">
        <v>4583.742</v>
      </c>
      <c r="F105" s="20" t="n">
        <v>4929.735</v>
      </c>
      <c r="G105" s="20" t="n">
        <v>4807.563</v>
      </c>
      <c r="H105" s="20" t="n">
        <v>3958.591</v>
      </c>
      <c r="I105" s="20" t="n">
        <v>2727.001</v>
      </c>
      <c r="J105" s="20" t="n">
        <v>4234.835</v>
      </c>
      <c r="K105" s="20" t="n">
        <v>3836.575</v>
      </c>
      <c r="L105" s="20" t="n">
        <v>4929.735</v>
      </c>
    </row>
    <row r="106">
      <c r="A106" s="9" t="inlineStr">
        <is>
          <t>비유동자산 합계</t>
        </is>
      </c>
      <c r="C106" s="12" t="n">
        <v>18069.456</v>
      </c>
      <c r="D106" s="12" t="n">
        <v>18382.926</v>
      </c>
      <c r="E106" s="12" t="n">
        <v>18901.77</v>
      </c>
      <c r="F106" s="12" t="n">
        <v>19115.044</v>
      </c>
      <c r="G106" s="12" t="n">
        <v>18860.952</v>
      </c>
      <c r="H106" s="12" t="n">
        <v>13326.175</v>
      </c>
      <c r="I106" s="12" t="n">
        <v>12567.586</v>
      </c>
      <c r="J106" s="12" t="n">
        <v>13598.113</v>
      </c>
      <c r="K106" s="12" t="n">
        <v>16763.871</v>
      </c>
      <c r="L106" s="12" t="n">
        <v>19115.044</v>
      </c>
    </row>
    <row r="107">
      <c r="A107" s="9" t="inlineStr">
        <is>
          <t>자산 합계</t>
        </is>
      </c>
      <c r="C107" s="12" t="n">
        <v>41700.058</v>
      </c>
      <c r="D107" s="12" t="n">
        <v>41220.137</v>
      </c>
      <c r="E107" s="12" t="n">
        <v>41920.649</v>
      </c>
      <c r="F107" s="12" t="n">
        <v>44119.041</v>
      </c>
      <c r="G107" s="12" t="n">
        <v>45475.458</v>
      </c>
      <c r="H107" s="12" t="n">
        <v>38786.907</v>
      </c>
      <c r="I107" s="12" t="n">
        <v>38715.263</v>
      </c>
      <c r="J107" s="12" t="n">
        <v>44767.343</v>
      </c>
      <c r="K107" s="12" t="n">
        <v>42463.111</v>
      </c>
      <c r="L107" s="12" t="n">
        <v>44119.041</v>
      </c>
    </row>
    <row r="108">
      <c r="A108" s="18" t="inlineStr">
        <is>
          <t>지급어음·매입채무</t>
        </is>
      </c>
      <c r="C108" s="20" t="n">
        <v>2100.009</v>
      </c>
      <c r="D108" s="20" t="n">
        <v>2106.363</v>
      </c>
      <c r="E108" s="20" t="n">
        <v>2176.283</v>
      </c>
      <c r="F108" s="20" t="n">
        <v>2497.196</v>
      </c>
      <c r="G108" s="20" t="n">
        <v>2450.336</v>
      </c>
      <c r="H108" s="20" t="n">
        <v>3513.19</v>
      </c>
      <c r="I108" s="20" t="n">
        <v>3124.202</v>
      </c>
      <c r="J108" s="20" t="n">
        <v>3585.244</v>
      </c>
      <c r="K108" s="20" t="n">
        <v>3586.63</v>
      </c>
      <c r="L108" s="20" t="n">
        <v>2497.196</v>
      </c>
    </row>
    <row r="109">
      <c r="A109" s="18" t="inlineStr">
        <is>
          <t>전자기록채무</t>
        </is>
      </c>
      <c r="C109" s="20" t="n">
        <v>1342.984</v>
      </c>
      <c r="D109" s="20" t="n">
        <v>845.853</v>
      </c>
      <c r="E109" s="20" t="n">
        <v>967.067</v>
      </c>
      <c r="F109" s="20" t="n">
        <v>678.979</v>
      </c>
      <c r="G109" s="20" t="n">
        <v>762.08</v>
      </c>
      <c r="H109" s="20" t="n">
        <v>3427.095</v>
      </c>
      <c r="I109" s="20" t="n">
        <v>3133.24</v>
      </c>
      <c r="J109" s="20" t="n">
        <v>4351.319</v>
      </c>
      <c r="K109" s="20" t="n">
        <v>804.48</v>
      </c>
      <c r="L109" s="20" t="n">
        <v>678.979</v>
      </c>
    </row>
    <row r="110">
      <c r="A110" s="18" t="inlineStr">
        <is>
          <t>미지급금</t>
        </is>
      </c>
      <c r="F110" s="20" t="n">
        <v>396.338</v>
      </c>
      <c r="H110" s="20" t="n">
        <v>345.005</v>
      </c>
      <c r="I110" s="20" t="n">
        <v>297.138</v>
      </c>
      <c r="J110" s="20" t="n">
        <v>469.109</v>
      </c>
      <c r="K110" s="20" t="n">
        <v>366.161</v>
      </c>
      <c r="L110" s="20" t="n">
        <v>396.338</v>
      </c>
    </row>
    <row r="111">
      <c r="A111" s="18" t="inlineStr">
        <is>
          <t>미지급비용</t>
        </is>
      </c>
      <c r="F111" s="20" t="n">
        <v>317.935</v>
      </c>
      <c r="H111" s="20" t="n">
        <v>280.833</v>
      </c>
      <c r="I111" s="20" t="n">
        <v>270.012</v>
      </c>
      <c r="J111" s="20" t="n">
        <v>313.354</v>
      </c>
      <c r="K111" s="20" t="n">
        <v>319.195</v>
      </c>
      <c r="L111" s="20" t="n">
        <v>317.935</v>
      </c>
    </row>
    <row r="112">
      <c r="A112" s="18" t="inlineStr">
        <is>
          <t>선수금</t>
        </is>
      </c>
      <c r="H112" s="20" t="n">
        <v>0</v>
      </c>
    </row>
    <row r="113">
      <c r="A113" s="18" t="inlineStr">
        <is>
          <t>계약부채</t>
        </is>
      </c>
      <c r="F113" s="20" t="n">
        <v>564.172</v>
      </c>
      <c r="H113" s="20" t="n">
        <v>100.115</v>
      </c>
      <c r="I113" s="20" t="n">
        <v>431.28</v>
      </c>
      <c r="J113" s="20" t="n">
        <v>563.046</v>
      </c>
      <c r="K113" s="20" t="n">
        <v>316.333</v>
      </c>
      <c r="L113" s="20" t="n">
        <v>564.172</v>
      </c>
    </row>
    <row r="114">
      <c r="A114" s="18" t="inlineStr">
        <is>
          <t>리스부채</t>
        </is>
      </c>
      <c r="F114" s="20" t="n">
        <v>77.279</v>
      </c>
      <c r="H114" s="20" t="n">
        <v>57.818</v>
      </c>
      <c r="I114" s="20" t="n">
        <v>47.896</v>
      </c>
      <c r="J114" s="20" t="n">
        <v>70.072</v>
      </c>
      <c r="K114" s="20" t="n">
        <v>74.178</v>
      </c>
      <c r="L114" s="20" t="n">
        <v>77.279</v>
      </c>
    </row>
    <row r="115">
      <c r="A115" s="18" t="inlineStr">
        <is>
          <t>미지급법인세</t>
        </is>
      </c>
      <c r="C115" s="20" t="n">
        <v>285.429</v>
      </c>
      <c r="D115" s="20" t="n">
        <v>534.073</v>
      </c>
      <c r="E115" s="20" t="n">
        <v>344.872</v>
      </c>
      <c r="F115" s="20" t="n">
        <v>415.007</v>
      </c>
      <c r="G115" s="20" t="n">
        <v>322.905</v>
      </c>
      <c r="H115" s="20" t="n">
        <v>301.152</v>
      </c>
      <c r="I115" s="20" t="n">
        <v>294.131</v>
      </c>
      <c r="J115" s="20" t="n">
        <v>624.061</v>
      </c>
      <c r="K115" s="20" t="n">
        <v>514.986</v>
      </c>
      <c r="L115" s="20" t="n">
        <v>415.007</v>
      </c>
    </row>
    <row r="116">
      <c r="A116" s="18" t="inlineStr">
        <is>
          <t>상여충당금</t>
        </is>
      </c>
      <c r="C116" s="20" t="n">
        <v>442.071</v>
      </c>
      <c r="D116" s="20" t="n">
        <v>873.341</v>
      </c>
      <c r="E116" s="20" t="n">
        <v>422.644</v>
      </c>
      <c r="F116" s="20" t="n">
        <v>874.85</v>
      </c>
      <c r="G116" s="20" t="n">
        <v>455.987</v>
      </c>
      <c r="H116" s="20" t="n">
        <v>715.879</v>
      </c>
      <c r="I116" s="20" t="n">
        <v>655.577</v>
      </c>
      <c r="J116" s="20" t="n">
        <v>814.879</v>
      </c>
      <c r="K116" s="20" t="n">
        <v>884.273</v>
      </c>
      <c r="L116" s="20" t="n">
        <v>874.85</v>
      </c>
    </row>
    <row r="117">
      <c r="A117" s="18" t="inlineStr">
        <is>
          <t>임원 상여충당금</t>
        </is>
      </c>
      <c r="C117" s="20" t="n">
        <v>14.231</v>
      </c>
      <c r="D117" s="20" t="n">
        <v>30.472</v>
      </c>
      <c r="E117" s="20" t="n">
        <v>41.691</v>
      </c>
      <c r="F117" s="20" t="n">
        <v>59.205</v>
      </c>
      <c r="G117" s="20" t="n">
        <v>14.369</v>
      </c>
      <c r="H117" s="20" t="n">
        <v>67.476</v>
      </c>
      <c r="I117" s="20" t="n">
        <v>69.2</v>
      </c>
      <c r="J117" s="20" t="n">
        <v>81.664</v>
      </c>
      <c r="K117" s="20" t="n">
        <v>56.326</v>
      </c>
      <c r="L117" s="20" t="n">
        <v>59.205</v>
      </c>
    </row>
    <row r="118">
      <c r="A118" s="18" t="inlineStr">
        <is>
          <t>Provision For Warranties For Completed Construction</t>
        </is>
      </c>
      <c r="C118" s="20" t="n">
        <v>42.705</v>
      </c>
      <c r="D118" s="20" t="n">
        <v>46.7</v>
      </c>
      <c r="E118" s="20" t="n">
        <v>49.152</v>
      </c>
      <c r="F118" s="20" t="n">
        <v>72.358</v>
      </c>
      <c r="G118" s="20" t="n">
        <v>59.714</v>
      </c>
      <c r="H118" s="20" t="n">
        <v>42.744</v>
      </c>
      <c r="I118" s="20" t="n">
        <v>30.123</v>
      </c>
      <c r="J118" s="20" t="n">
        <v>37.441</v>
      </c>
      <c r="K118" s="20" t="n">
        <v>46.05</v>
      </c>
      <c r="L118" s="20" t="n">
        <v>72.358</v>
      </c>
    </row>
    <row r="119">
      <c r="A119" s="18" t="inlineStr">
        <is>
          <t>Notes Payable Facilities</t>
        </is>
      </c>
      <c r="H119" s="20" t="n">
        <v>68.379</v>
      </c>
      <c r="I119" s="20" t="n">
        <v>46.28</v>
      </c>
      <c r="J119" s="20" t="n">
        <v>13.794</v>
      </c>
      <c r="K119" s="20" t="n">
        <v>0</v>
      </c>
    </row>
    <row r="120">
      <c r="A120" s="18" t="inlineStr">
        <is>
          <t>기타</t>
        </is>
      </c>
      <c r="C120" s="20" t="n">
        <v>3388.373</v>
      </c>
      <c r="D120" s="20" t="n">
        <v>1870.484</v>
      </c>
      <c r="E120" s="20" t="n">
        <v>2072.423</v>
      </c>
      <c r="F120" s="20" t="n">
        <v>2369.216</v>
      </c>
      <c r="G120" s="20" t="n">
        <v>4844.104</v>
      </c>
      <c r="H120" s="20" t="n">
        <v>808.301</v>
      </c>
      <c r="I120" s="20" t="n">
        <v>892.388</v>
      </c>
      <c r="J120" s="20" t="n">
        <v>946.441</v>
      </c>
      <c r="K120" s="20" t="n">
        <v>1024.256</v>
      </c>
      <c r="L120" s="20" t="n">
        <v>2369.216</v>
      </c>
    </row>
    <row r="121">
      <c r="A121" s="9" t="inlineStr">
        <is>
          <t>유동부채 합계</t>
        </is>
      </c>
      <c r="C121" s="12" t="n">
        <v>7615.804</v>
      </c>
      <c r="D121" s="12" t="n">
        <v>6307.288</v>
      </c>
      <c r="E121" s="12" t="n">
        <v>6074.135</v>
      </c>
      <c r="F121" s="12" t="n">
        <v>6966.816</v>
      </c>
      <c r="G121" s="12" t="n">
        <v>8909.496999999999</v>
      </c>
      <c r="H121" s="12" t="n">
        <v>9727.991</v>
      </c>
      <c r="I121" s="12" t="n">
        <v>9291.472</v>
      </c>
      <c r="J121" s="12" t="n">
        <v>11870.431</v>
      </c>
      <c r="K121" s="12" t="n">
        <v>7992.873</v>
      </c>
      <c r="L121" s="12" t="n">
        <v>6966.816</v>
      </c>
    </row>
    <row r="122">
      <c r="A122" s="18" t="inlineStr">
        <is>
          <t>리스부채</t>
        </is>
      </c>
      <c r="F122" s="20" t="n">
        <v>97.047</v>
      </c>
      <c r="H122" s="20" t="n">
        <v>86.89700000000001</v>
      </c>
      <c r="I122" s="20" t="n">
        <v>59.065</v>
      </c>
      <c r="J122" s="20" t="n">
        <v>86.91800000000001</v>
      </c>
      <c r="K122" s="20" t="n">
        <v>104.401</v>
      </c>
      <c r="L122" s="20" t="n">
        <v>97.047</v>
      </c>
    </row>
    <row r="123">
      <c r="A123" s="18" t="inlineStr">
        <is>
          <t>장기미지급금</t>
        </is>
      </c>
      <c r="F123" s="20" t="n">
        <v>29.082</v>
      </c>
      <c r="H123" s="20" t="n">
        <v>89.976</v>
      </c>
      <c r="I123" s="20" t="n">
        <v>71.95399999999999</v>
      </c>
      <c r="J123" s="20" t="n">
        <v>64.212</v>
      </c>
      <c r="K123" s="20" t="n">
        <v>29.082</v>
      </c>
      <c r="L123" s="20" t="n">
        <v>29.082</v>
      </c>
    </row>
    <row r="124">
      <c r="A124" s="18" t="inlineStr">
        <is>
          <t>이연법인세부채</t>
        </is>
      </c>
      <c r="F124" s="20" t="n">
        <v>1120.325</v>
      </c>
      <c r="H124" s="20" t="n">
        <v>868.97</v>
      </c>
      <c r="I124" s="20" t="n">
        <v>703.96</v>
      </c>
      <c r="J124" s="20" t="n">
        <v>1034.969</v>
      </c>
      <c r="K124" s="20" t="n">
        <v>875.1369999999999</v>
      </c>
      <c r="L124" s="20" t="n">
        <v>1120.325</v>
      </c>
    </row>
    <row r="125">
      <c r="A125" s="18" t="inlineStr">
        <is>
          <t>임원 퇴직위로 충당금</t>
        </is>
      </c>
      <c r="C125" s="20" t="n">
        <v>24.211</v>
      </c>
      <c r="D125" s="20" t="n">
        <v>26.587</v>
      </c>
      <c r="E125" s="20" t="n">
        <v>28.622</v>
      </c>
      <c r="F125" s="20" t="n">
        <v>30.658</v>
      </c>
      <c r="G125" s="20" t="n">
        <v>31.897</v>
      </c>
      <c r="H125" s="20" t="n">
        <v>52.06</v>
      </c>
      <c r="I125" s="20" t="n">
        <v>58.866</v>
      </c>
      <c r="J125" s="20" t="n">
        <v>54.518</v>
      </c>
      <c r="K125" s="20" t="n">
        <v>22.288</v>
      </c>
      <c r="L125" s="20" t="n">
        <v>30.658</v>
      </c>
    </row>
    <row r="126">
      <c r="A126" s="18" t="inlineStr">
        <is>
          <t>퇴직급여부채</t>
        </is>
      </c>
      <c r="C126" s="20" t="n">
        <v>546.073</v>
      </c>
      <c r="D126" s="20" t="n">
        <v>570.254</v>
      </c>
      <c r="E126" s="20" t="n">
        <v>596.317</v>
      </c>
      <c r="F126" s="20" t="n">
        <v>607.5549999999999</v>
      </c>
      <c r="G126" s="20" t="n">
        <v>633.849</v>
      </c>
      <c r="H126" s="20" t="n">
        <v>372.536</v>
      </c>
      <c r="I126" s="20" t="n">
        <v>539.59</v>
      </c>
      <c r="J126" s="20" t="n">
        <v>607.3630000000001</v>
      </c>
      <c r="K126" s="20" t="n">
        <v>528.202</v>
      </c>
      <c r="L126" s="20" t="n">
        <v>607.5549999999999</v>
      </c>
    </row>
    <row r="127">
      <c r="A127" s="18" t="inlineStr">
        <is>
          <t>자산복구부채</t>
        </is>
      </c>
      <c r="F127" s="20" t="n">
        <v>31.35</v>
      </c>
      <c r="H127" s="20" t="n">
        <v>31.35</v>
      </c>
      <c r="I127" s="20" t="n">
        <v>31.35</v>
      </c>
      <c r="J127" s="20" t="n">
        <v>31.35</v>
      </c>
      <c r="K127" s="20" t="n">
        <v>31.35</v>
      </c>
      <c r="L127" s="20" t="n">
        <v>31.35</v>
      </c>
    </row>
    <row r="128">
      <c r="A128" s="18" t="inlineStr">
        <is>
          <t>기타</t>
        </is>
      </c>
      <c r="C128" s="20" t="n">
        <v>1025.498</v>
      </c>
      <c r="D128" s="20" t="n">
        <v>1117.357</v>
      </c>
      <c r="E128" s="20" t="n">
        <v>1261.569</v>
      </c>
      <c r="F128" s="20" t="n">
        <v>1277.804</v>
      </c>
      <c r="G128" s="20" t="n">
        <v>1213.818</v>
      </c>
      <c r="H128" s="20" t="n">
        <v>1077.193</v>
      </c>
      <c r="I128" s="20" t="n">
        <v>866.329</v>
      </c>
      <c r="J128" s="20" t="n">
        <v>1217.45</v>
      </c>
      <c r="K128" s="20" t="n">
        <v>1039.97</v>
      </c>
      <c r="L128" s="20" t="n">
        <v>1277.804</v>
      </c>
    </row>
    <row r="129">
      <c r="A129" s="9" t="inlineStr">
        <is>
          <t>비유동부채 합계</t>
        </is>
      </c>
      <c r="C129" s="12" t="n">
        <v>1595.783</v>
      </c>
      <c r="D129" s="12" t="n">
        <v>1714.199</v>
      </c>
      <c r="E129" s="12" t="n">
        <v>1886.509</v>
      </c>
      <c r="F129" s="12" t="n">
        <v>1916.018</v>
      </c>
      <c r="G129" s="12" t="n">
        <v>1879.565</v>
      </c>
      <c r="H129" s="12" t="n">
        <v>1501.789</v>
      </c>
      <c r="I129" s="12" t="n">
        <v>1464.785</v>
      </c>
      <c r="J129" s="12" t="n">
        <v>1879.331</v>
      </c>
      <c r="K129" s="12" t="n">
        <v>1590.461</v>
      </c>
      <c r="L129" s="12" t="n">
        <v>1916.018</v>
      </c>
    </row>
    <row r="130">
      <c r="A130" s="9" t="inlineStr">
        <is>
          <t>부채 합계</t>
        </is>
      </c>
      <c r="C130" s="12" t="n">
        <v>9211.588</v>
      </c>
      <c r="D130" s="12" t="n">
        <v>8021.487</v>
      </c>
      <c r="E130" s="12" t="n">
        <v>7960.645</v>
      </c>
      <c r="F130" s="12" t="n">
        <v>8882.834000000001</v>
      </c>
      <c r="G130" s="12" t="n">
        <v>10789.062</v>
      </c>
      <c r="H130" s="12" t="n">
        <v>11229.781</v>
      </c>
      <c r="I130" s="12" t="n">
        <v>10756.258</v>
      </c>
      <c r="J130" s="12" t="n">
        <v>13749.762</v>
      </c>
      <c r="K130" s="12" t="n">
        <v>9583.334000000001</v>
      </c>
      <c r="L130" s="12" t="n">
        <v>8882.834000000001</v>
      </c>
    </row>
    <row r="131">
      <c r="A131" s="18" t="inlineStr">
        <is>
          <t>자본금</t>
        </is>
      </c>
      <c r="C131" s="20" t="n">
        <v>1311</v>
      </c>
      <c r="D131" s="20" t="n">
        <v>1311</v>
      </c>
      <c r="E131" s="20" t="n">
        <v>1311</v>
      </c>
      <c r="F131" s="20" t="n">
        <v>1311</v>
      </c>
      <c r="G131" s="20" t="n">
        <v>1311</v>
      </c>
      <c r="H131" s="20" t="n">
        <v>1311</v>
      </c>
      <c r="I131" s="20" t="n">
        <v>1311</v>
      </c>
      <c r="J131" s="20" t="n">
        <v>1311</v>
      </c>
      <c r="K131" s="20" t="n">
        <v>1311</v>
      </c>
      <c r="L131" s="20" t="n">
        <v>1311</v>
      </c>
    </row>
    <row r="132">
      <c r="A132" s="18" t="inlineStr">
        <is>
          <t>자본잉여금</t>
        </is>
      </c>
      <c r="C132" s="20" t="n">
        <v>786.621</v>
      </c>
      <c r="D132" s="20" t="n">
        <v>790.484</v>
      </c>
      <c r="E132" s="20" t="n">
        <v>790.484</v>
      </c>
      <c r="F132" s="20" t="n">
        <v>790.484</v>
      </c>
      <c r="G132" s="20" t="n">
        <v>790.484</v>
      </c>
      <c r="H132" s="20" t="n">
        <v>788.694</v>
      </c>
      <c r="I132" s="20" t="n">
        <v>779.599</v>
      </c>
      <c r="J132" s="20" t="n">
        <v>779.082</v>
      </c>
      <c r="K132" s="20" t="n">
        <v>786.621</v>
      </c>
      <c r="L132" s="20" t="n">
        <v>790.484</v>
      </c>
    </row>
    <row r="133">
      <c r="A133" s="18" t="inlineStr">
        <is>
          <t>이익잉여금</t>
        </is>
      </c>
      <c r="C133" s="20" t="n">
        <v>28954.301</v>
      </c>
      <c r="D133" s="20" t="n">
        <v>29620.169</v>
      </c>
      <c r="E133" s="20" t="n">
        <v>29895.826</v>
      </c>
      <c r="F133" s="20" t="n">
        <v>30761.381</v>
      </c>
      <c r="G133" s="20" t="n">
        <v>30309.124</v>
      </c>
      <c r="H133" s="20" t="n">
        <v>25166.802</v>
      </c>
      <c r="I133" s="20" t="n">
        <v>25881.294</v>
      </c>
      <c r="J133" s="20" t="n">
        <v>27457.738</v>
      </c>
      <c r="K133" s="20" t="n">
        <v>29136.465</v>
      </c>
      <c r="L133" s="20" t="n">
        <v>30761.381</v>
      </c>
    </row>
    <row r="134">
      <c r="A134" s="18" t="inlineStr">
        <is>
          <t>자기주식</t>
        </is>
      </c>
      <c r="C134" s="20" t="n">
        <v>-1781.761</v>
      </c>
      <c r="D134" s="20" t="n">
        <v>-1759.732</v>
      </c>
      <c r="E134" s="20" t="n">
        <v>-1759.732</v>
      </c>
      <c r="F134" s="20" t="n">
        <v>-1759.732</v>
      </c>
      <c r="G134" s="20" t="n">
        <v>-1759.732</v>
      </c>
      <c r="H134" s="20" t="n">
        <v>-1584.53</v>
      </c>
      <c r="I134" s="20" t="n">
        <v>-1828.223</v>
      </c>
      <c r="J134" s="20" t="n">
        <v>-1799.147</v>
      </c>
      <c r="K134" s="20" t="n">
        <v>-1781.761</v>
      </c>
      <c r="L134" s="20" t="n">
        <v>-1759.732</v>
      </c>
    </row>
    <row r="135">
      <c r="A135" s="9" t="inlineStr">
        <is>
          <t>주주자본 합계</t>
        </is>
      </c>
      <c r="C135" s="12" t="n">
        <v>29270.161</v>
      </c>
      <c r="D135" s="12" t="n">
        <v>29961.92</v>
      </c>
      <c r="E135" s="12" t="n">
        <v>30237.577</v>
      </c>
      <c r="F135" s="12" t="n">
        <v>31103.133</v>
      </c>
      <c r="G135" s="12" t="n">
        <v>30650.876</v>
      </c>
      <c r="H135" s="12" t="n">
        <v>25681.965</v>
      </c>
      <c r="I135" s="12" t="n">
        <v>26143.67</v>
      </c>
      <c r="J135" s="12" t="n">
        <v>27748.673</v>
      </c>
      <c r="K135" s="12" t="n">
        <v>29452.326</v>
      </c>
      <c r="L135" s="12" t="n">
        <v>31103.133</v>
      </c>
    </row>
    <row r="136">
      <c r="A136" s="18" t="inlineStr">
        <is>
          <t>기타유가증권 평가차액</t>
        </is>
      </c>
      <c r="C136" s="20" t="n">
        <v>1284.363</v>
      </c>
      <c r="D136" s="20" t="n">
        <v>1509.016</v>
      </c>
      <c r="E136" s="20" t="n">
        <v>1825.868</v>
      </c>
      <c r="F136" s="20" t="n">
        <v>1837.767</v>
      </c>
      <c r="G136" s="20" t="n">
        <v>1698.183</v>
      </c>
      <c r="H136" s="20" t="n">
        <v>1268.559</v>
      </c>
      <c r="I136" s="20" t="n">
        <v>927.502</v>
      </c>
      <c r="J136" s="20" t="n">
        <v>1807.884</v>
      </c>
      <c r="K136" s="20" t="n">
        <v>1240.215</v>
      </c>
      <c r="L136" s="20" t="n">
        <v>1837.767</v>
      </c>
    </row>
    <row r="137">
      <c r="A137" s="18" t="inlineStr">
        <is>
          <t>해외사업환산조정</t>
        </is>
      </c>
      <c r="C137" s="20" t="n">
        <v>1170.955</v>
      </c>
      <c r="D137" s="20" t="n">
        <v>1152.89</v>
      </c>
      <c r="E137" s="20" t="n">
        <v>1289.76</v>
      </c>
      <c r="F137" s="20" t="n">
        <v>1492.487</v>
      </c>
      <c r="G137" s="20" t="n">
        <v>1529.655</v>
      </c>
      <c r="H137" s="20" t="n">
        <v>318.868</v>
      </c>
      <c r="I137" s="20" t="n">
        <v>640.338</v>
      </c>
      <c r="J137" s="20" t="n">
        <v>1000.869</v>
      </c>
      <c r="K137" s="20" t="n">
        <v>1403.457</v>
      </c>
      <c r="L137" s="20" t="n">
        <v>1492.487</v>
      </c>
    </row>
    <row r="138">
      <c r="A138" s="18" t="inlineStr">
        <is>
          <t>퇴직급여 조정누계액</t>
        </is>
      </c>
      <c r="C138" s="20" t="n">
        <v>99.378</v>
      </c>
      <c r="D138" s="20" t="n">
        <v>97.402</v>
      </c>
      <c r="E138" s="20" t="n">
        <v>95.42700000000001</v>
      </c>
      <c r="F138" s="20" t="n">
        <v>206.754</v>
      </c>
      <c r="G138" s="20" t="n">
        <v>204.222</v>
      </c>
      <c r="H138" s="20" t="n">
        <v>-308.655</v>
      </c>
      <c r="I138" s="20" t="n">
        <v>-420.656</v>
      </c>
      <c r="J138" s="20" t="n">
        <v>-271.642</v>
      </c>
      <c r="K138" s="20" t="n">
        <v>101.565</v>
      </c>
      <c r="L138" s="20" t="n">
        <v>206.754</v>
      </c>
    </row>
    <row r="139">
      <c r="A139" s="18" t="inlineStr">
        <is>
          <t>기타포괄손익누계액 합계</t>
        </is>
      </c>
      <c r="C139" s="20" t="n">
        <v>2554.697</v>
      </c>
      <c r="D139" s="20" t="n">
        <v>2759.309</v>
      </c>
      <c r="E139" s="20" t="n">
        <v>3211.056</v>
      </c>
      <c r="F139" s="20" t="n">
        <v>3537.009</v>
      </c>
      <c r="G139" s="20" t="n">
        <v>3432.06</v>
      </c>
      <c r="H139" s="20" t="n">
        <v>1278.772</v>
      </c>
      <c r="I139" s="20" t="n">
        <v>1147.184</v>
      </c>
      <c r="J139" s="20" t="n">
        <v>2537.111</v>
      </c>
      <c r="K139" s="20" t="n">
        <v>2745.238</v>
      </c>
      <c r="L139" s="20" t="n">
        <v>3537.009</v>
      </c>
    </row>
    <row r="140">
      <c r="A140" s="18" t="inlineStr">
        <is>
          <t>비지배지분</t>
        </is>
      </c>
      <c r="C140" s="20" t="n">
        <v>663.612</v>
      </c>
      <c r="D140" s="20" t="n">
        <v>477.419</v>
      </c>
      <c r="E140" s="20" t="n">
        <v>511.369</v>
      </c>
      <c r="F140" s="20" t="n">
        <v>596.063</v>
      </c>
      <c r="G140" s="20" t="n">
        <v>603.458</v>
      </c>
      <c r="H140" s="20" t="n">
        <v>596.3869999999999</v>
      </c>
      <c r="I140" s="20" t="n">
        <v>668.149</v>
      </c>
      <c r="J140" s="20" t="n">
        <v>731.796</v>
      </c>
      <c r="K140" s="20" t="n">
        <v>682.212</v>
      </c>
      <c r="L140" s="20" t="n">
        <v>596.063</v>
      </c>
    </row>
    <row r="141">
      <c r="A141" s="9" t="inlineStr">
        <is>
          <t>순자산 합계</t>
        </is>
      </c>
      <c r="C141" s="12" t="n">
        <v>32488.47</v>
      </c>
      <c r="D141" s="12" t="n">
        <v>33198.65</v>
      </c>
      <c r="E141" s="12" t="n">
        <v>33960.004</v>
      </c>
      <c r="F141" s="12" t="n">
        <v>35236.206</v>
      </c>
      <c r="G141" s="12" t="n">
        <v>34686.395</v>
      </c>
      <c r="H141" s="12" t="n">
        <v>27557.125</v>
      </c>
      <c r="I141" s="12" t="n">
        <v>27959.004</v>
      </c>
      <c r="J141" s="12" t="n">
        <v>31017.581</v>
      </c>
      <c r="K141" s="12" t="n">
        <v>32879.777</v>
      </c>
      <c r="L141" s="12" t="n">
        <v>35236.206</v>
      </c>
    </row>
    <row r="142">
      <c r="A142" s="9" t="inlineStr">
        <is>
          <t>부채·순자산 합계</t>
        </is>
      </c>
      <c r="C142" s="12" t="n">
        <v>41700.058</v>
      </c>
      <c r="D142" s="12" t="n">
        <v>41220.137</v>
      </c>
      <c r="E142" s="12" t="n">
        <v>41920.649</v>
      </c>
      <c r="F142" s="12" t="n">
        <v>44119.041</v>
      </c>
      <c r="G142" s="12" t="n">
        <v>45475.458</v>
      </c>
      <c r="H142" s="12" t="n">
        <v>38786.907</v>
      </c>
      <c r="I142" s="12" t="n">
        <v>38715.263</v>
      </c>
      <c r="J142" s="12" t="n">
        <v>44767.343</v>
      </c>
      <c r="K142" s="12" t="n">
        <v>42463.111</v>
      </c>
      <c r="L142" s="12" t="n">
        <v>44119.041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0" t="inlineStr">
        <is>
          <t>공시일</t>
        </is>
      </c>
      <c r="B3" s="50" t="inlineStr">
        <is>
          <t>문서</t>
        </is>
      </c>
      <c r="C3" s="50" t="inlineStr">
        <is>
          <t>PDF</t>
        </is>
      </c>
    </row>
    <row r="4">
      <c r="A4" t="inlineStr">
        <is>
          <t>2026-07-29</t>
        </is>
      </c>
      <c r="B4" t="inlineStr">
        <is>
          <t>2027년 3월 결산기 １분기 결산단신</t>
        </is>
      </c>
      <c r="C4" t="inlineStr">
        <is>
          <t>https://www2.jpx.co.jp/disc/63820/140120260729501630.pdf</t>
        </is>
      </c>
    </row>
    <row r="5">
      <c r="A5" t="inlineStr">
        <is>
          <t>2026-04-27</t>
        </is>
      </c>
      <c r="B5" t="inlineStr">
        <is>
          <t>2026년 3월 결산기 연간 결산단신</t>
        </is>
      </c>
      <c r="C5" t="inlineStr">
        <is>
          <t>https://www2.jpx.co.jp/disc/63820/140120260424510558.pdf</t>
        </is>
      </c>
    </row>
    <row r="6">
      <c r="A6" t="inlineStr">
        <is>
          <t>2026-01-29</t>
        </is>
      </c>
      <c r="B6" t="inlineStr">
        <is>
          <t>2026년 3월 결산기 ３분기 결산단신</t>
        </is>
      </c>
      <c r="C6" t="inlineStr">
        <is>
          <t>https://www2.jpx.co.jp/disc/63820/140120260116535095.pdf</t>
        </is>
      </c>
    </row>
    <row r="7">
      <c r="A7" t="inlineStr">
        <is>
          <t>2025-10-31</t>
        </is>
      </c>
      <c r="B7" t="inlineStr">
        <is>
          <t>2026년 3월 결산기 ２분기 결산단신</t>
        </is>
      </c>
      <c r="C7" t="inlineStr">
        <is>
          <t>https://www2.jpx.co.jp/disc/63820/140120251014573267.pdf</t>
        </is>
      </c>
    </row>
    <row r="8">
      <c r="A8" t="inlineStr">
        <is>
          <t>2025-07-31</t>
        </is>
      </c>
      <c r="B8" t="inlineStr">
        <is>
          <t>2026년 3월 결산기 １분기 결산단신</t>
        </is>
      </c>
      <c r="C8" t="inlineStr">
        <is>
          <t>https://www2.jpx.co.jp/disc/63820/140120250721517383.pdf</t>
        </is>
      </c>
    </row>
    <row r="9">
      <c r="A9" t="inlineStr">
        <is>
          <t>2025-04-25</t>
        </is>
      </c>
      <c r="B9" t="inlineStr">
        <is>
          <t>2025년 3월 결산기 연간 결산단신</t>
        </is>
      </c>
      <c r="C9" t="inlineStr">
        <is>
          <t>https://www2.jpx.co.jp/disc/63820/140120250410512420.pdf</t>
        </is>
      </c>
    </row>
    <row r="10">
      <c r="A10" t="inlineStr">
        <is>
          <t>2025-01-29</t>
        </is>
      </c>
      <c r="B10" t="inlineStr">
        <is>
          <t>2025년 3월 결산기 ３분기 결산단신</t>
        </is>
      </c>
      <c r="C10" t="inlineStr">
        <is>
          <t>https://www2.jpx.co.jp/disc/63820/140120241223542839.pdf</t>
        </is>
      </c>
    </row>
    <row r="11">
      <c r="A11" t="inlineStr">
        <is>
          <t>2024-10-31</t>
        </is>
      </c>
      <c r="B11" t="inlineStr">
        <is>
          <t>2025년 3월 결산기 ２분기 결산단신</t>
        </is>
      </c>
      <c r="C11" t="inlineStr">
        <is>
          <t>https://www2.jpx.co.jp/disc/63820/140120240923587500.pdf</t>
        </is>
      </c>
    </row>
    <row r="12">
      <c r="A12" t="inlineStr">
        <is>
          <t>2024-07-29</t>
        </is>
      </c>
      <c r="B12" t="inlineStr">
        <is>
          <t>2025년 3월 결산기 １분기 결산단신</t>
        </is>
      </c>
      <c r="C12" t="inlineStr">
        <is>
          <t>https://www2.jpx.co.jp/disc/63820/140120240722552059.pdf</t>
        </is>
      </c>
    </row>
    <row r="13">
      <c r="A13" t="inlineStr">
        <is>
          <t>2024-04-24</t>
        </is>
      </c>
      <c r="B13" t="inlineStr">
        <is>
          <t>2024년 3월 결산기 연간 결산단신</t>
        </is>
      </c>
      <c r="C13" t="inlineStr">
        <is>
          <t>https://www2.jpx.co.jp/disc/63820/140120240417572316.pdf</t>
        </is>
      </c>
    </row>
    <row r="14">
      <c r="A14" t="inlineStr">
        <is>
          <t>2024-01-31</t>
        </is>
      </c>
      <c r="B14" t="inlineStr">
        <is>
          <t>2024년 3월 결산기 ３분기 결산단신</t>
        </is>
      </c>
      <c r="C14" t="inlineStr">
        <is>
          <t>https://www2.jpx.co.jp/disc/63820/140120240122517651.pdf</t>
        </is>
      </c>
    </row>
    <row r="15">
      <c r="A15" t="inlineStr">
        <is>
          <t>2023-10-31</t>
        </is>
      </c>
      <c r="B15" t="inlineStr">
        <is>
          <t>2024년 3월 결산기 ２분기 결산단신</t>
        </is>
      </c>
      <c r="C15" t="inlineStr">
        <is>
          <t>https://www2.jpx.co.jp/disc/63820/140120231019568708.pdf</t>
        </is>
      </c>
    </row>
    <row r="16">
      <c r="A16" t="inlineStr">
        <is>
          <t>2023-07-26</t>
        </is>
      </c>
      <c r="B16" t="inlineStr">
        <is>
          <t>2024년 3월 결산기 １분기 결산단신</t>
        </is>
      </c>
      <c r="C16" t="inlineStr">
        <is>
          <t>https://www2.jpx.co.jp/disc/63820/140120230719523820.pdf</t>
        </is>
      </c>
    </row>
    <row r="17">
      <c r="A17" t="inlineStr">
        <is>
          <t>2023-04-28</t>
        </is>
      </c>
      <c r="B17" t="inlineStr">
        <is>
          <t>2023년 3월 결산기 연간 결산단신</t>
        </is>
      </c>
      <c r="C17" t="inlineStr">
        <is>
          <t>https://www2.jpx.co.jp/disc/63820/140120230421550442.pdf</t>
        </is>
      </c>
    </row>
    <row r="18">
      <c r="A18" t="inlineStr">
        <is>
          <t>2023-02-01</t>
        </is>
      </c>
      <c r="B18" t="inlineStr">
        <is>
          <t>2023년 3월 결산기 ３분기 결산단신</t>
        </is>
      </c>
      <c r="C18" t="inlineStr">
        <is>
          <t>https://www2.jpx.co.jp/disc/63820/140120230124592838.pdf</t>
        </is>
      </c>
    </row>
    <row r="19">
      <c r="A19" t="inlineStr">
        <is>
          <t>2022-10-31</t>
        </is>
      </c>
      <c r="B19" t="inlineStr">
        <is>
          <t>2023년 3월 결산기 ２분기 결산단신</t>
        </is>
      </c>
      <c r="C19" t="inlineStr">
        <is>
          <t>https://www2.jpx.co.jp/disc/63820/140120221020546874.pdf</t>
        </is>
      </c>
    </row>
    <row r="20">
      <c r="A20" t="inlineStr">
        <is>
          <t>2022-04-28</t>
        </is>
      </c>
      <c r="B20" t="inlineStr">
        <is>
          <t>2022년 3월 결산기 연간 결산단신</t>
        </is>
      </c>
      <c r="C20" t="inlineStr">
        <is>
          <t>https://www2.jpx.co.jp/disc/63820/140120220419523891.pdf</t>
        </is>
      </c>
    </row>
    <row r="21">
      <c r="A21" t="inlineStr">
        <is>
          <t>2021-04-28</t>
        </is>
      </c>
      <c r="B21" t="inlineStr">
        <is>
          <t>2021년 3월 결산기 연간 결산단신</t>
        </is>
      </c>
      <c r="C21" t="inlineStr">
        <is>
          <t>https://www2.jpx.co.jp/disc/63820/140120210428402323.pdf</t>
        </is>
      </c>
    </row>
    <row r="22">
      <c r="A22" t="inlineStr">
        <is>
          <t>2020-04-30</t>
        </is>
      </c>
      <c r="B22" t="inlineStr">
        <is>
          <t>2020년 3월 결산기 연간 결산단신</t>
        </is>
      </c>
      <c r="C22" t="inlineStr">
        <is>
          <t>https://www2.jpx.co.jp/disc/63820/140120200428402083.pdf</t>
        </is>
      </c>
    </row>
    <row r="23">
      <c r="A23" t="inlineStr">
        <is>
          <t>2019-04-26</t>
        </is>
      </c>
      <c r="B23" t="inlineStr">
        <is>
          <t>2019년 3월 결산기 연간 결산단신</t>
        </is>
      </c>
      <c r="C23" t="inlineStr">
        <is>
          <t>https://www2.jpx.co.jp/disc/63820/140120190417405928.pdf</t>
        </is>
      </c>
    </row>
    <row r="24">
      <c r="A24" t="inlineStr">
        <is>
          <t>2018-04-27</t>
        </is>
      </c>
      <c r="B24" t="inlineStr">
        <is>
          <t>연간 결산단신</t>
        </is>
      </c>
      <c r="C24" t="inlineStr">
        <is>
          <t>https://www2.jpx.co.jp/disc/63820/140120180413410970.pdf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2026-10-25T10:46:01Z</dcterms:created>
  <dcterms:modified xmlns:dcterms="http://purl.org/dc/terms/" xmlns:xsi="http://www.w3.org/2001/XMLSchema-instance" xsi:type="dcterms:W3CDTF">2026-10-25T10:46:02Z</dcterms:modified>
</cp:coreProperties>
</file>