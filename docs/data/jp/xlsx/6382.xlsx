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6382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9777.627</v>
      </c>
      <c r="D4" s="12" t="n">
        <v>11807.573</v>
      </c>
      <c r="E4" s="12" t="n">
        <v>8655.48</v>
      </c>
      <c r="F4" s="12" t="n">
        <v>9420.847</v>
      </c>
      <c r="G4" s="12" t="n">
        <v>10043.353</v>
      </c>
      <c r="H4" s="12" t="n">
        <v>12097.338</v>
      </c>
      <c r="I4" s="12" t="n">
        <v>8882.008</v>
      </c>
      <c r="J4" s="12" t="n">
        <v>10046.754</v>
      </c>
      <c r="K4" s="12" t="n">
        <v>9005.681</v>
      </c>
      <c r="L4" s="12" t="n">
        <v>11025.954</v>
      </c>
      <c r="M4" s="12" t="n">
        <v>9017.018</v>
      </c>
      <c r="N4" s="12" t="n">
        <v>9867.08</v>
      </c>
      <c r="O4" s="11" t="n">
        <v>32990.508</v>
      </c>
      <c r="P4" s="12" t="n">
        <v>41714.317</v>
      </c>
      <c r="Q4" s="12" t="n">
        <v>35352.892</v>
      </c>
      <c r="R4" s="12" t="n">
        <v>36748.514</v>
      </c>
      <c r="S4" s="12" t="n">
        <v>35362.006</v>
      </c>
      <c r="T4" s="12" t="n">
        <v>34161.7</v>
      </c>
      <c r="U4" s="12" t="n">
        <v>29047.516</v>
      </c>
      <c r="V4" s="12" t="n">
        <v>36992.78</v>
      </c>
      <c r="W4" s="12" t="n">
        <v>40217.018</v>
      </c>
      <c r="X4" s="12" t="n">
        <v>38960.397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설비 부문</t>
        </is>
      </c>
      <c r="B7" s="10" t="n"/>
      <c r="C7" s="19" t="n">
        <v>7013.725</v>
      </c>
      <c r="D7" s="20" t="n">
        <v>9265.294</v>
      </c>
      <c r="E7" s="20" t="n">
        <v>6155.649</v>
      </c>
      <c r="F7" s="20" t="n">
        <v>6892.358</v>
      </c>
      <c r="G7" s="20" t="n">
        <v>7341.281</v>
      </c>
      <c r="H7" s="20" t="n">
        <v>9514.063</v>
      </c>
      <c r="I7" s="20" t="n">
        <v>6543.812</v>
      </c>
      <c r="J7" s="20" t="n">
        <v>7446.517</v>
      </c>
      <c r="K7" s="20" t="n">
        <v>6502.832</v>
      </c>
      <c r="L7" s="20" t="n">
        <v>8878.815000000001</v>
      </c>
      <c r="M7" s="20" t="n">
        <v>7064.779</v>
      </c>
      <c r="N7" s="20" t="n">
        <v>7578.719</v>
      </c>
      <c r="O7" s="19" t="n"/>
      <c r="P7" s="20" t="n"/>
      <c r="Q7" s="20" t="n"/>
      <c r="R7" s="20" t="n"/>
      <c r="S7" s="20" t="n"/>
      <c r="T7" s="20" t="n"/>
      <c r="U7" s="20" t="n"/>
      <c r="V7" s="20" t="n">
        <v>26768.516</v>
      </c>
      <c r="W7" s="20" t="n">
        <v>29903.351</v>
      </c>
      <c r="X7" s="20" t="n">
        <v>29371.976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자동차부품 부문</t>
        </is>
      </c>
      <c r="B10" s="10" t="n"/>
      <c r="C10" s="19" t="n">
        <v>2763.902</v>
      </c>
      <c r="D10" s="20" t="n">
        <v>2542.279</v>
      </c>
      <c r="E10" s="20" t="n">
        <v>2499.83</v>
      </c>
      <c r="F10" s="20" t="n">
        <v>2528.489</v>
      </c>
      <c r="G10" s="20" t="n">
        <v>2702.072</v>
      </c>
      <c r="H10" s="20" t="n">
        <v>2583.276</v>
      </c>
      <c r="I10" s="20" t="n">
        <v>2338.196</v>
      </c>
      <c r="J10" s="20" t="n">
        <v>2600.236</v>
      </c>
      <c r="K10" s="20" t="n">
        <v>2502.85</v>
      </c>
      <c r="L10" s="20" t="n">
        <v>2147.138</v>
      </c>
      <c r="M10" s="20" t="n">
        <v>1952.239</v>
      </c>
      <c r="N10" s="20" t="n">
        <v>2288.36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10224.264</v>
      </c>
      <c r="W10" s="20" t="n">
        <v>10313.667</v>
      </c>
      <c r="X10" s="20" t="n">
        <v>9588.42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7680.949</v>
      </c>
      <c r="D14" s="20" t="n">
        <v>9511.35</v>
      </c>
      <c r="E14" s="20" t="n">
        <v>6952.155</v>
      </c>
      <c r="F14" s="20" t="n">
        <v>7545.4</v>
      </c>
      <c r="G14" s="20" t="n">
        <v>7910.141</v>
      </c>
      <c r="H14" s="20" t="n">
        <v>9553.862999999999</v>
      </c>
      <c r="I14" s="20" t="n">
        <v>6979.706</v>
      </c>
      <c r="J14" s="20" t="n">
        <v>7850.132</v>
      </c>
      <c r="K14" s="20" t="n">
        <v>6941.205</v>
      </c>
      <c r="L14" s="20" t="n">
        <v>8605.504999999999</v>
      </c>
      <c r="M14" s="20" t="n">
        <v>7171.666</v>
      </c>
      <c r="N14" s="20" t="n">
        <v>7842.264</v>
      </c>
      <c r="O14" s="19" t="n">
        <v>27215.605</v>
      </c>
      <c r="P14" s="20" t="n">
        <v>35093.469</v>
      </c>
      <c r="Q14" s="20" t="n">
        <v>29132.113</v>
      </c>
      <c r="R14" s="20" t="n">
        <v>29816.847</v>
      </c>
      <c r="S14" s="20" t="n">
        <v>28722.338</v>
      </c>
      <c r="T14" s="20" t="n">
        <v>27754.717</v>
      </c>
      <c r="U14" s="20" t="n">
        <v>23459.4</v>
      </c>
      <c r="V14" s="20" t="n">
        <v>29394.584</v>
      </c>
      <c r="W14" s="20" t="n">
        <v>31961.559</v>
      </c>
      <c r="X14" s="20" t="n">
        <v>30376.548</v>
      </c>
      <c r="Y14" s="19" t="n"/>
      <c r="Z14" s="20" t="n"/>
      <c r="AA14" s="20" t="n"/>
      <c r="AB14" s="20" t="n"/>
      <c r="AC14" s="20" t="n"/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IF(OR(G14="",C14=""),"",IF(C14&lt;=0,"",IFERROR(G14/C14-1,"")))</f>
        <v/>
      </c>
      <c r="H15" s="15">
        <f>IF(OR(H14="",D14=""),"",IF(D14&lt;=0,"",IFERROR(H14/D14-1,"")))</f>
        <v/>
      </c>
      <c r="I15" s="15">
        <f>IF(OR(I14="",E14=""),"",IF(E14&lt;=0,"",IFERROR(I14/E14-1,"")))</f>
        <v/>
      </c>
      <c r="J15" s="15">
        <f>IF(OR(J14="",F14=""),"",IF(F14&lt;=0,"",IFERROR(J14/F14-1,"")))</f>
        <v/>
      </c>
      <c r="K15" s="15">
        <f>IF(OR(K14="",G14=""),"",IF(G14&lt;=0,"",IFERROR(K14/G14-1,"")))</f>
        <v/>
      </c>
      <c r="L15" s="15">
        <f>IF(OR(L14="",H14=""),"",IF(H14&lt;=0,"",IFERROR(L14/H14-1,"")))</f>
        <v/>
      </c>
      <c r="M15" s="15">
        <f>IF(OR(M14="",I14=""),"",IF(I14&lt;=0,"",IFERROR(M14/I14-1,"")))</f>
        <v/>
      </c>
      <c r="N15" s="15">
        <f>IF(OR(N14="",J14=""),"",IF(J14&lt;=0,"",IFERROR(N14/J14-1,"")))</f>
        <v/>
      </c>
      <c r="O15" s="14" t="n"/>
      <c r="P15" s="15">
        <f>IF(OR(P14="",O14=""),"",IF(O14&lt;=0,"",IFERROR(P14/O14-1,"")))</f>
        <v/>
      </c>
      <c r="Q15" s="15">
        <f>IF(OR(Q14="",P14=""),"",IF(P14&lt;=0,"",IFERROR(Q14/P14-1,"")))</f>
        <v/>
      </c>
      <c r="R15" s="15">
        <f>IF(OR(R14="",Q14=""),"",IF(Q14&lt;=0,"",IFERROR(R14/Q14-1,"")))</f>
        <v/>
      </c>
      <c r="S15" s="15">
        <f>IF(OR(S14="",R14=""),"",IF(R14&lt;=0,"",IFERROR(S14/R14-1,"")))</f>
        <v/>
      </c>
      <c r="T15" s="15">
        <f>IF(OR(T14="",S14=""),"",IF(S14&lt;=0,"",IFERROR(T14/S14-1,"")))</f>
        <v/>
      </c>
      <c r="U15" s="15">
        <f>IF(OR(U14="",T14=""),"",IF(T14&lt;=0,"",IFERROR(U14/T14-1,"")))</f>
        <v/>
      </c>
      <c r="V15" s="15">
        <f>IF(OR(V14="",U14=""),"",IF(U14&lt;=0,"",IFERROR(V14/U14-1,"")))</f>
        <v/>
      </c>
      <c r="W15" s="15">
        <f>IF(OR(W14="",V14=""),"",IF(V14&lt;=0,"",IFERROR(W14/V14-1,"")))</f>
        <v/>
      </c>
      <c r="X15" s="15">
        <f>IF(OR(X14="",W14=""),"",IF(W14&lt;=0,"",IFERROR(X14/W14-1,"")))</f>
        <v/>
      </c>
      <c r="Y15" s="14">
        <f>IF(OR(Y14="",X14=""),"",IF(X14&lt;=0,"",IFERROR(Y14/X14-1,"")))</f>
        <v/>
      </c>
      <c r="Z15" s="15">
        <f>IF(OR(Z14="",Y14=""),"",IF(Y14&lt;=0,"",IFERROR(Z14/Y14-1,"")))</f>
        <v/>
      </c>
      <c r="AA15" s="15">
        <f>IF(OR(AA14="",Z14=""),"",IF(Z14&lt;=0,"",IFERROR(AA14/Z14-1,"")))</f>
        <v/>
      </c>
      <c r="AB15" s="15">
        <f>IF(OR(AB14="",AA14=""),"",IF(AA14&lt;=0,"",IFERROR(AB14/AA14-1,"")))</f>
        <v/>
      </c>
      <c r="AC15" s="15">
        <f>IF(OR(AC14="",AB14=""),"",IF(AB14&lt;=0,"",IFERROR(AC14/AB14-1,"")))</f>
        <v/>
      </c>
    </row>
    <row r="16">
      <c r="A16" s="18" t="inlineStr">
        <is>
          <t>매출총이익</t>
        </is>
      </c>
      <c r="B16" s="10" t="n"/>
      <c r="C16" s="19">
        <f>IF(OR(C4="",C14=""),"",IFERROR(C4-C14,""))</f>
        <v/>
      </c>
      <c r="D16" s="20">
        <f>IF(OR(D4="",D14=""),"",IFERROR(D4-D14,""))</f>
        <v/>
      </c>
      <c r="E16" s="20">
        <f>IF(OR(E4="",E14=""),"",IFERROR(E4-E14,""))</f>
        <v/>
      </c>
      <c r="F16" s="20">
        <f>IF(OR(F4="",F14=""),"",IFERROR(F4-F14,""))</f>
        <v/>
      </c>
      <c r="G16" s="20">
        <f>IF(OR(G4="",G14=""),"",IFERROR(G4-G14,""))</f>
        <v/>
      </c>
      <c r="H16" s="20">
        <f>IF(OR(H4="",H14=""),"",IFERROR(H4-H14,""))</f>
        <v/>
      </c>
      <c r="I16" s="20">
        <f>IF(OR(I4="",I14=""),"",IFERROR(I4-I14,""))</f>
        <v/>
      </c>
      <c r="J16" s="20">
        <f>IF(OR(J4="",J14=""),"",IFERROR(J4-J14,""))</f>
        <v/>
      </c>
      <c r="K16" s="20">
        <f>IF(OR(K4="",K14=""),"",IFERROR(K4-K14,""))</f>
        <v/>
      </c>
      <c r="L16" s="20">
        <f>IF(OR(L4="",L14=""),"",IFERROR(L4-L14,""))</f>
        <v/>
      </c>
      <c r="M16" s="20">
        <f>IF(OR(M4="",M14=""),"",IFERROR(M4-M14,""))</f>
        <v/>
      </c>
      <c r="N16" s="20">
        <f>IF(OR(N4="",N14=""),"",IFERROR(N4-N14,""))</f>
        <v/>
      </c>
      <c r="O16" s="19">
        <f>IF(OR(O4="",O14=""),"",IFERROR(O4-O14,""))</f>
        <v/>
      </c>
      <c r="P16" s="20">
        <f>IF(OR(P4="",P14=""),"",IFERROR(P4-P14,""))</f>
        <v/>
      </c>
      <c r="Q16" s="20">
        <f>IF(OR(Q4="",Q14=""),"",IFERROR(Q4-Q14,""))</f>
        <v/>
      </c>
      <c r="R16" s="20">
        <f>IF(OR(R4="",R14=""),"",IFERROR(R4-R14,""))</f>
        <v/>
      </c>
      <c r="S16" s="20">
        <f>IF(OR(S4="",S14=""),"",IFERROR(S4-S14,""))</f>
        <v/>
      </c>
      <c r="T16" s="20">
        <f>IF(OR(T4="",T14=""),"",IFERROR(T4-T14,""))</f>
        <v/>
      </c>
      <c r="U16" s="20">
        <f>IF(OR(U4="",U14=""),"",IFERROR(U4-U14,""))</f>
        <v/>
      </c>
      <c r="V16" s="20">
        <f>IF(OR(V4="",V14=""),"",IFERROR(V4-V14,""))</f>
        <v/>
      </c>
      <c r="W16" s="20">
        <f>IF(OR(W4="",W14=""),"",IFERROR(W4-W14,""))</f>
        <v/>
      </c>
      <c r="X16" s="20">
        <f>IF(OR(X4="",X14=""),"",IFERROR(X4-X14,""))</f>
        <v/>
      </c>
      <c r="Y16" s="19" t="n"/>
      <c r="Z16" s="20" t="n"/>
      <c r="AA16" s="20" t="n"/>
      <c r="AB16" s="20" t="n"/>
      <c r="AC16" s="20" t="n"/>
    </row>
    <row r="17">
      <c r="A17" s="13" t="inlineStr">
        <is>
          <t>GPM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IF(OR(G16="",C16=""),"",IF(C16&lt;=0,"",IFERROR(G16/C16-1,"")))</f>
        <v/>
      </c>
      <c r="H18" s="15">
        <f>IF(OR(H16="",D16=""),"",IF(D16&lt;=0,"",IFERROR(H16/D16-1,"")))</f>
        <v/>
      </c>
      <c r="I18" s="15">
        <f>IF(OR(I16="",E16=""),"",IF(E16&lt;=0,"",IFERROR(I16/E16-1,"")))</f>
        <v/>
      </c>
      <c r="J18" s="15">
        <f>IF(OR(J16="",F16=""),"",IF(F16&lt;=0,"",IFERROR(J16/F16-1,"")))</f>
        <v/>
      </c>
      <c r="K18" s="15">
        <f>IF(OR(K16="",G16=""),"",IF(G16&lt;=0,"",IFERROR(K16/G16-1,"")))</f>
        <v/>
      </c>
      <c r="L18" s="15">
        <f>IF(OR(L16="",H16=""),"",IF(H16&lt;=0,"",IFERROR(L16/H16-1,"")))</f>
        <v/>
      </c>
      <c r="M18" s="15">
        <f>IF(OR(M16="",I16=""),"",IF(I16&lt;=0,"",IFERROR(M16/I16-1,"")))</f>
        <v/>
      </c>
      <c r="N18" s="15">
        <f>IF(OR(N16="",J16=""),"",IF(J16&lt;=0,"",IFERROR(N16/J16-1,"")))</f>
        <v/>
      </c>
      <c r="O18" s="14" t="n"/>
      <c r="P18" s="15">
        <f>IF(OR(P16="",O16=""),"",IF(O16&lt;=0,"",IFERROR(P16/O16-1,"")))</f>
        <v/>
      </c>
      <c r="Q18" s="15">
        <f>IF(OR(Q16="",P16=""),"",IF(P16&lt;=0,"",IFERROR(Q16/P16-1,"")))</f>
        <v/>
      </c>
      <c r="R18" s="15">
        <f>IF(OR(R16="",Q16=""),"",IF(Q16&lt;=0,"",IFERROR(R16/Q16-1,"")))</f>
        <v/>
      </c>
      <c r="S18" s="15">
        <f>IF(OR(S16="",R16=""),"",IF(R16&lt;=0,"",IFERROR(S16/R16-1,"")))</f>
        <v/>
      </c>
      <c r="T18" s="15">
        <f>IF(OR(T16="",S16=""),"",IF(S16&lt;=0,"",IFERROR(T16/S16-1,"")))</f>
        <v/>
      </c>
      <c r="U18" s="15">
        <f>IF(OR(U16="",T16=""),"",IF(T16&lt;=0,"",IFERROR(U16/T16-1,"")))</f>
        <v/>
      </c>
      <c r="V18" s="15">
        <f>IF(OR(V16="",U16=""),"",IF(U16&lt;=0,"",IFERROR(V16/U16-1,"")))</f>
        <v/>
      </c>
      <c r="W18" s="15">
        <f>IF(OR(W16="",V16=""),"",IF(V16&lt;=0,"",IFERROR(W16/V16-1,"")))</f>
        <v/>
      </c>
      <c r="X18" s="15">
        <f>IF(OR(X16="",W16=""),"",IF(W16&lt;=0,"",IFERROR(X16/W16-1,"")))</f>
        <v/>
      </c>
      <c r="Y18" s="14">
        <f>IF(OR(Y16="",X16=""),"",IF(X16&lt;=0,"",IFERROR(Y16/X16-1,"")))</f>
        <v/>
      </c>
      <c r="Z18" s="15">
        <f>IF(OR(Z16="",Y16=""),"",IF(Y16&lt;=0,"",IFERROR(Z16/Y16-1,"")))</f>
        <v/>
      </c>
      <c r="AA18" s="15">
        <f>IF(OR(AA16="",Z16=""),"",IF(Z16&lt;=0,"",IFERROR(AA16/Z16-1,"")))</f>
        <v/>
      </c>
      <c r="AB18" s="15">
        <f>IF(OR(AB16="",AA16=""),"",IF(AA16&lt;=0,"",IFERROR(AB16/AA16-1,"")))</f>
        <v/>
      </c>
      <c r="AC18" s="15">
        <f>IF(OR(AC16="",AB16=""),"",IF(AB16&lt;=0,"",IFERROR(AC16/AB16-1,"")))</f>
        <v/>
      </c>
    </row>
    <row r="19">
      <c r="A19" s="23" t="inlineStr">
        <is>
          <t>판매관리비</t>
        </is>
      </c>
      <c r="B19" s="23" t="n"/>
      <c r="C19" s="24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4" t="n"/>
      <c r="Z19" s="23" t="n"/>
      <c r="AA19" s="23" t="n"/>
      <c r="AB19" s="23" t="n"/>
      <c r="AC19" s="23" t="n"/>
    </row>
    <row r="20">
      <c r="A20" s="18" t="inlineStr">
        <is>
          <t>전체 판관비</t>
        </is>
      </c>
      <c r="B20" s="10" t="n"/>
      <c r="C20" s="19" t="n">
        <v>1132.74</v>
      </c>
      <c r="D20" s="20" t="n">
        <v>1332.602</v>
      </c>
      <c r="E20" s="20" t="n">
        <v>1232.531</v>
      </c>
      <c r="F20" s="20" t="n">
        <v>1208.867</v>
      </c>
      <c r="G20" s="20" t="n">
        <v>1214.261</v>
      </c>
      <c r="H20" s="20" t="n">
        <v>1353.938</v>
      </c>
      <c r="I20" s="20" t="n">
        <v>1268.687</v>
      </c>
      <c r="J20" s="20" t="n">
        <v>1362.658</v>
      </c>
      <c r="K20" s="20" t="n">
        <v>1306.673</v>
      </c>
      <c r="L20" s="20" t="n">
        <v>1454.964</v>
      </c>
      <c r="M20" s="20" t="n">
        <v>1455.876</v>
      </c>
      <c r="N20" s="20" t="n">
        <v>1475.775</v>
      </c>
      <c r="O20" s="19" t="n">
        <v>3880.736</v>
      </c>
      <c r="P20" s="20" t="n">
        <v>4171.768</v>
      </c>
      <c r="Q20" s="20" t="n">
        <v>4311.52</v>
      </c>
      <c r="R20" s="20" t="n">
        <v>4286.182</v>
      </c>
      <c r="S20" s="20" t="n">
        <v>4261.25</v>
      </c>
      <c r="T20" s="20" t="n">
        <v>4474.255</v>
      </c>
      <c r="U20" s="20" t="n">
        <v>4622.361</v>
      </c>
      <c r="V20" s="20" t="n">
        <v>4802.73</v>
      </c>
      <c r="W20" s="20" t="n">
        <v>5009.597</v>
      </c>
      <c r="X20" s="20" t="n">
        <v>5392.982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963.938</v>
      </c>
      <c r="D22" s="12" t="n">
        <v>963.621</v>
      </c>
      <c r="E22" s="12" t="n">
        <v>470.794</v>
      </c>
      <c r="F22" s="12" t="n">
        <v>666.579</v>
      </c>
      <c r="G22" s="12" t="n">
        <v>918.95</v>
      </c>
      <c r="H22" s="12" t="n">
        <v>1189.537</v>
      </c>
      <c r="I22" s="12" t="n">
        <v>633.614</v>
      </c>
      <c r="J22" s="12" t="n">
        <v>833.9640000000001</v>
      </c>
      <c r="K22" s="12" t="n">
        <v>757.804</v>
      </c>
      <c r="L22" s="12" t="n">
        <v>965.484</v>
      </c>
      <c r="M22" s="12" t="n">
        <v>389.475</v>
      </c>
      <c r="N22" s="12" t="n">
        <v>549.04</v>
      </c>
      <c r="O22" s="11" t="n">
        <v>1894.167</v>
      </c>
      <c r="P22" s="12" t="n">
        <v>2449.079</v>
      </c>
      <c r="Q22" s="12" t="n">
        <v>1909.259</v>
      </c>
      <c r="R22" s="12" t="n">
        <v>2645.484</v>
      </c>
      <c r="S22" s="12" t="n">
        <v>2378.418</v>
      </c>
      <c r="T22" s="12" t="n">
        <v>1932.727</v>
      </c>
      <c r="U22" s="12" t="n">
        <v>965.754</v>
      </c>
      <c r="V22" s="12" t="n">
        <v>2795.465</v>
      </c>
      <c r="W22" s="12" t="n">
        <v>3245.86</v>
      </c>
      <c r="X22" s="12" t="n">
        <v>3190.866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IF(O20="","",O20)</f>
        <v/>
      </c>
      <c r="P26" s="12">
        <f>IF(P20="","",P20)</f>
        <v/>
      </c>
      <c r="Q26" s="12">
        <f>IF(Q20="","",Q20)</f>
        <v/>
      </c>
      <c r="R26" s="12">
        <f>IF(R20="","",R20)</f>
        <v/>
      </c>
      <c r="S26" s="12">
        <f>IF(S20="","",S20)</f>
        <v/>
      </c>
      <c r="T26" s="12">
        <f>IF(T20="","",T20)</f>
        <v/>
      </c>
      <c r="U26" s="12">
        <f>IF(U20="","",U20)</f>
        <v/>
      </c>
      <c r="V26" s="12">
        <f>IF(V20="","",V20)</f>
        <v/>
      </c>
      <c r="W26" s="12">
        <f>IF(W20="","",W20)</f>
        <v/>
      </c>
      <c r="X26" s="12">
        <f>IF(X20="","",X20)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>
        <v>0</v>
      </c>
      <c r="R38" s="20" t="n">
        <v>9.65</v>
      </c>
      <c r="S38" s="20" t="n">
        <v>0</v>
      </c>
      <c r="T38" s="20" t="n">
        <v>220.845</v>
      </c>
      <c r="U38" s="20" t="n">
        <v>318.362</v>
      </c>
      <c r="V38" s="20" t="n">
        <v>0</v>
      </c>
      <c r="W38" s="20" t="n"/>
      <c r="X38" s="20" t="n"/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>
        <v>0</v>
      </c>
      <c r="P40" s="20" t="n">
        <v>11.634</v>
      </c>
      <c r="Q40" s="20" t="n">
        <v>0</v>
      </c>
      <c r="R40" s="20" t="n"/>
      <c r="S40" s="20" t="n"/>
      <c r="T40" s="20" t="n"/>
      <c r="U40" s="20" t="n"/>
      <c r="V40" s="20" t="n"/>
      <c r="W40" s="20" t="n"/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150.334</v>
      </c>
      <c r="D42" s="20" t="n">
        <v>-138.116</v>
      </c>
      <c r="E42" s="20" t="n">
        <v>173.011</v>
      </c>
      <c r="F42" s="20" t="n">
        <v>168.086</v>
      </c>
      <c r="G42" s="20" t="n">
        <v>265.79</v>
      </c>
      <c r="H42" s="20" t="n">
        <v>-245.431</v>
      </c>
      <c r="I42" s="20" t="n">
        <v>182.291</v>
      </c>
      <c r="J42" s="20" t="n">
        <v>183.203</v>
      </c>
      <c r="K42" s="20" t="n">
        <v>181.148</v>
      </c>
      <c r="L42" s="20" t="n">
        <v>36.369</v>
      </c>
      <c r="M42" s="20" t="n">
        <v>187.905</v>
      </c>
      <c r="N42" s="20" t="n">
        <v>155.89</v>
      </c>
      <c r="O42" s="19" t="n">
        <v>284.987</v>
      </c>
      <c r="P42" s="20" t="n">
        <v>249.047</v>
      </c>
      <c r="Q42" s="20" t="n">
        <v>371.45</v>
      </c>
      <c r="R42" s="20" t="n">
        <v>213.06</v>
      </c>
      <c r="S42" s="20" t="n">
        <v>149.088</v>
      </c>
      <c r="T42" s="20" t="n">
        <v>418.208</v>
      </c>
      <c r="U42" s="20" t="n">
        <v>528.023</v>
      </c>
      <c r="V42" s="20" t="n">
        <v>301.604</v>
      </c>
      <c r="W42" s="20" t="n">
        <v>361.456</v>
      </c>
      <c r="X42" s="20" t="n">
        <v>583.011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50.396</v>
      </c>
      <c r="D44" s="20" t="n">
        <v>5.961</v>
      </c>
      <c r="E44" s="20" t="n">
        <v>22.681</v>
      </c>
      <c r="F44" s="20" t="n">
        <v>27.514</v>
      </c>
      <c r="G44" s="20" t="n">
        <v>26.673</v>
      </c>
      <c r="H44" s="20" t="n">
        <v>8.577999999999999</v>
      </c>
      <c r="I44" s="20" t="n">
        <v>6.159</v>
      </c>
      <c r="J44" s="20" t="n">
        <v>9.99</v>
      </c>
      <c r="K44" s="20" t="n">
        <v>2.493</v>
      </c>
      <c r="L44" s="20" t="n">
        <v>26.463</v>
      </c>
      <c r="M44" s="20" t="n">
        <v>1.358</v>
      </c>
      <c r="N44" s="20" t="n">
        <v>5.123</v>
      </c>
      <c r="O44" s="19" t="n">
        <v>16.196</v>
      </c>
      <c r="P44" s="20" t="n">
        <v>69.65000000000001</v>
      </c>
      <c r="Q44" s="20" t="n">
        <v>31.202</v>
      </c>
      <c r="R44" s="20" t="n">
        <v>22.753</v>
      </c>
      <c r="S44" s="20" t="n">
        <v>103.875</v>
      </c>
      <c r="T44" s="20" t="n">
        <v>15.89</v>
      </c>
      <c r="U44" s="20" t="n">
        <v>22.217</v>
      </c>
      <c r="V44" s="20" t="n">
        <v>90.06100000000001</v>
      </c>
      <c r="W44" s="20" t="n">
        <v>85.446</v>
      </c>
      <c r="X44" s="20" t="n">
        <v>45.105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1063.876</v>
      </c>
      <c r="D46" s="12" t="n">
        <v>819.545</v>
      </c>
      <c r="E46" s="12" t="n">
        <v>621.124</v>
      </c>
      <c r="F46" s="12" t="n">
        <v>807.151</v>
      </c>
      <c r="G46" s="12" t="n">
        <v>1158.067</v>
      </c>
      <c r="H46" s="12" t="n">
        <v>935.528</v>
      </c>
      <c r="I46" s="12" t="n">
        <v>809.747</v>
      </c>
      <c r="J46" s="12" t="n">
        <v>1007.175</v>
      </c>
      <c r="K46" s="12" t="n">
        <v>936.46</v>
      </c>
      <c r="L46" s="12" t="n">
        <v>975.391</v>
      </c>
      <c r="M46" s="12" t="n">
        <v>576.021</v>
      </c>
      <c r="N46" s="12" t="n">
        <v>699.808</v>
      </c>
      <c r="O46" s="11" t="n">
        <v>2162.958</v>
      </c>
      <c r="P46" s="12" t="n">
        <v>2616.842</v>
      </c>
      <c r="Q46" s="12" t="n">
        <v>2249.507</v>
      </c>
      <c r="R46" s="12" t="n">
        <v>2845.44</v>
      </c>
      <c r="S46" s="12" t="n">
        <v>2423.63</v>
      </c>
      <c r="T46" s="12" t="n">
        <v>2555.891</v>
      </c>
      <c r="U46" s="12" t="n">
        <v>1789.922</v>
      </c>
      <c r="V46" s="12" t="n">
        <v>3007.009</v>
      </c>
      <c r="W46" s="12" t="n">
        <v>3521.87</v>
      </c>
      <c r="X46" s="12" t="n">
        <v>3728.773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3" t="inlineStr">
        <is>
          <t>YoY</t>
        </is>
      </c>
      <c r="B47" s="10" t="n"/>
      <c r="C47" s="14" t="n"/>
      <c r="D47" s="15" t="n"/>
      <c r="E47" s="15" t="n"/>
      <c r="F47" s="15" t="n"/>
      <c r="G47" s="15">
        <f>IF(OR(G46="",C46=""),"",IF(C46&lt;=0,"",IFERROR(G46/C46-1,"")))</f>
        <v/>
      </c>
      <c r="H47" s="15">
        <f>IF(OR(H46="",D46=""),"",IF(D46&lt;=0,"",IFERROR(H46/D46-1,"")))</f>
        <v/>
      </c>
      <c r="I47" s="15">
        <f>IF(OR(I46="",E46=""),"",IF(E46&lt;=0,"",IFERROR(I46/E46-1,"")))</f>
        <v/>
      </c>
      <c r="J47" s="15">
        <f>IF(OR(J46="",F46=""),"",IF(F46&lt;=0,"",IFERROR(J46/F46-1,"")))</f>
        <v/>
      </c>
      <c r="K47" s="15">
        <f>IF(OR(K46="",G46=""),"",IF(G46&lt;=0,"",IFERROR(K46/G46-1,"")))</f>
        <v/>
      </c>
      <c r="L47" s="15">
        <f>IF(OR(L46="",H46=""),"",IF(H46&lt;=0,"",IFERROR(L46/H46-1,"")))</f>
        <v/>
      </c>
      <c r="M47" s="15">
        <f>IF(OR(M46="",I46=""),"",IF(I46&lt;=0,"",IFERROR(M46/I46-1,"")))</f>
        <v/>
      </c>
      <c r="N47" s="15">
        <f>IF(OR(N46="",J46=""),"",IF(J46&lt;=0,"",IFERROR(N46/J46-1,"")))</f>
        <v/>
      </c>
      <c r="O47" s="14" t="n"/>
      <c r="P47" s="15">
        <f>IF(OR(P46="",O46=""),"",IF(O46&lt;=0,"",IFERROR(P46/O46-1,"")))</f>
        <v/>
      </c>
      <c r="Q47" s="15">
        <f>IF(OR(Q46="",P46=""),"",IF(P46&lt;=0,"",IFERROR(Q46/P46-1,"")))</f>
        <v/>
      </c>
      <c r="R47" s="15">
        <f>IF(OR(R46="",Q46=""),"",IF(Q46&lt;=0,"",IFERROR(R46/Q46-1,"")))</f>
        <v/>
      </c>
      <c r="S47" s="15">
        <f>IF(OR(S46="",R46=""),"",IF(R46&lt;=0,"",IFERROR(S46/R46-1,"")))</f>
        <v/>
      </c>
      <c r="T47" s="15">
        <f>IF(OR(T46="",S46=""),"",IF(S46&lt;=0,"",IFERROR(T46/S46-1,"")))</f>
        <v/>
      </c>
      <c r="U47" s="15">
        <f>IF(OR(U46="",T46=""),"",IF(T46&lt;=0,"",IFERROR(U46/T46-1,"")))</f>
        <v/>
      </c>
      <c r="V47" s="15">
        <f>IF(OR(V46="",U46=""),"",IF(U46&lt;=0,"",IFERROR(V46/U46-1,"")))</f>
        <v/>
      </c>
      <c r="W47" s="15">
        <f>IF(OR(W46="",V46=""),"",IF(V46&lt;=0,"",IFERROR(W46/V46-1,"")))</f>
        <v/>
      </c>
      <c r="X47" s="15">
        <f>IF(OR(X46="",W46=""),"",IF(W46&lt;=0,"",IFERROR(X46/W46-1,"")))</f>
        <v/>
      </c>
      <c r="Y47" s="14">
        <f>IF(OR(Y46="",X46=""),"",IF(X46&lt;=0,"",IFERROR(Y46/X46-1,"")))</f>
        <v/>
      </c>
      <c r="Z47" s="15">
        <f>IF(OR(Z46="",Y46=""),"",IF(Y46&lt;=0,"",IFERROR(Z46/Y46-1,"")))</f>
        <v/>
      </c>
      <c r="AA47" s="15">
        <f>IF(OR(AA46="",Z46=""),"",IF(Z46&lt;=0,"",IFERROR(AA46/Z46-1,"")))</f>
        <v/>
      </c>
      <c r="AB47" s="15">
        <f>IF(OR(AB46="",AA46=""),"",IF(AA46&lt;=0,"",IFERROR(AB46/AA46-1,"")))</f>
        <v/>
      </c>
      <c r="AC47" s="15">
        <f>IF(OR(AC46="",AB46=""),"",IF(AB46&lt;=0,"",IFERROR(AC46/AB46-1,"")))</f>
        <v/>
      </c>
    </row>
    <row r="48">
      <c r="A48" s="18" t="inlineStr">
        <is>
          <t>법인세비용(수익)</t>
        </is>
      </c>
      <c r="B48" s="10" t="n"/>
      <c r="C48" s="19" t="n">
        <v>249.529</v>
      </c>
      <c r="D48" s="20" t="n">
        <v>197.974</v>
      </c>
      <c r="E48" s="20" t="n">
        <v>447.165</v>
      </c>
      <c r="F48" s="20" t="n">
        <v>196.811</v>
      </c>
      <c r="G48" s="20" t="n">
        <v>162.434</v>
      </c>
      <c r="H48" s="20" t="n">
        <v>224.17</v>
      </c>
      <c r="I48" s="20" t="n">
        <v>328.752</v>
      </c>
      <c r="J48" s="20" t="n">
        <v>321.738</v>
      </c>
      <c r="K48" s="20" t="n">
        <v>216.136</v>
      </c>
      <c r="L48" s="20" t="n">
        <v>54.025</v>
      </c>
      <c r="M48" s="20" t="n">
        <v>352.166</v>
      </c>
      <c r="N48" s="20" t="n">
        <v>243.231</v>
      </c>
      <c r="O48" s="19" t="n">
        <v>612.168</v>
      </c>
      <c r="P48" s="20" t="n">
        <v>794.726</v>
      </c>
      <c r="Q48" s="20" t="n">
        <v>685.625</v>
      </c>
      <c r="R48" s="20" t="n">
        <v>852.3630000000001</v>
      </c>
      <c r="S48" s="20" t="n">
        <v>770.901</v>
      </c>
      <c r="T48" s="20" t="n">
        <v>693.8200000000001</v>
      </c>
      <c r="U48" s="20" t="n">
        <v>454.645</v>
      </c>
      <c r="V48" s="20" t="n">
        <v>877.729</v>
      </c>
      <c r="W48" s="20" t="n">
        <v>1030.58</v>
      </c>
      <c r="X48" s="20" t="n">
        <v>920.651</v>
      </c>
      <c r="Y48" s="19">
        <f>IF(OR(Y46="",Y49=""),"",IFERROR(MAX(Y46,0)*Y49,""))</f>
        <v/>
      </c>
      <c r="Z48" s="20">
        <f>IF(OR(Z46="",Z49=""),"",IFERROR(MAX(Z46,0)*Z49,""))</f>
        <v/>
      </c>
      <c r="AA48" s="20">
        <f>IF(OR(AA46="",AA49=""),"",IFERROR(MAX(AA46,0)*AA49,""))</f>
        <v/>
      </c>
      <c r="AB48" s="20">
        <f>IF(OR(AB46="",AB49=""),"",IFERROR(MAX(AB46,0)*AB49,""))</f>
        <v/>
      </c>
      <c r="AC48" s="20">
        <f>IF(OR(AC46="",AC49=""),"",IFERROR(MAX(AC46,0)*AC49,""))</f>
        <v/>
      </c>
    </row>
    <row r="49">
      <c r="A49" s="13" t="inlineStr">
        <is>
          <t>법인세율</t>
        </is>
      </c>
      <c r="B49" s="10" t="inlineStr">
        <is>
          <t>MW 기본 30%</t>
        </is>
      </c>
      <c r="C49" s="14">
        <f>IF(OR(C48="",C46=""),"",IFERROR(C48/C46,""))</f>
        <v/>
      </c>
      <c r="D49" s="15">
        <f>IF(OR(D48="",D46=""),"",IFERROR(D48/D46,""))</f>
        <v/>
      </c>
      <c r="E49" s="15">
        <f>IF(OR(E48="",E46=""),"",IFERROR(E48/E46,""))</f>
        <v/>
      </c>
      <c r="F49" s="15">
        <f>IF(OR(F48="",F46=""),"",IFERROR(F48/F46,""))</f>
        <v/>
      </c>
      <c r="G49" s="15">
        <f>IF(OR(G48="",G46=""),"",IFERROR(G48/G46,""))</f>
        <v/>
      </c>
      <c r="H49" s="15">
        <f>IF(OR(H48="",H46=""),"",IFERROR(H48/H46,""))</f>
        <v/>
      </c>
      <c r="I49" s="15">
        <f>IF(OR(I48="",I46=""),"",IFERROR(I48/I46,""))</f>
        <v/>
      </c>
      <c r="J49" s="15">
        <f>IF(OR(J48="",J46=""),"",IFERROR(J48/J46,""))</f>
        <v/>
      </c>
      <c r="K49" s="15">
        <f>IF(OR(K48="",K46=""),"",IFERROR(K48/K46,""))</f>
        <v/>
      </c>
      <c r="L49" s="15">
        <f>IF(OR(L48="",L46=""),"",IFERROR(L48/L46,""))</f>
        <v/>
      </c>
      <c r="M49" s="15">
        <f>IF(OR(M48="",M46=""),"",IFERROR(M48/M46,""))</f>
        <v/>
      </c>
      <c r="N49" s="15">
        <f>IF(OR(N48="",N46=""),"",IFERROR(N48/N46,""))</f>
        <v/>
      </c>
      <c r="O49" s="14">
        <f>IF(OR(O48="",O46=""),"",IFERROR(O48/O46,""))</f>
        <v/>
      </c>
      <c r="P49" s="15">
        <f>IF(OR(P48="",P46=""),"",IFERROR(P48/P46,""))</f>
        <v/>
      </c>
      <c r="Q49" s="15">
        <f>IF(OR(Q48="",Q46=""),"",IFERROR(Q48/Q46,""))</f>
        <v/>
      </c>
      <c r="R49" s="15">
        <f>IF(OR(R48="",R46=""),"",IFERROR(R48/R46,""))</f>
        <v/>
      </c>
      <c r="S49" s="15">
        <f>IF(OR(S48="",S46=""),"",IFERROR(S48/S46,""))</f>
        <v/>
      </c>
      <c r="T49" s="15">
        <f>IF(OR(T48="",T46=""),"",IFERROR(T48/T46,""))</f>
        <v/>
      </c>
      <c r="U49" s="15">
        <f>IF(OR(U48="",U46=""),"",IFERROR(U48/U46,""))</f>
        <v/>
      </c>
      <c r="V49" s="15">
        <f>IF(OR(V48="",V46=""),"",IFERROR(V48/V46,""))</f>
        <v/>
      </c>
      <c r="W49" s="15">
        <f>IF(OR(W48="",W46=""),"",IFERROR(W48/W46,""))</f>
        <v/>
      </c>
      <c r="X49" s="15">
        <f>IF(OR(X48="",X46=""),"",IFERROR(X48/X46,""))</f>
        <v/>
      </c>
      <c r="Y49" s="25" t="n">
        <v>0.3</v>
      </c>
      <c r="Z49" s="26" t="n">
        <v>0.3</v>
      </c>
      <c r="AA49" s="26" t="n">
        <v>0.3</v>
      </c>
      <c r="AB49" s="26" t="n">
        <v>0.3</v>
      </c>
      <c r="AC49" s="26" t="n">
        <v>0.3</v>
      </c>
    </row>
    <row r="50">
      <c r="A50" s="9" t="inlineStr">
        <is>
          <t>당기순이익(손실)</t>
        </is>
      </c>
      <c r="B50" s="10" t="n"/>
      <c r="C50" s="11" t="n">
        <v>814.347</v>
      </c>
      <c r="D50" s="12" t="n">
        <v>621.571</v>
      </c>
      <c r="E50" s="12" t="n">
        <v>173.958</v>
      </c>
      <c r="F50" s="12" t="n">
        <v>610.341</v>
      </c>
      <c r="G50" s="12" t="n">
        <v>995.6319999999999</v>
      </c>
      <c r="H50" s="12" t="n">
        <v>711.3579999999999</v>
      </c>
      <c r="I50" s="12" t="n">
        <v>480.994</v>
      </c>
      <c r="J50" s="12" t="n">
        <v>685.438</v>
      </c>
      <c r="K50" s="12" t="n">
        <v>720.323</v>
      </c>
      <c r="L50" s="12" t="n">
        <v>921.366</v>
      </c>
      <c r="M50" s="12" t="n">
        <v>223.855</v>
      </c>
      <c r="N50" s="12" t="n">
        <v>456.576</v>
      </c>
      <c r="O50" s="11" t="n">
        <v>1550.79</v>
      </c>
      <c r="P50" s="12" t="n">
        <v>1822.116</v>
      </c>
      <c r="Q50" s="12" t="n">
        <v>1563.881</v>
      </c>
      <c r="R50" s="12" t="n">
        <v>1993.077</v>
      </c>
      <c r="S50" s="12" t="n">
        <v>1652.729</v>
      </c>
      <c r="T50" s="12" t="n">
        <v>1862.07</v>
      </c>
      <c r="U50" s="12" t="n">
        <v>1335.276</v>
      </c>
      <c r="V50" s="12" t="n">
        <v>2129.279</v>
      </c>
      <c r="W50" s="12" t="n">
        <v>2491.289</v>
      </c>
      <c r="X50" s="12" t="n">
        <v>2808.121</v>
      </c>
      <c r="Y50" s="11">
        <f>IF(OR(Y46=""),"",IFERROR(Y46-Y48,""))</f>
        <v/>
      </c>
      <c r="Z50" s="12">
        <f>IF(OR(Z46=""),"",IFERROR(Z46-Z48,""))</f>
        <v/>
      </c>
      <c r="AA50" s="12">
        <f>IF(OR(AA46=""),"",IFERROR(AA46-AA48,""))</f>
        <v/>
      </c>
      <c r="AB50" s="12">
        <f>IF(OR(AB46=""),"",IFERROR(AB46-AB48,""))</f>
        <v/>
      </c>
      <c r="AC50" s="12">
        <f>IF(OR(AC46=""),"",IFERROR(AC46-AC48,""))</f>
        <v/>
      </c>
    </row>
    <row r="51">
      <c r="A51" s="13" t="inlineStr">
        <is>
          <t>YoY</t>
        </is>
      </c>
      <c r="B51" s="10" t="n"/>
      <c r="C51" s="14" t="n"/>
      <c r="D51" s="15" t="n"/>
      <c r="E51" s="15" t="n"/>
      <c r="F51" s="15" t="n"/>
      <c r="G51" s="15">
        <f>IF(OR(G50="",C50=""),"",IF(C50&lt;=0,"",IFERROR(G50/C50-1,"")))</f>
        <v/>
      </c>
      <c r="H51" s="15">
        <f>IF(OR(H50="",D50=""),"",IF(D50&lt;=0,"",IFERROR(H50/D50-1,"")))</f>
        <v/>
      </c>
      <c r="I51" s="15">
        <f>IF(OR(I50="",E50=""),"",IF(E50&lt;=0,"",IFERROR(I50/E50-1,"")))</f>
        <v/>
      </c>
      <c r="J51" s="15">
        <f>IF(OR(J50="",F50=""),"",IF(F50&lt;=0,"",IFERROR(J50/F50-1,"")))</f>
        <v/>
      </c>
      <c r="K51" s="15">
        <f>IF(OR(K50="",G50=""),"",IF(G50&lt;=0,"",IFERROR(K50/G50-1,"")))</f>
        <v/>
      </c>
      <c r="L51" s="15">
        <f>IF(OR(L50="",H50=""),"",IF(H50&lt;=0,"",IFERROR(L50/H50-1,"")))</f>
        <v/>
      </c>
      <c r="M51" s="15">
        <f>IF(OR(M50="",I50=""),"",IF(I50&lt;=0,"",IFERROR(M50/I50-1,"")))</f>
        <v/>
      </c>
      <c r="N51" s="15">
        <f>IF(OR(N50="",J50=""),"",IF(J50&lt;=0,"",IFERROR(N50/J50-1,"")))</f>
        <v/>
      </c>
      <c r="O51" s="14" t="n"/>
      <c r="P51" s="15">
        <f>IF(OR(P50="",O50=""),"",IF(O50&lt;=0,"",IFERROR(P50/O50-1,"")))</f>
        <v/>
      </c>
      <c r="Q51" s="15">
        <f>IF(OR(Q50="",P50=""),"",IF(P50&lt;=0,"",IFERROR(Q50/P50-1,"")))</f>
        <v/>
      </c>
      <c r="R51" s="15">
        <f>IF(OR(R50="",Q50=""),"",IF(Q50&lt;=0,"",IFERROR(R50/Q50-1,"")))</f>
        <v/>
      </c>
      <c r="S51" s="15">
        <f>IF(OR(S50="",R50=""),"",IF(R50&lt;=0,"",IFERROR(S50/R50-1,"")))</f>
        <v/>
      </c>
      <c r="T51" s="15">
        <f>IF(OR(T50="",S50=""),"",IF(S50&lt;=0,"",IFERROR(T50/S50-1,"")))</f>
        <v/>
      </c>
      <c r="U51" s="15">
        <f>IF(OR(U50="",T50=""),"",IF(T50&lt;=0,"",IFERROR(U50/T50-1,"")))</f>
        <v/>
      </c>
      <c r="V51" s="15">
        <f>IF(OR(V50="",U50=""),"",IF(U50&lt;=0,"",IFERROR(V50/U50-1,"")))</f>
        <v/>
      </c>
      <c r="W51" s="15">
        <f>IF(OR(W50="",V50=""),"",IF(V50&lt;=0,"",IFERROR(W50/V50-1,"")))</f>
        <v/>
      </c>
      <c r="X51" s="15">
        <f>IF(OR(X50="",W50=""),"",IF(W50&lt;=0,"",IFERROR(X50/W50-1,"")))</f>
        <v/>
      </c>
      <c r="Y51" s="14">
        <f>IF(OR(Y50="",X50=""),"",IF(X50&lt;=0,"",IFERROR(Y50/X50-1,"")))</f>
        <v/>
      </c>
      <c r="Z51" s="15">
        <f>IF(OR(Z50="",Y50=""),"",IF(Y50&lt;=0,"",IFERROR(Z50/Y50-1,"")))</f>
        <v/>
      </c>
      <c r="AA51" s="15">
        <f>IF(OR(AA50="",Z50=""),"",IF(Z50&lt;=0,"",IFERROR(AA50/Z50-1,"")))</f>
        <v/>
      </c>
      <c r="AB51" s="15">
        <f>IF(OR(AB50="",AA50=""),"",IF(AA50&lt;=0,"",IFERROR(AB50/AA50-1,"")))</f>
        <v/>
      </c>
      <c r="AC51" s="15">
        <f>IF(OR(AC50="",AB50=""),"",IF(AB50&lt;=0,"",IFERROR(AC50/AB50-1,"")))</f>
        <v/>
      </c>
    </row>
    <row r="52">
      <c r="A52" s="9" t="inlineStr">
        <is>
          <t>지배주주 순이익</t>
        </is>
      </c>
      <c r="B52" s="10" t="n"/>
      <c r="C52" s="11" t="n">
        <v>799.0599999999999</v>
      </c>
      <c r="D52" s="12" t="n">
        <v>599.485</v>
      </c>
      <c r="E52" s="12" t="n">
        <v>160.915</v>
      </c>
      <c r="F52" s="12" t="n">
        <v>602.422</v>
      </c>
      <c r="G52" s="12" t="n">
        <v>962.934</v>
      </c>
      <c r="H52" s="12" t="n">
        <v>676.92</v>
      </c>
      <c r="I52" s="12" t="n">
        <v>462.261</v>
      </c>
      <c r="J52" s="12" t="n">
        <v>665.8680000000001</v>
      </c>
      <c r="K52" s="12" t="n">
        <v>695.213</v>
      </c>
      <c r="L52" s="12" t="n">
        <v>865.5549999999999</v>
      </c>
      <c r="M52" s="12" t="n">
        <v>209.349</v>
      </c>
      <c r="N52" s="12" t="n">
        <v>416.835</v>
      </c>
      <c r="O52" s="11" t="n">
        <v>1528.126</v>
      </c>
      <c r="P52" s="12" t="n">
        <v>1802.419</v>
      </c>
      <c r="Q52" s="12" t="n">
        <v>1521.58</v>
      </c>
      <c r="R52" s="12" t="n">
        <v>1942.395</v>
      </c>
      <c r="S52" s="12" t="n">
        <v>1620.236</v>
      </c>
      <c r="T52" s="12" t="n">
        <v>1813.411</v>
      </c>
      <c r="U52" s="12" t="n">
        <v>1267.565</v>
      </c>
      <c r="V52" s="12" t="n">
        <v>2058.629</v>
      </c>
      <c r="W52" s="12" t="n">
        <v>2403.191</v>
      </c>
      <c r="X52" s="12" t="n">
        <v>2688.897</v>
      </c>
      <c r="Y52" s="11">
        <f>IF(OR(Y50="",Y53=""),"",IFERROR(Y50*Y53,""))</f>
        <v/>
      </c>
      <c r="Z52" s="12">
        <f>IF(OR(Z50="",Z53=""),"",IFERROR(Z50*Z53,""))</f>
        <v/>
      </c>
      <c r="AA52" s="12">
        <f>IF(OR(AA50="",AA53=""),"",IFERROR(AA50*AA53,""))</f>
        <v/>
      </c>
      <c r="AB52" s="12">
        <f>IF(OR(AB50="",AB53=""),"",IFERROR(AB50*AB53,""))</f>
        <v/>
      </c>
      <c r="AC52" s="12">
        <f>IF(OR(AC50="",AC53=""),"",IFERROR(AC50*AC53,""))</f>
        <v/>
      </c>
    </row>
    <row r="53">
      <c r="A53" s="13" t="inlineStr">
        <is>
          <t>지배주주 순이익률</t>
        </is>
      </c>
      <c r="B53" s="10" t="inlineStr">
        <is>
          <t>MW 기본 100%</t>
        </is>
      </c>
      <c r="C53" s="14">
        <f>IF(OR(C52="",C50=""),"",IFERROR(C52/C50,""))</f>
        <v/>
      </c>
      <c r="D53" s="15">
        <f>IF(OR(D52="",D50=""),"",IFERROR(D52/D50,""))</f>
        <v/>
      </c>
      <c r="E53" s="15">
        <f>IF(OR(E52="",E50=""),"",IFERROR(E52/E50,""))</f>
        <v/>
      </c>
      <c r="F53" s="15">
        <f>IF(OR(F52="",F50=""),"",IFERROR(F52/F50,""))</f>
        <v/>
      </c>
      <c r="G53" s="15">
        <f>IF(OR(G52="",G50=""),"",IFERROR(G52/G50,""))</f>
        <v/>
      </c>
      <c r="H53" s="15">
        <f>IF(OR(H52="",H50=""),"",IFERROR(H52/H50,""))</f>
        <v/>
      </c>
      <c r="I53" s="15">
        <f>IF(OR(I52="",I50=""),"",IFERROR(I52/I50,""))</f>
        <v/>
      </c>
      <c r="J53" s="15">
        <f>IF(OR(J52="",J50=""),"",IFERROR(J52/J50,""))</f>
        <v/>
      </c>
      <c r="K53" s="15">
        <f>IF(OR(K52="",K50=""),"",IFERROR(K52/K50,""))</f>
        <v/>
      </c>
      <c r="L53" s="15">
        <f>IF(OR(L52="",L50=""),"",IFERROR(L52/L50,""))</f>
        <v/>
      </c>
      <c r="M53" s="15">
        <f>IF(OR(M52="",M50=""),"",IFERROR(M52/M50,""))</f>
        <v/>
      </c>
      <c r="N53" s="15">
        <f>IF(OR(N52="",N50=""),"",IFERROR(N52/N50,""))</f>
        <v/>
      </c>
      <c r="O53" s="14">
        <f>IF(OR(O52="",O50=""),"",IFERROR(O52/O50,""))</f>
        <v/>
      </c>
      <c r="P53" s="15">
        <f>IF(OR(P52="",P50=""),"",IFERROR(P52/P50,""))</f>
        <v/>
      </c>
      <c r="Q53" s="15">
        <f>IF(OR(Q52="",Q50=""),"",IFERROR(Q52/Q50,""))</f>
        <v/>
      </c>
      <c r="R53" s="15">
        <f>IF(OR(R52="",R50=""),"",IFERROR(R52/R50,""))</f>
        <v/>
      </c>
      <c r="S53" s="15">
        <f>IF(OR(S52="",S50=""),"",IFERROR(S52/S50,""))</f>
        <v/>
      </c>
      <c r="T53" s="15">
        <f>IF(OR(T52="",T50=""),"",IFERROR(T52/T50,""))</f>
        <v/>
      </c>
      <c r="U53" s="15">
        <f>IF(OR(U52="",U50=""),"",IFERROR(U52/U50,""))</f>
        <v/>
      </c>
      <c r="V53" s="15">
        <f>IF(OR(V52="",V50=""),"",IFERROR(V52/V50,""))</f>
        <v/>
      </c>
      <c r="W53" s="15">
        <f>IF(OR(W52="",W50=""),"",IFERROR(W52/W50,""))</f>
        <v/>
      </c>
      <c r="X53" s="15">
        <f>IF(OR(X52="",X50=""),"",IFERROR(X52/X50,""))</f>
        <v/>
      </c>
      <c r="Y53" s="25" t="n">
        <v>1</v>
      </c>
      <c r="Z53" s="26" t="n">
        <v>1</v>
      </c>
      <c r="AA53" s="26" t="n">
        <v>1</v>
      </c>
      <c r="AB53" s="26" t="n">
        <v>1</v>
      </c>
      <c r="AC53" s="26" t="n">
        <v>1</v>
      </c>
    </row>
    <row r="54">
      <c r="A54" s="13" t="inlineStr">
        <is>
          <t>지배주주 순이익 YoY</t>
        </is>
      </c>
      <c r="B54" s="10" t="n"/>
      <c r="C54" s="14" t="n"/>
      <c r="D54" s="15" t="n"/>
      <c r="E54" s="15" t="n"/>
      <c r="F54" s="15" t="n"/>
      <c r="G54" s="15">
        <f>IF(OR(G52="",C52=""),"",IF(C52&lt;=0,"",IFERROR(G52/C52-1,"")))</f>
        <v/>
      </c>
      <c r="H54" s="15">
        <f>IF(OR(H52="",D52=""),"",IF(D52&lt;=0,"",IFERROR(H52/D52-1,"")))</f>
        <v/>
      </c>
      <c r="I54" s="15">
        <f>IF(OR(I52="",E52=""),"",IF(E52&lt;=0,"",IFERROR(I52/E52-1,"")))</f>
        <v/>
      </c>
      <c r="J54" s="15">
        <f>IF(OR(J52="",F52=""),"",IF(F52&lt;=0,"",IFERROR(J52/F52-1,"")))</f>
        <v/>
      </c>
      <c r="K54" s="15">
        <f>IF(OR(K52="",G52=""),"",IF(G52&lt;=0,"",IFERROR(K52/G52-1,"")))</f>
        <v/>
      </c>
      <c r="L54" s="15">
        <f>IF(OR(L52="",H52=""),"",IF(H52&lt;=0,"",IFERROR(L52/H52-1,"")))</f>
        <v/>
      </c>
      <c r="M54" s="15">
        <f>IF(OR(M52="",I52=""),"",IF(I52&lt;=0,"",IFERROR(M52/I52-1,"")))</f>
        <v/>
      </c>
      <c r="N54" s="15">
        <f>IF(OR(N52="",J52=""),"",IF(J52&lt;=0,"",IFERROR(N52/J52-1,"")))</f>
        <v/>
      </c>
      <c r="O54" s="14" t="n"/>
      <c r="P54" s="15">
        <f>IF(OR(P52="",O52=""),"",IF(O52&lt;=0,"",IFERROR(P52/O52-1,"")))</f>
        <v/>
      </c>
      <c r="Q54" s="15">
        <f>IF(OR(Q52="",P52=""),"",IF(P52&lt;=0,"",IFERROR(Q52/P52-1,"")))</f>
        <v/>
      </c>
      <c r="R54" s="15">
        <f>IF(OR(R52="",Q52=""),"",IF(Q52&lt;=0,"",IFERROR(R52/Q52-1,"")))</f>
        <v/>
      </c>
      <c r="S54" s="15">
        <f>IF(OR(S52="",R52=""),"",IF(R52&lt;=0,"",IFERROR(S52/R52-1,"")))</f>
        <v/>
      </c>
      <c r="T54" s="15">
        <f>IF(OR(T52="",S52=""),"",IF(S52&lt;=0,"",IFERROR(T52/S52-1,"")))</f>
        <v/>
      </c>
      <c r="U54" s="15">
        <f>IF(OR(U52="",T52=""),"",IF(T52&lt;=0,"",IFERROR(U52/T52-1,"")))</f>
        <v/>
      </c>
      <c r="V54" s="15">
        <f>IF(OR(V52="",U52=""),"",IF(U52&lt;=0,"",IFERROR(V52/U52-1,"")))</f>
        <v/>
      </c>
      <c r="W54" s="15">
        <f>IF(OR(W52="",V52=""),"",IF(V52&lt;=0,"",IFERROR(W52/V52-1,"")))</f>
        <v/>
      </c>
      <c r="X54" s="15">
        <f>IF(OR(X52="",W52=""),"",IF(W52&lt;=0,"",IFERROR(X52/W52-1,"")))</f>
        <v/>
      </c>
      <c r="Y54" s="14">
        <f>IF(OR(Y52="",X52=""),"",IF(X52&lt;=0,"",IFERROR(Y52/X52-1,"")))</f>
        <v/>
      </c>
      <c r="Z54" s="15">
        <f>IF(OR(Z52="",Y52=""),"",IF(Y52&lt;=0,"",IFERROR(Z52/Y52-1,"")))</f>
        <v/>
      </c>
      <c r="AA54" s="15">
        <f>IF(OR(AA52="",Z52=""),"",IF(Z52&lt;=0,"",IFERROR(AA52/Z52-1,"")))</f>
        <v/>
      </c>
      <c r="AB54" s="15">
        <f>IF(OR(AB52="",AA52=""),"",IF(AA52&lt;=0,"",IFERROR(AB52/AA52-1,"")))</f>
        <v/>
      </c>
      <c r="AC54" s="15">
        <f>IF(OR(AC52="",AB52=""),"",IF(AB52&lt;=0,"",IFERROR(AC52/AB52-1,"")))</f>
        <v/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(2026.10.28)</t>
        </is>
      </c>
      <c r="B56" s="27" t="n">
        <v>1199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18220000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IF(O23="","",O23)</f>
        <v/>
      </c>
      <c r="P59" s="15">
        <f>IF(P23="","",P23)</f>
        <v/>
      </c>
      <c r="Q59" s="15">
        <f>IF(Q23="","",Q23)</f>
        <v/>
      </c>
      <c r="R59" s="15">
        <f>IF(R23="","",R23)</f>
        <v/>
      </c>
      <c r="S59" s="15">
        <f>IF(S23="","",S23)</f>
        <v/>
      </c>
      <c r="T59" s="15">
        <f>IF(T23="","",T23)</f>
        <v/>
      </c>
      <c r="U59" s="15">
        <f>IF(U23="","",U23)</f>
        <v/>
      </c>
      <c r="V59" s="15">
        <f>IF(V23="","",V23)</f>
        <v/>
      </c>
      <c r="W59" s="15">
        <f>IF(W23="","",W23)</f>
        <v/>
      </c>
      <c r="X59" s="15">
        <f>IF(X23="","",X23)</f>
        <v/>
      </c>
      <c r="Y59" s="14">
        <f>IF(Y23="","",Y23)</f>
        <v/>
      </c>
      <c r="Z59" s="15">
        <f>IF(Z23="","",Z23)</f>
        <v/>
      </c>
      <c r="AA59" s="15">
        <f>IF(AA23="","",AA23)</f>
        <v/>
      </c>
      <c r="AB59" s="15">
        <f>IF(AB23="","",AB23)</f>
        <v/>
      </c>
      <c r="AC59" s="15">
        <f>IF(AC23="","",AC23)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IF(OR(P52="",O52=""),"",IFERROR(P52/O52-1,""))</f>
        <v/>
      </c>
      <c r="Q60" s="15">
        <f>IF(OR(Q52="",P52=""),"",IFERROR(Q52/P52-1,""))</f>
        <v/>
      </c>
      <c r="R60" s="15">
        <f>IF(OR(R52="",Q52=""),"",IFERROR(R52/Q52-1,""))</f>
        <v/>
      </c>
      <c r="S60" s="15">
        <f>IF(OR(S52="",R52=""),"",IFERROR(S52/R52-1,""))</f>
        <v/>
      </c>
      <c r="T60" s="15">
        <f>IF(OR(T52="",S52=""),"",IFERROR(T52/S52-1,""))</f>
        <v/>
      </c>
      <c r="U60" s="15">
        <f>IF(OR(U52="",T52=""),"",IFERROR(U52/T52-1,""))</f>
        <v/>
      </c>
      <c r="V60" s="15">
        <f>IF(OR(V52="",U52=""),"",IFERROR(V52/U52-1,""))</f>
        <v/>
      </c>
      <c r="W60" s="15">
        <f>IF(OR(W52="",V52=""),"",IFERROR(W52/V52-1,""))</f>
        <v/>
      </c>
      <c r="X60" s="15">
        <f>IF(OR(X52="",W52=""),"",IFERROR(X52/W52-1,""))</f>
        <v/>
      </c>
      <c r="Y60" s="14">
        <f>IF(OR(Y52="",X52=""),"",IFERROR(Y52/X52-1,""))</f>
        <v/>
      </c>
      <c r="Z60" s="15">
        <f>IF(OR(Z52="",Y52=""),"",IFERROR(Z52/Y52-1,""))</f>
        <v/>
      </c>
      <c r="AA60" s="15">
        <f>IF(OR(AA52="",Z52=""),"",IFERROR(AA52/Z52-1,""))</f>
        <v/>
      </c>
      <c r="AB60" s="15">
        <f>IF(OR(AB52="",AA52=""),"",IFERROR(AB52/AA52-1,""))</f>
        <v/>
      </c>
      <c r="AC60" s="15">
        <f>IF(OR(AC52="",AB52=""),"",IFERROR(AC52/AB52-1,""))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IF(OR($B$58="",X52=""),"",IFERROR($B$58/X52,""))</f>
        <v/>
      </c>
      <c r="Y61" s="30">
        <f>IF(OR($B$58="",Y52=""),"",IFERROR($B$58/Y52,""))</f>
        <v/>
      </c>
      <c r="Z61" s="31">
        <f>IF(OR($B$58="",Z52=""),"",IFERROR($B$58/Z52,""))</f>
        <v/>
      </c>
      <c r="AA61" s="31">
        <f>IF(OR($B$58="",AA52=""),"",IFERROR($B$58/AA52,""))</f>
        <v/>
      </c>
      <c r="AB61" s="31">
        <f>IF(OR($B$58="",AB52=""),"",IFERROR($B$58/AB52,""))</f>
        <v/>
      </c>
      <c r="AC61" s="31">
        <f>IF(OR($B$58="",AC52=""),"",IFERROR($B$58/AC52,""))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IF(OR(O52="",$B$57=""),"",IFERROR(O52*1000000.0/$B$57,""))</f>
        <v/>
      </c>
      <c r="P63" s="29">
        <f>IF(OR(P52="",$B$57=""),"",IFERROR(P52*1000000.0/$B$57,""))</f>
        <v/>
      </c>
      <c r="Q63" s="29">
        <f>IF(OR(Q52="",$B$57=""),"",IFERROR(Q52*1000000.0/$B$57,""))</f>
        <v/>
      </c>
      <c r="R63" s="29">
        <f>IF(OR(R52="",$B$57=""),"",IFERROR(R52*1000000.0/$B$57,""))</f>
        <v/>
      </c>
      <c r="S63" s="29">
        <f>IF(OR(S52="",$B$57=""),"",IFERROR(S52*1000000.0/$B$57,""))</f>
        <v/>
      </c>
      <c r="T63" s="29">
        <f>IF(OR(T52="",$B$57=""),"",IFERROR(T52*1000000.0/$B$57,""))</f>
        <v/>
      </c>
      <c r="U63" s="29">
        <f>IF(OR(U52="",$B$57=""),"",IFERROR(U52*1000000.0/$B$57,""))</f>
        <v/>
      </c>
      <c r="V63" s="29">
        <f>IF(OR(V52="",$B$57=""),"",IFERROR(V52*1000000.0/$B$57,""))</f>
        <v/>
      </c>
      <c r="W63" s="29">
        <f>IF(OR(W52="",$B$57=""),"",IFERROR(W52*1000000.0/$B$57,""))</f>
        <v/>
      </c>
      <c r="X63" s="29">
        <f>IF(OR(X52="",$B$57=""),"",IFERROR(X52*1000000.0/$B$57,""))</f>
        <v/>
      </c>
      <c r="Y63" s="28">
        <f>IF(OR(Y52="",$B$57=""),"",IFERROR(Y52*1000000.0/$B$57,""))</f>
        <v/>
      </c>
      <c r="Z63" s="29">
        <f>IF(OR(Z52="",$B$57=""),"",IFERROR(Z52*1000000.0/$B$57,""))</f>
        <v/>
      </c>
      <c r="AA63" s="29">
        <f>IF(OR(AA52="",$B$57=""),"",IFERROR(AA52*1000000.0/$B$57,""))</f>
        <v/>
      </c>
      <c r="AB63" s="29">
        <f>IF(OR(AB52="",$B$57=""),"",IFERROR(AB52*1000000.0/$B$57,""))</f>
        <v/>
      </c>
      <c r="AC63" s="29">
        <f>IF(OR(AC52="",$B$57=""),"",IFERROR(AC52*1000000.0/$B$57,""))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IF(OR(Y52="",Y62=""),"",IFERROR(Y52*Y62,""))</f>
        <v/>
      </c>
      <c r="Z75" s="20">
        <f>IF(OR(Z52="",Z62=""),"",IFERROR(Z52*Z62,""))</f>
        <v/>
      </c>
      <c r="AA75" s="20">
        <f>IF(OR(AA52="",AA62=""),"",IFERROR(AA52*AA62,""))</f>
        <v/>
      </c>
      <c r="AB75" s="20">
        <f>IF(OR(AB52="",AB62=""),"",IFERROR(AB52*AB62,""))</f>
        <v/>
      </c>
      <c r="AC75" s="20">
        <f>IF(OR(AC52="",AC62=""),"",IFERROR(AC52*AC62,""))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2026.10.28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2024.3Q</t>
        </is>
      </c>
      <c r="D86" s="5" t="inlineStr">
        <is>
          <t>2024.4Q</t>
        </is>
      </c>
      <c r="E86" s="5" t="inlineStr">
        <is>
          <t>2025.1Q</t>
        </is>
      </c>
      <c r="F86" s="5" t="inlineStr">
        <is>
          <t>2025.2Q</t>
        </is>
      </c>
      <c r="G86" s="5" t="inlineStr">
        <is>
          <t>2025.3Q</t>
        </is>
      </c>
      <c r="H86" s="5" t="inlineStr">
        <is>
          <t>2025.4Q</t>
        </is>
      </c>
      <c r="I86" s="5" t="inlineStr">
        <is>
          <t>2026.1Q</t>
        </is>
      </c>
      <c r="J86" s="5" t="inlineStr">
        <is>
          <t>2026.2Q</t>
        </is>
      </c>
      <c r="K86" s="5" t="inlineStr">
        <is>
          <t>2026.3Q</t>
        </is>
      </c>
      <c r="L86" s="5" t="inlineStr">
        <is>
          <t>2026.4Q</t>
        </is>
      </c>
      <c r="M86" s="5" t="inlineStr">
        <is>
          <t>2027.1Q</t>
        </is>
      </c>
      <c r="N86" s="5" t="inlineStr">
        <is>
          <t>2027.2Q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9777.627</v>
      </c>
      <c r="D87" s="12" t="n">
        <v>11807.573</v>
      </c>
      <c r="E87" s="12" t="n">
        <v>8655.48</v>
      </c>
      <c r="F87" s="12" t="n">
        <v>9420.847</v>
      </c>
      <c r="G87" s="12" t="n">
        <v>10043.353</v>
      </c>
      <c r="H87" s="12" t="n">
        <v>12097.338</v>
      </c>
      <c r="I87" s="12" t="n">
        <v>8882.008</v>
      </c>
      <c r="J87" s="12" t="n">
        <v>10046.754</v>
      </c>
      <c r="K87" s="12" t="n">
        <v>9005.681</v>
      </c>
      <c r="L87" s="12" t="n">
        <v>11025.954</v>
      </c>
      <c r="M87" s="12" t="n">
        <v>9017.018</v>
      </c>
      <c r="N87" s="12" t="n">
        <v>9867.08</v>
      </c>
      <c r="T87" s="12" t="n">
        <v>9266.094999999999</v>
      </c>
      <c r="U87" s="12" t="n">
        <v>8952.508</v>
      </c>
      <c r="V87" s="12" t="n">
        <v>11807.573</v>
      </c>
      <c r="W87" s="12" t="n">
        <v>12097.338</v>
      </c>
      <c r="X87" s="12" t="n">
        <v>11025.954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7680.949</v>
      </c>
      <c r="D89" s="20" t="n">
        <v>9511.35</v>
      </c>
      <c r="E89" s="20" t="n">
        <v>6952.155</v>
      </c>
      <c r="F89" s="20" t="n">
        <v>7545.4</v>
      </c>
      <c r="G89" s="20" t="n">
        <v>7910.141</v>
      </c>
      <c r="H89" s="20" t="n">
        <v>9553.862999999999</v>
      </c>
      <c r="I89" s="20" t="n">
        <v>6979.706</v>
      </c>
      <c r="J89" s="20" t="n">
        <v>7850.132</v>
      </c>
      <c r="K89" s="20" t="n">
        <v>6941.205</v>
      </c>
      <c r="L89" s="20" t="n">
        <v>8605.504999999999</v>
      </c>
      <c r="M89" s="20" t="n">
        <v>7171.666</v>
      </c>
      <c r="N89" s="20" t="n">
        <v>7842.264</v>
      </c>
      <c r="T89" s="20" t="n">
        <v>7613.734</v>
      </c>
      <c r="U89" s="20" t="n">
        <v>7021.181</v>
      </c>
      <c r="V89" s="20" t="n">
        <v>9511.35</v>
      </c>
      <c r="W89" s="20" t="n">
        <v>9553.862999999999</v>
      </c>
      <c r="X89" s="20" t="n">
        <v>8605.504999999999</v>
      </c>
    </row>
    <row r="90">
      <c r="A90" s="43" t="inlineStr">
        <is>
          <t>YoY</t>
        </is>
      </c>
      <c r="B90" s="3" t="inlineStr">
        <is>
          <t>전년 같은 분기·전년 대비</t>
        </is>
      </c>
      <c r="G90" s="15">
        <f>IF(OR(G89="",C89=""),"",IF(G89*C89&lt;=0,"",IFERROR(G89/C89-1,"")))</f>
        <v/>
      </c>
      <c r="H90" s="15">
        <f>IF(OR(H89="",D89=""),"",IF(H89*D89&lt;=0,"",IFERROR(H89/D89-1,"")))</f>
        <v/>
      </c>
      <c r="I90" s="15">
        <f>IF(OR(I89="",E89=""),"",IF(I89*E89&lt;=0,"",IFERROR(I89/E89-1,"")))</f>
        <v/>
      </c>
      <c r="J90" s="15">
        <f>IF(OR(J89="",F89=""),"",IF(J89*F89&lt;=0,"",IFERROR(J89/F89-1,"")))</f>
        <v/>
      </c>
      <c r="K90" s="15">
        <f>IF(OR(K89="",G89=""),"",IF(K89*G89&lt;=0,"",IFERROR(K89/G89-1,"")))</f>
        <v/>
      </c>
      <c r="L90" s="15">
        <f>IF(OR(L89="",H89=""),"",IF(L89*H89&lt;=0,"",IFERROR(L89/H89-1,"")))</f>
        <v/>
      </c>
      <c r="M90" s="15">
        <f>IF(OR(M89="",I89=""),"",IF(M89*I89&lt;=0,"",IFERROR(M89/I89-1,"")))</f>
        <v/>
      </c>
      <c r="N90" s="15">
        <f>IF(OR(N89="",J89=""),"",IF(N89*J89&lt;=0,"",IFERROR(N89/J89-1,"")))</f>
        <v/>
      </c>
      <c r="T90" s="15">
        <f>IF(OR(T89="",S89=""),"",IF(T89*S89&lt;=0,"",IFERROR(T89/S89-1,"")))</f>
        <v/>
      </c>
      <c r="U90" s="15">
        <f>IF(OR(U89="",T89=""),"",IF(U89*T89&lt;=0,"",IFERROR(U89/T89-1,"")))</f>
        <v/>
      </c>
      <c r="V90" s="15">
        <f>IF(OR(V89="",U89=""),"",IF(V89*U89&lt;=0,"",IFERROR(V89/U89-1,"")))</f>
        <v/>
      </c>
      <c r="W90" s="15">
        <f>IF(OR(W89="",V89=""),"",IF(W89*V89&lt;=0,"",IFERROR(W89/V89-1,"")))</f>
        <v/>
      </c>
      <c r="X90" s="15">
        <f>IF(OR(X89="",W89=""),"",IF(X89*W89&lt;=0,"",IFERROR(X89/W89-1,"")))</f>
        <v/>
      </c>
    </row>
    <row r="91">
      <c r="A91" s="9" t="inlineStr">
        <is>
          <t>매출총이익</t>
        </is>
      </c>
      <c r="C91" s="12" t="n">
        <v>2096.678</v>
      </c>
      <c r="D91" s="12" t="n">
        <v>2296.223</v>
      </c>
      <c r="E91" s="12" t="n">
        <v>1703.325</v>
      </c>
      <c r="F91" s="12" t="n">
        <v>1875.447</v>
      </c>
      <c r="G91" s="12" t="n">
        <v>2133.211</v>
      </c>
      <c r="H91" s="12" t="n">
        <v>2543.475</v>
      </c>
      <c r="I91" s="12" t="n">
        <v>1902.302</v>
      </c>
      <c r="J91" s="12" t="n">
        <v>2196.621</v>
      </c>
      <c r="K91" s="12" t="n">
        <v>2064.477</v>
      </c>
      <c r="L91" s="12" t="n">
        <v>2420.449</v>
      </c>
      <c r="M91" s="12" t="n">
        <v>1845.352</v>
      </c>
      <c r="N91" s="12" t="n">
        <v>2024.815</v>
      </c>
      <c r="T91" s="12" t="n">
        <v>1652.362</v>
      </c>
      <c r="U91" s="12" t="n">
        <v>1931.327</v>
      </c>
      <c r="V91" s="12" t="n">
        <v>2296.223</v>
      </c>
      <c r="W91" s="12" t="n">
        <v>2543.475</v>
      </c>
      <c r="X91" s="12" t="n">
        <v>2420.449</v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IF(OR(G91="",C91=""),"",IF(C91&lt;=0,"",IFERROR(G91/C91-1,"")))</f>
        <v/>
      </c>
      <c r="H92" s="15">
        <f>IF(OR(H91="",D91=""),"",IF(D91&lt;=0,"",IFERROR(H91/D91-1,"")))</f>
        <v/>
      </c>
      <c r="I92" s="15">
        <f>IF(OR(I91="",E91=""),"",IF(E91&lt;=0,"",IFERROR(I91/E91-1,"")))</f>
        <v/>
      </c>
      <c r="J92" s="15">
        <f>IF(OR(J91="",F91=""),"",IF(F91&lt;=0,"",IFERROR(J91/F91-1,"")))</f>
        <v/>
      </c>
      <c r="K92" s="15">
        <f>IF(OR(K91="",G91=""),"",IF(G91&lt;=0,"",IFERROR(K91/G91-1,"")))</f>
        <v/>
      </c>
      <c r="L92" s="15">
        <f>IF(OR(L91="",H91=""),"",IF(H91&lt;=0,"",IFERROR(L91/H91-1,"")))</f>
        <v/>
      </c>
      <c r="M92" s="15">
        <f>IF(OR(M91="",I91=""),"",IF(I91&lt;=0,"",IFERROR(M91/I91-1,"")))</f>
        <v/>
      </c>
      <c r="N92" s="15">
        <f>IF(OR(N91="",J91=""),"",IF(J91&lt;=0,"",IFERROR(N91/J91-1,"")))</f>
        <v/>
      </c>
      <c r="T92" s="15">
        <f>IF(OR(T91="",S91=""),"",IF(S91&lt;=0,"",IFERROR(T91/S91-1,"")))</f>
        <v/>
      </c>
      <c r="U92" s="15">
        <f>IF(OR(U91="",T91=""),"",IF(T91&lt;=0,"",IFERROR(U91/T91-1,"")))</f>
        <v/>
      </c>
      <c r="V92" s="15">
        <f>IF(OR(V91="",U91=""),"",IF(U91&lt;=0,"",IFERROR(V91/U91-1,"")))</f>
        <v/>
      </c>
      <c r="W92" s="15">
        <f>IF(OR(W91="",V91=""),"",IF(V91&lt;=0,"",IFERROR(W91/V91-1,"")))</f>
        <v/>
      </c>
      <c r="X92" s="15">
        <f>IF(OR(X91="",W91=""),"",IF(W91&lt;=0,"",IFERROR(X91/W91-1,"")))</f>
        <v/>
      </c>
    </row>
    <row r="93">
      <c r="A93" s="18" t="inlineStr">
        <is>
          <t>판매비와 관리비</t>
        </is>
      </c>
      <c r="C93" s="20" t="n">
        <v>1132.74</v>
      </c>
      <c r="D93" s="20" t="n">
        <v>1332.602</v>
      </c>
      <c r="E93" s="20" t="n">
        <v>1232.531</v>
      </c>
      <c r="F93" s="20" t="n">
        <v>1208.867</v>
      </c>
      <c r="G93" s="20" t="n">
        <v>1214.261</v>
      </c>
      <c r="H93" s="20" t="n">
        <v>1353.938</v>
      </c>
      <c r="I93" s="20" t="n">
        <v>1268.687</v>
      </c>
      <c r="J93" s="20" t="n">
        <v>1362.658</v>
      </c>
      <c r="K93" s="20" t="n">
        <v>1306.673</v>
      </c>
      <c r="L93" s="20" t="n">
        <v>1454.964</v>
      </c>
      <c r="M93" s="20" t="n">
        <v>1455.876</v>
      </c>
      <c r="N93" s="20" t="n">
        <v>1475.775</v>
      </c>
      <c r="T93" s="20" t="n">
        <v>1165.848</v>
      </c>
      <c r="U93" s="20" t="n">
        <v>1163.239</v>
      </c>
      <c r="V93" s="20" t="n">
        <v>1332.602</v>
      </c>
      <c r="W93" s="20" t="n">
        <v>1353.938</v>
      </c>
      <c r="X93" s="20" t="n">
        <v>1454.964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IF(OR(G93="",C93=""),"",IF(G93*C93&lt;=0,"",IFERROR(G93/C93-1,"")))</f>
        <v/>
      </c>
      <c r="H94" s="15">
        <f>IF(OR(H93="",D93=""),"",IF(H93*D93&lt;=0,"",IFERROR(H93/D93-1,"")))</f>
        <v/>
      </c>
      <c r="I94" s="15">
        <f>IF(OR(I93="",E93=""),"",IF(I93*E93&lt;=0,"",IFERROR(I93/E93-1,"")))</f>
        <v/>
      </c>
      <c r="J94" s="15">
        <f>IF(OR(J93="",F93=""),"",IF(J93*F93&lt;=0,"",IFERROR(J93/F93-1,"")))</f>
        <v/>
      </c>
      <c r="K94" s="15">
        <f>IF(OR(K93="",G93=""),"",IF(K93*G93&lt;=0,"",IFERROR(K93/G93-1,"")))</f>
        <v/>
      </c>
      <c r="L94" s="15">
        <f>IF(OR(L93="",H93=""),"",IF(L93*H93&lt;=0,"",IFERROR(L93/H93-1,"")))</f>
        <v/>
      </c>
      <c r="M94" s="15">
        <f>IF(OR(M93="",I93=""),"",IF(M93*I93&lt;=0,"",IFERROR(M93/I93-1,"")))</f>
        <v/>
      </c>
      <c r="N94" s="15">
        <f>IF(OR(N93="",J93=""),"",IF(N93*J93&lt;=0,"",IFERROR(N93/J93-1,"")))</f>
        <v/>
      </c>
      <c r="T94" s="15">
        <f>IF(OR(T93="",S93=""),"",IF(T93*S93&lt;=0,"",IFERROR(T93/S93-1,"")))</f>
        <v/>
      </c>
      <c r="U94" s="15">
        <f>IF(OR(U93="",T93=""),"",IF(U93*T93&lt;=0,"",IFERROR(U93/T93-1,"")))</f>
        <v/>
      </c>
      <c r="V94" s="15">
        <f>IF(OR(V93="",U93=""),"",IF(V93*U93&lt;=0,"",IFERROR(V93/U93-1,"")))</f>
        <v/>
      </c>
      <c r="W94" s="15">
        <f>IF(OR(W93="",V93=""),"",IF(W93*V93&lt;=0,"",IFERROR(W93/V93-1,"")))</f>
        <v/>
      </c>
      <c r="X94" s="15">
        <f>IF(OR(X93="",W93=""),"",IF(X93*W93&lt;=0,"",IFERROR(X93/W93-1,"")))</f>
        <v/>
      </c>
    </row>
    <row r="95">
      <c r="A95" s="9" t="inlineStr">
        <is>
          <t>영업이익</t>
        </is>
      </c>
      <c r="C95" s="12" t="n">
        <v>963.938</v>
      </c>
      <c r="D95" s="12" t="n">
        <v>963.621</v>
      </c>
      <c r="E95" s="12" t="n">
        <v>470.794</v>
      </c>
      <c r="F95" s="12" t="n">
        <v>666.579</v>
      </c>
      <c r="G95" s="12" t="n">
        <v>918.95</v>
      </c>
      <c r="H95" s="12" t="n">
        <v>1189.537</v>
      </c>
      <c r="I95" s="12" t="n">
        <v>633.614</v>
      </c>
      <c r="J95" s="12" t="n">
        <v>833.9640000000001</v>
      </c>
      <c r="K95" s="12" t="n">
        <v>757.804</v>
      </c>
      <c r="L95" s="12" t="n">
        <v>965.484</v>
      </c>
      <c r="M95" s="12" t="n">
        <v>389.475</v>
      </c>
      <c r="N95" s="12" t="n">
        <v>549.04</v>
      </c>
      <c r="T95" s="12" t="n">
        <v>486.513</v>
      </c>
      <c r="U95" s="12" t="n">
        <v>768.088</v>
      </c>
      <c r="V95" s="12" t="n">
        <v>963.621</v>
      </c>
      <c r="W95" s="12" t="n">
        <v>1189.537</v>
      </c>
      <c r="X95" s="12" t="n">
        <v>965.484</v>
      </c>
    </row>
    <row r="96">
      <c r="A96" s="43" t="inlineStr">
        <is>
          <t>OPM</t>
        </is>
      </c>
      <c r="B96" s="3" t="inlineStr">
        <is>
          <t>영업이익 ÷ 매출</t>
        </is>
      </c>
      <c r="C96" s="15">
        <f>IF(OR(C95="",C87=""),"",IF(C87&lt;=0,"",IFERROR(C95/C87,"")))</f>
        <v/>
      </c>
      <c r="D96" s="15">
        <f>IF(OR(D95="",D87=""),"",IF(D87&lt;=0,"",IFERROR(D95/D87,"")))</f>
        <v/>
      </c>
      <c r="E96" s="15">
        <f>IF(OR(E95="",E87=""),"",IF(E87&lt;=0,"",IFERROR(E95/E87,"")))</f>
        <v/>
      </c>
      <c r="F96" s="15">
        <f>IF(OR(F95="",F87=""),"",IF(F87&lt;=0,"",IFERROR(F95/F87,"")))</f>
        <v/>
      </c>
      <c r="G96" s="15">
        <f>IF(OR(G95="",G87=""),"",IF(G87&lt;=0,"",IFERROR(G95/G87,"")))</f>
        <v/>
      </c>
      <c r="H96" s="15">
        <f>IF(OR(H95="",H87=""),"",IF(H87&lt;=0,"",IFERROR(H95/H87,"")))</f>
        <v/>
      </c>
      <c r="I96" s="15">
        <f>IF(OR(I95="",I87=""),"",IF(I87&lt;=0,"",IFERROR(I95/I87,"")))</f>
        <v/>
      </c>
      <c r="J96" s="15">
        <f>IF(OR(J95="",J87=""),"",IF(J87&lt;=0,"",IFERROR(J95/J87,"")))</f>
        <v/>
      </c>
      <c r="K96" s="15">
        <f>IF(OR(K95="",K87=""),"",IF(K87&lt;=0,"",IFERROR(K95/K87,"")))</f>
        <v/>
      </c>
      <c r="L96" s="15">
        <f>IF(OR(L95="",L87=""),"",IF(L87&lt;=0,"",IFERROR(L95/L87,"")))</f>
        <v/>
      </c>
      <c r="M96" s="15">
        <f>IF(OR(M95="",M87=""),"",IF(M87&lt;=0,"",IFERROR(M95/M87,"")))</f>
        <v/>
      </c>
      <c r="N96" s="15">
        <f>IF(OR(N95="",N87=""),"",IF(N87&lt;=0,"",IFERROR(N95/N87,"")))</f>
        <v/>
      </c>
      <c r="T96" s="15">
        <f>IF(OR(T95="",T87=""),"",IF(T87&lt;=0,"",IFERROR(T95/T87,"")))</f>
        <v/>
      </c>
      <c r="U96" s="15">
        <f>IF(OR(U95="",U87=""),"",IF(U87&lt;=0,"",IFERROR(U95/U87,"")))</f>
        <v/>
      </c>
      <c r="V96" s="15">
        <f>IF(OR(V95="",V87=""),"",IF(V87&lt;=0,"",IFERROR(V95/V87,"")))</f>
        <v/>
      </c>
      <c r="W96" s="15">
        <f>IF(OR(W95="",W87=""),"",IF(W87&lt;=0,"",IFERROR(W95/W87,"")))</f>
        <v/>
      </c>
      <c r="X96" s="15">
        <f>IF(OR(X95="",X87=""),"",IF(X87&lt;=0,"",IFERROR(X95/X87,"")))</f>
        <v/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IF(OR(G95="",C95=""),"",IF(C95&lt;=0,"",IFERROR(G95/C95-1,"")))</f>
        <v/>
      </c>
      <c r="H97" s="15">
        <f>IF(OR(H95="",D95=""),"",IF(D95&lt;=0,"",IFERROR(H95/D95-1,"")))</f>
        <v/>
      </c>
      <c r="I97" s="15">
        <f>IF(OR(I95="",E95=""),"",IF(E95&lt;=0,"",IFERROR(I95/E95-1,"")))</f>
        <v/>
      </c>
      <c r="J97" s="15">
        <f>IF(OR(J95="",F95=""),"",IF(F95&lt;=0,"",IFERROR(J95/F95-1,"")))</f>
        <v/>
      </c>
      <c r="K97" s="15">
        <f>IF(OR(K95="",G95=""),"",IF(G95&lt;=0,"",IFERROR(K95/G95-1,"")))</f>
        <v/>
      </c>
      <c r="L97" s="15">
        <f>IF(OR(L95="",H95=""),"",IF(H95&lt;=0,"",IFERROR(L95/H95-1,"")))</f>
        <v/>
      </c>
      <c r="M97" s="15">
        <f>IF(OR(M95="",I95=""),"",IF(I95&lt;=0,"",IFERROR(M95/I95-1,"")))</f>
        <v/>
      </c>
      <c r="N97" s="15">
        <f>IF(OR(N95="",J95=""),"",IF(J95&lt;=0,"",IFERROR(N95/J95-1,"")))</f>
        <v/>
      </c>
      <c r="T97" s="15">
        <f>IF(OR(T95="",S95=""),"",IF(S95&lt;=0,"",IFERROR(T95/S95-1,"")))</f>
        <v/>
      </c>
      <c r="U97" s="15">
        <f>IF(OR(U95="",T95=""),"",IF(T95&lt;=0,"",IFERROR(U95/T95-1,"")))</f>
        <v/>
      </c>
      <c r="V97" s="15">
        <f>IF(OR(V95="",U95=""),"",IF(U95&lt;=0,"",IFERROR(V95/U95-1,"")))</f>
        <v/>
      </c>
      <c r="W97" s="15">
        <f>IF(OR(W95="",V95=""),"",IF(V95&lt;=0,"",IFERROR(W95/V95-1,"")))</f>
        <v/>
      </c>
      <c r="X97" s="15">
        <f>IF(OR(X95="",W95=""),"",IF(W95&lt;=0,"",IFERROR(X95/W95-1,"")))</f>
        <v/>
      </c>
    </row>
    <row r="98">
      <c r="A98" s="18" t="inlineStr">
        <is>
          <t>이자수익</t>
        </is>
      </c>
      <c r="C98" s="20" t="n">
        <v>12.748</v>
      </c>
      <c r="D98" s="20" t="n">
        <v>35.051</v>
      </c>
      <c r="E98" s="20" t="n">
        <v>16.255</v>
      </c>
      <c r="F98" s="20" t="n">
        <v>16.539</v>
      </c>
      <c r="G98" s="20" t="n">
        <v>15.599</v>
      </c>
      <c r="H98" s="20" t="n">
        <v>31.59</v>
      </c>
      <c r="I98" s="20" t="n">
        <v>21.327</v>
      </c>
      <c r="J98" s="20" t="n">
        <v>18.653</v>
      </c>
      <c r="K98" s="20" t="n">
        <v>16.433</v>
      </c>
      <c r="L98" s="20" t="n">
        <v>25.29</v>
      </c>
      <c r="M98" s="20" t="n">
        <v>25.609</v>
      </c>
      <c r="N98" s="20" t="n">
        <v>22.72</v>
      </c>
      <c r="T98" s="20" t="n">
        <v>26.46</v>
      </c>
      <c r="U98" s="20" t="n">
        <v>34.181</v>
      </c>
      <c r="V98" s="20" t="n">
        <v>35.051</v>
      </c>
      <c r="W98" s="20" t="n">
        <v>31.59</v>
      </c>
      <c r="X98" s="20" t="n">
        <v>25.29</v>
      </c>
    </row>
    <row r="99">
      <c r="A99" s="18" t="inlineStr">
        <is>
          <t>배당금수익</t>
        </is>
      </c>
      <c r="C99" s="20" t="n">
        <v>23.761</v>
      </c>
      <c r="D99" s="20" t="n">
        <v>0.052</v>
      </c>
      <c r="E99" s="20" t="n">
        <v>34.601</v>
      </c>
      <c r="F99" s="20" t="n">
        <v>-0.159</v>
      </c>
      <c r="G99" s="20" t="n">
        <v>31.767</v>
      </c>
      <c r="H99" s="20" t="n">
        <v>3.092</v>
      </c>
      <c r="I99" s="20" t="n">
        <v>37.919</v>
      </c>
      <c r="J99" s="20" t="n">
        <v>9.023999999999999</v>
      </c>
      <c r="K99" s="20" t="n">
        <v>37.542</v>
      </c>
      <c r="L99" s="20" t="n">
        <v>6.543</v>
      </c>
      <c r="M99" s="20" t="n">
        <v>39.597</v>
      </c>
      <c r="N99" s="20" t="n">
        <v>11.837</v>
      </c>
      <c r="T99" s="20" t="n">
        <v>-0.001</v>
      </c>
      <c r="U99" s="20" t="n">
        <v>0.023</v>
      </c>
      <c r="V99" s="20" t="n">
        <v>0.052</v>
      </c>
      <c r="W99" s="20" t="n">
        <v>3.092</v>
      </c>
      <c r="X99" s="20" t="n">
        <v>6.543</v>
      </c>
    </row>
    <row r="100">
      <c r="A100" s="18" t="inlineStr">
        <is>
          <t>지분법이익</t>
        </is>
      </c>
      <c r="C100" s="20" t="n">
        <v>103.27</v>
      </c>
      <c r="D100" s="20" t="n">
        <v>-182.338</v>
      </c>
      <c r="E100" s="20" t="n">
        <v>71.51300000000001</v>
      </c>
      <c r="F100" s="20" t="n">
        <v>124.441</v>
      </c>
      <c r="G100" s="20" t="n">
        <v>182.235</v>
      </c>
      <c r="H100" s="20" t="n">
        <v>-301.044</v>
      </c>
      <c r="I100" s="20" t="n">
        <v>117.592</v>
      </c>
      <c r="J100" s="20" t="n">
        <v>149.294</v>
      </c>
      <c r="K100" s="20" t="n">
        <v>120.435</v>
      </c>
      <c r="L100" s="20" t="n">
        <v>-6.566</v>
      </c>
      <c r="M100" s="20" t="n">
        <v>99.16500000000001</v>
      </c>
      <c r="N100" s="20" t="n">
        <v>100.009</v>
      </c>
      <c r="T100" s="20" t="n">
        <v>-1.003</v>
      </c>
      <c r="U100" s="20" t="n">
        <v>36.829</v>
      </c>
      <c r="V100" s="20" t="n">
        <v>-182.338</v>
      </c>
      <c r="W100" s="20" t="n">
        <v>-301.044</v>
      </c>
      <c r="X100" s="20" t="n">
        <v>-6.566</v>
      </c>
    </row>
    <row r="101">
      <c r="A101" s="18" t="inlineStr">
        <is>
          <t>보상금 수취</t>
        </is>
      </c>
      <c r="E101" s="20" t="n">
        <v>40.556</v>
      </c>
      <c r="I101" s="20" t="n">
        <v>0.141</v>
      </c>
      <c r="M101" s="20" t="n">
        <v>0</v>
      </c>
    </row>
    <row r="102">
      <c r="A102" s="18" t="inlineStr">
        <is>
          <t>외환차익</t>
        </is>
      </c>
      <c r="C102" s="20" t="n">
        <v>2.117</v>
      </c>
      <c r="D102" s="20" t="n">
        <v>-2.117</v>
      </c>
      <c r="G102" s="20" t="n">
        <v>-6.016</v>
      </c>
      <c r="H102" s="20" t="n">
        <v>2.127</v>
      </c>
      <c r="I102" s="20" t="n">
        <v>0</v>
      </c>
      <c r="J102" s="20" t="n">
        <v>0</v>
      </c>
      <c r="K102" s="20" t="n">
        <v>0</v>
      </c>
      <c r="L102" s="20" t="n">
        <v>1.483</v>
      </c>
      <c r="M102" s="20" t="n">
        <v>0.996</v>
      </c>
      <c r="N102" s="20" t="n">
        <v>1.69</v>
      </c>
      <c r="T102" s="20" t="n">
        <v>5.517</v>
      </c>
      <c r="U102" s="20" t="n">
        <v>-13.319</v>
      </c>
      <c r="V102" s="20" t="n">
        <v>-2.117</v>
      </c>
      <c r="W102" s="20" t="n">
        <v>2.127</v>
      </c>
      <c r="X102" s="20" t="n">
        <v>1.483</v>
      </c>
    </row>
    <row r="103">
      <c r="A103" s="18" t="inlineStr">
        <is>
          <t>잡이익</t>
        </is>
      </c>
      <c r="C103" s="20" t="n">
        <v>8.436999999999999</v>
      </c>
      <c r="D103" s="20" t="n">
        <v>2.217</v>
      </c>
      <c r="E103" s="20" t="n">
        <v>10.084</v>
      </c>
      <c r="F103" s="20" t="n">
        <v>56.196</v>
      </c>
      <c r="G103" s="20" t="n">
        <v>42.203</v>
      </c>
      <c r="H103" s="20" t="n">
        <v>-54.473</v>
      </c>
      <c r="I103" s="20" t="n">
        <v>5.31</v>
      </c>
      <c r="J103" s="20" t="n">
        <v>6.374</v>
      </c>
      <c r="K103" s="20" t="n">
        <v>6.737</v>
      </c>
      <c r="L103" s="20" t="n">
        <v>6.938</v>
      </c>
      <c r="M103" s="20" t="n">
        <v>22.536</v>
      </c>
      <c r="N103" s="20" t="n">
        <v>19.634</v>
      </c>
      <c r="T103" s="20" t="n">
        <v>-46.13</v>
      </c>
      <c r="U103" s="20" t="n">
        <v>51.382</v>
      </c>
      <c r="V103" s="20" t="n">
        <v>2.217</v>
      </c>
      <c r="W103" s="20" t="n">
        <v>-54.473</v>
      </c>
      <c r="X103" s="20" t="n">
        <v>6.938</v>
      </c>
    </row>
    <row r="104">
      <c r="A104" s="18" t="inlineStr">
        <is>
          <t>영업외수익 합계</t>
        </is>
      </c>
      <c r="C104" s="20" t="n">
        <v>150.334</v>
      </c>
      <c r="D104" s="20" t="n">
        <v>-138.116</v>
      </c>
      <c r="E104" s="20" t="n">
        <v>173.011</v>
      </c>
      <c r="F104" s="20" t="n">
        <v>168.086</v>
      </c>
      <c r="G104" s="20" t="n">
        <v>265.79</v>
      </c>
      <c r="H104" s="20" t="n">
        <v>-245.431</v>
      </c>
      <c r="I104" s="20" t="n">
        <v>182.291</v>
      </c>
      <c r="J104" s="20" t="n">
        <v>183.203</v>
      </c>
      <c r="K104" s="20" t="n">
        <v>181.148</v>
      </c>
      <c r="L104" s="20" t="n">
        <v>36.369</v>
      </c>
      <c r="M104" s="20" t="n">
        <v>187.905</v>
      </c>
      <c r="N104" s="20" t="n">
        <v>155.89</v>
      </c>
      <c r="T104" s="20" t="n">
        <v>38.673</v>
      </c>
      <c r="U104" s="20" t="n">
        <v>112.923</v>
      </c>
      <c r="V104" s="20" t="n">
        <v>-138.116</v>
      </c>
      <c r="W104" s="20" t="n">
        <v>-245.431</v>
      </c>
      <c r="X104" s="20" t="n">
        <v>36.369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18" t="inlineStr">
        <is>
          <t>이자비용</t>
        </is>
      </c>
      <c r="D106" s="20" t="n">
        <v>0.206</v>
      </c>
      <c r="E106" s="20" t="n">
        <v>0.192</v>
      </c>
      <c r="H106" s="20" t="n">
        <v>0.136</v>
      </c>
      <c r="I106" s="20" t="n">
        <v>0.165</v>
      </c>
      <c r="L106" s="20" t="n">
        <v>0.113</v>
      </c>
      <c r="M106" s="20" t="n">
        <v>0.211</v>
      </c>
      <c r="T106" s="20" t="n">
        <v>0.5570000000000001</v>
      </c>
      <c r="U106" s="20" t="n">
        <v>0.474</v>
      </c>
      <c r="V106" s="20" t="n">
        <v>0.206</v>
      </c>
      <c r="W106" s="20" t="n">
        <v>0.136</v>
      </c>
      <c r="X106" s="20" t="n">
        <v>0.113</v>
      </c>
    </row>
    <row r="107">
      <c r="A107" s="18" t="inlineStr">
        <is>
          <t>고정자산 제각손실</t>
        </is>
      </c>
      <c r="C107" s="20" t="n">
        <v>48.632</v>
      </c>
      <c r="D107" s="20" t="n">
        <v>0.726</v>
      </c>
      <c r="E107" s="20" t="n">
        <v>17.646</v>
      </c>
      <c r="F107" s="20" t="n">
        <v>2.963</v>
      </c>
      <c r="G107" s="20" t="n">
        <v>27.049</v>
      </c>
      <c r="H107" s="20" t="n">
        <v>4.008</v>
      </c>
      <c r="I107" s="20" t="n">
        <v>2.389</v>
      </c>
      <c r="J107" s="20" t="n">
        <v>4.378</v>
      </c>
      <c r="K107" s="20" t="n">
        <v>7.421</v>
      </c>
      <c r="L107" s="20" t="n">
        <v>24.413</v>
      </c>
      <c r="M107" s="20" t="n">
        <v>0.367</v>
      </c>
      <c r="N107" s="20" t="n">
        <v>4.036</v>
      </c>
      <c r="T107" s="20" t="n">
        <v>7.812</v>
      </c>
      <c r="U107" s="20" t="n">
        <v>1.6</v>
      </c>
      <c r="V107" s="20" t="n">
        <v>0.726</v>
      </c>
      <c r="W107" s="20" t="n">
        <v>4.008</v>
      </c>
      <c r="X107" s="20" t="n">
        <v>24.413</v>
      </c>
    </row>
    <row r="108">
      <c r="A108" s="18" t="inlineStr">
        <is>
          <t>보상비 지급</t>
        </is>
      </c>
      <c r="C108" s="20" t="n">
        <v>1.421</v>
      </c>
      <c r="D108" s="20" t="n">
        <v>0.461</v>
      </c>
      <c r="G108" s="20" t="n">
        <v>0.059</v>
      </c>
      <c r="H108" s="20" t="n">
        <v>2.831</v>
      </c>
      <c r="K108" s="20" t="n">
        <v>0.098</v>
      </c>
      <c r="L108" s="20" t="n">
        <v>0</v>
      </c>
      <c r="T108" s="20" t="n">
        <v>0</v>
      </c>
      <c r="U108" s="20" t="n">
        <v>0.65</v>
      </c>
      <c r="V108" s="20" t="n">
        <v>0.461</v>
      </c>
      <c r="W108" s="20" t="n">
        <v>2.831</v>
      </c>
      <c r="X108" s="20" t="n">
        <v>0</v>
      </c>
    </row>
    <row r="109">
      <c r="A109" s="18" t="inlineStr">
        <is>
          <t>외환차손</t>
        </is>
      </c>
      <c r="G109" s="20" t="n">
        <v>0</v>
      </c>
      <c r="H109" s="20" t="n">
        <v>0</v>
      </c>
      <c r="K109" s="20" t="n">
        <v>-5.537</v>
      </c>
      <c r="W109" s="20" t="n">
        <v>0</v>
      </c>
    </row>
    <row r="110">
      <c r="A110" s="18" t="inlineStr">
        <is>
          <t>고정자산 매각손실</t>
        </is>
      </c>
      <c r="C110" s="20" t="n">
        <v>0.001</v>
      </c>
      <c r="D110" s="20" t="n">
        <v>0.001</v>
      </c>
      <c r="G110" s="20" t="n">
        <v>0</v>
      </c>
      <c r="H110" s="20" t="n">
        <v>0</v>
      </c>
      <c r="T110" s="20" t="n">
        <v>0</v>
      </c>
      <c r="U110" s="20" t="n">
        <v>0</v>
      </c>
      <c r="V110" s="20" t="n">
        <v>0.001</v>
      </c>
      <c r="W110" s="20" t="n">
        <v>0</v>
      </c>
    </row>
    <row r="111">
      <c r="A111" s="18" t="inlineStr">
        <is>
          <t>잡손실</t>
        </is>
      </c>
      <c r="C111" s="20" t="n">
        <v>9.98</v>
      </c>
      <c r="D111" s="20" t="n">
        <v>-7.552</v>
      </c>
      <c r="E111" s="20" t="n">
        <v>4.842</v>
      </c>
      <c r="F111" s="20" t="n">
        <v>8.077</v>
      </c>
      <c r="G111" s="20" t="n">
        <v>-0.9419999999999999</v>
      </c>
      <c r="H111" s="20" t="n">
        <v>1.603</v>
      </c>
      <c r="I111" s="20" t="n">
        <v>3.604</v>
      </c>
      <c r="J111" s="20" t="n">
        <v>-1.576</v>
      </c>
      <c r="K111" s="20" t="n">
        <v>-0.089</v>
      </c>
      <c r="L111" s="20" t="n">
        <v>3.754</v>
      </c>
      <c r="M111" s="20" t="n">
        <v>0.78</v>
      </c>
      <c r="N111" s="20" t="n">
        <v>1.298</v>
      </c>
      <c r="T111" s="20" t="n">
        <v>-0.095</v>
      </c>
      <c r="U111" s="20" t="n">
        <v>3.103</v>
      </c>
      <c r="V111" s="20" t="n">
        <v>-7.552</v>
      </c>
      <c r="W111" s="20" t="n">
        <v>1.603</v>
      </c>
      <c r="X111" s="20" t="n">
        <v>3.754</v>
      </c>
    </row>
    <row r="112">
      <c r="A112" s="18" t="inlineStr">
        <is>
          <t>영업외비용 합계</t>
        </is>
      </c>
      <c r="C112" s="20" t="n">
        <v>50.396</v>
      </c>
      <c r="D112" s="20" t="n">
        <v>5.961</v>
      </c>
      <c r="E112" s="20" t="n">
        <v>22.681</v>
      </c>
      <c r="F112" s="20" t="n">
        <v>27.514</v>
      </c>
      <c r="G112" s="20" t="n">
        <v>26.673</v>
      </c>
      <c r="H112" s="20" t="n">
        <v>8.577999999999999</v>
      </c>
      <c r="I112" s="20" t="n">
        <v>6.159</v>
      </c>
      <c r="J112" s="20" t="n">
        <v>9.99</v>
      </c>
      <c r="K112" s="20" t="n">
        <v>2.493</v>
      </c>
      <c r="L112" s="20" t="n">
        <v>26.463</v>
      </c>
      <c r="M112" s="20" t="n">
        <v>1.358</v>
      </c>
      <c r="N112" s="20" t="n">
        <v>5.123</v>
      </c>
      <c r="T112" s="20" t="n">
        <v>8.273999999999999</v>
      </c>
      <c r="U112" s="20" t="n">
        <v>5.826</v>
      </c>
      <c r="V112" s="20" t="n">
        <v>5.961</v>
      </c>
      <c r="W112" s="20" t="n">
        <v>8.577999999999999</v>
      </c>
      <c r="X112" s="20" t="n">
        <v>26.463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9" t="inlineStr">
        <is>
          <t>경상이익</t>
        </is>
      </c>
      <c r="C114" s="12" t="n">
        <v>1063.876</v>
      </c>
      <c r="D114" s="12" t="n">
        <v>819.545</v>
      </c>
      <c r="E114" s="12" t="n">
        <v>621.124</v>
      </c>
      <c r="F114" s="12" t="n">
        <v>807.151</v>
      </c>
      <c r="G114" s="12" t="n">
        <v>1158.067</v>
      </c>
      <c r="H114" s="12" t="n">
        <v>935.528</v>
      </c>
      <c r="I114" s="12" t="n">
        <v>809.747</v>
      </c>
      <c r="J114" s="12" t="n">
        <v>1007.175</v>
      </c>
      <c r="K114" s="12" t="n">
        <v>936.46</v>
      </c>
      <c r="L114" s="12" t="n">
        <v>975.391</v>
      </c>
      <c r="M114" s="12" t="n">
        <v>576.021</v>
      </c>
      <c r="N114" s="12" t="n">
        <v>699.808</v>
      </c>
      <c r="T114" s="12" t="n">
        <v>516.912</v>
      </c>
      <c r="U114" s="12" t="n">
        <v>875.184</v>
      </c>
      <c r="V114" s="12" t="n">
        <v>819.545</v>
      </c>
      <c r="W114" s="12" t="n">
        <v>935.528</v>
      </c>
      <c r="X114" s="12" t="n">
        <v>975.391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IF(OR(G114="",C114=""),"",IF(C114&lt;=0,"",IFERROR(G114/C114-1,"")))</f>
        <v/>
      </c>
      <c r="H115" s="15">
        <f>IF(OR(H114="",D114=""),"",IF(D114&lt;=0,"",IFERROR(H114/D114-1,"")))</f>
        <v/>
      </c>
      <c r="I115" s="15">
        <f>IF(OR(I114="",E114=""),"",IF(E114&lt;=0,"",IFERROR(I114/E114-1,"")))</f>
        <v/>
      </c>
      <c r="J115" s="15">
        <f>IF(OR(J114="",F114=""),"",IF(F114&lt;=0,"",IFERROR(J114/F114-1,"")))</f>
        <v/>
      </c>
      <c r="K115" s="15">
        <f>IF(OR(K114="",G114=""),"",IF(G114&lt;=0,"",IFERROR(K114/G114-1,"")))</f>
        <v/>
      </c>
      <c r="L115" s="15">
        <f>IF(OR(L114="",H114=""),"",IF(H114&lt;=0,"",IFERROR(L114/H114-1,"")))</f>
        <v/>
      </c>
      <c r="M115" s="15">
        <f>IF(OR(M114="",I114=""),"",IF(I114&lt;=0,"",IFERROR(M114/I114-1,"")))</f>
        <v/>
      </c>
      <c r="N115" s="15">
        <f>IF(OR(N114="",J114=""),"",IF(J114&lt;=0,"",IFERROR(N114/J114-1,"")))</f>
        <v/>
      </c>
      <c r="T115" s="15">
        <f>IF(OR(T114="",S114=""),"",IF(S114&lt;=0,"",IFERROR(T114/S114-1,"")))</f>
        <v/>
      </c>
      <c r="U115" s="15">
        <f>IF(OR(U114="",T114=""),"",IF(T114&lt;=0,"",IFERROR(U114/T114-1,"")))</f>
        <v/>
      </c>
      <c r="V115" s="15">
        <f>IF(OR(V114="",U114=""),"",IF(U114&lt;=0,"",IFERROR(V114/U114-1,"")))</f>
        <v/>
      </c>
      <c r="W115" s="15">
        <f>IF(OR(W114="",V114=""),"",IF(V114&lt;=0,"",IFERROR(W114/V114-1,"")))</f>
        <v/>
      </c>
      <c r="X115" s="15">
        <f>IF(OR(X114="",W114=""),"",IF(W114&lt;=0,"",IFERROR(X114/W114-1,"")))</f>
        <v/>
      </c>
    </row>
    <row r="116">
      <c r="A116" s="18" t="inlineStr">
        <is>
          <t>투자유가증권 매각이익</t>
        </is>
      </c>
      <c r="C116" s="20" t="n">
        <v>0</v>
      </c>
      <c r="D116" s="20" t="n">
        <v>0</v>
      </c>
      <c r="T116" s="20" t="n">
        <v>220.845</v>
      </c>
      <c r="U116" s="20" t="n">
        <v>0</v>
      </c>
      <c r="V116" s="20" t="n">
        <v>0</v>
      </c>
    </row>
    <row r="117">
      <c r="A117" s="18" t="inlineStr">
        <is>
          <t>특별이익 합계</t>
        </is>
      </c>
      <c r="C117" s="20" t="n">
        <v>0</v>
      </c>
      <c r="D117" s="20" t="n">
        <v>0</v>
      </c>
      <c r="T117" s="20" t="n">
        <v>220.845</v>
      </c>
      <c r="U117" s="20" t="n">
        <v>0</v>
      </c>
      <c r="V117" s="20" t="n">
        <v>0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</row>
    <row r="119">
      <c r="A119" s="9" t="inlineStr">
        <is>
          <t>법인세차감전 순이익</t>
        </is>
      </c>
      <c r="C119" s="12" t="n">
        <v>1063.876</v>
      </c>
      <c r="D119" s="12" t="n">
        <v>819.545</v>
      </c>
      <c r="E119" s="12" t="n">
        <v>621.124</v>
      </c>
      <c r="F119" s="12" t="n">
        <v>807.151</v>
      </c>
      <c r="G119" s="12" t="n">
        <v>1158.067</v>
      </c>
      <c r="H119" s="12" t="n">
        <v>935.528</v>
      </c>
      <c r="I119" s="12" t="n">
        <v>809.747</v>
      </c>
      <c r="J119" s="12" t="n">
        <v>1007.175</v>
      </c>
      <c r="K119" s="12" t="n">
        <v>936.46</v>
      </c>
      <c r="L119" s="12" t="n">
        <v>975.391</v>
      </c>
      <c r="M119" s="12" t="n">
        <v>576.021</v>
      </c>
      <c r="N119" s="12" t="n">
        <v>699.808</v>
      </c>
      <c r="T119" s="12" t="n">
        <v>737.758</v>
      </c>
      <c r="U119" s="12" t="n">
        <v>875.184</v>
      </c>
      <c r="V119" s="12" t="n">
        <v>819.545</v>
      </c>
      <c r="W119" s="12" t="n">
        <v>935.528</v>
      </c>
      <c r="X119" s="12" t="n">
        <v>975.391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18" t="inlineStr">
        <is>
          <t>법인세 등</t>
        </is>
      </c>
      <c r="C121" s="20" t="n">
        <v>249.529</v>
      </c>
      <c r="D121" s="20" t="n">
        <v>197.974</v>
      </c>
      <c r="E121" s="20" t="n">
        <v>447.165</v>
      </c>
      <c r="F121" s="20" t="n">
        <v>196.811</v>
      </c>
      <c r="G121" s="20" t="n">
        <v>162.434</v>
      </c>
      <c r="H121" s="20" t="n">
        <v>224.17</v>
      </c>
      <c r="I121" s="20" t="n">
        <v>328.752</v>
      </c>
      <c r="J121" s="20" t="n">
        <v>321.738</v>
      </c>
      <c r="K121" s="20" t="n">
        <v>216.136</v>
      </c>
      <c r="L121" s="20" t="n">
        <v>54.025</v>
      </c>
      <c r="M121" s="20" t="n">
        <v>352.166</v>
      </c>
      <c r="N121" s="20" t="n">
        <v>243.231</v>
      </c>
      <c r="T121" s="20" t="n">
        <v>149.177</v>
      </c>
      <c r="U121" s="20" t="n">
        <v>186.071</v>
      </c>
      <c r="V121" s="20" t="n">
        <v>197.974</v>
      </c>
      <c r="W121" s="20" t="n">
        <v>224.17</v>
      </c>
      <c r="X121" s="20" t="n">
        <v>54.025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9" t="inlineStr">
        <is>
          <t>순이익</t>
        </is>
      </c>
      <c r="C123" s="12" t="n">
        <v>814.347</v>
      </c>
      <c r="D123" s="12" t="n">
        <v>621.571</v>
      </c>
      <c r="E123" s="12" t="n">
        <v>173.958</v>
      </c>
      <c r="F123" s="12" t="n">
        <v>610.341</v>
      </c>
      <c r="G123" s="12" t="n">
        <v>995.6319999999999</v>
      </c>
      <c r="H123" s="12" t="n">
        <v>711.3579999999999</v>
      </c>
      <c r="I123" s="12" t="n">
        <v>480.994</v>
      </c>
      <c r="J123" s="12" t="n">
        <v>685.438</v>
      </c>
      <c r="K123" s="12" t="n">
        <v>720.323</v>
      </c>
      <c r="L123" s="12" t="n">
        <v>921.366</v>
      </c>
      <c r="M123" s="12" t="n">
        <v>223.855</v>
      </c>
      <c r="N123" s="12" t="n">
        <v>456.576</v>
      </c>
      <c r="T123" s="12" t="n">
        <v>588.581</v>
      </c>
      <c r="U123" s="12" t="n">
        <v>689.1130000000001</v>
      </c>
      <c r="V123" s="12" t="n">
        <v>621.571</v>
      </c>
      <c r="W123" s="12" t="n">
        <v>711.3579999999999</v>
      </c>
      <c r="X123" s="12" t="n">
        <v>921.366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T124" s="15">
        <f>IF(OR(T123="",S123=""),"",IF(S123&lt;=0,"",IFERROR(T123/S123-1,"")))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9" t="inlineStr">
        <is>
          <t>비지배주주 순이익</t>
        </is>
      </c>
      <c r="C125" s="12" t="n">
        <v>15.288</v>
      </c>
      <c r="D125" s="12" t="n">
        <v>22.086</v>
      </c>
      <c r="E125" s="12" t="n">
        <v>13.043</v>
      </c>
      <c r="F125" s="12" t="n">
        <v>7.918</v>
      </c>
      <c r="G125" s="12" t="n">
        <v>32.699</v>
      </c>
      <c r="H125" s="12" t="n">
        <v>34.438</v>
      </c>
      <c r="I125" s="12" t="n">
        <v>18.732</v>
      </c>
      <c r="J125" s="12" t="n">
        <v>19.57</v>
      </c>
      <c r="K125" s="12" t="n">
        <v>25.111</v>
      </c>
      <c r="L125" s="12" t="n">
        <v>55.811</v>
      </c>
      <c r="M125" s="12" t="n">
        <v>14.505</v>
      </c>
      <c r="N125" s="12" t="n">
        <v>39.742</v>
      </c>
      <c r="T125" s="12" t="n">
        <v>10.114</v>
      </c>
      <c r="U125" s="12" t="n">
        <v>18.075</v>
      </c>
      <c r="V125" s="12" t="n">
        <v>22.086</v>
      </c>
      <c r="W125" s="12" t="n">
        <v>34.438</v>
      </c>
      <c r="X125" s="12" t="n">
        <v>55.811</v>
      </c>
    </row>
    <row r="126">
      <c r="A126" s="9" t="inlineStr">
        <is>
          <t>지배주주 순이익</t>
        </is>
      </c>
      <c r="C126" s="12" t="n">
        <v>799.0599999999999</v>
      </c>
      <c r="D126" s="12" t="n">
        <v>599.485</v>
      </c>
      <c r="E126" s="12" t="n">
        <v>160.915</v>
      </c>
      <c r="F126" s="12" t="n">
        <v>602.422</v>
      </c>
      <c r="G126" s="12" t="n">
        <v>962.934</v>
      </c>
      <c r="H126" s="12" t="n">
        <v>676.92</v>
      </c>
      <c r="I126" s="12" t="n">
        <v>462.261</v>
      </c>
      <c r="J126" s="12" t="n">
        <v>665.8680000000001</v>
      </c>
      <c r="K126" s="12" t="n">
        <v>695.213</v>
      </c>
      <c r="L126" s="12" t="n">
        <v>865.5549999999999</v>
      </c>
      <c r="M126" s="12" t="n">
        <v>209.349</v>
      </c>
      <c r="N126" s="12" t="n">
        <v>416.835</v>
      </c>
      <c r="T126" s="12" t="n">
        <v>578.467</v>
      </c>
      <c r="U126" s="12" t="n">
        <v>671.038</v>
      </c>
      <c r="V126" s="12" t="n">
        <v>599.485</v>
      </c>
      <c r="W126" s="12" t="n">
        <v>676.92</v>
      </c>
      <c r="X126" s="12" t="n">
        <v>865.5549999999999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9">
      <c r="A129" s="16" t="inlineStr">
        <is>
          <t>포괄손익 · 전 항목</t>
        </is>
      </c>
      <c r="B129" s="42" t="inlineStr">
        <is>
          <t>분기 = 3개월 단독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2024.3Q</t>
        </is>
      </c>
      <c r="D130" s="5" t="inlineStr">
        <is>
          <t>2024.4Q</t>
        </is>
      </c>
      <c r="E130" s="5" t="inlineStr">
        <is>
          <t>2025.1Q</t>
        </is>
      </c>
      <c r="F130" s="5" t="inlineStr">
        <is>
          <t>2025.2Q</t>
        </is>
      </c>
      <c r="G130" s="5" t="inlineStr">
        <is>
          <t>2025.3Q</t>
        </is>
      </c>
      <c r="H130" s="5" t="inlineStr">
        <is>
          <t>2025.4Q</t>
        </is>
      </c>
      <c r="I130" s="5" t="inlineStr">
        <is>
          <t>2026.1Q</t>
        </is>
      </c>
      <c r="J130" s="5" t="inlineStr">
        <is>
          <t>2026.2Q</t>
        </is>
      </c>
      <c r="K130" s="5" t="inlineStr">
        <is>
          <t>2026.3Q</t>
        </is>
      </c>
      <c r="L130" s="5" t="inlineStr">
        <is>
          <t>2026.4Q</t>
        </is>
      </c>
      <c r="M130" s="5" t="inlineStr">
        <is>
          <t>2027.1Q</t>
        </is>
      </c>
      <c r="N130" s="5" t="inlineStr">
        <is>
          <t>2027.2Q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순이익</t>
        </is>
      </c>
      <c r="C131" s="12" t="n">
        <v>814.347</v>
      </c>
      <c r="D131" s="12" t="n">
        <v>621.571</v>
      </c>
      <c r="E131" s="12" t="n">
        <v>173.958</v>
      </c>
      <c r="F131" s="12" t="n">
        <v>610.341</v>
      </c>
      <c r="G131" s="12" t="n">
        <v>995.6319999999999</v>
      </c>
      <c r="H131" s="12" t="n">
        <v>711.3579999999999</v>
      </c>
      <c r="I131" s="12" t="n">
        <v>480.994</v>
      </c>
      <c r="J131" s="12" t="n">
        <v>685.438</v>
      </c>
      <c r="K131" s="12" t="n">
        <v>720.323</v>
      </c>
      <c r="L131" s="12" t="n">
        <v>921.366</v>
      </c>
      <c r="M131" s="12" t="n">
        <v>223.855</v>
      </c>
      <c r="N131" s="12" t="n">
        <v>456.576</v>
      </c>
      <c r="T131" s="12" t="n">
        <v>588.581</v>
      </c>
      <c r="U131" s="12" t="n">
        <v>689.1130000000001</v>
      </c>
      <c r="V131" s="12" t="n">
        <v>621.571</v>
      </c>
      <c r="W131" s="12" t="n">
        <v>711.3579999999999</v>
      </c>
      <c r="X131" s="12" t="n">
        <v>921.366</v>
      </c>
    </row>
    <row r="132">
      <c r="A132" s="18" t="inlineStr">
        <is>
          <t>기타유가증권 평가차액</t>
        </is>
      </c>
      <c r="C132" s="20" t="n">
        <v>-66.59</v>
      </c>
      <c r="D132" s="20" t="n">
        <v>520.011</v>
      </c>
      <c r="E132" s="20" t="n">
        <v>-217.544</v>
      </c>
      <c r="F132" s="20" t="n">
        <v>-342.898</v>
      </c>
      <c r="G132" s="20" t="n">
        <v>234.162</v>
      </c>
      <c r="H132" s="20" t="n">
        <v>-241.389</v>
      </c>
      <c r="I132" s="20" t="n">
        <v>44.148</v>
      </c>
      <c r="J132" s="20" t="n">
        <v>224.653</v>
      </c>
      <c r="K132" s="20" t="n">
        <v>316.852</v>
      </c>
      <c r="L132" s="20" t="n">
        <v>11.899</v>
      </c>
      <c r="M132" s="20" t="n">
        <v>-139.584</v>
      </c>
      <c r="N132" s="20" t="n">
        <v>185.977</v>
      </c>
      <c r="T132" s="20" t="n">
        <v>-123.066</v>
      </c>
      <c r="U132" s="20" t="n">
        <v>58.246</v>
      </c>
      <c r="V132" s="20" t="n">
        <v>520.011</v>
      </c>
      <c r="W132" s="20" t="n">
        <v>-241.389</v>
      </c>
      <c r="X132" s="20" t="n">
        <v>11.899</v>
      </c>
    </row>
    <row r="133">
      <c r="A133" s="18" t="inlineStr">
        <is>
          <t>해외사업환산조정</t>
        </is>
      </c>
      <c r="C133" s="20" t="n">
        <v>51.798</v>
      </c>
      <c r="D133" s="20" t="n">
        <v>-28.14</v>
      </c>
      <c r="E133" s="20" t="n">
        <v>164.325</v>
      </c>
      <c r="F133" s="20" t="n">
        <v>200.542</v>
      </c>
      <c r="G133" s="20" t="n">
        <v>-110.322</v>
      </c>
      <c r="H133" s="20" t="n">
        <v>212.071</v>
      </c>
      <c r="I133" s="20" t="n">
        <v>-246.076</v>
      </c>
      <c r="J133" s="20" t="n">
        <v>-22.394</v>
      </c>
      <c r="K133" s="20" t="n">
        <v>119.96</v>
      </c>
      <c r="L133" s="20" t="n">
        <v>189.634</v>
      </c>
      <c r="M133" s="20" t="n">
        <v>40.984</v>
      </c>
      <c r="N133" s="20" t="n">
        <v>33.295</v>
      </c>
      <c r="T133" s="20" t="n">
        <v>200.985</v>
      </c>
      <c r="U133" s="20" t="n">
        <v>-206.917</v>
      </c>
      <c r="V133" s="20" t="n">
        <v>-28.14</v>
      </c>
      <c r="W133" s="20" t="n">
        <v>212.071</v>
      </c>
      <c r="X133" s="20" t="n">
        <v>189.634</v>
      </c>
    </row>
    <row r="134">
      <c r="A134" s="18" t="inlineStr">
        <is>
          <t>퇴직급여 조정액</t>
        </is>
      </c>
      <c r="C134" s="20" t="n">
        <v>7.947</v>
      </c>
      <c r="D134" s="20" t="n">
        <v>125.171</v>
      </c>
      <c r="E134" s="20" t="n">
        <v>6.326</v>
      </c>
      <c r="F134" s="20" t="n">
        <v>6.326</v>
      </c>
      <c r="G134" s="20" t="n">
        <v>6.327</v>
      </c>
      <c r="H134" s="20" t="n">
        <v>354.229</v>
      </c>
      <c r="I134" s="20" t="n">
        <v>-2.187</v>
      </c>
      <c r="J134" s="20" t="n">
        <v>-1.975</v>
      </c>
      <c r="K134" s="20" t="n">
        <v>-1.976</v>
      </c>
      <c r="L134" s="20" t="n">
        <v>111.326</v>
      </c>
      <c r="M134" s="20" t="n">
        <v>-2.531</v>
      </c>
      <c r="N134" s="20" t="n">
        <v>-2.532</v>
      </c>
      <c r="T134" s="20" t="n">
        <v>-179.06</v>
      </c>
      <c r="U134" s="20" t="n">
        <v>-123.086</v>
      </c>
      <c r="V134" s="20" t="n">
        <v>125.171</v>
      </c>
      <c r="W134" s="20" t="n">
        <v>354.229</v>
      </c>
      <c r="X134" s="20" t="n">
        <v>111.326</v>
      </c>
    </row>
    <row r="135">
      <c r="A135" s="18" t="inlineStr">
        <is>
          <t>지분법 적용회사 지분 해당액</t>
        </is>
      </c>
      <c r="C135" s="20" t="n">
        <v>-22.199</v>
      </c>
      <c r="D135" s="20" t="n">
        <v>25.029</v>
      </c>
      <c r="E135" s="20" t="n">
        <v>34.666</v>
      </c>
      <c r="F135" s="20" t="n">
        <v>-43.141</v>
      </c>
      <c r="G135" s="20" t="n">
        <v>34.696</v>
      </c>
      <c r="H135" s="20" t="n">
        <v>-26.962</v>
      </c>
      <c r="I135" s="20" t="n">
        <v>-23.758</v>
      </c>
      <c r="J135" s="20" t="n">
        <v>18.416</v>
      </c>
      <c r="K135" s="20" t="n">
        <v>25.749</v>
      </c>
      <c r="L135" s="20" t="n">
        <v>41.975</v>
      </c>
      <c r="M135" s="20" t="n">
        <v>-10.927</v>
      </c>
      <c r="N135" s="20" t="n">
        <v>-30.035</v>
      </c>
      <c r="T135" s="20" t="n">
        <v>17.851</v>
      </c>
      <c r="U135" s="20" t="n">
        <v>-1.269</v>
      </c>
      <c r="V135" s="20" t="n">
        <v>25.029</v>
      </c>
      <c r="W135" s="20" t="n">
        <v>-26.962</v>
      </c>
      <c r="X135" s="20" t="n">
        <v>41.975</v>
      </c>
    </row>
    <row r="136">
      <c r="A136" s="18" t="inlineStr">
        <is>
          <t>기타포괄손익 합계</t>
        </is>
      </c>
      <c r="C136" s="20" t="n">
        <v>-29.043</v>
      </c>
      <c r="D136" s="20" t="n">
        <v>642.071</v>
      </c>
      <c r="E136" s="20" t="n">
        <v>-12.225</v>
      </c>
      <c r="F136" s="20" t="n">
        <v>-179.172</v>
      </c>
      <c r="G136" s="20" t="n">
        <v>164.863</v>
      </c>
      <c r="H136" s="20" t="n">
        <v>297.947</v>
      </c>
      <c r="I136" s="20" t="n">
        <v>-227.874</v>
      </c>
      <c r="J136" s="20" t="n">
        <v>218.7</v>
      </c>
      <c r="K136" s="20" t="n">
        <v>460.585</v>
      </c>
      <c r="L136" s="20" t="n">
        <v>354.836</v>
      </c>
      <c r="M136" s="20" t="n">
        <v>-112.059</v>
      </c>
      <c r="N136" s="20" t="n">
        <v>186.704</v>
      </c>
      <c r="T136" s="20" t="n">
        <v>-83.292</v>
      </c>
      <c r="U136" s="20" t="n">
        <v>-273.027</v>
      </c>
      <c r="V136" s="20" t="n">
        <v>642.071</v>
      </c>
      <c r="W136" s="20" t="n">
        <v>297.947</v>
      </c>
      <c r="X136" s="20" t="n">
        <v>354.836</v>
      </c>
    </row>
    <row r="137">
      <c r="A137" s="9" t="inlineStr">
        <is>
          <t>포괄이익</t>
        </is>
      </c>
      <c r="C137" s="12" t="n">
        <v>785.304</v>
      </c>
      <c r="D137" s="12" t="n">
        <v>1263.643</v>
      </c>
      <c r="E137" s="12" t="n">
        <v>161.733</v>
      </c>
      <c r="F137" s="12" t="n">
        <v>431.168</v>
      </c>
      <c r="G137" s="12" t="n">
        <v>1160.496</v>
      </c>
      <c r="H137" s="12" t="n">
        <v>1009.306</v>
      </c>
      <c r="I137" s="12" t="n">
        <v>253.119</v>
      </c>
      <c r="J137" s="12" t="n">
        <v>904.139</v>
      </c>
      <c r="K137" s="12" t="n">
        <v>1180.909</v>
      </c>
      <c r="L137" s="12" t="n">
        <v>1276.202</v>
      </c>
      <c r="M137" s="12" t="n">
        <v>111.796</v>
      </c>
      <c r="N137" s="12" t="n">
        <v>643.2809999999999</v>
      </c>
      <c r="T137" s="12" t="n">
        <v>505.289</v>
      </c>
      <c r="U137" s="12" t="n">
        <v>416.085</v>
      </c>
      <c r="V137" s="12" t="n">
        <v>1263.643</v>
      </c>
      <c r="W137" s="12" t="n">
        <v>1009.306</v>
      </c>
      <c r="X137" s="12" t="n">
        <v>1276.202</v>
      </c>
    </row>
    <row r="138">
      <c r="A138" s="9" t="inlineStr">
        <is>
          <t>지배주주 포괄이익</t>
        </is>
      </c>
      <c r="C138" s="12" t="n">
        <v>768.258</v>
      </c>
      <c r="D138" s="12" t="n">
        <v>1238.768</v>
      </c>
      <c r="E138" s="12" t="n">
        <v>138.763</v>
      </c>
      <c r="F138" s="12" t="n">
        <v>394.57</v>
      </c>
      <c r="G138" s="12" t="n">
        <v>1138.205</v>
      </c>
      <c r="H138" s="12" t="n">
        <v>939.78</v>
      </c>
      <c r="I138" s="12" t="n">
        <v>271.72</v>
      </c>
      <c r="J138" s="12" t="n">
        <v>870.481</v>
      </c>
      <c r="K138" s="12" t="n">
        <v>1146.959</v>
      </c>
      <c r="L138" s="12" t="n">
        <v>1191.509</v>
      </c>
      <c r="M138" s="12" t="n">
        <v>104.401</v>
      </c>
      <c r="N138" s="12" t="n">
        <v>604.442</v>
      </c>
      <c r="T138" s="12" t="n">
        <v>473.538</v>
      </c>
      <c r="U138" s="12" t="n">
        <v>410.346</v>
      </c>
      <c r="V138" s="12" t="n">
        <v>1238.768</v>
      </c>
      <c r="W138" s="12" t="n">
        <v>939.78</v>
      </c>
      <c r="X138" s="12" t="n">
        <v>1191.509</v>
      </c>
    </row>
    <row r="139">
      <c r="A139" s="9" t="inlineStr">
        <is>
          <t>비지배주주 포괄이익</t>
        </is>
      </c>
      <c r="C139" s="12" t="n">
        <v>17.046</v>
      </c>
      <c r="D139" s="12" t="n">
        <v>24.875</v>
      </c>
      <c r="E139" s="12" t="n">
        <v>22.969</v>
      </c>
      <c r="F139" s="12" t="n">
        <v>36.598</v>
      </c>
      <c r="G139" s="12" t="n">
        <v>22.292</v>
      </c>
      <c r="H139" s="12" t="n">
        <v>69.526</v>
      </c>
      <c r="I139" s="12" t="n">
        <v>-18.6</v>
      </c>
      <c r="J139" s="12" t="n">
        <v>33.656</v>
      </c>
      <c r="K139" s="12" t="n">
        <v>33.95</v>
      </c>
      <c r="L139" s="12" t="n">
        <v>84.694</v>
      </c>
      <c r="M139" s="12" t="n">
        <v>7.394</v>
      </c>
      <c r="N139" s="12" t="n">
        <v>38.839</v>
      </c>
      <c r="T139" s="12" t="n">
        <v>31.751</v>
      </c>
      <c r="U139" s="12" t="n">
        <v>5.739</v>
      </c>
      <c r="V139" s="12" t="n">
        <v>24.875</v>
      </c>
      <c r="W139" s="12" t="n">
        <v>69.526</v>
      </c>
      <c r="X139" s="12" t="n">
        <v>84.694</v>
      </c>
    </row>
    <row r="141">
      <c r="A141" s="16" t="inlineStr">
        <is>
          <t>부문 · 전 항목</t>
        </is>
      </c>
      <c r="B141" s="42" t="inlineStr">
        <is>
          <t>부문 · 항목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2024.3Q</t>
        </is>
      </c>
      <c r="D142" s="5" t="inlineStr">
        <is>
          <t>2024.4Q</t>
        </is>
      </c>
      <c r="E142" s="5" t="inlineStr">
        <is>
          <t>2025.1Q</t>
        </is>
      </c>
      <c r="F142" s="5" t="inlineStr">
        <is>
          <t>2025.2Q</t>
        </is>
      </c>
      <c r="G142" s="5" t="inlineStr">
        <is>
          <t>2025.3Q</t>
        </is>
      </c>
      <c r="H142" s="5" t="inlineStr">
        <is>
          <t>2025.4Q</t>
        </is>
      </c>
      <c r="I142" s="5" t="inlineStr">
        <is>
          <t>2026.1Q</t>
        </is>
      </c>
      <c r="J142" s="5" t="inlineStr">
        <is>
          <t>2026.2Q</t>
        </is>
      </c>
      <c r="K142" s="5" t="inlineStr">
        <is>
          <t>2026.3Q</t>
        </is>
      </c>
      <c r="L142" s="5" t="inlineStr">
        <is>
          <t>2026.4Q</t>
        </is>
      </c>
      <c r="M142" s="5" t="inlineStr">
        <is>
          <t>2027.1Q</t>
        </is>
      </c>
      <c r="N142" s="5" t="inlineStr">
        <is>
          <t>2027.2Q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18" t="inlineStr">
        <is>
          <t>설비 부문 · 외부 고객 매출</t>
        </is>
      </c>
      <c r="C143" s="20" t="n">
        <v>7013.725</v>
      </c>
      <c r="D143" s="20" t="n">
        <v>9265.294</v>
      </c>
      <c r="E143" s="20" t="n">
        <v>6155.649</v>
      </c>
      <c r="F143" s="20" t="n">
        <v>6892.358</v>
      </c>
      <c r="G143" s="20" t="n">
        <v>7341.281</v>
      </c>
      <c r="H143" s="20" t="n">
        <v>9514.063</v>
      </c>
      <c r="I143" s="20" t="n">
        <v>6543.812</v>
      </c>
      <c r="J143" s="20" t="n">
        <v>7446.517</v>
      </c>
      <c r="K143" s="20" t="n">
        <v>6502.832</v>
      </c>
      <c r="L143" s="20" t="n">
        <v>8878.815000000001</v>
      </c>
      <c r="M143" s="20" t="n">
        <v>7064.779</v>
      </c>
      <c r="N143" s="20" t="n">
        <v>7578.719</v>
      </c>
      <c r="V143" s="20" t="n">
        <v>9265.294</v>
      </c>
      <c r="W143" s="20" t="n">
        <v>9514.063</v>
      </c>
      <c r="X143" s="20" t="n">
        <v>8878.815000000001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자동차부품 부문 · 외부 고객 매출</t>
        </is>
      </c>
      <c r="C145" s="20" t="n">
        <v>2763.902</v>
      </c>
      <c r="D145" s="20" t="n">
        <v>2542.279</v>
      </c>
      <c r="E145" s="20" t="n">
        <v>2499.83</v>
      </c>
      <c r="F145" s="20" t="n">
        <v>2528.489</v>
      </c>
      <c r="G145" s="20" t="n">
        <v>2702.072</v>
      </c>
      <c r="H145" s="20" t="n">
        <v>2583.276</v>
      </c>
      <c r="I145" s="20" t="n">
        <v>2338.196</v>
      </c>
      <c r="J145" s="20" t="n">
        <v>2600.236</v>
      </c>
      <c r="K145" s="20" t="n">
        <v>2502.85</v>
      </c>
      <c r="L145" s="20" t="n">
        <v>2147.138</v>
      </c>
      <c r="M145" s="20" t="n">
        <v>1952.239</v>
      </c>
      <c r="N145" s="20" t="n">
        <v>2288.36</v>
      </c>
      <c r="V145" s="20" t="n">
        <v>2542.279</v>
      </c>
      <c r="W145" s="20" t="n">
        <v>2583.276</v>
      </c>
      <c r="X145" s="20" t="n">
        <v>2147.138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보고부문 합계 · 외부 고객 매출</t>
        </is>
      </c>
      <c r="C147" s="20" t="n">
        <v>9777.627</v>
      </c>
      <c r="D147" s="20" t="n">
        <v>11807.573</v>
      </c>
      <c r="E147" s="20" t="n">
        <v>8655.48</v>
      </c>
      <c r="F147" s="20" t="n">
        <v>9420.847</v>
      </c>
      <c r="G147" s="20" t="n">
        <v>10043.353</v>
      </c>
      <c r="H147" s="20" t="n">
        <v>12097.338</v>
      </c>
      <c r="I147" s="20" t="n">
        <v>8882.008</v>
      </c>
      <c r="J147" s="20" t="n">
        <v>10046.754</v>
      </c>
      <c r="K147" s="20" t="n">
        <v>9005.681</v>
      </c>
      <c r="L147" s="20" t="n">
        <v>11025.954</v>
      </c>
      <c r="M147" s="20" t="n">
        <v>9017.018</v>
      </c>
      <c r="N147" s="20" t="n">
        <v>9867.08</v>
      </c>
      <c r="V147" s="20" t="n">
        <v>11807.573</v>
      </c>
      <c r="W147" s="20" t="n">
        <v>12097.338</v>
      </c>
      <c r="X147" s="20" t="n">
        <v>11025.954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조정액 · 외부 고객 매출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V149" s="20" t="n">
        <v>0</v>
      </c>
      <c r="W149" s="20" t="n">
        <v>0</v>
      </c>
      <c r="X149" s="20" t="n">
        <v>0</v>
      </c>
    </row>
    <row r="150">
      <c r="A150" s="9" t="inlineStr">
        <is>
          <t>외부 고객 매출</t>
        </is>
      </c>
      <c r="C150" s="12" t="n">
        <v>9777.627</v>
      </c>
      <c r="D150" s="12" t="n">
        <v>11807.573</v>
      </c>
      <c r="E150" s="12" t="n">
        <v>8655.48</v>
      </c>
      <c r="F150" s="12" t="n">
        <v>9420.847</v>
      </c>
      <c r="G150" s="12" t="n">
        <v>10043.353</v>
      </c>
      <c r="H150" s="12" t="n">
        <v>12097.338</v>
      </c>
      <c r="I150" s="12" t="n">
        <v>8882.008</v>
      </c>
      <c r="J150" s="12" t="n">
        <v>10046.754</v>
      </c>
      <c r="K150" s="12" t="n">
        <v>9005.681</v>
      </c>
      <c r="L150" s="12" t="n">
        <v>11025.954</v>
      </c>
      <c r="M150" s="12" t="n">
        <v>9017.018</v>
      </c>
      <c r="N150" s="12" t="n">
        <v>9867.08</v>
      </c>
      <c r="V150" s="12" t="n">
        <v>11807.573</v>
      </c>
      <c r="W150" s="12" t="n">
        <v>12097.338</v>
      </c>
      <c r="X150" s="12" t="n">
        <v>11025.954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설비 부문 · 부문 간 내부매출·대체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자동차부품 부문 · 부문 간 내부매출·대체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보고부문 합계 · 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18" t="inlineStr">
        <is>
          <t>조정액 · 부문 간 내부매출·대체</t>
        </is>
      </c>
      <c r="C155" s="20" t="n">
        <v>0</v>
      </c>
      <c r="D155" s="20" t="n">
        <v>0</v>
      </c>
      <c r="E155" s="20" t="n">
        <v>0</v>
      </c>
      <c r="F155" s="20" t="n">
        <v>0</v>
      </c>
      <c r="G155" s="20" t="n">
        <v>0</v>
      </c>
      <c r="H155" s="20" t="n">
        <v>0</v>
      </c>
      <c r="I155" s="20" t="n">
        <v>0</v>
      </c>
      <c r="J155" s="20" t="n">
        <v>0</v>
      </c>
      <c r="K155" s="20" t="n">
        <v>0</v>
      </c>
      <c r="L155" s="20" t="n">
        <v>0</v>
      </c>
      <c r="M155" s="20" t="n">
        <v>0</v>
      </c>
      <c r="N155" s="20" t="n">
        <v>0</v>
      </c>
      <c r="V155" s="20" t="n">
        <v>0</v>
      </c>
      <c r="W155" s="20" t="n">
        <v>0</v>
      </c>
      <c r="X155" s="20" t="n">
        <v>0</v>
      </c>
    </row>
    <row r="156">
      <c r="A156" s="18" t="inlineStr">
        <is>
          <t>부문 간 내부매출·대체</t>
        </is>
      </c>
      <c r="C156" s="20" t="n">
        <v>0</v>
      </c>
      <c r="D156" s="20" t="n">
        <v>0</v>
      </c>
      <c r="E156" s="20" t="n">
        <v>0</v>
      </c>
      <c r="F156" s="20" t="n">
        <v>0</v>
      </c>
      <c r="G156" s="20" t="n">
        <v>0</v>
      </c>
      <c r="H156" s="20" t="n">
        <v>0</v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0</v>
      </c>
      <c r="V156" s="20" t="n">
        <v>0</v>
      </c>
      <c r="W156" s="20" t="n">
        <v>0</v>
      </c>
      <c r="X156" s="20" t="n">
        <v>0</v>
      </c>
    </row>
    <row r="157">
      <c r="A157" s="18" t="inlineStr">
        <is>
          <t>설비 부문 · 계</t>
        </is>
      </c>
      <c r="C157" s="20" t="n">
        <v>7013.725</v>
      </c>
      <c r="D157" s="20" t="n">
        <v>9265.294</v>
      </c>
      <c r="E157" s="20" t="n">
        <v>6155.649</v>
      </c>
      <c r="F157" s="20" t="n">
        <v>6892.358</v>
      </c>
      <c r="G157" s="20" t="n">
        <v>7341.281</v>
      </c>
      <c r="H157" s="20" t="n">
        <v>9514.063</v>
      </c>
      <c r="I157" s="20" t="n">
        <v>6543.812</v>
      </c>
      <c r="J157" s="20" t="n">
        <v>7446.517</v>
      </c>
      <c r="K157" s="20" t="n">
        <v>6502.832</v>
      </c>
      <c r="L157" s="20" t="n">
        <v>8878.815000000001</v>
      </c>
      <c r="M157" s="20" t="n">
        <v>7064.779</v>
      </c>
      <c r="N157" s="20" t="n">
        <v>7578.719</v>
      </c>
      <c r="V157" s="20" t="n">
        <v>9265.294</v>
      </c>
      <c r="W157" s="20" t="n">
        <v>9514.063</v>
      </c>
      <c r="X157" s="20" t="n">
        <v>8878.815000000001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자동차부품 부문 · 계</t>
        </is>
      </c>
      <c r="C159" s="20" t="n">
        <v>2763.902</v>
      </c>
      <c r="D159" s="20" t="n">
        <v>2542.279</v>
      </c>
      <c r="E159" s="20" t="n">
        <v>2499.83</v>
      </c>
      <c r="F159" s="20" t="n">
        <v>2528.489</v>
      </c>
      <c r="G159" s="20" t="n">
        <v>2702.072</v>
      </c>
      <c r="H159" s="20" t="n">
        <v>2583.276</v>
      </c>
      <c r="I159" s="20" t="n">
        <v>2338.196</v>
      </c>
      <c r="J159" s="20" t="n">
        <v>2600.236</v>
      </c>
      <c r="K159" s="20" t="n">
        <v>2502.85</v>
      </c>
      <c r="L159" s="20" t="n">
        <v>2147.138</v>
      </c>
      <c r="M159" s="20" t="n">
        <v>1952.239</v>
      </c>
      <c r="N159" s="20" t="n">
        <v>2288.36</v>
      </c>
      <c r="V159" s="20" t="n">
        <v>2542.279</v>
      </c>
      <c r="W159" s="20" t="n">
        <v>2583.276</v>
      </c>
      <c r="X159" s="20" t="n">
        <v>2147.138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보고부문 합계 · 계</t>
        </is>
      </c>
      <c r="C161" s="20" t="n">
        <v>9777.627</v>
      </c>
      <c r="D161" s="20" t="n">
        <v>11807.573</v>
      </c>
      <c r="E161" s="20" t="n">
        <v>8655.48</v>
      </c>
      <c r="F161" s="20" t="n">
        <v>9420.847</v>
      </c>
      <c r="G161" s="20" t="n">
        <v>10043.353</v>
      </c>
      <c r="H161" s="20" t="n">
        <v>12097.338</v>
      </c>
      <c r="I161" s="20" t="n">
        <v>8882.008</v>
      </c>
      <c r="J161" s="20" t="n">
        <v>10046.754</v>
      </c>
      <c r="K161" s="20" t="n">
        <v>9005.681</v>
      </c>
      <c r="L161" s="20" t="n">
        <v>11025.954</v>
      </c>
      <c r="M161" s="20" t="n">
        <v>9017.018</v>
      </c>
      <c r="N161" s="20" t="n">
        <v>9867.08</v>
      </c>
      <c r="V161" s="20" t="n">
        <v>11807.573</v>
      </c>
      <c r="W161" s="20" t="n">
        <v>12097.338</v>
      </c>
      <c r="X161" s="20" t="n">
        <v>11025.954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조정액 · 계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9" t="inlineStr">
        <is>
          <t>계</t>
        </is>
      </c>
      <c r="C164" s="12" t="n">
        <v>9777.627</v>
      </c>
      <c r="D164" s="12" t="n">
        <v>11807.573</v>
      </c>
      <c r="E164" s="12" t="n">
        <v>8655.48</v>
      </c>
      <c r="F164" s="12" t="n">
        <v>9420.847</v>
      </c>
      <c r="G164" s="12" t="n">
        <v>10043.353</v>
      </c>
      <c r="H164" s="12" t="n">
        <v>12097.338</v>
      </c>
      <c r="I164" s="12" t="n">
        <v>8882.008</v>
      </c>
      <c r="J164" s="12" t="n">
        <v>10046.754</v>
      </c>
      <c r="K164" s="12" t="n">
        <v>9005.681</v>
      </c>
      <c r="L164" s="12" t="n">
        <v>11025.954</v>
      </c>
      <c r="M164" s="12" t="n">
        <v>9017.018</v>
      </c>
      <c r="N164" s="12" t="n">
        <v>9867.08</v>
      </c>
      <c r="V164" s="12" t="n">
        <v>11807.573</v>
      </c>
      <c r="W164" s="12" t="n">
        <v>12097.338</v>
      </c>
      <c r="X164" s="12" t="n">
        <v>11025.954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설비 부문 · 부문 이익</t>
        </is>
      </c>
      <c r="C166" s="20" t="n">
        <v>1051.524</v>
      </c>
      <c r="D166" s="20" t="n">
        <v>1301.412</v>
      </c>
      <c r="E166" s="20" t="n">
        <v>607.152</v>
      </c>
      <c r="F166" s="20" t="n">
        <v>794.813</v>
      </c>
      <c r="G166" s="20" t="n">
        <v>1018.086</v>
      </c>
      <c r="H166" s="20" t="n">
        <v>1458.642</v>
      </c>
      <c r="I166" s="20" t="n">
        <v>883.288</v>
      </c>
      <c r="J166" s="20" t="n">
        <v>927.795</v>
      </c>
      <c r="K166" s="20" t="n">
        <v>963.307</v>
      </c>
      <c r="L166" s="20" t="n">
        <v>1381.423</v>
      </c>
      <c r="M166" s="20" t="n">
        <v>955.251</v>
      </c>
      <c r="N166" s="20" t="n">
        <v>936.557</v>
      </c>
      <c r="V166" s="20" t="n">
        <v>1301.412</v>
      </c>
      <c r="W166" s="20" t="n">
        <v>1458.642</v>
      </c>
      <c r="X166" s="20" t="n">
        <v>1381.423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IF(OR(C166="",C157=""),"",IF(C157&lt;=0,"",IFERROR(C166/C157,"")))</f>
        <v/>
      </c>
      <c r="D167" s="15">
        <f>IF(OR(D166="",D157=""),"",IF(D157&lt;=0,"",IFERROR(D166/D157,"")))</f>
        <v/>
      </c>
      <c r="E167" s="15">
        <f>IF(OR(E166="",E157=""),"",IF(E157&lt;=0,"",IFERROR(E166/E157,"")))</f>
        <v/>
      </c>
      <c r="F167" s="15">
        <f>IF(OR(F166="",F157=""),"",IF(F157&lt;=0,"",IFERROR(F166/F157,"")))</f>
        <v/>
      </c>
      <c r="G167" s="15">
        <f>IF(OR(G166="",G157=""),"",IF(G157&lt;=0,"",IFERROR(G166/G157,"")))</f>
        <v/>
      </c>
      <c r="H167" s="15">
        <f>IF(OR(H166="",H157=""),"",IF(H157&lt;=0,"",IFERROR(H166/H157,"")))</f>
        <v/>
      </c>
      <c r="I167" s="15">
        <f>IF(OR(I166="",I157=""),"",IF(I157&lt;=0,"",IFERROR(I166/I157,"")))</f>
        <v/>
      </c>
      <c r="J167" s="15">
        <f>IF(OR(J166="",J157=""),"",IF(J157&lt;=0,"",IFERROR(J166/J157,"")))</f>
        <v/>
      </c>
      <c r="K167" s="15">
        <f>IF(OR(K166="",K157=""),"",IF(K157&lt;=0,"",IFERROR(K166/K157,"")))</f>
        <v/>
      </c>
      <c r="L167" s="15">
        <f>IF(OR(L166="",L157=""),"",IF(L157&lt;=0,"",IFERROR(L166/L157,"")))</f>
        <v/>
      </c>
      <c r="M167" s="15">
        <f>IF(OR(M166="",M157=""),"",IF(M157&lt;=0,"",IFERROR(M166/M157,"")))</f>
        <v/>
      </c>
      <c r="N167" s="15">
        <f>IF(OR(N166="",N157=""),"",IF(N157&lt;=0,"",IFERROR(N166/N157,"")))</f>
        <v/>
      </c>
      <c r="V167" s="15">
        <f>IF(OR(V166="",V157=""),"",IF(V157&lt;=0,"",IFERROR(V166/V157,"")))</f>
        <v/>
      </c>
      <c r="W167" s="15">
        <f>IF(OR(W166="",W157=""),"",IF(W157&lt;=0,"",IFERROR(W166/W157,"")))</f>
        <v/>
      </c>
      <c r="X167" s="15">
        <f>IF(OR(X166="",X157=""),"",IF(X157&lt;=0,"",IFERROR(X166/X157,"")))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69">
      <c r="A169" s="18" t="inlineStr">
        <is>
          <t>자동차부품 부문 · 부문 이익</t>
        </is>
      </c>
      <c r="C169" s="20" t="n">
        <v>350.685</v>
      </c>
      <c r="D169" s="20" t="n">
        <v>152.942</v>
      </c>
      <c r="E169" s="20" t="n">
        <v>343.498</v>
      </c>
      <c r="F169" s="20" t="n">
        <v>347.415</v>
      </c>
      <c r="G169" s="20" t="n">
        <v>383.451</v>
      </c>
      <c r="H169" s="20" t="n">
        <v>230.713</v>
      </c>
      <c r="I169" s="20" t="n">
        <v>264.522</v>
      </c>
      <c r="J169" s="20" t="n">
        <v>440.701</v>
      </c>
      <c r="K169" s="20" t="n">
        <v>268.784</v>
      </c>
      <c r="L169" s="20" t="n">
        <v>85.563</v>
      </c>
      <c r="M169" s="20" t="n">
        <v>17.359</v>
      </c>
      <c r="N169" s="20" t="n">
        <v>166.085</v>
      </c>
      <c r="V169" s="20" t="n">
        <v>152.942</v>
      </c>
      <c r="W169" s="20" t="n">
        <v>230.713</v>
      </c>
      <c r="X169" s="20" t="n">
        <v>85.563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IF(OR(C169="",C159=""),"",IF(C159&lt;=0,"",IFERROR(C169/C159,"")))</f>
        <v/>
      </c>
      <c r="D170" s="15">
        <f>IF(OR(D169="",D159=""),"",IF(D159&lt;=0,"",IFERROR(D169/D159,"")))</f>
        <v/>
      </c>
      <c r="E170" s="15">
        <f>IF(OR(E169="",E159=""),"",IF(E159&lt;=0,"",IFERROR(E169/E159,"")))</f>
        <v/>
      </c>
      <c r="F170" s="15">
        <f>IF(OR(F169="",F159=""),"",IF(F159&lt;=0,"",IFERROR(F169/F159,"")))</f>
        <v/>
      </c>
      <c r="G170" s="15">
        <f>IF(OR(G169="",G159=""),"",IF(G159&lt;=0,"",IFERROR(G169/G159,"")))</f>
        <v/>
      </c>
      <c r="H170" s="15">
        <f>IF(OR(H169="",H159=""),"",IF(H159&lt;=0,"",IFERROR(H169/H159,"")))</f>
        <v/>
      </c>
      <c r="I170" s="15">
        <f>IF(OR(I169="",I159=""),"",IF(I159&lt;=0,"",IFERROR(I169/I159,"")))</f>
        <v/>
      </c>
      <c r="J170" s="15">
        <f>IF(OR(J169="",J159=""),"",IF(J159&lt;=0,"",IFERROR(J169/J159,"")))</f>
        <v/>
      </c>
      <c r="K170" s="15">
        <f>IF(OR(K169="",K159=""),"",IF(K159&lt;=0,"",IFERROR(K169/K159,"")))</f>
        <v/>
      </c>
      <c r="L170" s="15">
        <f>IF(OR(L169="",L159=""),"",IF(L159&lt;=0,"",IFERROR(L169/L159,"")))</f>
        <v/>
      </c>
      <c r="M170" s="15">
        <f>IF(OR(M169="",M159=""),"",IF(M159&lt;=0,"",IFERROR(M169/M159,"")))</f>
        <v/>
      </c>
      <c r="N170" s="15">
        <f>IF(OR(N169="",N159=""),"",IF(N159&lt;=0,"",IFERROR(N169/N159,"")))</f>
        <v/>
      </c>
      <c r="V170" s="15">
        <f>IF(OR(V169="",V159=""),"",IF(V159&lt;=0,"",IFERROR(V169/V159,"")))</f>
        <v/>
      </c>
      <c r="W170" s="15">
        <f>IF(OR(W169="",W159=""),"",IF(W159&lt;=0,"",IFERROR(W169/W159,"")))</f>
        <v/>
      </c>
      <c r="X170" s="15">
        <f>IF(OR(X169="",X159=""),"",IF(X159&lt;=0,"",IFERROR(X169/X159,"")))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H171" s="15">
        <f>IF(OR(H169="",D169=""),"",IF(D169&lt;=0,"",IFERROR(H169/D169-1,"")))</f>
        <v/>
      </c>
      <c r="I171" s="15">
        <f>IF(OR(I169="",E169=""),"",IF(E169&lt;=0,"",IFERROR(I169/E169-1,"")))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L171" s="15">
        <f>IF(OR(L169="",H169=""),"",IF(H169&lt;=0,"",IFERROR(L169/H169-1,"")))</f>
        <v/>
      </c>
      <c r="M171" s="15">
        <f>IF(OR(M169="",I169=""),"",IF(I169&lt;=0,"",IFERROR(M169/I169-1,"")))</f>
        <v/>
      </c>
      <c r="N171" s="15">
        <f>IF(OR(N169="",J169=""),"",IF(J169&lt;=0,"",IFERROR(N169/J169-1,"")))</f>
        <v/>
      </c>
      <c r="V171" s="15">
        <f>IF(OR(V169="",U169=""),"",IF(U169&lt;=0,"",IFERROR(V169/U169-1,"")))</f>
        <v/>
      </c>
      <c r="W171" s="15">
        <f>IF(OR(W169="",V169=""),"",IF(V169&lt;=0,"",IFERROR(W169/V169-1,"")))</f>
        <v/>
      </c>
      <c r="X171" s="15">
        <f>IF(OR(X169="",W169=""),"",IF(W169&lt;=0,"",IFERROR(X169/W169-1,"")))</f>
        <v/>
      </c>
    </row>
    <row r="172">
      <c r="A172" s="18" t="inlineStr">
        <is>
          <t>보고부문 합계 · 부문 이익</t>
        </is>
      </c>
      <c r="C172" s="20" t="n">
        <v>1402.208</v>
      </c>
      <c r="D172" s="20" t="n">
        <v>1454.355</v>
      </c>
      <c r="E172" s="20" t="n">
        <v>950.651</v>
      </c>
      <c r="F172" s="20" t="n">
        <v>1142.227</v>
      </c>
      <c r="G172" s="20" t="n">
        <v>1401.538</v>
      </c>
      <c r="H172" s="20" t="n">
        <v>1689.355</v>
      </c>
      <c r="I172" s="20" t="n">
        <v>1147.81</v>
      </c>
      <c r="J172" s="20" t="n">
        <v>1368.496</v>
      </c>
      <c r="K172" s="20" t="n">
        <v>1232.091</v>
      </c>
      <c r="L172" s="20" t="n">
        <v>1466.986</v>
      </c>
      <c r="M172" s="20" t="n">
        <v>972.61</v>
      </c>
      <c r="N172" s="20" t="n">
        <v>1102.642</v>
      </c>
      <c r="V172" s="20" t="n">
        <v>1454.355</v>
      </c>
      <c r="W172" s="20" t="n">
        <v>1689.355</v>
      </c>
      <c r="X172" s="20" t="n">
        <v>1466.986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IF(OR(C172="",C161=""),"",IF(C161&lt;=0,"",IFERROR(C172/C161,"")))</f>
        <v/>
      </c>
      <c r="D173" s="15">
        <f>IF(OR(D172="",D161=""),"",IF(D161&lt;=0,"",IFERROR(D172/D161,"")))</f>
        <v/>
      </c>
      <c r="E173" s="15">
        <f>IF(OR(E172="",E161=""),"",IF(E161&lt;=0,"",IFERROR(E172/E161,"")))</f>
        <v/>
      </c>
      <c r="F173" s="15">
        <f>IF(OR(F172="",F161=""),"",IF(F161&lt;=0,"",IFERROR(F172/F161,"")))</f>
        <v/>
      </c>
      <c r="G173" s="15">
        <f>IF(OR(G172="",G161=""),"",IF(G161&lt;=0,"",IFERROR(G172/G161,"")))</f>
        <v/>
      </c>
      <c r="H173" s="15">
        <f>IF(OR(H172="",H161=""),"",IF(H161&lt;=0,"",IFERROR(H172/H161,"")))</f>
        <v/>
      </c>
      <c r="I173" s="15">
        <f>IF(OR(I172="",I161=""),"",IF(I161&lt;=0,"",IFERROR(I172/I161,"")))</f>
        <v/>
      </c>
      <c r="J173" s="15">
        <f>IF(OR(J172="",J161=""),"",IF(J161&lt;=0,"",IFERROR(J172/J161,"")))</f>
        <v/>
      </c>
      <c r="K173" s="15">
        <f>IF(OR(K172="",K161=""),"",IF(K161&lt;=0,"",IFERROR(K172/K161,"")))</f>
        <v/>
      </c>
      <c r="L173" s="15">
        <f>IF(OR(L172="",L161=""),"",IF(L161&lt;=0,"",IFERROR(L172/L161,"")))</f>
        <v/>
      </c>
      <c r="M173" s="15">
        <f>IF(OR(M172="",M161=""),"",IF(M161&lt;=0,"",IFERROR(M172/M161,"")))</f>
        <v/>
      </c>
      <c r="N173" s="15">
        <f>IF(OR(N172="",N161=""),"",IF(N161&lt;=0,"",IFERROR(N172/N161,"")))</f>
        <v/>
      </c>
      <c r="V173" s="15">
        <f>IF(OR(V172="",V161=""),"",IF(V161&lt;=0,"",IFERROR(V172/V161,"")))</f>
        <v/>
      </c>
      <c r="W173" s="15">
        <f>IF(OR(W172="",W161=""),"",IF(W161&lt;=0,"",IFERROR(W172/W161,"")))</f>
        <v/>
      </c>
      <c r="X173" s="15">
        <f>IF(OR(X172="",X161=""),"",IF(X161&lt;=0,"",IFERROR(X172/X161,"")))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I174" s="15">
        <f>IF(OR(I172="",E172=""),"",IF(E172&lt;=0,"",IFERROR(I172/E172-1,"")))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M174" s="15">
        <f>IF(OR(M172="",I172=""),"",IF(I172&lt;=0,"",IFERROR(M172/I172-1,"")))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조정액 · 부문 이익</t>
        </is>
      </c>
      <c r="C175" s="20" t="n">
        <v>-438.271</v>
      </c>
      <c r="D175" s="20" t="n">
        <v>-490.734</v>
      </c>
      <c r="E175" s="20" t="n">
        <v>-479.857</v>
      </c>
      <c r="F175" s="20" t="n">
        <v>-475.647</v>
      </c>
      <c r="G175" s="20" t="n">
        <v>-482.588</v>
      </c>
      <c r="H175" s="20" t="n">
        <v>-499.818</v>
      </c>
      <c r="I175" s="20" t="n">
        <v>-514.1950000000001</v>
      </c>
      <c r="J175" s="20" t="n">
        <v>-534.533</v>
      </c>
      <c r="K175" s="20" t="n">
        <v>-474.287</v>
      </c>
      <c r="L175" s="20" t="n">
        <v>-501.501</v>
      </c>
      <c r="M175" s="20" t="n">
        <v>-583.134</v>
      </c>
      <c r="N175" s="20" t="n">
        <v>-553.602</v>
      </c>
      <c r="V175" s="20" t="n">
        <v>-490.734</v>
      </c>
      <c r="W175" s="20" t="n">
        <v>-499.818</v>
      </c>
      <c r="X175" s="20" t="n">
        <v>-501.501</v>
      </c>
    </row>
    <row r="176">
      <c r="A176" s="9" t="inlineStr">
        <is>
          <t>부문 이익</t>
        </is>
      </c>
      <c r="C176" s="12" t="n">
        <v>963.938</v>
      </c>
      <c r="D176" s="12" t="n">
        <v>963.621</v>
      </c>
      <c r="E176" s="12" t="n">
        <v>470.794</v>
      </c>
      <c r="F176" s="12" t="n">
        <v>666.579</v>
      </c>
      <c r="G176" s="12" t="n">
        <v>918.95</v>
      </c>
      <c r="H176" s="12" t="n">
        <v>1189.537</v>
      </c>
      <c r="I176" s="12" t="n">
        <v>633.614</v>
      </c>
      <c r="J176" s="12" t="n">
        <v>833.9640000000001</v>
      </c>
      <c r="K176" s="12" t="n">
        <v>757.804</v>
      </c>
      <c r="L176" s="12" t="n">
        <v>965.484</v>
      </c>
      <c r="M176" s="12" t="n">
        <v>389.475</v>
      </c>
      <c r="N176" s="12" t="n">
        <v>549.04</v>
      </c>
      <c r="V176" s="12" t="n">
        <v>963.621</v>
      </c>
      <c r="W176" s="12" t="n">
        <v>1189.537</v>
      </c>
      <c r="X176" s="12" t="n">
        <v>965.484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IF(OR(C176="",C150=""),"",IF(C150&lt;=0,"",IFERROR(C176/C150,"")))</f>
        <v/>
      </c>
      <c r="D177" s="15">
        <f>IF(OR(D176="",D150=""),"",IF(D150&lt;=0,"",IFERROR(D176/D150,"")))</f>
        <v/>
      </c>
      <c r="E177" s="15">
        <f>IF(OR(E176="",E150=""),"",IF(E150&lt;=0,"",IFERROR(E176/E150,"")))</f>
        <v/>
      </c>
      <c r="F177" s="15">
        <f>IF(OR(F176="",F150=""),"",IF(F150&lt;=0,"",IFERROR(F176/F150,"")))</f>
        <v/>
      </c>
      <c r="G177" s="15">
        <f>IF(OR(G176="",G150=""),"",IF(G150&lt;=0,"",IFERROR(G176/G150,"")))</f>
        <v/>
      </c>
      <c r="H177" s="15">
        <f>IF(OR(H176="",H150=""),"",IF(H150&lt;=0,"",IFERROR(H176/H150,"")))</f>
        <v/>
      </c>
      <c r="I177" s="15">
        <f>IF(OR(I176="",I150=""),"",IF(I150&lt;=0,"",IFERROR(I176/I150,"")))</f>
        <v/>
      </c>
      <c r="J177" s="15">
        <f>IF(OR(J176="",J150=""),"",IF(J150&lt;=0,"",IFERROR(J176/J150,"")))</f>
        <v/>
      </c>
      <c r="K177" s="15">
        <f>IF(OR(K176="",K150=""),"",IF(K150&lt;=0,"",IFERROR(K176/K150,"")))</f>
        <v/>
      </c>
      <c r="L177" s="15">
        <f>IF(OR(L176="",L150=""),"",IF(L150&lt;=0,"",IFERROR(L176/L150,"")))</f>
        <v/>
      </c>
      <c r="M177" s="15">
        <f>IF(OR(M176="",M150=""),"",IF(M150&lt;=0,"",IFERROR(M176/M150,"")))</f>
        <v/>
      </c>
      <c r="N177" s="15">
        <f>IF(OR(N176="",N150=""),"",IF(N150&lt;=0,"",IFERROR(N176/N150,"")))</f>
        <v/>
      </c>
      <c r="V177" s="15">
        <f>IF(OR(V176="",V150=""),"",IF(V150&lt;=0,"",IFERROR(V176/V150,"")))</f>
        <v/>
      </c>
      <c r="W177" s="15">
        <f>IF(OR(W176="",W150=""),"",IF(W150&lt;=0,"",IFERROR(W176/W150,"")))</f>
        <v/>
      </c>
      <c r="X177" s="15">
        <f>IF(OR(X176="",X150=""),"",IF(X150&lt;=0,"",IFERROR(X176/X150,"")))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80">
      <c r="A180" s="16" t="inlineStr">
        <is>
          <t>현금흐름표 · 전 항목</t>
        </is>
      </c>
      <c r="B180" s="42" t="inlineStr">
        <is>
          <t>분기 = 결산기 첫날부터 누계(공시 그대로)</t>
        </is>
      </c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</row>
    <row r="181">
      <c r="A181" s="5" t="inlineStr">
        <is>
          <t>항목</t>
        </is>
      </c>
      <c r="B181" s="5" t="inlineStr">
        <is>
          <t>참고</t>
        </is>
      </c>
      <c r="C181" s="5" t="inlineStr">
        <is>
          <t>2024.3Q</t>
        </is>
      </c>
      <c r="D181" s="5" t="inlineStr">
        <is>
          <t>2024.4Q</t>
        </is>
      </c>
      <c r="E181" s="5" t="inlineStr">
        <is>
          <t>2025.1Q</t>
        </is>
      </c>
      <c r="F181" s="5" t="inlineStr">
        <is>
          <t>2025.2Q</t>
        </is>
      </c>
      <c r="G181" s="5" t="inlineStr">
        <is>
          <t>2025.3Q</t>
        </is>
      </c>
      <c r="H181" s="5" t="inlineStr">
        <is>
          <t>2025.4Q</t>
        </is>
      </c>
      <c r="I181" s="5" t="inlineStr">
        <is>
          <t>2026.1Q</t>
        </is>
      </c>
      <c r="J181" s="5" t="inlineStr">
        <is>
          <t>2026.2Q</t>
        </is>
      </c>
      <c r="K181" s="5" t="inlineStr">
        <is>
          <t>2026.3Q</t>
        </is>
      </c>
      <c r="L181" s="5" t="inlineStr">
        <is>
          <t>2026.4Q</t>
        </is>
      </c>
      <c r="M181" s="5" t="inlineStr">
        <is>
          <t>2027.1Q</t>
        </is>
      </c>
      <c r="N181" s="5" t="inlineStr">
        <is>
          <t>2027.2Q</t>
        </is>
      </c>
      <c r="O181" s="5" t="inlineStr">
        <is>
          <t>2017</t>
        </is>
      </c>
      <c r="P181" s="5" t="inlineStr">
        <is>
          <t>2018</t>
        </is>
      </c>
      <c r="Q181" s="5" t="inlineStr">
        <is>
          <t>2019</t>
        </is>
      </c>
      <c r="R181" s="5" t="inlineStr">
        <is>
          <t>2020</t>
        </is>
      </c>
      <c r="S181" s="5" t="inlineStr">
        <is>
          <t>2021</t>
        </is>
      </c>
      <c r="T181" s="5" t="inlineStr">
        <is>
          <t>2022</t>
        </is>
      </c>
      <c r="U181" s="5" t="inlineStr">
        <is>
          <t>2023</t>
        </is>
      </c>
      <c r="V181" s="5" t="inlineStr">
        <is>
          <t>2024</t>
        </is>
      </c>
      <c r="W181" s="5" t="inlineStr">
        <is>
          <t>2025</t>
        </is>
      </c>
      <c r="X181" s="5" t="inlineStr">
        <is>
          <t>2026</t>
        </is>
      </c>
      <c r="Y181" s="5" t="inlineStr">
        <is>
          <t>2027(MW)</t>
        </is>
      </c>
      <c r="Z181" s="5" t="inlineStr">
        <is>
          <t>2028(MW)</t>
        </is>
      </c>
      <c r="AA181" s="5" t="inlineStr">
        <is>
          <t>2029(MW)</t>
        </is>
      </c>
      <c r="AB181" s="5" t="inlineStr">
        <is>
          <t>2030(MW)</t>
        </is>
      </c>
      <c r="AC181" s="5" t="inlineStr">
        <is>
          <t>2031(MW)</t>
        </is>
      </c>
    </row>
    <row r="182">
      <c r="A182" s="9" t="inlineStr">
        <is>
          <t>법인세차감전 순이익</t>
        </is>
      </c>
      <c r="D182" s="12" t="n">
        <v>3007.009</v>
      </c>
      <c r="H182" s="12" t="n">
        <v>3521.87</v>
      </c>
      <c r="L182" s="12" t="n">
        <v>3728.773</v>
      </c>
      <c r="O182" s="12" t="n">
        <v>2162.958</v>
      </c>
      <c r="P182" s="12" t="n">
        <v>2616.842</v>
      </c>
      <c r="Q182" s="12" t="n">
        <v>2249.507</v>
      </c>
      <c r="R182" s="12" t="n">
        <v>2845.44</v>
      </c>
      <c r="S182" s="12" t="n">
        <v>2423.63</v>
      </c>
      <c r="T182" s="12" t="n">
        <v>2555.891</v>
      </c>
      <c r="U182" s="12" t="n">
        <v>1789.922</v>
      </c>
      <c r="V182" s="12" t="n">
        <v>3007.009</v>
      </c>
      <c r="W182" s="12" t="n">
        <v>3521.87</v>
      </c>
      <c r="X182" s="12" t="n">
        <v>3728.773</v>
      </c>
    </row>
    <row r="183">
      <c r="A183" s="18" t="inlineStr">
        <is>
          <t>감가상각비</t>
        </is>
      </c>
      <c r="D183" s="20" t="n">
        <v>1500.29</v>
      </c>
      <c r="H183" s="20" t="n">
        <v>1035.63</v>
      </c>
      <c r="L183" s="20" t="n">
        <v>1329.429</v>
      </c>
      <c r="O183" s="20" t="n">
        <v>758.6559999999999</v>
      </c>
      <c r="P183" s="20" t="n">
        <v>760.355</v>
      </c>
      <c r="Q183" s="20" t="n">
        <v>869.421</v>
      </c>
      <c r="R183" s="20" t="n">
        <v>855.12</v>
      </c>
      <c r="S183" s="20" t="n">
        <v>774.588</v>
      </c>
      <c r="T183" s="20" t="n">
        <v>918.856</v>
      </c>
      <c r="U183" s="20" t="n">
        <v>1009.912</v>
      </c>
      <c r="V183" s="20" t="n">
        <v>1500.29</v>
      </c>
      <c r="W183" s="20" t="n">
        <v>1035.63</v>
      </c>
      <c r="X183" s="20" t="n">
        <v>1329.429</v>
      </c>
    </row>
    <row r="184">
      <c r="A184" s="18" t="inlineStr">
        <is>
          <t>단계적 취득 차손익</t>
        </is>
      </c>
      <c r="O184" s="20" t="n">
        <v>0</v>
      </c>
      <c r="P184" s="20" t="n">
        <v>11.634</v>
      </c>
      <c r="Q184" s="20" t="n">
        <v>0</v>
      </c>
    </row>
    <row r="185">
      <c r="A185" s="18" t="inlineStr">
        <is>
          <t>상여충당금 증감</t>
        </is>
      </c>
      <c r="D185" s="20" t="n">
        <v>159.301</v>
      </c>
      <c r="H185" s="20" t="n">
        <v>69.39400000000001</v>
      </c>
      <c r="L185" s="20" t="n">
        <v>-9.422000000000001</v>
      </c>
      <c r="O185" s="20" t="n">
        <v>3.336</v>
      </c>
      <c r="P185" s="20" t="n">
        <v>45.808</v>
      </c>
      <c r="Q185" s="20" t="n">
        <v>-23.055</v>
      </c>
      <c r="R185" s="20" t="n">
        <v>64.23</v>
      </c>
      <c r="S185" s="20" t="n">
        <v>-2.816</v>
      </c>
      <c r="T185" s="20" t="n">
        <v>-13.622</v>
      </c>
      <c r="U185" s="20" t="n">
        <v>-60.301</v>
      </c>
      <c r="V185" s="20" t="n">
        <v>159.301</v>
      </c>
      <c r="W185" s="20" t="n">
        <v>69.39400000000001</v>
      </c>
      <c r="X185" s="20" t="n">
        <v>-9.422000000000001</v>
      </c>
    </row>
    <row r="186">
      <c r="A186" s="18" t="inlineStr">
        <is>
          <t>임원 상여충당금 증감</t>
        </is>
      </c>
      <c r="D186" s="20" t="n">
        <v>12.464</v>
      </c>
      <c r="H186" s="20" t="n">
        <v>-25.338</v>
      </c>
      <c r="L186" s="20" t="n">
        <v>2.879</v>
      </c>
      <c r="O186" s="20" t="n">
        <v>21.484</v>
      </c>
      <c r="P186" s="20" t="n">
        <v>2.772</v>
      </c>
      <c r="Q186" s="20" t="n">
        <v>9.166</v>
      </c>
      <c r="R186" s="20" t="n">
        <v>-10.821</v>
      </c>
      <c r="S186" s="20" t="n">
        <v>1.464</v>
      </c>
      <c r="T186" s="20" t="n">
        <v>-0.365</v>
      </c>
      <c r="U186" s="20" t="n">
        <v>1.724</v>
      </c>
      <c r="V186" s="20" t="n">
        <v>12.464</v>
      </c>
      <c r="W186" s="20" t="n">
        <v>-25.338</v>
      </c>
      <c r="X186" s="20" t="n">
        <v>2.879</v>
      </c>
    </row>
    <row r="187">
      <c r="A187" s="18" t="inlineStr">
        <is>
          <t>퇴직급여부채 증감</t>
        </is>
      </c>
      <c r="D187" s="20" t="n">
        <v>66.611</v>
      </c>
      <c r="H187" s="20" t="n">
        <v>-80.90600000000001</v>
      </c>
      <c r="L187" s="20" t="n">
        <v>78.06</v>
      </c>
      <c r="O187" s="20" t="n">
        <v>15.755</v>
      </c>
      <c r="P187" s="20" t="n">
        <v>61.726</v>
      </c>
      <c r="Q187" s="20" t="n">
        <v>23.956</v>
      </c>
      <c r="R187" s="20" t="n">
        <v>8.941000000000001</v>
      </c>
      <c r="S187" s="20" t="n">
        <v>-45.3</v>
      </c>
      <c r="T187" s="20" t="n">
        <v>-991.742</v>
      </c>
      <c r="U187" s="20" t="n">
        <v>165.506</v>
      </c>
      <c r="V187" s="20" t="n">
        <v>66.611</v>
      </c>
      <c r="W187" s="20" t="n">
        <v>-80.90600000000001</v>
      </c>
      <c r="X187" s="20" t="n">
        <v>78.06</v>
      </c>
    </row>
    <row r="188">
      <c r="A188" s="18" t="inlineStr">
        <is>
          <t>퇴직급여자산 증감</t>
        </is>
      </c>
      <c r="D188" s="20" t="n">
        <v>-142.377</v>
      </c>
      <c r="H188" s="20" t="n">
        <v>-309.622</v>
      </c>
      <c r="L188" s="20" t="n">
        <v>-147.601</v>
      </c>
      <c r="O188" s="20" t="n">
        <v>3.026</v>
      </c>
      <c r="P188" s="20" t="n">
        <v>77.816</v>
      </c>
      <c r="Q188" s="20" t="n">
        <v>4.376</v>
      </c>
      <c r="R188" s="20" t="n">
        <v>0</v>
      </c>
      <c r="S188" s="20" t="n">
        <v>-128.916</v>
      </c>
      <c r="T188" s="20" t="n">
        <v>30.713</v>
      </c>
      <c r="U188" s="20" t="n">
        <v>98.203</v>
      </c>
      <c r="V188" s="20" t="n">
        <v>-142.377</v>
      </c>
      <c r="W188" s="20" t="n">
        <v>-309.622</v>
      </c>
      <c r="X188" s="20" t="n">
        <v>-147.601</v>
      </c>
    </row>
    <row r="189">
      <c r="A189" s="18" t="inlineStr">
        <is>
          <t>임원 퇴직위로 충당금 증감</t>
        </is>
      </c>
      <c r="D189" s="20" t="n">
        <v>-4.348</v>
      </c>
      <c r="H189" s="20" t="n">
        <v>-32.229</v>
      </c>
      <c r="L189" s="20" t="n">
        <v>8.369999999999999</v>
      </c>
      <c r="O189" s="20" t="n">
        <v>3.228</v>
      </c>
      <c r="P189" s="20" t="n">
        <v>-10.323</v>
      </c>
      <c r="Q189" s="20" t="n">
        <v>4.425</v>
      </c>
      <c r="R189" s="20" t="n">
        <v>-9.836</v>
      </c>
      <c r="S189" s="20" t="n">
        <v>38.686</v>
      </c>
      <c r="T189" s="20" t="n">
        <v>-144.232</v>
      </c>
      <c r="U189" s="20" t="n">
        <v>6.806</v>
      </c>
      <c r="V189" s="20" t="n">
        <v>-4.348</v>
      </c>
      <c r="W189" s="20" t="n">
        <v>-32.229</v>
      </c>
      <c r="X189" s="20" t="n">
        <v>8.369999999999999</v>
      </c>
    </row>
    <row r="190">
      <c r="A190" s="18" t="inlineStr">
        <is>
          <t>대손충당금 증감</t>
        </is>
      </c>
      <c r="D190" s="20" t="n">
        <v>-1.647</v>
      </c>
      <c r="H190" s="20" t="n">
        <v>2.317</v>
      </c>
      <c r="L190" s="20" t="n">
        <v>-8.407</v>
      </c>
      <c r="O190" s="20" t="n">
        <v>-3.738</v>
      </c>
      <c r="P190" s="20" t="n">
        <v>-5.625</v>
      </c>
      <c r="Q190" s="20" t="n">
        <v>5.081</v>
      </c>
      <c r="R190" s="20" t="n">
        <v>-0.247</v>
      </c>
      <c r="S190" s="20" t="n">
        <v>-0.221</v>
      </c>
      <c r="T190" s="20" t="n">
        <v>13.92</v>
      </c>
      <c r="U190" s="20" t="n">
        <v>-1.175</v>
      </c>
      <c r="V190" s="20" t="n">
        <v>-1.647</v>
      </c>
      <c r="W190" s="20" t="n">
        <v>2.317</v>
      </c>
      <c r="X190" s="20" t="n">
        <v>-8.407</v>
      </c>
    </row>
    <row r="191">
      <c r="A191" s="18" t="inlineStr">
        <is>
          <t>이자·배당금 수익</t>
        </is>
      </c>
      <c r="D191" s="20" t="n">
        <v>-121.231</v>
      </c>
      <c r="H191" s="20" t="n">
        <v>-149.285</v>
      </c>
      <c r="L191" s="20" t="n">
        <v>-172.731</v>
      </c>
      <c r="O191" s="20" t="n">
        <v>-124.318</v>
      </c>
      <c r="P191" s="20" t="n">
        <v>-126.264</v>
      </c>
      <c r="Q191" s="20" t="n">
        <v>-122.875</v>
      </c>
      <c r="R191" s="20" t="n">
        <v>-122.22</v>
      </c>
      <c r="S191" s="20" t="n">
        <v>-100.449</v>
      </c>
      <c r="T191" s="20" t="n">
        <v>-105.889</v>
      </c>
      <c r="U191" s="20" t="n">
        <v>-108.435</v>
      </c>
      <c r="V191" s="20" t="n">
        <v>-121.231</v>
      </c>
      <c r="W191" s="20" t="n">
        <v>-149.285</v>
      </c>
      <c r="X191" s="20" t="n">
        <v>-172.731</v>
      </c>
    </row>
    <row r="192">
      <c r="A192" s="18" t="inlineStr">
        <is>
          <t>이자비용</t>
        </is>
      </c>
      <c r="D192" s="20" t="n">
        <v>0.767</v>
      </c>
      <c r="H192" s="20" t="n">
        <v>0.641</v>
      </c>
      <c r="L192" s="20" t="n">
        <v>0.553</v>
      </c>
      <c r="S192" s="20" t="n">
        <v>0</v>
      </c>
      <c r="T192" s="20" t="n">
        <v>1.196</v>
      </c>
      <c r="U192" s="20" t="n">
        <v>0.787</v>
      </c>
      <c r="V192" s="20" t="n">
        <v>0.767</v>
      </c>
      <c r="W192" s="20" t="n">
        <v>0.641</v>
      </c>
      <c r="X192" s="20" t="n">
        <v>0.553</v>
      </c>
    </row>
    <row r="193">
      <c r="A193" s="18" t="inlineStr">
        <is>
          <t>지분법손익</t>
        </is>
      </c>
      <c r="D193" s="20" t="n">
        <v>-141.69</v>
      </c>
      <c r="H193" s="20" t="n">
        <v>-77.145</v>
      </c>
      <c r="L193" s="20" t="n">
        <v>-380.755</v>
      </c>
      <c r="O193" s="20" t="n">
        <v>-110.716</v>
      </c>
      <c r="P193" s="20" t="n">
        <v>-95.581</v>
      </c>
      <c r="Q193" s="20" t="n">
        <v>-188.379</v>
      </c>
      <c r="R193" s="20" t="n">
        <v>-68.18899999999999</v>
      </c>
      <c r="S193" s="20" t="n">
        <v>93.18300000000001</v>
      </c>
      <c r="T193" s="20" t="n">
        <v>-193.27</v>
      </c>
      <c r="U193" s="20" t="n">
        <v>-281.648</v>
      </c>
      <c r="V193" s="20" t="n">
        <v>-141.69</v>
      </c>
      <c r="W193" s="20" t="n">
        <v>-77.145</v>
      </c>
      <c r="X193" s="20" t="n">
        <v>-380.755</v>
      </c>
    </row>
    <row r="194">
      <c r="A194" s="18" t="inlineStr">
        <is>
          <t>완성공사 보증 충당금 증감액</t>
        </is>
      </c>
      <c r="D194" s="20" t="n">
        <v>6.789</v>
      </c>
      <c r="H194" s="20" t="n">
        <v>8.638999999999999</v>
      </c>
      <c r="L194" s="20" t="n">
        <v>26.333</v>
      </c>
      <c r="O194" s="20" t="n">
        <v>-31.233</v>
      </c>
      <c r="P194" s="20" t="n">
        <v>-6.837</v>
      </c>
      <c r="Q194" s="20" t="n">
        <v>5.915</v>
      </c>
      <c r="R194" s="20" t="n">
        <v>1.009</v>
      </c>
      <c r="S194" s="20" t="n">
        <v>25.612</v>
      </c>
      <c r="T194" s="20" t="n">
        <v>-41.275</v>
      </c>
      <c r="U194" s="20" t="n">
        <v>-13.195</v>
      </c>
      <c r="V194" s="20" t="n">
        <v>6.789</v>
      </c>
      <c r="W194" s="20" t="n">
        <v>8.638999999999999</v>
      </c>
      <c r="X194" s="20" t="n">
        <v>26.333</v>
      </c>
    </row>
    <row r="195">
      <c r="A195" s="18" t="inlineStr">
        <is>
          <t>고정자산 제각손실</t>
        </is>
      </c>
      <c r="D195" s="20" t="n">
        <v>70.004</v>
      </c>
      <c r="H195" s="20" t="n">
        <v>51.666</v>
      </c>
      <c r="L195" s="20" t="n">
        <v>38.601</v>
      </c>
      <c r="O195" s="20" t="n">
        <v>13.223</v>
      </c>
      <c r="P195" s="20" t="n">
        <v>54.89</v>
      </c>
      <c r="Q195" s="20" t="n">
        <v>14.788</v>
      </c>
      <c r="R195" s="20" t="n">
        <v>14.766</v>
      </c>
      <c r="S195" s="20" t="n">
        <v>7.56</v>
      </c>
      <c r="T195" s="20" t="n">
        <v>14.206</v>
      </c>
      <c r="U195" s="20" t="n">
        <v>9.667</v>
      </c>
      <c r="V195" s="20" t="n">
        <v>70.004</v>
      </c>
      <c r="W195" s="20" t="n">
        <v>51.666</v>
      </c>
      <c r="X195" s="20" t="n">
        <v>38.601</v>
      </c>
    </row>
    <row r="196">
      <c r="A196" s="18" t="inlineStr">
        <is>
          <t>투자유가증권 매각손익</t>
        </is>
      </c>
      <c r="D196" s="20" t="n">
        <v>0</v>
      </c>
      <c r="S196" s="20" t="n">
        <v>0</v>
      </c>
      <c r="T196" s="20" t="n">
        <v>-220.845</v>
      </c>
      <c r="U196" s="20" t="n">
        <v>-318.362</v>
      </c>
      <c r="V196" s="20" t="n">
        <v>0</v>
      </c>
    </row>
    <row r="197">
      <c r="A197" s="18" t="inlineStr">
        <is>
          <t>매출채권 증감</t>
        </is>
      </c>
      <c r="D197" s="20" t="n">
        <v>-3060.326</v>
      </c>
      <c r="H197" s="20" t="n">
        <v>-2221.626</v>
      </c>
      <c r="L197" s="20" t="n">
        <v>1963.177</v>
      </c>
      <c r="O197" s="20" t="n">
        <v>-804.893</v>
      </c>
      <c r="P197" s="20" t="n">
        <v>-4651.061</v>
      </c>
      <c r="Q197" s="20" t="n">
        <v>961.59</v>
      </c>
      <c r="R197" s="20" t="n">
        <v>446.188</v>
      </c>
      <c r="S197" s="20" t="n">
        <v>-621.129</v>
      </c>
      <c r="T197" s="20" t="n">
        <v>1934.995</v>
      </c>
      <c r="U197" s="20" t="n">
        <v>3007.942</v>
      </c>
      <c r="V197" s="20" t="n">
        <v>-3060.326</v>
      </c>
      <c r="W197" s="20" t="n">
        <v>-2221.626</v>
      </c>
      <c r="X197" s="20" t="n">
        <v>1963.177</v>
      </c>
    </row>
    <row r="198">
      <c r="A198" s="18" t="inlineStr">
        <is>
          <t>재고자산 증감</t>
        </is>
      </c>
      <c r="D198" s="20" t="n">
        <v>-2.741</v>
      </c>
      <c r="H198" s="20" t="n">
        <v>-57.719</v>
      </c>
      <c r="L198" s="20" t="n">
        <v>-106.346</v>
      </c>
      <c r="O198" s="20" t="n">
        <v>373.836</v>
      </c>
      <c r="P198" s="20" t="n">
        <v>-92.595</v>
      </c>
      <c r="Q198" s="20" t="n">
        <v>-191.481</v>
      </c>
      <c r="R198" s="20" t="n">
        <v>-109.199</v>
      </c>
      <c r="S198" s="20" t="n">
        <v>74.736</v>
      </c>
      <c r="T198" s="20" t="n">
        <v>70.21899999999999</v>
      </c>
      <c r="U198" s="20" t="n">
        <v>-59.533</v>
      </c>
      <c r="V198" s="20" t="n">
        <v>-2.741</v>
      </c>
      <c r="W198" s="20" t="n">
        <v>-57.719</v>
      </c>
      <c r="X198" s="20" t="n">
        <v>-106.346</v>
      </c>
    </row>
    <row r="199">
      <c r="A199" s="18" t="inlineStr">
        <is>
          <t>매입채무 증감</t>
        </is>
      </c>
      <c r="D199" s="20" t="n">
        <v>1637.202</v>
      </c>
      <c r="H199" s="20" t="n">
        <v>-3598.893</v>
      </c>
      <c r="L199" s="20" t="n">
        <v>-1233.976</v>
      </c>
      <c r="O199" s="20" t="n">
        <v>1857.858</v>
      </c>
      <c r="P199" s="20" t="n">
        <v>-247.778</v>
      </c>
      <c r="Q199" s="20" t="n">
        <v>486.777</v>
      </c>
      <c r="R199" s="20" t="n">
        <v>-1407.241</v>
      </c>
      <c r="S199" s="20" t="n">
        <v>-0.859</v>
      </c>
      <c r="T199" s="20" t="n">
        <v>-156.795</v>
      </c>
      <c r="U199" s="20" t="n">
        <v>-799.691</v>
      </c>
      <c r="V199" s="20" t="n">
        <v>1637.202</v>
      </c>
      <c r="W199" s="20" t="n">
        <v>-3598.893</v>
      </c>
      <c r="X199" s="20" t="n">
        <v>-1233.976</v>
      </c>
    </row>
    <row r="200">
      <c r="A200" s="18" t="inlineStr">
        <is>
          <t>선수금 증감</t>
        </is>
      </c>
      <c r="O200" s="20" t="n">
        <v>2357.381</v>
      </c>
      <c r="P200" s="20" t="n">
        <v>-2126.719</v>
      </c>
      <c r="Q200" s="20" t="n">
        <v>-257.688</v>
      </c>
      <c r="R200" s="20" t="n">
        <v>739.593</v>
      </c>
      <c r="S200" s="20" t="n">
        <v>-384.306</v>
      </c>
      <c r="T200" s="20" t="n">
        <v>0</v>
      </c>
    </row>
    <row r="201">
      <c r="A201" s="18" t="inlineStr">
        <is>
          <t>미지급 소비세 증감</t>
        </is>
      </c>
      <c r="O201" s="20" t="n">
        <v>151.464</v>
      </c>
      <c r="P201" s="20" t="n">
        <v>-26.807</v>
      </c>
    </row>
    <row r="202">
      <c r="A202" s="18" t="inlineStr">
        <is>
          <t>계약부채 증감</t>
        </is>
      </c>
      <c r="S202" s="20" t="n">
        <v>0</v>
      </c>
      <c r="T202" s="20" t="n">
        <v>-307.181</v>
      </c>
      <c r="U202" s="20" t="n">
        <v>329.179</v>
      </c>
    </row>
    <row r="203">
      <c r="A203" s="18" t="inlineStr">
        <is>
          <t>계약부채 증감</t>
        </is>
      </c>
      <c r="D203" s="20" t="n">
        <v>126.193</v>
      </c>
      <c r="H203" s="20" t="n">
        <v>-250.444</v>
      </c>
      <c r="L203" s="20" t="n">
        <v>239.195</v>
      </c>
      <c r="U203" s="20" t="n">
        <v>329.179</v>
      </c>
      <c r="V203" s="20" t="n">
        <v>126.193</v>
      </c>
      <c r="W203" s="20" t="n">
        <v>-250.444</v>
      </c>
      <c r="X203" s="20" t="n">
        <v>239.195</v>
      </c>
    </row>
    <row r="204">
      <c r="A204" s="18" t="inlineStr">
        <is>
          <t>선급금 증감</t>
        </is>
      </c>
      <c r="D204" s="20" t="n">
        <v>243.557</v>
      </c>
      <c r="H204" s="20" t="n">
        <v>-17.567</v>
      </c>
      <c r="L204" s="20" t="n">
        <v>-289.431</v>
      </c>
      <c r="T204" s="20" t="n">
        <v>-47.528</v>
      </c>
      <c r="U204" s="20" t="n">
        <v>-204.444</v>
      </c>
      <c r="V204" s="20" t="n">
        <v>243.557</v>
      </c>
      <c r="W204" s="20" t="n">
        <v>-17.567</v>
      </c>
      <c r="X204" s="20" t="n">
        <v>-289.431</v>
      </c>
    </row>
    <row r="205">
      <c r="A205" s="18" t="inlineStr">
        <is>
          <t>기타</t>
        </is>
      </c>
      <c r="D205" s="20" t="n">
        <v>577.6609999999999</v>
      </c>
      <c r="H205" s="20" t="n">
        <v>35.536</v>
      </c>
      <c r="L205" s="20" t="n">
        <v>443.32</v>
      </c>
      <c r="O205" s="20" t="n">
        <v>115.303</v>
      </c>
      <c r="P205" s="20" t="n">
        <v>-390.95</v>
      </c>
      <c r="Q205" s="20" t="n">
        <v>181.121</v>
      </c>
      <c r="R205" s="20" t="n">
        <v>499.855</v>
      </c>
      <c r="S205" s="20" t="n">
        <v>427.673</v>
      </c>
      <c r="T205" s="20" t="n">
        <v>-603.091</v>
      </c>
      <c r="U205" s="20" t="n">
        <v>-73.214</v>
      </c>
      <c r="V205" s="20" t="n">
        <v>577.6609999999999</v>
      </c>
      <c r="W205" s="20" t="n">
        <v>35.536</v>
      </c>
      <c r="X205" s="20" t="n">
        <v>443.32</v>
      </c>
    </row>
    <row r="206">
      <c r="A206" s="18" t="inlineStr">
        <is>
          <t>소계</t>
        </is>
      </c>
      <c r="D206" s="20" t="n">
        <v>3933.49</v>
      </c>
      <c r="H206" s="20" t="n">
        <v>-2095.081</v>
      </c>
      <c r="L206" s="20" t="n">
        <v>5510.02</v>
      </c>
      <c r="O206" s="20" t="n">
        <v>6762.614</v>
      </c>
      <c r="P206" s="20" t="n">
        <v>-4121.889</v>
      </c>
      <c r="Q206" s="20" t="n">
        <v>4032.647</v>
      </c>
      <c r="R206" s="20" t="n">
        <v>3747.391</v>
      </c>
      <c r="S206" s="20" t="n">
        <v>2583.134</v>
      </c>
      <c r="T206" s="20" t="n">
        <v>2714.16</v>
      </c>
      <c r="U206" s="20" t="n">
        <v>4499.649</v>
      </c>
      <c r="V206" s="20" t="n">
        <v>3933.49</v>
      </c>
      <c r="W206" s="20" t="n">
        <v>-2095.081</v>
      </c>
      <c r="X206" s="20" t="n">
        <v>5510.02</v>
      </c>
    </row>
    <row r="207">
      <c r="A207" s="18" t="inlineStr">
        <is>
          <t>이자·배당금 수취</t>
        </is>
      </c>
      <c r="D207" s="20" t="n">
        <v>365.688</v>
      </c>
      <c r="H207" s="20" t="n">
        <v>484.28</v>
      </c>
      <c r="L207" s="20" t="n">
        <v>595.638</v>
      </c>
      <c r="O207" s="20" t="n">
        <v>238.93</v>
      </c>
      <c r="P207" s="20" t="n">
        <v>302.119</v>
      </c>
      <c r="Q207" s="20" t="n">
        <v>232.114</v>
      </c>
      <c r="R207" s="20" t="n">
        <v>234.367</v>
      </c>
      <c r="S207" s="20" t="n">
        <v>315.89</v>
      </c>
      <c r="T207" s="20" t="n">
        <v>303.84</v>
      </c>
      <c r="U207" s="20" t="n">
        <v>312.546</v>
      </c>
      <c r="V207" s="20" t="n">
        <v>365.688</v>
      </c>
      <c r="W207" s="20" t="n">
        <v>484.28</v>
      </c>
      <c r="X207" s="20" t="n">
        <v>595.638</v>
      </c>
    </row>
    <row r="208">
      <c r="A208" s="18" t="inlineStr">
        <is>
          <t>이자 지급</t>
        </is>
      </c>
      <c r="D208" s="20" t="n">
        <v>-0.767</v>
      </c>
      <c r="H208" s="20" t="n">
        <v>-0.641</v>
      </c>
      <c r="L208" s="20" t="n">
        <v>-0.553</v>
      </c>
      <c r="S208" s="20" t="n">
        <v>0</v>
      </c>
      <c r="T208" s="20" t="n">
        <v>-1.196</v>
      </c>
      <c r="U208" s="20" t="n">
        <v>-0.787</v>
      </c>
      <c r="V208" s="20" t="n">
        <v>-0.767</v>
      </c>
      <c r="W208" s="20" t="n">
        <v>-0.641</v>
      </c>
      <c r="X208" s="20" t="n">
        <v>-0.553</v>
      </c>
    </row>
    <row r="209">
      <c r="A209" s="18" t="inlineStr">
        <is>
          <t>법인세 납부</t>
        </is>
      </c>
      <c r="D209" s="20" t="n">
        <v>-679.704</v>
      </c>
      <c r="H209" s="20" t="n">
        <v>-1196.683</v>
      </c>
      <c r="L209" s="20" t="n">
        <v>-1010.384</v>
      </c>
      <c r="O209" s="20" t="n">
        <v>-378.801</v>
      </c>
      <c r="P209" s="20" t="n">
        <v>-891.562</v>
      </c>
      <c r="Q209" s="20" t="n">
        <v>-629.236</v>
      </c>
      <c r="R209" s="20" t="n">
        <v>-756.523</v>
      </c>
      <c r="S209" s="20" t="n">
        <v>-785.636</v>
      </c>
      <c r="T209" s="20" t="n">
        <v>-908.019</v>
      </c>
      <c r="U209" s="20" t="n">
        <v>-470.702</v>
      </c>
      <c r="V209" s="20" t="n">
        <v>-679.704</v>
      </c>
      <c r="W209" s="20" t="n">
        <v>-1196.683</v>
      </c>
      <c r="X209" s="20" t="n">
        <v>-1010.384</v>
      </c>
    </row>
    <row r="210">
      <c r="A210" s="9" t="inlineStr">
        <is>
          <t>영업활동 현금흐름</t>
        </is>
      </c>
      <c r="D210" s="12" t="n">
        <v>3618.706</v>
      </c>
      <c r="H210" s="12" t="n">
        <v>-2808.126</v>
      </c>
      <c r="L210" s="12" t="n">
        <v>5094.721</v>
      </c>
      <c r="O210" s="12" t="n">
        <v>6622.742</v>
      </c>
      <c r="P210" s="12" t="n">
        <v>-4711.332</v>
      </c>
      <c r="Q210" s="12" t="n">
        <v>3635.526</v>
      </c>
      <c r="R210" s="12" t="n">
        <v>3225.234</v>
      </c>
      <c r="S210" s="12" t="n">
        <v>2113.388</v>
      </c>
      <c r="T210" s="12" t="n">
        <v>2108.785</v>
      </c>
      <c r="U210" s="12" t="n">
        <v>4340.706</v>
      </c>
      <c r="V210" s="12" t="n">
        <v>3618.706</v>
      </c>
      <c r="W210" s="12" t="n">
        <v>-2808.126</v>
      </c>
      <c r="X210" s="12" t="n">
        <v>5094.721</v>
      </c>
    </row>
    <row r="211">
      <c r="A211" s="18" t="inlineStr">
        <is>
          <t>정기예금 예입</t>
        </is>
      </c>
      <c r="D211" s="20" t="n">
        <v>-849.082</v>
      </c>
      <c r="H211" s="20" t="n">
        <v>-1606.061</v>
      </c>
      <c r="L211" s="20" t="n">
        <v>-460.098</v>
      </c>
      <c r="O211" s="20" t="n">
        <v>-8.737</v>
      </c>
      <c r="P211" s="20" t="n">
        <v>-161.127</v>
      </c>
      <c r="Q211" s="20" t="n">
        <v>-154.388</v>
      </c>
      <c r="R211" s="20" t="n">
        <v>-597.347</v>
      </c>
      <c r="S211" s="20" t="n">
        <v>-553.49</v>
      </c>
      <c r="T211" s="20" t="n">
        <v>-602.148</v>
      </c>
      <c r="U211" s="20" t="n">
        <v>-421.213</v>
      </c>
      <c r="V211" s="20" t="n">
        <v>-849.082</v>
      </c>
      <c r="W211" s="20" t="n">
        <v>-1606.061</v>
      </c>
      <c r="X211" s="20" t="n">
        <v>-460.098</v>
      </c>
    </row>
    <row r="212">
      <c r="A212" s="18" t="inlineStr">
        <is>
          <t>정기예금 인출</t>
        </is>
      </c>
      <c r="D212" s="20" t="n">
        <v>930.58</v>
      </c>
      <c r="H212" s="20" t="n">
        <v>1132.346</v>
      </c>
      <c r="L212" s="20" t="n">
        <v>1526.734</v>
      </c>
      <c r="P212" s="20" t="n">
        <v>0</v>
      </c>
      <c r="Q212" s="20" t="n">
        <v>278.916</v>
      </c>
      <c r="R212" s="20" t="n">
        <v>349.036</v>
      </c>
      <c r="S212" s="20" t="n">
        <v>742.037</v>
      </c>
      <c r="T212" s="20" t="n">
        <v>771.477</v>
      </c>
      <c r="U212" s="20" t="n">
        <v>490.435</v>
      </c>
      <c r="V212" s="20" t="n">
        <v>930.58</v>
      </c>
      <c r="W212" s="20" t="n">
        <v>1132.346</v>
      </c>
      <c r="X212" s="20" t="n">
        <v>1526.734</v>
      </c>
    </row>
    <row r="213">
      <c r="A213" s="18" t="inlineStr">
        <is>
          <t>유형자산 취득(설비투자)</t>
        </is>
      </c>
      <c r="D213" s="20" t="n">
        <v>-934.813</v>
      </c>
      <c r="H213" s="20" t="n">
        <v>-4176.989</v>
      </c>
      <c r="L213" s="20" t="n">
        <v>-2857.635</v>
      </c>
      <c r="O213" s="20" t="n">
        <v>-932.578</v>
      </c>
      <c r="P213" s="20" t="n">
        <v>-924.846</v>
      </c>
      <c r="Q213" s="20" t="n">
        <v>-690.639</v>
      </c>
      <c r="R213" s="20" t="n">
        <v>-692.958</v>
      </c>
      <c r="S213" s="20" t="n">
        <v>-554.649</v>
      </c>
      <c r="T213" s="20" t="n">
        <v>-1158.15</v>
      </c>
      <c r="U213" s="20" t="n">
        <v>-1364.551</v>
      </c>
      <c r="V213" s="20" t="n">
        <v>-934.813</v>
      </c>
      <c r="W213" s="20" t="n">
        <v>-4176.989</v>
      </c>
      <c r="X213" s="20" t="n">
        <v>-2857.635</v>
      </c>
    </row>
    <row r="214">
      <c r="A214" s="18" t="inlineStr">
        <is>
          <t>유형자산 매각</t>
        </is>
      </c>
      <c r="O214" s="20" t="n">
        <v>17.74</v>
      </c>
      <c r="P214" s="20" t="n">
        <v>0</v>
      </c>
    </row>
    <row r="215">
      <c r="A215" s="18" t="inlineStr">
        <is>
          <t>무형자산 취득</t>
        </is>
      </c>
      <c r="D215" s="20" t="n">
        <v>-26.234</v>
      </c>
      <c r="H215" s="20" t="n">
        <v>-78.60899999999999</v>
      </c>
      <c r="L215" s="20" t="n">
        <v>-29.151</v>
      </c>
      <c r="O215" s="20" t="n">
        <v>-76.78100000000001</v>
      </c>
      <c r="P215" s="20" t="n">
        <v>-71.95099999999999</v>
      </c>
      <c r="Q215" s="20" t="n">
        <v>-56.608</v>
      </c>
      <c r="R215" s="20" t="n">
        <v>-30.69</v>
      </c>
      <c r="S215" s="20" t="n">
        <v>-43.55</v>
      </c>
      <c r="T215" s="20" t="n">
        <v>-56.37</v>
      </c>
      <c r="U215" s="20" t="n">
        <v>-39.216</v>
      </c>
      <c r="V215" s="20" t="n">
        <v>-26.234</v>
      </c>
      <c r="W215" s="20" t="n">
        <v>-78.60899999999999</v>
      </c>
      <c r="X215" s="20" t="n">
        <v>-29.151</v>
      </c>
    </row>
    <row r="216">
      <c r="A216" s="18" t="inlineStr">
        <is>
          <t>투자유가증권 매각</t>
        </is>
      </c>
      <c r="D216" s="20" t="n">
        <v>0</v>
      </c>
      <c r="H216" s="20" t="n">
        <v>42.035</v>
      </c>
      <c r="L216" s="20" t="n">
        <v>2.123</v>
      </c>
      <c r="T216" s="20" t="n">
        <v>0</v>
      </c>
      <c r="U216" s="20" t="n">
        <v>543.15</v>
      </c>
      <c r="V216" s="20" t="n">
        <v>0</v>
      </c>
      <c r="W216" s="20" t="n">
        <v>42.035</v>
      </c>
      <c r="X216" s="20" t="n">
        <v>2.123</v>
      </c>
    </row>
    <row r="217">
      <c r="A217" s="18" t="inlineStr">
        <is>
          <t>대여</t>
        </is>
      </c>
      <c r="Q217" s="20" t="n">
        <v>0</v>
      </c>
      <c r="R217" s="20" t="n">
        <v>-8.034000000000001</v>
      </c>
      <c r="S217" s="20" t="n">
        <v>-309.85</v>
      </c>
      <c r="T217" s="20" t="n">
        <v>-347.7</v>
      </c>
      <c r="U217" s="20" t="n">
        <v>0</v>
      </c>
    </row>
    <row r="218">
      <c r="A218" s="18" t="inlineStr">
        <is>
          <t>대여금 회수</t>
        </is>
      </c>
      <c r="D218" s="20" t="n">
        <v>1.376</v>
      </c>
      <c r="H218" s="20" t="n">
        <v>1.376</v>
      </c>
      <c r="L218" s="20" t="n">
        <v>1.376</v>
      </c>
      <c r="O218" s="20" t="n">
        <v>2.309</v>
      </c>
      <c r="P218" s="20" t="n">
        <v>2.297</v>
      </c>
      <c r="Q218" s="20" t="n">
        <v>2.567</v>
      </c>
      <c r="R218" s="20" t="n">
        <v>4.987</v>
      </c>
      <c r="S218" s="20" t="n">
        <v>2.052</v>
      </c>
      <c r="T218" s="20" t="n">
        <v>1.376</v>
      </c>
      <c r="U218" s="20" t="n">
        <v>8.56</v>
      </c>
      <c r="V218" s="20" t="n">
        <v>1.376</v>
      </c>
      <c r="W218" s="20" t="n">
        <v>1.376</v>
      </c>
      <c r="X218" s="20" t="n">
        <v>1.376</v>
      </c>
    </row>
    <row r="219">
      <c r="A219" s="18" t="inlineStr">
        <is>
          <t>연결범위 변경 자회사 주식 취득(수입)</t>
        </is>
      </c>
      <c r="O219" s="20" t="n">
        <v>0</v>
      </c>
      <c r="P219" s="20" t="n">
        <v>192.753</v>
      </c>
    </row>
    <row r="220">
      <c r="A220" s="18" t="inlineStr">
        <is>
          <t>연결범위 변경 자회사 주식 취득</t>
        </is>
      </c>
      <c r="P220" s="20" t="n">
        <v>192.753</v>
      </c>
      <c r="Q220" s="20" t="n">
        <v>0</v>
      </c>
    </row>
    <row r="221">
      <c r="A221" s="18" t="inlineStr">
        <is>
          <t>기타</t>
        </is>
      </c>
      <c r="D221" s="20" t="n">
        <v>4.06</v>
      </c>
      <c r="H221" s="20" t="n">
        <v>14.618</v>
      </c>
      <c r="L221" s="20" t="n">
        <v>-16.282</v>
      </c>
      <c r="O221" s="20" t="n">
        <v>3.409</v>
      </c>
      <c r="P221" s="20" t="n">
        <v>12.087</v>
      </c>
      <c r="Q221" s="20" t="n">
        <v>2.964</v>
      </c>
      <c r="R221" s="20" t="n">
        <v>0.728</v>
      </c>
      <c r="S221" s="20" t="n">
        <v>3.26</v>
      </c>
      <c r="T221" s="20" t="n">
        <v>71.56399999999999</v>
      </c>
      <c r="U221" s="20" t="n">
        <v>7.989</v>
      </c>
      <c r="V221" s="20" t="n">
        <v>4.06</v>
      </c>
      <c r="W221" s="20" t="n">
        <v>14.618</v>
      </c>
      <c r="X221" s="20" t="n">
        <v>-16.282</v>
      </c>
    </row>
    <row r="222">
      <c r="A222" s="9" t="inlineStr">
        <is>
          <t>투자활동 현금흐름</t>
        </is>
      </c>
      <c r="D222" s="12" t="n">
        <v>-874.114</v>
      </c>
      <c r="H222" s="12" t="n">
        <v>-4671.283</v>
      </c>
      <c r="L222" s="12" t="n">
        <v>-1832.933</v>
      </c>
      <c r="O222" s="12" t="n">
        <v>-994.638</v>
      </c>
      <c r="P222" s="12" t="n">
        <v>-950.787</v>
      </c>
      <c r="Q222" s="12" t="n">
        <v>-617.188</v>
      </c>
      <c r="R222" s="12" t="n">
        <v>-974.278</v>
      </c>
      <c r="S222" s="12" t="n">
        <v>-714.189</v>
      </c>
      <c r="T222" s="12" t="n">
        <v>-1319.951</v>
      </c>
      <c r="U222" s="12" t="n">
        <v>-774.8440000000001</v>
      </c>
      <c r="V222" s="12" t="n">
        <v>-874.114</v>
      </c>
      <c r="W222" s="12" t="n">
        <v>-4671.283</v>
      </c>
      <c r="X222" s="12" t="n">
        <v>-1832.933</v>
      </c>
    </row>
    <row r="223">
      <c r="A223" s="18" t="inlineStr">
        <is>
          <t>자기주식 취득</t>
        </is>
      </c>
      <c r="D223" s="20" t="n">
        <v>-0.042</v>
      </c>
      <c r="H223" s="20" t="n">
        <v>0</v>
      </c>
      <c r="O223" s="20" t="n">
        <v>-0.884</v>
      </c>
      <c r="P223" s="20" t="n">
        <v>-1604.925</v>
      </c>
      <c r="Q223" s="20" t="n">
        <v>-0.003</v>
      </c>
      <c r="R223" s="20" t="n">
        <v>-0.049</v>
      </c>
      <c r="S223" s="20" t="n">
        <v>0</v>
      </c>
      <c r="T223" s="20" t="n">
        <v>-0.028</v>
      </c>
      <c r="U223" s="20" t="n">
        <v>-281.212</v>
      </c>
      <c r="V223" s="20" t="n">
        <v>-0.042</v>
      </c>
      <c r="W223" s="20" t="n">
        <v>0</v>
      </c>
    </row>
    <row r="224">
      <c r="A224" s="18" t="inlineStr">
        <is>
          <t>배당금 지급</t>
        </is>
      </c>
      <c r="D224" s="20" t="n">
        <v>-482.184</v>
      </c>
      <c r="H224" s="20" t="n">
        <v>-724.4640000000001</v>
      </c>
      <c r="L224" s="20" t="n">
        <v>-1063.981</v>
      </c>
      <c r="O224" s="20" t="n">
        <v>-682.711</v>
      </c>
      <c r="P224" s="20" t="n">
        <v>-591.615</v>
      </c>
      <c r="Q224" s="20" t="n">
        <v>-492.022</v>
      </c>
      <c r="R224" s="20" t="n">
        <v>-524.823</v>
      </c>
      <c r="S224" s="20" t="n">
        <v>-492.02</v>
      </c>
      <c r="T224" s="20" t="n">
        <v>-590.919</v>
      </c>
      <c r="U224" s="20" t="n">
        <v>-553.073</v>
      </c>
      <c r="V224" s="20" t="n">
        <v>-482.184</v>
      </c>
      <c r="W224" s="20" t="n">
        <v>-724.4640000000001</v>
      </c>
      <c r="X224" s="20" t="n">
        <v>-1063.981</v>
      </c>
    </row>
    <row r="225">
      <c r="A225" s="18" t="inlineStr">
        <is>
          <t>비지배주주 배당금 지급</t>
        </is>
      </c>
      <c r="D225" s="20" t="n">
        <v>-59.447</v>
      </c>
      <c r="H225" s="20" t="n">
        <v>-200.969</v>
      </c>
      <c r="L225" s="20" t="n">
        <v>-219.849</v>
      </c>
      <c r="P225" s="20" t="n">
        <v>-7.285</v>
      </c>
      <c r="Q225" s="20" t="n">
        <v>-58.623</v>
      </c>
      <c r="R225" s="20" t="n">
        <v>-35.642</v>
      </c>
      <c r="S225" s="20" t="n">
        <v>-34.114</v>
      </c>
      <c r="T225" s="20" t="n">
        <v>-34.304</v>
      </c>
      <c r="U225" s="20" t="n">
        <v>-47.108</v>
      </c>
      <c r="V225" s="20" t="n">
        <v>-59.447</v>
      </c>
      <c r="W225" s="20" t="n">
        <v>-200.969</v>
      </c>
      <c r="X225" s="20" t="n">
        <v>-219.849</v>
      </c>
    </row>
    <row r="226">
      <c r="A226" s="18" t="inlineStr">
        <is>
          <t>리스부채 상환</t>
        </is>
      </c>
      <c r="D226" s="20" t="n">
        <v>-79.589</v>
      </c>
      <c r="H226" s="20" t="n">
        <v>-87.523</v>
      </c>
      <c r="L226" s="20" t="n">
        <v>-94.61</v>
      </c>
      <c r="O226" s="20" t="n">
        <v>-19.351</v>
      </c>
      <c r="P226" s="20" t="n">
        <v>-25.697</v>
      </c>
      <c r="Q226" s="20" t="n">
        <v>-30.803</v>
      </c>
      <c r="R226" s="20" t="n">
        <v>-75.027</v>
      </c>
      <c r="S226" s="20" t="n">
        <v>-78.357</v>
      </c>
      <c r="T226" s="20" t="n">
        <v>-65.934</v>
      </c>
      <c r="U226" s="20" t="n">
        <v>-76.998</v>
      </c>
      <c r="V226" s="20" t="n">
        <v>-79.589</v>
      </c>
      <c r="W226" s="20" t="n">
        <v>-87.523</v>
      </c>
      <c r="X226" s="20" t="n">
        <v>-94.61</v>
      </c>
    </row>
    <row r="227">
      <c r="A227" s="18" t="inlineStr">
        <is>
          <t>기타</t>
        </is>
      </c>
      <c r="O227" s="20" t="n">
        <v>-18.36</v>
      </c>
      <c r="P227" s="20" t="n">
        <v>-7.285</v>
      </c>
    </row>
    <row r="228">
      <c r="A228" s="9" t="inlineStr">
        <is>
          <t>재무활동 현금흐름</t>
        </is>
      </c>
      <c r="D228" s="12" t="n">
        <v>-621.264</v>
      </c>
      <c r="H228" s="12" t="n">
        <v>-1012.957</v>
      </c>
      <c r="L228" s="12" t="n">
        <v>-1378.442</v>
      </c>
      <c r="O228" s="12" t="n">
        <v>-721.307</v>
      </c>
      <c r="P228" s="12" t="n">
        <v>-2229.523</v>
      </c>
      <c r="Q228" s="12" t="n">
        <v>-581.453</v>
      </c>
      <c r="R228" s="12" t="n">
        <v>-635.542</v>
      </c>
      <c r="S228" s="12" t="n">
        <v>-604.492</v>
      </c>
      <c r="T228" s="12" t="n">
        <v>-691.187</v>
      </c>
      <c r="U228" s="12" t="n">
        <v>-958.393</v>
      </c>
      <c r="V228" s="12" t="n">
        <v>-621.264</v>
      </c>
      <c r="W228" s="12" t="n">
        <v>-1012.957</v>
      </c>
      <c r="X228" s="12" t="n">
        <v>-1378.442</v>
      </c>
    </row>
    <row r="229">
      <c r="A229" s="18" t="inlineStr">
        <is>
          <t>현금성자산 환산차이</t>
        </is>
      </c>
      <c r="D229" s="20" t="n">
        <v>218.886</v>
      </c>
      <c r="H229" s="20" t="n">
        <v>291.487</v>
      </c>
      <c r="L229" s="20" t="n">
        <v>74.836</v>
      </c>
      <c r="O229" s="20" t="n">
        <v>-154.024</v>
      </c>
      <c r="P229" s="20" t="n">
        <v>146.895</v>
      </c>
      <c r="Q229" s="20" t="n">
        <v>-140.432</v>
      </c>
      <c r="R229" s="20" t="n">
        <v>47.968</v>
      </c>
      <c r="S229" s="20" t="n">
        <v>-94.05500000000001</v>
      </c>
      <c r="T229" s="20" t="n">
        <v>134.545</v>
      </c>
      <c r="U229" s="20" t="n">
        <v>220.806</v>
      </c>
      <c r="V229" s="20" t="n">
        <v>218.886</v>
      </c>
      <c r="W229" s="20" t="n">
        <v>291.487</v>
      </c>
      <c r="X229" s="20" t="n">
        <v>74.836</v>
      </c>
    </row>
    <row r="230">
      <c r="A230" s="18" t="inlineStr">
        <is>
          <t>현금성자산 증감</t>
        </is>
      </c>
      <c r="D230" s="20" t="n">
        <v>2342.213</v>
      </c>
      <c r="H230" s="20" t="n">
        <v>-8200.879999999999</v>
      </c>
      <c r="L230" s="20" t="n">
        <v>1958.181</v>
      </c>
      <c r="O230" s="20" t="n">
        <v>4752.771</v>
      </c>
      <c r="P230" s="20" t="n">
        <v>-7744.747</v>
      </c>
      <c r="Q230" s="20" t="n">
        <v>2296.451</v>
      </c>
      <c r="R230" s="20" t="n">
        <v>1663.381</v>
      </c>
      <c r="S230" s="20" t="n">
        <v>700.651</v>
      </c>
      <c r="T230" s="20" t="n">
        <v>232.19</v>
      </c>
      <c r="U230" s="20" t="n">
        <v>2828.275</v>
      </c>
      <c r="V230" s="20" t="n">
        <v>2342.213</v>
      </c>
      <c r="W230" s="20" t="n">
        <v>-8200.879999999999</v>
      </c>
      <c r="X230" s="20" t="n">
        <v>1958.181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6382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22837.21</v>
      </c>
      <c r="D5" s="12" t="n">
        <v>23018.879</v>
      </c>
      <c r="E5" s="12" t="n">
        <v>25003.997</v>
      </c>
      <c r="F5" s="12" t="n">
        <v>26614.506</v>
      </c>
      <c r="G5" s="12" t="n">
        <v>25789.501</v>
      </c>
      <c r="H5" s="11" t="n">
        <v>25460.731</v>
      </c>
      <c r="I5" s="12" t="n">
        <v>26147.677</v>
      </c>
      <c r="J5" s="12" t="n">
        <v>31169.23</v>
      </c>
      <c r="K5" s="12" t="n">
        <v>25699.24</v>
      </c>
      <c r="L5" s="12" t="n">
        <v>25003.997</v>
      </c>
    </row>
    <row r="6">
      <c r="A6" s="18" t="inlineStr">
        <is>
          <t>현금및현금성자산</t>
        </is>
      </c>
      <c r="B6" s="10" t="n"/>
      <c r="C6" s="19" t="n">
        <v>10063.083</v>
      </c>
      <c r="D6" s="20" t="n">
        <v>9240.558000000001</v>
      </c>
      <c r="E6" s="20" t="n">
        <v>10236.223</v>
      </c>
      <c r="F6" s="20" t="n">
        <v>13626.923</v>
      </c>
      <c r="G6" s="20" t="n">
        <v>12232.576</v>
      </c>
      <c r="H6" s="19" t="n">
        <v>11880.952</v>
      </c>
      <c r="I6" s="20" t="n">
        <v>14680.786</v>
      </c>
      <c r="J6" s="20" t="n">
        <v>17012.799</v>
      </c>
      <c r="K6" s="20" t="n">
        <v>9358.834000000001</v>
      </c>
      <c r="L6" s="20" t="n">
        <v>10236.223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9614.965</v>
      </c>
      <c r="D8" s="20" t="n">
        <v>9385.103999999999</v>
      </c>
      <c r="E8" s="20" t="n">
        <v>11307.569</v>
      </c>
      <c r="F8" s="20" t="n">
        <v>9578.906000000001</v>
      </c>
      <c r="G8" s="20" t="n">
        <v>9184.34</v>
      </c>
      <c r="H8" s="19" t="n">
        <v>10963.048</v>
      </c>
      <c r="I8" s="20" t="n">
        <v>7913.078</v>
      </c>
      <c r="J8" s="20" t="n">
        <v>9858.436</v>
      </c>
      <c r="K8" s="20" t="n">
        <v>12338.45</v>
      </c>
      <c r="L8" s="20" t="n">
        <v>11307.569</v>
      </c>
    </row>
    <row r="9">
      <c r="A9" s="18" t="inlineStr">
        <is>
          <t>재고자산</t>
        </is>
      </c>
      <c r="B9" s="10" t="n"/>
      <c r="C9" s="19" t="n">
        <v>1322.638</v>
      </c>
      <c r="D9" s="20" t="n">
        <v>1771.34</v>
      </c>
      <c r="E9" s="20" t="n">
        <v>1316.257</v>
      </c>
      <c r="F9" s="20" t="n">
        <v>1402.754</v>
      </c>
      <c r="G9" s="20" t="n">
        <v>1639.363</v>
      </c>
      <c r="H9" s="19" t="n">
        <v>1062.074</v>
      </c>
      <c r="I9" s="20" t="n">
        <v>1129.265</v>
      </c>
      <c r="J9" s="20" t="n">
        <v>1140.936</v>
      </c>
      <c r="K9" s="20" t="n">
        <v>1206.97</v>
      </c>
      <c r="L9" s="20" t="n">
        <v>1316.257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18382.926</v>
      </c>
      <c r="D11" s="12" t="n">
        <v>18901.77</v>
      </c>
      <c r="E11" s="12" t="n">
        <v>19115.044</v>
      </c>
      <c r="F11" s="12" t="n">
        <v>18860.952</v>
      </c>
      <c r="G11" s="12" t="n">
        <v>18637.987</v>
      </c>
      <c r="H11" s="11" t="n">
        <v>13326.175</v>
      </c>
      <c r="I11" s="12" t="n">
        <v>12567.586</v>
      </c>
      <c r="J11" s="12" t="n">
        <v>13598.113</v>
      </c>
      <c r="K11" s="12" t="n">
        <v>16763.871</v>
      </c>
      <c r="L11" s="12" t="n">
        <v>19115.044</v>
      </c>
    </row>
    <row r="12">
      <c r="A12" s="18" t="inlineStr">
        <is>
          <t>유형자산</t>
        </is>
      </c>
      <c r="B12" s="10" t="n"/>
      <c r="C12" s="19" t="n">
        <v>14232.257</v>
      </c>
      <c r="D12" s="20" t="n">
        <v>14182.631</v>
      </c>
      <c r="E12" s="20" t="n">
        <v>14053.531</v>
      </c>
      <c r="F12" s="20" t="n">
        <v>13928.212</v>
      </c>
      <c r="G12" s="20" t="n">
        <v>13876.704</v>
      </c>
      <c r="H12" s="19" t="n">
        <v>9230.834000000001</v>
      </c>
      <c r="I12" s="20" t="n">
        <v>9715.002</v>
      </c>
      <c r="J12" s="20" t="n">
        <v>9257.722</v>
      </c>
      <c r="K12" s="20" t="n">
        <v>12778.972</v>
      </c>
      <c r="L12" s="20" t="n">
        <v>14053.531</v>
      </c>
    </row>
    <row r="13">
      <c r="A13" s="18" t="inlineStr">
        <is>
          <t>무형자산</t>
        </is>
      </c>
      <c r="B13" s="10" t="n"/>
      <c r="C13" s="19" t="n">
        <v>143.225</v>
      </c>
      <c r="D13" s="20" t="n">
        <v>135.396</v>
      </c>
      <c r="E13" s="20" t="n">
        <v>131.777</v>
      </c>
      <c r="F13" s="20" t="n">
        <v>125.176</v>
      </c>
      <c r="G13" s="20" t="n">
        <v>123.402</v>
      </c>
      <c r="H13" s="19" t="n">
        <v>136.749</v>
      </c>
      <c r="I13" s="20" t="n">
        <v>125.581</v>
      </c>
      <c r="J13" s="20" t="n">
        <v>105.555</v>
      </c>
      <c r="K13" s="20" t="n">
        <v>148.323</v>
      </c>
      <c r="L13" s="20" t="n">
        <v>131.777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41220.137</v>
      </c>
      <c r="D16" s="12" t="n">
        <v>41920.649</v>
      </c>
      <c r="E16" s="12" t="n">
        <v>44119.041</v>
      </c>
      <c r="F16" s="12" t="n">
        <v>45475.458</v>
      </c>
      <c r="G16" s="12" t="n">
        <v>44427.489</v>
      </c>
      <c r="H16" s="11" t="n">
        <v>38786.907</v>
      </c>
      <c r="I16" s="12" t="n">
        <v>38715.263</v>
      </c>
      <c r="J16" s="12" t="n">
        <v>44767.343</v>
      </c>
      <c r="K16" s="12" t="n">
        <v>42463.111</v>
      </c>
      <c r="L16" s="12" t="n">
        <v>44119.041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6307.288</v>
      </c>
      <c r="D18" s="12" t="n">
        <v>6074.135</v>
      </c>
      <c r="E18" s="12" t="n">
        <v>6966.816</v>
      </c>
      <c r="F18" s="12" t="n">
        <v>8909.496999999999</v>
      </c>
      <c r="G18" s="12" t="n">
        <v>7422.227</v>
      </c>
      <c r="H18" s="11" t="n">
        <v>9727.991</v>
      </c>
      <c r="I18" s="12" t="n">
        <v>9291.472</v>
      </c>
      <c r="J18" s="12" t="n">
        <v>11870.431</v>
      </c>
      <c r="K18" s="12" t="n">
        <v>7992.873</v>
      </c>
      <c r="L18" s="12" t="n">
        <v>6966.816</v>
      </c>
    </row>
    <row r="19">
      <c r="A19" s="18" t="inlineStr">
        <is>
          <t>매입채무</t>
        </is>
      </c>
      <c r="B19" s="10" t="n"/>
      <c r="C19" s="19" t="n">
        <v>2106.363</v>
      </c>
      <c r="D19" s="20" t="n">
        <v>2176.283</v>
      </c>
      <c r="E19" s="20" t="n">
        <v>2497.196</v>
      </c>
      <c r="F19" s="20" t="n">
        <v>2450.336</v>
      </c>
      <c r="G19" s="20" t="n">
        <v>1859.695</v>
      </c>
      <c r="H19" s="19" t="n">
        <v>3513.19</v>
      </c>
      <c r="I19" s="20" t="n">
        <v>3124.202</v>
      </c>
      <c r="J19" s="20" t="n">
        <v>3585.244</v>
      </c>
      <c r="K19" s="20" t="n">
        <v>3586.63</v>
      </c>
      <c r="L19" s="20" t="n">
        <v>2497.196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1714.199</v>
      </c>
      <c r="D23" s="12" t="n">
        <v>1886.509</v>
      </c>
      <c r="E23" s="12" t="n">
        <v>1916.018</v>
      </c>
      <c r="F23" s="12" t="n">
        <v>1879.565</v>
      </c>
      <c r="G23" s="12" t="n">
        <v>1951.528</v>
      </c>
      <c r="H23" s="11" t="n">
        <v>1501.789</v>
      </c>
      <c r="I23" s="12" t="n">
        <v>1464.785</v>
      </c>
      <c r="J23" s="12" t="n">
        <v>1879.331</v>
      </c>
      <c r="K23" s="12" t="n">
        <v>1590.461</v>
      </c>
      <c r="L23" s="12" t="n">
        <v>1916.018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8021.487</v>
      </c>
      <c r="D27" s="12" t="n">
        <v>7960.645</v>
      </c>
      <c r="E27" s="12" t="n">
        <v>8882.834000000001</v>
      </c>
      <c r="F27" s="12" t="n">
        <v>10789.062</v>
      </c>
      <c r="G27" s="12" t="n">
        <v>9373.755999999999</v>
      </c>
      <c r="H27" s="11" t="n">
        <v>11229.781</v>
      </c>
      <c r="I27" s="12" t="n">
        <v>10756.258</v>
      </c>
      <c r="J27" s="12" t="n">
        <v>13749.762</v>
      </c>
      <c r="K27" s="12" t="n">
        <v>9583.334000000001</v>
      </c>
      <c r="L27" s="12" t="n">
        <v>8882.834000000001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32721.231</v>
      </c>
      <c r="D31" s="12" t="n">
        <v>33448.635</v>
      </c>
      <c r="E31" s="12" t="n">
        <v>34640.143</v>
      </c>
      <c r="F31" s="12" t="n">
        <v>34082.937</v>
      </c>
      <c r="G31" s="12" t="n">
        <v>34709.289</v>
      </c>
      <c r="H31" s="11" t="n">
        <v>26960.738</v>
      </c>
      <c r="I31" s="12" t="n">
        <v>27290.855</v>
      </c>
      <c r="J31" s="12" t="n">
        <v>30285.785</v>
      </c>
      <c r="K31" s="12" t="n">
        <v>32197.565</v>
      </c>
      <c r="L31" s="12" t="n">
        <v>34640.143</v>
      </c>
    </row>
    <row r="32">
      <c r="A32" s="18" t="inlineStr">
        <is>
          <t>자본금</t>
        </is>
      </c>
      <c r="B32" s="10" t="n"/>
      <c r="C32" s="19" t="n">
        <v>1311</v>
      </c>
      <c r="D32" s="20" t="n">
        <v>1311</v>
      </c>
      <c r="E32" s="20" t="n">
        <v>1311</v>
      </c>
      <c r="F32" s="20" t="n">
        <v>1311</v>
      </c>
      <c r="G32" s="20" t="n">
        <v>1311</v>
      </c>
      <c r="H32" s="19" t="n">
        <v>1311</v>
      </c>
      <c r="I32" s="20" t="n">
        <v>1311</v>
      </c>
      <c r="J32" s="20" t="n">
        <v>1311</v>
      </c>
      <c r="K32" s="20" t="n">
        <v>1311</v>
      </c>
      <c r="L32" s="20" t="n">
        <v>1311</v>
      </c>
    </row>
    <row r="33">
      <c r="A33" s="18" t="inlineStr">
        <is>
          <t>이익잉여금</t>
        </is>
      </c>
      <c r="B33" s="10" t="n"/>
      <c r="C33" s="19" t="n">
        <v>29620.169</v>
      </c>
      <c r="D33" s="20" t="n">
        <v>29895.826</v>
      </c>
      <c r="E33" s="20" t="n">
        <v>30761.381</v>
      </c>
      <c r="F33" s="20" t="n">
        <v>30309.124</v>
      </c>
      <c r="G33" s="20" t="n">
        <v>30725.959</v>
      </c>
      <c r="H33" s="19" t="n">
        <v>25166.802</v>
      </c>
      <c r="I33" s="20" t="n">
        <v>25881.294</v>
      </c>
      <c r="J33" s="20" t="n">
        <v>27457.738</v>
      </c>
      <c r="K33" s="20" t="n">
        <v>29136.465</v>
      </c>
      <c r="L33" s="20" t="n">
        <v>30761.381</v>
      </c>
    </row>
    <row r="34">
      <c r="A34" s="18" t="inlineStr">
        <is>
          <t>비지배지분</t>
        </is>
      </c>
      <c r="B34" s="10" t="n"/>
      <c r="C34" s="19" t="n">
        <v>477.419</v>
      </c>
      <c r="D34" s="20" t="n">
        <v>511.369</v>
      </c>
      <c r="E34" s="20" t="n">
        <v>596.063</v>
      </c>
      <c r="F34" s="20" t="n">
        <v>603.458</v>
      </c>
      <c r="G34" s="20" t="n">
        <v>344.444</v>
      </c>
      <c r="H34" s="19" t="n">
        <v>596.3869999999999</v>
      </c>
      <c r="I34" s="20" t="n">
        <v>668.149</v>
      </c>
      <c r="J34" s="20" t="n">
        <v>731.796</v>
      </c>
      <c r="K34" s="20" t="n">
        <v>682.212</v>
      </c>
      <c r="L34" s="20" t="n">
        <v>596.063</v>
      </c>
    </row>
    <row r="35">
      <c r="A35" s="9" t="inlineStr">
        <is>
          <t>자본총계</t>
        </is>
      </c>
      <c r="B35" s="10" t="n"/>
      <c r="C35" s="11" t="n">
        <v>33198.65</v>
      </c>
      <c r="D35" s="12" t="n">
        <v>33960.004</v>
      </c>
      <c r="E35" s="12" t="n">
        <v>35236.206</v>
      </c>
      <c r="F35" s="12" t="n">
        <v>34686.395</v>
      </c>
      <c r="G35" s="12" t="n">
        <v>35053.733</v>
      </c>
      <c r="H35" s="11" t="n">
        <v>27557.125</v>
      </c>
      <c r="I35" s="12" t="n">
        <v>27959.004</v>
      </c>
      <c r="J35" s="12" t="n">
        <v>31017.581</v>
      </c>
      <c r="K35" s="12" t="n">
        <v>32879.777</v>
      </c>
      <c r="L35" s="12" t="n">
        <v>35236.206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5094.721</v>
      </c>
      <c r="F37" s="12" t="n"/>
      <c r="G37" s="12" t="n"/>
      <c r="H37" s="11" t="n">
        <v>2108.785</v>
      </c>
      <c r="I37" s="12" t="n">
        <v>4340.706</v>
      </c>
      <c r="J37" s="12" t="n">
        <v>3618.706</v>
      </c>
      <c r="K37" s="12" t="n">
        <v>-2808.126</v>
      </c>
      <c r="L37" s="12" t="n">
        <v>5094.721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>
        <v>2886.786</v>
      </c>
      <c r="F38" s="20" t="n"/>
      <c r="G38" s="20" t="n"/>
      <c r="H38" s="19" t="n">
        <v>1214.52</v>
      </c>
      <c r="I38" s="20" t="n">
        <v>1403.767</v>
      </c>
      <c r="J38" s="20" t="n">
        <v>961.047</v>
      </c>
      <c r="K38" s="20" t="n">
        <v>4255.598</v>
      </c>
      <c r="L38" s="20" t="n">
        <v>2886.786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1063.981</v>
      </c>
      <c r="F40" s="20" t="n"/>
      <c r="G40" s="20" t="n"/>
      <c r="H40" s="19" t="n">
        <v>590.919</v>
      </c>
      <c r="I40" s="20" t="n">
        <v>553.073</v>
      </c>
      <c r="J40" s="20" t="n">
        <v>482.184</v>
      </c>
      <c r="K40" s="20" t="n">
        <v>724.4640000000001</v>
      </c>
      <c r="L40" s="20" t="n">
        <v>1063.981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IFERROR(IF((IF(COUNT('연간'!G52:J52)&lt;4,"",SUM('연간'!G52:J52)))&lt;=0,"적자",C28/(IF(COUNT('연간'!G52:J52)&lt;4,"",SUM('연간'!G52:J52)))),"")</f>
        <v/>
      </c>
      <c r="D49" s="47">
        <f>IFERROR(IF((IF(COUNT('연간'!H52:K52)&lt;4,"",SUM('연간'!H52:K52)))&lt;=0,"적자",D28/(IF(COUNT('연간'!H52:K52)&lt;4,"",SUM('연간'!H52:K52)))),"")</f>
        <v/>
      </c>
      <c r="E49" s="47">
        <f>IFERROR(IF((IF(COUNT('연간'!I52:L52)&lt;4,"",SUM('연간'!I52:L52)))&lt;=0,"적자",E28/(IF(COUNT('연간'!I52:L52)&lt;4,"",SUM('연간'!I52:L52)))),"")</f>
        <v/>
      </c>
      <c r="F49" s="47">
        <f>IFERROR(IF((IF(COUNT('연간'!J52:M52)&lt;4,"",SUM('연간'!J52:M52)))&lt;=0,"적자",F28/(IF(COUNT('연간'!J52:M52)&lt;4,"",SUM('연간'!J52:M52)))),"")</f>
        <v/>
      </c>
      <c r="G49" s="47">
        <f>IFERROR(IF((IF(COUNT('연간'!K52:N52)&lt;4,"",SUM('연간'!K52:N52)))&lt;=0,"적자",G28/(IF(COUNT('연간'!K52:N52)&lt;4,"",SUM('연간'!K52:N52)))),"")</f>
        <v/>
      </c>
      <c r="H49" s="46">
        <f>IFERROR(IF(('연간'!T52)&lt;=0,"적자",H28/('연간'!T52)),"")</f>
        <v/>
      </c>
      <c r="I49" s="47">
        <f>IFERROR(IF(('연간'!U52)&lt;=0,"적자",I28/('연간'!U52)),"")</f>
        <v/>
      </c>
      <c r="J49" s="47">
        <f>IFERROR(IF(('연간'!V52)&lt;=0,"적자",J28/('연간'!V52)),"")</f>
        <v/>
      </c>
      <c r="K49" s="47">
        <f>IFERROR(IF(('연간'!W52)&lt;=0,"적자",K28/('연간'!W52)),"")</f>
        <v/>
      </c>
      <c r="L49" s="47">
        <f>IFERROR(IF(('연간'!X52)&lt;=0,"적자",L28/('연간'!X52)),"")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IFERROR((IF(COUNT('연간'!G52:J52)&lt;4,"",SUM('연간'!G52:J52)))/C31,"")</f>
        <v/>
      </c>
      <c r="D51" s="36">
        <f>IFERROR((IF(COUNT('연간'!H52:K52)&lt;4,"",SUM('연간'!H52:K52)))/D31,"")</f>
        <v/>
      </c>
      <c r="E51" s="36">
        <f>IFERROR((IF(COUNT('연간'!I52:L52)&lt;4,"",SUM('연간'!I52:L52)))/E31,"")</f>
        <v/>
      </c>
      <c r="F51" s="36">
        <f>IFERROR((IF(COUNT('연간'!J52:M52)&lt;4,"",SUM('연간'!J52:M52)))/F31,"")</f>
        <v/>
      </c>
      <c r="G51" s="36">
        <f>IFERROR((IF(COUNT('연간'!K52:N52)&lt;4,"",SUM('연간'!K52:N52)))/G31,"")</f>
        <v/>
      </c>
      <c r="H51" s="35">
        <f>IFERROR(('연간'!T52)/H31,"")</f>
        <v/>
      </c>
      <c r="I51" s="36">
        <f>IFERROR(('연간'!U52)/I31,"")</f>
        <v/>
      </c>
      <c r="J51" s="36">
        <f>IFERROR(('연간'!V52)/J31,"")</f>
        <v/>
      </c>
      <c r="K51" s="36">
        <f>IFERROR(('연간'!W52)/K31,"")</f>
        <v/>
      </c>
      <c r="L51" s="36">
        <f>IFERROR(('연간'!X52)/L31,"")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IFERROR((IF(COUNT('연간'!G50:J50)&lt;4,"",SUM('연간'!G50:J50)))/C16,"")</f>
        <v/>
      </c>
      <c r="D52" s="36">
        <f>IFERROR((IF(COUNT('연간'!H50:K50)&lt;4,"",SUM('연간'!H50:K50)))/D16,"")</f>
        <v/>
      </c>
      <c r="E52" s="36">
        <f>IFERROR((IF(COUNT('연간'!I50:L50)&lt;4,"",SUM('연간'!I50:L50)))/E16,"")</f>
        <v/>
      </c>
      <c r="F52" s="36">
        <f>IFERROR((IF(COUNT('연간'!J50:M50)&lt;4,"",SUM('연간'!J50:M50)))/F16,"")</f>
        <v/>
      </c>
      <c r="G52" s="36">
        <f>IFERROR((IF(COUNT('연간'!K50:N50)&lt;4,"",SUM('연간'!K50:N50)))/G16,"")</f>
        <v/>
      </c>
      <c r="H52" s="35">
        <f>IFERROR(('연간'!T50)/H16,"")</f>
        <v/>
      </c>
      <c r="I52" s="36">
        <f>IFERROR(('연간'!U50)/I16,"")</f>
        <v/>
      </c>
      <c r="J52" s="36">
        <f>IFERROR(('연간'!V50)/J16,"")</f>
        <v/>
      </c>
      <c r="K52" s="36">
        <f>IFERROR(('연간'!W50)/K16,"")</f>
        <v/>
      </c>
      <c r="L52" s="36">
        <f>IFERROR(('연간'!X50)/L16,"")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IFERROR((IF(COUNT('연간'!G16:J16)&lt;4,"",SUM('연간'!G16:J16)))/(IF(COUNT('연간'!G4:J4)&lt;4,"",SUM('연간'!G4:J4))),"")</f>
        <v/>
      </c>
      <c r="D54" s="36">
        <f>IFERROR((IF(COUNT('연간'!H16:K16)&lt;4,"",SUM('연간'!H16:K16)))/(IF(COUNT('연간'!H4:K4)&lt;4,"",SUM('연간'!H4:K4))),"")</f>
        <v/>
      </c>
      <c r="E54" s="36">
        <f>IFERROR((IF(COUNT('연간'!I16:L16)&lt;4,"",SUM('연간'!I16:L16)))/(IF(COUNT('연간'!I4:L4)&lt;4,"",SUM('연간'!I4:L4))),"")</f>
        <v/>
      </c>
      <c r="F54" s="36">
        <f>IFERROR((IF(COUNT('연간'!J16:M16)&lt;4,"",SUM('연간'!J16:M16)))/(IF(COUNT('연간'!J4:M4)&lt;4,"",SUM('연간'!J4:M4))),"")</f>
        <v/>
      </c>
      <c r="G54" s="36">
        <f>IFERROR((IF(COUNT('연간'!K16:N16)&lt;4,"",SUM('연간'!K16:N16)))/(IF(COUNT('연간'!K4:N4)&lt;4,"",SUM('연간'!K4:N4))),"")</f>
        <v/>
      </c>
      <c r="H54" s="35">
        <f>IFERROR(('연간'!T16)/('연간'!T4),"")</f>
        <v/>
      </c>
      <c r="I54" s="36">
        <f>IFERROR(('연간'!U16)/('연간'!U4),"")</f>
        <v/>
      </c>
      <c r="J54" s="36">
        <f>IFERROR(('연간'!V16)/('연간'!V4),"")</f>
        <v/>
      </c>
      <c r="K54" s="36">
        <f>IFERROR(('연간'!W16)/('연간'!W4),"")</f>
        <v/>
      </c>
      <c r="L54" s="36">
        <f>IFERROR(('연간'!X16)/('연간'!X4),"")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IFERROR((IF(COUNT('연간'!G50:J50)&lt;4,"",SUM('연간'!G50:J50)))/(IF(COUNT('연간'!G4:J4)&lt;4,"",SUM('연간'!G4:J4))),"")</f>
        <v/>
      </c>
      <c r="D56" s="36">
        <f>IFERROR((IF(COUNT('연간'!H50:K50)&lt;4,"",SUM('연간'!H50:K50)))/(IF(COUNT('연간'!H4:K4)&lt;4,"",SUM('연간'!H4:K4))),"")</f>
        <v/>
      </c>
      <c r="E56" s="36">
        <f>IFERROR((IF(COUNT('연간'!I50:L50)&lt;4,"",SUM('연간'!I50:L50)))/(IF(COUNT('연간'!I4:L4)&lt;4,"",SUM('연간'!I4:L4))),"")</f>
        <v/>
      </c>
      <c r="F56" s="36">
        <f>IFERROR((IF(COUNT('연간'!J50:M50)&lt;4,"",SUM('연간'!J50:M50)))/(IF(COUNT('연간'!J4:M4)&lt;4,"",SUM('연간'!J4:M4))),"")</f>
        <v/>
      </c>
      <c r="G56" s="36">
        <f>IFERROR((IF(COUNT('연간'!K50:N50)&lt;4,"",SUM('연간'!K50:N50)))/(IF(COUNT('연간'!K4:N4)&lt;4,"",SUM('연간'!K4:N4))),"")</f>
        <v/>
      </c>
      <c r="H56" s="35">
        <f>IFERROR(('연간'!T50)/('연간'!T4),"")</f>
        <v/>
      </c>
      <c r="I56" s="36">
        <f>IFERROR(('연간'!U50)/('연간'!U4),"")</f>
        <v/>
      </c>
      <c r="J56" s="36">
        <f>IFERROR(('연간'!V50)/('연간'!V4),"")</f>
        <v/>
      </c>
      <c r="K56" s="36">
        <f>IFERROR(('연간'!W50)/('연간'!W4),"")</f>
        <v/>
      </c>
      <c r="L56" s="36">
        <f>IFERROR(('연간'!X50)/('연간'!X4),"")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IF(C37="","",IFERROR(C37/(IF(COUNT('연간'!G50:J50)&lt;4,"",SUM('연간'!G50:J50))),""))</f>
        <v/>
      </c>
      <c r="D64" s="31">
        <f>IF(D37="","",IFERROR(D37/(IF(COUNT('연간'!H50:K50)&lt;4,"",SUM('연간'!H50:K50))),""))</f>
        <v/>
      </c>
      <c r="E64" s="31">
        <f>IF(E37="","",IFERROR(E37/(IF(COUNT('연간'!I50:L50)&lt;4,"",SUM('연간'!I50:L50))),""))</f>
        <v/>
      </c>
      <c r="F64" s="31">
        <f>IF(F37="","",IFERROR(F37/(IF(COUNT('연간'!J50:M50)&lt;4,"",SUM('연간'!J50:M50))),""))</f>
        <v/>
      </c>
      <c r="G64" s="31">
        <f>IF(G37="","",IFERROR(G37/(IF(COUNT('연간'!K50:N50)&lt;4,"",SUM('연간'!K50:N50))),""))</f>
        <v/>
      </c>
      <c r="H64" s="30">
        <f>IF(H37="","",IFERROR(H37/('연간'!T50),""))</f>
        <v/>
      </c>
      <c r="I64" s="31">
        <f>IF(I37="","",IFERROR(I37/('연간'!U50),""))</f>
        <v/>
      </c>
      <c r="J64" s="31">
        <f>IF(J37="","",IFERROR(J37/('연간'!V50),""))</f>
        <v/>
      </c>
      <c r="K64" s="31">
        <f>IF(K37="","",IFERROR(K37/('연간'!W50),""))</f>
        <v/>
      </c>
      <c r="L64" s="31">
        <f>IF(L37="","",IFERROR(L37/('연간'!X50),""))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IF(C40="","",IFERROR(C40/(IF(COUNT('연간'!G52:J52)&lt;4,"",SUM('연간'!G52:J52))),""))</f>
        <v/>
      </c>
      <c r="D67" s="36">
        <f>IF(D40="","",IFERROR(D40/(IF(COUNT('연간'!H52:K52)&lt;4,"",SUM('연간'!H52:K52))),""))</f>
        <v/>
      </c>
      <c r="E67" s="36">
        <f>IF(E40="","",IFERROR(E40/(IF(COUNT('연간'!I52:L52)&lt;4,"",SUM('연간'!I52:L52))),""))</f>
        <v/>
      </c>
      <c r="F67" s="36">
        <f>IF(F40="","",IFERROR(F40/(IF(COUNT('연간'!J52:M52)&lt;4,"",SUM('연간'!J52:M52))),""))</f>
        <v/>
      </c>
      <c r="G67" s="36">
        <f>IF(G40="","",IFERROR(G40/(IF(COUNT('연간'!K52:N52)&lt;4,"",SUM('연간'!K52:N52))),""))</f>
        <v/>
      </c>
      <c r="H67" s="35">
        <f>IF(H40="","",IFERROR(H40/('연간'!T52),""))</f>
        <v/>
      </c>
      <c r="I67" s="36">
        <f>IF(I40="","",IFERROR(I40/('연간'!U52),""))</f>
        <v/>
      </c>
      <c r="J67" s="36">
        <f>IF(J40="","",IFERROR(J40/('연간'!V52),""))</f>
        <v/>
      </c>
      <c r="K67" s="36">
        <f>IF(K40="","",IFERROR(K40/('연간'!W52),""))</f>
        <v/>
      </c>
      <c r="L67" s="36">
        <f>IF(L40="","",IFERROR(L40/('연간'!X52),""))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10063.083</v>
      </c>
      <c r="D71" s="20" t="n">
        <v>9240.558000000001</v>
      </c>
      <c r="E71" s="20" t="n">
        <v>10236.223</v>
      </c>
      <c r="F71" s="20" t="n">
        <v>13626.923</v>
      </c>
      <c r="G71" s="20" t="n">
        <v>12232.576</v>
      </c>
      <c r="H71" s="20" t="n">
        <v>11880.952</v>
      </c>
      <c r="I71" s="20" t="n">
        <v>14680.786</v>
      </c>
      <c r="J71" s="20" t="n">
        <v>17012.799</v>
      </c>
      <c r="K71" s="20" t="n">
        <v>9358.834000000001</v>
      </c>
      <c r="L71" s="20" t="n">
        <v>10236.223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9614.965</v>
      </c>
      <c r="D73" s="20" t="n">
        <v>9385.103999999999</v>
      </c>
      <c r="E73" s="20" t="n">
        <v>11307.569</v>
      </c>
      <c r="F73" s="20" t="n">
        <v>9578.906000000001</v>
      </c>
      <c r="G73" s="20" t="n">
        <v>9184.34</v>
      </c>
      <c r="H73" s="20" t="n">
        <v>10963.048</v>
      </c>
      <c r="I73" s="20" t="n">
        <v>7913.078</v>
      </c>
      <c r="J73" s="20" t="n">
        <v>9858.436</v>
      </c>
      <c r="K73" s="20" t="n">
        <v>12338.45</v>
      </c>
      <c r="L73" s="20" t="n">
        <v>11307.569</v>
      </c>
    </row>
    <row r="74">
      <c r="A74" s="18" t="inlineStr">
        <is>
          <t>전자기록채권</t>
        </is>
      </c>
      <c r="C74" s="20" t="n">
        <v>1208.543</v>
      </c>
      <c r="D74" s="20" t="n">
        <v>1643.03</v>
      </c>
      <c r="E74" s="20" t="n">
        <v>1353.843</v>
      </c>
      <c r="F74" s="20" t="n">
        <v>664.482</v>
      </c>
      <c r="G74" s="20" t="n">
        <v>1449.571</v>
      </c>
      <c r="H74" s="20" t="n">
        <v>1070.498</v>
      </c>
      <c r="I74" s="20" t="n">
        <v>1252.149</v>
      </c>
      <c r="J74" s="20" t="n">
        <v>2437.395</v>
      </c>
      <c r="K74" s="20" t="n">
        <v>2255.203</v>
      </c>
      <c r="L74" s="20" t="n">
        <v>1353.843</v>
      </c>
    </row>
    <row r="75">
      <c r="A75" s="18" t="inlineStr">
        <is>
          <t>제품</t>
        </is>
      </c>
      <c r="C75" s="20" t="n">
        <v>33.737</v>
      </c>
      <c r="D75" s="20" t="n">
        <v>32.908</v>
      </c>
      <c r="E75" s="20" t="n">
        <v>45.068</v>
      </c>
      <c r="F75" s="20" t="n">
        <v>49.01</v>
      </c>
      <c r="G75" s="20" t="n">
        <v>32.111</v>
      </c>
      <c r="H75" s="20" t="n">
        <v>41.267</v>
      </c>
      <c r="I75" s="20" t="n">
        <v>54.369</v>
      </c>
      <c r="J75" s="20" t="n">
        <v>24.834</v>
      </c>
      <c r="K75" s="20" t="n">
        <v>31.588</v>
      </c>
      <c r="L75" s="20" t="n">
        <v>45.068</v>
      </c>
    </row>
    <row r="76">
      <c r="A76" s="18" t="inlineStr">
        <is>
          <t>재공품</t>
        </is>
      </c>
      <c r="C76" s="20" t="n">
        <v>788.8630000000001</v>
      </c>
      <c r="D76" s="20" t="n">
        <v>1223.582</v>
      </c>
      <c r="E76" s="20" t="n">
        <v>738.078</v>
      </c>
      <c r="F76" s="20" t="n">
        <v>748.611</v>
      </c>
      <c r="G76" s="20" t="n">
        <v>880.797</v>
      </c>
      <c r="H76" s="20" t="n">
        <v>611.491</v>
      </c>
      <c r="I76" s="20" t="n">
        <v>642.806</v>
      </c>
      <c r="J76" s="20" t="n">
        <v>640.04</v>
      </c>
      <c r="K76" s="20" t="n">
        <v>681.217</v>
      </c>
      <c r="L76" s="20" t="n">
        <v>738.078</v>
      </c>
    </row>
    <row r="77">
      <c r="A77" s="18" t="inlineStr">
        <is>
          <t>원재료</t>
        </is>
      </c>
      <c r="C77" s="20" t="n">
        <v>500.038</v>
      </c>
      <c r="D77" s="20" t="n">
        <v>514.85</v>
      </c>
      <c r="E77" s="20" t="n">
        <v>533.111</v>
      </c>
      <c r="F77" s="20" t="n">
        <v>605.133</v>
      </c>
      <c r="G77" s="20" t="n">
        <v>726.455</v>
      </c>
      <c r="H77" s="20" t="n">
        <v>409.316</v>
      </c>
      <c r="I77" s="20" t="n">
        <v>432.09</v>
      </c>
      <c r="J77" s="20" t="n">
        <v>476.062</v>
      </c>
      <c r="K77" s="20" t="n">
        <v>494.165</v>
      </c>
      <c r="L77" s="20" t="n">
        <v>533.111</v>
      </c>
    </row>
    <row r="78">
      <c r="A78" s="18" t="inlineStr">
        <is>
          <t>기타</t>
        </is>
      </c>
      <c r="C78" s="20" t="n">
        <v>631.6950000000001</v>
      </c>
      <c r="D78" s="20" t="n">
        <v>982.048</v>
      </c>
      <c r="E78" s="20" t="n">
        <v>791.218</v>
      </c>
      <c r="F78" s="20" t="n">
        <v>1342.356</v>
      </c>
      <c r="G78" s="20" t="n">
        <v>1284.592</v>
      </c>
      <c r="H78" s="20" t="n">
        <v>486.952</v>
      </c>
      <c r="I78" s="20" t="n">
        <v>1174.549</v>
      </c>
      <c r="J78" s="20" t="n">
        <v>721.693</v>
      </c>
      <c r="K78" s="20" t="n">
        <v>549.169</v>
      </c>
      <c r="L78" s="20" t="n">
        <v>791.218</v>
      </c>
    </row>
    <row r="79">
      <c r="A79" s="18" t="inlineStr">
        <is>
          <t>대손충당금</t>
        </is>
      </c>
      <c r="C79" s="20" t="n">
        <v>-3.715</v>
      </c>
      <c r="D79" s="20" t="n">
        <v>-3.203</v>
      </c>
      <c r="E79" s="20" t="n">
        <v>-1.117</v>
      </c>
      <c r="F79" s="20" t="n">
        <v>-0.917</v>
      </c>
      <c r="G79" s="20" t="n">
        <v>-0.9429999999999999</v>
      </c>
      <c r="H79" s="20" t="n">
        <v>-2.795</v>
      </c>
      <c r="I79" s="20" t="n">
        <v>-2.153</v>
      </c>
      <c r="J79" s="20" t="n">
        <v>-2.031</v>
      </c>
      <c r="K79" s="20" t="n">
        <v>-9.388999999999999</v>
      </c>
      <c r="L79" s="20" t="n">
        <v>-1.117</v>
      </c>
    </row>
    <row r="80">
      <c r="A80" s="9" t="inlineStr">
        <is>
          <t>유동자산 합계</t>
        </is>
      </c>
      <c r="C80" s="12" t="n">
        <v>22837.21</v>
      </c>
      <c r="D80" s="12" t="n">
        <v>23018.879</v>
      </c>
      <c r="E80" s="12" t="n">
        <v>25003.997</v>
      </c>
      <c r="F80" s="12" t="n">
        <v>26614.506</v>
      </c>
      <c r="G80" s="12" t="n">
        <v>25789.501</v>
      </c>
      <c r="H80" s="12" t="n">
        <v>25460.731</v>
      </c>
      <c r="I80" s="12" t="n">
        <v>26147.677</v>
      </c>
      <c r="J80" s="12" t="n">
        <v>31169.23</v>
      </c>
      <c r="K80" s="12" t="n">
        <v>25699.24</v>
      </c>
      <c r="L80" s="12" t="n">
        <v>25003.997</v>
      </c>
    </row>
    <row r="81">
      <c r="A81" s="18" t="inlineStr">
        <is>
          <t>건물·구축물</t>
        </is>
      </c>
      <c r="E81" s="20" t="n">
        <v>11979.682</v>
      </c>
      <c r="H81" s="20" t="n">
        <v>7626.514</v>
      </c>
      <c r="I81" s="20" t="n">
        <v>7736.331</v>
      </c>
      <c r="J81" s="20" t="n">
        <v>7679.597</v>
      </c>
      <c r="K81" s="20" t="n">
        <v>7751.514</v>
      </c>
      <c r="L81" s="20" t="n">
        <v>11979.682</v>
      </c>
    </row>
    <row r="82">
      <c r="A82" s="18" t="inlineStr">
        <is>
          <t>감가상각누계액</t>
        </is>
      </c>
      <c r="E82" s="20" t="n">
        <v>-6347.942</v>
      </c>
      <c r="H82" s="20" t="n">
        <v>-5848.315</v>
      </c>
      <c r="I82" s="20" t="n">
        <v>-5973.842</v>
      </c>
      <c r="J82" s="20" t="n">
        <v>-5937.131</v>
      </c>
      <c r="K82" s="20" t="n">
        <v>-6070.948</v>
      </c>
      <c r="L82" s="20" t="n">
        <v>-6347.942</v>
      </c>
    </row>
    <row r="83">
      <c r="A83" s="18" t="inlineStr">
        <is>
          <t>건물·구축물(순액)</t>
        </is>
      </c>
      <c r="E83" s="20" t="n">
        <v>5631.739</v>
      </c>
      <c r="F83" s="20" t="n">
        <v>5658.681</v>
      </c>
      <c r="G83" s="20" t="n">
        <v>5668.227</v>
      </c>
      <c r="H83" s="20" t="n">
        <v>1778.199</v>
      </c>
      <c r="I83" s="20" t="n">
        <v>1762.488</v>
      </c>
      <c r="J83" s="20" t="n">
        <v>1742.465</v>
      </c>
      <c r="K83" s="20" t="n">
        <v>1680.566</v>
      </c>
      <c r="L83" s="20" t="n">
        <v>5631.739</v>
      </c>
    </row>
    <row r="84">
      <c r="A84" s="18" t="inlineStr">
        <is>
          <t>기계장치·운반구</t>
        </is>
      </c>
      <c r="E84" s="20" t="n">
        <v>10258.598</v>
      </c>
      <c r="H84" s="20" t="n">
        <v>8750.68</v>
      </c>
      <c r="I84" s="20" t="n">
        <v>9073.588</v>
      </c>
      <c r="J84" s="20" t="n">
        <v>9017.351000000001</v>
      </c>
      <c r="K84" s="20" t="n">
        <v>9041.611000000001</v>
      </c>
      <c r="L84" s="20" t="n">
        <v>10258.598</v>
      </c>
    </row>
    <row r="85">
      <c r="A85" s="18" t="inlineStr">
        <is>
          <t>감가상각누계액</t>
        </is>
      </c>
      <c r="E85" s="20" t="n">
        <v>-8008.116</v>
      </c>
      <c r="H85" s="20" t="n">
        <v>-7508.474</v>
      </c>
      <c r="I85" s="20" t="n">
        <v>-7796.28</v>
      </c>
      <c r="J85" s="20" t="n">
        <v>-7768.733</v>
      </c>
      <c r="K85" s="20" t="n">
        <v>-7830.768</v>
      </c>
      <c r="L85" s="20" t="n">
        <v>-8008.116</v>
      </c>
    </row>
    <row r="86">
      <c r="A86" s="18" t="inlineStr">
        <is>
          <t>기계장치·운반구(순액)</t>
        </is>
      </c>
      <c r="E86" s="20" t="n">
        <v>2250.481</v>
      </c>
      <c r="H86" s="20" t="n">
        <v>1242.205</v>
      </c>
      <c r="I86" s="20" t="n">
        <v>1277.308</v>
      </c>
      <c r="J86" s="20" t="n">
        <v>1248.618</v>
      </c>
      <c r="K86" s="20" t="n">
        <v>1210.842</v>
      </c>
      <c r="L86" s="20" t="n">
        <v>2250.481</v>
      </c>
    </row>
    <row r="87">
      <c r="A87" s="18" t="inlineStr">
        <is>
          <t>공구·기구·비품</t>
        </is>
      </c>
      <c r="E87" s="20" t="n">
        <v>10225.324</v>
      </c>
      <c r="H87" s="20" t="n">
        <v>9319.545</v>
      </c>
      <c r="I87" s="20" t="n">
        <v>9425.239</v>
      </c>
      <c r="J87" s="20" t="n">
        <v>9926.227000000001</v>
      </c>
      <c r="K87" s="20" t="n">
        <v>9876.831</v>
      </c>
      <c r="L87" s="20" t="n">
        <v>10225.324</v>
      </c>
    </row>
    <row r="88">
      <c r="A88" s="18" t="inlineStr">
        <is>
          <t>감가상각누계액</t>
        </is>
      </c>
      <c r="E88" s="20" t="n">
        <v>-9787.717000000001</v>
      </c>
      <c r="H88" s="20" t="n">
        <v>-8989.109</v>
      </c>
      <c r="I88" s="20" t="n">
        <v>-8958.802</v>
      </c>
      <c r="J88" s="20" t="n">
        <v>-9563.146000000001</v>
      </c>
      <c r="K88" s="20" t="n">
        <v>-9624.208000000001</v>
      </c>
      <c r="L88" s="20" t="n">
        <v>-9787.717000000001</v>
      </c>
    </row>
    <row r="89">
      <c r="A89" s="18" t="inlineStr">
        <is>
          <t>공구·기구·비품(순액)</t>
        </is>
      </c>
      <c r="E89" s="20" t="n">
        <v>437.606</v>
      </c>
      <c r="H89" s="20" t="n">
        <v>330.436</v>
      </c>
      <c r="I89" s="20" t="n">
        <v>466.437</v>
      </c>
      <c r="J89" s="20" t="n">
        <v>363.08</v>
      </c>
      <c r="K89" s="20" t="n">
        <v>252.622</v>
      </c>
      <c r="L89" s="20" t="n">
        <v>437.606</v>
      </c>
    </row>
    <row r="90">
      <c r="A90" s="18" t="inlineStr">
        <is>
          <t>토지</t>
        </is>
      </c>
      <c r="C90" s="20" t="n">
        <v>5260.983</v>
      </c>
      <c r="D90" s="20" t="n">
        <v>5260.983</v>
      </c>
      <c r="E90" s="20" t="n">
        <v>5260.983</v>
      </c>
      <c r="F90" s="20" t="n">
        <v>5260.983</v>
      </c>
      <c r="G90" s="20" t="n">
        <v>5260.983</v>
      </c>
      <c r="H90" s="20" t="n">
        <v>5226.839</v>
      </c>
      <c r="I90" s="20" t="n">
        <v>5224.365</v>
      </c>
      <c r="J90" s="20" t="n">
        <v>5260.983</v>
      </c>
      <c r="K90" s="20" t="n">
        <v>5260.983</v>
      </c>
      <c r="L90" s="20" t="n">
        <v>5260.983</v>
      </c>
    </row>
    <row r="91">
      <c r="A91" s="18" t="inlineStr">
        <is>
          <t>리스자산</t>
        </is>
      </c>
      <c r="E91" s="20" t="n">
        <v>314.78</v>
      </c>
      <c r="H91" s="20" t="n">
        <v>312.842</v>
      </c>
      <c r="I91" s="20" t="n">
        <v>245.825</v>
      </c>
      <c r="J91" s="20" t="n">
        <v>267.721</v>
      </c>
      <c r="K91" s="20" t="n">
        <v>304.039</v>
      </c>
      <c r="L91" s="20" t="n">
        <v>314.78</v>
      </c>
    </row>
    <row r="92">
      <c r="A92" s="18" t="inlineStr">
        <is>
          <t>감가상각누계액</t>
        </is>
      </c>
      <c r="E92" s="20" t="n">
        <v>-149.265</v>
      </c>
      <c r="H92" s="20" t="n">
        <v>-176.558</v>
      </c>
      <c r="I92" s="20" t="n">
        <v>-143.173</v>
      </c>
      <c r="J92" s="20" t="n">
        <v>-116.591</v>
      </c>
      <c r="K92" s="20" t="n">
        <v>-133.044</v>
      </c>
      <c r="L92" s="20" t="n">
        <v>-149.265</v>
      </c>
    </row>
    <row r="93">
      <c r="A93" s="18" t="inlineStr">
        <is>
          <t>리스자산(순액)</t>
        </is>
      </c>
      <c r="E93" s="20" t="n">
        <v>165.514</v>
      </c>
      <c r="H93" s="20" t="n">
        <v>136.283</v>
      </c>
      <c r="I93" s="20" t="n">
        <v>102.651</v>
      </c>
      <c r="J93" s="20" t="n">
        <v>151.129</v>
      </c>
      <c r="K93" s="20" t="n">
        <v>170.994</v>
      </c>
      <c r="L93" s="20" t="n">
        <v>165.514</v>
      </c>
    </row>
    <row r="94">
      <c r="A94" s="18" t="inlineStr">
        <is>
          <t>건설중인자산</t>
        </is>
      </c>
      <c r="E94" s="20" t="n">
        <v>307.205</v>
      </c>
      <c r="H94" s="20" t="n">
        <v>516.87</v>
      </c>
      <c r="I94" s="20" t="n">
        <v>881.75</v>
      </c>
      <c r="J94" s="20" t="n">
        <v>491.443</v>
      </c>
      <c r="K94" s="20" t="n">
        <v>4202.963</v>
      </c>
      <c r="L94" s="20" t="n">
        <v>307.205</v>
      </c>
    </row>
    <row r="95">
      <c r="A95" s="18" t="inlineStr">
        <is>
          <t>기타(순액)</t>
        </is>
      </c>
      <c r="C95" s="20" t="n">
        <v>8971.272999999999</v>
      </c>
      <c r="D95" s="20" t="n">
        <v>8921.647000000001</v>
      </c>
      <c r="E95" s="20" t="n">
        <v>3160.808</v>
      </c>
      <c r="F95" s="20" t="n">
        <v>3008.547</v>
      </c>
      <c r="G95" s="20" t="n">
        <v>2947.493</v>
      </c>
      <c r="H95" s="20" t="n">
        <v>4003.995</v>
      </c>
      <c r="I95" s="20" t="n">
        <v>4490.637</v>
      </c>
      <c r="J95" s="20" t="n">
        <v>3996.738</v>
      </c>
      <c r="K95" s="20" t="n">
        <v>7517.988</v>
      </c>
      <c r="L95" s="20" t="n">
        <v>3160.808</v>
      </c>
    </row>
    <row r="96">
      <c r="A96" s="18" t="inlineStr">
        <is>
          <t>유형자산 합계</t>
        </is>
      </c>
      <c r="C96" s="20" t="n">
        <v>14232.257</v>
      </c>
      <c r="D96" s="20" t="n">
        <v>14182.631</v>
      </c>
      <c r="E96" s="20" t="n">
        <v>14053.531</v>
      </c>
      <c r="F96" s="20" t="n">
        <v>13928.212</v>
      </c>
      <c r="G96" s="20" t="n">
        <v>13876.704</v>
      </c>
      <c r="H96" s="20" t="n">
        <v>9230.834000000001</v>
      </c>
      <c r="I96" s="20" t="n">
        <v>9715.002</v>
      </c>
      <c r="J96" s="20" t="n">
        <v>9257.722</v>
      </c>
      <c r="K96" s="20" t="n">
        <v>12778.972</v>
      </c>
      <c r="L96" s="20" t="n">
        <v>14053.531</v>
      </c>
    </row>
    <row r="97">
      <c r="A97" s="18" t="inlineStr">
        <is>
          <t>무형자산</t>
        </is>
      </c>
      <c r="C97" s="20" t="n">
        <v>143.225</v>
      </c>
      <c r="D97" s="20" t="n">
        <v>135.396</v>
      </c>
      <c r="E97" s="20" t="n">
        <v>131.777</v>
      </c>
      <c r="F97" s="20" t="n">
        <v>125.176</v>
      </c>
      <c r="G97" s="20" t="n">
        <v>123.402</v>
      </c>
      <c r="H97" s="20" t="n">
        <v>136.749</v>
      </c>
      <c r="I97" s="20" t="n">
        <v>125.581</v>
      </c>
      <c r="J97" s="20" t="n">
        <v>105.555</v>
      </c>
      <c r="K97" s="20" t="n">
        <v>148.323</v>
      </c>
      <c r="L97" s="20" t="n">
        <v>131.777</v>
      </c>
    </row>
    <row r="98">
      <c r="A98" s="18" t="inlineStr">
        <is>
          <t>투자유가증권</t>
        </is>
      </c>
      <c r="E98" s="20" t="n">
        <v>4173.432</v>
      </c>
      <c r="H98" s="20" t="n">
        <v>2923.551</v>
      </c>
      <c r="I98" s="20" t="n">
        <v>2496.783</v>
      </c>
      <c r="J98" s="20" t="n">
        <v>3870.194</v>
      </c>
      <c r="K98" s="20" t="n">
        <v>3169.053</v>
      </c>
      <c r="L98" s="20" t="n">
        <v>4173.432</v>
      </c>
    </row>
    <row r="99">
      <c r="A99" s="18" t="inlineStr">
        <is>
          <t>출자금</t>
        </is>
      </c>
      <c r="E99" s="20" t="n">
        <v>102.356</v>
      </c>
      <c r="H99" s="20" t="n">
        <v>166.816</v>
      </c>
      <c r="I99" s="20" t="n">
        <v>194.325</v>
      </c>
      <c r="J99" s="20" t="n">
        <v>197.573</v>
      </c>
      <c r="K99" s="20" t="n">
        <v>163.697</v>
      </c>
      <c r="L99" s="20" t="n">
        <v>102.356</v>
      </c>
    </row>
    <row r="100">
      <c r="A100" s="18" t="inlineStr">
        <is>
          <t>장기대여금</t>
        </is>
      </c>
      <c r="E100" s="20" t="n">
        <v>3.758</v>
      </c>
      <c r="H100" s="20" t="n">
        <v>739.191</v>
      </c>
      <c r="I100" s="20" t="n">
        <v>7.886</v>
      </c>
      <c r="J100" s="20" t="n">
        <v>6.51</v>
      </c>
      <c r="K100" s="20" t="n">
        <v>5.134</v>
      </c>
      <c r="L100" s="20" t="n">
        <v>3.758</v>
      </c>
    </row>
    <row r="101">
      <c r="A101" s="18" t="inlineStr">
        <is>
          <t>이연법인세자산</t>
        </is>
      </c>
      <c r="E101" s="20" t="n">
        <v>20.001</v>
      </c>
      <c r="H101" s="20" t="n">
        <v>21.261</v>
      </c>
      <c r="I101" s="20" t="n">
        <v>16.946</v>
      </c>
      <c r="J101" s="20" t="n">
        <v>16.932</v>
      </c>
      <c r="K101" s="20" t="n">
        <v>18.332</v>
      </c>
      <c r="L101" s="20" t="n">
        <v>20.001</v>
      </c>
    </row>
    <row r="102">
      <c r="A102" s="18" t="inlineStr">
        <is>
          <t>퇴직급여자산</t>
        </is>
      </c>
      <c r="E102" s="20" t="n">
        <v>599.602</v>
      </c>
      <c r="H102" s="20" t="n">
        <v>98.203</v>
      </c>
      <c r="I102" s="20" t="n">
        <v>0</v>
      </c>
      <c r="J102" s="20" t="n">
        <v>142.377</v>
      </c>
      <c r="K102" s="20" t="n">
        <v>452</v>
      </c>
      <c r="L102" s="20" t="n">
        <v>599.602</v>
      </c>
    </row>
    <row r="103">
      <c r="A103" s="18" t="inlineStr">
        <is>
          <t>기타</t>
        </is>
      </c>
      <c r="C103" s="20" t="n">
        <v>4012.595</v>
      </c>
      <c r="D103" s="20" t="n">
        <v>4588.894</v>
      </c>
      <c r="E103" s="20" t="n">
        <v>4934.887</v>
      </c>
      <c r="F103" s="20" t="n">
        <v>4812.714</v>
      </c>
      <c r="G103" s="20" t="n">
        <v>4642.896</v>
      </c>
      <c r="H103" s="20" t="n">
        <v>41.353</v>
      </c>
      <c r="I103" s="20" t="n">
        <v>42.31</v>
      </c>
      <c r="J103" s="20" t="n">
        <v>30.972</v>
      </c>
      <c r="K103" s="20" t="n">
        <v>33.645</v>
      </c>
      <c r="L103" s="20" t="n">
        <v>4934.887</v>
      </c>
    </row>
    <row r="104">
      <c r="A104" s="18" t="inlineStr">
        <is>
          <t>대손충당금</t>
        </is>
      </c>
      <c r="C104" s="20" t="n">
        <v>-5.151</v>
      </c>
      <c r="D104" s="20" t="n">
        <v>-5.151</v>
      </c>
      <c r="E104" s="20" t="n">
        <v>-5.151</v>
      </c>
      <c r="F104" s="20" t="n">
        <v>-5.151</v>
      </c>
      <c r="G104" s="20" t="n">
        <v>-5.015</v>
      </c>
      <c r="H104" s="20" t="n">
        <v>-31.787</v>
      </c>
      <c r="I104" s="20" t="n">
        <v>-31.25</v>
      </c>
      <c r="J104" s="20" t="n">
        <v>-29.724</v>
      </c>
      <c r="K104" s="20" t="n">
        <v>-5.288</v>
      </c>
      <c r="L104" s="20" t="n">
        <v>-5.151</v>
      </c>
    </row>
    <row r="105">
      <c r="A105" s="18" t="inlineStr">
        <is>
          <t>투자 및 기타자산 합계</t>
        </is>
      </c>
      <c r="C105" s="20" t="n">
        <v>4007.443</v>
      </c>
      <c r="D105" s="20" t="n">
        <v>4583.742</v>
      </c>
      <c r="E105" s="20" t="n">
        <v>4929.735</v>
      </c>
      <c r="F105" s="20" t="n">
        <v>4807.563</v>
      </c>
      <c r="G105" s="20" t="n">
        <v>4637.881</v>
      </c>
      <c r="H105" s="20" t="n">
        <v>3958.591</v>
      </c>
      <c r="I105" s="20" t="n">
        <v>2727.001</v>
      </c>
      <c r="J105" s="20" t="n">
        <v>4234.835</v>
      </c>
      <c r="K105" s="20" t="n">
        <v>3836.575</v>
      </c>
      <c r="L105" s="20" t="n">
        <v>4929.735</v>
      </c>
    </row>
    <row r="106">
      <c r="A106" s="9" t="inlineStr">
        <is>
          <t>비유동자산 합계</t>
        </is>
      </c>
      <c r="C106" s="12" t="n">
        <v>18382.926</v>
      </c>
      <c r="D106" s="12" t="n">
        <v>18901.77</v>
      </c>
      <c r="E106" s="12" t="n">
        <v>19115.044</v>
      </c>
      <c r="F106" s="12" t="n">
        <v>18860.952</v>
      </c>
      <c r="G106" s="12" t="n">
        <v>18637.987</v>
      </c>
      <c r="H106" s="12" t="n">
        <v>13326.175</v>
      </c>
      <c r="I106" s="12" t="n">
        <v>12567.586</v>
      </c>
      <c r="J106" s="12" t="n">
        <v>13598.113</v>
      </c>
      <c r="K106" s="12" t="n">
        <v>16763.871</v>
      </c>
      <c r="L106" s="12" t="n">
        <v>19115.044</v>
      </c>
    </row>
    <row r="107">
      <c r="A107" s="9" t="inlineStr">
        <is>
          <t>자산 합계</t>
        </is>
      </c>
      <c r="C107" s="12" t="n">
        <v>41220.137</v>
      </c>
      <c r="D107" s="12" t="n">
        <v>41920.649</v>
      </c>
      <c r="E107" s="12" t="n">
        <v>44119.041</v>
      </c>
      <c r="F107" s="12" t="n">
        <v>45475.458</v>
      </c>
      <c r="G107" s="12" t="n">
        <v>44427.489</v>
      </c>
      <c r="H107" s="12" t="n">
        <v>38786.907</v>
      </c>
      <c r="I107" s="12" t="n">
        <v>38715.263</v>
      </c>
      <c r="J107" s="12" t="n">
        <v>44767.343</v>
      </c>
      <c r="K107" s="12" t="n">
        <v>42463.111</v>
      </c>
      <c r="L107" s="12" t="n">
        <v>44119.041</v>
      </c>
    </row>
    <row r="108">
      <c r="A108" s="18" t="inlineStr">
        <is>
          <t>지급어음·매입채무</t>
        </is>
      </c>
      <c r="C108" s="20" t="n">
        <v>2106.363</v>
      </c>
      <c r="D108" s="20" t="n">
        <v>2176.283</v>
      </c>
      <c r="E108" s="20" t="n">
        <v>2497.196</v>
      </c>
      <c r="F108" s="20" t="n">
        <v>2450.336</v>
      </c>
      <c r="G108" s="20" t="n">
        <v>1859.695</v>
      </c>
      <c r="H108" s="20" t="n">
        <v>3513.19</v>
      </c>
      <c r="I108" s="20" t="n">
        <v>3124.202</v>
      </c>
      <c r="J108" s="20" t="n">
        <v>3585.244</v>
      </c>
      <c r="K108" s="20" t="n">
        <v>3586.63</v>
      </c>
      <c r="L108" s="20" t="n">
        <v>2497.196</v>
      </c>
    </row>
    <row r="109">
      <c r="A109" s="18" t="inlineStr">
        <is>
          <t>전자기록채무</t>
        </is>
      </c>
      <c r="C109" s="20" t="n">
        <v>845.853</v>
      </c>
      <c r="D109" s="20" t="n">
        <v>967.067</v>
      </c>
      <c r="E109" s="20" t="n">
        <v>678.979</v>
      </c>
      <c r="F109" s="20" t="n">
        <v>762.08</v>
      </c>
      <c r="G109" s="20" t="n">
        <v>803.3150000000001</v>
      </c>
      <c r="H109" s="20" t="n">
        <v>3427.095</v>
      </c>
      <c r="I109" s="20" t="n">
        <v>3133.24</v>
      </c>
      <c r="J109" s="20" t="n">
        <v>4351.319</v>
      </c>
      <c r="K109" s="20" t="n">
        <v>804.48</v>
      </c>
      <c r="L109" s="20" t="n">
        <v>678.979</v>
      </c>
    </row>
    <row r="110">
      <c r="A110" s="18" t="inlineStr">
        <is>
          <t>미지급금</t>
        </is>
      </c>
      <c r="E110" s="20" t="n">
        <v>396.338</v>
      </c>
      <c r="H110" s="20" t="n">
        <v>345.005</v>
      </c>
      <c r="I110" s="20" t="n">
        <v>297.138</v>
      </c>
      <c r="J110" s="20" t="n">
        <v>469.109</v>
      </c>
      <c r="K110" s="20" t="n">
        <v>366.161</v>
      </c>
      <c r="L110" s="20" t="n">
        <v>396.338</v>
      </c>
    </row>
    <row r="111">
      <c r="A111" s="18" t="inlineStr">
        <is>
          <t>미지급비용</t>
        </is>
      </c>
      <c r="E111" s="20" t="n">
        <v>317.935</v>
      </c>
      <c r="H111" s="20" t="n">
        <v>280.833</v>
      </c>
      <c r="I111" s="20" t="n">
        <v>270.012</v>
      </c>
      <c r="J111" s="20" t="n">
        <v>313.354</v>
      </c>
      <c r="K111" s="20" t="n">
        <v>319.195</v>
      </c>
      <c r="L111" s="20" t="n">
        <v>317.935</v>
      </c>
    </row>
    <row r="112">
      <c r="A112" s="18" t="inlineStr">
        <is>
          <t>선수금</t>
        </is>
      </c>
      <c r="H112" s="20" t="n">
        <v>0</v>
      </c>
    </row>
    <row r="113">
      <c r="A113" s="18" t="inlineStr">
        <is>
          <t>계약부채</t>
        </is>
      </c>
      <c r="E113" s="20" t="n">
        <v>564.172</v>
      </c>
      <c r="H113" s="20" t="n">
        <v>100.115</v>
      </c>
      <c r="I113" s="20" t="n">
        <v>431.28</v>
      </c>
      <c r="J113" s="20" t="n">
        <v>563.046</v>
      </c>
      <c r="K113" s="20" t="n">
        <v>316.333</v>
      </c>
      <c r="L113" s="20" t="n">
        <v>564.172</v>
      </c>
    </row>
    <row r="114">
      <c r="A114" s="18" t="inlineStr">
        <is>
          <t>리스부채</t>
        </is>
      </c>
      <c r="E114" s="20" t="n">
        <v>77.279</v>
      </c>
      <c r="H114" s="20" t="n">
        <v>57.818</v>
      </c>
      <c r="I114" s="20" t="n">
        <v>47.896</v>
      </c>
      <c r="J114" s="20" t="n">
        <v>70.072</v>
      </c>
      <c r="K114" s="20" t="n">
        <v>74.178</v>
      </c>
      <c r="L114" s="20" t="n">
        <v>77.279</v>
      </c>
    </row>
    <row r="115">
      <c r="A115" s="18" t="inlineStr">
        <is>
          <t>미지급법인세</t>
        </is>
      </c>
      <c r="C115" s="20" t="n">
        <v>534.073</v>
      </c>
      <c r="D115" s="20" t="n">
        <v>344.872</v>
      </c>
      <c r="E115" s="20" t="n">
        <v>415.007</v>
      </c>
      <c r="F115" s="20" t="n">
        <v>322.905</v>
      </c>
      <c r="G115" s="20" t="n">
        <v>461.775</v>
      </c>
      <c r="H115" s="20" t="n">
        <v>301.152</v>
      </c>
      <c r="I115" s="20" t="n">
        <v>294.131</v>
      </c>
      <c r="J115" s="20" t="n">
        <v>624.061</v>
      </c>
      <c r="K115" s="20" t="n">
        <v>514.986</v>
      </c>
      <c r="L115" s="20" t="n">
        <v>415.007</v>
      </c>
    </row>
    <row r="116">
      <c r="A116" s="18" t="inlineStr">
        <is>
          <t>상여충당금</t>
        </is>
      </c>
      <c r="C116" s="20" t="n">
        <v>873.341</v>
      </c>
      <c r="D116" s="20" t="n">
        <v>422.644</v>
      </c>
      <c r="E116" s="20" t="n">
        <v>874.85</v>
      </c>
      <c r="F116" s="20" t="n">
        <v>455.987</v>
      </c>
      <c r="G116" s="20" t="n">
        <v>892.058</v>
      </c>
      <c r="H116" s="20" t="n">
        <v>715.879</v>
      </c>
      <c r="I116" s="20" t="n">
        <v>655.577</v>
      </c>
      <c r="J116" s="20" t="n">
        <v>814.879</v>
      </c>
      <c r="K116" s="20" t="n">
        <v>884.273</v>
      </c>
      <c r="L116" s="20" t="n">
        <v>874.85</v>
      </c>
    </row>
    <row r="117">
      <c r="A117" s="18" t="inlineStr">
        <is>
          <t>임원 상여충당금</t>
        </is>
      </c>
      <c r="C117" s="20" t="n">
        <v>30.472</v>
      </c>
      <c r="D117" s="20" t="n">
        <v>41.691</v>
      </c>
      <c r="E117" s="20" t="n">
        <v>59.205</v>
      </c>
      <c r="F117" s="20" t="n">
        <v>14.369</v>
      </c>
      <c r="G117" s="20" t="n">
        <v>31.015</v>
      </c>
      <c r="H117" s="20" t="n">
        <v>67.476</v>
      </c>
      <c r="I117" s="20" t="n">
        <v>69.2</v>
      </c>
      <c r="J117" s="20" t="n">
        <v>81.664</v>
      </c>
      <c r="K117" s="20" t="n">
        <v>56.326</v>
      </c>
      <c r="L117" s="20" t="n">
        <v>59.205</v>
      </c>
    </row>
    <row r="118">
      <c r="A118" s="18" t="inlineStr">
        <is>
          <t>완성공사 보증 충당금</t>
        </is>
      </c>
      <c r="C118" s="20" t="n">
        <v>46.7</v>
      </c>
      <c r="D118" s="20" t="n">
        <v>49.152</v>
      </c>
      <c r="E118" s="20" t="n">
        <v>72.358</v>
      </c>
      <c r="F118" s="20" t="n">
        <v>59.714</v>
      </c>
      <c r="G118" s="20" t="n">
        <v>51.557</v>
      </c>
      <c r="H118" s="20" t="n">
        <v>42.744</v>
      </c>
      <c r="I118" s="20" t="n">
        <v>30.123</v>
      </c>
      <c r="J118" s="20" t="n">
        <v>37.441</v>
      </c>
      <c r="K118" s="20" t="n">
        <v>46.05</v>
      </c>
      <c r="L118" s="20" t="n">
        <v>72.358</v>
      </c>
    </row>
    <row r="119">
      <c r="A119" s="18" t="inlineStr">
        <is>
          <t>설비관련 지급어음</t>
        </is>
      </c>
      <c r="H119" s="20" t="n">
        <v>68.379</v>
      </c>
      <c r="I119" s="20" t="n">
        <v>46.28</v>
      </c>
      <c r="J119" s="20" t="n">
        <v>13.794</v>
      </c>
      <c r="K119" s="20" t="n">
        <v>0</v>
      </c>
    </row>
    <row r="120">
      <c r="A120" s="18" t="inlineStr">
        <is>
          <t>기타</t>
        </is>
      </c>
      <c r="C120" s="20" t="n">
        <v>1870.484</v>
      </c>
      <c r="D120" s="20" t="n">
        <v>2072.423</v>
      </c>
      <c r="E120" s="20" t="n">
        <v>2369.218</v>
      </c>
      <c r="F120" s="20" t="n">
        <v>4844.104</v>
      </c>
      <c r="G120" s="20" t="n">
        <v>3322.809</v>
      </c>
      <c r="H120" s="20" t="n">
        <v>808.301</v>
      </c>
      <c r="I120" s="20" t="n">
        <v>892.388</v>
      </c>
      <c r="J120" s="20" t="n">
        <v>946.441</v>
      </c>
      <c r="K120" s="20" t="n">
        <v>1024.256</v>
      </c>
      <c r="L120" s="20" t="n">
        <v>2369.218</v>
      </c>
    </row>
    <row r="121">
      <c r="A121" s="9" t="inlineStr">
        <is>
          <t>유동부채 합계</t>
        </is>
      </c>
      <c r="C121" s="12" t="n">
        <v>6307.288</v>
      </c>
      <c r="D121" s="12" t="n">
        <v>6074.135</v>
      </c>
      <c r="E121" s="12" t="n">
        <v>6966.816</v>
      </c>
      <c r="F121" s="12" t="n">
        <v>8909.496999999999</v>
      </c>
      <c r="G121" s="12" t="n">
        <v>7422.227</v>
      </c>
      <c r="H121" s="12" t="n">
        <v>9727.991</v>
      </c>
      <c r="I121" s="12" t="n">
        <v>9291.472</v>
      </c>
      <c r="J121" s="12" t="n">
        <v>11870.431</v>
      </c>
      <c r="K121" s="12" t="n">
        <v>7992.873</v>
      </c>
      <c r="L121" s="12" t="n">
        <v>6966.816</v>
      </c>
    </row>
    <row r="122">
      <c r="A122" s="18" t="inlineStr">
        <is>
          <t>리스부채</t>
        </is>
      </c>
      <c r="E122" s="20" t="n">
        <v>97.047</v>
      </c>
      <c r="H122" s="20" t="n">
        <v>86.89700000000001</v>
      </c>
      <c r="I122" s="20" t="n">
        <v>59.065</v>
      </c>
      <c r="J122" s="20" t="n">
        <v>86.91800000000001</v>
      </c>
      <c r="K122" s="20" t="n">
        <v>104.401</v>
      </c>
      <c r="L122" s="20" t="n">
        <v>97.047</v>
      </c>
    </row>
    <row r="123">
      <c r="A123" s="18" t="inlineStr">
        <is>
          <t>장기미지급금</t>
        </is>
      </c>
      <c r="E123" s="20" t="n">
        <v>29.082</v>
      </c>
      <c r="H123" s="20" t="n">
        <v>89.976</v>
      </c>
      <c r="I123" s="20" t="n">
        <v>71.95399999999999</v>
      </c>
      <c r="J123" s="20" t="n">
        <v>64.212</v>
      </c>
      <c r="K123" s="20" t="n">
        <v>29.082</v>
      </c>
      <c r="L123" s="20" t="n">
        <v>29.082</v>
      </c>
    </row>
    <row r="124">
      <c r="A124" s="18" t="inlineStr">
        <is>
          <t>이연법인세부채</t>
        </is>
      </c>
      <c r="E124" s="20" t="n">
        <v>1120.325</v>
      </c>
      <c r="H124" s="20" t="n">
        <v>868.97</v>
      </c>
      <c r="I124" s="20" t="n">
        <v>703.96</v>
      </c>
      <c r="J124" s="20" t="n">
        <v>1034.969</v>
      </c>
      <c r="K124" s="20" t="n">
        <v>875.1369999999999</v>
      </c>
      <c r="L124" s="20" t="n">
        <v>1120.325</v>
      </c>
    </row>
    <row r="125">
      <c r="A125" s="18" t="inlineStr">
        <is>
          <t>임원 퇴직위로 충당금</t>
        </is>
      </c>
      <c r="C125" s="20" t="n">
        <v>26.587</v>
      </c>
      <c r="D125" s="20" t="n">
        <v>28.622</v>
      </c>
      <c r="E125" s="20" t="n">
        <v>30.658</v>
      </c>
      <c r="F125" s="20" t="n">
        <v>31.897</v>
      </c>
      <c r="G125" s="20" t="n">
        <v>33.989</v>
      </c>
      <c r="H125" s="20" t="n">
        <v>52.06</v>
      </c>
      <c r="I125" s="20" t="n">
        <v>58.866</v>
      </c>
      <c r="J125" s="20" t="n">
        <v>54.518</v>
      </c>
      <c r="K125" s="20" t="n">
        <v>22.288</v>
      </c>
      <c r="L125" s="20" t="n">
        <v>30.658</v>
      </c>
    </row>
    <row r="126">
      <c r="A126" s="18" t="inlineStr">
        <is>
          <t>퇴직급여부채</t>
        </is>
      </c>
      <c r="C126" s="20" t="n">
        <v>570.254</v>
      </c>
      <c r="D126" s="20" t="n">
        <v>596.317</v>
      </c>
      <c r="E126" s="20" t="n">
        <v>607.5549999999999</v>
      </c>
      <c r="F126" s="20" t="n">
        <v>633.849</v>
      </c>
      <c r="G126" s="20" t="n">
        <v>658.564</v>
      </c>
      <c r="H126" s="20" t="n">
        <v>372.536</v>
      </c>
      <c r="I126" s="20" t="n">
        <v>539.59</v>
      </c>
      <c r="J126" s="20" t="n">
        <v>607.3630000000001</v>
      </c>
      <c r="K126" s="20" t="n">
        <v>528.202</v>
      </c>
      <c r="L126" s="20" t="n">
        <v>607.5549999999999</v>
      </c>
    </row>
    <row r="127">
      <c r="A127" s="18" t="inlineStr">
        <is>
          <t>자산복구부채</t>
        </is>
      </c>
      <c r="E127" s="20" t="n">
        <v>31.35</v>
      </c>
      <c r="H127" s="20" t="n">
        <v>31.35</v>
      </c>
      <c r="I127" s="20" t="n">
        <v>31.35</v>
      </c>
      <c r="J127" s="20" t="n">
        <v>31.35</v>
      </c>
      <c r="K127" s="20" t="n">
        <v>31.35</v>
      </c>
      <c r="L127" s="20" t="n">
        <v>31.35</v>
      </c>
    </row>
    <row r="128">
      <c r="A128" s="18" t="inlineStr">
        <is>
          <t>기타</t>
        </is>
      </c>
      <c r="C128" s="20" t="n">
        <v>1117.357</v>
      </c>
      <c r="D128" s="20" t="n">
        <v>1261.569</v>
      </c>
      <c r="E128" s="20" t="n">
        <v>1277.804</v>
      </c>
      <c r="F128" s="20" t="n">
        <v>1213.818</v>
      </c>
      <c r="G128" s="20" t="n">
        <v>1258.975</v>
      </c>
      <c r="H128" s="20" t="n">
        <v>1077.193</v>
      </c>
      <c r="I128" s="20" t="n">
        <v>866.329</v>
      </c>
      <c r="J128" s="20" t="n">
        <v>1217.45</v>
      </c>
      <c r="K128" s="20" t="n">
        <v>1039.97</v>
      </c>
      <c r="L128" s="20" t="n">
        <v>1277.804</v>
      </c>
    </row>
    <row r="129">
      <c r="A129" s="9" t="inlineStr">
        <is>
          <t>비유동부채 합계</t>
        </is>
      </c>
      <c r="C129" s="12" t="n">
        <v>1714.199</v>
      </c>
      <c r="D129" s="12" t="n">
        <v>1886.509</v>
      </c>
      <c r="E129" s="12" t="n">
        <v>1916.018</v>
      </c>
      <c r="F129" s="12" t="n">
        <v>1879.565</v>
      </c>
      <c r="G129" s="12" t="n">
        <v>1951.528</v>
      </c>
      <c r="H129" s="12" t="n">
        <v>1501.789</v>
      </c>
      <c r="I129" s="12" t="n">
        <v>1464.785</v>
      </c>
      <c r="J129" s="12" t="n">
        <v>1879.331</v>
      </c>
      <c r="K129" s="12" t="n">
        <v>1590.461</v>
      </c>
      <c r="L129" s="12" t="n">
        <v>1916.018</v>
      </c>
    </row>
    <row r="130">
      <c r="A130" s="9" t="inlineStr">
        <is>
          <t>부채 합계</t>
        </is>
      </c>
      <c r="C130" s="12" t="n">
        <v>8021.487</v>
      </c>
      <c r="D130" s="12" t="n">
        <v>7960.645</v>
      </c>
      <c r="E130" s="12" t="n">
        <v>8882.834000000001</v>
      </c>
      <c r="F130" s="12" t="n">
        <v>10789.062</v>
      </c>
      <c r="G130" s="12" t="n">
        <v>9373.755999999999</v>
      </c>
      <c r="H130" s="12" t="n">
        <v>11229.781</v>
      </c>
      <c r="I130" s="12" t="n">
        <v>10756.258</v>
      </c>
      <c r="J130" s="12" t="n">
        <v>13749.762</v>
      </c>
      <c r="K130" s="12" t="n">
        <v>9583.334000000001</v>
      </c>
      <c r="L130" s="12" t="n">
        <v>8882.834000000001</v>
      </c>
    </row>
    <row r="131">
      <c r="A131" s="18" t="inlineStr">
        <is>
          <t>자본금</t>
        </is>
      </c>
      <c r="C131" s="20" t="n">
        <v>1311</v>
      </c>
      <c r="D131" s="20" t="n">
        <v>1311</v>
      </c>
      <c r="E131" s="20" t="n">
        <v>1311</v>
      </c>
      <c r="F131" s="20" t="n">
        <v>1311</v>
      </c>
      <c r="G131" s="20" t="n">
        <v>1311</v>
      </c>
      <c r="H131" s="20" t="n">
        <v>1311</v>
      </c>
      <c r="I131" s="20" t="n">
        <v>1311</v>
      </c>
      <c r="J131" s="20" t="n">
        <v>1311</v>
      </c>
      <c r="K131" s="20" t="n">
        <v>1311</v>
      </c>
      <c r="L131" s="20" t="n">
        <v>1311</v>
      </c>
    </row>
    <row r="132">
      <c r="A132" s="18" t="inlineStr">
        <is>
          <t>자본잉여금</t>
        </is>
      </c>
      <c r="C132" s="20" t="n">
        <v>790.484</v>
      </c>
      <c r="D132" s="20" t="n">
        <v>790.484</v>
      </c>
      <c r="E132" s="20" t="n">
        <v>790.484</v>
      </c>
      <c r="F132" s="20" t="n">
        <v>790.484</v>
      </c>
      <c r="G132" s="20" t="n">
        <v>797.2859999999999</v>
      </c>
      <c r="H132" s="20" t="n">
        <v>788.694</v>
      </c>
      <c r="I132" s="20" t="n">
        <v>779.599</v>
      </c>
      <c r="J132" s="20" t="n">
        <v>779.082</v>
      </c>
      <c r="K132" s="20" t="n">
        <v>786.621</v>
      </c>
      <c r="L132" s="20" t="n">
        <v>790.484</v>
      </c>
    </row>
    <row r="133">
      <c r="A133" s="18" t="inlineStr">
        <is>
          <t>이익잉여금</t>
        </is>
      </c>
      <c r="C133" s="20" t="n">
        <v>29620.169</v>
      </c>
      <c r="D133" s="20" t="n">
        <v>29895.826</v>
      </c>
      <c r="E133" s="20" t="n">
        <v>30761.381</v>
      </c>
      <c r="F133" s="20" t="n">
        <v>30309.124</v>
      </c>
      <c r="G133" s="20" t="n">
        <v>30725.959</v>
      </c>
      <c r="H133" s="20" t="n">
        <v>25166.802</v>
      </c>
      <c r="I133" s="20" t="n">
        <v>25881.294</v>
      </c>
      <c r="J133" s="20" t="n">
        <v>27457.738</v>
      </c>
      <c r="K133" s="20" t="n">
        <v>29136.465</v>
      </c>
      <c r="L133" s="20" t="n">
        <v>30761.381</v>
      </c>
    </row>
    <row r="134">
      <c r="A134" s="18" t="inlineStr">
        <is>
          <t>자기주식</t>
        </is>
      </c>
      <c r="C134" s="20" t="n">
        <v>-1759.732</v>
      </c>
      <c r="D134" s="20" t="n">
        <v>-1759.732</v>
      </c>
      <c r="E134" s="20" t="n">
        <v>-1759.732</v>
      </c>
      <c r="F134" s="20" t="n">
        <v>-1759.732</v>
      </c>
      <c r="G134" s="20" t="n">
        <v>-1744.625</v>
      </c>
      <c r="H134" s="20" t="n">
        <v>-1584.53</v>
      </c>
      <c r="I134" s="20" t="n">
        <v>-1828.223</v>
      </c>
      <c r="J134" s="20" t="n">
        <v>-1799.147</v>
      </c>
      <c r="K134" s="20" t="n">
        <v>-1781.761</v>
      </c>
      <c r="L134" s="20" t="n">
        <v>-1759.732</v>
      </c>
    </row>
    <row r="135">
      <c r="A135" s="9" t="inlineStr">
        <is>
          <t>주주자본 합계</t>
        </is>
      </c>
      <c r="C135" s="12" t="n">
        <v>29961.92</v>
      </c>
      <c r="D135" s="12" t="n">
        <v>30237.577</v>
      </c>
      <c r="E135" s="12" t="n">
        <v>31103.133</v>
      </c>
      <c r="F135" s="12" t="n">
        <v>30650.876</v>
      </c>
      <c r="G135" s="12" t="n">
        <v>31089.62</v>
      </c>
      <c r="H135" s="12" t="n">
        <v>25681.965</v>
      </c>
      <c r="I135" s="12" t="n">
        <v>26143.67</v>
      </c>
      <c r="J135" s="12" t="n">
        <v>27748.673</v>
      </c>
      <c r="K135" s="12" t="n">
        <v>29452.326</v>
      </c>
      <c r="L135" s="12" t="n">
        <v>31103.133</v>
      </c>
    </row>
    <row r="136">
      <c r="A136" s="18" t="inlineStr">
        <is>
          <t>기타유가증권 평가차액</t>
        </is>
      </c>
      <c r="C136" s="20" t="n">
        <v>1509.016</v>
      </c>
      <c r="D136" s="20" t="n">
        <v>1825.868</v>
      </c>
      <c r="E136" s="20" t="n">
        <v>1837.767</v>
      </c>
      <c r="F136" s="20" t="n">
        <v>1698.183</v>
      </c>
      <c r="G136" s="20" t="n">
        <v>1884.16</v>
      </c>
      <c r="H136" s="20" t="n">
        <v>1268.559</v>
      </c>
      <c r="I136" s="20" t="n">
        <v>927.502</v>
      </c>
      <c r="J136" s="20" t="n">
        <v>1807.884</v>
      </c>
      <c r="K136" s="20" t="n">
        <v>1240.215</v>
      </c>
      <c r="L136" s="20" t="n">
        <v>1837.767</v>
      </c>
    </row>
    <row r="137">
      <c r="A137" s="18" t="inlineStr">
        <is>
          <t>해외사업환산조정</t>
        </is>
      </c>
      <c r="C137" s="20" t="n">
        <v>1152.89</v>
      </c>
      <c r="D137" s="20" t="n">
        <v>1289.76</v>
      </c>
      <c r="E137" s="20" t="n">
        <v>1492.487</v>
      </c>
      <c r="F137" s="20" t="n">
        <v>1529.655</v>
      </c>
      <c r="G137" s="20" t="n">
        <v>1533.817</v>
      </c>
      <c r="H137" s="20" t="n">
        <v>318.868</v>
      </c>
      <c r="I137" s="20" t="n">
        <v>640.338</v>
      </c>
      <c r="J137" s="20" t="n">
        <v>1000.869</v>
      </c>
      <c r="K137" s="20" t="n">
        <v>1403.457</v>
      </c>
      <c r="L137" s="20" t="n">
        <v>1492.487</v>
      </c>
    </row>
    <row r="138">
      <c r="A138" s="18" t="inlineStr">
        <is>
          <t>퇴직급여 조정누계액</t>
        </is>
      </c>
      <c r="C138" s="20" t="n">
        <v>97.402</v>
      </c>
      <c r="D138" s="20" t="n">
        <v>95.42700000000001</v>
      </c>
      <c r="E138" s="20" t="n">
        <v>206.754</v>
      </c>
      <c r="F138" s="20" t="n">
        <v>204.222</v>
      </c>
      <c r="G138" s="20" t="n">
        <v>201.69</v>
      </c>
      <c r="H138" s="20" t="n">
        <v>-308.655</v>
      </c>
      <c r="I138" s="20" t="n">
        <v>-420.656</v>
      </c>
      <c r="J138" s="20" t="n">
        <v>-271.642</v>
      </c>
      <c r="K138" s="20" t="n">
        <v>101.565</v>
      </c>
      <c r="L138" s="20" t="n">
        <v>206.754</v>
      </c>
    </row>
    <row r="139">
      <c r="A139" s="18" t="inlineStr">
        <is>
          <t>기타포괄손익누계액 합계</t>
        </is>
      </c>
      <c r="C139" s="20" t="n">
        <v>2759.309</v>
      </c>
      <c r="D139" s="20" t="n">
        <v>3211.056</v>
      </c>
      <c r="E139" s="20" t="n">
        <v>3537.009</v>
      </c>
      <c r="F139" s="20" t="n">
        <v>3432.06</v>
      </c>
      <c r="G139" s="20" t="n">
        <v>3619.668</v>
      </c>
      <c r="H139" s="20" t="n">
        <v>1278.772</v>
      </c>
      <c r="I139" s="20" t="n">
        <v>1147.184</v>
      </c>
      <c r="J139" s="20" t="n">
        <v>2537.111</v>
      </c>
      <c r="K139" s="20" t="n">
        <v>2745.238</v>
      </c>
      <c r="L139" s="20" t="n">
        <v>3537.009</v>
      </c>
    </row>
    <row r="140">
      <c r="A140" s="18" t="inlineStr">
        <is>
          <t>비지배지분</t>
        </is>
      </c>
      <c r="C140" s="20" t="n">
        <v>477.419</v>
      </c>
      <c r="D140" s="20" t="n">
        <v>511.369</v>
      </c>
      <c r="E140" s="20" t="n">
        <v>596.063</v>
      </c>
      <c r="F140" s="20" t="n">
        <v>603.458</v>
      </c>
      <c r="G140" s="20" t="n">
        <v>344.444</v>
      </c>
      <c r="H140" s="20" t="n">
        <v>596.3869999999999</v>
      </c>
      <c r="I140" s="20" t="n">
        <v>668.149</v>
      </c>
      <c r="J140" s="20" t="n">
        <v>731.796</v>
      </c>
      <c r="K140" s="20" t="n">
        <v>682.212</v>
      </c>
      <c r="L140" s="20" t="n">
        <v>596.063</v>
      </c>
    </row>
    <row r="141">
      <c r="A141" s="9" t="inlineStr">
        <is>
          <t>순자산 합계</t>
        </is>
      </c>
      <c r="C141" s="12" t="n">
        <v>33198.65</v>
      </c>
      <c r="D141" s="12" t="n">
        <v>33960.004</v>
      </c>
      <c r="E141" s="12" t="n">
        <v>35236.206</v>
      </c>
      <c r="F141" s="12" t="n">
        <v>34686.395</v>
      </c>
      <c r="G141" s="12" t="n">
        <v>35053.733</v>
      </c>
      <c r="H141" s="12" t="n">
        <v>27557.125</v>
      </c>
      <c r="I141" s="12" t="n">
        <v>27959.004</v>
      </c>
      <c r="J141" s="12" t="n">
        <v>31017.581</v>
      </c>
      <c r="K141" s="12" t="n">
        <v>32879.777</v>
      </c>
      <c r="L141" s="12" t="n">
        <v>35236.206</v>
      </c>
    </row>
    <row r="142">
      <c r="A142" s="9" t="inlineStr">
        <is>
          <t>부채·순자산 합계</t>
        </is>
      </c>
      <c r="C142" s="12" t="n">
        <v>41220.137</v>
      </c>
      <c r="D142" s="12" t="n">
        <v>41920.649</v>
      </c>
      <c r="E142" s="12" t="n">
        <v>44119.041</v>
      </c>
      <c r="F142" s="12" t="n">
        <v>45475.458</v>
      </c>
      <c r="G142" s="12" t="n">
        <v>44427.489</v>
      </c>
      <c r="H142" s="12" t="n">
        <v>38786.907</v>
      </c>
      <c r="I142" s="12" t="n">
        <v>38715.263</v>
      </c>
      <c r="J142" s="12" t="n">
        <v>44767.343</v>
      </c>
      <c r="K142" s="12" t="n">
        <v>42463.111</v>
      </c>
      <c r="L142" s="12" t="n">
        <v>44119.041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２분기 결산단신</t>
        </is>
      </c>
      <c r="C4" t="inlineStr">
        <is>
          <t>https://www2.jpx.co.jp/disc/63820/140120261028557392.pdf</t>
        </is>
      </c>
    </row>
    <row r="5">
      <c r="A5" t="inlineStr">
        <is>
          <t>2026-07-29</t>
        </is>
      </c>
      <c r="B5" t="inlineStr">
        <is>
          <t>2027년 3월 결산기 １분기 결산단신</t>
        </is>
      </c>
      <c r="C5" t="inlineStr">
        <is>
          <t>https://www2.jpx.co.jp/disc/63820/140120260729501630.pdf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https://www2.jpx.co.jp/disc/63820/140120260424510558.pdf</t>
        </is>
      </c>
    </row>
    <row r="7">
      <c r="A7" t="inlineStr">
        <is>
          <t>2026-01-29</t>
        </is>
      </c>
      <c r="B7" t="inlineStr">
        <is>
          <t>2026년 3월 결산기 ３분기 결산단신</t>
        </is>
      </c>
      <c r="C7" t="inlineStr">
        <is>
          <t>https://www2.jpx.co.jp/disc/63820/140120260116535095.pdf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https://www2.jpx.co.jp/disc/63820/140120251014573267.pdf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https://www2.jpx.co.jp/disc/63820/140120250721517383.pdf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https://www2.jpx.co.jp/disc/63820/140120250410512420.pdf</t>
        </is>
      </c>
    </row>
    <row r="11">
      <c r="A11" t="inlineStr">
        <is>
          <t>2025-01-29</t>
        </is>
      </c>
      <c r="B11" t="inlineStr">
        <is>
          <t>2025년 3월 결산기 ３분기 결산단신</t>
        </is>
      </c>
      <c r="C11" t="inlineStr">
        <is>
          <t>https://www2.jpx.co.jp/disc/63820/140120241223542839.pdf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https://www2.jpx.co.jp/disc/63820/140120240923587500.pdf</t>
        </is>
      </c>
    </row>
    <row r="13">
      <c r="A13" t="inlineStr">
        <is>
          <t>2024-07-29</t>
        </is>
      </c>
      <c r="B13" t="inlineStr">
        <is>
          <t>2025년 3월 결산기 １분기 결산단신</t>
        </is>
      </c>
      <c r="C13" t="inlineStr">
        <is>
          <t>https://www2.jpx.co.jp/disc/63820/140120240722552059.pdf</t>
        </is>
      </c>
    </row>
    <row r="14">
      <c r="A14" t="inlineStr">
        <is>
          <t>2024-04-24</t>
        </is>
      </c>
      <c r="B14" t="inlineStr">
        <is>
          <t>2024년 3월 결산기 연간 결산단신</t>
        </is>
      </c>
      <c r="C14" t="inlineStr">
        <is>
          <t>https://www2.jpx.co.jp/disc/63820/140120240417572316.pdf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https://www2.jpx.co.jp/disc/63820/140120240122517651.pdf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https://www2.jpx.co.jp/disc/63820/140120231019568708.pdf</t>
        </is>
      </c>
    </row>
    <row r="17">
      <c r="A17" t="inlineStr">
        <is>
          <t>2023-07-26</t>
        </is>
      </c>
      <c r="B17" t="inlineStr">
        <is>
          <t>2024년 3월 결산기 １분기 결산단신</t>
        </is>
      </c>
      <c r="C17" t="inlineStr">
        <is>
          <t>https://www2.jpx.co.jp/disc/63820/140120230719523820.pdf</t>
        </is>
      </c>
    </row>
    <row r="18">
      <c r="A18" t="inlineStr">
        <is>
          <t>2023-04-28</t>
        </is>
      </c>
      <c r="B18" t="inlineStr">
        <is>
          <t>2023년 3월 결산기 연간 결산단신</t>
        </is>
      </c>
      <c r="C18" t="inlineStr">
        <is>
          <t>https://www2.jpx.co.jp/disc/63820/140120230421550442.pdf</t>
        </is>
      </c>
    </row>
    <row r="19">
      <c r="A19" t="inlineStr">
        <is>
          <t>2023-02-01</t>
        </is>
      </c>
      <c r="B19" t="inlineStr">
        <is>
          <t>2023년 3월 결산기 ３분기 결산단신</t>
        </is>
      </c>
      <c r="C19" t="inlineStr">
        <is>
          <t>https://www2.jpx.co.jp/disc/63820/140120230124592838.pdf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https://www2.jpx.co.jp/disc/63820/140120220419523891.pdf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https://www2.jpx.co.jp/disc/63820/140120210428402323.pdf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https://www2.jpx.co.jp/disc/63820/140120200428402083.pdf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https://www2.jpx.co.jp/disc/63820/140120190417405928.pdf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https://www2.jpx.co.jp/disc/63820/140120180413410970.pdf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2026-10-28T07:04:12Z</dcterms:created>
  <dcterms:modified xmlns:dcterms="http://purl.org/dc/terms/" xmlns:xsi="http://www.w3.org/2001/XMLSchema-instance" xsi:type="dcterms:W3CDTF">2026-10-28T07:04:13Z</dcterms:modified>
</cp:coreProperties>
</file>