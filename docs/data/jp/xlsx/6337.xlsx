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8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0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테섹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2189</v>
      </c>
      <c r="D4" s="12" t="n">
        <v>2148</v>
      </c>
      <c r="E4" s="12" t="n">
        <v>1294</v>
      </c>
      <c r="F4" s="12" t="n">
        <v>1313</v>
      </c>
      <c r="G4" s="12" t="n">
        <v>1661</v>
      </c>
      <c r="H4" s="12" t="n">
        <v>1624</v>
      </c>
      <c r="I4" s="12" t="n">
        <v>1069</v>
      </c>
      <c r="J4" s="12" t="n">
        <v>1563</v>
      </c>
      <c r="K4" s="12" t="n">
        <v>1370</v>
      </c>
      <c r="L4" s="12" t="n">
        <v>1565</v>
      </c>
      <c r="M4" s="12" t="n">
        <v>1912</v>
      </c>
      <c r="N4" s="12" t="n">
        <v>1891</v>
      </c>
      <c r="O4" s="11" t="n">
        <v>4095</v>
      </c>
      <c r="P4" s="12" t="n">
        <v>5869</v>
      </c>
      <c r="Q4" s="12" t="n">
        <v>7194</v>
      </c>
      <c r="R4" s="12" t="n">
        <v>4159</v>
      </c>
      <c r="S4" s="12" t="n">
        <v>3449</v>
      </c>
      <c r="T4" s="12" t="n">
        <v>7512</v>
      </c>
      <c r="U4" s="12" t="n">
        <v>8743</v>
      </c>
      <c r="V4" s="12" t="n">
        <v>8619</v>
      </c>
      <c r="W4" s="12" t="n">
        <v>5892</v>
      </c>
      <c r="X4" s="12" t="n">
        <v>5567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1234</v>
      </c>
      <c r="D11" s="22" t="n">
        <v>1175</v>
      </c>
      <c r="E11" s="22" t="n">
        <v>813</v>
      </c>
      <c r="F11" s="22" t="n">
        <v>790</v>
      </c>
      <c r="G11" s="22" t="n">
        <v>938</v>
      </c>
      <c r="H11" s="22" t="n">
        <v>1093</v>
      </c>
      <c r="I11" s="22" t="n">
        <v>663</v>
      </c>
      <c r="J11" s="22" t="n">
        <v>935</v>
      </c>
      <c r="K11" s="22" t="n">
        <v>809</v>
      </c>
      <c r="L11" s="22" t="n">
        <v>993</v>
      </c>
      <c r="M11" s="22" t="n">
        <v>1008</v>
      </c>
      <c r="N11" s="22" t="n">
        <v>1015</v>
      </c>
      <c r="O11" s="21" t="n">
        <v>2526</v>
      </c>
      <c r="P11" s="22" t="n">
        <v>3544</v>
      </c>
      <c r="Q11" s="22" t="n">
        <v>4261</v>
      </c>
      <c r="R11" s="22" t="n">
        <v>2801</v>
      </c>
      <c r="S11" s="22" t="n">
        <v>2607</v>
      </c>
      <c r="T11" s="22" t="n">
        <v>4163</v>
      </c>
      <c r="U11" s="22" t="n">
        <v>4652</v>
      </c>
      <c r="V11" s="22" t="n">
        <v>4794</v>
      </c>
      <c r="W11" s="22" t="n">
        <v>3634</v>
      </c>
      <c r="X11" s="22" t="n">
        <v>3400</v>
      </c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>
        <v>507</v>
      </c>
      <c r="D15" s="22" t="n">
        <v>454</v>
      </c>
      <c r="E15" s="22" t="n">
        <v>459</v>
      </c>
      <c r="F15" s="22" t="n">
        <v>383</v>
      </c>
      <c r="G15" s="22" t="n">
        <v>519</v>
      </c>
      <c r="H15" s="22" t="n">
        <v>461</v>
      </c>
      <c r="I15" s="22" t="n">
        <v>418</v>
      </c>
      <c r="J15" s="22" t="n">
        <v>423</v>
      </c>
      <c r="K15" s="22" t="n">
        <v>499</v>
      </c>
      <c r="L15" s="22" t="n">
        <v>526</v>
      </c>
      <c r="M15" s="22" t="n">
        <v>490</v>
      </c>
      <c r="N15" s="22" t="n">
        <v>548</v>
      </c>
      <c r="O15" s="21" t="n">
        <v>1354</v>
      </c>
      <c r="P15" s="22" t="n">
        <v>1420</v>
      </c>
      <c r="Q15" s="22" t="n">
        <v>1718</v>
      </c>
      <c r="R15" s="22" t="n">
        <v>1444</v>
      </c>
      <c r="S15" s="22" t="n">
        <v>1290</v>
      </c>
      <c r="T15" s="22" t="n">
        <v>1600</v>
      </c>
      <c r="U15" s="22" t="n">
        <v>1957</v>
      </c>
      <c r="V15" s="22" t="n">
        <v>2094</v>
      </c>
      <c r="W15" s="22" t="n">
        <v>1822</v>
      </c>
      <c r="X15" s="22" t="n">
        <v>1866</v>
      </c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449</v>
      </c>
      <c r="D16" s="12" t="n">
        <v>520</v>
      </c>
      <c r="E16" s="12" t="n">
        <v>21</v>
      </c>
      <c r="F16" s="12" t="n">
        <v>141</v>
      </c>
      <c r="G16" s="12" t="n">
        <v>203</v>
      </c>
      <c r="H16" s="12" t="n">
        <v>69</v>
      </c>
      <c r="I16" s="12" t="n">
        <v>-11</v>
      </c>
      <c r="J16" s="12" t="n">
        <v>202</v>
      </c>
      <c r="K16" s="12" t="n">
        <v>63</v>
      </c>
      <c r="L16" s="12" t="n">
        <v>47</v>
      </c>
      <c r="M16" s="12" t="n">
        <v>413</v>
      </c>
      <c r="N16" s="12" t="n">
        <v>328</v>
      </c>
      <c r="O16" s="11" t="n">
        <v>213</v>
      </c>
      <c r="P16" s="12" t="n">
        <v>904</v>
      </c>
      <c r="Q16" s="12" t="n">
        <v>1214</v>
      </c>
      <c r="R16" s="12" t="n">
        <v>-86</v>
      </c>
      <c r="S16" s="12" t="n">
        <v>-448</v>
      </c>
      <c r="T16" s="12" t="n">
        <v>1748</v>
      </c>
      <c r="U16" s="12" t="n">
        <v>2133</v>
      </c>
      <c r="V16" s="12" t="n">
        <v>1731</v>
      </c>
      <c r="W16" s="12" t="n">
        <v>434</v>
      </c>
      <c r="X16" s="12" t="n">
        <v>301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>
        <v>13</v>
      </c>
      <c r="P23" s="22" t="n">
        <v>11</v>
      </c>
      <c r="Q23" s="22" t="n">
        <v>11</v>
      </c>
      <c r="R23" s="22" t="n">
        <v>12</v>
      </c>
      <c r="S23" s="22" t="n">
        <v>14</v>
      </c>
      <c r="T23" s="22" t="n">
        <v>17</v>
      </c>
      <c r="U23" s="22" t="n">
        <v>19</v>
      </c>
      <c r="V23" s="22" t="n">
        <v>18</v>
      </c>
      <c r="W23" s="22" t="n">
        <v>22</v>
      </c>
      <c r="X23" s="22" t="n">
        <v>21</v>
      </c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>
        <v>225</v>
      </c>
      <c r="P27" s="22" t="n">
        <v>156</v>
      </c>
      <c r="Q27" s="22" t="n">
        <v>275</v>
      </c>
      <c r="R27" s="22" t="n">
        <v>290</v>
      </c>
      <c r="S27" s="22" t="n">
        <v>234</v>
      </c>
      <c r="T27" s="22" t="n">
        <v>240</v>
      </c>
      <c r="U27" s="22" t="n">
        <v>348</v>
      </c>
      <c r="V27" s="22" t="n">
        <v>425</v>
      </c>
      <c r="W27" s="22" t="n">
        <v>337</v>
      </c>
      <c r="X27" s="22" t="n">
        <v>353</v>
      </c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>
        <v>0</v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3</v>
      </c>
      <c r="J32" s="22" t="n">
        <v>0</v>
      </c>
      <c r="K32" s="22" t="n">
        <v>0</v>
      </c>
      <c r="L32" s="22" t="n">
        <v>173</v>
      </c>
      <c r="M32" s="22" t="n">
        <v>181</v>
      </c>
      <c r="N32" s="22" t="n">
        <v>0</v>
      </c>
      <c r="O32" s="21" t="n">
        <v>0</v>
      </c>
      <c r="P32" s="22" t="n">
        <v>4</v>
      </c>
      <c r="Q32" s="22" t="n">
        <v>1</v>
      </c>
      <c r="R32" s="22" t="n">
        <v>23</v>
      </c>
      <c r="S32" s="22" t="n">
        <v>56</v>
      </c>
      <c r="T32" s="22" t="n">
        <v>0</v>
      </c>
      <c r="U32" s="22" t="n">
        <v>0</v>
      </c>
      <c r="V32" s="22" t="n">
        <v>3</v>
      </c>
      <c r="W32" s="22" t="n">
        <v>0</v>
      </c>
      <c r="X32" s="22" t="n">
        <v>176</v>
      </c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/>
      <c r="D34" s="22" t="n">
        <v>0</v>
      </c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1" t="n"/>
      <c r="P34" s="22" t="n">
        <v>0</v>
      </c>
      <c r="Q34" s="22" t="n">
        <v>4</v>
      </c>
      <c r="R34" s="22" t="n">
        <v>42</v>
      </c>
      <c r="S34" s="22" t="n">
        <v>0</v>
      </c>
      <c r="T34" s="22" t="n">
        <v>0</v>
      </c>
      <c r="U34" s="22" t="n">
        <v>56</v>
      </c>
      <c r="V34" s="22" t="n">
        <v>0</v>
      </c>
      <c r="W34" s="22" t="n"/>
      <c r="X34" s="22" t="n"/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>
        <v>-26</v>
      </c>
      <c r="D36" s="22" t="n">
        <v>130</v>
      </c>
      <c r="E36" s="22" t="n">
        <v>102</v>
      </c>
      <c r="F36" s="22" t="n">
        <v>-42</v>
      </c>
      <c r="G36" s="22" t="n">
        <v>158</v>
      </c>
      <c r="H36" s="22" t="n">
        <v>39</v>
      </c>
      <c r="I36" s="22" t="n">
        <v>57</v>
      </c>
      <c r="J36" s="22" t="n">
        <v>71</v>
      </c>
      <c r="K36" s="22" t="n">
        <v>87</v>
      </c>
      <c r="L36" s="22" t="n">
        <v>87</v>
      </c>
      <c r="M36" s="22" t="n">
        <v>107</v>
      </c>
      <c r="N36" s="22" t="n">
        <v>71</v>
      </c>
      <c r="O36" s="21" t="n">
        <v>101</v>
      </c>
      <c r="P36" s="22" t="n">
        <v>62</v>
      </c>
      <c r="Q36" s="22" t="n">
        <v>189</v>
      </c>
      <c r="R36" s="22" t="n">
        <v>129</v>
      </c>
      <c r="S36" s="22" t="n">
        <v>143</v>
      </c>
      <c r="T36" s="22" t="n">
        <v>328</v>
      </c>
      <c r="U36" s="22" t="n">
        <v>394</v>
      </c>
      <c r="V36" s="22" t="n">
        <v>421</v>
      </c>
      <c r="W36" s="22" t="n">
        <v>257</v>
      </c>
      <c r="X36" s="22" t="n">
        <v>302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>
        <v>0</v>
      </c>
      <c r="D38" s="22" t="n">
        <v>6</v>
      </c>
      <c r="E38" s="22" t="n">
        <v>4</v>
      </c>
      <c r="F38" s="22" t="n">
        <v>48</v>
      </c>
      <c r="G38" s="22" t="n">
        <v>-45</v>
      </c>
      <c r="H38" s="22" t="n">
        <v>9</v>
      </c>
      <c r="I38" s="22" t="n">
        <v>25</v>
      </c>
      <c r="J38" s="22" t="n">
        <v>-10</v>
      </c>
      <c r="K38" s="22" t="n">
        <v>19</v>
      </c>
      <c r="L38" s="22" t="n">
        <v>4</v>
      </c>
      <c r="M38" s="22" t="n">
        <v>3</v>
      </c>
      <c r="N38" s="22" t="n">
        <v>55</v>
      </c>
      <c r="O38" s="21" t="n">
        <v>11</v>
      </c>
      <c r="P38" s="22" t="n">
        <v>76</v>
      </c>
      <c r="Q38" s="22" t="n">
        <v>29</v>
      </c>
      <c r="R38" s="22" t="n">
        <v>3</v>
      </c>
      <c r="S38" s="22" t="n">
        <v>4</v>
      </c>
      <c r="T38" s="22" t="n">
        <v>10</v>
      </c>
      <c r="U38" s="22" t="n">
        <v>14</v>
      </c>
      <c r="V38" s="22" t="n">
        <v>14</v>
      </c>
      <c r="W38" s="22" t="n">
        <v>16</v>
      </c>
      <c r="X38" s="22" t="n">
        <v>38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423</v>
      </c>
      <c r="D40" s="12" t="n">
        <v>643</v>
      </c>
      <c r="E40" s="12" t="n">
        <v>119</v>
      </c>
      <c r="F40" s="12" t="n">
        <v>50</v>
      </c>
      <c r="G40" s="12" t="n">
        <v>407</v>
      </c>
      <c r="H40" s="12" t="n">
        <v>98</v>
      </c>
      <c r="I40" s="12" t="n">
        <v>23</v>
      </c>
      <c r="J40" s="12" t="n">
        <v>284</v>
      </c>
      <c r="K40" s="12" t="n">
        <v>131</v>
      </c>
      <c r="L40" s="12" t="n">
        <v>303</v>
      </c>
      <c r="M40" s="12" t="n">
        <v>698</v>
      </c>
      <c r="N40" s="12" t="n">
        <v>345</v>
      </c>
      <c r="O40" s="11" t="n">
        <v>303</v>
      </c>
      <c r="P40" s="12" t="n">
        <v>894</v>
      </c>
      <c r="Q40" s="12" t="n">
        <v>1370</v>
      </c>
      <c r="R40" s="12" t="n">
        <v>20</v>
      </c>
      <c r="S40" s="12" t="n">
        <v>-251</v>
      </c>
      <c r="T40" s="12" t="n">
        <v>2065</v>
      </c>
      <c r="U40" s="12" t="n">
        <v>2456</v>
      </c>
      <c r="V40" s="12" t="n">
        <v>2141</v>
      </c>
      <c r="W40" s="12" t="n">
        <v>674</v>
      </c>
      <c r="X40" s="12" t="n">
        <v>741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132</v>
      </c>
      <c r="D41" s="22" t="n">
        <v>175</v>
      </c>
      <c r="E41" s="22" t="n">
        <v>37</v>
      </c>
      <c r="F41" s="22" t="n">
        <v>3</v>
      </c>
      <c r="G41" s="22" t="n">
        <v>142</v>
      </c>
      <c r="H41" s="22" t="n">
        <v>65</v>
      </c>
      <c r="I41" s="22" t="n">
        <v>9</v>
      </c>
      <c r="J41" s="22" t="n">
        <v>84</v>
      </c>
      <c r="K41" s="22" t="n">
        <v>58</v>
      </c>
      <c r="L41" s="22" t="n">
        <v>127</v>
      </c>
      <c r="M41" s="22" t="n">
        <v>222</v>
      </c>
      <c r="N41" s="22" t="n">
        <v>157</v>
      </c>
      <c r="O41" s="21" t="n">
        <v>42</v>
      </c>
      <c r="P41" s="22" t="n">
        <v>-129</v>
      </c>
      <c r="Q41" s="22" t="n">
        <v>322</v>
      </c>
      <c r="R41" s="22" t="n">
        <v>188</v>
      </c>
      <c r="S41" s="22" t="n">
        <v>38</v>
      </c>
      <c r="T41" s="22" t="n">
        <v>343</v>
      </c>
      <c r="U41" s="22" t="n">
        <v>201</v>
      </c>
      <c r="V41" s="22" t="n">
        <v>625</v>
      </c>
      <c r="W41" s="22" t="n">
        <v>247</v>
      </c>
      <c r="X41" s="22" t="n">
        <v>278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291</v>
      </c>
      <c r="D43" s="12" t="n">
        <v>467</v>
      </c>
      <c r="E43" s="12" t="n">
        <v>82</v>
      </c>
      <c r="F43" s="12" t="n">
        <v>47</v>
      </c>
      <c r="G43" s="12" t="n">
        <v>265</v>
      </c>
      <c r="H43" s="12" t="n">
        <v>33</v>
      </c>
      <c r="I43" s="12" t="n">
        <v>14</v>
      </c>
      <c r="J43" s="12" t="n">
        <v>200</v>
      </c>
      <c r="K43" s="12" t="n">
        <v>73</v>
      </c>
      <c r="L43" s="12" t="n">
        <v>176</v>
      </c>
      <c r="M43" s="12" t="n">
        <v>476</v>
      </c>
      <c r="N43" s="12" t="n">
        <v>187</v>
      </c>
      <c r="O43" s="11" t="n">
        <v>261</v>
      </c>
      <c r="P43" s="12" t="n">
        <v>1023</v>
      </c>
      <c r="Q43" s="12" t="n">
        <v>1047</v>
      </c>
      <c r="R43" s="12" t="n">
        <v>-168</v>
      </c>
      <c r="S43" s="12" t="n">
        <v>-290</v>
      </c>
      <c r="T43" s="12" t="n">
        <v>1722</v>
      </c>
      <c r="U43" s="12" t="n">
        <v>2255</v>
      </c>
      <c r="V43" s="12" t="n">
        <v>1515</v>
      </c>
      <c r="W43" s="12" t="n">
        <v>427</v>
      </c>
      <c r="X43" s="12" t="n">
        <v>463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291</v>
      </c>
      <c r="D44" s="12" t="n">
        <v>467</v>
      </c>
      <c r="E44" s="12" t="n">
        <v>82</v>
      </c>
      <c r="F44" s="12" t="n">
        <v>47</v>
      </c>
      <c r="G44" s="12" t="n">
        <v>265</v>
      </c>
      <c r="H44" s="12" t="n">
        <v>33</v>
      </c>
      <c r="I44" s="12" t="n">
        <v>14</v>
      </c>
      <c r="J44" s="12" t="n">
        <v>200</v>
      </c>
      <c r="K44" s="12" t="n">
        <v>73</v>
      </c>
      <c r="L44" s="12" t="n">
        <v>176</v>
      </c>
      <c r="M44" s="12" t="n">
        <v>476</v>
      </c>
      <c r="N44" s="12" t="n">
        <v>187</v>
      </c>
      <c r="O44" s="11" t="n">
        <v>261</v>
      </c>
      <c r="P44" s="12" t="n">
        <v>1023</v>
      </c>
      <c r="Q44" s="12" t="n">
        <v>1047</v>
      </c>
      <c r="R44" s="12" t="n">
        <v>-168</v>
      </c>
      <c r="S44" s="12" t="n">
        <v>-290</v>
      </c>
      <c r="T44" s="12" t="n">
        <v>1722</v>
      </c>
      <c r="U44" s="12" t="n">
        <v>2255</v>
      </c>
      <c r="V44" s="12" t="n">
        <v>1515</v>
      </c>
      <c r="W44" s="12" t="n">
        <v>427</v>
      </c>
      <c r="X44" s="12" t="n">
        <v>463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(2026.10.27)</t>
        </is>
      </c>
      <c r="B47" s="29" t="n">
        <v>3420</v>
      </c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>
        <v>5578695</v>
      </c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 2026.10.27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2024.3Q</t>
        </is>
      </c>
      <c r="D77" s="5" t="inlineStr">
        <is>
          <t>2024.4Q</t>
        </is>
      </c>
      <c r="E77" s="5" t="inlineStr">
        <is>
          <t>2025.1Q</t>
        </is>
      </c>
      <c r="F77" s="5" t="inlineStr">
        <is>
          <t>2025.2Q</t>
        </is>
      </c>
      <c r="G77" s="5" t="inlineStr">
        <is>
          <t>2025.3Q</t>
        </is>
      </c>
      <c r="H77" s="5" t="inlineStr">
        <is>
          <t>2025.4Q</t>
        </is>
      </c>
      <c r="I77" s="5" t="inlineStr">
        <is>
          <t>2026.1Q</t>
        </is>
      </c>
      <c r="J77" s="5" t="inlineStr">
        <is>
          <t>2026.2Q</t>
        </is>
      </c>
      <c r="K77" s="5" t="inlineStr">
        <is>
          <t>2026.3Q</t>
        </is>
      </c>
      <c r="L77" s="5" t="inlineStr">
        <is>
          <t>2026.4Q</t>
        </is>
      </c>
      <c r="M77" s="5" t="inlineStr">
        <is>
          <t>2027.1Q</t>
        </is>
      </c>
      <c r="N77" s="5" t="inlineStr">
        <is>
          <t>2027.2Q</t>
        </is>
      </c>
      <c r="O77" s="5" t="inlineStr">
        <is>
          <t>2017</t>
        </is>
      </c>
      <c r="P77" s="5" t="inlineStr">
        <is>
          <t>2018</t>
        </is>
      </c>
      <c r="Q77" s="5" t="inlineStr">
        <is>
          <t>2019</t>
        </is>
      </c>
      <c r="R77" s="5" t="inlineStr">
        <is>
          <t>2020</t>
        </is>
      </c>
      <c r="S77" s="5" t="inlineStr">
        <is>
          <t>2021</t>
        </is>
      </c>
      <c r="T77" s="5" t="inlineStr">
        <is>
          <t>2022</t>
        </is>
      </c>
      <c r="U77" s="5" t="inlineStr">
        <is>
          <t>2023</t>
        </is>
      </c>
      <c r="V77" s="5" t="inlineStr">
        <is>
          <t>2024</t>
        </is>
      </c>
      <c r="W77" s="5" t="inlineStr">
        <is>
          <t>2025</t>
        </is>
      </c>
      <c r="X77" s="5" t="inlineStr">
        <is>
          <t>2026</t>
        </is>
      </c>
      <c r="Y77" s="5" t="inlineStr">
        <is>
          <t>2027(MW)</t>
        </is>
      </c>
      <c r="Z77" s="5" t="inlineStr">
        <is>
          <t>2028(MW)</t>
        </is>
      </c>
      <c r="AA77" s="5" t="inlineStr">
        <is>
          <t>2029(MW)</t>
        </is>
      </c>
      <c r="AB77" s="5" t="inlineStr">
        <is>
          <t>2030(MW)</t>
        </is>
      </c>
      <c r="AC77" s="5" t="inlineStr">
        <is>
          <t>2031(MW)</t>
        </is>
      </c>
    </row>
    <row r="78">
      <c r="A78" s="9" t="inlineStr">
        <is>
          <t>매출액</t>
        </is>
      </c>
      <c r="C78" s="12" t="n">
        <v>2189</v>
      </c>
      <c r="D78" s="12" t="n">
        <v>2148</v>
      </c>
      <c r="E78" s="12" t="n">
        <v>1294</v>
      </c>
      <c r="F78" s="12" t="n">
        <v>1313</v>
      </c>
      <c r="G78" s="12" t="n">
        <v>1661</v>
      </c>
      <c r="H78" s="12" t="n">
        <v>1624</v>
      </c>
      <c r="I78" s="12" t="n">
        <v>1069</v>
      </c>
      <c r="J78" s="12" t="n">
        <v>1563</v>
      </c>
      <c r="K78" s="12" t="n">
        <v>1370</v>
      </c>
      <c r="L78" s="12" t="n">
        <v>1565</v>
      </c>
      <c r="M78" s="12" t="n">
        <v>1912</v>
      </c>
      <c r="N78" s="12" t="n">
        <v>1891</v>
      </c>
      <c r="T78" s="12" t="n">
        <v>2208</v>
      </c>
      <c r="U78" s="12" t="n">
        <v>2131</v>
      </c>
      <c r="V78" s="12" t="n">
        <v>2148</v>
      </c>
      <c r="W78" s="12" t="n">
        <v>1624</v>
      </c>
      <c r="X78" s="12" t="n">
        <v>1565</v>
      </c>
    </row>
    <row r="79">
      <c r="A79" s="45" t="inlineStr">
        <is>
          <t>YoY</t>
        </is>
      </c>
      <c r="B79" s="3" t="inlineStr">
        <is>
          <t>전년 같은 분기·전년 대비</t>
        </is>
      </c>
      <c r="G79" s="17">
        <f>IF(OR(G78="",C78=""),"",IF(C78&lt;=0,"",IFERROR(G78/C78-1,"")))</f>
        <v/>
      </c>
      <c r="H79" s="17">
        <f>IF(OR(H78="",D78=""),"",IF(D78&lt;=0,"",IFERROR(H78/D78-1,"")))</f>
        <v/>
      </c>
      <c r="I79" s="17">
        <f>IF(OR(I78="",E78=""),"",IF(E78&lt;=0,"",IFERROR(I78/E78-1,"")))</f>
        <v/>
      </c>
      <c r="J79" s="17">
        <f>IF(OR(J78="",F78=""),"",IF(F78&lt;=0,"",IFERROR(J78/F78-1,"")))</f>
        <v/>
      </c>
      <c r="K79" s="17">
        <f>IF(OR(K78="",G78=""),"",IF(G78&lt;=0,"",IFERROR(K78/G78-1,"")))</f>
        <v/>
      </c>
      <c r="L79" s="17">
        <f>IF(OR(L78="",H78=""),"",IF(H78&lt;=0,"",IFERROR(L78/H78-1,"")))</f>
        <v/>
      </c>
      <c r="M79" s="17">
        <f>IF(OR(M78="",I78=""),"",IF(I78&lt;=0,"",IFERROR(M78/I78-1,"")))</f>
        <v/>
      </c>
      <c r="N79" s="17">
        <f>IF(OR(N78="",J78=""),"",IF(J78&lt;=0,"",IFERROR(N78/J78-1,"")))</f>
        <v/>
      </c>
      <c r="T79" s="17">
        <f>IF(OR(T78="",S78=""),"",IF(S78&lt;=0,"",IFERROR(T78/S78-1,"")))</f>
        <v/>
      </c>
      <c r="U79" s="17">
        <f>IF(OR(U78="",T78=""),"",IF(T78&lt;=0,"",IFERROR(U78/T78-1,"")))</f>
        <v/>
      </c>
      <c r="V79" s="17">
        <f>IF(OR(V78="",U78=""),"",IF(U78&lt;=0,"",IFERROR(V78/U78-1,"")))</f>
        <v/>
      </c>
      <c r="W79" s="17">
        <f>IF(OR(W78="",V78=""),"",IF(V78&lt;=0,"",IFERROR(W78/V78-1,"")))</f>
        <v/>
      </c>
      <c r="X79" s="17">
        <f>IF(OR(X78="",W78=""),"",IF(W78&lt;=0,"",IFERROR(X78/W78-1,"")))</f>
        <v/>
      </c>
    </row>
    <row r="80">
      <c r="A80" s="20" t="inlineStr">
        <is>
          <t>매출원가</t>
        </is>
      </c>
      <c r="C80" s="22" t="n">
        <v>1234</v>
      </c>
      <c r="D80" s="22" t="n">
        <v>1175</v>
      </c>
      <c r="E80" s="22" t="n">
        <v>813</v>
      </c>
      <c r="F80" s="22" t="n">
        <v>790</v>
      </c>
      <c r="G80" s="22" t="n">
        <v>938</v>
      </c>
      <c r="H80" s="22" t="n">
        <v>1093</v>
      </c>
      <c r="I80" s="22" t="n">
        <v>663</v>
      </c>
      <c r="J80" s="22" t="n">
        <v>935</v>
      </c>
      <c r="K80" s="22" t="n">
        <v>809</v>
      </c>
      <c r="L80" s="22" t="n">
        <v>993</v>
      </c>
      <c r="M80" s="22" t="n">
        <v>1008</v>
      </c>
      <c r="N80" s="22" t="n">
        <v>1015</v>
      </c>
      <c r="T80" s="22" t="n">
        <v>1155</v>
      </c>
      <c r="U80" s="22" t="n">
        <v>1206</v>
      </c>
      <c r="V80" s="22" t="n">
        <v>1175</v>
      </c>
      <c r="W80" s="22" t="n">
        <v>1093</v>
      </c>
      <c r="X80" s="22" t="n">
        <v>993</v>
      </c>
    </row>
    <row r="81">
      <c r="A81" s="9" t="inlineStr">
        <is>
          <t>매출총이익</t>
        </is>
      </c>
      <c r="C81" s="12" t="n">
        <v>956</v>
      </c>
      <c r="D81" s="12" t="n">
        <v>973</v>
      </c>
      <c r="E81" s="12" t="n">
        <v>481</v>
      </c>
      <c r="F81" s="12" t="n">
        <v>523</v>
      </c>
      <c r="G81" s="12" t="n">
        <v>723</v>
      </c>
      <c r="H81" s="12" t="n">
        <v>530</v>
      </c>
      <c r="I81" s="12" t="n">
        <v>406</v>
      </c>
      <c r="J81" s="12" t="n">
        <v>627</v>
      </c>
      <c r="K81" s="12" t="n">
        <v>561</v>
      </c>
      <c r="L81" s="12" t="n">
        <v>573</v>
      </c>
      <c r="M81" s="12" t="n">
        <v>904</v>
      </c>
      <c r="N81" s="12" t="n">
        <v>876</v>
      </c>
      <c r="T81" s="12" t="n">
        <v>1052</v>
      </c>
      <c r="U81" s="12" t="n">
        <v>924</v>
      </c>
      <c r="V81" s="12" t="n">
        <v>973</v>
      </c>
      <c r="W81" s="12" t="n">
        <v>530</v>
      </c>
      <c r="X81" s="12" t="n">
        <v>573</v>
      </c>
    </row>
    <row r="82">
      <c r="A82" s="45" t="inlineStr">
        <is>
          <t>YoY</t>
        </is>
      </c>
      <c r="B82" s="3" t="inlineStr">
        <is>
          <t>전년 같은 분기·전년 대비</t>
        </is>
      </c>
      <c r="G82" s="17">
        <f>IF(OR(G81="",C81=""),"",IF(C81&lt;=0,"",IFERROR(G81/C81-1,"")))</f>
        <v/>
      </c>
      <c r="H82" s="17">
        <f>IF(OR(H81="",D81=""),"",IF(D81&lt;=0,"",IFERROR(H81/D81-1,"")))</f>
        <v/>
      </c>
      <c r="I82" s="17">
        <f>IF(OR(I81="",E81=""),"",IF(E81&lt;=0,"",IFERROR(I81/E81-1,"")))</f>
        <v/>
      </c>
      <c r="J82" s="17">
        <f>IF(OR(J81="",F81=""),"",IF(F81&lt;=0,"",IFERROR(J81/F81-1,"")))</f>
        <v/>
      </c>
      <c r="K82" s="17">
        <f>IF(OR(K81="",G81=""),"",IF(G81&lt;=0,"",IFERROR(K81/G81-1,"")))</f>
        <v/>
      </c>
      <c r="L82" s="17">
        <f>IF(OR(L81="",H81=""),"",IF(H81&lt;=0,"",IFERROR(L81/H81-1,"")))</f>
        <v/>
      </c>
      <c r="M82" s="17">
        <f>IF(OR(M81="",I81=""),"",IF(I81&lt;=0,"",IFERROR(M81/I81-1,"")))</f>
        <v/>
      </c>
      <c r="N82" s="17">
        <f>IF(OR(N81="",J81=""),"",IF(J81&lt;=0,"",IFERROR(N81/J81-1,"")))</f>
        <v/>
      </c>
      <c r="T82" s="17">
        <f>IF(OR(T81="",S81=""),"",IF(S81&lt;=0,"",IFERROR(T81/S81-1,"")))</f>
        <v/>
      </c>
      <c r="U82" s="17">
        <f>IF(OR(U81="",T81=""),"",IF(T81&lt;=0,"",IFERROR(U81/T81-1,"")))</f>
        <v/>
      </c>
      <c r="V82" s="17">
        <f>IF(OR(V81="",U81=""),"",IF(U81&lt;=0,"",IFERROR(V81/U81-1,"")))</f>
        <v/>
      </c>
      <c r="W82" s="17">
        <f>IF(OR(W81="",V81=""),"",IF(V81&lt;=0,"",IFERROR(W81/V81-1,"")))</f>
        <v/>
      </c>
      <c r="X82" s="17">
        <f>IF(OR(X81="",W81=""),"",IF(W81&lt;=0,"",IFERROR(X81/W81-1,"")))</f>
        <v/>
      </c>
    </row>
    <row r="83">
      <c r="A83" s="20" t="inlineStr">
        <is>
          <t>판매수수료</t>
        </is>
      </c>
      <c r="C83" s="22" t="n">
        <v>74</v>
      </c>
      <c r="D83" s="22" t="n">
        <v>26</v>
      </c>
      <c r="E83" s="22" t="n">
        <v>13</v>
      </c>
      <c r="F83" s="22" t="n">
        <v>19</v>
      </c>
      <c r="G83" s="22" t="n">
        <v>59</v>
      </c>
      <c r="H83" s="22" t="n">
        <v>34</v>
      </c>
      <c r="I83" s="22" t="n">
        <v>12</v>
      </c>
      <c r="J83" s="22" t="n">
        <v>34</v>
      </c>
      <c r="K83" s="22" t="n">
        <v>22</v>
      </c>
      <c r="L83" s="22" t="n">
        <v>48</v>
      </c>
      <c r="M83" s="22" t="n">
        <v>28</v>
      </c>
      <c r="N83" s="22" t="n">
        <v>44</v>
      </c>
      <c r="T83" s="22" t="n">
        <v>72</v>
      </c>
      <c r="U83" s="22" t="n">
        <v>64</v>
      </c>
      <c r="V83" s="22" t="n">
        <v>26</v>
      </c>
      <c r="W83" s="22" t="n">
        <v>34</v>
      </c>
      <c r="X83" s="22" t="n">
        <v>48</v>
      </c>
    </row>
    <row r="84">
      <c r="A84" s="20" t="inlineStr">
        <is>
          <t>포장·운반비</t>
        </is>
      </c>
      <c r="C84" s="22" t="n">
        <v>24</v>
      </c>
      <c r="D84" s="22" t="n">
        <v>14</v>
      </c>
      <c r="E84" s="22" t="n">
        <v>9</v>
      </c>
      <c r="F84" s="22" t="n">
        <v>7</v>
      </c>
      <c r="G84" s="22" t="n">
        <v>14</v>
      </c>
      <c r="H84" s="22" t="n">
        <v>7</v>
      </c>
      <c r="I84" s="22" t="n">
        <v>7</v>
      </c>
      <c r="J84" s="22" t="n">
        <v>8</v>
      </c>
      <c r="K84" s="22" t="n">
        <v>13</v>
      </c>
      <c r="L84" s="22" t="n">
        <v>12</v>
      </c>
      <c r="M84" s="22" t="n">
        <v>13</v>
      </c>
      <c r="N84" s="22" t="n">
        <v>14</v>
      </c>
      <c r="T84" s="22" t="n">
        <v>19</v>
      </c>
      <c r="U84" s="22" t="n">
        <v>13</v>
      </c>
      <c r="V84" s="22" t="n">
        <v>14</v>
      </c>
      <c r="W84" s="22" t="n">
        <v>7</v>
      </c>
      <c r="X84" s="22" t="n">
        <v>12</v>
      </c>
    </row>
    <row r="85">
      <c r="A85" s="20" t="inlineStr">
        <is>
          <t>임원 보수</t>
        </is>
      </c>
      <c r="C85" s="22" t="n">
        <v>36</v>
      </c>
      <c r="D85" s="22" t="n">
        <v>39</v>
      </c>
      <c r="E85" s="22" t="n">
        <v>39</v>
      </c>
      <c r="F85" s="22" t="n">
        <v>35</v>
      </c>
      <c r="G85" s="22" t="n">
        <v>39</v>
      </c>
      <c r="H85" s="22" t="n">
        <v>39</v>
      </c>
      <c r="I85" s="22" t="n">
        <v>39</v>
      </c>
      <c r="J85" s="22" t="n">
        <v>44</v>
      </c>
      <c r="K85" s="22" t="n">
        <v>46</v>
      </c>
      <c r="L85" s="22" t="n">
        <v>51</v>
      </c>
      <c r="M85" s="22" t="n">
        <v>45</v>
      </c>
      <c r="N85" s="22" t="n">
        <v>38</v>
      </c>
      <c r="T85" s="22" t="n">
        <v>31</v>
      </c>
      <c r="U85" s="22" t="n">
        <v>36</v>
      </c>
      <c r="V85" s="22" t="n">
        <v>39</v>
      </c>
      <c r="W85" s="22" t="n">
        <v>39</v>
      </c>
      <c r="X85" s="22" t="n">
        <v>51</v>
      </c>
    </row>
    <row r="86">
      <c r="A86" s="20" t="inlineStr">
        <is>
          <t>주식보상비용</t>
        </is>
      </c>
      <c r="C86" s="22" t="n">
        <v>5</v>
      </c>
      <c r="D86" s="22" t="n">
        <v>4</v>
      </c>
      <c r="E86" s="22" t="n">
        <v>4</v>
      </c>
      <c r="F86" s="22" t="n">
        <v>6</v>
      </c>
      <c r="G86" s="22" t="n">
        <v>5</v>
      </c>
      <c r="H86" s="22" t="n">
        <v>5</v>
      </c>
      <c r="I86" s="22" t="n">
        <v>5</v>
      </c>
      <c r="J86" s="22" t="n">
        <v>4</v>
      </c>
      <c r="K86" s="22" t="n">
        <v>19</v>
      </c>
      <c r="L86" s="22" t="n">
        <v>3</v>
      </c>
      <c r="M86" s="22" t="n">
        <v>3</v>
      </c>
      <c r="N86" s="22" t="n">
        <v>6</v>
      </c>
      <c r="T86" s="22" t="n">
        <v>0</v>
      </c>
      <c r="U86" s="22" t="n">
        <v>6</v>
      </c>
      <c r="V86" s="22" t="n">
        <v>4</v>
      </c>
      <c r="W86" s="22" t="n">
        <v>5</v>
      </c>
      <c r="X86" s="22" t="n">
        <v>3</v>
      </c>
    </row>
    <row r="87">
      <c r="A87" s="20" t="inlineStr">
        <is>
          <t>급여·수당·상여</t>
        </is>
      </c>
      <c r="C87" s="22" t="n">
        <v>166</v>
      </c>
      <c r="D87" s="22" t="n">
        <v>128</v>
      </c>
      <c r="E87" s="22" t="n">
        <v>102</v>
      </c>
      <c r="F87" s="22" t="n">
        <v>100</v>
      </c>
      <c r="G87" s="22" t="n">
        <v>139</v>
      </c>
      <c r="H87" s="22" t="n">
        <v>128</v>
      </c>
      <c r="I87" s="22" t="n">
        <v>96</v>
      </c>
      <c r="J87" s="22" t="n">
        <v>98</v>
      </c>
      <c r="K87" s="22" t="n">
        <v>149</v>
      </c>
      <c r="L87" s="22" t="n">
        <v>117</v>
      </c>
      <c r="M87" s="22" t="n">
        <v>102</v>
      </c>
      <c r="N87" s="22" t="n">
        <v>104</v>
      </c>
      <c r="T87" s="22" t="n">
        <v>108</v>
      </c>
      <c r="U87" s="22" t="n">
        <v>122</v>
      </c>
      <c r="V87" s="22" t="n">
        <v>128</v>
      </c>
      <c r="W87" s="22" t="n">
        <v>128</v>
      </c>
      <c r="X87" s="22" t="n">
        <v>117</v>
      </c>
    </row>
    <row r="88">
      <c r="A88" s="20" t="inlineStr">
        <is>
          <t>법정복리비</t>
        </is>
      </c>
      <c r="C88" s="22" t="n">
        <v>17</v>
      </c>
      <c r="D88" s="22" t="n">
        <v>18</v>
      </c>
      <c r="E88" s="22" t="n">
        <v>17</v>
      </c>
      <c r="F88" s="22" t="n">
        <v>15</v>
      </c>
      <c r="G88" s="22" t="n">
        <v>17</v>
      </c>
      <c r="H88" s="22" t="n">
        <v>18</v>
      </c>
      <c r="I88" s="22" t="n">
        <v>15</v>
      </c>
      <c r="J88" s="22" t="n">
        <v>16</v>
      </c>
      <c r="K88" s="22" t="n">
        <v>16</v>
      </c>
      <c r="L88" s="22" t="n">
        <v>17</v>
      </c>
      <c r="M88" s="22" t="n">
        <v>17</v>
      </c>
      <c r="N88" s="22" t="n">
        <v>18</v>
      </c>
      <c r="T88" s="22" t="n">
        <v>17</v>
      </c>
      <c r="U88" s="22" t="n">
        <v>16</v>
      </c>
      <c r="V88" s="22" t="n">
        <v>18</v>
      </c>
      <c r="W88" s="22" t="n">
        <v>18</v>
      </c>
      <c r="X88" s="22" t="n">
        <v>17</v>
      </c>
    </row>
    <row r="89">
      <c r="A89" s="20" t="inlineStr">
        <is>
          <t>주식급여충당금 전입액</t>
        </is>
      </c>
      <c r="I89" s="22" t="n">
        <v>0</v>
      </c>
      <c r="J89" s="22" t="n">
        <v>0</v>
      </c>
      <c r="M89" s="22" t="n">
        <v>5</v>
      </c>
      <c r="N89" s="22" t="n">
        <v>0</v>
      </c>
    </row>
    <row r="90">
      <c r="A90" s="20" t="inlineStr">
        <is>
          <t>상여충당금 전입</t>
        </is>
      </c>
      <c r="C90" s="22" t="n">
        <v>-30</v>
      </c>
      <c r="D90" s="22" t="n">
        <v>16</v>
      </c>
      <c r="E90" s="22" t="n">
        <v>33</v>
      </c>
      <c r="F90" s="22" t="n">
        <v>14</v>
      </c>
      <c r="G90" s="22" t="n">
        <v>-6</v>
      </c>
      <c r="H90" s="22" t="n">
        <v>2</v>
      </c>
      <c r="I90" s="22" t="n">
        <v>25</v>
      </c>
      <c r="J90" s="22" t="n">
        <v>20</v>
      </c>
      <c r="K90" s="22" t="n">
        <v>-22</v>
      </c>
      <c r="L90" s="22" t="n">
        <v>14</v>
      </c>
      <c r="M90" s="22" t="n">
        <v>32</v>
      </c>
      <c r="N90" s="22" t="n">
        <v>33</v>
      </c>
      <c r="T90" s="22" t="n">
        <v>23</v>
      </c>
      <c r="U90" s="22" t="n">
        <v>15</v>
      </c>
      <c r="V90" s="22" t="n">
        <v>16</v>
      </c>
      <c r="W90" s="22" t="n">
        <v>2</v>
      </c>
      <c r="X90" s="22" t="n">
        <v>14</v>
      </c>
    </row>
    <row r="91">
      <c r="A91" s="20" t="inlineStr">
        <is>
          <t>수선충당금 전입액</t>
        </is>
      </c>
      <c r="C91" s="22" t="n">
        <v>-0</v>
      </c>
      <c r="D91" s="22" t="n">
        <v>0</v>
      </c>
      <c r="H91" s="22" t="n">
        <v>1</v>
      </c>
      <c r="T91" s="22" t="n">
        <v>40</v>
      </c>
      <c r="U91" s="22" t="n">
        <v>0</v>
      </c>
      <c r="V91" s="22" t="n">
        <v>0</v>
      </c>
      <c r="W91" s="22" t="n">
        <v>1</v>
      </c>
    </row>
    <row r="92">
      <c r="A92" s="20" t="inlineStr">
        <is>
          <t>감가상각비</t>
        </is>
      </c>
      <c r="C92" s="22" t="n">
        <v>4</v>
      </c>
      <c r="D92" s="22" t="n">
        <v>5</v>
      </c>
      <c r="E92" s="22" t="n">
        <v>5</v>
      </c>
      <c r="F92" s="22" t="n">
        <v>5</v>
      </c>
      <c r="G92" s="22" t="n">
        <v>6</v>
      </c>
      <c r="H92" s="22" t="n">
        <v>6</v>
      </c>
      <c r="I92" s="22" t="n">
        <v>4</v>
      </c>
      <c r="J92" s="22" t="n">
        <v>5</v>
      </c>
      <c r="K92" s="22" t="n">
        <v>6</v>
      </c>
      <c r="L92" s="22" t="n">
        <v>6</v>
      </c>
      <c r="M92" s="22" t="n">
        <v>5</v>
      </c>
      <c r="N92" s="22" t="n">
        <v>4</v>
      </c>
      <c r="T92" s="22" t="n">
        <v>5</v>
      </c>
      <c r="U92" s="22" t="n">
        <v>5</v>
      </c>
      <c r="V92" s="22" t="n">
        <v>5</v>
      </c>
      <c r="W92" s="22" t="n">
        <v>6</v>
      </c>
      <c r="X92" s="22" t="n">
        <v>6</v>
      </c>
    </row>
    <row r="93">
      <c r="A93" s="20" t="inlineStr">
        <is>
          <t>영업권 상각</t>
        </is>
      </c>
      <c r="H93" s="22" t="n">
        <v>0</v>
      </c>
      <c r="L93" s="22" t="n">
        <v>0</v>
      </c>
      <c r="W93" s="22" t="n">
        <v>0</v>
      </c>
      <c r="X93" s="22" t="n">
        <v>0</v>
      </c>
    </row>
    <row r="94">
      <c r="A94" s="20" t="inlineStr">
        <is>
          <t>연구개발비</t>
        </is>
      </c>
      <c r="C94" s="22" t="n">
        <v>98</v>
      </c>
      <c r="D94" s="22" t="n">
        <v>82</v>
      </c>
      <c r="E94" s="22" t="n">
        <v>84</v>
      </c>
      <c r="F94" s="22" t="n">
        <v>63</v>
      </c>
      <c r="G94" s="22" t="n">
        <v>119</v>
      </c>
      <c r="H94" s="22" t="n">
        <v>71</v>
      </c>
      <c r="I94" s="22" t="n">
        <v>59</v>
      </c>
      <c r="J94" s="22" t="n">
        <v>76</v>
      </c>
      <c r="K94" s="22" t="n">
        <v>99</v>
      </c>
      <c r="L94" s="22" t="n">
        <v>119</v>
      </c>
      <c r="M94" s="22" t="n">
        <v>115</v>
      </c>
      <c r="N94" s="22" t="n">
        <v>127</v>
      </c>
      <c r="T94" s="22" t="n">
        <v>79</v>
      </c>
      <c r="U94" s="22" t="n">
        <v>83</v>
      </c>
      <c r="V94" s="22" t="n">
        <v>82</v>
      </c>
      <c r="W94" s="22" t="n">
        <v>71</v>
      </c>
      <c r="X94" s="22" t="n">
        <v>119</v>
      </c>
    </row>
    <row r="95">
      <c r="A95" s="20" t="inlineStr">
        <is>
          <t>대손충당금 전입</t>
        </is>
      </c>
      <c r="C95" s="22" t="n">
        <v>0</v>
      </c>
      <c r="D95" s="22" t="n">
        <v>0</v>
      </c>
      <c r="E95" s="22" t="n">
        <v>10</v>
      </c>
      <c r="F95" s="22" t="n">
        <v>-1</v>
      </c>
      <c r="G95" s="22" t="n">
        <v>-3</v>
      </c>
      <c r="H95" s="22" t="n">
        <v>-2</v>
      </c>
      <c r="I95" s="22" t="n">
        <v>28</v>
      </c>
      <c r="J95" s="22" t="n">
        <v>13</v>
      </c>
      <c r="K95" s="22" t="n">
        <v>14</v>
      </c>
      <c r="L95" s="22" t="n">
        <v>-1</v>
      </c>
      <c r="M95" s="22" t="n">
        <v>-1</v>
      </c>
      <c r="N95" s="22" t="n">
        <v>1</v>
      </c>
      <c r="T95" s="22" t="n">
        <v>0</v>
      </c>
      <c r="U95" s="22" t="n">
        <v>-0</v>
      </c>
      <c r="V95" s="22" t="n">
        <v>0</v>
      </c>
      <c r="W95" s="22" t="n">
        <v>-2</v>
      </c>
      <c r="X95" s="22" t="n">
        <v>-1</v>
      </c>
    </row>
    <row r="96">
      <c r="A96" s="20" t="inlineStr">
        <is>
          <t>기타</t>
        </is>
      </c>
      <c r="C96" s="22" t="n">
        <v>112</v>
      </c>
      <c r="D96" s="22" t="n">
        <v>120</v>
      </c>
      <c r="E96" s="22" t="n">
        <v>137</v>
      </c>
      <c r="F96" s="22" t="n">
        <v>122</v>
      </c>
      <c r="G96" s="22" t="n">
        <v>124</v>
      </c>
      <c r="H96" s="22" t="n">
        <v>154</v>
      </c>
      <c r="I96" s="22" t="n">
        <v>122</v>
      </c>
      <c r="J96" s="22" t="n">
        <v>107</v>
      </c>
      <c r="K96" s="22" t="n">
        <v>137</v>
      </c>
      <c r="L96" s="22" t="n">
        <v>140</v>
      </c>
      <c r="M96" s="22" t="n">
        <v>123</v>
      </c>
      <c r="N96" s="22" t="n">
        <v>157</v>
      </c>
      <c r="T96" s="22" t="n">
        <v>77</v>
      </c>
      <c r="U96" s="22" t="n">
        <v>115</v>
      </c>
      <c r="V96" s="22" t="n">
        <v>120</v>
      </c>
      <c r="W96" s="22" t="n">
        <v>154</v>
      </c>
      <c r="X96" s="22" t="n">
        <v>140</v>
      </c>
    </row>
    <row r="97">
      <c r="A97" s="20" t="inlineStr">
        <is>
          <t>판매비와 관리비 합계</t>
        </is>
      </c>
      <c r="C97" s="22" t="n">
        <v>507</v>
      </c>
      <c r="D97" s="22" t="n">
        <v>454</v>
      </c>
      <c r="E97" s="22" t="n">
        <v>459</v>
      </c>
      <c r="F97" s="22" t="n">
        <v>383</v>
      </c>
      <c r="G97" s="22" t="n">
        <v>519</v>
      </c>
      <c r="H97" s="22" t="n">
        <v>461</v>
      </c>
      <c r="I97" s="22" t="n">
        <v>418</v>
      </c>
      <c r="J97" s="22" t="n">
        <v>423</v>
      </c>
      <c r="K97" s="22" t="n">
        <v>499</v>
      </c>
      <c r="L97" s="22" t="n">
        <v>526</v>
      </c>
      <c r="M97" s="22" t="n">
        <v>490</v>
      </c>
      <c r="N97" s="22" t="n">
        <v>548</v>
      </c>
      <c r="T97" s="22" t="n">
        <v>471</v>
      </c>
      <c r="U97" s="22" t="n">
        <v>476</v>
      </c>
      <c r="V97" s="22" t="n">
        <v>454</v>
      </c>
      <c r="W97" s="22" t="n">
        <v>461</v>
      </c>
      <c r="X97" s="22" t="n">
        <v>526</v>
      </c>
    </row>
    <row r="98">
      <c r="A98" s="9" t="inlineStr">
        <is>
          <t>영업이익</t>
        </is>
      </c>
      <c r="C98" s="12" t="n">
        <v>449</v>
      </c>
      <c r="D98" s="12" t="n">
        <v>520</v>
      </c>
      <c r="E98" s="12" t="n">
        <v>21</v>
      </c>
      <c r="F98" s="12" t="n">
        <v>141</v>
      </c>
      <c r="G98" s="12" t="n">
        <v>203</v>
      </c>
      <c r="H98" s="12" t="n">
        <v>69</v>
      </c>
      <c r="I98" s="12" t="n">
        <v>-11</v>
      </c>
      <c r="J98" s="12" t="n">
        <v>202</v>
      </c>
      <c r="K98" s="12" t="n">
        <v>63</v>
      </c>
      <c r="L98" s="12" t="n">
        <v>47</v>
      </c>
      <c r="M98" s="12" t="n">
        <v>413</v>
      </c>
      <c r="N98" s="12" t="n">
        <v>328</v>
      </c>
      <c r="T98" s="12" t="n">
        <v>582</v>
      </c>
      <c r="U98" s="12" t="n">
        <v>449</v>
      </c>
      <c r="V98" s="12" t="n">
        <v>520</v>
      </c>
      <c r="W98" s="12" t="n">
        <v>69</v>
      </c>
      <c r="X98" s="12" t="n">
        <v>47</v>
      </c>
    </row>
    <row r="99">
      <c r="A99" s="45" t="inlineStr">
        <is>
          <t>OPM</t>
        </is>
      </c>
      <c r="B99" s="3" t="inlineStr">
        <is>
          <t>영업이익 ÷ 매출</t>
        </is>
      </c>
      <c r="C99" s="17">
        <f>IF(OR(C98="",C78=""),"",IF(C78&lt;=0,"",IFERROR(C98/C78,"")))</f>
        <v/>
      </c>
      <c r="D99" s="17">
        <f>IF(OR(D98="",D78=""),"",IF(D78&lt;=0,"",IFERROR(D98/D78,"")))</f>
        <v/>
      </c>
      <c r="E99" s="17">
        <f>IF(OR(E98="",E78=""),"",IF(E78&lt;=0,"",IFERROR(E98/E78,"")))</f>
        <v/>
      </c>
      <c r="F99" s="17">
        <f>IF(OR(F98="",F78=""),"",IF(F78&lt;=0,"",IFERROR(F98/F78,"")))</f>
        <v/>
      </c>
      <c r="G99" s="17">
        <f>IF(OR(G98="",G78=""),"",IF(G78&lt;=0,"",IFERROR(G98/G78,"")))</f>
        <v/>
      </c>
      <c r="H99" s="17">
        <f>IF(OR(H98="",H78=""),"",IF(H78&lt;=0,"",IFERROR(H98/H78,"")))</f>
        <v/>
      </c>
      <c r="I99" s="17">
        <f>IF(OR(I98="",I78=""),"",IF(I78&lt;=0,"",IFERROR(I98/I78,"")))</f>
        <v/>
      </c>
      <c r="J99" s="17">
        <f>IF(OR(J98="",J78=""),"",IF(J78&lt;=0,"",IFERROR(J98/J78,"")))</f>
        <v/>
      </c>
      <c r="K99" s="17">
        <f>IF(OR(K98="",K78=""),"",IF(K78&lt;=0,"",IFERROR(K98/K78,"")))</f>
        <v/>
      </c>
      <c r="L99" s="17">
        <f>IF(OR(L98="",L78=""),"",IF(L78&lt;=0,"",IFERROR(L98/L78,"")))</f>
        <v/>
      </c>
      <c r="M99" s="17">
        <f>IF(OR(M98="",M78=""),"",IF(M78&lt;=0,"",IFERROR(M98/M78,"")))</f>
        <v/>
      </c>
      <c r="N99" s="17">
        <f>IF(OR(N98="",N78=""),"",IF(N78&lt;=0,"",IFERROR(N98/N78,"")))</f>
        <v/>
      </c>
      <c r="T99" s="17">
        <f>IF(OR(T98="",T78=""),"",IF(T78&lt;=0,"",IFERROR(T98/T78,"")))</f>
        <v/>
      </c>
      <c r="U99" s="17">
        <f>IF(OR(U98="",U78=""),"",IF(U78&lt;=0,"",IFERROR(U98/U78,"")))</f>
        <v/>
      </c>
      <c r="V99" s="17">
        <f>IF(OR(V98="",V78=""),"",IF(V78&lt;=0,"",IFERROR(V98/V78,"")))</f>
        <v/>
      </c>
      <c r="W99" s="17">
        <f>IF(OR(W98="",W78=""),"",IF(W78&lt;=0,"",IFERROR(W98/W78,"")))</f>
        <v/>
      </c>
      <c r="X99" s="17">
        <f>IF(OR(X98="",X78=""),"",IF(X78&lt;=0,"",IFERROR(X98/X78,"")))</f>
        <v/>
      </c>
    </row>
    <row r="100">
      <c r="A100" s="45" t="inlineStr">
        <is>
          <t>YoY</t>
        </is>
      </c>
      <c r="B100" s="3" t="inlineStr">
        <is>
          <t>전년 같은 분기·전년 대비</t>
        </is>
      </c>
      <c r="G100" s="17">
        <f>IF(OR(G98="",C98=""),"",IF(C98&lt;=0,"",IFERROR(G98/C98-1,"")))</f>
        <v/>
      </c>
      <c r="H100" s="17">
        <f>IF(OR(H98="",D98=""),"",IF(D98&lt;=0,"",IFERROR(H98/D98-1,"")))</f>
        <v/>
      </c>
      <c r="I100" s="17">
        <f>IF(OR(I98="",E98=""),"",IF(E98&lt;=0,"",IFERROR(I98/E98-1,"")))</f>
        <v/>
      </c>
      <c r="J100" s="17">
        <f>IF(OR(J98="",F98=""),"",IF(F98&lt;=0,"",IFERROR(J98/F98-1,"")))</f>
        <v/>
      </c>
      <c r="K100" s="17">
        <f>IF(OR(K98="",G98=""),"",IF(G98&lt;=0,"",IFERROR(K98/G98-1,"")))</f>
        <v/>
      </c>
      <c r="L100" s="17">
        <f>IF(OR(L98="",H98=""),"",IF(H98&lt;=0,"",IFERROR(L98/H98-1,"")))</f>
        <v/>
      </c>
      <c r="M100" s="17">
        <f>IF(OR(M98="",I98=""),"",IF(I98&lt;=0,"",IFERROR(M98/I98-1,"")))</f>
        <v/>
      </c>
      <c r="N100" s="17">
        <f>IF(OR(N98="",J98=""),"",IF(J98&lt;=0,"",IFERROR(N98/J98-1,"")))</f>
        <v/>
      </c>
      <c r="T100" s="17">
        <f>IF(OR(T98="",S98=""),"",IF(S98&lt;=0,"",IFERROR(T98/S98-1,"")))</f>
        <v/>
      </c>
      <c r="U100" s="17">
        <f>IF(OR(U98="",T98=""),"",IF(T98&lt;=0,"",IFERROR(U98/T98-1,"")))</f>
        <v/>
      </c>
      <c r="V100" s="17">
        <f>IF(OR(V98="",U98=""),"",IF(U98&lt;=0,"",IFERROR(V98/U98-1,"")))</f>
        <v/>
      </c>
      <c r="W100" s="17">
        <f>IF(OR(W98="",V98=""),"",IF(V98&lt;=0,"",IFERROR(W98/V98-1,"")))</f>
        <v/>
      </c>
      <c r="X100" s="17">
        <f>IF(OR(X98="",W98=""),"",IF(W98&lt;=0,"",IFERROR(X98/W98-1,"")))</f>
        <v/>
      </c>
    </row>
    <row r="101">
      <c r="A101" s="20" t="inlineStr">
        <is>
          <t>이자수익</t>
        </is>
      </c>
      <c r="C101" s="22" t="n">
        <v>15</v>
      </c>
      <c r="D101" s="22" t="n">
        <v>18</v>
      </c>
      <c r="E101" s="22" t="n">
        <v>16</v>
      </c>
      <c r="F101" s="22" t="n">
        <v>17</v>
      </c>
      <c r="G101" s="22" t="n">
        <v>25</v>
      </c>
      <c r="H101" s="22" t="n">
        <v>19</v>
      </c>
      <c r="I101" s="22" t="n">
        <v>20</v>
      </c>
      <c r="J101" s="22" t="n">
        <v>22</v>
      </c>
      <c r="K101" s="22" t="n">
        <v>24</v>
      </c>
      <c r="L101" s="22" t="n">
        <v>26</v>
      </c>
      <c r="M101" s="22" t="n">
        <v>34</v>
      </c>
      <c r="N101" s="22" t="n">
        <v>38</v>
      </c>
      <c r="T101" s="22" t="n">
        <v>10</v>
      </c>
      <c r="U101" s="22" t="n">
        <v>38</v>
      </c>
      <c r="V101" s="22" t="n">
        <v>18</v>
      </c>
      <c r="W101" s="22" t="n">
        <v>19</v>
      </c>
      <c r="X101" s="22" t="n">
        <v>26</v>
      </c>
    </row>
    <row r="102">
      <c r="A102" s="20" t="inlineStr">
        <is>
          <t>배당금수익</t>
        </is>
      </c>
      <c r="C102" s="22" t="n">
        <v>10</v>
      </c>
      <c r="D102" s="22" t="n">
        <v>8</v>
      </c>
      <c r="E102" s="22" t="n">
        <v>14</v>
      </c>
      <c r="F102" s="22" t="n">
        <v>6</v>
      </c>
      <c r="G102" s="22" t="n">
        <v>11</v>
      </c>
      <c r="H102" s="22" t="n">
        <v>11</v>
      </c>
      <c r="I102" s="22" t="n">
        <v>19</v>
      </c>
      <c r="J102" s="22" t="n">
        <v>8</v>
      </c>
      <c r="K102" s="22" t="n">
        <v>13</v>
      </c>
      <c r="L102" s="22" t="n">
        <v>13</v>
      </c>
      <c r="M102" s="22" t="n">
        <v>25</v>
      </c>
      <c r="N102" s="22" t="n">
        <v>7</v>
      </c>
      <c r="T102" s="22" t="n">
        <v>9</v>
      </c>
      <c r="U102" s="22" t="n">
        <v>9</v>
      </c>
      <c r="V102" s="22" t="n">
        <v>8</v>
      </c>
      <c r="W102" s="22" t="n">
        <v>11</v>
      </c>
      <c r="X102" s="22" t="n">
        <v>13</v>
      </c>
    </row>
    <row r="103">
      <c r="A103" s="20" t="inlineStr">
        <is>
          <t>외환차익</t>
        </is>
      </c>
      <c r="C103" s="22" t="n">
        <v>-70</v>
      </c>
      <c r="D103" s="22" t="n">
        <v>102</v>
      </c>
      <c r="E103" s="22" t="n">
        <v>68</v>
      </c>
      <c r="F103" s="22" t="n">
        <v>-68</v>
      </c>
      <c r="G103" s="22" t="n">
        <v>81</v>
      </c>
      <c r="H103" s="22" t="n">
        <v>-81</v>
      </c>
      <c r="I103" s="22" t="n">
        <v>0</v>
      </c>
      <c r="J103" s="22" t="n">
        <v>13</v>
      </c>
      <c r="K103" s="22" t="n">
        <v>49</v>
      </c>
      <c r="L103" s="22" t="n">
        <v>34</v>
      </c>
      <c r="M103" s="22" t="n">
        <v>33</v>
      </c>
      <c r="N103" s="22" t="n">
        <v>-33</v>
      </c>
      <c r="T103" s="22" t="n">
        <v>129</v>
      </c>
      <c r="U103" s="22" t="n">
        <v>-9</v>
      </c>
      <c r="V103" s="22" t="n">
        <v>102</v>
      </c>
      <c r="W103" s="22" t="n">
        <v>-81</v>
      </c>
      <c r="X103" s="22" t="n">
        <v>34</v>
      </c>
    </row>
    <row r="104">
      <c r="A104" s="20" t="inlineStr">
        <is>
          <t>보조금 수입</t>
        </is>
      </c>
      <c r="T104" s="22" t="n">
        <v>-3</v>
      </c>
    </row>
    <row r="105">
      <c r="A105" s="20" t="inlineStr">
        <is>
          <t>투자유가증권 매각이익</t>
        </is>
      </c>
      <c r="C105" s="22" t="n">
        <v>0</v>
      </c>
      <c r="D105" s="22" t="n">
        <v>0</v>
      </c>
      <c r="E105" s="22" t="n">
        <v>0</v>
      </c>
      <c r="F105" s="22" t="n">
        <v>0</v>
      </c>
      <c r="G105" s="22" t="n">
        <v>1</v>
      </c>
      <c r="H105" s="22" t="n">
        <v>0</v>
      </c>
      <c r="I105" s="22" t="n">
        <v>0</v>
      </c>
      <c r="J105" s="22" t="n">
        <v>0</v>
      </c>
      <c r="K105" s="22" t="n">
        <v>1</v>
      </c>
      <c r="L105" s="22" t="n">
        <v>0</v>
      </c>
      <c r="M105" s="22" t="n">
        <v>1</v>
      </c>
      <c r="N105" s="22" t="n">
        <v>0</v>
      </c>
      <c r="T105" s="22" t="n">
        <v>0</v>
      </c>
      <c r="U105" s="22" t="n">
        <v>1</v>
      </c>
      <c r="V105" s="22" t="n">
        <v>0</v>
      </c>
      <c r="W105" s="22" t="n">
        <v>0</v>
      </c>
      <c r="X105" s="22" t="n">
        <v>0</v>
      </c>
    </row>
    <row r="106">
      <c r="A106" s="20" t="inlineStr">
        <is>
          <t>유가증권 상환이익</t>
        </is>
      </c>
      <c r="D106" s="22" t="n">
        <v>0</v>
      </c>
      <c r="E106" s="22" t="n">
        <v>0</v>
      </c>
      <c r="F106" s="22" t="n">
        <v>0</v>
      </c>
      <c r="G106" s="22" t="n">
        <v>36</v>
      </c>
      <c r="H106" s="22" t="n">
        <v>79</v>
      </c>
      <c r="I106" s="22" t="n">
        <v>9</v>
      </c>
      <c r="J106" s="22" t="n">
        <v>5</v>
      </c>
      <c r="K106" s="22" t="n">
        <v>-4</v>
      </c>
      <c r="L106" s="22" t="n">
        <v>9</v>
      </c>
      <c r="M106" s="22" t="n">
        <v>4</v>
      </c>
      <c r="N106" s="22" t="n">
        <v>38</v>
      </c>
      <c r="U106" s="22" t="n">
        <v>0</v>
      </c>
      <c r="V106" s="22" t="n">
        <v>0</v>
      </c>
      <c r="W106" s="22" t="n">
        <v>79</v>
      </c>
      <c r="X106" s="22" t="n">
        <v>9</v>
      </c>
    </row>
    <row r="107">
      <c r="A107" s="20" t="inlineStr">
        <is>
          <t>기타</t>
        </is>
      </c>
      <c r="C107" s="22" t="n">
        <v>4</v>
      </c>
      <c r="D107" s="22" t="n">
        <v>2</v>
      </c>
      <c r="E107" s="22" t="n">
        <v>1</v>
      </c>
      <c r="F107" s="22" t="n">
        <v>4</v>
      </c>
      <c r="G107" s="22" t="n">
        <v>4</v>
      </c>
      <c r="H107" s="22" t="n">
        <v>11</v>
      </c>
      <c r="I107" s="22" t="n">
        <v>7</v>
      </c>
      <c r="J107" s="22" t="n">
        <v>22</v>
      </c>
      <c r="K107" s="22" t="n">
        <v>4</v>
      </c>
      <c r="L107" s="22" t="n">
        <v>4</v>
      </c>
      <c r="M107" s="22" t="n">
        <v>8</v>
      </c>
      <c r="N107" s="22" t="n">
        <v>21</v>
      </c>
      <c r="T107" s="22" t="n">
        <v>4</v>
      </c>
      <c r="U107" s="22" t="n">
        <v>3</v>
      </c>
      <c r="V107" s="22" t="n">
        <v>2</v>
      </c>
      <c r="W107" s="22" t="n">
        <v>11</v>
      </c>
      <c r="X107" s="22" t="n">
        <v>4</v>
      </c>
    </row>
    <row r="108">
      <c r="A108" s="20" t="inlineStr">
        <is>
          <t>영업외수익 합계</t>
        </is>
      </c>
      <c r="C108" s="22" t="n">
        <v>-26</v>
      </c>
      <c r="D108" s="22" t="n">
        <v>130</v>
      </c>
      <c r="E108" s="22" t="n">
        <v>102</v>
      </c>
      <c r="F108" s="22" t="n">
        <v>-42</v>
      </c>
      <c r="G108" s="22" t="n">
        <v>158</v>
      </c>
      <c r="H108" s="22" t="n">
        <v>39</v>
      </c>
      <c r="I108" s="22" t="n">
        <v>57</v>
      </c>
      <c r="J108" s="22" t="n">
        <v>71</v>
      </c>
      <c r="K108" s="22" t="n">
        <v>87</v>
      </c>
      <c r="L108" s="22" t="n">
        <v>87</v>
      </c>
      <c r="M108" s="22" t="n">
        <v>107</v>
      </c>
      <c r="N108" s="22" t="n">
        <v>71</v>
      </c>
      <c r="T108" s="22" t="n">
        <v>148</v>
      </c>
      <c r="U108" s="22" t="n">
        <v>41</v>
      </c>
      <c r="V108" s="22" t="n">
        <v>130</v>
      </c>
      <c r="W108" s="22" t="n">
        <v>39</v>
      </c>
      <c r="X108" s="22" t="n">
        <v>87</v>
      </c>
    </row>
    <row r="109">
      <c r="A109" s="20" t="inlineStr">
        <is>
          <t>이자비용</t>
        </is>
      </c>
      <c r="E109" s="22" t="n">
        <v>0</v>
      </c>
      <c r="F109" s="22" t="n">
        <v>0</v>
      </c>
      <c r="G109" s="22" t="n">
        <v>0</v>
      </c>
      <c r="H109" s="22" t="n">
        <v>1</v>
      </c>
      <c r="I109" s="22" t="n">
        <v>1</v>
      </c>
      <c r="J109" s="22" t="n">
        <v>1</v>
      </c>
      <c r="K109" s="22" t="n">
        <v>2</v>
      </c>
      <c r="L109" s="22" t="n">
        <v>2</v>
      </c>
      <c r="M109" s="22" t="n">
        <v>1</v>
      </c>
      <c r="N109" s="22" t="n">
        <v>1</v>
      </c>
      <c r="W109" s="22" t="n">
        <v>1</v>
      </c>
      <c r="X109" s="22" t="n">
        <v>2</v>
      </c>
    </row>
    <row r="110">
      <c r="A110" s="20" t="inlineStr">
        <is>
          <t>유가증권 상환손실</t>
        </is>
      </c>
      <c r="E110" s="22" t="n">
        <v>0</v>
      </c>
      <c r="F110" s="22" t="n">
        <v>1</v>
      </c>
    </row>
    <row r="111">
      <c r="A111" s="20" t="inlineStr">
        <is>
          <t>보험해약 손실</t>
        </is>
      </c>
      <c r="C111" s="22" t="n">
        <v>3</v>
      </c>
      <c r="D111" s="22" t="n">
        <v>5</v>
      </c>
      <c r="E111" s="22" t="n">
        <v>2</v>
      </c>
      <c r="F111" s="22" t="n">
        <v>0</v>
      </c>
      <c r="G111" s="22" t="n">
        <v>0</v>
      </c>
      <c r="H111" s="22" t="n">
        <v>0</v>
      </c>
      <c r="I111" s="22" t="n">
        <v>0</v>
      </c>
      <c r="J111" s="22" t="n">
        <v>7</v>
      </c>
      <c r="K111" s="22" t="n">
        <v>15</v>
      </c>
      <c r="L111" s="22" t="n">
        <v>0</v>
      </c>
      <c r="T111" s="22" t="n">
        <v>0</v>
      </c>
      <c r="U111" s="22" t="n">
        <v>4</v>
      </c>
      <c r="V111" s="22" t="n">
        <v>5</v>
      </c>
      <c r="W111" s="22" t="n">
        <v>0</v>
      </c>
      <c r="X111" s="22" t="n">
        <v>0</v>
      </c>
    </row>
    <row r="112">
      <c r="A112" s="20" t="inlineStr">
        <is>
          <t>외환차손</t>
        </is>
      </c>
      <c r="E112" s="22" t="n">
        <v>0</v>
      </c>
      <c r="F112" s="22" t="n">
        <v>45</v>
      </c>
      <c r="I112" s="22" t="n">
        <v>22</v>
      </c>
      <c r="J112" s="22" t="n">
        <v>-22</v>
      </c>
      <c r="M112" s="22" t="n">
        <v>0</v>
      </c>
      <c r="N112" s="22" t="n">
        <v>34</v>
      </c>
    </row>
    <row r="113">
      <c r="A113" s="20" t="inlineStr">
        <is>
          <t>지급수수료</t>
        </is>
      </c>
      <c r="C113" s="22" t="n">
        <v>1</v>
      </c>
      <c r="D113" s="22" t="n">
        <v>1</v>
      </c>
      <c r="E113" s="22" t="n">
        <v>1</v>
      </c>
      <c r="F113" s="22" t="n">
        <v>1</v>
      </c>
      <c r="G113" s="22" t="n">
        <v>1</v>
      </c>
      <c r="H113" s="22" t="n">
        <v>1</v>
      </c>
      <c r="I113" s="22" t="n">
        <v>1</v>
      </c>
      <c r="J113" s="22" t="n">
        <v>1</v>
      </c>
      <c r="K113" s="22" t="n">
        <v>1</v>
      </c>
      <c r="L113" s="22" t="n">
        <v>1</v>
      </c>
      <c r="M113" s="22" t="n">
        <v>1</v>
      </c>
      <c r="N113" s="22" t="n">
        <v>1</v>
      </c>
      <c r="T113" s="22" t="n">
        <v>1</v>
      </c>
      <c r="U113" s="22" t="n">
        <v>1</v>
      </c>
      <c r="V113" s="22" t="n">
        <v>1</v>
      </c>
      <c r="W113" s="22" t="n">
        <v>1</v>
      </c>
      <c r="X113" s="22" t="n">
        <v>1</v>
      </c>
    </row>
    <row r="114">
      <c r="A114" s="20" t="inlineStr">
        <is>
          <t>기타</t>
        </is>
      </c>
      <c r="C114" s="22" t="n">
        <v>1</v>
      </c>
      <c r="D114" s="22" t="n">
        <v>0</v>
      </c>
      <c r="E114" s="22" t="n">
        <v>0</v>
      </c>
      <c r="F114" s="22" t="n">
        <v>0</v>
      </c>
      <c r="G114" s="22" t="n">
        <v>1</v>
      </c>
      <c r="H114" s="22" t="n">
        <v>1</v>
      </c>
      <c r="I114" s="22" t="n">
        <v>1</v>
      </c>
      <c r="J114" s="22" t="n">
        <v>1</v>
      </c>
      <c r="K114" s="22" t="n">
        <v>1</v>
      </c>
      <c r="L114" s="22" t="n">
        <v>2</v>
      </c>
      <c r="M114" s="22" t="n">
        <v>1</v>
      </c>
      <c r="N114" s="22" t="n">
        <v>2</v>
      </c>
      <c r="T114" s="22" t="n">
        <v>0</v>
      </c>
      <c r="U114" s="22" t="n">
        <v>1</v>
      </c>
      <c r="V114" s="22" t="n">
        <v>0</v>
      </c>
      <c r="W114" s="22" t="n">
        <v>1</v>
      </c>
      <c r="X114" s="22" t="n">
        <v>2</v>
      </c>
    </row>
    <row r="115">
      <c r="A115" s="20" t="inlineStr">
        <is>
          <t>영업외비용 합계</t>
        </is>
      </c>
      <c r="C115" s="22" t="n">
        <v>0</v>
      </c>
      <c r="D115" s="22" t="n">
        <v>6</v>
      </c>
      <c r="E115" s="22" t="n">
        <v>4</v>
      </c>
      <c r="F115" s="22" t="n">
        <v>48</v>
      </c>
      <c r="G115" s="22" t="n">
        <v>-45</v>
      </c>
      <c r="H115" s="22" t="n">
        <v>9</v>
      </c>
      <c r="I115" s="22" t="n">
        <v>25</v>
      </c>
      <c r="J115" s="22" t="n">
        <v>-10</v>
      </c>
      <c r="K115" s="22" t="n">
        <v>19</v>
      </c>
      <c r="L115" s="22" t="n">
        <v>4</v>
      </c>
      <c r="M115" s="22" t="n">
        <v>3</v>
      </c>
      <c r="N115" s="22" t="n">
        <v>55</v>
      </c>
      <c r="T115" s="22" t="n">
        <v>1</v>
      </c>
      <c r="U115" s="22" t="n">
        <v>6</v>
      </c>
      <c r="V115" s="22" t="n">
        <v>6</v>
      </c>
      <c r="W115" s="22" t="n">
        <v>9</v>
      </c>
      <c r="X115" s="22" t="n">
        <v>4</v>
      </c>
    </row>
    <row r="116">
      <c r="A116" s="9" t="inlineStr">
        <is>
          <t>경상이익</t>
        </is>
      </c>
      <c r="C116" s="12" t="n">
        <v>422</v>
      </c>
      <c r="D116" s="12" t="n">
        <v>643</v>
      </c>
      <c r="E116" s="12" t="n">
        <v>119</v>
      </c>
      <c r="F116" s="12" t="n">
        <v>50</v>
      </c>
      <c r="G116" s="12" t="n">
        <v>407</v>
      </c>
      <c r="H116" s="12" t="n">
        <v>98</v>
      </c>
      <c r="I116" s="12" t="n">
        <v>19</v>
      </c>
      <c r="J116" s="12" t="n">
        <v>285</v>
      </c>
      <c r="K116" s="12" t="n">
        <v>131</v>
      </c>
      <c r="L116" s="12" t="n">
        <v>129</v>
      </c>
      <c r="M116" s="12" t="n">
        <v>517</v>
      </c>
      <c r="N116" s="12" t="n">
        <v>344</v>
      </c>
      <c r="T116" s="12" t="n">
        <v>728</v>
      </c>
      <c r="U116" s="12" t="n">
        <v>484</v>
      </c>
      <c r="V116" s="12" t="n">
        <v>643</v>
      </c>
      <c r="W116" s="12" t="n">
        <v>98</v>
      </c>
      <c r="X116" s="12" t="n">
        <v>129</v>
      </c>
    </row>
    <row r="117">
      <c r="A117" s="45" t="inlineStr">
        <is>
          <t>YoY</t>
        </is>
      </c>
      <c r="B117" s="3" t="inlineStr">
        <is>
          <t>전년 같은 분기·전년 대비</t>
        </is>
      </c>
      <c r="G117" s="17">
        <f>IF(OR(G116="",C116=""),"",IF(C116&lt;=0,"",IFERROR(G116/C116-1,"")))</f>
        <v/>
      </c>
      <c r="H117" s="17">
        <f>IF(OR(H116="",D116=""),"",IF(D116&lt;=0,"",IFERROR(H116/D116-1,"")))</f>
        <v/>
      </c>
      <c r="I117" s="17">
        <f>IF(OR(I116="",E116=""),"",IF(E116&lt;=0,"",IFERROR(I116/E116-1,"")))</f>
        <v/>
      </c>
      <c r="J117" s="17">
        <f>IF(OR(J116="",F116=""),"",IF(F116&lt;=0,"",IFERROR(J116/F116-1,"")))</f>
        <v/>
      </c>
      <c r="K117" s="17">
        <f>IF(OR(K116="",G116=""),"",IF(G116&lt;=0,"",IFERROR(K116/G116-1,"")))</f>
        <v/>
      </c>
      <c r="L117" s="17">
        <f>IF(OR(L116="",H116=""),"",IF(H116&lt;=0,"",IFERROR(L116/H116-1,"")))</f>
        <v/>
      </c>
      <c r="M117" s="17">
        <f>IF(OR(M116="",I116=""),"",IF(I116&lt;=0,"",IFERROR(M116/I116-1,"")))</f>
        <v/>
      </c>
      <c r="N117" s="17">
        <f>IF(OR(N116="",J116=""),"",IF(J116&lt;=0,"",IFERROR(N116/J116-1,"")))</f>
        <v/>
      </c>
      <c r="T117" s="17">
        <f>IF(OR(T116="",S116=""),"",IF(S116&lt;=0,"",IFERROR(T116/S116-1,"")))</f>
        <v/>
      </c>
      <c r="U117" s="17">
        <f>IF(OR(U116="",T116=""),"",IF(T116&lt;=0,"",IFERROR(U116/T116-1,"")))</f>
        <v/>
      </c>
      <c r="V117" s="17">
        <f>IF(OR(V116="",U116=""),"",IF(U116&lt;=0,"",IFERROR(V116/U116-1,"")))</f>
        <v/>
      </c>
      <c r="W117" s="17">
        <f>IF(OR(W116="",V116=""),"",IF(V116&lt;=0,"",IFERROR(W116/V116-1,"")))</f>
        <v/>
      </c>
      <c r="X117" s="17">
        <f>IF(OR(X116="",W116=""),"",IF(W116&lt;=0,"",IFERROR(X116/W116-1,"")))</f>
        <v/>
      </c>
    </row>
    <row r="118">
      <c r="A118" s="20" t="inlineStr">
        <is>
          <t>고정자산 매각이익</t>
        </is>
      </c>
      <c r="E118" s="22" t="n">
        <v>0</v>
      </c>
      <c r="F118" s="22" t="n">
        <v>0</v>
      </c>
      <c r="G118" s="22" t="n">
        <v>0</v>
      </c>
      <c r="H118" s="22" t="n">
        <v>0</v>
      </c>
      <c r="I118" s="22" t="n">
        <v>3</v>
      </c>
      <c r="J118" s="22" t="n">
        <v>0</v>
      </c>
      <c r="K118" s="22" t="n">
        <v>0</v>
      </c>
      <c r="L118" s="22" t="n">
        <v>0</v>
      </c>
      <c r="M118" s="22" t="n">
        <v>0</v>
      </c>
      <c r="N118" s="22" t="n">
        <v>0</v>
      </c>
      <c r="W118" s="22" t="n">
        <v>0</v>
      </c>
      <c r="X118" s="22" t="n">
        <v>0</v>
      </c>
    </row>
    <row r="119">
      <c r="A119" s="20" t="inlineStr">
        <is>
          <t>투자유가증권 매각이익</t>
        </is>
      </c>
      <c r="C119" s="22" t="n">
        <v>0</v>
      </c>
      <c r="D119" s="22" t="n">
        <v>0</v>
      </c>
      <c r="G119" s="22" t="n">
        <v>0</v>
      </c>
      <c r="H119" s="22" t="n">
        <v>0</v>
      </c>
      <c r="I119" s="22" t="n">
        <v>0</v>
      </c>
      <c r="J119" s="22" t="n">
        <v>0</v>
      </c>
      <c r="M119" s="22" t="n">
        <v>181</v>
      </c>
      <c r="N119" s="22" t="n">
        <v>0</v>
      </c>
      <c r="U119" s="22" t="n">
        <v>0</v>
      </c>
      <c r="V119" s="22" t="n">
        <v>0</v>
      </c>
      <c r="W119" s="22" t="n">
        <v>0</v>
      </c>
    </row>
    <row r="120">
      <c r="A120" s="20" t="inlineStr">
        <is>
          <t>특별이익 합계</t>
        </is>
      </c>
      <c r="C120" s="22" t="n">
        <v>0</v>
      </c>
      <c r="D120" s="22" t="n">
        <v>0</v>
      </c>
      <c r="E120" s="22" t="n">
        <v>0</v>
      </c>
      <c r="F120" s="22" t="n">
        <v>0</v>
      </c>
      <c r="G120" s="22" t="n">
        <v>0</v>
      </c>
      <c r="H120" s="22" t="n">
        <v>0</v>
      </c>
      <c r="I120" s="22" t="n">
        <v>3</v>
      </c>
      <c r="J120" s="22" t="n">
        <v>0</v>
      </c>
      <c r="K120" s="22" t="n">
        <v>0</v>
      </c>
      <c r="L120" s="22" t="n">
        <v>173</v>
      </c>
      <c r="M120" s="22" t="n">
        <v>181</v>
      </c>
      <c r="N120" s="22" t="n">
        <v>0</v>
      </c>
      <c r="U120" s="22" t="n">
        <v>0</v>
      </c>
      <c r="V120" s="22" t="n">
        <v>0</v>
      </c>
      <c r="W120" s="22" t="n">
        <v>0</v>
      </c>
      <c r="X120" s="22" t="n">
        <v>173</v>
      </c>
    </row>
    <row r="121">
      <c r="A121" s="20" t="inlineStr">
        <is>
          <t>고정자산 제각손실</t>
        </is>
      </c>
      <c r="D121" s="22" t="n">
        <v>0</v>
      </c>
      <c r="T121" s="22" t="n">
        <v>0</v>
      </c>
      <c r="U121" s="22" t="n">
        <v>0</v>
      </c>
      <c r="V121" s="22" t="n">
        <v>0</v>
      </c>
    </row>
    <row r="122">
      <c r="A122" s="20" t="inlineStr">
        <is>
          <t>특별손실 합계</t>
        </is>
      </c>
      <c r="D122" s="22" t="n">
        <v>0</v>
      </c>
      <c r="T122" s="22" t="n">
        <v>0</v>
      </c>
      <c r="U122" s="22" t="n">
        <v>52</v>
      </c>
      <c r="V122" s="22" t="n">
        <v>0</v>
      </c>
    </row>
    <row r="123">
      <c r="A123" s="9" t="inlineStr">
        <is>
          <t>법인세차감전 순이익</t>
        </is>
      </c>
      <c r="C123" s="12" t="n">
        <v>423</v>
      </c>
      <c r="D123" s="12" t="n">
        <v>643</v>
      </c>
      <c r="E123" s="12" t="n">
        <v>119</v>
      </c>
      <c r="F123" s="12" t="n">
        <v>50</v>
      </c>
      <c r="G123" s="12" t="n">
        <v>407</v>
      </c>
      <c r="H123" s="12" t="n">
        <v>98</v>
      </c>
      <c r="I123" s="12" t="n">
        <v>23</v>
      </c>
      <c r="J123" s="12" t="n">
        <v>284</v>
      </c>
      <c r="K123" s="12" t="n">
        <v>131</v>
      </c>
      <c r="L123" s="12" t="n">
        <v>303</v>
      </c>
      <c r="M123" s="12" t="n">
        <v>698</v>
      </c>
      <c r="N123" s="12" t="n">
        <v>345</v>
      </c>
      <c r="T123" s="12" t="n">
        <v>728</v>
      </c>
      <c r="U123" s="12" t="n">
        <v>431</v>
      </c>
      <c r="V123" s="12" t="n">
        <v>643</v>
      </c>
      <c r="W123" s="12" t="n">
        <v>98</v>
      </c>
      <c r="X123" s="12" t="n">
        <v>303</v>
      </c>
    </row>
    <row r="124">
      <c r="A124" s="20" t="inlineStr">
        <is>
          <t>법인세·주민세·사업세</t>
        </is>
      </c>
      <c r="C124" s="22" t="n">
        <v>108</v>
      </c>
      <c r="D124" s="22" t="n">
        <v>148</v>
      </c>
      <c r="E124" s="22" t="n">
        <v>11</v>
      </c>
      <c r="F124" s="22" t="n">
        <v>28</v>
      </c>
      <c r="G124" s="22" t="n">
        <v>121</v>
      </c>
      <c r="H124" s="22" t="n">
        <v>101</v>
      </c>
      <c r="I124" s="22" t="n">
        <v>2</v>
      </c>
      <c r="J124" s="22" t="n">
        <v>80</v>
      </c>
      <c r="K124" s="22" t="n">
        <v>19</v>
      </c>
      <c r="L124" s="22" t="n">
        <v>166</v>
      </c>
      <c r="M124" s="22" t="n">
        <v>187</v>
      </c>
      <c r="N124" s="22" t="n">
        <v>202</v>
      </c>
      <c r="T124" s="22" t="n">
        <v>127</v>
      </c>
      <c r="U124" s="22" t="n">
        <v>74</v>
      </c>
      <c r="V124" s="22" t="n">
        <v>148</v>
      </c>
      <c r="W124" s="22" t="n">
        <v>101</v>
      </c>
      <c r="X124" s="22" t="n">
        <v>166</v>
      </c>
    </row>
    <row r="125">
      <c r="A125" s="20" t="inlineStr">
        <is>
          <t>법인세 조정액</t>
        </is>
      </c>
      <c r="C125" s="22" t="n">
        <v>24</v>
      </c>
      <c r="D125" s="22" t="n">
        <v>28</v>
      </c>
      <c r="E125" s="22" t="n">
        <v>25</v>
      </c>
      <c r="F125" s="22" t="n">
        <v>-24</v>
      </c>
      <c r="G125" s="22" t="n">
        <v>20</v>
      </c>
      <c r="H125" s="22" t="n">
        <v>-34</v>
      </c>
      <c r="I125" s="22" t="n">
        <v>6</v>
      </c>
      <c r="J125" s="22" t="n">
        <v>5</v>
      </c>
      <c r="K125" s="22" t="n">
        <v>38</v>
      </c>
      <c r="L125" s="22" t="n">
        <v>-39</v>
      </c>
      <c r="M125" s="22" t="n">
        <v>34</v>
      </c>
      <c r="N125" s="22" t="n">
        <v>-43</v>
      </c>
      <c r="T125" s="22" t="n">
        <v>-35</v>
      </c>
      <c r="U125" s="22" t="n">
        <v>-237</v>
      </c>
      <c r="V125" s="22" t="n">
        <v>28</v>
      </c>
      <c r="W125" s="22" t="n">
        <v>-34</v>
      </c>
      <c r="X125" s="22" t="n">
        <v>-39</v>
      </c>
    </row>
    <row r="126">
      <c r="A126" s="20" t="inlineStr">
        <is>
          <t>법인세 등 합계</t>
        </is>
      </c>
      <c r="C126" s="22" t="n">
        <v>132</v>
      </c>
      <c r="D126" s="22" t="n">
        <v>175</v>
      </c>
      <c r="E126" s="22" t="n">
        <v>37</v>
      </c>
      <c r="F126" s="22" t="n">
        <v>3</v>
      </c>
      <c r="G126" s="22" t="n">
        <v>142</v>
      </c>
      <c r="H126" s="22" t="n">
        <v>65</v>
      </c>
      <c r="I126" s="22" t="n">
        <v>9</v>
      </c>
      <c r="J126" s="22" t="n">
        <v>84</v>
      </c>
      <c r="K126" s="22" t="n">
        <v>58</v>
      </c>
      <c r="L126" s="22" t="n">
        <v>127</v>
      </c>
      <c r="M126" s="22" t="n">
        <v>222</v>
      </c>
      <c r="N126" s="22" t="n">
        <v>157</v>
      </c>
      <c r="T126" s="22" t="n">
        <v>92</v>
      </c>
      <c r="U126" s="22" t="n">
        <v>-164</v>
      </c>
      <c r="V126" s="22" t="n">
        <v>175</v>
      </c>
      <c r="W126" s="22" t="n">
        <v>65</v>
      </c>
      <c r="X126" s="22" t="n">
        <v>127</v>
      </c>
    </row>
    <row r="127">
      <c r="A127" s="9" t="inlineStr">
        <is>
          <t>순이익</t>
        </is>
      </c>
      <c r="C127" s="12" t="n">
        <v>291</v>
      </c>
      <c r="D127" s="12" t="n">
        <v>467</v>
      </c>
      <c r="E127" s="12" t="n">
        <v>82</v>
      </c>
      <c r="F127" s="12" t="n">
        <v>47</v>
      </c>
      <c r="G127" s="12" t="n">
        <v>265</v>
      </c>
      <c r="H127" s="12" t="n">
        <v>33</v>
      </c>
      <c r="I127" s="12" t="n">
        <v>14</v>
      </c>
      <c r="J127" s="12" t="n">
        <v>200</v>
      </c>
      <c r="K127" s="12" t="n">
        <v>73</v>
      </c>
      <c r="L127" s="12" t="n">
        <v>176</v>
      </c>
      <c r="M127" s="12" t="n">
        <v>476</v>
      </c>
      <c r="N127" s="12" t="n">
        <v>187</v>
      </c>
      <c r="T127" s="12" t="n">
        <v>636</v>
      </c>
      <c r="U127" s="12" t="n">
        <v>596</v>
      </c>
      <c r="V127" s="12" t="n">
        <v>467</v>
      </c>
      <c r="W127" s="12" t="n">
        <v>33</v>
      </c>
      <c r="X127" s="12" t="n">
        <v>176</v>
      </c>
    </row>
    <row r="128">
      <c r="A128" s="45" t="inlineStr">
        <is>
          <t>YoY</t>
        </is>
      </c>
      <c r="B128" s="3" t="inlineStr">
        <is>
          <t>전년 같은 분기·전년 대비</t>
        </is>
      </c>
      <c r="G128" s="17">
        <f>IF(OR(G127="",C127=""),"",IF(C127&lt;=0,"",IFERROR(G127/C127-1,"")))</f>
        <v/>
      </c>
      <c r="H128" s="17">
        <f>IF(OR(H127="",D127=""),"",IF(D127&lt;=0,"",IFERROR(H127/D127-1,"")))</f>
        <v/>
      </c>
      <c r="I128" s="17">
        <f>IF(OR(I127="",E127=""),"",IF(E127&lt;=0,"",IFERROR(I127/E127-1,"")))</f>
        <v/>
      </c>
      <c r="J128" s="17">
        <f>IF(OR(J127="",F127=""),"",IF(F127&lt;=0,"",IFERROR(J127/F127-1,"")))</f>
        <v/>
      </c>
      <c r="K128" s="17">
        <f>IF(OR(K127="",G127=""),"",IF(G127&lt;=0,"",IFERROR(K127/G127-1,"")))</f>
        <v/>
      </c>
      <c r="L128" s="17">
        <f>IF(OR(L127="",H127=""),"",IF(H127&lt;=0,"",IFERROR(L127/H127-1,"")))</f>
        <v/>
      </c>
      <c r="M128" s="17">
        <f>IF(OR(M127="",I127=""),"",IF(I127&lt;=0,"",IFERROR(M127/I127-1,"")))</f>
        <v/>
      </c>
      <c r="N128" s="17">
        <f>IF(OR(N127="",J127=""),"",IF(J127&lt;=0,"",IFERROR(N127/J127-1,"")))</f>
        <v/>
      </c>
      <c r="T128" s="17">
        <f>IF(OR(T127="",S127=""),"",IF(S127&lt;=0,"",IFERROR(T127/S127-1,"")))</f>
        <v/>
      </c>
      <c r="U128" s="17">
        <f>IF(OR(U127="",T127=""),"",IF(T127&lt;=0,"",IFERROR(U127/T127-1,"")))</f>
        <v/>
      </c>
      <c r="V128" s="17">
        <f>IF(OR(V127="",U127=""),"",IF(U127&lt;=0,"",IFERROR(V127/U127-1,"")))</f>
        <v/>
      </c>
      <c r="W128" s="17">
        <f>IF(OR(W127="",V127=""),"",IF(V127&lt;=0,"",IFERROR(W127/V127-1,"")))</f>
        <v/>
      </c>
      <c r="X128" s="17">
        <f>IF(OR(X127="",W127=""),"",IF(W127&lt;=0,"",IFERROR(X127/W127-1,"")))</f>
        <v/>
      </c>
    </row>
    <row r="129">
      <c r="A129" s="9" t="inlineStr">
        <is>
          <t>비지배주주 순손익</t>
        </is>
      </c>
      <c r="C129" s="12" t="n">
        <v>0</v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-0</v>
      </c>
      <c r="I129" s="12" t="n">
        <v>-0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T129" s="12" t="n">
        <v>0</v>
      </c>
      <c r="U129" s="12" t="n">
        <v>0</v>
      </c>
      <c r="V129" s="12" t="n">
        <v>0</v>
      </c>
      <c r="W129" s="12" t="n">
        <v>-0</v>
      </c>
      <c r="X129" s="12" t="n">
        <v>0</v>
      </c>
    </row>
    <row r="130">
      <c r="A130" s="9" t="inlineStr">
        <is>
          <t>지배주주 순이익</t>
        </is>
      </c>
      <c r="C130" s="12" t="n">
        <v>291</v>
      </c>
      <c r="D130" s="12" t="n">
        <v>467</v>
      </c>
      <c r="E130" s="12" t="n">
        <v>82</v>
      </c>
      <c r="F130" s="12" t="n">
        <v>47</v>
      </c>
      <c r="G130" s="12" t="n">
        <v>265</v>
      </c>
      <c r="H130" s="12" t="n">
        <v>33</v>
      </c>
      <c r="I130" s="12" t="n">
        <v>14</v>
      </c>
      <c r="J130" s="12" t="n">
        <v>200</v>
      </c>
      <c r="K130" s="12" t="n">
        <v>73</v>
      </c>
      <c r="L130" s="12" t="n">
        <v>176</v>
      </c>
      <c r="M130" s="12" t="n">
        <v>476</v>
      </c>
      <c r="N130" s="12" t="n">
        <v>187</v>
      </c>
      <c r="T130" s="12" t="n">
        <v>636</v>
      </c>
      <c r="U130" s="12" t="n">
        <v>596</v>
      </c>
      <c r="V130" s="12" t="n">
        <v>467</v>
      </c>
      <c r="W130" s="12" t="n">
        <v>33</v>
      </c>
      <c r="X130" s="12" t="n">
        <v>176</v>
      </c>
    </row>
    <row r="131">
      <c r="A131" s="45" t="inlineStr">
        <is>
          <t>YoY</t>
        </is>
      </c>
      <c r="B131" s="3" t="inlineStr">
        <is>
          <t>전년 같은 분기·전년 대비</t>
        </is>
      </c>
      <c r="G131" s="17">
        <f>IF(OR(G130="",C130=""),"",IF(C130&lt;=0,"",IFERROR(G130/C130-1,"")))</f>
        <v/>
      </c>
      <c r="H131" s="17">
        <f>IF(OR(H130="",D130=""),"",IF(D130&lt;=0,"",IFERROR(H130/D130-1,"")))</f>
        <v/>
      </c>
      <c r="I131" s="17">
        <f>IF(OR(I130="",E130=""),"",IF(E130&lt;=0,"",IFERROR(I130/E130-1,"")))</f>
        <v/>
      </c>
      <c r="J131" s="17">
        <f>IF(OR(J130="",F130=""),"",IF(F130&lt;=0,"",IFERROR(J130/F130-1,"")))</f>
        <v/>
      </c>
      <c r="K131" s="17">
        <f>IF(OR(K130="",G130=""),"",IF(G130&lt;=0,"",IFERROR(K130/G130-1,"")))</f>
        <v/>
      </c>
      <c r="L131" s="17">
        <f>IF(OR(L130="",H130=""),"",IF(H130&lt;=0,"",IFERROR(L130/H130-1,"")))</f>
        <v/>
      </c>
      <c r="M131" s="17">
        <f>IF(OR(M130="",I130=""),"",IF(I130&lt;=0,"",IFERROR(M130/I130-1,"")))</f>
        <v/>
      </c>
      <c r="N131" s="17">
        <f>IF(OR(N130="",J130=""),"",IF(J130&lt;=0,"",IFERROR(N130/J130-1,"")))</f>
        <v/>
      </c>
      <c r="T131" s="17">
        <f>IF(OR(T130="",S130=""),"",IF(S130&lt;=0,"",IFERROR(T130/S130-1,"")))</f>
        <v/>
      </c>
      <c r="U131" s="17">
        <f>IF(OR(U130="",T130=""),"",IF(T130&lt;=0,"",IFERROR(U130/T130-1,"")))</f>
        <v/>
      </c>
      <c r="V131" s="17">
        <f>IF(OR(V130="",U130=""),"",IF(U130&lt;=0,"",IFERROR(V130/U130-1,"")))</f>
        <v/>
      </c>
      <c r="W131" s="17">
        <f>IF(OR(W130="",V130=""),"",IF(V130&lt;=0,"",IFERROR(W130/V130-1,"")))</f>
        <v/>
      </c>
      <c r="X131" s="17">
        <f>IF(OR(X130="",W130=""),"",IF(W130&lt;=0,"",IFERROR(X130/W130-1,"")))</f>
        <v/>
      </c>
    </row>
    <row r="133">
      <c r="A133" s="18" t="inlineStr">
        <is>
          <t>포괄손익 · 전 항목</t>
        </is>
      </c>
      <c r="B133" s="44" t="inlineStr">
        <is>
          <t>분기 = 3개월 단독</t>
        </is>
      </c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</row>
    <row r="134">
      <c r="A134" s="5" t="inlineStr">
        <is>
          <t>항목</t>
        </is>
      </c>
      <c r="B134" s="5" t="inlineStr">
        <is>
          <t>참고</t>
        </is>
      </c>
      <c r="C134" s="5" t="inlineStr">
        <is>
          <t>2024.3Q</t>
        </is>
      </c>
      <c r="D134" s="5" t="inlineStr">
        <is>
          <t>2024.4Q</t>
        </is>
      </c>
      <c r="E134" s="5" t="inlineStr">
        <is>
          <t>2025.1Q</t>
        </is>
      </c>
      <c r="F134" s="5" t="inlineStr">
        <is>
          <t>2025.2Q</t>
        </is>
      </c>
      <c r="G134" s="5" t="inlineStr">
        <is>
          <t>2025.3Q</t>
        </is>
      </c>
      <c r="H134" s="5" t="inlineStr">
        <is>
          <t>2025.4Q</t>
        </is>
      </c>
      <c r="I134" s="5" t="inlineStr">
        <is>
          <t>2026.1Q</t>
        </is>
      </c>
      <c r="J134" s="5" t="inlineStr">
        <is>
          <t>2026.2Q</t>
        </is>
      </c>
      <c r="K134" s="5" t="inlineStr">
        <is>
          <t>2026.3Q</t>
        </is>
      </c>
      <c r="L134" s="5" t="inlineStr">
        <is>
          <t>2026.4Q</t>
        </is>
      </c>
      <c r="M134" s="5" t="inlineStr">
        <is>
          <t>2027.1Q</t>
        </is>
      </c>
      <c r="N134" s="5" t="inlineStr">
        <is>
          <t>2027.2Q</t>
        </is>
      </c>
      <c r="O134" s="5" t="inlineStr">
        <is>
          <t>2017</t>
        </is>
      </c>
      <c r="P134" s="5" t="inlineStr">
        <is>
          <t>2018</t>
        </is>
      </c>
      <c r="Q134" s="5" t="inlineStr">
        <is>
          <t>2019</t>
        </is>
      </c>
      <c r="R134" s="5" t="inlineStr">
        <is>
          <t>2020</t>
        </is>
      </c>
      <c r="S134" s="5" t="inlineStr">
        <is>
          <t>2021</t>
        </is>
      </c>
      <c r="T134" s="5" t="inlineStr">
        <is>
          <t>2022</t>
        </is>
      </c>
      <c r="U134" s="5" t="inlineStr">
        <is>
          <t>2023</t>
        </is>
      </c>
      <c r="V134" s="5" t="inlineStr">
        <is>
          <t>2024</t>
        </is>
      </c>
      <c r="W134" s="5" t="inlineStr">
        <is>
          <t>2025</t>
        </is>
      </c>
      <c r="X134" s="5" t="inlineStr">
        <is>
          <t>2026</t>
        </is>
      </c>
      <c r="Y134" s="5" t="inlineStr">
        <is>
          <t>2027(MW)</t>
        </is>
      </c>
      <c r="Z134" s="5" t="inlineStr">
        <is>
          <t>2028(MW)</t>
        </is>
      </c>
      <c r="AA134" s="5" t="inlineStr">
        <is>
          <t>2029(MW)</t>
        </is>
      </c>
      <c r="AB134" s="5" t="inlineStr">
        <is>
          <t>2030(MW)</t>
        </is>
      </c>
      <c r="AC134" s="5" t="inlineStr">
        <is>
          <t>2031(MW)</t>
        </is>
      </c>
    </row>
    <row r="135">
      <c r="A135" s="9" t="inlineStr">
        <is>
          <t>순이익</t>
        </is>
      </c>
      <c r="C135" s="12" t="n">
        <v>291</v>
      </c>
      <c r="D135" s="12" t="n">
        <v>467</v>
      </c>
      <c r="E135" s="12" t="n">
        <v>82</v>
      </c>
      <c r="F135" s="12" t="n">
        <v>47</v>
      </c>
      <c r="G135" s="12" t="n">
        <v>265</v>
      </c>
      <c r="H135" s="12" t="n">
        <v>33</v>
      </c>
      <c r="I135" s="12" t="n">
        <v>14</v>
      </c>
      <c r="J135" s="12" t="n">
        <v>200</v>
      </c>
      <c r="K135" s="12" t="n">
        <v>73</v>
      </c>
      <c r="L135" s="12" t="n">
        <v>176</v>
      </c>
      <c r="M135" s="12" t="n">
        <v>476</v>
      </c>
      <c r="N135" s="12" t="n">
        <v>187</v>
      </c>
      <c r="T135" s="12" t="n">
        <v>636</v>
      </c>
      <c r="U135" s="12" t="n">
        <v>596</v>
      </c>
      <c r="V135" s="12" t="n">
        <v>467</v>
      </c>
      <c r="W135" s="12" t="n">
        <v>33</v>
      </c>
      <c r="X135" s="12" t="n">
        <v>176</v>
      </c>
    </row>
    <row r="136">
      <c r="A136" s="20" t="inlineStr">
        <is>
          <t>기타유가증권 평가차액</t>
        </is>
      </c>
      <c r="C136" s="22" t="n">
        <v>16</v>
      </c>
      <c r="D136" s="22" t="n">
        <v>376</v>
      </c>
      <c r="E136" s="22" t="n">
        <v>-37</v>
      </c>
      <c r="F136" s="22" t="n">
        <v>-273</v>
      </c>
      <c r="G136" s="22" t="n">
        <v>102</v>
      </c>
      <c r="H136" s="22" t="n">
        <v>-131</v>
      </c>
      <c r="I136" s="22" t="n">
        <v>126</v>
      </c>
      <c r="J136" s="22" t="n">
        <v>169</v>
      </c>
      <c r="K136" s="22" t="n">
        <v>181</v>
      </c>
      <c r="L136" s="22" t="n">
        <v>-33</v>
      </c>
      <c r="M136" s="22" t="n">
        <v>248</v>
      </c>
      <c r="N136" s="22" t="n">
        <v>-105</v>
      </c>
      <c r="T136" s="22" t="n">
        <v>-5</v>
      </c>
      <c r="U136" s="22" t="n">
        <v>-3</v>
      </c>
      <c r="V136" s="22" t="n">
        <v>376</v>
      </c>
      <c r="W136" s="22" t="n">
        <v>-131</v>
      </c>
      <c r="X136" s="22" t="n">
        <v>-33</v>
      </c>
    </row>
    <row r="137">
      <c r="A137" s="20" t="inlineStr">
        <is>
          <t>해외사업환산조정</t>
        </is>
      </c>
      <c r="C137" s="22" t="n">
        <v>-27</v>
      </c>
      <c r="D137" s="22" t="n">
        <v>31</v>
      </c>
      <c r="E137" s="22" t="n">
        <v>85</v>
      </c>
      <c r="F137" s="22" t="n">
        <v>-34</v>
      </c>
      <c r="G137" s="22" t="n">
        <v>22</v>
      </c>
      <c r="H137" s="22" t="n">
        <v>-8</v>
      </c>
      <c r="I137" s="22" t="n">
        <v>-40</v>
      </c>
      <c r="J137" s="22" t="n">
        <v>19</v>
      </c>
      <c r="K137" s="22" t="n">
        <v>69</v>
      </c>
      <c r="L137" s="22" t="n">
        <v>48</v>
      </c>
      <c r="M137" s="22" t="n">
        <v>22</v>
      </c>
      <c r="N137" s="22" t="n">
        <v>-17</v>
      </c>
      <c r="T137" s="22" t="n">
        <v>46</v>
      </c>
      <c r="U137" s="22" t="n">
        <v>-31</v>
      </c>
      <c r="V137" s="22" t="n">
        <v>31</v>
      </c>
      <c r="W137" s="22" t="n">
        <v>-8</v>
      </c>
      <c r="X137" s="22" t="n">
        <v>48</v>
      </c>
    </row>
    <row r="138">
      <c r="A138" s="20" t="inlineStr">
        <is>
          <t>기타포괄손익 합계</t>
        </is>
      </c>
      <c r="C138" s="22" t="n">
        <v>-11</v>
      </c>
      <c r="D138" s="22" t="n">
        <v>407</v>
      </c>
      <c r="E138" s="22" t="n">
        <v>47</v>
      </c>
      <c r="F138" s="22" t="n">
        <v>-306</v>
      </c>
      <c r="G138" s="22" t="n">
        <v>124</v>
      </c>
      <c r="H138" s="22" t="n">
        <v>-139</v>
      </c>
      <c r="I138" s="22" t="n">
        <v>86</v>
      </c>
      <c r="J138" s="22" t="n">
        <v>188</v>
      </c>
      <c r="K138" s="22" t="n">
        <v>250</v>
      </c>
      <c r="L138" s="22" t="n">
        <v>16</v>
      </c>
      <c r="M138" s="22" t="n">
        <v>271</v>
      </c>
      <c r="N138" s="22" t="n">
        <v>-122</v>
      </c>
      <c r="T138" s="22" t="n">
        <v>41</v>
      </c>
      <c r="U138" s="22" t="n">
        <v>-33</v>
      </c>
      <c r="V138" s="22" t="n">
        <v>407</v>
      </c>
      <c r="W138" s="22" t="n">
        <v>-139</v>
      </c>
      <c r="X138" s="22" t="n">
        <v>16</v>
      </c>
    </row>
    <row r="139">
      <c r="A139" s="9" t="inlineStr">
        <is>
          <t>포괄이익</t>
        </is>
      </c>
      <c r="C139" s="12" t="n">
        <v>279</v>
      </c>
      <c r="D139" s="12" t="n">
        <v>874</v>
      </c>
      <c r="E139" s="12" t="n">
        <v>129</v>
      </c>
      <c r="F139" s="12" t="n">
        <v>-258</v>
      </c>
      <c r="G139" s="12" t="n">
        <v>388</v>
      </c>
      <c r="H139" s="12" t="n">
        <v>-106</v>
      </c>
      <c r="I139" s="12" t="n">
        <v>100</v>
      </c>
      <c r="J139" s="12" t="n">
        <v>388</v>
      </c>
      <c r="K139" s="12" t="n">
        <v>324</v>
      </c>
      <c r="L139" s="12" t="n">
        <v>191</v>
      </c>
      <c r="M139" s="12" t="n">
        <v>748</v>
      </c>
      <c r="N139" s="12" t="n">
        <v>64</v>
      </c>
      <c r="T139" s="12" t="n">
        <v>677</v>
      </c>
      <c r="U139" s="12" t="n">
        <v>563</v>
      </c>
      <c r="V139" s="12" t="n">
        <v>874</v>
      </c>
      <c r="W139" s="12" t="n">
        <v>-106</v>
      </c>
      <c r="X139" s="12" t="n">
        <v>191</v>
      </c>
    </row>
    <row r="140">
      <c r="A140" s="9" t="inlineStr">
        <is>
          <t>지배주주 포괄이익</t>
        </is>
      </c>
      <c r="C140" s="12" t="n">
        <v>280</v>
      </c>
      <c r="D140" s="12" t="n">
        <v>874</v>
      </c>
      <c r="E140" s="12" t="n">
        <v>129</v>
      </c>
      <c r="F140" s="12" t="n">
        <v>-259</v>
      </c>
      <c r="G140" s="12" t="n">
        <v>389</v>
      </c>
      <c r="H140" s="12" t="n">
        <v>-107</v>
      </c>
      <c r="I140" s="12" t="n">
        <v>100</v>
      </c>
      <c r="J140" s="12" t="n">
        <v>388</v>
      </c>
      <c r="K140" s="12" t="n">
        <v>324</v>
      </c>
      <c r="L140" s="12" t="n">
        <v>191</v>
      </c>
      <c r="M140" s="12" t="n">
        <v>747</v>
      </c>
      <c r="N140" s="12" t="n">
        <v>65</v>
      </c>
      <c r="T140" s="12" t="n">
        <v>677</v>
      </c>
      <c r="U140" s="12" t="n">
        <v>563</v>
      </c>
      <c r="V140" s="12" t="n">
        <v>874</v>
      </c>
      <c r="W140" s="12" t="n">
        <v>-107</v>
      </c>
      <c r="X140" s="12" t="n">
        <v>191</v>
      </c>
    </row>
    <row r="141">
      <c r="A141" s="9" t="inlineStr">
        <is>
          <t>비지배주주 포괄이익</t>
        </is>
      </c>
      <c r="C141" s="12" t="n">
        <v>0</v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-0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</row>
    <row r="143">
      <c r="A143" s="18" t="inlineStr">
        <is>
          <t>현금흐름표 · 전 항목</t>
        </is>
      </c>
      <c r="B143" s="44" t="inlineStr">
        <is>
          <t>분기 = 결산기 첫날부터 누계(공시 그대로)</t>
        </is>
      </c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</row>
    <row r="144">
      <c r="A144" s="5" t="inlineStr">
        <is>
          <t>항목</t>
        </is>
      </c>
      <c r="B144" s="5" t="inlineStr">
        <is>
          <t>참고</t>
        </is>
      </c>
      <c r="C144" s="5" t="inlineStr">
        <is>
          <t>2024.3Q</t>
        </is>
      </c>
      <c r="D144" s="5" t="inlineStr">
        <is>
          <t>2024.4Q</t>
        </is>
      </c>
      <c r="E144" s="5" t="inlineStr">
        <is>
          <t>2025.1Q</t>
        </is>
      </c>
      <c r="F144" s="5" t="inlineStr">
        <is>
          <t>2025.2Q</t>
        </is>
      </c>
      <c r="G144" s="5" t="inlineStr">
        <is>
          <t>2025.3Q</t>
        </is>
      </c>
      <c r="H144" s="5" t="inlineStr">
        <is>
          <t>2025.4Q</t>
        </is>
      </c>
      <c r="I144" s="5" t="inlineStr">
        <is>
          <t>2026.1Q</t>
        </is>
      </c>
      <c r="J144" s="5" t="inlineStr">
        <is>
          <t>2026.2Q</t>
        </is>
      </c>
      <c r="K144" s="5" t="inlineStr">
        <is>
          <t>2026.3Q</t>
        </is>
      </c>
      <c r="L144" s="5" t="inlineStr">
        <is>
          <t>2026.4Q</t>
        </is>
      </c>
      <c r="M144" s="5" t="inlineStr">
        <is>
          <t>2027.1Q</t>
        </is>
      </c>
      <c r="N144" s="5" t="inlineStr">
        <is>
          <t>2027.2Q</t>
        </is>
      </c>
      <c r="O144" s="5" t="inlineStr">
        <is>
          <t>2017</t>
        </is>
      </c>
      <c r="P144" s="5" t="inlineStr">
        <is>
          <t>2018</t>
        </is>
      </c>
      <c r="Q144" s="5" t="inlineStr">
        <is>
          <t>2019</t>
        </is>
      </c>
      <c r="R144" s="5" t="inlineStr">
        <is>
          <t>2020</t>
        </is>
      </c>
      <c r="S144" s="5" t="inlineStr">
        <is>
          <t>2021</t>
        </is>
      </c>
      <c r="T144" s="5" t="inlineStr">
        <is>
          <t>2022</t>
        </is>
      </c>
      <c r="U144" s="5" t="inlineStr">
        <is>
          <t>2023</t>
        </is>
      </c>
      <c r="V144" s="5" t="inlineStr">
        <is>
          <t>2024</t>
        </is>
      </c>
      <c r="W144" s="5" t="inlineStr">
        <is>
          <t>2025</t>
        </is>
      </c>
      <c r="X144" s="5" t="inlineStr">
        <is>
          <t>2026</t>
        </is>
      </c>
      <c r="Y144" s="5" t="inlineStr">
        <is>
          <t>2027(MW)</t>
        </is>
      </c>
      <c r="Z144" s="5" t="inlineStr">
        <is>
          <t>2028(MW)</t>
        </is>
      </c>
      <c r="AA144" s="5" t="inlineStr">
        <is>
          <t>2029(MW)</t>
        </is>
      </c>
      <c r="AB144" s="5" t="inlineStr">
        <is>
          <t>2030(MW)</t>
        </is>
      </c>
      <c r="AC144" s="5" t="inlineStr">
        <is>
          <t>2031(MW)</t>
        </is>
      </c>
    </row>
    <row r="145">
      <c r="A145" s="9" t="inlineStr">
        <is>
          <t>법인세차감전 순이익</t>
        </is>
      </c>
      <c r="D145" s="12" t="n">
        <v>2141</v>
      </c>
      <c r="H145" s="12" t="n">
        <v>674</v>
      </c>
      <c r="L145" s="12" t="n">
        <v>741</v>
      </c>
      <c r="O145" s="12" t="n">
        <v>303</v>
      </c>
      <c r="P145" s="12" t="n">
        <v>894</v>
      </c>
      <c r="Q145" s="12" t="n">
        <v>1370</v>
      </c>
      <c r="R145" s="12" t="n">
        <v>20</v>
      </c>
      <c r="S145" s="12" t="n">
        <v>-251</v>
      </c>
      <c r="T145" s="12" t="n">
        <v>2065</v>
      </c>
      <c r="U145" s="12" t="n">
        <v>2456</v>
      </c>
      <c r="V145" s="12" t="n">
        <v>2141</v>
      </c>
      <c r="W145" s="12" t="n">
        <v>674</v>
      </c>
      <c r="X145" s="12" t="n">
        <v>741</v>
      </c>
    </row>
    <row r="146">
      <c r="A146" s="20" t="inlineStr">
        <is>
          <t>감가상각비</t>
        </is>
      </c>
      <c r="D146" s="22" t="n">
        <v>67</v>
      </c>
      <c r="H146" s="22" t="n">
        <v>113</v>
      </c>
      <c r="L146" s="22" t="n">
        <v>119</v>
      </c>
      <c r="O146" s="22" t="n">
        <v>54</v>
      </c>
      <c r="P146" s="22" t="n">
        <v>57</v>
      </c>
      <c r="Q146" s="22" t="n">
        <v>62</v>
      </c>
      <c r="R146" s="22" t="n">
        <v>57</v>
      </c>
      <c r="S146" s="22" t="n">
        <v>46</v>
      </c>
      <c r="T146" s="22" t="n">
        <v>52</v>
      </c>
      <c r="U146" s="22" t="n">
        <v>65</v>
      </c>
      <c r="V146" s="22" t="n">
        <v>67</v>
      </c>
      <c r="W146" s="22" t="n">
        <v>113</v>
      </c>
      <c r="X146" s="22" t="n">
        <v>119</v>
      </c>
    </row>
    <row r="147">
      <c r="A147" s="20" t="inlineStr">
        <is>
          <t>손상차손</t>
        </is>
      </c>
      <c r="D147" s="22" t="n">
        <v>0</v>
      </c>
      <c r="T147" s="22" t="n">
        <v>0</v>
      </c>
      <c r="U147" s="22" t="n">
        <v>52</v>
      </c>
      <c r="V147" s="22" t="n">
        <v>0</v>
      </c>
    </row>
    <row r="148">
      <c r="A148" s="20" t="inlineStr">
        <is>
          <t>영업권 상각</t>
        </is>
      </c>
      <c r="D148" s="22" t="n">
        <v>0</v>
      </c>
      <c r="H148" s="22" t="n">
        <v>4</v>
      </c>
      <c r="L148" s="22" t="n">
        <v>0</v>
      </c>
      <c r="V148" s="22" t="n">
        <v>0</v>
      </c>
      <c r="W148" s="22" t="n">
        <v>4</v>
      </c>
      <c r="X148" s="22" t="n">
        <v>0</v>
      </c>
    </row>
    <row r="149">
      <c r="A149" s="20" t="inlineStr">
        <is>
          <t>주식보상비용</t>
        </is>
      </c>
      <c r="D149" s="22" t="n">
        <v>19</v>
      </c>
      <c r="H149" s="22" t="n">
        <v>20</v>
      </c>
      <c r="L149" s="22" t="n">
        <v>53</v>
      </c>
      <c r="T149" s="22" t="n">
        <v>0</v>
      </c>
      <c r="U149" s="22" t="n">
        <v>17</v>
      </c>
      <c r="V149" s="22" t="n">
        <v>19</v>
      </c>
      <c r="W149" s="22" t="n">
        <v>20</v>
      </c>
      <c r="X149" s="22" t="n">
        <v>53</v>
      </c>
    </row>
    <row r="150">
      <c r="A150" s="20" t="inlineStr">
        <is>
          <t>대손충당금 증감</t>
        </is>
      </c>
      <c r="D150" s="22" t="n">
        <v>-0</v>
      </c>
      <c r="H150" s="22" t="n">
        <v>-2</v>
      </c>
      <c r="L150" s="22" t="n">
        <v>54</v>
      </c>
      <c r="O150" s="22" t="n">
        <v>0</v>
      </c>
      <c r="P150" s="22" t="n">
        <v>1</v>
      </c>
      <c r="Q150" s="22" t="n">
        <v>2</v>
      </c>
      <c r="R150" s="22" t="n">
        <v>-2</v>
      </c>
      <c r="S150" s="22" t="n">
        <v>0</v>
      </c>
      <c r="T150" s="22" t="n">
        <v>-0</v>
      </c>
      <c r="U150" s="22" t="n">
        <v>-0</v>
      </c>
      <c r="V150" s="22" t="n">
        <v>-0</v>
      </c>
      <c r="W150" s="22" t="n">
        <v>-2</v>
      </c>
      <c r="X150" s="22" t="n">
        <v>54</v>
      </c>
    </row>
    <row r="151">
      <c r="A151" s="20" t="inlineStr">
        <is>
          <t>이자·배당금 수익</t>
        </is>
      </c>
      <c r="D151" s="22" t="n">
        <v>-100</v>
      </c>
      <c r="H151" s="22" t="n">
        <v>-120</v>
      </c>
      <c r="L151" s="22" t="n">
        <v>-145</v>
      </c>
      <c r="O151" s="22" t="n">
        <v>-74</v>
      </c>
      <c r="P151" s="22" t="n">
        <v>-55</v>
      </c>
      <c r="Q151" s="22" t="n">
        <v>-79</v>
      </c>
      <c r="R151" s="22" t="n">
        <v>-54</v>
      </c>
      <c r="S151" s="22" t="n">
        <v>-56</v>
      </c>
      <c r="T151" s="22" t="n">
        <v>-67</v>
      </c>
      <c r="U151" s="22" t="n">
        <v>-113</v>
      </c>
      <c r="V151" s="22" t="n">
        <v>-100</v>
      </c>
      <c r="W151" s="22" t="n">
        <v>-120</v>
      </c>
      <c r="X151" s="22" t="n">
        <v>-145</v>
      </c>
    </row>
    <row r="152">
      <c r="A152" s="20" t="inlineStr">
        <is>
          <t>이자비용</t>
        </is>
      </c>
      <c r="D152" s="22" t="n">
        <v>0</v>
      </c>
      <c r="H152" s="22" t="n">
        <v>1</v>
      </c>
      <c r="L152" s="22" t="n">
        <v>6</v>
      </c>
      <c r="V152" s="22" t="n">
        <v>0</v>
      </c>
      <c r="W152" s="22" t="n">
        <v>1</v>
      </c>
      <c r="X152" s="22" t="n">
        <v>6</v>
      </c>
    </row>
    <row r="153">
      <c r="A153" s="20" t="inlineStr">
        <is>
          <t>외환차손익</t>
        </is>
      </c>
      <c r="D153" s="22" t="n">
        <v>-97</v>
      </c>
      <c r="H153" s="22" t="n">
        <v>-5</v>
      </c>
      <c r="L153" s="22" t="n">
        <v>-49</v>
      </c>
      <c r="O153" s="22" t="n">
        <v>4</v>
      </c>
      <c r="P153" s="22" t="n">
        <v>15</v>
      </c>
      <c r="Q153" s="22" t="n">
        <v>-62</v>
      </c>
      <c r="R153" s="22" t="n">
        <v>-10</v>
      </c>
      <c r="S153" s="22" t="n">
        <v>3</v>
      </c>
      <c r="T153" s="22" t="n">
        <v>-86</v>
      </c>
      <c r="U153" s="22" t="n">
        <v>-117</v>
      </c>
      <c r="V153" s="22" t="n">
        <v>-97</v>
      </c>
      <c r="W153" s="22" t="n">
        <v>-5</v>
      </c>
      <c r="X153" s="22" t="n">
        <v>-49</v>
      </c>
    </row>
    <row r="154">
      <c r="A154" s="20" t="inlineStr">
        <is>
          <t>보험금 수익</t>
        </is>
      </c>
      <c r="Q154" s="22" t="n">
        <v>0</v>
      </c>
      <c r="R154" s="22" t="n">
        <v>-41</v>
      </c>
      <c r="S154" s="22" t="n">
        <v>0</v>
      </c>
    </row>
    <row r="155">
      <c r="A155" s="20" t="inlineStr">
        <is>
          <t>보조금 수입</t>
        </is>
      </c>
      <c r="R155" s="22" t="n">
        <v>0</v>
      </c>
      <c r="S155" s="22" t="n">
        <v>-50</v>
      </c>
      <c r="T155" s="22" t="n">
        <v>0</v>
      </c>
    </row>
    <row r="156">
      <c r="A156" s="20" t="inlineStr">
        <is>
          <t>투자유가증권 매각손익</t>
        </is>
      </c>
      <c r="D156" s="22" t="n">
        <v>-4</v>
      </c>
      <c r="H156" s="22" t="n">
        <v>-1</v>
      </c>
      <c r="L156" s="22" t="n">
        <v>-175</v>
      </c>
      <c r="O156" s="22" t="n">
        <v>-0</v>
      </c>
      <c r="P156" s="22" t="n">
        <v>-0</v>
      </c>
      <c r="Q156" s="22" t="n">
        <v>8</v>
      </c>
      <c r="R156" s="22" t="n">
        <v>-15</v>
      </c>
      <c r="S156" s="22" t="n">
        <v>-58</v>
      </c>
      <c r="T156" s="22" t="n">
        <v>-23</v>
      </c>
      <c r="U156" s="22" t="n">
        <v>-29</v>
      </c>
      <c r="V156" s="22" t="n">
        <v>-4</v>
      </c>
      <c r="W156" s="22" t="n">
        <v>-1</v>
      </c>
      <c r="X156" s="22" t="n">
        <v>-175</v>
      </c>
    </row>
    <row r="157">
      <c r="A157" s="20" t="inlineStr">
        <is>
          <t>투자유가증권 평가손익</t>
        </is>
      </c>
      <c r="Q157" s="22" t="n">
        <v>0</v>
      </c>
      <c r="R157" s="22" t="n">
        <v>33</v>
      </c>
      <c r="S157" s="22" t="n">
        <v>0</v>
      </c>
    </row>
    <row r="158">
      <c r="A158" s="20" t="inlineStr">
        <is>
          <t>유가증권 상환손익</t>
        </is>
      </c>
      <c r="D158" s="22" t="n">
        <v>-13</v>
      </c>
      <c r="H158" s="22" t="n">
        <v>-115</v>
      </c>
      <c r="L158" s="22" t="n">
        <v>-19</v>
      </c>
      <c r="U158" s="22" t="n">
        <v>0</v>
      </c>
      <c r="V158" s="22" t="n">
        <v>-13</v>
      </c>
      <c r="W158" s="22" t="n">
        <v>-115</v>
      </c>
      <c r="X158" s="22" t="n">
        <v>-19</v>
      </c>
    </row>
    <row r="159">
      <c r="A159" s="20" t="inlineStr">
        <is>
          <t>고정자산 제각·매각손익</t>
        </is>
      </c>
      <c r="D159" s="22" t="n">
        <v>-1</v>
      </c>
      <c r="H159" s="22" t="n">
        <v>1</v>
      </c>
      <c r="L159" s="22" t="n">
        <v>-2</v>
      </c>
      <c r="O159" s="22" t="n">
        <v>-0</v>
      </c>
      <c r="P159" s="22" t="n">
        <v>-3</v>
      </c>
      <c r="Q159" s="22" t="n">
        <v>2</v>
      </c>
      <c r="R159" s="22" t="n">
        <v>0</v>
      </c>
      <c r="S159" s="22" t="n">
        <v>0</v>
      </c>
      <c r="T159" s="22" t="n">
        <v>-0</v>
      </c>
      <c r="U159" s="22" t="n">
        <v>4</v>
      </c>
      <c r="V159" s="22" t="n">
        <v>-1</v>
      </c>
      <c r="W159" s="22" t="n">
        <v>1</v>
      </c>
      <c r="X159" s="22" t="n">
        <v>-2</v>
      </c>
    </row>
    <row r="160">
      <c r="A160" s="20" t="inlineStr">
        <is>
          <t>골프회원권 평가손실</t>
        </is>
      </c>
      <c r="P160" s="22" t="n">
        <v>0</v>
      </c>
      <c r="Q160" s="22" t="n">
        <v>1</v>
      </c>
      <c r="R160" s="22" t="n">
        <v>0</v>
      </c>
    </row>
    <row r="161">
      <c r="A161" s="20" t="inlineStr">
        <is>
          <t>골프회원권 매각손익</t>
        </is>
      </c>
      <c r="Q161" s="22" t="n">
        <v>0</v>
      </c>
      <c r="R161" s="22" t="n">
        <v>-5</v>
      </c>
      <c r="S161" s="22" t="n">
        <v>0</v>
      </c>
    </row>
    <row r="162">
      <c r="A162" s="20" t="inlineStr">
        <is>
          <t>매출채권 증감</t>
        </is>
      </c>
      <c r="D162" s="22" t="n">
        <v>-488</v>
      </c>
      <c r="H162" s="22" t="n">
        <v>597</v>
      </c>
      <c r="L162" s="22" t="n">
        <v>410</v>
      </c>
      <c r="O162" s="22" t="n">
        <v>-841</v>
      </c>
      <c r="P162" s="22" t="n">
        <v>-666</v>
      </c>
      <c r="Q162" s="22" t="n">
        <v>225</v>
      </c>
      <c r="R162" s="22" t="n">
        <v>640</v>
      </c>
      <c r="S162" s="22" t="n">
        <v>238</v>
      </c>
      <c r="T162" s="22" t="n">
        <v>-1575</v>
      </c>
      <c r="U162" s="22" t="n">
        <v>922</v>
      </c>
      <c r="V162" s="22" t="n">
        <v>-488</v>
      </c>
      <c r="W162" s="22" t="n">
        <v>597</v>
      </c>
      <c r="X162" s="22" t="n">
        <v>410</v>
      </c>
    </row>
    <row r="163">
      <c r="A163" s="20" t="inlineStr">
        <is>
          <t>재고자산 증감</t>
        </is>
      </c>
      <c r="D163" s="22" t="n">
        <v>-100</v>
      </c>
      <c r="H163" s="22" t="n">
        <v>1093</v>
      </c>
      <c r="L163" s="22" t="n">
        <v>568</v>
      </c>
      <c r="O163" s="22" t="n">
        <v>-87</v>
      </c>
      <c r="P163" s="22" t="n">
        <v>-1006</v>
      </c>
      <c r="Q163" s="22" t="n">
        <v>-186</v>
      </c>
      <c r="R163" s="22" t="n">
        <v>108</v>
      </c>
      <c r="S163" s="22" t="n">
        <v>478</v>
      </c>
      <c r="T163" s="22" t="n">
        <v>-695</v>
      </c>
      <c r="U163" s="22" t="n">
        <v>-1325</v>
      </c>
      <c r="V163" s="22" t="n">
        <v>-100</v>
      </c>
      <c r="W163" s="22" t="n">
        <v>1093</v>
      </c>
      <c r="X163" s="22" t="n">
        <v>568</v>
      </c>
    </row>
    <row r="164">
      <c r="A164" s="20" t="inlineStr">
        <is>
          <t>매입채무 증감</t>
        </is>
      </c>
      <c r="D164" s="22" t="n">
        <v>-268</v>
      </c>
      <c r="H164" s="22" t="n">
        <v>-145</v>
      </c>
      <c r="L164" s="22" t="n">
        <v>118</v>
      </c>
      <c r="O164" s="22" t="n">
        <v>107</v>
      </c>
      <c r="P164" s="22" t="n">
        <v>138</v>
      </c>
      <c r="Q164" s="22" t="n">
        <v>-133</v>
      </c>
      <c r="R164" s="22" t="n">
        <v>-121</v>
      </c>
      <c r="S164" s="22" t="n">
        <v>136</v>
      </c>
      <c r="T164" s="22" t="n">
        <v>62</v>
      </c>
      <c r="U164" s="22" t="n">
        <v>53</v>
      </c>
      <c r="V164" s="22" t="n">
        <v>-268</v>
      </c>
      <c r="W164" s="22" t="n">
        <v>-145</v>
      </c>
      <c r="X164" s="22" t="n">
        <v>118</v>
      </c>
    </row>
    <row r="165">
      <c r="A165" s="20" t="inlineStr">
        <is>
          <t>미수 소비세 증감</t>
        </is>
      </c>
      <c r="D165" s="22" t="n">
        <v>124</v>
      </c>
      <c r="H165" s="22" t="n">
        <v>259</v>
      </c>
      <c r="L165" s="22" t="n">
        <v>-104</v>
      </c>
      <c r="O165" s="22" t="n">
        <v>-14</v>
      </c>
      <c r="P165" s="22" t="n">
        <v>-119</v>
      </c>
      <c r="Q165" s="22" t="n">
        <v>-5</v>
      </c>
      <c r="R165" s="22" t="n">
        <v>118</v>
      </c>
      <c r="S165" s="22" t="n">
        <v>-28</v>
      </c>
      <c r="T165" s="22" t="n">
        <v>-170</v>
      </c>
      <c r="U165" s="22" t="n">
        <v>-138</v>
      </c>
      <c r="V165" s="22" t="n">
        <v>124</v>
      </c>
      <c r="W165" s="22" t="n">
        <v>259</v>
      </c>
      <c r="X165" s="22" t="n">
        <v>-104</v>
      </c>
    </row>
    <row r="166">
      <c r="A166" s="20" t="inlineStr">
        <is>
          <t>미수금 증감</t>
        </is>
      </c>
      <c r="D166" s="22" t="n">
        <v>-0</v>
      </c>
      <c r="H166" s="22" t="n">
        <v>0</v>
      </c>
      <c r="L166" s="22" t="n">
        <v>0</v>
      </c>
      <c r="O166" s="22" t="n">
        <v>0</v>
      </c>
      <c r="P166" s="22" t="n">
        <v>0</v>
      </c>
      <c r="Q166" s="22" t="n">
        <v>-0</v>
      </c>
      <c r="R166" s="22" t="n">
        <v>-0</v>
      </c>
      <c r="S166" s="22" t="n">
        <v>0</v>
      </c>
      <c r="T166" s="22" t="n">
        <v>0</v>
      </c>
      <c r="U166" s="22" t="n">
        <v>-0</v>
      </c>
      <c r="V166" s="22" t="n">
        <v>-0</v>
      </c>
      <c r="W166" s="22" t="n">
        <v>0</v>
      </c>
      <c r="X166" s="22" t="n">
        <v>0</v>
      </c>
    </row>
    <row r="167">
      <c r="A167" s="20" t="inlineStr">
        <is>
          <t>미지급비용 증감</t>
        </is>
      </c>
      <c r="D167" s="22" t="n">
        <v>13</v>
      </c>
      <c r="H167" s="22" t="n">
        <v>-24</v>
      </c>
      <c r="L167" s="22" t="n">
        <v>0</v>
      </c>
      <c r="O167" s="22" t="n">
        <v>-0</v>
      </c>
      <c r="P167" s="22" t="n">
        <v>28</v>
      </c>
      <c r="Q167" s="22" t="n">
        <v>1</v>
      </c>
      <c r="R167" s="22" t="n">
        <v>-33</v>
      </c>
      <c r="S167" s="22" t="n">
        <v>0</v>
      </c>
      <c r="T167" s="22" t="n">
        <v>18</v>
      </c>
      <c r="U167" s="22" t="n">
        <v>6</v>
      </c>
      <c r="V167" s="22" t="n">
        <v>13</v>
      </c>
      <c r="W167" s="22" t="n">
        <v>-24</v>
      </c>
      <c r="X167" s="22" t="n">
        <v>0</v>
      </c>
    </row>
    <row r="168">
      <c r="A168" s="20" t="inlineStr">
        <is>
          <t>제품보증 충당금 증감</t>
        </is>
      </c>
      <c r="D168" s="22" t="n">
        <v>42</v>
      </c>
      <c r="H168" s="22" t="n">
        <v>-32</v>
      </c>
      <c r="L168" s="22" t="n">
        <v>-18</v>
      </c>
      <c r="O168" s="22" t="n">
        <v>15</v>
      </c>
      <c r="P168" s="22" t="n">
        <v>7</v>
      </c>
      <c r="Q168" s="22" t="n">
        <v>-12</v>
      </c>
      <c r="R168" s="22" t="n">
        <v>-10</v>
      </c>
      <c r="S168" s="22" t="n">
        <v>19</v>
      </c>
      <c r="T168" s="22" t="n">
        <v>7</v>
      </c>
      <c r="U168" s="22" t="n">
        <v>-1</v>
      </c>
      <c r="V168" s="22" t="n">
        <v>42</v>
      </c>
      <c r="W168" s="22" t="n">
        <v>-32</v>
      </c>
      <c r="X168" s="22" t="n">
        <v>-18</v>
      </c>
    </row>
    <row r="169">
      <c r="A169" s="20" t="inlineStr">
        <is>
          <t>퇴직급여부채 증감</t>
        </is>
      </c>
      <c r="D169" s="22" t="n">
        <v>0</v>
      </c>
      <c r="H169" s="22" t="n">
        <v>10</v>
      </c>
      <c r="L169" s="22" t="n">
        <v>1</v>
      </c>
      <c r="O169" s="22" t="n">
        <v>-18</v>
      </c>
      <c r="P169" s="22" t="n">
        <v>-28</v>
      </c>
      <c r="Q169" s="22" t="n">
        <v>0</v>
      </c>
      <c r="R169" s="22" t="n">
        <v>29</v>
      </c>
      <c r="S169" s="22" t="n">
        <v>-29</v>
      </c>
      <c r="T169" s="22" t="n">
        <v>0</v>
      </c>
      <c r="V169" s="22" t="n">
        <v>0</v>
      </c>
      <c r="W169" s="22" t="n">
        <v>10</v>
      </c>
      <c r="X169" s="22" t="n">
        <v>1</v>
      </c>
    </row>
    <row r="170">
      <c r="A170" s="20" t="inlineStr">
        <is>
          <t>퇴직급여자산 증감</t>
        </is>
      </c>
      <c r="D170" s="22" t="n">
        <v>-104</v>
      </c>
      <c r="H170" s="22" t="n">
        <v>9</v>
      </c>
      <c r="L170" s="22" t="n">
        <v>-71</v>
      </c>
      <c r="O170" s="22" t="n">
        <v>0</v>
      </c>
      <c r="P170" s="22" t="n">
        <v>-1</v>
      </c>
      <c r="Q170" s="22" t="n">
        <v>-0</v>
      </c>
      <c r="R170" s="22" t="n">
        <v>2</v>
      </c>
      <c r="S170" s="22" t="n">
        <v>-59</v>
      </c>
      <c r="T170" s="22" t="n">
        <v>-25</v>
      </c>
      <c r="U170" s="22" t="n">
        <v>15</v>
      </c>
      <c r="V170" s="22" t="n">
        <v>-104</v>
      </c>
      <c r="W170" s="22" t="n">
        <v>9</v>
      </c>
      <c r="X170" s="22" t="n">
        <v>-71</v>
      </c>
    </row>
    <row r="171">
      <c r="A171" s="20" t="inlineStr">
        <is>
          <t>수선충당금 증감액</t>
        </is>
      </c>
      <c r="D171" s="22" t="n">
        <v>-59</v>
      </c>
      <c r="H171" s="22" t="n">
        <v>1</v>
      </c>
      <c r="L171" s="22" t="n">
        <v>-1</v>
      </c>
      <c r="S171" s="22" t="n">
        <v>0</v>
      </c>
      <c r="T171" s="22" t="n">
        <v>40</v>
      </c>
      <c r="U171" s="22" t="n">
        <v>17</v>
      </c>
      <c r="V171" s="22" t="n">
        <v>-59</v>
      </c>
      <c r="W171" s="22" t="n">
        <v>1</v>
      </c>
      <c r="X171" s="22" t="n">
        <v>-1</v>
      </c>
    </row>
    <row r="172">
      <c r="A172" s="20" t="inlineStr">
        <is>
          <t>장기미지급금 증감</t>
        </is>
      </c>
      <c r="D172" s="22" t="n">
        <v>0</v>
      </c>
      <c r="H172" s="22" t="n">
        <v>-1</v>
      </c>
      <c r="L172" s="22" t="n">
        <v>0</v>
      </c>
      <c r="O172" s="22" t="n">
        <v>-0</v>
      </c>
      <c r="P172" s="22" t="n">
        <v>0</v>
      </c>
      <c r="S172" s="22" t="n">
        <v>0</v>
      </c>
      <c r="T172" s="22" t="n">
        <v>3</v>
      </c>
      <c r="U172" s="22" t="n">
        <v>-3</v>
      </c>
      <c r="V172" s="22" t="n">
        <v>0</v>
      </c>
      <c r="W172" s="22" t="n">
        <v>-1</v>
      </c>
      <c r="X172" s="22" t="n">
        <v>0</v>
      </c>
    </row>
    <row r="173">
      <c r="A173" s="20" t="inlineStr">
        <is>
          <t>파산갱생채권 증감</t>
        </is>
      </c>
      <c r="H173" s="22" t="n">
        <v>0</v>
      </c>
      <c r="L173" s="22" t="n">
        <v>-36</v>
      </c>
      <c r="W173" s="22" t="n">
        <v>0</v>
      </c>
      <c r="X173" s="22" t="n">
        <v>-36</v>
      </c>
    </row>
    <row r="174">
      <c r="A174" s="20" t="inlineStr">
        <is>
          <t>기타 유동자산 증감</t>
        </is>
      </c>
      <c r="D174" s="22" t="n">
        <v>25</v>
      </c>
      <c r="H174" s="22" t="n">
        <v>13</v>
      </c>
      <c r="L174" s="22" t="n">
        <v>6</v>
      </c>
      <c r="O174" s="22" t="n">
        <v>8</v>
      </c>
      <c r="P174" s="22" t="n">
        <v>-2</v>
      </c>
      <c r="Q174" s="22" t="n">
        <v>-11</v>
      </c>
      <c r="R174" s="22" t="n">
        <v>6</v>
      </c>
      <c r="S174" s="22" t="n">
        <v>-0</v>
      </c>
      <c r="T174" s="22" t="n">
        <v>-30</v>
      </c>
      <c r="U174" s="22" t="n">
        <v>-24</v>
      </c>
      <c r="V174" s="22" t="n">
        <v>25</v>
      </c>
      <c r="W174" s="22" t="n">
        <v>13</v>
      </c>
      <c r="X174" s="22" t="n">
        <v>6</v>
      </c>
    </row>
    <row r="175">
      <c r="A175" s="20" t="inlineStr">
        <is>
          <t>기타 유동부채 증감</t>
        </is>
      </c>
      <c r="D175" s="22" t="n">
        <v>-98</v>
      </c>
      <c r="H175" s="22" t="n">
        <v>-154</v>
      </c>
      <c r="L175" s="22" t="n">
        <v>0</v>
      </c>
      <c r="O175" s="22" t="n">
        <v>102</v>
      </c>
      <c r="P175" s="22" t="n">
        <v>271</v>
      </c>
      <c r="Q175" s="22" t="n">
        <v>-37</v>
      </c>
      <c r="R175" s="22" t="n">
        <v>-191</v>
      </c>
      <c r="S175" s="22" t="n">
        <v>-3</v>
      </c>
      <c r="T175" s="22" t="n">
        <v>265</v>
      </c>
      <c r="U175" s="22" t="n">
        <v>80</v>
      </c>
      <c r="V175" s="22" t="n">
        <v>-98</v>
      </c>
      <c r="W175" s="22" t="n">
        <v>-154</v>
      </c>
      <c r="X175" s="22" t="n">
        <v>0</v>
      </c>
    </row>
    <row r="176">
      <c r="A176" s="20" t="inlineStr">
        <is>
          <t>기타 비유동자산 증감액</t>
        </is>
      </c>
      <c r="D176" s="22" t="n">
        <v>0</v>
      </c>
      <c r="T176" s="22" t="n">
        <v>0</v>
      </c>
      <c r="U176" s="22" t="n">
        <v>7</v>
      </c>
      <c r="V176" s="22" t="n">
        <v>0</v>
      </c>
    </row>
    <row r="177">
      <c r="A177" s="20" t="inlineStr">
        <is>
          <t>기타 비유동부채 증감액</t>
        </is>
      </c>
      <c r="D177" s="22" t="n">
        <v>0</v>
      </c>
      <c r="T177" s="22" t="n">
        <v>0</v>
      </c>
      <c r="U177" s="22" t="n">
        <v>8</v>
      </c>
      <c r="V177" s="22" t="n">
        <v>0</v>
      </c>
    </row>
    <row r="178">
      <c r="A178" s="20" t="inlineStr">
        <is>
          <t>소계</t>
        </is>
      </c>
      <c r="D178" s="22" t="n">
        <v>1096</v>
      </c>
      <c r="H178" s="22" t="n">
        <v>2200</v>
      </c>
      <c r="L178" s="22" t="n">
        <v>1457</v>
      </c>
      <c r="O178" s="22" t="n">
        <v>-439</v>
      </c>
      <c r="P178" s="22" t="n">
        <v>-471</v>
      </c>
      <c r="Q178" s="22" t="n">
        <v>1144</v>
      </c>
      <c r="R178" s="22" t="n">
        <v>529</v>
      </c>
      <c r="S178" s="22" t="n">
        <v>387</v>
      </c>
      <c r="T178" s="22" t="n">
        <v>-159</v>
      </c>
      <c r="U178" s="22" t="n">
        <v>1955</v>
      </c>
      <c r="V178" s="22" t="n">
        <v>1096</v>
      </c>
      <c r="W178" s="22" t="n">
        <v>2200</v>
      </c>
      <c r="X178" s="22" t="n">
        <v>1457</v>
      </c>
    </row>
    <row r="179">
      <c r="A179" s="20" t="inlineStr">
        <is>
          <t>이자·배당금 수취</t>
        </is>
      </c>
      <c r="D179" s="22" t="n">
        <v>103</v>
      </c>
      <c r="H179" s="22" t="n">
        <v>112</v>
      </c>
      <c r="L179" s="22" t="n">
        <v>142</v>
      </c>
      <c r="O179" s="22" t="n">
        <v>75</v>
      </c>
      <c r="P179" s="22" t="n">
        <v>56</v>
      </c>
      <c r="Q179" s="22" t="n">
        <v>79</v>
      </c>
      <c r="R179" s="22" t="n">
        <v>53</v>
      </c>
      <c r="S179" s="22" t="n">
        <v>55</v>
      </c>
      <c r="T179" s="22" t="n">
        <v>65</v>
      </c>
      <c r="U179" s="22" t="n">
        <v>109</v>
      </c>
      <c r="V179" s="22" t="n">
        <v>103</v>
      </c>
      <c r="W179" s="22" t="n">
        <v>112</v>
      </c>
      <c r="X179" s="22" t="n">
        <v>142</v>
      </c>
    </row>
    <row r="180">
      <c r="A180" s="20" t="inlineStr">
        <is>
          <t>보험금 수취</t>
        </is>
      </c>
      <c r="Q180" s="22" t="n">
        <v>0</v>
      </c>
      <c r="R180" s="22" t="n">
        <v>41</v>
      </c>
      <c r="S180" s="22" t="n">
        <v>0</v>
      </c>
    </row>
    <row r="181">
      <c r="A181" s="20" t="inlineStr">
        <is>
          <t>보조금 수취</t>
        </is>
      </c>
      <c r="R181" s="22" t="n">
        <v>0</v>
      </c>
      <c r="S181" s="22" t="n">
        <v>50</v>
      </c>
      <c r="T181" s="22" t="n">
        <v>0</v>
      </c>
    </row>
    <row r="182">
      <c r="A182" s="20" t="inlineStr">
        <is>
          <t>이자 지급</t>
        </is>
      </c>
      <c r="D182" s="22" t="n">
        <v>0</v>
      </c>
      <c r="H182" s="22" t="n">
        <v>-1</v>
      </c>
      <c r="L182" s="22" t="n">
        <v>-6</v>
      </c>
      <c r="V182" s="22" t="n">
        <v>0</v>
      </c>
      <c r="W182" s="22" t="n">
        <v>-1</v>
      </c>
      <c r="X182" s="22" t="n">
        <v>-6</v>
      </c>
    </row>
    <row r="183">
      <c r="A183" s="20" t="inlineStr">
        <is>
          <t>법인세 환급</t>
        </is>
      </c>
      <c r="D183" s="22" t="n">
        <v>0</v>
      </c>
      <c r="H183" s="22" t="n">
        <v>0</v>
      </c>
      <c r="L183" s="22" t="n">
        <v>24</v>
      </c>
      <c r="O183" s="22" t="n">
        <v>22</v>
      </c>
      <c r="P183" s="22" t="n">
        <v>0</v>
      </c>
      <c r="R183" s="22" t="n">
        <v>0</v>
      </c>
      <c r="S183" s="22" t="n">
        <v>62</v>
      </c>
      <c r="T183" s="22" t="n">
        <v>12</v>
      </c>
      <c r="U183" s="22" t="n">
        <v>0</v>
      </c>
      <c r="V183" s="22" t="n">
        <v>0</v>
      </c>
      <c r="W183" s="22" t="n">
        <v>0</v>
      </c>
      <c r="X183" s="22" t="n">
        <v>24</v>
      </c>
    </row>
    <row r="184">
      <c r="A184" s="20" t="inlineStr">
        <is>
          <t>법인세 납부</t>
        </is>
      </c>
      <c r="D184" s="22" t="n">
        <v>-328</v>
      </c>
      <c r="H184" s="22" t="n">
        <v>-544</v>
      </c>
      <c r="L184" s="22" t="n">
        <v>-154</v>
      </c>
      <c r="O184" s="22" t="n">
        <v>-20</v>
      </c>
      <c r="P184" s="22" t="n">
        <v>-59</v>
      </c>
      <c r="Q184" s="22" t="n">
        <v>-242</v>
      </c>
      <c r="R184" s="22" t="n">
        <v>-146</v>
      </c>
      <c r="S184" s="22" t="n">
        <v>-13</v>
      </c>
      <c r="T184" s="22" t="n">
        <v>-36</v>
      </c>
      <c r="U184" s="22" t="n">
        <v>-619</v>
      </c>
      <c r="V184" s="22" t="n">
        <v>-328</v>
      </c>
      <c r="W184" s="22" t="n">
        <v>-544</v>
      </c>
      <c r="X184" s="22" t="n">
        <v>-154</v>
      </c>
    </row>
    <row r="185">
      <c r="A185" s="9" t="inlineStr">
        <is>
          <t>영업활동 현금흐름</t>
        </is>
      </c>
      <c r="D185" s="12" t="n">
        <v>871</v>
      </c>
      <c r="H185" s="12" t="n">
        <v>1767</v>
      </c>
      <c r="L185" s="12" t="n">
        <v>1464</v>
      </c>
      <c r="O185" s="12" t="n">
        <v>-362</v>
      </c>
      <c r="P185" s="12" t="n">
        <v>-474</v>
      </c>
      <c r="Q185" s="12" t="n">
        <v>981</v>
      </c>
      <c r="R185" s="12" t="n">
        <v>478</v>
      </c>
      <c r="S185" s="12" t="n">
        <v>542</v>
      </c>
      <c r="T185" s="12" t="n">
        <v>-117</v>
      </c>
      <c r="U185" s="12" t="n">
        <v>1445</v>
      </c>
      <c r="V185" s="12" t="n">
        <v>871</v>
      </c>
      <c r="W185" s="12" t="n">
        <v>1767</v>
      </c>
      <c r="X185" s="12" t="n">
        <v>1464</v>
      </c>
    </row>
    <row r="186">
      <c r="A186" s="20" t="inlineStr">
        <is>
          <t>정기예금 예입</t>
        </is>
      </c>
      <c r="D186" s="22" t="n">
        <v>-163</v>
      </c>
      <c r="H186" s="22" t="n">
        <v>-15</v>
      </c>
      <c r="L186" s="22" t="n">
        <v>-13</v>
      </c>
      <c r="O186" s="22" t="n">
        <v>-4</v>
      </c>
      <c r="P186" s="22" t="n">
        <v>-4</v>
      </c>
      <c r="Q186" s="22" t="n">
        <v>-4</v>
      </c>
      <c r="R186" s="22" t="n">
        <v>-4</v>
      </c>
      <c r="S186" s="22" t="n">
        <v>-3</v>
      </c>
      <c r="T186" s="22" t="n">
        <v>-66</v>
      </c>
      <c r="U186" s="22" t="n">
        <v>-0</v>
      </c>
      <c r="V186" s="22" t="n">
        <v>-163</v>
      </c>
      <c r="W186" s="22" t="n">
        <v>-15</v>
      </c>
      <c r="X186" s="22" t="n">
        <v>-13</v>
      </c>
    </row>
    <row r="187">
      <c r="A187" s="20" t="inlineStr">
        <is>
          <t>정기예금 인출</t>
        </is>
      </c>
      <c r="D187" s="22" t="n">
        <v>0</v>
      </c>
      <c r="H187" s="22" t="n">
        <v>8</v>
      </c>
      <c r="L187" s="22" t="n">
        <v>10</v>
      </c>
      <c r="O187" s="22" t="n">
        <v>0</v>
      </c>
      <c r="P187" s="22" t="n">
        <v>6</v>
      </c>
      <c r="Q187" s="22" t="n">
        <v>50</v>
      </c>
      <c r="R187" s="22" t="n">
        <v>0</v>
      </c>
      <c r="T187" s="22" t="n">
        <v>0</v>
      </c>
      <c r="U187" s="22" t="n">
        <v>178</v>
      </c>
      <c r="V187" s="22" t="n">
        <v>0</v>
      </c>
      <c r="W187" s="22" t="n">
        <v>8</v>
      </c>
      <c r="X187" s="22" t="n">
        <v>10</v>
      </c>
    </row>
    <row r="188">
      <c r="A188" s="20" t="inlineStr">
        <is>
          <t>유가증권 취득</t>
        </is>
      </c>
      <c r="D188" s="22" t="n">
        <v>0</v>
      </c>
      <c r="H188" s="22" t="n">
        <v>-313</v>
      </c>
      <c r="L188" s="22" t="n">
        <v>-969</v>
      </c>
      <c r="Q188" s="22" t="n">
        <v>0</v>
      </c>
      <c r="R188" s="22" t="n">
        <v>-200</v>
      </c>
      <c r="S188" s="22" t="n">
        <v>0</v>
      </c>
      <c r="T188" s="22" t="n">
        <v>0</v>
      </c>
      <c r="U188" s="22" t="n">
        <v>-425</v>
      </c>
      <c r="V188" s="22" t="n">
        <v>0</v>
      </c>
      <c r="W188" s="22" t="n">
        <v>-313</v>
      </c>
      <c r="X188" s="22" t="n">
        <v>-969</v>
      </c>
    </row>
    <row r="189">
      <c r="A189" s="20" t="inlineStr">
        <is>
          <t>유가증권 매각·상환 수입</t>
        </is>
      </c>
      <c r="D189" s="22" t="n">
        <v>764</v>
      </c>
      <c r="H189" s="22" t="n">
        <v>1142</v>
      </c>
      <c r="L189" s="22" t="n">
        <v>775</v>
      </c>
      <c r="O189" s="22" t="n">
        <v>585</v>
      </c>
      <c r="P189" s="22" t="n">
        <v>0</v>
      </c>
      <c r="Q189" s="22" t="n">
        <v>96</v>
      </c>
      <c r="R189" s="22" t="n">
        <v>200</v>
      </c>
      <c r="S189" s="22" t="n">
        <v>200</v>
      </c>
      <c r="T189" s="22" t="n">
        <v>0</v>
      </c>
      <c r="U189" s="22" t="n">
        <v>110</v>
      </c>
      <c r="V189" s="22" t="n">
        <v>764</v>
      </c>
      <c r="W189" s="22" t="n">
        <v>1142</v>
      </c>
      <c r="X189" s="22" t="n">
        <v>775</v>
      </c>
    </row>
    <row r="190">
      <c r="A190" s="20" t="inlineStr">
        <is>
          <t>투자유가증권 취득</t>
        </is>
      </c>
      <c r="D190" s="22" t="n">
        <v>-275</v>
      </c>
      <c r="H190" s="22" t="n">
        <v>-1373</v>
      </c>
      <c r="L190" s="22" t="n">
        <v>-1309</v>
      </c>
      <c r="O190" s="22" t="n">
        <v>-475</v>
      </c>
      <c r="P190" s="22" t="n">
        <v>-279</v>
      </c>
      <c r="Q190" s="22" t="n">
        <v>-297</v>
      </c>
      <c r="R190" s="22" t="n">
        <v>-1601</v>
      </c>
      <c r="S190" s="22" t="n">
        <v>-198</v>
      </c>
      <c r="T190" s="22" t="n">
        <v>-1109</v>
      </c>
      <c r="U190" s="22" t="n">
        <v>-593</v>
      </c>
      <c r="V190" s="22" t="n">
        <v>-275</v>
      </c>
      <c r="W190" s="22" t="n">
        <v>-1373</v>
      </c>
      <c r="X190" s="22" t="n">
        <v>-1309</v>
      </c>
    </row>
    <row r="191">
      <c r="A191" s="20" t="inlineStr">
        <is>
          <t>투자유가증권 매각·상환 수입</t>
        </is>
      </c>
      <c r="D191" s="22" t="n">
        <v>142</v>
      </c>
      <c r="H191" s="22" t="n">
        <v>23</v>
      </c>
      <c r="L191" s="22" t="n">
        <v>181</v>
      </c>
      <c r="O191" s="22" t="n">
        <v>227</v>
      </c>
      <c r="P191" s="22" t="n">
        <v>242</v>
      </c>
      <c r="Q191" s="22" t="n">
        <v>259</v>
      </c>
      <c r="R191" s="22" t="n">
        <v>1484</v>
      </c>
      <c r="S191" s="22" t="n">
        <v>124</v>
      </c>
      <c r="T191" s="22" t="n">
        <v>382</v>
      </c>
      <c r="U191" s="22" t="n">
        <v>769</v>
      </c>
      <c r="V191" s="22" t="n">
        <v>142</v>
      </c>
      <c r="W191" s="22" t="n">
        <v>23</v>
      </c>
      <c r="X191" s="22" t="n">
        <v>181</v>
      </c>
    </row>
    <row r="192">
      <c r="A192" s="20" t="inlineStr">
        <is>
          <t>유형자산 취득(설비투자)</t>
        </is>
      </c>
      <c r="D192" s="22" t="n">
        <v>-64</v>
      </c>
      <c r="H192" s="22" t="n">
        <v>-54</v>
      </c>
      <c r="L192" s="22" t="n">
        <v>-51</v>
      </c>
      <c r="O192" s="22" t="n">
        <v>-8</v>
      </c>
      <c r="P192" s="22" t="n">
        <v>-31</v>
      </c>
      <c r="Q192" s="22" t="n">
        <v>-31</v>
      </c>
      <c r="R192" s="22" t="n">
        <v>-5</v>
      </c>
      <c r="S192" s="22" t="n">
        <v>-35</v>
      </c>
      <c r="T192" s="22" t="n">
        <v>-30</v>
      </c>
      <c r="U192" s="22" t="n">
        <v>-64</v>
      </c>
      <c r="V192" s="22" t="n">
        <v>-64</v>
      </c>
      <c r="W192" s="22" t="n">
        <v>-54</v>
      </c>
      <c r="X192" s="22" t="n">
        <v>-51</v>
      </c>
    </row>
    <row r="193">
      <c r="A193" s="20" t="inlineStr">
        <is>
          <t>유형자산 매각</t>
        </is>
      </c>
      <c r="D193" s="22" t="n">
        <v>2</v>
      </c>
      <c r="H193" s="22" t="n">
        <v>0</v>
      </c>
      <c r="L193" s="22" t="n">
        <v>10</v>
      </c>
      <c r="O193" s="22" t="n">
        <v>0</v>
      </c>
      <c r="P193" s="22" t="n">
        <v>5</v>
      </c>
      <c r="Q193" s="22" t="n">
        <v>2</v>
      </c>
      <c r="R193" s="22" t="n">
        <v>0</v>
      </c>
      <c r="S193" s="22" t="n">
        <v>0</v>
      </c>
      <c r="T193" s="22" t="n">
        <v>0</v>
      </c>
      <c r="U193" s="22" t="n">
        <v>0</v>
      </c>
      <c r="V193" s="22" t="n">
        <v>2</v>
      </c>
      <c r="W193" s="22" t="n">
        <v>0</v>
      </c>
      <c r="X193" s="22" t="n">
        <v>10</v>
      </c>
    </row>
    <row r="194">
      <c r="A194" s="20" t="inlineStr">
        <is>
          <t>무형자산 취득</t>
        </is>
      </c>
      <c r="D194" s="22" t="n">
        <v>-231</v>
      </c>
      <c r="H194" s="22" t="n">
        <v>-292</v>
      </c>
      <c r="L194" s="22" t="n">
        <v>-40</v>
      </c>
      <c r="O194" s="22" t="n">
        <v>-1</v>
      </c>
      <c r="P194" s="22" t="n">
        <v>-7</v>
      </c>
      <c r="Q194" s="22" t="n">
        <v>-3</v>
      </c>
      <c r="R194" s="22" t="n">
        <v>-1</v>
      </c>
      <c r="S194" s="22" t="n">
        <v>-1</v>
      </c>
      <c r="T194" s="22" t="n">
        <v>-5</v>
      </c>
      <c r="U194" s="22" t="n">
        <v>-82</v>
      </c>
      <c r="V194" s="22" t="n">
        <v>-231</v>
      </c>
      <c r="W194" s="22" t="n">
        <v>-292</v>
      </c>
      <c r="X194" s="22" t="n">
        <v>-40</v>
      </c>
    </row>
    <row r="195">
      <c r="A195" s="20" t="inlineStr">
        <is>
          <t>골프회원권 매각</t>
        </is>
      </c>
      <c r="Q195" s="22" t="n">
        <v>0</v>
      </c>
      <c r="R195" s="22" t="n">
        <v>9</v>
      </c>
      <c r="S195" s="22" t="n">
        <v>0</v>
      </c>
    </row>
    <row r="196">
      <c r="A196" s="20" t="inlineStr">
        <is>
          <t>보험적립금 적립</t>
        </is>
      </c>
      <c r="D196" s="22" t="n">
        <v>-51</v>
      </c>
      <c r="H196" s="22" t="n">
        <v>-72</v>
      </c>
      <c r="L196" s="22" t="n">
        <v>-77</v>
      </c>
      <c r="O196" s="22" t="n">
        <v>-60</v>
      </c>
      <c r="P196" s="22" t="n">
        <v>-40</v>
      </c>
      <c r="Q196" s="22" t="n">
        <v>-40</v>
      </c>
      <c r="R196" s="22" t="n">
        <v>-40</v>
      </c>
      <c r="S196" s="22" t="n">
        <v>-50</v>
      </c>
      <c r="T196" s="22" t="n">
        <v>-71</v>
      </c>
      <c r="U196" s="22" t="n">
        <v>-61</v>
      </c>
      <c r="V196" s="22" t="n">
        <v>-51</v>
      </c>
      <c r="W196" s="22" t="n">
        <v>-72</v>
      </c>
      <c r="X196" s="22" t="n">
        <v>-77</v>
      </c>
    </row>
    <row r="197">
      <c r="A197" s="20" t="inlineStr">
        <is>
          <t>보험적립금 해약</t>
        </is>
      </c>
      <c r="D197" s="22" t="n">
        <v>27</v>
      </c>
      <c r="H197" s="22" t="n">
        <v>71</v>
      </c>
      <c r="L197" s="22" t="n">
        <v>79</v>
      </c>
      <c r="O197" s="22" t="n">
        <v>79</v>
      </c>
      <c r="P197" s="22" t="n">
        <v>52</v>
      </c>
      <c r="Q197" s="22" t="n">
        <v>0</v>
      </c>
      <c r="R197" s="22" t="n">
        <v>44</v>
      </c>
      <c r="S197" s="22" t="n">
        <v>0</v>
      </c>
      <c r="T197" s="22" t="n">
        <v>75</v>
      </c>
      <c r="U197" s="22" t="n">
        <v>60</v>
      </c>
      <c r="V197" s="22" t="n">
        <v>27</v>
      </c>
      <c r="W197" s="22" t="n">
        <v>71</v>
      </c>
      <c r="X197" s="22" t="n">
        <v>79</v>
      </c>
    </row>
    <row r="198">
      <c r="A198" s="20" t="inlineStr">
        <is>
          <t>연결범위 변경 자회사 주식 취득</t>
        </is>
      </c>
      <c r="D198" s="22" t="n">
        <v>0</v>
      </c>
      <c r="H198" s="22" t="n">
        <v>-22</v>
      </c>
      <c r="L198" s="22" t="n">
        <v>0</v>
      </c>
      <c r="V198" s="22" t="n">
        <v>0</v>
      </c>
      <c r="W198" s="22" t="n">
        <v>-22</v>
      </c>
      <c r="X198" s="22" t="n">
        <v>0</v>
      </c>
    </row>
    <row r="199">
      <c r="A199" s="20" t="inlineStr">
        <is>
          <t>기타</t>
        </is>
      </c>
      <c r="D199" s="22" t="n">
        <v>1</v>
      </c>
      <c r="H199" s="22" t="n">
        <v>-1</v>
      </c>
      <c r="L199" s="22" t="n">
        <v>1</v>
      </c>
      <c r="O199" s="22" t="n">
        <v>-0</v>
      </c>
      <c r="P199" s="22" t="n">
        <v>2</v>
      </c>
      <c r="Q199" s="22" t="n">
        <v>1</v>
      </c>
      <c r="R199" s="22" t="n">
        <v>-0</v>
      </c>
      <c r="S199" s="22" t="n">
        <v>-4</v>
      </c>
      <c r="T199" s="22" t="n">
        <v>-1</v>
      </c>
      <c r="U199" s="22" t="n">
        <v>-10</v>
      </c>
      <c r="V199" s="22" t="n">
        <v>1</v>
      </c>
      <c r="W199" s="22" t="n">
        <v>-1</v>
      </c>
      <c r="X199" s="22" t="n">
        <v>1</v>
      </c>
    </row>
    <row r="200">
      <c r="A200" s="9" t="inlineStr">
        <is>
          <t>투자활동 현금흐름</t>
        </is>
      </c>
      <c r="D200" s="12" t="n">
        <v>149</v>
      </c>
      <c r="H200" s="12" t="n">
        <v>-900</v>
      </c>
      <c r="L200" s="12" t="n">
        <v>-1402</v>
      </c>
      <c r="O200" s="12" t="n">
        <v>342</v>
      </c>
      <c r="P200" s="12" t="n">
        <v>-53</v>
      </c>
      <c r="Q200" s="12" t="n">
        <v>33</v>
      </c>
      <c r="R200" s="12" t="n">
        <v>-115</v>
      </c>
      <c r="S200" s="12" t="n">
        <v>30</v>
      </c>
      <c r="T200" s="12" t="n">
        <v>-825</v>
      </c>
      <c r="U200" s="12" t="n">
        <v>-117</v>
      </c>
      <c r="V200" s="12" t="n">
        <v>149</v>
      </c>
      <c r="W200" s="12" t="n">
        <v>-900</v>
      </c>
      <c r="X200" s="12" t="n">
        <v>-1402</v>
      </c>
    </row>
    <row r="201">
      <c r="A201" s="20" t="inlineStr">
        <is>
          <t>리스부채 상환</t>
        </is>
      </c>
      <c r="O201" s="22" t="n">
        <v>-24</v>
      </c>
      <c r="P201" s="22" t="n">
        <v>-24</v>
      </c>
      <c r="Q201" s="22" t="n">
        <v>-24</v>
      </c>
      <c r="R201" s="22" t="n">
        <v>-17</v>
      </c>
      <c r="S201" s="22" t="n">
        <v>0</v>
      </c>
    </row>
    <row r="202">
      <c r="A202" s="20" t="inlineStr">
        <is>
          <t>단기차입금 증감</t>
        </is>
      </c>
      <c r="H202" s="22" t="n">
        <v>0</v>
      </c>
      <c r="L202" s="22" t="n">
        <v>-40</v>
      </c>
      <c r="W202" s="22" t="n">
        <v>0</v>
      </c>
      <c r="X202" s="22" t="n">
        <v>-40</v>
      </c>
    </row>
    <row r="203">
      <c r="A203" s="20" t="inlineStr">
        <is>
          <t>장기차입금 상환</t>
        </is>
      </c>
      <c r="D203" s="22" t="n">
        <v>0</v>
      </c>
      <c r="H203" s="22" t="n">
        <v>-12</v>
      </c>
      <c r="L203" s="22" t="n">
        <v>-62</v>
      </c>
      <c r="V203" s="22" t="n">
        <v>0</v>
      </c>
      <c r="W203" s="22" t="n">
        <v>-12</v>
      </c>
      <c r="X203" s="22" t="n">
        <v>-62</v>
      </c>
    </row>
    <row r="204">
      <c r="A204" s="20" t="inlineStr">
        <is>
          <t>자기주식 취득</t>
        </is>
      </c>
      <c r="D204" s="22" t="n">
        <v>-140</v>
      </c>
      <c r="H204" s="22" t="n">
        <v>-99</v>
      </c>
      <c r="L204" s="22" t="n">
        <v>-599</v>
      </c>
      <c r="O204" s="22" t="n">
        <v>-0</v>
      </c>
      <c r="P204" s="22" t="n">
        <v>-0</v>
      </c>
      <c r="Q204" s="22" t="n">
        <v>0</v>
      </c>
      <c r="R204" s="22" t="n">
        <v>-0</v>
      </c>
      <c r="S204" s="22" t="n">
        <v>0</v>
      </c>
      <c r="T204" s="22" t="n">
        <v>-0</v>
      </c>
      <c r="U204" s="22" t="n">
        <v>-229</v>
      </c>
      <c r="V204" s="22" t="n">
        <v>-140</v>
      </c>
      <c r="W204" s="22" t="n">
        <v>-99</v>
      </c>
      <c r="X204" s="22" t="n">
        <v>-599</v>
      </c>
    </row>
    <row r="205">
      <c r="A205" s="20" t="inlineStr">
        <is>
          <t>배당금 지급</t>
        </is>
      </c>
      <c r="D205" s="22" t="n">
        <v>-551</v>
      </c>
      <c r="H205" s="22" t="n">
        <v>-382</v>
      </c>
      <c r="L205" s="22" t="n">
        <v>-391</v>
      </c>
      <c r="O205" s="22" t="n">
        <v>-0</v>
      </c>
      <c r="P205" s="22" t="n">
        <v>-111</v>
      </c>
      <c r="Q205" s="22" t="n">
        <v>-223</v>
      </c>
      <c r="R205" s="22" t="n">
        <v>-279</v>
      </c>
      <c r="S205" s="22" t="n">
        <v>-112</v>
      </c>
      <c r="T205" s="22" t="n">
        <v>-58</v>
      </c>
      <c r="U205" s="22" t="n">
        <v>-446</v>
      </c>
      <c r="V205" s="22" t="n">
        <v>-551</v>
      </c>
      <c r="W205" s="22" t="n">
        <v>-382</v>
      </c>
      <c r="X205" s="22" t="n">
        <v>-391</v>
      </c>
    </row>
    <row r="206">
      <c r="A206" s="20" t="inlineStr">
        <is>
          <t>비지배주주 배당금 지급</t>
        </is>
      </c>
      <c r="D206" s="22" t="n">
        <v>-0</v>
      </c>
      <c r="H206" s="22" t="n">
        <v>-0</v>
      </c>
      <c r="L206" s="22" t="n">
        <v>-0</v>
      </c>
      <c r="O206" s="22" t="n">
        <v>-0</v>
      </c>
      <c r="P206" s="22" t="n">
        <v>-0</v>
      </c>
      <c r="Q206" s="22" t="n">
        <v>-0</v>
      </c>
      <c r="R206" s="22" t="n">
        <v>-0</v>
      </c>
      <c r="S206" s="22" t="n">
        <v>0</v>
      </c>
      <c r="T206" s="22" t="n">
        <v>0</v>
      </c>
      <c r="U206" s="22" t="n">
        <v>-0</v>
      </c>
      <c r="V206" s="22" t="n">
        <v>-0</v>
      </c>
      <c r="W206" s="22" t="n">
        <v>-0</v>
      </c>
      <c r="X206" s="22" t="n">
        <v>-0</v>
      </c>
    </row>
    <row r="207">
      <c r="A207" s="9" t="inlineStr">
        <is>
          <t>재무활동 현금흐름</t>
        </is>
      </c>
      <c r="D207" s="12" t="n">
        <v>-691</v>
      </c>
      <c r="H207" s="12" t="n">
        <v>-495</v>
      </c>
      <c r="L207" s="12" t="n">
        <v>-1094</v>
      </c>
      <c r="O207" s="12" t="n">
        <v>-25</v>
      </c>
      <c r="P207" s="12" t="n">
        <v>-136</v>
      </c>
      <c r="Q207" s="12" t="n">
        <v>-248</v>
      </c>
      <c r="R207" s="12" t="n">
        <v>-296</v>
      </c>
      <c r="S207" s="12" t="n">
        <v>-112</v>
      </c>
      <c r="T207" s="12" t="n">
        <v>-58</v>
      </c>
      <c r="U207" s="12" t="n">
        <v>-676</v>
      </c>
      <c r="V207" s="12" t="n">
        <v>-691</v>
      </c>
      <c r="W207" s="12" t="n">
        <v>-495</v>
      </c>
      <c r="X207" s="12" t="n">
        <v>-1094</v>
      </c>
    </row>
    <row r="208">
      <c r="A208" s="20" t="inlineStr">
        <is>
          <t>현금성자산 환산차이</t>
        </is>
      </c>
      <c r="D208" s="22" t="n">
        <v>224</v>
      </c>
      <c r="H208" s="22" t="n">
        <v>89</v>
      </c>
      <c r="L208" s="22" t="n">
        <v>135</v>
      </c>
      <c r="O208" s="22" t="n">
        <v>-58</v>
      </c>
      <c r="P208" s="22" t="n">
        <v>3</v>
      </c>
      <c r="Q208" s="22" t="n">
        <v>46</v>
      </c>
      <c r="R208" s="22" t="n">
        <v>-14</v>
      </c>
      <c r="S208" s="22" t="n">
        <v>11</v>
      </c>
      <c r="T208" s="22" t="n">
        <v>156</v>
      </c>
      <c r="U208" s="22" t="n">
        <v>163</v>
      </c>
      <c r="V208" s="22" t="n">
        <v>224</v>
      </c>
      <c r="W208" s="22" t="n">
        <v>89</v>
      </c>
      <c r="X208" s="22" t="n">
        <v>135</v>
      </c>
    </row>
    <row r="209">
      <c r="A209" s="20" t="inlineStr">
        <is>
          <t>현금성자산 증감</t>
        </is>
      </c>
      <c r="D209" s="22" t="n">
        <v>554</v>
      </c>
      <c r="H209" s="22" t="n">
        <v>461</v>
      </c>
      <c r="L209" s="22" t="n">
        <v>-897</v>
      </c>
      <c r="O209" s="22" t="n">
        <v>-102</v>
      </c>
      <c r="P209" s="22" t="n">
        <v>-660</v>
      </c>
      <c r="Q209" s="22" t="n">
        <v>812</v>
      </c>
      <c r="R209" s="22" t="n">
        <v>50</v>
      </c>
      <c r="S209" s="22" t="n">
        <v>472</v>
      </c>
      <c r="T209" s="22" t="n">
        <v>-845</v>
      </c>
      <c r="U209" s="22" t="n">
        <v>814</v>
      </c>
      <c r="V209" s="22" t="n">
        <v>554</v>
      </c>
      <c r="W209" s="22" t="n">
        <v>461</v>
      </c>
      <c r="X209" s="22" t="n">
        <v>-897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테섹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9159</v>
      </c>
      <c r="D5" s="12" t="n">
        <v>9389</v>
      </c>
      <c r="E5" s="12" t="n">
        <v>9076</v>
      </c>
      <c r="F5" s="12" t="n">
        <v>8834</v>
      </c>
      <c r="G5" s="12" t="n">
        <v>8981</v>
      </c>
      <c r="H5" s="11" t="n">
        <v>8033</v>
      </c>
      <c r="I5" s="12" t="n">
        <v>9903</v>
      </c>
      <c r="J5" s="12" t="n">
        <v>11208</v>
      </c>
      <c r="K5" s="12" t="n">
        <v>9300</v>
      </c>
      <c r="L5" s="12" t="n">
        <v>9076</v>
      </c>
    </row>
    <row r="6">
      <c r="A6" s="20" t="inlineStr">
        <is>
          <t>현금및현금성자산</t>
        </is>
      </c>
      <c r="B6" s="10" t="n"/>
      <c r="C6" s="21" t="n">
        <v>4441</v>
      </c>
      <c r="D6" s="22" t="n">
        <v>4017</v>
      </c>
      <c r="E6" s="22" t="n">
        <v>3499</v>
      </c>
      <c r="F6" s="22" t="n">
        <v>3218</v>
      </c>
      <c r="G6" s="22" t="n">
        <v>3680</v>
      </c>
      <c r="H6" s="21" t="n">
        <v>2489</v>
      </c>
      <c r="I6" s="22" t="n">
        <v>3136</v>
      </c>
      <c r="J6" s="22" t="n">
        <v>3858</v>
      </c>
      <c r="K6" s="22" t="n">
        <v>4352</v>
      </c>
      <c r="L6" s="22" t="n">
        <v>3499</v>
      </c>
    </row>
    <row r="7">
      <c r="A7" s="20" t="inlineStr">
        <is>
          <t>단기금융상품</t>
        </is>
      </c>
      <c r="B7" s="10" t="n"/>
      <c r="C7" s="21" t="n">
        <v>991</v>
      </c>
      <c r="D7" s="22" t="n">
        <v>1248</v>
      </c>
      <c r="E7" s="22" t="n">
        <v>1734</v>
      </c>
      <c r="F7" s="22" t="n">
        <v>1808</v>
      </c>
      <c r="G7" s="22" t="n">
        <v>1455</v>
      </c>
      <c r="H7" s="21" t="n">
        <v>122</v>
      </c>
      <c r="I7" s="22" t="n">
        <v>725</v>
      </c>
      <c r="J7" s="22" t="n">
        <v>832</v>
      </c>
      <c r="K7" s="22" t="n">
        <v>198</v>
      </c>
      <c r="L7" s="22" t="n">
        <v>1734</v>
      </c>
    </row>
    <row r="8">
      <c r="A8" s="20" t="inlineStr">
        <is>
          <t>매출채권</t>
        </is>
      </c>
      <c r="B8" s="10" t="n"/>
      <c r="C8" s="21" t="n">
        <v>1210</v>
      </c>
      <c r="D8" s="22" t="n">
        <v>1461</v>
      </c>
      <c r="E8" s="22" t="n">
        <v>1386</v>
      </c>
      <c r="F8" s="22" t="n">
        <v>1123</v>
      </c>
      <c r="G8" s="22" t="n">
        <v>1183</v>
      </c>
      <c r="H8" s="21" t="n">
        <v>2603</v>
      </c>
      <c r="I8" s="22" t="n">
        <v>1891</v>
      </c>
      <c r="J8" s="22" t="n">
        <v>1974</v>
      </c>
      <c r="K8" s="22" t="n">
        <v>1782</v>
      </c>
      <c r="L8" s="22" t="n">
        <v>1386</v>
      </c>
    </row>
    <row r="9">
      <c r="A9" s="20" t="inlineStr">
        <is>
          <t>재고자산</t>
        </is>
      </c>
      <c r="B9" s="10" t="n"/>
      <c r="C9" s="21" t="n">
        <v>2354</v>
      </c>
      <c r="D9" s="22" t="n">
        <v>2368</v>
      </c>
      <c r="E9" s="22" t="n">
        <v>2190</v>
      </c>
      <c r="F9" s="22" t="n">
        <v>2277</v>
      </c>
      <c r="G9" s="22" t="n">
        <v>2372</v>
      </c>
      <c r="H9" s="21" t="n">
        <v>2260</v>
      </c>
      <c r="I9" s="22" t="n">
        <v>3600</v>
      </c>
      <c r="J9" s="22" t="n">
        <v>3717</v>
      </c>
      <c r="K9" s="22" t="n">
        <v>2757</v>
      </c>
      <c r="L9" s="22" t="n">
        <v>2190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6237</v>
      </c>
      <c r="D11" s="12" t="n">
        <v>6547</v>
      </c>
      <c r="E11" s="12" t="n">
        <v>6820</v>
      </c>
      <c r="F11" s="12" t="n">
        <v>7722</v>
      </c>
      <c r="G11" s="12" t="n">
        <v>7515</v>
      </c>
      <c r="H11" s="11" t="n">
        <v>4857</v>
      </c>
      <c r="I11" s="12" t="n">
        <v>4433</v>
      </c>
      <c r="J11" s="12" t="n">
        <v>4952</v>
      </c>
      <c r="K11" s="12" t="n">
        <v>6174</v>
      </c>
      <c r="L11" s="12" t="n">
        <v>6820</v>
      </c>
    </row>
    <row r="12">
      <c r="A12" s="20" t="inlineStr">
        <is>
          <t>유형자산</t>
        </is>
      </c>
      <c r="B12" s="10" t="n"/>
      <c r="C12" s="21" t="n">
        <v>1832</v>
      </c>
      <c r="D12" s="22" t="n">
        <v>1830</v>
      </c>
      <c r="E12" s="22" t="n">
        <v>1834</v>
      </c>
      <c r="F12" s="22" t="n">
        <v>1828</v>
      </c>
      <c r="G12" s="22" t="n">
        <v>1828</v>
      </c>
      <c r="H12" s="21" t="n">
        <v>1547</v>
      </c>
      <c r="I12" s="22" t="n">
        <v>1488</v>
      </c>
      <c r="J12" s="22" t="n">
        <v>1506</v>
      </c>
      <c r="K12" s="22" t="n">
        <v>1840</v>
      </c>
      <c r="L12" s="22" t="n">
        <v>1834</v>
      </c>
    </row>
    <row r="13">
      <c r="A13" s="20" t="inlineStr">
        <is>
          <t>무형자산</t>
        </is>
      </c>
      <c r="B13" s="10" t="n"/>
      <c r="C13" s="21" t="n">
        <v>525</v>
      </c>
      <c r="D13" s="22" t="n">
        <v>513</v>
      </c>
      <c r="E13" s="22" t="n">
        <v>532</v>
      </c>
      <c r="F13" s="22" t="n">
        <v>532</v>
      </c>
      <c r="G13" s="22" t="n">
        <v>532</v>
      </c>
      <c r="H13" s="21" t="n">
        <v>19</v>
      </c>
      <c r="I13" s="22" t="n">
        <v>86</v>
      </c>
      <c r="J13" s="22" t="n">
        <v>430</v>
      </c>
      <c r="K13" s="22" t="n">
        <v>539</v>
      </c>
      <c r="L13" s="22" t="n">
        <v>532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15397</v>
      </c>
      <c r="D16" s="12" t="n">
        <v>15936</v>
      </c>
      <c r="E16" s="12" t="n">
        <v>15896</v>
      </c>
      <c r="F16" s="12" t="n">
        <v>16556</v>
      </c>
      <c r="G16" s="12" t="n">
        <v>16496</v>
      </c>
      <c r="H16" s="11" t="n">
        <v>12890</v>
      </c>
      <c r="I16" s="12" t="n">
        <v>14337</v>
      </c>
      <c r="J16" s="12" t="n">
        <v>16161</v>
      </c>
      <c r="K16" s="12" t="n">
        <v>15474</v>
      </c>
      <c r="L16" s="12" t="n">
        <v>15896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846</v>
      </c>
      <c r="D18" s="12" t="n">
        <v>904</v>
      </c>
      <c r="E18" s="12" t="n">
        <v>1032</v>
      </c>
      <c r="F18" s="12" t="n">
        <v>1406</v>
      </c>
      <c r="G18" s="12" t="n">
        <v>1556</v>
      </c>
      <c r="H18" s="11" t="n">
        <v>1395</v>
      </c>
      <c r="I18" s="12" t="n">
        <v>1391</v>
      </c>
      <c r="J18" s="12" t="n">
        <v>1368</v>
      </c>
      <c r="K18" s="12" t="n">
        <v>834</v>
      </c>
      <c r="L18" s="12" t="n">
        <v>1032</v>
      </c>
    </row>
    <row r="19">
      <c r="A19" s="20" t="inlineStr">
        <is>
          <t>매입채무</t>
        </is>
      </c>
      <c r="B19" s="10" t="n"/>
      <c r="C19" s="21" t="n">
        <v>99</v>
      </c>
      <c r="D19" s="22" t="n">
        <v>235</v>
      </c>
      <c r="E19" s="22" t="n">
        <v>216</v>
      </c>
      <c r="F19" s="22" t="n">
        <v>455</v>
      </c>
      <c r="G19" s="22" t="n">
        <v>397</v>
      </c>
      <c r="H19" s="21" t="n">
        <v>315</v>
      </c>
      <c r="I19" s="22" t="n">
        <v>387</v>
      </c>
      <c r="J19" s="22" t="n">
        <v>151</v>
      </c>
      <c r="K19" s="22" t="n">
        <v>74</v>
      </c>
      <c r="L19" s="22" t="n">
        <v>216</v>
      </c>
    </row>
    <row r="20">
      <c r="A20" s="20" t="inlineStr">
        <is>
          <t>단기차입금</t>
        </is>
      </c>
      <c r="B20" s="10" t="n"/>
      <c r="C20" s="21" t="n">
        <v>0</v>
      </c>
      <c r="D20" s="22" t="n">
        <v>0</v>
      </c>
      <c r="E20" s="22" t="n">
        <v>0</v>
      </c>
      <c r="F20" s="22" t="n"/>
      <c r="G20" s="22" t="n"/>
      <c r="H20" s="21" t="n"/>
      <c r="I20" s="22" t="n"/>
      <c r="J20" s="22" t="n">
        <v>0</v>
      </c>
      <c r="K20" s="22" t="n">
        <v>40</v>
      </c>
      <c r="L20" s="22" t="n">
        <v>0</v>
      </c>
    </row>
    <row r="21">
      <c r="A21" s="20" t="inlineStr">
        <is>
          <t>유동성장기부채</t>
        </is>
      </c>
      <c r="B21" s="10" t="n"/>
      <c r="C21" s="21" t="n">
        <v>44</v>
      </c>
      <c r="D21" s="22" t="n">
        <v>44</v>
      </c>
      <c r="E21" s="22" t="n">
        <v>44</v>
      </c>
      <c r="F21" s="22" t="n">
        <v>43</v>
      </c>
      <c r="G21" s="22" t="n">
        <v>41</v>
      </c>
      <c r="H21" s="21" t="n"/>
      <c r="I21" s="22" t="n"/>
      <c r="J21" s="22" t="n">
        <v>0</v>
      </c>
      <c r="K21" s="22" t="n">
        <v>47</v>
      </c>
      <c r="L21" s="22" t="n">
        <v>44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565</v>
      </c>
      <c r="D23" s="12" t="n">
        <v>723</v>
      </c>
      <c r="E23" s="12" t="n">
        <v>663</v>
      </c>
      <c r="F23" s="12" t="n">
        <v>838</v>
      </c>
      <c r="G23" s="12" t="n">
        <v>740</v>
      </c>
      <c r="H23" s="11" t="n">
        <v>195</v>
      </c>
      <c r="I23" s="12" t="n">
        <v>37</v>
      </c>
      <c r="J23" s="12" t="n">
        <v>315</v>
      </c>
      <c r="K23" s="12" t="n">
        <v>475</v>
      </c>
      <c r="L23" s="12" t="n">
        <v>663</v>
      </c>
    </row>
    <row r="24">
      <c r="A24" s="20" t="inlineStr">
        <is>
          <t>장기차입금</t>
        </is>
      </c>
      <c r="B24" s="10" t="n"/>
      <c r="C24" s="21" t="n">
        <v>239</v>
      </c>
      <c r="D24" s="22" t="n">
        <v>227</v>
      </c>
      <c r="E24" s="22" t="n">
        <v>216</v>
      </c>
      <c r="F24" s="22" t="n">
        <v>207</v>
      </c>
      <c r="G24" s="22" t="n">
        <v>197</v>
      </c>
      <c r="H24" s="21" t="n"/>
      <c r="I24" s="22" t="n"/>
      <c r="J24" s="22" t="n">
        <v>0</v>
      </c>
      <c r="K24" s="22" t="n">
        <v>276</v>
      </c>
      <c r="L24" s="22" t="n">
        <v>216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1411</v>
      </c>
      <c r="D27" s="12" t="n">
        <v>1628</v>
      </c>
      <c r="E27" s="12" t="n">
        <v>1696</v>
      </c>
      <c r="F27" s="12" t="n">
        <v>2244</v>
      </c>
      <c r="G27" s="12" t="n">
        <v>2297</v>
      </c>
      <c r="H27" s="11" t="n">
        <v>1590</v>
      </c>
      <c r="I27" s="12" t="n">
        <v>1429</v>
      </c>
      <c r="J27" s="12" t="n">
        <v>1683</v>
      </c>
      <c r="K27" s="12" t="n">
        <v>1309</v>
      </c>
      <c r="L27" s="12" t="n">
        <v>1696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13984</v>
      </c>
      <c r="D31" s="12" t="n">
        <v>14307</v>
      </c>
      <c r="E31" s="12" t="n">
        <v>14199</v>
      </c>
      <c r="F31" s="12" t="n">
        <v>14311</v>
      </c>
      <c r="G31" s="12" t="n">
        <v>14197</v>
      </c>
      <c r="H31" s="11" t="n">
        <v>11299</v>
      </c>
      <c r="I31" s="12" t="n">
        <v>12906</v>
      </c>
      <c r="J31" s="12" t="n">
        <v>14476</v>
      </c>
      <c r="K31" s="12" t="n">
        <v>14164</v>
      </c>
      <c r="L31" s="12" t="n">
        <v>14199</v>
      </c>
    </row>
    <row r="32">
      <c r="A32" s="20" t="inlineStr">
        <is>
          <t>자본금</t>
        </is>
      </c>
      <c r="B32" s="10" t="n"/>
      <c r="C32" s="21" t="n">
        <v>2521</v>
      </c>
      <c r="D32" s="22" t="n">
        <v>2521</v>
      </c>
      <c r="E32" s="22" t="n">
        <v>2521</v>
      </c>
      <c r="F32" s="22" t="n">
        <v>2521</v>
      </c>
      <c r="G32" s="22" t="n">
        <v>2521</v>
      </c>
      <c r="H32" s="21" t="n">
        <v>2521</v>
      </c>
      <c r="I32" s="22" t="n">
        <v>2521</v>
      </c>
      <c r="J32" s="22" t="n">
        <v>2521</v>
      </c>
      <c r="K32" s="22" t="n">
        <v>2521</v>
      </c>
      <c r="L32" s="22" t="n">
        <v>2521</v>
      </c>
    </row>
    <row r="33">
      <c r="A33" s="20" t="inlineStr">
        <is>
          <t>이익잉여금</t>
        </is>
      </c>
      <c r="B33" s="10" t="n"/>
      <c r="C33" s="21" t="n">
        <v>7810</v>
      </c>
      <c r="D33" s="22" t="n">
        <v>7500</v>
      </c>
      <c r="E33" s="22" t="n">
        <v>7676</v>
      </c>
      <c r="F33" s="22" t="n">
        <v>7616</v>
      </c>
      <c r="G33" s="22" t="n">
        <v>7803</v>
      </c>
      <c r="H33" s="21" t="n">
        <v>5178</v>
      </c>
      <c r="I33" s="22" t="n">
        <v>6982</v>
      </c>
      <c r="J33" s="22" t="n">
        <v>7939</v>
      </c>
      <c r="K33" s="22" t="n">
        <v>7979</v>
      </c>
      <c r="L33" s="22" t="n">
        <v>7676</v>
      </c>
    </row>
    <row r="34">
      <c r="A34" s="20" t="inlineStr">
        <is>
          <t>비지배지분</t>
        </is>
      </c>
      <c r="B34" s="10" t="n"/>
      <c r="C34" s="21" t="n">
        <v>1</v>
      </c>
      <c r="D34" s="22" t="n">
        <v>1</v>
      </c>
      <c r="E34" s="22" t="n">
        <v>1</v>
      </c>
      <c r="F34" s="22" t="n">
        <v>1</v>
      </c>
      <c r="G34" s="22" t="n">
        <v>1</v>
      </c>
      <c r="H34" s="21" t="n">
        <v>1</v>
      </c>
      <c r="I34" s="22" t="n">
        <v>1</v>
      </c>
      <c r="J34" s="22" t="n">
        <v>1</v>
      </c>
      <c r="K34" s="22" t="n">
        <v>1</v>
      </c>
      <c r="L34" s="22" t="n">
        <v>1</v>
      </c>
    </row>
    <row r="35">
      <c r="A35" s="9" t="inlineStr">
        <is>
          <t>자본총계</t>
        </is>
      </c>
      <c r="B35" s="10" t="n"/>
      <c r="C35" s="11" t="n">
        <v>13985</v>
      </c>
      <c r="D35" s="12" t="n">
        <v>14308</v>
      </c>
      <c r="E35" s="12" t="n">
        <v>14200</v>
      </c>
      <c r="F35" s="12" t="n">
        <v>14312</v>
      </c>
      <c r="G35" s="12" t="n">
        <v>14198</v>
      </c>
      <c r="H35" s="11" t="n">
        <v>11300</v>
      </c>
      <c r="I35" s="12" t="n">
        <v>12907</v>
      </c>
      <c r="J35" s="12" t="n">
        <v>14477</v>
      </c>
      <c r="K35" s="12" t="n">
        <v>14165</v>
      </c>
      <c r="L35" s="12" t="n">
        <v>14200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>
        <v>1464</v>
      </c>
      <c r="F37" s="12" t="n"/>
      <c r="G37" s="12" t="n"/>
      <c r="H37" s="11" t="n">
        <v>-117</v>
      </c>
      <c r="I37" s="12" t="n">
        <v>1445</v>
      </c>
      <c r="J37" s="12" t="n">
        <v>871</v>
      </c>
      <c r="K37" s="12" t="n">
        <v>1767</v>
      </c>
      <c r="L37" s="12" t="n">
        <v>1464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/>
      <c r="E38" s="22" t="n">
        <v>91</v>
      </c>
      <c r="F38" s="22" t="n"/>
      <c r="G38" s="22" t="n"/>
      <c r="H38" s="21" t="n">
        <v>35</v>
      </c>
      <c r="I38" s="22" t="n">
        <v>146</v>
      </c>
      <c r="J38" s="22" t="n">
        <v>295</v>
      </c>
      <c r="K38" s="22" t="n">
        <v>346</v>
      </c>
      <c r="L38" s="22" t="n">
        <v>91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/>
      <c r="E40" s="22" t="n">
        <v>391</v>
      </c>
      <c r="F40" s="22" t="n"/>
      <c r="G40" s="22" t="n"/>
      <c r="H40" s="21" t="n">
        <v>58</v>
      </c>
      <c r="I40" s="22" t="n">
        <v>446</v>
      </c>
      <c r="J40" s="22" t="n">
        <v>551</v>
      </c>
      <c r="K40" s="22" t="n">
        <v>382</v>
      </c>
      <c r="L40" s="22" t="n">
        <v>391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IFERROR(('연간'!T16)/('연간'!T38),"")</f>
        <v/>
      </c>
      <c r="I48" s="33">
        <f>IFERROR(('연간'!U16)/('연간'!U38),"")</f>
        <v/>
      </c>
      <c r="J48" s="33">
        <f>IFERROR(('연간'!V16)/('연간'!V38),"")</f>
        <v/>
      </c>
      <c r="K48" s="33">
        <f>IFERROR(('연간'!W16)/('연간'!W38),"")</f>
        <v/>
      </c>
      <c r="L48" s="33">
        <f>IFERROR(('연간'!X16)/('연간'!X38),"")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IFERROR(IF((IF(COUNT('연간'!G44:J44)&lt;4,"",SUM('연간'!G44:J44)))&lt;=0,"적자",C28/(IF(COUNT('연간'!G44:J44)&lt;4,"",SUM('연간'!G44:J44)))),"")</f>
        <v/>
      </c>
      <c r="D49" s="49">
        <f>IFERROR(IF((IF(COUNT('연간'!H44:K44)&lt;4,"",SUM('연간'!H44:K44)))&lt;=0,"적자",D28/(IF(COUNT('연간'!H44:K44)&lt;4,"",SUM('연간'!H44:K44)))),"")</f>
        <v/>
      </c>
      <c r="E49" s="49">
        <f>IFERROR(IF((IF(COUNT('연간'!I44:L44)&lt;4,"",SUM('연간'!I44:L44)))&lt;=0,"적자",E28/(IF(COUNT('연간'!I44:L44)&lt;4,"",SUM('연간'!I44:L44)))),"")</f>
        <v/>
      </c>
      <c r="F49" s="49">
        <f>IFERROR(IF((IF(COUNT('연간'!J44:M44)&lt;4,"",SUM('연간'!J44:M44)))&lt;=0,"적자",F28/(IF(COUNT('연간'!J44:M44)&lt;4,"",SUM('연간'!J44:M44)))),"")</f>
        <v/>
      </c>
      <c r="G49" s="49">
        <f>IFERROR(IF((IF(COUNT('연간'!K44:N44)&lt;4,"",SUM('연간'!K44:N44)))&lt;=0,"적자",G28/(IF(COUNT('연간'!K44:N44)&lt;4,"",SUM('연간'!K44:N44)))),"")</f>
        <v/>
      </c>
      <c r="H49" s="48">
        <f>IFERROR(IF(('연간'!T44)&lt;=0,"적자",H28/('연간'!T44)),"")</f>
        <v/>
      </c>
      <c r="I49" s="49">
        <f>IFERROR(IF(('연간'!U44)&lt;=0,"적자",I28/('연간'!U44)),"")</f>
        <v/>
      </c>
      <c r="J49" s="49">
        <f>IFERROR(IF(('연간'!V44)&lt;=0,"적자",J28/('연간'!V44)),"")</f>
        <v/>
      </c>
      <c r="K49" s="49">
        <f>IFERROR(IF(('연간'!W44)&lt;=0,"적자",K28/('연간'!W44)),"")</f>
        <v/>
      </c>
      <c r="L49" s="49">
        <f>IFERROR(IF(('연간'!X44)&lt;=0,"적자",L28/('연간'!X44)),"")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IFERROR(('연간'!T44)/H31,"")</f>
        <v/>
      </c>
      <c r="I51" s="38">
        <f>IFERROR(('연간'!U44)/I31,"")</f>
        <v/>
      </c>
      <c r="J51" s="38">
        <f>IFERROR(('연간'!V44)/J31,"")</f>
        <v/>
      </c>
      <c r="K51" s="38">
        <f>IFERROR(('연간'!W44)/K31,"")</f>
        <v/>
      </c>
      <c r="L51" s="38">
        <f>IFERROR(('연간'!X44)/L31,"")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IFERROR(('연간'!T43)/H16,"")</f>
        <v/>
      </c>
      <c r="I52" s="38">
        <f>IFERROR(('연간'!U43)/I16,"")</f>
        <v/>
      </c>
      <c r="J52" s="38">
        <f>IFERROR(('연간'!V43)/J16,"")</f>
        <v/>
      </c>
      <c r="K52" s="38">
        <f>IFERROR(('연간'!W43)/K16,"")</f>
        <v/>
      </c>
      <c r="L52" s="38">
        <f>IFERROR(('연간'!X43)/L16,"")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IFERROR(('연간'!T16)*(1-0.3)/(H35+H29),"")</f>
        <v/>
      </c>
      <c r="I53" s="38">
        <f>IFERROR(('연간'!U16)*(1-0.3)/(I35+I29),"")</f>
        <v/>
      </c>
      <c r="J53" s="38">
        <f>IFERROR(('연간'!V16)*(1-0.3)/(J35+J29),"")</f>
        <v/>
      </c>
      <c r="K53" s="38">
        <f>IFERROR(('연간'!W16)*(1-0.3)/(K35+K29),"")</f>
        <v/>
      </c>
      <c r="L53" s="38">
        <f>IFERROR(('연간'!X16)*(1-0.3)/(L35+L29),"")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IFERROR(('연간'!T12)/('연간'!T4),"")</f>
        <v/>
      </c>
      <c r="I54" s="38">
        <f>IFERROR(('연간'!U12)/('연간'!U4),"")</f>
        <v/>
      </c>
      <c r="J54" s="38">
        <f>IFERROR(('연간'!V12)/('연간'!V4),"")</f>
        <v/>
      </c>
      <c r="K54" s="38">
        <f>IFERROR(('연간'!W12)/('연간'!W4),"")</f>
        <v/>
      </c>
      <c r="L54" s="38">
        <f>IFERROR(('연간'!X12)/('연간'!X4),"")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IFERROR(('연간'!T16)/('연간'!T4),"")</f>
        <v/>
      </c>
      <c r="I55" s="38">
        <f>IFERROR(('연간'!U16)/('연간'!U4),"")</f>
        <v/>
      </c>
      <c r="J55" s="38">
        <f>IFERROR(('연간'!V16)/('연간'!V4),"")</f>
        <v/>
      </c>
      <c r="K55" s="38">
        <f>IFERROR(('연간'!W16)/('연간'!W4),"")</f>
        <v/>
      </c>
      <c r="L55" s="38">
        <f>IFERROR(('연간'!X16)/('연간'!X4),"")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IFERROR(('연간'!T43)/('연간'!T4),"")</f>
        <v/>
      </c>
      <c r="I56" s="38">
        <f>IFERROR(('연간'!U43)/('연간'!U4),"")</f>
        <v/>
      </c>
      <c r="J56" s="38">
        <f>IFERROR(('연간'!V43)/('연간'!V4),"")</f>
        <v/>
      </c>
      <c r="K56" s="38">
        <f>IFERROR(('연간'!W43)/('연간'!W4),"")</f>
        <v/>
      </c>
      <c r="L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IF(H37="","",IFERROR(H37/('연간'!T43),""))</f>
        <v/>
      </c>
      <c r="I64" s="33">
        <f>IF(I37="","",IFERROR(I37/('연간'!U43),""))</f>
        <v/>
      </c>
      <c r="J64" s="33">
        <f>IF(J37="","",IFERROR(J37/('연간'!V43),""))</f>
        <v/>
      </c>
      <c r="K64" s="33">
        <f>IF(K37="","",IFERROR(K37/('연간'!W43),""))</f>
        <v/>
      </c>
      <c r="L64" s="33">
        <f>IF(L37="","",IFERROR(L37/('연간'!X43),""))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IF(H40="","",IFERROR(H40/('연간'!T44),""))</f>
        <v/>
      </c>
      <c r="I67" s="38">
        <f>IF(I40="","",IFERROR(I40/('연간'!U44),""))</f>
        <v/>
      </c>
      <c r="J67" s="38">
        <f>IF(J40="","",IFERROR(J40/('연간'!V44),""))</f>
        <v/>
      </c>
      <c r="K67" s="38">
        <f>IF(K40="","",IFERROR(K40/('연간'!W44),""))</f>
        <v/>
      </c>
      <c r="L67" s="38">
        <f>IF(L40="","",IFERROR(L40/('연간'!X44),""))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4441</v>
      </c>
      <c r="D71" s="22" t="n">
        <v>4017</v>
      </c>
      <c r="E71" s="22" t="n">
        <v>3499</v>
      </c>
      <c r="F71" s="22" t="n">
        <v>3218</v>
      </c>
      <c r="G71" s="22" t="n">
        <v>3680</v>
      </c>
      <c r="H71" s="22" t="n">
        <v>2489</v>
      </c>
      <c r="I71" s="22" t="n">
        <v>3136</v>
      </c>
      <c r="J71" s="22" t="n">
        <v>3858</v>
      </c>
      <c r="K71" s="22" t="n">
        <v>4352</v>
      </c>
      <c r="L71" s="22" t="n">
        <v>3499</v>
      </c>
    </row>
    <row r="72">
      <c r="A72" s="20" t="inlineStr">
        <is>
          <t>받을어음</t>
        </is>
      </c>
      <c r="H72" s="22" t="n">
        <v>221</v>
      </c>
      <c r="I72" s="22" t="n">
        <v>2</v>
      </c>
      <c r="J72" s="22" t="n">
        <v>7</v>
      </c>
      <c r="K72" s="22" t="n">
        <v>0</v>
      </c>
    </row>
    <row r="73">
      <c r="A73" s="20" t="inlineStr">
        <is>
          <t>받을어음·매출채권</t>
        </is>
      </c>
      <c r="C73" s="22" t="n">
        <v>1210</v>
      </c>
      <c r="D73" s="22" t="n">
        <v>1461</v>
      </c>
      <c r="E73" s="22" t="n">
        <v>1386</v>
      </c>
      <c r="F73" s="22" t="n">
        <v>1123</v>
      </c>
      <c r="H73" s="22" t="n">
        <v>2824</v>
      </c>
      <c r="I73" s="22" t="n">
        <v>1914</v>
      </c>
      <c r="J73" s="22" t="n">
        <v>1982</v>
      </c>
      <c r="K73" s="22" t="n">
        <v>1782</v>
      </c>
      <c r="L73" s="22" t="n">
        <v>1386</v>
      </c>
    </row>
    <row r="74">
      <c r="A74" s="20" t="inlineStr">
        <is>
          <t>매출채권</t>
        </is>
      </c>
      <c r="E74" s="22" t="n">
        <v>1386</v>
      </c>
      <c r="G74" s="22" t="n">
        <v>1183</v>
      </c>
      <c r="H74" s="22" t="n">
        <v>2603</v>
      </c>
      <c r="I74" s="22" t="n">
        <v>1891</v>
      </c>
      <c r="J74" s="22" t="n">
        <v>1974</v>
      </c>
      <c r="K74" s="22" t="n">
        <v>1782</v>
      </c>
      <c r="L74" s="22" t="n">
        <v>1386</v>
      </c>
    </row>
    <row r="75">
      <c r="A75" s="20" t="inlineStr">
        <is>
          <t>전자기록채권</t>
        </is>
      </c>
      <c r="C75" s="22" t="n">
        <v>13</v>
      </c>
      <c r="D75" s="22" t="n">
        <v>107</v>
      </c>
      <c r="E75" s="22" t="n">
        <v>59</v>
      </c>
      <c r="F75" s="22" t="n">
        <v>8</v>
      </c>
      <c r="G75" s="22" t="n">
        <v>3</v>
      </c>
      <c r="I75" s="22" t="n">
        <v>20</v>
      </c>
      <c r="J75" s="22" t="n">
        <v>438</v>
      </c>
      <c r="K75" s="22" t="n">
        <v>69</v>
      </c>
      <c r="L75" s="22" t="n">
        <v>59</v>
      </c>
    </row>
    <row r="76">
      <c r="A76" s="20" t="inlineStr">
        <is>
          <t>유가증권</t>
        </is>
      </c>
      <c r="C76" s="22" t="n">
        <v>991</v>
      </c>
      <c r="D76" s="22" t="n">
        <v>1248</v>
      </c>
      <c r="E76" s="22" t="n">
        <v>1734</v>
      </c>
      <c r="F76" s="22" t="n">
        <v>1808</v>
      </c>
      <c r="G76" s="22" t="n">
        <v>1455</v>
      </c>
      <c r="H76" s="22" t="n">
        <v>122</v>
      </c>
      <c r="I76" s="22" t="n">
        <v>725</v>
      </c>
      <c r="J76" s="22" t="n">
        <v>832</v>
      </c>
      <c r="K76" s="22" t="n">
        <v>198</v>
      </c>
      <c r="L76" s="22" t="n">
        <v>1734</v>
      </c>
    </row>
    <row r="77">
      <c r="A77" s="20" t="inlineStr">
        <is>
          <t>금전신탁</t>
        </is>
      </c>
      <c r="E77" s="22" t="n">
        <v>1</v>
      </c>
      <c r="F77" s="22" t="n">
        <v>0</v>
      </c>
      <c r="G77" s="22" t="n">
        <v>0</v>
      </c>
      <c r="K77" s="22" t="n">
        <v>0</v>
      </c>
      <c r="L77" s="22" t="n">
        <v>1</v>
      </c>
    </row>
    <row r="78">
      <c r="A78" s="20" t="inlineStr">
        <is>
          <t>제품</t>
        </is>
      </c>
      <c r="C78" s="22" t="n">
        <v>186</v>
      </c>
      <c r="D78" s="22" t="n">
        <v>156</v>
      </c>
      <c r="E78" s="22" t="n">
        <v>134</v>
      </c>
      <c r="F78" s="22" t="n">
        <v>229</v>
      </c>
      <c r="G78" s="22" t="n">
        <v>133</v>
      </c>
      <c r="H78" s="22" t="n">
        <v>221</v>
      </c>
      <c r="I78" s="22" t="n">
        <v>296</v>
      </c>
      <c r="J78" s="22" t="n">
        <v>202</v>
      </c>
      <c r="K78" s="22" t="n">
        <v>131</v>
      </c>
      <c r="L78" s="22" t="n">
        <v>134</v>
      </c>
    </row>
    <row r="79">
      <c r="A79" s="20" t="inlineStr">
        <is>
          <t>재공품</t>
        </is>
      </c>
      <c r="C79" s="22" t="n">
        <v>1510</v>
      </c>
      <c r="D79" s="22" t="n">
        <v>1595</v>
      </c>
      <c r="E79" s="22" t="n">
        <v>1494</v>
      </c>
      <c r="F79" s="22" t="n">
        <v>1493</v>
      </c>
      <c r="G79" s="22" t="n">
        <v>1762</v>
      </c>
      <c r="H79" s="22" t="n">
        <v>1586</v>
      </c>
      <c r="I79" s="22" t="n">
        <v>2602</v>
      </c>
      <c r="J79" s="22" t="n">
        <v>2693</v>
      </c>
      <c r="K79" s="22" t="n">
        <v>1840</v>
      </c>
      <c r="L79" s="22" t="n">
        <v>1494</v>
      </c>
    </row>
    <row r="80">
      <c r="A80" s="20" t="inlineStr">
        <is>
          <t>원재료</t>
        </is>
      </c>
      <c r="C80" s="22" t="n">
        <v>658</v>
      </c>
      <c r="D80" s="22" t="n">
        <v>617</v>
      </c>
      <c r="E80" s="22" t="n">
        <v>562</v>
      </c>
      <c r="F80" s="22" t="n">
        <v>555</v>
      </c>
      <c r="G80" s="22" t="n">
        <v>477</v>
      </c>
      <c r="H80" s="22" t="n">
        <v>453</v>
      </c>
      <c r="I80" s="22" t="n">
        <v>702</v>
      </c>
      <c r="J80" s="22" t="n">
        <v>822</v>
      </c>
      <c r="K80" s="22" t="n">
        <v>786</v>
      </c>
      <c r="L80" s="22" t="n">
        <v>562</v>
      </c>
    </row>
    <row r="81">
      <c r="A81" s="20" t="inlineStr">
        <is>
          <t>미수 환급법인세</t>
        </is>
      </c>
      <c r="C81" s="22" t="n">
        <v>13</v>
      </c>
      <c r="D81" s="22" t="n">
        <v>12</v>
      </c>
      <c r="E81" s="22" t="n">
        <v>17</v>
      </c>
      <c r="F81" s="22" t="n">
        <v>17</v>
      </c>
      <c r="G81" s="22" t="n">
        <v>16</v>
      </c>
      <c r="H81" s="22" t="n">
        <v>0</v>
      </c>
      <c r="J81" s="22" t="n">
        <v>0</v>
      </c>
      <c r="K81" s="22" t="n">
        <v>34</v>
      </c>
      <c r="L81" s="22" t="n">
        <v>17</v>
      </c>
    </row>
    <row r="82">
      <c r="A82" s="20" t="inlineStr">
        <is>
          <t>미수 소비세</t>
        </is>
      </c>
      <c r="C82" s="22" t="n">
        <v>7</v>
      </c>
      <c r="D82" s="22" t="n">
        <v>54</v>
      </c>
      <c r="E82" s="22" t="n">
        <v>104</v>
      </c>
      <c r="F82" s="22" t="n">
        <v>80</v>
      </c>
      <c r="G82" s="22" t="n">
        <v>152</v>
      </c>
      <c r="H82" s="22" t="n">
        <v>242</v>
      </c>
      <c r="I82" s="22" t="n">
        <v>380</v>
      </c>
      <c r="J82" s="22" t="n">
        <v>256</v>
      </c>
      <c r="K82" s="22" t="n">
        <v>0</v>
      </c>
      <c r="L82" s="22" t="n">
        <v>104</v>
      </c>
    </row>
    <row r="83">
      <c r="A83" s="20" t="inlineStr">
        <is>
          <t>기타</t>
        </is>
      </c>
      <c r="C83" s="22" t="n">
        <v>133</v>
      </c>
      <c r="D83" s="22" t="n">
        <v>140</v>
      </c>
      <c r="E83" s="22" t="n">
        <v>103</v>
      </c>
      <c r="F83" s="22" t="n">
        <v>319</v>
      </c>
      <c r="G83" s="22" t="n">
        <v>138</v>
      </c>
      <c r="H83" s="22" t="n">
        <v>94</v>
      </c>
      <c r="I83" s="22" t="n">
        <v>147</v>
      </c>
      <c r="J83" s="22" t="n">
        <v>124</v>
      </c>
      <c r="K83" s="22" t="n">
        <v>108</v>
      </c>
      <c r="L83" s="22" t="n">
        <v>103</v>
      </c>
    </row>
    <row r="84">
      <c r="A84" s="20" t="inlineStr">
        <is>
          <t>대손충당금</t>
        </is>
      </c>
      <c r="C84" s="22" t="n">
        <v>-8</v>
      </c>
      <c r="D84" s="22" t="n">
        <v>-22</v>
      </c>
      <c r="E84" s="22" t="n">
        <v>-22</v>
      </c>
      <c r="F84" s="22" t="n">
        <v>-21</v>
      </c>
      <c r="G84" s="22" t="n">
        <v>-22</v>
      </c>
      <c r="H84" s="22" t="n">
        <v>-1</v>
      </c>
      <c r="I84" s="22" t="n">
        <v>-1</v>
      </c>
      <c r="J84" s="22" t="n">
        <v>-2</v>
      </c>
      <c r="K84" s="22" t="n">
        <v>-4</v>
      </c>
      <c r="L84" s="22" t="n">
        <v>-22</v>
      </c>
    </row>
    <row r="85">
      <c r="A85" s="9" t="inlineStr">
        <is>
          <t>유동자산 합계</t>
        </is>
      </c>
      <c r="C85" s="12" t="n">
        <v>9159</v>
      </c>
      <c r="D85" s="12" t="n">
        <v>9389</v>
      </c>
      <c r="E85" s="12" t="n">
        <v>9076</v>
      </c>
      <c r="F85" s="12" t="n">
        <v>8834</v>
      </c>
      <c r="G85" s="12" t="n">
        <v>8981</v>
      </c>
      <c r="H85" s="12" t="n">
        <v>8033</v>
      </c>
      <c r="I85" s="12" t="n">
        <v>9903</v>
      </c>
      <c r="J85" s="12" t="n">
        <v>11208</v>
      </c>
      <c r="K85" s="12" t="n">
        <v>9300</v>
      </c>
      <c r="L85" s="12" t="n">
        <v>9076</v>
      </c>
    </row>
    <row r="86">
      <c r="A86" s="20" t="inlineStr">
        <is>
          <t>건물·구축물</t>
        </is>
      </c>
      <c r="C86" s="22" t="n">
        <v>2416</v>
      </c>
      <c r="D86" s="22" t="n">
        <v>2418</v>
      </c>
      <c r="E86" s="22" t="n">
        <v>2491</v>
      </c>
      <c r="F86" s="22" t="n">
        <v>2491</v>
      </c>
      <c r="G86" s="22" t="n">
        <v>2491</v>
      </c>
      <c r="H86" s="22" t="n">
        <v>2525</v>
      </c>
      <c r="I86" s="22" t="n">
        <v>2505</v>
      </c>
      <c r="J86" s="22" t="n">
        <v>2506</v>
      </c>
      <c r="K86" s="22" t="n">
        <v>2554</v>
      </c>
      <c r="L86" s="22" t="n">
        <v>2491</v>
      </c>
    </row>
    <row r="87">
      <c r="A87" s="20" t="inlineStr">
        <is>
          <t>감가상각누계액</t>
        </is>
      </c>
      <c r="C87" s="22" t="n">
        <v>-2104</v>
      </c>
      <c r="D87" s="22" t="n">
        <v>-2110</v>
      </c>
      <c r="E87" s="22" t="n">
        <v>-2187</v>
      </c>
      <c r="F87" s="22" t="n">
        <v>-2191</v>
      </c>
      <c r="G87" s="22" t="n">
        <v>-2197</v>
      </c>
      <c r="H87" s="22" t="n">
        <v>-2212</v>
      </c>
      <c r="I87" s="22" t="n">
        <v>-2207</v>
      </c>
      <c r="J87" s="22" t="n">
        <v>-2225</v>
      </c>
      <c r="K87" s="22" t="n">
        <v>-2244</v>
      </c>
      <c r="L87" s="22" t="n">
        <v>-2187</v>
      </c>
    </row>
    <row r="88">
      <c r="A88" s="20" t="inlineStr">
        <is>
          <t>건물·구축물(순액)</t>
        </is>
      </c>
      <c r="C88" s="22" t="n">
        <v>312</v>
      </c>
      <c r="D88" s="22" t="n">
        <v>308</v>
      </c>
      <c r="E88" s="22" t="n">
        <v>304</v>
      </c>
      <c r="F88" s="22" t="n">
        <v>299</v>
      </c>
      <c r="G88" s="22" t="n">
        <v>294</v>
      </c>
      <c r="H88" s="22" t="n">
        <v>312</v>
      </c>
      <c r="I88" s="22" t="n">
        <v>297</v>
      </c>
      <c r="J88" s="22" t="n">
        <v>280</v>
      </c>
      <c r="K88" s="22" t="n">
        <v>310</v>
      </c>
      <c r="L88" s="22" t="n">
        <v>304</v>
      </c>
    </row>
    <row r="89">
      <c r="A89" s="20" t="inlineStr">
        <is>
          <t>기계장치·운반구</t>
        </is>
      </c>
      <c r="C89" s="22" t="n">
        <v>123</v>
      </c>
      <c r="D89" s="22" t="n">
        <v>126</v>
      </c>
      <c r="E89" s="22" t="n">
        <v>139</v>
      </c>
      <c r="F89" s="22" t="n">
        <v>136</v>
      </c>
      <c r="G89" s="22" t="n">
        <v>131</v>
      </c>
      <c r="H89" s="22" t="n">
        <v>113</v>
      </c>
      <c r="I89" s="22" t="n">
        <v>114</v>
      </c>
      <c r="J89" s="22" t="n">
        <v>122</v>
      </c>
      <c r="K89" s="22" t="n">
        <v>123</v>
      </c>
      <c r="L89" s="22" t="n">
        <v>139</v>
      </c>
    </row>
    <row r="90">
      <c r="A90" s="20" t="inlineStr">
        <is>
          <t>감가상각누계액</t>
        </is>
      </c>
      <c r="C90" s="22" t="n">
        <v>-116</v>
      </c>
      <c r="D90" s="22" t="n">
        <v>-114</v>
      </c>
      <c r="E90" s="22" t="n">
        <v>-121</v>
      </c>
      <c r="F90" s="22" t="n">
        <v>-119</v>
      </c>
      <c r="G90" s="22" t="n">
        <v>-116</v>
      </c>
      <c r="H90" s="22" t="n">
        <v>-100</v>
      </c>
      <c r="I90" s="22" t="n">
        <v>-105</v>
      </c>
      <c r="J90" s="22" t="n">
        <v>-109</v>
      </c>
      <c r="K90" s="22" t="n">
        <v>-114</v>
      </c>
      <c r="L90" s="22" t="n">
        <v>-121</v>
      </c>
    </row>
    <row r="91">
      <c r="A91" s="20" t="inlineStr">
        <is>
          <t>기계장치·운반구(순액)</t>
        </is>
      </c>
      <c r="C91" s="22" t="n">
        <v>7</v>
      </c>
      <c r="D91" s="22" t="n">
        <v>11</v>
      </c>
      <c r="E91" s="22" t="n">
        <v>17</v>
      </c>
      <c r="F91" s="22" t="n">
        <v>17</v>
      </c>
      <c r="G91" s="22" t="n">
        <v>15</v>
      </c>
      <c r="H91" s="22" t="n">
        <v>13</v>
      </c>
      <c r="I91" s="22" t="n">
        <v>9</v>
      </c>
      <c r="J91" s="22" t="n">
        <v>12</v>
      </c>
      <c r="K91" s="22" t="n">
        <v>8</v>
      </c>
      <c r="L91" s="22" t="n">
        <v>17</v>
      </c>
    </row>
    <row r="92">
      <c r="A92" s="20" t="inlineStr">
        <is>
          <t>공구·기구·비품</t>
        </is>
      </c>
      <c r="C92" s="22" t="n">
        <v>714</v>
      </c>
      <c r="D92" s="22" t="n">
        <v>724</v>
      </c>
      <c r="E92" s="22" t="n">
        <v>766</v>
      </c>
      <c r="F92" s="22" t="n">
        <v>772</v>
      </c>
      <c r="G92" s="22" t="n">
        <v>785</v>
      </c>
      <c r="H92" s="22" t="n">
        <v>726</v>
      </c>
      <c r="I92" s="22" t="n">
        <v>709</v>
      </c>
      <c r="J92" s="22" t="n">
        <v>724</v>
      </c>
      <c r="K92" s="22" t="n">
        <v>706</v>
      </c>
      <c r="L92" s="22" t="n">
        <v>766</v>
      </c>
    </row>
    <row r="93">
      <c r="A93" s="20" t="inlineStr">
        <is>
          <t>감가상각누계액</t>
        </is>
      </c>
      <c r="C93" s="22" t="n">
        <v>-635</v>
      </c>
      <c r="D93" s="22" t="n">
        <v>-649</v>
      </c>
      <c r="E93" s="22" t="n">
        <v>-687</v>
      </c>
      <c r="F93" s="22" t="n">
        <v>-696</v>
      </c>
      <c r="G93" s="22" t="n">
        <v>-702</v>
      </c>
      <c r="H93" s="22" t="n">
        <v>-672</v>
      </c>
      <c r="I93" s="22" t="n">
        <v>-662</v>
      </c>
      <c r="J93" s="22" t="n">
        <v>-646</v>
      </c>
      <c r="K93" s="22" t="n">
        <v>-629</v>
      </c>
      <c r="L93" s="22" t="n">
        <v>-687</v>
      </c>
    </row>
    <row r="94">
      <c r="A94" s="20" t="inlineStr">
        <is>
          <t>공구·기구·비품(순액)</t>
        </is>
      </c>
      <c r="C94" s="22" t="n">
        <v>78</v>
      </c>
      <c r="D94" s="22" t="n">
        <v>75</v>
      </c>
      <c r="E94" s="22" t="n">
        <v>78</v>
      </c>
      <c r="F94" s="22" t="n">
        <v>75</v>
      </c>
      <c r="G94" s="22" t="n">
        <v>82</v>
      </c>
      <c r="H94" s="22" t="n">
        <v>53</v>
      </c>
      <c r="I94" s="22" t="n">
        <v>47</v>
      </c>
      <c r="J94" s="22" t="n">
        <v>77</v>
      </c>
      <c r="K94" s="22" t="n">
        <v>76</v>
      </c>
      <c r="L94" s="22" t="n">
        <v>78</v>
      </c>
    </row>
    <row r="95">
      <c r="A95" s="20" t="inlineStr">
        <is>
          <t>토지</t>
        </is>
      </c>
      <c r="C95" s="22" t="n">
        <v>1434</v>
      </c>
      <c r="D95" s="22" t="n">
        <v>1434</v>
      </c>
      <c r="E95" s="22" t="n">
        <v>1434</v>
      </c>
      <c r="F95" s="22" t="n">
        <v>1434</v>
      </c>
      <c r="G95" s="22" t="n">
        <v>1434</v>
      </c>
      <c r="H95" s="22" t="n">
        <v>1167</v>
      </c>
      <c r="I95" s="22" t="n">
        <v>1134</v>
      </c>
      <c r="J95" s="22" t="n">
        <v>1134</v>
      </c>
      <c r="K95" s="22" t="n">
        <v>1440</v>
      </c>
      <c r="L95" s="22" t="n">
        <v>1434</v>
      </c>
    </row>
    <row r="96">
      <c r="A96" s="20" t="inlineStr">
        <is>
          <t>건설중인자산</t>
        </is>
      </c>
      <c r="C96" s="22" t="n">
        <v>0</v>
      </c>
      <c r="D96" s="22" t="n">
        <v>0</v>
      </c>
      <c r="E96" s="22" t="n">
        <v>0</v>
      </c>
      <c r="F96" s="22" t="n">
        <v>1</v>
      </c>
      <c r="G96" s="22" t="n">
        <v>2</v>
      </c>
      <c r="J96" s="22" t="n">
        <v>0</v>
      </c>
      <c r="K96" s="22" t="n">
        <v>4</v>
      </c>
      <c r="L96" s="22" t="n">
        <v>0</v>
      </c>
    </row>
    <row r="97">
      <c r="A97" s="20" t="inlineStr">
        <is>
          <t>유형자산 합계</t>
        </is>
      </c>
      <c r="C97" s="22" t="n">
        <v>1832</v>
      </c>
      <c r="D97" s="22" t="n">
        <v>1830</v>
      </c>
      <c r="E97" s="22" t="n">
        <v>1834</v>
      </c>
      <c r="F97" s="22" t="n">
        <v>1828</v>
      </c>
      <c r="G97" s="22" t="n">
        <v>1828</v>
      </c>
      <c r="H97" s="22" t="n">
        <v>1547</v>
      </c>
      <c r="I97" s="22" t="n">
        <v>1488</v>
      </c>
      <c r="J97" s="22" t="n">
        <v>1506</v>
      </c>
      <c r="K97" s="22" t="n">
        <v>1840</v>
      </c>
      <c r="L97" s="22" t="n">
        <v>1834</v>
      </c>
    </row>
    <row r="98">
      <c r="A98" s="20" t="inlineStr">
        <is>
          <t>소프트웨어</t>
        </is>
      </c>
      <c r="C98" s="22" t="n">
        <v>11</v>
      </c>
      <c r="D98" s="22" t="n">
        <v>10</v>
      </c>
      <c r="E98" s="22" t="n">
        <v>13</v>
      </c>
      <c r="F98" s="22" t="n">
        <v>11</v>
      </c>
      <c r="G98" s="22" t="n">
        <v>9</v>
      </c>
      <c r="H98" s="22" t="n">
        <v>17</v>
      </c>
      <c r="I98" s="22" t="n">
        <v>18</v>
      </c>
      <c r="J98" s="22" t="n">
        <v>15</v>
      </c>
      <c r="K98" s="22" t="n">
        <v>11</v>
      </c>
      <c r="L98" s="22" t="n">
        <v>13</v>
      </c>
    </row>
    <row r="99">
      <c r="A99" s="20" t="inlineStr">
        <is>
          <t>개발 중 소프트웨어</t>
        </is>
      </c>
      <c r="C99" s="22" t="n">
        <v>350</v>
      </c>
      <c r="D99" s="22" t="n">
        <v>352</v>
      </c>
      <c r="E99" s="22" t="n">
        <v>380</v>
      </c>
      <c r="F99" s="22" t="n">
        <v>395</v>
      </c>
      <c r="G99" s="22" t="n">
        <v>408</v>
      </c>
      <c r="H99" s="22" t="n">
        <v>0</v>
      </c>
      <c r="I99" s="22" t="n">
        <v>66</v>
      </c>
      <c r="J99" s="22" t="n">
        <v>179</v>
      </c>
      <c r="K99" s="22" t="n">
        <v>340</v>
      </c>
      <c r="L99" s="22" t="n">
        <v>380</v>
      </c>
    </row>
    <row r="100">
      <c r="A100" s="20" t="inlineStr">
        <is>
          <t>기술 관련 자산</t>
        </is>
      </c>
      <c r="C100" s="22" t="n">
        <v>160</v>
      </c>
      <c r="D100" s="22" t="n">
        <v>147</v>
      </c>
      <c r="E100" s="22" t="n">
        <v>135</v>
      </c>
      <c r="F100" s="22" t="n">
        <v>123</v>
      </c>
      <c r="G100" s="22" t="n">
        <v>110</v>
      </c>
      <c r="I100" s="22" t="n">
        <v>0</v>
      </c>
      <c r="J100" s="22" t="n">
        <v>234</v>
      </c>
      <c r="K100" s="22" t="n">
        <v>184</v>
      </c>
      <c r="L100" s="22" t="n">
        <v>135</v>
      </c>
    </row>
    <row r="101">
      <c r="A101" s="20" t="inlineStr">
        <is>
          <t>기타</t>
        </is>
      </c>
      <c r="C101" s="22" t="n">
        <v>2</v>
      </c>
      <c r="D101" s="22" t="n">
        <v>2</v>
      </c>
      <c r="E101" s="22" t="n">
        <v>2</v>
      </c>
      <c r="F101" s="22" t="n">
        <v>2</v>
      </c>
      <c r="G101" s="22" t="n">
        <v>2</v>
      </c>
      <c r="H101" s="22" t="n">
        <v>1</v>
      </c>
      <c r="I101" s="22" t="n">
        <v>1</v>
      </c>
      <c r="J101" s="22" t="n">
        <v>1</v>
      </c>
      <c r="K101" s="22" t="n">
        <v>2</v>
      </c>
      <c r="L101" s="22" t="n">
        <v>2</v>
      </c>
    </row>
    <row r="102">
      <c r="A102" s="20" t="inlineStr">
        <is>
          <t>무형자산 합계</t>
        </is>
      </c>
      <c r="C102" s="22" t="n">
        <v>525</v>
      </c>
      <c r="D102" s="22" t="n">
        <v>513</v>
      </c>
      <c r="E102" s="22" t="n">
        <v>532</v>
      </c>
      <c r="F102" s="22" t="n">
        <v>532</v>
      </c>
      <c r="G102" s="22" t="n">
        <v>532</v>
      </c>
      <c r="H102" s="22" t="n">
        <v>19</v>
      </c>
      <c r="I102" s="22" t="n">
        <v>86</v>
      </c>
      <c r="J102" s="22" t="n">
        <v>430</v>
      </c>
      <c r="K102" s="22" t="n">
        <v>539</v>
      </c>
      <c r="L102" s="22" t="n">
        <v>532</v>
      </c>
    </row>
    <row r="103">
      <c r="A103" s="20" t="inlineStr">
        <is>
          <t>투자유가증권</t>
        </is>
      </c>
      <c r="C103" s="22" t="n">
        <v>3431</v>
      </c>
      <c r="D103" s="22" t="n">
        <v>3785</v>
      </c>
      <c r="E103" s="22" t="n">
        <v>4022</v>
      </c>
      <c r="F103" s="22" t="n">
        <v>4870</v>
      </c>
      <c r="G103" s="22" t="n">
        <v>4650</v>
      </c>
      <c r="H103" s="22" t="n">
        <v>2994</v>
      </c>
      <c r="I103" s="22" t="n">
        <v>2474</v>
      </c>
      <c r="J103" s="22" t="n">
        <v>2618</v>
      </c>
      <c r="K103" s="22" t="n">
        <v>3399</v>
      </c>
      <c r="L103" s="22" t="n">
        <v>4022</v>
      </c>
    </row>
    <row r="104">
      <c r="A104" s="20" t="inlineStr">
        <is>
          <t>파산갱생채권 등</t>
        </is>
      </c>
      <c r="C104" s="22" t="n">
        <v>36</v>
      </c>
      <c r="D104" s="22" t="n">
        <v>36</v>
      </c>
      <c r="E104" s="22" t="n">
        <v>36</v>
      </c>
      <c r="F104" s="22" t="n">
        <v>36</v>
      </c>
      <c r="G104" s="22" t="n">
        <v>36</v>
      </c>
      <c r="K104" s="22" t="n">
        <v>0</v>
      </c>
      <c r="L104" s="22" t="n">
        <v>36</v>
      </c>
    </row>
    <row r="105">
      <c r="A105" s="20" t="inlineStr">
        <is>
          <t>퇴직급여자산</t>
        </is>
      </c>
      <c r="C105" s="22" t="n">
        <v>209</v>
      </c>
      <c r="D105" s="22" t="n">
        <v>239</v>
      </c>
      <c r="E105" s="22" t="n">
        <v>235</v>
      </c>
      <c r="F105" s="22" t="n">
        <v>282</v>
      </c>
      <c r="G105" s="22" t="n">
        <v>273</v>
      </c>
      <c r="H105" s="22" t="n">
        <v>84</v>
      </c>
      <c r="I105" s="22" t="n">
        <v>69</v>
      </c>
      <c r="J105" s="22" t="n">
        <v>173</v>
      </c>
      <c r="K105" s="22" t="n">
        <v>164</v>
      </c>
      <c r="L105" s="22" t="n">
        <v>235</v>
      </c>
    </row>
    <row r="106">
      <c r="A106" s="20" t="inlineStr">
        <is>
          <t>이연법인세자산</t>
        </is>
      </c>
      <c r="C106" s="22" t="n">
        <v>1</v>
      </c>
      <c r="D106" s="22" t="n">
        <v>1</v>
      </c>
      <c r="E106" s="22" t="n">
        <v>0</v>
      </c>
      <c r="F106" s="22" t="n">
        <v>14</v>
      </c>
      <c r="G106" s="22" t="n">
        <v>13</v>
      </c>
      <c r="H106" s="22" t="n">
        <v>0</v>
      </c>
      <c r="I106" s="22" t="n">
        <v>102</v>
      </c>
      <c r="J106" s="22" t="n">
        <v>2</v>
      </c>
      <c r="K106" s="22" t="n">
        <v>1</v>
      </c>
      <c r="L106" s="22" t="n">
        <v>0</v>
      </c>
    </row>
    <row r="107">
      <c r="A107" s="20" t="inlineStr">
        <is>
          <t>보험적립금</t>
        </is>
      </c>
      <c r="C107" s="22" t="n">
        <v>221</v>
      </c>
      <c r="D107" s="22" t="n">
        <v>164</v>
      </c>
      <c r="E107" s="22" t="n">
        <v>184</v>
      </c>
      <c r="F107" s="22" t="n">
        <v>184</v>
      </c>
      <c r="G107" s="22" t="n">
        <v>201</v>
      </c>
      <c r="H107" s="22" t="n">
        <v>198</v>
      </c>
      <c r="I107" s="22" t="n">
        <v>191</v>
      </c>
      <c r="J107" s="22" t="n">
        <v>207</v>
      </c>
      <c r="K107" s="22" t="n">
        <v>208</v>
      </c>
      <c r="L107" s="22" t="n">
        <v>184</v>
      </c>
    </row>
    <row r="108">
      <c r="A108" s="20" t="inlineStr">
        <is>
          <t>기타</t>
        </is>
      </c>
      <c r="C108" s="22" t="n">
        <v>14</v>
      </c>
      <c r="D108" s="22" t="n">
        <v>12</v>
      </c>
      <c r="E108" s="22" t="n">
        <v>9</v>
      </c>
      <c r="F108" s="22" t="n">
        <v>8</v>
      </c>
      <c r="G108" s="22" t="n">
        <v>15</v>
      </c>
      <c r="H108" s="22" t="n">
        <v>18</v>
      </c>
      <c r="I108" s="22" t="n">
        <v>25</v>
      </c>
      <c r="J108" s="22" t="n">
        <v>19</v>
      </c>
      <c r="K108" s="22" t="n">
        <v>20</v>
      </c>
      <c r="L108" s="22" t="n">
        <v>9</v>
      </c>
    </row>
    <row r="109">
      <c r="A109" s="20" t="inlineStr">
        <is>
          <t>대손충당금</t>
        </is>
      </c>
      <c r="C109" s="22" t="n">
        <v>-36</v>
      </c>
      <c r="D109" s="22" t="n">
        <v>-36</v>
      </c>
      <c r="E109" s="22" t="n">
        <v>-36</v>
      </c>
      <c r="F109" s="22" t="n">
        <v>-36</v>
      </c>
      <c r="G109" s="22" t="n">
        <v>-36</v>
      </c>
      <c r="H109" s="22" t="n">
        <v>-6</v>
      </c>
      <c r="I109" s="22" t="n">
        <v>-4</v>
      </c>
      <c r="J109" s="22" t="n">
        <v>-4</v>
      </c>
      <c r="K109" s="22" t="n">
        <v>0</v>
      </c>
      <c r="L109" s="22" t="n">
        <v>-36</v>
      </c>
    </row>
    <row r="110">
      <c r="A110" s="20" t="inlineStr">
        <is>
          <t>투자 및 기타자산 합계</t>
        </is>
      </c>
      <c r="C110" s="22" t="n">
        <v>3879</v>
      </c>
      <c r="D110" s="22" t="n">
        <v>4203</v>
      </c>
      <c r="E110" s="22" t="n">
        <v>4453</v>
      </c>
      <c r="F110" s="22" t="n">
        <v>5360</v>
      </c>
      <c r="G110" s="22" t="n">
        <v>5154</v>
      </c>
      <c r="H110" s="22" t="n">
        <v>3290</v>
      </c>
      <c r="I110" s="22" t="n">
        <v>2859</v>
      </c>
      <c r="J110" s="22" t="n">
        <v>3016</v>
      </c>
      <c r="K110" s="22" t="n">
        <v>3794</v>
      </c>
      <c r="L110" s="22" t="n">
        <v>4453</v>
      </c>
    </row>
    <row r="111">
      <c r="A111" s="9" t="inlineStr">
        <is>
          <t>비유동자산 합계</t>
        </is>
      </c>
      <c r="C111" s="12" t="n">
        <v>6237</v>
      </c>
      <c r="D111" s="12" t="n">
        <v>6547</v>
      </c>
      <c r="E111" s="12" t="n">
        <v>6820</v>
      </c>
      <c r="F111" s="12" t="n">
        <v>7722</v>
      </c>
      <c r="G111" s="12" t="n">
        <v>7515</v>
      </c>
      <c r="H111" s="12" t="n">
        <v>4857</v>
      </c>
      <c r="I111" s="12" t="n">
        <v>4433</v>
      </c>
      <c r="J111" s="12" t="n">
        <v>4952</v>
      </c>
      <c r="K111" s="12" t="n">
        <v>6174</v>
      </c>
      <c r="L111" s="12" t="n">
        <v>6820</v>
      </c>
    </row>
    <row r="112">
      <c r="A112" s="9" t="inlineStr">
        <is>
          <t>자산 합계</t>
        </is>
      </c>
      <c r="C112" s="12" t="n">
        <v>15397</v>
      </c>
      <c r="D112" s="12" t="n">
        <v>15936</v>
      </c>
      <c r="E112" s="12" t="n">
        <v>15896</v>
      </c>
      <c r="F112" s="12" t="n">
        <v>16556</v>
      </c>
      <c r="G112" s="12" t="n">
        <v>16496</v>
      </c>
      <c r="H112" s="12" t="n">
        <v>12890</v>
      </c>
      <c r="I112" s="12" t="n">
        <v>14337</v>
      </c>
      <c r="J112" s="12" t="n">
        <v>16161</v>
      </c>
      <c r="K112" s="12" t="n">
        <v>15474</v>
      </c>
      <c r="L112" s="12" t="n">
        <v>15896</v>
      </c>
    </row>
    <row r="113">
      <c r="A113" s="20" t="inlineStr">
        <is>
          <t>매입채무</t>
        </is>
      </c>
      <c r="C113" s="22" t="n">
        <v>99</v>
      </c>
      <c r="D113" s="22" t="n">
        <v>235</v>
      </c>
      <c r="E113" s="22" t="n">
        <v>216</v>
      </c>
      <c r="F113" s="22" t="n">
        <v>455</v>
      </c>
      <c r="G113" s="22" t="n">
        <v>397</v>
      </c>
      <c r="H113" s="22" t="n">
        <v>315</v>
      </c>
      <c r="I113" s="22" t="n">
        <v>387</v>
      </c>
      <c r="J113" s="22" t="n">
        <v>151</v>
      </c>
      <c r="K113" s="22" t="n">
        <v>74</v>
      </c>
      <c r="L113" s="22" t="n">
        <v>216</v>
      </c>
    </row>
    <row r="114">
      <c r="A114" s="20" t="inlineStr">
        <is>
          <t>미지급금</t>
        </is>
      </c>
      <c r="C114" s="22" t="n">
        <v>83</v>
      </c>
      <c r="D114" s="22" t="n">
        <v>84</v>
      </c>
      <c r="E114" s="22" t="n">
        <v>100</v>
      </c>
      <c r="F114" s="22" t="n">
        <v>87</v>
      </c>
      <c r="G114" s="22" t="n">
        <v>90</v>
      </c>
      <c r="H114" s="22" t="n">
        <v>118</v>
      </c>
      <c r="I114" s="22" t="n">
        <v>117</v>
      </c>
      <c r="J114" s="22" t="n">
        <v>215</v>
      </c>
      <c r="K114" s="22" t="n">
        <v>86</v>
      </c>
      <c r="L114" s="22" t="n">
        <v>100</v>
      </c>
    </row>
    <row r="115">
      <c r="A115" s="20" t="inlineStr">
        <is>
          <t>단기차입금</t>
        </is>
      </c>
      <c r="C115" s="22" t="n">
        <v>0</v>
      </c>
      <c r="D115" s="22" t="n">
        <v>0</v>
      </c>
      <c r="E115" s="22" t="n">
        <v>0</v>
      </c>
      <c r="J115" s="22" t="n">
        <v>0</v>
      </c>
      <c r="K115" s="22" t="n">
        <v>40</v>
      </c>
      <c r="L115" s="22" t="n">
        <v>0</v>
      </c>
    </row>
    <row r="116">
      <c r="A116" s="20" t="inlineStr">
        <is>
          <t>1년 내 상환 장기차입금</t>
        </is>
      </c>
      <c r="C116" s="22" t="n">
        <v>44</v>
      </c>
      <c r="D116" s="22" t="n">
        <v>44</v>
      </c>
      <c r="E116" s="22" t="n">
        <v>44</v>
      </c>
      <c r="F116" s="22" t="n">
        <v>43</v>
      </c>
      <c r="G116" s="22" t="n">
        <v>41</v>
      </c>
      <c r="J116" s="22" t="n">
        <v>0</v>
      </c>
      <c r="K116" s="22" t="n">
        <v>47</v>
      </c>
      <c r="L116" s="22" t="n">
        <v>44</v>
      </c>
    </row>
    <row r="117">
      <c r="A117" s="20" t="inlineStr">
        <is>
          <t>미지급비용</t>
        </is>
      </c>
      <c r="C117" s="22" t="n">
        <v>114</v>
      </c>
      <c r="D117" s="22" t="n">
        <v>135</v>
      </c>
      <c r="E117" s="22" t="n">
        <v>115</v>
      </c>
      <c r="F117" s="22" t="n">
        <v>131</v>
      </c>
      <c r="G117" s="22" t="n">
        <v>130</v>
      </c>
      <c r="H117" s="22" t="n">
        <v>120</v>
      </c>
      <c r="I117" s="22" t="n">
        <v>126</v>
      </c>
      <c r="J117" s="22" t="n">
        <v>140</v>
      </c>
      <c r="K117" s="22" t="n">
        <v>115</v>
      </c>
      <c r="L117" s="22" t="n">
        <v>115</v>
      </c>
    </row>
    <row r="118">
      <c r="A118" s="20" t="inlineStr">
        <is>
          <t>계약부채</t>
        </is>
      </c>
      <c r="C118" s="22" t="n">
        <v>159</v>
      </c>
      <c r="D118" s="22" t="n">
        <v>176</v>
      </c>
      <c r="E118" s="22" t="n">
        <v>151</v>
      </c>
      <c r="F118" s="22" t="n">
        <v>199</v>
      </c>
      <c r="G118" s="22" t="n">
        <v>202</v>
      </c>
      <c r="H118" s="22" t="n">
        <v>200</v>
      </c>
      <c r="I118" s="22" t="n">
        <v>252</v>
      </c>
      <c r="J118" s="22" t="n">
        <v>208</v>
      </c>
      <c r="K118" s="22" t="n">
        <v>161</v>
      </c>
      <c r="L118" s="22" t="n">
        <v>151</v>
      </c>
    </row>
    <row r="119">
      <c r="A119" s="20" t="inlineStr">
        <is>
          <t>미지급법인세</t>
        </is>
      </c>
      <c r="C119" s="22" t="n">
        <v>97</v>
      </c>
      <c r="D119" s="22" t="n">
        <v>11</v>
      </c>
      <c r="E119" s="22" t="n">
        <v>160</v>
      </c>
      <c r="F119" s="22" t="n">
        <v>194</v>
      </c>
      <c r="G119" s="22" t="n">
        <v>388</v>
      </c>
      <c r="H119" s="22" t="n">
        <v>361</v>
      </c>
      <c r="I119" s="22" t="n">
        <v>179</v>
      </c>
      <c r="J119" s="22" t="n">
        <v>320</v>
      </c>
      <c r="K119" s="22" t="n">
        <v>41</v>
      </c>
      <c r="L119" s="22" t="n">
        <v>160</v>
      </c>
    </row>
    <row r="120">
      <c r="A120" s="20" t="inlineStr">
        <is>
          <t>상여충당금</t>
        </is>
      </c>
      <c r="C120" s="22" t="n">
        <v>146</v>
      </c>
      <c r="D120" s="22" t="n">
        <v>74</v>
      </c>
      <c r="E120" s="22" t="n">
        <v>139</v>
      </c>
      <c r="F120" s="22" t="n">
        <v>104</v>
      </c>
      <c r="G120" s="22" t="n">
        <v>208</v>
      </c>
      <c r="H120" s="22" t="n">
        <v>168</v>
      </c>
      <c r="I120" s="22" t="n">
        <v>196</v>
      </c>
      <c r="J120" s="22" t="n">
        <v>194</v>
      </c>
      <c r="K120" s="22" t="n">
        <v>143</v>
      </c>
      <c r="L120" s="22" t="n">
        <v>139</v>
      </c>
    </row>
    <row r="121">
      <c r="A121" s="20" t="inlineStr">
        <is>
          <t>제품보증 충당금</t>
        </is>
      </c>
      <c r="C121" s="22" t="n">
        <v>30</v>
      </c>
      <c r="D121" s="22" t="n">
        <v>28</v>
      </c>
      <c r="E121" s="22" t="n">
        <v>29</v>
      </c>
      <c r="F121" s="22" t="n">
        <v>30</v>
      </c>
      <c r="G121" s="22" t="n">
        <v>27</v>
      </c>
      <c r="H121" s="22" t="n">
        <v>38</v>
      </c>
      <c r="I121" s="22" t="n">
        <v>37</v>
      </c>
      <c r="J121" s="22" t="n">
        <v>79</v>
      </c>
      <c r="K121" s="22" t="n">
        <v>47</v>
      </c>
      <c r="L121" s="22" t="n">
        <v>29</v>
      </c>
    </row>
    <row r="122">
      <c r="A122" s="20" t="inlineStr">
        <is>
          <t>수선충당금</t>
        </is>
      </c>
      <c r="C122" s="22" t="n">
        <v>28</v>
      </c>
      <c r="D122" s="22" t="n">
        <v>28</v>
      </c>
      <c r="E122" s="22" t="n">
        <v>28</v>
      </c>
      <c r="F122" s="22" t="n">
        <v>28</v>
      </c>
      <c r="G122" s="22" t="n">
        <v>28</v>
      </c>
      <c r="H122" s="22" t="n">
        <v>41</v>
      </c>
      <c r="I122" s="22" t="n">
        <v>59</v>
      </c>
      <c r="J122" s="22" t="n">
        <v>0</v>
      </c>
      <c r="K122" s="22" t="n">
        <v>29</v>
      </c>
      <c r="L122" s="22" t="n">
        <v>28</v>
      </c>
    </row>
    <row r="123">
      <c r="A123" s="20" t="inlineStr">
        <is>
          <t>기타</t>
        </is>
      </c>
      <c r="C123" s="22" t="n">
        <v>41</v>
      </c>
      <c r="D123" s="22" t="n">
        <v>85</v>
      </c>
      <c r="E123" s="22" t="n">
        <v>46</v>
      </c>
      <c r="F123" s="22" t="n">
        <v>131</v>
      </c>
      <c r="G123" s="22" t="n">
        <v>40</v>
      </c>
      <c r="H123" s="22" t="n">
        <v>31</v>
      </c>
      <c r="I123" s="22" t="n">
        <v>35</v>
      </c>
      <c r="J123" s="22" t="n">
        <v>58</v>
      </c>
      <c r="K123" s="22" t="n">
        <v>47</v>
      </c>
      <c r="L123" s="22" t="n">
        <v>46</v>
      </c>
    </row>
    <row r="124">
      <c r="A124" s="9" t="inlineStr">
        <is>
          <t>유동부채 합계</t>
        </is>
      </c>
      <c r="C124" s="12" t="n">
        <v>846</v>
      </c>
      <c r="D124" s="12" t="n">
        <v>904</v>
      </c>
      <c r="E124" s="12" t="n">
        <v>1032</v>
      </c>
      <c r="F124" s="12" t="n">
        <v>1406</v>
      </c>
      <c r="G124" s="12" t="n">
        <v>1556</v>
      </c>
      <c r="H124" s="12" t="n">
        <v>1395</v>
      </c>
      <c r="I124" s="12" t="n">
        <v>1391</v>
      </c>
      <c r="J124" s="12" t="n">
        <v>1368</v>
      </c>
      <c r="K124" s="12" t="n">
        <v>834</v>
      </c>
      <c r="L124" s="12" t="n">
        <v>1032</v>
      </c>
    </row>
    <row r="125">
      <c r="A125" s="20" t="inlineStr">
        <is>
          <t>장기차입금</t>
        </is>
      </c>
      <c r="C125" s="22" t="n">
        <v>239</v>
      </c>
      <c r="D125" s="22" t="n">
        <v>227</v>
      </c>
      <c r="E125" s="22" t="n">
        <v>216</v>
      </c>
      <c r="F125" s="22" t="n">
        <v>207</v>
      </c>
      <c r="G125" s="22" t="n">
        <v>197</v>
      </c>
      <c r="J125" s="22" t="n">
        <v>0</v>
      </c>
      <c r="K125" s="22" t="n">
        <v>276</v>
      </c>
      <c r="L125" s="22" t="n">
        <v>216</v>
      </c>
    </row>
    <row r="126">
      <c r="A126" s="20" t="inlineStr">
        <is>
          <t>퇴직급여부채</t>
        </is>
      </c>
      <c r="C126" s="22" t="n">
        <v>48</v>
      </c>
      <c r="D126" s="22" t="n">
        <v>59</v>
      </c>
      <c r="E126" s="22" t="n">
        <v>59</v>
      </c>
      <c r="F126" s="22" t="n">
        <v>60</v>
      </c>
      <c r="G126" s="22" t="n">
        <v>60</v>
      </c>
      <c r="J126" s="22" t="n">
        <v>0</v>
      </c>
      <c r="K126" s="22" t="n">
        <v>56</v>
      </c>
      <c r="L126" s="22" t="n">
        <v>59</v>
      </c>
    </row>
    <row r="127">
      <c r="A127" s="20" t="inlineStr">
        <is>
          <t>주식급여 충당금</t>
        </is>
      </c>
      <c r="D127" s="22" t="n">
        <v>37</v>
      </c>
      <c r="E127" s="22" t="n">
        <v>37</v>
      </c>
      <c r="F127" s="22" t="n">
        <v>56</v>
      </c>
      <c r="G127" s="22" t="n">
        <v>56</v>
      </c>
      <c r="K127" s="22" t="n">
        <v>0</v>
      </c>
      <c r="L127" s="22" t="n">
        <v>37</v>
      </c>
    </row>
    <row r="128">
      <c r="A128" s="20" t="inlineStr">
        <is>
          <t>자산복구부채</t>
        </is>
      </c>
      <c r="C128" s="22" t="n">
        <v>10</v>
      </c>
      <c r="D128" s="22" t="n">
        <v>10</v>
      </c>
      <c r="E128" s="22" t="n">
        <v>10</v>
      </c>
      <c r="F128" s="22" t="n">
        <v>10</v>
      </c>
      <c r="G128" s="22" t="n">
        <v>10</v>
      </c>
      <c r="J128" s="22" t="n">
        <v>0</v>
      </c>
      <c r="K128" s="22" t="n">
        <v>10</v>
      </c>
      <c r="L128" s="22" t="n">
        <v>10</v>
      </c>
    </row>
    <row r="129">
      <c r="A129" s="20" t="inlineStr">
        <is>
          <t>장기미지급금</t>
        </is>
      </c>
      <c r="H129" s="22" t="n">
        <v>4</v>
      </c>
      <c r="I129" s="22" t="n">
        <v>1</v>
      </c>
      <c r="J129" s="22" t="n">
        <v>1</v>
      </c>
      <c r="K129" s="22" t="n">
        <v>0</v>
      </c>
    </row>
    <row r="130">
      <c r="A130" s="20" t="inlineStr">
        <is>
          <t>이연법인세부채</t>
        </is>
      </c>
      <c r="C130" s="22" t="n">
        <v>265</v>
      </c>
      <c r="D130" s="22" t="n">
        <v>386</v>
      </c>
      <c r="E130" s="22" t="n">
        <v>337</v>
      </c>
      <c r="F130" s="22" t="n">
        <v>501</v>
      </c>
      <c r="G130" s="22" t="n">
        <v>410</v>
      </c>
      <c r="H130" s="22" t="n">
        <v>190</v>
      </c>
      <c r="I130" s="22" t="n">
        <v>27</v>
      </c>
      <c r="J130" s="22" t="n">
        <v>309</v>
      </c>
      <c r="K130" s="22" t="n">
        <v>129</v>
      </c>
      <c r="L130" s="22" t="n">
        <v>337</v>
      </c>
    </row>
    <row r="131">
      <c r="A131" s="20" t="inlineStr">
        <is>
          <t>기타</t>
        </is>
      </c>
      <c r="C131" s="22" t="n">
        <v>1</v>
      </c>
      <c r="D131" s="22" t="n">
        <v>1</v>
      </c>
      <c r="E131" s="22" t="n">
        <v>1</v>
      </c>
      <c r="F131" s="22" t="n">
        <v>2</v>
      </c>
      <c r="G131" s="22" t="n">
        <v>5</v>
      </c>
      <c r="H131" s="22" t="n">
        <v>0</v>
      </c>
      <c r="I131" s="22" t="n">
        <v>8</v>
      </c>
      <c r="J131" s="22" t="n">
        <v>4</v>
      </c>
      <c r="K131" s="22" t="n">
        <v>2</v>
      </c>
      <c r="L131" s="22" t="n">
        <v>1</v>
      </c>
    </row>
    <row r="132">
      <c r="A132" s="9" t="inlineStr">
        <is>
          <t>비유동부채 합계</t>
        </is>
      </c>
      <c r="C132" s="12" t="n">
        <v>565</v>
      </c>
      <c r="D132" s="12" t="n">
        <v>723</v>
      </c>
      <c r="E132" s="12" t="n">
        <v>663</v>
      </c>
      <c r="F132" s="12" t="n">
        <v>838</v>
      </c>
      <c r="G132" s="12" t="n">
        <v>740</v>
      </c>
      <c r="H132" s="12" t="n">
        <v>195</v>
      </c>
      <c r="I132" s="12" t="n">
        <v>37</v>
      </c>
      <c r="J132" s="12" t="n">
        <v>315</v>
      </c>
      <c r="K132" s="12" t="n">
        <v>475</v>
      </c>
      <c r="L132" s="12" t="n">
        <v>663</v>
      </c>
    </row>
    <row r="133">
      <c r="A133" s="9" t="inlineStr">
        <is>
          <t>부채 합계</t>
        </is>
      </c>
      <c r="C133" s="12" t="n">
        <v>1411</v>
      </c>
      <c r="D133" s="12" t="n">
        <v>1628</v>
      </c>
      <c r="E133" s="12" t="n">
        <v>1696</v>
      </c>
      <c r="F133" s="12" t="n">
        <v>2244</v>
      </c>
      <c r="G133" s="12" t="n">
        <v>2297</v>
      </c>
      <c r="H133" s="12" t="n">
        <v>1590</v>
      </c>
      <c r="I133" s="12" t="n">
        <v>1429</v>
      </c>
      <c r="J133" s="12" t="n">
        <v>1683</v>
      </c>
      <c r="K133" s="12" t="n">
        <v>1309</v>
      </c>
      <c r="L133" s="12" t="n">
        <v>1696</v>
      </c>
    </row>
    <row r="134">
      <c r="A134" s="20" t="inlineStr">
        <is>
          <t>자본금</t>
        </is>
      </c>
      <c r="C134" s="22" t="n">
        <v>2521</v>
      </c>
      <c r="D134" s="22" t="n">
        <v>2521</v>
      </c>
      <c r="E134" s="22" t="n">
        <v>2521</v>
      </c>
      <c r="F134" s="22" t="n">
        <v>2521</v>
      </c>
      <c r="G134" s="22" t="n">
        <v>2521</v>
      </c>
      <c r="H134" s="22" t="n">
        <v>2521</v>
      </c>
      <c r="I134" s="22" t="n">
        <v>2521</v>
      </c>
      <c r="J134" s="22" t="n">
        <v>2521</v>
      </c>
      <c r="K134" s="22" t="n">
        <v>2521</v>
      </c>
      <c r="L134" s="22" t="n">
        <v>2521</v>
      </c>
    </row>
    <row r="135">
      <c r="A135" s="20" t="inlineStr">
        <is>
          <t>자본잉여금</t>
        </is>
      </c>
      <c r="C135" s="22" t="n">
        <v>3379</v>
      </c>
      <c r="D135" s="22" t="n">
        <v>3370</v>
      </c>
      <c r="E135" s="22" t="n">
        <v>3370</v>
      </c>
      <c r="F135" s="22" t="n">
        <v>3370</v>
      </c>
      <c r="G135" s="22" t="n">
        <v>3376</v>
      </c>
      <c r="H135" s="22" t="n">
        <v>3370</v>
      </c>
      <c r="I135" s="22" t="n">
        <v>3376</v>
      </c>
      <c r="J135" s="22" t="n">
        <v>3381</v>
      </c>
      <c r="K135" s="22" t="n">
        <v>3382</v>
      </c>
      <c r="L135" s="22" t="n">
        <v>3370</v>
      </c>
    </row>
    <row r="136">
      <c r="A136" s="20" t="inlineStr">
        <is>
          <t>이익잉여금</t>
        </is>
      </c>
      <c r="C136" s="22" t="n">
        <v>7810</v>
      </c>
      <c r="D136" s="22" t="n">
        <v>7500</v>
      </c>
      <c r="E136" s="22" t="n">
        <v>7676</v>
      </c>
      <c r="F136" s="22" t="n">
        <v>7616</v>
      </c>
      <c r="G136" s="22" t="n">
        <v>7803</v>
      </c>
      <c r="H136" s="22" t="n">
        <v>5178</v>
      </c>
      <c r="I136" s="22" t="n">
        <v>6982</v>
      </c>
      <c r="J136" s="22" t="n">
        <v>7939</v>
      </c>
      <c r="K136" s="22" t="n">
        <v>7979</v>
      </c>
      <c r="L136" s="22" t="n">
        <v>7676</v>
      </c>
    </row>
    <row r="137">
      <c r="A137" s="20" t="inlineStr">
        <is>
          <t>자기주식</t>
        </is>
      </c>
      <c r="C137" s="22" t="n">
        <v>-902</v>
      </c>
      <c r="D137" s="22" t="n">
        <v>-511</v>
      </c>
      <c r="E137" s="22" t="n">
        <v>-811</v>
      </c>
      <c r="F137" s="22" t="n">
        <v>-910</v>
      </c>
      <c r="G137" s="22" t="n">
        <v>-1093</v>
      </c>
      <c r="H137" s="22" t="n">
        <v>-202</v>
      </c>
      <c r="I137" s="22" t="n">
        <v>-414</v>
      </c>
      <c r="J137" s="22" t="n">
        <v>-540</v>
      </c>
      <c r="K137" s="22" t="n">
        <v>-620</v>
      </c>
      <c r="L137" s="22" t="n">
        <v>-811</v>
      </c>
    </row>
    <row r="138">
      <c r="A138" s="9" t="inlineStr">
        <is>
          <t>주주자본 합계</t>
        </is>
      </c>
      <c r="C138" s="12" t="n">
        <v>12808</v>
      </c>
      <c r="D138" s="12" t="n">
        <v>12881</v>
      </c>
      <c r="E138" s="12" t="n">
        <v>12757</v>
      </c>
      <c r="F138" s="12" t="n">
        <v>12597</v>
      </c>
      <c r="G138" s="12" t="n">
        <v>12607</v>
      </c>
      <c r="H138" s="12" t="n">
        <v>10868</v>
      </c>
      <c r="I138" s="12" t="n">
        <v>12465</v>
      </c>
      <c r="J138" s="12" t="n">
        <v>13301</v>
      </c>
      <c r="K138" s="12" t="n">
        <v>13262</v>
      </c>
      <c r="L138" s="12" t="n">
        <v>12757</v>
      </c>
    </row>
    <row r="139">
      <c r="A139" s="20" t="inlineStr">
        <is>
          <t>기타유가증권 평가차액</t>
        </is>
      </c>
      <c r="C139" s="22" t="n">
        <v>1061</v>
      </c>
      <c r="D139" s="22" t="n">
        <v>1241</v>
      </c>
      <c r="E139" s="22" t="n">
        <v>1208</v>
      </c>
      <c r="F139" s="22" t="n">
        <v>1457</v>
      </c>
      <c r="G139" s="22" t="n">
        <v>1352</v>
      </c>
      <c r="H139" s="22" t="n">
        <v>524</v>
      </c>
      <c r="I139" s="22" t="n">
        <v>472</v>
      </c>
      <c r="J139" s="22" t="n">
        <v>1104</v>
      </c>
      <c r="K139" s="22" t="n">
        <v>765</v>
      </c>
      <c r="L139" s="22" t="n">
        <v>1208</v>
      </c>
    </row>
    <row r="140">
      <c r="A140" s="20" t="inlineStr">
        <is>
          <t>해외사업환산조정</t>
        </is>
      </c>
      <c r="C140" s="22" t="n">
        <v>113</v>
      </c>
      <c r="D140" s="22" t="n">
        <v>183</v>
      </c>
      <c r="E140" s="22" t="n">
        <v>232</v>
      </c>
      <c r="F140" s="22" t="n">
        <v>254</v>
      </c>
      <c r="G140" s="22" t="n">
        <v>237</v>
      </c>
      <c r="H140" s="22" t="n">
        <v>-93</v>
      </c>
      <c r="I140" s="22" t="n">
        <v>-31</v>
      </c>
      <c r="J140" s="22" t="n">
        <v>70</v>
      </c>
      <c r="K140" s="22" t="n">
        <v>135</v>
      </c>
      <c r="L140" s="22" t="n">
        <v>232</v>
      </c>
    </row>
    <row r="141">
      <c r="A141" s="20" t="inlineStr">
        <is>
          <t>기타포괄손익누계액 합계</t>
        </is>
      </c>
      <c r="C141" s="22" t="n">
        <v>1174</v>
      </c>
      <c r="D141" s="22" t="n">
        <v>1425</v>
      </c>
      <c r="E141" s="22" t="n">
        <v>1440</v>
      </c>
      <c r="F141" s="22" t="n">
        <v>1712</v>
      </c>
      <c r="G141" s="22" t="n">
        <v>1590</v>
      </c>
      <c r="H141" s="22" t="n">
        <v>430</v>
      </c>
      <c r="I141" s="22" t="n">
        <v>441</v>
      </c>
      <c r="J141" s="22" t="n">
        <v>1175</v>
      </c>
      <c r="K141" s="22" t="n">
        <v>900</v>
      </c>
      <c r="L141" s="22" t="n">
        <v>1440</v>
      </c>
    </row>
    <row r="142">
      <c r="A142" s="20" t="inlineStr">
        <is>
          <t>비지배지분</t>
        </is>
      </c>
      <c r="C142" s="22" t="n">
        <v>1</v>
      </c>
      <c r="D142" s="22" t="n">
        <v>1</v>
      </c>
      <c r="E142" s="22" t="n">
        <v>1</v>
      </c>
      <c r="F142" s="22" t="n">
        <v>1</v>
      </c>
      <c r="G142" s="22" t="n">
        <v>1</v>
      </c>
      <c r="H142" s="22" t="n">
        <v>1</v>
      </c>
      <c r="I142" s="22" t="n">
        <v>1</v>
      </c>
      <c r="J142" s="22" t="n">
        <v>1</v>
      </c>
      <c r="K142" s="22" t="n">
        <v>1</v>
      </c>
      <c r="L142" s="22" t="n">
        <v>1</v>
      </c>
    </row>
    <row r="143">
      <c r="A143" s="9" t="inlineStr">
        <is>
          <t>순자산 합계</t>
        </is>
      </c>
      <c r="C143" s="12" t="n">
        <v>13985</v>
      </c>
      <c r="D143" s="12" t="n">
        <v>14308</v>
      </c>
      <c r="E143" s="12" t="n">
        <v>14200</v>
      </c>
      <c r="F143" s="12" t="n">
        <v>14312</v>
      </c>
      <c r="G143" s="12" t="n">
        <v>14198</v>
      </c>
      <c r="H143" s="12" t="n">
        <v>11300</v>
      </c>
      <c r="I143" s="12" t="n">
        <v>12907</v>
      </c>
      <c r="J143" s="12" t="n">
        <v>14477</v>
      </c>
      <c r="K143" s="12" t="n">
        <v>14165</v>
      </c>
      <c r="L143" s="12" t="n">
        <v>14200</v>
      </c>
    </row>
    <row r="144">
      <c r="A144" s="9" t="inlineStr">
        <is>
          <t>부채·순자산 합계</t>
        </is>
      </c>
      <c r="C144" s="12" t="n">
        <v>15397</v>
      </c>
      <c r="D144" s="12" t="n">
        <v>15936</v>
      </c>
      <c r="E144" s="12" t="n">
        <v>15896</v>
      </c>
      <c r="F144" s="12" t="n">
        <v>16556</v>
      </c>
      <c r="G144" s="12" t="n">
        <v>16496</v>
      </c>
      <c r="H144" s="12" t="n">
        <v>12890</v>
      </c>
      <c r="I144" s="12" t="n">
        <v>14337</v>
      </c>
      <c r="J144" s="12" t="n">
        <v>16161</v>
      </c>
      <c r="K144" s="12" t="n">
        <v>15474</v>
      </c>
      <c r="L144" s="12" t="n">
        <v>15896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53" t="inlineStr">
        <is>
          <t>공시일</t>
        </is>
      </c>
      <c r="B3" s="53" t="inlineStr">
        <is>
          <t>문서</t>
        </is>
      </c>
      <c r="C3" s="53" t="inlineStr">
        <is>
          <t>PDF</t>
        </is>
      </c>
    </row>
    <row r="4">
      <c r="A4" t="inlineStr">
        <is>
          <t>2026-10-27</t>
        </is>
      </c>
      <c r="B4" t="inlineStr">
        <is>
          <t>2027년 3월 결산기 ２분기 결산단신</t>
        </is>
      </c>
      <c r="C4" t="inlineStr">
        <is>
          <t>https://www2.jpx.co.jp/disc/63370/140120261027556776.pdf</t>
        </is>
      </c>
    </row>
    <row r="5">
      <c r="A5" t="inlineStr">
        <is>
          <t>2026-07-28</t>
        </is>
      </c>
      <c r="B5" t="inlineStr">
        <is>
          <t>2027년 3월 결산기 １분기 결산단신</t>
        </is>
      </c>
      <c r="C5" t="inlineStr">
        <is>
          <t>https://www2.jpx.co.jp/disc/63370/140120260728500708.pdf</t>
        </is>
      </c>
    </row>
    <row r="6">
      <c r="A6" t="inlineStr">
        <is>
          <t>2026-05-12</t>
        </is>
      </c>
      <c r="B6" t="inlineStr">
        <is>
          <t>2026년 3월 결산기 연간 결산단신</t>
        </is>
      </c>
      <c r="C6" t="inlineStr">
        <is>
          <t>https://www2.jpx.co.jp/disc/63370/140120260512524921.pdf</t>
        </is>
      </c>
    </row>
    <row r="7">
      <c r="A7" t="inlineStr">
        <is>
          <t>2026-01-27</t>
        </is>
      </c>
      <c r="B7" t="inlineStr">
        <is>
          <t>2026년 3월 결산기 3분기 결산단신</t>
        </is>
      </c>
      <c r="C7" t="inlineStr">
        <is>
          <t>https://www2.jpx.co.jp/disc/63370/140120260127539293.pdf</t>
        </is>
      </c>
    </row>
    <row r="8">
      <c r="A8" t="inlineStr">
        <is>
          <t>2025-10-28</t>
        </is>
      </c>
      <c r="B8" t="inlineStr">
        <is>
          <t>2026년 3월 결산기 ２분기 결산단신</t>
        </is>
      </c>
      <c r="C8" t="inlineStr">
        <is>
          <t>https://www2.jpx.co.jp/disc/63370/140120251028580247.pdf</t>
        </is>
      </c>
    </row>
    <row r="9">
      <c r="A9" t="inlineStr">
        <is>
          <t>2025-07-29</t>
        </is>
      </c>
      <c r="B9" t="inlineStr">
        <is>
          <t>2026년 3월 결산기 １분기 결산단신</t>
        </is>
      </c>
      <c r="C9" t="inlineStr">
        <is>
          <t>https://www2.jpx.co.jp/disc/63370/140120250729522670.pdf</t>
        </is>
      </c>
    </row>
    <row r="10">
      <c r="A10" t="inlineStr">
        <is>
          <t>2025-05-13</t>
        </is>
      </c>
      <c r="B10" t="inlineStr">
        <is>
          <t>2025년 3월 결산기 연간 결산단신</t>
        </is>
      </c>
      <c r="C10" t="inlineStr">
        <is>
          <t>https://www2.jpx.co.jp/disc/63370/140120250513546267.pdf</t>
        </is>
      </c>
    </row>
    <row r="11">
      <c r="A11" t="inlineStr">
        <is>
          <t>2025-01-28</t>
        </is>
      </c>
      <c r="B11" t="inlineStr">
        <is>
          <t>2025년 3월 결산기 ３분기 결산단신</t>
        </is>
      </c>
      <c r="C11" t="inlineStr">
        <is>
          <t>https://www2.jpx.co.jp/disc/63370/140120250128556360.pdf</t>
        </is>
      </c>
    </row>
    <row r="12">
      <c r="A12" t="inlineStr">
        <is>
          <t>2024-10-29</t>
        </is>
      </c>
      <c r="B12" t="inlineStr">
        <is>
          <t>2025년 3월 결산기 ２분기 결산단신</t>
        </is>
      </c>
      <c r="C12" t="inlineStr">
        <is>
          <t>https://www2.jpx.co.jp/disc/63370/140120241029504891.pdf</t>
        </is>
      </c>
    </row>
    <row r="13">
      <c r="A13" t="inlineStr">
        <is>
          <t>2024-07-30</t>
        </is>
      </c>
      <c r="B13" t="inlineStr">
        <is>
          <t>2025년 3월 결산기 １분기 결산단신</t>
        </is>
      </c>
      <c r="C13" t="inlineStr">
        <is>
          <t>https://www2.jpx.co.jp/disc/63370/140120240730557401.pdf</t>
        </is>
      </c>
    </row>
    <row r="14">
      <c r="A14" t="inlineStr">
        <is>
          <t>2024-05-14</t>
        </is>
      </c>
      <c r="B14" t="inlineStr">
        <is>
          <t>2024년 3월 결산기 연간 결산단신</t>
        </is>
      </c>
      <c r="C14" t="inlineStr">
        <is>
          <t>https://www2.jpx.co.jp/disc/63370/140120240514595214.pdf</t>
        </is>
      </c>
    </row>
    <row r="15">
      <c r="A15" t="inlineStr">
        <is>
          <t>2024-01-30</t>
        </is>
      </c>
      <c r="B15" t="inlineStr">
        <is>
          <t>2024년 3월 결산기 ３분기 결산단신</t>
        </is>
      </c>
      <c r="C15" t="inlineStr">
        <is>
          <t>https://www2.jpx.co.jp/disc/63370/140120240130521444.pdf</t>
        </is>
      </c>
    </row>
    <row r="16">
      <c r="A16" t="inlineStr">
        <is>
          <t>2023-10-31</t>
        </is>
      </c>
      <c r="B16" t="inlineStr">
        <is>
          <t>2024년 3월 결산기 ２분기 결산단신</t>
        </is>
      </c>
      <c r="C16" t="inlineStr">
        <is>
          <t>https://www2.jpx.co.jp/disc/63370/140120231031576117.pdf</t>
        </is>
      </c>
    </row>
    <row r="17">
      <c r="A17" t="inlineStr">
        <is>
          <t>2023-07-25</t>
        </is>
      </c>
      <c r="B17" t="inlineStr">
        <is>
          <t>2024년 3월 결산기 １분기 결산단신</t>
        </is>
      </c>
      <c r="C17" t="inlineStr">
        <is>
          <t>https://www2.jpx.co.jp/disc/63370/140120230725526359.pdf</t>
        </is>
      </c>
    </row>
    <row r="18">
      <c r="A18" t="inlineStr">
        <is>
          <t>2023-05-09</t>
        </is>
      </c>
      <c r="B18" t="inlineStr">
        <is>
          <t>2023년 3월 결산기 연간 결산단신</t>
        </is>
      </c>
      <c r="C18" t="inlineStr">
        <is>
          <t>https://www2.jpx.co.jp/disc/63370/140120230509561384.pdf</t>
        </is>
      </c>
    </row>
    <row r="19">
      <c r="A19" t="inlineStr">
        <is>
          <t>2023-01-31</t>
        </is>
      </c>
      <c r="B19" t="inlineStr">
        <is>
          <t>2023년 3월 결산기 ３분기 결산단신</t>
        </is>
      </c>
      <c r="C19" t="inlineStr">
        <is>
          <t>https://www2.jpx.co.jp/disc/63370/140120230131596696.pdf</t>
        </is>
      </c>
    </row>
    <row r="20">
      <c r="A20" t="inlineStr">
        <is>
          <t>2022-05-10</t>
        </is>
      </c>
      <c r="B20" t="inlineStr">
        <is>
          <t>2022년 3월 결산기 연간 결산단신</t>
        </is>
      </c>
      <c r="C20" t="inlineStr">
        <is>
          <t>https://www2.jpx.co.jp/disc/63370/140120220510536718.pdf</t>
        </is>
      </c>
    </row>
    <row r="21">
      <c r="A21" t="inlineStr">
        <is>
          <t>2021-05-11</t>
        </is>
      </c>
      <c r="B21" t="inlineStr">
        <is>
          <t>2021년 3월 결산기 연간 결산단신</t>
        </is>
      </c>
      <c r="C21" t="inlineStr">
        <is>
          <t>https://www2.jpx.co.jp/disc/63370/140120210511410418.pdf</t>
        </is>
      </c>
    </row>
    <row r="22">
      <c r="A22" t="inlineStr">
        <is>
          <t>2020-05-15</t>
        </is>
      </c>
      <c r="B22" t="inlineStr">
        <is>
          <t>2020년 3월 결산기 연간 결산단신</t>
        </is>
      </c>
      <c r="C22" t="inlineStr">
        <is>
          <t>https://www2.jpx.co.jp/disc/63370/140120200514414303.pdf</t>
        </is>
      </c>
    </row>
    <row r="23">
      <c r="A23" t="inlineStr">
        <is>
          <t>2019-05-14</t>
        </is>
      </c>
      <c r="B23" t="inlineStr">
        <is>
          <t>2019년 3월 결산기 연간 결산단신</t>
        </is>
      </c>
      <c r="C23" t="inlineStr">
        <is>
          <t>https://www2.jpx.co.jp/disc/63370/140120190513424142.pdf</t>
        </is>
      </c>
    </row>
    <row r="24">
      <c r="A24" t="inlineStr">
        <is>
          <t>2018-05-15</t>
        </is>
      </c>
      <c r="B24" t="inlineStr">
        <is>
          <t>연간 결산단신</t>
        </is>
      </c>
      <c r="C24" t="inlineStr">
        <is>
          <t>https://www2.jpx.co.jp/disc/63370/140120180514437628.pdf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2026-10-27T07:43:59Z</dcterms:created>
  <dcterms:modified xmlns:dcterms="http://purl.org/dc/terms/" xmlns:xsi="http://www.w3.org/2001/XMLSchema-instance" xsi:type="dcterms:W3CDTF">2026-10-27T07:43:59Z</dcterms:modified>
</cp:coreProperties>
</file>