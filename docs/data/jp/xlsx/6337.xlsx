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테섹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2189</v>
      </c>
      <c r="D4" s="12" t="n">
        <v>2148</v>
      </c>
      <c r="E4" s="12" t="n">
        <v>1294</v>
      </c>
      <c r="F4" s="12" t="n">
        <v>1313</v>
      </c>
      <c r="G4" s="12" t="n">
        <v>1661</v>
      </c>
      <c r="H4" s="12" t="n">
        <v>1624</v>
      </c>
      <c r="I4" s="12" t="n">
        <v>1069</v>
      </c>
      <c r="J4" s="12" t="n">
        <v>1563</v>
      </c>
      <c r="K4" s="12" t="n">
        <v>1370</v>
      </c>
      <c r="L4" s="12" t="n">
        <v>1565</v>
      </c>
      <c r="M4" s="12" t="n">
        <v>1912</v>
      </c>
      <c r="N4" s="12" t="n">
        <v>1891</v>
      </c>
      <c r="O4" s="11" t="n">
        <v>4095</v>
      </c>
      <c r="P4" s="12" t="n">
        <v>5869</v>
      </c>
      <c r="Q4" s="12" t="n">
        <v>7194</v>
      </c>
      <c r="R4" s="12" t="n">
        <v>4159</v>
      </c>
      <c r="S4" s="12" t="n">
        <v>3449</v>
      </c>
      <c r="T4" s="12" t="n">
        <v>7512</v>
      </c>
      <c r="U4" s="12" t="n">
        <v>8743</v>
      </c>
      <c r="V4" s="12" t="n">
        <v>8619</v>
      </c>
      <c r="W4" s="12" t="n">
        <v>5892</v>
      </c>
      <c r="X4" s="12" t="n">
        <v>5567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1234</v>
      </c>
      <c r="D11" s="22" t="n">
        <v>1175</v>
      </c>
      <c r="E11" s="22" t="n">
        <v>813</v>
      </c>
      <c r="F11" s="22" t="n">
        <v>790</v>
      </c>
      <c r="G11" s="22" t="n">
        <v>938</v>
      </c>
      <c r="H11" s="22" t="n">
        <v>1093</v>
      </c>
      <c r="I11" s="22" t="n">
        <v>663</v>
      </c>
      <c r="J11" s="22" t="n">
        <v>935</v>
      </c>
      <c r="K11" s="22" t="n">
        <v>809</v>
      </c>
      <c r="L11" s="22" t="n">
        <v>993</v>
      </c>
      <c r="M11" s="22" t="n">
        <v>1008</v>
      </c>
      <c r="N11" s="22" t="n">
        <v>1015</v>
      </c>
      <c r="O11" s="21" t="n">
        <v>2526</v>
      </c>
      <c r="P11" s="22" t="n">
        <v>3544</v>
      </c>
      <c r="Q11" s="22" t="n">
        <v>4261</v>
      </c>
      <c r="R11" s="22" t="n">
        <v>2801</v>
      </c>
      <c r="S11" s="22" t="n">
        <v>2607</v>
      </c>
      <c r="T11" s="22" t="n">
        <v>4163</v>
      </c>
      <c r="U11" s="22" t="n">
        <v>4652</v>
      </c>
      <c r="V11" s="22" t="n">
        <v>4794</v>
      </c>
      <c r="W11" s="22" t="n">
        <v>3634</v>
      </c>
      <c r="X11" s="22" t="n">
        <v>3400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507</v>
      </c>
      <c r="D17" s="22" t="n">
        <v>454</v>
      </c>
      <c r="E17" s="22" t="n">
        <v>459</v>
      </c>
      <c r="F17" s="22" t="n">
        <v>383</v>
      </c>
      <c r="G17" s="22" t="n">
        <v>519</v>
      </c>
      <c r="H17" s="22" t="n">
        <v>461</v>
      </c>
      <c r="I17" s="22" t="n">
        <v>418</v>
      </c>
      <c r="J17" s="22" t="n">
        <v>423</v>
      </c>
      <c r="K17" s="22" t="n">
        <v>499</v>
      </c>
      <c r="L17" s="22" t="n">
        <v>526</v>
      </c>
      <c r="M17" s="22" t="n">
        <v>490</v>
      </c>
      <c r="N17" s="22" t="n">
        <v>548</v>
      </c>
      <c r="O17" s="21" t="n">
        <v>1354</v>
      </c>
      <c r="P17" s="22" t="n">
        <v>1420</v>
      </c>
      <c r="Q17" s="22" t="n">
        <v>1718</v>
      </c>
      <c r="R17" s="22" t="n">
        <v>1444</v>
      </c>
      <c r="S17" s="22" t="n">
        <v>1290</v>
      </c>
      <c r="T17" s="22" t="n">
        <v>1600</v>
      </c>
      <c r="U17" s="22" t="n">
        <v>1957</v>
      </c>
      <c r="V17" s="22" t="n">
        <v>2094</v>
      </c>
      <c r="W17" s="22" t="n">
        <v>1822</v>
      </c>
      <c r="X17" s="22" t="n">
        <v>1866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449</v>
      </c>
      <c r="D19" s="12" t="n">
        <v>520</v>
      </c>
      <c r="E19" s="12" t="n">
        <v>21</v>
      </c>
      <c r="F19" s="12" t="n">
        <v>141</v>
      </c>
      <c r="G19" s="12" t="n">
        <v>203</v>
      </c>
      <c r="H19" s="12" t="n">
        <v>69</v>
      </c>
      <c r="I19" s="12" t="n">
        <v>-11</v>
      </c>
      <c r="J19" s="12" t="n">
        <v>202</v>
      </c>
      <c r="K19" s="12" t="n">
        <v>63</v>
      </c>
      <c r="L19" s="12" t="n">
        <v>47</v>
      </c>
      <c r="M19" s="12" t="n">
        <v>413</v>
      </c>
      <c r="N19" s="12" t="n">
        <v>328</v>
      </c>
      <c r="O19" s="11" t="n">
        <v>213</v>
      </c>
      <c r="P19" s="12" t="n">
        <v>904</v>
      </c>
      <c r="Q19" s="12" t="n">
        <v>1214</v>
      </c>
      <c r="R19" s="12" t="n">
        <v>-86</v>
      </c>
      <c r="S19" s="12" t="n">
        <v>-448</v>
      </c>
      <c r="T19" s="12" t="n">
        <v>1748</v>
      </c>
      <c r="U19" s="12" t="n">
        <v>2133</v>
      </c>
      <c r="V19" s="12" t="n">
        <v>1731</v>
      </c>
      <c r="W19" s="12" t="n">
        <v>434</v>
      </c>
      <c r="X19" s="12" t="n">
        <v>301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>
        <v>13</v>
      </c>
      <c r="P26" s="22" t="n">
        <v>11</v>
      </c>
      <c r="Q26" s="22" t="n">
        <v>11</v>
      </c>
      <c r="R26" s="22" t="n">
        <v>12</v>
      </c>
      <c r="S26" s="22" t="n">
        <v>14</v>
      </c>
      <c r="T26" s="22" t="n">
        <v>17</v>
      </c>
      <c r="U26" s="22" t="n">
        <v>19</v>
      </c>
      <c r="V26" s="22" t="n">
        <v>18</v>
      </c>
      <c r="W26" s="22" t="n">
        <v>22</v>
      </c>
      <c r="X26" s="22" t="n">
        <v>21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>
        <v>225</v>
      </c>
      <c r="P30" s="22" t="n">
        <v>156</v>
      </c>
      <c r="Q30" s="22" t="n">
        <v>275</v>
      </c>
      <c r="R30" s="22" t="n">
        <v>290</v>
      </c>
      <c r="S30" s="22" t="n">
        <v>234</v>
      </c>
      <c r="T30" s="22" t="n">
        <v>240</v>
      </c>
      <c r="U30" s="22" t="n">
        <v>348</v>
      </c>
      <c r="V30" s="22" t="n">
        <v>425</v>
      </c>
      <c r="W30" s="22" t="n">
        <v>337</v>
      </c>
      <c r="X30" s="22" t="n">
        <v>353</v>
      </c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3</v>
      </c>
      <c r="J35" s="22" t="n">
        <v>0</v>
      </c>
      <c r="K35" s="22" t="n">
        <v>0</v>
      </c>
      <c r="L35" s="22" t="n">
        <v>173</v>
      </c>
      <c r="M35" s="22" t="n">
        <v>181</v>
      </c>
      <c r="N35" s="22" t="n">
        <v>0</v>
      </c>
      <c r="O35" s="21" t="n">
        <v>0</v>
      </c>
      <c r="P35" s="22" t="n">
        <v>4</v>
      </c>
      <c r="Q35" s="22" t="n">
        <v>1</v>
      </c>
      <c r="R35" s="22" t="n">
        <v>23</v>
      </c>
      <c r="S35" s="22" t="n">
        <v>56</v>
      </c>
      <c r="T35" s="22" t="n">
        <v>0</v>
      </c>
      <c r="U35" s="22" t="n">
        <v>0</v>
      </c>
      <c r="V35" s="22" t="n">
        <v>3</v>
      </c>
      <c r="W35" s="22" t="n">
        <v>0</v>
      </c>
      <c r="X35" s="22" t="n">
        <v>176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>
        <v>0</v>
      </c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1" t="n"/>
      <c r="P37" s="22" t="n">
        <v>0</v>
      </c>
      <c r="Q37" s="22" t="n">
        <v>4</v>
      </c>
      <c r="R37" s="22" t="n">
        <v>42</v>
      </c>
      <c r="S37" s="22" t="n">
        <v>0</v>
      </c>
      <c r="T37" s="22" t="n">
        <v>0</v>
      </c>
      <c r="U37" s="22" t="n">
        <v>56</v>
      </c>
      <c r="V37" s="22" t="n">
        <v>0</v>
      </c>
      <c r="W37" s="22" t="n"/>
      <c r="X37" s="22" t="n"/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-26</v>
      </c>
      <c r="D39" s="22" t="n">
        <v>130</v>
      </c>
      <c r="E39" s="22" t="n">
        <v>102</v>
      </c>
      <c r="F39" s="22" t="n">
        <v>-42</v>
      </c>
      <c r="G39" s="22" t="n">
        <v>158</v>
      </c>
      <c r="H39" s="22" t="n">
        <v>39</v>
      </c>
      <c r="I39" s="22" t="n">
        <v>57</v>
      </c>
      <c r="J39" s="22" t="n">
        <v>71</v>
      </c>
      <c r="K39" s="22" t="n">
        <v>87</v>
      </c>
      <c r="L39" s="22" t="n">
        <v>87</v>
      </c>
      <c r="M39" s="22" t="n">
        <v>107</v>
      </c>
      <c r="N39" s="22" t="n">
        <v>71</v>
      </c>
      <c r="O39" s="21" t="n">
        <v>101</v>
      </c>
      <c r="P39" s="22" t="n">
        <v>62</v>
      </c>
      <c r="Q39" s="22" t="n">
        <v>189</v>
      </c>
      <c r="R39" s="22" t="n">
        <v>129</v>
      </c>
      <c r="S39" s="22" t="n">
        <v>143</v>
      </c>
      <c r="T39" s="22" t="n">
        <v>328</v>
      </c>
      <c r="U39" s="22" t="n">
        <v>394</v>
      </c>
      <c r="V39" s="22" t="n">
        <v>421</v>
      </c>
      <c r="W39" s="22" t="n">
        <v>257</v>
      </c>
      <c r="X39" s="22" t="n">
        <v>302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</v>
      </c>
      <c r="D41" s="22" t="n">
        <v>6</v>
      </c>
      <c r="E41" s="22" t="n">
        <v>4</v>
      </c>
      <c r="F41" s="22" t="n">
        <v>48</v>
      </c>
      <c r="G41" s="22" t="n">
        <v>-45</v>
      </c>
      <c r="H41" s="22" t="n">
        <v>9</v>
      </c>
      <c r="I41" s="22" t="n">
        <v>25</v>
      </c>
      <c r="J41" s="22" t="n">
        <v>-10</v>
      </c>
      <c r="K41" s="22" t="n">
        <v>19</v>
      </c>
      <c r="L41" s="22" t="n">
        <v>4</v>
      </c>
      <c r="M41" s="22" t="n">
        <v>3</v>
      </c>
      <c r="N41" s="22" t="n">
        <v>55</v>
      </c>
      <c r="O41" s="21" t="n">
        <v>11</v>
      </c>
      <c r="P41" s="22" t="n">
        <v>76</v>
      </c>
      <c r="Q41" s="22" t="n">
        <v>29</v>
      </c>
      <c r="R41" s="22" t="n">
        <v>3</v>
      </c>
      <c r="S41" s="22" t="n">
        <v>4</v>
      </c>
      <c r="T41" s="22" t="n">
        <v>10</v>
      </c>
      <c r="U41" s="22" t="n">
        <v>14</v>
      </c>
      <c r="V41" s="22" t="n">
        <v>14</v>
      </c>
      <c r="W41" s="22" t="n">
        <v>16</v>
      </c>
      <c r="X41" s="22" t="n">
        <v>38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423</v>
      </c>
      <c r="D43" s="12" t="n">
        <v>643</v>
      </c>
      <c r="E43" s="12" t="n">
        <v>119</v>
      </c>
      <c r="F43" s="12" t="n">
        <v>50</v>
      </c>
      <c r="G43" s="12" t="n">
        <v>407</v>
      </c>
      <c r="H43" s="12" t="n">
        <v>98</v>
      </c>
      <c r="I43" s="12" t="n">
        <v>23</v>
      </c>
      <c r="J43" s="12" t="n">
        <v>284</v>
      </c>
      <c r="K43" s="12" t="n">
        <v>131</v>
      </c>
      <c r="L43" s="12" t="n">
        <v>303</v>
      </c>
      <c r="M43" s="12" t="n">
        <v>698</v>
      </c>
      <c r="N43" s="12" t="n">
        <v>345</v>
      </c>
      <c r="O43" s="11" t="n">
        <v>303</v>
      </c>
      <c r="P43" s="12" t="n">
        <v>894</v>
      </c>
      <c r="Q43" s="12" t="n">
        <v>1370</v>
      </c>
      <c r="R43" s="12" t="n">
        <v>20</v>
      </c>
      <c r="S43" s="12" t="n">
        <v>-251</v>
      </c>
      <c r="T43" s="12" t="n">
        <v>2065</v>
      </c>
      <c r="U43" s="12" t="n">
        <v>2456</v>
      </c>
      <c r="V43" s="12" t="n">
        <v>2141</v>
      </c>
      <c r="W43" s="12" t="n">
        <v>674</v>
      </c>
      <c r="X43" s="12" t="n">
        <v>741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132</v>
      </c>
      <c r="D45" s="22" t="n">
        <v>175</v>
      </c>
      <c r="E45" s="22" t="n">
        <v>37</v>
      </c>
      <c r="F45" s="22" t="n">
        <v>3</v>
      </c>
      <c r="G45" s="22" t="n">
        <v>142</v>
      </c>
      <c r="H45" s="22" t="n">
        <v>65</v>
      </c>
      <c r="I45" s="22" t="n">
        <v>9</v>
      </c>
      <c r="J45" s="22" t="n">
        <v>84</v>
      </c>
      <c r="K45" s="22" t="n">
        <v>58</v>
      </c>
      <c r="L45" s="22" t="n">
        <v>127</v>
      </c>
      <c r="M45" s="22" t="n">
        <v>222</v>
      </c>
      <c r="N45" s="22" t="n">
        <v>157</v>
      </c>
      <c r="O45" s="21" t="n">
        <v>42</v>
      </c>
      <c r="P45" s="22" t="n">
        <v>-129</v>
      </c>
      <c r="Q45" s="22" t="n">
        <v>322</v>
      </c>
      <c r="R45" s="22" t="n">
        <v>188</v>
      </c>
      <c r="S45" s="22" t="n">
        <v>38</v>
      </c>
      <c r="T45" s="22" t="n">
        <v>343</v>
      </c>
      <c r="U45" s="22" t="n">
        <v>201</v>
      </c>
      <c r="V45" s="22" t="n">
        <v>625</v>
      </c>
      <c r="W45" s="22" t="n">
        <v>247</v>
      </c>
      <c r="X45" s="22" t="n">
        <v>278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291</v>
      </c>
      <c r="D47" s="12" t="n">
        <v>467</v>
      </c>
      <c r="E47" s="12" t="n">
        <v>82</v>
      </c>
      <c r="F47" s="12" t="n">
        <v>47</v>
      </c>
      <c r="G47" s="12" t="n">
        <v>265</v>
      </c>
      <c r="H47" s="12" t="n">
        <v>33</v>
      </c>
      <c r="I47" s="12" t="n">
        <v>14</v>
      </c>
      <c r="J47" s="12" t="n">
        <v>200</v>
      </c>
      <c r="K47" s="12" t="n">
        <v>73</v>
      </c>
      <c r="L47" s="12" t="n">
        <v>176</v>
      </c>
      <c r="M47" s="12" t="n">
        <v>476</v>
      </c>
      <c r="N47" s="12" t="n">
        <v>187</v>
      </c>
      <c r="O47" s="11" t="n">
        <v>261</v>
      </c>
      <c r="P47" s="12" t="n">
        <v>1023</v>
      </c>
      <c r="Q47" s="12" t="n">
        <v>1047</v>
      </c>
      <c r="R47" s="12" t="n">
        <v>-168</v>
      </c>
      <c r="S47" s="12" t="n">
        <v>-290</v>
      </c>
      <c r="T47" s="12" t="n">
        <v>1722</v>
      </c>
      <c r="U47" s="12" t="n">
        <v>2255</v>
      </c>
      <c r="V47" s="12" t="n">
        <v>1515</v>
      </c>
      <c r="W47" s="12" t="n">
        <v>427</v>
      </c>
      <c r="X47" s="12" t="n">
        <v>463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291</v>
      </c>
      <c r="D49" s="12" t="n">
        <v>467</v>
      </c>
      <c r="E49" s="12" t="n">
        <v>82</v>
      </c>
      <c r="F49" s="12" t="n">
        <v>47</v>
      </c>
      <c r="G49" s="12" t="n">
        <v>265</v>
      </c>
      <c r="H49" s="12" t="n">
        <v>33</v>
      </c>
      <c r="I49" s="12" t="n">
        <v>14</v>
      </c>
      <c r="J49" s="12" t="n">
        <v>200</v>
      </c>
      <c r="K49" s="12" t="n">
        <v>73</v>
      </c>
      <c r="L49" s="12" t="n">
        <v>176</v>
      </c>
      <c r="M49" s="12" t="n">
        <v>476</v>
      </c>
      <c r="N49" s="12" t="n">
        <v>187</v>
      </c>
      <c r="O49" s="11" t="n">
        <v>261</v>
      </c>
      <c r="P49" s="12" t="n">
        <v>1023</v>
      </c>
      <c r="Q49" s="12" t="n">
        <v>1047</v>
      </c>
      <c r="R49" s="12" t="n">
        <v>-168</v>
      </c>
      <c r="S49" s="12" t="n">
        <v>-290</v>
      </c>
      <c r="T49" s="12" t="n">
        <v>1722</v>
      </c>
      <c r="U49" s="12" t="n">
        <v>2255</v>
      </c>
      <c r="V49" s="12" t="n">
        <v>1515</v>
      </c>
      <c r="W49" s="12" t="n">
        <v>427</v>
      </c>
      <c r="X49" s="12" t="n">
        <v>463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2787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5578695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2189</v>
      </c>
      <c r="D84" s="12" t="n">
        <v>2148</v>
      </c>
      <c r="E84" s="12" t="n">
        <v>1294</v>
      </c>
      <c r="F84" s="12" t="n">
        <v>1313</v>
      </c>
      <c r="G84" s="12" t="n">
        <v>1661</v>
      </c>
      <c r="H84" s="12" t="n">
        <v>1624</v>
      </c>
      <c r="I84" s="12" t="n">
        <v>1069</v>
      </c>
      <c r="J84" s="12" t="n">
        <v>1563</v>
      </c>
      <c r="K84" s="12" t="n">
        <v>1370</v>
      </c>
      <c r="L84" s="12" t="n">
        <v>1565</v>
      </c>
      <c r="M84" s="12" t="n">
        <v>1912</v>
      </c>
      <c r="N84" s="12" t="n">
        <v>1891</v>
      </c>
      <c r="T84" s="12" t="n">
        <v>2208</v>
      </c>
      <c r="U84" s="12" t="n">
        <v>2131</v>
      </c>
      <c r="V84" s="12" t="n">
        <v>2148</v>
      </c>
      <c r="W84" s="12" t="n">
        <v>1624</v>
      </c>
      <c r="X84" s="12" t="n">
        <v>1565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1234</v>
      </c>
      <c r="D86" s="22" t="n">
        <v>1175</v>
      </c>
      <c r="E86" s="22" t="n">
        <v>813</v>
      </c>
      <c r="F86" s="22" t="n">
        <v>790</v>
      </c>
      <c r="G86" s="22" t="n">
        <v>938</v>
      </c>
      <c r="H86" s="22" t="n">
        <v>1093</v>
      </c>
      <c r="I86" s="22" t="n">
        <v>663</v>
      </c>
      <c r="J86" s="22" t="n">
        <v>935</v>
      </c>
      <c r="K86" s="22" t="n">
        <v>809</v>
      </c>
      <c r="L86" s="22" t="n">
        <v>993</v>
      </c>
      <c r="M86" s="22" t="n">
        <v>1008</v>
      </c>
      <c r="N86" s="22" t="n">
        <v>1015</v>
      </c>
      <c r="T86" s="22" t="n">
        <v>1155</v>
      </c>
      <c r="U86" s="22" t="n">
        <v>1206</v>
      </c>
      <c r="V86" s="22" t="n">
        <v>1175</v>
      </c>
      <c r="W86" s="22" t="n">
        <v>1093</v>
      </c>
      <c r="X86" s="22" t="n">
        <v>993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956</v>
      </c>
      <c r="D88" s="12" t="n">
        <v>973</v>
      </c>
      <c r="E88" s="12" t="n">
        <v>481</v>
      </c>
      <c r="F88" s="12" t="n">
        <v>523</v>
      </c>
      <c r="G88" s="12" t="n">
        <v>723</v>
      </c>
      <c r="H88" s="12" t="n">
        <v>530</v>
      </c>
      <c r="I88" s="12" t="n">
        <v>406</v>
      </c>
      <c r="J88" s="12" t="n">
        <v>627</v>
      </c>
      <c r="K88" s="12" t="n">
        <v>561</v>
      </c>
      <c r="L88" s="12" t="n">
        <v>573</v>
      </c>
      <c r="M88" s="12" t="n">
        <v>904</v>
      </c>
      <c r="N88" s="12" t="n">
        <v>876</v>
      </c>
      <c r="T88" s="12" t="n">
        <v>1052</v>
      </c>
      <c r="U88" s="12" t="n">
        <v>924</v>
      </c>
      <c r="V88" s="12" t="n">
        <v>973</v>
      </c>
      <c r="W88" s="12" t="n">
        <v>530</v>
      </c>
      <c r="X88" s="12" t="n">
        <v>573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판매수수료</t>
        </is>
      </c>
      <c r="C90" s="22" t="n">
        <v>74</v>
      </c>
      <c r="D90" s="22" t="n">
        <v>26</v>
      </c>
      <c r="E90" s="22" t="n">
        <v>13</v>
      </c>
      <c r="F90" s="22" t="n">
        <v>19</v>
      </c>
      <c r="G90" s="22" t="n">
        <v>59</v>
      </c>
      <c r="H90" s="22" t="n">
        <v>34</v>
      </c>
      <c r="I90" s="22" t="n">
        <v>12</v>
      </c>
      <c r="J90" s="22" t="n">
        <v>34</v>
      </c>
      <c r="K90" s="22" t="n">
        <v>22</v>
      </c>
      <c r="L90" s="22" t="n">
        <v>48</v>
      </c>
      <c r="M90" s="22" t="n">
        <v>28</v>
      </c>
      <c r="N90" s="22" t="n">
        <v>44</v>
      </c>
      <c r="T90" s="22" t="n">
        <v>72</v>
      </c>
      <c r="U90" s="22" t="n">
        <v>64</v>
      </c>
      <c r="V90" s="22" t="n">
        <v>26</v>
      </c>
      <c r="W90" s="22" t="n">
        <v>34</v>
      </c>
      <c r="X90" s="22" t="n">
        <v>48</v>
      </c>
    </row>
    <row r="91">
      <c r="A91" s="20" t="inlineStr">
        <is>
          <t>포장·운반비</t>
        </is>
      </c>
      <c r="C91" s="22" t="n">
        <v>24</v>
      </c>
      <c r="D91" s="22" t="n">
        <v>14</v>
      </c>
      <c r="E91" s="22" t="n">
        <v>9</v>
      </c>
      <c r="F91" s="22" t="n">
        <v>7</v>
      </c>
      <c r="G91" s="22" t="n">
        <v>14</v>
      </c>
      <c r="H91" s="22" t="n">
        <v>7</v>
      </c>
      <c r="I91" s="22" t="n">
        <v>7</v>
      </c>
      <c r="J91" s="22" t="n">
        <v>8</v>
      </c>
      <c r="K91" s="22" t="n">
        <v>13</v>
      </c>
      <c r="L91" s="22" t="n">
        <v>12</v>
      </c>
      <c r="M91" s="22" t="n">
        <v>13</v>
      </c>
      <c r="N91" s="22" t="n">
        <v>14</v>
      </c>
      <c r="T91" s="22" t="n">
        <v>19</v>
      </c>
      <c r="U91" s="22" t="n">
        <v>13</v>
      </c>
      <c r="V91" s="22" t="n">
        <v>14</v>
      </c>
      <c r="W91" s="22" t="n">
        <v>7</v>
      </c>
      <c r="X91" s="22" t="n">
        <v>12</v>
      </c>
    </row>
    <row r="92">
      <c r="A92" s="20" t="inlineStr">
        <is>
          <t>임원 보수</t>
        </is>
      </c>
      <c r="C92" s="22" t="n">
        <v>36</v>
      </c>
      <c r="D92" s="22" t="n">
        <v>39</v>
      </c>
      <c r="E92" s="22" t="n">
        <v>39</v>
      </c>
      <c r="F92" s="22" t="n">
        <v>35</v>
      </c>
      <c r="G92" s="22" t="n">
        <v>39</v>
      </c>
      <c r="H92" s="22" t="n">
        <v>39</v>
      </c>
      <c r="I92" s="22" t="n">
        <v>39</v>
      </c>
      <c r="J92" s="22" t="n">
        <v>44</v>
      </c>
      <c r="K92" s="22" t="n">
        <v>46</v>
      </c>
      <c r="L92" s="22" t="n">
        <v>51</v>
      </c>
      <c r="M92" s="22" t="n">
        <v>45</v>
      </c>
      <c r="N92" s="22" t="n">
        <v>38</v>
      </c>
      <c r="T92" s="22" t="n">
        <v>31</v>
      </c>
      <c r="U92" s="22" t="n">
        <v>36</v>
      </c>
      <c r="V92" s="22" t="n">
        <v>39</v>
      </c>
      <c r="W92" s="22" t="n">
        <v>39</v>
      </c>
      <c r="X92" s="22" t="n">
        <v>51</v>
      </c>
    </row>
    <row r="93">
      <c r="A93" s="20" t="inlineStr">
        <is>
          <t>주식보상비용</t>
        </is>
      </c>
      <c r="C93" s="22" t="n">
        <v>5</v>
      </c>
      <c r="D93" s="22" t="n">
        <v>4</v>
      </c>
      <c r="E93" s="22" t="n">
        <v>4</v>
      </c>
      <c r="F93" s="22" t="n">
        <v>6</v>
      </c>
      <c r="G93" s="22" t="n">
        <v>5</v>
      </c>
      <c r="H93" s="22" t="n">
        <v>5</v>
      </c>
      <c r="I93" s="22" t="n">
        <v>5</v>
      </c>
      <c r="J93" s="22" t="n">
        <v>4</v>
      </c>
      <c r="K93" s="22" t="n">
        <v>19</v>
      </c>
      <c r="L93" s="22" t="n">
        <v>3</v>
      </c>
      <c r="M93" s="22" t="n">
        <v>3</v>
      </c>
      <c r="N93" s="22" t="n">
        <v>6</v>
      </c>
      <c r="T93" s="22" t="n">
        <v>0</v>
      </c>
      <c r="U93" s="22" t="n">
        <v>6</v>
      </c>
      <c r="V93" s="22" t="n">
        <v>4</v>
      </c>
      <c r="W93" s="22" t="n">
        <v>5</v>
      </c>
      <c r="X93" s="22" t="n">
        <v>3</v>
      </c>
    </row>
    <row r="94">
      <c r="A94" s="20" t="inlineStr">
        <is>
          <t>급여·수당·상여</t>
        </is>
      </c>
      <c r="C94" s="22" t="n">
        <v>166</v>
      </c>
      <c r="D94" s="22" t="n">
        <v>128</v>
      </c>
      <c r="E94" s="22" t="n">
        <v>102</v>
      </c>
      <c r="F94" s="22" t="n">
        <v>100</v>
      </c>
      <c r="G94" s="22" t="n">
        <v>139</v>
      </c>
      <c r="H94" s="22" t="n">
        <v>128</v>
      </c>
      <c r="I94" s="22" t="n">
        <v>96</v>
      </c>
      <c r="J94" s="22" t="n">
        <v>98</v>
      </c>
      <c r="K94" s="22" t="n">
        <v>149</v>
      </c>
      <c r="L94" s="22" t="n">
        <v>117</v>
      </c>
      <c r="M94" s="22" t="n">
        <v>102</v>
      </c>
      <c r="N94" s="22" t="n">
        <v>104</v>
      </c>
      <c r="T94" s="22" t="n">
        <v>108</v>
      </c>
      <c r="U94" s="22" t="n">
        <v>122</v>
      </c>
      <c r="V94" s="22" t="n">
        <v>128</v>
      </c>
      <c r="W94" s="22" t="n">
        <v>128</v>
      </c>
      <c r="X94" s="22" t="n">
        <v>117</v>
      </c>
    </row>
    <row r="95">
      <c r="A95" s="20" t="inlineStr">
        <is>
          <t>법정복리비</t>
        </is>
      </c>
      <c r="C95" s="22" t="n">
        <v>17</v>
      </c>
      <c r="D95" s="22" t="n">
        <v>18</v>
      </c>
      <c r="E95" s="22" t="n">
        <v>17</v>
      </c>
      <c r="F95" s="22" t="n">
        <v>15</v>
      </c>
      <c r="G95" s="22" t="n">
        <v>17</v>
      </c>
      <c r="H95" s="22" t="n">
        <v>18</v>
      </c>
      <c r="I95" s="22" t="n">
        <v>15</v>
      </c>
      <c r="J95" s="22" t="n">
        <v>16</v>
      </c>
      <c r="K95" s="22" t="n">
        <v>16</v>
      </c>
      <c r="L95" s="22" t="n">
        <v>17</v>
      </c>
      <c r="M95" s="22" t="n">
        <v>17</v>
      </c>
      <c r="N95" s="22" t="n">
        <v>18</v>
      </c>
      <c r="T95" s="22" t="n">
        <v>17</v>
      </c>
      <c r="U95" s="22" t="n">
        <v>16</v>
      </c>
      <c r="V95" s="22" t="n">
        <v>18</v>
      </c>
      <c r="W95" s="22" t="n">
        <v>18</v>
      </c>
      <c r="X95" s="22" t="n">
        <v>17</v>
      </c>
    </row>
    <row r="96">
      <c r="A96" s="20" t="inlineStr">
        <is>
          <t>주식급여충당금 전입액</t>
        </is>
      </c>
      <c r="I96" s="22" t="n">
        <v>0</v>
      </c>
      <c r="J96" s="22" t="n">
        <v>0</v>
      </c>
      <c r="M96" s="22" t="n">
        <v>5</v>
      </c>
      <c r="N96" s="22" t="n">
        <v>0</v>
      </c>
    </row>
    <row r="97">
      <c r="A97" s="20" t="inlineStr">
        <is>
          <t>상여충당금 전입</t>
        </is>
      </c>
      <c r="C97" s="22" t="n">
        <v>-30</v>
      </c>
      <c r="D97" s="22" t="n">
        <v>16</v>
      </c>
      <c r="E97" s="22" t="n">
        <v>33</v>
      </c>
      <c r="F97" s="22" t="n">
        <v>14</v>
      </c>
      <c r="G97" s="22" t="n">
        <v>-6</v>
      </c>
      <c r="H97" s="22" t="n">
        <v>2</v>
      </c>
      <c r="I97" s="22" t="n">
        <v>25</v>
      </c>
      <c r="J97" s="22" t="n">
        <v>20</v>
      </c>
      <c r="K97" s="22" t="n">
        <v>-22</v>
      </c>
      <c r="L97" s="22" t="n">
        <v>14</v>
      </c>
      <c r="M97" s="22" t="n">
        <v>32</v>
      </c>
      <c r="N97" s="22" t="n">
        <v>33</v>
      </c>
      <c r="T97" s="22" t="n">
        <v>23</v>
      </c>
      <c r="U97" s="22" t="n">
        <v>15</v>
      </c>
      <c r="V97" s="22" t="n">
        <v>16</v>
      </c>
      <c r="W97" s="22" t="n">
        <v>2</v>
      </c>
      <c r="X97" s="22" t="n">
        <v>14</v>
      </c>
    </row>
    <row r="98">
      <c r="A98" s="20" t="inlineStr">
        <is>
          <t>수선충당금 전입액</t>
        </is>
      </c>
      <c r="C98" s="22" t="n">
        <v>-0</v>
      </c>
      <c r="D98" s="22" t="n">
        <v>0</v>
      </c>
      <c r="H98" s="22" t="n">
        <v>1</v>
      </c>
      <c r="T98" s="22" t="n">
        <v>40</v>
      </c>
      <c r="U98" s="22" t="n">
        <v>0</v>
      </c>
      <c r="V98" s="22" t="n">
        <v>0</v>
      </c>
      <c r="W98" s="22" t="n">
        <v>1</v>
      </c>
    </row>
    <row r="99">
      <c r="A99" s="20" t="inlineStr">
        <is>
          <t>감가상각비</t>
        </is>
      </c>
      <c r="C99" s="22" t="n">
        <v>4</v>
      </c>
      <c r="D99" s="22" t="n">
        <v>5</v>
      </c>
      <c r="E99" s="22" t="n">
        <v>5</v>
      </c>
      <c r="F99" s="22" t="n">
        <v>5</v>
      </c>
      <c r="G99" s="22" t="n">
        <v>6</v>
      </c>
      <c r="H99" s="22" t="n">
        <v>6</v>
      </c>
      <c r="I99" s="22" t="n">
        <v>4</v>
      </c>
      <c r="J99" s="22" t="n">
        <v>5</v>
      </c>
      <c r="K99" s="22" t="n">
        <v>6</v>
      </c>
      <c r="L99" s="22" t="n">
        <v>6</v>
      </c>
      <c r="M99" s="22" t="n">
        <v>5</v>
      </c>
      <c r="N99" s="22" t="n">
        <v>4</v>
      </c>
      <c r="T99" s="22" t="n">
        <v>5</v>
      </c>
      <c r="U99" s="22" t="n">
        <v>5</v>
      </c>
      <c r="V99" s="22" t="n">
        <v>5</v>
      </c>
      <c r="W99" s="22" t="n">
        <v>6</v>
      </c>
      <c r="X99" s="22" t="n">
        <v>6</v>
      </c>
    </row>
    <row r="100">
      <c r="A100" s="20" t="inlineStr">
        <is>
          <t>영업권 상각</t>
        </is>
      </c>
      <c r="H100" s="22" t="n">
        <v>0</v>
      </c>
      <c r="L100" s="22" t="n">
        <v>0</v>
      </c>
      <c r="W100" s="22" t="n">
        <v>0</v>
      </c>
      <c r="X100" s="22" t="n">
        <v>0</v>
      </c>
    </row>
    <row r="101">
      <c r="A101" s="20" t="inlineStr">
        <is>
          <t>연구개발비</t>
        </is>
      </c>
      <c r="C101" s="22" t="n">
        <v>98</v>
      </c>
      <c r="D101" s="22" t="n">
        <v>82</v>
      </c>
      <c r="E101" s="22" t="n">
        <v>84</v>
      </c>
      <c r="F101" s="22" t="n">
        <v>63</v>
      </c>
      <c r="G101" s="22" t="n">
        <v>119</v>
      </c>
      <c r="H101" s="22" t="n">
        <v>71</v>
      </c>
      <c r="I101" s="22" t="n">
        <v>59</v>
      </c>
      <c r="J101" s="22" t="n">
        <v>76</v>
      </c>
      <c r="K101" s="22" t="n">
        <v>99</v>
      </c>
      <c r="L101" s="22" t="n">
        <v>119</v>
      </c>
      <c r="M101" s="22" t="n">
        <v>115</v>
      </c>
      <c r="N101" s="22" t="n">
        <v>127</v>
      </c>
      <c r="T101" s="22" t="n">
        <v>79</v>
      </c>
      <c r="U101" s="22" t="n">
        <v>83</v>
      </c>
      <c r="V101" s="22" t="n">
        <v>82</v>
      </c>
      <c r="W101" s="22" t="n">
        <v>71</v>
      </c>
      <c r="X101" s="22" t="n">
        <v>119</v>
      </c>
    </row>
    <row r="102">
      <c r="A102" s="20" t="inlineStr">
        <is>
          <t>대손충당금 전입</t>
        </is>
      </c>
      <c r="C102" s="22" t="n">
        <v>0</v>
      </c>
      <c r="D102" s="22" t="n">
        <v>0</v>
      </c>
      <c r="E102" s="22" t="n">
        <v>10</v>
      </c>
      <c r="F102" s="22" t="n">
        <v>-1</v>
      </c>
      <c r="G102" s="22" t="n">
        <v>-3</v>
      </c>
      <c r="H102" s="22" t="n">
        <v>-2</v>
      </c>
      <c r="I102" s="22" t="n">
        <v>28</v>
      </c>
      <c r="J102" s="22" t="n">
        <v>13</v>
      </c>
      <c r="K102" s="22" t="n">
        <v>14</v>
      </c>
      <c r="L102" s="22" t="n">
        <v>-1</v>
      </c>
      <c r="M102" s="22" t="n">
        <v>-1</v>
      </c>
      <c r="N102" s="22" t="n">
        <v>1</v>
      </c>
      <c r="T102" s="22" t="n">
        <v>0</v>
      </c>
      <c r="U102" s="22" t="n">
        <v>-0</v>
      </c>
      <c r="V102" s="22" t="n">
        <v>0</v>
      </c>
      <c r="W102" s="22" t="n">
        <v>-2</v>
      </c>
      <c r="X102" s="22" t="n">
        <v>-1</v>
      </c>
    </row>
    <row r="103">
      <c r="A103" s="20" t="inlineStr">
        <is>
          <t>기타</t>
        </is>
      </c>
      <c r="C103" s="22" t="n">
        <v>112</v>
      </c>
      <c r="D103" s="22" t="n">
        <v>120</v>
      </c>
      <c r="E103" s="22" t="n">
        <v>137</v>
      </c>
      <c r="F103" s="22" t="n">
        <v>122</v>
      </c>
      <c r="G103" s="22" t="n">
        <v>124</v>
      </c>
      <c r="H103" s="22" t="n">
        <v>154</v>
      </c>
      <c r="I103" s="22" t="n">
        <v>122</v>
      </c>
      <c r="J103" s="22" t="n">
        <v>107</v>
      </c>
      <c r="K103" s="22" t="n">
        <v>137</v>
      </c>
      <c r="L103" s="22" t="n">
        <v>140</v>
      </c>
      <c r="M103" s="22" t="n">
        <v>123</v>
      </c>
      <c r="N103" s="22" t="n">
        <v>157</v>
      </c>
      <c r="T103" s="22" t="n">
        <v>77</v>
      </c>
      <c r="U103" s="22" t="n">
        <v>115</v>
      </c>
      <c r="V103" s="22" t="n">
        <v>120</v>
      </c>
      <c r="W103" s="22" t="n">
        <v>154</v>
      </c>
      <c r="X103" s="22" t="n">
        <v>140</v>
      </c>
    </row>
    <row r="104">
      <c r="A104" s="20" t="inlineStr">
        <is>
          <t>판매비와 관리비 합계</t>
        </is>
      </c>
      <c r="C104" s="22" t="n">
        <v>507</v>
      </c>
      <c r="D104" s="22" t="n">
        <v>454</v>
      </c>
      <c r="E104" s="22" t="n">
        <v>459</v>
      </c>
      <c r="F104" s="22" t="n">
        <v>383</v>
      </c>
      <c r="G104" s="22" t="n">
        <v>519</v>
      </c>
      <c r="H104" s="22" t="n">
        <v>461</v>
      </c>
      <c r="I104" s="22" t="n">
        <v>418</v>
      </c>
      <c r="J104" s="22" t="n">
        <v>423</v>
      </c>
      <c r="K104" s="22" t="n">
        <v>499</v>
      </c>
      <c r="L104" s="22" t="n">
        <v>526</v>
      </c>
      <c r="M104" s="22" t="n">
        <v>490</v>
      </c>
      <c r="N104" s="22" t="n">
        <v>548</v>
      </c>
      <c r="T104" s="22" t="n">
        <v>471</v>
      </c>
      <c r="U104" s="22" t="n">
        <v>476</v>
      </c>
      <c r="V104" s="22" t="n">
        <v>454</v>
      </c>
      <c r="W104" s="22" t="n">
        <v>461</v>
      </c>
      <c r="X104" s="22" t="n">
        <v>526</v>
      </c>
    </row>
    <row r="105">
      <c r="A105" s="45" t="inlineStr">
        <is>
          <t>YoY</t>
        </is>
      </c>
      <c r="B105" s="3" t="inlineStr">
        <is>
          <t>전년 같은 분기·전년 대비</t>
        </is>
      </c>
      <c r="G105" s="17">
        <f>IF(OR(G104="",C104=""),"",IF(G104*C104&lt;=0,"",IFERROR(G104/C104-1,"")))</f>
        <v/>
      </c>
      <c r="H105" s="17">
        <f>IF(OR(H104="",D104=""),"",IF(H104*D104&lt;=0,"",IFERROR(H104/D104-1,"")))</f>
        <v/>
      </c>
      <c r="I105" s="17">
        <f>IF(OR(I104="",E104=""),"",IF(I104*E104&lt;=0,"",IFERROR(I104/E104-1,"")))</f>
        <v/>
      </c>
      <c r="J105" s="17">
        <f>IF(OR(J104="",F104=""),"",IF(J104*F104&lt;=0,"",IFERROR(J104/F104-1,"")))</f>
        <v/>
      </c>
      <c r="K105" s="17">
        <f>IF(OR(K104="",G104=""),"",IF(K104*G104&lt;=0,"",IFERROR(K104/G104-1,"")))</f>
        <v/>
      </c>
      <c r="L105" s="17">
        <f>IF(OR(L104="",H104=""),"",IF(L104*H104&lt;=0,"",IFERROR(L104/H104-1,"")))</f>
        <v/>
      </c>
      <c r="M105" s="17">
        <f>IF(OR(M104="",I104=""),"",IF(M104*I104&lt;=0,"",IFERROR(M104/I104-1,"")))</f>
        <v/>
      </c>
      <c r="N105" s="17">
        <f>IF(OR(N104="",J104=""),"",IF(N104*J104&lt;=0,"",IFERROR(N104/J104-1,"")))</f>
        <v/>
      </c>
      <c r="T105" s="17">
        <f>IF(OR(T104="",S104=""),"",IF(T104*S104&lt;=0,"",IFERROR(T104/S104-1,"")))</f>
        <v/>
      </c>
      <c r="U105" s="17">
        <f>IF(OR(U104="",T104=""),"",IF(U104*T104&lt;=0,"",IFERROR(U104/T104-1,"")))</f>
        <v/>
      </c>
      <c r="V105" s="17">
        <f>IF(OR(V104="",U104=""),"",IF(V104*U104&lt;=0,"",IFERROR(V104/U104-1,"")))</f>
        <v/>
      </c>
      <c r="W105" s="17">
        <f>IF(OR(W104="",V104=""),"",IF(W104*V104&lt;=0,"",IFERROR(W104/V104-1,"")))</f>
        <v/>
      </c>
      <c r="X105" s="17">
        <f>IF(OR(X104="",W104=""),"",IF(X104*W104&lt;=0,"",IFERROR(X104/W104-1,"")))</f>
        <v/>
      </c>
    </row>
    <row r="106">
      <c r="A106" s="9" t="inlineStr">
        <is>
          <t>영업이익</t>
        </is>
      </c>
      <c r="C106" s="12" t="n">
        <v>449</v>
      </c>
      <c r="D106" s="12" t="n">
        <v>520</v>
      </c>
      <c r="E106" s="12" t="n">
        <v>21</v>
      </c>
      <c r="F106" s="12" t="n">
        <v>141</v>
      </c>
      <c r="G106" s="12" t="n">
        <v>203</v>
      </c>
      <c r="H106" s="12" t="n">
        <v>69</v>
      </c>
      <c r="I106" s="12" t="n">
        <v>-11</v>
      </c>
      <c r="J106" s="12" t="n">
        <v>202</v>
      </c>
      <c r="K106" s="12" t="n">
        <v>63</v>
      </c>
      <c r="L106" s="12" t="n">
        <v>47</v>
      </c>
      <c r="M106" s="12" t="n">
        <v>413</v>
      </c>
      <c r="N106" s="12" t="n">
        <v>328</v>
      </c>
      <c r="T106" s="12" t="n">
        <v>582</v>
      </c>
      <c r="U106" s="12" t="n">
        <v>449</v>
      </c>
      <c r="V106" s="12" t="n">
        <v>520</v>
      </c>
      <c r="W106" s="12" t="n">
        <v>69</v>
      </c>
      <c r="X106" s="12" t="n">
        <v>47</v>
      </c>
    </row>
    <row r="107">
      <c r="A107" s="45" t="inlineStr">
        <is>
          <t>OPM</t>
        </is>
      </c>
      <c r="B107" s="3" t="inlineStr">
        <is>
          <t>영업이익 ÷ 매출</t>
        </is>
      </c>
      <c r="C107" s="17">
        <f>IF(OR(C106="",C84=""),"",IF(C84&lt;=0,"",IFERROR(C106/C84,"")))</f>
        <v/>
      </c>
      <c r="D107" s="17">
        <f>IF(OR(D106="",D84=""),"",IF(D84&lt;=0,"",IFERROR(D106/D84,"")))</f>
        <v/>
      </c>
      <c r="E107" s="17">
        <f>IF(OR(E106="",E84=""),"",IF(E84&lt;=0,"",IFERROR(E106/E84,"")))</f>
        <v/>
      </c>
      <c r="F107" s="17">
        <f>IF(OR(F106="",F84=""),"",IF(F84&lt;=0,"",IFERROR(F106/F84,"")))</f>
        <v/>
      </c>
      <c r="G107" s="17">
        <f>IF(OR(G106="",G84=""),"",IF(G84&lt;=0,"",IFERROR(G106/G84,"")))</f>
        <v/>
      </c>
      <c r="H107" s="17">
        <f>IF(OR(H106="",H84=""),"",IF(H84&lt;=0,"",IFERROR(H106/H84,"")))</f>
        <v/>
      </c>
      <c r="I107" s="17">
        <f>IF(OR(I106="",I84=""),"",IF(I84&lt;=0,"",IFERROR(I106/I84,"")))</f>
        <v/>
      </c>
      <c r="J107" s="17">
        <f>IF(OR(J106="",J84=""),"",IF(J84&lt;=0,"",IFERROR(J106/J84,"")))</f>
        <v/>
      </c>
      <c r="K107" s="17">
        <f>IF(OR(K106="",K84=""),"",IF(K84&lt;=0,"",IFERROR(K106/K84,"")))</f>
        <v/>
      </c>
      <c r="L107" s="17">
        <f>IF(OR(L106="",L84=""),"",IF(L84&lt;=0,"",IFERROR(L106/L84,"")))</f>
        <v/>
      </c>
      <c r="M107" s="17">
        <f>IF(OR(M106="",M84=""),"",IF(M84&lt;=0,"",IFERROR(M106/M84,"")))</f>
        <v/>
      </c>
      <c r="N107" s="17">
        <f>IF(OR(N106="",N84=""),"",IF(N84&lt;=0,"",IFERROR(N106/N84,"")))</f>
        <v/>
      </c>
      <c r="T107" s="17">
        <f>IF(OR(T106="",T84=""),"",IF(T84&lt;=0,"",IFERROR(T106/T84,"")))</f>
        <v/>
      </c>
      <c r="U107" s="17">
        <f>IF(OR(U106="",U84=""),"",IF(U84&lt;=0,"",IFERROR(U106/U84,"")))</f>
        <v/>
      </c>
      <c r="V107" s="17">
        <f>IF(OR(V106="",V84=""),"",IF(V84&lt;=0,"",IFERROR(V106/V84,"")))</f>
        <v/>
      </c>
      <c r="W107" s="17">
        <f>IF(OR(W106="",W84=""),"",IF(W84&lt;=0,"",IFERROR(W106/W84,"")))</f>
        <v/>
      </c>
      <c r="X107" s="17">
        <f>IF(OR(X106="",X84=""),"",IF(X84&lt;=0,"",IFERROR(X106/X84,"")))</f>
        <v/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IF(OR(G106="",C106=""),"",IF(C106&lt;=0,"",IFERROR(G106/C106-1,"")))</f>
        <v/>
      </c>
      <c r="H108" s="17">
        <f>IF(OR(H106="",D106=""),"",IF(D106&lt;=0,"",IFERROR(H106/D106-1,"")))</f>
        <v/>
      </c>
      <c r="I108" s="17">
        <f>IF(OR(I106="",E106=""),"",IF(E106&lt;=0,"",IFERROR(I106/E106-1,"")))</f>
        <v/>
      </c>
      <c r="J108" s="17">
        <f>IF(OR(J106="",F106=""),"",IF(F106&lt;=0,"",IFERROR(J106/F106-1,"")))</f>
        <v/>
      </c>
      <c r="K108" s="17">
        <f>IF(OR(K106="",G106=""),"",IF(G106&lt;=0,"",IFERROR(K106/G106-1,"")))</f>
        <v/>
      </c>
      <c r="L108" s="17">
        <f>IF(OR(L106="",H106=""),"",IF(H106&lt;=0,"",IFERROR(L106/H106-1,"")))</f>
        <v/>
      </c>
      <c r="M108" s="17">
        <f>IF(OR(M106="",I106=""),"",IF(I106&lt;=0,"",IFERROR(M106/I106-1,"")))</f>
        <v/>
      </c>
      <c r="N108" s="17">
        <f>IF(OR(N106="",J106=""),"",IF(J106&lt;=0,"",IFERROR(N106/J106-1,"")))</f>
        <v/>
      </c>
      <c r="T108" s="17">
        <f>IF(OR(T106="",S106=""),"",IF(S106&lt;=0,"",IFERROR(T106/S106-1,"")))</f>
        <v/>
      </c>
      <c r="U108" s="17">
        <f>IF(OR(U106="",T106=""),"",IF(T106&lt;=0,"",IFERROR(U106/T106-1,"")))</f>
        <v/>
      </c>
      <c r="V108" s="17">
        <f>IF(OR(V106="",U106=""),"",IF(U106&lt;=0,"",IFERROR(V106/U106-1,"")))</f>
        <v/>
      </c>
      <c r="W108" s="17">
        <f>IF(OR(W106="",V106=""),"",IF(V106&lt;=0,"",IFERROR(W106/V106-1,"")))</f>
        <v/>
      </c>
      <c r="X108" s="17">
        <f>IF(OR(X106="",W106=""),"",IF(W106&lt;=0,"",IFERROR(X106/W106-1,"")))</f>
        <v/>
      </c>
    </row>
    <row r="109">
      <c r="A109" s="20" t="inlineStr">
        <is>
          <t>이자수익</t>
        </is>
      </c>
      <c r="C109" s="22" t="n">
        <v>15</v>
      </c>
      <c r="D109" s="22" t="n">
        <v>18</v>
      </c>
      <c r="E109" s="22" t="n">
        <v>16</v>
      </c>
      <c r="F109" s="22" t="n">
        <v>17</v>
      </c>
      <c r="G109" s="22" t="n">
        <v>25</v>
      </c>
      <c r="H109" s="22" t="n">
        <v>19</v>
      </c>
      <c r="I109" s="22" t="n">
        <v>20</v>
      </c>
      <c r="J109" s="22" t="n">
        <v>22</v>
      </c>
      <c r="K109" s="22" t="n">
        <v>24</v>
      </c>
      <c r="L109" s="22" t="n">
        <v>26</v>
      </c>
      <c r="M109" s="22" t="n">
        <v>34</v>
      </c>
      <c r="N109" s="22" t="n">
        <v>38</v>
      </c>
      <c r="T109" s="22" t="n">
        <v>10</v>
      </c>
      <c r="U109" s="22" t="n">
        <v>38</v>
      </c>
      <c r="V109" s="22" t="n">
        <v>18</v>
      </c>
      <c r="W109" s="22" t="n">
        <v>19</v>
      </c>
      <c r="X109" s="22" t="n">
        <v>26</v>
      </c>
    </row>
    <row r="110">
      <c r="A110" s="20" t="inlineStr">
        <is>
          <t>배당금수익</t>
        </is>
      </c>
      <c r="C110" s="22" t="n">
        <v>10</v>
      </c>
      <c r="D110" s="22" t="n">
        <v>8</v>
      </c>
      <c r="E110" s="22" t="n">
        <v>14</v>
      </c>
      <c r="F110" s="22" t="n">
        <v>6</v>
      </c>
      <c r="G110" s="22" t="n">
        <v>11</v>
      </c>
      <c r="H110" s="22" t="n">
        <v>11</v>
      </c>
      <c r="I110" s="22" t="n">
        <v>19</v>
      </c>
      <c r="J110" s="22" t="n">
        <v>8</v>
      </c>
      <c r="K110" s="22" t="n">
        <v>13</v>
      </c>
      <c r="L110" s="22" t="n">
        <v>13</v>
      </c>
      <c r="M110" s="22" t="n">
        <v>25</v>
      </c>
      <c r="N110" s="22" t="n">
        <v>7</v>
      </c>
      <c r="T110" s="22" t="n">
        <v>9</v>
      </c>
      <c r="U110" s="22" t="n">
        <v>9</v>
      </c>
      <c r="V110" s="22" t="n">
        <v>8</v>
      </c>
      <c r="W110" s="22" t="n">
        <v>11</v>
      </c>
      <c r="X110" s="22" t="n">
        <v>13</v>
      </c>
    </row>
    <row r="111">
      <c r="A111" s="20" t="inlineStr">
        <is>
          <t>외환차익</t>
        </is>
      </c>
      <c r="C111" s="22" t="n">
        <v>-70</v>
      </c>
      <c r="D111" s="22" t="n">
        <v>102</v>
      </c>
      <c r="E111" s="22" t="n">
        <v>68</v>
      </c>
      <c r="F111" s="22" t="n">
        <v>-68</v>
      </c>
      <c r="G111" s="22" t="n">
        <v>81</v>
      </c>
      <c r="H111" s="22" t="n">
        <v>-81</v>
      </c>
      <c r="I111" s="22" t="n">
        <v>0</v>
      </c>
      <c r="J111" s="22" t="n">
        <v>13</v>
      </c>
      <c r="K111" s="22" t="n">
        <v>49</v>
      </c>
      <c r="L111" s="22" t="n">
        <v>34</v>
      </c>
      <c r="M111" s="22" t="n">
        <v>33</v>
      </c>
      <c r="N111" s="22" t="n">
        <v>-33</v>
      </c>
      <c r="T111" s="22" t="n">
        <v>129</v>
      </c>
      <c r="U111" s="22" t="n">
        <v>-9</v>
      </c>
      <c r="V111" s="22" t="n">
        <v>102</v>
      </c>
      <c r="W111" s="22" t="n">
        <v>-81</v>
      </c>
      <c r="X111" s="22" t="n">
        <v>34</v>
      </c>
    </row>
    <row r="112">
      <c r="A112" s="20" t="inlineStr">
        <is>
          <t>보조금 수입</t>
        </is>
      </c>
      <c r="T112" s="22" t="n">
        <v>-3</v>
      </c>
    </row>
    <row r="113">
      <c r="A113" s="20" t="inlineStr">
        <is>
          <t>투자유가증권 매각이익</t>
        </is>
      </c>
      <c r="C113" s="22" t="n">
        <v>0</v>
      </c>
      <c r="D113" s="22" t="n">
        <v>0</v>
      </c>
      <c r="E113" s="22" t="n">
        <v>0</v>
      </c>
      <c r="F113" s="22" t="n">
        <v>0</v>
      </c>
      <c r="G113" s="22" t="n">
        <v>1</v>
      </c>
      <c r="H113" s="22" t="n">
        <v>0</v>
      </c>
      <c r="I113" s="22" t="n">
        <v>0</v>
      </c>
      <c r="J113" s="22" t="n">
        <v>0</v>
      </c>
      <c r="K113" s="22" t="n">
        <v>1</v>
      </c>
      <c r="L113" s="22" t="n">
        <v>0</v>
      </c>
      <c r="M113" s="22" t="n">
        <v>1</v>
      </c>
      <c r="N113" s="22" t="n">
        <v>0</v>
      </c>
      <c r="T113" s="22" t="n">
        <v>0</v>
      </c>
      <c r="U113" s="22" t="n">
        <v>1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유가증권 상환이익</t>
        </is>
      </c>
      <c r="D114" s="22" t="n">
        <v>0</v>
      </c>
      <c r="E114" s="22" t="n">
        <v>0</v>
      </c>
      <c r="F114" s="22" t="n">
        <v>0</v>
      </c>
      <c r="G114" s="22" t="n">
        <v>36</v>
      </c>
      <c r="H114" s="22" t="n">
        <v>79</v>
      </c>
      <c r="I114" s="22" t="n">
        <v>9</v>
      </c>
      <c r="J114" s="22" t="n">
        <v>5</v>
      </c>
      <c r="K114" s="22" t="n">
        <v>-4</v>
      </c>
      <c r="L114" s="22" t="n">
        <v>9</v>
      </c>
      <c r="M114" s="22" t="n">
        <v>4</v>
      </c>
      <c r="N114" s="22" t="n">
        <v>38</v>
      </c>
      <c r="U114" s="22" t="n">
        <v>0</v>
      </c>
      <c r="V114" s="22" t="n">
        <v>0</v>
      </c>
      <c r="W114" s="22" t="n">
        <v>79</v>
      </c>
      <c r="X114" s="22" t="n">
        <v>9</v>
      </c>
    </row>
    <row r="115">
      <c r="A115" s="20" t="inlineStr">
        <is>
          <t>기타</t>
        </is>
      </c>
      <c r="C115" s="22" t="n">
        <v>4</v>
      </c>
      <c r="D115" s="22" t="n">
        <v>2</v>
      </c>
      <c r="E115" s="22" t="n">
        <v>1</v>
      </c>
      <c r="F115" s="22" t="n">
        <v>4</v>
      </c>
      <c r="G115" s="22" t="n">
        <v>4</v>
      </c>
      <c r="H115" s="22" t="n">
        <v>11</v>
      </c>
      <c r="I115" s="22" t="n">
        <v>7</v>
      </c>
      <c r="J115" s="22" t="n">
        <v>22</v>
      </c>
      <c r="K115" s="22" t="n">
        <v>4</v>
      </c>
      <c r="L115" s="22" t="n">
        <v>4</v>
      </c>
      <c r="M115" s="22" t="n">
        <v>8</v>
      </c>
      <c r="N115" s="22" t="n">
        <v>21</v>
      </c>
      <c r="T115" s="22" t="n">
        <v>4</v>
      </c>
      <c r="U115" s="22" t="n">
        <v>3</v>
      </c>
      <c r="V115" s="22" t="n">
        <v>2</v>
      </c>
      <c r="W115" s="22" t="n">
        <v>11</v>
      </c>
      <c r="X115" s="22" t="n">
        <v>4</v>
      </c>
    </row>
    <row r="116">
      <c r="A116" s="20" t="inlineStr">
        <is>
          <t>영업외수익 합계</t>
        </is>
      </c>
      <c r="C116" s="22" t="n">
        <v>-26</v>
      </c>
      <c r="D116" s="22" t="n">
        <v>130</v>
      </c>
      <c r="E116" s="22" t="n">
        <v>102</v>
      </c>
      <c r="F116" s="22" t="n">
        <v>-42</v>
      </c>
      <c r="G116" s="22" t="n">
        <v>158</v>
      </c>
      <c r="H116" s="22" t="n">
        <v>39</v>
      </c>
      <c r="I116" s="22" t="n">
        <v>57</v>
      </c>
      <c r="J116" s="22" t="n">
        <v>71</v>
      </c>
      <c r="K116" s="22" t="n">
        <v>87</v>
      </c>
      <c r="L116" s="22" t="n">
        <v>87</v>
      </c>
      <c r="M116" s="22" t="n">
        <v>107</v>
      </c>
      <c r="N116" s="22" t="n">
        <v>71</v>
      </c>
      <c r="T116" s="22" t="n">
        <v>148</v>
      </c>
      <c r="U116" s="22" t="n">
        <v>41</v>
      </c>
      <c r="V116" s="22" t="n">
        <v>130</v>
      </c>
      <c r="W116" s="22" t="n">
        <v>39</v>
      </c>
      <c r="X116" s="22" t="n">
        <v>87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G117" s="17">
        <f>IF(OR(G116="",C116=""),"",IF(G116*C116&lt;=0,"",IFERROR(G116/C116-1,"")))</f>
        <v/>
      </c>
      <c r="H117" s="17">
        <f>IF(OR(H116="",D116=""),"",IF(H116*D116&lt;=0,"",IFERROR(H116/D116-1,"")))</f>
        <v/>
      </c>
      <c r="I117" s="17">
        <f>IF(OR(I116="",E116=""),"",IF(I116*E116&lt;=0,"",IFERROR(I116/E116-1,"")))</f>
        <v/>
      </c>
      <c r="J117" s="17">
        <f>IF(OR(J116="",F116=""),"",IF(J116*F116&lt;=0,"",IFERROR(J116/F116-1,"")))</f>
        <v/>
      </c>
      <c r="K117" s="17">
        <f>IF(OR(K116="",G116=""),"",IF(K116*G116&lt;=0,"",IFERROR(K116/G116-1,"")))</f>
        <v/>
      </c>
      <c r="L117" s="17">
        <f>IF(OR(L116="",H116=""),"",IF(L116*H116&lt;=0,"",IFERROR(L116/H116-1,"")))</f>
        <v/>
      </c>
      <c r="M117" s="17">
        <f>IF(OR(M116="",I116=""),"",IF(M116*I116&lt;=0,"",IFERROR(M116/I116-1,"")))</f>
        <v/>
      </c>
      <c r="N117" s="17">
        <f>IF(OR(N116="",J116=""),"",IF(N116*J116&lt;=0,"",IFERROR(N116/J116-1,"")))</f>
        <v/>
      </c>
      <c r="T117" s="17">
        <f>IF(OR(T116="",S116=""),"",IF(T116*S116&lt;=0,"",IFERROR(T116/S116-1,"")))</f>
        <v/>
      </c>
      <c r="U117" s="17">
        <f>IF(OR(U116="",T116=""),"",IF(U116*T116&lt;=0,"",IFERROR(U116/T116-1,"")))</f>
        <v/>
      </c>
      <c r="V117" s="17">
        <f>IF(OR(V116="",U116=""),"",IF(V116*U116&lt;=0,"",IFERROR(V116/U116-1,"")))</f>
        <v/>
      </c>
      <c r="W117" s="17">
        <f>IF(OR(W116="",V116=""),"",IF(W116*V116&lt;=0,"",IFERROR(W116/V116-1,"")))</f>
        <v/>
      </c>
      <c r="X117" s="17">
        <f>IF(OR(X116="",W116=""),"",IF(X116*W116&lt;=0,"",IFERROR(X116/W116-1,"")))</f>
        <v/>
      </c>
    </row>
    <row r="118">
      <c r="A118" s="20" t="inlineStr">
        <is>
          <t>이자비용</t>
        </is>
      </c>
      <c r="E118" s="22" t="n">
        <v>0</v>
      </c>
      <c r="F118" s="22" t="n">
        <v>0</v>
      </c>
      <c r="G118" s="22" t="n">
        <v>0</v>
      </c>
      <c r="H118" s="22" t="n">
        <v>1</v>
      </c>
      <c r="I118" s="22" t="n">
        <v>1</v>
      </c>
      <c r="J118" s="22" t="n">
        <v>1</v>
      </c>
      <c r="K118" s="22" t="n">
        <v>2</v>
      </c>
      <c r="L118" s="22" t="n">
        <v>2</v>
      </c>
      <c r="M118" s="22" t="n">
        <v>1</v>
      </c>
      <c r="N118" s="22" t="n">
        <v>1</v>
      </c>
      <c r="W118" s="22" t="n">
        <v>1</v>
      </c>
      <c r="X118" s="22" t="n">
        <v>2</v>
      </c>
    </row>
    <row r="119">
      <c r="A119" s="20" t="inlineStr">
        <is>
          <t>유가증권 상환손실</t>
        </is>
      </c>
      <c r="E119" s="22" t="n">
        <v>0</v>
      </c>
      <c r="F119" s="22" t="n">
        <v>1</v>
      </c>
    </row>
    <row r="120">
      <c r="A120" s="20" t="inlineStr">
        <is>
          <t>보험해약 손실</t>
        </is>
      </c>
      <c r="C120" s="22" t="n">
        <v>3</v>
      </c>
      <c r="D120" s="22" t="n">
        <v>5</v>
      </c>
      <c r="E120" s="22" t="n">
        <v>2</v>
      </c>
      <c r="F120" s="22" t="n">
        <v>0</v>
      </c>
      <c r="G120" s="22" t="n">
        <v>0</v>
      </c>
      <c r="H120" s="22" t="n">
        <v>0</v>
      </c>
      <c r="I120" s="22" t="n">
        <v>0</v>
      </c>
      <c r="J120" s="22" t="n">
        <v>7</v>
      </c>
      <c r="K120" s="22" t="n">
        <v>15</v>
      </c>
      <c r="L120" s="22" t="n">
        <v>0</v>
      </c>
      <c r="T120" s="22" t="n">
        <v>0</v>
      </c>
      <c r="U120" s="22" t="n">
        <v>4</v>
      </c>
      <c r="V120" s="22" t="n">
        <v>5</v>
      </c>
      <c r="W120" s="22" t="n">
        <v>0</v>
      </c>
      <c r="X120" s="22" t="n">
        <v>0</v>
      </c>
    </row>
    <row r="121">
      <c r="A121" s="20" t="inlineStr">
        <is>
          <t>외환차손</t>
        </is>
      </c>
      <c r="E121" s="22" t="n">
        <v>0</v>
      </c>
      <c r="F121" s="22" t="n">
        <v>45</v>
      </c>
      <c r="I121" s="22" t="n">
        <v>22</v>
      </c>
      <c r="J121" s="22" t="n">
        <v>-22</v>
      </c>
      <c r="M121" s="22" t="n">
        <v>0</v>
      </c>
      <c r="N121" s="22" t="n">
        <v>34</v>
      </c>
    </row>
    <row r="122">
      <c r="A122" s="20" t="inlineStr">
        <is>
          <t>지급수수료</t>
        </is>
      </c>
      <c r="C122" s="22" t="n">
        <v>1</v>
      </c>
      <c r="D122" s="22" t="n">
        <v>1</v>
      </c>
      <c r="E122" s="22" t="n">
        <v>1</v>
      </c>
      <c r="F122" s="22" t="n">
        <v>1</v>
      </c>
      <c r="G122" s="22" t="n">
        <v>1</v>
      </c>
      <c r="H122" s="22" t="n">
        <v>1</v>
      </c>
      <c r="I122" s="22" t="n">
        <v>1</v>
      </c>
      <c r="J122" s="22" t="n">
        <v>1</v>
      </c>
      <c r="K122" s="22" t="n">
        <v>1</v>
      </c>
      <c r="L122" s="22" t="n">
        <v>1</v>
      </c>
      <c r="M122" s="22" t="n">
        <v>1</v>
      </c>
      <c r="N122" s="22" t="n">
        <v>1</v>
      </c>
      <c r="T122" s="22" t="n">
        <v>1</v>
      </c>
      <c r="U122" s="22" t="n">
        <v>1</v>
      </c>
      <c r="V122" s="22" t="n">
        <v>1</v>
      </c>
      <c r="W122" s="22" t="n">
        <v>1</v>
      </c>
      <c r="X122" s="22" t="n">
        <v>1</v>
      </c>
    </row>
    <row r="123">
      <c r="A123" s="20" t="inlineStr">
        <is>
          <t>기타</t>
        </is>
      </c>
      <c r="C123" s="22" t="n">
        <v>1</v>
      </c>
      <c r="D123" s="22" t="n">
        <v>0</v>
      </c>
      <c r="E123" s="22" t="n">
        <v>0</v>
      </c>
      <c r="F123" s="22" t="n">
        <v>0</v>
      </c>
      <c r="G123" s="22" t="n">
        <v>1</v>
      </c>
      <c r="H123" s="22" t="n">
        <v>1</v>
      </c>
      <c r="I123" s="22" t="n">
        <v>1</v>
      </c>
      <c r="J123" s="22" t="n">
        <v>1</v>
      </c>
      <c r="K123" s="22" t="n">
        <v>1</v>
      </c>
      <c r="L123" s="22" t="n">
        <v>2</v>
      </c>
      <c r="M123" s="22" t="n">
        <v>1</v>
      </c>
      <c r="N123" s="22" t="n">
        <v>2</v>
      </c>
      <c r="T123" s="22" t="n">
        <v>0</v>
      </c>
      <c r="U123" s="22" t="n">
        <v>1</v>
      </c>
      <c r="V123" s="22" t="n">
        <v>0</v>
      </c>
      <c r="W123" s="22" t="n">
        <v>1</v>
      </c>
      <c r="X123" s="22" t="n">
        <v>2</v>
      </c>
    </row>
    <row r="124">
      <c r="A124" s="20" t="inlineStr">
        <is>
          <t>영업외비용 합계</t>
        </is>
      </c>
      <c r="C124" s="22" t="n">
        <v>0</v>
      </c>
      <c r="D124" s="22" t="n">
        <v>6</v>
      </c>
      <c r="E124" s="22" t="n">
        <v>4</v>
      </c>
      <c r="F124" s="22" t="n">
        <v>48</v>
      </c>
      <c r="G124" s="22" t="n">
        <v>-45</v>
      </c>
      <c r="H124" s="22" t="n">
        <v>9</v>
      </c>
      <c r="I124" s="22" t="n">
        <v>25</v>
      </c>
      <c r="J124" s="22" t="n">
        <v>-10</v>
      </c>
      <c r="K124" s="22" t="n">
        <v>19</v>
      </c>
      <c r="L124" s="22" t="n">
        <v>4</v>
      </c>
      <c r="M124" s="22" t="n">
        <v>3</v>
      </c>
      <c r="N124" s="22" t="n">
        <v>55</v>
      </c>
      <c r="T124" s="22" t="n">
        <v>1</v>
      </c>
      <c r="U124" s="22" t="n">
        <v>6</v>
      </c>
      <c r="V124" s="22" t="n">
        <v>6</v>
      </c>
      <c r="W124" s="22" t="n">
        <v>9</v>
      </c>
      <c r="X124" s="22" t="n">
        <v>4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T125" s="17">
        <f>IF(OR(T124="",S124=""),"",IF(T124*S124&lt;=0,"",IFERROR(T124/S124-1,"")))</f>
        <v/>
      </c>
      <c r="U125" s="17">
        <f>IF(OR(U124="",T124=""),"",IF(U124*T124&lt;=0,"",IFERROR(U124/T124-1,"")))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경상이익</t>
        </is>
      </c>
      <c r="C126" s="12" t="n">
        <v>422</v>
      </c>
      <c r="D126" s="12" t="n">
        <v>643</v>
      </c>
      <c r="E126" s="12" t="n">
        <v>119</v>
      </c>
      <c r="F126" s="12" t="n">
        <v>50</v>
      </c>
      <c r="G126" s="12" t="n">
        <v>407</v>
      </c>
      <c r="H126" s="12" t="n">
        <v>98</v>
      </c>
      <c r="I126" s="12" t="n">
        <v>19</v>
      </c>
      <c r="J126" s="12" t="n">
        <v>285</v>
      </c>
      <c r="K126" s="12" t="n">
        <v>131</v>
      </c>
      <c r="L126" s="12" t="n">
        <v>129</v>
      </c>
      <c r="M126" s="12" t="n">
        <v>517</v>
      </c>
      <c r="N126" s="12" t="n">
        <v>344</v>
      </c>
      <c r="T126" s="12" t="n">
        <v>728</v>
      </c>
      <c r="U126" s="12" t="n">
        <v>484</v>
      </c>
      <c r="V126" s="12" t="n">
        <v>643</v>
      </c>
      <c r="W126" s="12" t="n">
        <v>98</v>
      </c>
      <c r="X126" s="12" t="n">
        <v>129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20" t="inlineStr">
        <is>
          <t>고정자산 매각이익</t>
        </is>
      </c>
      <c r="E128" s="22" t="n">
        <v>0</v>
      </c>
      <c r="F128" s="22" t="n">
        <v>0</v>
      </c>
      <c r="G128" s="22" t="n">
        <v>0</v>
      </c>
      <c r="H128" s="22" t="n">
        <v>0</v>
      </c>
      <c r="I128" s="22" t="n">
        <v>3</v>
      </c>
      <c r="J128" s="22" t="n">
        <v>0</v>
      </c>
      <c r="K128" s="22" t="n">
        <v>0</v>
      </c>
      <c r="L128" s="22" t="n">
        <v>0</v>
      </c>
      <c r="M128" s="22" t="n">
        <v>0</v>
      </c>
      <c r="N128" s="22" t="n">
        <v>0</v>
      </c>
      <c r="W128" s="22" t="n">
        <v>0</v>
      </c>
      <c r="X128" s="22" t="n">
        <v>0</v>
      </c>
    </row>
    <row r="129">
      <c r="A129" s="20" t="inlineStr">
        <is>
          <t>투자유가증권 매각이익</t>
        </is>
      </c>
      <c r="C129" s="22" t="n">
        <v>0</v>
      </c>
      <c r="D129" s="22" t="n">
        <v>0</v>
      </c>
      <c r="G129" s="22" t="n">
        <v>0</v>
      </c>
      <c r="H129" s="22" t="n">
        <v>0</v>
      </c>
      <c r="I129" s="22" t="n">
        <v>0</v>
      </c>
      <c r="J129" s="22" t="n">
        <v>0</v>
      </c>
      <c r="M129" s="22" t="n">
        <v>181</v>
      </c>
      <c r="N129" s="22" t="n">
        <v>0</v>
      </c>
      <c r="U129" s="22" t="n">
        <v>0</v>
      </c>
      <c r="V129" s="22" t="n">
        <v>0</v>
      </c>
      <c r="W129" s="22" t="n">
        <v>0</v>
      </c>
    </row>
    <row r="130">
      <c r="A130" s="20" t="inlineStr">
        <is>
          <t>특별이익 합계</t>
        </is>
      </c>
      <c r="C130" s="22" t="n">
        <v>0</v>
      </c>
      <c r="D130" s="22" t="n">
        <v>0</v>
      </c>
      <c r="E130" s="22" t="n">
        <v>0</v>
      </c>
      <c r="F130" s="22" t="n">
        <v>0</v>
      </c>
      <c r="G130" s="22" t="n">
        <v>0</v>
      </c>
      <c r="H130" s="22" t="n">
        <v>0</v>
      </c>
      <c r="I130" s="22" t="n">
        <v>3</v>
      </c>
      <c r="J130" s="22" t="n">
        <v>0</v>
      </c>
      <c r="K130" s="22" t="n">
        <v>0</v>
      </c>
      <c r="L130" s="22" t="n">
        <v>173</v>
      </c>
      <c r="M130" s="22" t="n">
        <v>181</v>
      </c>
      <c r="N130" s="22" t="n">
        <v>0</v>
      </c>
      <c r="U130" s="22" t="n">
        <v>0</v>
      </c>
      <c r="V130" s="22" t="n">
        <v>0</v>
      </c>
      <c r="W130" s="22" t="n">
        <v>0</v>
      </c>
      <c r="X130" s="22" t="n">
        <v>173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IF(OR(G130="",C130=""),"",IF(G130*C130&lt;=0,"",IFERROR(G130/C130-1,"")))</f>
        <v/>
      </c>
      <c r="H131" s="17">
        <f>IF(OR(H130="",D130=""),"",IF(H130*D130&lt;=0,"",IFERROR(H130/D130-1,"")))</f>
        <v/>
      </c>
      <c r="I131" s="17">
        <f>IF(OR(I130="",E130=""),"",IF(I130*E130&lt;=0,"",IFERROR(I130/E130-1,"")))</f>
        <v/>
      </c>
      <c r="J131" s="17">
        <f>IF(OR(J130="",F130=""),"",IF(J130*F130&lt;=0,"",IFERROR(J130/F130-1,"")))</f>
        <v/>
      </c>
      <c r="K131" s="17">
        <f>IF(OR(K130="",G130=""),"",IF(K130*G130&lt;=0,"",IFERROR(K130/G130-1,"")))</f>
        <v/>
      </c>
      <c r="L131" s="17">
        <f>IF(OR(L130="",H130=""),"",IF(L130*H130&lt;=0,"",IFERROR(L130/H130-1,"")))</f>
        <v/>
      </c>
      <c r="M131" s="17">
        <f>IF(OR(M130="",I130=""),"",IF(M130*I130&lt;=0,"",IFERROR(M130/I130-1,"")))</f>
        <v/>
      </c>
      <c r="N131" s="17">
        <f>IF(OR(N130="",J130=""),"",IF(N130*J130&lt;=0,"",IFERROR(N130/J130-1,"")))</f>
        <v/>
      </c>
      <c r="U131" s="17">
        <f>IF(OR(U130="",T130=""),"",IF(U130*T130&lt;=0,"",IFERROR(U130/T130-1,"")))</f>
        <v/>
      </c>
      <c r="V131" s="17">
        <f>IF(OR(V130="",U130=""),"",IF(V130*U130&lt;=0,"",IFERROR(V130/U130-1,"")))</f>
        <v/>
      </c>
      <c r="W131" s="17">
        <f>IF(OR(W130="",V130=""),"",IF(W130*V130&lt;=0,"",IFERROR(W130/V130-1,"")))</f>
        <v/>
      </c>
      <c r="X131" s="17">
        <f>IF(OR(X130="",W130=""),"",IF(X130*W130&lt;=0,"",IFERROR(X130/W130-1,"")))</f>
        <v/>
      </c>
    </row>
    <row r="132">
      <c r="A132" s="20" t="inlineStr">
        <is>
          <t>고정자산 제각손실</t>
        </is>
      </c>
      <c r="D132" s="22" t="n">
        <v>0</v>
      </c>
      <c r="T132" s="22" t="n">
        <v>0</v>
      </c>
      <c r="U132" s="22" t="n">
        <v>0</v>
      </c>
      <c r="V132" s="22" t="n">
        <v>0</v>
      </c>
    </row>
    <row r="133">
      <c r="A133" s="20" t="inlineStr">
        <is>
          <t>특별손실 합계</t>
        </is>
      </c>
      <c r="D133" s="22" t="n">
        <v>0</v>
      </c>
      <c r="T133" s="22" t="n">
        <v>0</v>
      </c>
      <c r="U133" s="22" t="n">
        <v>52</v>
      </c>
      <c r="V133" s="22" t="n">
        <v>0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T134" s="17">
        <f>IF(OR(T133="",S133=""),"",IF(T133*S133&lt;=0,"",IFERROR(T133/S133-1,"")))</f>
        <v/>
      </c>
      <c r="U134" s="17">
        <f>IF(OR(U133="",T133=""),"",IF(U133*T133&lt;=0,"",IFERROR(U133/T133-1,"")))</f>
        <v/>
      </c>
      <c r="V134" s="17">
        <f>IF(OR(V133="",U133=""),"",IF(V133*U133&lt;=0,"",IFERROR(V133/U133-1,"")))</f>
        <v/>
      </c>
    </row>
    <row r="135">
      <c r="A135" s="9" t="inlineStr">
        <is>
          <t>법인세차감전 순이익</t>
        </is>
      </c>
      <c r="C135" s="12" t="n">
        <v>423</v>
      </c>
      <c r="D135" s="12" t="n">
        <v>643</v>
      </c>
      <c r="E135" s="12" t="n">
        <v>119</v>
      </c>
      <c r="F135" s="12" t="n">
        <v>50</v>
      </c>
      <c r="G135" s="12" t="n">
        <v>407</v>
      </c>
      <c r="H135" s="12" t="n">
        <v>98</v>
      </c>
      <c r="I135" s="12" t="n">
        <v>23</v>
      </c>
      <c r="J135" s="12" t="n">
        <v>284</v>
      </c>
      <c r="K135" s="12" t="n">
        <v>131</v>
      </c>
      <c r="L135" s="12" t="n">
        <v>303</v>
      </c>
      <c r="M135" s="12" t="n">
        <v>698</v>
      </c>
      <c r="N135" s="12" t="n">
        <v>345</v>
      </c>
      <c r="T135" s="12" t="n">
        <v>728</v>
      </c>
      <c r="U135" s="12" t="n">
        <v>431</v>
      </c>
      <c r="V135" s="12" t="n">
        <v>643</v>
      </c>
      <c r="W135" s="12" t="n">
        <v>98</v>
      </c>
      <c r="X135" s="12" t="n">
        <v>303</v>
      </c>
    </row>
    <row r="136">
      <c r="A136" s="45" t="inlineStr">
        <is>
          <t>YoY</t>
        </is>
      </c>
      <c r="B136" s="3" t="inlineStr">
        <is>
          <t>전년 같은 분기·전년 대비</t>
        </is>
      </c>
      <c r="G136" s="17">
        <f>IF(OR(G135="",C135=""),"",IF(C135&lt;=0,"",IFERROR(G135/C135-1,"")))</f>
        <v/>
      </c>
      <c r="H136" s="17">
        <f>IF(OR(H135="",D135=""),"",IF(D135&lt;=0,"",IFERROR(H135/D135-1,"")))</f>
        <v/>
      </c>
      <c r="I136" s="17">
        <f>IF(OR(I135="",E135=""),"",IF(E135&lt;=0,"",IFERROR(I135/E135-1,"")))</f>
        <v/>
      </c>
      <c r="J136" s="17">
        <f>IF(OR(J135="",F135=""),"",IF(F135&lt;=0,"",IFERROR(J135/F135-1,"")))</f>
        <v/>
      </c>
      <c r="K136" s="17">
        <f>IF(OR(K135="",G135=""),"",IF(G135&lt;=0,"",IFERROR(K135/G135-1,"")))</f>
        <v/>
      </c>
      <c r="L136" s="17">
        <f>IF(OR(L135="",H135=""),"",IF(H135&lt;=0,"",IFERROR(L135/H135-1,"")))</f>
        <v/>
      </c>
      <c r="M136" s="17">
        <f>IF(OR(M135="",I135=""),"",IF(I135&lt;=0,"",IFERROR(M135/I135-1,"")))</f>
        <v/>
      </c>
      <c r="N136" s="17">
        <f>IF(OR(N135="",J135=""),"",IF(J135&lt;=0,"",IFERROR(N135/J135-1,"")))</f>
        <v/>
      </c>
      <c r="T136" s="17">
        <f>IF(OR(T135="",S135=""),"",IF(S135&lt;=0,"",IFERROR(T135/S135-1,"")))</f>
        <v/>
      </c>
      <c r="U136" s="17">
        <f>IF(OR(U135="",T135=""),"",IF(T135&lt;=0,"",IFERROR(U135/T135-1,"")))</f>
        <v/>
      </c>
      <c r="V136" s="17">
        <f>IF(OR(V135="",U135=""),"",IF(U135&lt;=0,"",IFERROR(V135/U135-1,"")))</f>
        <v/>
      </c>
      <c r="W136" s="17">
        <f>IF(OR(W135="",V135=""),"",IF(V135&lt;=0,"",IFERROR(W135/V135-1,"")))</f>
        <v/>
      </c>
      <c r="X136" s="17">
        <f>IF(OR(X135="",W135=""),"",IF(W135&lt;=0,"",IFERROR(X135/W135-1,"")))</f>
        <v/>
      </c>
    </row>
    <row r="137">
      <c r="A137" s="20" t="inlineStr">
        <is>
          <t>법인세·주민세·사업세</t>
        </is>
      </c>
      <c r="C137" s="22" t="n">
        <v>108</v>
      </c>
      <c r="D137" s="22" t="n">
        <v>148</v>
      </c>
      <c r="E137" s="22" t="n">
        <v>11</v>
      </c>
      <c r="F137" s="22" t="n">
        <v>28</v>
      </c>
      <c r="G137" s="22" t="n">
        <v>121</v>
      </c>
      <c r="H137" s="22" t="n">
        <v>101</v>
      </c>
      <c r="I137" s="22" t="n">
        <v>2</v>
      </c>
      <c r="J137" s="22" t="n">
        <v>80</v>
      </c>
      <c r="K137" s="22" t="n">
        <v>19</v>
      </c>
      <c r="L137" s="22" t="n">
        <v>166</v>
      </c>
      <c r="M137" s="22" t="n">
        <v>187</v>
      </c>
      <c r="N137" s="22" t="n">
        <v>202</v>
      </c>
      <c r="T137" s="22" t="n">
        <v>127</v>
      </c>
      <c r="U137" s="22" t="n">
        <v>74</v>
      </c>
      <c r="V137" s="22" t="n">
        <v>148</v>
      </c>
      <c r="W137" s="22" t="n">
        <v>101</v>
      </c>
      <c r="X137" s="22" t="n">
        <v>166</v>
      </c>
    </row>
    <row r="138">
      <c r="A138" s="20" t="inlineStr">
        <is>
          <t>법인세 조정액</t>
        </is>
      </c>
      <c r="C138" s="22" t="n">
        <v>24</v>
      </c>
      <c r="D138" s="22" t="n">
        <v>28</v>
      </c>
      <c r="E138" s="22" t="n">
        <v>25</v>
      </c>
      <c r="F138" s="22" t="n">
        <v>-24</v>
      </c>
      <c r="G138" s="22" t="n">
        <v>20</v>
      </c>
      <c r="H138" s="22" t="n">
        <v>-34</v>
      </c>
      <c r="I138" s="22" t="n">
        <v>6</v>
      </c>
      <c r="J138" s="22" t="n">
        <v>5</v>
      </c>
      <c r="K138" s="22" t="n">
        <v>38</v>
      </c>
      <c r="L138" s="22" t="n">
        <v>-39</v>
      </c>
      <c r="M138" s="22" t="n">
        <v>34</v>
      </c>
      <c r="N138" s="22" t="n">
        <v>-43</v>
      </c>
      <c r="T138" s="22" t="n">
        <v>-35</v>
      </c>
      <c r="U138" s="22" t="n">
        <v>-237</v>
      </c>
      <c r="V138" s="22" t="n">
        <v>28</v>
      </c>
      <c r="W138" s="22" t="n">
        <v>-34</v>
      </c>
      <c r="X138" s="22" t="n">
        <v>-39</v>
      </c>
    </row>
    <row r="139">
      <c r="A139" s="20" t="inlineStr">
        <is>
          <t>법인세 등 합계</t>
        </is>
      </c>
      <c r="C139" s="22" t="n">
        <v>132</v>
      </c>
      <c r="D139" s="22" t="n">
        <v>175</v>
      </c>
      <c r="E139" s="22" t="n">
        <v>37</v>
      </c>
      <c r="F139" s="22" t="n">
        <v>3</v>
      </c>
      <c r="G139" s="22" t="n">
        <v>142</v>
      </c>
      <c r="H139" s="22" t="n">
        <v>65</v>
      </c>
      <c r="I139" s="22" t="n">
        <v>9</v>
      </c>
      <c r="J139" s="22" t="n">
        <v>84</v>
      </c>
      <c r="K139" s="22" t="n">
        <v>58</v>
      </c>
      <c r="L139" s="22" t="n">
        <v>127</v>
      </c>
      <c r="M139" s="22" t="n">
        <v>222</v>
      </c>
      <c r="N139" s="22" t="n">
        <v>157</v>
      </c>
      <c r="T139" s="22" t="n">
        <v>92</v>
      </c>
      <c r="U139" s="22" t="n">
        <v>-164</v>
      </c>
      <c r="V139" s="22" t="n">
        <v>175</v>
      </c>
      <c r="W139" s="22" t="n">
        <v>65</v>
      </c>
      <c r="X139" s="22" t="n">
        <v>127</v>
      </c>
    </row>
    <row r="140">
      <c r="A140" s="45" t="inlineStr">
        <is>
          <t>YoY</t>
        </is>
      </c>
      <c r="B140" s="3" t="inlineStr">
        <is>
          <t>전년 같은 분기·전년 대비</t>
        </is>
      </c>
      <c r="G140" s="17">
        <f>IF(OR(G139="",C139=""),"",IF(G139*C139&lt;=0,"",IFERROR(G139/C139-1,"")))</f>
        <v/>
      </c>
      <c r="H140" s="17">
        <f>IF(OR(H139="",D139=""),"",IF(H139*D139&lt;=0,"",IFERROR(H139/D139-1,"")))</f>
        <v/>
      </c>
      <c r="I140" s="17">
        <f>IF(OR(I139="",E139=""),"",IF(I139*E139&lt;=0,"",IFERROR(I139/E139-1,"")))</f>
        <v/>
      </c>
      <c r="J140" s="17">
        <f>IF(OR(J139="",F139=""),"",IF(J139*F139&lt;=0,"",IFERROR(J139/F139-1,"")))</f>
        <v/>
      </c>
      <c r="K140" s="17">
        <f>IF(OR(K139="",G139=""),"",IF(K139*G139&lt;=0,"",IFERROR(K139/G139-1,"")))</f>
        <v/>
      </c>
      <c r="L140" s="17">
        <f>IF(OR(L139="",H139=""),"",IF(L139*H139&lt;=0,"",IFERROR(L139/H139-1,"")))</f>
        <v/>
      </c>
      <c r="M140" s="17">
        <f>IF(OR(M139="",I139=""),"",IF(M139*I139&lt;=0,"",IFERROR(M139/I139-1,"")))</f>
        <v/>
      </c>
      <c r="N140" s="17">
        <f>IF(OR(N139="",J139=""),"",IF(N139*J139&lt;=0,"",IFERROR(N139/J139-1,"")))</f>
        <v/>
      </c>
      <c r="T140" s="17">
        <f>IF(OR(T139="",S139=""),"",IF(T139*S139&lt;=0,"",IFERROR(T139/S139-1,"")))</f>
        <v/>
      </c>
      <c r="U140" s="17">
        <f>IF(OR(U139="",T139=""),"",IF(U139*T139&lt;=0,"",IFERROR(U139/T139-1,"")))</f>
        <v/>
      </c>
      <c r="V140" s="17">
        <f>IF(OR(V139="",U139=""),"",IF(V139*U139&lt;=0,"",IFERROR(V139/U139-1,"")))</f>
        <v/>
      </c>
      <c r="W140" s="17">
        <f>IF(OR(W139="",V139=""),"",IF(W139*V139&lt;=0,"",IFERROR(W139/V139-1,"")))</f>
        <v/>
      </c>
      <c r="X140" s="17">
        <f>IF(OR(X139="",W139=""),"",IF(X139*W139&lt;=0,"",IFERROR(X139/W139-1,"")))</f>
        <v/>
      </c>
    </row>
    <row r="141">
      <c r="A141" s="9" t="inlineStr">
        <is>
          <t>순이익</t>
        </is>
      </c>
      <c r="C141" s="12" t="n">
        <v>291</v>
      </c>
      <c r="D141" s="12" t="n">
        <v>467</v>
      </c>
      <c r="E141" s="12" t="n">
        <v>82</v>
      </c>
      <c r="F141" s="12" t="n">
        <v>47</v>
      </c>
      <c r="G141" s="12" t="n">
        <v>265</v>
      </c>
      <c r="H141" s="12" t="n">
        <v>33</v>
      </c>
      <c r="I141" s="12" t="n">
        <v>14</v>
      </c>
      <c r="J141" s="12" t="n">
        <v>200</v>
      </c>
      <c r="K141" s="12" t="n">
        <v>73</v>
      </c>
      <c r="L141" s="12" t="n">
        <v>176</v>
      </c>
      <c r="M141" s="12" t="n">
        <v>476</v>
      </c>
      <c r="N141" s="12" t="n">
        <v>187</v>
      </c>
      <c r="T141" s="12" t="n">
        <v>636</v>
      </c>
      <c r="U141" s="12" t="n">
        <v>596</v>
      </c>
      <c r="V141" s="12" t="n">
        <v>467</v>
      </c>
      <c r="W141" s="12" t="n">
        <v>33</v>
      </c>
      <c r="X141" s="12" t="n">
        <v>176</v>
      </c>
    </row>
    <row r="142">
      <c r="A142" s="45" t="inlineStr">
        <is>
          <t>YoY</t>
        </is>
      </c>
      <c r="B142" s="3" t="inlineStr">
        <is>
          <t>전년 같은 분기·전년 대비</t>
        </is>
      </c>
      <c r="G142" s="17">
        <f>IF(OR(G141="",C141=""),"",IF(C141&lt;=0,"",IFERROR(G141/C141-1,"")))</f>
        <v/>
      </c>
      <c r="H142" s="17">
        <f>IF(OR(H141="",D141=""),"",IF(D141&lt;=0,"",IFERROR(H141/D141-1,"")))</f>
        <v/>
      </c>
      <c r="I142" s="17">
        <f>IF(OR(I141="",E141=""),"",IF(E141&lt;=0,"",IFERROR(I141/E141-1,"")))</f>
        <v/>
      </c>
      <c r="J142" s="17">
        <f>IF(OR(J141="",F141=""),"",IF(F141&lt;=0,"",IFERROR(J141/F141-1,"")))</f>
        <v/>
      </c>
      <c r="K142" s="17">
        <f>IF(OR(K141="",G141=""),"",IF(G141&lt;=0,"",IFERROR(K141/G141-1,"")))</f>
        <v/>
      </c>
      <c r="L142" s="17">
        <f>IF(OR(L141="",H141=""),"",IF(H141&lt;=0,"",IFERROR(L141/H141-1,"")))</f>
        <v/>
      </c>
      <c r="M142" s="17">
        <f>IF(OR(M141="",I141=""),"",IF(I141&lt;=0,"",IFERROR(M141/I141-1,"")))</f>
        <v/>
      </c>
      <c r="N142" s="17">
        <f>IF(OR(N141="",J141=""),"",IF(J141&lt;=0,"",IFERROR(N141/J141-1,"")))</f>
        <v/>
      </c>
      <c r="T142" s="17">
        <f>IF(OR(T141="",S141=""),"",IF(S141&lt;=0,"",IFERROR(T141/S141-1,"")))</f>
        <v/>
      </c>
      <c r="U142" s="17">
        <f>IF(OR(U141="",T141=""),"",IF(T141&lt;=0,"",IFERROR(U141/T141-1,"")))</f>
        <v/>
      </c>
      <c r="V142" s="17">
        <f>IF(OR(V141="",U141=""),"",IF(U141&lt;=0,"",IFERROR(V141/U141-1,"")))</f>
        <v/>
      </c>
      <c r="W142" s="17">
        <f>IF(OR(W141="",V141=""),"",IF(V141&lt;=0,"",IFERROR(W141/V141-1,"")))</f>
        <v/>
      </c>
      <c r="X142" s="17">
        <f>IF(OR(X141="",W141=""),"",IF(W141&lt;=0,"",IFERROR(X141/W141-1,"")))</f>
        <v/>
      </c>
    </row>
    <row r="143">
      <c r="A143" s="9" t="inlineStr">
        <is>
          <t>비지배주주 순손익</t>
        </is>
      </c>
      <c r="C143" s="12" t="n">
        <v>0</v>
      </c>
      <c r="D143" s="12" t="n">
        <v>0</v>
      </c>
      <c r="E143" s="12" t="n">
        <v>0</v>
      </c>
      <c r="F143" s="12" t="n">
        <v>0</v>
      </c>
      <c r="G143" s="12" t="n">
        <v>0</v>
      </c>
      <c r="H143" s="12" t="n">
        <v>-0</v>
      </c>
      <c r="I143" s="12" t="n">
        <v>-0</v>
      </c>
      <c r="J143" s="12" t="n">
        <v>0</v>
      </c>
      <c r="K143" s="12" t="n">
        <v>0</v>
      </c>
      <c r="L143" s="12" t="n">
        <v>0</v>
      </c>
      <c r="M143" s="12" t="n">
        <v>0</v>
      </c>
      <c r="N143" s="12" t="n">
        <v>0</v>
      </c>
      <c r="T143" s="12" t="n">
        <v>0</v>
      </c>
      <c r="U143" s="12" t="n">
        <v>0</v>
      </c>
      <c r="V143" s="12" t="n">
        <v>0</v>
      </c>
      <c r="W143" s="12" t="n">
        <v>-0</v>
      </c>
      <c r="X143" s="12" t="n">
        <v>0</v>
      </c>
    </row>
    <row r="144">
      <c r="A144" s="9" t="inlineStr">
        <is>
          <t>지배주주 순이익</t>
        </is>
      </c>
      <c r="C144" s="12" t="n">
        <v>291</v>
      </c>
      <c r="D144" s="12" t="n">
        <v>467</v>
      </c>
      <c r="E144" s="12" t="n">
        <v>82</v>
      </c>
      <c r="F144" s="12" t="n">
        <v>47</v>
      </c>
      <c r="G144" s="12" t="n">
        <v>265</v>
      </c>
      <c r="H144" s="12" t="n">
        <v>33</v>
      </c>
      <c r="I144" s="12" t="n">
        <v>14</v>
      </c>
      <c r="J144" s="12" t="n">
        <v>200</v>
      </c>
      <c r="K144" s="12" t="n">
        <v>73</v>
      </c>
      <c r="L144" s="12" t="n">
        <v>176</v>
      </c>
      <c r="M144" s="12" t="n">
        <v>476</v>
      </c>
      <c r="N144" s="12" t="n">
        <v>187</v>
      </c>
      <c r="T144" s="12" t="n">
        <v>636</v>
      </c>
      <c r="U144" s="12" t="n">
        <v>596</v>
      </c>
      <c r="V144" s="12" t="n">
        <v>467</v>
      </c>
      <c r="W144" s="12" t="n">
        <v>33</v>
      </c>
      <c r="X144" s="12" t="n">
        <v>176</v>
      </c>
    </row>
    <row r="145">
      <c r="A145" s="45" t="inlineStr">
        <is>
          <t>YoY</t>
        </is>
      </c>
      <c r="B145" s="3" t="inlineStr">
        <is>
          <t>전년 같은 분기·전년 대비</t>
        </is>
      </c>
      <c r="G145" s="17">
        <f>IF(OR(G144="",C144=""),"",IF(C144&lt;=0,"",IFERROR(G144/C144-1,"")))</f>
        <v/>
      </c>
      <c r="H145" s="17">
        <f>IF(OR(H144="",D144=""),"",IF(D144&lt;=0,"",IFERROR(H144/D144-1,"")))</f>
        <v/>
      </c>
      <c r="I145" s="17">
        <f>IF(OR(I144="",E144=""),"",IF(E144&lt;=0,"",IFERROR(I144/E144-1,"")))</f>
        <v/>
      </c>
      <c r="J145" s="17">
        <f>IF(OR(J144="",F144=""),"",IF(F144&lt;=0,"",IFERROR(J144/F144-1,"")))</f>
        <v/>
      </c>
      <c r="K145" s="17">
        <f>IF(OR(K144="",G144=""),"",IF(G144&lt;=0,"",IFERROR(K144/G144-1,"")))</f>
        <v/>
      </c>
      <c r="L145" s="17">
        <f>IF(OR(L144="",H144=""),"",IF(H144&lt;=0,"",IFERROR(L144/H144-1,"")))</f>
        <v/>
      </c>
      <c r="M145" s="17">
        <f>IF(OR(M144="",I144=""),"",IF(I144&lt;=0,"",IFERROR(M144/I144-1,"")))</f>
        <v/>
      </c>
      <c r="N145" s="17">
        <f>IF(OR(N144="",J144=""),"",IF(J144&lt;=0,"",IFERROR(N144/J144-1,"")))</f>
        <v/>
      </c>
      <c r="T145" s="17">
        <f>IF(OR(T144="",S144=""),"",IF(S144&lt;=0,"",IFERROR(T144/S144-1,"")))</f>
        <v/>
      </c>
      <c r="U145" s="17">
        <f>IF(OR(U144="",T144=""),"",IF(T144&lt;=0,"",IFERROR(U144/T144-1,"")))</f>
        <v/>
      </c>
      <c r="V145" s="17">
        <f>IF(OR(V144="",U144=""),"",IF(U144&lt;=0,"",IFERROR(V144/U144-1,"")))</f>
        <v/>
      </c>
      <c r="W145" s="17">
        <f>IF(OR(W144="",V144=""),"",IF(V144&lt;=0,"",IFERROR(W144/V144-1,"")))</f>
        <v/>
      </c>
      <c r="X145" s="17">
        <f>IF(OR(X144="",W144=""),"",IF(W144&lt;=0,"",IFERROR(X144/W144-1,"")))</f>
        <v/>
      </c>
    </row>
    <row r="147">
      <c r="A147" s="18" t="inlineStr">
        <is>
          <t>포괄손익 · 전 항목</t>
        </is>
      </c>
      <c r="B147" s="44" t="inlineStr">
        <is>
          <t>분기 = 3개월 단독</t>
        </is>
      </c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  <c r="AA147" s="18" t="n"/>
      <c r="AB147" s="18" t="n"/>
      <c r="AC147" s="18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2024.3Q</t>
        </is>
      </c>
      <c r="D148" s="5" t="inlineStr">
        <is>
          <t>2024.4Q</t>
        </is>
      </c>
      <c r="E148" s="5" t="inlineStr">
        <is>
          <t>2025.1Q</t>
        </is>
      </c>
      <c r="F148" s="5" t="inlineStr">
        <is>
          <t>2025.2Q</t>
        </is>
      </c>
      <c r="G148" s="5" t="inlineStr">
        <is>
          <t>2025.3Q</t>
        </is>
      </c>
      <c r="H148" s="5" t="inlineStr">
        <is>
          <t>2025.4Q</t>
        </is>
      </c>
      <c r="I148" s="5" t="inlineStr">
        <is>
          <t>2026.1Q</t>
        </is>
      </c>
      <c r="J148" s="5" t="inlineStr">
        <is>
          <t>2026.2Q</t>
        </is>
      </c>
      <c r="K148" s="5" t="inlineStr">
        <is>
          <t>2026.3Q</t>
        </is>
      </c>
      <c r="L148" s="5" t="inlineStr">
        <is>
          <t>2026.4Q</t>
        </is>
      </c>
      <c r="M148" s="5" t="inlineStr">
        <is>
          <t>2027.1Q</t>
        </is>
      </c>
      <c r="N148" s="5" t="inlineStr">
        <is>
          <t>2027.2Q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순이익</t>
        </is>
      </c>
      <c r="C149" s="12" t="n">
        <v>291</v>
      </c>
      <c r="D149" s="12" t="n">
        <v>467</v>
      </c>
      <c r="E149" s="12" t="n">
        <v>82</v>
      </c>
      <c r="F149" s="12" t="n">
        <v>47</v>
      </c>
      <c r="G149" s="12" t="n">
        <v>265</v>
      </c>
      <c r="H149" s="12" t="n">
        <v>33</v>
      </c>
      <c r="I149" s="12" t="n">
        <v>14</v>
      </c>
      <c r="J149" s="12" t="n">
        <v>200</v>
      </c>
      <c r="K149" s="12" t="n">
        <v>73</v>
      </c>
      <c r="L149" s="12" t="n">
        <v>176</v>
      </c>
      <c r="M149" s="12" t="n">
        <v>476</v>
      </c>
      <c r="N149" s="12" t="n">
        <v>187</v>
      </c>
      <c r="T149" s="12" t="n">
        <v>636</v>
      </c>
      <c r="U149" s="12" t="n">
        <v>596</v>
      </c>
      <c r="V149" s="12" t="n">
        <v>467</v>
      </c>
      <c r="W149" s="12" t="n">
        <v>33</v>
      </c>
      <c r="X149" s="12" t="n">
        <v>176</v>
      </c>
    </row>
    <row r="150">
      <c r="A150" s="20" t="inlineStr">
        <is>
          <t>기타유가증권 평가차액</t>
        </is>
      </c>
      <c r="C150" s="22" t="n">
        <v>16</v>
      </c>
      <c r="D150" s="22" t="n">
        <v>376</v>
      </c>
      <c r="E150" s="22" t="n">
        <v>-37</v>
      </c>
      <c r="F150" s="22" t="n">
        <v>-273</v>
      </c>
      <c r="G150" s="22" t="n">
        <v>102</v>
      </c>
      <c r="H150" s="22" t="n">
        <v>-131</v>
      </c>
      <c r="I150" s="22" t="n">
        <v>126</v>
      </c>
      <c r="J150" s="22" t="n">
        <v>169</v>
      </c>
      <c r="K150" s="22" t="n">
        <v>181</v>
      </c>
      <c r="L150" s="22" t="n">
        <v>-33</v>
      </c>
      <c r="M150" s="22" t="n">
        <v>248</v>
      </c>
      <c r="N150" s="22" t="n">
        <v>-105</v>
      </c>
      <c r="T150" s="22" t="n">
        <v>-5</v>
      </c>
      <c r="U150" s="22" t="n">
        <v>-3</v>
      </c>
      <c r="V150" s="22" t="n">
        <v>376</v>
      </c>
      <c r="W150" s="22" t="n">
        <v>-131</v>
      </c>
      <c r="X150" s="22" t="n">
        <v>-33</v>
      </c>
    </row>
    <row r="151">
      <c r="A151" s="20" t="inlineStr">
        <is>
          <t>해외사업환산조정</t>
        </is>
      </c>
      <c r="C151" s="22" t="n">
        <v>-27</v>
      </c>
      <c r="D151" s="22" t="n">
        <v>31</v>
      </c>
      <c r="E151" s="22" t="n">
        <v>85</v>
      </c>
      <c r="F151" s="22" t="n">
        <v>-34</v>
      </c>
      <c r="G151" s="22" t="n">
        <v>22</v>
      </c>
      <c r="H151" s="22" t="n">
        <v>-8</v>
      </c>
      <c r="I151" s="22" t="n">
        <v>-40</v>
      </c>
      <c r="J151" s="22" t="n">
        <v>19</v>
      </c>
      <c r="K151" s="22" t="n">
        <v>69</v>
      </c>
      <c r="L151" s="22" t="n">
        <v>48</v>
      </c>
      <c r="M151" s="22" t="n">
        <v>22</v>
      </c>
      <c r="N151" s="22" t="n">
        <v>-17</v>
      </c>
      <c r="T151" s="22" t="n">
        <v>46</v>
      </c>
      <c r="U151" s="22" t="n">
        <v>-31</v>
      </c>
      <c r="V151" s="22" t="n">
        <v>31</v>
      </c>
      <c r="W151" s="22" t="n">
        <v>-8</v>
      </c>
      <c r="X151" s="22" t="n">
        <v>48</v>
      </c>
    </row>
    <row r="152">
      <c r="A152" s="20" t="inlineStr">
        <is>
          <t>기타포괄손익 합계</t>
        </is>
      </c>
      <c r="C152" s="22" t="n">
        <v>-11</v>
      </c>
      <c r="D152" s="22" t="n">
        <v>407</v>
      </c>
      <c r="E152" s="22" t="n">
        <v>47</v>
      </c>
      <c r="F152" s="22" t="n">
        <v>-306</v>
      </c>
      <c r="G152" s="22" t="n">
        <v>124</v>
      </c>
      <c r="H152" s="22" t="n">
        <v>-139</v>
      </c>
      <c r="I152" s="22" t="n">
        <v>86</v>
      </c>
      <c r="J152" s="22" t="n">
        <v>188</v>
      </c>
      <c r="K152" s="22" t="n">
        <v>250</v>
      </c>
      <c r="L152" s="22" t="n">
        <v>16</v>
      </c>
      <c r="M152" s="22" t="n">
        <v>271</v>
      </c>
      <c r="N152" s="22" t="n">
        <v>-122</v>
      </c>
      <c r="T152" s="22" t="n">
        <v>41</v>
      </c>
      <c r="U152" s="22" t="n">
        <v>-33</v>
      </c>
      <c r="V152" s="22" t="n">
        <v>407</v>
      </c>
      <c r="W152" s="22" t="n">
        <v>-139</v>
      </c>
      <c r="X152" s="22" t="n">
        <v>16</v>
      </c>
    </row>
    <row r="153">
      <c r="A153" s="9" t="inlineStr">
        <is>
          <t>포괄이익</t>
        </is>
      </c>
      <c r="C153" s="12" t="n">
        <v>279</v>
      </c>
      <c r="D153" s="12" t="n">
        <v>874</v>
      </c>
      <c r="E153" s="12" t="n">
        <v>129</v>
      </c>
      <c r="F153" s="12" t="n">
        <v>-258</v>
      </c>
      <c r="G153" s="12" t="n">
        <v>388</v>
      </c>
      <c r="H153" s="12" t="n">
        <v>-106</v>
      </c>
      <c r="I153" s="12" t="n">
        <v>100</v>
      </c>
      <c r="J153" s="12" t="n">
        <v>388</v>
      </c>
      <c r="K153" s="12" t="n">
        <v>324</v>
      </c>
      <c r="L153" s="12" t="n">
        <v>191</v>
      </c>
      <c r="M153" s="12" t="n">
        <v>748</v>
      </c>
      <c r="N153" s="12" t="n">
        <v>64</v>
      </c>
      <c r="T153" s="12" t="n">
        <v>677</v>
      </c>
      <c r="U153" s="12" t="n">
        <v>563</v>
      </c>
      <c r="V153" s="12" t="n">
        <v>874</v>
      </c>
      <c r="W153" s="12" t="n">
        <v>-106</v>
      </c>
      <c r="X153" s="12" t="n">
        <v>191</v>
      </c>
    </row>
    <row r="154">
      <c r="A154" s="9" t="inlineStr">
        <is>
          <t>지배주주 포괄이익</t>
        </is>
      </c>
      <c r="C154" s="12" t="n">
        <v>280</v>
      </c>
      <c r="D154" s="12" t="n">
        <v>874</v>
      </c>
      <c r="E154" s="12" t="n">
        <v>129</v>
      </c>
      <c r="F154" s="12" t="n">
        <v>-259</v>
      </c>
      <c r="G154" s="12" t="n">
        <v>389</v>
      </c>
      <c r="H154" s="12" t="n">
        <v>-107</v>
      </c>
      <c r="I154" s="12" t="n">
        <v>100</v>
      </c>
      <c r="J154" s="12" t="n">
        <v>388</v>
      </c>
      <c r="K154" s="12" t="n">
        <v>324</v>
      </c>
      <c r="L154" s="12" t="n">
        <v>191</v>
      </c>
      <c r="M154" s="12" t="n">
        <v>747</v>
      </c>
      <c r="N154" s="12" t="n">
        <v>65</v>
      </c>
      <c r="T154" s="12" t="n">
        <v>677</v>
      </c>
      <c r="U154" s="12" t="n">
        <v>563</v>
      </c>
      <c r="V154" s="12" t="n">
        <v>874</v>
      </c>
      <c r="W154" s="12" t="n">
        <v>-107</v>
      </c>
      <c r="X154" s="12" t="n">
        <v>191</v>
      </c>
    </row>
    <row r="155">
      <c r="A155" s="9" t="inlineStr">
        <is>
          <t>비지배주주 포괄이익</t>
        </is>
      </c>
      <c r="C155" s="12" t="n">
        <v>0</v>
      </c>
      <c r="D155" s="12" t="n">
        <v>0</v>
      </c>
      <c r="E155" s="12" t="n">
        <v>0</v>
      </c>
      <c r="F155" s="12" t="n">
        <v>0</v>
      </c>
      <c r="G155" s="12" t="n">
        <v>0</v>
      </c>
      <c r="H155" s="12" t="n">
        <v>0</v>
      </c>
      <c r="I155" s="12" t="n">
        <v>-0</v>
      </c>
      <c r="J155" s="12" t="n">
        <v>0</v>
      </c>
      <c r="K155" s="12" t="n">
        <v>0</v>
      </c>
      <c r="L155" s="12" t="n">
        <v>0</v>
      </c>
      <c r="M155" s="12" t="n">
        <v>0</v>
      </c>
      <c r="N155" s="12" t="n">
        <v>0</v>
      </c>
      <c r="T155" s="12" t="n">
        <v>0</v>
      </c>
      <c r="U155" s="12" t="n">
        <v>0</v>
      </c>
      <c r="V155" s="12" t="n">
        <v>0</v>
      </c>
      <c r="W155" s="12" t="n">
        <v>0</v>
      </c>
      <c r="X155" s="12" t="n">
        <v>0</v>
      </c>
    </row>
    <row r="157">
      <c r="A157" s="18" t="inlineStr">
        <is>
          <t>현금흐름표 · 전 항목</t>
        </is>
      </c>
      <c r="B157" s="44" t="inlineStr">
        <is>
          <t>분기 = 결산기 첫날부터 누계(공시 그대로)</t>
        </is>
      </c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  <c r="AA157" s="18" t="n"/>
      <c r="AB157" s="18" t="n"/>
      <c r="AC157" s="18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9" t="inlineStr">
        <is>
          <t>법인세차감전 순이익</t>
        </is>
      </c>
      <c r="D159" s="12" t="n">
        <v>2141</v>
      </c>
      <c r="H159" s="12" t="n">
        <v>674</v>
      </c>
      <c r="L159" s="12" t="n">
        <v>741</v>
      </c>
      <c r="O159" s="12" t="n">
        <v>303</v>
      </c>
      <c r="P159" s="12" t="n">
        <v>894</v>
      </c>
      <c r="Q159" s="12" t="n">
        <v>1370</v>
      </c>
      <c r="R159" s="12" t="n">
        <v>20</v>
      </c>
      <c r="S159" s="12" t="n">
        <v>-251</v>
      </c>
      <c r="T159" s="12" t="n">
        <v>2065</v>
      </c>
      <c r="U159" s="12" t="n">
        <v>2456</v>
      </c>
      <c r="V159" s="12" t="n">
        <v>2141</v>
      </c>
      <c r="W159" s="12" t="n">
        <v>674</v>
      </c>
      <c r="X159" s="12" t="n">
        <v>741</v>
      </c>
    </row>
    <row r="160">
      <c r="A160" s="20" t="inlineStr">
        <is>
          <t>감가상각비</t>
        </is>
      </c>
      <c r="D160" s="22" t="n">
        <v>67</v>
      </c>
      <c r="H160" s="22" t="n">
        <v>113</v>
      </c>
      <c r="L160" s="22" t="n">
        <v>119</v>
      </c>
      <c r="O160" s="22" t="n">
        <v>54</v>
      </c>
      <c r="P160" s="22" t="n">
        <v>57</v>
      </c>
      <c r="Q160" s="22" t="n">
        <v>62</v>
      </c>
      <c r="R160" s="22" t="n">
        <v>57</v>
      </c>
      <c r="S160" s="22" t="n">
        <v>46</v>
      </c>
      <c r="T160" s="22" t="n">
        <v>52</v>
      </c>
      <c r="U160" s="22" t="n">
        <v>65</v>
      </c>
      <c r="V160" s="22" t="n">
        <v>67</v>
      </c>
      <c r="W160" s="22" t="n">
        <v>113</v>
      </c>
      <c r="X160" s="22" t="n">
        <v>119</v>
      </c>
    </row>
    <row r="161">
      <c r="A161" s="20" t="inlineStr">
        <is>
          <t>손상차손</t>
        </is>
      </c>
      <c r="D161" s="22" t="n">
        <v>0</v>
      </c>
      <c r="T161" s="22" t="n">
        <v>0</v>
      </c>
      <c r="U161" s="22" t="n">
        <v>52</v>
      </c>
      <c r="V161" s="22" t="n">
        <v>0</v>
      </c>
    </row>
    <row r="162">
      <c r="A162" s="20" t="inlineStr">
        <is>
          <t>영업권 상각</t>
        </is>
      </c>
      <c r="D162" s="22" t="n">
        <v>0</v>
      </c>
      <c r="H162" s="22" t="n">
        <v>4</v>
      </c>
      <c r="L162" s="22" t="n">
        <v>0</v>
      </c>
      <c r="V162" s="22" t="n">
        <v>0</v>
      </c>
      <c r="W162" s="22" t="n">
        <v>4</v>
      </c>
      <c r="X162" s="22" t="n">
        <v>0</v>
      </c>
    </row>
    <row r="163">
      <c r="A163" s="20" t="inlineStr">
        <is>
          <t>주식보상비용</t>
        </is>
      </c>
      <c r="D163" s="22" t="n">
        <v>19</v>
      </c>
      <c r="H163" s="22" t="n">
        <v>20</v>
      </c>
      <c r="L163" s="22" t="n">
        <v>53</v>
      </c>
      <c r="T163" s="22" t="n">
        <v>0</v>
      </c>
      <c r="U163" s="22" t="n">
        <v>17</v>
      </c>
      <c r="V163" s="22" t="n">
        <v>19</v>
      </c>
      <c r="W163" s="22" t="n">
        <v>20</v>
      </c>
      <c r="X163" s="22" t="n">
        <v>53</v>
      </c>
    </row>
    <row r="164">
      <c r="A164" s="20" t="inlineStr">
        <is>
          <t>대손충당금 증감</t>
        </is>
      </c>
      <c r="D164" s="22" t="n">
        <v>-0</v>
      </c>
      <c r="H164" s="22" t="n">
        <v>-2</v>
      </c>
      <c r="L164" s="22" t="n">
        <v>54</v>
      </c>
      <c r="O164" s="22" t="n">
        <v>0</v>
      </c>
      <c r="P164" s="22" t="n">
        <v>1</v>
      </c>
      <c r="Q164" s="22" t="n">
        <v>2</v>
      </c>
      <c r="R164" s="22" t="n">
        <v>-2</v>
      </c>
      <c r="S164" s="22" t="n">
        <v>0</v>
      </c>
      <c r="T164" s="22" t="n">
        <v>-0</v>
      </c>
      <c r="U164" s="22" t="n">
        <v>-0</v>
      </c>
      <c r="V164" s="22" t="n">
        <v>-0</v>
      </c>
      <c r="W164" s="22" t="n">
        <v>-2</v>
      </c>
      <c r="X164" s="22" t="n">
        <v>54</v>
      </c>
    </row>
    <row r="165">
      <c r="A165" s="20" t="inlineStr">
        <is>
          <t>이자·배당금 수익</t>
        </is>
      </c>
      <c r="D165" s="22" t="n">
        <v>-100</v>
      </c>
      <c r="H165" s="22" t="n">
        <v>-120</v>
      </c>
      <c r="L165" s="22" t="n">
        <v>-145</v>
      </c>
      <c r="O165" s="22" t="n">
        <v>-74</v>
      </c>
      <c r="P165" s="22" t="n">
        <v>-55</v>
      </c>
      <c r="Q165" s="22" t="n">
        <v>-79</v>
      </c>
      <c r="R165" s="22" t="n">
        <v>-54</v>
      </c>
      <c r="S165" s="22" t="n">
        <v>-56</v>
      </c>
      <c r="T165" s="22" t="n">
        <v>-67</v>
      </c>
      <c r="U165" s="22" t="n">
        <v>-113</v>
      </c>
      <c r="V165" s="22" t="n">
        <v>-100</v>
      </c>
      <c r="W165" s="22" t="n">
        <v>-120</v>
      </c>
      <c r="X165" s="22" t="n">
        <v>-145</v>
      </c>
    </row>
    <row r="166">
      <c r="A166" s="20" t="inlineStr">
        <is>
          <t>이자비용</t>
        </is>
      </c>
      <c r="D166" s="22" t="n">
        <v>0</v>
      </c>
      <c r="H166" s="22" t="n">
        <v>1</v>
      </c>
      <c r="L166" s="22" t="n">
        <v>6</v>
      </c>
      <c r="V166" s="22" t="n">
        <v>0</v>
      </c>
      <c r="W166" s="22" t="n">
        <v>1</v>
      </c>
      <c r="X166" s="22" t="n">
        <v>6</v>
      </c>
    </row>
    <row r="167">
      <c r="A167" s="20" t="inlineStr">
        <is>
          <t>외환차손익</t>
        </is>
      </c>
      <c r="D167" s="22" t="n">
        <v>-97</v>
      </c>
      <c r="H167" s="22" t="n">
        <v>-5</v>
      </c>
      <c r="L167" s="22" t="n">
        <v>-49</v>
      </c>
      <c r="O167" s="22" t="n">
        <v>4</v>
      </c>
      <c r="P167" s="22" t="n">
        <v>15</v>
      </c>
      <c r="Q167" s="22" t="n">
        <v>-62</v>
      </c>
      <c r="R167" s="22" t="n">
        <v>-10</v>
      </c>
      <c r="S167" s="22" t="n">
        <v>3</v>
      </c>
      <c r="T167" s="22" t="n">
        <v>-86</v>
      </c>
      <c r="U167" s="22" t="n">
        <v>-117</v>
      </c>
      <c r="V167" s="22" t="n">
        <v>-97</v>
      </c>
      <c r="W167" s="22" t="n">
        <v>-5</v>
      </c>
      <c r="X167" s="22" t="n">
        <v>-49</v>
      </c>
    </row>
    <row r="168">
      <c r="A168" s="20" t="inlineStr">
        <is>
          <t>보험금 수익</t>
        </is>
      </c>
      <c r="Q168" s="22" t="n">
        <v>0</v>
      </c>
      <c r="R168" s="22" t="n">
        <v>-41</v>
      </c>
      <c r="S168" s="22" t="n">
        <v>0</v>
      </c>
    </row>
    <row r="169">
      <c r="A169" s="20" t="inlineStr">
        <is>
          <t>보조금 수입</t>
        </is>
      </c>
      <c r="R169" s="22" t="n">
        <v>0</v>
      </c>
      <c r="S169" s="22" t="n">
        <v>-50</v>
      </c>
      <c r="T169" s="22" t="n">
        <v>0</v>
      </c>
    </row>
    <row r="170">
      <c r="A170" s="20" t="inlineStr">
        <is>
          <t>투자유가증권 매각손익</t>
        </is>
      </c>
      <c r="D170" s="22" t="n">
        <v>-4</v>
      </c>
      <c r="H170" s="22" t="n">
        <v>-1</v>
      </c>
      <c r="L170" s="22" t="n">
        <v>-175</v>
      </c>
      <c r="O170" s="22" t="n">
        <v>-0</v>
      </c>
      <c r="P170" s="22" t="n">
        <v>-0</v>
      </c>
      <c r="Q170" s="22" t="n">
        <v>8</v>
      </c>
      <c r="R170" s="22" t="n">
        <v>-15</v>
      </c>
      <c r="S170" s="22" t="n">
        <v>-58</v>
      </c>
      <c r="T170" s="22" t="n">
        <v>-23</v>
      </c>
      <c r="U170" s="22" t="n">
        <v>-29</v>
      </c>
      <c r="V170" s="22" t="n">
        <v>-4</v>
      </c>
      <c r="W170" s="22" t="n">
        <v>-1</v>
      </c>
      <c r="X170" s="22" t="n">
        <v>-175</v>
      </c>
    </row>
    <row r="171">
      <c r="A171" s="20" t="inlineStr">
        <is>
          <t>투자유가증권 평가손익</t>
        </is>
      </c>
      <c r="Q171" s="22" t="n">
        <v>0</v>
      </c>
      <c r="R171" s="22" t="n">
        <v>33</v>
      </c>
      <c r="S171" s="22" t="n">
        <v>0</v>
      </c>
    </row>
    <row r="172">
      <c r="A172" s="20" t="inlineStr">
        <is>
          <t>유가증권 상환손익</t>
        </is>
      </c>
      <c r="D172" s="22" t="n">
        <v>-13</v>
      </c>
      <c r="H172" s="22" t="n">
        <v>-115</v>
      </c>
      <c r="L172" s="22" t="n">
        <v>-19</v>
      </c>
      <c r="U172" s="22" t="n">
        <v>0</v>
      </c>
      <c r="V172" s="22" t="n">
        <v>-13</v>
      </c>
      <c r="W172" s="22" t="n">
        <v>-115</v>
      </c>
      <c r="X172" s="22" t="n">
        <v>-19</v>
      </c>
    </row>
    <row r="173">
      <c r="A173" s="20" t="inlineStr">
        <is>
          <t>고정자산 제각·매각손익</t>
        </is>
      </c>
      <c r="D173" s="22" t="n">
        <v>-1</v>
      </c>
      <c r="H173" s="22" t="n">
        <v>1</v>
      </c>
      <c r="L173" s="22" t="n">
        <v>-2</v>
      </c>
      <c r="O173" s="22" t="n">
        <v>-0</v>
      </c>
      <c r="P173" s="22" t="n">
        <v>-3</v>
      </c>
      <c r="Q173" s="22" t="n">
        <v>2</v>
      </c>
      <c r="R173" s="22" t="n">
        <v>0</v>
      </c>
      <c r="S173" s="22" t="n">
        <v>0</v>
      </c>
      <c r="T173" s="22" t="n">
        <v>-0</v>
      </c>
      <c r="U173" s="22" t="n">
        <v>4</v>
      </c>
      <c r="V173" s="22" t="n">
        <v>-1</v>
      </c>
      <c r="W173" s="22" t="n">
        <v>1</v>
      </c>
      <c r="X173" s="22" t="n">
        <v>-2</v>
      </c>
    </row>
    <row r="174">
      <c r="A174" s="20" t="inlineStr">
        <is>
          <t>골프회원권 평가손실</t>
        </is>
      </c>
      <c r="P174" s="22" t="n">
        <v>0</v>
      </c>
      <c r="Q174" s="22" t="n">
        <v>1</v>
      </c>
      <c r="R174" s="22" t="n">
        <v>0</v>
      </c>
    </row>
    <row r="175">
      <c r="A175" s="20" t="inlineStr">
        <is>
          <t>골프회원권 매각손익</t>
        </is>
      </c>
      <c r="Q175" s="22" t="n">
        <v>0</v>
      </c>
      <c r="R175" s="22" t="n">
        <v>-5</v>
      </c>
      <c r="S175" s="22" t="n">
        <v>0</v>
      </c>
    </row>
    <row r="176">
      <c r="A176" s="20" t="inlineStr">
        <is>
          <t>매출채권 증감</t>
        </is>
      </c>
      <c r="D176" s="22" t="n">
        <v>-488</v>
      </c>
      <c r="H176" s="22" t="n">
        <v>597</v>
      </c>
      <c r="L176" s="22" t="n">
        <v>410</v>
      </c>
      <c r="O176" s="22" t="n">
        <v>-841</v>
      </c>
      <c r="P176" s="22" t="n">
        <v>-666</v>
      </c>
      <c r="Q176" s="22" t="n">
        <v>225</v>
      </c>
      <c r="R176" s="22" t="n">
        <v>640</v>
      </c>
      <c r="S176" s="22" t="n">
        <v>238</v>
      </c>
      <c r="T176" s="22" t="n">
        <v>-1575</v>
      </c>
      <c r="U176" s="22" t="n">
        <v>922</v>
      </c>
      <c r="V176" s="22" t="n">
        <v>-488</v>
      </c>
      <c r="W176" s="22" t="n">
        <v>597</v>
      </c>
      <c r="X176" s="22" t="n">
        <v>410</v>
      </c>
    </row>
    <row r="177">
      <c r="A177" s="20" t="inlineStr">
        <is>
          <t>재고자산 증감</t>
        </is>
      </c>
      <c r="D177" s="22" t="n">
        <v>-100</v>
      </c>
      <c r="H177" s="22" t="n">
        <v>1093</v>
      </c>
      <c r="L177" s="22" t="n">
        <v>568</v>
      </c>
      <c r="O177" s="22" t="n">
        <v>-87</v>
      </c>
      <c r="P177" s="22" t="n">
        <v>-1006</v>
      </c>
      <c r="Q177" s="22" t="n">
        <v>-186</v>
      </c>
      <c r="R177" s="22" t="n">
        <v>108</v>
      </c>
      <c r="S177" s="22" t="n">
        <v>478</v>
      </c>
      <c r="T177" s="22" t="n">
        <v>-695</v>
      </c>
      <c r="U177" s="22" t="n">
        <v>-1325</v>
      </c>
      <c r="V177" s="22" t="n">
        <v>-100</v>
      </c>
      <c r="W177" s="22" t="n">
        <v>1093</v>
      </c>
      <c r="X177" s="22" t="n">
        <v>568</v>
      </c>
    </row>
    <row r="178">
      <c r="A178" s="20" t="inlineStr">
        <is>
          <t>매입채무 증감</t>
        </is>
      </c>
      <c r="D178" s="22" t="n">
        <v>-268</v>
      </c>
      <c r="H178" s="22" t="n">
        <v>-145</v>
      </c>
      <c r="L178" s="22" t="n">
        <v>118</v>
      </c>
      <c r="O178" s="22" t="n">
        <v>107</v>
      </c>
      <c r="P178" s="22" t="n">
        <v>138</v>
      </c>
      <c r="Q178" s="22" t="n">
        <v>-133</v>
      </c>
      <c r="R178" s="22" t="n">
        <v>-121</v>
      </c>
      <c r="S178" s="22" t="n">
        <v>136</v>
      </c>
      <c r="T178" s="22" t="n">
        <v>62</v>
      </c>
      <c r="U178" s="22" t="n">
        <v>53</v>
      </c>
      <c r="V178" s="22" t="n">
        <v>-268</v>
      </c>
      <c r="W178" s="22" t="n">
        <v>-145</v>
      </c>
      <c r="X178" s="22" t="n">
        <v>118</v>
      </c>
    </row>
    <row r="179">
      <c r="A179" s="20" t="inlineStr">
        <is>
          <t>미수 소비세 증감</t>
        </is>
      </c>
      <c r="D179" s="22" t="n">
        <v>124</v>
      </c>
      <c r="H179" s="22" t="n">
        <v>259</v>
      </c>
      <c r="L179" s="22" t="n">
        <v>-104</v>
      </c>
      <c r="O179" s="22" t="n">
        <v>-14</v>
      </c>
      <c r="P179" s="22" t="n">
        <v>-119</v>
      </c>
      <c r="Q179" s="22" t="n">
        <v>-5</v>
      </c>
      <c r="R179" s="22" t="n">
        <v>118</v>
      </c>
      <c r="S179" s="22" t="n">
        <v>-28</v>
      </c>
      <c r="T179" s="22" t="n">
        <v>-170</v>
      </c>
      <c r="U179" s="22" t="n">
        <v>-138</v>
      </c>
      <c r="V179" s="22" t="n">
        <v>124</v>
      </c>
      <c r="W179" s="22" t="n">
        <v>259</v>
      </c>
      <c r="X179" s="22" t="n">
        <v>-104</v>
      </c>
    </row>
    <row r="180">
      <c r="A180" s="20" t="inlineStr">
        <is>
          <t>미수금 증감</t>
        </is>
      </c>
      <c r="D180" s="22" t="n">
        <v>-0</v>
      </c>
      <c r="H180" s="22" t="n">
        <v>0</v>
      </c>
      <c r="L180" s="22" t="n">
        <v>0</v>
      </c>
      <c r="O180" s="22" t="n">
        <v>0</v>
      </c>
      <c r="P180" s="22" t="n">
        <v>0</v>
      </c>
      <c r="Q180" s="22" t="n">
        <v>-0</v>
      </c>
      <c r="R180" s="22" t="n">
        <v>-0</v>
      </c>
      <c r="S180" s="22" t="n">
        <v>0</v>
      </c>
      <c r="T180" s="22" t="n">
        <v>0</v>
      </c>
      <c r="U180" s="22" t="n">
        <v>-0</v>
      </c>
      <c r="V180" s="22" t="n">
        <v>-0</v>
      </c>
      <c r="W180" s="22" t="n">
        <v>0</v>
      </c>
      <c r="X180" s="22" t="n">
        <v>0</v>
      </c>
    </row>
    <row r="181">
      <c r="A181" s="20" t="inlineStr">
        <is>
          <t>미지급비용 증감</t>
        </is>
      </c>
      <c r="D181" s="22" t="n">
        <v>13</v>
      </c>
      <c r="H181" s="22" t="n">
        <v>-24</v>
      </c>
      <c r="L181" s="22" t="n">
        <v>0</v>
      </c>
      <c r="O181" s="22" t="n">
        <v>-0</v>
      </c>
      <c r="P181" s="22" t="n">
        <v>28</v>
      </c>
      <c r="Q181" s="22" t="n">
        <v>1</v>
      </c>
      <c r="R181" s="22" t="n">
        <v>-33</v>
      </c>
      <c r="S181" s="22" t="n">
        <v>0</v>
      </c>
      <c r="T181" s="22" t="n">
        <v>18</v>
      </c>
      <c r="U181" s="22" t="n">
        <v>6</v>
      </c>
      <c r="V181" s="22" t="n">
        <v>13</v>
      </c>
      <c r="W181" s="22" t="n">
        <v>-24</v>
      </c>
      <c r="X181" s="22" t="n">
        <v>0</v>
      </c>
    </row>
    <row r="182">
      <c r="A182" s="20" t="inlineStr">
        <is>
          <t>제품보증 충당금 증감</t>
        </is>
      </c>
      <c r="D182" s="22" t="n">
        <v>42</v>
      </c>
      <c r="H182" s="22" t="n">
        <v>-32</v>
      </c>
      <c r="L182" s="22" t="n">
        <v>-18</v>
      </c>
      <c r="O182" s="22" t="n">
        <v>15</v>
      </c>
      <c r="P182" s="22" t="n">
        <v>7</v>
      </c>
      <c r="Q182" s="22" t="n">
        <v>-12</v>
      </c>
      <c r="R182" s="22" t="n">
        <v>-10</v>
      </c>
      <c r="S182" s="22" t="n">
        <v>19</v>
      </c>
      <c r="T182" s="22" t="n">
        <v>7</v>
      </c>
      <c r="U182" s="22" t="n">
        <v>-1</v>
      </c>
      <c r="V182" s="22" t="n">
        <v>42</v>
      </c>
      <c r="W182" s="22" t="n">
        <v>-32</v>
      </c>
      <c r="X182" s="22" t="n">
        <v>-18</v>
      </c>
    </row>
    <row r="183">
      <c r="A183" s="20" t="inlineStr">
        <is>
          <t>퇴직급여부채 증감</t>
        </is>
      </c>
      <c r="D183" s="22" t="n">
        <v>0</v>
      </c>
      <c r="H183" s="22" t="n">
        <v>10</v>
      </c>
      <c r="L183" s="22" t="n">
        <v>1</v>
      </c>
      <c r="O183" s="22" t="n">
        <v>-18</v>
      </c>
      <c r="P183" s="22" t="n">
        <v>-28</v>
      </c>
      <c r="Q183" s="22" t="n">
        <v>0</v>
      </c>
      <c r="R183" s="22" t="n">
        <v>29</v>
      </c>
      <c r="S183" s="22" t="n">
        <v>-29</v>
      </c>
      <c r="T183" s="22" t="n">
        <v>0</v>
      </c>
      <c r="V183" s="22" t="n">
        <v>0</v>
      </c>
      <c r="W183" s="22" t="n">
        <v>10</v>
      </c>
      <c r="X183" s="22" t="n">
        <v>1</v>
      </c>
    </row>
    <row r="184">
      <c r="A184" s="20" t="inlineStr">
        <is>
          <t>퇴직급여자산 증감</t>
        </is>
      </c>
      <c r="D184" s="22" t="n">
        <v>-104</v>
      </c>
      <c r="H184" s="22" t="n">
        <v>9</v>
      </c>
      <c r="L184" s="22" t="n">
        <v>-71</v>
      </c>
      <c r="O184" s="22" t="n">
        <v>0</v>
      </c>
      <c r="P184" s="22" t="n">
        <v>-1</v>
      </c>
      <c r="Q184" s="22" t="n">
        <v>-0</v>
      </c>
      <c r="R184" s="22" t="n">
        <v>2</v>
      </c>
      <c r="S184" s="22" t="n">
        <v>-59</v>
      </c>
      <c r="T184" s="22" t="n">
        <v>-25</v>
      </c>
      <c r="U184" s="22" t="n">
        <v>15</v>
      </c>
      <c r="V184" s="22" t="n">
        <v>-104</v>
      </c>
      <c r="W184" s="22" t="n">
        <v>9</v>
      </c>
      <c r="X184" s="22" t="n">
        <v>-71</v>
      </c>
    </row>
    <row r="185">
      <c r="A185" s="20" t="inlineStr">
        <is>
          <t>수선충당금 증감액</t>
        </is>
      </c>
      <c r="D185" s="22" t="n">
        <v>-59</v>
      </c>
      <c r="H185" s="22" t="n">
        <v>1</v>
      </c>
      <c r="L185" s="22" t="n">
        <v>-1</v>
      </c>
      <c r="S185" s="22" t="n">
        <v>0</v>
      </c>
      <c r="T185" s="22" t="n">
        <v>40</v>
      </c>
      <c r="U185" s="22" t="n">
        <v>17</v>
      </c>
      <c r="V185" s="22" t="n">
        <v>-59</v>
      </c>
      <c r="W185" s="22" t="n">
        <v>1</v>
      </c>
      <c r="X185" s="22" t="n">
        <v>-1</v>
      </c>
    </row>
    <row r="186">
      <c r="A186" s="20" t="inlineStr">
        <is>
          <t>장기미지급금 증감</t>
        </is>
      </c>
      <c r="D186" s="22" t="n">
        <v>0</v>
      </c>
      <c r="H186" s="22" t="n">
        <v>-1</v>
      </c>
      <c r="L186" s="22" t="n">
        <v>0</v>
      </c>
      <c r="O186" s="22" t="n">
        <v>-0</v>
      </c>
      <c r="P186" s="22" t="n">
        <v>0</v>
      </c>
      <c r="S186" s="22" t="n">
        <v>0</v>
      </c>
      <c r="T186" s="22" t="n">
        <v>3</v>
      </c>
      <c r="U186" s="22" t="n">
        <v>-3</v>
      </c>
      <c r="V186" s="22" t="n">
        <v>0</v>
      </c>
      <c r="W186" s="22" t="n">
        <v>-1</v>
      </c>
      <c r="X186" s="22" t="n">
        <v>0</v>
      </c>
    </row>
    <row r="187">
      <c r="A187" s="20" t="inlineStr">
        <is>
          <t>파산갱생채권 증감</t>
        </is>
      </c>
      <c r="H187" s="22" t="n">
        <v>0</v>
      </c>
      <c r="L187" s="22" t="n">
        <v>-36</v>
      </c>
      <c r="W187" s="22" t="n">
        <v>0</v>
      </c>
      <c r="X187" s="22" t="n">
        <v>-36</v>
      </c>
    </row>
    <row r="188">
      <c r="A188" s="20" t="inlineStr">
        <is>
          <t>기타 유동자산 증감</t>
        </is>
      </c>
      <c r="D188" s="22" t="n">
        <v>25</v>
      </c>
      <c r="H188" s="22" t="n">
        <v>13</v>
      </c>
      <c r="L188" s="22" t="n">
        <v>6</v>
      </c>
      <c r="O188" s="22" t="n">
        <v>8</v>
      </c>
      <c r="P188" s="22" t="n">
        <v>-2</v>
      </c>
      <c r="Q188" s="22" t="n">
        <v>-11</v>
      </c>
      <c r="R188" s="22" t="n">
        <v>6</v>
      </c>
      <c r="S188" s="22" t="n">
        <v>-0</v>
      </c>
      <c r="T188" s="22" t="n">
        <v>-30</v>
      </c>
      <c r="U188" s="22" t="n">
        <v>-24</v>
      </c>
      <c r="V188" s="22" t="n">
        <v>25</v>
      </c>
      <c r="W188" s="22" t="n">
        <v>13</v>
      </c>
      <c r="X188" s="22" t="n">
        <v>6</v>
      </c>
    </row>
    <row r="189">
      <c r="A189" s="20" t="inlineStr">
        <is>
          <t>기타 유동부채 증감</t>
        </is>
      </c>
      <c r="D189" s="22" t="n">
        <v>-98</v>
      </c>
      <c r="H189" s="22" t="n">
        <v>-154</v>
      </c>
      <c r="L189" s="22" t="n">
        <v>0</v>
      </c>
      <c r="O189" s="22" t="n">
        <v>102</v>
      </c>
      <c r="P189" s="22" t="n">
        <v>271</v>
      </c>
      <c r="Q189" s="22" t="n">
        <v>-37</v>
      </c>
      <c r="R189" s="22" t="n">
        <v>-191</v>
      </c>
      <c r="S189" s="22" t="n">
        <v>-3</v>
      </c>
      <c r="T189" s="22" t="n">
        <v>265</v>
      </c>
      <c r="U189" s="22" t="n">
        <v>80</v>
      </c>
      <c r="V189" s="22" t="n">
        <v>-98</v>
      </c>
      <c r="W189" s="22" t="n">
        <v>-154</v>
      </c>
      <c r="X189" s="22" t="n">
        <v>0</v>
      </c>
    </row>
    <row r="190">
      <c r="A190" s="20" t="inlineStr">
        <is>
          <t>기타 비유동자산 증감액</t>
        </is>
      </c>
      <c r="D190" s="22" t="n">
        <v>0</v>
      </c>
      <c r="T190" s="22" t="n">
        <v>0</v>
      </c>
      <c r="U190" s="22" t="n">
        <v>7</v>
      </c>
      <c r="V190" s="22" t="n">
        <v>0</v>
      </c>
    </row>
    <row r="191">
      <c r="A191" s="20" t="inlineStr">
        <is>
          <t>기타 비유동부채 증감액</t>
        </is>
      </c>
      <c r="D191" s="22" t="n">
        <v>0</v>
      </c>
      <c r="T191" s="22" t="n">
        <v>0</v>
      </c>
      <c r="U191" s="22" t="n">
        <v>8</v>
      </c>
      <c r="V191" s="22" t="n">
        <v>0</v>
      </c>
    </row>
    <row r="192">
      <c r="A192" s="20" t="inlineStr">
        <is>
          <t>소계</t>
        </is>
      </c>
      <c r="D192" s="22" t="n">
        <v>1096</v>
      </c>
      <c r="H192" s="22" t="n">
        <v>2200</v>
      </c>
      <c r="L192" s="22" t="n">
        <v>1457</v>
      </c>
      <c r="O192" s="22" t="n">
        <v>-439</v>
      </c>
      <c r="P192" s="22" t="n">
        <v>-471</v>
      </c>
      <c r="Q192" s="22" t="n">
        <v>1144</v>
      </c>
      <c r="R192" s="22" t="n">
        <v>529</v>
      </c>
      <c r="S192" s="22" t="n">
        <v>387</v>
      </c>
      <c r="T192" s="22" t="n">
        <v>-159</v>
      </c>
      <c r="U192" s="22" t="n">
        <v>1955</v>
      </c>
      <c r="V192" s="22" t="n">
        <v>1096</v>
      </c>
      <c r="W192" s="22" t="n">
        <v>2200</v>
      </c>
      <c r="X192" s="22" t="n">
        <v>1457</v>
      </c>
    </row>
    <row r="193">
      <c r="A193" s="20" t="inlineStr">
        <is>
          <t>이자·배당금 수취</t>
        </is>
      </c>
      <c r="D193" s="22" t="n">
        <v>103</v>
      </c>
      <c r="H193" s="22" t="n">
        <v>112</v>
      </c>
      <c r="L193" s="22" t="n">
        <v>142</v>
      </c>
      <c r="O193" s="22" t="n">
        <v>75</v>
      </c>
      <c r="P193" s="22" t="n">
        <v>56</v>
      </c>
      <c r="Q193" s="22" t="n">
        <v>79</v>
      </c>
      <c r="R193" s="22" t="n">
        <v>53</v>
      </c>
      <c r="S193" s="22" t="n">
        <v>55</v>
      </c>
      <c r="T193" s="22" t="n">
        <v>65</v>
      </c>
      <c r="U193" s="22" t="n">
        <v>109</v>
      </c>
      <c r="V193" s="22" t="n">
        <v>103</v>
      </c>
      <c r="W193" s="22" t="n">
        <v>112</v>
      </c>
      <c r="X193" s="22" t="n">
        <v>142</v>
      </c>
    </row>
    <row r="194">
      <c r="A194" s="20" t="inlineStr">
        <is>
          <t>보험금 수취</t>
        </is>
      </c>
      <c r="Q194" s="22" t="n">
        <v>0</v>
      </c>
      <c r="R194" s="22" t="n">
        <v>41</v>
      </c>
      <c r="S194" s="22" t="n">
        <v>0</v>
      </c>
    </row>
    <row r="195">
      <c r="A195" s="20" t="inlineStr">
        <is>
          <t>보조금 수취</t>
        </is>
      </c>
      <c r="R195" s="22" t="n">
        <v>0</v>
      </c>
      <c r="S195" s="22" t="n">
        <v>50</v>
      </c>
      <c r="T195" s="22" t="n">
        <v>0</v>
      </c>
    </row>
    <row r="196">
      <c r="A196" s="20" t="inlineStr">
        <is>
          <t>이자 지급</t>
        </is>
      </c>
      <c r="D196" s="22" t="n">
        <v>0</v>
      </c>
      <c r="H196" s="22" t="n">
        <v>-1</v>
      </c>
      <c r="L196" s="22" t="n">
        <v>-6</v>
      </c>
      <c r="V196" s="22" t="n">
        <v>0</v>
      </c>
      <c r="W196" s="22" t="n">
        <v>-1</v>
      </c>
      <c r="X196" s="22" t="n">
        <v>-6</v>
      </c>
    </row>
    <row r="197">
      <c r="A197" s="20" t="inlineStr">
        <is>
          <t>법인세 환급</t>
        </is>
      </c>
      <c r="D197" s="22" t="n">
        <v>0</v>
      </c>
      <c r="H197" s="22" t="n">
        <v>0</v>
      </c>
      <c r="L197" s="22" t="n">
        <v>24</v>
      </c>
      <c r="O197" s="22" t="n">
        <v>22</v>
      </c>
      <c r="P197" s="22" t="n">
        <v>0</v>
      </c>
      <c r="R197" s="22" t="n">
        <v>0</v>
      </c>
      <c r="S197" s="22" t="n">
        <v>62</v>
      </c>
      <c r="T197" s="22" t="n">
        <v>12</v>
      </c>
      <c r="U197" s="22" t="n">
        <v>0</v>
      </c>
      <c r="V197" s="22" t="n">
        <v>0</v>
      </c>
      <c r="W197" s="22" t="n">
        <v>0</v>
      </c>
      <c r="X197" s="22" t="n">
        <v>24</v>
      </c>
    </row>
    <row r="198">
      <c r="A198" s="20" t="inlineStr">
        <is>
          <t>법인세 납부</t>
        </is>
      </c>
      <c r="D198" s="22" t="n">
        <v>-328</v>
      </c>
      <c r="H198" s="22" t="n">
        <v>-544</v>
      </c>
      <c r="L198" s="22" t="n">
        <v>-154</v>
      </c>
      <c r="O198" s="22" t="n">
        <v>-20</v>
      </c>
      <c r="P198" s="22" t="n">
        <v>-59</v>
      </c>
      <c r="Q198" s="22" t="n">
        <v>-242</v>
      </c>
      <c r="R198" s="22" t="n">
        <v>-146</v>
      </c>
      <c r="S198" s="22" t="n">
        <v>-13</v>
      </c>
      <c r="T198" s="22" t="n">
        <v>-36</v>
      </c>
      <c r="U198" s="22" t="n">
        <v>-619</v>
      </c>
      <c r="V198" s="22" t="n">
        <v>-328</v>
      </c>
      <c r="W198" s="22" t="n">
        <v>-544</v>
      </c>
      <c r="X198" s="22" t="n">
        <v>-154</v>
      </c>
    </row>
    <row r="199">
      <c r="A199" s="9" t="inlineStr">
        <is>
          <t>영업활동 현금흐름</t>
        </is>
      </c>
      <c r="D199" s="12" t="n">
        <v>871</v>
      </c>
      <c r="H199" s="12" t="n">
        <v>1767</v>
      </c>
      <c r="L199" s="12" t="n">
        <v>1464</v>
      </c>
      <c r="O199" s="12" t="n">
        <v>-362</v>
      </c>
      <c r="P199" s="12" t="n">
        <v>-474</v>
      </c>
      <c r="Q199" s="12" t="n">
        <v>981</v>
      </c>
      <c r="R199" s="12" t="n">
        <v>478</v>
      </c>
      <c r="S199" s="12" t="n">
        <v>542</v>
      </c>
      <c r="T199" s="12" t="n">
        <v>-117</v>
      </c>
      <c r="U199" s="12" t="n">
        <v>1445</v>
      </c>
      <c r="V199" s="12" t="n">
        <v>871</v>
      </c>
      <c r="W199" s="12" t="n">
        <v>1767</v>
      </c>
      <c r="X199" s="12" t="n">
        <v>1464</v>
      </c>
    </row>
    <row r="200">
      <c r="A200" s="20" t="inlineStr">
        <is>
          <t>정기예금 예입</t>
        </is>
      </c>
      <c r="D200" s="22" t="n">
        <v>-163</v>
      </c>
      <c r="H200" s="22" t="n">
        <v>-15</v>
      </c>
      <c r="L200" s="22" t="n">
        <v>-13</v>
      </c>
      <c r="O200" s="22" t="n">
        <v>-4</v>
      </c>
      <c r="P200" s="22" t="n">
        <v>-4</v>
      </c>
      <c r="Q200" s="22" t="n">
        <v>-4</v>
      </c>
      <c r="R200" s="22" t="n">
        <v>-4</v>
      </c>
      <c r="S200" s="22" t="n">
        <v>-3</v>
      </c>
      <c r="T200" s="22" t="n">
        <v>-66</v>
      </c>
      <c r="U200" s="22" t="n">
        <v>-0</v>
      </c>
      <c r="V200" s="22" t="n">
        <v>-163</v>
      </c>
      <c r="W200" s="22" t="n">
        <v>-15</v>
      </c>
      <c r="X200" s="22" t="n">
        <v>-13</v>
      </c>
    </row>
    <row r="201">
      <c r="A201" s="20" t="inlineStr">
        <is>
          <t>정기예금 인출</t>
        </is>
      </c>
      <c r="D201" s="22" t="n">
        <v>0</v>
      </c>
      <c r="H201" s="22" t="n">
        <v>8</v>
      </c>
      <c r="L201" s="22" t="n">
        <v>10</v>
      </c>
      <c r="O201" s="22" t="n">
        <v>0</v>
      </c>
      <c r="P201" s="22" t="n">
        <v>6</v>
      </c>
      <c r="Q201" s="22" t="n">
        <v>50</v>
      </c>
      <c r="R201" s="22" t="n">
        <v>0</v>
      </c>
      <c r="T201" s="22" t="n">
        <v>0</v>
      </c>
      <c r="U201" s="22" t="n">
        <v>178</v>
      </c>
      <c r="V201" s="22" t="n">
        <v>0</v>
      </c>
      <c r="W201" s="22" t="n">
        <v>8</v>
      </c>
      <c r="X201" s="22" t="n">
        <v>10</v>
      </c>
    </row>
    <row r="202">
      <c r="A202" s="20" t="inlineStr">
        <is>
          <t>유가증권 취득</t>
        </is>
      </c>
      <c r="D202" s="22" t="n">
        <v>0</v>
      </c>
      <c r="H202" s="22" t="n">
        <v>-313</v>
      </c>
      <c r="L202" s="22" t="n">
        <v>-969</v>
      </c>
      <c r="Q202" s="22" t="n">
        <v>0</v>
      </c>
      <c r="R202" s="22" t="n">
        <v>-200</v>
      </c>
      <c r="S202" s="22" t="n">
        <v>0</v>
      </c>
      <c r="T202" s="22" t="n">
        <v>0</v>
      </c>
      <c r="U202" s="22" t="n">
        <v>-425</v>
      </c>
      <c r="V202" s="22" t="n">
        <v>0</v>
      </c>
      <c r="W202" s="22" t="n">
        <v>-313</v>
      </c>
      <c r="X202" s="22" t="n">
        <v>-969</v>
      </c>
    </row>
    <row r="203">
      <c r="A203" s="20" t="inlineStr">
        <is>
          <t>유가증권 매각·상환 수입</t>
        </is>
      </c>
      <c r="D203" s="22" t="n">
        <v>764</v>
      </c>
      <c r="H203" s="22" t="n">
        <v>1142</v>
      </c>
      <c r="L203" s="22" t="n">
        <v>775</v>
      </c>
      <c r="O203" s="22" t="n">
        <v>585</v>
      </c>
      <c r="P203" s="22" t="n">
        <v>0</v>
      </c>
      <c r="Q203" s="22" t="n">
        <v>96</v>
      </c>
      <c r="R203" s="22" t="n">
        <v>200</v>
      </c>
      <c r="S203" s="22" t="n">
        <v>200</v>
      </c>
      <c r="T203" s="22" t="n">
        <v>0</v>
      </c>
      <c r="U203" s="22" t="n">
        <v>110</v>
      </c>
      <c r="V203" s="22" t="n">
        <v>764</v>
      </c>
      <c r="W203" s="22" t="n">
        <v>1142</v>
      </c>
      <c r="X203" s="22" t="n">
        <v>775</v>
      </c>
    </row>
    <row r="204">
      <c r="A204" s="20" t="inlineStr">
        <is>
          <t>투자유가증권 취득</t>
        </is>
      </c>
      <c r="D204" s="22" t="n">
        <v>-275</v>
      </c>
      <c r="H204" s="22" t="n">
        <v>-1373</v>
      </c>
      <c r="L204" s="22" t="n">
        <v>-1309</v>
      </c>
      <c r="O204" s="22" t="n">
        <v>-475</v>
      </c>
      <c r="P204" s="22" t="n">
        <v>-279</v>
      </c>
      <c r="Q204" s="22" t="n">
        <v>-297</v>
      </c>
      <c r="R204" s="22" t="n">
        <v>-1601</v>
      </c>
      <c r="S204" s="22" t="n">
        <v>-198</v>
      </c>
      <c r="T204" s="22" t="n">
        <v>-1109</v>
      </c>
      <c r="U204" s="22" t="n">
        <v>-593</v>
      </c>
      <c r="V204" s="22" t="n">
        <v>-275</v>
      </c>
      <c r="W204" s="22" t="n">
        <v>-1373</v>
      </c>
      <c r="X204" s="22" t="n">
        <v>-1309</v>
      </c>
    </row>
    <row r="205">
      <c r="A205" s="20" t="inlineStr">
        <is>
          <t>투자유가증권 매각·상환 수입</t>
        </is>
      </c>
      <c r="D205" s="22" t="n">
        <v>142</v>
      </c>
      <c r="H205" s="22" t="n">
        <v>23</v>
      </c>
      <c r="L205" s="22" t="n">
        <v>181</v>
      </c>
      <c r="O205" s="22" t="n">
        <v>227</v>
      </c>
      <c r="P205" s="22" t="n">
        <v>242</v>
      </c>
      <c r="Q205" s="22" t="n">
        <v>259</v>
      </c>
      <c r="R205" s="22" t="n">
        <v>1484</v>
      </c>
      <c r="S205" s="22" t="n">
        <v>124</v>
      </c>
      <c r="T205" s="22" t="n">
        <v>382</v>
      </c>
      <c r="U205" s="22" t="n">
        <v>769</v>
      </c>
      <c r="V205" s="22" t="n">
        <v>142</v>
      </c>
      <c r="W205" s="22" t="n">
        <v>23</v>
      </c>
      <c r="X205" s="22" t="n">
        <v>181</v>
      </c>
    </row>
    <row r="206">
      <c r="A206" s="20" t="inlineStr">
        <is>
          <t>유형자산 취득(설비투자)</t>
        </is>
      </c>
      <c r="D206" s="22" t="n">
        <v>-64</v>
      </c>
      <c r="H206" s="22" t="n">
        <v>-54</v>
      </c>
      <c r="L206" s="22" t="n">
        <v>-51</v>
      </c>
      <c r="O206" s="22" t="n">
        <v>-8</v>
      </c>
      <c r="P206" s="22" t="n">
        <v>-31</v>
      </c>
      <c r="Q206" s="22" t="n">
        <v>-31</v>
      </c>
      <c r="R206" s="22" t="n">
        <v>-5</v>
      </c>
      <c r="S206" s="22" t="n">
        <v>-35</v>
      </c>
      <c r="T206" s="22" t="n">
        <v>-30</v>
      </c>
      <c r="U206" s="22" t="n">
        <v>-64</v>
      </c>
      <c r="V206" s="22" t="n">
        <v>-64</v>
      </c>
      <c r="W206" s="22" t="n">
        <v>-54</v>
      </c>
      <c r="X206" s="22" t="n">
        <v>-51</v>
      </c>
    </row>
    <row r="207">
      <c r="A207" s="20" t="inlineStr">
        <is>
          <t>유형자산 매각</t>
        </is>
      </c>
      <c r="D207" s="22" t="n">
        <v>2</v>
      </c>
      <c r="H207" s="22" t="n">
        <v>0</v>
      </c>
      <c r="L207" s="22" t="n">
        <v>10</v>
      </c>
      <c r="O207" s="22" t="n">
        <v>0</v>
      </c>
      <c r="P207" s="22" t="n">
        <v>5</v>
      </c>
      <c r="Q207" s="22" t="n">
        <v>2</v>
      </c>
      <c r="R207" s="22" t="n">
        <v>0</v>
      </c>
      <c r="S207" s="22" t="n">
        <v>0</v>
      </c>
      <c r="T207" s="22" t="n">
        <v>0</v>
      </c>
      <c r="U207" s="22" t="n">
        <v>0</v>
      </c>
      <c r="V207" s="22" t="n">
        <v>2</v>
      </c>
      <c r="W207" s="22" t="n">
        <v>0</v>
      </c>
      <c r="X207" s="22" t="n">
        <v>10</v>
      </c>
    </row>
    <row r="208">
      <c r="A208" s="20" t="inlineStr">
        <is>
          <t>무형자산 취득</t>
        </is>
      </c>
      <c r="D208" s="22" t="n">
        <v>-231</v>
      </c>
      <c r="H208" s="22" t="n">
        <v>-292</v>
      </c>
      <c r="L208" s="22" t="n">
        <v>-40</v>
      </c>
      <c r="O208" s="22" t="n">
        <v>-1</v>
      </c>
      <c r="P208" s="22" t="n">
        <v>-7</v>
      </c>
      <c r="Q208" s="22" t="n">
        <v>-3</v>
      </c>
      <c r="R208" s="22" t="n">
        <v>-1</v>
      </c>
      <c r="S208" s="22" t="n">
        <v>-1</v>
      </c>
      <c r="T208" s="22" t="n">
        <v>-5</v>
      </c>
      <c r="U208" s="22" t="n">
        <v>-82</v>
      </c>
      <c r="V208" s="22" t="n">
        <v>-231</v>
      </c>
      <c r="W208" s="22" t="n">
        <v>-292</v>
      </c>
      <c r="X208" s="22" t="n">
        <v>-40</v>
      </c>
    </row>
    <row r="209">
      <c r="A209" s="20" t="inlineStr">
        <is>
          <t>골프회원권 매각</t>
        </is>
      </c>
      <c r="Q209" s="22" t="n">
        <v>0</v>
      </c>
      <c r="R209" s="22" t="n">
        <v>9</v>
      </c>
      <c r="S209" s="22" t="n">
        <v>0</v>
      </c>
    </row>
    <row r="210">
      <c r="A210" s="20" t="inlineStr">
        <is>
          <t>보험적립금 적립</t>
        </is>
      </c>
      <c r="D210" s="22" t="n">
        <v>-51</v>
      </c>
      <c r="H210" s="22" t="n">
        <v>-72</v>
      </c>
      <c r="L210" s="22" t="n">
        <v>-77</v>
      </c>
      <c r="O210" s="22" t="n">
        <v>-60</v>
      </c>
      <c r="P210" s="22" t="n">
        <v>-40</v>
      </c>
      <c r="Q210" s="22" t="n">
        <v>-40</v>
      </c>
      <c r="R210" s="22" t="n">
        <v>-40</v>
      </c>
      <c r="S210" s="22" t="n">
        <v>-50</v>
      </c>
      <c r="T210" s="22" t="n">
        <v>-71</v>
      </c>
      <c r="U210" s="22" t="n">
        <v>-61</v>
      </c>
      <c r="V210" s="22" t="n">
        <v>-51</v>
      </c>
      <c r="W210" s="22" t="n">
        <v>-72</v>
      </c>
      <c r="X210" s="22" t="n">
        <v>-77</v>
      </c>
    </row>
    <row r="211">
      <c r="A211" s="20" t="inlineStr">
        <is>
          <t>보험적립금 해약</t>
        </is>
      </c>
      <c r="D211" s="22" t="n">
        <v>27</v>
      </c>
      <c r="H211" s="22" t="n">
        <v>71</v>
      </c>
      <c r="L211" s="22" t="n">
        <v>79</v>
      </c>
      <c r="O211" s="22" t="n">
        <v>79</v>
      </c>
      <c r="P211" s="22" t="n">
        <v>52</v>
      </c>
      <c r="Q211" s="22" t="n">
        <v>0</v>
      </c>
      <c r="R211" s="22" t="n">
        <v>44</v>
      </c>
      <c r="S211" s="22" t="n">
        <v>0</v>
      </c>
      <c r="T211" s="22" t="n">
        <v>75</v>
      </c>
      <c r="U211" s="22" t="n">
        <v>60</v>
      </c>
      <c r="V211" s="22" t="n">
        <v>27</v>
      </c>
      <c r="W211" s="22" t="n">
        <v>71</v>
      </c>
      <c r="X211" s="22" t="n">
        <v>79</v>
      </c>
    </row>
    <row r="212">
      <c r="A212" s="20" t="inlineStr">
        <is>
          <t>연결범위 변경 자회사 주식 취득</t>
        </is>
      </c>
      <c r="D212" s="22" t="n">
        <v>0</v>
      </c>
      <c r="H212" s="22" t="n">
        <v>-22</v>
      </c>
      <c r="L212" s="22" t="n">
        <v>0</v>
      </c>
      <c r="V212" s="22" t="n">
        <v>0</v>
      </c>
      <c r="W212" s="22" t="n">
        <v>-22</v>
      </c>
      <c r="X212" s="22" t="n">
        <v>0</v>
      </c>
    </row>
    <row r="213">
      <c r="A213" s="20" t="inlineStr">
        <is>
          <t>기타</t>
        </is>
      </c>
      <c r="D213" s="22" t="n">
        <v>1</v>
      </c>
      <c r="H213" s="22" t="n">
        <v>-1</v>
      </c>
      <c r="L213" s="22" t="n">
        <v>1</v>
      </c>
      <c r="O213" s="22" t="n">
        <v>-0</v>
      </c>
      <c r="P213" s="22" t="n">
        <v>2</v>
      </c>
      <c r="Q213" s="22" t="n">
        <v>1</v>
      </c>
      <c r="R213" s="22" t="n">
        <v>-0</v>
      </c>
      <c r="S213" s="22" t="n">
        <v>-4</v>
      </c>
      <c r="T213" s="22" t="n">
        <v>-1</v>
      </c>
      <c r="U213" s="22" t="n">
        <v>-10</v>
      </c>
      <c r="V213" s="22" t="n">
        <v>1</v>
      </c>
      <c r="W213" s="22" t="n">
        <v>-1</v>
      </c>
      <c r="X213" s="22" t="n">
        <v>1</v>
      </c>
    </row>
    <row r="214">
      <c r="A214" s="9" t="inlineStr">
        <is>
          <t>투자활동 현금흐름</t>
        </is>
      </c>
      <c r="D214" s="12" t="n">
        <v>149</v>
      </c>
      <c r="H214" s="12" t="n">
        <v>-900</v>
      </c>
      <c r="L214" s="12" t="n">
        <v>-1402</v>
      </c>
      <c r="O214" s="12" t="n">
        <v>342</v>
      </c>
      <c r="P214" s="12" t="n">
        <v>-53</v>
      </c>
      <c r="Q214" s="12" t="n">
        <v>33</v>
      </c>
      <c r="R214" s="12" t="n">
        <v>-115</v>
      </c>
      <c r="S214" s="12" t="n">
        <v>30</v>
      </c>
      <c r="T214" s="12" t="n">
        <v>-825</v>
      </c>
      <c r="U214" s="12" t="n">
        <v>-117</v>
      </c>
      <c r="V214" s="12" t="n">
        <v>149</v>
      </c>
      <c r="W214" s="12" t="n">
        <v>-900</v>
      </c>
      <c r="X214" s="12" t="n">
        <v>-1402</v>
      </c>
    </row>
    <row r="215">
      <c r="A215" s="20" t="inlineStr">
        <is>
          <t>리스부채 상환</t>
        </is>
      </c>
      <c r="O215" s="22" t="n">
        <v>-24</v>
      </c>
      <c r="P215" s="22" t="n">
        <v>-24</v>
      </c>
      <c r="Q215" s="22" t="n">
        <v>-24</v>
      </c>
      <c r="R215" s="22" t="n">
        <v>-17</v>
      </c>
      <c r="S215" s="22" t="n">
        <v>0</v>
      </c>
    </row>
    <row r="216">
      <c r="A216" s="20" t="inlineStr">
        <is>
          <t>단기차입금 증감</t>
        </is>
      </c>
      <c r="H216" s="22" t="n">
        <v>0</v>
      </c>
      <c r="L216" s="22" t="n">
        <v>-40</v>
      </c>
      <c r="W216" s="22" t="n">
        <v>0</v>
      </c>
      <c r="X216" s="22" t="n">
        <v>-40</v>
      </c>
    </row>
    <row r="217">
      <c r="A217" s="20" t="inlineStr">
        <is>
          <t>장기차입금 상환</t>
        </is>
      </c>
      <c r="D217" s="22" t="n">
        <v>0</v>
      </c>
      <c r="H217" s="22" t="n">
        <v>-12</v>
      </c>
      <c r="L217" s="22" t="n">
        <v>-62</v>
      </c>
      <c r="V217" s="22" t="n">
        <v>0</v>
      </c>
      <c r="W217" s="22" t="n">
        <v>-12</v>
      </c>
      <c r="X217" s="22" t="n">
        <v>-62</v>
      </c>
    </row>
    <row r="218">
      <c r="A218" s="20" t="inlineStr">
        <is>
          <t>자기주식 취득</t>
        </is>
      </c>
      <c r="D218" s="22" t="n">
        <v>-140</v>
      </c>
      <c r="H218" s="22" t="n">
        <v>-99</v>
      </c>
      <c r="L218" s="22" t="n">
        <v>-599</v>
      </c>
      <c r="O218" s="22" t="n">
        <v>-0</v>
      </c>
      <c r="P218" s="22" t="n">
        <v>-0</v>
      </c>
      <c r="Q218" s="22" t="n">
        <v>0</v>
      </c>
      <c r="R218" s="22" t="n">
        <v>-0</v>
      </c>
      <c r="S218" s="22" t="n">
        <v>0</v>
      </c>
      <c r="T218" s="22" t="n">
        <v>-0</v>
      </c>
      <c r="U218" s="22" t="n">
        <v>-229</v>
      </c>
      <c r="V218" s="22" t="n">
        <v>-140</v>
      </c>
      <c r="W218" s="22" t="n">
        <v>-99</v>
      </c>
      <c r="X218" s="22" t="n">
        <v>-599</v>
      </c>
    </row>
    <row r="219">
      <c r="A219" s="20" t="inlineStr">
        <is>
          <t>배당금 지급</t>
        </is>
      </c>
      <c r="D219" s="22" t="n">
        <v>-551</v>
      </c>
      <c r="H219" s="22" t="n">
        <v>-382</v>
      </c>
      <c r="L219" s="22" t="n">
        <v>-391</v>
      </c>
      <c r="O219" s="22" t="n">
        <v>-0</v>
      </c>
      <c r="P219" s="22" t="n">
        <v>-111</v>
      </c>
      <c r="Q219" s="22" t="n">
        <v>-223</v>
      </c>
      <c r="R219" s="22" t="n">
        <v>-279</v>
      </c>
      <c r="S219" s="22" t="n">
        <v>-112</v>
      </c>
      <c r="T219" s="22" t="n">
        <v>-58</v>
      </c>
      <c r="U219" s="22" t="n">
        <v>-446</v>
      </c>
      <c r="V219" s="22" t="n">
        <v>-551</v>
      </c>
      <c r="W219" s="22" t="n">
        <v>-382</v>
      </c>
      <c r="X219" s="22" t="n">
        <v>-391</v>
      </c>
    </row>
    <row r="220">
      <c r="A220" s="20" t="inlineStr">
        <is>
          <t>비지배주주 배당금 지급</t>
        </is>
      </c>
      <c r="D220" s="22" t="n">
        <v>-0</v>
      </c>
      <c r="H220" s="22" t="n">
        <v>-0</v>
      </c>
      <c r="L220" s="22" t="n">
        <v>-0</v>
      </c>
      <c r="O220" s="22" t="n">
        <v>-0</v>
      </c>
      <c r="P220" s="22" t="n">
        <v>-0</v>
      </c>
      <c r="Q220" s="22" t="n">
        <v>-0</v>
      </c>
      <c r="R220" s="22" t="n">
        <v>-0</v>
      </c>
      <c r="S220" s="22" t="n">
        <v>0</v>
      </c>
      <c r="T220" s="22" t="n">
        <v>0</v>
      </c>
      <c r="U220" s="22" t="n">
        <v>-0</v>
      </c>
      <c r="V220" s="22" t="n">
        <v>-0</v>
      </c>
      <c r="W220" s="22" t="n">
        <v>-0</v>
      </c>
      <c r="X220" s="22" t="n">
        <v>-0</v>
      </c>
    </row>
    <row r="221">
      <c r="A221" s="9" t="inlineStr">
        <is>
          <t>재무활동 현금흐름</t>
        </is>
      </c>
      <c r="D221" s="12" t="n">
        <v>-691</v>
      </c>
      <c r="H221" s="12" t="n">
        <v>-495</v>
      </c>
      <c r="L221" s="12" t="n">
        <v>-1094</v>
      </c>
      <c r="O221" s="12" t="n">
        <v>-25</v>
      </c>
      <c r="P221" s="12" t="n">
        <v>-136</v>
      </c>
      <c r="Q221" s="12" t="n">
        <v>-248</v>
      </c>
      <c r="R221" s="12" t="n">
        <v>-296</v>
      </c>
      <c r="S221" s="12" t="n">
        <v>-112</v>
      </c>
      <c r="T221" s="12" t="n">
        <v>-58</v>
      </c>
      <c r="U221" s="12" t="n">
        <v>-676</v>
      </c>
      <c r="V221" s="12" t="n">
        <v>-691</v>
      </c>
      <c r="W221" s="12" t="n">
        <v>-495</v>
      </c>
      <c r="X221" s="12" t="n">
        <v>-1094</v>
      </c>
    </row>
    <row r="222">
      <c r="A222" s="20" t="inlineStr">
        <is>
          <t>현금성자산 환산차이</t>
        </is>
      </c>
      <c r="D222" s="22" t="n">
        <v>224</v>
      </c>
      <c r="H222" s="22" t="n">
        <v>89</v>
      </c>
      <c r="L222" s="22" t="n">
        <v>135</v>
      </c>
      <c r="O222" s="22" t="n">
        <v>-58</v>
      </c>
      <c r="P222" s="22" t="n">
        <v>3</v>
      </c>
      <c r="Q222" s="22" t="n">
        <v>46</v>
      </c>
      <c r="R222" s="22" t="n">
        <v>-14</v>
      </c>
      <c r="S222" s="22" t="n">
        <v>11</v>
      </c>
      <c r="T222" s="22" t="n">
        <v>156</v>
      </c>
      <c r="U222" s="22" t="n">
        <v>163</v>
      </c>
      <c r="V222" s="22" t="n">
        <v>224</v>
      </c>
      <c r="W222" s="22" t="n">
        <v>89</v>
      </c>
      <c r="X222" s="22" t="n">
        <v>135</v>
      </c>
    </row>
    <row r="223">
      <c r="A223" s="20" t="inlineStr">
        <is>
          <t>현금성자산 증감</t>
        </is>
      </c>
      <c r="D223" s="22" t="n">
        <v>554</v>
      </c>
      <c r="H223" s="22" t="n">
        <v>461</v>
      </c>
      <c r="L223" s="22" t="n">
        <v>-897</v>
      </c>
      <c r="O223" s="22" t="n">
        <v>-102</v>
      </c>
      <c r="P223" s="22" t="n">
        <v>-660</v>
      </c>
      <c r="Q223" s="22" t="n">
        <v>812</v>
      </c>
      <c r="R223" s="22" t="n">
        <v>50</v>
      </c>
      <c r="S223" s="22" t="n">
        <v>472</v>
      </c>
      <c r="T223" s="22" t="n">
        <v>-845</v>
      </c>
      <c r="U223" s="22" t="n">
        <v>814</v>
      </c>
      <c r="V223" s="22" t="n">
        <v>554</v>
      </c>
      <c r="W223" s="22" t="n">
        <v>461</v>
      </c>
      <c r="X223" s="22" t="n">
        <v>-897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테섹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9159</v>
      </c>
      <c r="D5" s="12" t="n">
        <v>9389</v>
      </c>
      <c r="E5" s="12" t="n">
        <v>9076</v>
      </c>
      <c r="F5" s="12" t="n">
        <v>8834</v>
      </c>
      <c r="G5" s="12" t="n">
        <v>8981</v>
      </c>
      <c r="H5" s="11" t="n">
        <v>8033</v>
      </c>
      <c r="I5" s="12" t="n">
        <v>9903</v>
      </c>
      <c r="J5" s="12" t="n">
        <v>11208</v>
      </c>
      <c r="K5" s="12" t="n">
        <v>9300</v>
      </c>
      <c r="L5" s="12" t="n">
        <v>9076</v>
      </c>
    </row>
    <row r="6">
      <c r="A6" s="20" t="inlineStr">
        <is>
          <t>현금및현금성자산</t>
        </is>
      </c>
      <c r="B6" s="10" t="n"/>
      <c r="C6" s="21" t="n">
        <v>4441</v>
      </c>
      <c r="D6" s="22" t="n">
        <v>4017</v>
      </c>
      <c r="E6" s="22" t="n">
        <v>3499</v>
      </c>
      <c r="F6" s="22" t="n">
        <v>3218</v>
      </c>
      <c r="G6" s="22" t="n">
        <v>3680</v>
      </c>
      <c r="H6" s="21" t="n">
        <v>2489</v>
      </c>
      <c r="I6" s="22" t="n">
        <v>3136</v>
      </c>
      <c r="J6" s="22" t="n">
        <v>3858</v>
      </c>
      <c r="K6" s="22" t="n">
        <v>4352</v>
      </c>
      <c r="L6" s="22" t="n">
        <v>3499</v>
      </c>
    </row>
    <row r="7">
      <c r="A7" s="20" t="inlineStr">
        <is>
          <t>단기금융상품</t>
        </is>
      </c>
      <c r="B7" s="10" t="n"/>
      <c r="C7" s="21" t="n">
        <v>991</v>
      </c>
      <c r="D7" s="22" t="n">
        <v>1248</v>
      </c>
      <c r="E7" s="22" t="n">
        <v>1734</v>
      </c>
      <c r="F7" s="22" t="n">
        <v>1808</v>
      </c>
      <c r="G7" s="22" t="n">
        <v>1455</v>
      </c>
      <c r="H7" s="21" t="n">
        <v>122</v>
      </c>
      <c r="I7" s="22" t="n">
        <v>725</v>
      </c>
      <c r="J7" s="22" t="n">
        <v>832</v>
      </c>
      <c r="K7" s="22" t="n">
        <v>198</v>
      </c>
      <c r="L7" s="22" t="n">
        <v>1734</v>
      </c>
    </row>
    <row r="8">
      <c r="A8" s="20" t="inlineStr">
        <is>
          <t>매출채권</t>
        </is>
      </c>
      <c r="B8" s="10" t="n"/>
      <c r="C8" s="21" t="n">
        <v>1210</v>
      </c>
      <c r="D8" s="22" t="n">
        <v>1461</v>
      </c>
      <c r="E8" s="22" t="n">
        <v>1386</v>
      </c>
      <c r="F8" s="22" t="n">
        <v>1123</v>
      </c>
      <c r="G8" s="22" t="n">
        <v>1183</v>
      </c>
      <c r="H8" s="21" t="n">
        <v>2603</v>
      </c>
      <c r="I8" s="22" t="n">
        <v>1891</v>
      </c>
      <c r="J8" s="22" t="n">
        <v>1974</v>
      </c>
      <c r="K8" s="22" t="n">
        <v>1782</v>
      </c>
      <c r="L8" s="22" t="n">
        <v>1386</v>
      </c>
    </row>
    <row r="9">
      <c r="A9" s="20" t="inlineStr">
        <is>
          <t>재고자산</t>
        </is>
      </c>
      <c r="B9" s="10" t="n"/>
      <c r="C9" s="21" t="n">
        <v>2354</v>
      </c>
      <c r="D9" s="22" t="n">
        <v>2368</v>
      </c>
      <c r="E9" s="22" t="n">
        <v>2190</v>
      </c>
      <c r="F9" s="22" t="n">
        <v>2277</v>
      </c>
      <c r="G9" s="22" t="n">
        <v>2372</v>
      </c>
      <c r="H9" s="21" t="n">
        <v>2260</v>
      </c>
      <c r="I9" s="22" t="n">
        <v>3600</v>
      </c>
      <c r="J9" s="22" t="n">
        <v>3717</v>
      </c>
      <c r="K9" s="22" t="n">
        <v>2757</v>
      </c>
      <c r="L9" s="22" t="n">
        <v>2190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6237</v>
      </c>
      <c r="D11" s="12" t="n">
        <v>6547</v>
      </c>
      <c r="E11" s="12" t="n">
        <v>6820</v>
      </c>
      <c r="F11" s="12" t="n">
        <v>7722</v>
      </c>
      <c r="G11" s="12" t="n">
        <v>7515</v>
      </c>
      <c r="H11" s="11" t="n">
        <v>4857</v>
      </c>
      <c r="I11" s="12" t="n">
        <v>4433</v>
      </c>
      <c r="J11" s="12" t="n">
        <v>4952</v>
      </c>
      <c r="K11" s="12" t="n">
        <v>6174</v>
      </c>
      <c r="L11" s="12" t="n">
        <v>6820</v>
      </c>
    </row>
    <row r="12">
      <c r="A12" s="20" t="inlineStr">
        <is>
          <t>유형자산</t>
        </is>
      </c>
      <c r="B12" s="10" t="n"/>
      <c r="C12" s="21" t="n">
        <v>1832</v>
      </c>
      <c r="D12" s="22" t="n">
        <v>1830</v>
      </c>
      <c r="E12" s="22" t="n">
        <v>1834</v>
      </c>
      <c r="F12" s="22" t="n">
        <v>1828</v>
      </c>
      <c r="G12" s="22" t="n">
        <v>1828</v>
      </c>
      <c r="H12" s="21" t="n">
        <v>1547</v>
      </c>
      <c r="I12" s="22" t="n">
        <v>1488</v>
      </c>
      <c r="J12" s="22" t="n">
        <v>1506</v>
      </c>
      <c r="K12" s="22" t="n">
        <v>1840</v>
      </c>
      <c r="L12" s="22" t="n">
        <v>1834</v>
      </c>
    </row>
    <row r="13">
      <c r="A13" s="20" t="inlineStr">
        <is>
          <t>무형자산</t>
        </is>
      </c>
      <c r="B13" s="10" t="n"/>
      <c r="C13" s="21" t="n">
        <v>525</v>
      </c>
      <c r="D13" s="22" t="n">
        <v>513</v>
      </c>
      <c r="E13" s="22" t="n">
        <v>532</v>
      </c>
      <c r="F13" s="22" t="n">
        <v>532</v>
      </c>
      <c r="G13" s="22" t="n">
        <v>532</v>
      </c>
      <c r="H13" s="21" t="n">
        <v>19</v>
      </c>
      <c r="I13" s="22" t="n">
        <v>86</v>
      </c>
      <c r="J13" s="22" t="n">
        <v>430</v>
      </c>
      <c r="K13" s="22" t="n">
        <v>539</v>
      </c>
      <c r="L13" s="22" t="n">
        <v>532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15397</v>
      </c>
      <c r="D16" s="12" t="n">
        <v>15936</v>
      </c>
      <c r="E16" s="12" t="n">
        <v>15896</v>
      </c>
      <c r="F16" s="12" t="n">
        <v>16556</v>
      </c>
      <c r="G16" s="12" t="n">
        <v>16496</v>
      </c>
      <c r="H16" s="11" t="n">
        <v>12890</v>
      </c>
      <c r="I16" s="12" t="n">
        <v>14337</v>
      </c>
      <c r="J16" s="12" t="n">
        <v>16161</v>
      </c>
      <c r="K16" s="12" t="n">
        <v>15474</v>
      </c>
      <c r="L16" s="12" t="n">
        <v>15896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846</v>
      </c>
      <c r="D18" s="12" t="n">
        <v>904</v>
      </c>
      <c r="E18" s="12" t="n">
        <v>1032</v>
      </c>
      <c r="F18" s="12" t="n">
        <v>1406</v>
      </c>
      <c r="G18" s="12" t="n">
        <v>1556</v>
      </c>
      <c r="H18" s="11" t="n">
        <v>1395</v>
      </c>
      <c r="I18" s="12" t="n">
        <v>1391</v>
      </c>
      <c r="J18" s="12" t="n">
        <v>1368</v>
      </c>
      <c r="K18" s="12" t="n">
        <v>834</v>
      </c>
      <c r="L18" s="12" t="n">
        <v>1032</v>
      </c>
    </row>
    <row r="19">
      <c r="A19" s="20" t="inlineStr">
        <is>
          <t>매입채무</t>
        </is>
      </c>
      <c r="B19" s="10" t="n"/>
      <c r="C19" s="21" t="n">
        <v>99</v>
      </c>
      <c r="D19" s="22" t="n">
        <v>235</v>
      </c>
      <c r="E19" s="22" t="n">
        <v>216</v>
      </c>
      <c r="F19" s="22" t="n">
        <v>455</v>
      </c>
      <c r="G19" s="22" t="n">
        <v>397</v>
      </c>
      <c r="H19" s="21" t="n">
        <v>315</v>
      </c>
      <c r="I19" s="22" t="n">
        <v>387</v>
      </c>
      <c r="J19" s="22" t="n">
        <v>151</v>
      </c>
      <c r="K19" s="22" t="n">
        <v>74</v>
      </c>
      <c r="L19" s="22" t="n">
        <v>216</v>
      </c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/>
      <c r="G20" s="22" t="n"/>
      <c r="H20" s="21" t="n"/>
      <c r="I20" s="22" t="n"/>
      <c r="J20" s="22" t="n">
        <v>0</v>
      </c>
      <c r="K20" s="22" t="n">
        <v>40</v>
      </c>
      <c r="L20" s="22" t="n">
        <v>0</v>
      </c>
    </row>
    <row r="21">
      <c r="A21" s="20" t="inlineStr">
        <is>
          <t>유동성장기부채</t>
        </is>
      </c>
      <c r="B21" s="10" t="n"/>
      <c r="C21" s="21" t="n">
        <v>44</v>
      </c>
      <c r="D21" s="22" t="n">
        <v>44</v>
      </c>
      <c r="E21" s="22" t="n">
        <v>44</v>
      </c>
      <c r="F21" s="22" t="n">
        <v>43</v>
      </c>
      <c r="G21" s="22" t="n">
        <v>41</v>
      </c>
      <c r="H21" s="21" t="n"/>
      <c r="I21" s="22" t="n"/>
      <c r="J21" s="22" t="n">
        <v>0</v>
      </c>
      <c r="K21" s="22" t="n">
        <v>47</v>
      </c>
      <c r="L21" s="22" t="n">
        <v>44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565</v>
      </c>
      <c r="D23" s="12" t="n">
        <v>723</v>
      </c>
      <c r="E23" s="12" t="n">
        <v>663</v>
      </c>
      <c r="F23" s="12" t="n">
        <v>838</v>
      </c>
      <c r="G23" s="12" t="n">
        <v>740</v>
      </c>
      <c r="H23" s="11" t="n">
        <v>195</v>
      </c>
      <c r="I23" s="12" t="n">
        <v>37</v>
      </c>
      <c r="J23" s="12" t="n">
        <v>315</v>
      </c>
      <c r="K23" s="12" t="n">
        <v>475</v>
      </c>
      <c r="L23" s="12" t="n">
        <v>663</v>
      </c>
    </row>
    <row r="24">
      <c r="A24" s="20" t="inlineStr">
        <is>
          <t>장기차입금</t>
        </is>
      </c>
      <c r="B24" s="10" t="n"/>
      <c r="C24" s="21" t="n">
        <v>239</v>
      </c>
      <c r="D24" s="22" t="n">
        <v>227</v>
      </c>
      <c r="E24" s="22" t="n">
        <v>216</v>
      </c>
      <c r="F24" s="22" t="n">
        <v>207</v>
      </c>
      <c r="G24" s="22" t="n">
        <v>197</v>
      </c>
      <c r="H24" s="21" t="n"/>
      <c r="I24" s="22" t="n"/>
      <c r="J24" s="22" t="n">
        <v>0</v>
      </c>
      <c r="K24" s="22" t="n">
        <v>276</v>
      </c>
      <c r="L24" s="22" t="n">
        <v>216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1411</v>
      </c>
      <c r="D27" s="12" t="n">
        <v>1628</v>
      </c>
      <c r="E27" s="12" t="n">
        <v>1696</v>
      </c>
      <c r="F27" s="12" t="n">
        <v>2244</v>
      </c>
      <c r="G27" s="12" t="n">
        <v>2297</v>
      </c>
      <c r="H27" s="11" t="n">
        <v>1590</v>
      </c>
      <c r="I27" s="12" t="n">
        <v>1429</v>
      </c>
      <c r="J27" s="12" t="n">
        <v>1683</v>
      </c>
      <c r="K27" s="12" t="n">
        <v>1309</v>
      </c>
      <c r="L27" s="12" t="n">
        <v>1696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13984</v>
      </c>
      <c r="D31" s="12" t="n">
        <v>14307</v>
      </c>
      <c r="E31" s="12" t="n">
        <v>14199</v>
      </c>
      <c r="F31" s="12" t="n">
        <v>14311</v>
      </c>
      <c r="G31" s="12" t="n">
        <v>14197</v>
      </c>
      <c r="H31" s="11" t="n">
        <v>11299</v>
      </c>
      <c r="I31" s="12" t="n">
        <v>12906</v>
      </c>
      <c r="J31" s="12" t="n">
        <v>14476</v>
      </c>
      <c r="K31" s="12" t="n">
        <v>14164</v>
      </c>
      <c r="L31" s="12" t="n">
        <v>14199</v>
      </c>
    </row>
    <row r="32">
      <c r="A32" s="20" t="inlineStr">
        <is>
          <t>자본금</t>
        </is>
      </c>
      <c r="B32" s="10" t="n"/>
      <c r="C32" s="21" t="n">
        <v>2521</v>
      </c>
      <c r="D32" s="22" t="n">
        <v>2521</v>
      </c>
      <c r="E32" s="22" t="n">
        <v>2521</v>
      </c>
      <c r="F32" s="22" t="n">
        <v>2521</v>
      </c>
      <c r="G32" s="22" t="n">
        <v>2521</v>
      </c>
      <c r="H32" s="21" t="n">
        <v>2521</v>
      </c>
      <c r="I32" s="22" t="n">
        <v>2521</v>
      </c>
      <c r="J32" s="22" t="n">
        <v>2521</v>
      </c>
      <c r="K32" s="22" t="n">
        <v>2521</v>
      </c>
      <c r="L32" s="22" t="n">
        <v>2521</v>
      </c>
    </row>
    <row r="33">
      <c r="A33" s="20" t="inlineStr">
        <is>
          <t>이익잉여금</t>
        </is>
      </c>
      <c r="B33" s="10" t="n"/>
      <c r="C33" s="21" t="n">
        <v>7810</v>
      </c>
      <c r="D33" s="22" t="n">
        <v>7500</v>
      </c>
      <c r="E33" s="22" t="n">
        <v>7676</v>
      </c>
      <c r="F33" s="22" t="n">
        <v>7616</v>
      </c>
      <c r="G33" s="22" t="n">
        <v>7803</v>
      </c>
      <c r="H33" s="21" t="n">
        <v>5178</v>
      </c>
      <c r="I33" s="22" t="n">
        <v>6982</v>
      </c>
      <c r="J33" s="22" t="n">
        <v>7939</v>
      </c>
      <c r="K33" s="22" t="n">
        <v>7979</v>
      </c>
      <c r="L33" s="22" t="n">
        <v>7676</v>
      </c>
    </row>
    <row r="34">
      <c r="A34" s="20" t="inlineStr">
        <is>
          <t>비지배지분</t>
        </is>
      </c>
      <c r="B34" s="10" t="n"/>
      <c r="C34" s="21" t="n">
        <v>1</v>
      </c>
      <c r="D34" s="22" t="n">
        <v>1</v>
      </c>
      <c r="E34" s="22" t="n">
        <v>1</v>
      </c>
      <c r="F34" s="22" t="n">
        <v>1</v>
      </c>
      <c r="G34" s="22" t="n">
        <v>1</v>
      </c>
      <c r="H34" s="21" t="n">
        <v>1</v>
      </c>
      <c r="I34" s="22" t="n">
        <v>1</v>
      </c>
      <c r="J34" s="22" t="n">
        <v>1</v>
      </c>
      <c r="K34" s="22" t="n">
        <v>1</v>
      </c>
      <c r="L34" s="22" t="n">
        <v>1</v>
      </c>
    </row>
    <row r="35">
      <c r="A35" s="9" t="inlineStr">
        <is>
          <t>자본총계</t>
        </is>
      </c>
      <c r="B35" s="10" t="n"/>
      <c r="C35" s="11" t="n">
        <v>13985</v>
      </c>
      <c r="D35" s="12" t="n">
        <v>14308</v>
      </c>
      <c r="E35" s="12" t="n">
        <v>14200</v>
      </c>
      <c r="F35" s="12" t="n">
        <v>14312</v>
      </c>
      <c r="G35" s="12" t="n">
        <v>14198</v>
      </c>
      <c r="H35" s="11" t="n">
        <v>11300</v>
      </c>
      <c r="I35" s="12" t="n">
        <v>12907</v>
      </c>
      <c r="J35" s="12" t="n">
        <v>14477</v>
      </c>
      <c r="K35" s="12" t="n">
        <v>14165</v>
      </c>
      <c r="L35" s="12" t="n">
        <v>14200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1464</v>
      </c>
      <c r="F37" s="12" t="n"/>
      <c r="G37" s="12" t="n"/>
      <c r="H37" s="11" t="n">
        <v>-117</v>
      </c>
      <c r="I37" s="12" t="n">
        <v>1445</v>
      </c>
      <c r="J37" s="12" t="n">
        <v>871</v>
      </c>
      <c r="K37" s="12" t="n">
        <v>1767</v>
      </c>
      <c r="L37" s="12" t="n">
        <v>1464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91</v>
      </c>
      <c r="F38" s="22" t="n"/>
      <c r="G38" s="22" t="n"/>
      <c r="H38" s="21" t="n">
        <v>35</v>
      </c>
      <c r="I38" s="22" t="n">
        <v>146</v>
      </c>
      <c r="J38" s="22" t="n">
        <v>295</v>
      </c>
      <c r="K38" s="22" t="n">
        <v>346</v>
      </c>
      <c r="L38" s="22" t="n">
        <v>91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>
        <v>391</v>
      </c>
      <c r="F40" s="22" t="n"/>
      <c r="G40" s="22" t="n"/>
      <c r="H40" s="21" t="n">
        <v>58</v>
      </c>
      <c r="I40" s="22" t="n">
        <v>446</v>
      </c>
      <c r="J40" s="22" t="n">
        <v>551</v>
      </c>
      <c r="K40" s="22" t="n">
        <v>382</v>
      </c>
      <c r="L40" s="22" t="n">
        <v>391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4441</v>
      </c>
      <c r="D71" s="22" t="n">
        <v>4017</v>
      </c>
      <c r="E71" s="22" t="n">
        <v>3499</v>
      </c>
      <c r="F71" s="22" t="n">
        <v>3218</v>
      </c>
      <c r="G71" s="22" t="n">
        <v>3680</v>
      </c>
      <c r="H71" s="22" t="n">
        <v>2489</v>
      </c>
      <c r="I71" s="22" t="n">
        <v>3136</v>
      </c>
      <c r="J71" s="22" t="n">
        <v>3858</v>
      </c>
      <c r="K71" s="22" t="n">
        <v>4352</v>
      </c>
      <c r="L71" s="22" t="n">
        <v>3499</v>
      </c>
    </row>
    <row r="72">
      <c r="A72" s="20" t="inlineStr">
        <is>
          <t>받을어음</t>
        </is>
      </c>
      <c r="H72" s="22" t="n">
        <v>221</v>
      </c>
      <c r="I72" s="22" t="n">
        <v>2</v>
      </c>
      <c r="J72" s="22" t="n">
        <v>7</v>
      </c>
      <c r="K72" s="22" t="n">
        <v>0</v>
      </c>
    </row>
    <row r="73">
      <c r="A73" s="20" t="inlineStr">
        <is>
          <t>받을어음·매출채권</t>
        </is>
      </c>
      <c r="C73" s="22" t="n">
        <v>1210</v>
      </c>
      <c r="D73" s="22" t="n">
        <v>1461</v>
      </c>
      <c r="E73" s="22" t="n">
        <v>1386</v>
      </c>
      <c r="F73" s="22" t="n">
        <v>1123</v>
      </c>
      <c r="H73" s="22" t="n">
        <v>2824</v>
      </c>
      <c r="I73" s="22" t="n">
        <v>1914</v>
      </c>
      <c r="J73" s="22" t="n">
        <v>1982</v>
      </c>
      <c r="K73" s="22" t="n">
        <v>1782</v>
      </c>
      <c r="L73" s="22" t="n">
        <v>1386</v>
      </c>
    </row>
    <row r="74">
      <c r="A74" s="20" t="inlineStr">
        <is>
          <t>매출채권</t>
        </is>
      </c>
      <c r="E74" s="22" t="n">
        <v>1386</v>
      </c>
      <c r="G74" s="22" t="n">
        <v>1183</v>
      </c>
      <c r="H74" s="22" t="n">
        <v>2603</v>
      </c>
      <c r="I74" s="22" t="n">
        <v>1891</v>
      </c>
      <c r="J74" s="22" t="n">
        <v>1974</v>
      </c>
      <c r="K74" s="22" t="n">
        <v>1782</v>
      </c>
      <c r="L74" s="22" t="n">
        <v>1386</v>
      </c>
    </row>
    <row r="75">
      <c r="A75" s="20" t="inlineStr">
        <is>
          <t>전자기록채권</t>
        </is>
      </c>
      <c r="C75" s="22" t="n">
        <v>13</v>
      </c>
      <c r="D75" s="22" t="n">
        <v>107</v>
      </c>
      <c r="E75" s="22" t="n">
        <v>59</v>
      </c>
      <c r="F75" s="22" t="n">
        <v>8</v>
      </c>
      <c r="G75" s="22" t="n">
        <v>3</v>
      </c>
      <c r="I75" s="22" t="n">
        <v>20</v>
      </c>
      <c r="J75" s="22" t="n">
        <v>438</v>
      </c>
      <c r="K75" s="22" t="n">
        <v>69</v>
      </c>
      <c r="L75" s="22" t="n">
        <v>59</v>
      </c>
    </row>
    <row r="76">
      <c r="A76" s="20" t="inlineStr">
        <is>
          <t>유가증권</t>
        </is>
      </c>
      <c r="C76" s="22" t="n">
        <v>991</v>
      </c>
      <c r="D76" s="22" t="n">
        <v>1248</v>
      </c>
      <c r="E76" s="22" t="n">
        <v>1734</v>
      </c>
      <c r="F76" s="22" t="n">
        <v>1808</v>
      </c>
      <c r="G76" s="22" t="n">
        <v>1455</v>
      </c>
      <c r="H76" s="22" t="n">
        <v>122</v>
      </c>
      <c r="I76" s="22" t="n">
        <v>725</v>
      </c>
      <c r="J76" s="22" t="n">
        <v>832</v>
      </c>
      <c r="K76" s="22" t="n">
        <v>198</v>
      </c>
      <c r="L76" s="22" t="n">
        <v>1734</v>
      </c>
    </row>
    <row r="77">
      <c r="A77" s="20" t="inlineStr">
        <is>
          <t>금전신탁</t>
        </is>
      </c>
      <c r="E77" s="22" t="n">
        <v>1</v>
      </c>
      <c r="F77" s="22" t="n">
        <v>0</v>
      </c>
      <c r="G77" s="22" t="n">
        <v>0</v>
      </c>
      <c r="K77" s="22" t="n">
        <v>0</v>
      </c>
      <c r="L77" s="22" t="n">
        <v>1</v>
      </c>
    </row>
    <row r="78">
      <c r="A78" s="20" t="inlineStr">
        <is>
          <t>제품</t>
        </is>
      </c>
      <c r="C78" s="22" t="n">
        <v>186</v>
      </c>
      <c r="D78" s="22" t="n">
        <v>156</v>
      </c>
      <c r="E78" s="22" t="n">
        <v>134</v>
      </c>
      <c r="F78" s="22" t="n">
        <v>229</v>
      </c>
      <c r="G78" s="22" t="n">
        <v>133</v>
      </c>
      <c r="H78" s="22" t="n">
        <v>221</v>
      </c>
      <c r="I78" s="22" t="n">
        <v>296</v>
      </c>
      <c r="J78" s="22" t="n">
        <v>202</v>
      </c>
      <c r="K78" s="22" t="n">
        <v>131</v>
      </c>
      <c r="L78" s="22" t="n">
        <v>134</v>
      </c>
    </row>
    <row r="79">
      <c r="A79" s="20" t="inlineStr">
        <is>
          <t>재공품</t>
        </is>
      </c>
      <c r="C79" s="22" t="n">
        <v>1510</v>
      </c>
      <c r="D79" s="22" t="n">
        <v>1595</v>
      </c>
      <c r="E79" s="22" t="n">
        <v>1494</v>
      </c>
      <c r="F79" s="22" t="n">
        <v>1493</v>
      </c>
      <c r="G79" s="22" t="n">
        <v>1762</v>
      </c>
      <c r="H79" s="22" t="n">
        <v>1586</v>
      </c>
      <c r="I79" s="22" t="n">
        <v>2602</v>
      </c>
      <c r="J79" s="22" t="n">
        <v>2693</v>
      </c>
      <c r="K79" s="22" t="n">
        <v>1840</v>
      </c>
      <c r="L79" s="22" t="n">
        <v>1494</v>
      </c>
    </row>
    <row r="80">
      <c r="A80" s="20" t="inlineStr">
        <is>
          <t>원재료</t>
        </is>
      </c>
      <c r="C80" s="22" t="n">
        <v>658</v>
      </c>
      <c r="D80" s="22" t="n">
        <v>617</v>
      </c>
      <c r="E80" s="22" t="n">
        <v>562</v>
      </c>
      <c r="F80" s="22" t="n">
        <v>555</v>
      </c>
      <c r="G80" s="22" t="n">
        <v>477</v>
      </c>
      <c r="H80" s="22" t="n">
        <v>453</v>
      </c>
      <c r="I80" s="22" t="n">
        <v>702</v>
      </c>
      <c r="J80" s="22" t="n">
        <v>822</v>
      </c>
      <c r="K80" s="22" t="n">
        <v>786</v>
      </c>
      <c r="L80" s="22" t="n">
        <v>562</v>
      </c>
    </row>
    <row r="81">
      <c r="A81" s="20" t="inlineStr">
        <is>
          <t>미수 환급법인세</t>
        </is>
      </c>
      <c r="C81" s="22" t="n">
        <v>13</v>
      </c>
      <c r="D81" s="22" t="n">
        <v>12</v>
      </c>
      <c r="E81" s="22" t="n">
        <v>17</v>
      </c>
      <c r="F81" s="22" t="n">
        <v>17</v>
      </c>
      <c r="G81" s="22" t="n">
        <v>16</v>
      </c>
      <c r="H81" s="22" t="n">
        <v>0</v>
      </c>
      <c r="J81" s="22" t="n">
        <v>0</v>
      </c>
      <c r="K81" s="22" t="n">
        <v>34</v>
      </c>
      <c r="L81" s="22" t="n">
        <v>17</v>
      </c>
    </row>
    <row r="82">
      <c r="A82" s="20" t="inlineStr">
        <is>
          <t>미수 소비세</t>
        </is>
      </c>
      <c r="C82" s="22" t="n">
        <v>7</v>
      </c>
      <c r="D82" s="22" t="n">
        <v>54</v>
      </c>
      <c r="E82" s="22" t="n">
        <v>104</v>
      </c>
      <c r="F82" s="22" t="n">
        <v>80</v>
      </c>
      <c r="G82" s="22" t="n">
        <v>152</v>
      </c>
      <c r="H82" s="22" t="n">
        <v>242</v>
      </c>
      <c r="I82" s="22" t="n">
        <v>380</v>
      </c>
      <c r="J82" s="22" t="n">
        <v>256</v>
      </c>
      <c r="K82" s="22" t="n">
        <v>0</v>
      </c>
      <c r="L82" s="22" t="n">
        <v>104</v>
      </c>
    </row>
    <row r="83">
      <c r="A83" s="20" t="inlineStr">
        <is>
          <t>기타</t>
        </is>
      </c>
      <c r="C83" s="22" t="n">
        <v>133</v>
      </c>
      <c r="D83" s="22" t="n">
        <v>140</v>
      </c>
      <c r="E83" s="22" t="n">
        <v>103</v>
      </c>
      <c r="F83" s="22" t="n">
        <v>319</v>
      </c>
      <c r="G83" s="22" t="n">
        <v>138</v>
      </c>
      <c r="H83" s="22" t="n">
        <v>94</v>
      </c>
      <c r="I83" s="22" t="n">
        <v>147</v>
      </c>
      <c r="J83" s="22" t="n">
        <v>124</v>
      </c>
      <c r="K83" s="22" t="n">
        <v>108</v>
      </c>
      <c r="L83" s="22" t="n">
        <v>103</v>
      </c>
    </row>
    <row r="84">
      <c r="A84" s="20" t="inlineStr">
        <is>
          <t>대손충당금</t>
        </is>
      </c>
      <c r="C84" s="22" t="n">
        <v>-8</v>
      </c>
      <c r="D84" s="22" t="n">
        <v>-22</v>
      </c>
      <c r="E84" s="22" t="n">
        <v>-22</v>
      </c>
      <c r="F84" s="22" t="n">
        <v>-21</v>
      </c>
      <c r="G84" s="22" t="n">
        <v>-22</v>
      </c>
      <c r="H84" s="22" t="n">
        <v>-1</v>
      </c>
      <c r="I84" s="22" t="n">
        <v>-1</v>
      </c>
      <c r="J84" s="22" t="n">
        <v>-2</v>
      </c>
      <c r="K84" s="22" t="n">
        <v>-4</v>
      </c>
      <c r="L84" s="22" t="n">
        <v>-22</v>
      </c>
    </row>
    <row r="85">
      <c r="A85" s="9" t="inlineStr">
        <is>
          <t>유동자산 합계</t>
        </is>
      </c>
      <c r="C85" s="12" t="n">
        <v>9159</v>
      </c>
      <c r="D85" s="12" t="n">
        <v>9389</v>
      </c>
      <c r="E85" s="12" t="n">
        <v>9076</v>
      </c>
      <c r="F85" s="12" t="n">
        <v>8834</v>
      </c>
      <c r="G85" s="12" t="n">
        <v>8981</v>
      </c>
      <c r="H85" s="12" t="n">
        <v>8033</v>
      </c>
      <c r="I85" s="12" t="n">
        <v>9903</v>
      </c>
      <c r="J85" s="12" t="n">
        <v>11208</v>
      </c>
      <c r="K85" s="12" t="n">
        <v>9300</v>
      </c>
      <c r="L85" s="12" t="n">
        <v>9076</v>
      </c>
    </row>
    <row r="86">
      <c r="A86" s="20" t="inlineStr">
        <is>
          <t>건물·구축물</t>
        </is>
      </c>
      <c r="C86" s="22" t="n">
        <v>2416</v>
      </c>
      <c r="D86" s="22" t="n">
        <v>2418</v>
      </c>
      <c r="E86" s="22" t="n">
        <v>2491</v>
      </c>
      <c r="F86" s="22" t="n">
        <v>2491</v>
      </c>
      <c r="G86" s="22" t="n">
        <v>2491</v>
      </c>
      <c r="H86" s="22" t="n">
        <v>2525</v>
      </c>
      <c r="I86" s="22" t="n">
        <v>2505</v>
      </c>
      <c r="J86" s="22" t="n">
        <v>2506</v>
      </c>
      <c r="K86" s="22" t="n">
        <v>2554</v>
      </c>
      <c r="L86" s="22" t="n">
        <v>2491</v>
      </c>
    </row>
    <row r="87">
      <c r="A87" s="20" t="inlineStr">
        <is>
          <t>감가상각누계액</t>
        </is>
      </c>
      <c r="C87" s="22" t="n">
        <v>-2104</v>
      </c>
      <c r="D87" s="22" t="n">
        <v>-2110</v>
      </c>
      <c r="E87" s="22" t="n">
        <v>-2187</v>
      </c>
      <c r="F87" s="22" t="n">
        <v>-2191</v>
      </c>
      <c r="G87" s="22" t="n">
        <v>-2197</v>
      </c>
      <c r="H87" s="22" t="n">
        <v>-2212</v>
      </c>
      <c r="I87" s="22" t="n">
        <v>-2207</v>
      </c>
      <c r="J87" s="22" t="n">
        <v>-2225</v>
      </c>
      <c r="K87" s="22" t="n">
        <v>-2244</v>
      </c>
      <c r="L87" s="22" t="n">
        <v>-2187</v>
      </c>
    </row>
    <row r="88">
      <c r="A88" s="20" t="inlineStr">
        <is>
          <t>건물·구축물(순액)</t>
        </is>
      </c>
      <c r="C88" s="22" t="n">
        <v>312</v>
      </c>
      <c r="D88" s="22" t="n">
        <v>308</v>
      </c>
      <c r="E88" s="22" t="n">
        <v>304</v>
      </c>
      <c r="F88" s="22" t="n">
        <v>299</v>
      </c>
      <c r="G88" s="22" t="n">
        <v>294</v>
      </c>
      <c r="H88" s="22" t="n">
        <v>312</v>
      </c>
      <c r="I88" s="22" t="n">
        <v>297</v>
      </c>
      <c r="J88" s="22" t="n">
        <v>280</v>
      </c>
      <c r="K88" s="22" t="n">
        <v>310</v>
      </c>
      <c r="L88" s="22" t="n">
        <v>304</v>
      </c>
    </row>
    <row r="89">
      <c r="A89" s="20" t="inlineStr">
        <is>
          <t>기계장치·운반구</t>
        </is>
      </c>
      <c r="C89" s="22" t="n">
        <v>123</v>
      </c>
      <c r="D89" s="22" t="n">
        <v>126</v>
      </c>
      <c r="E89" s="22" t="n">
        <v>139</v>
      </c>
      <c r="F89" s="22" t="n">
        <v>136</v>
      </c>
      <c r="G89" s="22" t="n">
        <v>131</v>
      </c>
      <c r="H89" s="22" t="n">
        <v>113</v>
      </c>
      <c r="I89" s="22" t="n">
        <v>114</v>
      </c>
      <c r="J89" s="22" t="n">
        <v>122</v>
      </c>
      <c r="K89" s="22" t="n">
        <v>123</v>
      </c>
      <c r="L89" s="22" t="n">
        <v>139</v>
      </c>
    </row>
    <row r="90">
      <c r="A90" s="20" t="inlineStr">
        <is>
          <t>감가상각누계액</t>
        </is>
      </c>
      <c r="C90" s="22" t="n">
        <v>-116</v>
      </c>
      <c r="D90" s="22" t="n">
        <v>-114</v>
      </c>
      <c r="E90" s="22" t="n">
        <v>-121</v>
      </c>
      <c r="F90" s="22" t="n">
        <v>-119</v>
      </c>
      <c r="G90" s="22" t="n">
        <v>-116</v>
      </c>
      <c r="H90" s="22" t="n">
        <v>-100</v>
      </c>
      <c r="I90" s="22" t="n">
        <v>-105</v>
      </c>
      <c r="J90" s="22" t="n">
        <v>-109</v>
      </c>
      <c r="K90" s="22" t="n">
        <v>-114</v>
      </c>
      <c r="L90" s="22" t="n">
        <v>-121</v>
      </c>
    </row>
    <row r="91">
      <c r="A91" s="20" t="inlineStr">
        <is>
          <t>기계장치·운반구(순액)</t>
        </is>
      </c>
      <c r="C91" s="22" t="n">
        <v>7</v>
      </c>
      <c r="D91" s="22" t="n">
        <v>11</v>
      </c>
      <c r="E91" s="22" t="n">
        <v>17</v>
      </c>
      <c r="F91" s="22" t="n">
        <v>17</v>
      </c>
      <c r="G91" s="22" t="n">
        <v>15</v>
      </c>
      <c r="H91" s="22" t="n">
        <v>13</v>
      </c>
      <c r="I91" s="22" t="n">
        <v>9</v>
      </c>
      <c r="J91" s="22" t="n">
        <v>12</v>
      </c>
      <c r="K91" s="22" t="n">
        <v>8</v>
      </c>
      <c r="L91" s="22" t="n">
        <v>17</v>
      </c>
    </row>
    <row r="92">
      <c r="A92" s="20" t="inlineStr">
        <is>
          <t>공구·기구·비품</t>
        </is>
      </c>
      <c r="C92" s="22" t="n">
        <v>714</v>
      </c>
      <c r="D92" s="22" t="n">
        <v>724</v>
      </c>
      <c r="E92" s="22" t="n">
        <v>766</v>
      </c>
      <c r="F92" s="22" t="n">
        <v>772</v>
      </c>
      <c r="G92" s="22" t="n">
        <v>785</v>
      </c>
      <c r="H92" s="22" t="n">
        <v>726</v>
      </c>
      <c r="I92" s="22" t="n">
        <v>709</v>
      </c>
      <c r="J92" s="22" t="n">
        <v>724</v>
      </c>
      <c r="K92" s="22" t="n">
        <v>706</v>
      </c>
      <c r="L92" s="22" t="n">
        <v>766</v>
      </c>
    </row>
    <row r="93">
      <c r="A93" s="20" t="inlineStr">
        <is>
          <t>감가상각누계액</t>
        </is>
      </c>
      <c r="C93" s="22" t="n">
        <v>-635</v>
      </c>
      <c r="D93" s="22" t="n">
        <v>-649</v>
      </c>
      <c r="E93" s="22" t="n">
        <v>-687</v>
      </c>
      <c r="F93" s="22" t="n">
        <v>-696</v>
      </c>
      <c r="G93" s="22" t="n">
        <v>-702</v>
      </c>
      <c r="H93" s="22" t="n">
        <v>-672</v>
      </c>
      <c r="I93" s="22" t="n">
        <v>-662</v>
      </c>
      <c r="J93" s="22" t="n">
        <v>-646</v>
      </c>
      <c r="K93" s="22" t="n">
        <v>-629</v>
      </c>
      <c r="L93" s="22" t="n">
        <v>-687</v>
      </c>
    </row>
    <row r="94">
      <c r="A94" s="20" t="inlineStr">
        <is>
          <t>공구·기구·비품(순액)</t>
        </is>
      </c>
      <c r="C94" s="22" t="n">
        <v>78</v>
      </c>
      <c r="D94" s="22" t="n">
        <v>75</v>
      </c>
      <c r="E94" s="22" t="n">
        <v>78</v>
      </c>
      <c r="F94" s="22" t="n">
        <v>75</v>
      </c>
      <c r="G94" s="22" t="n">
        <v>82</v>
      </c>
      <c r="H94" s="22" t="n">
        <v>53</v>
      </c>
      <c r="I94" s="22" t="n">
        <v>47</v>
      </c>
      <c r="J94" s="22" t="n">
        <v>77</v>
      </c>
      <c r="K94" s="22" t="n">
        <v>76</v>
      </c>
      <c r="L94" s="22" t="n">
        <v>78</v>
      </c>
    </row>
    <row r="95">
      <c r="A95" s="20" t="inlineStr">
        <is>
          <t>토지</t>
        </is>
      </c>
      <c r="C95" s="22" t="n">
        <v>1434</v>
      </c>
      <c r="D95" s="22" t="n">
        <v>1434</v>
      </c>
      <c r="E95" s="22" t="n">
        <v>1434</v>
      </c>
      <c r="F95" s="22" t="n">
        <v>1434</v>
      </c>
      <c r="G95" s="22" t="n">
        <v>1434</v>
      </c>
      <c r="H95" s="22" t="n">
        <v>1167</v>
      </c>
      <c r="I95" s="22" t="n">
        <v>1134</v>
      </c>
      <c r="J95" s="22" t="n">
        <v>1134</v>
      </c>
      <c r="K95" s="22" t="n">
        <v>1440</v>
      </c>
      <c r="L95" s="22" t="n">
        <v>1434</v>
      </c>
    </row>
    <row r="96">
      <c r="A96" s="20" t="inlineStr">
        <is>
          <t>건설중인자산</t>
        </is>
      </c>
      <c r="C96" s="22" t="n">
        <v>0</v>
      </c>
      <c r="D96" s="22" t="n">
        <v>0</v>
      </c>
      <c r="E96" s="22" t="n">
        <v>0</v>
      </c>
      <c r="F96" s="22" t="n">
        <v>1</v>
      </c>
      <c r="G96" s="22" t="n">
        <v>2</v>
      </c>
      <c r="J96" s="22" t="n">
        <v>0</v>
      </c>
      <c r="K96" s="22" t="n">
        <v>4</v>
      </c>
      <c r="L96" s="22" t="n">
        <v>0</v>
      </c>
    </row>
    <row r="97">
      <c r="A97" s="20" t="inlineStr">
        <is>
          <t>유형자산 합계</t>
        </is>
      </c>
      <c r="C97" s="22" t="n">
        <v>1832</v>
      </c>
      <c r="D97" s="22" t="n">
        <v>1830</v>
      </c>
      <c r="E97" s="22" t="n">
        <v>1834</v>
      </c>
      <c r="F97" s="22" t="n">
        <v>1828</v>
      </c>
      <c r="G97" s="22" t="n">
        <v>1828</v>
      </c>
      <c r="H97" s="22" t="n">
        <v>1547</v>
      </c>
      <c r="I97" s="22" t="n">
        <v>1488</v>
      </c>
      <c r="J97" s="22" t="n">
        <v>1506</v>
      </c>
      <c r="K97" s="22" t="n">
        <v>1840</v>
      </c>
      <c r="L97" s="22" t="n">
        <v>1834</v>
      </c>
    </row>
    <row r="98">
      <c r="A98" s="20" t="inlineStr">
        <is>
          <t>소프트웨어</t>
        </is>
      </c>
      <c r="C98" s="22" t="n">
        <v>11</v>
      </c>
      <c r="D98" s="22" t="n">
        <v>10</v>
      </c>
      <c r="E98" s="22" t="n">
        <v>13</v>
      </c>
      <c r="F98" s="22" t="n">
        <v>11</v>
      </c>
      <c r="G98" s="22" t="n">
        <v>9</v>
      </c>
      <c r="H98" s="22" t="n">
        <v>17</v>
      </c>
      <c r="I98" s="22" t="n">
        <v>18</v>
      </c>
      <c r="J98" s="22" t="n">
        <v>15</v>
      </c>
      <c r="K98" s="22" t="n">
        <v>11</v>
      </c>
      <c r="L98" s="22" t="n">
        <v>13</v>
      </c>
    </row>
    <row r="99">
      <c r="A99" s="20" t="inlineStr">
        <is>
          <t>개발 중 소프트웨어</t>
        </is>
      </c>
      <c r="C99" s="22" t="n">
        <v>350</v>
      </c>
      <c r="D99" s="22" t="n">
        <v>352</v>
      </c>
      <c r="E99" s="22" t="n">
        <v>380</v>
      </c>
      <c r="F99" s="22" t="n">
        <v>395</v>
      </c>
      <c r="G99" s="22" t="n">
        <v>408</v>
      </c>
      <c r="H99" s="22" t="n">
        <v>0</v>
      </c>
      <c r="I99" s="22" t="n">
        <v>66</v>
      </c>
      <c r="J99" s="22" t="n">
        <v>179</v>
      </c>
      <c r="K99" s="22" t="n">
        <v>340</v>
      </c>
      <c r="L99" s="22" t="n">
        <v>380</v>
      </c>
    </row>
    <row r="100">
      <c r="A100" s="20" t="inlineStr">
        <is>
          <t>기술 관련 자산</t>
        </is>
      </c>
      <c r="C100" s="22" t="n">
        <v>160</v>
      </c>
      <c r="D100" s="22" t="n">
        <v>147</v>
      </c>
      <c r="E100" s="22" t="n">
        <v>135</v>
      </c>
      <c r="F100" s="22" t="n">
        <v>123</v>
      </c>
      <c r="G100" s="22" t="n">
        <v>110</v>
      </c>
      <c r="I100" s="22" t="n">
        <v>0</v>
      </c>
      <c r="J100" s="22" t="n">
        <v>234</v>
      </c>
      <c r="K100" s="22" t="n">
        <v>184</v>
      </c>
      <c r="L100" s="22" t="n">
        <v>135</v>
      </c>
    </row>
    <row r="101">
      <c r="A101" s="20" t="inlineStr">
        <is>
          <t>기타</t>
        </is>
      </c>
      <c r="C101" s="22" t="n">
        <v>2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 t="n">
        <v>1</v>
      </c>
      <c r="I101" s="22" t="n">
        <v>1</v>
      </c>
      <c r="J101" s="22" t="n">
        <v>1</v>
      </c>
      <c r="K101" s="22" t="n">
        <v>2</v>
      </c>
      <c r="L101" s="22" t="n">
        <v>2</v>
      </c>
    </row>
    <row r="102">
      <c r="A102" s="20" t="inlineStr">
        <is>
          <t>무형자산 합계</t>
        </is>
      </c>
      <c r="C102" s="22" t="n">
        <v>525</v>
      </c>
      <c r="D102" s="22" t="n">
        <v>513</v>
      </c>
      <c r="E102" s="22" t="n">
        <v>532</v>
      </c>
      <c r="F102" s="22" t="n">
        <v>532</v>
      </c>
      <c r="G102" s="22" t="n">
        <v>532</v>
      </c>
      <c r="H102" s="22" t="n">
        <v>19</v>
      </c>
      <c r="I102" s="22" t="n">
        <v>86</v>
      </c>
      <c r="J102" s="22" t="n">
        <v>430</v>
      </c>
      <c r="K102" s="22" t="n">
        <v>539</v>
      </c>
      <c r="L102" s="22" t="n">
        <v>532</v>
      </c>
    </row>
    <row r="103">
      <c r="A103" s="20" t="inlineStr">
        <is>
          <t>투자유가증권</t>
        </is>
      </c>
      <c r="C103" s="22" t="n">
        <v>3431</v>
      </c>
      <c r="D103" s="22" t="n">
        <v>3785</v>
      </c>
      <c r="E103" s="22" t="n">
        <v>4022</v>
      </c>
      <c r="F103" s="22" t="n">
        <v>4870</v>
      </c>
      <c r="G103" s="22" t="n">
        <v>4650</v>
      </c>
      <c r="H103" s="22" t="n">
        <v>2994</v>
      </c>
      <c r="I103" s="22" t="n">
        <v>2474</v>
      </c>
      <c r="J103" s="22" t="n">
        <v>2618</v>
      </c>
      <c r="K103" s="22" t="n">
        <v>3399</v>
      </c>
      <c r="L103" s="22" t="n">
        <v>4022</v>
      </c>
    </row>
    <row r="104">
      <c r="A104" s="20" t="inlineStr">
        <is>
          <t>파산갱생채권 등</t>
        </is>
      </c>
      <c r="C104" s="22" t="n">
        <v>36</v>
      </c>
      <c r="D104" s="22" t="n">
        <v>36</v>
      </c>
      <c r="E104" s="22" t="n">
        <v>36</v>
      </c>
      <c r="F104" s="22" t="n">
        <v>36</v>
      </c>
      <c r="G104" s="22" t="n">
        <v>36</v>
      </c>
      <c r="K104" s="22" t="n">
        <v>0</v>
      </c>
      <c r="L104" s="22" t="n">
        <v>36</v>
      </c>
    </row>
    <row r="105">
      <c r="A105" s="20" t="inlineStr">
        <is>
          <t>퇴직급여자산</t>
        </is>
      </c>
      <c r="C105" s="22" t="n">
        <v>209</v>
      </c>
      <c r="D105" s="22" t="n">
        <v>239</v>
      </c>
      <c r="E105" s="22" t="n">
        <v>235</v>
      </c>
      <c r="F105" s="22" t="n">
        <v>282</v>
      </c>
      <c r="G105" s="22" t="n">
        <v>273</v>
      </c>
      <c r="H105" s="22" t="n">
        <v>84</v>
      </c>
      <c r="I105" s="22" t="n">
        <v>69</v>
      </c>
      <c r="J105" s="22" t="n">
        <v>173</v>
      </c>
      <c r="K105" s="22" t="n">
        <v>164</v>
      </c>
      <c r="L105" s="22" t="n">
        <v>235</v>
      </c>
    </row>
    <row r="106">
      <c r="A106" s="20" t="inlineStr">
        <is>
          <t>이연법인세자산</t>
        </is>
      </c>
      <c r="C106" s="22" t="n">
        <v>1</v>
      </c>
      <c r="D106" s="22" t="n">
        <v>1</v>
      </c>
      <c r="E106" s="22" t="n">
        <v>0</v>
      </c>
      <c r="F106" s="22" t="n">
        <v>14</v>
      </c>
      <c r="G106" s="22" t="n">
        <v>13</v>
      </c>
      <c r="H106" s="22" t="n">
        <v>0</v>
      </c>
      <c r="I106" s="22" t="n">
        <v>102</v>
      </c>
      <c r="J106" s="22" t="n">
        <v>2</v>
      </c>
      <c r="K106" s="22" t="n">
        <v>1</v>
      </c>
      <c r="L106" s="22" t="n">
        <v>0</v>
      </c>
    </row>
    <row r="107">
      <c r="A107" s="20" t="inlineStr">
        <is>
          <t>보험적립금</t>
        </is>
      </c>
      <c r="C107" s="22" t="n">
        <v>221</v>
      </c>
      <c r="D107" s="22" t="n">
        <v>164</v>
      </c>
      <c r="E107" s="22" t="n">
        <v>184</v>
      </c>
      <c r="F107" s="22" t="n">
        <v>184</v>
      </c>
      <c r="G107" s="22" t="n">
        <v>201</v>
      </c>
      <c r="H107" s="22" t="n">
        <v>198</v>
      </c>
      <c r="I107" s="22" t="n">
        <v>191</v>
      </c>
      <c r="J107" s="22" t="n">
        <v>207</v>
      </c>
      <c r="K107" s="22" t="n">
        <v>208</v>
      </c>
      <c r="L107" s="22" t="n">
        <v>184</v>
      </c>
    </row>
    <row r="108">
      <c r="A108" s="20" t="inlineStr">
        <is>
          <t>기타</t>
        </is>
      </c>
      <c r="C108" s="22" t="n">
        <v>14</v>
      </c>
      <c r="D108" s="22" t="n">
        <v>12</v>
      </c>
      <c r="E108" s="22" t="n">
        <v>9</v>
      </c>
      <c r="F108" s="22" t="n">
        <v>8</v>
      </c>
      <c r="G108" s="22" t="n">
        <v>15</v>
      </c>
      <c r="H108" s="22" t="n">
        <v>18</v>
      </c>
      <c r="I108" s="22" t="n">
        <v>25</v>
      </c>
      <c r="J108" s="22" t="n">
        <v>19</v>
      </c>
      <c r="K108" s="22" t="n">
        <v>20</v>
      </c>
      <c r="L108" s="22" t="n">
        <v>9</v>
      </c>
    </row>
    <row r="109">
      <c r="A109" s="20" t="inlineStr">
        <is>
          <t>대손충당금</t>
        </is>
      </c>
      <c r="C109" s="22" t="n">
        <v>-36</v>
      </c>
      <c r="D109" s="22" t="n">
        <v>-36</v>
      </c>
      <c r="E109" s="22" t="n">
        <v>-36</v>
      </c>
      <c r="F109" s="22" t="n">
        <v>-36</v>
      </c>
      <c r="G109" s="22" t="n">
        <v>-36</v>
      </c>
      <c r="H109" s="22" t="n">
        <v>-6</v>
      </c>
      <c r="I109" s="22" t="n">
        <v>-4</v>
      </c>
      <c r="J109" s="22" t="n">
        <v>-4</v>
      </c>
      <c r="K109" s="22" t="n">
        <v>0</v>
      </c>
      <c r="L109" s="22" t="n">
        <v>-36</v>
      </c>
    </row>
    <row r="110">
      <c r="A110" s="20" t="inlineStr">
        <is>
          <t>투자 및 기타자산 합계</t>
        </is>
      </c>
      <c r="C110" s="22" t="n">
        <v>3879</v>
      </c>
      <c r="D110" s="22" t="n">
        <v>4203</v>
      </c>
      <c r="E110" s="22" t="n">
        <v>4453</v>
      </c>
      <c r="F110" s="22" t="n">
        <v>5360</v>
      </c>
      <c r="G110" s="22" t="n">
        <v>5154</v>
      </c>
      <c r="H110" s="22" t="n">
        <v>3290</v>
      </c>
      <c r="I110" s="22" t="n">
        <v>2859</v>
      </c>
      <c r="J110" s="22" t="n">
        <v>3016</v>
      </c>
      <c r="K110" s="22" t="n">
        <v>3794</v>
      </c>
      <c r="L110" s="22" t="n">
        <v>4453</v>
      </c>
    </row>
    <row r="111">
      <c r="A111" s="9" t="inlineStr">
        <is>
          <t>비유동자산 합계</t>
        </is>
      </c>
      <c r="C111" s="12" t="n">
        <v>6237</v>
      </c>
      <c r="D111" s="12" t="n">
        <v>6547</v>
      </c>
      <c r="E111" s="12" t="n">
        <v>6820</v>
      </c>
      <c r="F111" s="12" t="n">
        <v>7722</v>
      </c>
      <c r="G111" s="12" t="n">
        <v>7515</v>
      </c>
      <c r="H111" s="12" t="n">
        <v>4857</v>
      </c>
      <c r="I111" s="12" t="n">
        <v>4433</v>
      </c>
      <c r="J111" s="12" t="n">
        <v>4952</v>
      </c>
      <c r="K111" s="12" t="n">
        <v>6174</v>
      </c>
      <c r="L111" s="12" t="n">
        <v>6820</v>
      </c>
    </row>
    <row r="112">
      <c r="A112" s="9" t="inlineStr">
        <is>
          <t>자산 합계</t>
        </is>
      </c>
      <c r="C112" s="12" t="n">
        <v>15397</v>
      </c>
      <c r="D112" s="12" t="n">
        <v>15936</v>
      </c>
      <c r="E112" s="12" t="n">
        <v>15896</v>
      </c>
      <c r="F112" s="12" t="n">
        <v>16556</v>
      </c>
      <c r="G112" s="12" t="n">
        <v>16496</v>
      </c>
      <c r="H112" s="12" t="n">
        <v>12890</v>
      </c>
      <c r="I112" s="12" t="n">
        <v>14337</v>
      </c>
      <c r="J112" s="12" t="n">
        <v>16161</v>
      </c>
      <c r="K112" s="12" t="n">
        <v>15474</v>
      </c>
      <c r="L112" s="12" t="n">
        <v>15896</v>
      </c>
    </row>
    <row r="113">
      <c r="A113" s="20" t="inlineStr">
        <is>
          <t>매입채무</t>
        </is>
      </c>
      <c r="C113" s="22" t="n">
        <v>99</v>
      </c>
      <c r="D113" s="22" t="n">
        <v>235</v>
      </c>
      <c r="E113" s="22" t="n">
        <v>216</v>
      </c>
      <c r="F113" s="22" t="n">
        <v>455</v>
      </c>
      <c r="G113" s="22" t="n">
        <v>397</v>
      </c>
      <c r="H113" s="22" t="n">
        <v>315</v>
      </c>
      <c r="I113" s="22" t="n">
        <v>387</v>
      </c>
      <c r="J113" s="22" t="n">
        <v>151</v>
      </c>
      <c r="K113" s="22" t="n">
        <v>74</v>
      </c>
      <c r="L113" s="22" t="n">
        <v>216</v>
      </c>
    </row>
    <row r="114">
      <c r="A114" s="20" t="inlineStr">
        <is>
          <t>미지급금</t>
        </is>
      </c>
      <c r="C114" s="22" t="n">
        <v>83</v>
      </c>
      <c r="D114" s="22" t="n">
        <v>84</v>
      </c>
      <c r="E114" s="22" t="n">
        <v>100</v>
      </c>
      <c r="F114" s="22" t="n">
        <v>87</v>
      </c>
      <c r="G114" s="22" t="n">
        <v>90</v>
      </c>
      <c r="H114" s="22" t="n">
        <v>118</v>
      </c>
      <c r="I114" s="22" t="n">
        <v>117</v>
      </c>
      <c r="J114" s="22" t="n">
        <v>215</v>
      </c>
      <c r="K114" s="22" t="n">
        <v>86</v>
      </c>
      <c r="L114" s="22" t="n">
        <v>100</v>
      </c>
    </row>
    <row r="115">
      <c r="A115" s="20" t="inlineStr">
        <is>
          <t>단기차입금</t>
        </is>
      </c>
      <c r="C115" s="22" t="n">
        <v>0</v>
      </c>
      <c r="D115" s="22" t="n">
        <v>0</v>
      </c>
      <c r="E115" s="22" t="n">
        <v>0</v>
      </c>
      <c r="J115" s="22" t="n">
        <v>0</v>
      </c>
      <c r="K115" s="22" t="n">
        <v>40</v>
      </c>
      <c r="L115" s="22" t="n">
        <v>0</v>
      </c>
    </row>
    <row r="116">
      <c r="A116" s="20" t="inlineStr">
        <is>
          <t>1년 내 상환 장기차입금</t>
        </is>
      </c>
      <c r="C116" s="22" t="n">
        <v>44</v>
      </c>
      <c r="D116" s="22" t="n">
        <v>44</v>
      </c>
      <c r="E116" s="22" t="n">
        <v>44</v>
      </c>
      <c r="F116" s="22" t="n">
        <v>43</v>
      </c>
      <c r="G116" s="22" t="n">
        <v>41</v>
      </c>
      <c r="J116" s="22" t="n">
        <v>0</v>
      </c>
      <c r="K116" s="22" t="n">
        <v>47</v>
      </c>
      <c r="L116" s="22" t="n">
        <v>44</v>
      </c>
    </row>
    <row r="117">
      <c r="A117" s="20" t="inlineStr">
        <is>
          <t>미지급비용</t>
        </is>
      </c>
      <c r="C117" s="22" t="n">
        <v>114</v>
      </c>
      <c r="D117" s="22" t="n">
        <v>135</v>
      </c>
      <c r="E117" s="22" t="n">
        <v>115</v>
      </c>
      <c r="F117" s="22" t="n">
        <v>131</v>
      </c>
      <c r="G117" s="22" t="n">
        <v>130</v>
      </c>
      <c r="H117" s="22" t="n">
        <v>120</v>
      </c>
      <c r="I117" s="22" t="n">
        <v>126</v>
      </c>
      <c r="J117" s="22" t="n">
        <v>140</v>
      </c>
      <c r="K117" s="22" t="n">
        <v>115</v>
      </c>
      <c r="L117" s="22" t="n">
        <v>115</v>
      </c>
    </row>
    <row r="118">
      <c r="A118" s="20" t="inlineStr">
        <is>
          <t>계약부채</t>
        </is>
      </c>
      <c r="C118" s="22" t="n">
        <v>159</v>
      </c>
      <c r="D118" s="22" t="n">
        <v>176</v>
      </c>
      <c r="E118" s="22" t="n">
        <v>151</v>
      </c>
      <c r="F118" s="22" t="n">
        <v>199</v>
      </c>
      <c r="G118" s="22" t="n">
        <v>202</v>
      </c>
      <c r="H118" s="22" t="n">
        <v>200</v>
      </c>
      <c r="I118" s="22" t="n">
        <v>252</v>
      </c>
      <c r="J118" s="22" t="n">
        <v>208</v>
      </c>
      <c r="K118" s="22" t="n">
        <v>161</v>
      </c>
      <c r="L118" s="22" t="n">
        <v>151</v>
      </c>
    </row>
    <row r="119">
      <c r="A119" s="20" t="inlineStr">
        <is>
          <t>미지급법인세</t>
        </is>
      </c>
      <c r="C119" s="22" t="n">
        <v>97</v>
      </c>
      <c r="D119" s="22" t="n">
        <v>11</v>
      </c>
      <c r="E119" s="22" t="n">
        <v>160</v>
      </c>
      <c r="F119" s="22" t="n">
        <v>194</v>
      </c>
      <c r="G119" s="22" t="n">
        <v>388</v>
      </c>
      <c r="H119" s="22" t="n">
        <v>361</v>
      </c>
      <c r="I119" s="22" t="n">
        <v>179</v>
      </c>
      <c r="J119" s="22" t="n">
        <v>320</v>
      </c>
      <c r="K119" s="22" t="n">
        <v>41</v>
      </c>
      <c r="L119" s="22" t="n">
        <v>160</v>
      </c>
    </row>
    <row r="120">
      <c r="A120" s="20" t="inlineStr">
        <is>
          <t>상여충당금</t>
        </is>
      </c>
      <c r="C120" s="22" t="n">
        <v>146</v>
      </c>
      <c r="D120" s="22" t="n">
        <v>74</v>
      </c>
      <c r="E120" s="22" t="n">
        <v>139</v>
      </c>
      <c r="F120" s="22" t="n">
        <v>104</v>
      </c>
      <c r="G120" s="22" t="n">
        <v>208</v>
      </c>
      <c r="H120" s="22" t="n">
        <v>168</v>
      </c>
      <c r="I120" s="22" t="n">
        <v>196</v>
      </c>
      <c r="J120" s="22" t="n">
        <v>194</v>
      </c>
      <c r="K120" s="22" t="n">
        <v>143</v>
      </c>
      <c r="L120" s="22" t="n">
        <v>139</v>
      </c>
    </row>
    <row r="121">
      <c r="A121" s="20" t="inlineStr">
        <is>
          <t>제품보증 충당금</t>
        </is>
      </c>
      <c r="C121" s="22" t="n">
        <v>30</v>
      </c>
      <c r="D121" s="22" t="n">
        <v>28</v>
      </c>
      <c r="E121" s="22" t="n">
        <v>29</v>
      </c>
      <c r="F121" s="22" t="n">
        <v>30</v>
      </c>
      <c r="G121" s="22" t="n">
        <v>27</v>
      </c>
      <c r="H121" s="22" t="n">
        <v>38</v>
      </c>
      <c r="I121" s="22" t="n">
        <v>37</v>
      </c>
      <c r="J121" s="22" t="n">
        <v>79</v>
      </c>
      <c r="K121" s="22" t="n">
        <v>47</v>
      </c>
      <c r="L121" s="22" t="n">
        <v>29</v>
      </c>
    </row>
    <row r="122">
      <c r="A122" s="20" t="inlineStr">
        <is>
          <t>수선충당금</t>
        </is>
      </c>
      <c r="C122" s="22" t="n">
        <v>28</v>
      </c>
      <c r="D122" s="22" t="n">
        <v>28</v>
      </c>
      <c r="E122" s="22" t="n">
        <v>28</v>
      </c>
      <c r="F122" s="22" t="n">
        <v>28</v>
      </c>
      <c r="G122" s="22" t="n">
        <v>28</v>
      </c>
      <c r="H122" s="22" t="n">
        <v>41</v>
      </c>
      <c r="I122" s="22" t="n">
        <v>59</v>
      </c>
      <c r="J122" s="22" t="n">
        <v>0</v>
      </c>
      <c r="K122" s="22" t="n">
        <v>29</v>
      </c>
      <c r="L122" s="22" t="n">
        <v>28</v>
      </c>
    </row>
    <row r="123">
      <c r="A123" s="20" t="inlineStr">
        <is>
          <t>기타</t>
        </is>
      </c>
      <c r="C123" s="22" t="n">
        <v>41</v>
      </c>
      <c r="D123" s="22" t="n">
        <v>85</v>
      </c>
      <c r="E123" s="22" t="n">
        <v>46</v>
      </c>
      <c r="F123" s="22" t="n">
        <v>131</v>
      </c>
      <c r="G123" s="22" t="n">
        <v>40</v>
      </c>
      <c r="H123" s="22" t="n">
        <v>31</v>
      </c>
      <c r="I123" s="22" t="n">
        <v>35</v>
      </c>
      <c r="J123" s="22" t="n">
        <v>58</v>
      </c>
      <c r="K123" s="22" t="n">
        <v>47</v>
      </c>
      <c r="L123" s="22" t="n">
        <v>46</v>
      </c>
    </row>
    <row r="124">
      <c r="A124" s="9" t="inlineStr">
        <is>
          <t>유동부채 합계</t>
        </is>
      </c>
      <c r="C124" s="12" t="n">
        <v>846</v>
      </c>
      <c r="D124" s="12" t="n">
        <v>904</v>
      </c>
      <c r="E124" s="12" t="n">
        <v>1032</v>
      </c>
      <c r="F124" s="12" t="n">
        <v>1406</v>
      </c>
      <c r="G124" s="12" t="n">
        <v>1556</v>
      </c>
      <c r="H124" s="12" t="n">
        <v>1395</v>
      </c>
      <c r="I124" s="12" t="n">
        <v>1391</v>
      </c>
      <c r="J124" s="12" t="n">
        <v>1368</v>
      </c>
      <c r="K124" s="12" t="n">
        <v>834</v>
      </c>
      <c r="L124" s="12" t="n">
        <v>1032</v>
      </c>
    </row>
    <row r="125">
      <c r="A125" s="20" t="inlineStr">
        <is>
          <t>장기차입금</t>
        </is>
      </c>
      <c r="C125" s="22" t="n">
        <v>239</v>
      </c>
      <c r="D125" s="22" t="n">
        <v>227</v>
      </c>
      <c r="E125" s="22" t="n">
        <v>216</v>
      </c>
      <c r="F125" s="22" t="n">
        <v>207</v>
      </c>
      <c r="G125" s="22" t="n">
        <v>197</v>
      </c>
      <c r="J125" s="22" t="n">
        <v>0</v>
      </c>
      <c r="K125" s="22" t="n">
        <v>276</v>
      </c>
      <c r="L125" s="22" t="n">
        <v>216</v>
      </c>
    </row>
    <row r="126">
      <c r="A126" s="20" t="inlineStr">
        <is>
          <t>퇴직급여부채</t>
        </is>
      </c>
      <c r="C126" s="22" t="n">
        <v>48</v>
      </c>
      <c r="D126" s="22" t="n">
        <v>59</v>
      </c>
      <c r="E126" s="22" t="n">
        <v>59</v>
      </c>
      <c r="F126" s="22" t="n">
        <v>60</v>
      </c>
      <c r="G126" s="22" t="n">
        <v>60</v>
      </c>
      <c r="J126" s="22" t="n">
        <v>0</v>
      </c>
      <c r="K126" s="22" t="n">
        <v>56</v>
      </c>
      <c r="L126" s="22" t="n">
        <v>59</v>
      </c>
    </row>
    <row r="127">
      <c r="A127" s="20" t="inlineStr">
        <is>
          <t>주식급여 충당금</t>
        </is>
      </c>
      <c r="D127" s="22" t="n">
        <v>37</v>
      </c>
      <c r="E127" s="22" t="n">
        <v>37</v>
      </c>
      <c r="F127" s="22" t="n">
        <v>56</v>
      </c>
      <c r="G127" s="22" t="n">
        <v>56</v>
      </c>
      <c r="K127" s="22" t="n">
        <v>0</v>
      </c>
      <c r="L127" s="22" t="n">
        <v>37</v>
      </c>
    </row>
    <row r="128">
      <c r="A128" s="20" t="inlineStr">
        <is>
          <t>자산복구부채</t>
        </is>
      </c>
      <c r="C128" s="22" t="n">
        <v>10</v>
      </c>
      <c r="D128" s="22" t="n">
        <v>10</v>
      </c>
      <c r="E128" s="22" t="n">
        <v>10</v>
      </c>
      <c r="F128" s="22" t="n">
        <v>10</v>
      </c>
      <c r="G128" s="22" t="n">
        <v>10</v>
      </c>
      <c r="J128" s="22" t="n">
        <v>0</v>
      </c>
      <c r="K128" s="22" t="n">
        <v>10</v>
      </c>
      <c r="L128" s="22" t="n">
        <v>10</v>
      </c>
    </row>
    <row r="129">
      <c r="A129" s="20" t="inlineStr">
        <is>
          <t>장기미지급금</t>
        </is>
      </c>
      <c r="H129" s="22" t="n">
        <v>4</v>
      </c>
      <c r="I129" s="22" t="n">
        <v>1</v>
      </c>
      <c r="J129" s="22" t="n">
        <v>1</v>
      </c>
      <c r="K129" s="22" t="n">
        <v>0</v>
      </c>
    </row>
    <row r="130">
      <c r="A130" s="20" t="inlineStr">
        <is>
          <t>이연법인세부채</t>
        </is>
      </c>
      <c r="C130" s="22" t="n">
        <v>265</v>
      </c>
      <c r="D130" s="22" t="n">
        <v>386</v>
      </c>
      <c r="E130" s="22" t="n">
        <v>337</v>
      </c>
      <c r="F130" s="22" t="n">
        <v>501</v>
      </c>
      <c r="G130" s="22" t="n">
        <v>410</v>
      </c>
      <c r="H130" s="22" t="n">
        <v>190</v>
      </c>
      <c r="I130" s="22" t="n">
        <v>27</v>
      </c>
      <c r="J130" s="22" t="n">
        <v>309</v>
      </c>
      <c r="K130" s="22" t="n">
        <v>129</v>
      </c>
      <c r="L130" s="22" t="n">
        <v>337</v>
      </c>
    </row>
    <row r="131">
      <c r="A131" s="20" t="inlineStr">
        <is>
          <t>기타</t>
        </is>
      </c>
      <c r="C131" s="22" t="n">
        <v>1</v>
      </c>
      <c r="D131" s="22" t="n">
        <v>1</v>
      </c>
      <c r="E131" s="22" t="n">
        <v>1</v>
      </c>
      <c r="F131" s="22" t="n">
        <v>2</v>
      </c>
      <c r="G131" s="22" t="n">
        <v>5</v>
      </c>
      <c r="H131" s="22" t="n">
        <v>0</v>
      </c>
      <c r="I131" s="22" t="n">
        <v>8</v>
      </c>
      <c r="J131" s="22" t="n">
        <v>4</v>
      </c>
      <c r="K131" s="22" t="n">
        <v>2</v>
      </c>
      <c r="L131" s="22" t="n">
        <v>1</v>
      </c>
    </row>
    <row r="132">
      <c r="A132" s="9" t="inlineStr">
        <is>
          <t>비유동부채 합계</t>
        </is>
      </c>
      <c r="C132" s="12" t="n">
        <v>565</v>
      </c>
      <c r="D132" s="12" t="n">
        <v>723</v>
      </c>
      <c r="E132" s="12" t="n">
        <v>663</v>
      </c>
      <c r="F132" s="12" t="n">
        <v>838</v>
      </c>
      <c r="G132" s="12" t="n">
        <v>740</v>
      </c>
      <c r="H132" s="12" t="n">
        <v>195</v>
      </c>
      <c r="I132" s="12" t="n">
        <v>37</v>
      </c>
      <c r="J132" s="12" t="n">
        <v>315</v>
      </c>
      <c r="K132" s="12" t="n">
        <v>475</v>
      </c>
      <c r="L132" s="12" t="n">
        <v>663</v>
      </c>
    </row>
    <row r="133">
      <c r="A133" s="9" t="inlineStr">
        <is>
          <t>부채 합계</t>
        </is>
      </c>
      <c r="C133" s="12" t="n">
        <v>1411</v>
      </c>
      <c r="D133" s="12" t="n">
        <v>1628</v>
      </c>
      <c r="E133" s="12" t="n">
        <v>1696</v>
      </c>
      <c r="F133" s="12" t="n">
        <v>2244</v>
      </c>
      <c r="G133" s="12" t="n">
        <v>2297</v>
      </c>
      <c r="H133" s="12" t="n">
        <v>1590</v>
      </c>
      <c r="I133" s="12" t="n">
        <v>1429</v>
      </c>
      <c r="J133" s="12" t="n">
        <v>1683</v>
      </c>
      <c r="K133" s="12" t="n">
        <v>1309</v>
      </c>
      <c r="L133" s="12" t="n">
        <v>1696</v>
      </c>
    </row>
    <row r="134">
      <c r="A134" s="20" t="inlineStr">
        <is>
          <t>자본금</t>
        </is>
      </c>
      <c r="C134" s="22" t="n">
        <v>2521</v>
      </c>
      <c r="D134" s="22" t="n">
        <v>2521</v>
      </c>
      <c r="E134" s="22" t="n">
        <v>2521</v>
      </c>
      <c r="F134" s="22" t="n">
        <v>2521</v>
      </c>
      <c r="G134" s="22" t="n">
        <v>2521</v>
      </c>
      <c r="H134" s="22" t="n">
        <v>2521</v>
      </c>
      <c r="I134" s="22" t="n">
        <v>2521</v>
      </c>
      <c r="J134" s="22" t="n">
        <v>2521</v>
      </c>
      <c r="K134" s="22" t="n">
        <v>2521</v>
      </c>
      <c r="L134" s="22" t="n">
        <v>2521</v>
      </c>
    </row>
    <row r="135">
      <c r="A135" s="20" t="inlineStr">
        <is>
          <t>자본잉여금</t>
        </is>
      </c>
      <c r="C135" s="22" t="n">
        <v>3379</v>
      </c>
      <c r="D135" s="22" t="n">
        <v>3370</v>
      </c>
      <c r="E135" s="22" t="n">
        <v>3370</v>
      </c>
      <c r="F135" s="22" t="n">
        <v>3370</v>
      </c>
      <c r="G135" s="22" t="n">
        <v>3376</v>
      </c>
      <c r="H135" s="22" t="n">
        <v>3370</v>
      </c>
      <c r="I135" s="22" t="n">
        <v>3376</v>
      </c>
      <c r="J135" s="22" t="n">
        <v>3381</v>
      </c>
      <c r="K135" s="22" t="n">
        <v>3382</v>
      </c>
      <c r="L135" s="22" t="n">
        <v>3370</v>
      </c>
    </row>
    <row r="136">
      <c r="A136" s="20" t="inlineStr">
        <is>
          <t>이익잉여금</t>
        </is>
      </c>
      <c r="C136" s="22" t="n">
        <v>7810</v>
      </c>
      <c r="D136" s="22" t="n">
        <v>7500</v>
      </c>
      <c r="E136" s="22" t="n">
        <v>7676</v>
      </c>
      <c r="F136" s="22" t="n">
        <v>7616</v>
      </c>
      <c r="G136" s="22" t="n">
        <v>7803</v>
      </c>
      <c r="H136" s="22" t="n">
        <v>5178</v>
      </c>
      <c r="I136" s="22" t="n">
        <v>6982</v>
      </c>
      <c r="J136" s="22" t="n">
        <v>7939</v>
      </c>
      <c r="K136" s="22" t="n">
        <v>7979</v>
      </c>
      <c r="L136" s="22" t="n">
        <v>7676</v>
      </c>
    </row>
    <row r="137">
      <c r="A137" s="20" t="inlineStr">
        <is>
          <t>자기주식</t>
        </is>
      </c>
      <c r="C137" s="22" t="n">
        <v>-902</v>
      </c>
      <c r="D137" s="22" t="n">
        <v>-511</v>
      </c>
      <c r="E137" s="22" t="n">
        <v>-811</v>
      </c>
      <c r="F137" s="22" t="n">
        <v>-910</v>
      </c>
      <c r="G137" s="22" t="n">
        <v>-1093</v>
      </c>
      <c r="H137" s="22" t="n">
        <v>-202</v>
      </c>
      <c r="I137" s="22" t="n">
        <v>-414</v>
      </c>
      <c r="J137" s="22" t="n">
        <v>-540</v>
      </c>
      <c r="K137" s="22" t="n">
        <v>-620</v>
      </c>
      <c r="L137" s="22" t="n">
        <v>-811</v>
      </c>
    </row>
    <row r="138">
      <c r="A138" s="9" t="inlineStr">
        <is>
          <t>주주자본 합계</t>
        </is>
      </c>
      <c r="C138" s="12" t="n">
        <v>12808</v>
      </c>
      <c r="D138" s="12" t="n">
        <v>12881</v>
      </c>
      <c r="E138" s="12" t="n">
        <v>12757</v>
      </c>
      <c r="F138" s="12" t="n">
        <v>12597</v>
      </c>
      <c r="G138" s="12" t="n">
        <v>12607</v>
      </c>
      <c r="H138" s="12" t="n">
        <v>10868</v>
      </c>
      <c r="I138" s="12" t="n">
        <v>12465</v>
      </c>
      <c r="J138" s="12" t="n">
        <v>13301</v>
      </c>
      <c r="K138" s="12" t="n">
        <v>13262</v>
      </c>
      <c r="L138" s="12" t="n">
        <v>12757</v>
      </c>
    </row>
    <row r="139">
      <c r="A139" s="20" t="inlineStr">
        <is>
          <t>기타유가증권 평가차액</t>
        </is>
      </c>
      <c r="C139" s="22" t="n">
        <v>1061</v>
      </c>
      <c r="D139" s="22" t="n">
        <v>1241</v>
      </c>
      <c r="E139" s="22" t="n">
        <v>1208</v>
      </c>
      <c r="F139" s="22" t="n">
        <v>1457</v>
      </c>
      <c r="G139" s="22" t="n">
        <v>1352</v>
      </c>
      <c r="H139" s="22" t="n">
        <v>524</v>
      </c>
      <c r="I139" s="22" t="n">
        <v>472</v>
      </c>
      <c r="J139" s="22" t="n">
        <v>1104</v>
      </c>
      <c r="K139" s="22" t="n">
        <v>765</v>
      </c>
      <c r="L139" s="22" t="n">
        <v>1208</v>
      </c>
    </row>
    <row r="140">
      <c r="A140" s="20" t="inlineStr">
        <is>
          <t>해외사업환산조정</t>
        </is>
      </c>
      <c r="C140" s="22" t="n">
        <v>113</v>
      </c>
      <c r="D140" s="22" t="n">
        <v>183</v>
      </c>
      <c r="E140" s="22" t="n">
        <v>232</v>
      </c>
      <c r="F140" s="22" t="n">
        <v>254</v>
      </c>
      <c r="G140" s="22" t="n">
        <v>237</v>
      </c>
      <c r="H140" s="22" t="n">
        <v>-93</v>
      </c>
      <c r="I140" s="22" t="n">
        <v>-31</v>
      </c>
      <c r="J140" s="22" t="n">
        <v>70</v>
      </c>
      <c r="K140" s="22" t="n">
        <v>135</v>
      </c>
      <c r="L140" s="22" t="n">
        <v>232</v>
      </c>
    </row>
    <row r="141">
      <c r="A141" s="20" t="inlineStr">
        <is>
          <t>기타포괄손익누계액 합계</t>
        </is>
      </c>
      <c r="C141" s="22" t="n">
        <v>1174</v>
      </c>
      <c r="D141" s="22" t="n">
        <v>1425</v>
      </c>
      <c r="E141" s="22" t="n">
        <v>1440</v>
      </c>
      <c r="F141" s="22" t="n">
        <v>1712</v>
      </c>
      <c r="G141" s="22" t="n">
        <v>1590</v>
      </c>
      <c r="H141" s="22" t="n">
        <v>430</v>
      </c>
      <c r="I141" s="22" t="n">
        <v>441</v>
      </c>
      <c r="J141" s="22" t="n">
        <v>1175</v>
      </c>
      <c r="K141" s="22" t="n">
        <v>900</v>
      </c>
      <c r="L141" s="22" t="n">
        <v>1440</v>
      </c>
    </row>
    <row r="142">
      <c r="A142" s="20" t="inlineStr">
        <is>
          <t>비지배지분</t>
        </is>
      </c>
      <c r="C142" s="22" t="n">
        <v>1</v>
      </c>
      <c r="D142" s="22" t="n">
        <v>1</v>
      </c>
      <c r="E142" s="22" t="n">
        <v>1</v>
      </c>
      <c r="F142" s="22" t="n">
        <v>1</v>
      </c>
      <c r="G142" s="22" t="n">
        <v>1</v>
      </c>
      <c r="H142" s="22" t="n">
        <v>1</v>
      </c>
      <c r="I142" s="22" t="n">
        <v>1</v>
      </c>
      <c r="J142" s="22" t="n">
        <v>1</v>
      </c>
      <c r="K142" s="22" t="n">
        <v>1</v>
      </c>
      <c r="L142" s="22" t="n">
        <v>1</v>
      </c>
    </row>
    <row r="143">
      <c r="A143" s="9" t="inlineStr">
        <is>
          <t>순자산 합계</t>
        </is>
      </c>
      <c r="C143" s="12" t="n">
        <v>13985</v>
      </c>
      <c r="D143" s="12" t="n">
        <v>14308</v>
      </c>
      <c r="E143" s="12" t="n">
        <v>14200</v>
      </c>
      <c r="F143" s="12" t="n">
        <v>14312</v>
      </c>
      <c r="G143" s="12" t="n">
        <v>14198</v>
      </c>
      <c r="H143" s="12" t="n">
        <v>11300</v>
      </c>
      <c r="I143" s="12" t="n">
        <v>12907</v>
      </c>
      <c r="J143" s="12" t="n">
        <v>14477</v>
      </c>
      <c r="K143" s="12" t="n">
        <v>14165</v>
      </c>
      <c r="L143" s="12" t="n">
        <v>14200</v>
      </c>
    </row>
    <row r="144">
      <c r="A144" s="9" t="inlineStr">
        <is>
          <t>부채·순자산 합계</t>
        </is>
      </c>
      <c r="C144" s="12" t="n">
        <v>15397</v>
      </c>
      <c r="D144" s="12" t="n">
        <v>15936</v>
      </c>
      <c r="E144" s="12" t="n">
        <v>15896</v>
      </c>
      <c r="F144" s="12" t="n">
        <v>16556</v>
      </c>
      <c r="G144" s="12" t="n">
        <v>16496</v>
      </c>
      <c r="H144" s="12" t="n">
        <v>12890</v>
      </c>
      <c r="I144" s="12" t="n">
        <v>14337</v>
      </c>
      <c r="J144" s="12" t="n">
        <v>16161</v>
      </c>
      <c r="K144" s="12" t="n">
        <v>15474</v>
      </c>
      <c r="L144" s="12" t="n">
        <v>15896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２분기 결산단신</t>
        </is>
      </c>
      <c r="C4" t="inlineStr">
        <is>
          <t>https://www2.jpx.co.jp/disc/63370/140120261027556776.pdf</t>
        </is>
      </c>
    </row>
    <row r="5">
      <c r="A5" t="inlineStr">
        <is>
          <t>2026-07-28</t>
        </is>
      </c>
      <c r="B5" t="inlineStr">
        <is>
          <t>2027년 3월 결산기 １분기 결산단신</t>
        </is>
      </c>
      <c r="C5" t="inlineStr">
        <is>
          <t>https://www2.jpx.co.jp/disc/63370/140120260728500708.pdf</t>
        </is>
      </c>
    </row>
    <row r="6">
      <c r="A6" t="inlineStr">
        <is>
          <t>2026-05-12</t>
        </is>
      </c>
      <c r="B6" t="inlineStr">
        <is>
          <t>2026년 3월 결산기 연간 결산단신</t>
        </is>
      </c>
      <c r="C6" t="inlineStr">
        <is>
          <t>https://www2.jpx.co.jp/disc/63370/140120260512524921.pdf</t>
        </is>
      </c>
    </row>
    <row r="7">
      <c r="A7" t="inlineStr">
        <is>
          <t>2026-01-27</t>
        </is>
      </c>
      <c r="B7" t="inlineStr">
        <is>
          <t>2026년 3월 결산기 3분기 결산단신</t>
        </is>
      </c>
      <c r="C7" t="inlineStr">
        <is>
          <t>https://www2.jpx.co.jp/disc/63370/140120260127539293.pdf</t>
        </is>
      </c>
    </row>
    <row r="8">
      <c r="A8" t="inlineStr">
        <is>
          <t>2025-10-28</t>
        </is>
      </c>
      <c r="B8" t="inlineStr">
        <is>
          <t>2026년 3월 결산기 ２분기 결산단신</t>
        </is>
      </c>
      <c r="C8" t="inlineStr">
        <is>
          <t>https://www2.jpx.co.jp/disc/63370/140120251028580247.pdf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https://www2.jpx.co.jp/disc/63370/140120250729522670.pdf</t>
        </is>
      </c>
    </row>
    <row r="10">
      <c r="A10" t="inlineStr">
        <is>
          <t>2025-05-13</t>
        </is>
      </c>
      <c r="B10" t="inlineStr">
        <is>
          <t>2025년 3월 결산기 연간 결산단신</t>
        </is>
      </c>
      <c r="C10" t="inlineStr">
        <is>
          <t>https://www2.jpx.co.jp/disc/63370/140120250513546267.pdf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https://www2.jpx.co.jp/disc/63370/140120250128556360.pdf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https://www2.jpx.co.jp/disc/63370/140120241029504891.pdf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https://www2.jpx.co.jp/disc/63370/140120240730557401.pdf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https://www2.jpx.co.jp/disc/63370/140120240514595214.pdf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https://www2.jpx.co.jp/disc/63370/140120240130521444.pdf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https://www2.jpx.co.jp/disc/63370/140120231031576117.pdf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https://www2.jpx.co.jp/disc/63370/140120230725526359.pdf</t>
        </is>
      </c>
    </row>
    <row r="18">
      <c r="A18" t="inlineStr">
        <is>
          <t>2023-05-09</t>
        </is>
      </c>
      <c r="B18" t="inlineStr">
        <is>
          <t>2023년 3월 결산기 연간 결산단신</t>
        </is>
      </c>
      <c r="C18" t="inlineStr">
        <is>
          <t>https://www2.jpx.co.jp/disc/63370/140120230509561384.pdf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https://www2.jpx.co.jp/disc/63370/140120230131596696.pdf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https://www2.jpx.co.jp/disc/63370/140120220510536718.pdf</t>
        </is>
      </c>
    </row>
    <row r="21">
      <c r="A21" t="inlineStr">
        <is>
          <t>2021-05-11</t>
        </is>
      </c>
      <c r="B21" t="inlineStr">
        <is>
          <t>2021년 3월 결산기 연간 결산단신</t>
        </is>
      </c>
      <c r="C21" t="inlineStr">
        <is>
          <t>https://www2.jpx.co.jp/disc/63370/140120210511410418.pdf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https://www2.jpx.co.jp/disc/63370/140120200514414303.pdf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https://www2.jpx.co.jp/disc/63370/140120190513424142.pdf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https://www2.jpx.co.jp/disc/63370/140120180514437628.pdf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2026-10-28T07:04:08Z</dcterms:created>
  <dcterms:modified xmlns:dcterms="http://purl.org/dc/terms/" xmlns:xsi="http://www.w3.org/2001/XMLSchema-instance" xsi:type="dcterms:W3CDTF">2026-10-28T07:04:08Z</dcterms:modified>
</cp:coreProperties>
</file>