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59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신에쓰화학공업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627501</v>
      </c>
      <c r="D4" s="12" t="n">
        <v>591534</v>
      </c>
      <c r="E4" s="12" t="n">
        <v>597930</v>
      </c>
      <c r="F4" s="12" t="n">
        <v>668530</v>
      </c>
      <c r="G4" s="12" t="n">
        <v>663238</v>
      </c>
      <c r="H4" s="12" t="n">
        <v>631551</v>
      </c>
      <c r="I4" s="12" t="n">
        <v>628549</v>
      </c>
      <c r="J4" s="12" t="n">
        <v>655973</v>
      </c>
      <c r="K4" s="12" t="n">
        <v>649478</v>
      </c>
      <c r="L4" s="12" t="n">
        <v>639969</v>
      </c>
      <c r="M4" s="12" t="n">
        <v>662424</v>
      </c>
      <c r="N4" s="12" t="n">
        <v>758260</v>
      </c>
      <c r="O4" s="11" t="n">
        <v>1237405</v>
      </c>
      <c r="P4" s="12" t="n">
        <v>1441432</v>
      </c>
      <c r="Q4" s="12" t="n">
        <v>1594036</v>
      </c>
      <c r="R4" s="12" t="n">
        <v>1543525</v>
      </c>
      <c r="S4" s="12" t="n">
        <v>1496906</v>
      </c>
      <c r="T4" s="12" t="n">
        <v>2074428</v>
      </c>
      <c r="U4" s="12" t="n">
        <v>2808824</v>
      </c>
      <c r="V4" s="12" t="n">
        <v>2414937</v>
      </c>
      <c r="W4" s="12" t="n">
        <v>2561249</v>
      </c>
      <c r="X4" s="12" t="n">
        <v>2573969</v>
      </c>
      <c r="Y4" s="11">
        <f>IF(COUNT(Y7,Y10,Y13,Y16,Y19,Y22,Y25)=0,"",SUM(Y7,Y10,Y13,Y16,Y19,Y22,Y25))</f>
        <v/>
      </c>
      <c r="Z4" s="12">
        <f>IF(COUNT(Z7,Z10,Z13,Z16,Z19,Z22,Z25)=0,"",SUM(Z7,Z10,Z13,Z16,Z19,Z22,Z25))</f>
        <v/>
      </c>
      <c r="AA4" s="12">
        <f>IF(COUNT(AA7,AA10,AA13,AA16,AA19,AA22,AA25)=0,"",SUM(AA7,AA10,AA13,AA16,AA19,AA22,AA25))</f>
        <v/>
      </c>
      <c r="AB4" s="12">
        <f>IF(COUNT(AB7,AB10,AB13,AB16,AB19,AB22,AB25)=0,"",SUM(AB7,AB10,AB13,AB16,AB19,AB22,AB25))</f>
        <v/>
      </c>
      <c r="AC4" s="12">
        <f>IF(COUNT(AC7,AC10,AC13,AC16,AC19,AC22,AC25)=0,"",SUM(AC7,AC10,AC13,AC16,AC19,AC22,AC25))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전자재료 사업</t>
        </is>
      </c>
      <c r="B7" s="10" t="n"/>
      <c r="C7" s="19" t="n"/>
      <c r="D7" s="20" t="n">
        <v>207867</v>
      </c>
      <c r="E7" s="20" t="n">
        <v>227065</v>
      </c>
      <c r="F7" s="20" t="n"/>
      <c r="G7" s="20" t="n"/>
      <c r="H7" s="20" t="n">
        <v>225130</v>
      </c>
      <c r="I7" s="20" t="n">
        <v>240229</v>
      </c>
      <c r="J7" s="20" t="n"/>
      <c r="K7" s="20" t="n"/>
      <c r="L7" s="20" t="n">
        <v>265425</v>
      </c>
      <c r="M7" s="20" t="n">
        <v>279271</v>
      </c>
      <c r="N7" s="20" t="n"/>
      <c r="O7" s="19" t="n"/>
      <c r="P7" s="20" t="n"/>
      <c r="Q7" s="20" t="n"/>
      <c r="R7" s="20" t="n"/>
      <c r="S7" s="20" t="n"/>
      <c r="T7" s="20" t="n"/>
      <c r="U7" s="20" t="n"/>
      <c r="V7" s="20" t="n">
        <v>850442</v>
      </c>
      <c r="W7" s="20" t="n">
        <v>934312</v>
      </c>
      <c r="X7" s="20" t="n">
        <v>1015765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생활환경 기반재료 사업</t>
        </is>
      </c>
      <c r="B10" s="10" t="n"/>
      <c r="C10" s="19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생활환경 기반재료 사업</t>
        </is>
      </c>
      <c r="B13" s="10" t="n"/>
      <c r="C13" s="19" t="n"/>
      <c r="D13" s="20" t="n"/>
      <c r="E13" s="20" t="n">
        <v>232509</v>
      </c>
      <c r="F13" s="20" t="n"/>
      <c r="G13" s="20" t="n"/>
      <c r="H13" s="20" t="n"/>
      <c r="I13" s="20" t="n">
        <v>244400</v>
      </c>
      <c r="J13" s="20" t="n"/>
      <c r="K13" s="20" t="n"/>
      <c r="L13" s="20" t="n"/>
      <c r="M13" s="20" t="n">
        <v>227798</v>
      </c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>
        <v>1010275</v>
      </c>
      <c r="W13" s="20" t="n">
        <v>1041571</v>
      </c>
      <c r="X13" s="20" t="n">
        <v>981370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기능재료 사업</t>
        </is>
      </c>
      <c r="B16" s="10" t="n"/>
      <c r="C16" s="19" t="n"/>
      <c r="D16" s="20" t="n">
        <v>98621</v>
      </c>
      <c r="E16" s="20" t="n">
        <v>106702</v>
      </c>
      <c r="F16" s="20" t="n"/>
      <c r="G16" s="20" t="n"/>
      <c r="H16" s="20" t="n">
        <v>107265</v>
      </c>
      <c r="I16" s="20" t="n">
        <v>110013</v>
      </c>
      <c r="J16" s="20" t="n"/>
      <c r="K16" s="20" t="n"/>
      <c r="L16" s="20" t="n">
        <v>107071</v>
      </c>
      <c r="M16" s="20" t="n">
        <v>118203</v>
      </c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>
        <v>425250</v>
      </c>
      <c r="W16" s="20" t="n">
        <v>448642</v>
      </c>
      <c r="X16" s="20" t="n">
        <v>440847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가공·상사·기술서비스 사업</t>
        </is>
      </c>
      <c r="B19" s="10" t="n"/>
      <c r="C19" s="19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가공·상사·기술서비스 사업</t>
        </is>
      </c>
      <c r="B22" s="10" t="n"/>
      <c r="C22" s="19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19" t="n"/>
      <c r="P22" s="20" t="n"/>
      <c r="Q22" s="20" t="n"/>
      <c r="R22" s="20" t="n"/>
      <c r="S22" s="20" t="n"/>
      <c r="T22" s="20" t="n"/>
      <c r="U22" s="20" t="n"/>
      <c r="V22" s="20" t="n">
        <v>128969</v>
      </c>
      <c r="W22" s="20" t="n">
        <v>136722</v>
      </c>
      <c r="X22" s="20" t="n">
        <v>135985</v>
      </c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8" t="inlineStr">
        <is>
          <t>기타 관련 사업</t>
        </is>
      </c>
      <c r="B25" s="10" t="n"/>
      <c r="C25" s="19" t="n"/>
      <c r="D25" s="20" t="n"/>
      <c r="E25" s="20" t="n">
        <v>31653</v>
      </c>
      <c r="F25" s="20" t="n"/>
      <c r="G25" s="20" t="n"/>
      <c r="H25" s="20" t="n"/>
      <c r="I25" s="20" t="n">
        <v>33904</v>
      </c>
      <c r="J25" s="20" t="n"/>
      <c r="K25" s="20" t="n"/>
      <c r="L25" s="20" t="n"/>
      <c r="M25" s="20" t="n">
        <v>37151</v>
      </c>
      <c r="N25" s="20" t="n"/>
      <c r="O25" s="19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1" t="n"/>
      <c r="Z25" s="22" t="n"/>
      <c r="AA25" s="22" t="n"/>
      <c r="AB25" s="22" t="n"/>
      <c r="AC25" s="22" t="n"/>
    </row>
    <row r="26">
      <c r="A26" s="13" t="inlineStr">
        <is>
          <t>비중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매출원가</t>
        </is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18" t="inlineStr">
        <is>
          <t>전체 매출원가</t>
        </is>
      </c>
      <c r="B29" s="10" t="n"/>
      <c r="C29" s="19" t="n">
        <v>397413</v>
      </c>
      <c r="D29" s="20" t="n">
        <v>394939</v>
      </c>
      <c r="E29" s="20" t="n">
        <v>355339</v>
      </c>
      <c r="F29" s="20" t="n">
        <v>392142</v>
      </c>
      <c r="G29" s="20" t="n">
        <v>422900</v>
      </c>
      <c r="H29" s="20" t="n">
        <v>406746</v>
      </c>
      <c r="I29" s="20" t="n">
        <v>402717</v>
      </c>
      <c r="J29" s="20" t="n">
        <v>426063</v>
      </c>
      <c r="K29" s="20" t="n">
        <v>425814</v>
      </c>
      <c r="L29" s="20" t="n">
        <v>438581</v>
      </c>
      <c r="M29" s="20" t="n">
        <v>432591</v>
      </c>
      <c r="N29" s="20" t="n">
        <v>477198</v>
      </c>
      <c r="O29" s="19" t="n">
        <v>868404</v>
      </c>
      <c r="P29" s="20" t="n">
        <v>963008</v>
      </c>
      <c r="Q29" s="20" t="n">
        <v>1039979</v>
      </c>
      <c r="R29" s="20" t="n">
        <v>987782</v>
      </c>
      <c r="S29" s="20" t="n">
        <v>953203</v>
      </c>
      <c r="T29" s="20" t="n">
        <v>1206425</v>
      </c>
      <c r="U29" s="20" t="n">
        <v>1594717</v>
      </c>
      <c r="V29" s="20" t="n">
        <v>1503728</v>
      </c>
      <c r="W29" s="20" t="n">
        <v>1577127</v>
      </c>
      <c r="X29" s="20" t="n">
        <v>1693175</v>
      </c>
      <c r="Y29" s="19" t="n"/>
      <c r="Z29" s="20" t="n"/>
      <c r="AA29" s="20" t="n"/>
      <c r="AB29" s="20" t="n"/>
      <c r="AC29" s="20" t="n"/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IF(OR(G29="",C29=""),"",IF(C29&lt;=0,"",IFERROR(G29/C29-1,"")))</f>
        <v/>
      </c>
      <c r="H30" s="15">
        <f>IF(OR(H29="",D29=""),"",IF(D29&lt;=0,"",IFERROR(H29/D29-1,"")))</f>
        <v/>
      </c>
      <c r="I30" s="15">
        <f>IF(OR(I29="",E29=""),"",IF(E29&lt;=0,"",IFERROR(I29/E29-1,"")))</f>
        <v/>
      </c>
      <c r="J30" s="15">
        <f>IF(OR(J29="",F29=""),"",IF(F29&lt;=0,"",IFERROR(J29/F29-1,"")))</f>
        <v/>
      </c>
      <c r="K30" s="15">
        <f>IF(OR(K29="",G29=""),"",IF(G29&lt;=0,"",IFERROR(K29/G29-1,"")))</f>
        <v/>
      </c>
      <c r="L30" s="15">
        <f>IF(OR(L29="",H29=""),"",IF(H29&lt;=0,"",IFERROR(L29/H29-1,"")))</f>
        <v/>
      </c>
      <c r="M30" s="15">
        <f>IF(OR(M29="",I29=""),"",IF(I29&lt;=0,"",IFERROR(M29/I29-1,"")))</f>
        <v/>
      </c>
      <c r="N30" s="15">
        <f>IF(OR(N29="",J29=""),"",IF(J29&lt;=0,"",IFERROR(N29/J29-1,"")))</f>
        <v/>
      </c>
      <c r="O30" s="14" t="n"/>
      <c r="P30" s="15">
        <f>IF(OR(P29="",O29=""),"",IF(O29&lt;=0,"",IFERROR(P29/O29-1,"")))</f>
        <v/>
      </c>
      <c r="Q30" s="15">
        <f>IF(OR(Q29="",P29=""),"",IF(P29&lt;=0,"",IFERROR(Q29/P29-1,"")))</f>
        <v/>
      </c>
      <c r="R30" s="15">
        <f>IF(OR(R29="",Q29=""),"",IF(Q29&lt;=0,"",IFERROR(R29/Q29-1,"")))</f>
        <v/>
      </c>
      <c r="S30" s="15">
        <f>IF(OR(S29="",R29=""),"",IF(R29&lt;=0,"",IFERROR(S29/R29-1,"")))</f>
        <v/>
      </c>
      <c r="T30" s="15">
        <f>IF(OR(T29="",S29=""),"",IF(S29&lt;=0,"",IFERROR(T29/S29-1,"")))</f>
        <v/>
      </c>
      <c r="U30" s="15">
        <f>IF(OR(U29="",T29=""),"",IF(T29&lt;=0,"",IFERROR(U29/T29-1,"")))</f>
        <v/>
      </c>
      <c r="V30" s="15">
        <f>IF(OR(V29="",U29=""),"",IF(U29&lt;=0,"",IFERROR(V29/U29-1,"")))</f>
        <v/>
      </c>
      <c r="W30" s="15">
        <f>IF(OR(W29="",V29=""),"",IF(V29&lt;=0,"",IFERROR(W29/V29-1,"")))</f>
        <v/>
      </c>
      <c r="X30" s="15">
        <f>IF(OR(X29="",W29=""),"",IF(W29&lt;=0,"",IFERROR(X29/W29-1,"")))</f>
        <v/>
      </c>
      <c r="Y30" s="14">
        <f>IF(OR(Y29="",X29=""),"",IF(X29&lt;=0,"",IFERROR(Y29/X29-1,"")))</f>
        <v/>
      </c>
      <c r="Z30" s="15">
        <f>IF(OR(Z29="",Y29=""),"",IF(Y29&lt;=0,"",IFERROR(Z29/Y29-1,"")))</f>
        <v/>
      </c>
      <c r="AA30" s="15">
        <f>IF(OR(AA29="",Z29=""),"",IF(Z29&lt;=0,"",IFERROR(AA29/Z29-1,"")))</f>
        <v/>
      </c>
      <c r="AB30" s="15">
        <f>IF(OR(AB29="",AA29=""),"",IF(AA29&lt;=0,"",IFERROR(AB29/AA29-1,"")))</f>
        <v/>
      </c>
      <c r="AC30" s="15">
        <f>IF(OR(AC29="",AB29=""),"",IF(AB29&lt;=0,"",IFERROR(AC29/AB29-1,"")))</f>
        <v/>
      </c>
    </row>
    <row r="31">
      <c r="A31" s="18" t="inlineStr">
        <is>
          <t>매출총이익</t>
        </is>
      </c>
      <c r="B31" s="10" t="n"/>
      <c r="C31" s="19">
        <f>IF(OR(C4="",C29=""),"",IFERROR(C4-C29,""))</f>
        <v/>
      </c>
      <c r="D31" s="20">
        <f>IF(OR(D4="",D29=""),"",IFERROR(D4-D29,""))</f>
        <v/>
      </c>
      <c r="E31" s="20">
        <f>IF(OR(E4="",E29=""),"",IFERROR(E4-E29,""))</f>
        <v/>
      </c>
      <c r="F31" s="20">
        <f>IF(OR(F4="",F29=""),"",IFERROR(F4-F29,""))</f>
        <v/>
      </c>
      <c r="G31" s="20">
        <f>IF(OR(G4="",G29=""),"",IFERROR(G4-G29,""))</f>
        <v/>
      </c>
      <c r="H31" s="20">
        <f>IF(OR(H4="",H29=""),"",IFERROR(H4-H29,""))</f>
        <v/>
      </c>
      <c r="I31" s="20">
        <f>IF(OR(I4="",I29=""),"",IFERROR(I4-I29,""))</f>
        <v/>
      </c>
      <c r="J31" s="20">
        <f>IF(OR(J4="",J29=""),"",IFERROR(J4-J29,""))</f>
        <v/>
      </c>
      <c r="K31" s="20">
        <f>IF(OR(K4="",K29=""),"",IFERROR(K4-K29,""))</f>
        <v/>
      </c>
      <c r="L31" s="20">
        <f>IF(OR(L4="",L29=""),"",IFERROR(L4-L29,""))</f>
        <v/>
      </c>
      <c r="M31" s="20">
        <f>IF(OR(M4="",M29=""),"",IFERROR(M4-M29,""))</f>
        <v/>
      </c>
      <c r="N31" s="20">
        <f>IF(OR(N4="",N29=""),"",IFERROR(N4-N29,""))</f>
        <v/>
      </c>
      <c r="O31" s="19">
        <f>IF(OR(O4="",O29=""),"",IFERROR(O4-O29,""))</f>
        <v/>
      </c>
      <c r="P31" s="20">
        <f>IF(OR(P4="",P29=""),"",IFERROR(P4-P29,""))</f>
        <v/>
      </c>
      <c r="Q31" s="20">
        <f>IF(OR(Q4="",Q29=""),"",IFERROR(Q4-Q29,""))</f>
        <v/>
      </c>
      <c r="R31" s="20">
        <f>IF(OR(R4="",R29=""),"",IFERROR(R4-R29,""))</f>
        <v/>
      </c>
      <c r="S31" s="20">
        <f>IF(OR(S4="",S29=""),"",IFERROR(S4-S29,""))</f>
        <v/>
      </c>
      <c r="T31" s="20">
        <f>IF(OR(T4="",T29=""),"",IFERROR(T4-T29,""))</f>
        <v/>
      </c>
      <c r="U31" s="20">
        <f>IF(OR(U4="",U29=""),"",IFERROR(U4-U29,""))</f>
        <v/>
      </c>
      <c r="V31" s="20">
        <f>IF(OR(V4="",V29=""),"",IFERROR(V4-V29,""))</f>
        <v/>
      </c>
      <c r="W31" s="20">
        <f>IF(OR(W4="",W29=""),"",IFERROR(W4-W29,""))</f>
        <v/>
      </c>
      <c r="X31" s="20">
        <f>IF(OR(X4="",X29=""),"",IFERROR(X4-X29,""))</f>
        <v/>
      </c>
      <c r="Y31" s="19" t="n"/>
      <c r="Z31" s="20" t="n"/>
      <c r="AA31" s="20" t="n"/>
      <c r="AB31" s="20" t="n"/>
      <c r="AC31" s="20" t="n"/>
    </row>
    <row r="32">
      <c r="A32" s="13" t="inlineStr">
        <is>
          <t>GPM</t>
        </is>
      </c>
      <c r="B32" s="10" t="n"/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14">
        <f>IF(OR(Y31="",Y4=""),"",IFERROR(Y31/Y4,""))</f>
        <v/>
      </c>
      <c r="Z32" s="15">
        <f>IF(OR(Z31="",Z4=""),"",IFERROR(Z31/Z4,""))</f>
        <v/>
      </c>
      <c r="AA32" s="15">
        <f>IF(OR(AA31="",AA4=""),"",IFERROR(AA31/AA4,""))</f>
        <v/>
      </c>
      <c r="AB32" s="15">
        <f>IF(OR(AB31="",AB4=""),"",IFERROR(AB31/AB4,""))</f>
        <v/>
      </c>
      <c r="AC32" s="15">
        <f>IF(OR(AC31="",AC4=""),"",IFERROR(AC31/AC4,""))</f>
        <v/>
      </c>
    </row>
    <row r="33">
      <c r="A33" s="13" t="inlineStr">
        <is>
          <t>YoY</t>
        </is>
      </c>
      <c r="B33" s="10" t="n"/>
      <c r="C33" s="14" t="n"/>
      <c r="D33" s="15" t="n"/>
      <c r="E33" s="15" t="n"/>
      <c r="F33" s="15" t="n"/>
      <c r="G33" s="15">
        <f>IF(OR(G31="",C31=""),"",IF(C31&lt;=0,"",IFERROR(G31/C31-1,"")))</f>
        <v/>
      </c>
      <c r="H33" s="15">
        <f>IF(OR(H31="",D31=""),"",IF(D31&lt;=0,"",IFERROR(H31/D31-1,"")))</f>
        <v/>
      </c>
      <c r="I33" s="15">
        <f>IF(OR(I31="",E31=""),"",IF(E31&lt;=0,"",IFERROR(I31/E31-1,"")))</f>
        <v/>
      </c>
      <c r="J33" s="15">
        <f>IF(OR(J31="",F31=""),"",IF(F31&lt;=0,"",IFERROR(J31/F31-1,"")))</f>
        <v/>
      </c>
      <c r="K33" s="15">
        <f>IF(OR(K31="",G31=""),"",IF(G31&lt;=0,"",IFERROR(K31/G31-1,"")))</f>
        <v/>
      </c>
      <c r="L33" s="15">
        <f>IF(OR(L31="",H31=""),"",IF(H31&lt;=0,"",IFERROR(L31/H31-1,"")))</f>
        <v/>
      </c>
      <c r="M33" s="15">
        <f>IF(OR(M31="",I31=""),"",IF(I31&lt;=0,"",IFERROR(M31/I31-1,"")))</f>
        <v/>
      </c>
      <c r="N33" s="15">
        <f>IF(OR(N31="",J31=""),"",IF(J31&lt;=0,"",IFERROR(N31/J31-1,"")))</f>
        <v/>
      </c>
      <c r="O33" s="14" t="n"/>
      <c r="P33" s="15">
        <f>IF(OR(P31="",O31=""),"",IF(O31&lt;=0,"",IFERROR(P31/O31-1,"")))</f>
        <v/>
      </c>
      <c r="Q33" s="15">
        <f>IF(OR(Q31="",P31=""),"",IF(P31&lt;=0,"",IFERROR(Q31/P31-1,"")))</f>
        <v/>
      </c>
      <c r="R33" s="15">
        <f>IF(OR(R31="",Q31=""),"",IF(Q31&lt;=0,"",IFERROR(R31/Q31-1,"")))</f>
        <v/>
      </c>
      <c r="S33" s="15">
        <f>IF(OR(S31="",R31=""),"",IF(R31&lt;=0,"",IFERROR(S31/R31-1,"")))</f>
        <v/>
      </c>
      <c r="T33" s="15">
        <f>IF(OR(T31="",S31=""),"",IF(S31&lt;=0,"",IFERROR(T31/S31-1,"")))</f>
        <v/>
      </c>
      <c r="U33" s="15">
        <f>IF(OR(U31="",T31=""),"",IF(T31&lt;=0,"",IFERROR(U31/T31-1,"")))</f>
        <v/>
      </c>
      <c r="V33" s="15">
        <f>IF(OR(V31="",U31=""),"",IF(U31&lt;=0,"",IFERROR(V31/U31-1,"")))</f>
        <v/>
      </c>
      <c r="W33" s="15">
        <f>IF(OR(W31="",V31=""),"",IF(V31&lt;=0,"",IFERROR(W31/V31-1,"")))</f>
        <v/>
      </c>
      <c r="X33" s="15">
        <f>IF(OR(X31="",W31=""),"",IF(W31&lt;=0,"",IFERROR(X31/W31-1,"")))</f>
        <v/>
      </c>
      <c r="Y33" s="14">
        <f>IF(OR(Y31="",X31=""),"",IF(X31&lt;=0,"",IFERROR(Y31/X31-1,"")))</f>
        <v/>
      </c>
      <c r="Z33" s="15">
        <f>IF(OR(Z31="",Y31=""),"",IF(Y31&lt;=0,"",IFERROR(Z31/Y31-1,"")))</f>
        <v/>
      </c>
      <c r="AA33" s="15">
        <f>IF(OR(AA31="",Z31=""),"",IF(Z31&lt;=0,"",IFERROR(AA31/Z31-1,"")))</f>
        <v/>
      </c>
      <c r="AB33" s="15">
        <f>IF(OR(AB31="",AA31=""),"",IF(AA31&lt;=0,"",IFERROR(AB31/AA31-1,"")))</f>
        <v/>
      </c>
      <c r="AC33" s="15">
        <f>IF(OR(AC31="",AB31=""),"",IF(AB31&lt;=0,"",IFERROR(AC31/AB31-1,"")))</f>
        <v/>
      </c>
    </row>
    <row r="34">
      <c r="A34" s="23" t="inlineStr">
        <is>
          <t>판매관리비</t>
        </is>
      </c>
      <c r="B34" s="23" t="n"/>
      <c r="C34" s="24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4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4" t="n"/>
      <c r="Z34" s="23" t="n"/>
      <c r="AA34" s="23" t="n"/>
      <c r="AB34" s="23" t="n"/>
      <c r="AC34" s="23" t="n"/>
    </row>
    <row r="35">
      <c r="A35" s="18" t="inlineStr">
        <is>
          <t>전체 판관비</t>
        </is>
      </c>
      <c r="B35" s="10" t="n"/>
      <c r="C35" s="19" t="n">
        <v>52479</v>
      </c>
      <c r="D35" s="20" t="n">
        <v>55085</v>
      </c>
      <c r="E35" s="20" t="n">
        <v>51568</v>
      </c>
      <c r="F35" s="20" t="n">
        <v>61706</v>
      </c>
      <c r="G35" s="20" t="n">
        <v>61603</v>
      </c>
      <c r="H35" s="20" t="n">
        <v>67139</v>
      </c>
      <c r="I35" s="20" t="n">
        <v>59027</v>
      </c>
      <c r="J35" s="20" t="n">
        <v>62779</v>
      </c>
      <c r="K35" s="20" t="n">
        <v>59574</v>
      </c>
      <c r="L35" s="20" t="n">
        <v>64208</v>
      </c>
      <c r="M35" s="20" t="n">
        <v>56034</v>
      </c>
      <c r="N35" s="20" t="n">
        <v>68942</v>
      </c>
      <c r="O35" s="19" t="n">
        <v>130383</v>
      </c>
      <c r="P35" s="20" t="n">
        <v>141601</v>
      </c>
      <c r="Q35" s="20" t="n">
        <v>150352</v>
      </c>
      <c r="R35" s="20" t="n">
        <v>149702</v>
      </c>
      <c r="S35" s="20" t="n">
        <v>151489</v>
      </c>
      <c r="T35" s="20" t="n">
        <v>191680</v>
      </c>
      <c r="U35" s="20" t="n">
        <v>215905</v>
      </c>
      <c r="V35" s="20" t="n">
        <v>210171</v>
      </c>
      <c r="W35" s="20" t="n">
        <v>242016</v>
      </c>
      <c r="X35" s="20" t="n">
        <v>245588</v>
      </c>
      <c r="Y35" s="19" t="n"/>
      <c r="Z35" s="20" t="n"/>
      <c r="AA35" s="20" t="n"/>
      <c r="AB35" s="20" t="n"/>
      <c r="AC35" s="20" t="n"/>
    </row>
    <row r="36">
      <c r="A36" s="13" t="inlineStr">
        <is>
          <t>YoY</t>
        </is>
      </c>
      <c r="B36" s="10" t="n"/>
      <c r="C36" s="14" t="n"/>
      <c r="D36" s="15" t="n"/>
      <c r="E36" s="15" t="n"/>
      <c r="F36" s="15" t="n"/>
      <c r="G36" s="15">
        <f>IF(OR(G35="",C35=""),"",IF(C35&lt;=0,"",IFERROR(G35/C35-1,"")))</f>
        <v/>
      </c>
      <c r="H36" s="15">
        <f>IF(OR(H35="",D35=""),"",IF(D35&lt;=0,"",IFERROR(H35/D35-1,"")))</f>
        <v/>
      </c>
      <c r="I36" s="15">
        <f>IF(OR(I35="",E35=""),"",IF(E35&lt;=0,"",IFERROR(I35/E35-1,"")))</f>
        <v/>
      </c>
      <c r="J36" s="15">
        <f>IF(OR(J35="",F35=""),"",IF(F35&lt;=0,"",IFERROR(J35/F35-1,"")))</f>
        <v/>
      </c>
      <c r="K36" s="15">
        <f>IF(OR(K35="",G35=""),"",IF(G35&lt;=0,"",IFERROR(K35/G35-1,"")))</f>
        <v/>
      </c>
      <c r="L36" s="15">
        <f>IF(OR(L35="",H35=""),"",IF(H35&lt;=0,"",IFERROR(L35/H35-1,"")))</f>
        <v/>
      </c>
      <c r="M36" s="15">
        <f>IF(OR(M35="",I35=""),"",IF(I35&lt;=0,"",IFERROR(M35/I35-1,"")))</f>
        <v/>
      </c>
      <c r="N36" s="15">
        <f>IF(OR(N35="",J35=""),"",IF(J35&lt;=0,"",IFERROR(N35/J35-1,"")))</f>
        <v/>
      </c>
      <c r="O36" s="14" t="n"/>
      <c r="P36" s="15">
        <f>IF(OR(P35="",O35=""),"",IF(O35&lt;=0,"",IFERROR(P35/O35-1,"")))</f>
        <v/>
      </c>
      <c r="Q36" s="15">
        <f>IF(OR(Q35="",P35=""),"",IF(P35&lt;=0,"",IFERROR(Q35/P35-1,"")))</f>
        <v/>
      </c>
      <c r="R36" s="15">
        <f>IF(OR(R35="",Q35=""),"",IF(Q35&lt;=0,"",IFERROR(R35/Q35-1,"")))</f>
        <v/>
      </c>
      <c r="S36" s="15">
        <f>IF(OR(S35="",R35=""),"",IF(R35&lt;=0,"",IFERROR(S35/R35-1,"")))</f>
        <v/>
      </c>
      <c r="T36" s="15">
        <f>IF(OR(T35="",S35=""),"",IF(S35&lt;=0,"",IFERROR(T35/S35-1,"")))</f>
        <v/>
      </c>
      <c r="U36" s="15">
        <f>IF(OR(U35="",T35=""),"",IF(T35&lt;=0,"",IFERROR(U35/T35-1,"")))</f>
        <v/>
      </c>
      <c r="V36" s="15">
        <f>IF(OR(V35="",U35=""),"",IF(U35&lt;=0,"",IFERROR(V35/U35-1,"")))</f>
        <v/>
      </c>
      <c r="W36" s="15">
        <f>IF(OR(W35="",V35=""),"",IF(V35&lt;=0,"",IFERROR(W35/V35-1,"")))</f>
        <v/>
      </c>
      <c r="X36" s="15">
        <f>IF(OR(X35="",W35=""),"",IF(W35&lt;=0,"",IFERROR(X35/W35-1,"")))</f>
        <v/>
      </c>
      <c r="Y36" s="14">
        <f>IF(OR(Y35="",X35=""),"",IF(X35&lt;=0,"",IFERROR(Y35/X35-1,"")))</f>
        <v/>
      </c>
      <c r="Z36" s="15">
        <f>IF(OR(Z35="",Y35=""),"",IF(Y35&lt;=0,"",IFERROR(Z35/Y35-1,"")))</f>
        <v/>
      </c>
      <c r="AA36" s="15">
        <f>IF(OR(AA35="",Z35=""),"",IF(Z35&lt;=0,"",IFERROR(AA35/Z35-1,"")))</f>
        <v/>
      </c>
      <c r="AB36" s="15">
        <f>IF(OR(AB35="",AA35=""),"",IF(AA35&lt;=0,"",IFERROR(AB35/AA35-1,"")))</f>
        <v/>
      </c>
      <c r="AC36" s="15">
        <f>IF(OR(AC35="",AB35=""),"",IF(AB35&lt;=0,"",IFERROR(AC35/AB35-1,"")))</f>
        <v/>
      </c>
    </row>
    <row r="37">
      <c r="A37" s="9" t="inlineStr">
        <is>
          <t>영업이익</t>
        </is>
      </c>
      <c r="B37" s="10" t="inlineStr">
        <is>
          <t>MW = 매출 × OPM</t>
        </is>
      </c>
      <c r="C37" s="11" t="n">
        <v>177609</v>
      </c>
      <c r="D37" s="12" t="n">
        <v>141510</v>
      </c>
      <c r="E37" s="12" t="n">
        <v>191023</v>
      </c>
      <c r="F37" s="12" t="n">
        <v>214680</v>
      </c>
      <c r="G37" s="12" t="n">
        <v>178736</v>
      </c>
      <c r="H37" s="12" t="n">
        <v>157666</v>
      </c>
      <c r="I37" s="12" t="n">
        <v>166803</v>
      </c>
      <c r="J37" s="12" t="n">
        <v>167132</v>
      </c>
      <c r="K37" s="12" t="n">
        <v>164091</v>
      </c>
      <c r="L37" s="12" t="n">
        <v>137178</v>
      </c>
      <c r="M37" s="12" t="n">
        <v>173798</v>
      </c>
      <c r="N37" s="12" t="n">
        <v>212120</v>
      </c>
      <c r="O37" s="11" t="n">
        <v>238617</v>
      </c>
      <c r="P37" s="12" t="n">
        <v>336822</v>
      </c>
      <c r="Q37" s="12" t="n">
        <v>403705</v>
      </c>
      <c r="R37" s="12" t="n">
        <v>406041</v>
      </c>
      <c r="S37" s="12" t="n">
        <v>392213</v>
      </c>
      <c r="T37" s="12" t="n">
        <v>676322</v>
      </c>
      <c r="U37" s="12" t="n">
        <v>998202</v>
      </c>
      <c r="V37" s="12" t="n">
        <v>701038</v>
      </c>
      <c r="W37" s="12" t="n">
        <v>742105</v>
      </c>
      <c r="X37" s="12" t="n">
        <v>635204</v>
      </c>
      <c r="Y37" s="11">
        <f>IF(OR(Y4="",Y38=""),"",IFERROR(Y4*Y38,""))</f>
        <v/>
      </c>
      <c r="Z37" s="12">
        <f>IF(OR(Z4="",Z38=""),"",IFERROR(Z4*Z38,""))</f>
        <v/>
      </c>
      <c r="AA37" s="12">
        <f>IF(OR(AA4="",AA38=""),"",IFERROR(AA4*AA38,""))</f>
        <v/>
      </c>
      <c r="AB37" s="12">
        <f>IF(OR(AB4="",AB38=""),"",IFERROR(AB4*AB38,""))</f>
        <v/>
      </c>
      <c r="AC37" s="12">
        <f>IF(OR(AC4="",AC38=""),"",IFERROR(AC4*AC38,""))</f>
        <v/>
      </c>
    </row>
    <row r="38">
      <c r="A38" s="13" t="inlineStr">
        <is>
          <t>OPM</t>
        </is>
      </c>
      <c r="B38" s="10" t="inlineStr">
        <is>
          <t>MW 입력</t>
        </is>
      </c>
      <c r="C38" s="14">
        <f>IF(OR(C37="",C4=""),"",IFERROR(C37/C4,""))</f>
        <v/>
      </c>
      <c r="D38" s="15">
        <f>IF(OR(D37="",D4=""),"",IFERROR(D37/D4,""))</f>
        <v/>
      </c>
      <c r="E38" s="15">
        <f>IF(OR(E37="",E4=""),"",IFERROR(E37/E4,""))</f>
        <v/>
      </c>
      <c r="F38" s="15">
        <f>IF(OR(F37="",F4=""),"",IFERROR(F37/F4,""))</f>
        <v/>
      </c>
      <c r="G38" s="15">
        <f>IF(OR(G37="",G4=""),"",IFERROR(G37/G4,""))</f>
        <v/>
      </c>
      <c r="H38" s="15">
        <f>IF(OR(H37="",H4=""),"",IFERROR(H37/H4,""))</f>
        <v/>
      </c>
      <c r="I38" s="15">
        <f>IF(OR(I37="",I4=""),"",IFERROR(I37/I4,""))</f>
        <v/>
      </c>
      <c r="J38" s="15">
        <f>IF(OR(J37="",J4=""),"",IFERROR(J37/J4,""))</f>
        <v/>
      </c>
      <c r="K38" s="15">
        <f>IF(OR(K37="",K4=""),"",IFERROR(K37/K4,""))</f>
        <v/>
      </c>
      <c r="L38" s="15">
        <f>IF(OR(L37="",L4=""),"",IFERROR(L37/L4,""))</f>
        <v/>
      </c>
      <c r="M38" s="15">
        <f>IF(OR(M37="",M4=""),"",IFERROR(M37/M4,""))</f>
        <v/>
      </c>
      <c r="N38" s="15">
        <f>IF(OR(N37="",N4=""),"",IFERROR(N37/N4,""))</f>
        <v/>
      </c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25" t="n"/>
      <c r="Z38" s="26" t="n"/>
      <c r="AA38" s="26" t="n"/>
      <c r="AB38" s="26" t="n"/>
      <c r="AC38" s="26" t="n"/>
    </row>
    <row r="39">
      <c r="A39" s="13" t="inlineStr">
        <is>
          <t>증가율</t>
        </is>
      </c>
      <c r="B39" s="10" t="n"/>
      <c r="C39" s="14" t="n"/>
      <c r="D39" s="15" t="n"/>
      <c r="E39" s="15" t="n"/>
      <c r="F39" s="15" t="n"/>
      <c r="G39" s="15">
        <f>IF(OR(G37="",C37=""),"",IFERROR(G37/C37-1,""))</f>
        <v/>
      </c>
      <c r="H39" s="15">
        <f>IF(OR(H37="",D37=""),"",IFERROR(H37/D37-1,""))</f>
        <v/>
      </c>
      <c r="I39" s="15">
        <f>IF(OR(I37="",E37=""),"",IFERROR(I37/E37-1,""))</f>
        <v/>
      </c>
      <c r="J39" s="15">
        <f>IF(OR(J37="",F37=""),"",IFERROR(J37/F37-1,""))</f>
        <v/>
      </c>
      <c r="K39" s="15">
        <f>IF(OR(K37="",G37=""),"",IFERROR(K37/G37-1,""))</f>
        <v/>
      </c>
      <c r="L39" s="15">
        <f>IF(OR(L37="",H37=""),"",IFERROR(L37/H37-1,""))</f>
        <v/>
      </c>
      <c r="M39" s="15">
        <f>IF(OR(M37="",I37=""),"",IFERROR(M37/I37-1,""))</f>
        <v/>
      </c>
      <c r="N39" s="15">
        <f>IF(OR(N37="",J37=""),"",IFERROR(N37/J37-1,""))</f>
        <v/>
      </c>
      <c r="O39" s="14" t="n"/>
      <c r="P39" s="15">
        <f>IF(OR(P37="",O37=""),"",IFERROR(P37/O37-1,""))</f>
        <v/>
      </c>
      <c r="Q39" s="15">
        <f>IF(OR(Q37="",P37=""),"",IFERROR(Q37/P37-1,""))</f>
        <v/>
      </c>
      <c r="R39" s="15">
        <f>IF(OR(R37="",Q37=""),"",IFERROR(R37/Q37-1,""))</f>
        <v/>
      </c>
      <c r="S39" s="15">
        <f>IF(OR(S37="",R37=""),"",IFERROR(S37/R37-1,""))</f>
        <v/>
      </c>
      <c r="T39" s="15">
        <f>IF(OR(T37="",S37=""),"",IFERROR(T37/S37-1,""))</f>
        <v/>
      </c>
      <c r="U39" s="15">
        <f>IF(OR(U37="",T37=""),"",IFERROR(U37/T37-1,""))</f>
        <v/>
      </c>
      <c r="V39" s="15">
        <f>IF(OR(V37="",U37=""),"",IFERROR(V37/U37-1,""))</f>
        <v/>
      </c>
      <c r="W39" s="15">
        <f>IF(OR(W37="",V37=""),"",IFERROR(W37/V37-1,""))</f>
        <v/>
      </c>
      <c r="X39" s="15">
        <f>IF(OR(X37="",W37=""),"",IFERROR(X37/W37-1,""))</f>
        <v/>
      </c>
      <c r="Y39" s="14">
        <f>IF(OR(Y37="",X37=""),"",IFERROR(Y37/X37-1,""))</f>
        <v/>
      </c>
      <c r="Z39" s="15">
        <f>IF(OR(Z37="",Y37=""),"",IFERROR(Z37/Y37-1,""))</f>
        <v/>
      </c>
      <c r="AA39" s="15">
        <f>IF(OR(AA37="",Z37=""),"",IFERROR(AA37/Z37-1,""))</f>
        <v/>
      </c>
      <c r="AB39" s="15">
        <f>IF(OR(AB37="",AA37=""),"",IFERROR(AB37/AA37-1,""))</f>
        <v/>
      </c>
      <c r="AC39" s="15">
        <f>IF(OR(AC37="",AB37=""),"",IFERROR(AC37/AB37-1,""))</f>
        <v/>
      </c>
    </row>
    <row r="40">
      <c r="A40" s="16" t="inlineStr">
        <is>
          <t>비용의 성격별 분류</t>
        </is>
      </c>
      <c r="B40" s="16" t="inlineStr">
        <is>
          <t>참고 데이터</t>
        </is>
      </c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9" t="inlineStr">
        <is>
          <t>총 판관비</t>
        </is>
      </c>
      <c r="B41" s="10" t="n"/>
      <c r="C41" s="11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1">
        <f>IF(O35="","",O35)</f>
        <v/>
      </c>
      <c r="P41" s="12">
        <f>IF(P35="","",P35)</f>
        <v/>
      </c>
      <c r="Q41" s="12">
        <f>IF(Q35="","",Q35)</f>
        <v/>
      </c>
      <c r="R41" s="12">
        <f>IF(R35="","",R35)</f>
        <v/>
      </c>
      <c r="S41" s="12">
        <f>IF(S35="","",S35)</f>
        <v/>
      </c>
      <c r="T41" s="12">
        <f>IF(T35="","",T35)</f>
        <v/>
      </c>
      <c r="U41" s="12">
        <f>IF(U35="","",U35)</f>
        <v/>
      </c>
      <c r="V41" s="12">
        <f>IF(V35="","",V35)</f>
        <v/>
      </c>
      <c r="W41" s="12">
        <f>IF(W35="","",W35)</f>
        <v/>
      </c>
      <c r="X41" s="12">
        <f>IF(X35="","",X35)</f>
        <v/>
      </c>
      <c r="Y41" s="11" t="n"/>
      <c r="Z41" s="12" t="n"/>
      <c r="AA41" s="12" t="n"/>
      <c r="AB41" s="12" t="n"/>
      <c r="AC41" s="12" t="n"/>
    </row>
    <row r="42">
      <c r="A42" s="18" t="inlineStr">
        <is>
          <t>급여</t>
        </is>
      </c>
      <c r="B42" s="10" t="inlineStr">
        <is>
          <t>고정비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감가상각비</t>
        </is>
      </c>
      <c r="B44" s="10" t="inlineStr">
        <is>
          <t>고정비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8" t="inlineStr">
        <is>
          <t>지급수수료</t>
        </is>
      </c>
      <c r="B46" s="10" t="inlineStr">
        <is>
          <t>고정비</t>
        </is>
      </c>
      <c r="C46" s="19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19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19" t="n"/>
      <c r="Z46" s="20" t="n"/>
      <c r="AA46" s="20" t="n"/>
      <c r="AB46" s="20" t="n"/>
      <c r="AC46" s="20" t="n"/>
    </row>
    <row r="47">
      <c r="A47" s="13" t="inlineStr">
        <is>
          <t>% of Sales</t>
        </is>
      </c>
      <c r="B47" s="10" t="n"/>
      <c r="C47" s="14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14" t="n"/>
      <c r="Z47" s="15" t="n"/>
      <c r="AA47" s="15" t="n"/>
      <c r="AB47" s="15" t="n"/>
      <c r="AC47" s="15" t="n"/>
    </row>
    <row r="48">
      <c r="A48" s="18" t="inlineStr">
        <is>
          <t>연구개발비</t>
        </is>
      </c>
      <c r="B48" s="10" t="inlineStr">
        <is>
          <t>변동비</t>
        </is>
      </c>
      <c r="C48" s="19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19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19" t="n"/>
      <c r="Z48" s="20" t="n"/>
      <c r="AA48" s="20" t="n"/>
      <c r="AB48" s="20" t="n"/>
      <c r="AC48" s="20" t="n"/>
    </row>
    <row r="49">
      <c r="A49" s="13" t="inlineStr">
        <is>
          <t>% of Sales</t>
        </is>
      </c>
      <c r="B49" s="10" t="n"/>
      <c r="C49" s="14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4">
        <f>IF(OR(O48="",O4=""),"",IFERROR(O48/O4,""))</f>
        <v/>
      </c>
      <c r="P49" s="15">
        <f>IF(OR(P48="",P4=""),"",IFERROR(P48/P4,""))</f>
        <v/>
      </c>
      <c r="Q49" s="15">
        <f>IF(OR(Q48="",Q4=""),"",IFERROR(Q48/Q4,""))</f>
        <v/>
      </c>
      <c r="R49" s="15">
        <f>IF(OR(R48="",R4=""),"",IFERROR(R48/R4,""))</f>
        <v/>
      </c>
      <c r="S49" s="15">
        <f>IF(OR(S48="",S4=""),"",IFERROR(S48/S4,""))</f>
        <v/>
      </c>
      <c r="T49" s="15">
        <f>IF(OR(T48="",T4=""),"",IFERROR(T48/T4,""))</f>
        <v/>
      </c>
      <c r="U49" s="15">
        <f>IF(OR(U48="",U4=""),"",IFERROR(U48/U4,""))</f>
        <v/>
      </c>
      <c r="V49" s="15">
        <f>IF(OR(V48="",V4=""),"",IFERROR(V48/V4,""))</f>
        <v/>
      </c>
      <c r="W49" s="15">
        <f>IF(OR(W48="",W4=""),"",IFERROR(W48/W4,""))</f>
        <v/>
      </c>
      <c r="X49" s="15">
        <f>IF(OR(X48="",X4=""),"",IFERROR(X48/X4,""))</f>
        <v/>
      </c>
      <c r="Y49" s="14" t="n"/>
      <c r="Z49" s="15" t="n"/>
      <c r="AA49" s="15" t="n"/>
      <c r="AB49" s="15" t="n"/>
      <c r="AC49" s="15" t="n"/>
    </row>
    <row r="50">
      <c r="A50" s="18" t="inlineStr">
        <is>
          <t>기타비용</t>
        </is>
      </c>
      <c r="B50" s="10" t="inlineStr">
        <is>
          <t>변동비</t>
        </is>
      </c>
      <c r="C50" s="19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19">
        <f>IF(OR(O41="",O42="",O44="",O46="",O48=""),"",IFERROR(O41-O42-O44-O46-O48,""))</f>
        <v/>
      </c>
      <c r="P50" s="20">
        <f>IF(OR(P41="",P42="",P44="",P46="",P48=""),"",IFERROR(P41-P42-P44-P46-P48,""))</f>
        <v/>
      </c>
      <c r="Q50" s="20">
        <f>IF(OR(Q41="",Q42="",Q44="",Q46="",Q48=""),"",IFERROR(Q41-Q42-Q44-Q46-Q48,""))</f>
        <v/>
      </c>
      <c r="R50" s="20">
        <f>IF(OR(R41="",R42="",R44="",R46="",R48=""),"",IFERROR(R41-R42-R44-R46-R48,""))</f>
        <v/>
      </c>
      <c r="S50" s="20">
        <f>IF(OR(S41="",S42="",S44="",S46="",S48=""),"",IFERROR(S41-S42-S44-S46-S48,""))</f>
        <v/>
      </c>
      <c r="T50" s="20">
        <f>IF(OR(T41="",T42="",T44="",T46="",T48=""),"",IFERROR(T41-T42-T44-T46-T48,""))</f>
        <v/>
      </c>
      <c r="U50" s="20">
        <f>IF(OR(U41="",U42="",U44="",U46="",U48=""),"",IFERROR(U41-U42-U44-U46-U48,""))</f>
        <v/>
      </c>
      <c r="V50" s="20">
        <f>IF(OR(V41="",V42="",V44="",V46="",V48=""),"",IFERROR(V41-V42-V44-V46-V48,""))</f>
        <v/>
      </c>
      <c r="W50" s="20">
        <f>IF(OR(W41="",W42="",W44="",W46="",W48=""),"",IFERROR(W41-W42-W44-W46-W48,""))</f>
        <v/>
      </c>
      <c r="X50" s="20">
        <f>IF(OR(X41="",X42="",X44="",X46="",X48=""),"",IFERROR(X41-X42-X44-X46-X48,""))</f>
        <v/>
      </c>
      <c r="Y50" s="19" t="n"/>
      <c r="Z50" s="20" t="n"/>
      <c r="AA50" s="20" t="n"/>
      <c r="AB50" s="20" t="n"/>
      <c r="AC50" s="20" t="n"/>
    </row>
    <row r="51">
      <c r="A51" s="13" t="inlineStr">
        <is>
          <t>% of Sales</t>
        </is>
      </c>
      <c r="B51" s="10" t="n"/>
      <c r="C51" s="14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14" t="n"/>
      <c r="Z51" s="15" t="n"/>
      <c r="AA51" s="15" t="n"/>
      <c r="AB51" s="15" t="n"/>
      <c r="AC51" s="15" t="n"/>
    </row>
    <row r="52">
      <c r="A52" s="16" t="inlineStr">
        <is>
          <t>당기순이익 추정</t>
        </is>
      </c>
      <c r="B52" s="16" t="n"/>
      <c r="C52" s="17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7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7" t="n"/>
      <c r="Z52" s="16" t="n"/>
      <c r="AA52" s="16" t="n"/>
      <c r="AB52" s="16" t="n"/>
      <c r="AC52" s="16" t="n"/>
    </row>
    <row r="53">
      <c r="A53" s="18" t="inlineStr">
        <is>
          <t>특별이익</t>
        </is>
      </c>
      <c r="B53" s="10" t="n"/>
      <c r="C53" s="19" t="n">
        <v>1602</v>
      </c>
      <c r="D53" s="20" t="n">
        <v>9651</v>
      </c>
      <c r="E53" s="20" t="n">
        <v>950</v>
      </c>
      <c r="F53" s="20" t="n">
        <v>6381</v>
      </c>
      <c r="G53" s="20" t="n">
        <v>8931</v>
      </c>
      <c r="H53" s="20" t="n">
        <v>163</v>
      </c>
      <c r="I53" s="20" t="n">
        <v>2924</v>
      </c>
      <c r="J53" s="20" t="n">
        <v>6741</v>
      </c>
      <c r="K53" s="20" t="n">
        <v>839</v>
      </c>
      <c r="L53" s="20" t="n">
        <v>68</v>
      </c>
      <c r="M53" s="20" t="n">
        <v>2271</v>
      </c>
      <c r="N53" s="20" t="n">
        <v>3969</v>
      </c>
      <c r="O53" s="19" t="n"/>
      <c r="P53" s="20" t="n"/>
      <c r="Q53" s="20" t="n">
        <v>0</v>
      </c>
      <c r="R53" s="20" t="n">
        <v>7774</v>
      </c>
      <c r="S53" s="20" t="n">
        <v>0</v>
      </c>
      <c r="T53" s="20" t="n">
        <v>1703</v>
      </c>
      <c r="U53" s="20" t="n">
        <v>0</v>
      </c>
      <c r="V53" s="20" t="n">
        <v>23602</v>
      </c>
      <c r="W53" s="20" t="n">
        <v>16425</v>
      </c>
      <c r="X53" s="20" t="n">
        <v>10572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inlineStr">
        <is>
          <t>MW = 최근 3년 평균</t>
        </is>
      </c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18" t="inlineStr">
        <is>
          <t>특별손실</t>
        </is>
      </c>
      <c r="B55" s="10" t="n"/>
      <c r="C55" s="19" t="n"/>
      <c r="D55" s="20" t="n">
        <v>45</v>
      </c>
      <c r="E55" s="20" t="n"/>
      <c r="F55" s="20" t="n"/>
      <c r="G55" s="20" t="n"/>
      <c r="H55" s="20" t="n">
        <v>10739</v>
      </c>
      <c r="I55" s="20" t="n"/>
      <c r="J55" s="20" t="n"/>
      <c r="K55" s="20" t="n"/>
      <c r="L55" s="20" t="n"/>
      <c r="M55" s="20" t="n"/>
      <c r="N55" s="20" t="n"/>
      <c r="O55" s="19" t="n"/>
      <c r="P55" s="20" t="n"/>
      <c r="Q55" s="20" t="n"/>
      <c r="R55" s="20" t="n">
        <v>0</v>
      </c>
      <c r="S55" s="20" t="n">
        <v>2955</v>
      </c>
      <c r="T55" s="20" t="n">
        <v>0</v>
      </c>
      <c r="U55" s="20" t="n">
        <v>0</v>
      </c>
      <c r="V55" s="20" t="n">
        <v>15157</v>
      </c>
      <c r="W55" s="20" t="n">
        <v>10739</v>
      </c>
      <c r="X55" s="20" t="n">
        <v>10365</v>
      </c>
      <c r="Y55" s="19">
        <f>IF(OR(Y4="",Y56=""),"",IFERROR(Y4*Y56,""))</f>
        <v/>
      </c>
      <c r="Z55" s="20">
        <f>IF(OR(Z4="",Z56=""),"",IFERROR(Z4*Z56,""))</f>
        <v/>
      </c>
      <c r="AA55" s="20">
        <f>IF(OR(AA4="",AA56=""),"",IFERROR(AA4*AA56,""))</f>
        <v/>
      </c>
      <c r="AB55" s="20">
        <f>IF(OR(AB4="",AB56=""),"",IFERROR(AB4*AB56,""))</f>
        <v/>
      </c>
      <c r="AC55" s="20">
        <f>IF(OR(AC4="",AC56=""),"",IFERROR(AC4*AC56,""))</f>
        <v/>
      </c>
    </row>
    <row r="56">
      <c r="A56" s="13" t="inlineStr">
        <is>
          <t>% of Sales</t>
        </is>
      </c>
      <c r="B56" s="10" t="n"/>
      <c r="C56" s="14">
        <f>IF(OR(C55="",C4=""),"",IFERROR(C55/C4,""))</f>
        <v/>
      </c>
      <c r="D56" s="15">
        <f>IF(OR(D55="",D4=""),"",IFERROR(D55/D4,""))</f>
        <v/>
      </c>
      <c r="E56" s="15">
        <f>IF(OR(E55="",E4=""),"",IFERROR(E55/E4,""))</f>
        <v/>
      </c>
      <c r="F56" s="15">
        <f>IF(OR(F55="",F4=""),"",IFERROR(F55/F4,""))</f>
        <v/>
      </c>
      <c r="G56" s="15">
        <f>IF(OR(G55="",G4=""),"",IFERROR(G55/G4,""))</f>
        <v/>
      </c>
      <c r="H56" s="15">
        <f>IF(OR(H55="",H4=""),"",IFERROR(H55/H4,""))</f>
        <v/>
      </c>
      <c r="I56" s="15">
        <f>IF(OR(I55="",I4=""),"",IFERROR(I55/I4,""))</f>
        <v/>
      </c>
      <c r="J56" s="15">
        <f>IF(OR(J55="",J4=""),"",IFERROR(J55/J4,""))</f>
        <v/>
      </c>
      <c r="K56" s="15">
        <f>IF(OR(K55="",K4=""),"",IFERROR(K55/K4,""))</f>
        <v/>
      </c>
      <c r="L56" s="15">
        <f>IF(OR(L55="",L4=""),"",IFERROR(L55/L4,""))</f>
        <v/>
      </c>
      <c r="M56" s="15">
        <f>IF(OR(M55="",M4=""),"",IFERROR(M55/M4,""))</f>
        <v/>
      </c>
      <c r="N56" s="15">
        <f>IF(OR(N55="",N4=""),"",IFERROR(N55/N4,""))</f>
        <v/>
      </c>
      <c r="O56" s="14">
        <f>IF(OR(O55="",O4=""),"",IFERROR(O55/O4,""))</f>
        <v/>
      </c>
      <c r="P56" s="15">
        <f>IF(OR(P55="",P4=""),"",IFERROR(P55/P4,""))</f>
        <v/>
      </c>
      <c r="Q56" s="15">
        <f>IF(OR(Q55="",Q4=""),"",IFERROR(Q55/Q4,""))</f>
        <v/>
      </c>
      <c r="R56" s="15">
        <f>IF(OR(R55="",R4=""),"",IFERROR(R55/R4,""))</f>
        <v/>
      </c>
      <c r="S56" s="15">
        <f>IF(OR(S55="",S4=""),"",IFERROR(S55/S4,""))</f>
        <v/>
      </c>
      <c r="T56" s="15">
        <f>IF(OR(T55="",T4=""),"",IFERROR(T55/T4,""))</f>
        <v/>
      </c>
      <c r="U56" s="15">
        <f>IF(OR(U55="",U4=""),"",IFERROR(U55/U4,""))</f>
        <v/>
      </c>
      <c r="V56" s="15">
        <f>IF(OR(V55="",V4=""),"",IFERROR(V55/V4,""))</f>
        <v/>
      </c>
      <c r="W56" s="15">
        <f>IF(OR(W55="",W4=""),"",IFERROR(W55/W4,""))</f>
        <v/>
      </c>
      <c r="X56" s="15">
        <f>IF(OR(X55="",X4=""),"",IFERROR(X55/X4,""))</f>
        <v/>
      </c>
      <c r="Y56" s="25">
        <f>IFERROR(AVERAGE(V56,W56,X56),"")</f>
        <v/>
      </c>
      <c r="Z56" s="26">
        <f>Y56</f>
        <v/>
      </c>
      <c r="AA56" s="26">
        <f>Z56</f>
        <v/>
      </c>
      <c r="AB56" s="26">
        <f>AA56</f>
        <v/>
      </c>
      <c r="AC56" s="26">
        <f>AB56</f>
        <v/>
      </c>
    </row>
    <row r="57">
      <c r="A57" s="18" t="inlineStr">
        <is>
          <t>영업외수익</t>
        </is>
      </c>
      <c r="B57" s="10" t="n"/>
      <c r="C57" s="19" t="n">
        <v>11612</v>
      </c>
      <c r="D57" s="20" t="n">
        <v>37178</v>
      </c>
      <c r="E57" s="20" t="n">
        <v>32401</v>
      </c>
      <c r="F57" s="20" t="n">
        <v>19369</v>
      </c>
      <c r="G57" s="20" t="n">
        <v>26338</v>
      </c>
      <c r="H57" s="20" t="n">
        <v>24798</v>
      </c>
      <c r="I57" s="20" t="n">
        <v>21661</v>
      </c>
      <c r="J57" s="20" t="n">
        <v>18528</v>
      </c>
      <c r="K57" s="20" t="n">
        <v>25057</v>
      </c>
      <c r="L57" s="20" t="n">
        <v>23155</v>
      </c>
      <c r="M57" s="20" t="n">
        <v>22878</v>
      </c>
      <c r="N57" s="20" t="n">
        <v>20956</v>
      </c>
      <c r="O57" s="19" t="n">
        <v>12200</v>
      </c>
      <c r="P57" s="20" t="n">
        <v>17172</v>
      </c>
      <c r="Q57" s="20" t="n">
        <v>23277</v>
      </c>
      <c r="R57" s="20" t="n">
        <v>24541</v>
      </c>
      <c r="S57" s="20" t="n">
        <v>21316</v>
      </c>
      <c r="T57" s="20" t="n">
        <v>28567</v>
      </c>
      <c r="U57" s="20" t="n">
        <v>35090</v>
      </c>
      <c r="V57" s="20" t="n">
        <v>98316</v>
      </c>
      <c r="W57" s="20" t="n">
        <v>102906</v>
      </c>
      <c r="X57" s="20" t="n">
        <v>88401</v>
      </c>
      <c r="Y57" s="19">
        <f>IF(OR(Y4="",Y58=""),"",IFERROR(Y4*Y58,""))</f>
        <v/>
      </c>
      <c r="Z57" s="20">
        <f>IF(OR(Z4="",Z58=""),"",IFERROR(Z4*Z58,""))</f>
        <v/>
      </c>
      <c r="AA57" s="20">
        <f>IF(OR(AA4="",AA58=""),"",IFERROR(AA4*AA58,""))</f>
        <v/>
      </c>
      <c r="AB57" s="20">
        <f>IF(OR(AB4="",AB58=""),"",IFERROR(AB4*AB58,""))</f>
        <v/>
      </c>
      <c r="AC57" s="20">
        <f>IF(OR(AC4="",AC58=""),"",IFERROR(AC4*AC58,""))</f>
        <v/>
      </c>
    </row>
    <row r="58">
      <c r="A58" s="13" t="inlineStr">
        <is>
          <t>% of Sales</t>
        </is>
      </c>
      <c r="B58" s="10" t="n"/>
      <c r="C58" s="14">
        <f>IF(OR(C57="",C4=""),"",IFERROR(C57/C4,""))</f>
        <v/>
      </c>
      <c r="D58" s="15">
        <f>IF(OR(D57="",D4=""),"",IFERROR(D57/D4,""))</f>
        <v/>
      </c>
      <c r="E58" s="15">
        <f>IF(OR(E57="",E4=""),"",IFERROR(E57/E4,""))</f>
        <v/>
      </c>
      <c r="F58" s="15">
        <f>IF(OR(F57="",F4=""),"",IFERROR(F57/F4,""))</f>
        <v/>
      </c>
      <c r="G58" s="15">
        <f>IF(OR(G57="",G4=""),"",IFERROR(G57/G4,""))</f>
        <v/>
      </c>
      <c r="H58" s="15">
        <f>IF(OR(H57="",H4=""),"",IFERROR(H57/H4,""))</f>
        <v/>
      </c>
      <c r="I58" s="15">
        <f>IF(OR(I57="",I4=""),"",IFERROR(I57/I4,""))</f>
        <v/>
      </c>
      <c r="J58" s="15">
        <f>IF(OR(J57="",J4=""),"",IFERROR(J57/J4,""))</f>
        <v/>
      </c>
      <c r="K58" s="15">
        <f>IF(OR(K57="",K4=""),"",IFERROR(K57/K4,""))</f>
        <v/>
      </c>
      <c r="L58" s="15">
        <f>IF(OR(L57="",L4=""),"",IFERROR(L57/L4,""))</f>
        <v/>
      </c>
      <c r="M58" s="15">
        <f>IF(OR(M57="",M4=""),"",IFERROR(M57/M4,""))</f>
        <v/>
      </c>
      <c r="N58" s="15">
        <f>IF(OR(N57="",N4=""),"",IFERROR(N57/N4,""))</f>
        <v/>
      </c>
      <c r="O58" s="14">
        <f>IF(OR(O57="",O4=""),"",IFERROR(O57/O4,""))</f>
        <v/>
      </c>
      <c r="P58" s="15">
        <f>IF(OR(P57="",P4=""),"",IFERROR(P57/P4,""))</f>
        <v/>
      </c>
      <c r="Q58" s="15">
        <f>IF(OR(Q57="",Q4=""),"",IFERROR(Q57/Q4,""))</f>
        <v/>
      </c>
      <c r="R58" s="15">
        <f>IF(OR(R57="",R4=""),"",IFERROR(R57/R4,""))</f>
        <v/>
      </c>
      <c r="S58" s="15">
        <f>IF(OR(S57="",S4=""),"",IFERROR(S57/S4,""))</f>
        <v/>
      </c>
      <c r="T58" s="15">
        <f>IF(OR(T57="",T4=""),"",IFERROR(T57/T4,""))</f>
        <v/>
      </c>
      <c r="U58" s="15">
        <f>IF(OR(U57="",U4=""),"",IFERROR(U57/U4,""))</f>
        <v/>
      </c>
      <c r="V58" s="15">
        <f>IF(OR(V57="",V4=""),"",IFERROR(V57/V4,""))</f>
        <v/>
      </c>
      <c r="W58" s="15">
        <f>IF(OR(W57="",W4=""),"",IFERROR(W57/W4,""))</f>
        <v/>
      </c>
      <c r="X58" s="15">
        <f>IF(OR(X57="",X4=""),"",IFERROR(X57/X4,""))</f>
        <v/>
      </c>
      <c r="Y58" s="25">
        <f>IFERROR(AVERAGE(V58,W58,X58),"")</f>
        <v/>
      </c>
      <c r="Z58" s="26">
        <f>Y58</f>
        <v/>
      </c>
      <c r="AA58" s="26">
        <f>Z58</f>
        <v/>
      </c>
      <c r="AB58" s="26">
        <f>AA58</f>
        <v/>
      </c>
      <c r="AC58" s="26">
        <f>AB58</f>
        <v/>
      </c>
    </row>
    <row r="59">
      <c r="A59" s="18" t="inlineStr">
        <is>
          <t>영업외비용</t>
        </is>
      </c>
      <c r="B59" s="10" t="n"/>
      <c r="C59" s="19" t="n">
        <v>997</v>
      </c>
      <c r="D59" s="20" t="n">
        <v>7192</v>
      </c>
      <c r="E59" s="20" t="n">
        <v>3614</v>
      </c>
      <c r="F59" s="20" t="n">
        <v>10935</v>
      </c>
      <c r="G59" s="20" t="n">
        <v>3767</v>
      </c>
      <c r="H59" s="20" t="n">
        <v>6151</v>
      </c>
      <c r="I59" s="20" t="n">
        <v>6843</v>
      </c>
      <c r="J59" s="20" t="n">
        <v>-57</v>
      </c>
      <c r="K59" s="20" t="n">
        <v>-928</v>
      </c>
      <c r="L59" s="20" t="n">
        <v>9465</v>
      </c>
      <c r="M59" s="20" t="n">
        <v>4547</v>
      </c>
      <c r="N59" s="20" t="n">
        <v>10096</v>
      </c>
      <c r="O59" s="19" t="n">
        <v>8684</v>
      </c>
      <c r="P59" s="20" t="n">
        <v>13686</v>
      </c>
      <c r="Q59" s="20" t="n">
        <v>11671</v>
      </c>
      <c r="R59" s="20" t="n">
        <v>12339</v>
      </c>
      <c r="S59" s="20" t="n">
        <v>8428</v>
      </c>
      <c r="T59" s="20" t="n">
        <v>10455</v>
      </c>
      <c r="U59" s="20" t="n">
        <v>13081</v>
      </c>
      <c r="V59" s="20" t="n">
        <v>12126</v>
      </c>
      <c r="W59" s="20" t="n">
        <v>24467</v>
      </c>
      <c r="X59" s="20" t="n">
        <v>15323</v>
      </c>
      <c r="Y59" s="19">
        <f>IF(OR(Y4="",Y60=""),"",IFERROR(Y4*Y60,""))</f>
        <v/>
      </c>
      <c r="Z59" s="20">
        <f>IF(OR(Z4="",Z60=""),"",IFERROR(Z4*Z60,""))</f>
        <v/>
      </c>
      <c r="AA59" s="20">
        <f>IF(OR(AA4="",AA60=""),"",IFERROR(AA4*AA60,""))</f>
        <v/>
      </c>
      <c r="AB59" s="20">
        <f>IF(OR(AB4="",AB60=""),"",IFERROR(AB4*AB60,""))</f>
        <v/>
      </c>
      <c r="AC59" s="20">
        <f>IF(OR(AC4="",AC60=""),"",IFERROR(AC4*AC60,""))</f>
        <v/>
      </c>
    </row>
    <row r="60">
      <c r="A60" s="13" t="inlineStr">
        <is>
          <t>% of Sales</t>
        </is>
      </c>
      <c r="B60" s="10" t="n"/>
      <c r="C60" s="14">
        <f>IF(OR(C59="",C4=""),"",IFERROR(C59/C4,""))</f>
        <v/>
      </c>
      <c r="D60" s="15">
        <f>IF(OR(D59="",D4=""),"",IFERROR(D59/D4,""))</f>
        <v/>
      </c>
      <c r="E60" s="15">
        <f>IF(OR(E59="",E4=""),"",IFERROR(E59/E4,""))</f>
        <v/>
      </c>
      <c r="F60" s="15">
        <f>IF(OR(F59="",F4=""),"",IFERROR(F59/F4,""))</f>
        <v/>
      </c>
      <c r="G60" s="15">
        <f>IF(OR(G59="",G4=""),"",IFERROR(G59/G4,""))</f>
        <v/>
      </c>
      <c r="H60" s="15">
        <f>IF(OR(H59="",H4=""),"",IFERROR(H59/H4,""))</f>
        <v/>
      </c>
      <c r="I60" s="15">
        <f>IF(OR(I59="",I4=""),"",IFERROR(I59/I4,""))</f>
        <v/>
      </c>
      <c r="J60" s="15">
        <f>IF(OR(J59="",J4=""),"",IFERROR(J59/J4,""))</f>
        <v/>
      </c>
      <c r="K60" s="15">
        <f>IF(OR(K59="",K4=""),"",IFERROR(K59/K4,""))</f>
        <v/>
      </c>
      <c r="L60" s="15">
        <f>IF(OR(L59="",L4=""),"",IFERROR(L59/L4,""))</f>
        <v/>
      </c>
      <c r="M60" s="15">
        <f>IF(OR(M59="",M4=""),"",IFERROR(M59/M4,""))</f>
        <v/>
      </c>
      <c r="N60" s="15">
        <f>IF(OR(N59="",N4=""),"",IFERROR(N59/N4,""))</f>
        <v/>
      </c>
      <c r="O60" s="14">
        <f>IF(OR(O59="",O4=""),"",IFERROR(O59/O4,""))</f>
        <v/>
      </c>
      <c r="P60" s="15">
        <f>IF(OR(P59="",P4=""),"",IFERROR(P59/P4,""))</f>
        <v/>
      </c>
      <c r="Q60" s="15">
        <f>IF(OR(Q59="",Q4=""),"",IFERROR(Q59/Q4,""))</f>
        <v/>
      </c>
      <c r="R60" s="15">
        <f>IF(OR(R59="",R4=""),"",IFERROR(R59/R4,""))</f>
        <v/>
      </c>
      <c r="S60" s="15">
        <f>IF(OR(S59="",S4=""),"",IFERROR(S59/S4,""))</f>
        <v/>
      </c>
      <c r="T60" s="15">
        <f>IF(OR(T59="",T4=""),"",IFERROR(T59/T4,""))</f>
        <v/>
      </c>
      <c r="U60" s="15">
        <f>IF(OR(U59="",U4=""),"",IFERROR(U59/U4,""))</f>
        <v/>
      </c>
      <c r="V60" s="15">
        <f>IF(OR(V59="",V4=""),"",IFERROR(V59/V4,""))</f>
        <v/>
      </c>
      <c r="W60" s="15">
        <f>IF(OR(W59="",W4=""),"",IFERROR(W59/W4,""))</f>
        <v/>
      </c>
      <c r="X60" s="15">
        <f>IF(OR(X59="",X4=""),"",IFERROR(X59/X4,""))</f>
        <v/>
      </c>
      <c r="Y60" s="25">
        <f>IFERROR(AVERAGE(V60,W60,X60),"")</f>
        <v/>
      </c>
      <c r="Z60" s="26">
        <f>Y60</f>
        <v/>
      </c>
      <c r="AA60" s="26">
        <f>Z60</f>
        <v/>
      </c>
      <c r="AB60" s="26">
        <f>AA60</f>
        <v/>
      </c>
      <c r="AC60" s="26">
        <f>AB60</f>
        <v/>
      </c>
    </row>
    <row r="61">
      <c r="A61" s="9" t="inlineStr">
        <is>
          <t>법인세비용차감전순이익(손실)</t>
        </is>
      </c>
      <c r="B61" s="10" t="n"/>
      <c r="C61" s="11" t="n">
        <v>174714</v>
      </c>
      <c r="D61" s="12" t="n">
        <v>181102</v>
      </c>
      <c r="E61" s="12" t="n">
        <v>220761</v>
      </c>
      <c r="F61" s="12" t="n">
        <v>229494</v>
      </c>
      <c r="G61" s="12" t="n">
        <v>210238</v>
      </c>
      <c r="H61" s="12" t="n">
        <v>165736</v>
      </c>
      <c r="I61" s="12" t="n">
        <v>184546</v>
      </c>
      <c r="J61" s="12" t="n">
        <v>192459</v>
      </c>
      <c r="K61" s="12" t="n">
        <v>190913</v>
      </c>
      <c r="L61" s="12" t="n">
        <v>140570</v>
      </c>
      <c r="M61" s="12" t="n">
        <v>194401</v>
      </c>
      <c r="N61" s="12" t="n">
        <v>226948</v>
      </c>
      <c r="O61" s="11" t="n">
        <v>242133</v>
      </c>
      <c r="P61" s="12" t="n">
        <v>340308</v>
      </c>
      <c r="Q61" s="12" t="n">
        <v>415311</v>
      </c>
      <c r="R61" s="12" t="n">
        <v>426017</v>
      </c>
      <c r="S61" s="12" t="n">
        <v>402145</v>
      </c>
      <c r="T61" s="12" t="n">
        <v>696137</v>
      </c>
      <c r="U61" s="12" t="n">
        <v>1020211</v>
      </c>
      <c r="V61" s="12" t="n">
        <v>795673</v>
      </c>
      <c r="W61" s="12" t="n">
        <v>826229</v>
      </c>
      <c r="X61" s="12" t="n">
        <v>708488</v>
      </c>
      <c r="Y61" s="11">
        <f>IF(OR(Y37=""),"",IFERROR(Y37+N(Y53)-N(Y55)+N(Y57)-N(Y59),""))</f>
        <v/>
      </c>
      <c r="Z61" s="12">
        <f>IF(OR(Z37=""),"",IFERROR(Z37+N(Z53)-N(Z55)+N(Z57)-N(Z59),""))</f>
        <v/>
      </c>
      <c r="AA61" s="12">
        <f>IF(OR(AA37=""),"",IFERROR(AA37+N(AA53)-N(AA55)+N(AA57)-N(AA59),""))</f>
        <v/>
      </c>
      <c r="AB61" s="12">
        <f>IF(OR(AB37=""),"",IFERROR(AB37+N(AB53)-N(AB55)+N(AB57)-N(AB59),""))</f>
        <v/>
      </c>
      <c r="AC61" s="12">
        <f>IF(OR(AC37=""),"",IFERROR(AC37+N(AC53)-N(AC55)+N(AC57)-N(AC59),""))</f>
        <v/>
      </c>
    </row>
    <row r="62">
      <c r="A62" s="13" t="inlineStr">
        <is>
          <t>YoY</t>
        </is>
      </c>
      <c r="B62" s="10" t="n"/>
      <c r="C62" s="14" t="n"/>
      <c r="D62" s="15" t="n"/>
      <c r="E62" s="15" t="n"/>
      <c r="F62" s="15" t="n"/>
      <c r="G62" s="15">
        <f>IF(OR(G61="",C61=""),"",IF(C61&lt;=0,"",IFERROR(G61/C61-1,"")))</f>
        <v/>
      </c>
      <c r="H62" s="15">
        <f>IF(OR(H61="",D61=""),"",IF(D61&lt;=0,"",IFERROR(H61/D61-1,"")))</f>
        <v/>
      </c>
      <c r="I62" s="15">
        <f>IF(OR(I61="",E61=""),"",IF(E61&lt;=0,"",IFERROR(I61/E61-1,"")))</f>
        <v/>
      </c>
      <c r="J62" s="15">
        <f>IF(OR(J61="",F61=""),"",IF(F61&lt;=0,"",IFERROR(J61/F61-1,"")))</f>
        <v/>
      </c>
      <c r="K62" s="15">
        <f>IF(OR(K61="",G61=""),"",IF(G61&lt;=0,"",IFERROR(K61/G61-1,"")))</f>
        <v/>
      </c>
      <c r="L62" s="15">
        <f>IF(OR(L61="",H61=""),"",IF(H61&lt;=0,"",IFERROR(L61/H61-1,"")))</f>
        <v/>
      </c>
      <c r="M62" s="15">
        <f>IF(OR(M61="",I61=""),"",IF(I61&lt;=0,"",IFERROR(M61/I61-1,"")))</f>
        <v/>
      </c>
      <c r="N62" s="15">
        <f>IF(OR(N61="",J61=""),"",IF(J61&lt;=0,"",IFERROR(N61/J61-1,"")))</f>
        <v/>
      </c>
      <c r="O62" s="14" t="n"/>
      <c r="P62" s="15">
        <f>IF(OR(P61="",O61=""),"",IF(O61&lt;=0,"",IFERROR(P61/O61-1,"")))</f>
        <v/>
      </c>
      <c r="Q62" s="15">
        <f>IF(OR(Q61="",P61=""),"",IF(P61&lt;=0,"",IFERROR(Q61/P61-1,"")))</f>
        <v/>
      </c>
      <c r="R62" s="15">
        <f>IF(OR(R61="",Q61=""),"",IF(Q61&lt;=0,"",IFERROR(R61/Q61-1,"")))</f>
        <v/>
      </c>
      <c r="S62" s="15">
        <f>IF(OR(S61="",R61=""),"",IF(R61&lt;=0,"",IFERROR(S61/R61-1,"")))</f>
        <v/>
      </c>
      <c r="T62" s="15">
        <f>IF(OR(T61="",S61=""),"",IF(S61&lt;=0,"",IFERROR(T61/S61-1,"")))</f>
        <v/>
      </c>
      <c r="U62" s="15">
        <f>IF(OR(U61="",T61=""),"",IF(T61&lt;=0,"",IFERROR(U61/T61-1,"")))</f>
        <v/>
      </c>
      <c r="V62" s="15">
        <f>IF(OR(V61="",U61=""),"",IF(U61&lt;=0,"",IFERROR(V61/U61-1,"")))</f>
        <v/>
      </c>
      <c r="W62" s="15">
        <f>IF(OR(W61="",V61=""),"",IF(V61&lt;=0,"",IFERROR(W61/V61-1,"")))</f>
        <v/>
      </c>
      <c r="X62" s="15">
        <f>IF(OR(X61="",W61=""),"",IF(W61&lt;=0,"",IFERROR(X61/W61-1,"")))</f>
        <v/>
      </c>
      <c r="Y62" s="14">
        <f>IF(OR(Y61="",X61=""),"",IF(X61&lt;=0,"",IFERROR(Y61/X61-1,"")))</f>
        <v/>
      </c>
      <c r="Z62" s="15">
        <f>IF(OR(Z61="",Y61=""),"",IF(Y61&lt;=0,"",IFERROR(Z61/Y61-1,"")))</f>
        <v/>
      </c>
      <c r="AA62" s="15">
        <f>IF(OR(AA61="",Z61=""),"",IF(Z61&lt;=0,"",IFERROR(AA61/Z61-1,"")))</f>
        <v/>
      </c>
      <c r="AB62" s="15">
        <f>IF(OR(AB61="",AA61=""),"",IF(AA61&lt;=0,"",IFERROR(AB61/AA61-1,"")))</f>
        <v/>
      </c>
      <c r="AC62" s="15">
        <f>IF(OR(AC61="",AB61=""),"",IF(AB61&lt;=0,"",IFERROR(AC61/AB61-1,"")))</f>
        <v/>
      </c>
    </row>
    <row r="63">
      <c r="A63" s="18" t="inlineStr">
        <is>
          <t>법인세비용(수익)</t>
        </is>
      </c>
      <c r="B63" s="10" t="n"/>
      <c r="C63" s="19" t="n">
        <v>55906</v>
      </c>
      <c r="D63" s="20" t="n">
        <v>56936</v>
      </c>
      <c r="E63" s="20" t="n">
        <v>66113</v>
      </c>
      <c r="F63" s="20" t="n">
        <v>65895</v>
      </c>
      <c r="G63" s="20" t="n">
        <v>59840</v>
      </c>
      <c r="H63" s="20" t="n">
        <v>54280</v>
      </c>
      <c r="I63" s="20" t="n">
        <v>49883</v>
      </c>
      <c r="J63" s="20" t="n">
        <v>52715</v>
      </c>
      <c r="K63" s="20" t="n">
        <v>56380</v>
      </c>
      <c r="L63" s="20" t="n">
        <v>43220</v>
      </c>
      <c r="M63" s="20" t="n">
        <v>57296</v>
      </c>
      <c r="N63" s="20" t="n">
        <v>63116</v>
      </c>
      <c r="O63" s="19" t="n">
        <v>63823</v>
      </c>
      <c r="P63" s="20" t="n">
        <v>70249</v>
      </c>
      <c r="Q63" s="20" t="n">
        <v>101325</v>
      </c>
      <c r="R63" s="20" t="n">
        <v>107726</v>
      </c>
      <c r="S63" s="20" t="n">
        <v>102968</v>
      </c>
      <c r="T63" s="20" t="n">
        <v>171105</v>
      </c>
      <c r="U63" s="20" t="n">
        <v>256590</v>
      </c>
      <c r="V63" s="20" t="n">
        <v>230513</v>
      </c>
      <c r="W63" s="20" t="n">
        <v>246128</v>
      </c>
      <c r="X63" s="20" t="n">
        <v>202198</v>
      </c>
      <c r="Y63" s="19">
        <f>IF(OR(Y61="",Y64=""),"",IFERROR(MAX(Y61,0)*Y64,""))</f>
        <v/>
      </c>
      <c r="Z63" s="20">
        <f>IF(OR(Z61="",Z64=""),"",IFERROR(MAX(Z61,0)*Z64,""))</f>
        <v/>
      </c>
      <c r="AA63" s="20">
        <f>IF(OR(AA61="",AA64=""),"",IFERROR(MAX(AA61,0)*AA64,""))</f>
        <v/>
      </c>
      <c r="AB63" s="20">
        <f>IF(OR(AB61="",AB64=""),"",IFERROR(MAX(AB61,0)*AB64,""))</f>
        <v/>
      </c>
      <c r="AC63" s="20">
        <f>IF(OR(AC61="",AC64=""),"",IFERROR(MAX(AC61,0)*AC64,""))</f>
        <v/>
      </c>
    </row>
    <row r="64">
      <c r="A64" s="13" t="inlineStr">
        <is>
          <t>법인세율</t>
        </is>
      </c>
      <c r="B64" s="10" t="inlineStr">
        <is>
          <t>MW 기본 30%</t>
        </is>
      </c>
      <c r="C64" s="14">
        <f>IF(OR(C63="",C61=""),"",IFERROR(C63/C61,""))</f>
        <v/>
      </c>
      <c r="D64" s="15">
        <f>IF(OR(D63="",D61=""),"",IFERROR(D63/D61,""))</f>
        <v/>
      </c>
      <c r="E64" s="15">
        <f>IF(OR(E63="",E61=""),"",IFERROR(E63/E61,""))</f>
        <v/>
      </c>
      <c r="F64" s="15">
        <f>IF(OR(F63="",F61=""),"",IFERROR(F63/F61,""))</f>
        <v/>
      </c>
      <c r="G64" s="15">
        <f>IF(OR(G63="",G61=""),"",IFERROR(G63/G61,""))</f>
        <v/>
      </c>
      <c r="H64" s="15">
        <f>IF(OR(H63="",H61=""),"",IFERROR(H63/H61,""))</f>
        <v/>
      </c>
      <c r="I64" s="15">
        <f>IF(OR(I63="",I61=""),"",IFERROR(I63/I61,""))</f>
        <v/>
      </c>
      <c r="J64" s="15">
        <f>IF(OR(J63="",J61=""),"",IFERROR(J63/J61,""))</f>
        <v/>
      </c>
      <c r="K64" s="15">
        <f>IF(OR(K63="",K61=""),"",IFERROR(K63/K61,""))</f>
        <v/>
      </c>
      <c r="L64" s="15">
        <f>IF(OR(L63="",L61=""),"",IFERROR(L63/L61,""))</f>
        <v/>
      </c>
      <c r="M64" s="15">
        <f>IF(OR(M63="",M61=""),"",IFERROR(M63/M61,""))</f>
        <v/>
      </c>
      <c r="N64" s="15">
        <f>IF(OR(N63="",N61=""),"",IFERROR(N63/N61,""))</f>
        <v/>
      </c>
      <c r="O64" s="14">
        <f>IF(OR(O63="",O61=""),"",IFERROR(O63/O61,""))</f>
        <v/>
      </c>
      <c r="P64" s="15">
        <f>IF(OR(P63="",P61=""),"",IFERROR(P63/P61,""))</f>
        <v/>
      </c>
      <c r="Q64" s="15">
        <f>IF(OR(Q63="",Q61=""),"",IFERROR(Q63/Q61,""))</f>
        <v/>
      </c>
      <c r="R64" s="15">
        <f>IF(OR(R63="",R61=""),"",IFERROR(R63/R61,""))</f>
        <v/>
      </c>
      <c r="S64" s="15">
        <f>IF(OR(S63="",S61=""),"",IFERROR(S63/S61,""))</f>
        <v/>
      </c>
      <c r="T64" s="15">
        <f>IF(OR(T63="",T61=""),"",IFERROR(T63/T61,""))</f>
        <v/>
      </c>
      <c r="U64" s="15">
        <f>IF(OR(U63="",U61=""),"",IFERROR(U63/U61,""))</f>
        <v/>
      </c>
      <c r="V64" s="15">
        <f>IF(OR(V63="",V61=""),"",IFERROR(V63/V61,""))</f>
        <v/>
      </c>
      <c r="W64" s="15">
        <f>IF(OR(W63="",W61=""),"",IFERROR(W63/W61,""))</f>
        <v/>
      </c>
      <c r="X64" s="15">
        <f>IF(OR(X63="",X61=""),"",IFERROR(X63/X61,""))</f>
        <v/>
      </c>
      <c r="Y64" s="25" t="n">
        <v>0.3</v>
      </c>
      <c r="Z64" s="26" t="n">
        <v>0.3</v>
      </c>
      <c r="AA64" s="26" t="n">
        <v>0.3</v>
      </c>
      <c r="AB64" s="26" t="n">
        <v>0.3</v>
      </c>
      <c r="AC64" s="26" t="n">
        <v>0.3</v>
      </c>
    </row>
    <row r="65">
      <c r="A65" s="9" t="inlineStr">
        <is>
          <t>당기순이익(손실)</t>
        </is>
      </c>
      <c r="B65" s="10" t="n"/>
      <c r="C65" s="11" t="n">
        <v>118808</v>
      </c>
      <c r="D65" s="12" t="n">
        <v>124166</v>
      </c>
      <c r="E65" s="12" t="n">
        <v>154647</v>
      </c>
      <c r="F65" s="12" t="n">
        <v>163600</v>
      </c>
      <c r="G65" s="12" t="n">
        <v>150398</v>
      </c>
      <c r="H65" s="12" t="n">
        <v>111456</v>
      </c>
      <c r="I65" s="12" t="n">
        <v>134662</v>
      </c>
      <c r="J65" s="12" t="n">
        <v>139744</v>
      </c>
      <c r="K65" s="12" t="n">
        <v>134534</v>
      </c>
      <c r="L65" s="12" t="n">
        <v>97349</v>
      </c>
      <c r="M65" s="12" t="n">
        <v>137104</v>
      </c>
      <c r="N65" s="12" t="n">
        <v>163833</v>
      </c>
      <c r="O65" s="11" t="n">
        <v>178309</v>
      </c>
      <c r="P65" s="12" t="n">
        <v>270058</v>
      </c>
      <c r="Q65" s="12" t="n">
        <v>313986</v>
      </c>
      <c r="R65" s="12" t="n">
        <v>318290</v>
      </c>
      <c r="S65" s="12" t="n">
        <v>299177</v>
      </c>
      <c r="T65" s="12" t="n">
        <v>525032</v>
      </c>
      <c r="U65" s="12" t="n">
        <v>763620</v>
      </c>
      <c r="V65" s="12" t="n">
        <v>565160</v>
      </c>
      <c r="W65" s="12" t="n">
        <v>580101</v>
      </c>
      <c r="X65" s="12" t="n">
        <v>506289</v>
      </c>
      <c r="Y65" s="11">
        <f>IF(OR(Y61=""),"",IFERROR(Y61-Y63,""))</f>
        <v/>
      </c>
      <c r="Z65" s="12">
        <f>IF(OR(Z61=""),"",IFERROR(Z61-Z63,""))</f>
        <v/>
      </c>
      <c r="AA65" s="12">
        <f>IF(OR(AA61=""),"",IFERROR(AA61-AA63,""))</f>
        <v/>
      </c>
      <c r="AB65" s="12">
        <f>IF(OR(AB61=""),"",IFERROR(AB61-AB63,""))</f>
        <v/>
      </c>
      <c r="AC65" s="12">
        <f>IF(OR(AC61=""),"",IFERROR(AC61-AC63,""))</f>
        <v/>
      </c>
    </row>
    <row r="66">
      <c r="A66" s="13" t="inlineStr">
        <is>
          <t>YoY</t>
        </is>
      </c>
      <c r="B66" s="10" t="n"/>
      <c r="C66" s="14" t="n"/>
      <c r="D66" s="15" t="n"/>
      <c r="E66" s="15" t="n"/>
      <c r="F66" s="15" t="n"/>
      <c r="G66" s="15">
        <f>IF(OR(G65="",C65=""),"",IF(C65&lt;=0,"",IFERROR(G65/C65-1,"")))</f>
        <v/>
      </c>
      <c r="H66" s="15">
        <f>IF(OR(H65="",D65=""),"",IF(D65&lt;=0,"",IFERROR(H65/D65-1,"")))</f>
        <v/>
      </c>
      <c r="I66" s="15">
        <f>IF(OR(I65="",E65=""),"",IF(E65&lt;=0,"",IFERROR(I65/E65-1,"")))</f>
        <v/>
      </c>
      <c r="J66" s="15">
        <f>IF(OR(J65="",F65=""),"",IF(F65&lt;=0,"",IFERROR(J65/F65-1,"")))</f>
        <v/>
      </c>
      <c r="K66" s="15">
        <f>IF(OR(K65="",G65=""),"",IF(G65&lt;=0,"",IFERROR(K65/G65-1,"")))</f>
        <v/>
      </c>
      <c r="L66" s="15">
        <f>IF(OR(L65="",H65=""),"",IF(H65&lt;=0,"",IFERROR(L65/H65-1,"")))</f>
        <v/>
      </c>
      <c r="M66" s="15">
        <f>IF(OR(M65="",I65=""),"",IF(I65&lt;=0,"",IFERROR(M65/I65-1,"")))</f>
        <v/>
      </c>
      <c r="N66" s="15">
        <f>IF(OR(N65="",J65=""),"",IF(J65&lt;=0,"",IFERROR(N65/J65-1,"")))</f>
        <v/>
      </c>
      <c r="O66" s="14" t="n"/>
      <c r="P66" s="15">
        <f>IF(OR(P65="",O65=""),"",IF(O65&lt;=0,"",IFERROR(P65/O65-1,"")))</f>
        <v/>
      </c>
      <c r="Q66" s="15">
        <f>IF(OR(Q65="",P65=""),"",IF(P65&lt;=0,"",IFERROR(Q65/P65-1,"")))</f>
        <v/>
      </c>
      <c r="R66" s="15">
        <f>IF(OR(R65="",Q65=""),"",IF(Q65&lt;=0,"",IFERROR(R65/Q65-1,"")))</f>
        <v/>
      </c>
      <c r="S66" s="15">
        <f>IF(OR(S65="",R65=""),"",IF(R65&lt;=0,"",IFERROR(S65/R65-1,"")))</f>
        <v/>
      </c>
      <c r="T66" s="15">
        <f>IF(OR(T65="",S65=""),"",IF(S65&lt;=0,"",IFERROR(T65/S65-1,"")))</f>
        <v/>
      </c>
      <c r="U66" s="15">
        <f>IF(OR(U65="",T65=""),"",IF(T65&lt;=0,"",IFERROR(U65/T65-1,"")))</f>
        <v/>
      </c>
      <c r="V66" s="15">
        <f>IF(OR(V65="",U65=""),"",IF(U65&lt;=0,"",IFERROR(V65/U65-1,"")))</f>
        <v/>
      </c>
      <c r="W66" s="15">
        <f>IF(OR(W65="",V65=""),"",IF(V65&lt;=0,"",IFERROR(W65/V65-1,"")))</f>
        <v/>
      </c>
      <c r="X66" s="15">
        <f>IF(OR(X65="",W65=""),"",IF(W65&lt;=0,"",IFERROR(X65/W65-1,"")))</f>
        <v/>
      </c>
      <c r="Y66" s="14">
        <f>IF(OR(Y65="",X65=""),"",IF(X65&lt;=0,"",IFERROR(Y65/X65-1,"")))</f>
        <v/>
      </c>
      <c r="Z66" s="15">
        <f>IF(OR(Z65="",Y65=""),"",IF(Y65&lt;=0,"",IFERROR(Z65/Y65-1,"")))</f>
        <v/>
      </c>
      <c r="AA66" s="15">
        <f>IF(OR(AA65="",Z65=""),"",IF(Z65&lt;=0,"",IFERROR(AA65/Z65-1,"")))</f>
        <v/>
      </c>
      <c r="AB66" s="15">
        <f>IF(OR(AB65="",AA65=""),"",IF(AA65&lt;=0,"",IFERROR(AB65/AA65-1,"")))</f>
        <v/>
      </c>
      <c r="AC66" s="15">
        <f>IF(OR(AC65="",AB65=""),"",IF(AB65&lt;=0,"",IFERROR(AC65/AB65-1,"")))</f>
        <v/>
      </c>
    </row>
    <row r="67">
      <c r="A67" s="9" t="inlineStr">
        <is>
          <t>지배주주 순이익</t>
        </is>
      </c>
      <c r="B67" s="10" t="n"/>
      <c r="C67" s="11" t="n">
        <v>105090</v>
      </c>
      <c r="D67" s="12" t="n">
        <v>113611</v>
      </c>
      <c r="E67" s="12" t="n">
        <v>144021</v>
      </c>
      <c r="F67" s="12" t="n">
        <v>150096</v>
      </c>
      <c r="G67" s="12" t="n">
        <v>138422</v>
      </c>
      <c r="H67" s="12" t="n">
        <v>101482</v>
      </c>
      <c r="I67" s="12" t="n">
        <v>126428</v>
      </c>
      <c r="J67" s="12" t="n">
        <v>131416</v>
      </c>
      <c r="K67" s="12" t="n">
        <v>126476</v>
      </c>
      <c r="L67" s="12" t="n">
        <v>90139</v>
      </c>
      <c r="M67" s="12" t="n">
        <v>130829</v>
      </c>
      <c r="N67" s="12" t="n">
        <v>156110</v>
      </c>
      <c r="O67" s="11" t="n">
        <v>175912</v>
      </c>
      <c r="P67" s="12" t="n">
        <v>266235</v>
      </c>
      <c r="Q67" s="12" t="n">
        <v>309125</v>
      </c>
      <c r="R67" s="12" t="n">
        <v>314027</v>
      </c>
      <c r="S67" s="12" t="n">
        <v>293732</v>
      </c>
      <c r="T67" s="12" t="n">
        <v>500117</v>
      </c>
      <c r="U67" s="12" t="n">
        <v>708238</v>
      </c>
      <c r="V67" s="12" t="n">
        <v>520140</v>
      </c>
      <c r="W67" s="12" t="n">
        <v>534021</v>
      </c>
      <c r="X67" s="12" t="n">
        <v>474459</v>
      </c>
      <c r="Y67" s="11">
        <f>IF(OR(Y65="",Y68=""),"",IFERROR(Y65*Y68,""))</f>
        <v/>
      </c>
      <c r="Z67" s="12">
        <f>IF(OR(Z65="",Z68=""),"",IFERROR(Z65*Z68,""))</f>
        <v/>
      </c>
      <c r="AA67" s="12">
        <f>IF(OR(AA65="",AA68=""),"",IFERROR(AA65*AA68,""))</f>
        <v/>
      </c>
      <c r="AB67" s="12">
        <f>IF(OR(AB65="",AB68=""),"",IFERROR(AB65*AB68,""))</f>
        <v/>
      </c>
      <c r="AC67" s="12">
        <f>IF(OR(AC65="",AC68=""),"",IFERROR(AC65*AC68,""))</f>
        <v/>
      </c>
    </row>
    <row r="68">
      <c r="A68" s="13" t="inlineStr">
        <is>
          <t>지배주주 순이익률</t>
        </is>
      </c>
      <c r="B68" s="10" t="inlineStr">
        <is>
          <t>MW 기본 100%</t>
        </is>
      </c>
      <c r="C68" s="14">
        <f>IF(OR(C67="",C65=""),"",IFERROR(C67/C65,""))</f>
        <v/>
      </c>
      <c r="D68" s="15">
        <f>IF(OR(D67="",D65=""),"",IFERROR(D67/D65,""))</f>
        <v/>
      </c>
      <c r="E68" s="15">
        <f>IF(OR(E67="",E65=""),"",IFERROR(E67/E65,""))</f>
        <v/>
      </c>
      <c r="F68" s="15">
        <f>IF(OR(F67="",F65=""),"",IFERROR(F67/F65,""))</f>
        <v/>
      </c>
      <c r="G68" s="15">
        <f>IF(OR(G67="",G65=""),"",IFERROR(G67/G65,""))</f>
        <v/>
      </c>
      <c r="H68" s="15">
        <f>IF(OR(H67="",H65=""),"",IFERROR(H67/H65,""))</f>
        <v/>
      </c>
      <c r="I68" s="15">
        <f>IF(OR(I67="",I65=""),"",IFERROR(I67/I65,""))</f>
        <v/>
      </c>
      <c r="J68" s="15">
        <f>IF(OR(J67="",J65=""),"",IFERROR(J67/J65,""))</f>
        <v/>
      </c>
      <c r="K68" s="15">
        <f>IF(OR(K67="",K65=""),"",IFERROR(K67/K65,""))</f>
        <v/>
      </c>
      <c r="L68" s="15">
        <f>IF(OR(L67="",L65=""),"",IFERROR(L67/L65,""))</f>
        <v/>
      </c>
      <c r="M68" s="15">
        <f>IF(OR(M67="",M65=""),"",IFERROR(M67/M65,""))</f>
        <v/>
      </c>
      <c r="N68" s="15">
        <f>IF(OR(N67="",N65=""),"",IFERROR(N67/N65,""))</f>
        <v/>
      </c>
      <c r="O68" s="14">
        <f>IF(OR(O67="",O65=""),"",IFERROR(O67/O65,""))</f>
        <v/>
      </c>
      <c r="P68" s="15">
        <f>IF(OR(P67="",P65=""),"",IFERROR(P67/P65,""))</f>
        <v/>
      </c>
      <c r="Q68" s="15">
        <f>IF(OR(Q67="",Q65=""),"",IFERROR(Q67/Q65,""))</f>
        <v/>
      </c>
      <c r="R68" s="15">
        <f>IF(OR(R67="",R65=""),"",IFERROR(R67/R65,""))</f>
        <v/>
      </c>
      <c r="S68" s="15">
        <f>IF(OR(S67="",S65=""),"",IFERROR(S67/S65,""))</f>
        <v/>
      </c>
      <c r="T68" s="15">
        <f>IF(OR(T67="",T65=""),"",IFERROR(T67/T65,""))</f>
        <v/>
      </c>
      <c r="U68" s="15">
        <f>IF(OR(U67="",U65=""),"",IFERROR(U67/U65,""))</f>
        <v/>
      </c>
      <c r="V68" s="15">
        <f>IF(OR(V67="",V65=""),"",IFERROR(V67/V65,""))</f>
        <v/>
      </c>
      <c r="W68" s="15">
        <f>IF(OR(W67="",W65=""),"",IFERROR(W67/W65,""))</f>
        <v/>
      </c>
      <c r="X68" s="15">
        <f>IF(OR(X67="",X65=""),"",IFERROR(X67/X65,""))</f>
        <v/>
      </c>
      <c r="Y68" s="25" t="n">
        <v>1</v>
      </c>
      <c r="Z68" s="26" t="n">
        <v>1</v>
      </c>
      <c r="AA68" s="26" t="n">
        <v>1</v>
      </c>
      <c r="AB68" s="26" t="n">
        <v>1</v>
      </c>
      <c r="AC68" s="26" t="n">
        <v>1</v>
      </c>
    </row>
    <row r="69">
      <c r="A69" s="13" t="inlineStr">
        <is>
          <t>지배주주 순이익 YoY</t>
        </is>
      </c>
      <c r="B69" s="10" t="n"/>
      <c r="C69" s="14" t="n"/>
      <c r="D69" s="15" t="n"/>
      <c r="E69" s="15" t="n"/>
      <c r="F69" s="15" t="n"/>
      <c r="G69" s="15">
        <f>IF(OR(G67="",C67=""),"",IF(C67&lt;=0,"",IFERROR(G67/C67-1,"")))</f>
        <v/>
      </c>
      <c r="H69" s="15">
        <f>IF(OR(H67="",D67=""),"",IF(D67&lt;=0,"",IFERROR(H67/D67-1,"")))</f>
        <v/>
      </c>
      <c r="I69" s="15">
        <f>IF(OR(I67="",E67=""),"",IF(E67&lt;=0,"",IFERROR(I67/E67-1,"")))</f>
        <v/>
      </c>
      <c r="J69" s="15">
        <f>IF(OR(J67="",F67=""),"",IF(F67&lt;=0,"",IFERROR(J67/F67-1,"")))</f>
        <v/>
      </c>
      <c r="K69" s="15">
        <f>IF(OR(K67="",G67=""),"",IF(G67&lt;=0,"",IFERROR(K67/G67-1,"")))</f>
        <v/>
      </c>
      <c r="L69" s="15">
        <f>IF(OR(L67="",H67=""),"",IF(H67&lt;=0,"",IFERROR(L67/H67-1,"")))</f>
        <v/>
      </c>
      <c r="M69" s="15">
        <f>IF(OR(M67="",I67=""),"",IF(I67&lt;=0,"",IFERROR(M67/I67-1,"")))</f>
        <v/>
      </c>
      <c r="N69" s="15">
        <f>IF(OR(N67="",J67=""),"",IF(J67&lt;=0,"",IFERROR(N67/J67-1,"")))</f>
        <v/>
      </c>
      <c r="O69" s="14" t="n"/>
      <c r="P69" s="15">
        <f>IF(OR(P67="",O67=""),"",IF(O67&lt;=0,"",IFERROR(P67/O67-1,"")))</f>
        <v/>
      </c>
      <c r="Q69" s="15">
        <f>IF(OR(Q67="",P67=""),"",IF(P67&lt;=0,"",IFERROR(Q67/P67-1,"")))</f>
        <v/>
      </c>
      <c r="R69" s="15">
        <f>IF(OR(R67="",Q67=""),"",IF(Q67&lt;=0,"",IFERROR(R67/Q67-1,"")))</f>
        <v/>
      </c>
      <c r="S69" s="15">
        <f>IF(OR(S67="",R67=""),"",IF(R67&lt;=0,"",IFERROR(S67/R67-1,"")))</f>
        <v/>
      </c>
      <c r="T69" s="15">
        <f>IF(OR(T67="",S67=""),"",IF(S67&lt;=0,"",IFERROR(T67/S67-1,"")))</f>
        <v/>
      </c>
      <c r="U69" s="15">
        <f>IF(OR(U67="",T67=""),"",IF(T67&lt;=0,"",IFERROR(U67/T67-1,"")))</f>
        <v/>
      </c>
      <c r="V69" s="15">
        <f>IF(OR(V67="",U67=""),"",IF(U67&lt;=0,"",IFERROR(V67/U67-1,"")))</f>
        <v/>
      </c>
      <c r="W69" s="15">
        <f>IF(OR(W67="",V67=""),"",IF(V67&lt;=0,"",IFERROR(W67/V67-1,"")))</f>
        <v/>
      </c>
      <c r="X69" s="15">
        <f>IF(OR(X67="",W67=""),"",IF(W67&lt;=0,"",IFERROR(X67/W67-1,"")))</f>
        <v/>
      </c>
      <c r="Y69" s="14">
        <f>IF(OR(Y67="",X67=""),"",IF(X67&lt;=0,"",IFERROR(Y67/X67-1,"")))</f>
        <v/>
      </c>
      <c r="Z69" s="15">
        <f>IF(OR(Z67="",Y67=""),"",IF(Y67&lt;=0,"",IFERROR(Z67/Y67-1,"")))</f>
        <v/>
      </c>
      <c r="AA69" s="15">
        <f>IF(OR(AA67="",Z67=""),"",IF(Z67&lt;=0,"",IFERROR(AA67/Z67-1,"")))</f>
        <v/>
      </c>
      <c r="AB69" s="15">
        <f>IF(OR(AB67="",AA67=""),"",IF(AA67&lt;=0,"",IFERROR(AB67/AA67-1,"")))</f>
        <v/>
      </c>
      <c r="AC69" s="15">
        <f>IF(OR(AC67="",AB67=""),"",IF(AB67&lt;=0,"",IFERROR(AC67/AB67-1,"")))</f>
        <v/>
      </c>
    </row>
    <row r="70">
      <c r="A70" s="16" t="inlineStr">
        <is>
          <t>목표주가 산출</t>
        </is>
      </c>
      <c r="B70" s="16" t="n"/>
      <c r="C70" s="17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7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7" t="n"/>
      <c r="Z70" s="16" t="n"/>
      <c r="AA70" s="16" t="n"/>
      <c r="AB70" s="16" t="n"/>
      <c r="AC70" s="16" t="n"/>
    </row>
    <row r="71">
      <c r="A71" s="18" t="inlineStr">
        <is>
          <t>현재 주가 (2026.10.28)</t>
        </is>
      </c>
      <c r="B71" s="27" t="n">
        <v>6004</v>
      </c>
      <c r="C71" s="28" t="n"/>
      <c r="D71" s="29" t="n"/>
      <c r="E71" s="29" t="n"/>
      <c r="F71" s="29" t="n"/>
      <c r="G71" s="29" t="n"/>
      <c r="H71" s="29" t="n"/>
      <c r="I71" s="29" t="n"/>
      <c r="J71" s="29" t="n"/>
      <c r="K71" s="29" t="n"/>
      <c r="L71" s="29" t="n"/>
      <c r="M71" s="29" t="n"/>
      <c r="N71" s="29" t="n"/>
      <c r="O71" s="28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29" t="n"/>
      <c r="Y71" s="28" t="n"/>
      <c r="Z71" s="29" t="n"/>
      <c r="AA71" s="29" t="n"/>
      <c r="AB71" s="29" t="n"/>
      <c r="AC71" s="29" t="n"/>
    </row>
    <row r="72">
      <c r="A72" s="18" t="inlineStr">
        <is>
          <t>발행주식수 (보통주)</t>
        </is>
      </c>
      <c r="B72" s="27" t="n">
        <v>1984995865</v>
      </c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29" t="n"/>
      <c r="Y72" s="28" t="n"/>
      <c r="Z72" s="29" t="n"/>
      <c r="AA72" s="29" t="n"/>
      <c r="AB72" s="29" t="n"/>
      <c r="AC72" s="29" t="n"/>
    </row>
    <row r="73">
      <c r="A73" s="18" t="inlineStr">
        <is>
          <t>시가총액 (백만엔)</t>
        </is>
      </c>
      <c r="B73" s="12">
        <f>IF(OR(B71="",B72=""),"",B71*B72/1000000.0)</f>
        <v/>
      </c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19" t="n"/>
      <c r="Z73" s="20" t="n"/>
      <c r="AA73" s="20" t="n"/>
      <c r="AB73" s="20" t="n"/>
      <c r="AC73" s="20" t="n"/>
    </row>
    <row r="74">
      <c r="A74" s="13" t="inlineStr">
        <is>
          <t>OPM</t>
        </is>
      </c>
      <c r="B74" s="10" t="n"/>
      <c r="C74" s="14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4">
        <f>IF(O38="","",O38)</f>
        <v/>
      </c>
      <c r="P74" s="15">
        <f>IF(P38="","",P38)</f>
        <v/>
      </c>
      <c r="Q74" s="15">
        <f>IF(Q38="","",Q38)</f>
        <v/>
      </c>
      <c r="R74" s="15">
        <f>IF(R38="","",R38)</f>
        <v/>
      </c>
      <c r="S74" s="15">
        <f>IF(S38="","",S38)</f>
        <v/>
      </c>
      <c r="T74" s="15">
        <f>IF(T38="","",T38)</f>
        <v/>
      </c>
      <c r="U74" s="15">
        <f>IF(U38="","",U38)</f>
        <v/>
      </c>
      <c r="V74" s="15">
        <f>IF(V38="","",V38)</f>
        <v/>
      </c>
      <c r="W74" s="15">
        <f>IF(W38="","",W38)</f>
        <v/>
      </c>
      <c r="X74" s="15">
        <f>IF(X38="","",X38)</f>
        <v/>
      </c>
      <c r="Y74" s="14">
        <f>IF(Y38="","",Y38)</f>
        <v/>
      </c>
      <c r="Z74" s="15">
        <f>IF(Z38="","",Z38)</f>
        <v/>
      </c>
      <c r="AA74" s="15">
        <f>IF(AA38="","",AA38)</f>
        <v/>
      </c>
      <c r="AB74" s="15">
        <f>IF(AB38="","",AB38)</f>
        <v/>
      </c>
      <c r="AC74" s="15">
        <f>IF(AC38="","",AC38)</f>
        <v/>
      </c>
    </row>
    <row r="75">
      <c r="A75" s="13" t="inlineStr">
        <is>
          <t>지배주주 순이익 증가율</t>
        </is>
      </c>
      <c r="B75" s="10" t="n"/>
      <c r="C75" s="14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4" t="n"/>
      <c r="P75" s="15">
        <f>IF(OR(P67="",O67=""),"",IFERROR(P67/O67-1,""))</f>
        <v/>
      </c>
      <c r="Q75" s="15">
        <f>IF(OR(Q67="",P67=""),"",IFERROR(Q67/P67-1,""))</f>
        <v/>
      </c>
      <c r="R75" s="15">
        <f>IF(OR(R67="",Q67=""),"",IFERROR(R67/Q67-1,""))</f>
        <v/>
      </c>
      <c r="S75" s="15">
        <f>IF(OR(S67="",R67=""),"",IFERROR(S67/R67-1,""))</f>
        <v/>
      </c>
      <c r="T75" s="15">
        <f>IF(OR(T67="",S67=""),"",IFERROR(T67/S67-1,""))</f>
        <v/>
      </c>
      <c r="U75" s="15">
        <f>IF(OR(U67="",T67=""),"",IFERROR(U67/T67-1,""))</f>
        <v/>
      </c>
      <c r="V75" s="15">
        <f>IF(OR(V67="",U67=""),"",IFERROR(V67/U67-1,""))</f>
        <v/>
      </c>
      <c r="W75" s="15">
        <f>IF(OR(W67="",V67=""),"",IFERROR(W67/V67-1,""))</f>
        <v/>
      </c>
      <c r="X75" s="15">
        <f>IF(OR(X67="",W67=""),"",IFERROR(X67/W67-1,""))</f>
        <v/>
      </c>
      <c r="Y75" s="14">
        <f>IF(OR(Y67="",X67=""),"",IFERROR(Y67/X67-1,""))</f>
        <v/>
      </c>
      <c r="Z75" s="15">
        <f>IF(OR(Z67="",Y67=""),"",IFERROR(Z67/Y67-1,""))</f>
        <v/>
      </c>
      <c r="AA75" s="15">
        <f>IF(OR(AA67="",Z67=""),"",IFERROR(AA67/Z67-1,""))</f>
        <v/>
      </c>
      <c r="AB75" s="15">
        <f>IF(OR(AB67="",AA67=""),"",IFERROR(AB67/AA67-1,""))</f>
        <v/>
      </c>
      <c r="AC75" s="15">
        <f>IF(OR(AC67="",AB67=""),"",IFERROR(AC67/AB67-1,""))</f>
        <v/>
      </c>
    </row>
    <row r="76">
      <c r="A76" s="18" t="inlineStr">
        <is>
          <t>P/E (현재 주가)</t>
        </is>
      </c>
      <c r="B76" s="10" t="inlineStr">
        <is>
          <t>시총 ÷ 지배순이익</t>
        </is>
      </c>
      <c r="C76" s="30" t="n"/>
      <c r="D76" s="31" t="n"/>
      <c r="E76" s="31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31" t="n"/>
      <c r="O76" s="30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>
        <f>IF(OR($B$73="",X67=""),"",IFERROR($B$73/X67,""))</f>
        <v/>
      </c>
      <c r="Y76" s="30">
        <f>IF(OR($B$73="",Y67=""),"",IFERROR($B$73/Y67,""))</f>
        <v/>
      </c>
      <c r="Z76" s="31">
        <f>IF(OR($B$73="",Z67=""),"",IFERROR($B$73/Z67,""))</f>
        <v/>
      </c>
      <c r="AA76" s="31">
        <f>IF(OR($B$73="",AA67=""),"",IFERROR($B$73/AA67,""))</f>
        <v/>
      </c>
      <c r="AB76" s="31">
        <f>IF(OR($B$73="",AB67=""),"",IFERROR($B$73/AB67,""))</f>
        <v/>
      </c>
      <c r="AC76" s="31">
        <f>IF(OR($B$73="",AC67=""),"",IFERROR($B$73/AC67,""))</f>
        <v/>
      </c>
    </row>
    <row r="77">
      <c r="A77" s="18" t="inlineStr">
        <is>
          <t>Target P/E</t>
        </is>
      </c>
      <c r="B77" s="10" t="inlineStr">
        <is>
          <t>직접 입력</t>
        </is>
      </c>
      <c r="C77" s="30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0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2" t="n"/>
      <c r="Z77" s="33" t="n"/>
      <c r="AA77" s="33" t="n"/>
      <c r="AB77" s="33" t="n"/>
      <c r="AC77" s="33" t="n"/>
    </row>
    <row r="78">
      <c r="A78" s="18" t="inlineStr">
        <is>
          <t>EPS</t>
        </is>
      </c>
      <c r="B78" s="10" t="inlineStr">
        <is>
          <t>지배순이익 ÷ 주식수</t>
        </is>
      </c>
      <c r="C78" s="28" t="n"/>
      <c r="D78" s="29" t="n"/>
      <c r="E78" s="29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8">
        <f>IF(OR(O67="",$B$72=""),"",IFERROR(O67*1000000.0/$B$72,""))</f>
        <v/>
      </c>
      <c r="P78" s="29">
        <f>IF(OR(P67="",$B$72=""),"",IFERROR(P67*1000000.0/$B$72,""))</f>
        <v/>
      </c>
      <c r="Q78" s="29">
        <f>IF(OR(Q67="",$B$72=""),"",IFERROR(Q67*1000000.0/$B$72,""))</f>
        <v/>
      </c>
      <c r="R78" s="29">
        <f>IF(OR(R67="",$B$72=""),"",IFERROR(R67*1000000.0/$B$72,""))</f>
        <v/>
      </c>
      <c r="S78" s="29">
        <f>IF(OR(S67="",$B$72=""),"",IFERROR(S67*1000000.0/$B$72,""))</f>
        <v/>
      </c>
      <c r="T78" s="29">
        <f>IF(OR(T67="",$B$72=""),"",IFERROR(T67*1000000.0/$B$72,""))</f>
        <v/>
      </c>
      <c r="U78" s="29">
        <f>IF(OR(U67="",$B$72=""),"",IFERROR(U67*1000000.0/$B$72,""))</f>
        <v/>
      </c>
      <c r="V78" s="29">
        <f>IF(OR(V67="",$B$72=""),"",IFERROR(V67*1000000.0/$B$72,""))</f>
        <v/>
      </c>
      <c r="W78" s="29">
        <f>IF(OR(W67="",$B$72=""),"",IFERROR(W67*1000000.0/$B$72,""))</f>
        <v/>
      </c>
      <c r="X78" s="29">
        <f>IF(OR(X67="",$B$72=""),"",IFERROR(X67*1000000.0/$B$72,""))</f>
        <v/>
      </c>
      <c r="Y78" s="28">
        <f>IF(OR(Y67="",$B$72=""),"",IFERROR(Y67*1000000.0/$B$72,""))</f>
        <v/>
      </c>
      <c r="Z78" s="29">
        <f>IF(OR(Z67="",$B$72=""),"",IFERROR(Z67*1000000.0/$B$72,""))</f>
        <v/>
      </c>
      <c r="AA78" s="29">
        <f>IF(OR(AA67="",$B$72=""),"",IFERROR(AA67*1000000.0/$B$72,""))</f>
        <v/>
      </c>
      <c r="AB78" s="29">
        <f>IF(OR(AB67="",$B$72=""),"",IFERROR(AB67*1000000.0/$B$72,""))</f>
        <v/>
      </c>
      <c r="AC78" s="29">
        <f>IF(OR(AC67="",$B$72=""),"",IFERROR(AC67*1000000.0/$B$72,""))</f>
        <v/>
      </c>
    </row>
    <row r="79">
      <c r="A79" s="9" t="inlineStr">
        <is>
          <t>목표주가</t>
        </is>
      </c>
      <c r="B79" s="10" t="n"/>
      <c r="C79" s="34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34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34">
        <f>IF(OR(Y78="",Y77=""),"",IFERROR(Y78*Y77,""))</f>
        <v/>
      </c>
      <c r="Z79" s="27">
        <f>IF(OR(Z78="",Z77=""),"",IFERROR(Z78*Z77,""))</f>
        <v/>
      </c>
      <c r="AA79" s="27">
        <f>IF(OR(AA78="",AA77=""),"",IFERROR(AA78*AA77,""))</f>
        <v/>
      </c>
      <c r="AB79" s="27">
        <f>IF(OR(AB78="",AB77=""),"",IFERROR(AB78*AB77,""))</f>
        <v/>
      </c>
      <c r="AC79" s="27">
        <f>IF(OR(AC78="",AC77=""),"",IFERROR(AC78*AC77,""))</f>
        <v/>
      </c>
    </row>
    <row r="80">
      <c r="A80" s="18" t="inlineStr">
        <is>
          <t>상승여력</t>
        </is>
      </c>
      <c r="B80" s="10" t="n"/>
      <c r="C80" s="35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5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7">
        <f>IF(OR(Y79="",$B$71=""),"",IFERROR(Y79/$B$71-1,""))</f>
        <v/>
      </c>
      <c r="Z80" s="38">
        <f>IF(OR(Z79="",$B$71=""),"",IFERROR(Z79/$B$71-1,""))</f>
        <v/>
      </c>
      <c r="AA80" s="38">
        <f>IF(OR(AA79="",$B$71=""),"",IFERROR(AA79/$B$71-1,""))</f>
        <v/>
      </c>
      <c r="AB80" s="38">
        <f>IF(OR(AB79="",$B$71=""),"",IFERROR(AB79/$B$71-1,""))</f>
        <v/>
      </c>
      <c r="AC80" s="38">
        <f>IF(OR(AC79="",$B$71=""),"",IFERROR(AC79/$B$71-1,""))</f>
        <v/>
      </c>
    </row>
    <row r="81">
      <c r="A81" s="16" t="inlineStr">
        <is>
          <t>자산가치 산출</t>
        </is>
      </c>
      <c r="B81" s="16" t="inlineStr">
        <is>
          <t>최신 분기 BS</t>
        </is>
      </c>
      <c r="C81" s="17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7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7" t="n"/>
      <c r="Z81" s="16" t="n"/>
      <c r="AA81" s="16" t="n"/>
      <c r="AB81" s="16" t="n"/>
      <c r="AC81" s="16" t="n"/>
    </row>
    <row r="82">
      <c r="A82" s="18" t="inlineStr">
        <is>
          <t>현금및현금성자산</t>
        </is>
      </c>
      <c r="B82" s="10" t="n"/>
      <c r="C82" s="19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19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>
        <f>'재무상태표'!G6</f>
        <v/>
      </c>
      <c r="Y82" s="19">
        <f>'재무상태표'!G6</f>
        <v/>
      </c>
      <c r="Z82" s="20">
        <f>'재무상태표'!G6</f>
        <v/>
      </c>
      <c r="AA82" s="20">
        <f>'재무상태표'!G6</f>
        <v/>
      </c>
      <c r="AB82" s="20">
        <f>'재무상태표'!G6</f>
        <v/>
      </c>
      <c r="AC82" s="20">
        <f>'재무상태표'!G6</f>
        <v/>
      </c>
    </row>
    <row r="83">
      <c r="A83" s="18" t="inlineStr">
        <is>
          <t>단기금융상품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>
        <f>'재무상태표'!G7</f>
        <v/>
      </c>
      <c r="Y83" s="19">
        <f>'재무상태표'!G7</f>
        <v/>
      </c>
      <c r="Z83" s="20">
        <f>'재무상태표'!G7</f>
        <v/>
      </c>
      <c r="AA83" s="20">
        <f>'재무상태표'!G7</f>
        <v/>
      </c>
      <c r="AB83" s="20">
        <f>'재무상태표'!G7</f>
        <v/>
      </c>
      <c r="AC83" s="20">
        <f>'재무상태표'!G7</f>
        <v/>
      </c>
    </row>
    <row r="84">
      <c r="A84" s="18" t="inlineStr">
        <is>
          <t>투자부동산</t>
        </is>
      </c>
      <c r="B84" s="10" t="n"/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>
        <f>'재무상태표'!G14</f>
        <v/>
      </c>
      <c r="Y84" s="19">
        <f>'재무상태표'!G14</f>
        <v/>
      </c>
      <c r="Z84" s="20">
        <f>'재무상태표'!G14</f>
        <v/>
      </c>
      <c r="AA84" s="20">
        <f>'재무상태표'!G14</f>
        <v/>
      </c>
      <c r="AB84" s="20">
        <f>'재무상태표'!G14</f>
        <v/>
      </c>
      <c r="AC84" s="20">
        <f>'재무상태표'!G14</f>
        <v/>
      </c>
    </row>
    <row r="85">
      <c r="A85" s="18" t="inlineStr">
        <is>
          <t>지배자본</t>
        </is>
      </c>
      <c r="B85" s="10" t="n"/>
      <c r="C85" s="19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19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>
        <f>'재무상태표'!G31</f>
        <v/>
      </c>
      <c r="Y85" s="19">
        <f>'재무상태표'!G31</f>
        <v/>
      </c>
      <c r="Z85" s="20">
        <f>'재무상태표'!G31</f>
        <v/>
      </c>
      <c r="AA85" s="20">
        <f>'재무상태표'!G31</f>
        <v/>
      </c>
      <c r="AB85" s="20">
        <f>'재무상태표'!G31</f>
        <v/>
      </c>
      <c r="AC85" s="20">
        <f>'재무상태표'!G31</f>
        <v/>
      </c>
    </row>
    <row r="86">
      <c r="A86" s="18" t="inlineStr">
        <is>
          <t>부채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>
        <f>'재무상태표'!G27</f>
        <v/>
      </c>
      <c r="Y86" s="19">
        <f>'재무상태표'!G27</f>
        <v/>
      </c>
      <c r="Z86" s="20">
        <f>'재무상태표'!G27</f>
        <v/>
      </c>
      <c r="AA86" s="20">
        <f>'재무상태표'!G27</f>
        <v/>
      </c>
      <c r="AB86" s="20">
        <f>'재무상태표'!G27</f>
        <v/>
      </c>
      <c r="AC86" s="20">
        <f>'재무상태표'!G27</f>
        <v/>
      </c>
    </row>
    <row r="87">
      <c r="A87" s="13" t="inlineStr">
        <is>
          <t>부채비율</t>
        </is>
      </c>
      <c r="B87" s="10" t="n"/>
      <c r="C87" s="14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4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>
        <f>IF(OR(X86="",X85=""),"",IFERROR(X86/X85,""))</f>
        <v/>
      </c>
      <c r="Y87" s="14">
        <f>IF(OR(Y86="",Y85=""),"",IFERROR(Y86/Y85,""))</f>
        <v/>
      </c>
      <c r="Z87" s="15">
        <f>IF(OR(Z86="",Z85=""),"",IFERROR(Z86/Z85,""))</f>
        <v/>
      </c>
      <c r="AA87" s="15">
        <f>IF(OR(AA86="",AA85=""),"",IFERROR(AA86/AA85,""))</f>
        <v/>
      </c>
      <c r="AB87" s="15">
        <f>IF(OR(AB86="",AB85=""),"",IFERROR(AB86/AB85,""))</f>
        <v/>
      </c>
      <c r="AC87" s="15">
        <f>IF(OR(AC86="",AC85=""),"",IFERROR(AC86/AC85,""))</f>
        <v/>
      </c>
    </row>
    <row r="88">
      <c r="A88" s="9" t="inlineStr">
        <is>
          <t>자산가치</t>
        </is>
      </c>
      <c r="B88" s="10" t="inlineStr">
        <is>
          <t>현금+단기금융+투자부동산</t>
        </is>
      </c>
      <c r="C88" s="11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1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>
        <f>SUM(X82,X83,X84)</f>
        <v/>
      </c>
      <c r="Y88" s="11">
        <f>SUM(Y82,Y83,Y84)</f>
        <v/>
      </c>
      <c r="Z88" s="12">
        <f>SUM(Z82,Z83,Z84)</f>
        <v/>
      </c>
      <c r="AA88" s="12">
        <f>SUM(AA82,AA83,AA84)</f>
        <v/>
      </c>
      <c r="AB88" s="12">
        <f>SUM(AB82,AB83,AB84)</f>
        <v/>
      </c>
      <c r="AC88" s="12">
        <f>SUM(AC82,AC83,AC84)</f>
        <v/>
      </c>
    </row>
    <row r="89">
      <c r="A89" s="16" t="inlineStr">
        <is>
          <t>기업가치 산출</t>
        </is>
      </c>
      <c r="B89" s="16" t="n"/>
      <c r="C89" s="17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7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7" t="n"/>
      <c r="Z89" s="16" t="n"/>
      <c r="AA89" s="16" t="n"/>
      <c r="AB89" s="16" t="n"/>
      <c r="AC89" s="16" t="n"/>
    </row>
    <row r="90">
      <c r="A90" s="18" t="inlineStr">
        <is>
          <t>목표 시가총액 (P/E)</t>
        </is>
      </c>
      <c r="B90" s="10" t="inlineStr">
        <is>
          <t>지배순이익 × Target P/E</t>
        </is>
      </c>
      <c r="C90" s="19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19" t="n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 t="n"/>
      <c r="Y90" s="19">
        <f>IF(OR(Y67="",Y77=""),"",IFERROR(Y67*Y77,""))</f>
        <v/>
      </c>
      <c r="Z90" s="20">
        <f>IF(OR(Z67="",Z77=""),"",IFERROR(Z67*Z77,""))</f>
        <v/>
      </c>
      <c r="AA90" s="20">
        <f>IF(OR(AA67="",AA77=""),"",IFERROR(AA67*AA77,""))</f>
        <v/>
      </c>
      <c r="AB90" s="20">
        <f>IF(OR(AB67="",AB77=""),"",IFERROR(AB67*AB77,""))</f>
        <v/>
      </c>
      <c r="AC90" s="20">
        <f>IF(OR(AC67="",AC77=""),"",IFERROR(AC67*AC77,""))</f>
        <v/>
      </c>
    </row>
    <row r="91">
      <c r="A91" s="9" t="inlineStr">
        <is>
          <t>기업가치</t>
        </is>
      </c>
      <c r="B91" s="10" t="inlineStr">
        <is>
          <t>목표시총 + 자산가치</t>
        </is>
      </c>
      <c r="C91" s="11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1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1">
        <f>IF(OR(Y90=""),"",IFERROR(Y90+Y88,""))</f>
        <v/>
      </c>
      <c r="Z91" s="12">
        <f>IF(OR(Z90=""),"",IFERROR(Z90+Z88,""))</f>
        <v/>
      </c>
      <c r="AA91" s="12">
        <f>IF(OR(AA90=""),"",IFERROR(AA90+AA88,""))</f>
        <v/>
      </c>
      <c r="AB91" s="12">
        <f>IF(OR(AB90=""),"",IFERROR(AB90+AB88,""))</f>
        <v/>
      </c>
      <c r="AC91" s="12">
        <f>IF(OR(AC90=""),"",IFERROR(AC90+AC88,""))</f>
        <v/>
      </c>
    </row>
    <row r="92">
      <c r="A92" s="18" t="inlineStr">
        <is>
          <t>현재 시가총액</t>
        </is>
      </c>
      <c r="B92" s="10" t="n"/>
      <c r="C92" s="19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19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19">
        <f>$B$73</f>
        <v/>
      </c>
      <c r="Z92" s="20">
        <f>$B$73</f>
        <v/>
      </c>
      <c r="AA92" s="20">
        <f>$B$73</f>
        <v/>
      </c>
      <c r="AB92" s="20">
        <f>$B$73</f>
        <v/>
      </c>
      <c r="AC92" s="20">
        <f>$B$73</f>
        <v/>
      </c>
    </row>
    <row r="93">
      <c r="A93" s="18" t="inlineStr">
        <is>
          <t>상승여력</t>
        </is>
      </c>
      <c r="B93" s="10" t="n"/>
      <c r="C93" s="35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5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7">
        <f>IF(OR(Y91="",Y92=""),"",IFERROR(Y91/Y92-1,""))</f>
        <v/>
      </c>
      <c r="Z93" s="38">
        <f>IF(OR(Z91="",Z92=""),"",IFERROR(Z91/Z92-1,""))</f>
        <v/>
      </c>
      <c r="AA93" s="38">
        <f>IF(OR(AA91="",AA92=""),"",IFERROR(AA91/AA92-1,""))</f>
        <v/>
      </c>
      <c r="AB93" s="38">
        <f>IF(OR(AB91="",AB92=""),"",IFERROR(AB91/AB92-1,""))</f>
        <v/>
      </c>
      <c r="AC93" s="38">
        <f>IF(OR(AC91="",AC92=""),"",IFERROR(AC91/AC92-1,""))</f>
        <v/>
      </c>
    </row>
    <row r="94">
      <c r="C94" s="39" t="n"/>
      <c r="O94" s="39" t="n"/>
      <c r="Y94" s="39" t="n"/>
    </row>
    <row r="95">
      <c r="A95" s="40" t="inlineStr">
        <is>
          <t>출처</t>
        </is>
      </c>
      <c r="C95" s="39" t="n"/>
      <c r="O95" s="39" t="n"/>
      <c r="Y95" s="39" t="n"/>
    </row>
    <row r="96">
      <c r="A96" s="41" t="inlineStr">
        <is>
          <t>결산단신 XBRL(TDnet·JPX 보관소) — 쓴 문서는 '출처' 시트</t>
        </is>
      </c>
      <c r="C96" s="39" t="n"/>
      <c r="O96" s="39" t="n"/>
      <c r="Y96" s="39" t="n"/>
    </row>
    <row r="97">
      <c r="A97" s="41" t="inlineStr">
        <is>
          <t>분기 = 누계에서 앞 분기를 뺀 3개월 값</t>
        </is>
      </c>
      <c r="C97" s="39" t="n"/>
      <c r="O97" s="39" t="n"/>
      <c r="Y97" s="39" t="n"/>
    </row>
    <row r="98">
      <c r="A98" s="41" t="inlineStr">
        <is>
          <t>주가: 야후 파이낸스 일봉 2026.10.28</t>
        </is>
      </c>
      <c r="C98" s="39" t="n"/>
      <c r="O98" s="39" t="n"/>
      <c r="Y98" s="39" t="n"/>
    </row>
    <row r="100">
      <c r="A100" s="16" t="inlineStr">
        <is>
          <t>손익계산서 · 전 항목</t>
        </is>
      </c>
      <c r="B100" s="42" t="inlineStr">
        <is>
          <t>분기 = 3개월 단독</t>
        </is>
      </c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</row>
    <row r="101">
      <c r="A101" s="5" t="inlineStr">
        <is>
          <t>항목</t>
        </is>
      </c>
      <c r="B101" s="5" t="inlineStr">
        <is>
          <t>참고</t>
        </is>
      </c>
      <c r="C101" s="5" t="inlineStr">
        <is>
          <t>2024.3Q</t>
        </is>
      </c>
      <c r="D101" s="5" t="inlineStr">
        <is>
          <t>2024.4Q</t>
        </is>
      </c>
      <c r="E101" s="5" t="inlineStr">
        <is>
          <t>2025.1Q</t>
        </is>
      </c>
      <c r="F101" s="5" t="inlineStr">
        <is>
          <t>2025.2Q</t>
        </is>
      </c>
      <c r="G101" s="5" t="inlineStr">
        <is>
          <t>2025.3Q</t>
        </is>
      </c>
      <c r="H101" s="5" t="inlineStr">
        <is>
          <t>2025.4Q</t>
        </is>
      </c>
      <c r="I101" s="5" t="inlineStr">
        <is>
          <t>2026.1Q</t>
        </is>
      </c>
      <c r="J101" s="5" t="inlineStr">
        <is>
          <t>2026.2Q</t>
        </is>
      </c>
      <c r="K101" s="5" t="inlineStr">
        <is>
          <t>2026.3Q</t>
        </is>
      </c>
      <c r="L101" s="5" t="inlineStr">
        <is>
          <t>2026.4Q</t>
        </is>
      </c>
      <c r="M101" s="5" t="inlineStr">
        <is>
          <t>2027.1Q</t>
        </is>
      </c>
      <c r="N101" s="5" t="inlineStr">
        <is>
          <t>2027.2Q</t>
        </is>
      </c>
      <c r="O101" s="5" t="inlineStr">
        <is>
          <t>2017</t>
        </is>
      </c>
      <c r="P101" s="5" t="inlineStr">
        <is>
          <t>2018</t>
        </is>
      </c>
      <c r="Q101" s="5" t="inlineStr">
        <is>
          <t>2019</t>
        </is>
      </c>
      <c r="R101" s="5" t="inlineStr">
        <is>
          <t>2020</t>
        </is>
      </c>
      <c r="S101" s="5" t="inlineStr">
        <is>
          <t>2021</t>
        </is>
      </c>
      <c r="T101" s="5" t="inlineStr">
        <is>
          <t>2022</t>
        </is>
      </c>
      <c r="U101" s="5" t="inlineStr">
        <is>
          <t>2023</t>
        </is>
      </c>
      <c r="V101" s="5" t="inlineStr">
        <is>
          <t>2024</t>
        </is>
      </c>
      <c r="W101" s="5" t="inlineStr">
        <is>
          <t>2025</t>
        </is>
      </c>
      <c r="X101" s="5" t="inlineStr">
        <is>
          <t>2026</t>
        </is>
      </c>
      <c r="Y101" s="5" t="inlineStr">
        <is>
          <t>2027(MW)</t>
        </is>
      </c>
      <c r="Z101" s="5" t="inlineStr">
        <is>
          <t>2028(MW)</t>
        </is>
      </c>
      <c r="AA101" s="5" t="inlineStr">
        <is>
          <t>2029(MW)</t>
        </is>
      </c>
      <c r="AB101" s="5" t="inlineStr">
        <is>
          <t>2030(MW)</t>
        </is>
      </c>
      <c r="AC101" s="5" t="inlineStr">
        <is>
          <t>2031(MW)</t>
        </is>
      </c>
    </row>
    <row r="102">
      <c r="A102" s="9" t="inlineStr">
        <is>
          <t>매출액</t>
        </is>
      </c>
      <c r="C102" s="12" t="n">
        <v>627501</v>
      </c>
      <c r="D102" s="12" t="n">
        <v>591534</v>
      </c>
      <c r="E102" s="12" t="n">
        <v>597930</v>
      </c>
      <c r="F102" s="12" t="n">
        <v>668530</v>
      </c>
      <c r="G102" s="12" t="n">
        <v>663238</v>
      </c>
      <c r="H102" s="12" t="n">
        <v>631551</v>
      </c>
      <c r="I102" s="12" t="n">
        <v>628549</v>
      </c>
      <c r="J102" s="12" t="n">
        <v>655973</v>
      </c>
      <c r="K102" s="12" t="n">
        <v>649478</v>
      </c>
      <c r="L102" s="12" t="n">
        <v>639969</v>
      </c>
      <c r="M102" s="12" t="n">
        <v>662424</v>
      </c>
      <c r="N102" s="12" t="n">
        <v>758260</v>
      </c>
      <c r="T102" s="12" t="n">
        <v>590725</v>
      </c>
      <c r="U102" s="12" t="n">
        <v>645587</v>
      </c>
      <c r="V102" s="12" t="n">
        <v>591534</v>
      </c>
      <c r="W102" s="12" t="n">
        <v>631551</v>
      </c>
      <c r="X102" s="12" t="n">
        <v>639969</v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IF(OR(G102="",C102=""),"",IF(C102&lt;=0,"",IFERROR(G102/C102-1,"")))</f>
        <v/>
      </c>
      <c r="H103" s="15">
        <f>IF(OR(H102="",D102=""),"",IF(D102&lt;=0,"",IFERROR(H102/D102-1,"")))</f>
        <v/>
      </c>
      <c r="I103" s="15">
        <f>IF(OR(I102="",E102=""),"",IF(E102&lt;=0,"",IFERROR(I102/E102-1,"")))</f>
        <v/>
      </c>
      <c r="J103" s="15">
        <f>IF(OR(J102="",F102=""),"",IF(F102&lt;=0,"",IFERROR(J102/F102-1,"")))</f>
        <v/>
      </c>
      <c r="K103" s="15">
        <f>IF(OR(K102="",G102=""),"",IF(G102&lt;=0,"",IFERROR(K102/G102-1,"")))</f>
        <v/>
      </c>
      <c r="L103" s="15">
        <f>IF(OR(L102="",H102=""),"",IF(H102&lt;=0,"",IFERROR(L102/H102-1,"")))</f>
        <v/>
      </c>
      <c r="M103" s="15">
        <f>IF(OR(M102="",I102=""),"",IF(I102&lt;=0,"",IFERROR(M102/I102-1,"")))</f>
        <v/>
      </c>
      <c r="N103" s="15">
        <f>IF(OR(N102="",J102=""),"",IF(J102&lt;=0,"",IFERROR(N102/J102-1,"")))</f>
        <v/>
      </c>
      <c r="T103" s="15">
        <f>IF(OR(T102="",S102=""),"",IF(S102&lt;=0,"",IFERROR(T102/S102-1,"")))</f>
        <v/>
      </c>
      <c r="U103" s="15">
        <f>IF(OR(U102="",T102=""),"",IF(T102&lt;=0,"",IFERROR(U102/T102-1,"")))</f>
        <v/>
      </c>
      <c r="V103" s="15">
        <f>IF(OR(V102="",U102=""),"",IF(U102&lt;=0,"",IFERROR(V102/U102-1,"")))</f>
        <v/>
      </c>
      <c r="W103" s="15">
        <f>IF(OR(W102="",V102=""),"",IF(V102&lt;=0,"",IFERROR(W102/V102-1,"")))</f>
        <v/>
      </c>
      <c r="X103" s="15">
        <f>IF(OR(X102="",W102=""),"",IF(W102&lt;=0,"",IFERROR(X102/W102-1,"")))</f>
        <v/>
      </c>
    </row>
    <row r="104">
      <c r="A104" s="18" t="inlineStr">
        <is>
          <t>매출원가</t>
        </is>
      </c>
      <c r="C104" s="20" t="n">
        <v>397413</v>
      </c>
      <c r="D104" s="20" t="n">
        <v>394939</v>
      </c>
      <c r="E104" s="20" t="n">
        <v>355339</v>
      </c>
      <c r="F104" s="20" t="n">
        <v>392142</v>
      </c>
      <c r="G104" s="20" t="n">
        <v>422900</v>
      </c>
      <c r="H104" s="20" t="n">
        <v>406746</v>
      </c>
      <c r="I104" s="20" t="n">
        <v>402717</v>
      </c>
      <c r="J104" s="20" t="n">
        <v>426063</v>
      </c>
      <c r="K104" s="20" t="n">
        <v>425814</v>
      </c>
      <c r="L104" s="20" t="n">
        <v>438581</v>
      </c>
      <c r="M104" s="20" t="n">
        <v>432591</v>
      </c>
      <c r="N104" s="20" t="n">
        <v>477198</v>
      </c>
      <c r="T104" s="20" t="n">
        <v>339651</v>
      </c>
      <c r="U104" s="20" t="n">
        <v>401619</v>
      </c>
      <c r="V104" s="20" t="n">
        <v>394939</v>
      </c>
      <c r="W104" s="20" t="n">
        <v>406746</v>
      </c>
      <c r="X104" s="20" t="n">
        <v>438581</v>
      </c>
    </row>
    <row r="105">
      <c r="A105" s="43" t="inlineStr">
        <is>
          <t>YoY</t>
        </is>
      </c>
      <c r="B105" s="3" t="inlineStr">
        <is>
          <t>전년 같은 분기·전년 대비</t>
        </is>
      </c>
      <c r="G105" s="15">
        <f>IF(OR(G104="",C104=""),"",IF(G104*C104&lt;=0,"",IFERROR(G104/C104-1,"")))</f>
        <v/>
      </c>
      <c r="H105" s="15">
        <f>IF(OR(H104="",D104=""),"",IF(H104*D104&lt;=0,"",IFERROR(H104/D104-1,"")))</f>
        <v/>
      </c>
      <c r="I105" s="15">
        <f>IF(OR(I104="",E104=""),"",IF(I104*E104&lt;=0,"",IFERROR(I104/E104-1,"")))</f>
        <v/>
      </c>
      <c r="J105" s="15">
        <f>IF(OR(J104="",F104=""),"",IF(J104*F104&lt;=0,"",IFERROR(J104/F104-1,"")))</f>
        <v/>
      </c>
      <c r="K105" s="15">
        <f>IF(OR(K104="",G104=""),"",IF(K104*G104&lt;=0,"",IFERROR(K104/G104-1,"")))</f>
        <v/>
      </c>
      <c r="L105" s="15">
        <f>IF(OR(L104="",H104=""),"",IF(L104*H104&lt;=0,"",IFERROR(L104/H104-1,"")))</f>
        <v/>
      </c>
      <c r="M105" s="15">
        <f>IF(OR(M104="",I104=""),"",IF(M104*I104&lt;=0,"",IFERROR(M104/I104-1,"")))</f>
        <v/>
      </c>
      <c r="N105" s="15">
        <f>IF(OR(N104="",J104=""),"",IF(N104*J104&lt;=0,"",IFERROR(N104/J104-1,"")))</f>
        <v/>
      </c>
      <c r="T105" s="15">
        <f>IF(OR(T104="",S104=""),"",IF(T104*S104&lt;=0,"",IFERROR(T104/S104-1,"")))</f>
        <v/>
      </c>
      <c r="U105" s="15">
        <f>IF(OR(U104="",T104=""),"",IF(U104*T104&lt;=0,"",IFERROR(U104/T104-1,"")))</f>
        <v/>
      </c>
      <c r="V105" s="15">
        <f>IF(OR(V104="",U104=""),"",IF(V104*U104&lt;=0,"",IFERROR(V104/U104-1,"")))</f>
        <v/>
      </c>
      <c r="W105" s="15">
        <f>IF(OR(W104="",V104=""),"",IF(W104*V104&lt;=0,"",IFERROR(W104/V104-1,"")))</f>
        <v/>
      </c>
      <c r="X105" s="15">
        <f>IF(OR(X104="",W104=""),"",IF(X104*W104&lt;=0,"",IFERROR(X104/W104-1,"")))</f>
        <v/>
      </c>
    </row>
    <row r="106">
      <c r="A106" s="9" t="inlineStr">
        <is>
          <t>매출총이익</t>
        </is>
      </c>
      <c r="C106" s="12" t="n">
        <v>230088</v>
      </c>
      <c r="D106" s="12" t="n">
        <v>196595</v>
      </c>
      <c r="E106" s="12" t="n">
        <v>242591</v>
      </c>
      <c r="F106" s="12" t="n">
        <v>276387</v>
      </c>
      <c r="G106" s="12" t="n">
        <v>240339</v>
      </c>
      <c r="H106" s="12" t="n">
        <v>224804</v>
      </c>
      <c r="I106" s="12" t="n">
        <v>225831</v>
      </c>
      <c r="J106" s="12" t="n">
        <v>229911</v>
      </c>
      <c r="K106" s="12" t="n">
        <v>223664</v>
      </c>
      <c r="L106" s="12" t="n">
        <v>201387</v>
      </c>
      <c r="M106" s="12" t="n">
        <v>229833</v>
      </c>
      <c r="N106" s="12" t="n">
        <v>281061</v>
      </c>
      <c r="T106" s="12" t="n">
        <v>251073</v>
      </c>
      <c r="U106" s="12" t="n">
        <v>243968</v>
      </c>
      <c r="V106" s="12" t="n">
        <v>196595</v>
      </c>
      <c r="W106" s="12" t="n">
        <v>224804</v>
      </c>
      <c r="X106" s="12" t="n">
        <v>201387</v>
      </c>
    </row>
    <row r="107">
      <c r="A107" s="43" t="inlineStr">
        <is>
          <t>YoY</t>
        </is>
      </c>
      <c r="B107" s="3" t="inlineStr">
        <is>
          <t>전년 같은 분기·전년 대비</t>
        </is>
      </c>
      <c r="G107" s="15">
        <f>IF(OR(G106="",C106=""),"",IF(C106&lt;=0,"",IFERROR(G106/C106-1,"")))</f>
        <v/>
      </c>
      <c r="H107" s="15">
        <f>IF(OR(H106="",D106=""),"",IF(D106&lt;=0,"",IFERROR(H106/D106-1,"")))</f>
        <v/>
      </c>
      <c r="I107" s="15">
        <f>IF(OR(I106="",E106=""),"",IF(E106&lt;=0,"",IFERROR(I106/E106-1,"")))</f>
        <v/>
      </c>
      <c r="J107" s="15">
        <f>IF(OR(J106="",F106=""),"",IF(F106&lt;=0,"",IFERROR(J106/F106-1,"")))</f>
        <v/>
      </c>
      <c r="K107" s="15">
        <f>IF(OR(K106="",G106=""),"",IF(G106&lt;=0,"",IFERROR(K106/G106-1,"")))</f>
        <v/>
      </c>
      <c r="L107" s="15">
        <f>IF(OR(L106="",H106=""),"",IF(H106&lt;=0,"",IFERROR(L106/H106-1,"")))</f>
        <v/>
      </c>
      <c r="M107" s="15">
        <f>IF(OR(M106="",I106=""),"",IF(I106&lt;=0,"",IFERROR(M106/I106-1,"")))</f>
        <v/>
      </c>
      <c r="N107" s="15">
        <f>IF(OR(N106="",J106=""),"",IF(J106&lt;=0,"",IFERROR(N106/J106-1,"")))</f>
        <v/>
      </c>
      <c r="T107" s="15">
        <f>IF(OR(T106="",S106=""),"",IF(S106&lt;=0,"",IFERROR(T106/S106-1,"")))</f>
        <v/>
      </c>
      <c r="U107" s="15">
        <f>IF(OR(U106="",T106=""),"",IF(T106&lt;=0,"",IFERROR(U106/T106-1,"")))</f>
        <v/>
      </c>
      <c r="V107" s="15">
        <f>IF(OR(V106="",U106=""),"",IF(U106&lt;=0,"",IFERROR(V106/U106-1,"")))</f>
        <v/>
      </c>
      <c r="W107" s="15">
        <f>IF(OR(W106="",V106=""),"",IF(V106&lt;=0,"",IFERROR(W106/V106-1,"")))</f>
        <v/>
      </c>
      <c r="X107" s="15">
        <f>IF(OR(X106="",W106=""),"",IF(W106&lt;=0,"",IFERROR(X106/W106-1,"")))</f>
        <v/>
      </c>
    </row>
    <row r="108">
      <c r="A108" s="18" t="inlineStr">
        <is>
          <t>판매비와 관리비</t>
        </is>
      </c>
      <c r="C108" s="20" t="n">
        <v>52479</v>
      </c>
      <c r="D108" s="20" t="n">
        <v>55085</v>
      </c>
      <c r="E108" s="20" t="n">
        <v>51568</v>
      </c>
      <c r="F108" s="20" t="n">
        <v>61706</v>
      </c>
      <c r="G108" s="20" t="n">
        <v>61603</v>
      </c>
      <c r="H108" s="20" t="n">
        <v>67139</v>
      </c>
      <c r="I108" s="20" t="n">
        <v>59027</v>
      </c>
      <c r="J108" s="20" t="n">
        <v>62779</v>
      </c>
      <c r="K108" s="20" t="n">
        <v>59574</v>
      </c>
      <c r="L108" s="20" t="n">
        <v>64208</v>
      </c>
      <c r="M108" s="20" t="n">
        <v>56034</v>
      </c>
      <c r="N108" s="20" t="n">
        <v>68942</v>
      </c>
      <c r="T108" s="20" t="n">
        <v>54864</v>
      </c>
      <c r="U108" s="20" t="n">
        <v>53994</v>
      </c>
      <c r="V108" s="20" t="n">
        <v>55085</v>
      </c>
      <c r="W108" s="20" t="n">
        <v>67139</v>
      </c>
      <c r="X108" s="20" t="n">
        <v>64208</v>
      </c>
    </row>
    <row r="109">
      <c r="A109" s="43" t="inlineStr">
        <is>
          <t>YoY</t>
        </is>
      </c>
      <c r="B109" s="3" t="inlineStr">
        <is>
          <t>전년 같은 분기·전년 대비</t>
        </is>
      </c>
      <c r="G109" s="15">
        <f>IF(OR(G108="",C108=""),"",IF(G108*C108&lt;=0,"",IFERROR(G108/C108-1,"")))</f>
        <v/>
      </c>
      <c r="H109" s="15">
        <f>IF(OR(H108="",D108=""),"",IF(H108*D108&lt;=0,"",IFERROR(H108/D108-1,"")))</f>
        <v/>
      </c>
      <c r="I109" s="15">
        <f>IF(OR(I108="",E108=""),"",IF(I108*E108&lt;=0,"",IFERROR(I108/E108-1,"")))</f>
        <v/>
      </c>
      <c r="J109" s="15">
        <f>IF(OR(J108="",F108=""),"",IF(J108*F108&lt;=0,"",IFERROR(J108/F108-1,"")))</f>
        <v/>
      </c>
      <c r="K109" s="15">
        <f>IF(OR(K108="",G108=""),"",IF(K108*G108&lt;=0,"",IFERROR(K108/G108-1,"")))</f>
        <v/>
      </c>
      <c r="L109" s="15">
        <f>IF(OR(L108="",H108=""),"",IF(L108*H108&lt;=0,"",IFERROR(L108/H108-1,"")))</f>
        <v/>
      </c>
      <c r="M109" s="15">
        <f>IF(OR(M108="",I108=""),"",IF(M108*I108&lt;=0,"",IFERROR(M108/I108-1,"")))</f>
        <v/>
      </c>
      <c r="N109" s="15">
        <f>IF(OR(N108="",J108=""),"",IF(N108*J108&lt;=0,"",IFERROR(N108/J108-1,"")))</f>
        <v/>
      </c>
      <c r="T109" s="15">
        <f>IF(OR(T108="",S108=""),"",IF(T108*S108&lt;=0,"",IFERROR(T108/S108-1,"")))</f>
        <v/>
      </c>
      <c r="U109" s="15">
        <f>IF(OR(U108="",T108=""),"",IF(U108*T108&lt;=0,"",IFERROR(U108/T108-1,"")))</f>
        <v/>
      </c>
      <c r="V109" s="15">
        <f>IF(OR(V108="",U108=""),"",IF(V108*U108&lt;=0,"",IFERROR(V108/U108-1,"")))</f>
        <v/>
      </c>
      <c r="W109" s="15">
        <f>IF(OR(W108="",V108=""),"",IF(W108*V108&lt;=0,"",IFERROR(W108/V108-1,"")))</f>
        <v/>
      </c>
      <c r="X109" s="15">
        <f>IF(OR(X108="",W108=""),"",IF(X108*W108&lt;=0,"",IFERROR(X108/W108-1,"")))</f>
        <v/>
      </c>
    </row>
    <row r="110">
      <c r="A110" s="9" t="inlineStr">
        <is>
          <t>영업이익</t>
        </is>
      </c>
      <c r="C110" s="12" t="n">
        <v>177609</v>
      </c>
      <c r="D110" s="12" t="n">
        <v>141510</v>
      </c>
      <c r="E110" s="12" t="n">
        <v>191023</v>
      </c>
      <c r="F110" s="12" t="n">
        <v>214680</v>
      </c>
      <c r="G110" s="12" t="n">
        <v>178736</v>
      </c>
      <c r="H110" s="12" t="n">
        <v>157666</v>
      </c>
      <c r="I110" s="12" t="n">
        <v>166803</v>
      </c>
      <c r="J110" s="12" t="n">
        <v>167132</v>
      </c>
      <c r="K110" s="12" t="n">
        <v>164091</v>
      </c>
      <c r="L110" s="12" t="n">
        <v>137178</v>
      </c>
      <c r="M110" s="12" t="n">
        <v>173798</v>
      </c>
      <c r="N110" s="12" t="n">
        <v>212120</v>
      </c>
      <c r="T110" s="12" t="n">
        <v>196210</v>
      </c>
      <c r="U110" s="12" t="n">
        <v>189975</v>
      </c>
      <c r="V110" s="12" t="n">
        <v>141510</v>
      </c>
      <c r="W110" s="12" t="n">
        <v>157666</v>
      </c>
      <c r="X110" s="12" t="n">
        <v>137178</v>
      </c>
    </row>
    <row r="111">
      <c r="A111" s="43" t="inlineStr">
        <is>
          <t>OPM</t>
        </is>
      </c>
      <c r="B111" s="3" t="inlineStr">
        <is>
          <t>영업이익 ÷ 매출</t>
        </is>
      </c>
      <c r="C111" s="15">
        <f>IF(OR(C110="",C102=""),"",IF(C102&lt;=0,"",IFERROR(C110/C102,"")))</f>
        <v/>
      </c>
      <c r="D111" s="15">
        <f>IF(OR(D110="",D102=""),"",IF(D102&lt;=0,"",IFERROR(D110/D102,"")))</f>
        <v/>
      </c>
      <c r="E111" s="15">
        <f>IF(OR(E110="",E102=""),"",IF(E102&lt;=0,"",IFERROR(E110/E102,"")))</f>
        <v/>
      </c>
      <c r="F111" s="15">
        <f>IF(OR(F110="",F102=""),"",IF(F102&lt;=0,"",IFERROR(F110/F102,"")))</f>
        <v/>
      </c>
      <c r="G111" s="15">
        <f>IF(OR(G110="",G102=""),"",IF(G102&lt;=0,"",IFERROR(G110/G102,"")))</f>
        <v/>
      </c>
      <c r="H111" s="15">
        <f>IF(OR(H110="",H102=""),"",IF(H102&lt;=0,"",IFERROR(H110/H102,"")))</f>
        <v/>
      </c>
      <c r="I111" s="15">
        <f>IF(OR(I110="",I102=""),"",IF(I102&lt;=0,"",IFERROR(I110/I102,"")))</f>
        <v/>
      </c>
      <c r="J111" s="15">
        <f>IF(OR(J110="",J102=""),"",IF(J102&lt;=0,"",IFERROR(J110/J102,"")))</f>
        <v/>
      </c>
      <c r="K111" s="15">
        <f>IF(OR(K110="",K102=""),"",IF(K102&lt;=0,"",IFERROR(K110/K102,"")))</f>
        <v/>
      </c>
      <c r="L111" s="15">
        <f>IF(OR(L110="",L102=""),"",IF(L102&lt;=0,"",IFERROR(L110/L102,"")))</f>
        <v/>
      </c>
      <c r="M111" s="15">
        <f>IF(OR(M110="",M102=""),"",IF(M102&lt;=0,"",IFERROR(M110/M102,"")))</f>
        <v/>
      </c>
      <c r="N111" s="15">
        <f>IF(OR(N110="",N102=""),"",IF(N102&lt;=0,"",IFERROR(N110/N102,"")))</f>
        <v/>
      </c>
      <c r="T111" s="15">
        <f>IF(OR(T110="",T102=""),"",IF(T102&lt;=0,"",IFERROR(T110/T102,"")))</f>
        <v/>
      </c>
      <c r="U111" s="15">
        <f>IF(OR(U110="",U102=""),"",IF(U102&lt;=0,"",IFERROR(U110/U102,"")))</f>
        <v/>
      </c>
      <c r="V111" s="15">
        <f>IF(OR(V110="",V102=""),"",IF(V102&lt;=0,"",IFERROR(V110/V102,"")))</f>
        <v/>
      </c>
      <c r="W111" s="15">
        <f>IF(OR(W110="",W102=""),"",IF(W102&lt;=0,"",IFERROR(W110/W102,"")))</f>
        <v/>
      </c>
      <c r="X111" s="15">
        <f>IF(OR(X110="",X102=""),"",IF(X102&lt;=0,"",IFERROR(X110/X102,"")))</f>
        <v/>
      </c>
    </row>
    <row r="112">
      <c r="A112" s="43" t="inlineStr">
        <is>
          <t>YoY</t>
        </is>
      </c>
      <c r="B112" s="3" t="inlineStr">
        <is>
          <t>전년 같은 분기·전년 대비</t>
        </is>
      </c>
      <c r="G112" s="15">
        <f>IF(OR(G110="",C110=""),"",IF(C110&lt;=0,"",IFERROR(G110/C110-1,"")))</f>
        <v/>
      </c>
      <c r="H112" s="15">
        <f>IF(OR(H110="",D110=""),"",IF(D110&lt;=0,"",IFERROR(H110/D110-1,"")))</f>
        <v/>
      </c>
      <c r="I112" s="15">
        <f>IF(OR(I110="",E110=""),"",IF(E110&lt;=0,"",IFERROR(I110/E110-1,"")))</f>
        <v/>
      </c>
      <c r="J112" s="15">
        <f>IF(OR(J110="",F110=""),"",IF(F110&lt;=0,"",IFERROR(J110/F110-1,"")))</f>
        <v/>
      </c>
      <c r="K112" s="15">
        <f>IF(OR(K110="",G110=""),"",IF(G110&lt;=0,"",IFERROR(K110/G110-1,"")))</f>
        <v/>
      </c>
      <c r="L112" s="15">
        <f>IF(OR(L110="",H110=""),"",IF(H110&lt;=0,"",IFERROR(L110/H110-1,"")))</f>
        <v/>
      </c>
      <c r="M112" s="15">
        <f>IF(OR(M110="",I110=""),"",IF(I110&lt;=0,"",IFERROR(M110/I110-1,"")))</f>
        <v/>
      </c>
      <c r="N112" s="15">
        <f>IF(OR(N110="",J110=""),"",IF(J110&lt;=0,"",IFERROR(N110/J110-1,"")))</f>
        <v/>
      </c>
      <c r="T112" s="15">
        <f>IF(OR(T110="",S110=""),"",IF(S110&lt;=0,"",IFERROR(T110/S110-1,"")))</f>
        <v/>
      </c>
      <c r="U112" s="15">
        <f>IF(OR(U110="",T110=""),"",IF(T110&lt;=0,"",IFERROR(U110/T110-1,"")))</f>
        <v/>
      </c>
      <c r="V112" s="15">
        <f>IF(OR(V110="",U110=""),"",IF(U110&lt;=0,"",IFERROR(V110/U110-1,"")))</f>
        <v/>
      </c>
      <c r="W112" s="15">
        <f>IF(OR(W110="",V110=""),"",IF(V110&lt;=0,"",IFERROR(W110/V110-1,"")))</f>
        <v/>
      </c>
      <c r="X112" s="15">
        <f>IF(OR(X110="",W110=""),"",IF(W110&lt;=0,"",IFERROR(X110/W110-1,"")))</f>
        <v/>
      </c>
    </row>
    <row r="113">
      <c r="A113" s="18" t="inlineStr">
        <is>
          <t>이자수익</t>
        </is>
      </c>
      <c r="C113" s="20" t="n">
        <v>17994</v>
      </c>
      <c r="D113" s="20" t="n">
        <v>21597</v>
      </c>
      <c r="E113" s="20" t="n">
        <v>21282</v>
      </c>
      <c r="F113" s="20" t="n">
        <v>23260</v>
      </c>
      <c r="G113" s="20" t="n">
        <v>21330</v>
      </c>
      <c r="H113" s="20" t="n">
        <v>20860</v>
      </c>
      <c r="I113" s="20" t="n">
        <v>17358</v>
      </c>
      <c r="J113" s="20" t="n">
        <v>14610</v>
      </c>
      <c r="K113" s="20" t="n">
        <v>14967</v>
      </c>
      <c r="L113" s="20" t="n">
        <v>15992</v>
      </c>
      <c r="M113" s="20" t="n">
        <v>14792</v>
      </c>
      <c r="N113" s="20" t="n">
        <v>16341</v>
      </c>
      <c r="T113" s="20" t="n">
        <v>568</v>
      </c>
      <c r="U113" s="20" t="n">
        <v>9509</v>
      </c>
      <c r="V113" s="20" t="n">
        <v>21597</v>
      </c>
      <c r="W113" s="20" t="n">
        <v>20860</v>
      </c>
      <c r="X113" s="20" t="n">
        <v>15992</v>
      </c>
    </row>
    <row r="114">
      <c r="A114" s="18" t="inlineStr">
        <is>
          <t>지분법이익</t>
        </is>
      </c>
      <c r="T114" s="20" t="n">
        <v>1979</v>
      </c>
      <c r="U114" s="20" t="n">
        <v>2658</v>
      </c>
    </row>
    <row r="115">
      <c r="A115" s="18" t="inlineStr">
        <is>
          <t>외환차익</t>
        </is>
      </c>
      <c r="E115" s="20" t="n">
        <v>6729</v>
      </c>
      <c r="F115" s="20" t="n">
        <v>-6729</v>
      </c>
      <c r="I115" s="20" t="n">
        <v>0</v>
      </c>
      <c r="T115" s="20" t="n">
        <v>11692</v>
      </c>
      <c r="U115" s="20" t="n">
        <v>0</v>
      </c>
    </row>
    <row r="116">
      <c r="A116" s="18" t="inlineStr">
        <is>
          <t>기타</t>
        </is>
      </c>
      <c r="C116" s="20" t="n">
        <v>6704</v>
      </c>
      <c r="D116" s="20" t="n">
        <v>1933</v>
      </c>
      <c r="E116" s="20" t="n">
        <v>4390</v>
      </c>
      <c r="F116" s="20" t="n">
        <v>2837</v>
      </c>
      <c r="G116" s="20" t="n">
        <v>5008</v>
      </c>
      <c r="H116" s="20" t="n">
        <v>3938</v>
      </c>
      <c r="I116" s="20" t="n">
        <v>4302</v>
      </c>
      <c r="J116" s="20" t="n">
        <v>3919</v>
      </c>
      <c r="K116" s="20" t="n">
        <v>10090</v>
      </c>
      <c r="L116" s="20" t="n">
        <v>7163</v>
      </c>
      <c r="M116" s="20" t="n">
        <v>8086</v>
      </c>
      <c r="N116" s="20" t="n">
        <v>4614</v>
      </c>
      <c r="T116" s="20" t="n">
        <v>1007</v>
      </c>
      <c r="U116" s="20" t="n">
        <v>790</v>
      </c>
      <c r="V116" s="20" t="n">
        <v>1933</v>
      </c>
      <c r="W116" s="20" t="n">
        <v>3938</v>
      </c>
      <c r="X116" s="20" t="n">
        <v>7163</v>
      </c>
    </row>
    <row r="117">
      <c r="A117" s="18" t="inlineStr">
        <is>
          <t>영업외수익 합계</t>
        </is>
      </c>
      <c r="C117" s="20" t="n">
        <v>11612</v>
      </c>
      <c r="D117" s="20" t="n">
        <v>37178</v>
      </c>
      <c r="E117" s="20" t="n">
        <v>32401</v>
      </c>
      <c r="F117" s="20" t="n">
        <v>19369</v>
      </c>
      <c r="G117" s="20" t="n">
        <v>26338</v>
      </c>
      <c r="H117" s="20" t="n">
        <v>24798</v>
      </c>
      <c r="I117" s="20" t="n">
        <v>21661</v>
      </c>
      <c r="J117" s="20" t="n">
        <v>18528</v>
      </c>
      <c r="K117" s="20" t="n">
        <v>25057</v>
      </c>
      <c r="L117" s="20" t="n">
        <v>23155</v>
      </c>
      <c r="M117" s="20" t="n">
        <v>22878</v>
      </c>
      <c r="N117" s="20" t="n">
        <v>20956</v>
      </c>
      <c r="T117" s="20" t="n">
        <v>15245</v>
      </c>
      <c r="U117" s="20" t="n">
        <v>10299</v>
      </c>
      <c r="V117" s="20" t="n">
        <v>37178</v>
      </c>
      <c r="W117" s="20" t="n">
        <v>24798</v>
      </c>
      <c r="X117" s="20" t="n">
        <v>23155</v>
      </c>
    </row>
    <row r="118">
      <c r="A118" s="43" t="inlineStr">
        <is>
          <t>YoY</t>
        </is>
      </c>
      <c r="B118" s="3" t="inlineStr">
        <is>
          <t>전년 같은 분기·전년 대비</t>
        </is>
      </c>
      <c r="G118" s="15">
        <f>IF(OR(G117="",C117=""),"",IF(G117*C117&lt;=0,"",IFERROR(G117/C117-1,"")))</f>
        <v/>
      </c>
      <c r="H118" s="15">
        <f>IF(OR(H117="",D117=""),"",IF(H117*D117&lt;=0,"",IFERROR(H117/D117-1,"")))</f>
        <v/>
      </c>
      <c r="I118" s="15">
        <f>IF(OR(I117="",E117=""),"",IF(I117*E117&lt;=0,"",IFERROR(I117/E117-1,"")))</f>
        <v/>
      </c>
      <c r="J118" s="15">
        <f>IF(OR(J117="",F117=""),"",IF(J117*F117&lt;=0,"",IFERROR(J117/F117-1,"")))</f>
        <v/>
      </c>
      <c r="K118" s="15">
        <f>IF(OR(K117="",G117=""),"",IF(K117*G117&lt;=0,"",IFERROR(K117/G117-1,"")))</f>
        <v/>
      </c>
      <c r="L118" s="15">
        <f>IF(OR(L117="",H117=""),"",IF(L117*H117&lt;=0,"",IFERROR(L117/H117-1,"")))</f>
        <v/>
      </c>
      <c r="M118" s="15">
        <f>IF(OR(M117="",I117=""),"",IF(M117*I117&lt;=0,"",IFERROR(M117/I117-1,"")))</f>
        <v/>
      </c>
      <c r="N118" s="15">
        <f>IF(OR(N117="",J117=""),"",IF(N117*J117&lt;=0,"",IFERROR(N117/J117-1,"")))</f>
        <v/>
      </c>
      <c r="T118" s="15">
        <f>IF(OR(T117="",S117=""),"",IF(T117*S117&lt;=0,"",IFERROR(T117/S117-1,"")))</f>
        <v/>
      </c>
      <c r="U118" s="15">
        <f>IF(OR(U117="",T117=""),"",IF(U117*T117&lt;=0,"",IFERROR(U117/T117-1,"")))</f>
        <v/>
      </c>
      <c r="V118" s="15">
        <f>IF(OR(V117="",U117=""),"",IF(V117*U117&lt;=0,"",IFERROR(V117/U117-1,"")))</f>
        <v/>
      </c>
      <c r="W118" s="15">
        <f>IF(OR(W117="",V117=""),"",IF(W117*V117&lt;=0,"",IFERROR(W117/V117-1,"")))</f>
        <v/>
      </c>
      <c r="X118" s="15">
        <f>IF(OR(X117="",W117=""),"",IF(X117*W117&lt;=0,"",IFERROR(X117/W117-1,"")))</f>
        <v/>
      </c>
    </row>
    <row r="119">
      <c r="A119" s="18" t="inlineStr">
        <is>
          <t>이자비용</t>
        </is>
      </c>
      <c r="D119" s="20" t="n">
        <v>384</v>
      </c>
      <c r="G119" s="20" t="n">
        <v>664</v>
      </c>
      <c r="H119" s="20" t="n">
        <v>59</v>
      </c>
      <c r="K119" s="20" t="n">
        <v>914</v>
      </c>
      <c r="L119" s="20" t="n">
        <v>390</v>
      </c>
      <c r="U119" s="20" t="n">
        <v>401</v>
      </c>
      <c r="V119" s="20" t="n">
        <v>384</v>
      </c>
      <c r="W119" s="20" t="n">
        <v>59</v>
      </c>
      <c r="X119" s="20" t="n">
        <v>390</v>
      </c>
    </row>
    <row r="120">
      <c r="A120" s="18" t="inlineStr">
        <is>
          <t>고정자산 제각손실</t>
        </is>
      </c>
      <c r="C120" s="20" t="n">
        <v>377</v>
      </c>
      <c r="D120" s="20" t="n">
        <v>671</v>
      </c>
      <c r="T120" s="20" t="n">
        <v>1850</v>
      </c>
      <c r="U120" s="20" t="n">
        <v>2705</v>
      </c>
      <c r="V120" s="20" t="n">
        <v>671</v>
      </c>
    </row>
    <row r="121">
      <c r="A121" s="18" t="inlineStr">
        <is>
          <t>외환차손</t>
        </is>
      </c>
      <c r="C121" s="20" t="n">
        <v>0</v>
      </c>
      <c r="D121" s="20" t="n">
        <v>0</v>
      </c>
      <c r="E121" s="20" t="n">
        <v>0</v>
      </c>
      <c r="F121" s="20" t="n">
        <v>9439</v>
      </c>
      <c r="G121" s="20" t="n">
        <v>1352</v>
      </c>
      <c r="H121" s="20" t="n">
        <v>-104</v>
      </c>
      <c r="I121" s="20" t="n">
        <v>4660</v>
      </c>
      <c r="J121" s="20" t="n">
        <v>-1939</v>
      </c>
      <c r="T121" s="20" t="n">
        <v>0</v>
      </c>
      <c r="U121" s="20" t="n">
        <v>-742</v>
      </c>
      <c r="V121" s="20" t="n">
        <v>0</v>
      </c>
      <c r="W121" s="20" t="n">
        <v>-104</v>
      </c>
    </row>
    <row r="122">
      <c r="A122" s="18" t="inlineStr">
        <is>
          <t>기타</t>
        </is>
      </c>
      <c r="C122" s="20" t="n">
        <v>997</v>
      </c>
      <c r="D122" s="20" t="n">
        <v>4965</v>
      </c>
      <c r="E122" s="20" t="n">
        <v>3614</v>
      </c>
      <c r="F122" s="20" t="n">
        <v>868</v>
      </c>
      <c r="G122" s="20" t="n">
        <v>12542</v>
      </c>
      <c r="H122" s="20" t="n">
        <v>1864</v>
      </c>
      <c r="I122" s="20" t="n">
        <v>2183</v>
      </c>
      <c r="J122" s="20" t="n">
        <v>1881</v>
      </c>
      <c r="K122" s="20" t="n">
        <v>-523</v>
      </c>
      <c r="L122" s="20" t="n">
        <v>5225</v>
      </c>
      <c r="T122" s="20" t="n">
        <v>4492</v>
      </c>
      <c r="U122" s="20" t="n">
        <v>-2023</v>
      </c>
      <c r="V122" s="20" t="n">
        <v>4965</v>
      </c>
      <c r="W122" s="20" t="n">
        <v>1864</v>
      </c>
      <c r="X122" s="20" t="n">
        <v>5225</v>
      </c>
    </row>
    <row r="123">
      <c r="A123" s="18" t="inlineStr">
        <is>
          <t>영업외비용 합계</t>
        </is>
      </c>
      <c r="C123" s="20" t="n">
        <v>997</v>
      </c>
      <c r="D123" s="20" t="n">
        <v>7192</v>
      </c>
      <c r="E123" s="20" t="n">
        <v>3614</v>
      </c>
      <c r="F123" s="20" t="n">
        <v>10935</v>
      </c>
      <c r="G123" s="20" t="n">
        <v>3767</v>
      </c>
      <c r="H123" s="20" t="n">
        <v>6151</v>
      </c>
      <c r="I123" s="20" t="n">
        <v>6843</v>
      </c>
      <c r="J123" s="20" t="n">
        <v>-57</v>
      </c>
      <c r="K123" s="20" t="n">
        <v>-928</v>
      </c>
      <c r="L123" s="20" t="n">
        <v>9465</v>
      </c>
      <c r="M123" s="20" t="n">
        <v>4547</v>
      </c>
      <c r="N123" s="20" t="n">
        <v>10096</v>
      </c>
      <c r="T123" s="20" t="n">
        <v>7325</v>
      </c>
      <c r="U123" s="20" t="n">
        <v>4280</v>
      </c>
      <c r="V123" s="20" t="n">
        <v>7192</v>
      </c>
      <c r="W123" s="20" t="n">
        <v>6151</v>
      </c>
      <c r="X123" s="20" t="n">
        <v>9465</v>
      </c>
    </row>
    <row r="124">
      <c r="A124" s="43" t="inlineStr">
        <is>
          <t>YoY</t>
        </is>
      </c>
      <c r="B124" s="3" t="inlineStr">
        <is>
          <t>전년 같은 분기·전년 대비</t>
        </is>
      </c>
      <c r="G124" s="15">
        <f>IF(OR(G123="",C123=""),"",IF(G123*C123&lt;=0,"",IFERROR(G123/C123-1,"")))</f>
        <v/>
      </c>
      <c r="H124" s="15">
        <f>IF(OR(H123="",D123=""),"",IF(H123*D123&lt;=0,"",IFERROR(H123/D123-1,"")))</f>
        <v/>
      </c>
      <c r="I124" s="15">
        <f>IF(OR(I123="",E123=""),"",IF(I123*E123&lt;=0,"",IFERROR(I123/E123-1,"")))</f>
        <v/>
      </c>
      <c r="J124" s="15">
        <f>IF(OR(J123="",F123=""),"",IF(J123*F123&lt;=0,"",IFERROR(J123/F123-1,"")))</f>
        <v/>
      </c>
      <c r="K124" s="15">
        <f>IF(OR(K123="",G123=""),"",IF(K123*G123&lt;=0,"",IFERROR(K123/G123-1,"")))</f>
        <v/>
      </c>
      <c r="L124" s="15">
        <f>IF(OR(L123="",H123=""),"",IF(L123*H123&lt;=0,"",IFERROR(L123/H123-1,"")))</f>
        <v/>
      </c>
      <c r="M124" s="15">
        <f>IF(OR(M123="",I123=""),"",IF(M123*I123&lt;=0,"",IFERROR(M123/I123-1,"")))</f>
        <v/>
      </c>
      <c r="N124" s="15">
        <f>IF(OR(N123="",J123=""),"",IF(N123*J123&lt;=0,"",IFERROR(N123/J123-1,"")))</f>
        <v/>
      </c>
      <c r="T124" s="15">
        <f>IF(OR(T123="",S123=""),"",IF(T123*S123&lt;=0,"",IFERROR(T123/S123-1,"")))</f>
        <v/>
      </c>
      <c r="U124" s="15">
        <f>IF(OR(U123="",T123=""),"",IF(U123*T123&lt;=0,"",IFERROR(U123/T123-1,"")))</f>
        <v/>
      </c>
      <c r="V124" s="15">
        <f>IF(OR(V123="",U123=""),"",IF(V123*U123&lt;=0,"",IFERROR(V123/U123-1,"")))</f>
        <v/>
      </c>
      <c r="W124" s="15">
        <f>IF(OR(W123="",V123=""),"",IF(W123*V123&lt;=0,"",IFERROR(W123/V123-1,"")))</f>
        <v/>
      </c>
      <c r="X124" s="15">
        <f>IF(OR(X123="",W123=""),"",IF(X123*W123&lt;=0,"",IFERROR(X123/W123-1,"")))</f>
        <v/>
      </c>
    </row>
    <row r="125">
      <c r="A125" s="9" t="inlineStr">
        <is>
          <t>경상이익</t>
        </is>
      </c>
      <c r="C125" s="12" t="n">
        <v>188224</v>
      </c>
      <c r="D125" s="12" t="n">
        <v>171496</v>
      </c>
      <c r="E125" s="12" t="n">
        <v>219810</v>
      </c>
      <c r="F125" s="12" t="n">
        <v>223114</v>
      </c>
      <c r="G125" s="12" t="n">
        <v>201307</v>
      </c>
      <c r="H125" s="12" t="n">
        <v>176312</v>
      </c>
      <c r="I125" s="12" t="n">
        <v>181621</v>
      </c>
      <c r="J125" s="12" t="n">
        <v>185718</v>
      </c>
      <c r="K125" s="12" t="n">
        <v>190075</v>
      </c>
      <c r="L125" s="12" t="n">
        <v>150867</v>
      </c>
      <c r="M125" s="12" t="n">
        <v>192129</v>
      </c>
      <c r="N125" s="12" t="n">
        <v>222979</v>
      </c>
      <c r="T125" s="12" t="n">
        <v>204130</v>
      </c>
      <c r="U125" s="12" t="n">
        <v>195994</v>
      </c>
      <c r="V125" s="12" t="n">
        <v>171496</v>
      </c>
      <c r="W125" s="12" t="n">
        <v>176312</v>
      </c>
      <c r="X125" s="12" t="n">
        <v>150867</v>
      </c>
    </row>
    <row r="126">
      <c r="A126" s="43" t="inlineStr">
        <is>
          <t>YoY</t>
        </is>
      </c>
      <c r="B126" s="3" t="inlineStr">
        <is>
          <t>전년 같은 분기·전년 대비</t>
        </is>
      </c>
      <c r="G126" s="15">
        <f>IF(OR(G125="",C125=""),"",IF(C125&lt;=0,"",IFERROR(G125/C125-1,"")))</f>
        <v/>
      </c>
      <c r="H126" s="15">
        <f>IF(OR(H125="",D125=""),"",IF(D125&lt;=0,"",IFERROR(H125/D125-1,"")))</f>
        <v/>
      </c>
      <c r="I126" s="15">
        <f>IF(OR(I125="",E125=""),"",IF(E125&lt;=0,"",IFERROR(I125/E125-1,"")))</f>
        <v/>
      </c>
      <c r="J126" s="15">
        <f>IF(OR(J125="",F125=""),"",IF(F125&lt;=0,"",IFERROR(J125/F125-1,"")))</f>
        <v/>
      </c>
      <c r="K126" s="15">
        <f>IF(OR(K125="",G125=""),"",IF(G125&lt;=0,"",IFERROR(K125/G125-1,"")))</f>
        <v/>
      </c>
      <c r="L126" s="15">
        <f>IF(OR(L125="",H125=""),"",IF(H125&lt;=0,"",IFERROR(L125/H125-1,"")))</f>
        <v/>
      </c>
      <c r="M126" s="15">
        <f>IF(OR(M125="",I125=""),"",IF(I125&lt;=0,"",IFERROR(M125/I125-1,"")))</f>
        <v/>
      </c>
      <c r="N126" s="15">
        <f>IF(OR(N125="",J125=""),"",IF(J125&lt;=0,"",IFERROR(N125/J125-1,"")))</f>
        <v/>
      </c>
      <c r="T126" s="15">
        <f>IF(OR(T125="",S125=""),"",IF(S125&lt;=0,"",IFERROR(T125/S125-1,"")))</f>
        <v/>
      </c>
      <c r="U126" s="15">
        <f>IF(OR(U125="",T125=""),"",IF(T125&lt;=0,"",IFERROR(U125/T125-1,"")))</f>
        <v/>
      </c>
      <c r="V126" s="15">
        <f>IF(OR(V125="",U125=""),"",IF(U125&lt;=0,"",IFERROR(V125/U125-1,"")))</f>
        <v/>
      </c>
      <c r="W126" s="15">
        <f>IF(OR(W125="",V125=""),"",IF(V125&lt;=0,"",IFERROR(W125/V125-1,"")))</f>
        <v/>
      </c>
      <c r="X126" s="15">
        <f>IF(OR(X125="",W125=""),"",IF(W125&lt;=0,"",IFERROR(X125/W125-1,"")))</f>
        <v/>
      </c>
    </row>
    <row r="127">
      <c r="A127" s="18" t="inlineStr">
        <is>
          <t>투자유가증권 매각이익</t>
        </is>
      </c>
      <c r="C127" s="20" t="n">
        <v>1602</v>
      </c>
      <c r="D127" s="20" t="n">
        <v>5227</v>
      </c>
      <c r="E127" s="20" t="n">
        <v>950</v>
      </c>
      <c r="F127" s="20" t="n">
        <v>959</v>
      </c>
      <c r="G127" s="20" t="n">
        <v>8931</v>
      </c>
      <c r="H127" s="20" t="n">
        <v>163</v>
      </c>
      <c r="I127" s="20" t="n">
        <v>2924</v>
      </c>
      <c r="J127" s="20" t="n">
        <v>6741</v>
      </c>
      <c r="K127" s="20" t="n">
        <v>839</v>
      </c>
      <c r="L127" s="20" t="n">
        <v>68</v>
      </c>
      <c r="M127" s="20" t="n">
        <v>2271</v>
      </c>
      <c r="N127" s="20" t="n">
        <v>3969</v>
      </c>
      <c r="U127" s="20" t="n">
        <v>0</v>
      </c>
      <c r="V127" s="20" t="n">
        <v>5227</v>
      </c>
      <c r="W127" s="20" t="n">
        <v>163</v>
      </c>
      <c r="X127" s="20" t="n">
        <v>68</v>
      </c>
    </row>
    <row r="128">
      <c r="A128" s="18" t="inlineStr">
        <is>
          <t>단계적 취득 차익</t>
        </is>
      </c>
      <c r="C128" s="20" t="n">
        <v>0</v>
      </c>
      <c r="D128" s="20" t="n">
        <v>0</v>
      </c>
      <c r="G128" s="20" t="n">
        <v>0</v>
      </c>
      <c r="H128" s="20" t="n">
        <v>0</v>
      </c>
      <c r="K128" s="20" t="n">
        <v>0</v>
      </c>
      <c r="L128" s="20" t="n">
        <v>0</v>
      </c>
      <c r="V128" s="20" t="n">
        <v>0</v>
      </c>
      <c r="W128" s="20" t="n">
        <v>0</v>
      </c>
      <c r="X128" s="20" t="n">
        <v>0</v>
      </c>
    </row>
    <row r="129">
      <c r="A129" s="18" t="inlineStr">
        <is>
          <t>특별이익 합계</t>
        </is>
      </c>
      <c r="C129" s="20" t="n">
        <v>1602</v>
      </c>
      <c r="D129" s="20" t="n">
        <v>9651</v>
      </c>
      <c r="E129" s="20" t="n">
        <v>950</v>
      </c>
      <c r="F129" s="20" t="n">
        <v>6381</v>
      </c>
      <c r="G129" s="20" t="n">
        <v>8931</v>
      </c>
      <c r="H129" s="20" t="n">
        <v>163</v>
      </c>
      <c r="I129" s="20" t="n">
        <v>2924</v>
      </c>
      <c r="J129" s="20" t="n">
        <v>6741</v>
      </c>
      <c r="K129" s="20" t="n">
        <v>839</v>
      </c>
      <c r="L129" s="20" t="n">
        <v>68</v>
      </c>
      <c r="M129" s="20" t="n">
        <v>2271</v>
      </c>
      <c r="N129" s="20" t="n">
        <v>3969</v>
      </c>
      <c r="U129" s="20" t="n">
        <v>0</v>
      </c>
      <c r="V129" s="20" t="n">
        <v>9651</v>
      </c>
      <c r="W129" s="20" t="n">
        <v>163</v>
      </c>
      <c r="X129" s="20" t="n">
        <v>68</v>
      </c>
    </row>
    <row r="130">
      <c r="A130" s="43" t="inlineStr">
        <is>
          <t>YoY</t>
        </is>
      </c>
      <c r="B130" s="3" t="inlineStr">
        <is>
          <t>전년 같은 분기·전년 대비</t>
        </is>
      </c>
      <c r="G130" s="15">
        <f>IF(OR(G129="",C129=""),"",IF(G129*C129&lt;=0,"",IFERROR(G129/C129-1,"")))</f>
        <v/>
      </c>
      <c r="H130" s="15">
        <f>IF(OR(H129="",D129=""),"",IF(H129*D129&lt;=0,"",IFERROR(H129/D129-1,"")))</f>
        <v/>
      </c>
      <c r="I130" s="15">
        <f>IF(OR(I129="",E129=""),"",IF(I129*E129&lt;=0,"",IFERROR(I129/E129-1,"")))</f>
        <v/>
      </c>
      <c r="J130" s="15">
        <f>IF(OR(J129="",F129=""),"",IF(J129*F129&lt;=0,"",IFERROR(J129/F129-1,"")))</f>
        <v/>
      </c>
      <c r="K130" s="15">
        <f>IF(OR(K129="",G129=""),"",IF(K129*G129&lt;=0,"",IFERROR(K129/G129-1,"")))</f>
        <v/>
      </c>
      <c r="L130" s="15">
        <f>IF(OR(L129="",H129=""),"",IF(L129*H129&lt;=0,"",IFERROR(L129/H129-1,"")))</f>
        <v/>
      </c>
      <c r="M130" s="15">
        <f>IF(OR(M129="",I129=""),"",IF(M129*I129&lt;=0,"",IFERROR(M129/I129-1,"")))</f>
        <v/>
      </c>
      <c r="N130" s="15">
        <f>IF(OR(N129="",J129=""),"",IF(N129*J129&lt;=0,"",IFERROR(N129/J129-1,"")))</f>
        <v/>
      </c>
      <c r="U130" s="15">
        <f>IF(OR(U129="",T129=""),"",IF(U129*T129&lt;=0,"",IFERROR(U129/T129-1,"")))</f>
        <v/>
      </c>
      <c r="V130" s="15">
        <f>IF(OR(V129="",U129=""),"",IF(V129*U129&lt;=0,"",IFERROR(V129/U129-1,"")))</f>
        <v/>
      </c>
      <c r="W130" s="15">
        <f>IF(OR(W129="",V129=""),"",IF(W129*V129&lt;=0,"",IFERROR(W129/V129-1,"")))</f>
        <v/>
      </c>
      <c r="X130" s="15">
        <f>IF(OR(X129="",W129=""),"",IF(X129*W129&lt;=0,"",IFERROR(X129/W129-1,"")))</f>
        <v/>
      </c>
    </row>
    <row r="131">
      <c r="A131" s="18" t="inlineStr">
        <is>
          <t>사업 재구축 비용</t>
        </is>
      </c>
      <c r="D131" s="20" t="n">
        <v>45</v>
      </c>
      <c r="H131" s="20" t="n">
        <v>7843</v>
      </c>
      <c r="U131" s="20" t="n">
        <v>0</v>
      </c>
      <c r="V131" s="20" t="n">
        <v>45</v>
      </c>
      <c r="W131" s="20" t="n">
        <v>7843</v>
      </c>
    </row>
    <row r="132">
      <c r="A132" s="18" t="inlineStr">
        <is>
          <t>특별손실 합계</t>
        </is>
      </c>
      <c r="D132" s="20" t="n">
        <v>45</v>
      </c>
      <c r="H132" s="20" t="n">
        <v>10739</v>
      </c>
      <c r="U132" s="20" t="n">
        <v>0</v>
      </c>
      <c r="V132" s="20" t="n">
        <v>45</v>
      </c>
      <c r="W132" s="20" t="n">
        <v>10739</v>
      </c>
    </row>
    <row r="133">
      <c r="A133" s="43" t="inlineStr">
        <is>
          <t>YoY</t>
        </is>
      </c>
      <c r="B133" s="3" t="inlineStr">
        <is>
          <t>전년 같은 분기·전년 대비</t>
        </is>
      </c>
      <c r="H133" s="15">
        <f>IF(OR(H132="",D132=""),"",IF(H132*D132&lt;=0,"",IFERROR(H132/D132-1,"")))</f>
        <v/>
      </c>
      <c r="U133" s="15">
        <f>IF(OR(U132="",T132=""),"",IF(U132*T132&lt;=0,"",IFERROR(U132/T132-1,"")))</f>
        <v/>
      </c>
      <c r="V133" s="15">
        <f>IF(OR(V132="",U132=""),"",IF(V132*U132&lt;=0,"",IFERROR(V132/U132-1,"")))</f>
        <v/>
      </c>
      <c r="W133" s="15">
        <f>IF(OR(W132="",V132=""),"",IF(W132*V132&lt;=0,"",IFERROR(W132/V132-1,"")))</f>
        <v/>
      </c>
    </row>
    <row r="134">
      <c r="A134" s="9" t="inlineStr">
        <is>
          <t>법인세차감전 순이익</t>
        </is>
      </c>
      <c r="C134" s="12" t="n">
        <v>174714</v>
      </c>
      <c r="D134" s="12" t="n">
        <v>181102</v>
      </c>
      <c r="E134" s="12" t="n">
        <v>220761</v>
      </c>
      <c r="F134" s="12" t="n">
        <v>229494</v>
      </c>
      <c r="G134" s="12" t="n">
        <v>210238</v>
      </c>
      <c r="H134" s="12" t="n">
        <v>165736</v>
      </c>
      <c r="I134" s="12" t="n">
        <v>184546</v>
      </c>
      <c r="J134" s="12" t="n">
        <v>192459</v>
      </c>
      <c r="K134" s="12" t="n">
        <v>190913</v>
      </c>
      <c r="L134" s="12" t="n">
        <v>140570</v>
      </c>
      <c r="M134" s="12" t="n">
        <v>194401</v>
      </c>
      <c r="N134" s="12" t="n">
        <v>226948</v>
      </c>
      <c r="T134" s="12" t="n">
        <v>205833</v>
      </c>
      <c r="U134" s="12" t="n">
        <v>195994</v>
      </c>
      <c r="V134" s="12" t="n">
        <v>181102</v>
      </c>
      <c r="W134" s="12" t="n">
        <v>165736</v>
      </c>
      <c r="X134" s="12" t="n">
        <v>140570</v>
      </c>
    </row>
    <row r="135">
      <c r="A135" s="43" t="inlineStr">
        <is>
          <t>YoY</t>
        </is>
      </c>
      <c r="B135" s="3" t="inlineStr">
        <is>
          <t>전년 같은 분기·전년 대비</t>
        </is>
      </c>
      <c r="G135" s="15">
        <f>IF(OR(G134="",C134=""),"",IF(C134&lt;=0,"",IFERROR(G134/C134-1,"")))</f>
        <v/>
      </c>
      <c r="H135" s="15">
        <f>IF(OR(H134="",D134=""),"",IF(D134&lt;=0,"",IFERROR(H134/D134-1,"")))</f>
        <v/>
      </c>
      <c r="I135" s="15">
        <f>IF(OR(I134="",E134=""),"",IF(E134&lt;=0,"",IFERROR(I134/E134-1,"")))</f>
        <v/>
      </c>
      <c r="J135" s="15">
        <f>IF(OR(J134="",F134=""),"",IF(F134&lt;=0,"",IFERROR(J134/F134-1,"")))</f>
        <v/>
      </c>
      <c r="K135" s="15">
        <f>IF(OR(K134="",G134=""),"",IF(G134&lt;=0,"",IFERROR(K134/G134-1,"")))</f>
        <v/>
      </c>
      <c r="L135" s="15">
        <f>IF(OR(L134="",H134=""),"",IF(H134&lt;=0,"",IFERROR(L134/H134-1,"")))</f>
        <v/>
      </c>
      <c r="M135" s="15">
        <f>IF(OR(M134="",I134=""),"",IF(I134&lt;=0,"",IFERROR(M134/I134-1,"")))</f>
        <v/>
      </c>
      <c r="N135" s="15">
        <f>IF(OR(N134="",J134=""),"",IF(J134&lt;=0,"",IFERROR(N134/J134-1,"")))</f>
        <v/>
      </c>
      <c r="T135" s="15">
        <f>IF(OR(T134="",S134=""),"",IF(S134&lt;=0,"",IFERROR(T134/S134-1,"")))</f>
        <v/>
      </c>
      <c r="U135" s="15">
        <f>IF(OR(U134="",T134=""),"",IF(T134&lt;=0,"",IFERROR(U134/T134-1,"")))</f>
        <v/>
      </c>
      <c r="V135" s="15">
        <f>IF(OR(V134="",U134=""),"",IF(U134&lt;=0,"",IFERROR(V134/U134-1,"")))</f>
        <v/>
      </c>
      <c r="W135" s="15">
        <f>IF(OR(W134="",V134=""),"",IF(V134&lt;=0,"",IFERROR(W134/V134-1,"")))</f>
        <v/>
      </c>
      <c r="X135" s="15">
        <f>IF(OR(X134="",W134=""),"",IF(W134&lt;=0,"",IFERROR(X134/W134-1,"")))</f>
        <v/>
      </c>
    </row>
    <row r="136">
      <c r="A136" s="18" t="inlineStr">
        <is>
          <t>법인세·주민세·사업세</t>
        </is>
      </c>
      <c r="C136" s="20" t="n">
        <v>55614</v>
      </c>
      <c r="D136" s="20" t="n">
        <v>48107</v>
      </c>
      <c r="E136" s="20" t="n">
        <v>55273</v>
      </c>
      <c r="F136" s="20" t="n">
        <v>61256</v>
      </c>
      <c r="G136" s="20" t="n">
        <v>46095</v>
      </c>
      <c r="H136" s="20" t="n">
        <v>48447</v>
      </c>
      <c r="I136" s="20" t="n">
        <v>47191</v>
      </c>
      <c r="J136" s="20" t="n">
        <v>58308</v>
      </c>
      <c r="K136" s="20" t="n">
        <v>50264</v>
      </c>
      <c r="L136" s="20" t="n">
        <v>41636</v>
      </c>
      <c r="M136" s="20" t="n">
        <v>53695</v>
      </c>
      <c r="N136" s="20" t="n">
        <v>73642</v>
      </c>
      <c r="T136" s="20" t="n">
        <v>55953</v>
      </c>
      <c r="U136" s="20" t="n">
        <v>44335</v>
      </c>
      <c r="V136" s="20" t="n">
        <v>48107</v>
      </c>
      <c r="W136" s="20" t="n">
        <v>48447</v>
      </c>
      <c r="X136" s="20" t="n">
        <v>41636</v>
      </c>
    </row>
    <row r="137">
      <c r="A137" s="18" t="inlineStr">
        <is>
          <t>법인세 조정액</t>
        </is>
      </c>
      <c r="C137" s="20" t="n">
        <v>292</v>
      </c>
      <c r="D137" s="20" t="n">
        <v>8829</v>
      </c>
      <c r="E137" s="20" t="n">
        <v>10839</v>
      </c>
      <c r="F137" s="20" t="n">
        <v>4639</v>
      </c>
      <c r="G137" s="20" t="n">
        <v>13746</v>
      </c>
      <c r="H137" s="20" t="n">
        <v>5832</v>
      </c>
      <c r="I137" s="20" t="n">
        <v>2691</v>
      </c>
      <c r="J137" s="20" t="n">
        <v>-5591</v>
      </c>
      <c r="K137" s="20" t="n">
        <v>6114</v>
      </c>
      <c r="L137" s="20" t="n">
        <v>1584</v>
      </c>
      <c r="M137" s="20" t="n">
        <v>3601</v>
      </c>
      <c r="N137" s="20" t="n">
        <v>-10525</v>
      </c>
      <c r="T137" s="20" t="n">
        <v>-6248</v>
      </c>
      <c r="U137" s="20" t="n">
        <v>9162</v>
      </c>
      <c r="V137" s="20" t="n">
        <v>8829</v>
      </c>
      <c r="W137" s="20" t="n">
        <v>5832</v>
      </c>
      <c r="X137" s="20" t="n">
        <v>1584</v>
      </c>
    </row>
    <row r="138">
      <c r="A138" s="18" t="inlineStr">
        <is>
          <t>법인세 등 합계</t>
        </is>
      </c>
      <c r="C138" s="20" t="n">
        <v>55906</v>
      </c>
      <c r="D138" s="20" t="n">
        <v>56936</v>
      </c>
      <c r="E138" s="20" t="n">
        <v>66113</v>
      </c>
      <c r="F138" s="20" t="n">
        <v>65895</v>
      </c>
      <c r="G138" s="20" t="n">
        <v>59840</v>
      </c>
      <c r="H138" s="20" t="n">
        <v>54280</v>
      </c>
      <c r="I138" s="20" t="n">
        <v>49883</v>
      </c>
      <c r="J138" s="20" t="n">
        <v>52715</v>
      </c>
      <c r="K138" s="20" t="n">
        <v>56380</v>
      </c>
      <c r="L138" s="20" t="n">
        <v>43220</v>
      </c>
      <c r="M138" s="20" t="n">
        <v>57296</v>
      </c>
      <c r="N138" s="20" t="n">
        <v>63116</v>
      </c>
      <c r="T138" s="20" t="n">
        <v>49705</v>
      </c>
      <c r="U138" s="20" t="n">
        <v>53497</v>
      </c>
      <c r="V138" s="20" t="n">
        <v>56936</v>
      </c>
      <c r="W138" s="20" t="n">
        <v>54280</v>
      </c>
      <c r="X138" s="20" t="n">
        <v>43220</v>
      </c>
    </row>
    <row r="139">
      <c r="A139" s="43" t="inlineStr">
        <is>
          <t>YoY</t>
        </is>
      </c>
      <c r="B139" s="3" t="inlineStr">
        <is>
          <t>전년 같은 분기·전년 대비</t>
        </is>
      </c>
      <c r="G139" s="15">
        <f>IF(OR(G138="",C138=""),"",IF(G138*C138&lt;=0,"",IFERROR(G138/C138-1,"")))</f>
        <v/>
      </c>
      <c r="H139" s="15">
        <f>IF(OR(H138="",D138=""),"",IF(H138*D138&lt;=0,"",IFERROR(H138/D138-1,"")))</f>
        <v/>
      </c>
      <c r="I139" s="15">
        <f>IF(OR(I138="",E138=""),"",IF(I138*E138&lt;=0,"",IFERROR(I138/E138-1,"")))</f>
        <v/>
      </c>
      <c r="J139" s="15">
        <f>IF(OR(J138="",F138=""),"",IF(J138*F138&lt;=0,"",IFERROR(J138/F138-1,"")))</f>
        <v/>
      </c>
      <c r="K139" s="15">
        <f>IF(OR(K138="",G138=""),"",IF(K138*G138&lt;=0,"",IFERROR(K138/G138-1,"")))</f>
        <v/>
      </c>
      <c r="L139" s="15">
        <f>IF(OR(L138="",H138=""),"",IF(L138*H138&lt;=0,"",IFERROR(L138/H138-1,"")))</f>
        <v/>
      </c>
      <c r="M139" s="15">
        <f>IF(OR(M138="",I138=""),"",IF(M138*I138&lt;=0,"",IFERROR(M138/I138-1,"")))</f>
        <v/>
      </c>
      <c r="N139" s="15">
        <f>IF(OR(N138="",J138=""),"",IF(N138*J138&lt;=0,"",IFERROR(N138/J138-1,"")))</f>
        <v/>
      </c>
      <c r="T139" s="15">
        <f>IF(OR(T138="",S138=""),"",IF(T138*S138&lt;=0,"",IFERROR(T138/S138-1,"")))</f>
        <v/>
      </c>
      <c r="U139" s="15">
        <f>IF(OR(U138="",T138=""),"",IF(U138*T138&lt;=0,"",IFERROR(U138/T138-1,"")))</f>
        <v/>
      </c>
      <c r="V139" s="15">
        <f>IF(OR(V138="",U138=""),"",IF(V138*U138&lt;=0,"",IFERROR(V138/U138-1,"")))</f>
        <v/>
      </c>
      <c r="W139" s="15">
        <f>IF(OR(W138="",V138=""),"",IF(W138*V138&lt;=0,"",IFERROR(W138/V138-1,"")))</f>
        <v/>
      </c>
      <c r="X139" s="15">
        <f>IF(OR(X138="",W138=""),"",IF(X138*W138&lt;=0,"",IFERROR(X138/W138-1,"")))</f>
        <v/>
      </c>
    </row>
    <row r="140">
      <c r="A140" s="9" t="inlineStr">
        <is>
          <t>순이익</t>
        </is>
      </c>
      <c r="C140" s="12" t="n">
        <v>118808</v>
      </c>
      <c r="D140" s="12" t="n">
        <v>124166</v>
      </c>
      <c r="E140" s="12" t="n">
        <v>154647</v>
      </c>
      <c r="F140" s="12" t="n">
        <v>163600</v>
      </c>
      <c r="G140" s="12" t="n">
        <v>150398</v>
      </c>
      <c r="H140" s="12" t="n">
        <v>111456</v>
      </c>
      <c r="I140" s="12" t="n">
        <v>134662</v>
      </c>
      <c r="J140" s="12" t="n">
        <v>139744</v>
      </c>
      <c r="K140" s="12" t="n">
        <v>134534</v>
      </c>
      <c r="L140" s="12" t="n">
        <v>97349</v>
      </c>
      <c r="M140" s="12" t="n">
        <v>137104</v>
      </c>
      <c r="N140" s="12" t="n">
        <v>163833</v>
      </c>
      <c r="T140" s="12" t="n">
        <v>156129</v>
      </c>
      <c r="U140" s="12" t="n">
        <v>142497</v>
      </c>
      <c r="V140" s="12" t="n">
        <v>124166</v>
      </c>
      <c r="W140" s="12" t="n">
        <v>111456</v>
      </c>
      <c r="X140" s="12" t="n">
        <v>97349</v>
      </c>
    </row>
    <row r="141">
      <c r="A141" s="43" t="inlineStr">
        <is>
          <t>YoY</t>
        </is>
      </c>
      <c r="B141" s="3" t="inlineStr">
        <is>
          <t>전년 같은 분기·전년 대비</t>
        </is>
      </c>
      <c r="G141" s="15">
        <f>IF(OR(G140="",C140=""),"",IF(C140&lt;=0,"",IFERROR(G140/C140-1,"")))</f>
        <v/>
      </c>
      <c r="H141" s="15">
        <f>IF(OR(H140="",D140=""),"",IF(D140&lt;=0,"",IFERROR(H140/D140-1,"")))</f>
        <v/>
      </c>
      <c r="I141" s="15">
        <f>IF(OR(I140="",E140=""),"",IF(E140&lt;=0,"",IFERROR(I140/E140-1,"")))</f>
        <v/>
      </c>
      <c r="J141" s="15">
        <f>IF(OR(J140="",F140=""),"",IF(F140&lt;=0,"",IFERROR(J140/F140-1,"")))</f>
        <v/>
      </c>
      <c r="K141" s="15">
        <f>IF(OR(K140="",G140=""),"",IF(G140&lt;=0,"",IFERROR(K140/G140-1,"")))</f>
        <v/>
      </c>
      <c r="L141" s="15">
        <f>IF(OR(L140="",H140=""),"",IF(H140&lt;=0,"",IFERROR(L140/H140-1,"")))</f>
        <v/>
      </c>
      <c r="M141" s="15">
        <f>IF(OR(M140="",I140=""),"",IF(I140&lt;=0,"",IFERROR(M140/I140-1,"")))</f>
        <v/>
      </c>
      <c r="N141" s="15">
        <f>IF(OR(N140="",J140=""),"",IF(J140&lt;=0,"",IFERROR(N140/J140-1,"")))</f>
        <v/>
      </c>
      <c r="T141" s="15">
        <f>IF(OR(T140="",S140=""),"",IF(S140&lt;=0,"",IFERROR(T140/S140-1,"")))</f>
        <v/>
      </c>
      <c r="U141" s="15">
        <f>IF(OR(U140="",T140=""),"",IF(T140&lt;=0,"",IFERROR(U140/T140-1,"")))</f>
        <v/>
      </c>
      <c r="V141" s="15">
        <f>IF(OR(V140="",U140=""),"",IF(U140&lt;=0,"",IFERROR(V140/U140-1,"")))</f>
        <v/>
      </c>
      <c r="W141" s="15">
        <f>IF(OR(W140="",V140=""),"",IF(V140&lt;=0,"",IFERROR(W140/V140-1,"")))</f>
        <v/>
      </c>
      <c r="X141" s="15">
        <f>IF(OR(X140="",W140=""),"",IF(W140&lt;=0,"",IFERROR(X140/W140-1,"")))</f>
        <v/>
      </c>
    </row>
    <row r="142">
      <c r="A142" s="9" t="inlineStr">
        <is>
          <t>비지배주주 순이익</t>
        </is>
      </c>
      <c r="C142" s="12" t="n">
        <v>13719</v>
      </c>
      <c r="D142" s="12" t="n">
        <v>10555</v>
      </c>
      <c r="E142" s="12" t="n">
        <v>10626</v>
      </c>
      <c r="F142" s="12" t="n">
        <v>13504</v>
      </c>
      <c r="G142" s="12" t="n">
        <v>11975</v>
      </c>
      <c r="H142" s="12" t="n">
        <v>9975</v>
      </c>
      <c r="I142" s="12" t="n">
        <v>8233</v>
      </c>
      <c r="J142" s="12" t="n">
        <v>8329</v>
      </c>
      <c r="K142" s="12" t="n">
        <v>8057</v>
      </c>
      <c r="L142" s="12" t="n">
        <v>7211</v>
      </c>
      <c r="M142" s="12" t="n">
        <v>6275</v>
      </c>
      <c r="N142" s="12" t="n">
        <v>7722</v>
      </c>
      <c r="T142" s="12" t="n">
        <v>9146</v>
      </c>
      <c r="U142" s="12" t="n">
        <v>12778</v>
      </c>
      <c r="V142" s="12" t="n">
        <v>10555</v>
      </c>
      <c r="W142" s="12" t="n">
        <v>9975</v>
      </c>
      <c r="X142" s="12" t="n">
        <v>7211</v>
      </c>
    </row>
    <row r="143">
      <c r="A143" s="9" t="inlineStr">
        <is>
          <t>지배주주 순이익</t>
        </is>
      </c>
      <c r="C143" s="12" t="n">
        <v>105090</v>
      </c>
      <c r="D143" s="12" t="n">
        <v>113611</v>
      </c>
      <c r="E143" s="12" t="n">
        <v>144021</v>
      </c>
      <c r="F143" s="12" t="n">
        <v>150096</v>
      </c>
      <c r="G143" s="12" t="n">
        <v>138422</v>
      </c>
      <c r="H143" s="12" t="n">
        <v>101482</v>
      </c>
      <c r="I143" s="12" t="n">
        <v>126428</v>
      </c>
      <c r="J143" s="12" t="n">
        <v>131416</v>
      </c>
      <c r="K143" s="12" t="n">
        <v>126476</v>
      </c>
      <c r="L143" s="12" t="n">
        <v>90139</v>
      </c>
      <c r="M143" s="12" t="n">
        <v>130829</v>
      </c>
      <c r="N143" s="12" t="n">
        <v>156110</v>
      </c>
      <c r="T143" s="12" t="n">
        <v>146982</v>
      </c>
      <c r="U143" s="12" t="n">
        <v>129719</v>
      </c>
      <c r="V143" s="12" t="n">
        <v>113611</v>
      </c>
      <c r="W143" s="12" t="n">
        <v>101482</v>
      </c>
      <c r="X143" s="12" t="n">
        <v>90139</v>
      </c>
    </row>
    <row r="144">
      <c r="A144" s="43" t="inlineStr">
        <is>
          <t>YoY</t>
        </is>
      </c>
      <c r="B144" s="3" t="inlineStr">
        <is>
          <t>전년 같은 분기·전년 대비</t>
        </is>
      </c>
      <c r="G144" s="15">
        <f>IF(OR(G143="",C143=""),"",IF(C143&lt;=0,"",IFERROR(G143/C143-1,"")))</f>
        <v/>
      </c>
      <c r="H144" s="15">
        <f>IF(OR(H143="",D143=""),"",IF(D143&lt;=0,"",IFERROR(H143/D143-1,"")))</f>
        <v/>
      </c>
      <c r="I144" s="15">
        <f>IF(OR(I143="",E143=""),"",IF(E143&lt;=0,"",IFERROR(I143/E143-1,"")))</f>
        <v/>
      </c>
      <c r="J144" s="15">
        <f>IF(OR(J143="",F143=""),"",IF(F143&lt;=0,"",IFERROR(J143/F143-1,"")))</f>
        <v/>
      </c>
      <c r="K144" s="15">
        <f>IF(OR(K143="",G143=""),"",IF(G143&lt;=0,"",IFERROR(K143/G143-1,"")))</f>
        <v/>
      </c>
      <c r="L144" s="15">
        <f>IF(OR(L143="",H143=""),"",IF(H143&lt;=0,"",IFERROR(L143/H143-1,"")))</f>
        <v/>
      </c>
      <c r="M144" s="15">
        <f>IF(OR(M143="",I143=""),"",IF(I143&lt;=0,"",IFERROR(M143/I143-1,"")))</f>
        <v/>
      </c>
      <c r="N144" s="15">
        <f>IF(OR(N143="",J143=""),"",IF(J143&lt;=0,"",IFERROR(N143/J143-1,"")))</f>
        <v/>
      </c>
      <c r="T144" s="15">
        <f>IF(OR(T143="",S143=""),"",IF(S143&lt;=0,"",IFERROR(T143/S143-1,"")))</f>
        <v/>
      </c>
      <c r="U144" s="15">
        <f>IF(OR(U143="",T143=""),"",IF(T143&lt;=0,"",IFERROR(U143/T143-1,"")))</f>
        <v/>
      </c>
      <c r="V144" s="15">
        <f>IF(OR(V143="",U143=""),"",IF(U143&lt;=0,"",IFERROR(V143/U143-1,"")))</f>
        <v/>
      </c>
      <c r="W144" s="15">
        <f>IF(OR(W143="",V143=""),"",IF(V143&lt;=0,"",IFERROR(W143/V143-1,"")))</f>
        <v/>
      </c>
      <c r="X144" s="15">
        <f>IF(OR(X143="",W143=""),"",IF(W143&lt;=0,"",IFERROR(X143/W143-1,"")))</f>
        <v/>
      </c>
    </row>
    <row r="146">
      <c r="A146" s="16" t="inlineStr">
        <is>
          <t>포괄손익 · 전 항목</t>
        </is>
      </c>
      <c r="B146" s="42" t="inlineStr">
        <is>
          <t>분기 = 3개월 단독</t>
        </is>
      </c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</row>
    <row r="147">
      <c r="A147" s="5" t="inlineStr">
        <is>
          <t>항목</t>
        </is>
      </c>
      <c r="B147" s="5" t="inlineStr">
        <is>
          <t>참고</t>
        </is>
      </c>
      <c r="C147" s="5" t="inlineStr">
        <is>
          <t>2024.3Q</t>
        </is>
      </c>
      <c r="D147" s="5" t="inlineStr">
        <is>
          <t>2024.4Q</t>
        </is>
      </c>
      <c r="E147" s="5" t="inlineStr">
        <is>
          <t>2025.1Q</t>
        </is>
      </c>
      <c r="F147" s="5" t="inlineStr">
        <is>
          <t>2025.2Q</t>
        </is>
      </c>
      <c r="G147" s="5" t="inlineStr">
        <is>
          <t>2025.3Q</t>
        </is>
      </c>
      <c r="H147" s="5" t="inlineStr">
        <is>
          <t>2025.4Q</t>
        </is>
      </c>
      <c r="I147" s="5" t="inlineStr">
        <is>
          <t>2026.1Q</t>
        </is>
      </c>
      <c r="J147" s="5" t="inlineStr">
        <is>
          <t>2026.2Q</t>
        </is>
      </c>
      <c r="K147" s="5" t="inlineStr">
        <is>
          <t>2026.3Q</t>
        </is>
      </c>
      <c r="L147" s="5" t="inlineStr">
        <is>
          <t>2026.4Q</t>
        </is>
      </c>
      <c r="M147" s="5" t="inlineStr">
        <is>
          <t>2027.1Q</t>
        </is>
      </c>
      <c r="N147" s="5" t="inlineStr">
        <is>
          <t>2027.2Q</t>
        </is>
      </c>
      <c r="O147" s="5" t="inlineStr">
        <is>
          <t>2017</t>
        </is>
      </c>
      <c r="P147" s="5" t="inlineStr">
        <is>
          <t>2018</t>
        </is>
      </c>
      <c r="Q147" s="5" t="inlineStr">
        <is>
          <t>2019</t>
        </is>
      </c>
      <c r="R147" s="5" t="inlineStr">
        <is>
          <t>2020</t>
        </is>
      </c>
      <c r="S147" s="5" t="inlineStr">
        <is>
          <t>2021</t>
        </is>
      </c>
      <c r="T147" s="5" t="inlineStr">
        <is>
          <t>2022</t>
        </is>
      </c>
      <c r="U147" s="5" t="inlineStr">
        <is>
          <t>2023</t>
        </is>
      </c>
      <c r="V147" s="5" t="inlineStr">
        <is>
          <t>2024</t>
        </is>
      </c>
      <c r="W147" s="5" t="inlineStr">
        <is>
          <t>2025</t>
        </is>
      </c>
      <c r="X147" s="5" t="inlineStr">
        <is>
          <t>2026</t>
        </is>
      </c>
      <c r="Y147" s="5" t="inlineStr">
        <is>
          <t>2027(MW)</t>
        </is>
      </c>
      <c r="Z147" s="5" t="inlineStr">
        <is>
          <t>2028(MW)</t>
        </is>
      </c>
      <c r="AA147" s="5" t="inlineStr">
        <is>
          <t>2029(MW)</t>
        </is>
      </c>
      <c r="AB147" s="5" t="inlineStr">
        <is>
          <t>2030(MW)</t>
        </is>
      </c>
      <c r="AC147" s="5" t="inlineStr">
        <is>
          <t>2031(MW)</t>
        </is>
      </c>
    </row>
    <row r="148">
      <c r="A148" s="9" t="inlineStr">
        <is>
          <t>순이익</t>
        </is>
      </c>
      <c r="C148" s="12" t="n">
        <v>118808</v>
      </c>
      <c r="D148" s="12" t="n">
        <v>124166</v>
      </c>
      <c r="E148" s="12" t="n">
        <v>154647</v>
      </c>
      <c r="F148" s="12" t="n">
        <v>163600</v>
      </c>
      <c r="G148" s="12" t="n">
        <v>150398</v>
      </c>
      <c r="H148" s="12" t="n">
        <v>111456</v>
      </c>
      <c r="I148" s="12" t="n">
        <v>134662</v>
      </c>
      <c r="J148" s="12" t="n">
        <v>139744</v>
      </c>
      <c r="K148" s="12" t="n">
        <v>134534</v>
      </c>
      <c r="L148" s="12" t="n">
        <v>97349</v>
      </c>
      <c r="M148" s="12" t="n">
        <v>137104</v>
      </c>
      <c r="N148" s="12" t="n">
        <v>163833</v>
      </c>
      <c r="T148" s="12" t="n">
        <v>156129</v>
      </c>
      <c r="U148" s="12" t="n">
        <v>142497</v>
      </c>
      <c r="V148" s="12" t="n">
        <v>124166</v>
      </c>
      <c r="W148" s="12" t="n">
        <v>111456</v>
      </c>
      <c r="X148" s="12" t="n">
        <v>97349</v>
      </c>
    </row>
    <row r="149">
      <c r="A149" s="18" t="inlineStr">
        <is>
          <t>기타유가증권 평가차액</t>
        </is>
      </c>
      <c r="C149" s="20" t="n">
        <v>-1840</v>
      </c>
      <c r="D149" s="20" t="n">
        <v>6187</v>
      </c>
      <c r="E149" s="20" t="n">
        <v>4813</v>
      </c>
      <c r="F149" s="20" t="n">
        <v>-8460</v>
      </c>
      <c r="G149" s="20" t="n">
        <v>-1522</v>
      </c>
      <c r="H149" s="20" t="n">
        <v>-2951</v>
      </c>
      <c r="I149" s="20" t="n">
        <v>816</v>
      </c>
      <c r="J149" s="20" t="n">
        <v>-573</v>
      </c>
      <c r="K149" s="20" t="n">
        <v>5477</v>
      </c>
      <c r="L149" s="20" t="n">
        <v>4267</v>
      </c>
      <c r="M149" s="20" t="n">
        <v>8414</v>
      </c>
      <c r="N149" s="20" t="n">
        <v>-1545</v>
      </c>
      <c r="T149" s="20" t="n">
        <v>-937</v>
      </c>
      <c r="U149" s="20" t="n">
        <v>3940</v>
      </c>
      <c r="V149" s="20" t="n">
        <v>6187</v>
      </c>
      <c r="W149" s="20" t="n">
        <v>-2951</v>
      </c>
      <c r="X149" s="20" t="n">
        <v>4267</v>
      </c>
    </row>
    <row r="150">
      <c r="A150" s="18" t="inlineStr">
        <is>
          <t>이연헤지손익</t>
        </is>
      </c>
      <c r="C150" s="20" t="n">
        <v>2361</v>
      </c>
      <c r="D150" s="20" t="n">
        <v>-1907</v>
      </c>
      <c r="E150" s="20" t="n">
        <v>-2026</v>
      </c>
      <c r="F150" s="20" t="n">
        <v>3707</v>
      </c>
      <c r="G150" s="20" t="n">
        <v>-1701</v>
      </c>
      <c r="H150" s="20" t="n">
        <v>3730</v>
      </c>
      <c r="I150" s="20" t="n">
        <v>1168</v>
      </c>
      <c r="J150" s="20" t="n">
        <v>-2287</v>
      </c>
      <c r="K150" s="20" t="n">
        <v>-1199</v>
      </c>
      <c r="L150" s="20" t="n">
        <v>543</v>
      </c>
      <c r="M150" s="20" t="n">
        <v>-687</v>
      </c>
      <c r="N150" s="20" t="n">
        <v>1364</v>
      </c>
      <c r="T150" s="20" t="n">
        <v>-3165</v>
      </c>
      <c r="U150" s="20" t="n">
        <v>-2198</v>
      </c>
      <c r="V150" s="20" t="n">
        <v>-1907</v>
      </c>
      <c r="W150" s="20" t="n">
        <v>3730</v>
      </c>
      <c r="X150" s="20" t="n">
        <v>543</v>
      </c>
    </row>
    <row r="151">
      <c r="A151" s="18" t="inlineStr">
        <is>
          <t>해외사업환산조정</t>
        </is>
      </c>
      <c r="C151" s="20" t="n">
        <v>75740</v>
      </c>
      <c r="D151" s="20" t="n">
        <v>-125758</v>
      </c>
      <c r="E151" s="20" t="n">
        <v>169280</v>
      </c>
      <c r="F151" s="20" t="n">
        <v>179640</v>
      </c>
      <c r="G151" s="20" t="n">
        <v>-331073</v>
      </c>
      <c r="H151" s="20" t="n">
        <v>251399</v>
      </c>
      <c r="I151" s="20" t="n">
        <v>-141132</v>
      </c>
      <c r="J151" s="20" t="n">
        <v>-51474</v>
      </c>
      <c r="K151" s="20" t="n">
        <v>69341</v>
      </c>
      <c r="L151" s="20" t="n">
        <v>139141</v>
      </c>
      <c r="M151" s="20" t="n">
        <v>53928</v>
      </c>
      <c r="N151" s="20" t="n">
        <v>46936</v>
      </c>
      <c r="T151" s="20" t="n">
        <v>43535</v>
      </c>
      <c r="U151" s="20" t="n">
        <v>-199627</v>
      </c>
      <c r="V151" s="20" t="n">
        <v>-125758</v>
      </c>
      <c r="W151" s="20" t="n">
        <v>251399</v>
      </c>
      <c r="X151" s="20" t="n">
        <v>139141</v>
      </c>
    </row>
    <row r="152">
      <c r="A152" s="18" t="inlineStr">
        <is>
          <t>퇴직급여 조정액</t>
        </is>
      </c>
      <c r="C152" s="20" t="n">
        <v>-582</v>
      </c>
      <c r="D152" s="20" t="n">
        <v>4316</v>
      </c>
      <c r="E152" s="20" t="n">
        <v>-381</v>
      </c>
      <c r="F152" s="20" t="n">
        <v>-489</v>
      </c>
      <c r="G152" s="20" t="n">
        <v>-1371</v>
      </c>
      <c r="H152" s="20" t="n">
        <v>1137</v>
      </c>
      <c r="I152" s="20" t="n">
        <v>-1254</v>
      </c>
      <c r="J152" s="20" t="n">
        <v>-1108</v>
      </c>
      <c r="K152" s="20" t="n">
        <v>-925</v>
      </c>
      <c r="L152" s="20" t="n">
        <v>4443</v>
      </c>
      <c r="M152" s="20" t="n">
        <v>-1236</v>
      </c>
      <c r="N152" s="20" t="n">
        <v>-1093</v>
      </c>
      <c r="T152" s="20" t="n">
        <v>2912</v>
      </c>
      <c r="U152" s="20" t="n">
        <v>5404</v>
      </c>
      <c r="V152" s="20" t="n">
        <v>4316</v>
      </c>
      <c r="W152" s="20" t="n">
        <v>1137</v>
      </c>
      <c r="X152" s="20" t="n">
        <v>4443</v>
      </c>
    </row>
    <row r="153">
      <c r="A153" s="18" t="inlineStr">
        <is>
          <t>지분법 적용회사 지분 해당액</t>
        </is>
      </c>
      <c r="C153" s="20" t="n">
        <v>30</v>
      </c>
      <c r="D153" s="20" t="n">
        <v>-66</v>
      </c>
      <c r="E153" s="20" t="n">
        <v>260</v>
      </c>
      <c r="F153" s="20" t="n">
        <v>417</v>
      </c>
      <c r="G153" s="20" t="n">
        <v>-874</v>
      </c>
      <c r="H153" s="20" t="n">
        <v>509</v>
      </c>
      <c r="I153" s="20" t="n">
        <v>-729</v>
      </c>
      <c r="J153" s="20" t="n">
        <v>955</v>
      </c>
      <c r="K153" s="20" t="n">
        <v>-213</v>
      </c>
      <c r="L153" s="20" t="n">
        <v>283</v>
      </c>
      <c r="M153" s="20" t="n">
        <v>-115</v>
      </c>
      <c r="N153" s="20" t="n">
        <v>244</v>
      </c>
      <c r="T153" s="20" t="n">
        <v>242</v>
      </c>
      <c r="U153" s="20" t="n">
        <v>-497</v>
      </c>
      <c r="V153" s="20" t="n">
        <v>-66</v>
      </c>
      <c r="W153" s="20" t="n">
        <v>509</v>
      </c>
      <c r="X153" s="20" t="n">
        <v>283</v>
      </c>
    </row>
    <row r="154">
      <c r="A154" s="18" t="inlineStr">
        <is>
          <t>기타포괄손익 합계</t>
        </is>
      </c>
      <c r="C154" s="20" t="n">
        <v>75707</v>
      </c>
      <c r="D154" s="20" t="n">
        <v>-117227</v>
      </c>
      <c r="E154" s="20" t="n">
        <v>171947</v>
      </c>
      <c r="F154" s="20" t="n">
        <v>174815</v>
      </c>
      <c r="G154" s="20" t="n">
        <v>-336544</v>
      </c>
      <c r="H154" s="20" t="n">
        <v>253826</v>
      </c>
      <c r="I154" s="20" t="n">
        <v>-141131</v>
      </c>
      <c r="J154" s="20" t="n">
        <v>-54487</v>
      </c>
      <c r="K154" s="20" t="n">
        <v>72482</v>
      </c>
      <c r="L154" s="20" t="n">
        <v>148678</v>
      </c>
      <c r="M154" s="20" t="n">
        <v>60304</v>
      </c>
      <c r="N154" s="20" t="n">
        <v>45907</v>
      </c>
      <c r="T154" s="20" t="n">
        <v>42586</v>
      </c>
      <c r="U154" s="20" t="n">
        <v>-192976</v>
      </c>
      <c r="V154" s="20" t="n">
        <v>-117227</v>
      </c>
      <c r="W154" s="20" t="n">
        <v>253826</v>
      </c>
      <c r="X154" s="20" t="n">
        <v>148678</v>
      </c>
    </row>
    <row r="155">
      <c r="A155" s="9" t="inlineStr">
        <is>
          <t>포괄이익</t>
        </is>
      </c>
      <c r="C155" s="12" t="n">
        <v>194516</v>
      </c>
      <c r="D155" s="12" t="n">
        <v>6939</v>
      </c>
      <c r="E155" s="12" t="n">
        <v>326595</v>
      </c>
      <c r="F155" s="12" t="n">
        <v>338415</v>
      </c>
      <c r="G155" s="12" t="n">
        <v>-186147</v>
      </c>
      <c r="H155" s="12" t="n">
        <v>365283</v>
      </c>
      <c r="I155" s="12" t="n">
        <v>-6468</v>
      </c>
      <c r="J155" s="12" t="n">
        <v>85256</v>
      </c>
      <c r="K155" s="12" t="n">
        <v>207015</v>
      </c>
      <c r="L155" s="12" t="n">
        <v>246029</v>
      </c>
      <c r="M155" s="12" t="n">
        <v>197408</v>
      </c>
      <c r="N155" s="12" t="n">
        <v>209740</v>
      </c>
      <c r="T155" s="12" t="n">
        <v>198714</v>
      </c>
      <c r="U155" s="12" t="n">
        <v>-50479</v>
      </c>
      <c r="V155" s="12" t="n">
        <v>6939</v>
      </c>
      <c r="W155" s="12" t="n">
        <v>365283</v>
      </c>
      <c r="X155" s="12" t="n">
        <v>246029</v>
      </c>
    </row>
    <row r="156">
      <c r="A156" s="9" t="inlineStr">
        <is>
          <t>지배주주 포괄이익</t>
        </is>
      </c>
      <c r="C156" s="12" t="n">
        <v>180006</v>
      </c>
      <c r="D156" s="12" t="n">
        <v>-2460</v>
      </c>
      <c r="E156" s="12" t="n">
        <v>314155</v>
      </c>
      <c r="F156" s="12" t="n">
        <v>322588</v>
      </c>
      <c r="G156" s="12" t="n">
        <v>-194827</v>
      </c>
      <c r="H156" s="12" t="n">
        <v>354433</v>
      </c>
      <c r="I156" s="12" t="n">
        <v>-12708</v>
      </c>
      <c r="J156" s="12" t="n">
        <v>75985</v>
      </c>
      <c r="K156" s="12" t="n">
        <v>198497</v>
      </c>
      <c r="L156" s="12" t="n">
        <v>237074</v>
      </c>
      <c r="M156" s="12" t="n">
        <v>190618</v>
      </c>
      <c r="N156" s="12" t="n">
        <v>201242</v>
      </c>
      <c r="T156" s="12" t="n">
        <v>188328</v>
      </c>
      <c r="U156" s="12" t="n">
        <v>-60588</v>
      </c>
      <c r="V156" s="12" t="n">
        <v>-2460</v>
      </c>
      <c r="W156" s="12" t="n">
        <v>354433</v>
      </c>
      <c r="X156" s="12" t="n">
        <v>237074</v>
      </c>
    </row>
    <row r="157">
      <c r="A157" s="9" t="inlineStr">
        <is>
          <t>비지배주주 포괄이익</t>
        </is>
      </c>
      <c r="C157" s="12" t="n">
        <v>14510</v>
      </c>
      <c r="D157" s="12" t="n">
        <v>9399</v>
      </c>
      <c r="E157" s="12" t="n">
        <v>12440</v>
      </c>
      <c r="F157" s="12" t="n">
        <v>15826</v>
      </c>
      <c r="G157" s="12" t="n">
        <v>8681</v>
      </c>
      <c r="H157" s="12" t="n">
        <v>10849</v>
      </c>
      <c r="I157" s="12" t="n">
        <v>6239</v>
      </c>
      <c r="J157" s="12" t="n">
        <v>9271</v>
      </c>
      <c r="K157" s="12" t="n">
        <v>8519</v>
      </c>
      <c r="L157" s="12" t="n">
        <v>8954</v>
      </c>
      <c r="M157" s="12" t="n">
        <v>6789</v>
      </c>
      <c r="N157" s="12" t="n">
        <v>8499</v>
      </c>
      <c r="T157" s="12" t="n">
        <v>10386</v>
      </c>
      <c r="U157" s="12" t="n">
        <v>10109</v>
      </c>
      <c r="V157" s="12" t="n">
        <v>9399</v>
      </c>
      <c r="W157" s="12" t="n">
        <v>10849</v>
      </c>
      <c r="X157" s="12" t="n">
        <v>8954</v>
      </c>
    </row>
    <row r="159">
      <c r="A159" s="16" t="inlineStr">
        <is>
          <t>부문 · 전 항목</t>
        </is>
      </c>
      <c r="B159" s="42" t="inlineStr">
        <is>
          <t>부문 · 항목</t>
        </is>
      </c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6" t="n"/>
      <c r="AC159" s="16" t="n"/>
    </row>
    <row r="160">
      <c r="A160" s="5" t="inlineStr">
        <is>
          <t>항목</t>
        </is>
      </c>
      <c r="B160" s="5" t="inlineStr">
        <is>
          <t>참고</t>
        </is>
      </c>
      <c r="C160" s="5" t="inlineStr">
        <is>
          <t>2024.3Q</t>
        </is>
      </c>
      <c r="D160" s="5" t="inlineStr">
        <is>
          <t>2024.4Q</t>
        </is>
      </c>
      <c r="E160" s="5" t="inlineStr">
        <is>
          <t>2025.1Q</t>
        </is>
      </c>
      <c r="F160" s="5" t="inlineStr">
        <is>
          <t>2025.2Q</t>
        </is>
      </c>
      <c r="G160" s="5" t="inlineStr">
        <is>
          <t>2025.3Q</t>
        </is>
      </c>
      <c r="H160" s="5" t="inlineStr">
        <is>
          <t>2025.4Q</t>
        </is>
      </c>
      <c r="I160" s="5" t="inlineStr">
        <is>
          <t>2026.1Q</t>
        </is>
      </c>
      <c r="J160" s="5" t="inlineStr">
        <is>
          <t>2026.2Q</t>
        </is>
      </c>
      <c r="K160" s="5" t="inlineStr">
        <is>
          <t>2026.3Q</t>
        </is>
      </c>
      <c r="L160" s="5" t="inlineStr">
        <is>
          <t>2026.4Q</t>
        </is>
      </c>
      <c r="M160" s="5" t="inlineStr">
        <is>
          <t>2027.1Q</t>
        </is>
      </c>
      <c r="N160" s="5" t="inlineStr">
        <is>
          <t>2027.2Q</t>
        </is>
      </c>
      <c r="O160" s="5" t="inlineStr">
        <is>
          <t>2017</t>
        </is>
      </c>
      <c r="P160" s="5" t="inlineStr">
        <is>
          <t>2018</t>
        </is>
      </c>
      <c r="Q160" s="5" t="inlineStr">
        <is>
          <t>2019</t>
        </is>
      </c>
      <c r="R160" s="5" t="inlineStr">
        <is>
          <t>2020</t>
        </is>
      </c>
      <c r="S160" s="5" t="inlineStr">
        <is>
          <t>2021</t>
        </is>
      </c>
      <c r="T160" s="5" t="inlineStr">
        <is>
          <t>2022</t>
        </is>
      </c>
      <c r="U160" s="5" t="inlineStr">
        <is>
          <t>2023</t>
        </is>
      </c>
      <c r="V160" s="5" t="inlineStr">
        <is>
          <t>2024</t>
        </is>
      </c>
      <c r="W160" s="5" t="inlineStr">
        <is>
          <t>2025</t>
        </is>
      </c>
      <c r="X160" s="5" t="inlineStr">
        <is>
          <t>2026</t>
        </is>
      </c>
      <c r="Y160" s="5" t="inlineStr">
        <is>
          <t>2027(MW)</t>
        </is>
      </c>
      <c r="Z160" s="5" t="inlineStr">
        <is>
          <t>2028(MW)</t>
        </is>
      </c>
      <c r="AA160" s="5" t="inlineStr">
        <is>
          <t>2029(MW)</t>
        </is>
      </c>
      <c r="AB160" s="5" t="inlineStr">
        <is>
          <t>2030(MW)</t>
        </is>
      </c>
      <c r="AC160" s="5" t="inlineStr">
        <is>
          <t>2031(MW)</t>
        </is>
      </c>
    </row>
    <row r="161">
      <c r="A161" s="18" t="inlineStr">
        <is>
          <t>전자재료 사업 · 외부 고객 매출</t>
        </is>
      </c>
      <c r="D161" s="20" t="n">
        <v>207867</v>
      </c>
      <c r="E161" s="20" t="n">
        <v>227065</v>
      </c>
      <c r="H161" s="20" t="n">
        <v>225130</v>
      </c>
      <c r="I161" s="20" t="n">
        <v>240229</v>
      </c>
      <c r="L161" s="20" t="n">
        <v>265425</v>
      </c>
      <c r="M161" s="20" t="n">
        <v>279271</v>
      </c>
      <c r="V161" s="20" t="n">
        <v>207867</v>
      </c>
      <c r="W161" s="20" t="n">
        <v>225130</v>
      </c>
      <c r="X161" s="20" t="n">
        <v>265425</v>
      </c>
    </row>
    <row r="162">
      <c r="A162" s="43" t="inlineStr">
        <is>
          <t>YoY</t>
        </is>
      </c>
      <c r="B162" s="3" t="inlineStr">
        <is>
          <t>전년 같은 분기·전년 대비</t>
        </is>
      </c>
      <c r="H162" s="15">
        <f>IF(OR(H161="",D161=""),"",IF(D161&lt;=0,"",IFERROR(H161/D161-1,"")))</f>
        <v/>
      </c>
      <c r="I162" s="15">
        <f>IF(OR(I161="",E161=""),"",IF(E161&lt;=0,"",IFERROR(I161/E161-1,"")))</f>
        <v/>
      </c>
      <c r="L162" s="15">
        <f>IF(OR(L161="",H161=""),"",IF(H161&lt;=0,"",IFERROR(L161/H161-1,"")))</f>
        <v/>
      </c>
      <c r="M162" s="15">
        <f>IF(OR(M161="",I161=""),"",IF(I161&lt;=0,"",IFERROR(M161/I161-1,"")))</f>
        <v/>
      </c>
      <c r="V162" s="15">
        <f>IF(OR(V161="",U161=""),"",IF(U161&lt;=0,"",IFERROR(V161/U161-1,"")))</f>
        <v/>
      </c>
      <c r="W162" s="15">
        <f>IF(OR(W161="",V161=""),"",IF(V161&lt;=0,"",IFERROR(W161/V161-1,"")))</f>
        <v/>
      </c>
      <c r="X162" s="15">
        <f>IF(OR(X161="",W161=""),"",IF(W161&lt;=0,"",IFERROR(X161/W161-1,"")))</f>
        <v/>
      </c>
    </row>
    <row r="163">
      <c r="A163" s="18" t="inlineStr">
        <is>
          <t>생활환경 기반재료 사업 · 외부 고객 매출</t>
        </is>
      </c>
      <c r="E163" s="20" t="n">
        <v>232509</v>
      </c>
      <c r="I163" s="20" t="n">
        <v>244400</v>
      </c>
      <c r="M163" s="20" t="n">
        <v>227798</v>
      </c>
    </row>
    <row r="164">
      <c r="A164" s="43" t="inlineStr">
        <is>
          <t>YoY</t>
        </is>
      </c>
      <c r="B164" s="3" t="inlineStr">
        <is>
          <t>전년 같은 분기·전년 대비</t>
        </is>
      </c>
      <c r="I164" s="15">
        <f>IF(OR(I163="",E163=""),"",IF(E163&lt;=0,"",IFERROR(I163/E163-1,"")))</f>
        <v/>
      </c>
      <c r="M164" s="15">
        <f>IF(OR(M163="",I163=""),"",IF(I163&lt;=0,"",IFERROR(M163/I163-1,"")))</f>
        <v/>
      </c>
    </row>
    <row r="165">
      <c r="A165" s="18" t="inlineStr">
        <is>
          <t>기능재료 사업 · 외부 고객 매출</t>
        </is>
      </c>
      <c r="D165" s="20" t="n">
        <v>98621</v>
      </c>
      <c r="E165" s="20" t="n">
        <v>106702</v>
      </c>
      <c r="H165" s="20" t="n">
        <v>107265</v>
      </c>
      <c r="I165" s="20" t="n">
        <v>110013</v>
      </c>
      <c r="L165" s="20" t="n">
        <v>107071</v>
      </c>
      <c r="M165" s="20" t="n">
        <v>118203</v>
      </c>
      <c r="V165" s="20" t="n">
        <v>98621</v>
      </c>
      <c r="W165" s="20" t="n">
        <v>107265</v>
      </c>
      <c r="X165" s="20" t="n">
        <v>107071</v>
      </c>
    </row>
    <row r="166">
      <c r="A166" s="43" t="inlineStr">
        <is>
          <t>YoY</t>
        </is>
      </c>
      <c r="B166" s="3" t="inlineStr">
        <is>
          <t>전년 같은 분기·전년 대비</t>
        </is>
      </c>
      <c r="H166" s="15">
        <f>IF(OR(H165="",D165=""),"",IF(D165&lt;=0,"",IFERROR(H165/D165-1,"")))</f>
        <v/>
      </c>
      <c r="I166" s="15">
        <f>IF(OR(I165="",E165=""),"",IF(E165&lt;=0,"",IFERROR(I165/E165-1,"")))</f>
        <v/>
      </c>
      <c r="L166" s="15">
        <f>IF(OR(L165="",H165=""),"",IF(H165&lt;=0,"",IFERROR(L165/H165-1,"")))</f>
        <v/>
      </c>
      <c r="M166" s="15">
        <f>IF(OR(M165="",I165=""),"",IF(I165&lt;=0,"",IFERROR(M165/I165-1,"")))</f>
        <v/>
      </c>
      <c r="V166" s="15">
        <f>IF(OR(V165="",U165=""),"",IF(U165&lt;=0,"",IFERROR(V165/U165-1,"")))</f>
        <v/>
      </c>
      <c r="W166" s="15">
        <f>IF(OR(W165="",V165=""),"",IF(V165&lt;=0,"",IFERROR(W165/V165-1,"")))</f>
        <v/>
      </c>
      <c r="X166" s="15">
        <f>IF(OR(X165="",W165=""),"",IF(W165&lt;=0,"",IFERROR(X165/W165-1,"")))</f>
        <v/>
      </c>
    </row>
    <row r="167">
      <c r="A167" s="18" t="inlineStr">
        <is>
          <t>기타 관련 사업 · 외부 고객 매출</t>
        </is>
      </c>
      <c r="E167" s="20" t="n">
        <v>31653</v>
      </c>
      <c r="I167" s="20" t="n">
        <v>33904</v>
      </c>
      <c r="M167" s="20" t="n">
        <v>37151</v>
      </c>
    </row>
    <row r="168">
      <c r="A168" s="43" t="inlineStr">
        <is>
          <t>YoY</t>
        </is>
      </c>
      <c r="B168" s="3" t="inlineStr">
        <is>
          <t>전년 같은 분기·전년 대비</t>
        </is>
      </c>
      <c r="I168" s="15">
        <f>IF(OR(I167="",E167=""),"",IF(E167&lt;=0,"",IFERROR(I167/E167-1,"")))</f>
        <v/>
      </c>
      <c r="M168" s="15">
        <f>IF(OR(M167="",I167=""),"",IF(I167&lt;=0,"",IFERROR(M167/I167-1,"")))</f>
        <v/>
      </c>
    </row>
    <row r="169">
      <c r="A169" s="18" t="inlineStr">
        <is>
          <t>보고부문 합계 · 외부 고객 매출</t>
        </is>
      </c>
      <c r="D169" s="20" t="n">
        <v>591534</v>
      </c>
      <c r="E169" s="20" t="n">
        <v>597930</v>
      </c>
      <c r="H169" s="20" t="n">
        <v>631551</v>
      </c>
      <c r="I169" s="20" t="n">
        <v>628549</v>
      </c>
      <c r="L169" s="20" t="n">
        <v>639969</v>
      </c>
      <c r="M169" s="20" t="n">
        <v>662424</v>
      </c>
      <c r="V169" s="20" t="n">
        <v>591534</v>
      </c>
      <c r="W169" s="20" t="n">
        <v>631551</v>
      </c>
      <c r="X169" s="20" t="n">
        <v>639969</v>
      </c>
    </row>
    <row r="170">
      <c r="A170" s="43" t="inlineStr">
        <is>
          <t>YoY</t>
        </is>
      </c>
      <c r="B170" s="3" t="inlineStr">
        <is>
          <t>전년 같은 분기·전년 대비</t>
        </is>
      </c>
      <c r="H170" s="15">
        <f>IF(OR(H169="",D169=""),"",IF(D169&lt;=0,"",IFERROR(H169/D169-1,"")))</f>
        <v/>
      </c>
      <c r="I170" s="15">
        <f>IF(OR(I169="",E169=""),"",IF(E169&lt;=0,"",IFERROR(I169/E169-1,"")))</f>
        <v/>
      </c>
      <c r="L170" s="15">
        <f>IF(OR(L169="",H169=""),"",IF(H169&lt;=0,"",IFERROR(L169/H169-1,"")))</f>
        <v/>
      </c>
      <c r="M170" s="15">
        <f>IF(OR(M169="",I169=""),"",IF(I169&lt;=0,"",IFERROR(M169/I169-1,"")))</f>
        <v/>
      </c>
      <c r="V170" s="15">
        <f>IF(OR(V169="",U169=""),"",IF(U169&lt;=0,"",IFERROR(V169/U169-1,"")))</f>
        <v/>
      </c>
      <c r="W170" s="15">
        <f>IF(OR(W169="",V169=""),"",IF(V169&lt;=0,"",IFERROR(W169/V169-1,"")))</f>
        <v/>
      </c>
      <c r="X170" s="15">
        <f>IF(OR(X169="",W169=""),"",IF(W169&lt;=0,"",IFERROR(X169/W169-1,"")))</f>
        <v/>
      </c>
    </row>
    <row r="171">
      <c r="A171" s="18" t="inlineStr">
        <is>
          <t>조정액 · 외부 고객 매출</t>
        </is>
      </c>
      <c r="D171" s="20" t="n">
        <v>0</v>
      </c>
      <c r="E171" s="20" t="n">
        <v>0</v>
      </c>
      <c r="H171" s="20" t="n">
        <v>0</v>
      </c>
      <c r="I171" s="20" t="n">
        <v>0</v>
      </c>
      <c r="L171" s="20" t="n">
        <v>0</v>
      </c>
      <c r="M171" s="20" t="n">
        <v>0</v>
      </c>
      <c r="V171" s="20" t="n">
        <v>0</v>
      </c>
      <c r="W171" s="20" t="n">
        <v>0</v>
      </c>
      <c r="X171" s="20" t="n">
        <v>0</v>
      </c>
    </row>
    <row r="172">
      <c r="A172" s="9" t="inlineStr">
        <is>
          <t>외부 고객 매출</t>
        </is>
      </c>
      <c r="D172" s="12" t="n">
        <v>591534</v>
      </c>
      <c r="E172" s="12" t="n">
        <v>597930</v>
      </c>
      <c r="H172" s="12" t="n">
        <v>631551</v>
      </c>
      <c r="I172" s="12" t="n">
        <v>628549</v>
      </c>
      <c r="L172" s="12" t="n">
        <v>639969</v>
      </c>
      <c r="M172" s="12" t="n">
        <v>662424</v>
      </c>
      <c r="V172" s="12" t="n">
        <v>591534</v>
      </c>
      <c r="W172" s="12" t="n">
        <v>631551</v>
      </c>
      <c r="X172" s="12" t="n">
        <v>639969</v>
      </c>
    </row>
    <row r="173">
      <c r="A173" s="43" t="inlineStr">
        <is>
          <t>YoY</t>
        </is>
      </c>
      <c r="B173" s="3" t="inlineStr">
        <is>
          <t>전년 같은 분기·전년 대비</t>
        </is>
      </c>
      <c r="H173" s="15">
        <f>IF(OR(H172="",D172=""),"",IF(D172&lt;=0,"",IFERROR(H172/D172-1,"")))</f>
        <v/>
      </c>
      <c r="I173" s="15">
        <f>IF(OR(I172="",E172=""),"",IF(E172&lt;=0,"",IFERROR(I172/E172-1,"")))</f>
        <v/>
      </c>
      <c r="L173" s="15">
        <f>IF(OR(L172="",H172=""),"",IF(H172&lt;=0,"",IFERROR(L172/H172-1,"")))</f>
        <v/>
      </c>
      <c r="M173" s="15">
        <f>IF(OR(M172="",I172=""),"",IF(I172&lt;=0,"",IFERROR(M172/I172-1,"")))</f>
        <v/>
      </c>
      <c r="V173" s="15">
        <f>IF(OR(V172="",U172=""),"",IF(U172&lt;=0,"",IFERROR(V172/U172-1,"")))</f>
        <v/>
      </c>
      <c r="W173" s="15">
        <f>IF(OR(W172="",V172=""),"",IF(V172&lt;=0,"",IFERROR(W172/V172-1,"")))</f>
        <v/>
      </c>
      <c r="X173" s="15">
        <f>IF(OR(X172="",W172=""),"",IF(W172&lt;=0,"",IFERROR(X172/W172-1,"")))</f>
        <v/>
      </c>
    </row>
    <row r="174">
      <c r="A174" s="18" t="inlineStr">
        <is>
          <t>전자재료 사업 · 부문 간 내부매출·대체</t>
        </is>
      </c>
      <c r="D174" s="20" t="n">
        <v>572</v>
      </c>
      <c r="E174" s="20" t="n">
        <v>751</v>
      </c>
      <c r="H174" s="20" t="n">
        <v>1354</v>
      </c>
      <c r="I174" s="20" t="n">
        <v>1226</v>
      </c>
      <c r="L174" s="20" t="n">
        <v>1816</v>
      </c>
      <c r="M174" s="20" t="n">
        <v>1650</v>
      </c>
      <c r="V174" s="20" t="n">
        <v>572</v>
      </c>
      <c r="W174" s="20" t="n">
        <v>1354</v>
      </c>
      <c r="X174" s="20" t="n">
        <v>1816</v>
      </c>
    </row>
    <row r="175">
      <c r="A175" s="18" t="inlineStr">
        <is>
          <t>생활환경 기반재료 사업 · 부문 간 내부매출·대체</t>
        </is>
      </c>
      <c r="E175" s="20" t="n">
        <v>1031</v>
      </c>
      <c r="I175" s="20" t="n">
        <v>1105</v>
      </c>
      <c r="M175" s="20" t="n">
        <v>1180</v>
      </c>
    </row>
    <row r="176">
      <c r="A176" s="18" t="inlineStr">
        <is>
          <t>기능재료 사업 · 부문 간 내부매출·대체</t>
        </is>
      </c>
      <c r="D176" s="20" t="n">
        <v>4149</v>
      </c>
      <c r="E176" s="20" t="n">
        <v>3602</v>
      </c>
      <c r="H176" s="20" t="n">
        <v>3335</v>
      </c>
      <c r="I176" s="20" t="n">
        <v>2950</v>
      </c>
      <c r="L176" s="20" t="n">
        <v>2878</v>
      </c>
      <c r="M176" s="20" t="n">
        <v>3762</v>
      </c>
      <c r="V176" s="20" t="n">
        <v>4149</v>
      </c>
      <c r="W176" s="20" t="n">
        <v>3335</v>
      </c>
      <c r="X176" s="20" t="n">
        <v>2878</v>
      </c>
    </row>
    <row r="177">
      <c r="A177" s="18" t="inlineStr">
        <is>
          <t>기타 관련 사업 · 부문 간 내부매출·대체</t>
        </is>
      </c>
      <c r="E177" s="20" t="n">
        <v>42211</v>
      </c>
      <c r="I177" s="20" t="n">
        <v>36112</v>
      </c>
      <c r="M177" s="20" t="n">
        <v>38897</v>
      </c>
    </row>
    <row r="178">
      <c r="A178" s="18" t="inlineStr">
        <is>
          <t>보고부문 합계 · 부문 간 내부매출·대체</t>
        </is>
      </c>
      <c r="D178" s="20" t="n">
        <v>44778</v>
      </c>
      <c r="E178" s="20" t="n">
        <v>47596</v>
      </c>
      <c r="H178" s="20" t="n">
        <v>38733</v>
      </c>
      <c r="I178" s="20" t="n">
        <v>41394</v>
      </c>
      <c r="L178" s="20" t="n">
        <v>55071</v>
      </c>
      <c r="M178" s="20" t="n">
        <v>45491</v>
      </c>
      <c r="V178" s="20" t="n">
        <v>44778</v>
      </c>
      <c r="W178" s="20" t="n">
        <v>38733</v>
      </c>
      <c r="X178" s="20" t="n">
        <v>55071</v>
      </c>
    </row>
    <row r="179">
      <c r="A179" s="18" t="inlineStr">
        <is>
          <t>조정액 · 부문 간 내부매출·대체</t>
        </is>
      </c>
      <c r="D179" s="20" t="n">
        <v>-44778</v>
      </c>
      <c r="E179" s="20" t="n">
        <v>-47596</v>
      </c>
      <c r="H179" s="20" t="n">
        <v>-38733</v>
      </c>
      <c r="I179" s="20" t="n">
        <v>-41394</v>
      </c>
      <c r="L179" s="20" t="n">
        <v>-55071</v>
      </c>
      <c r="M179" s="20" t="n">
        <v>-45491</v>
      </c>
      <c r="V179" s="20" t="n">
        <v>-44778</v>
      </c>
      <c r="W179" s="20" t="n">
        <v>-38733</v>
      </c>
      <c r="X179" s="20" t="n">
        <v>-55071</v>
      </c>
    </row>
    <row r="180">
      <c r="A180" s="18" t="inlineStr">
        <is>
          <t>부문 간 내부매출·대체</t>
        </is>
      </c>
      <c r="D180" s="20" t="n">
        <v>0</v>
      </c>
      <c r="E180" s="20" t="n">
        <v>0</v>
      </c>
      <c r="H180" s="20" t="n">
        <v>0</v>
      </c>
      <c r="I180" s="20" t="n">
        <v>0</v>
      </c>
      <c r="L180" s="20" t="n">
        <v>0</v>
      </c>
      <c r="M180" s="20" t="n">
        <v>0</v>
      </c>
      <c r="V180" s="20" t="n">
        <v>0</v>
      </c>
      <c r="W180" s="20" t="n">
        <v>0</v>
      </c>
      <c r="X180" s="20" t="n">
        <v>0</v>
      </c>
    </row>
    <row r="181">
      <c r="A181" s="18" t="inlineStr">
        <is>
          <t>전자재료 사업 · 계</t>
        </is>
      </c>
      <c r="D181" s="20" t="n">
        <v>208439</v>
      </c>
      <c r="E181" s="20" t="n">
        <v>227816</v>
      </c>
      <c r="H181" s="20" t="n">
        <v>226484</v>
      </c>
      <c r="I181" s="20" t="n">
        <v>241456</v>
      </c>
      <c r="L181" s="20" t="n">
        <v>267241</v>
      </c>
      <c r="M181" s="20" t="n">
        <v>280922</v>
      </c>
      <c r="V181" s="20" t="n">
        <v>208439</v>
      </c>
      <c r="W181" s="20" t="n">
        <v>226484</v>
      </c>
      <c r="X181" s="20" t="n">
        <v>267241</v>
      </c>
    </row>
    <row r="182">
      <c r="A182" s="43" t="inlineStr">
        <is>
          <t>YoY</t>
        </is>
      </c>
      <c r="B182" s="3" t="inlineStr">
        <is>
          <t>전년 같은 분기·전년 대비</t>
        </is>
      </c>
      <c r="H182" s="15">
        <f>IF(OR(H181="",D181=""),"",IF(D181&lt;=0,"",IFERROR(H181/D181-1,"")))</f>
        <v/>
      </c>
      <c r="I182" s="15">
        <f>IF(OR(I181="",E181=""),"",IF(E181&lt;=0,"",IFERROR(I181/E181-1,"")))</f>
        <v/>
      </c>
      <c r="L182" s="15">
        <f>IF(OR(L181="",H181=""),"",IF(H181&lt;=0,"",IFERROR(L181/H181-1,"")))</f>
        <v/>
      </c>
      <c r="M182" s="15">
        <f>IF(OR(M181="",I181=""),"",IF(I181&lt;=0,"",IFERROR(M181/I181-1,"")))</f>
        <v/>
      </c>
      <c r="V182" s="15">
        <f>IF(OR(V181="",U181=""),"",IF(U181&lt;=0,"",IFERROR(V181/U181-1,"")))</f>
        <v/>
      </c>
      <c r="W182" s="15">
        <f>IF(OR(W181="",V181=""),"",IF(V181&lt;=0,"",IFERROR(W181/V181-1,"")))</f>
        <v/>
      </c>
      <c r="X182" s="15">
        <f>IF(OR(X181="",W181=""),"",IF(W181&lt;=0,"",IFERROR(X181/W181-1,"")))</f>
        <v/>
      </c>
    </row>
    <row r="183">
      <c r="A183" s="18" t="inlineStr">
        <is>
          <t>생활환경 기반재료 사업 · 계</t>
        </is>
      </c>
      <c r="E183" s="20" t="n">
        <v>233541</v>
      </c>
      <c r="I183" s="20" t="n">
        <v>245506</v>
      </c>
      <c r="M183" s="20" t="n">
        <v>228978</v>
      </c>
    </row>
    <row r="184">
      <c r="A184" s="43" t="inlineStr">
        <is>
          <t>YoY</t>
        </is>
      </c>
      <c r="B184" s="3" t="inlineStr">
        <is>
          <t>전년 같은 분기·전년 대비</t>
        </is>
      </c>
      <c r="I184" s="15">
        <f>IF(OR(I183="",E183=""),"",IF(E183&lt;=0,"",IFERROR(I183/E183-1,"")))</f>
        <v/>
      </c>
      <c r="M184" s="15">
        <f>IF(OR(M183="",I183=""),"",IF(I183&lt;=0,"",IFERROR(M183/I183-1,"")))</f>
        <v/>
      </c>
    </row>
    <row r="185">
      <c r="A185" s="18" t="inlineStr">
        <is>
          <t>기능재료 사업 · 계</t>
        </is>
      </c>
      <c r="D185" s="20" t="n">
        <v>102770</v>
      </c>
      <c r="E185" s="20" t="n">
        <v>110305</v>
      </c>
      <c r="H185" s="20" t="n">
        <v>110599</v>
      </c>
      <c r="I185" s="20" t="n">
        <v>112964</v>
      </c>
      <c r="L185" s="20" t="n">
        <v>109949</v>
      </c>
      <c r="M185" s="20" t="n">
        <v>121966</v>
      </c>
      <c r="V185" s="20" t="n">
        <v>102770</v>
      </c>
      <c r="W185" s="20" t="n">
        <v>110599</v>
      </c>
      <c r="X185" s="20" t="n">
        <v>109949</v>
      </c>
    </row>
    <row r="186">
      <c r="A186" s="43" t="inlineStr">
        <is>
          <t>YoY</t>
        </is>
      </c>
      <c r="B186" s="3" t="inlineStr">
        <is>
          <t>전년 같은 분기·전년 대비</t>
        </is>
      </c>
      <c r="H186" s="15">
        <f>IF(OR(H185="",D185=""),"",IF(D185&lt;=0,"",IFERROR(H185/D185-1,"")))</f>
        <v/>
      </c>
      <c r="I186" s="15">
        <f>IF(OR(I185="",E185=""),"",IF(E185&lt;=0,"",IFERROR(I185/E185-1,"")))</f>
        <v/>
      </c>
      <c r="L186" s="15">
        <f>IF(OR(L185="",H185=""),"",IF(H185&lt;=0,"",IFERROR(L185/H185-1,"")))</f>
        <v/>
      </c>
      <c r="M186" s="15">
        <f>IF(OR(M185="",I185=""),"",IF(I185&lt;=0,"",IFERROR(M185/I185-1,"")))</f>
        <v/>
      </c>
      <c r="V186" s="15">
        <f>IF(OR(V185="",U185=""),"",IF(U185&lt;=0,"",IFERROR(V185/U185-1,"")))</f>
        <v/>
      </c>
      <c r="W186" s="15">
        <f>IF(OR(W185="",V185=""),"",IF(V185&lt;=0,"",IFERROR(W185/V185-1,"")))</f>
        <v/>
      </c>
      <c r="X186" s="15">
        <f>IF(OR(X185="",W185=""),"",IF(W185&lt;=0,"",IFERROR(X185/W185-1,"")))</f>
        <v/>
      </c>
    </row>
    <row r="187">
      <c r="A187" s="18" t="inlineStr">
        <is>
          <t>기타 관련 사업 · 계</t>
        </is>
      </c>
      <c r="E187" s="20" t="n">
        <v>73864</v>
      </c>
      <c r="I187" s="20" t="n">
        <v>70016</v>
      </c>
      <c r="M187" s="20" t="n">
        <v>76048</v>
      </c>
    </row>
    <row r="188">
      <c r="A188" s="43" t="inlineStr">
        <is>
          <t>YoY</t>
        </is>
      </c>
      <c r="B188" s="3" t="inlineStr">
        <is>
          <t>전년 같은 분기·전년 대비</t>
        </is>
      </c>
      <c r="I188" s="15">
        <f>IF(OR(I187="",E187=""),"",IF(E187&lt;=0,"",IFERROR(I187/E187-1,"")))</f>
        <v/>
      </c>
      <c r="M188" s="15">
        <f>IF(OR(M187="",I187=""),"",IF(I187&lt;=0,"",IFERROR(M187/I187-1,"")))</f>
        <v/>
      </c>
    </row>
    <row r="189">
      <c r="A189" s="18" t="inlineStr">
        <is>
          <t>보고부문 합계 · 계</t>
        </is>
      </c>
      <c r="D189" s="20" t="n">
        <v>636311</v>
      </c>
      <c r="E189" s="20" t="n">
        <v>645527</v>
      </c>
      <c r="H189" s="20" t="n">
        <v>670284</v>
      </c>
      <c r="I189" s="20" t="n">
        <v>669943</v>
      </c>
      <c r="L189" s="20" t="n">
        <v>695039</v>
      </c>
      <c r="M189" s="20" t="n">
        <v>707915</v>
      </c>
      <c r="V189" s="20" t="n">
        <v>636311</v>
      </c>
      <c r="W189" s="20" t="n">
        <v>670284</v>
      </c>
      <c r="X189" s="20" t="n">
        <v>695039</v>
      </c>
    </row>
    <row r="190">
      <c r="A190" s="43" t="inlineStr">
        <is>
          <t>YoY</t>
        </is>
      </c>
      <c r="B190" s="3" t="inlineStr">
        <is>
          <t>전년 같은 분기·전년 대비</t>
        </is>
      </c>
      <c r="H190" s="15">
        <f>IF(OR(H189="",D189=""),"",IF(D189&lt;=0,"",IFERROR(H189/D189-1,"")))</f>
        <v/>
      </c>
      <c r="I190" s="15">
        <f>IF(OR(I189="",E189=""),"",IF(E189&lt;=0,"",IFERROR(I189/E189-1,"")))</f>
        <v/>
      </c>
      <c r="L190" s="15">
        <f>IF(OR(L189="",H189=""),"",IF(H189&lt;=0,"",IFERROR(L189/H189-1,"")))</f>
        <v/>
      </c>
      <c r="M190" s="15">
        <f>IF(OR(M189="",I189=""),"",IF(I189&lt;=0,"",IFERROR(M189/I189-1,"")))</f>
        <v/>
      </c>
      <c r="V190" s="15">
        <f>IF(OR(V189="",U189=""),"",IF(U189&lt;=0,"",IFERROR(V189/U189-1,"")))</f>
        <v/>
      </c>
      <c r="W190" s="15">
        <f>IF(OR(W189="",V189=""),"",IF(V189&lt;=0,"",IFERROR(W189/V189-1,"")))</f>
        <v/>
      </c>
      <c r="X190" s="15">
        <f>IF(OR(X189="",W189=""),"",IF(W189&lt;=0,"",IFERROR(X189/W189-1,"")))</f>
        <v/>
      </c>
    </row>
    <row r="191">
      <c r="A191" s="18" t="inlineStr">
        <is>
          <t>조정액 · 계</t>
        </is>
      </c>
      <c r="D191" s="20" t="n">
        <v>-44778</v>
      </c>
      <c r="E191" s="20" t="n">
        <v>-47596</v>
      </c>
      <c r="H191" s="20" t="n">
        <v>-38733</v>
      </c>
      <c r="I191" s="20" t="n">
        <v>-41394</v>
      </c>
      <c r="L191" s="20" t="n">
        <v>-55071</v>
      </c>
      <c r="M191" s="20" t="n">
        <v>-45491</v>
      </c>
      <c r="V191" s="20" t="n">
        <v>-44778</v>
      </c>
      <c r="W191" s="20" t="n">
        <v>-38733</v>
      </c>
      <c r="X191" s="20" t="n">
        <v>-55071</v>
      </c>
    </row>
    <row r="192">
      <c r="A192" s="9" t="inlineStr">
        <is>
          <t>계</t>
        </is>
      </c>
      <c r="D192" s="12" t="n">
        <v>591534</v>
      </c>
      <c r="E192" s="12" t="n">
        <v>597930</v>
      </c>
      <c r="H192" s="12" t="n">
        <v>631551</v>
      </c>
      <c r="I192" s="12" t="n">
        <v>628549</v>
      </c>
      <c r="L192" s="12" t="n">
        <v>639969</v>
      </c>
      <c r="M192" s="12" t="n">
        <v>662424</v>
      </c>
      <c r="V192" s="12" t="n">
        <v>591534</v>
      </c>
      <c r="W192" s="12" t="n">
        <v>631551</v>
      </c>
      <c r="X192" s="12" t="n">
        <v>639969</v>
      </c>
    </row>
    <row r="193">
      <c r="A193" s="43" t="inlineStr">
        <is>
          <t>YoY</t>
        </is>
      </c>
      <c r="B193" s="3" t="inlineStr">
        <is>
          <t>전년 같은 분기·전년 대비</t>
        </is>
      </c>
      <c r="H193" s="15">
        <f>IF(OR(H192="",D192=""),"",IF(D192&lt;=0,"",IFERROR(H192/D192-1,"")))</f>
        <v/>
      </c>
      <c r="I193" s="15">
        <f>IF(OR(I192="",E192=""),"",IF(E192&lt;=0,"",IFERROR(I192/E192-1,"")))</f>
        <v/>
      </c>
      <c r="L193" s="15">
        <f>IF(OR(L192="",H192=""),"",IF(H192&lt;=0,"",IFERROR(L192/H192-1,"")))</f>
        <v/>
      </c>
      <c r="M193" s="15">
        <f>IF(OR(M192="",I192=""),"",IF(I192&lt;=0,"",IFERROR(M192/I192-1,"")))</f>
        <v/>
      </c>
      <c r="V193" s="15">
        <f>IF(OR(V192="",U192=""),"",IF(U192&lt;=0,"",IFERROR(V192/U192-1,"")))</f>
        <v/>
      </c>
      <c r="W193" s="15">
        <f>IF(OR(W192="",V192=""),"",IF(V192&lt;=0,"",IFERROR(W192/V192-1,"")))</f>
        <v/>
      </c>
      <c r="X193" s="15">
        <f>IF(OR(X192="",W192=""),"",IF(W192&lt;=0,"",IFERROR(X192/W192-1,"")))</f>
        <v/>
      </c>
    </row>
    <row r="194">
      <c r="A194" s="18" t="inlineStr">
        <is>
          <t>전자재료 사업 · 부문 이익(영업이익)</t>
        </is>
      </c>
      <c r="D194" s="20" t="n">
        <v>56691</v>
      </c>
      <c r="E194" s="20" t="n">
        <v>89533</v>
      </c>
      <c r="H194" s="20" t="n">
        <v>64247</v>
      </c>
      <c r="I194" s="20" t="n">
        <v>83110</v>
      </c>
      <c r="L194" s="20" t="n">
        <v>85311</v>
      </c>
      <c r="M194" s="20" t="n">
        <v>101935</v>
      </c>
      <c r="V194" s="20" t="n">
        <v>56691</v>
      </c>
      <c r="W194" s="20" t="n">
        <v>64247</v>
      </c>
      <c r="X194" s="20" t="n">
        <v>85311</v>
      </c>
    </row>
    <row r="195">
      <c r="A195" s="43" t="inlineStr">
        <is>
          <t>OPM</t>
        </is>
      </c>
      <c r="B195" s="3" t="inlineStr">
        <is>
          <t>영업이익 ÷ 매출</t>
        </is>
      </c>
      <c r="D195" s="15">
        <f>IF(OR(D194="",D181=""),"",IF(D181&lt;=0,"",IFERROR(D194/D181,"")))</f>
        <v/>
      </c>
      <c r="E195" s="15">
        <f>IF(OR(E194="",E181=""),"",IF(E181&lt;=0,"",IFERROR(E194/E181,"")))</f>
        <v/>
      </c>
      <c r="H195" s="15">
        <f>IF(OR(H194="",H181=""),"",IF(H181&lt;=0,"",IFERROR(H194/H181,"")))</f>
        <v/>
      </c>
      <c r="I195" s="15">
        <f>IF(OR(I194="",I181=""),"",IF(I181&lt;=0,"",IFERROR(I194/I181,"")))</f>
        <v/>
      </c>
      <c r="L195" s="15">
        <f>IF(OR(L194="",L181=""),"",IF(L181&lt;=0,"",IFERROR(L194/L181,"")))</f>
        <v/>
      </c>
      <c r="M195" s="15">
        <f>IF(OR(M194="",M181=""),"",IF(M181&lt;=0,"",IFERROR(M194/M181,"")))</f>
        <v/>
      </c>
      <c r="V195" s="15">
        <f>IF(OR(V194="",V181=""),"",IF(V181&lt;=0,"",IFERROR(V194/V181,"")))</f>
        <v/>
      </c>
      <c r="W195" s="15">
        <f>IF(OR(W194="",W181=""),"",IF(W181&lt;=0,"",IFERROR(W194/W181,"")))</f>
        <v/>
      </c>
      <c r="X195" s="15">
        <f>IF(OR(X194="",X181=""),"",IF(X181&lt;=0,"",IFERROR(X194/X181,"")))</f>
        <v/>
      </c>
    </row>
    <row r="196">
      <c r="A196" s="43" t="inlineStr">
        <is>
          <t>YoY</t>
        </is>
      </c>
      <c r="B196" s="3" t="inlineStr">
        <is>
          <t>전년 같은 분기·전년 대비</t>
        </is>
      </c>
      <c r="H196" s="15">
        <f>IF(OR(H194="",D194=""),"",IF(D194&lt;=0,"",IFERROR(H194/D194-1,"")))</f>
        <v/>
      </c>
      <c r="I196" s="15">
        <f>IF(OR(I194="",E194=""),"",IF(E194&lt;=0,"",IFERROR(I194/E194-1,"")))</f>
        <v/>
      </c>
      <c r="L196" s="15">
        <f>IF(OR(L194="",H194=""),"",IF(H194&lt;=0,"",IFERROR(L194/H194-1,"")))</f>
        <v/>
      </c>
      <c r="M196" s="15">
        <f>IF(OR(M194="",I194=""),"",IF(I194&lt;=0,"",IFERROR(M194/I194-1,"")))</f>
        <v/>
      </c>
      <c r="V196" s="15">
        <f>IF(OR(V194="",U194=""),"",IF(U194&lt;=0,"",IFERROR(V194/U194-1,"")))</f>
        <v/>
      </c>
      <c r="W196" s="15">
        <f>IF(OR(W194="",V194=""),"",IF(V194&lt;=0,"",IFERROR(W194/V194-1,"")))</f>
        <v/>
      </c>
      <c r="X196" s="15">
        <f>IF(OR(X194="",W194=""),"",IF(W194&lt;=0,"",IFERROR(X194/W194-1,"")))</f>
        <v/>
      </c>
    </row>
    <row r="197">
      <c r="A197" s="18" t="inlineStr">
        <is>
          <t>생활환경 기반재료 사업 · 부문 이익(영업이익)</t>
        </is>
      </c>
      <c r="E197" s="20" t="n">
        <v>67955</v>
      </c>
      <c r="I197" s="20" t="n">
        <v>52808</v>
      </c>
      <c r="M197" s="20" t="n">
        <v>34824</v>
      </c>
    </row>
    <row r="198">
      <c r="A198" s="43" t="inlineStr">
        <is>
          <t>OPM</t>
        </is>
      </c>
      <c r="B198" s="3" t="inlineStr">
        <is>
          <t>영업이익 ÷ 매출</t>
        </is>
      </c>
      <c r="E198" s="15">
        <f>IF(OR(E197="",E183=""),"",IF(E183&lt;=0,"",IFERROR(E197/E183,"")))</f>
        <v/>
      </c>
      <c r="I198" s="15">
        <f>IF(OR(I197="",I183=""),"",IF(I183&lt;=0,"",IFERROR(I197/I183,"")))</f>
        <v/>
      </c>
      <c r="M198" s="15">
        <f>IF(OR(M197="",M183=""),"",IF(M183&lt;=0,"",IFERROR(M197/M183,"")))</f>
        <v/>
      </c>
    </row>
    <row r="199">
      <c r="A199" s="43" t="inlineStr">
        <is>
          <t>YoY</t>
        </is>
      </c>
      <c r="B199" s="3" t="inlineStr">
        <is>
          <t>전년 같은 분기·전년 대비</t>
        </is>
      </c>
      <c r="I199" s="15">
        <f>IF(OR(I197="",E197=""),"",IF(E197&lt;=0,"",IFERROR(I197/E197-1,"")))</f>
        <v/>
      </c>
      <c r="M199" s="15">
        <f>IF(OR(M197="",I197=""),"",IF(I197&lt;=0,"",IFERROR(M197/I197-1,"")))</f>
        <v/>
      </c>
    </row>
    <row r="200">
      <c r="A200" s="18" t="inlineStr">
        <is>
          <t>기능재료 사업 · 부문 이익(영업이익)</t>
        </is>
      </c>
      <c r="D200" s="20" t="n">
        <v>11175</v>
      </c>
      <c r="E200" s="20" t="n">
        <v>26779</v>
      </c>
      <c r="H200" s="20" t="n">
        <v>21712</v>
      </c>
      <c r="I200" s="20" t="n">
        <v>24041</v>
      </c>
      <c r="L200" s="20" t="n">
        <v>28393</v>
      </c>
      <c r="M200" s="20" t="n">
        <v>28872</v>
      </c>
      <c r="V200" s="20" t="n">
        <v>11175</v>
      </c>
      <c r="W200" s="20" t="n">
        <v>21712</v>
      </c>
      <c r="X200" s="20" t="n">
        <v>28393</v>
      </c>
    </row>
    <row r="201">
      <c r="A201" s="43" t="inlineStr">
        <is>
          <t>OPM</t>
        </is>
      </c>
      <c r="B201" s="3" t="inlineStr">
        <is>
          <t>영업이익 ÷ 매출</t>
        </is>
      </c>
      <c r="D201" s="15">
        <f>IF(OR(D200="",D185=""),"",IF(D185&lt;=0,"",IFERROR(D200/D185,"")))</f>
        <v/>
      </c>
      <c r="E201" s="15">
        <f>IF(OR(E200="",E185=""),"",IF(E185&lt;=0,"",IFERROR(E200/E185,"")))</f>
        <v/>
      </c>
      <c r="H201" s="15">
        <f>IF(OR(H200="",H185=""),"",IF(H185&lt;=0,"",IFERROR(H200/H185,"")))</f>
        <v/>
      </c>
      <c r="I201" s="15">
        <f>IF(OR(I200="",I185=""),"",IF(I185&lt;=0,"",IFERROR(I200/I185,"")))</f>
        <v/>
      </c>
      <c r="L201" s="15">
        <f>IF(OR(L200="",L185=""),"",IF(L185&lt;=0,"",IFERROR(L200/L185,"")))</f>
        <v/>
      </c>
      <c r="M201" s="15">
        <f>IF(OR(M200="",M185=""),"",IF(M185&lt;=0,"",IFERROR(M200/M185,"")))</f>
        <v/>
      </c>
      <c r="V201" s="15">
        <f>IF(OR(V200="",V185=""),"",IF(V185&lt;=0,"",IFERROR(V200/V185,"")))</f>
        <v/>
      </c>
      <c r="W201" s="15">
        <f>IF(OR(W200="",W185=""),"",IF(W185&lt;=0,"",IFERROR(W200/W185,"")))</f>
        <v/>
      </c>
      <c r="X201" s="15">
        <f>IF(OR(X200="",X185=""),"",IF(X185&lt;=0,"",IFERROR(X200/X185,"")))</f>
        <v/>
      </c>
    </row>
    <row r="202">
      <c r="A202" s="43" t="inlineStr">
        <is>
          <t>YoY</t>
        </is>
      </c>
      <c r="B202" s="3" t="inlineStr">
        <is>
          <t>전년 같은 분기·전년 대비</t>
        </is>
      </c>
      <c r="H202" s="15">
        <f>IF(OR(H200="",D200=""),"",IF(D200&lt;=0,"",IFERROR(H200/D200-1,"")))</f>
        <v/>
      </c>
      <c r="I202" s="15">
        <f>IF(OR(I200="",E200=""),"",IF(E200&lt;=0,"",IFERROR(I200/E200-1,"")))</f>
        <v/>
      </c>
      <c r="L202" s="15">
        <f>IF(OR(L200="",H200=""),"",IF(H200&lt;=0,"",IFERROR(L200/H200-1,"")))</f>
        <v/>
      </c>
      <c r="M202" s="15">
        <f>IF(OR(M200="",I200=""),"",IF(I200&lt;=0,"",IFERROR(M200/I200-1,"")))</f>
        <v/>
      </c>
      <c r="V202" s="15">
        <f>IF(OR(V200="",U200=""),"",IF(U200&lt;=0,"",IFERROR(V200/U200-1,"")))</f>
        <v/>
      </c>
      <c r="W202" s="15">
        <f>IF(OR(W200="",V200=""),"",IF(V200&lt;=0,"",IFERROR(W200/V200-1,"")))</f>
        <v/>
      </c>
      <c r="X202" s="15">
        <f>IF(OR(X200="",W200=""),"",IF(W200&lt;=0,"",IFERROR(X200/W200-1,"")))</f>
        <v/>
      </c>
    </row>
    <row r="203">
      <c r="A203" s="18" t="inlineStr">
        <is>
          <t>기타 관련 사업 · 부문 이익(영업이익)</t>
        </is>
      </c>
      <c r="E203" s="20" t="n">
        <v>7019</v>
      </c>
      <c r="I203" s="20" t="n">
        <v>7121</v>
      </c>
      <c r="M203" s="20" t="n">
        <v>7670</v>
      </c>
    </row>
    <row r="204">
      <c r="A204" s="43" t="inlineStr">
        <is>
          <t>OPM</t>
        </is>
      </c>
      <c r="B204" s="3" t="inlineStr">
        <is>
          <t>영업이익 ÷ 매출</t>
        </is>
      </c>
      <c r="E204" s="15">
        <f>IF(OR(E203="",E187=""),"",IF(E187&lt;=0,"",IFERROR(E203/E187,"")))</f>
        <v/>
      </c>
      <c r="I204" s="15">
        <f>IF(OR(I203="",I187=""),"",IF(I187&lt;=0,"",IFERROR(I203/I187,"")))</f>
        <v/>
      </c>
      <c r="M204" s="15">
        <f>IF(OR(M203="",M187=""),"",IF(M187&lt;=0,"",IFERROR(M203/M187,"")))</f>
        <v/>
      </c>
    </row>
    <row r="205">
      <c r="A205" s="43" t="inlineStr">
        <is>
          <t>YoY</t>
        </is>
      </c>
      <c r="B205" s="3" t="inlineStr">
        <is>
          <t>전년 같은 분기·전년 대비</t>
        </is>
      </c>
      <c r="I205" s="15">
        <f>IF(OR(I203="",E203=""),"",IF(E203&lt;=0,"",IFERROR(I203/E203-1,"")))</f>
        <v/>
      </c>
      <c r="M205" s="15">
        <f>IF(OR(M203="",I203=""),"",IF(I203&lt;=0,"",IFERROR(M203/I203-1,"")))</f>
        <v/>
      </c>
    </row>
    <row r="206">
      <c r="A206" s="18" t="inlineStr">
        <is>
          <t>보고부문 합계 · 부문 이익(영업이익)</t>
        </is>
      </c>
      <c r="D206" s="20" t="n">
        <v>142007</v>
      </c>
      <c r="E206" s="20" t="n">
        <v>191287</v>
      </c>
      <c r="H206" s="20" t="n">
        <v>158192</v>
      </c>
      <c r="I206" s="20" t="n">
        <v>167081</v>
      </c>
      <c r="L206" s="20" t="n">
        <v>138409</v>
      </c>
      <c r="M206" s="20" t="n">
        <v>173301</v>
      </c>
      <c r="V206" s="20" t="n">
        <v>142007</v>
      </c>
      <c r="W206" s="20" t="n">
        <v>158192</v>
      </c>
      <c r="X206" s="20" t="n">
        <v>138409</v>
      </c>
    </row>
    <row r="207">
      <c r="A207" s="43" t="inlineStr">
        <is>
          <t>OPM</t>
        </is>
      </c>
      <c r="B207" s="3" t="inlineStr">
        <is>
          <t>영업이익 ÷ 매출</t>
        </is>
      </c>
      <c r="D207" s="15">
        <f>IF(OR(D206="",D189=""),"",IF(D189&lt;=0,"",IFERROR(D206/D189,"")))</f>
        <v/>
      </c>
      <c r="E207" s="15">
        <f>IF(OR(E206="",E189=""),"",IF(E189&lt;=0,"",IFERROR(E206/E189,"")))</f>
        <v/>
      </c>
      <c r="H207" s="15">
        <f>IF(OR(H206="",H189=""),"",IF(H189&lt;=0,"",IFERROR(H206/H189,"")))</f>
        <v/>
      </c>
      <c r="I207" s="15">
        <f>IF(OR(I206="",I189=""),"",IF(I189&lt;=0,"",IFERROR(I206/I189,"")))</f>
        <v/>
      </c>
      <c r="L207" s="15">
        <f>IF(OR(L206="",L189=""),"",IF(L189&lt;=0,"",IFERROR(L206/L189,"")))</f>
        <v/>
      </c>
      <c r="M207" s="15">
        <f>IF(OR(M206="",M189=""),"",IF(M189&lt;=0,"",IFERROR(M206/M189,"")))</f>
        <v/>
      </c>
      <c r="V207" s="15">
        <f>IF(OR(V206="",V189=""),"",IF(V189&lt;=0,"",IFERROR(V206/V189,"")))</f>
        <v/>
      </c>
      <c r="W207" s="15">
        <f>IF(OR(W206="",W189=""),"",IF(W189&lt;=0,"",IFERROR(W206/W189,"")))</f>
        <v/>
      </c>
      <c r="X207" s="15">
        <f>IF(OR(X206="",X189=""),"",IF(X189&lt;=0,"",IFERROR(X206/X189,"")))</f>
        <v/>
      </c>
    </row>
    <row r="208">
      <c r="A208" s="43" t="inlineStr">
        <is>
          <t>YoY</t>
        </is>
      </c>
      <c r="B208" s="3" t="inlineStr">
        <is>
          <t>전년 같은 분기·전년 대비</t>
        </is>
      </c>
      <c r="H208" s="15">
        <f>IF(OR(H206="",D206=""),"",IF(D206&lt;=0,"",IFERROR(H206/D206-1,"")))</f>
        <v/>
      </c>
      <c r="I208" s="15">
        <f>IF(OR(I206="",E206=""),"",IF(E206&lt;=0,"",IFERROR(I206/E206-1,"")))</f>
        <v/>
      </c>
      <c r="L208" s="15">
        <f>IF(OR(L206="",H206=""),"",IF(H206&lt;=0,"",IFERROR(L206/H206-1,"")))</f>
        <v/>
      </c>
      <c r="M208" s="15">
        <f>IF(OR(M206="",I206=""),"",IF(I206&lt;=0,"",IFERROR(M206/I206-1,"")))</f>
        <v/>
      </c>
      <c r="V208" s="15">
        <f>IF(OR(V206="",U206=""),"",IF(U206&lt;=0,"",IFERROR(V206/U206-1,"")))</f>
        <v/>
      </c>
      <c r="W208" s="15">
        <f>IF(OR(W206="",V206=""),"",IF(V206&lt;=0,"",IFERROR(W206/V206-1,"")))</f>
        <v/>
      </c>
      <c r="X208" s="15">
        <f>IF(OR(X206="",W206=""),"",IF(W206&lt;=0,"",IFERROR(X206/W206-1,"")))</f>
        <v/>
      </c>
    </row>
    <row r="209">
      <c r="A209" s="18" t="inlineStr">
        <is>
          <t>조정액 · 부문 이익(영업이익)</t>
        </is>
      </c>
      <c r="D209" s="20" t="n">
        <v>-496</v>
      </c>
      <c r="E209" s="20" t="n">
        <v>-264</v>
      </c>
      <c r="H209" s="20" t="n">
        <v>-527</v>
      </c>
      <c r="I209" s="20" t="n">
        <v>-278</v>
      </c>
      <c r="L209" s="20" t="n">
        <v>-1230</v>
      </c>
      <c r="M209" s="20" t="n">
        <v>496</v>
      </c>
      <c r="V209" s="20" t="n">
        <v>-496</v>
      </c>
      <c r="W209" s="20" t="n">
        <v>-527</v>
      </c>
      <c r="X209" s="20" t="n">
        <v>-1230</v>
      </c>
    </row>
    <row r="210">
      <c r="A210" s="9" t="inlineStr">
        <is>
          <t>부문 이익(영업이익)</t>
        </is>
      </c>
      <c r="D210" s="12" t="n">
        <v>141510</v>
      </c>
      <c r="E210" s="12" t="n">
        <v>191023</v>
      </c>
      <c r="H210" s="12" t="n">
        <v>157666</v>
      </c>
      <c r="I210" s="12" t="n">
        <v>166803</v>
      </c>
      <c r="L210" s="12" t="n">
        <v>137178</v>
      </c>
      <c r="M210" s="12" t="n">
        <v>173798</v>
      </c>
      <c r="V210" s="12" t="n">
        <v>141510</v>
      </c>
      <c r="W210" s="12" t="n">
        <v>157666</v>
      </c>
      <c r="X210" s="12" t="n">
        <v>137178</v>
      </c>
    </row>
    <row r="211">
      <c r="A211" s="43" t="inlineStr">
        <is>
          <t>OPM</t>
        </is>
      </c>
      <c r="B211" s="3" t="inlineStr">
        <is>
          <t>영업이익 ÷ 매출</t>
        </is>
      </c>
      <c r="D211" s="15">
        <f>IF(OR(D210="",D172=""),"",IF(D172&lt;=0,"",IFERROR(D210/D172,"")))</f>
        <v/>
      </c>
      <c r="E211" s="15">
        <f>IF(OR(E210="",E172=""),"",IF(E172&lt;=0,"",IFERROR(E210/E172,"")))</f>
        <v/>
      </c>
      <c r="H211" s="15">
        <f>IF(OR(H210="",H172=""),"",IF(H172&lt;=0,"",IFERROR(H210/H172,"")))</f>
        <v/>
      </c>
      <c r="I211" s="15">
        <f>IF(OR(I210="",I172=""),"",IF(I172&lt;=0,"",IFERROR(I210/I172,"")))</f>
        <v/>
      </c>
      <c r="L211" s="15">
        <f>IF(OR(L210="",L172=""),"",IF(L172&lt;=0,"",IFERROR(L210/L172,"")))</f>
        <v/>
      </c>
      <c r="M211" s="15">
        <f>IF(OR(M210="",M172=""),"",IF(M172&lt;=0,"",IFERROR(M210/M172,"")))</f>
        <v/>
      </c>
      <c r="V211" s="15">
        <f>IF(OR(V210="",V172=""),"",IF(V172&lt;=0,"",IFERROR(V210/V172,"")))</f>
        <v/>
      </c>
      <c r="W211" s="15">
        <f>IF(OR(W210="",W172=""),"",IF(W172&lt;=0,"",IFERROR(W210/W172,"")))</f>
        <v/>
      </c>
      <c r="X211" s="15">
        <f>IF(OR(X210="",X172=""),"",IF(X172&lt;=0,"",IFERROR(X210/X172,"")))</f>
        <v/>
      </c>
    </row>
    <row r="212">
      <c r="A212" s="43" t="inlineStr">
        <is>
          <t>YoY</t>
        </is>
      </c>
      <c r="B212" s="3" t="inlineStr">
        <is>
          <t>전년 같은 분기·전년 대비</t>
        </is>
      </c>
      <c r="H212" s="15">
        <f>IF(OR(H210="",D210=""),"",IF(D210&lt;=0,"",IFERROR(H210/D210-1,"")))</f>
        <v/>
      </c>
      <c r="I212" s="15">
        <f>IF(OR(I210="",E210=""),"",IF(E210&lt;=0,"",IFERROR(I210/E210-1,"")))</f>
        <v/>
      </c>
      <c r="L212" s="15">
        <f>IF(OR(L210="",H210=""),"",IF(H210&lt;=0,"",IFERROR(L210/H210-1,"")))</f>
        <v/>
      </c>
      <c r="M212" s="15">
        <f>IF(OR(M210="",I210=""),"",IF(I210&lt;=0,"",IFERROR(M210/I210-1,"")))</f>
        <v/>
      </c>
      <c r="V212" s="15">
        <f>IF(OR(V210="",U210=""),"",IF(U210&lt;=0,"",IFERROR(V210/U210-1,"")))</f>
        <v/>
      </c>
      <c r="W212" s="15">
        <f>IF(OR(W210="",V210=""),"",IF(V210&lt;=0,"",IFERROR(W210/V210-1,"")))</f>
        <v/>
      </c>
      <c r="X212" s="15">
        <f>IF(OR(X210="",W210=""),"",IF(W210&lt;=0,"",IFERROR(X210/W210-1,"")))</f>
        <v/>
      </c>
    </row>
    <row r="214">
      <c r="A214" s="16" t="inlineStr">
        <is>
          <t>현금흐름표 · 전 항목</t>
        </is>
      </c>
      <c r="B214" s="42" t="inlineStr">
        <is>
          <t>분기 = 결산기 첫날부터 누계(공시 그대로)</t>
        </is>
      </c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  <c r="AA214" s="16" t="n"/>
      <c r="AB214" s="16" t="n"/>
      <c r="AC214" s="16" t="n"/>
    </row>
    <row r="215">
      <c r="A215" s="5" t="inlineStr">
        <is>
          <t>항목</t>
        </is>
      </c>
      <c r="B215" s="5" t="inlineStr">
        <is>
          <t>참고</t>
        </is>
      </c>
      <c r="C215" s="5" t="inlineStr">
        <is>
          <t>2024.3Q</t>
        </is>
      </c>
      <c r="D215" s="5" t="inlineStr">
        <is>
          <t>2024.4Q</t>
        </is>
      </c>
      <c r="E215" s="5" t="inlineStr">
        <is>
          <t>2025.1Q</t>
        </is>
      </c>
      <c r="F215" s="5" t="inlineStr">
        <is>
          <t>2025.2Q</t>
        </is>
      </c>
      <c r="G215" s="5" t="inlineStr">
        <is>
          <t>2025.3Q</t>
        </is>
      </c>
      <c r="H215" s="5" t="inlineStr">
        <is>
          <t>2025.4Q</t>
        </is>
      </c>
      <c r="I215" s="5" t="inlineStr">
        <is>
          <t>2026.1Q</t>
        </is>
      </c>
      <c r="J215" s="5" t="inlineStr">
        <is>
          <t>2026.2Q</t>
        </is>
      </c>
      <c r="K215" s="5" t="inlineStr">
        <is>
          <t>2026.3Q</t>
        </is>
      </c>
      <c r="L215" s="5" t="inlineStr">
        <is>
          <t>2026.4Q</t>
        </is>
      </c>
      <c r="M215" s="5" t="inlineStr">
        <is>
          <t>2027.1Q</t>
        </is>
      </c>
      <c r="N215" s="5" t="inlineStr">
        <is>
          <t>2027.2Q</t>
        </is>
      </c>
      <c r="O215" s="5" t="inlineStr">
        <is>
          <t>2017</t>
        </is>
      </c>
      <c r="P215" s="5" t="inlineStr">
        <is>
          <t>2018</t>
        </is>
      </c>
      <c r="Q215" s="5" t="inlineStr">
        <is>
          <t>2019</t>
        </is>
      </c>
      <c r="R215" s="5" t="inlineStr">
        <is>
          <t>2020</t>
        </is>
      </c>
      <c r="S215" s="5" t="inlineStr">
        <is>
          <t>2021</t>
        </is>
      </c>
      <c r="T215" s="5" t="inlineStr">
        <is>
          <t>2022</t>
        </is>
      </c>
      <c r="U215" s="5" t="inlineStr">
        <is>
          <t>2023</t>
        </is>
      </c>
      <c r="V215" s="5" t="inlineStr">
        <is>
          <t>2024</t>
        </is>
      </c>
      <c r="W215" s="5" t="inlineStr">
        <is>
          <t>2025</t>
        </is>
      </c>
      <c r="X215" s="5" t="inlineStr">
        <is>
          <t>2026</t>
        </is>
      </c>
      <c r="Y215" s="5" t="inlineStr">
        <is>
          <t>2027(MW)</t>
        </is>
      </c>
      <c r="Z215" s="5" t="inlineStr">
        <is>
          <t>2028(MW)</t>
        </is>
      </c>
      <c r="AA215" s="5" t="inlineStr">
        <is>
          <t>2029(MW)</t>
        </is>
      </c>
      <c r="AB215" s="5" t="inlineStr">
        <is>
          <t>2030(MW)</t>
        </is>
      </c>
      <c r="AC215" s="5" t="inlineStr">
        <is>
          <t>2031(MW)</t>
        </is>
      </c>
    </row>
    <row r="216">
      <c r="A216" s="9" t="inlineStr">
        <is>
          <t>법인세차감전 순이익</t>
        </is>
      </c>
      <c r="D216" s="12" t="n">
        <v>795673</v>
      </c>
      <c r="F216" s="12" t="n">
        <v>450255</v>
      </c>
      <c r="H216" s="12" t="n">
        <v>826229</v>
      </c>
      <c r="J216" s="12" t="n">
        <v>377005</v>
      </c>
      <c r="L216" s="12" t="n">
        <v>708488</v>
      </c>
      <c r="N216" s="12" t="n">
        <v>421349</v>
      </c>
      <c r="O216" s="12" t="n">
        <v>242133</v>
      </c>
      <c r="P216" s="12" t="n">
        <v>340308</v>
      </c>
      <c r="Q216" s="12" t="n">
        <v>415311</v>
      </c>
      <c r="R216" s="12" t="n">
        <v>426017</v>
      </c>
      <c r="S216" s="12" t="n">
        <v>402145</v>
      </c>
      <c r="T216" s="12" t="n">
        <v>696137</v>
      </c>
      <c r="U216" s="12" t="n">
        <v>1020211</v>
      </c>
      <c r="V216" s="12" t="n">
        <v>795673</v>
      </c>
      <c r="W216" s="12" t="n">
        <v>826229</v>
      </c>
      <c r="X216" s="12" t="n">
        <v>708488</v>
      </c>
    </row>
    <row r="217">
      <c r="A217" s="18" t="inlineStr">
        <is>
          <t>감가상각비</t>
        </is>
      </c>
      <c r="D217" s="20" t="n">
        <v>227619</v>
      </c>
      <c r="F217" s="20" t="n">
        <v>108421</v>
      </c>
      <c r="H217" s="20" t="n">
        <v>238357</v>
      </c>
      <c r="J217" s="20" t="n">
        <v>116312</v>
      </c>
      <c r="L217" s="20" t="n">
        <v>242973</v>
      </c>
      <c r="N217" s="20" t="n">
        <v>115787</v>
      </c>
      <c r="O217" s="20" t="n">
        <v>93087</v>
      </c>
      <c r="P217" s="20" t="n">
        <v>112016</v>
      </c>
      <c r="Q217" s="20" t="n">
        <v>137570</v>
      </c>
      <c r="R217" s="20" t="n">
        <v>131172</v>
      </c>
      <c r="S217" s="20" t="n">
        <v>143807</v>
      </c>
      <c r="T217" s="20" t="n">
        <v>168788</v>
      </c>
      <c r="U217" s="20" t="n">
        <v>213632</v>
      </c>
      <c r="V217" s="20" t="n">
        <v>227619</v>
      </c>
      <c r="W217" s="20" t="n">
        <v>238357</v>
      </c>
      <c r="X217" s="20" t="n">
        <v>242973</v>
      </c>
    </row>
    <row r="218">
      <c r="A218" s="18" t="inlineStr">
        <is>
          <t>손상차손</t>
        </is>
      </c>
      <c r="D218" s="20" t="n">
        <v>21928</v>
      </c>
      <c r="H218" s="20" t="n">
        <v>3527</v>
      </c>
      <c r="L218" s="20" t="n">
        <v>17</v>
      </c>
      <c r="U218" s="20" t="n">
        <v>1510</v>
      </c>
      <c r="V218" s="20" t="n">
        <v>21928</v>
      </c>
      <c r="W218" s="20" t="n">
        <v>3527</v>
      </c>
      <c r="X218" s="20" t="n">
        <v>17</v>
      </c>
    </row>
    <row r="219">
      <c r="A219" s="18" t="inlineStr">
        <is>
          <t>퇴직급여부채 증감</t>
        </is>
      </c>
      <c r="D219" s="20" t="n">
        <v>908</v>
      </c>
      <c r="H219" s="20" t="n">
        <v>-1109</v>
      </c>
      <c r="L219" s="20" t="n">
        <v>-4392</v>
      </c>
      <c r="O219" s="20" t="n">
        <v>1384</v>
      </c>
      <c r="P219" s="20" t="n">
        <v>-4469</v>
      </c>
      <c r="Q219" s="20" t="n">
        <v>-126</v>
      </c>
      <c r="R219" s="20" t="n">
        <v>2723</v>
      </c>
      <c r="S219" s="20" t="n">
        <v>2860</v>
      </c>
      <c r="T219" s="20" t="n">
        <v>3041</v>
      </c>
      <c r="U219" s="20" t="n">
        <v>2441</v>
      </c>
      <c r="V219" s="20" t="n">
        <v>908</v>
      </c>
      <c r="W219" s="20" t="n">
        <v>-1109</v>
      </c>
      <c r="X219" s="20" t="n">
        <v>-4392</v>
      </c>
    </row>
    <row r="220">
      <c r="A220" s="18" t="inlineStr">
        <is>
          <t>투자유가증권 매각손익</t>
        </is>
      </c>
      <c r="D220" s="20" t="n">
        <v>-19178</v>
      </c>
      <c r="F220" s="20" t="n">
        <v>-1909</v>
      </c>
      <c r="H220" s="20" t="n">
        <v>-11003</v>
      </c>
      <c r="J220" s="20" t="n">
        <v>-9665</v>
      </c>
      <c r="L220" s="20" t="n">
        <v>-10572</v>
      </c>
      <c r="N220" s="20" t="n">
        <v>-6240</v>
      </c>
      <c r="Q220" s="20" t="n">
        <v>-78</v>
      </c>
      <c r="R220" s="20" t="n">
        <v>-7774</v>
      </c>
      <c r="S220" s="20" t="n">
        <v>-1687</v>
      </c>
      <c r="T220" s="20" t="n">
        <v>-295</v>
      </c>
      <c r="U220" s="20" t="n">
        <v>-58</v>
      </c>
      <c r="V220" s="20" t="n">
        <v>-19178</v>
      </c>
      <c r="W220" s="20" t="n">
        <v>-11003</v>
      </c>
      <c r="X220" s="20" t="n">
        <v>-10572</v>
      </c>
    </row>
    <row r="221">
      <c r="A221" s="18" t="inlineStr">
        <is>
          <t>대손충당금 증감</t>
        </is>
      </c>
      <c r="D221" s="20" t="n">
        <v>1153</v>
      </c>
      <c r="H221" s="20" t="n">
        <v>1493</v>
      </c>
      <c r="L221" s="20" t="n">
        <v>2794</v>
      </c>
      <c r="O221" s="20" t="n">
        <v>-165</v>
      </c>
      <c r="P221" s="20" t="n">
        <v>-2019</v>
      </c>
      <c r="Q221" s="20" t="n">
        <v>-4281</v>
      </c>
      <c r="R221" s="20" t="n">
        <v>-493</v>
      </c>
      <c r="S221" s="20" t="n">
        <v>-1185</v>
      </c>
      <c r="T221" s="20" t="n">
        <v>3195</v>
      </c>
      <c r="U221" s="20" t="n">
        <v>-266</v>
      </c>
      <c r="V221" s="20" t="n">
        <v>1153</v>
      </c>
      <c r="W221" s="20" t="n">
        <v>1493</v>
      </c>
      <c r="X221" s="20" t="n">
        <v>2794</v>
      </c>
    </row>
    <row r="222">
      <c r="A222" s="18" t="inlineStr">
        <is>
          <t>이자·배당금 수익</t>
        </is>
      </c>
      <c r="D222" s="20" t="n">
        <v>-72233</v>
      </c>
      <c r="F222" s="20" t="n">
        <v>-46591</v>
      </c>
      <c r="H222" s="20" t="n">
        <v>-92230</v>
      </c>
      <c r="J222" s="20" t="n">
        <v>-34290</v>
      </c>
      <c r="L222" s="20" t="n">
        <v>-69099</v>
      </c>
      <c r="N222" s="20" t="n">
        <v>-34130</v>
      </c>
      <c r="O222" s="20" t="n">
        <v>-7317</v>
      </c>
      <c r="P222" s="20" t="n">
        <v>-10939</v>
      </c>
      <c r="Q222" s="20" t="n">
        <v>-14989</v>
      </c>
      <c r="R222" s="20" t="n">
        <v>-18166</v>
      </c>
      <c r="S222" s="20" t="n">
        <v>-12434</v>
      </c>
      <c r="T222" s="20" t="n">
        <v>-4929</v>
      </c>
      <c r="U222" s="20" t="n">
        <v>-19940</v>
      </c>
      <c r="V222" s="20" t="n">
        <v>-72233</v>
      </c>
      <c r="W222" s="20" t="n">
        <v>-92230</v>
      </c>
      <c r="X222" s="20" t="n">
        <v>-69099</v>
      </c>
    </row>
    <row r="223">
      <c r="A223" s="18" t="inlineStr">
        <is>
          <t>이자비용</t>
        </is>
      </c>
      <c r="D223" s="20" t="n">
        <v>1501</v>
      </c>
      <c r="H223" s="20" t="n">
        <v>1350</v>
      </c>
      <c r="L223" s="20" t="n">
        <v>2706</v>
      </c>
      <c r="O223" s="20" t="n">
        <v>529</v>
      </c>
      <c r="P223" s="20" t="n">
        <v>621</v>
      </c>
      <c r="Q223" s="20" t="n">
        <v>746</v>
      </c>
      <c r="R223" s="20" t="n">
        <v>749</v>
      </c>
      <c r="S223" s="20" t="n">
        <v>728</v>
      </c>
      <c r="T223" s="20" t="n">
        <v>983</v>
      </c>
      <c r="U223" s="20" t="n">
        <v>1490</v>
      </c>
      <c r="V223" s="20" t="n">
        <v>1501</v>
      </c>
      <c r="W223" s="20" t="n">
        <v>1350</v>
      </c>
      <c r="X223" s="20" t="n">
        <v>2706</v>
      </c>
    </row>
    <row r="224">
      <c r="A224" s="18" t="inlineStr">
        <is>
          <t>외환차손익</t>
        </is>
      </c>
      <c r="D224" s="20" t="n">
        <v>-11507</v>
      </c>
      <c r="F224" s="20" t="n">
        <v>22460</v>
      </c>
      <c r="H224" s="20" t="n">
        <v>7197</v>
      </c>
      <c r="J224" s="20" t="n">
        <v>-3277</v>
      </c>
      <c r="L224" s="20" t="n">
        <v>-10020</v>
      </c>
      <c r="N224" s="20" t="n">
        <v>6876</v>
      </c>
      <c r="O224" s="20" t="n">
        <v>2370</v>
      </c>
      <c r="P224" s="20" t="n">
        <v>6148</v>
      </c>
      <c r="Q224" s="20" t="n">
        <v>-2060</v>
      </c>
      <c r="R224" s="20" t="n">
        <v>3464</v>
      </c>
      <c r="S224" s="20" t="n">
        <v>-4909</v>
      </c>
      <c r="T224" s="20" t="n">
        <v>-8842</v>
      </c>
      <c r="U224" s="20" t="n">
        <v>-1082</v>
      </c>
      <c r="V224" s="20" t="n">
        <v>-11507</v>
      </c>
      <c r="W224" s="20" t="n">
        <v>7197</v>
      </c>
      <c r="X224" s="20" t="n">
        <v>-10020</v>
      </c>
    </row>
    <row r="225">
      <c r="A225" s="18" t="inlineStr">
        <is>
          <t>지분법손익</t>
        </is>
      </c>
      <c r="D225" s="20" t="n">
        <v>-8607</v>
      </c>
      <c r="H225" s="20" t="n">
        <v>-6351</v>
      </c>
      <c r="L225" s="20" t="n">
        <v>-6228</v>
      </c>
      <c r="O225" s="20" t="n">
        <v>-2788</v>
      </c>
      <c r="P225" s="20" t="n">
        <v>-3762</v>
      </c>
      <c r="Q225" s="20" t="n">
        <v>-4669</v>
      </c>
      <c r="R225" s="20" t="n">
        <v>-4327</v>
      </c>
      <c r="S225" s="20" t="n">
        <v>-5364</v>
      </c>
      <c r="T225" s="20" t="n">
        <v>-7140</v>
      </c>
      <c r="U225" s="20" t="n">
        <v>-9522</v>
      </c>
      <c r="V225" s="20" t="n">
        <v>-8607</v>
      </c>
      <c r="W225" s="20" t="n">
        <v>-6351</v>
      </c>
      <c r="X225" s="20" t="n">
        <v>-6228</v>
      </c>
    </row>
    <row r="226">
      <c r="A226" s="18" t="inlineStr">
        <is>
          <t>재해 손실</t>
        </is>
      </c>
      <c r="R226" s="20" t="n">
        <v>0</v>
      </c>
      <c r="S226" s="20" t="n">
        <v>2955</v>
      </c>
      <c r="T226" s="20" t="n">
        <v>0</v>
      </c>
    </row>
    <row r="227">
      <c r="A227" s="18" t="inlineStr">
        <is>
          <t>매출채권 증감</t>
        </is>
      </c>
      <c r="D227" s="20" t="n">
        <v>7039</v>
      </c>
      <c r="F227" s="20" t="n">
        <v>-4657</v>
      </c>
      <c r="H227" s="20" t="n">
        <v>21712</v>
      </c>
      <c r="J227" s="20" t="n">
        <v>-57672</v>
      </c>
      <c r="L227" s="20" t="n">
        <v>-16851</v>
      </c>
      <c r="N227" s="20" t="n">
        <v>-89168</v>
      </c>
      <c r="O227" s="20" t="n">
        <v>-23501</v>
      </c>
      <c r="P227" s="20" t="n">
        <v>-42287</v>
      </c>
      <c r="Q227" s="20" t="n">
        <v>-8697</v>
      </c>
      <c r="R227" s="20" t="n">
        <v>11215</v>
      </c>
      <c r="S227" s="20" t="n">
        <v>-22016</v>
      </c>
      <c r="T227" s="20" t="n">
        <v>-119162</v>
      </c>
      <c r="U227" s="20" t="n">
        <v>29718</v>
      </c>
      <c r="V227" s="20" t="n">
        <v>7039</v>
      </c>
      <c r="W227" s="20" t="n">
        <v>21712</v>
      </c>
      <c r="X227" s="20" t="n">
        <v>-16851</v>
      </c>
    </row>
    <row r="228">
      <c r="A228" s="18" t="inlineStr">
        <is>
          <t>재고자산 증감</t>
        </is>
      </c>
      <c r="D228" s="20" t="n">
        <v>-9560</v>
      </c>
      <c r="F228" s="20" t="n">
        <v>32051</v>
      </c>
      <c r="H228" s="20" t="n">
        <v>-8469</v>
      </c>
      <c r="J228" s="20" t="n">
        <v>15642</v>
      </c>
      <c r="L228" s="20" t="n">
        <v>-14046</v>
      </c>
      <c r="N228" s="20" t="n">
        <v>-14781</v>
      </c>
      <c r="O228" s="20" t="n">
        <v>10621</v>
      </c>
      <c r="P228" s="20" t="n">
        <v>-13595</v>
      </c>
      <c r="Q228" s="20" t="n">
        <v>-49109</v>
      </c>
      <c r="R228" s="20" t="n">
        <v>-36910</v>
      </c>
      <c r="S228" s="20" t="n">
        <v>-3898</v>
      </c>
      <c r="T228" s="20" t="n">
        <v>-69097</v>
      </c>
      <c r="U228" s="20" t="n">
        <v>-210959</v>
      </c>
      <c r="V228" s="20" t="n">
        <v>-9560</v>
      </c>
      <c r="W228" s="20" t="n">
        <v>-8469</v>
      </c>
      <c r="X228" s="20" t="n">
        <v>-14046</v>
      </c>
    </row>
    <row r="229">
      <c r="A229" s="18" t="inlineStr">
        <is>
          <t>장기 선급금 증감액</t>
        </is>
      </c>
      <c r="D229" s="20" t="n">
        <v>2818</v>
      </c>
      <c r="H229" s="20" t="n">
        <v>3341</v>
      </c>
      <c r="L229" s="20" t="n">
        <v>3609</v>
      </c>
      <c r="O229" s="20" t="n">
        <v>3180</v>
      </c>
      <c r="P229" s="20" t="n">
        <v>3196</v>
      </c>
      <c r="Q229" s="20" t="n">
        <v>3838</v>
      </c>
      <c r="R229" s="20" t="n">
        <v>3579</v>
      </c>
      <c r="S229" s="20" t="n">
        <v>4109</v>
      </c>
      <c r="T229" s="20" t="n">
        <v>-3951</v>
      </c>
      <c r="U229" s="20" t="n">
        <v>2899</v>
      </c>
      <c r="V229" s="20" t="n">
        <v>2818</v>
      </c>
      <c r="W229" s="20" t="n">
        <v>3341</v>
      </c>
      <c r="X229" s="20" t="n">
        <v>3609</v>
      </c>
    </row>
    <row r="230">
      <c r="A230" s="18" t="inlineStr">
        <is>
          <t>매입채무 증감</t>
        </is>
      </c>
      <c r="D230" s="20" t="n">
        <v>-28776</v>
      </c>
      <c r="F230" s="20" t="n">
        <v>-24754</v>
      </c>
      <c r="H230" s="20" t="n">
        <v>-12427</v>
      </c>
      <c r="J230" s="20" t="n">
        <v>-8012</v>
      </c>
      <c r="L230" s="20" t="n">
        <v>-8900</v>
      </c>
      <c r="N230" s="20" t="n">
        <v>14011</v>
      </c>
      <c r="O230" s="20" t="n">
        <v>9606</v>
      </c>
      <c r="P230" s="20" t="n">
        <v>12017</v>
      </c>
      <c r="Q230" s="20" t="n">
        <v>3270</v>
      </c>
      <c r="R230" s="20" t="n">
        <v>-3892</v>
      </c>
      <c r="S230" s="20" t="n">
        <v>-9584</v>
      </c>
      <c r="T230" s="20" t="n">
        <v>47436</v>
      </c>
      <c r="U230" s="20" t="n">
        <v>-1702</v>
      </c>
      <c r="V230" s="20" t="n">
        <v>-28776</v>
      </c>
      <c r="W230" s="20" t="n">
        <v>-12427</v>
      </c>
      <c r="X230" s="20" t="n">
        <v>-8900</v>
      </c>
    </row>
    <row r="231">
      <c r="A231" s="18" t="inlineStr">
        <is>
          <t>기타</t>
        </is>
      </c>
      <c r="D231" s="20" t="n">
        <v>-8232</v>
      </c>
      <c r="F231" s="20" t="n">
        <v>-29429</v>
      </c>
      <c r="H231" s="20" t="n">
        <v>1547</v>
      </c>
      <c r="J231" s="20" t="n">
        <v>25026</v>
      </c>
      <c r="L231" s="20" t="n">
        <v>29155</v>
      </c>
      <c r="N231" s="20" t="n">
        <v>63400</v>
      </c>
      <c r="O231" s="20" t="n">
        <v>17380</v>
      </c>
      <c r="P231" s="20" t="n">
        <v>-813</v>
      </c>
      <c r="Q231" s="20" t="n">
        <v>29675</v>
      </c>
      <c r="R231" s="20" t="n">
        <v>-6491</v>
      </c>
      <c r="S231" s="20" t="n">
        <v>-7402</v>
      </c>
      <c r="T231" s="20" t="n">
        <v>-11354</v>
      </c>
      <c r="U231" s="20" t="n">
        <v>4592</v>
      </c>
      <c r="V231" s="20" t="n">
        <v>-8232</v>
      </c>
      <c r="W231" s="20" t="n">
        <v>1547</v>
      </c>
      <c r="X231" s="20" t="n">
        <v>29155</v>
      </c>
    </row>
    <row r="232">
      <c r="A232" s="18" t="inlineStr">
        <is>
          <t>소계</t>
        </is>
      </c>
      <c r="D232" s="20" t="n">
        <v>900547</v>
      </c>
      <c r="F232" s="20" t="n">
        <v>505846</v>
      </c>
      <c r="H232" s="20" t="n">
        <v>973165</v>
      </c>
      <c r="J232" s="20" t="n">
        <v>421068</v>
      </c>
      <c r="L232" s="20" t="n">
        <v>849633</v>
      </c>
      <c r="N232" s="20" t="n">
        <v>477104</v>
      </c>
      <c r="O232" s="20" t="n">
        <v>346522</v>
      </c>
      <c r="P232" s="20" t="n">
        <v>396420</v>
      </c>
      <c r="Q232" s="20" t="n">
        <v>506400</v>
      </c>
      <c r="R232" s="20" t="n">
        <v>500865</v>
      </c>
      <c r="S232" s="20" t="n">
        <v>488123</v>
      </c>
      <c r="T232" s="20" t="n">
        <v>694808</v>
      </c>
      <c r="U232" s="20" t="n">
        <v>1032964</v>
      </c>
      <c r="V232" s="20" t="n">
        <v>900547</v>
      </c>
      <c r="W232" s="20" t="n">
        <v>973165</v>
      </c>
      <c r="X232" s="20" t="n">
        <v>849633</v>
      </c>
    </row>
    <row r="233">
      <c r="A233" s="18" t="inlineStr">
        <is>
          <t>이자·배당금 수취</t>
        </is>
      </c>
      <c r="D233" s="20" t="n">
        <v>64873</v>
      </c>
      <c r="F233" s="20" t="n">
        <v>45339</v>
      </c>
      <c r="H233" s="20" t="n">
        <v>96942</v>
      </c>
      <c r="J233" s="20" t="n">
        <v>38786</v>
      </c>
      <c r="L233" s="20" t="n">
        <v>73740</v>
      </c>
      <c r="N233" s="20" t="n">
        <v>33364</v>
      </c>
      <c r="O233" s="20" t="n">
        <v>7774</v>
      </c>
      <c r="P233" s="20" t="n">
        <v>11746</v>
      </c>
      <c r="Q233" s="20" t="n">
        <v>16627</v>
      </c>
      <c r="R233" s="20" t="n">
        <v>19852</v>
      </c>
      <c r="S233" s="20" t="n">
        <v>15026</v>
      </c>
      <c r="T233" s="20" t="n">
        <v>6984</v>
      </c>
      <c r="U233" s="20" t="n">
        <v>23220</v>
      </c>
      <c r="V233" s="20" t="n">
        <v>64873</v>
      </c>
      <c r="W233" s="20" t="n">
        <v>96942</v>
      </c>
      <c r="X233" s="20" t="n">
        <v>73740</v>
      </c>
    </row>
    <row r="234">
      <c r="A234" s="18" t="inlineStr">
        <is>
          <t>이자 지급</t>
        </is>
      </c>
      <c r="D234" s="20" t="n">
        <v>-1298</v>
      </c>
      <c r="F234" s="20" t="n">
        <v>-538</v>
      </c>
      <c r="H234" s="20" t="n">
        <v>-1154</v>
      </c>
      <c r="J234" s="20" t="n">
        <v>-592</v>
      </c>
      <c r="L234" s="20" t="n">
        <v>-1788</v>
      </c>
      <c r="N234" s="20" t="n">
        <v>-1660</v>
      </c>
      <c r="O234" s="20" t="n">
        <v>-528</v>
      </c>
      <c r="P234" s="20" t="n">
        <v>-599</v>
      </c>
      <c r="Q234" s="20" t="n">
        <v>-751</v>
      </c>
      <c r="R234" s="20" t="n">
        <v>-508</v>
      </c>
      <c r="S234" s="20" t="n">
        <v>-571</v>
      </c>
      <c r="T234" s="20" t="n">
        <v>-816</v>
      </c>
      <c r="U234" s="20" t="n">
        <v>-1234</v>
      </c>
      <c r="V234" s="20" t="n">
        <v>-1298</v>
      </c>
      <c r="W234" s="20" t="n">
        <v>-1154</v>
      </c>
      <c r="X234" s="20" t="n">
        <v>-1788</v>
      </c>
    </row>
    <row r="235">
      <c r="A235" s="18" t="inlineStr">
        <is>
          <t>법인세 납부</t>
        </is>
      </c>
      <c r="D235" s="20" t="n">
        <v>-208939</v>
      </c>
      <c r="F235" s="20" t="n">
        <v>-98757</v>
      </c>
      <c r="H235" s="20" t="n">
        <v>-187020</v>
      </c>
      <c r="J235" s="20" t="n">
        <v>-112194</v>
      </c>
      <c r="L235" s="20" t="n">
        <v>-208932</v>
      </c>
      <c r="N235" s="20" t="n">
        <v>-98051</v>
      </c>
      <c r="O235" s="20" t="n">
        <v>-62895</v>
      </c>
      <c r="P235" s="20" t="n">
        <v>-74791</v>
      </c>
      <c r="Q235" s="20" t="n">
        <v>-121589</v>
      </c>
      <c r="R235" s="20" t="n">
        <v>-107824</v>
      </c>
      <c r="S235" s="20" t="n">
        <v>-101402</v>
      </c>
      <c r="T235" s="20" t="n">
        <v>-147448</v>
      </c>
      <c r="U235" s="20" t="n">
        <v>-266937</v>
      </c>
      <c r="V235" s="20" t="n">
        <v>-208939</v>
      </c>
      <c r="W235" s="20" t="n">
        <v>-187020</v>
      </c>
      <c r="X235" s="20" t="n">
        <v>-208932</v>
      </c>
    </row>
    <row r="236">
      <c r="A236" s="18" t="inlineStr">
        <is>
          <t>재해 보험금 수입</t>
        </is>
      </c>
      <c r="D236" s="20" t="n">
        <v>4424</v>
      </c>
      <c r="U236" s="20" t="n">
        <v>0</v>
      </c>
      <c r="V236" s="20" t="n">
        <v>4424</v>
      </c>
    </row>
    <row r="237">
      <c r="A237" s="9" t="inlineStr">
        <is>
          <t>영업활동 현금흐름</t>
        </is>
      </c>
      <c r="D237" s="12" t="n">
        <v>755183</v>
      </c>
      <c r="F237" s="12" t="n">
        <v>451889</v>
      </c>
      <c r="H237" s="12" t="n">
        <v>881934</v>
      </c>
      <c r="J237" s="12" t="n">
        <v>347066</v>
      </c>
      <c r="L237" s="12" t="n">
        <v>712651</v>
      </c>
      <c r="N237" s="12" t="n">
        <v>410757</v>
      </c>
      <c r="O237" s="12" t="n">
        <v>290872</v>
      </c>
      <c r="P237" s="12" t="n">
        <v>332776</v>
      </c>
      <c r="Q237" s="12" t="n">
        <v>400687</v>
      </c>
      <c r="R237" s="12" t="n">
        <v>412384</v>
      </c>
      <c r="S237" s="12" t="n">
        <v>401176</v>
      </c>
      <c r="T237" s="12" t="n">
        <v>553528</v>
      </c>
      <c r="U237" s="12" t="n">
        <v>788013</v>
      </c>
      <c r="V237" s="12" t="n">
        <v>755183</v>
      </c>
      <c r="W237" s="12" t="n">
        <v>881934</v>
      </c>
      <c r="X237" s="12" t="n">
        <v>712651</v>
      </c>
    </row>
    <row r="238">
      <c r="A238" s="18" t="inlineStr">
        <is>
          <t>정기예금 증감</t>
        </is>
      </c>
      <c r="F238" s="20" t="n">
        <v>61726</v>
      </c>
    </row>
    <row r="239">
      <c r="A239" s="18" t="inlineStr">
        <is>
          <t>유가증권 매각·상환 수입</t>
        </is>
      </c>
      <c r="F239" s="20" t="n">
        <v>0</v>
      </c>
    </row>
    <row r="240">
      <c r="A240" s="18" t="inlineStr">
        <is>
          <t>정기예금 순증감</t>
        </is>
      </c>
      <c r="D240" s="20" t="n">
        <v>-781343</v>
      </c>
      <c r="F240" s="20" t="n">
        <v>61726</v>
      </c>
      <c r="H240" s="20" t="n">
        <v>328837</v>
      </c>
      <c r="J240" s="20" t="n">
        <v>-79334</v>
      </c>
      <c r="L240" s="20" t="n">
        <v>-188000</v>
      </c>
      <c r="N240" s="20" t="n">
        <v>-92034</v>
      </c>
      <c r="O240" s="20" t="n">
        <v>30289</v>
      </c>
      <c r="P240" s="20" t="n">
        <v>-22649</v>
      </c>
      <c r="Q240" s="20" t="n">
        <v>55116</v>
      </c>
      <c r="R240" s="20" t="n">
        <v>-127525</v>
      </c>
      <c r="S240" s="20" t="n">
        <v>-12334</v>
      </c>
      <c r="T240" s="20" t="n">
        <v>-40783</v>
      </c>
      <c r="U240" s="20" t="n">
        <v>9995</v>
      </c>
      <c r="V240" s="20" t="n">
        <v>-781343</v>
      </c>
      <c r="W240" s="20" t="n">
        <v>328837</v>
      </c>
      <c r="X240" s="20" t="n">
        <v>-188000</v>
      </c>
    </row>
    <row r="241">
      <c r="A241" s="18" t="inlineStr">
        <is>
          <t>유가증권 순증감액</t>
        </is>
      </c>
      <c r="D241" s="20" t="n">
        <v>36065</v>
      </c>
      <c r="F241" s="20" t="n">
        <v>0</v>
      </c>
      <c r="H241" s="20" t="n">
        <v>-3227</v>
      </c>
      <c r="J241" s="20" t="n">
        <v>-6355</v>
      </c>
      <c r="L241" s="20" t="n">
        <v>5657</v>
      </c>
      <c r="N241" s="20" t="n">
        <v>950</v>
      </c>
      <c r="O241" s="20" t="n">
        <v>112380</v>
      </c>
      <c r="P241" s="20" t="n">
        <v>-44439</v>
      </c>
      <c r="Q241" s="20" t="n">
        <v>-1169</v>
      </c>
      <c r="R241" s="20" t="n">
        <v>-1063</v>
      </c>
      <c r="S241" s="20" t="n">
        <v>-5145</v>
      </c>
      <c r="T241" s="20" t="n">
        <v>-6402</v>
      </c>
      <c r="U241" s="20" t="n">
        <v>106394</v>
      </c>
      <c r="V241" s="20" t="n">
        <v>36065</v>
      </c>
      <c r="W241" s="20" t="n">
        <v>-3227</v>
      </c>
      <c r="X241" s="20" t="n">
        <v>5657</v>
      </c>
    </row>
    <row r="242">
      <c r="A242" s="18" t="inlineStr">
        <is>
          <t>투자유가증권 취득</t>
        </is>
      </c>
      <c r="D242" s="20" t="n">
        <v>-2646</v>
      </c>
      <c r="F242" s="20" t="n">
        <v>-4746</v>
      </c>
      <c r="H242" s="20" t="n">
        <v>-6066</v>
      </c>
      <c r="J242" s="20" t="n">
        <v>-1742</v>
      </c>
      <c r="L242" s="20" t="n">
        <v>-4787</v>
      </c>
      <c r="N242" s="20" t="n">
        <v>-1730</v>
      </c>
      <c r="O242" s="20" t="n">
        <v>-1613</v>
      </c>
      <c r="P242" s="20" t="n">
        <v>-7516</v>
      </c>
      <c r="Q242" s="20" t="n">
        <v>-2563</v>
      </c>
      <c r="R242" s="20" t="n">
        <v>-6520</v>
      </c>
      <c r="S242" s="20" t="n">
        <v>-3616</v>
      </c>
      <c r="T242" s="20" t="n">
        <v>-8099</v>
      </c>
      <c r="U242" s="20" t="n">
        <v>-9032</v>
      </c>
      <c r="V242" s="20" t="n">
        <v>-2646</v>
      </c>
      <c r="W242" s="20" t="n">
        <v>-6066</v>
      </c>
      <c r="X242" s="20" t="n">
        <v>-4787</v>
      </c>
    </row>
    <row r="243">
      <c r="A243" s="18" t="inlineStr">
        <is>
          <t>투자유가증권 매각·상환 수입</t>
        </is>
      </c>
      <c r="D243" s="20" t="n">
        <v>26581</v>
      </c>
      <c r="F243" s="20" t="n">
        <v>3162</v>
      </c>
      <c r="H243" s="20" t="n">
        <v>22785</v>
      </c>
      <c r="J243" s="20" t="n">
        <v>14953</v>
      </c>
      <c r="L243" s="20" t="n">
        <v>15937</v>
      </c>
      <c r="N243" s="20" t="n">
        <v>7125</v>
      </c>
      <c r="O243" s="20" t="n">
        <v>53</v>
      </c>
      <c r="P243" s="20" t="n">
        <v>5026</v>
      </c>
      <c r="Q243" s="20" t="n">
        <v>434</v>
      </c>
      <c r="R243" s="20" t="n">
        <v>12606</v>
      </c>
      <c r="S243" s="20" t="n">
        <v>3471</v>
      </c>
      <c r="T243" s="20" t="n">
        <v>389</v>
      </c>
      <c r="U243" s="20" t="n">
        <v>5097</v>
      </c>
      <c r="V243" s="20" t="n">
        <v>26581</v>
      </c>
      <c r="W243" s="20" t="n">
        <v>22785</v>
      </c>
      <c r="X243" s="20" t="n">
        <v>15937</v>
      </c>
    </row>
    <row r="244">
      <c r="A244" s="18" t="inlineStr">
        <is>
          <t>연결범위 변경 자회사 주식 취득</t>
        </is>
      </c>
      <c r="D244" s="20" t="n">
        <v>0</v>
      </c>
      <c r="F244" s="20" t="n">
        <v>-33411</v>
      </c>
      <c r="H244" s="20" t="n">
        <v>-47232</v>
      </c>
      <c r="J244" s="20" t="n">
        <v>0</v>
      </c>
      <c r="L244" s="20" t="n">
        <v>0</v>
      </c>
      <c r="S244" s="20" t="n">
        <v>0</v>
      </c>
      <c r="T244" s="20" t="n">
        <v>-3552</v>
      </c>
      <c r="U244" s="20" t="n">
        <v>0</v>
      </c>
      <c r="V244" s="20" t="n">
        <v>0</v>
      </c>
      <c r="W244" s="20" t="n">
        <v>-47232</v>
      </c>
      <c r="X244" s="20" t="n">
        <v>0</v>
      </c>
    </row>
    <row r="245">
      <c r="A245" s="18" t="inlineStr">
        <is>
          <t>유형자산 취득(설비투자)</t>
        </is>
      </c>
      <c r="D245" s="20" t="n">
        <v>-374417</v>
      </c>
      <c r="F245" s="20" t="n">
        <v>-257851</v>
      </c>
      <c r="H245" s="20" t="n">
        <v>-439473</v>
      </c>
      <c r="J245" s="20" t="n">
        <v>-213920</v>
      </c>
      <c r="L245" s="20" t="n">
        <v>-353620</v>
      </c>
      <c r="N245" s="20" t="n">
        <v>-169121</v>
      </c>
      <c r="O245" s="20" t="n">
        <v>-134897</v>
      </c>
      <c r="P245" s="20" t="n">
        <v>-162311</v>
      </c>
      <c r="Q245" s="20" t="n">
        <v>-226768</v>
      </c>
      <c r="R245" s="20" t="n">
        <v>-268365</v>
      </c>
      <c r="S245" s="20" t="n">
        <v>-236195</v>
      </c>
      <c r="T245" s="20" t="n">
        <v>-195775</v>
      </c>
      <c r="U245" s="20" t="n">
        <v>-295517</v>
      </c>
      <c r="V245" s="20" t="n">
        <v>-374417</v>
      </c>
      <c r="W245" s="20" t="n">
        <v>-439473</v>
      </c>
      <c r="X245" s="20" t="n">
        <v>-353620</v>
      </c>
    </row>
    <row r="246">
      <c r="A246" s="18" t="inlineStr">
        <is>
          <t>무형자산 취득</t>
        </is>
      </c>
      <c r="D246" s="20" t="n">
        <v>-3061</v>
      </c>
      <c r="H246" s="20" t="n">
        <v>-3364</v>
      </c>
      <c r="L246" s="20" t="n">
        <v>-2330</v>
      </c>
      <c r="O246" s="20" t="n">
        <v>-1377</v>
      </c>
      <c r="P246" s="20" t="n">
        <v>-1407</v>
      </c>
      <c r="Q246" s="20" t="n">
        <v>-1334</v>
      </c>
      <c r="R246" s="20" t="n">
        <v>-1063</v>
      </c>
      <c r="S246" s="20" t="n">
        <v>-1177</v>
      </c>
      <c r="T246" s="20" t="n">
        <v>-1781</v>
      </c>
      <c r="U246" s="20" t="n">
        <v>-3850</v>
      </c>
      <c r="V246" s="20" t="n">
        <v>-3061</v>
      </c>
      <c r="W246" s="20" t="n">
        <v>-3364</v>
      </c>
      <c r="X246" s="20" t="n">
        <v>-2330</v>
      </c>
    </row>
    <row r="247">
      <c r="A247" s="18" t="inlineStr">
        <is>
          <t>기타</t>
        </is>
      </c>
      <c r="D247" s="20" t="n">
        <v>-387</v>
      </c>
      <c r="F247" s="20" t="n">
        <v>-4114</v>
      </c>
      <c r="H247" s="20" t="n">
        <v>5187</v>
      </c>
      <c r="J247" s="20" t="n">
        <v>-14302</v>
      </c>
      <c r="L247" s="20" t="n">
        <v>-17663</v>
      </c>
      <c r="N247" s="20" t="n">
        <v>-1752</v>
      </c>
      <c r="O247" s="20" t="n">
        <v>-3553</v>
      </c>
      <c r="P247" s="20" t="n">
        <v>-4305</v>
      </c>
      <c r="Q247" s="20" t="n">
        <v>-5269</v>
      </c>
      <c r="R247" s="20" t="n">
        <v>-2615</v>
      </c>
      <c r="S247" s="20" t="n">
        <v>4278</v>
      </c>
      <c r="T247" s="20" t="n">
        <v>2281</v>
      </c>
      <c r="U247" s="20" t="n">
        <v>424</v>
      </c>
      <c r="V247" s="20" t="n">
        <v>-387</v>
      </c>
      <c r="W247" s="20" t="n">
        <v>5187</v>
      </c>
      <c r="X247" s="20" t="n">
        <v>-17663</v>
      </c>
    </row>
    <row r="248">
      <c r="A248" s="9" t="inlineStr">
        <is>
          <t>투자활동 현금흐름</t>
        </is>
      </c>
      <c r="D248" s="12" t="n">
        <v>-1099208</v>
      </c>
      <c r="F248" s="12" t="n">
        <v>-235235</v>
      </c>
      <c r="H248" s="12" t="n">
        <v>-142553</v>
      </c>
      <c r="J248" s="12" t="n">
        <v>-300701</v>
      </c>
      <c r="L248" s="12" t="n">
        <v>-544806</v>
      </c>
      <c r="N248" s="12" t="n">
        <v>-256562</v>
      </c>
      <c r="O248" s="12" t="n">
        <v>1281</v>
      </c>
      <c r="P248" s="12" t="n">
        <v>-237602</v>
      </c>
      <c r="Q248" s="12" t="n">
        <v>-181553</v>
      </c>
      <c r="R248" s="12" t="n">
        <v>-394547</v>
      </c>
      <c r="S248" s="12" t="n">
        <v>-250719</v>
      </c>
      <c r="T248" s="12" t="n">
        <v>-253723</v>
      </c>
      <c r="U248" s="12" t="n">
        <v>-186488</v>
      </c>
      <c r="V248" s="12" t="n">
        <v>-1099208</v>
      </c>
      <c r="W248" s="12" t="n">
        <v>-142553</v>
      </c>
      <c r="X248" s="12" t="n">
        <v>-544806</v>
      </c>
    </row>
    <row r="249">
      <c r="A249" s="18" t="inlineStr">
        <is>
          <t>단기차입금 순증감</t>
        </is>
      </c>
      <c r="D249" s="20" t="n">
        <v>-1531</v>
      </c>
      <c r="F249" s="20" t="n">
        <v>501</v>
      </c>
      <c r="H249" s="20" t="n">
        <v>2843</v>
      </c>
      <c r="J249" s="20" t="n">
        <v>-864</v>
      </c>
      <c r="L249" s="20" t="n">
        <v>-1767</v>
      </c>
      <c r="N249" s="20" t="n">
        <v>-1755</v>
      </c>
      <c r="O249" s="20" t="n">
        <v>520</v>
      </c>
      <c r="P249" s="20" t="n">
        <v>-114</v>
      </c>
      <c r="Q249" s="20" t="n">
        <v>-298</v>
      </c>
      <c r="R249" s="20" t="n">
        <v>1265</v>
      </c>
      <c r="S249" s="20" t="n">
        <v>701</v>
      </c>
      <c r="T249" s="20" t="n">
        <v>-1100</v>
      </c>
      <c r="U249" s="20" t="n">
        <v>-1521</v>
      </c>
      <c r="V249" s="20" t="n">
        <v>-1531</v>
      </c>
      <c r="W249" s="20" t="n">
        <v>2843</v>
      </c>
      <c r="X249" s="20" t="n">
        <v>-1767</v>
      </c>
    </row>
    <row r="250">
      <c r="A250" s="18" t="inlineStr">
        <is>
          <t>장기차입</t>
        </is>
      </c>
      <c r="D250" s="20" t="n">
        <v>23</v>
      </c>
      <c r="F250" s="20" t="n">
        <v>456</v>
      </c>
      <c r="H250" s="20" t="n">
        <v>1223</v>
      </c>
      <c r="J250" s="20" t="n">
        <v>230010</v>
      </c>
      <c r="L250" s="20" t="n">
        <v>230010</v>
      </c>
      <c r="N250" s="20" t="n">
        <v>161050</v>
      </c>
      <c r="O250" s="20" t="n">
        <v>25</v>
      </c>
      <c r="P250" s="20" t="n">
        <v>2012</v>
      </c>
      <c r="Q250" s="20" t="n">
        <v>51</v>
      </c>
      <c r="R250" s="20" t="n">
        <v>8384</v>
      </c>
      <c r="S250" s="20" t="n">
        <v>4578</v>
      </c>
      <c r="T250" s="20" t="n">
        <v>4677</v>
      </c>
      <c r="U250" s="20" t="n">
        <v>5000</v>
      </c>
      <c r="V250" s="20" t="n">
        <v>23</v>
      </c>
      <c r="W250" s="20" t="n">
        <v>1223</v>
      </c>
      <c r="X250" s="20" t="n">
        <v>230010</v>
      </c>
    </row>
    <row r="251">
      <c r="A251" s="18" t="inlineStr">
        <is>
          <t>장기차입금 상환</t>
        </is>
      </c>
      <c r="D251" s="20" t="n">
        <v>-5109</v>
      </c>
      <c r="F251" s="20" t="n">
        <v>-6730</v>
      </c>
      <c r="H251" s="20" t="n">
        <v>-12637</v>
      </c>
      <c r="J251" s="20" t="n">
        <v>-1343</v>
      </c>
      <c r="L251" s="20" t="n">
        <v>-1593</v>
      </c>
      <c r="N251" s="20" t="n">
        <v>-1086</v>
      </c>
      <c r="O251" s="20" t="n">
        <v>-212</v>
      </c>
      <c r="P251" s="20" t="n">
        <v>-792</v>
      </c>
      <c r="Q251" s="20" t="n">
        <v>-227</v>
      </c>
      <c r="R251" s="20" t="n">
        <v>-743</v>
      </c>
      <c r="S251" s="20" t="n">
        <v>-796</v>
      </c>
      <c r="T251" s="20" t="n">
        <v>-3041</v>
      </c>
      <c r="U251" s="20" t="n">
        <v>-6029</v>
      </c>
      <c r="V251" s="20" t="n">
        <v>-5109</v>
      </c>
      <c r="W251" s="20" t="n">
        <v>-12637</v>
      </c>
      <c r="X251" s="20" t="n">
        <v>-1593</v>
      </c>
    </row>
    <row r="252">
      <c r="A252" s="18" t="inlineStr">
        <is>
          <t>자기주식 취득</t>
        </is>
      </c>
      <c r="D252" s="20" t="n">
        <v>-107742</v>
      </c>
      <c r="F252" s="20" t="n">
        <v>-100003</v>
      </c>
      <c r="H252" s="20" t="n">
        <v>-193988</v>
      </c>
      <c r="J252" s="20" t="n">
        <v>-400002</v>
      </c>
      <c r="L252" s="20" t="n">
        <v>-500006</v>
      </c>
      <c r="N252" s="20" t="n">
        <v>-250002</v>
      </c>
      <c r="O252" s="20" t="n">
        <v>-19</v>
      </c>
      <c r="P252" s="20" t="n">
        <v>-30</v>
      </c>
      <c r="Q252" s="20" t="n">
        <v>-89475</v>
      </c>
      <c r="R252" s="20" t="n">
        <v>-10566</v>
      </c>
      <c r="S252" s="20" t="n">
        <v>-10657</v>
      </c>
      <c r="T252" s="20" t="n">
        <v>-5954</v>
      </c>
      <c r="U252" s="20" t="n">
        <v>-206788</v>
      </c>
      <c r="V252" s="20" t="n">
        <v>-107742</v>
      </c>
      <c r="W252" s="20" t="n">
        <v>-193988</v>
      </c>
      <c r="X252" s="20" t="n">
        <v>-500006</v>
      </c>
    </row>
    <row r="253">
      <c r="A253" s="18" t="inlineStr">
        <is>
          <t>배당금 지급</t>
        </is>
      </c>
      <c r="D253" s="20" t="n">
        <v>-211242</v>
      </c>
      <c r="F253" s="20" t="n">
        <v>-99802</v>
      </c>
      <c r="H253" s="20" t="n">
        <v>-204724</v>
      </c>
      <c r="J253" s="20" t="n">
        <v>-103886</v>
      </c>
      <c r="L253" s="20" t="n">
        <v>-203162</v>
      </c>
      <c r="N253" s="20" t="n">
        <v>-98405</v>
      </c>
      <c r="O253" s="20" t="n">
        <v>-48987</v>
      </c>
      <c r="P253" s="20" t="n">
        <v>-53301</v>
      </c>
      <c r="Q253" s="20" t="n">
        <v>-74655</v>
      </c>
      <c r="R253" s="20" t="n">
        <v>-87410</v>
      </c>
      <c r="S253" s="20" t="n">
        <v>-91420</v>
      </c>
      <c r="T253" s="20" t="n">
        <v>-120481</v>
      </c>
      <c r="U253" s="20" t="n">
        <v>-195365</v>
      </c>
      <c r="V253" s="20" t="n">
        <v>-211242</v>
      </c>
      <c r="W253" s="20" t="n">
        <v>-204724</v>
      </c>
      <c r="X253" s="20" t="n">
        <v>-203162</v>
      </c>
    </row>
    <row r="254">
      <c r="A254" s="18" t="inlineStr">
        <is>
          <t>기타</t>
        </is>
      </c>
      <c r="D254" s="20" t="n">
        <v>-43864</v>
      </c>
      <c r="F254" s="20" t="n">
        <v>-24714</v>
      </c>
      <c r="H254" s="20" t="n">
        <v>-47623</v>
      </c>
      <c r="J254" s="20" t="n">
        <v>-27231</v>
      </c>
      <c r="L254" s="20" t="n">
        <v>-28317</v>
      </c>
      <c r="N254" s="20" t="n">
        <v>-20009</v>
      </c>
      <c r="O254" s="20" t="n">
        <v>11474</v>
      </c>
      <c r="P254" s="20" t="n">
        <v>2219</v>
      </c>
      <c r="Q254" s="20" t="n">
        <v>66</v>
      </c>
      <c r="R254" s="20" t="n">
        <v>-4985</v>
      </c>
      <c r="S254" s="20" t="n">
        <v>6470</v>
      </c>
      <c r="T254" s="20" t="n">
        <v>3396</v>
      </c>
      <c r="U254" s="20" t="n">
        <v>-18854</v>
      </c>
      <c r="V254" s="20" t="n">
        <v>-43864</v>
      </c>
      <c r="W254" s="20" t="n">
        <v>-47623</v>
      </c>
      <c r="X254" s="20" t="n">
        <v>-28317</v>
      </c>
    </row>
    <row r="255">
      <c r="A255" s="9" t="inlineStr">
        <is>
          <t>재무활동 현금흐름</t>
        </is>
      </c>
      <c r="D255" s="12" t="n">
        <v>-369466</v>
      </c>
      <c r="F255" s="12" t="n">
        <v>-230293</v>
      </c>
      <c r="H255" s="12" t="n">
        <v>-454905</v>
      </c>
      <c r="J255" s="12" t="n">
        <v>-303317</v>
      </c>
      <c r="L255" s="12" t="n">
        <v>-504835</v>
      </c>
      <c r="N255" s="12" t="n">
        <v>-210209</v>
      </c>
      <c r="O255" s="12" t="n">
        <v>-37199</v>
      </c>
      <c r="P255" s="12" t="n">
        <v>-50006</v>
      </c>
      <c r="Q255" s="12" t="n">
        <v>-164538</v>
      </c>
      <c r="R255" s="12" t="n">
        <v>-94055</v>
      </c>
      <c r="S255" s="12" t="n">
        <v>-91123</v>
      </c>
      <c r="T255" s="12" t="n">
        <v>-122504</v>
      </c>
      <c r="U255" s="12" t="n">
        <v>-423559</v>
      </c>
      <c r="V255" s="12" t="n">
        <v>-369466</v>
      </c>
      <c r="W255" s="12" t="n">
        <v>-454905</v>
      </c>
      <c r="X255" s="12" t="n">
        <v>-504835</v>
      </c>
    </row>
    <row r="256">
      <c r="A256" s="18" t="inlineStr">
        <is>
          <t>현금성자산 환산차이</t>
        </is>
      </c>
      <c r="D256" s="20" t="n">
        <v>56283</v>
      </c>
      <c r="F256" s="20" t="n">
        <v>27577</v>
      </c>
      <c r="H256" s="20" t="n">
        <v>8125</v>
      </c>
      <c r="J256" s="20" t="n">
        <v>-5662</v>
      </c>
      <c r="L256" s="20" t="n">
        <v>16343</v>
      </c>
      <c r="N256" s="20" t="n">
        <v>8184</v>
      </c>
      <c r="O256" s="20" t="n">
        <v>-13584</v>
      </c>
      <c r="P256" s="20" t="n">
        <v>1626</v>
      </c>
      <c r="Q256" s="20" t="n">
        <v>-7917</v>
      </c>
      <c r="R256" s="20" t="n">
        <v>-7001</v>
      </c>
      <c r="S256" s="20" t="n">
        <v>-2861</v>
      </c>
      <c r="T256" s="20" t="n">
        <v>29963</v>
      </c>
      <c r="U256" s="20" t="n">
        <v>60454</v>
      </c>
      <c r="V256" s="20" t="n">
        <v>56283</v>
      </c>
      <c r="W256" s="20" t="n">
        <v>8125</v>
      </c>
      <c r="X256" s="20" t="n">
        <v>16343</v>
      </c>
    </row>
    <row r="257">
      <c r="A257" s="18" t="inlineStr">
        <is>
          <t>현금성자산 증감</t>
        </is>
      </c>
      <c r="D257" s="20" t="n">
        <v>-657208</v>
      </c>
      <c r="F257" s="20" t="n">
        <v>13937</v>
      </c>
      <c r="H257" s="20" t="n">
        <v>292600</v>
      </c>
      <c r="J257" s="20" t="n">
        <v>-262614</v>
      </c>
      <c r="L257" s="20" t="n">
        <v>-320646</v>
      </c>
      <c r="N257" s="20" t="n">
        <v>-47830</v>
      </c>
      <c r="O257" s="20" t="n">
        <v>241369</v>
      </c>
      <c r="P257" s="20" t="n">
        <v>46792</v>
      </c>
      <c r="Q257" s="20" t="n">
        <v>46678</v>
      </c>
      <c r="R257" s="20" t="n">
        <v>-83220</v>
      </c>
      <c r="S257" s="20" t="n">
        <v>56471</v>
      </c>
      <c r="T257" s="20" t="n">
        <v>207263</v>
      </c>
      <c r="U257" s="20" t="n">
        <v>238419</v>
      </c>
      <c r="V257" s="20" t="n">
        <v>-657208</v>
      </c>
      <c r="W257" s="20" t="n">
        <v>292600</v>
      </c>
      <c r="X257" s="20" t="n">
        <v>-320646</v>
      </c>
    </row>
    <row r="258">
      <c r="A258" s="18" t="inlineStr">
        <is>
          <t>연결범위 변경에 따른 현금성자산 증감</t>
        </is>
      </c>
      <c r="O258" s="20" t="n">
        <v>4332</v>
      </c>
      <c r="P258" s="20" t="n">
        <v>350</v>
      </c>
      <c r="Q258" s="20" t="n">
        <v>1217</v>
      </c>
      <c r="R258" s="20" t="n">
        <v>0</v>
      </c>
    </row>
    <row r="259">
      <c r="A259" s="18" t="inlineStr">
        <is>
          <t>신규 연결 현금성자산 증가</t>
        </is>
      </c>
      <c r="S259" s="20" t="n">
        <v>0</v>
      </c>
      <c r="T259" s="20" t="n">
        <v>64</v>
      </c>
      <c r="U259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신에쓰화학공업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2923096</v>
      </c>
      <c r="D5" s="12" t="n">
        <v>2964096</v>
      </c>
      <c r="E5" s="12" t="n">
        <v>3106055</v>
      </c>
      <c r="F5" s="12" t="n">
        <v>3143576</v>
      </c>
      <c r="G5" s="12" t="n">
        <v>3297654</v>
      </c>
      <c r="H5" s="11" t="n">
        <v>2437975</v>
      </c>
      <c r="I5" s="12" t="n">
        <v>2863524</v>
      </c>
      <c r="J5" s="12" t="n">
        <v>3036509</v>
      </c>
      <c r="K5" s="12" t="n">
        <v>3209652</v>
      </c>
      <c r="L5" s="12" t="n">
        <v>3106055</v>
      </c>
    </row>
    <row r="6">
      <c r="A6" s="18" t="inlineStr">
        <is>
          <t>현금및현금성자산</t>
        </is>
      </c>
      <c r="B6" s="10" t="n"/>
      <c r="C6" s="19" t="n">
        <v>1494104</v>
      </c>
      <c r="D6" s="20" t="n">
        <v>1485976</v>
      </c>
      <c r="E6" s="20" t="n">
        <v>1660060</v>
      </c>
      <c r="F6" s="20" t="n">
        <v>1654261</v>
      </c>
      <c r="G6" s="20" t="n">
        <v>1751095</v>
      </c>
      <c r="H6" s="19" t="n">
        <v>1112775</v>
      </c>
      <c r="I6" s="20" t="n">
        <v>1449617</v>
      </c>
      <c r="J6" s="20" t="n">
        <v>1698999</v>
      </c>
      <c r="K6" s="20" t="n">
        <v>1708438</v>
      </c>
      <c r="L6" s="20" t="n">
        <v>1660060</v>
      </c>
    </row>
    <row r="7">
      <c r="A7" s="18" t="inlineStr">
        <is>
          <t>단기금융상품</t>
        </is>
      </c>
      <c r="B7" s="10" t="n"/>
      <c r="C7" s="19" t="n">
        <v>49869</v>
      </c>
      <c r="D7" s="20" t="n">
        <v>12393</v>
      </c>
      <c r="E7" s="20" t="n">
        <v>7035</v>
      </c>
      <c r="F7" s="20" t="n">
        <v>1842</v>
      </c>
      <c r="G7" s="20" t="n">
        <v>1869</v>
      </c>
      <c r="H7" s="19" t="n">
        <v>323305</v>
      </c>
      <c r="I7" s="20" t="n">
        <v>151031</v>
      </c>
      <c r="J7" s="20" t="n">
        <v>20710</v>
      </c>
      <c r="K7" s="20" t="n">
        <v>103240</v>
      </c>
      <c r="L7" s="20" t="n">
        <v>7035</v>
      </c>
    </row>
    <row r="8">
      <c r="A8" s="18" t="inlineStr">
        <is>
          <t>매출채권</t>
        </is>
      </c>
      <c r="B8" s="10" t="n"/>
      <c r="C8" s="19" t="n">
        <v>559584</v>
      </c>
      <c r="D8" s="20" t="n">
        <v>594104</v>
      </c>
      <c r="E8" s="20" t="n">
        <v>535383</v>
      </c>
      <c r="F8" s="20" t="n">
        <v>572536</v>
      </c>
      <c r="G8" s="20" t="n">
        <v>633061</v>
      </c>
      <c r="H8" s="19" t="n">
        <v>473513</v>
      </c>
      <c r="I8" s="20" t="n">
        <v>472557</v>
      </c>
      <c r="J8" s="20" t="n">
        <v>481812</v>
      </c>
      <c r="K8" s="20" t="n">
        <v>514702</v>
      </c>
      <c r="L8" s="20" t="n">
        <v>535383</v>
      </c>
    </row>
    <row r="9">
      <c r="A9" s="18" t="inlineStr">
        <is>
          <t>재고자산</t>
        </is>
      </c>
      <c r="B9" s="10" t="n"/>
      <c r="C9" s="19" t="n">
        <v>736326</v>
      </c>
      <c r="D9" s="20" t="n">
        <v>760021</v>
      </c>
      <c r="E9" s="20" t="n">
        <v>790911</v>
      </c>
      <c r="F9" s="20" t="n">
        <v>769057</v>
      </c>
      <c r="G9" s="20" t="n">
        <v>816089</v>
      </c>
      <c r="H9" s="19" t="n">
        <v>453660</v>
      </c>
      <c r="I9" s="20" t="n">
        <v>688477</v>
      </c>
      <c r="J9" s="20" t="n">
        <v>720646</v>
      </c>
      <c r="K9" s="20" t="n">
        <v>769967</v>
      </c>
      <c r="L9" s="20" t="n">
        <v>790911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2433621</v>
      </c>
      <c r="D11" s="12" t="n">
        <v>2487255</v>
      </c>
      <c r="E11" s="12" t="n">
        <v>2555852</v>
      </c>
      <c r="F11" s="12" t="n">
        <v>2619377</v>
      </c>
      <c r="G11" s="12" t="n">
        <v>2658244</v>
      </c>
      <c r="H11" s="11" t="n">
        <v>1615436</v>
      </c>
      <c r="I11" s="12" t="n">
        <v>1866870</v>
      </c>
      <c r="J11" s="12" t="n">
        <v>2111465</v>
      </c>
      <c r="K11" s="12" t="n">
        <v>2426949</v>
      </c>
      <c r="L11" s="12" t="n">
        <v>2555852</v>
      </c>
    </row>
    <row r="12">
      <c r="A12" s="18" t="inlineStr">
        <is>
          <t>유형자산</t>
        </is>
      </c>
      <c r="B12" s="10" t="n"/>
      <c r="C12" s="19" t="n">
        <v>2061434</v>
      </c>
      <c r="D12" s="20" t="n">
        <v>2106129</v>
      </c>
      <c r="E12" s="20" t="n">
        <v>2153287</v>
      </c>
      <c r="F12" s="20" t="n">
        <v>2209497</v>
      </c>
      <c r="G12" s="20" t="n">
        <v>2247847</v>
      </c>
      <c r="H12" s="19" t="n">
        <v>1290165</v>
      </c>
      <c r="I12" s="20" t="n">
        <v>1518190</v>
      </c>
      <c r="J12" s="20" t="n">
        <v>1746577</v>
      </c>
      <c r="K12" s="20" t="n">
        <v>2065945</v>
      </c>
      <c r="L12" s="20" t="n">
        <v>2153287</v>
      </c>
    </row>
    <row r="13">
      <c r="A13" s="18" t="inlineStr">
        <is>
          <t>무형자산</t>
        </is>
      </c>
      <c r="B13" s="10" t="n"/>
      <c r="C13" s="19" t="n">
        <v>36122</v>
      </c>
      <c r="D13" s="20" t="n">
        <v>35229</v>
      </c>
      <c r="E13" s="20" t="n">
        <v>34695</v>
      </c>
      <c r="F13" s="20" t="n">
        <v>34012</v>
      </c>
      <c r="G13" s="20" t="n">
        <v>33276</v>
      </c>
      <c r="H13" s="19" t="n">
        <v>10535</v>
      </c>
      <c r="I13" s="20" t="n">
        <v>10351</v>
      </c>
      <c r="J13" s="20" t="n">
        <v>10195</v>
      </c>
      <c r="K13" s="20" t="n">
        <v>36908</v>
      </c>
      <c r="L13" s="20" t="n">
        <v>34695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5356717</v>
      </c>
      <c r="D16" s="12" t="n">
        <v>5451351</v>
      </c>
      <c r="E16" s="12" t="n">
        <v>5661907</v>
      </c>
      <c r="F16" s="12" t="n">
        <v>5762953</v>
      </c>
      <c r="G16" s="12" t="n">
        <v>5955899</v>
      </c>
      <c r="H16" s="11" t="n">
        <v>4053412</v>
      </c>
      <c r="I16" s="12" t="n">
        <v>4730394</v>
      </c>
      <c r="J16" s="12" t="n">
        <v>5147974</v>
      </c>
      <c r="K16" s="12" t="n">
        <v>5636601</v>
      </c>
      <c r="L16" s="12" t="n">
        <v>5661907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495661</v>
      </c>
      <c r="D18" s="12" t="n">
        <v>473203</v>
      </c>
      <c r="E18" s="12" t="n">
        <v>522631</v>
      </c>
      <c r="F18" s="12" t="n">
        <v>515967</v>
      </c>
      <c r="G18" s="12" t="n">
        <v>607727</v>
      </c>
      <c r="H18" s="11" t="n">
        <v>477759</v>
      </c>
      <c r="I18" s="12" t="n">
        <v>507810</v>
      </c>
      <c r="J18" s="12" t="n">
        <v>520395</v>
      </c>
      <c r="K18" s="12" t="n">
        <v>537094</v>
      </c>
      <c r="L18" s="12" t="n">
        <v>522631</v>
      </c>
    </row>
    <row r="19">
      <c r="A19" s="18" t="inlineStr">
        <is>
          <t>매입채무</t>
        </is>
      </c>
      <c r="B19" s="10" t="n"/>
      <c r="C19" s="19" t="n">
        <v>172012</v>
      </c>
      <c r="D19" s="20" t="n">
        <v>183487</v>
      </c>
      <c r="E19" s="20" t="n">
        <v>176399</v>
      </c>
      <c r="F19" s="20" t="n">
        <v>168013</v>
      </c>
      <c r="G19" s="20" t="n">
        <v>192695</v>
      </c>
      <c r="H19" s="19" t="n">
        <v>177682</v>
      </c>
      <c r="I19" s="20" t="n">
        <v>185006</v>
      </c>
      <c r="J19" s="20" t="n">
        <v>161364</v>
      </c>
      <c r="K19" s="20" t="n">
        <v>184369</v>
      </c>
      <c r="L19" s="20" t="n">
        <v>176399</v>
      </c>
    </row>
    <row r="20">
      <c r="A20" s="18" t="inlineStr">
        <is>
          <t>단기차입금</t>
        </is>
      </c>
      <c r="B20" s="10" t="n"/>
      <c r="C20" s="19" t="n">
        <v>7642</v>
      </c>
      <c r="D20" s="20" t="n">
        <v>7127</v>
      </c>
      <c r="E20" s="20" t="n">
        <v>6929</v>
      </c>
      <c r="F20" s="20" t="n">
        <v>23999</v>
      </c>
      <c r="G20" s="20" t="n">
        <v>4163</v>
      </c>
      <c r="H20" s="19" t="n">
        <v>13461</v>
      </c>
      <c r="I20" s="20" t="n">
        <v>10998</v>
      </c>
      <c r="J20" s="20" t="n">
        <v>10386</v>
      </c>
      <c r="K20" s="20" t="n">
        <v>9389</v>
      </c>
      <c r="L20" s="20" t="n">
        <v>6929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479624</v>
      </c>
      <c r="D23" s="12" t="n">
        <v>488379</v>
      </c>
      <c r="E23" s="12" t="n">
        <v>495969</v>
      </c>
      <c r="F23" s="12" t="n">
        <v>502202</v>
      </c>
      <c r="G23" s="12" t="n">
        <v>659809</v>
      </c>
      <c r="H23" s="11" t="n">
        <v>146444</v>
      </c>
      <c r="I23" s="12" t="n">
        <v>196375</v>
      </c>
      <c r="J23" s="12" t="n">
        <v>203505</v>
      </c>
      <c r="K23" s="12" t="n">
        <v>261922</v>
      </c>
      <c r="L23" s="12" t="n">
        <v>495969</v>
      </c>
    </row>
    <row r="24">
      <c r="A24" s="18" t="inlineStr">
        <is>
          <t>장기차입금</t>
        </is>
      </c>
      <c r="B24" s="10" t="n"/>
      <c r="C24" s="19" t="n">
        <v>236273</v>
      </c>
      <c r="D24" s="20" t="n">
        <v>236303</v>
      </c>
      <c r="E24" s="20" t="n">
        <v>236366</v>
      </c>
      <c r="F24" s="20" t="n">
        <v>236368</v>
      </c>
      <c r="G24" s="20" t="n">
        <v>397437</v>
      </c>
      <c r="H24" s="19" t="n">
        <v>16940</v>
      </c>
      <c r="I24" s="20" t="n">
        <v>18812</v>
      </c>
      <c r="J24" s="20" t="n">
        <v>13913</v>
      </c>
      <c r="K24" s="20" t="n">
        <v>7452</v>
      </c>
      <c r="L24" s="20" t="n">
        <v>236366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975286</v>
      </c>
      <c r="D27" s="12" t="n">
        <v>961583</v>
      </c>
      <c r="E27" s="12" t="n">
        <v>1018600</v>
      </c>
      <c r="F27" s="12" t="n">
        <v>1018170</v>
      </c>
      <c r="G27" s="12" t="n">
        <v>1267536</v>
      </c>
      <c r="H27" s="11" t="n">
        <v>624204</v>
      </c>
      <c r="I27" s="12" t="n">
        <v>704185</v>
      </c>
      <c r="J27" s="12" t="n">
        <v>723901</v>
      </c>
      <c r="K27" s="12" t="n">
        <v>799016</v>
      </c>
      <c r="L27" s="12" t="n">
        <v>1018600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4216794</v>
      </c>
      <c r="D31" s="12" t="n">
        <v>4316289</v>
      </c>
      <c r="E31" s="12" t="n">
        <v>4456834</v>
      </c>
      <c r="F31" s="12" t="n">
        <v>4551432</v>
      </c>
      <c r="G31" s="12" t="n">
        <v>4503344</v>
      </c>
      <c r="H31" s="11" t="n">
        <v>3326565</v>
      </c>
      <c r="I31" s="12" t="n">
        <v>3870396</v>
      </c>
      <c r="J31" s="12" t="n">
        <v>4257924</v>
      </c>
      <c r="K31" s="12" t="n">
        <v>4656236</v>
      </c>
      <c r="L31" s="12" t="n">
        <v>4456834</v>
      </c>
    </row>
    <row r="32">
      <c r="A32" s="18" t="inlineStr">
        <is>
          <t>자본금</t>
        </is>
      </c>
      <c r="B32" s="10" t="n"/>
      <c r="C32" s="19" t="n">
        <v>119419</v>
      </c>
      <c r="D32" s="20" t="n">
        <v>119419</v>
      </c>
      <c r="E32" s="20" t="n">
        <v>119419</v>
      </c>
      <c r="F32" s="20" t="n">
        <v>119419</v>
      </c>
      <c r="G32" s="20" t="n">
        <v>119419</v>
      </c>
      <c r="H32" s="19" t="n">
        <v>119419</v>
      </c>
      <c r="I32" s="20" t="n">
        <v>119419</v>
      </c>
      <c r="J32" s="20" t="n">
        <v>119419</v>
      </c>
      <c r="K32" s="20" t="n">
        <v>119419</v>
      </c>
      <c r="L32" s="20" t="n">
        <v>119419</v>
      </c>
    </row>
    <row r="33">
      <c r="A33" s="18" t="inlineStr">
        <is>
          <t>이익잉여금</t>
        </is>
      </c>
      <c r="B33" s="10" t="n"/>
      <c r="C33" s="19" t="n">
        <v>3908589</v>
      </c>
      <c r="D33" s="20" t="n">
        <v>3933846</v>
      </c>
      <c r="E33" s="20" t="n">
        <v>4022591</v>
      </c>
      <c r="F33" s="20" t="n">
        <v>4043163</v>
      </c>
      <c r="G33" s="20" t="n">
        <v>4196069</v>
      </c>
      <c r="H33" s="19" t="n">
        <v>2993026</v>
      </c>
      <c r="I33" s="20" t="n">
        <v>3310205</v>
      </c>
      <c r="J33" s="20" t="n">
        <v>3520355</v>
      </c>
      <c r="K33" s="20" t="n">
        <v>3755274</v>
      </c>
      <c r="L33" s="20" t="n">
        <v>4022591</v>
      </c>
    </row>
    <row r="34">
      <c r="A34" s="18" t="inlineStr">
        <is>
          <t>비지배지분</t>
        </is>
      </c>
      <c r="B34" s="10" t="n"/>
      <c r="C34" s="19" t="n">
        <v>156455</v>
      </c>
      <c r="D34" s="20" t="n">
        <v>165375</v>
      </c>
      <c r="E34" s="20" t="n">
        <v>178877</v>
      </c>
      <c r="F34" s="20" t="n">
        <v>186183</v>
      </c>
      <c r="G34" s="20" t="n">
        <v>175828</v>
      </c>
      <c r="H34" s="19" t="n">
        <v>99910</v>
      </c>
      <c r="I34" s="20" t="n">
        <v>151999</v>
      </c>
      <c r="J34" s="20" t="n">
        <v>161308</v>
      </c>
      <c r="K34" s="20" t="n">
        <v>175112</v>
      </c>
      <c r="L34" s="20" t="n">
        <v>178877</v>
      </c>
    </row>
    <row r="35">
      <c r="A35" s="9" t="inlineStr">
        <is>
          <t>자본총계</t>
        </is>
      </c>
      <c r="B35" s="10" t="n"/>
      <c r="C35" s="11" t="n">
        <v>4381431</v>
      </c>
      <c r="D35" s="12" t="n">
        <v>4489768</v>
      </c>
      <c r="E35" s="12" t="n">
        <v>4643307</v>
      </c>
      <c r="F35" s="12" t="n">
        <v>4744783</v>
      </c>
      <c r="G35" s="12" t="n">
        <v>4688362</v>
      </c>
      <c r="H35" s="11" t="n">
        <v>3429208</v>
      </c>
      <c r="I35" s="12" t="n">
        <v>4026209</v>
      </c>
      <c r="J35" s="12" t="n">
        <v>4424073</v>
      </c>
      <c r="K35" s="12" t="n">
        <v>4837585</v>
      </c>
      <c r="L35" s="12" t="n">
        <v>4643307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777111</v>
      </c>
      <c r="D37" s="12" t="n"/>
      <c r="E37" s="12" t="n">
        <v>712651</v>
      </c>
      <c r="F37" s="12" t="n"/>
      <c r="G37" s="12" t="n">
        <v>776342</v>
      </c>
      <c r="H37" s="11" t="n">
        <v>553528</v>
      </c>
      <c r="I37" s="12" t="n">
        <v>788013</v>
      </c>
      <c r="J37" s="12" t="n">
        <v>755183</v>
      </c>
      <c r="K37" s="12" t="n">
        <v>881934</v>
      </c>
      <c r="L37" s="12" t="n">
        <v>712651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395542</v>
      </c>
      <c r="D38" s="20" t="n"/>
      <c r="E38" s="20" t="n">
        <v>355950</v>
      </c>
      <c r="F38" s="20" t="n"/>
      <c r="G38" s="20" t="n">
        <v>308821</v>
      </c>
      <c r="H38" s="19" t="n">
        <v>197556</v>
      </c>
      <c r="I38" s="20" t="n">
        <v>299367</v>
      </c>
      <c r="J38" s="20" t="n">
        <v>377478</v>
      </c>
      <c r="K38" s="20" t="n">
        <v>442837</v>
      </c>
      <c r="L38" s="20" t="n">
        <v>355950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208808</v>
      </c>
      <c r="D40" s="20" t="n"/>
      <c r="E40" s="20" t="n">
        <v>203162</v>
      </c>
      <c r="F40" s="20" t="n"/>
      <c r="G40" s="20" t="n">
        <v>197681</v>
      </c>
      <c r="H40" s="19" t="n">
        <v>120481</v>
      </c>
      <c r="I40" s="20" t="n">
        <v>195365</v>
      </c>
      <c r="J40" s="20" t="n">
        <v>211242</v>
      </c>
      <c r="K40" s="20" t="n">
        <v>204724</v>
      </c>
      <c r="L40" s="20" t="n">
        <v>203162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IFERROR((IF(COUNT('연간'!G37:J37)&lt;4,"",SUM('연간'!G37:J37)))/(IF(COUNT('연간'!G59:J59)&lt;4,"",SUM('연간'!G59:J59))),"")</f>
        <v/>
      </c>
      <c r="D48" s="31">
        <f>IFERROR((IF(COUNT('연간'!H37:K37)&lt;4,"",SUM('연간'!H37:K37)))/(IF(COUNT('연간'!H59:K59)&lt;4,"",SUM('연간'!H59:K59))),"")</f>
        <v/>
      </c>
      <c r="E48" s="31">
        <f>IFERROR((IF(COUNT('연간'!I37:L37)&lt;4,"",SUM('연간'!I37:L37)))/(IF(COUNT('연간'!I59:L59)&lt;4,"",SUM('연간'!I59:L59))),"")</f>
        <v/>
      </c>
      <c r="F48" s="31">
        <f>IFERROR((IF(COUNT('연간'!J37:M37)&lt;4,"",SUM('연간'!J37:M37)))/(IF(COUNT('연간'!J59:M59)&lt;4,"",SUM('연간'!J59:M59))),"")</f>
        <v/>
      </c>
      <c r="G48" s="31">
        <f>IFERROR((IF(COUNT('연간'!K37:N37)&lt;4,"",SUM('연간'!K37:N37)))/(IF(COUNT('연간'!K59:N59)&lt;4,"",SUM('연간'!K59:N59))),"")</f>
        <v/>
      </c>
      <c r="H48" s="30">
        <f>IFERROR(('연간'!T37)/('연간'!T59),"")</f>
        <v/>
      </c>
      <c r="I48" s="31">
        <f>IFERROR(('연간'!U37)/('연간'!U59),"")</f>
        <v/>
      </c>
      <c r="J48" s="31">
        <f>IFERROR(('연간'!V37)/('연간'!V59),"")</f>
        <v/>
      </c>
      <c r="K48" s="31">
        <f>IFERROR(('연간'!W37)/('연간'!W59),"")</f>
        <v/>
      </c>
      <c r="L48" s="31">
        <f>IFERROR(('연간'!X37)/('연간'!X59),"")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IFERROR(IF((IF(COUNT('연간'!G67:J67)&lt;4,"",SUM('연간'!G67:J67)))&lt;=0,"적자",C28/(IF(COUNT('연간'!G67:J67)&lt;4,"",SUM('연간'!G67:J67)))),"")</f>
        <v/>
      </c>
      <c r="D49" s="47">
        <f>IFERROR(IF((IF(COUNT('연간'!H67:K67)&lt;4,"",SUM('연간'!H67:K67)))&lt;=0,"적자",D28/(IF(COUNT('연간'!H67:K67)&lt;4,"",SUM('연간'!H67:K67)))),"")</f>
        <v/>
      </c>
      <c r="E49" s="47">
        <f>IFERROR(IF((IF(COUNT('연간'!I67:L67)&lt;4,"",SUM('연간'!I67:L67)))&lt;=0,"적자",E28/(IF(COUNT('연간'!I67:L67)&lt;4,"",SUM('연간'!I67:L67)))),"")</f>
        <v/>
      </c>
      <c r="F49" s="47">
        <f>IFERROR(IF((IF(COUNT('연간'!J67:M67)&lt;4,"",SUM('연간'!J67:M67)))&lt;=0,"적자",F28/(IF(COUNT('연간'!J67:M67)&lt;4,"",SUM('연간'!J67:M67)))),"")</f>
        <v/>
      </c>
      <c r="G49" s="47">
        <f>IFERROR(IF((IF(COUNT('연간'!K67:N67)&lt;4,"",SUM('연간'!K67:N67)))&lt;=0,"적자",G28/(IF(COUNT('연간'!K67:N67)&lt;4,"",SUM('연간'!K67:N67)))),"")</f>
        <v/>
      </c>
      <c r="H49" s="46">
        <f>IFERROR(IF(('연간'!T67)&lt;=0,"적자",H28/('연간'!T67)),"")</f>
        <v/>
      </c>
      <c r="I49" s="47">
        <f>IFERROR(IF(('연간'!U67)&lt;=0,"적자",I28/('연간'!U67)),"")</f>
        <v/>
      </c>
      <c r="J49" s="47">
        <f>IFERROR(IF(('연간'!V67)&lt;=0,"적자",J28/('연간'!V67)),"")</f>
        <v/>
      </c>
      <c r="K49" s="47">
        <f>IFERROR(IF(('연간'!W67)&lt;=0,"적자",K28/('연간'!W67)),"")</f>
        <v/>
      </c>
      <c r="L49" s="47">
        <f>IFERROR(IF(('연간'!X67)&lt;=0,"적자",L28/('연간'!X67)),"")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IFERROR((IF(COUNT('연간'!G67:J67)&lt;4,"",SUM('연간'!G67:J67)))/C31,"")</f>
        <v/>
      </c>
      <c r="D51" s="36">
        <f>IFERROR((IF(COUNT('연간'!H67:K67)&lt;4,"",SUM('연간'!H67:K67)))/D31,"")</f>
        <v/>
      </c>
      <c r="E51" s="36">
        <f>IFERROR((IF(COUNT('연간'!I67:L67)&lt;4,"",SUM('연간'!I67:L67)))/E31,"")</f>
        <v/>
      </c>
      <c r="F51" s="36">
        <f>IFERROR((IF(COUNT('연간'!J67:M67)&lt;4,"",SUM('연간'!J67:M67)))/F31,"")</f>
        <v/>
      </c>
      <c r="G51" s="36">
        <f>IFERROR((IF(COUNT('연간'!K67:N67)&lt;4,"",SUM('연간'!K67:N67)))/G31,"")</f>
        <v/>
      </c>
      <c r="H51" s="35">
        <f>IFERROR(('연간'!T67)/H31,"")</f>
        <v/>
      </c>
      <c r="I51" s="36">
        <f>IFERROR(('연간'!U67)/I31,"")</f>
        <v/>
      </c>
      <c r="J51" s="36">
        <f>IFERROR(('연간'!V67)/J31,"")</f>
        <v/>
      </c>
      <c r="K51" s="36">
        <f>IFERROR(('연간'!W67)/K31,"")</f>
        <v/>
      </c>
      <c r="L51" s="36">
        <f>IFERROR(('연간'!X67)/L31,"")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IFERROR((IF(COUNT('연간'!G65:J65)&lt;4,"",SUM('연간'!G65:J65)))/C16,"")</f>
        <v/>
      </c>
      <c r="D52" s="36">
        <f>IFERROR((IF(COUNT('연간'!H65:K65)&lt;4,"",SUM('연간'!H65:K65)))/D16,"")</f>
        <v/>
      </c>
      <c r="E52" s="36">
        <f>IFERROR((IF(COUNT('연간'!I65:L65)&lt;4,"",SUM('연간'!I65:L65)))/E16,"")</f>
        <v/>
      </c>
      <c r="F52" s="36">
        <f>IFERROR((IF(COUNT('연간'!J65:M65)&lt;4,"",SUM('연간'!J65:M65)))/F16,"")</f>
        <v/>
      </c>
      <c r="G52" s="36">
        <f>IFERROR((IF(COUNT('연간'!K65:N65)&lt;4,"",SUM('연간'!K65:N65)))/G16,"")</f>
        <v/>
      </c>
      <c r="H52" s="35">
        <f>IFERROR(('연간'!T65)/H16,"")</f>
        <v/>
      </c>
      <c r="I52" s="36">
        <f>IFERROR(('연간'!U65)/I16,"")</f>
        <v/>
      </c>
      <c r="J52" s="36">
        <f>IFERROR(('연간'!V65)/J16,"")</f>
        <v/>
      </c>
      <c r="K52" s="36">
        <f>IFERROR(('연간'!W65)/K16,"")</f>
        <v/>
      </c>
      <c r="L52" s="36">
        <f>IFERROR(('연간'!X65)/L16,"")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IFERROR((IF(COUNT('연간'!G37:J37)&lt;4,"",SUM('연간'!G37:J37)))*(1-0.3)/(C35+C29),"")</f>
        <v/>
      </c>
      <c r="D53" s="36">
        <f>IFERROR((IF(COUNT('연간'!H37:K37)&lt;4,"",SUM('연간'!H37:K37)))*(1-0.3)/(D35+D29),"")</f>
        <v/>
      </c>
      <c r="E53" s="36">
        <f>IFERROR((IF(COUNT('연간'!I37:L37)&lt;4,"",SUM('연간'!I37:L37)))*(1-0.3)/(E35+E29),"")</f>
        <v/>
      </c>
      <c r="F53" s="36">
        <f>IFERROR((IF(COUNT('연간'!J37:M37)&lt;4,"",SUM('연간'!J37:M37)))*(1-0.3)/(F35+F29),"")</f>
        <v/>
      </c>
      <c r="G53" s="36">
        <f>IFERROR((IF(COUNT('연간'!K37:N37)&lt;4,"",SUM('연간'!K37:N37)))*(1-0.3)/(G35+G29),"")</f>
        <v/>
      </c>
      <c r="H53" s="35">
        <f>IFERROR(('연간'!T37)*(1-0.3)/(H35+H29),"")</f>
        <v/>
      </c>
      <c r="I53" s="36">
        <f>IFERROR(('연간'!U37)*(1-0.3)/(I35+I29),"")</f>
        <v/>
      </c>
      <c r="J53" s="36">
        <f>IFERROR(('연간'!V37)*(1-0.3)/(J35+J29),"")</f>
        <v/>
      </c>
      <c r="K53" s="36">
        <f>IFERROR(('연간'!W37)*(1-0.3)/(K35+K29),"")</f>
        <v/>
      </c>
      <c r="L53" s="36">
        <f>IFERROR(('연간'!X37)*(1-0.3)/(L35+L29),"")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IFERROR((IF(COUNT('연간'!G31:J31)&lt;4,"",SUM('연간'!G31:J31)))/(IF(COUNT('연간'!G4:J4)&lt;4,"",SUM('연간'!G4:J4))),"")</f>
        <v/>
      </c>
      <c r="D54" s="36">
        <f>IFERROR((IF(COUNT('연간'!H31:K31)&lt;4,"",SUM('연간'!H31:K31)))/(IF(COUNT('연간'!H4:K4)&lt;4,"",SUM('연간'!H4:K4))),"")</f>
        <v/>
      </c>
      <c r="E54" s="36">
        <f>IFERROR((IF(COUNT('연간'!I31:L31)&lt;4,"",SUM('연간'!I31:L31)))/(IF(COUNT('연간'!I4:L4)&lt;4,"",SUM('연간'!I4:L4))),"")</f>
        <v/>
      </c>
      <c r="F54" s="36">
        <f>IFERROR((IF(COUNT('연간'!J31:M31)&lt;4,"",SUM('연간'!J31:M31)))/(IF(COUNT('연간'!J4:M4)&lt;4,"",SUM('연간'!J4:M4))),"")</f>
        <v/>
      </c>
      <c r="G54" s="36">
        <f>IFERROR((IF(COUNT('연간'!K31:N31)&lt;4,"",SUM('연간'!K31:N31)))/(IF(COUNT('연간'!K4:N4)&lt;4,"",SUM('연간'!K4:N4))),"")</f>
        <v/>
      </c>
      <c r="H54" s="35">
        <f>IFERROR(('연간'!T31)/('연간'!T4),"")</f>
        <v/>
      </c>
      <c r="I54" s="36">
        <f>IFERROR(('연간'!U31)/('연간'!U4),"")</f>
        <v/>
      </c>
      <c r="J54" s="36">
        <f>IFERROR(('연간'!V31)/('연간'!V4),"")</f>
        <v/>
      </c>
      <c r="K54" s="36">
        <f>IFERROR(('연간'!W31)/('연간'!W4),"")</f>
        <v/>
      </c>
      <c r="L54" s="36">
        <f>IFERROR(('연간'!X31)/('연간'!X4),"")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IFERROR((IF(COUNT('연간'!G37:J37)&lt;4,"",SUM('연간'!G37:J37)))/(IF(COUNT('연간'!G4:J4)&lt;4,"",SUM('연간'!G4:J4))),"")</f>
        <v/>
      </c>
      <c r="D55" s="36">
        <f>IFERROR((IF(COUNT('연간'!H37:K37)&lt;4,"",SUM('연간'!H37:K37)))/(IF(COUNT('연간'!H4:K4)&lt;4,"",SUM('연간'!H4:K4))),"")</f>
        <v/>
      </c>
      <c r="E55" s="36">
        <f>IFERROR((IF(COUNT('연간'!I37:L37)&lt;4,"",SUM('연간'!I37:L37)))/(IF(COUNT('연간'!I4:L4)&lt;4,"",SUM('연간'!I4:L4))),"")</f>
        <v/>
      </c>
      <c r="F55" s="36">
        <f>IFERROR((IF(COUNT('연간'!J37:M37)&lt;4,"",SUM('연간'!J37:M37)))/(IF(COUNT('연간'!J4:M4)&lt;4,"",SUM('연간'!J4:M4))),"")</f>
        <v/>
      </c>
      <c r="G55" s="36">
        <f>IFERROR((IF(COUNT('연간'!K37:N37)&lt;4,"",SUM('연간'!K37:N37)))/(IF(COUNT('연간'!K4:N4)&lt;4,"",SUM('연간'!K4:N4))),"")</f>
        <v/>
      </c>
      <c r="H55" s="35">
        <f>IFERROR(('연간'!T37)/('연간'!T4),"")</f>
        <v/>
      </c>
      <c r="I55" s="36">
        <f>IFERROR(('연간'!U37)/('연간'!U4),"")</f>
        <v/>
      </c>
      <c r="J55" s="36">
        <f>IFERROR(('연간'!V37)/('연간'!V4),"")</f>
        <v/>
      </c>
      <c r="K55" s="36">
        <f>IFERROR(('연간'!W37)/('연간'!W4),"")</f>
        <v/>
      </c>
      <c r="L55" s="36">
        <f>IFERROR(('연간'!X37)/('연간'!X4),"")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IFERROR((IF(COUNT('연간'!G65:J65)&lt;4,"",SUM('연간'!G65:J65)))/(IF(COUNT('연간'!G4:J4)&lt;4,"",SUM('연간'!G4:J4))),"")</f>
        <v/>
      </c>
      <c r="D56" s="36">
        <f>IFERROR((IF(COUNT('연간'!H65:K65)&lt;4,"",SUM('연간'!H65:K65)))/(IF(COUNT('연간'!H4:K4)&lt;4,"",SUM('연간'!H4:K4))),"")</f>
        <v/>
      </c>
      <c r="E56" s="36">
        <f>IFERROR((IF(COUNT('연간'!I65:L65)&lt;4,"",SUM('연간'!I65:L65)))/(IF(COUNT('연간'!I4:L4)&lt;4,"",SUM('연간'!I4:L4))),"")</f>
        <v/>
      </c>
      <c r="F56" s="36">
        <f>IFERROR((IF(COUNT('연간'!J65:M65)&lt;4,"",SUM('연간'!J65:M65)))/(IF(COUNT('연간'!J4:M4)&lt;4,"",SUM('연간'!J4:M4))),"")</f>
        <v/>
      </c>
      <c r="G56" s="36">
        <f>IFERROR((IF(COUNT('연간'!K65:N65)&lt;4,"",SUM('연간'!K65:N65)))/(IF(COUNT('연간'!K4:N4)&lt;4,"",SUM('연간'!K4:N4))),"")</f>
        <v/>
      </c>
      <c r="H56" s="35">
        <f>IFERROR(('연간'!T65)/('연간'!T4),"")</f>
        <v/>
      </c>
      <c r="I56" s="36">
        <f>IFERROR(('연간'!U65)/('연간'!U4),"")</f>
        <v/>
      </c>
      <c r="J56" s="36">
        <f>IFERROR(('연간'!V65)/('연간'!V4),"")</f>
        <v/>
      </c>
      <c r="K56" s="36">
        <f>IFERROR(('연간'!W65)/('연간'!W4),"")</f>
        <v/>
      </c>
      <c r="L56" s="36">
        <f>IFERROR(('연간'!X65)/('연간'!X4),"")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IFERROR(C9/(IF(COUNT('연간'!G29:J29)&lt;4,"",SUM('연간'!G29:J29)))*365,"")</f>
        <v/>
      </c>
      <c r="D60" s="49">
        <f>IFERROR(D9/(IF(COUNT('연간'!H29:K29)&lt;4,"",SUM('연간'!H29:K29)))*365,"")</f>
        <v/>
      </c>
      <c r="E60" s="49">
        <f>IFERROR(E9/(IF(COUNT('연간'!I29:L29)&lt;4,"",SUM('연간'!I29:L29)))*365,"")</f>
        <v/>
      </c>
      <c r="F60" s="49">
        <f>IFERROR(F9/(IF(COUNT('연간'!J29:M29)&lt;4,"",SUM('연간'!J29:M29)))*365,"")</f>
        <v/>
      </c>
      <c r="G60" s="49">
        <f>IFERROR(G9/(IF(COUNT('연간'!K29:N29)&lt;4,"",SUM('연간'!K29:N29)))*365,"")</f>
        <v/>
      </c>
      <c r="H60" s="48">
        <f>IFERROR(H9/('연간'!T29)*365,"")</f>
        <v/>
      </c>
      <c r="I60" s="49">
        <f>IFERROR(I9/('연간'!U29)*365,"")</f>
        <v/>
      </c>
      <c r="J60" s="49">
        <f>IFERROR(J9/('연간'!V29)*365,"")</f>
        <v/>
      </c>
      <c r="K60" s="49">
        <f>IFERROR(K9/('연간'!W29)*365,"")</f>
        <v/>
      </c>
      <c r="L60" s="49">
        <f>IFERROR(L9/('연간'!X29)*365,"")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IFERROR(C19/(IF(COUNT('연간'!G29:J29)&lt;4,"",SUM('연간'!G29:J29)))*365,"")</f>
        <v/>
      </c>
      <c r="D61" s="49">
        <f>IFERROR(D19/(IF(COUNT('연간'!H29:K29)&lt;4,"",SUM('연간'!H29:K29)))*365,"")</f>
        <v/>
      </c>
      <c r="E61" s="49">
        <f>IFERROR(E19/(IF(COUNT('연간'!I29:L29)&lt;4,"",SUM('연간'!I29:L29)))*365,"")</f>
        <v/>
      </c>
      <c r="F61" s="49">
        <f>IFERROR(F19/(IF(COUNT('연간'!J29:M29)&lt;4,"",SUM('연간'!J29:M29)))*365,"")</f>
        <v/>
      </c>
      <c r="G61" s="49">
        <f>IFERROR(G19/(IF(COUNT('연간'!K29:N29)&lt;4,"",SUM('연간'!K29:N29)))*365,"")</f>
        <v/>
      </c>
      <c r="H61" s="48">
        <f>IFERROR(H19/('연간'!T29)*365,"")</f>
        <v/>
      </c>
      <c r="I61" s="49">
        <f>IFERROR(I19/('연간'!U29)*365,"")</f>
        <v/>
      </c>
      <c r="J61" s="49">
        <f>IFERROR(J19/('연간'!V29)*365,"")</f>
        <v/>
      </c>
      <c r="K61" s="49">
        <f>IFERROR(K19/('연간'!W29)*365,"")</f>
        <v/>
      </c>
      <c r="L61" s="49">
        <f>IFERROR(L19/('연간'!X29)*365,"")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IF(C37="","",IFERROR(C37/(IF(COUNT('연간'!G65:J65)&lt;4,"",SUM('연간'!G65:J65))),""))</f>
        <v/>
      </c>
      <c r="D64" s="31">
        <f>IF(D37="","",IFERROR(D37/(IF(COUNT('연간'!H65:K65)&lt;4,"",SUM('연간'!H65:K65))),""))</f>
        <v/>
      </c>
      <c r="E64" s="31">
        <f>IF(E37="","",IFERROR(E37/(IF(COUNT('연간'!I65:L65)&lt;4,"",SUM('연간'!I65:L65))),""))</f>
        <v/>
      </c>
      <c r="F64" s="31">
        <f>IF(F37="","",IFERROR(F37/(IF(COUNT('연간'!J65:M65)&lt;4,"",SUM('연간'!J65:M65))),""))</f>
        <v/>
      </c>
      <c r="G64" s="31">
        <f>IF(G37="","",IFERROR(G37/(IF(COUNT('연간'!K65:N65)&lt;4,"",SUM('연간'!K65:N65))),""))</f>
        <v/>
      </c>
      <c r="H64" s="30">
        <f>IF(H37="","",IFERROR(H37/('연간'!T65),""))</f>
        <v/>
      </c>
      <c r="I64" s="31">
        <f>IF(I37="","",IFERROR(I37/('연간'!U65),""))</f>
        <v/>
      </c>
      <c r="J64" s="31">
        <f>IF(J37="","",IFERROR(J37/('연간'!V65),""))</f>
        <v/>
      </c>
      <c r="K64" s="31">
        <f>IF(K37="","",IFERROR(K37/('연간'!W65),""))</f>
        <v/>
      </c>
      <c r="L64" s="31">
        <f>IF(L37="","",IFERROR(L37/('연간'!X65),""))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IF(C40="","",IFERROR(C40/(IF(COUNT('연간'!G67:J67)&lt;4,"",SUM('연간'!G67:J67))),""))</f>
        <v/>
      </c>
      <c r="D67" s="36">
        <f>IF(D40="","",IFERROR(D40/(IF(COUNT('연간'!H67:K67)&lt;4,"",SUM('연간'!H67:K67))),""))</f>
        <v/>
      </c>
      <c r="E67" s="36">
        <f>IF(E40="","",IFERROR(E40/(IF(COUNT('연간'!I67:L67)&lt;4,"",SUM('연간'!I67:L67))),""))</f>
        <v/>
      </c>
      <c r="F67" s="36">
        <f>IF(F40="","",IFERROR(F40/(IF(COUNT('연간'!J67:M67)&lt;4,"",SUM('연간'!J67:M67))),""))</f>
        <v/>
      </c>
      <c r="G67" s="36">
        <f>IF(G40="","",IFERROR(G40/(IF(COUNT('연간'!K67:N67)&lt;4,"",SUM('연간'!K67:N67))),""))</f>
        <v/>
      </c>
      <c r="H67" s="35">
        <f>IF(H40="","",IFERROR(H40/('연간'!T67),""))</f>
        <v/>
      </c>
      <c r="I67" s="36">
        <f>IF(I40="","",IFERROR(I40/('연간'!U67),""))</f>
        <v/>
      </c>
      <c r="J67" s="36">
        <f>IF(J40="","",IFERROR(J40/('연간'!V67),""))</f>
        <v/>
      </c>
      <c r="K67" s="36">
        <f>IF(K40="","",IFERROR(K40/('연간'!W67),""))</f>
        <v/>
      </c>
      <c r="L67" s="36">
        <f>IF(L40="","",IFERROR(L40/('연간'!X67),""))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1494104</v>
      </c>
      <c r="D71" s="20" t="n">
        <v>1485976</v>
      </c>
      <c r="E71" s="20" t="n">
        <v>1660060</v>
      </c>
      <c r="F71" s="20" t="n">
        <v>1654261</v>
      </c>
      <c r="G71" s="20" t="n">
        <v>1751095</v>
      </c>
      <c r="H71" s="20" t="n">
        <v>1112775</v>
      </c>
      <c r="I71" s="20" t="n">
        <v>1449617</v>
      </c>
      <c r="J71" s="20" t="n">
        <v>1698999</v>
      </c>
      <c r="K71" s="20" t="n">
        <v>1708438</v>
      </c>
      <c r="L71" s="20" t="n">
        <v>1660060</v>
      </c>
    </row>
    <row r="72">
      <c r="A72" s="18" t="inlineStr">
        <is>
          <t>받을어음·매출채권</t>
        </is>
      </c>
      <c r="H72" s="20" t="n">
        <v>0</v>
      </c>
    </row>
    <row r="73">
      <c r="A73" s="18" t="inlineStr">
        <is>
          <t>받을어음·매출채권·계약자산</t>
        </is>
      </c>
      <c r="C73" s="20" t="n">
        <v>559584</v>
      </c>
      <c r="D73" s="20" t="n">
        <v>594104</v>
      </c>
      <c r="E73" s="20" t="n">
        <v>535383</v>
      </c>
      <c r="F73" s="20" t="n">
        <v>572536</v>
      </c>
      <c r="G73" s="20" t="n">
        <v>633061</v>
      </c>
      <c r="H73" s="20" t="n">
        <v>473513</v>
      </c>
      <c r="I73" s="20" t="n">
        <v>472557</v>
      </c>
      <c r="J73" s="20" t="n">
        <v>481812</v>
      </c>
      <c r="K73" s="20" t="n">
        <v>514702</v>
      </c>
      <c r="L73" s="20" t="n">
        <v>535383</v>
      </c>
    </row>
    <row r="74">
      <c r="A74" s="18" t="inlineStr">
        <is>
          <t>유가증권</t>
        </is>
      </c>
      <c r="C74" s="20" t="n">
        <v>49869</v>
      </c>
      <c r="D74" s="20" t="n">
        <v>12393</v>
      </c>
      <c r="E74" s="20" t="n">
        <v>7035</v>
      </c>
      <c r="F74" s="20" t="n">
        <v>1842</v>
      </c>
      <c r="G74" s="20" t="n">
        <v>1869</v>
      </c>
      <c r="H74" s="20" t="n">
        <v>323305</v>
      </c>
      <c r="I74" s="20" t="n">
        <v>151031</v>
      </c>
      <c r="J74" s="20" t="n">
        <v>20710</v>
      </c>
      <c r="K74" s="20" t="n">
        <v>103240</v>
      </c>
      <c r="L74" s="20" t="n">
        <v>7035</v>
      </c>
    </row>
    <row r="75">
      <c r="A75" s="18" t="inlineStr">
        <is>
          <t>재고자산</t>
        </is>
      </c>
      <c r="C75" s="20" t="n">
        <v>736326</v>
      </c>
      <c r="D75" s="20" t="n">
        <v>760021</v>
      </c>
      <c r="E75" s="20" t="n">
        <v>790911</v>
      </c>
      <c r="F75" s="20" t="n">
        <v>769057</v>
      </c>
      <c r="G75" s="20" t="n">
        <v>816089</v>
      </c>
      <c r="H75" s="20" t="n">
        <v>453660</v>
      </c>
      <c r="I75" s="20" t="n">
        <v>688477</v>
      </c>
      <c r="J75" s="20" t="n">
        <v>720646</v>
      </c>
      <c r="K75" s="20" t="n">
        <v>769967</v>
      </c>
      <c r="L75" s="20" t="n">
        <v>790911</v>
      </c>
    </row>
    <row r="76">
      <c r="A76" s="18" t="inlineStr">
        <is>
          <t>기타</t>
        </is>
      </c>
      <c r="C76" s="20" t="n">
        <v>94554</v>
      </c>
      <c r="D76" s="20" t="n">
        <v>124401</v>
      </c>
      <c r="E76" s="20" t="n">
        <v>126156</v>
      </c>
      <c r="F76" s="20" t="n">
        <v>156850</v>
      </c>
      <c r="G76" s="20" t="n">
        <v>106691</v>
      </c>
      <c r="H76" s="20" t="n">
        <v>80539</v>
      </c>
      <c r="I76" s="20" t="n">
        <v>107535</v>
      </c>
      <c r="J76" s="20" t="n">
        <v>121389</v>
      </c>
      <c r="K76" s="20" t="n">
        <v>123243</v>
      </c>
      <c r="L76" s="20" t="n">
        <v>126156</v>
      </c>
    </row>
    <row r="77">
      <c r="A77" s="18" t="inlineStr">
        <is>
          <t>대손충당금</t>
        </is>
      </c>
      <c r="C77" s="20" t="n">
        <v>-11342</v>
      </c>
      <c r="D77" s="20" t="n">
        <v>-12800</v>
      </c>
      <c r="E77" s="20" t="n">
        <v>-13491</v>
      </c>
      <c r="F77" s="20" t="n">
        <v>-10971</v>
      </c>
      <c r="G77" s="20" t="n">
        <v>-11151</v>
      </c>
      <c r="H77" s="20" t="n">
        <v>-5818</v>
      </c>
      <c r="I77" s="20" t="n">
        <v>-5695</v>
      </c>
      <c r="J77" s="20" t="n">
        <v>-7049</v>
      </c>
      <c r="K77" s="20" t="n">
        <v>-9941</v>
      </c>
      <c r="L77" s="20" t="n">
        <v>-13491</v>
      </c>
    </row>
    <row r="78">
      <c r="A78" s="9" t="inlineStr">
        <is>
          <t>유동자산 합계</t>
        </is>
      </c>
      <c r="C78" s="12" t="n">
        <v>2923096</v>
      </c>
      <c r="D78" s="12" t="n">
        <v>2964096</v>
      </c>
      <c r="E78" s="12" t="n">
        <v>3106055</v>
      </c>
      <c r="F78" s="12" t="n">
        <v>3143576</v>
      </c>
      <c r="G78" s="12" t="n">
        <v>3297654</v>
      </c>
      <c r="H78" s="12" t="n">
        <v>2437975</v>
      </c>
      <c r="I78" s="12" t="n">
        <v>2863524</v>
      </c>
      <c r="J78" s="12" t="n">
        <v>3036509</v>
      </c>
      <c r="K78" s="12" t="n">
        <v>3209652</v>
      </c>
      <c r="L78" s="12" t="n">
        <v>3106055</v>
      </c>
    </row>
    <row r="79">
      <c r="A79" s="18" t="inlineStr">
        <is>
          <t>건물·구축물(순액)</t>
        </is>
      </c>
      <c r="E79" s="20" t="n">
        <v>432855</v>
      </c>
      <c r="H79" s="20" t="n">
        <v>246154</v>
      </c>
      <c r="I79" s="20" t="n">
        <v>282756</v>
      </c>
      <c r="J79" s="20" t="n">
        <v>290086</v>
      </c>
      <c r="K79" s="20" t="n">
        <v>377786</v>
      </c>
      <c r="L79" s="20" t="n">
        <v>432855</v>
      </c>
    </row>
    <row r="80">
      <c r="A80" s="18" t="inlineStr">
        <is>
          <t>기계장치·운반구(순액)</t>
        </is>
      </c>
      <c r="C80" s="20" t="n">
        <v>1002930</v>
      </c>
      <c r="D80" s="20" t="n">
        <v>1024264</v>
      </c>
      <c r="E80" s="20" t="n">
        <v>1044095</v>
      </c>
      <c r="F80" s="20" t="n">
        <v>1061143</v>
      </c>
      <c r="G80" s="20" t="n">
        <v>1071430</v>
      </c>
      <c r="H80" s="20" t="n">
        <v>788524</v>
      </c>
      <c r="I80" s="20" t="n">
        <v>877848</v>
      </c>
      <c r="J80" s="20" t="n">
        <v>860903</v>
      </c>
      <c r="K80" s="20" t="n">
        <v>1081151</v>
      </c>
      <c r="L80" s="20" t="n">
        <v>1044095</v>
      </c>
    </row>
    <row r="81">
      <c r="A81" s="18" t="inlineStr">
        <is>
          <t>토지</t>
        </is>
      </c>
      <c r="E81" s="20" t="n">
        <v>126977</v>
      </c>
      <c r="H81" s="20" t="n">
        <v>94043</v>
      </c>
      <c r="I81" s="20" t="n">
        <v>103350</v>
      </c>
      <c r="J81" s="20" t="n">
        <v>108611</v>
      </c>
      <c r="K81" s="20" t="n">
        <v>119195</v>
      </c>
      <c r="L81" s="20" t="n">
        <v>126977</v>
      </c>
    </row>
    <row r="82">
      <c r="A82" s="18" t="inlineStr">
        <is>
          <t>건설중인자산</t>
        </is>
      </c>
      <c r="E82" s="20" t="n">
        <v>514796</v>
      </c>
      <c r="H82" s="20" t="n">
        <v>140162</v>
      </c>
      <c r="I82" s="20" t="n">
        <v>224247</v>
      </c>
      <c r="J82" s="20" t="n">
        <v>454975</v>
      </c>
      <c r="K82" s="20" t="n">
        <v>451088</v>
      </c>
      <c r="L82" s="20" t="n">
        <v>514796</v>
      </c>
    </row>
    <row r="83">
      <c r="A83" s="18" t="inlineStr">
        <is>
          <t>기타(순액)</t>
        </is>
      </c>
      <c r="C83" s="20" t="n">
        <v>1058503</v>
      </c>
      <c r="D83" s="20" t="n">
        <v>1081864</v>
      </c>
      <c r="E83" s="20" t="n">
        <v>1109192</v>
      </c>
      <c r="F83" s="20" t="n">
        <v>1148354</v>
      </c>
      <c r="G83" s="20" t="n">
        <v>1176416</v>
      </c>
      <c r="H83" s="20" t="n">
        <v>21280</v>
      </c>
      <c r="I83" s="20" t="n">
        <v>29986</v>
      </c>
      <c r="J83" s="20" t="n">
        <v>32000</v>
      </c>
      <c r="K83" s="20" t="n">
        <v>36723</v>
      </c>
      <c r="L83" s="20" t="n">
        <v>1109192</v>
      </c>
    </row>
    <row r="84">
      <c r="A84" s="18" t="inlineStr">
        <is>
          <t>유형자산 합계</t>
        </is>
      </c>
      <c r="C84" s="20" t="n">
        <v>2061434</v>
      </c>
      <c r="D84" s="20" t="n">
        <v>2106129</v>
      </c>
      <c r="E84" s="20" t="n">
        <v>2153287</v>
      </c>
      <c r="F84" s="20" t="n">
        <v>2209497</v>
      </c>
      <c r="G84" s="20" t="n">
        <v>2247847</v>
      </c>
      <c r="H84" s="20" t="n">
        <v>1290165</v>
      </c>
      <c r="I84" s="20" t="n">
        <v>1518190</v>
      </c>
      <c r="J84" s="20" t="n">
        <v>1746577</v>
      </c>
      <c r="K84" s="20" t="n">
        <v>2065945</v>
      </c>
      <c r="L84" s="20" t="n">
        <v>2153287</v>
      </c>
    </row>
    <row r="85">
      <c r="A85" s="18" t="inlineStr">
        <is>
          <t>무형자산</t>
        </is>
      </c>
      <c r="C85" s="20" t="n">
        <v>36122</v>
      </c>
      <c r="D85" s="20" t="n">
        <v>35229</v>
      </c>
      <c r="E85" s="20" t="n">
        <v>34695</v>
      </c>
      <c r="F85" s="20" t="n">
        <v>34012</v>
      </c>
      <c r="G85" s="20" t="n">
        <v>33276</v>
      </c>
      <c r="H85" s="20" t="n">
        <v>10535</v>
      </c>
      <c r="I85" s="20" t="n">
        <v>10351</v>
      </c>
      <c r="J85" s="20" t="n">
        <v>10195</v>
      </c>
      <c r="K85" s="20" t="n">
        <v>36908</v>
      </c>
      <c r="L85" s="20" t="n">
        <v>34695</v>
      </c>
    </row>
    <row r="86">
      <c r="A86" s="18" t="inlineStr">
        <is>
          <t>투자유가증권</t>
        </is>
      </c>
      <c r="E86" s="20" t="n">
        <v>151829</v>
      </c>
      <c r="H86" s="20" t="n">
        <v>161338</v>
      </c>
      <c r="I86" s="20" t="n">
        <v>171110</v>
      </c>
      <c r="J86" s="20" t="n">
        <v>183758</v>
      </c>
      <c r="K86" s="20" t="n">
        <v>134632</v>
      </c>
      <c r="L86" s="20" t="n">
        <v>151829</v>
      </c>
    </row>
    <row r="87">
      <c r="A87" s="18" t="inlineStr">
        <is>
          <t>이연법인세자산</t>
        </is>
      </c>
      <c r="E87" s="20" t="n">
        <v>99001</v>
      </c>
      <c r="H87" s="20" t="n">
        <v>65594</v>
      </c>
      <c r="I87" s="20" t="n">
        <v>75028</v>
      </c>
      <c r="J87" s="20" t="n">
        <v>71284</v>
      </c>
      <c r="K87" s="20" t="n">
        <v>90153</v>
      </c>
      <c r="L87" s="20" t="n">
        <v>99001</v>
      </c>
    </row>
    <row r="88">
      <c r="A88" s="18" t="inlineStr">
        <is>
          <t>기타</t>
        </is>
      </c>
      <c r="E88" s="20" t="n">
        <v>121656</v>
      </c>
      <c r="H88" s="20" t="n">
        <v>93624</v>
      </c>
      <c r="I88" s="20" t="n">
        <v>98241</v>
      </c>
      <c r="J88" s="20" t="n">
        <v>105777</v>
      </c>
      <c r="K88" s="20" t="n">
        <v>104537</v>
      </c>
      <c r="L88" s="20" t="n">
        <v>121656</v>
      </c>
    </row>
    <row r="89">
      <c r="A89" s="18" t="inlineStr">
        <is>
          <t>투자 및 기타자산</t>
        </is>
      </c>
      <c r="C89" s="20" t="n">
        <v>341305</v>
      </c>
      <c r="D89" s="20" t="n">
        <v>351423</v>
      </c>
      <c r="E89" s="20" t="n">
        <v>372487</v>
      </c>
      <c r="F89" s="20" t="n">
        <v>380572</v>
      </c>
      <c r="G89" s="20" t="n">
        <v>381695</v>
      </c>
      <c r="H89" s="20" t="n">
        <v>320557</v>
      </c>
      <c r="I89" s="20" t="n">
        <v>344380</v>
      </c>
      <c r="J89" s="20" t="n">
        <v>360821</v>
      </c>
      <c r="K89" s="20" t="n">
        <v>329324</v>
      </c>
      <c r="L89" s="20" t="n">
        <v>372487</v>
      </c>
    </row>
    <row r="90">
      <c r="A90" s="18" t="inlineStr">
        <is>
          <t>대손충당금</t>
        </is>
      </c>
      <c r="C90" s="20" t="n">
        <v>-5240</v>
      </c>
      <c r="D90" s="20" t="n">
        <v>-5527</v>
      </c>
      <c r="E90" s="20" t="n">
        <v>-4618</v>
      </c>
      <c r="F90" s="20" t="n">
        <v>-4705</v>
      </c>
      <c r="G90" s="20" t="n">
        <v>-4574</v>
      </c>
      <c r="H90" s="20" t="n">
        <v>-5822</v>
      </c>
      <c r="I90" s="20" t="n">
        <v>-6051</v>
      </c>
      <c r="J90" s="20" t="n">
        <v>-6129</v>
      </c>
      <c r="K90" s="20" t="n">
        <v>-5228</v>
      </c>
      <c r="L90" s="20" t="n">
        <v>-4618</v>
      </c>
    </row>
    <row r="91">
      <c r="A91" s="18" t="inlineStr">
        <is>
          <t>투자 및 기타자산 합계</t>
        </is>
      </c>
      <c r="C91" s="20" t="n">
        <v>336065</v>
      </c>
      <c r="D91" s="20" t="n">
        <v>345896</v>
      </c>
      <c r="E91" s="20" t="n">
        <v>367868</v>
      </c>
      <c r="F91" s="20" t="n">
        <v>375866</v>
      </c>
      <c r="G91" s="20" t="n">
        <v>377121</v>
      </c>
      <c r="H91" s="20" t="n">
        <v>314734</v>
      </c>
      <c r="I91" s="20" t="n">
        <v>338328</v>
      </c>
      <c r="J91" s="20" t="n">
        <v>354692</v>
      </c>
      <c r="K91" s="20" t="n">
        <v>324095</v>
      </c>
      <c r="L91" s="20" t="n">
        <v>367868</v>
      </c>
    </row>
    <row r="92">
      <c r="A92" s="9" t="inlineStr">
        <is>
          <t>비유동자산 합계</t>
        </is>
      </c>
      <c r="C92" s="12" t="n">
        <v>2433621</v>
      </c>
      <c r="D92" s="12" t="n">
        <v>2487255</v>
      </c>
      <c r="E92" s="12" t="n">
        <v>2555852</v>
      </c>
      <c r="F92" s="12" t="n">
        <v>2619377</v>
      </c>
      <c r="G92" s="12" t="n">
        <v>2658244</v>
      </c>
      <c r="H92" s="12" t="n">
        <v>1615436</v>
      </c>
      <c r="I92" s="12" t="n">
        <v>1866870</v>
      </c>
      <c r="J92" s="12" t="n">
        <v>2111465</v>
      </c>
      <c r="K92" s="12" t="n">
        <v>2426949</v>
      </c>
      <c r="L92" s="12" t="n">
        <v>2555852</v>
      </c>
    </row>
    <row r="93">
      <c r="A93" s="9" t="inlineStr">
        <is>
          <t>자산 합계</t>
        </is>
      </c>
      <c r="C93" s="12" t="n">
        <v>5356717</v>
      </c>
      <c r="D93" s="12" t="n">
        <v>5451351</v>
      </c>
      <c r="E93" s="12" t="n">
        <v>5661907</v>
      </c>
      <c r="F93" s="12" t="n">
        <v>5762953</v>
      </c>
      <c r="G93" s="12" t="n">
        <v>5955899</v>
      </c>
      <c r="H93" s="12" t="n">
        <v>4053412</v>
      </c>
      <c r="I93" s="12" t="n">
        <v>4730394</v>
      </c>
      <c r="J93" s="12" t="n">
        <v>5147974</v>
      </c>
      <c r="K93" s="12" t="n">
        <v>5636601</v>
      </c>
      <c r="L93" s="12" t="n">
        <v>5661907</v>
      </c>
    </row>
    <row r="94">
      <c r="A94" s="18" t="inlineStr">
        <is>
          <t>지급어음·매입채무</t>
        </is>
      </c>
      <c r="C94" s="20" t="n">
        <v>172012</v>
      </c>
      <c r="D94" s="20" t="n">
        <v>183487</v>
      </c>
      <c r="E94" s="20" t="n">
        <v>176399</v>
      </c>
      <c r="F94" s="20" t="n">
        <v>168013</v>
      </c>
      <c r="G94" s="20" t="n">
        <v>192695</v>
      </c>
      <c r="H94" s="20" t="n">
        <v>177682</v>
      </c>
      <c r="I94" s="20" t="n">
        <v>185006</v>
      </c>
      <c r="J94" s="20" t="n">
        <v>161364</v>
      </c>
      <c r="K94" s="20" t="n">
        <v>184369</v>
      </c>
      <c r="L94" s="20" t="n">
        <v>176399</v>
      </c>
    </row>
    <row r="95">
      <c r="A95" s="18" t="inlineStr">
        <is>
          <t>단기차입금</t>
        </is>
      </c>
      <c r="C95" s="20" t="n">
        <v>7642</v>
      </c>
      <c r="D95" s="20" t="n">
        <v>7127</v>
      </c>
      <c r="E95" s="20" t="n">
        <v>6929</v>
      </c>
      <c r="F95" s="20" t="n">
        <v>23999</v>
      </c>
      <c r="G95" s="20" t="n">
        <v>4163</v>
      </c>
      <c r="H95" s="20" t="n">
        <v>13461</v>
      </c>
      <c r="I95" s="20" t="n">
        <v>10998</v>
      </c>
      <c r="J95" s="20" t="n">
        <v>10386</v>
      </c>
      <c r="K95" s="20" t="n">
        <v>9389</v>
      </c>
      <c r="L95" s="20" t="n">
        <v>6929</v>
      </c>
    </row>
    <row r="96">
      <c r="A96" s="18" t="inlineStr">
        <is>
          <t>미지급금</t>
        </is>
      </c>
      <c r="E96" s="20" t="n">
        <v>88557</v>
      </c>
      <c r="H96" s="20" t="n">
        <v>81350</v>
      </c>
      <c r="I96" s="20" t="n">
        <v>92187</v>
      </c>
      <c r="J96" s="20" t="n">
        <v>115148</v>
      </c>
      <c r="K96" s="20" t="n">
        <v>90181</v>
      </c>
      <c r="L96" s="20" t="n">
        <v>88557</v>
      </c>
    </row>
    <row r="97">
      <c r="A97" s="18" t="inlineStr">
        <is>
          <t>미지급비용</t>
        </is>
      </c>
      <c r="E97" s="20" t="n">
        <v>102356</v>
      </c>
      <c r="H97" s="20" t="n">
        <v>69197</v>
      </c>
      <c r="I97" s="20" t="n">
        <v>85567</v>
      </c>
      <c r="J97" s="20" t="n">
        <v>88680</v>
      </c>
      <c r="K97" s="20" t="n">
        <v>95749</v>
      </c>
      <c r="L97" s="20" t="n">
        <v>102356</v>
      </c>
    </row>
    <row r="98">
      <c r="A98" s="18" t="inlineStr">
        <is>
          <t>미지급법인세</t>
        </is>
      </c>
      <c r="C98" s="20" t="n">
        <v>77028</v>
      </c>
      <c r="E98" s="20" t="n">
        <v>89167</v>
      </c>
      <c r="G98" s="20" t="n">
        <v>103922</v>
      </c>
      <c r="H98" s="20" t="n">
        <v>73756</v>
      </c>
      <c r="I98" s="20" t="n">
        <v>65459</v>
      </c>
      <c r="J98" s="20" t="n">
        <v>73140</v>
      </c>
      <c r="K98" s="20" t="n">
        <v>84604</v>
      </c>
      <c r="L98" s="20" t="n">
        <v>89167</v>
      </c>
    </row>
    <row r="99">
      <c r="A99" s="18" t="inlineStr">
        <is>
          <t>충당금</t>
        </is>
      </c>
      <c r="C99" s="20" t="n">
        <v>6311</v>
      </c>
      <c r="D99" s="20" t="n">
        <v>6160</v>
      </c>
      <c r="E99" s="20" t="n">
        <v>6727</v>
      </c>
      <c r="F99" s="20" t="n">
        <v>5613</v>
      </c>
      <c r="G99" s="20" t="n">
        <v>6212</v>
      </c>
      <c r="H99" s="20" t="n">
        <v>4747</v>
      </c>
      <c r="I99" s="20" t="n">
        <v>4942</v>
      </c>
      <c r="J99" s="20" t="n">
        <v>5363</v>
      </c>
      <c r="K99" s="20" t="n">
        <v>6475</v>
      </c>
      <c r="L99" s="20" t="n">
        <v>6727</v>
      </c>
    </row>
    <row r="100">
      <c r="A100" s="18" t="inlineStr">
        <is>
          <t>기타</t>
        </is>
      </c>
      <c r="C100" s="20" t="n">
        <v>232665</v>
      </c>
      <c r="D100" s="20" t="n">
        <v>276427</v>
      </c>
      <c r="E100" s="20" t="n">
        <v>243407</v>
      </c>
      <c r="F100" s="20" t="n">
        <v>318340</v>
      </c>
      <c r="G100" s="20" t="n">
        <v>300733</v>
      </c>
      <c r="H100" s="20" t="n">
        <v>62309</v>
      </c>
      <c r="I100" s="20" t="n">
        <v>68590</v>
      </c>
      <c r="J100" s="20" t="n">
        <v>71676</v>
      </c>
      <c r="K100" s="20" t="n">
        <v>72800</v>
      </c>
      <c r="L100" s="20" t="n">
        <v>243407</v>
      </c>
    </row>
    <row r="101">
      <c r="A101" s="9" t="inlineStr">
        <is>
          <t>유동부채 합계</t>
        </is>
      </c>
      <c r="C101" s="12" t="n">
        <v>495661</v>
      </c>
      <c r="D101" s="12" t="n">
        <v>473203</v>
      </c>
      <c r="E101" s="12" t="n">
        <v>522631</v>
      </c>
      <c r="F101" s="12" t="n">
        <v>515967</v>
      </c>
      <c r="G101" s="12" t="n">
        <v>607727</v>
      </c>
      <c r="H101" s="12" t="n">
        <v>477759</v>
      </c>
      <c r="I101" s="12" t="n">
        <v>507810</v>
      </c>
      <c r="J101" s="12" t="n">
        <v>520395</v>
      </c>
      <c r="K101" s="12" t="n">
        <v>537094</v>
      </c>
      <c r="L101" s="12" t="n">
        <v>522631</v>
      </c>
    </row>
    <row r="102">
      <c r="A102" s="18" t="inlineStr">
        <is>
          <t>장기차입금</t>
        </is>
      </c>
      <c r="C102" s="20" t="n">
        <v>236273</v>
      </c>
      <c r="D102" s="20" t="n">
        <v>236303</v>
      </c>
      <c r="E102" s="20" t="n">
        <v>236366</v>
      </c>
      <c r="F102" s="20" t="n">
        <v>236368</v>
      </c>
      <c r="G102" s="20" t="n">
        <v>397437</v>
      </c>
      <c r="H102" s="20" t="n">
        <v>16940</v>
      </c>
      <c r="I102" s="20" t="n">
        <v>18812</v>
      </c>
      <c r="J102" s="20" t="n">
        <v>13913</v>
      </c>
      <c r="K102" s="20" t="n">
        <v>7452</v>
      </c>
      <c r="L102" s="20" t="n">
        <v>236366</v>
      </c>
    </row>
    <row r="103">
      <c r="A103" s="18" t="inlineStr">
        <is>
          <t>이연법인세부채</t>
        </is>
      </c>
      <c r="E103" s="20" t="n">
        <v>209216</v>
      </c>
      <c r="H103" s="20" t="n">
        <v>66833</v>
      </c>
      <c r="I103" s="20" t="n">
        <v>112246</v>
      </c>
      <c r="J103" s="20" t="n">
        <v>129262</v>
      </c>
      <c r="K103" s="20" t="n">
        <v>191813</v>
      </c>
      <c r="L103" s="20" t="n">
        <v>209216</v>
      </c>
    </row>
    <row r="104">
      <c r="A104" s="18" t="inlineStr">
        <is>
          <t>퇴직급여부채</t>
        </is>
      </c>
      <c r="C104" s="20" t="n">
        <v>34000</v>
      </c>
      <c r="D104" s="20" t="n">
        <v>34705</v>
      </c>
      <c r="E104" s="20" t="n">
        <v>25966</v>
      </c>
      <c r="F104" s="20" t="n">
        <v>26216</v>
      </c>
      <c r="G104" s="20" t="n">
        <v>26850</v>
      </c>
      <c r="H104" s="20" t="n">
        <v>41469</v>
      </c>
      <c r="I104" s="20" t="n">
        <v>36933</v>
      </c>
      <c r="J104" s="20" t="n">
        <v>32571</v>
      </c>
      <c r="K104" s="20" t="n">
        <v>33172</v>
      </c>
      <c r="L104" s="20" t="n">
        <v>25966</v>
      </c>
    </row>
    <row r="105">
      <c r="A105" s="18" t="inlineStr">
        <is>
          <t>기타</t>
        </is>
      </c>
      <c r="C105" s="20" t="n">
        <v>209350</v>
      </c>
      <c r="D105" s="20" t="n">
        <v>217370</v>
      </c>
      <c r="E105" s="20" t="n">
        <v>233637</v>
      </c>
      <c r="F105" s="20" t="n">
        <v>239617</v>
      </c>
      <c r="G105" s="20" t="n">
        <v>235520</v>
      </c>
      <c r="H105" s="20" t="n">
        <v>62670</v>
      </c>
      <c r="I105" s="20" t="n">
        <v>65315</v>
      </c>
      <c r="J105" s="20" t="n">
        <v>60329</v>
      </c>
      <c r="K105" s="20" t="n">
        <v>62655</v>
      </c>
      <c r="L105" s="20" t="n">
        <v>233637</v>
      </c>
    </row>
    <row r="106">
      <c r="A106" s="9" t="inlineStr">
        <is>
          <t>비유동부채 합계</t>
        </is>
      </c>
      <c r="C106" s="12" t="n">
        <v>479624</v>
      </c>
      <c r="D106" s="12" t="n">
        <v>488379</v>
      </c>
      <c r="E106" s="12" t="n">
        <v>495969</v>
      </c>
      <c r="F106" s="12" t="n">
        <v>502202</v>
      </c>
      <c r="G106" s="12" t="n">
        <v>659809</v>
      </c>
      <c r="H106" s="12" t="n">
        <v>146444</v>
      </c>
      <c r="I106" s="12" t="n">
        <v>196375</v>
      </c>
      <c r="J106" s="12" t="n">
        <v>203505</v>
      </c>
      <c r="K106" s="12" t="n">
        <v>261922</v>
      </c>
      <c r="L106" s="12" t="n">
        <v>495969</v>
      </c>
    </row>
    <row r="107">
      <c r="A107" s="9" t="inlineStr">
        <is>
          <t>부채 합계</t>
        </is>
      </c>
      <c r="C107" s="12" t="n">
        <v>975286</v>
      </c>
      <c r="D107" s="12" t="n">
        <v>961583</v>
      </c>
      <c r="E107" s="12" t="n">
        <v>1018600</v>
      </c>
      <c r="F107" s="12" t="n">
        <v>1018170</v>
      </c>
      <c r="G107" s="12" t="n">
        <v>1267536</v>
      </c>
      <c r="H107" s="12" t="n">
        <v>624204</v>
      </c>
      <c r="I107" s="12" t="n">
        <v>704185</v>
      </c>
      <c r="J107" s="12" t="n">
        <v>723901</v>
      </c>
      <c r="K107" s="12" t="n">
        <v>799016</v>
      </c>
      <c r="L107" s="12" t="n">
        <v>1018600</v>
      </c>
    </row>
    <row r="108">
      <c r="A108" s="18" t="inlineStr">
        <is>
          <t>자본금</t>
        </is>
      </c>
      <c r="C108" s="20" t="n">
        <v>119419</v>
      </c>
      <c r="D108" s="20" t="n">
        <v>119419</v>
      </c>
      <c r="E108" s="20" t="n">
        <v>119419</v>
      </c>
      <c r="F108" s="20" t="n">
        <v>119419</v>
      </c>
      <c r="G108" s="20" t="n">
        <v>119419</v>
      </c>
      <c r="H108" s="20" t="n">
        <v>119419</v>
      </c>
      <c r="I108" s="20" t="n">
        <v>119419</v>
      </c>
      <c r="J108" s="20" t="n">
        <v>119419</v>
      </c>
      <c r="K108" s="20" t="n">
        <v>119419</v>
      </c>
      <c r="L108" s="20" t="n">
        <v>119419</v>
      </c>
    </row>
    <row r="109">
      <c r="A109" s="18" t="inlineStr">
        <is>
          <t>자본잉여금</t>
        </is>
      </c>
      <c r="C109" s="20" t="n">
        <v>125697</v>
      </c>
      <c r="D109" s="20" t="n">
        <v>125597</v>
      </c>
      <c r="E109" s="20" t="n">
        <v>126256</v>
      </c>
      <c r="F109" s="20" t="n">
        <v>126247</v>
      </c>
      <c r="G109" s="20" t="n">
        <v>126245</v>
      </c>
      <c r="H109" s="20" t="n">
        <v>129090</v>
      </c>
      <c r="I109" s="20" t="n">
        <v>128320</v>
      </c>
      <c r="J109" s="20" t="n">
        <v>127894</v>
      </c>
      <c r="K109" s="20" t="n">
        <v>125694</v>
      </c>
      <c r="L109" s="20" t="n">
        <v>126256</v>
      </c>
    </row>
    <row r="110">
      <c r="A110" s="18" t="inlineStr">
        <is>
          <t>이익잉여금</t>
        </is>
      </c>
      <c r="C110" s="20" t="n">
        <v>3908589</v>
      </c>
      <c r="D110" s="20" t="n">
        <v>3933846</v>
      </c>
      <c r="E110" s="20" t="n">
        <v>4022591</v>
      </c>
      <c r="F110" s="20" t="n">
        <v>4043163</v>
      </c>
      <c r="G110" s="20" t="n">
        <v>4196069</v>
      </c>
      <c r="H110" s="20" t="n">
        <v>2993026</v>
      </c>
      <c r="I110" s="20" t="n">
        <v>3310205</v>
      </c>
      <c r="J110" s="20" t="n">
        <v>3520355</v>
      </c>
      <c r="K110" s="20" t="n">
        <v>3755274</v>
      </c>
      <c r="L110" s="20" t="n">
        <v>4022591</v>
      </c>
    </row>
    <row r="111">
      <c r="A111" s="18" t="inlineStr">
        <is>
          <t>자기주식</t>
        </is>
      </c>
      <c r="C111" s="20" t="n">
        <v>-519219</v>
      </c>
      <c r="D111" s="20" t="n">
        <v>-516902</v>
      </c>
      <c r="E111" s="20" t="n">
        <v>-612696</v>
      </c>
      <c r="F111" s="20" t="n">
        <v>-598452</v>
      </c>
      <c r="G111" s="20" t="n">
        <v>-844574</v>
      </c>
      <c r="H111" s="20" t="n">
        <v>-15702</v>
      </c>
      <c r="I111" s="20" t="n">
        <v>-22891</v>
      </c>
      <c r="J111" s="20" t="n">
        <v>-24292</v>
      </c>
      <c r="K111" s="20" t="n">
        <v>-121025</v>
      </c>
      <c r="L111" s="20" t="n">
        <v>-612696</v>
      </c>
    </row>
    <row r="112">
      <c r="A112" s="9" t="inlineStr">
        <is>
          <t>주주자본 합계</t>
        </is>
      </c>
      <c r="C112" s="12" t="n">
        <v>3634487</v>
      </c>
      <c r="D112" s="12" t="n">
        <v>3661960</v>
      </c>
      <c r="E112" s="12" t="n">
        <v>3655570</v>
      </c>
      <c r="F112" s="12" t="n">
        <v>3690378</v>
      </c>
      <c r="G112" s="12" t="n">
        <v>3597160</v>
      </c>
      <c r="H112" s="12" t="n">
        <v>3225834</v>
      </c>
      <c r="I112" s="12" t="n">
        <v>3535053</v>
      </c>
      <c r="J112" s="12" t="n">
        <v>3743377</v>
      </c>
      <c r="K112" s="12" t="n">
        <v>3879362</v>
      </c>
      <c r="L112" s="12" t="n">
        <v>3655570</v>
      </c>
    </row>
    <row r="113">
      <c r="A113" s="18" t="inlineStr">
        <is>
          <t>기타유가증권 평가차액</t>
        </is>
      </c>
      <c r="C113" s="20" t="n">
        <v>32710</v>
      </c>
      <c r="D113" s="20" t="n">
        <v>38145</v>
      </c>
      <c r="E113" s="20" t="n">
        <v>42390</v>
      </c>
      <c r="F113" s="20" t="n">
        <v>50696</v>
      </c>
      <c r="G113" s="20" t="n">
        <v>49114</v>
      </c>
      <c r="H113" s="20" t="n">
        <v>26841</v>
      </c>
      <c r="I113" s="20" t="n">
        <v>31511</v>
      </c>
      <c r="J113" s="20" t="n">
        <v>40518</v>
      </c>
      <c r="K113" s="20" t="n">
        <v>32481</v>
      </c>
      <c r="L113" s="20" t="n">
        <v>42390</v>
      </c>
    </row>
    <row r="114">
      <c r="A114" s="18" t="inlineStr">
        <is>
          <t>이연헤지손익</t>
        </is>
      </c>
      <c r="C114" s="20" t="n">
        <v>-341</v>
      </c>
      <c r="D114" s="20" t="n">
        <v>-1540</v>
      </c>
      <c r="E114" s="20" t="n">
        <v>-997</v>
      </c>
      <c r="F114" s="20" t="n">
        <v>-1684</v>
      </c>
      <c r="G114" s="20" t="n">
        <v>-319</v>
      </c>
      <c r="H114" s="20" t="n">
        <v>-2535</v>
      </c>
      <c r="I114" s="20" t="n">
        <v>-410</v>
      </c>
      <c r="J114" s="20" t="n">
        <v>-2919</v>
      </c>
      <c r="K114" s="20" t="n">
        <v>777</v>
      </c>
      <c r="L114" s="20" t="n">
        <v>-997</v>
      </c>
    </row>
    <row r="115">
      <c r="A115" s="18" t="inlineStr">
        <is>
          <t>해외사업환산조정</t>
        </is>
      </c>
      <c r="C115" s="20" t="n">
        <v>542883</v>
      </c>
      <c r="D115" s="20" t="n">
        <v>611610</v>
      </c>
      <c r="E115" s="20" t="n">
        <v>749285</v>
      </c>
      <c r="F115" s="20" t="n">
        <v>802696</v>
      </c>
      <c r="G115" s="20" t="n">
        <v>849134</v>
      </c>
      <c r="H115" s="20" t="n">
        <v>75374</v>
      </c>
      <c r="I115" s="20" t="n">
        <v>297855</v>
      </c>
      <c r="J115" s="20" t="n">
        <v>466438</v>
      </c>
      <c r="K115" s="20" t="n">
        <v>734201</v>
      </c>
      <c r="L115" s="20" t="n">
        <v>749285</v>
      </c>
    </row>
    <row r="116">
      <c r="A116" s="18" t="inlineStr">
        <is>
          <t>퇴직급여 조정누계액</t>
        </is>
      </c>
      <c r="C116" s="20" t="n">
        <v>7055</v>
      </c>
      <c r="D116" s="20" t="n">
        <v>6112</v>
      </c>
      <c r="E116" s="20" t="n">
        <v>10584</v>
      </c>
      <c r="F116" s="20" t="n">
        <v>9344</v>
      </c>
      <c r="G116" s="20" t="n">
        <v>8254</v>
      </c>
      <c r="H116" s="20" t="n">
        <v>1049</v>
      </c>
      <c r="I116" s="20" t="n">
        <v>6385</v>
      </c>
      <c r="J116" s="20" t="n">
        <v>10507</v>
      </c>
      <c r="K116" s="20" t="n">
        <v>9412</v>
      </c>
      <c r="L116" s="20" t="n">
        <v>10584</v>
      </c>
    </row>
    <row r="117">
      <c r="A117" s="18" t="inlineStr">
        <is>
          <t>기타포괄손익누계액 합계</t>
        </is>
      </c>
      <c r="C117" s="20" t="n">
        <v>582307</v>
      </c>
      <c r="D117" s="20" t="n">
        <v>654327</v>
      </c>
      <c r="E117" s="20" t="n">
        <v>801262</v>
      </c>
      <c r="F117" s="20" t="n">
        <v>861052</v>
      </c>
      <c r="G117" s="20" t="n">
        <v>906183</v>
      </c>
      <c r="H117" s="20" t="n">
        <v>100729</v>
      </c>
      <c r="I117" s="20" t="n">
        <v>335341</v>
      </c>
      <c r="J117" s="20" t="n">
        <v>514545</v>
      </c>
      <c r="K117" s="20" t="n">
        <v>776873</v>
      </c>
      <c r="L117" s="20" t="n">
        <v>801262</v>
      </c>
    </row>
    <row r="118">
      <c r="A118" s="18" t="inlineStr">
        <is>
          <t>신주예약권</t>
        </is>
      </c>
      <c r="C118" s="20" t="n">
        <v>8182</v>
      </c>
      <c r="D118" s="20" t="n">
        <v>8104</v>
      </c>
      <c r="E118" s="20" t="n">
        <v>7596</v>
      </c>
      <c r="F118" s="20" t="n">
        <v>7168</v>
      </c>
      <c r="G118" s="20" t="n">
        <v>9190</v>
      </c>
      <c r="H118" s="20" t="n">
        <v>2733</v>
      </c>
      <c r="I118" s="20" t="n">
        <v>3814</v>
      </c>
      <c r="J118" s="20" t="n">
        <v>4841</v>
      </c>
      <c r="K118" s="20" t="n">
        <v>6237</v>
      </c>
      <c r="L118" s="20" t="n">
        <v>7596</v>
      </c>
    </row>
    <row r="119">
      <c r="A119" s="18" t="inlineStr">
        <is>
          <t>비지배지분</t>
        </is>
      </c>
      <c r="C119" s="20" t="n">
        <v>156455</v>
      </c>
      <c r="D119" s="20" t="n">
        <v>165375</v>
      </c>
      <c r="E119" s="20" t="n">
        <v>178877</v>
      </c>
      <c r="F119" s="20" t="n">
        <v>186183</v>
      </c>
      <c r="G119" s="20" t="n">
        <v>175828</v>
      </c>
      <c r="H119" s="20" t="n">
        <v>99910</v>
      </c>
      <c r="I119" s="20" t="n">
        <v>151999</v>
      </c>
      <c r="J119" s="20" t="n">
        <v>161308</v>
      </c>
      <c r="K119" s="20" t="n">
        <v>175112</v>
      </c>
      <c r="L119" s="20" t="n">
        <v>178877</v>
      </c>
    </row>
    <row r="120">
      <c r="A120" s="9" t="inlineStr">
        <is>
          <t>순자산 합계</t>
        </is>
      </c>
      <c r="C120" s="12" t="n">
        <v>4381431</v>
      </c>
      <c r="D120" s="12" t="n">
        <v>4489768</v>
      </c>
      <c r="E120" s="12" t="n">
        <v>4643307</v>
      </c>
      <c r="F120" s="12" t="n">
        <v>4744783</v>
      </c>
      <c r="G120" s="12" t="n">
        <v>4688362</v>
      </c>
      <c r="H120" s="12" t="n">
        <v>3429208</v>
      </c>
      <c r="I120" s="12" t="n">
        <v>4026209</v>
      </c>
      <c r="J120" s="12" t="n">
        <v>4424073</v>
      </c>
      <c r="K120" s="12" t="n">
        <v>4837585</v>
      </c>
      <c r="L120" s="12" t="n">
        <v>4643307</v>
      </c>
    </row>
    <row r="121">
      <c r="A121" s="9" t="inlineStr">
        <is>
          <t>부채·순자산 합계</t>
        </is>
      </c>
      <c r="C121" s="12" t="n">
        <v>5356717</v>
      </c>
      <c r="D121" s="12" t="n">
        <v>5451351</v>
      </c>
      <c r="E121" s="12" t="n">
        <v>5661907</v>
      </c>
      <c r="F121" s="12" t="n">
        <v>5762953</v>
      </c>
      <c r="G121" s="12" t="n">
        <v>5955899</v>
      </c>
      <c r="H121" s="12" t="n">
        <v>4053412</v>
      </c>
      <c r="I121" s="12" t="n">
        <v>4730394</v>
      </c>
      <c r="J121" s="12" t="n">
        <v>5147974</v>
      </c>
      <c r="K121" s="12" t="n">
        <v>5636601</v>
      </c>
      <c r="L121" s="12" t="n">
        <v>5661907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2026-10-27</t>
        </is>
      </c>
      <c r="B4" t="inlineStr">
        <is>
          <t>2027년 3월 결산기 ２분기 결산단신</t>
        </is>
      </c>
      <c r="C4" t="inlineStr">
        <is>
          <t>https://www2.jpx.co.jp/disc/40630/140120261026556436.pdf</t>
        </is>
      </c>
    </row>
    <row r="5">
      <c r="A5" t="inlineStr">
        <is>
          <t>2026-07-24</t>
        </is>
      </c>
      <c r="B5" t="inlineStr">
        <is>
          <t>2027년 3월 결산기 １분기 결산단신</t>
        </is>
      </c>
      <c r="C5" t="inlineStr">
        <is>
          <t>https://www2.jpx.co.jp/disc/40630/140120260724598954.pdf</t>
        </is>
      </c>
    </row>
    <row r="6">
      <c r="A6" t="inlineStr">
        <is>
          <t>2026-04-28</t>
        </is>
      </c>
      <c r="B6" t="inlineStr">
        <is>
          <t>2026년 3월 결산기 연간 결산단신</t>
        </is>
      </c>
      <c r="C6" t="inlineStr">
        <is>
          <t>https://www2.jpx.co.jp/disc/40630/140120260428512667.pdf</t>
        </is>
      </c>
    </row>
    <row r="7">
      <c r="A7" t="inlineStr">
        <is>
          <t>2026-01-27</t>
        </is>
      </c>
      <c r="B7" t="inlineStr">
        <is>
          <t>2026년 3월 결산기 ３분기 결산단신</t>
        </is>
      </c>
      <c r="C7" t="inlineStr">
        <is>
          <t>https://www2.jpx.co.jp/disc/40630/140120260127538857.pdf</t>
        </is>
      </c>
    </row>
    <row r="8">
      <c r="A8" t="inlineStr">
        <is>
          <t>2025-10-24</t>
        </is>
      </c>
      <c r="B8" t="inlineStr">
        <is>
          <t>2026년 3월 결산기 ２분기 결산단신</t>
        </is>
      </c>
      <c r="C8" t="inlineStr">
        <is>
          <t>https://www2.jpx.co.jp/disc/40630/140120251024578146.pdf</t>
        </is>
      </c>
    </row>
    <row r="9">
      <c r="A9" t="inlineStr">
        <is>
          <t>2025-07-24</t>
        </is>
      </c>
      <c r="B9" t="inlineStr">
        <is>
          <t>2026년 3월 결산기 １분기 결산단신</t>
        </is>
      </c>
      <c r="C9" t="inlineStr">
        <is>
          <t>https://www2.jpx.co.jp/disc/40630/140120250724519316.pdf</t>
        </is>
      </c>
    </row>
    <row r="10">
      <c r="A10" t="inlineStr">
        <is>
          <t>2025-04-25</t>
        </is>
      </c>
      <c r="B10" t="inlineStr">
        <is>
          <t>2025년 3월 결산기 연간 결산단신</t>
        </is>
      </c>
      <c r="C10" t="inlineStr">
        <is>
          <t>https://www2.jpx.co.jp/disc/40630/140120250424522255.pdf</t>
        </is>
      </c>
    </row>
    <row r="11">
      <c r="A11" t="inlineStr">
        <is>
          <t>2025-01-29</t>
        </is>
      </c>
      <c r="B11" t="inlineStr">
        <is>
          <t>2025년 3월 결산기 ３분기 결산단신</t>
        </is>
      </c>
      <c r="C11" t="inlineStr">
        <is>
          <t>https://www2.jpx.co.jp/disc/40630/140120250129556775.pdf</t>
        </is>
      </c>
    </row>
    <row r="12">
      <c r="A12" t="inlineStr">
        <is>
          <t>2024-10-25</t>
        </is>
      </c>
      <c r="B12" t="inlineStr">
        <is>
          <t>2025년 3월 결산기 ２분기 결산단신</t>
        </is>
      </c>
      <c r="C12" t="inlineStr">
        <is>
          <t>https://www2.jpx.co.jp/disc/40630/140120241023501677.pdf</t>
        </is>
      </c>
    </row>
    <row r="13">
      <c r="A13" t="inlineStr">
        <is>
          <t>2024-07-26</t>
        </is>
      </c>
      <c r="B13" t="inlineStr">
        <is>
          <t>2025년 3월 결산기 １분기 결산단신</t>
        </is>
      </c>
      <c r="C13" t="inlineStr">
        <is>
          <t>https://www2.jpx.co.jp/disc/40630/140120240725555168.pdf</t>
        </is>
      </c>
    </row>
    <row r="14">
      <c r="A14" t="inlineStr">
        <is>
          <t>2024-04-25</t>
        </is>
      </c>
      <c r="B14" t="inlineStr">
        <is>
          <t>2024년 3월 결산기 연간 결산단신</t>
        </is>
      </c>
      <c r="C14" t="inlineStr">
        <is>
          <t>https://www2.jpx.co.jp/disc/40630/140120240425576455.pdf</t>
        </is>
      </c>
    </row>
    <row r="15">
      <c r="A15" t="inlineStr">
        <is>
          <t>2024-01-26</t>
        </is>
      </c>
      <c r="B15" t="inlineStr">
        <is>
          <t>2024년 3월 결산기 ３분기 결산단신</t>
        </is>
      </c>
      <c r="C15" t="inlineStr">
        <is>
          <t>https://www2.jpx.co.jp/disc/40630/140120240125519556.pdf</t>
        </is>
      </c>
    </row>
    <row r="16">
      <c r="A16" t="inlineStr">
        <is>
          <t>2023-10-27</t>
        </is>
      </c>
      <c r="B16" t="inlineStr">
        <is>
          <t>2024년 3월 결산기 ２분기 결산단신</t>
        </is>
      </c>
      <c r="C16" t="inlineStr">
        <is>
          <t>https://www2.jpx.co.jp/disc/40630/140120231024570484.pdf</t>
        </is>
      </c>
    </row>
    <row r="17">
      <c r="A17" t="inlineStr">
        <is>
          <t>2023-07-27</t>
        </is>
      </c>
      <c r="B17" t="inlineStr">
        <is>
          <t>2024년 3월 결산기 １분기 결산단신</t>
        </is>
      </c>
      <c r="C17" t="inlineStr">
        <is>
          <t>https://www2.jpx.co.jp/disc/40630/140120230725526801.pdf</t>
        </is>
      </c>
    </row>
    <row r="18">
      <c r="A18" t="inlineStr">
        <is>
          <t>2023-04-27</t>
        </is>
      </c>
      <c r="B18" t="inlineStr">
        <is>
          <t>2023년 3월 결산기 연간 결산단신</t>
        </is>
      </c>
      <c r="C18" t="inlineStr">
        <is>
          <t>https://www2.jpx.co.jp/disc/40630/140120230427554009.pdf</t>
        </is>
      </c>
    </row>
    <row r="19">
      <c r="A19" t="inlineStr">
        <is>
          <t>2023-01-26</t>
        </is>
      </c>
      <c r="B19" t="inlineStr">
        <is>
          <t>2023년 3월 결산기 ３분기 결산단신</t>
        </is>
      </c>
      <c r="C19" t="inlineStr">
        <is>
          <t>https://www2.jpx.co.jp/disc/40630/140120230125593655.pdf</t>
        </is>
      </c>
    </row>
    <row r="20">
      <c r="A20" t="inlineStr">
        <is>
          <t>2022-04-27</t>
        </is>
      </c>
      <c r="B20" t="inlineStr">
        <is>
          <t>2022년 3월 결산기 연간 결산단신</t>
        </is>
      </c>
      <c r="C20" t="inlineStr">
        <is>
          <t>https://www2.jpx.co.jp/disc/40630/140120220425526894.pdf</t>
        </is>
      </c>
    </row>
    <row r="21">
      <c r="A21" t="inlineStr">
        <is>
          <t>2021-04-28</t>
        </is>
      </c>
      <c r="B21" t="inlineStr">
        <is>
          <t>2021년 3월 결산기 연간 결산단신</t>
        </is>
      </c>
      <c r="C21" t="inlineStr">
        <is>
          <t>https://www2.jpx.co.jp/disc/40630/140120210428402264.pdf</t>
        </is>
      </c>
    </row>
    <row r="22">
      <c r="A22" t="inlineStr">
        <is>
          <t>2020-04-28</t>
        </is>
      </c>
      <c r="B22" t="inlineStr">
        <is>
          <t>2020년 3월 결산기 연간 결산단신</t>
        </is>
      </c>
      <c r="C22" t="inlineStr">
        <is>
          <t>https://www2.jpx.co.jp/disc/40630/140120200427400836.pdf</t>
        </is>
      </c>
    </row>
    <row r="23">
      <c r="A23" t="inlineStr">
        <is>
          <t>2019-04-26</t>
        </is>
      </c>
      <c r="B23" t="inlineStr">
        <is>
          <t>2019년 3월 결산기 연간 결산단신</t>
        </is>
      </c>
      <c r="C23" t="inlineStr">
        <is>
          <t>https://www2.jpx.co.jp/disc/40630/140120190426412585.pdf</t>
        </is>
      </c>
    </row>
    <row r="24">
      <c r="A24" t="inlineStr">
        <is>
          <t>2018-04-27</t>
        </is>
      </c>
      <c r="B24" t="inlineStr">
        <is>
          <t>2018년 3월 결산기 연간 결산단신</t>
        </is>
      </c>
      <c r="C24" t="inlineStr">
        <is>
          <t>https://www2.jpx.co.jp/disc/40630/140120180427422921.pdf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2026-10-28T07:02:42Z</dcterms:created>
  <dcterms:modified xmlns:dcterms="http://purl.org/dc/terms/" xmlns:xsi="http://www.w3.org/2001/XMLSchema-instance" xsi:type="dcterms:W3CDTF">2026-10-28T07:02:43Z</dcterms:modified>
</cp:coreProperties>
</file>