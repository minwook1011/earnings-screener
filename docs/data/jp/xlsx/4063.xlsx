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신에쓰화학공업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627501</v>
      </c>
      <c r="D4" s="12" t="n">
        <v>591534</v>
      </c>
      <c r="E4" s="12" t="n">
        <v>597930</v>
      </c>
      <c r="F4" s="12" t="n">
        <v>668530</v>
      </c>
      <c r="G4" s="12" t="n">
        <v>663238</v>
      </c>
      <c r="H4" s="12" t="n">
        <v>631551</v>
      </c>
      <c r="I4" s="12" t="n">
        <v>628549</v>
      </c>
      <c r="J4" s="12" t="n">
        <v>655973</v>
      </c>
      <c r="K4" s="12" t="n">
        <v>649478</v>
      </c>
      <c r="L4" s="12" t="n">
        <v>639969</v>
      </c>
      <c r="M4" s="12" t="n">
        <v>662424</v>
      </c>
      <c r="N4" s="12" t="n">
        <v>758260</v>
      </c>
      <c r="O4" s="11" t="n">
        <v>1237405</v>
      </c>
      <c r="P4" s="12" t="n">
        <v>1441432</v>
      </c>
      <c r="Q4" s="12" t="n">
        <v>1594036</v>
      </c>
      <c r="R4" s="12" t="n">
        <v>1543525</v>
      </c>
      <c r="S4" s="12" t="n">
        <v>1496906</v>
      </c>
      <c r="T4" s="12" t="n">
        <v>2074428</v>
      </c>
      <c r="U4" s="12" t="n">
        <v>2808824</v>
      </c>
      <c r="V4" s="12" t="n">
        <v>2414937</v>
      </c>
      <c r="W4" s="12" t="n">
        <v>2561249</v>
      </c>
      <c r="X4" s="12" t="n">
        <v>2573969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전자재료 사업</t>
        </is>
      </c>
      <c r="B7" s="10" t="n"/>
      <c r="C7" s="19" t="n"/>
      <c r="D7" s="20" t="n">
        <v>207867</v>
      </c>
      <c r="E7" s="20" t="n">
        <v>227065</v>
      </c>
      <c r="F7" s="20" t="n"/>
      <c r="G7" s="20" t="n"/>
      <c r="H7" s="20" t="n">
        <v>225130</v>
      </c>
      <c r="I7" s="20" t="n">
        <v>240229</v>
      </c>
      <c r="J7" s="20" t="n"/>
      <c r="K7" s="20" t="n"/>
      <c r="L7" s="20" t="n">
        <v>265425</v>
      </c>
      <c r="M7" s="20" t="n">
        <v>279271</v>
      </c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850442</v>
      </c>
      <c r="W7" s="20" t="n">
        <v>934312</v>
      </c>
      <c r="X7" s="20" t="n">
        <v>1015765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생활환경 기반재료 사업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생활환경 기반재료 사업</t>
        </is>
      </c>
      <c r="B13" s="10" t="n"/>
      <c r="C13" s="19" t="n"/>
      <c r="D13" s="20" t="n"/>
      <c r="E13" s="20" t="n">
        <v>232509</v>
      </c>
      <c r="F13" s="20" t="n"/>
      <c r="G13" s="20" t="n"/>
      <c r="H13" s="20" t="n"/>
      <c r="I13" s="20" t="n">
        <v>244400</v>
      </c>
      <c r="J13" s="20" t="n"/>
      <c r="K13" s="20" t="n"/>
      <c r="L13" s="20" t="n"/>
      <c r="M13" s="20" t="n">
        <v>227798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1010275</v>
      </c>
      <c r="W13" s="20" t="n">
        <v>1041571</v>
      </c>
      <c r="X13" s="20" t="n">
        <v>981370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기능재료 사업</t>
        </is>
      </c>
      <c r="B16" s="10" t="n"/>
      <c r="C16" s="19" t="n"/>
      <c r="D16" s="20" t="n">
        <v>98621</v>
      </c>
      <c r="E16" s="20" t="n">
        <v>106702</v>
      </c>
      <c r="F16" s="20" t="n"/>
      <c r="G16" s="20" t="n"/>
      <c r="H16" s="20" t="n">
        <v>107265</v>
      </c>
      <c r="I16" s="20" t="n">
        <v>110013</v>
      </c>
      <c r="J16" s="20" t="n"/>
      <c r="K16" s="20" t="n"/>
      <c r="L16" s="20" t="n">
        <v>107071</v>
      </c>
      <c r="M16" s="20" t="n">
        <v>118203</v>
      </c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425250</v>
      </c>
      <c r="W16" s="20" t="n">
        <v>448642</v>
      </c>
      <c r="X16" s="20" t="n">
        <v>440847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가공·상사·기술서비스 사업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가공·상사·기술서비스 사업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128969</v>
      </c>
      <c r="W22" s="20" t="n">
        <v>136722</v>
      </c>
      <c r="X22" s="20" t="n">
        <v>135985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기타 관련 사업</t>
        </is>
      </c>
      <c r="B25" s="10" t="n"/>
      <c r="C25" s="19" t="n"/>
      <c r="D25" s="20" t="n"/>
      <c r="E25" s="20" t="n">
        <v>31653</v>
      </c>
      <c r="F25" s="20" t="n"/>
      <c r="G25" s="20" t="n"/>
      <c r="H25" s="20" t="n"/>
      <c r="I25" s="20" t="n">
        <v>33904</v>
      </c>
      <c r="J25" s="20" t="n"/>
      <c r="K25" s="20" t="n"/>
      <c r="L25" s="20" t="n"/>
      <c r="M25" s="20" t="n">
        <v>37151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397413</v>
      </c>
      <c r="D29" s="20" t="n">
        <v>394939</v>
      </c>
      <c r="E29" s="20" t="n">
        <v>355339</v>
      </c>
      <c r="F29" s="20" t="n">
        <v>392142</v>
      </c>
      <c r="G29" s="20" t="n">
        <v>422900</v>
      </c>
      <c r="H29" s="20" t="n">
        <v>406746</v>
      </c>
      <c r="I29" s="20" t="n">
        <v>402717</v>
      </c>
      <c r="J29" s="20" t="n">
        <v>426063</v>
      </c>
      <c r="K29" s="20" t="n">
        <v>425814</v>
      </c>
      <c r="L29" s="20" t="n">
        <v>438581</v>
      </c>
      <c r="M29" s="20" t="n">
        <v>432591</v>
      </c>
      <c r="N29" s="20" t="n">
        <v>477198</v>
      </c>
      <c r="O29" s="19" t="n">
        <v>868404</v>
      </c>
      <c r="P29" s="20" t="n">
        <v>963008</v>
      </c>
      <c r="Q29" s="20" t="n">
        <v>1039979</v>
      </c>
      <c r="R29" s="20" t="n">
        <v>987782</v>
      </c>
      <c r="S29" s="20" t="n">
        <v>953203</v>
      </c>
      <c r="T29" s="20" t="n">
        <v>1206425</v>
      </c>
      <c r="U29" s="20" t="n">
        <v>1594717</v>
      </c>
      <c r="V29" s="20" t="n">
        <v>1503728</v>
      </c>
      <c r="W29" s="20" t="n">
        <v>1577127</v>
      </c>
      <c r="X29" s="20" t="n">
        <v>1693175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52479</v>
      </c>
      <c r="D33" s="20" t="n">
        <v>55085</v>
      </c>
      <c r="E33" s="20" t="n">
        <v>51568</v>
      </c>
      <c r="F33" s="20" t="n">
        <v>61706</v>
      </c>
      <c r="G33" s="20" t="n">
        <v>61603</v>
      </c>
      <c r="H33" s="20" t="n">
        <v>67139</v>
      </c>
      <c r="I33" s="20" t="n">
        <v>59027</v>
      </c>
      <c r="J33" s="20" t="n">
        <v>62779</v>
      </c>
      <c r="K33" s="20" t="n">
        <v>59574</v>
      </c>
      <c r="L33" s="20" t="n">
        <v>64208</v>
      </c>
      <c r="M33" s="20" t="n">
        <v>56034</v>
      </c>
      <c r="N33" s="20" t="n">
        <v>68942</v>
      </c>
      <c r="O33" s="19" t="n">
        <v>130383</v>
      </c>
      <c r="P33" s="20" t="n">
        <v>141601</v>
      </c>
      <c r="Q33" s="20" t="n">
        <v>150352</v>
      </c>
      <c r="R33" s="20" t="n">
        <v>149702</v>
      </c>
      <c r="S33" s="20" t="n">
        <v>151489</v>
      </c>
      <c r="T33" s="20" t="n">
        <v>191680</v>
      </c>
      <c r="U33" s="20" t="n">
        <v>215905</v>
      </c>
      <c r="V33" s="20" t="n">
        <v>210171</v>
      </c>
      <c r="W33" s="20" t="n">
        <v>242016</v>
      </c>
      <c r="X33" s="20" t="n">
        <v>245588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177609</v>
      </c>
      <c r="D34" s="12" t="n">
        <v>141510</v>
      </c>
      <c r="E34" s="12" t="n">
        <v>191023</v>
      </c>
      <c r="F34" s="12" t="n">
        <v>214680</v>
      </c>
      <c r="G34" s="12" t="n">
        <v>178736</v>
      </c>
      <c r="H34" s="12" t="n">
        <v>157666</v>
      </c>
      <c r="I34" s="12" t="n">
        <v>166803</v>
      </c>
      <c r="J34" s="12" t="n">
        <v>167132</v>
      </c>
      <c r="K34" s="12" t="n">
        <v>164091</v>
      </c>
      <c r="L34" s="12" t="n">
        <v>137178</v>
      </c>
      <c r="M34" s="12" t="n">
        <v>173798</v>
      </c>
      <c r="N34" s="12" t="n">
        <v>212120</v>
      </c>
      <c r="O34" s="11" t="n">
        <v>238617</v>
      </c>
      <c r="P34" s="12" t="n">
        <v>336822</v>
      </c>
      <c r="Q34" s="12" t="n">
        <v>403705</v>
      </c>
      <c r="R34" s="12" t="n">
        <v>406041</v>
      </c>
      <c r="S34" s="12" t="n">
        <v>392213</v>
      </c>
      <c r="T34" s="12" t="n">
        <v>676322</v>
      </c>
      <c r="U34" s="12" t="n">
        <v>998202</v>
      </c>
      <c r="V34" s="12" t="n">
        <v>701038</v>
      </c>
      <c r="W34" s="12" t="n">
        <v>742105</v>
      </c>
      <c r="X34" s="12" t="n">
        <v>635204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1602</v>
      </c>
      <c r="D50" s="20" t="n">
        <v>9651</v>
      </c>
      <c r="E50" s="20" t="n">
        <v>950</v>
      </c>
      <c r="F50" s="20" t="n">
        <v>6381</v>
      </c>
      <c r="G50" s="20" t="n">
        <v>8931</v>
      </c>
      <c r="H50" s="20" t="n">
        <v>163</v>
      </c>
      <c r="I50" s="20" t="n">
        <v>2924</v>
      </c>
      <c r="J50" s="20" t="n">
        <v>6741</v>
      </c>
      <c r="K50" s="20" t="n">
        <v>839</v>
      </c>
      <c r="L50" s="20" t="n">
        <v>68</v>
      </c>
      <c r="M50" s="20" t="n">
        <v>2271</v>
      </c>
      <c r="N50" s="20" t="n">
        <v>3969</v>
      </c>
      <c r="O50" s="19" t="n"/>
      <c r="P50" s="20" t="n"/>
      <c r="Q50" s="20" t="n">
        <v>0</v>
      </c>
      <c r="R50" s="20" t="n">
        <v>7774</v>
      </c>
      <c r="S50" s="20" t="n">
        <v>0</v>
      </c>
      <c r="T50" s="20" t="n">
        <v>1703</v>
      </c>
      <c r="U50" s="20" t="n">
        <v>0</v>
      </c>
      <c r="V50" s="20" t="n">
        <v>23602</v>
      </c>
      <c r="W50" s="20" t="n">
        <v>16425</v>
      </c>
      <c r="X50" s="20" t="n">
        <v>10572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/>
      <c r="D52" s="20" t="n">
        <v>45</v>
      </c>
      <c r="E52" s="20" t="n"/>
      <c r="F52" s="20" t="n"/>
      <c r="G52" s="20" t="n"/>
      <c r="H52" s="20" t="n">
        <v>10739</v>
      </c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>
        <v>0</v>
      </c>
      <c r="S52" s="20" t="n">
        <v>2955</v>
      </c>
      <c r="T52" s="20" t="n">
        <v>0</v>
      </c>
      <c r="U52" s="20" t="n">
        <v>0</v>
      </c>
      <c r="V52" s="20" t="n">
        <v>15157</v>
      </c>
      <c r="W52" s="20" t="n">
        <v>10739</v>
      </c>
      <c r="X52" s="20" t="n">
        <v>10365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11612</v>
      </c>
      <c r="D54" s="20" t="n">
        <v>37178</v>
      </c>
      <c r="E54" s="20" t="n">
        <v>32401</v>
      </c>
      <c r="F54" s="20" t="n">
        <v>19369</v>
      </c>
      <c r="G54" s="20" t="n">
        <v>26338</v>
      </c>
      <c r="H54" s="20" t="n">
        <v>24798</v>
      </c>
      <c r="I54" s="20" t="n">
        <v>21661</v>
      </c>
      <c r="J54" s="20" t="n">
        <v>18528</v>
      </c>
      <c r="K54" s="20" t="n">
        <v>25057</v>
      </c>
      <c r="L54" s="20" t="n">
        <v>23155</v>
      </c>
      <c r="M54" s="20" t="n">
        <v>22878</v>
      </c>
      <c r="N54" s="20" t="n">
        <v>20956</v>
      </c>
      <c r="O54" s="19" t="n">
        <v>12200</v>
      </c>
      <c r="P54" s="20" t="n">
        <v>17172</v>
      </c>
      <c r="Q54" s="20" t="n">
        <v>23277</v>
      </c>
      <c r="R54" s="20" t="n">
        <v>24541</v>
      </c>
      <c r="S54" s="20" t="n">
        <v>21316</v>
      </c>
      <c r="T54" s="20" t="n">
        <v>28567</v>
      </c>
      <c r="U54" s="20" t="n">
        <v>35090</v>
      </c>
      <c r="V54" s="20" t="n">
        <v>98316</v>
      </c>
      <c r="W54" s="20" t="n">
        <v>102906</v>
      </c>
      <c r="X54" s="20" t="n">
        <v>88401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997</v>
      </c>
      <c r="D56" s="20" t="n">
        <v>7192</v>
      </c>
      <c r="E56" s="20" t="n">
        <v>3614</v>
      </c>
      <c r="F56" s="20" t="n">
        <v>10935</v>
      </c>
      <c r="G56" s="20" t="n">
        <v>3767</v>
      </c>
      <c r="H56" s="20" t="n">
        <v>6151</v>
      </c>
      <c r="I56" s="20" t="n">
        <v>6843</v>
      </c>
      <c r="J56" s="20" t="n">
        <v>-57</v>
      </c>
      <c r="K56" s="20" t="n">
        <v>-928</v>
      </c>
      <c r="L56" s="20" t="n">
        <v>9465</v>
      </c>
      <c r="M56" s="20" t="n">
        <v>4547</v>
      </c>
      <c r="N56" s="20" t="n">
        <v>10096</v>
      </c>
      <c r="O56" s="19" t="n">
        <v>8684</v>
      </c>
      <c r="P56" s="20" t="n">
        <v>13686</v>
      </c>
      <c r="Q56" s="20" t="n">
        <v>11671</v>
      </c>
      <c r="R56" s="20" t="n">
        <v>12339</v>
      </c>
      <c r="S56" s="20" t="n">
        <v>8428</v>
      </c>
      <c r="T56" s="20" t="n">
        <v>10455</v>
      </c>
      <c r="U56" s="20" t="n">
        <v>13081</v>
      </c>
      <c r="V56" s="20" t="n">
        <v>12126</v>
      </c>
      <c r="W56" s="20" t="n">
        <v>24467</v>
      </c>
      <c r="X56" s="20" t="n">
        <v>15323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174714</v>
      </c>
      <c r="D58" s="12" t="n">
        <v>181102</v>
      </c>
      <c r="E58" s="12" t="n">
        <v>220761</v>
      </c>
      <c r="F58" s="12" t="n">
        <v>229494</v>
      </c>
      <c r="G58" s="12" t="n">
        <v>210238</v>
      </c>
      <c r="H58" s="12" t="n">
        <v>165736</v>
      </c>
      <c r="I58" s="12" t="n">
        <v>184546</v>
      </c>
      <c r="J58" s="12" t="n">
        <v>192459</v>
      </c>
      <c r="K58" s="12" t="n">
        <v>190913</v>
      </c>
      <c r="L58" s="12" t="n">
        <v>140570</v>
      </c>
      <c r="M58" s="12" t="n">
        <v>194401</v>
      </c>
      <c r="N58" s="12" t="n">
        <v>226948</v>
      </c>
      <c r="O58" s="11" t="n">
        <v>242133</v>
      </c>
      <c r="P58" s="12" t="n">
        <v>340308</v>
      </c>
      <c r="Q58" s="12" t="n">
        <v>415311</v>
      </c>
      <c r="R58" s="12" t="n">
        <v>426017</v>
      </c>
      <c r="S58" s="12" t="n">
        <v>402145</v>
      </c>
      <c r="T58" s="12" t="n">
        <v>696137</v>
      </c>
      <c r="U58" s="12" t="n">
        <v>1020211</v>
      </c>
      <c r="V58" s="12" t="n">
        <v>795673</v>
      </c>
      <c r="W58" s="12" t="n">
        <v>826229</v>
      </c>
      <c r="X58" s="12" t="n">
        <v>708488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55906</v>
      </c>
      <c r="D59" s="20" t="n">
        <v>56936</v>
      </c>
      <c r="E59" s="20" t="n">
        <v>66113</v>
      </c>
      <c r="F59" s="20" t="n">
        <v>65895</v>
      </c>
      <c r="G59" s="20" t="n">
        <v>59840</v>
      </c>
      <c r="H59" s="20" t="n">
        <v>54280</v>
      </c>
      <c r="I59" s="20" t="n">
        <v>49883</v>
      </c>
      <c r="J59" s="20" t="n">
        <v>52715</v>
      </c>
      <c r="K59" s="20" t="n">
        <v>56380</v>
      </c>
      <c r="L59" s="20" t="n">
        <v>43220</v>
      </c>
      <c r="M59" s="20" t="n">
        <v>57296</v>
      </c>
      <c r="N59" s="20" t="n">
        <v>63116</v>
      </c>
      <c r="O59" s="19" t="n">
        <v>63823</v>
      </c>
      <c r="P59" s="20" t="n">
        <v>70249</v>
      </c>
      <c r="Q59" s="20" t="n">
        <v>101325</v>
      </c>
      <c r="R59" s="20" t="n">
        <v>107726</v>
      </c>
      <c r="S59" s="20" t="n">
        <v>102968</v>
      </c>
      <c r="T59" s="20" t="n">
        <v>171105</v>
      </c>
      <c r="U59" s="20" t="n">
        <v>256590</v>
      </c>
      <c r="V59" s="20" t="n">
        <v>230513</v>
      </c>
      <c r="W59" s="20" t="n">
        <v>246128</v>
      </c>
      <c r="X59" s="20" t="n">
        <v>202198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118808</v>
      </c>
      <c r="D61" s="12" t="n">
        <v>124166</v>
      </c>
      <c r="E61" s="12" t="n">
        <v>154647</v>
      </c>
      <c r="F61" s="12" t="n">
        <v>163600</v>
      </c>
      <c r="G61" s="12" t="n">
        <v>150398</v>
      </c>
      <c r="H61" s="12" t="n">
        <v>111456</v>
      </c>
      <c r="I61" s="12" t="n">
        <v>134662</v>
      </c>
      <c r="J61" s="12" t="n">
        <v>139744</v>
      </c>
      <c r="K61" s="12" t="n">
        <v>134534</v>
      </c>
      <c r="L61" s="12" t="n">
        <v>97349</v>
      </c>
      <c r="M61" s="12" t="n">
        <v>137104</v>
      </c>
      <c r="N61" s="12" t="n">
        <v>163833</v>
      </c>
      <c r="O61" s="11" t="n">
        <v>178309</v>
      </c>
      <c r="P61" s="12" t="n">
        <v>270058</v>
      </c>
      <c r="Q61" s="12" t="n">
        <v>313986</v>
      </c>
      <c r="R61" s="12" t="n">
        <v>318290</v>
      </c>
      <c r="S61" s="12" t="n">
        <v>299177</v>
      </c>
      <c r="T61" s="12" t="n">
        <v>525032</v>
      </c>
      <c r="U61" s="12" t="n">
        <v>763620</v>
      </c>
      <c r="V61" s="12" t="n">
        <v>565160</v>
      </c>
      <c r="W61" s="12" t="n">
        <v>580101</v>
      </c>
      <c r="X61" s="12" t="n">
        <v>506289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105090</v>
      </c>
      <c r="D62" s="12" t="n">
        <v>113611</v>
      </c>
      <c r="E62" s="12" t="n">
        <v>144021</v>
      </c>
      <c r="F62" s="12" t="n">
        <v>150096</v>
      </c>
      <c r="G62" s="12" t="n">
        <v>138422</v>
      </c>
      <c r="H62" s="12" t="n">
        <v>101482</v>
      </c>
      <c r="I62" s="12" t="n">
        <v>126428</v>
      </c>
      <c r="J62" s="12" t="n">
        <v>131416</v>
      </c>
      <c r="K62" s="12" t="n">
        <v>126476</v>
      </c>
      <c r="L62" s="12" t="n">
        <v>90139</v>
      </c>
      <c r="M62" s="12" t="n">
        <v>130829</v>
      </c>
      <c r="N62" s="12" t="n">
        <v>156110</v>
      </c>
      <c r="O62" s="11" t="n">
        <v>175912</v>
      </c>
      <c r="P62" s="12" t="n">
        <v>266235</v>
      </c>
      <c r="Q62" s="12" t="n">
        <v>309125</v>
      </c>
      <c r="R62" s="12" t="n">
        <v>314027</v>
      </c>
      <c r="S62" s="12" t="n">
        <v>293732</v>
      </c>
      <c r="T62" s="12" t="n">
        <v>500117</v>
      </c>
      <c r="U62" s="12" t="n">
        <v>708238</v>
      </c>
      <c r="V62" s="12" t="n">
        <v>520140</v>
      </c>
      <c r="W62" s="12" t="n">
        <v>534021</v>
      </c>
      <c r="X62" s="12" t="n">
        <v>474459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(2026.10.27)</t>
        </is>
      </c>
      <c r="B65" s="27" t="n">
        <v>5850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1984995865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2026.10.27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627501</v>
      </c>
      <c r="D96" s="12" t="n">
        <v>591534</v>
      </c>
      <c r="E96" s="12" t="n">
        <v>597930</v>
      </c>
      <c r="F96" s="12" t="n">
        <v>668530</v>
      </c>
      <c r="G96" s="12" t="n">
        <v>663238</v>
      </c>
      <c r="H96" s="12" t="n">
        <v>631551</v>
      </c>
      <c r="I96" s="12" t="n">
        <v>628549</v>
      </c>
      <c r="J96" s="12" t="n">
        <v>655973</v>
      </c>
      <c r="K96" s="12" t="n">
        <v>649478</v>
      </c>
      <c r="L96" s="12" t="n">
        <v>639969</v>
      </c>
      <c r="M96" s="12" t="n">
        <v>662424</v>
      </c>
      <c r="N96" s="12" t="n">
        <v>758260</v>
      </c>
      <c r="T96" s="12" t="n">
        <v>590725</v>
      </c>
      <c r="U96" s="12" t="n">
        <v>645587</v>
      </c>
      <c r="V96" s="12" t="n">
        <v>591534</v>
      </c>
      <c r="W96" s="12" t="n">
        <v>631551</v>
      </c>
      <c r="X96" s="12" t="n">
        <v>639969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397413</v>
      </c>
      <c r="D98" s="20" t="n">
        <v>394939</v>
      </c>
      <c r="E98" s="20" t="n">
        <v>355339</v>
      </c>
      <c r="F98" s="20" t="n">
        <v>392142</v>
      </c>
      <c r="G98" s="20" t="n">
        <v>422900</v>
      </c>
      <c r="H98" s="20" t="n">
        <v>406746</v>
      </c>
      <c r="I98" s="20" t="n">
        <v>402717</v>
      </c>
      <c r="J98" s="20" t="n">
        <v>426063</v>
      </c>
      <c r="K98" s="20" t="n">
        <v>425814</v>
      </c>
      <c r="L98" s="20" t="n">
        <v>438581</v>
      </c>
      <c r="M98" s="20" t="n">
        <v>432591</v>
      </c>
      <c r="N98" s="20" t="n">
        <v>477198</v>
      </c>
      <c r="T98" s="20" t="n">
        <v>339651</v>
      </c>
      <c r="U98" s="20" t="n">
        <v>401619</v>
      </c>
      <c r="V98" s="20" t="n">
        <v>394939</v>
      </c>
      <c r="W98" s="20" t="n">
        <v>406746</v>
      </c>
      <c r="X98" s="20" t="n">
        <v>438581</v>
      </c>
    </row>
    <row r="99">
      <c r="A99" s="9" t="inlineStr">
        <is>
          <t>매출총이익</t>
        </is>
      </c>
      <c r="C99" s="12" t="n">
        <v>230088</v>
      </c>
      <c r="D99" s="12" t="n">
        <v>196595</v>
      </c>
      <c r="E99" s="12" t="n">
        <v>242591</v>
      </c>
      <c r="F99" s="12" t="n">
        <v>276387</v>
      </c>
      <c r="G99" s="12" t="n">
        <v>240339</v>
      </c>
      <c r="H99" s="12" t="n">
        <v>224804</v>
      </c>
      <c r="I99" s="12" t="n">
        <v>225831</v>
      </c>
      <c r="J99" s="12" t="n">
        <v>229911</v>
      </c>
      <c r="K99" s="12" t="n">
        <v>223664</v>
      </c>
      <c r="L99" s="12" t="n">
        <v>201387</v>
      </c>
      <c r="M99" s="12" t="n">
        <v>229833</v>
      </c>
      <c r="N99" s="12" t="n">
        <v>281061</v>
      </c>
      <c r="T99" s="12" t="n">
        <v>251073</v>
      </c>
      <c r="U99" s="12" t="n">
        <v>243968</v>
      </c>
      <c r="V99" s="12" t="n">
        <v>196595</v>
      </c>
      <c r="W99" s="12" t="n">
        <v>224804</v>
      </c>
      <c r="X99" s="12" t="n">
        <v>201387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판매비와 관리비</t>
        </is>
      </c>
      <c r="C101" s="20" t="n">
        <v>52479</v>
      </c>
      <c r="D101" s="20" t="n">
        <v>55085</v>
      </c>
      <c r="E101" s="20" t="n">
        <v>51568</v>
      </c>
      <c r="F101" s="20" t="n">
        <v>61706</v>
      </c>
      <c r="G101" s="20" t="n">
        <v>61603</v>
      </c>
      <c r="H101" s="20" t="n">
        <v>67139</v>
      </c>
      <c r="I101" s="20" t="n">
        <v>59027</v>
      </c>
      <c r="J101" s="20" t="n">
        <v>62779</v>
      </c>
      <c r="K101" s="20" t="n">
        <v>59574</v>
      </c>
      <c r="L101" s="20" t="n">
        <v>64208</v>
      </c>
      <c r="M101" s="20" t="n">
        <v>56034</v>
      </c>
      <c r="N101" s="20" t="n">
        <v>68942</v>
      </c>
      <c r="T101" s="20" t="n">
        <v>54864</v>
      </c>
      <c r="U101" s="20" t="n">
        <v>53994</v>
      </c>
      <c r="V101" s="20" t="n">
        <v>55085</v>
      </c>
      <c r="W101" s="20" t="n">
        <v>67139</v>
      </c>
      <c r="X101" s="20" t="n">
        <v>64208</v>
      </c>
    </row>
    <row r="102">
      <c r="A102" s="9" t="inlineStr">
        <is>
          <t>영업이익</t>
        </is>
      </c>
      <c r="C102" s="12" t="n">
        <v>177609</v>
      </c>
      <c r="D102" s="12" t="n">
        <v>141510</v>
      </c>
      <c r="E102" s="12" t="n">
        <v>191023</v>
      </c>
      <c r="F102" s="12" t="n">
        <v>214680</v>
      </c>
      <c r="G102" s="12" t="n">
        <v>178736</v>
      </c>
      <c r="H102" s="12" t="n">
        <v>157666</v>
      </c>
      <c r="I102" s="12" t="n">
        <v>166803</v>
      </c>
      <c r="J102" s="12" t="n">
        <v>167132</v>
      </c>
      <c r="K102" s="12" t="n">
        <v>164091</v>
      </c>
      <c r="L102" s="12" t="n">
        <v>137178</v>
      </c>
      <c r="M102" s="12" t="n">
        <v>173798</v>
      </c>
      <c r="N102" s="12" t="n">
        <v>212120</v>
      </c>
      <c r="T102" s="12" t="n">
        <v>196210</v>
      </c>
      <c r="U102" s="12" t="n">
        <v>189975</v>
      </c>
      <c r="V102" s="12" t="n">
        <v>141510</v>
      </c>
      <c r="W102" s="12" t="n">
        <v>157666</v>
      </c>
      <c r="X102" s="12" t="n">
        <v>137178</v>
      </c>
    </row>
    <row r="103">
      <c r="A103" s="43" t="inlineStr">
        <is>
          <t>OPM</t>
        </is>
      </c>
      <c r="B103" s="3" t="inlineStr">
        <is>
          <t>영업이익 ÷ 매출</t>
        </is>
      </c>
      <c r="C103" s="15">
        <f>IF(OR(C102="",C96=""),"",IF(C96&lt;=0,"",IFERROR(C102/C96,"")))</f>
        <v/>
      </c>
      <c r="D103" s="15">
        <f>IF(OR(D102="",D96=""),"",IF(D96&lt;=0,"",IFERROR(D102/D96,"")))</f>
        <v/>
      </c>
      <c r="E103" s="15">
        <f>IF(OR(E102="",E96=""),"",IF(E96&lt;=0,"",IFERROR(E102/E96,"")))</f>
        <v/>
      </c>
      <c r="F103" s="15">
        <f>IF(OR(F102="",F96=""),"",IF(F96&lt;=0,"",IFERROR(F102/F96,"")))</f>
        <v/>
      </c>
      <c r="G103" s="15">
        <f>IF(OR(G102="",G96=""),"",IF(G96&lt;=0,"",IFERROR(G102/G96,"")))</f>
        <v/>
      </c>
      <c r="H103" s="15">
        <f>IF(OR(H102="",H96=""),"",IF(H96&lt;=0,"",IFERROR(H102/H96,"")))</f>
        <v/>
      </c>
      <c r="I103" s="15">
        <f>IF(OR(I102="",I96=""),"",IF(I96&lt;=0,"",IFERROR(I102/I96,"")))</f>
        <v/>
      </c>
      <c r="J103" s="15">
        <f>IF(OR(J102="",J96=""),"",IF(J96&lt;=0,"",IFERROR(J102/J96,"")))</f>
        <v/>
      </c>
      <c r="K103" s="15">
        <f>IF(OR(K102="",K96=""),"",IF(K96&lt;=0,"",IFERROR(K102/K96,"")))</f>
        <v/>
      </c>
      <c r="L103" s="15">
        <f>IF(OR(L102="",L96=""),"",IF(L96&lt;=0,"",IFERROR(L102/L96,"")))</f>
        <v/>
      </c>
      <c r="M103" s="15">
        <f>IF(OR(M102="",M96=""),"",IF(M96&lt;=0,"",IFERROR(M102/M96,"")))</f>
        <v/>
      </c>
      <c r="N103" s="15">
        <f>IF(OR(N102="",N96=""),"",IF(N96&lt;=0,"",IFERROR(N102/N96,"")))</f>
        <v/>
      </c>
      <c r="T103" s="15">
        <f>IF(OR(T102="",T96=""),"",IF(T96&lt;=0,"",IFERROR(T102/T96,"")))</f>
        <v/>
      </c>
      <c r="U103" s="15">
        <f>IF(OR(U102="",U96=""),"",IF(U96&lt;=0,"",IFERROR(U102/U96,"")))</f>
        <v/>
      </c>
      <c r="V103" s="15">
        <f>IF(OR(V102="",V96=""),"",IF(V96&lt;=0,"",IFERROR(V102/V96,"")))</f>
        <v/>
      </c>
      <c r="W103" s="15">
        <f>IF(OR(W102="",W96=""),"",IF(W96&lt;=0,"",IFERROR(W102/W96,"")))</f>
        <v/>
      </c>
      <c r="X103" s="15">
        <f>IF(OR(X102="",X96=""),"",IF(X96&lt;=0,"",IFERROR(X102/X96,"")))</f>
        <v/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IF(OR(G102="",C102=""),"",IF(C102&lt;=0,"",IFERROR(G102/C102-1,"")))</f>
        <v/>
      </c>
      <c r="H104" s="15">
        <f>IF(OR(H102="",D102=""),"",IF(D102&lt;=0,"",IFERROR(H102/D102-1,"")))</f>
        <v/>
      </c>
      <c r="I104" s="15">
        <f>IF(OR(I102="",E102=""),"",IF(E102&lt;=0,"",IFERROR(I102/E102-1,"")))</f>
        <v/>
      </c>
      <c r="J104" s="15">
        <f>IF(OR(J102="",F102=""),"",IF(F102&lt;=0,"",IFERROR(J102/F102-1,"")))</f>
        <v/>
      </c>
      <c r="K104" s="15">
        <f>IF(OR(K102="",G102=""),"",IF(G102&lt;=0,"",IFERROR(K102/G102-1,"")))</f>
        <v/>
      </c>
      <c r="L104" s="15">
        <f>IF(OR(L102="",H102=""),"",IF(H102&lt;=0,"",IFERROR(L102/H102-1,"")))</f>
        <v/>
      </c>
      <c r="M104" s="15">
        <f>IF(OR(M102="",I102=""),"",IF(I102&lt;=0,"",IFERROR(M102/I102-1,"")))</f>
        <v/>
      </c>
      <c r="N104" s="15">
        <f>IF(OR(N102="",J102=""),"",IF(J102&lt;=0,"",IFERROR(N102/J102-1,"")))</f>
        <v/>
      </c>
      <c r="T104" s="15">
        <f>IF(OR(T102="",S102=""),"",IF(S102&lt;=0,"",IFERROR(T102/S102-1,"")))</f>
        <v/>
      </c>
      <c r="U104" s="15">
        <f>IF(OR(U102="",T102=""),"",IF(T102&lt;=0,"",IFERROR(U102/T102-1,"")))</f>
        <v/>
      </c>
      <c r="V104" s="15">
        <f>IF(OR(V102="",U102=""),"",IF(U102&lt;=0,"",IFERROR(V102/U102-1,"")))</f>
        <v/>
      </c>
      <c r="W104" s="15">
        <f>IF(OR(W102="",V102=""),"",IF(V102&lt;=0,"",IFERROR(W102/V102-1,"")))</f>
        <v/>
      </c>
      <c r="X104" s="15">
        <f>IF(OR(X102="",W102=""),"",IF(W102&lt;=0,"",IFERROR(X102/W102-1,"")))</f>
        <v/>
      </c>
    </row>
    <row r="105">
      <c r="A105" s="18" t="inlineStr">
        <is>
          <t>이자수익</t>
        </is>
      </c>
      <c r="C105" s="20" t="n">
        <v>17994</v>
      </c>
      <c r="D105" s="20" t="n">
        <v>21597</v>
      </c>
      <c r="E105" s="20" t="n">
        <v>21282</v>
      </c>
      <c r="F105" s="20" t="n">
        <v>23260</v>
      </c>
      <c r="G105" s="20" t="n">
        <v>21330</v>
      </c>
      <c r="H105" s="20" t="n">
        <v>20860</v>
      </c>
      <c r="I105" s="20" t="n">
        <v>17358</v>
      </c>
      <c r="J105" s="20" t="n">
        <v>14610</v>
      </c>
      <c r="K105" s="20" t="n">
        <v>14967</v>
      </c>
      <c r="L105" s="20" t="n">
        <v>15992</v>
      </c>
      <c r="M105" s="20" t="n">
        <v>14792</v>
      </c>
      <c r="N105" s="20" t="n">
        <v>16341</v>
      </c>
      <c r="T105" s="20" t="n">
        <v>568</v>
      </c>
      <c r="U105" s="20" t="n">
        <v>9509</v>
      </c>
      <c r="V105" s="20" t="n">
        <v>21597</v>
      </c>
      <c r="W105" s="20" t="n">
        <v>20860</v>
      </c>
      <c r="X105" s="20" t="n">
        <v>15992</v>
      </c>
    </row>
    <row r="106">
      <c r="A106" s="18" t="inlineStr">
        <is>
          <t>지분법이익</t>
        </is>
      </c>
      <c r="T106" s="20" t="n">
        <v>1979</v>
      </c>
      <c r="U106" s="20" t="n">
        <v>2658</v>
      </c>
    </row>
    <row r="107">
      <c r="A107" s="18" t="inlineStr">
        <is>
          <t>외환차익</t>
        </is>
      </c>
      <c r="E107" s="20" t="n">
        <v>6729</v>
      </c>
      <c r="F107" s="20" t="n">
        <v>-6729</v>
      </c>
      <c r="I107" s="20" t="n">
        <v>0</v>
      </c>
      <c r="T107" s="20" t="n">
        <v>11692</v>
      </c>
      <c r="U107" s="20" t="n">
        <v>0</v>
      </c>
    </row>
    <row r="108">
      <c r="A108" s="18" t="inlineStr">
        <is>
          <t>기타</t>
        </is>
      </c>
      <c r="C108" s="20" t="n">
        <v>6704</v>
      </c>
      <c r="D108" s="20" t="n">
        <v>1933</v>
      </c>
      <c r="E108" s="20" t="n">
        <v>4390</v>
      </c>
      <c r="F108" s="20" t="n">
        <v>2837</v>
      </c>
      <c r="G108" s="20" t="n">
        <v>5008</v>
      </c>
      <c r="H108" s="20" t="n">
        <v>3938</v>
      </c>
      <c r="I108" s="20" t="n">
        <v>4302</v>
      </c>
      <c r="J108" s="20" t="n">
        <v>3919</v>
      </c>
      <c r="K108" s="20" t="n">
        <v>10090</v>
      </c>
      <c r="L108" s="20" t="n">
        <v>7163</v>
      </c>
      <c r="M108" s="20" t="n">
        <v>8086</v>
      </c>
      <c r="N108" s="20" t="n">
        <v>4614</v>
      </c>
      <c r="T108" s="20" t="n">
        <v>1007</v>
      </c>
      <c r="U108" s="20" t="n">
        <v>790</v>
      </c>
      <c r="V108" s="20" t="n">
        <v>1933</v>
      </c>
      <c r="W108" s="20" t="n">
        <v>3938</v>
      </c>
      <c r="X108" s="20" t="n">
        <v>7163</v>
      </c>
    </row>
    <row r="109">
      <c r="A109" s="18" t="inlineStr">
        <is>
          <t>영업외수익 합계</t>
        </is>
      </c>
      <c r="C109" s="20" t="n">
        <v>11612</v>
      </c>
      <c r="D109" s="20" t="n">
        <v>37178</v>
      </c>
      <c r="E109" s="20" t="n">
        <v>32401</v>
      </c>
      <c r="F109" s="20" t="n">
        <v>19369</v>
      </c>
      <c r="G109" s="20" t="n">
        <v>26338</v>
      </c>
      <c r="H109" s="20" t="n">
        <v>24798</v>
      </c>
      <c r="I109" s="20" t="n">
        <v>21661</v>
      </c>
      <c r="J109" s="20" t="n">
        <v>18528</v>
      </c>
      <c r="K109" s="20" t="n">
        <v>25057</v>
      </c>
      <c r="L109" s="20" t="n">
        <v>23155</v>
      </c>
      <c r="M109" s="20" t="n">
        <v>22878</v>
      </c>
      <c r="N109" s="20" t="n">
        <v>20956</v>
      </c>
      <c r="T109" s="20" t="n">
        <v>15245</v>
      </c>
      <c r="U109" s="20" t="n">
        <v>10299</v>
      </c>
      <c r="V109" s="20" t="n">
        <v>37178</v>
      </c>
      <c r="W109" s="20" t="n">
        <v>24798</v>
      </c>
      <c r="X109" s="20" t="n">
        <v>23155</v>
      </c>
    </row>
    <row r="110">
      <c r="A110" s="18" t="inlineStr">
        <is>
          <t>이자비용</t>
        </is>
      </c>
      <c r="D110" s="20" t="n">
        <v>384</v>
      </c>
      <c r="G110" s="20" t="n">
        <v>664</v>
      </c>
      <c r="H110" s="20" t="n">
        <v>59</v>
      </c>
      <c r="K110" s="20" t="n">
        <v>914</v>
      </c>
      <c r="L110" s="20" t="n">
        <v>390</v>
      </c>
      <c r="U110" s="20" t="n">
        <v>401</v>
      </c>
      <c r="V110" s="20" t="n">
        <v>384</v>
      </c>
      <c r="W110" s="20" t="n">
        <v>59</v>
      </c>
      <c r="X110" s="20" t="n">
        <v>390</v>
      </c>
    </row>
    <row r="111">
      <c r="A111" s="18" t="inlineStr">
        <is>
          <t>고정자산 제각손실</t>
        </is>
      </c>
      <c r="C111" s="20" t="n">
        <v>377</v>
      </c>
      <c r="D111" s="20" t="n">
        <v>671</v>
      </c>
      <c r="T111" s="20" t="n">
        <v>1850</v>
      </c>
      <c r="U111" s="20" t="n">
        <v>2705</v>
      </c>
      <c r="V111" s="20" t="n">
        <v>671</v>
      </c>
    </row>
    <row r="112">
      <c r="A112" s="18" t="inlineStr">
        <is>
          <t>외환차손</t>
        </is>
      </c>
      <c r="C112" s="20" t="n">
        <v>0</v>
      </c>
      <c r="D112" s="20" t="n">
        <v>0</v>
      </c>
      <c r="E112" s="20" t="n">
        <v>0</v>
      </c>
      <c r="F112" s="20" t="n">
        <v>9439</v>
      </c>
      <c r="G112" s="20" t="n">
        <v>1352</v>
      </c>
      <c r="H112" s="20" t="n">
        <v>-104</v>
      </c>
      <c r="I112" s="20" t="n">
        <v>4660</v>
      </c>
      <c r="J112" s="20" t="n">
        <v>-1939</v>
      </c>
      <c r="T112" s="20" t="n">
        <v>0</v>
      </c>
      <c r="U112" s="20" t="n">
        <v>-742</v>
      </c>
      <c r="V112" s="20" t="n">
        <v>0</v>
      </c>
      <c r="W112" s="20" t="n">
        <v>-104</v>
      </c>
    </row>
    <row r="113">
      <c r="A113" s="18" t="inlineStr">
        <is>
          <t>기타</t>
        </is>
      </c>
      <c r="C113" s="20" t="n">
        <v>997</v>
      </c>
      <c r="D113" s="20" t="n">
        <v>4965</v>
      </c>
      <c r="E113" s="20" t="n">
        <v>3614</v>
      </c>
      <c r="F113" s="20" t="n">
        <v>868</v>
      </c>
      <c r="G113" s="20" t="n">
        <v>12542</v>
      </c>
      <c r="H113" s="20" t="n">
        <v>1864</v>
      </c>
      <c r="I113" s="20" t="n">
        <v>2183</v>
      </c>
      <c r="J113" s="20" t="n">
        <v>1881</v>
      </c>
      <c r="K113" s="20" t="n">
        <v>-523</v>
      </c>
      <c r="L113" s="20" t="n">
        <v>5225</v>
      </c>
      <c r="T113" s="20" t="n">
        <v>4492</v>
      </c>
      <c r="U113" s="20" t="n">
        <v>-2023</v>
      </c>
      <c r="V113" s="20" t="n">
        <v>4965</v>
      </c>
      <c r="W113" s="20" t="n">
        <v>1864</v>
      </c>
      <c r="X113" s="20" t="n">
        <v>5225</v>
      </c>
    </row>
    <row r="114">
      <c r="A114" s="18" t="inlineStr">
        <is>
          <t>영업외비용 합계</t>
        </is>
      </c>
      <c r="C114" s="20" t="n">
        <v>997</v>
      </c>
      <c r="D114" s="20" t="n">
        <v>7192</v>
      </c>
      <c r="E114" s="20" t="n">
        <v>3614</v>
      </c>
      <c r="F114" s="20" t="n">
        <v>10935</v>
      </c>
      <c r="G114" s="20" t="n">
        <v>3767</v>
      </c>
      <c r="H114" s="20" t="n">
        <v>6151</v>
      </c>
      <c r="I114" s="20" t="n">
        <v>6843</v>
      </c>
      <c r="J114" s="20" t="n">
        <v>-57</v>
      </c>
      <c r="K114" s="20" t="n">
        <v>-928</v>
      </c>
      <c r="L114" s="20" t="n">
        <v>9465</v>
      </c>
      <c r="M114" s="20" t="n">
        <v>4547</v>
      </c>
      <c r="N114" s="20" t="n">
        <v>10096</v>
      </c>
      <c r="T114" s="20" t="n">
        <v>7325</v>
      </c>
      <c r="U114" s="20" t="n">
        <v>4280</v>
      </c>
      <c r="V114" s="20" t="n">
        <v>7192</v>
      </c>
      <c r="W114" s="20" t="n">
        <v>6151</v>
      </c>
      <c r="X114" s="20" t="n">
        <v>9465</v>
      </c>
    </row>
    <row r="115">
      <c r="A115" s="9" t="inlineStr">
        <is>
          <t>경상이익</t>
        </is>
      </c>
      <c r="C115" s="12" t="n">
        <v>188224</v>
      </c>
      <c r="D115" s="12" t="n">
        <v>171496</v>
      </c>
      <c r="E115" s="12" t="n">
        <v>219810</v>
      </c>
      <c r="F115" s="12" t="n">
        <v>223114</v>
      </c>
      <c r="G115" s="12" t="n">
        <v>201307</v>
      </c>
      <c r="H115" s="12" t="n">
        <v>176312</v>
      </c>
      <c r="I115" s="12" t="n">
        <v>181621</v>
      </c>
      <c r="J115" s="12" t="n">
        <v>185718</v>
      </c>
      <c r="K115" s="12" t="n">
        <v>190075</v>
      </c>
      <c r="L115" s="12" t="n">
        <v>150867</v>
      </c>
      <c r="M115" s="12" t="n">
        <v>192129</v>
      </c>
      <c r="N115" s="12" t="n">
        <v>222979</v>
      </c>
      <c r="T115" s="12" t="n">
        <v>204130</v>
      </c>
      <c r="U115" s="12" t="n">
        <v>195994</v>
      </c>
      <c r="V115" s="12" t="n">
        <v>171496</v>
      </c>
      <c r="W115" s="12" t="n">
        <v>176312</v>
      </c>
      <c r="X115" s="12" t="n">
        <v>150867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투자유가증권 매각이익</t>
        </is>
      </c>
      <c r="C117" s="20" t="n">
        <v>1602</v>
      </c>
      <c r="D117" s="20" t="n">
        <v>5227</v>
      </c>
      <c r="E117" s="20" t="n">
        <v>950</v>
      </c>
      <c r="F117" s="20" t="n">
        <v>959</v>
      </c>
      <c r="G117" s="20" t="n">
        <v>8931</v>
      </c>
      <c r="H117" s="20" t="n">
        <v>163</v>
      </c>
      <c r="I117" s="20" t="n">
        <v>2924</v>
      </c>
      <c r="J117" s="20" t="n">
        <v>6741</v>
      </c>
      <c r="K117" s="20" t="n">
        <v>839</v>
      </c>
      <c r="L117" s="20" t="n">
        <v>68</v>
      </c>
      <c r="M117" s="20" t="n">
        <v>2271</v>
      </c>
      <c r="N117" s="20" t="n">
        <v>3969</v>
      </c>
      <c r="U117" s="20" t="n">
        <v>0</v>
      </c>
      <c r="V117" s="20" t="n">
        <v>5227</v>
      </c>
      <c r="W117" s="20" t="n">
        <v>163</v>
      </c>
      <c r="X117" s="20" t="n">
        <v>68</v>
      </c>
    </row>
    <row r="118">
      <c r="A118" s="18" t="inlineStr">
        <is>
          <t>단계적 취득 차익</t>
        </is>
      </c>
      <c r="C118" s="20" t="n">
        <v>0</v>
      </c>
      <c r="D118" s="20" t="n">
        <v>0</v>
      </c>
      <c r="G118" s="20" t="n">
        <v>0</v>
      </c>
      <c r="H118" s="20" t="n">
        <v>0</v>
      </c>
      <c r="K118" s="20" t="n">
        <v>0</v>
      </c>
      <c r="L118" s="20" t="n">
        <v>0</v>
      </c>
      <c r="V118" s="20" t="n">
        <v>0</v>
      </c>
      <c r="W118" s="20" t="n">
        <v>0</v>
      </c>
      <c r="X118" s="20" t="n">
        <v>0</v>
      </c>
    </row>
    <row r="119">
      <c r="A119" s="18" t="inlineStr">
        <is>
          <t>특별이익 합계</t>
        </is>
      </c>
      <c r="C119" s="20" t="n">
        <v>1602</v>
      </c>
      <c r="D119" s="20" t="n">
        <v>9651</v>
      </c>
      <c r="E119" s="20" t="n">
        <v>950</v>
      </c>
      <c r="F119" s="20" t="n">
        <v>6381</v>
      </c>
      <c r="G119" s="20" t="n">
        <v>8931</v>
      </c>
      <c r="H119" s="20" t="n">
        <v>163</v>
      </c>
      <c r="I119" s="20" t="n">
        <v>2924</v>
      </c>
      <c r="J119" s="20" t="n">
        <v>6741</v>
      </c>
      <c r="K119" s="20" t="n">
        <v>839</v>
      </c>
      <c r="L119" s="20" t="n">
        <v>68</v>
      </c>
      <c r="M119" s="20" t="n">
        <v>2271</v>
      </c>
      <c r="N119" s="20" t="n">
        <v>3969</v>
      </c>
      <c r="U119" s="20" t="n">
        <v>0</v>
      </c>
      <c r="V119" s="20" t="n">
        <v>9651</v>
      </c>
      <c r="W119" s="20" t="n">
        <v>163</v>
      </c>
      <c r="X119" s="20" t="n">
        <v>68</v>
      </c>
    </row>
    <row r="120">
      <c r="A120" s="18" t="inlineStr">
        <is>
          <t>사업 재구축 비용</t>
        </is>
      </c>
      <c r="D120" s="20" t="n">
        <v>45</v>
      </c>
      <c r="H120" s="20" t="n">
        <v>7843</v>
      </c>
      <c r="U120" s="20" t="n">
        <v>0</v>
      </c>
      <c r="V120" s="20" t="n">
        <v>45</v>
      </c>
      <c r="W120" s="20" t="n">
        <v>7843</v>
      </c>
    </row>
    <row r="121">
      <c r="A121" s="18" t="inlineStr">
        <is>
          <t>특별손실 합계</t>
        </is>
      </c>
      <c r="D121" s="20" t="n">
        <v>45</v>
      </c>
      <c r="H121" s="20" t="n">
        <v>10739</v>
      </c>
      <c r="U121" s="20" t="n">
        <v>0</v>
      </c>
      <c r="V121" s="20" t="n">
        <v>45</v>
      </c>
      <c r="W121" s="20" t="n">
        <v>10739</v>
      </c>
    </row>
    <row r="122">
      <c r="A122" s="9" t="inlineStr">
        <is>
          <t>법인세차감전 순이익</t>
        </is>
      </c>
      <c r="C122" s="12" t="n">
        <v>174714</v>
      </c>
      <c r="D122" s="12" t="n">
        <v>181102</v>
      </c>
      <c r="E122" s="12" t="n">
        <v>220761</v>
      </c>
      <c r="F122" s="12" t="n">
        <v>229494</v>
      </c>
      <c r="G122" s="12" t="n">
        <v>210238</v>
      </c>
      <c r="H122" s="12" t="n">
        <v>165736</v>
      </c>
      <c r="I122" s="12" t="n">
        <v>184546</v>
      </c>
      <c r="J122" s="12" t="n">
        <v>192459</v>
      </c>
      <c r="K122" s="12" t="n">
        <v>190913</v>
      </c>
      <c r="L122" s="12" t="n">
        <v>140570</v>
      </c>
      <c r="M122" s="12" t="n">
        <v>194401</v>
      </c>
      <c r="N122" s="12" t="n">
        <v>226948</v>
      </c>
      <c r="T122" s="12" t="n">
        <v>205833</v>
      </c>
      <c r="U122" s="12" t="n">
        <v>195994</v>
      </c>
      <c r="V122" s="12" t="n">
        <v>181102</v>
      </c>
      <c r="W122" s="12" t="n">
        <v>165736</v>
      </c>
      <c r="X122" s="12" t="n">
        <v>140570</v>
      </c>
    </row>
    <row r="123">
      <c r="A123" s="18" t="inlineStr">
        <is>
          <t>법인세·주민세·사업세</t>
        </is>
      </c>
      <c r="C123" s="20" t="n">
        <v>55614</v>
      </c>
      <c r="D123" s="20" t="n">
        <v>48107</v>
      </c>
      <c r="E123" s="20" t="n">
        <v>55273</v>
      </c>
      <c r="F123" s="20" t="n">
        <v>61256</v>
      </c>
      <c r="G123" s="20" t="n">
        <v>46095</v>
      </c>
      <c r="H123" s="20" t="n">
        <v>48447</v>
      </c>
      <c r="I123" s="20" t="n">
        <v>47191</v>
      </c>
      <c r="J123" s="20" t="n">
        <v>58308</v>
      </c>
      <c r="K123" s="20" t="n">
        <v>50264</v>
      </c>
      <c r="L123" s="20" t="n">
        <v>41636</v>
      </c>
      <c r="M123" s="20" t="n">
        <v>53695</v>
      </c>
      <c r="N123" s="20" t="n">
        <v>73642</v>
      </c>
      <c r="T123" s="20" t="n">
        <v>55953</v>
      </c>
      <c r="U123" s="20" t="n">
        <v>44335</v>
      </c>
      <c r="V123" s="20" t="n">
        <v>48107</v>
      </c>
      <c r="W123" s="20" t="n">
        <v>48447</v>
      </c>
      <c r="X123" s="20" t="n">
        <v>41636</v>
      </c>
    </row>
    <row r="124">
      <c r="A124" s="18" t="inlineStr">
        <is>
          <t>법인세 조정액</t>
        </is>
      </c>
      <c r="C124" s="20" t="n">
        <v>292</v>
      </c>
      <c r="D124" s="20" t="n">
        <v>8829</v>
      </c>
      <c r="E124" s="20" t="n">
        <v>10839</v>
      </c>
      <c r="F124" s="20" t="n">
        <v>4639</v>
      </c>
      <c r="G124" s="20" t="n">
        <v>13746</v>
      </c>
      <c r="H124" s="20" t="n">
        <v>5832</v>
      </c>
      <c r="I124" s="20" t="n">
        <v>2691</v>
      </c>
      <c r="J124" s="20" t="n">
        <v>-5591</v>
      </c>
      <c r="K124" s="20" t="n">
        <v>6114</v>
      </c>
      <c r="L124" s="20" t="n">
        <v>1584</v>
      </c>
      <c r="M124" s="20" t="n">
        <v>3601</v>
      </c>
      <c r="N124" s="20" t="n">
        <v>-10525</v>
      </c>
      <c r="T124" s="20" t="n">
        <v>-6248</v>
      </c>
      <c r="U124" s="20" t="n">
        <v>9162</v>
      </c>
      <c r="V124" s="20" t="n">
        <v>8829</v>
      </c>
      <c r="W124" s="20" t="n">
        <v>5832</v>
      </c>
      <c r="X124" s="20" t="n">
        <v>1584</v>
      </c>
    </row>
    <row r="125">
      <c r="A125" s="18" t="inlineStr">
        <is>
          <t>법인세 등 합계</t>
        </is>
      </c>
      <c r="C125" s="20" t="n">
        <v>55906</v>
      </c>
      <c r="D125" s="20" t="n">
        <v>56936</v>
      </c>
      <c r="E125" s="20" t="n">
        <v>66113</v>
      </c>
      <c r="F125" s="20" t="n">
        <v>65895</v>
      </c>
      <c r="G125" s="20" t="n">
        <v>59840</v>
      </c>
      <c r="H125" s="20" t="n">
        <v>54280</v>
      </c>
      <c r="I125" s="20" t="n">
        <v>49883</v>
      </c>
      <c r="J125" s="20" t="n">
        <v>52715</v>
      </c>
      <c r="K125" s="20" t="n">
        <v>56380</v>
      </c>
      <c r="L125" s="20" t="n">
        <v>43220</v>
      </c>
      <c r="M125" s="20" t="n">
        <v>57296</v>
      </c>
      <c r="N125" s="20" t="n">
        <v>63116</v>
      </c>
      <c r="T125" s="20" t="n">
        <v>49705</v>
      </c>
      <c r="U125" s="20" t="n">
        <v>53497</v>
      </c>
      <c r="V125" s="20" t="n">
        <v>56936</v>
      </c>
      <c r="W125" s="20" t="n">
        <v>54280</v>
      </c>
      <c r="X125" s="20" t="n">
        <v>43220</v>
      </c>
    </row>
    <row r="126">
      <c r="A126" s="9" t="inlineStr">
        <is>
          <t>순이익</t>
        </is>
      </c>
      <c r="C126" s="12" t="n">
        <v>118808</v>
      </c>
      <c r="D126" s="12" t="n">
        <v>124166</v>
      </c>
      <c r="E126" s="12" t="n">
        <v>154647</v>
      </c>
      <c r="F126" s="12" t="n">
        <v>163600</v>
      </c>
      <c r="G126" s="12" t="n">
        <v>150398</v>
      </c>
      <c r="H126" s="12" t="n">
        <v>111456</v>
      </c>
      <c r="I126" s="12" t="n">
        <v>134662</v>
      </c>
      <c r="J126" s="12" t="n">
        <v>139744</v>
      </c>
      <c r="K126" s="12" t="n">
        <v>134534</v>
      </c>
      <c r="L126" s="12" t="n">
        <v>97349</v>
      </c>
      <c r="M126" s="12" t="n">
        <v>137104</v>
      </c>
      <c r="N126" s="12" t="n">
        <v>163833</v>
      </c>
      <c r="T126" s="12" t="n">
        <v>156129</v>
      </c>
      <c r="U126" s="12" t="n">
        <v>142497</v>
      </c>
      <c r="V126" s="12" t="n">
        <v>124166</v>
      </c>
      <c r="W126" s="12" t="n">
        <v>111456</v>
      </c>
      <c r="X126" s="12" t="n">
        <v>97349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9" t="inlineStr">
        <is>
          <t>비지배주주 순이익</t>
        </is>
      </c>
      <c r="C128" s="12" t="n">
        <v>13719</v>
      </c>
      <c r="D128" s="12" t="n">
        <v>10555</v>
      </c>
      <c r="E128" s="12" t="n">
        <v>10626</v>
      </c>
      <c r="F128" s="12" t="n">
        <v>13504</v>
      </c>
      <c r="G128" s="12" t="n">
        <v>11975</v>
      </c>
      <c r="H128" s="12" t="n">
        <v>9975</v>
      </c>
      <c r="I128" s="12" t="n">
        <v>8233</v>
      </c>
      <c r="J128" s="12" t="n">
        <v>8329</v>
      </c>
      <c r="K128" s="12" t="n">
        <v>8057</v>
      </c>
      <c r="L128" s="12" t="n">
        <v>7211</v>
      </c>
      <c r="M128" s="12" t="n">
        <v>6275</v>
      </c>
      <c r="N128" s="12" t="n">
        <v>7722</v>
      </c>
      <c r="T128" s="12" t="n">
        <v>9146</v>
      </c>
      <c r="U128" s="12" t="n">
        <v>12778</v>
      </c>
      <c r="V128" s="12" t="n">
        <v>10555</v>
      </c>
      <c r="W128" s="12" t="n">
        <v>9975</v>
      </c>
      <c r="X128" s="12" t="n">
        <v>7211</v>
      </c>
    </row>
    <row r="129">
      <c r="A129" s="9" t="inlineStr">
        <is>
          <t>지배주주 순이익</t>
        </is>
      </c>
      <c r="C129" s="12" t="n">
        <v>105090</v>
      </c>
      <c r="D129" s="12" t="n">
        <v>113611</v>
      </c>
      <c r="E129" s="12" t="n">
        <v>144021</v>
      </c>
      <c r="F129" s="12" t="n">
        <v>150096</v>
      </c>
      <c r="G129" s="12" t="n">
        <v>138422</v>
      </c>
      <c r="H129" s="12" t="n">
        <v>101482</v>
      </c>
      <c r="I129" s="12" t="n">
        <v>126428</v>
      </c>
      <c r="J129" s="12" t="n">
        <v>131416</v>
      </c>
      <c r="K129" s="12" t="n">
        <v>126476</v>
      </c>
      <c r="L129" s="12" t="n">
        <v>90139</v>
      </c>
      <c r="M129" s="12" t="n">
        <v>130829</v>
      </c>
      <c r="N129" s="12" t="n">
        <v>156110</v>
      </c>
      <c r="T129" s="12" t="n">
        <v>146982</v>
      </c>
      <c r="U129" s="12" t="n">
        <v>129719</v>
      </c>
      <c r="V129" s="12" t="n">
        <v>113611</v>
      </c>
      <c r="W129" s="12" t="n">
        <v>101482</v>
      </c>
      <c r="X129" s="12" t="n">
        <v>90139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T130" s="15">
        <f>IF(OR(T129="",S129=""),"",IF(S129&lt;=0,"",IFERROR(T129/S129-1,"")))</f>
        <v/>
      </c>
      <c r="U130" s="15">
        <f>IF(OR(U129="",T129=""),"",IF(T129&lt;=0,"",IFERROR(U129/T129-1,"")))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2">
      <c r="A132" s="16" t="inlineStr">
        <is>
          <t>포괄손익 · 전 항목</t>
        </is>
      </c>
      <c r="B132" s="42" t="inlineStr">
        <is>
          <t>분기 = 3개월 단독</t>
        </is>
      </c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2024.3Q</t>
        </is>
      </c>
      <c r="D133" s="5" t="inlineStr">
        <is>
          <t>2024.4Q</t>
        </is>
      </c>
      <c r="E133" s="5" t="inlineStr">
        <is>
          <t>2025.1Q</t>
        </is>
      </c>
      <c r="F133" s="5" t="inlineStr">
        <is>
          <t>2025.2Q</t>
        </is>
      </c>
      <c r="G133" s="5" t="inlineStr">
        <is>
          <t>2025.3Q</t>
        </is>
      </c>
      <c r="H133" s="5" t="inlineStr">
        <is>
          <t>2025.4Q</t>
        </is>
      </c>
      <c r="I133" s="5" t="inlineStr">
        <is>
          <t>2026.1Q</t>
        </is>
      </c>
      <c r="J133" s="5" t="inlineStr">
        <is>
          <t>2026.2Q</t>
        </is>
      </c>
      <c r="K133" s="5" t="inlineStr">
        <is>
          <t>2026.3Q</t>
        </is>
      </c>
      <c r="L133" s="5" t="inlineStr">
        <is>
          <t>2026.4Q</t>
        </is>
      </c>
      <c r="M133" s="5" t="inlineStr">
        <is>
          <t>2027.1Q</t>
        </is>
      </c>
      <c r="N133" s="5" t="inlineStr">
        <is>
          <t>2027.2Q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9" t="inlineStr">
        <is>
          <t>순이익</t>
        </is>
      </c>
      <c r="C134" s="12" t="n">
        <v>118808</v>
      </c>
      <c r="D134" s="12" t="n">
        <v>124166</v>
      </c>
      <c r="E134" s="12" t="n">
        <v>154647</v>
      </c>
      <c r="F134" s="12" t="n">
        <v>163600</v>
      </c>
      <c r="G134" s="12" t="n">
        <v>150398</v>
      </c>
      <c r="H134" s="12" t="n">
        <v>111456</v>
      </c>
      <c r="I134" s="12" t="n">
        <v>134662</v>
      </c>
      <c r="J134" s="12" t="n">
        <v>139744</v>
      </c>
      <c r="K134" s="12" t="n">
        <v>134534</v>
      </c>
      <c r="L134" s="12" t="n">
        <v>97349</v>
      </c>
      <c r="M134" s="12" t="n">
        <v>137104</v>
      </c>
      <c r="N134" s="12" t="n">
        <v>163833</v>
      </c>
      <c r="T134" s="12" t="n">
        <v>156129</v>
      </c>
      <c r="U134" s="12" t="n">
        <v>142497</v>
      </c>
      <c r="V134" s="12" t="n">
        <v>124166</v>
      </c>
      <c r="W134" s="12" t="n">
        <v>111456</v>
      </c>
      <c r="X134" s="12" t="n">
        <v>97349</v>
      </c>
    </row>
    <row r="135">
      <c r="A135" s="18" t="inlineStr">
        <is>
          <t>기타유가증권 평가차액</t>
        </is>
      </c>
      <c r="C135" s="20" t="n">
        <v>-1840</v>
      </c>
      <c r="D135" s="20" t="n">
        <v>6187</v>
      </c>
      <c r="E135" s="20" t="n">
        <v>4813</v>
      </c>
      <c r="F135" s="20" t="n">
        <v>-8460</v>
      </c>
      <c r="G135" s="20" t="n">
        <v>-1522</v>
      </c>
      <c r="H135" s="20" t="n">
        <v>-2951</v>
      </c>
      <c r="I135" s="20" t="n">
        <v>816</v>
      </c>
      <c r="J135" s="20" t="n">
        <v>-573</v>
      </c>
      <c r="K135" s="20" t="n">
        <v>5477</v>
      </c>
      <c r="L135" s="20" t="n">
        <v>4267</v>
      </c>
      <c r="M135" s="20" t="n">
        <v>8414</v>
      </c>
      <c r="N135" s="20" t="n">
        <v>-1545</v>
      </c>
      <c r="T135" s="20" t="n">
        <v>-937</v>
      </c>
      <c r="U135" s="20" t="n">
        <v>3940</v>
      </c>
      <c r="V135" s="20" t="n">
        <v>6187</v>
      </c>
      <c r="W135" s="20" t="n">
        <v>-2951</v>
      </c>
      <c r="X135" s="20" t="n">
        <v>4267</v>
      </c>
    </row>
    <row r="136">
      <c r="A136" s="18" t="inlineStr">
        <is>
          <t>이연헤지손익</t>
        </is>
      </c>
      <c r="C136" s="20" t="n">
        <v>2361</v>
      </c>
      <c r="D136" s="20" t="n">
        <v>-1907</v>
      </c>
      <c r="E136" s="20" t="n">
        <v>-2026</v>
      </c>
      <c r="F136" s="20" t="n">
        <v>3707</v>
      </c>
      <c r="G136" s="20" t="n">
        <v>-1701</v>
      </c>
      <c r="H136" s="20" t="n">
        <v>3730</v>
      </c>
      <c r="I136" s="20" t="n">
        <v>1168</v>
      </c>
      <c r="J136" s="20" t="n">
        <v>-2287</v>
      </c>
      <c r="K136" s="20" t="n">
        <v>-1199</v>
      </c>
      <c r="L136" s="20" t="n">
        <v>543</v>
      </c>
      <c r="M136" s="20" t="n">
        <v>-687</v>
      </c>
      <c r="N136" s="20" t="n">
        <v>1364</v>
      </c>
      <c r="T136" s="20" t="n">
        <v>-3165</v>
      </c>
      <c r="U136" s="20" t="n">
        <v>-2198</v>
      </c>
      <c r="V136" s="20" t="n">
        <v>-1907</v>
      </c>
      <c r="W136" s="20" t="n">
        <v>3730</v>
      </c>
      <c r="X136" s="20" t="n">
        <v>543</v>
      </c>
    </row>
    <row r="137">
      <c r="A137" s="18" t="inlineStr">
        <is>
          <t>해외사업환산조정</t>
        </is>
      </c>
      <c r="C137" s="20" t="n">
        <v>75740</v>
      </c>
      <c r="D137" s="20" t="n">
        <v>-125758</v>
      </c>
      <c r="E137" s="20" t="n">
        <v>169280</v>
      </c>
      <c r="F137" s="20" t="n">
        <v>179640</v>
      </c>
      <c r="G137" s="20" t="n">
        <v>-331073</v>
      </c>
      <c r="H137" s="20" t="n">
        <v>251399</v>
      </c>
      <c r="I137" s="20" t="n">
        <v>-141132</v>
      </c>
      <c r="J137" s="20" t="n">
        <v>-51474</v>
      </c>
      <c r="K137" s="20" t="n">
        <v>69341</v>
      </c>
      <c r="L137" s="20" t="n">
        <v>139141</v>
      </c>
      <c r="M137" s="20" t="n">
        <v>53928</v>
      </c>
      <c r="N137" s="20" t="n">
        <v>46936</v>
      </c>
      <c r="T137" s="20" t="n">
        <v>43535</v>
      </c>
      <c r="U137" s="20" t="n">
        <v>-199627</v>
      </c>
      <c r="V137" s="20" t="n">
        <v>-125758</v>
      </c>
      <c r="W137" s="20" t="n">
        <v>251399</v>
      </c>
      <c r="X137" s="20" t="n">
        <v>139141</v>
      </c>
    </row>
    <row r="138">
      <c r="A138" s="18" t="inlineStr">
        <is>
          <t>퇴직급여 조정액</t>
        </is>
      </c>
      <c r="C138" s="20" t="n">
        <v>-582</v>
      </c>
      <c r="D138" s="20" t="n">
        <v>4316</v>
      </c>
      <c r="E138" s="20" t="n">
        <v>-381</v>
      </c>
      <c r="F138" s="20" t="n">
        <v>-489</v>
      </c>
      <c r="G138" s="20" t="n">
        <v>-1371</v>
      </c>
      <c r="H138" s="20" t="n">
        <v>1137</v>
      </c>
      <c r="I138" s="20" t="n">
        <v>-1254</v>
      </c>
      <c r="J138" s="20" t="n">
        <v>-1108</v>
      </c>
      <c r="K138" s="20" t="n">
        <v>-925</v>
      </c>
      <c r="L138" s="20" t="n">
        <v>4443</v>
      </c>
      <c r="M138" s="20" t="n">
        <v>-1236</v>
      </c>
      <c r="N138" s="20" t="n">
        <v>-1093</v>
      </c>
      <c r="T138" s="20" t="n">
        <v>2912</v>
      </c>
      <c r="U138" s="20" t="n">
        <v>5404</v>
      </c>
      <c r="V138" s="20" t="n">
        <v>4316</v>
      </c>
      <c r="W138" s="20" t="n">
        <v>1137</v>
      </c>
      <c r="X138" s="20" t="n">
        <v>4443</v>
      </c>
    </row>
    <row r="139">
      <c r="A139" s="18" t="inlineStr">
        <is>
          <t>지분법 적용회사 지분 해당액</t>
        </is>
      </c>
      <c r="C139" s="20" t="n">
        <v>30</v>
      </c>
      <c r="D139" s="20" t="n">
        <v>-66</v>
      </c>
      <c r="E139" s="20" t="n">
        <v>260</v>
      </c>
      <c r="F139" s="20" t="n">
        <v>417</v>
      </c>
      <c r="G139" s="20" t="n">
        <v>-874</v>
      </c>
      <c r="H139" s="20" t="n">
        <v>509</v>
      </c>
      <c r="I139" s="20" t="n">
        <v>-729</v>
      </c>
      <c r="J139" s="20" t="n">
        <v>955</v>
      </c>
      <c r="K139" s="20" t="n">
        <v>-213</v>
      </c>
      <c r="L139" s="20" t="n">
        <v>283</v>
      </c>
      <c r="M139" s="20" t="n">
        <v>-115</v>
      </c>
      <c r="N139" s="20" t="n">
        <v>244</v>
      </c>
      <c r="T139" s="20" t="n">
        <v>242</v>
      </c>
      <c r="U139" s="20" t="n">
        <v>-497</v>
      </c>
      <c r="V139" s="20" t="n">
        <v>-66</v>
      </c>
      <c r="W139" s="20" t="n">
        <v>509</v>
      </c>
      <c r="X139" s="20" t="n">
        <v>283</v>
      </c>
    </row>
    <row r="140">
      <c r="A140" s="18" t="inlineStr">
        <is>
          <t>기타포괄손익 합계</t>
        </is>
      </c>
      <c r="C140" s="20" t="n">
        <v>75707</v>
      </c>
      <c r="D140" s="20" t="n">
        <v>-117227</v>
      </c>
      <c r="E140" s="20" t="n">
        <v>171947</v>
      </c>
      <c r="F140" s="20" t="n">
        <v>174815</v>
      </c>
      <c r="G140" s="20" t="n">
        <v>-336544</v>
      </c>
      <c r="H140" s="20" t="n">
        <v>253826</v>
      </c>
      <c r="I140" s="20" t="n">
        <v>-141131</v>
      </c>
      <c r="J140" s="20" t="n">
        <v>-54487</v>
      </c>
      <c r="K140" s="20" t="n">
        <v>72482</v>
      </c>
      <c r="L140" s="20" t="n">
        <v>148678</v>
      </c>
      <c r="M140" s="20" t="n">
        <v>60304</v>
      </c>
      <c r="N140" s="20" t="n">
        <v>45907</v>
      </c>
      <c r="T140" s="20" t="n">
        <v>42586</v>
      </c>
      <c r="U140" s="20" t="n">
        <v>-192976</v>
      </c>
      <c r="V140" s="20" t="n">
        <v>-117227</v>
      </c>
      <c r="W140" s="20" t="n">
        <v>253826</v>
      </c>
      <c r="X140" s="20" t="n">
        <v>148678</v>
      </c>
    </row>
    <row r="141">
      <c r="A141" s="9" t="inlineStr">
        <is>
          <t>포괄이익</t>
        </is>
      </c>
      <c r="C141" s="12" t="n">
        <v>194516</v>
      </c>
      <c r="D141" s="12" t="n">
        <v>6939</v>
      </c>
      <c r="E141" s="12" t="n">
        <v>326595</v>
      </c>
      <c r="F141" s="12" t="n">
        <v>338415</v>
      </c>
      <c r="G141" s="12" t="n">
        <v>-186147</v>
      </c>
      <c r="H141" s="12" t="n">
        <v>365283</v>
      </c>
      <c r="I141" s="12" t="n">
        <v>-6468</v>
      </c>
      <c r="J141" s="12" t="n">
        <v>85256</v>
      </c>
      <c r="K141" s="12" t="n">
        <v>207015</v>
      </c>
      <c r="L141" s="12" t="n">
        <v>246029</v>
      </c>
      <c r="M141" s="12" t="n">
        <v>197408</v>
      </c>
      <c r="N141" s="12" t="n">
        <v>209740</v>
      </c>
      <c r="T141" s="12" t="n">
        <v>198714</v>
      </c>
      <c r="U141" s="12" t="n">
        <v>-50479</v>
      </c>
      <c r="V141" s="12" t="n">
        <v>6939</v>
      </c>
      <c r="W141" s="12" t="n">
        <v>365283</v>
      </c>
      <c r="X141" s="12" t="n">
        <v>246029</v>
      </c>
    </row>
    <row r="142">
      <c r="A142" s="9" t="inlineStr">
        <is>
          <t>지배주주 포괄이익</t>
        </is>
      </c>
      <c r="C142" s="12" t="n">
        <v>180006</v>
      </c>
      <c r="D142" s="12" t="n">
        <v>-2460</v>
      </c>
      <c r="E142" s="12" t="n">
        <v>314155</v>
      </c>
      <c r="F142" s="12" t="n">
        <v>322588</v>
      </c>
      <c r="G142" s="12" t="n">
        <v>-194827</v>
      </c>
      <c r="H142" s="12" t="n">
        <v>354433</v>
      </c>
      <c r="I142" s="12" t="n">
        <v>-12708</v>
      </c>
      <c r="J142" s="12" t="n">
        <v>75985</v>
      </c>
      <c r="K142" s="12" t="n">
        <v>198497</v>
      </c>
      <c r="L142" s="12" t="n">
        <v>237074</v>
      </c>
      <c r="M142" s="12" t="n">
        <v>190618</v>
      </c>
      <c r="N142" s="12" t="n">
        <v>201242</v>
      </c>
      <c r="T142" s="12" t="n">
        <v>188328</v>
      </c>
      <c r="U142" s="12" t="n">
        <v>-60588</v>
      </c>
      <c r="V142" s="12" t="n">
        <v>-2460</v>
      </c>
      <c r="W142" s="12" t="n">
        <v>354433</v>
      </c>
      <c r="X142" s="12" t="n">
        <v>237074</v>
      </c>
    </row>
    <row r="143">
      <c r="A143" s="9" t="inlineStr">
        <is>
          <t>비지배주주 포괄이익</t>
        </is>
      </c>
      <c r="C143" s="12" t="n">
        <v>14510</v>
      </c>
      <c r="D143" s="12" t="n">
        <v>9399</v>
      </c>
      <c r="E143" s="12" t="n">
        <v>12440</v>
      </c>
      <c r="F143" s="12" t="n">
        <v>15826</v>
      </c>
      <c r="G143" s="12" t="n">
        <v>8681</v>
      </c>
      <c r="H143" s="12" t="n">
        <v>10849</v>
      </c>
      <c r="I143" s="12" t="n">
        <v>6239</v>
      </c>
      <c r="J143" s="12" t="n">
        <v>9271</v>
      </c>
      <c r="K143" s="12" t="n">
        <v>8519</v>
      </c>
      <c r="L143" s="12" t="n">
        <v>8954</v>
      </c>
      <c r="M143" s="12" t="n">
        <v>6789</v>
      </c>
      <c r="N143" s="12" t="n">
        <v>8499</v>
      </c>
      <c r="T143" s="12" t="n">
        <v>10386</v>
      </c>
      <c r="U143" s="12" t="n">
        <v>10109</v>
      </c>
      <c r="V143" s="12" t="n">
        <v>9399</v>
      </c>
      <c r="W143" s="12" t="n">
        <v>10849</v>
      </c>
      <c r="X143" s="12" t="n">
        <v>8954</v>
      </c>
    </row>
    <row r="145">
      <c r="A145" s="16" t="inlineStr">
        <is>
          <t>부문 · 전 항목</t>
        </is>
      </c>
      <c r="B145" s="42" t="inlineStr">
        <is>
          <t>부문 · 항목</t>
        </is>
      </c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2024.3Q</t>
        </is>
      </c>
      <c r="D146" s="5" t="inlineStr">
        <is>
          <t>2024.4Q</t>
        </is>
      </c>
      <c r="E146" s="5" t="inlineStr">
        <is>
          <t>2025.1Q</t>
        </is>
      </c>
      <c r="F146" s="5" t="inlineStr">
        <is>
          <t>2025.2Q</t>
        </is>
      </c>
      <c r="G146" s="5" t="inlineStr">
        <is>
          <t>2025.3Q</t>
        </is>
      </c>
      <c r="H146" s="5" t="inlineStr">
        <is>
          <t>2025.4Q</t>
        </is>
      </c>
      <c r="I146" s="5" t="inlineStr">
        <is>
          <t>2026.1Q</t>
        </is>
      </c>
      <c r="J146" s="5" t="inlineStr">
        <is>
          <t>2026.2Q</t>
        </is>
      </c>
      <c r="K146" s="5" t="inlineStr">
        <is>
          <t>2026.3Q</t>
        </is>
      </c>
      <c r="L146" s="5" t="inlineStr">
        <is>
          <t>2026.4Q</t>
        </is>
      </c>
      <c r="M146" s="5" t="inlineStr">
        <is>
          <t>2027.1Q</t>
        </is>
      </c>
      <c r="N146" s="5" t="inlineStr">
        <is>
          <t>2027.2Q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18" t="inlineStr">
        <is>
          <t>전자재료 사업 · 외부 고객 매출</t>
        </is>
      </c>
      <c r="D147" s="20" t="n">
        <v>207867</v>
      </c>
      <c r="E147" s="20" t="n">
        <v>227065</v>
      </c>
      <c r="H147" s="20" t="n">
        <v>225130</v>
      </c>
      <c r="I147" s="20" t="n">
        <v>240229</v>
      </c>
      <c r="L147" s="20" t="n">
        <v>265425</v>
      </c>
      <c r="M147" s="20" t="n">
        <v>279271</v>
      </c>
      <c r="V147" s="20" t="n">
        <v>207867</v>
      </c>
      <c r="W147" s="20" t="n">
        <v>225130</v>
      </c>
      <c r="X147" s="20" t="n">
        <v>265425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생활환경 기반재료 사업 · 외부 고객 매출</t>
        </is>
      </c>
      <c r="E149" s="20" t="n">
        <v>232509</v>
      </c>
      <c r="I149" s="20" t="n">
        <v>244400</v>
      </c>
      <c r="M149" s="20" t="n">
        <v>227798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I150" s="15">
        <f>IF(OR(I149="",E149=""),"",IF(E149&lt;=0,"",IFERROR(I149/E149-1,"")))</f>
        <v/>
      </c>
      <c r="M150" s="15">
        <f>IF(OR(M149="",I149=""),"",IF(I149&lt;=0,"",IFERROR(M149/I149-1,"")))</f>
        <v/>
      </c>
    </row>
    <row r="151">
      <c r="A151" s="18" t="inlineStr">
        <is>
          <t>기능재료 사업 · 외부 고객 매출</t>
        </is>
      </c>
      <c r="D151" s="20" t="n">
        <v>98621</v>
      </c>
      <c r="E151" s="20" t="n">
        <v>106702</v>
      </c>
      <c r="H151" s="20" t="n">
        <v>107265</v>
      </c>
      <c r="I151" s="20" t="n">
        <v>110013</v>
      </c>
      <c r="L151" s="20" t="n">
        <v>107071</v>
      </c>
      <c r="M151" s="20" t="n">
        <v>118203</v>
      </c>
      <c r="V151" s="20" t="n">
        <v>98621</v>
      </c>
      <c r="W151" s="20" t="n">
        <v>107265</v>
      </c>
      <c r="X151" s="20" t="n">
        <v>107071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기타 관련 사업 · 외부 고객 매출</t>
        </is>
      </c>
      <c r="E153" s="20" t="n">
        <v>31653</v>
      </c>
      <c r="I153" s="20" t="n">
        <v>33904</v>
      </c>
      <c r="M153" s="20" t="n">
        <v>37151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I154" s="15">
        <f>IF(OR(I153="",E153=""),"",IF(E153&lt;=0,"",IFERROR(I153/E153-1,"")))</f>
        <v/>
      </c>
      <c r="M154" s="15">
        <f>IF(OR(M153="",I153=""),"",IF(I153&lt;=0,"",IFERROR(M153/I153-1,"")))</f>
        <v/>
      </c>
    </row>
    <row r="155">
      <c r="A155" s="18" t="inlineStr">
        <is>
          <t>보고부문 합계 · 외부 고객 매출</t>
        </is>
      </c>
      <c r="D155" s="20" t="n">
        <v>591534</v>
      </c>
      <c r="E155" s="20" t="n">
        <v>597930</v>
      </c>
      <c r="H155" s="20" t="n">
        <v>631551</v>
      </c>
      <c r="I155" s="20" t="n">
        <v>628549</v>
      </c>
      <c r="L155" s="20" t="n">
        <v>639969</v>
      </c>
      <c r="M155" s="20" t="n">
        <v>662424</v>
      </c>
      <c r="V155" s="20" t="n">
        <v>591534</v>
      </c>
      <c r="W155" s="20" t="n">
        <v>631551</v>
      </c>
      <c r="X155" s="20" t="n">
        <v>639969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조정액 · 외부 고객 매출</t>
        </is>
      </c>
      <c r="D157" s="20" t="n">
        <v>0</v>
      </c>
      <c r="E157" s="20" t="n">
        <v>0</v>
      </c>
      <c r="H157" s="20" t="n">
        <v>0</v>
      </c>
      <c r="I157" s="20" t="n">
        <v>0</v>
      </c>
      <c r="L157" s="20" t="n">
        <v>0</v>
      </c>
      <c r="M157" s="20" t="n">
        <v>0</v>
      </c>
      <c r="V157" s="20" t="n">
        <v>0</v>
      </c>
      <c r="W157" s="20" t="n">
        <v>0</v>
      </c>
      <c r="X157" s="20" t="n">
        <v>0</v>
      </c>
    </row>
    <row r="158">
      <c r="A158" s="9" t="inlineStr">
        <is>
          <t>외부 고객 매출</t>
        </is>
      </c>
      <c r="D158" s="12" t="n">
        <v>591534</v>
      </c>
      <c r="E158" s="12" t="n">
        <v>597930</v>
      </c>
      <c r="H158" s="12" t="n">
        <v>631551</v>
      </c>
      <c r="I158" s="12" t="n">
        <v>628549</v>
      </c>
      <c r="L158" s="12" t="n">
        <v>639969</v>
      </c>
      <c r="M158" s="12" t="n">
        <v>662424</v>
      </c>
      <c r="V158" s="12" t="n">
        <v>591534</v>
      </c>
      <c r="W158" s="12" t="n">
        <v>631551</v>
      </c>
      <c r="X158" s="12" t="n">
        <v>639969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전자재료 사업 · 부문 간 내부매출·대체</t>
        </is>
      </c>
      <c r="D160" s="20" t="n">
        <v>572</v>
      </c>
      <c r="E160" s="20" t="n">
        <v>751</v>
      </c>
      <c r="H160" s="20" t="n">
        <v>1354</v>
      </c>
      <c r="I160" s="20" t="n">
        <v>1226</v>
      </c>
      <c r="L160" s="20" t="n">
        <v>1816</v>
      </c>
      <c r="M160" s="20" t="n">
        <v>1650</v>
      </c>
      <c r="V160" s="20" t="n">
        <v>572</v>
      </c>
      <c r="W160" s="20" t="n">
        <v>1354</v>
      </c>
      <c r="X160" s="20" t="n">
        <v>1816</v>
      </c>
    </row>
    <row r="161">
      <c r="A161" s="18" t="inlineStr">
        <is>
          <t>생활환경 기반재료 사업 · 부문 간 내부매출·대체</t>
        </is>
      </c>
      <c r="E161" s="20" t="n">
        <v>1031</v>
      </c>
      <c r="I161" s="20" t="n">
        <v>1105</v>
      </c>
      <c r="M161" s="20" t="n">
        <v>1180</v>
      </c>
    </row>
    <row r="162">
      <c r="A162" s="18" t="inlineStr">
        <is>
          <t>기능재료 사업 · 부문 간 내부매출·대체</t>
        </is>
      </c>
      <c r="D162" s="20" t="n">
        <v>4149</v>
      </c>
      <c r="E162" s="20" t="n">
        <v>3602</v>
      </c>
      <c r="H162" s="20" t="n">
        <v>3335</v>
      </c>
      <c r="I162" s="20" t="n">
        <v>2950</v>
      </c>
      <c r="L162" s="20" t="n">
        <v>2878</v>
      </c>
      <c r="M162" s="20" t="n">
        <v>3762</v>
      </c>
      <c r="V162" s="20" t="n">
        <v>4149</v>
      </c>
      <c r="W162" s="20" t="n">
        <v>3335</v>
      </c>
      <c r="X162" s="20" t="n">
        <v>2878</v>
      </c>
    </row>
    <row r="163">
      <c r="A163" s="18" t="inlineStr">
        <is>
          <t>기타 관련 사업 · 부문 간 내부매출·대체</t>
        </is>
      </c>
      <c r="E163" s="20" t="n">
        <v>42211</v>
      </c>
      <c r="I163" s="20" t="n">
        <v>36112</v>
      </c>
      <c r="M163" s="20" t="n">
        <v>38897</v>
      </c>
    </row>
    <row r="164">
      <c r="A164" s="18" t="inlineStr">
        <is>
          <t>보고부문 합계 · 부문 간 내부매출·대체</t>
        </is>
      </c>
      <c r="D164" s="20" t="n">
        <v>44778</v>
      </c>
      <c r="E164" s="20" t="n">
        <v>47596</v>
      </c>
      <c r="H164" s="20" t="n">
        <v>38733</v>
      </c>
      <c r="I164" s="20" t="n">
        <v>41394</v>
      </c>
      <c r="L164" s="20" t="n">
        <v>55071</v>
      </c>
      <c r="M164" s="20" t="n">
        <v>45491</v>
      </c>
      <c r="V164" s="20" t="n">
        <v>44778</v>
      </c>
      <c r="W164" s="20" t="n">
        <v>38733</v>
      </c>
      <c r="X164" s="20" t="n">
        <v>55071</v>
      </c>
    </row>
    <row r="165">
      <c r="A165" s="18" t="inlineStr">
        <is>
          <t>조정액 · 부문 간 내부매출·대체</t>
        </is>
      </c>
      <c r="D165" s="20" t="n">
        <v>-44778</v>
      </c>
      <c r="E165" s="20" t="n">
        <v>-47596</v>
      </c>
      <c r="H165" s="20" t="n">
        <v>-38733</v>
      </c>
      <c r="I165" s="20" t="n">
        <v>-41394</v>
      </c>
      <c r="L165" s="20" t="n">
        <v>-55071</v>
      </c>
      <c r="M165" s="20" t="n">
        <v>-45491</v>
      </c>
      <c r="V165" s="20" t="n">
        <v>-44778</v>
      </c>
      <c r="W165" s="20" t="n">
        <v>-38733</v>
      </c>
      <c r="X165" s="20" t="n">
        <v>-55071</v>
      </c>
    </row>
    <row r="166">
      <c r="A166" s="18" t="inlineStr">
        <is>
          <t>부문 간 내부매출·대체</t>
        </is>
      </c>
      <c r="D166" s="20" t="n">
        <v>0</v>
      </c>
      <c r="E166" s="20" t="n">
        <v>0</v>
      </c>
      <c r="H166" s="20" t="n">
        <v>0</v>
      </c>
      <c r="I166" s="20" t="n">
        <v>0</v>
      </c>
      <c r="L166" s="20" t="n">
        <v>0</v>
      </c>
      <c r="M166" s="20" t="n">
        <v>0</v>
      </c>
      <c r="V166" s="20" t="n">
        <v>0</v>
      </c>
      <c r="W166" s="20" t="n">
        <v>0</v>
      </c>
      <c r="X166" s="20" t="n">
        <v>0</v>
      </c>
    </row>
    <row r="167">
      <c r="A167" s="18" t="inlineStr">
        <is>
          <t>전자재료 사업 · 계</t>
        </is>
      </c>
      <c r="D167" s="20" t="n">
        <v>208439</v>
      </c>
      <c r="E167" s="20" t="n">
        <v>227816</v>
      </c>
      <c r="H167" s="20" t="n">
        <v>226484</v>
      </c>
      <c r="I167" s="20" t="n">
        <v>241456</v>
      </c>
      <c r="L167" s="20" t="n">
        <v>267241</v>
      </c>
      <c r="M167" s="20" t="n">
        <v>280922</v>
      </c>
      <c r="V167" s="20" t="n">
        <v>208439</v>
      </c>
      <c r="W167" s="20" t="n">
        <v>226484</v>
      </c>
      <c r="X167" s="20" t="n">
        <v>267241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생활환경 기반재료 사업 · 계</t>
        </is>
      </c>
      <c r="E169" s="20" t="n">
        <v>233541</v>
      </c>
      <c r="I169" s="20" t="n">
        <v>245506</v>
      </c>
      <c r="M169" s="20" t="n">
        <v>228978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I170" s="15">
        <f>IF(OR(I169="",E169=""),"",IF(E169&lt;=0,"",IFERROR(I169/E169-1,"")))</f>
        <v/>
      </c>
      <c r="M170" s="15">
        <f>IF(OR(M169="",I169=""),"",IF(I169&lt;=0,"",IFERROR(M169/I169-1,"")))</f>
        <v/>
      </c>
    </row>
    <row r="171">
      <c r="A171" s="18" t="inlineStr">
        <is>
          <t>기능재료 사업 · 계</t>
        </is>
      </c>
      <c r="D171" s="20" t="n">
        <v>102770</v>
      </c>
      <c r="E171" s="20" t="n">
        <v>110305</v>
      </c>
      <c r="H171" s="20" t="n">
        <v>110599</v>
      </c>
      <c r="I171" s="20" t="n">
        <v>112964</v>
      </c>
      <c r="L171" s="20" t="n">
        <v>109949</v>
      </c>
      <c r="M171" s="20" t="n">
        <v>121966</v>
      </c>
      <c r="V171" s="20" t="n">
        <v>102770</v>
      </c>
      <c r="W171" s="20" t="n">
        <v>110599</v>
      </c>
      <c r="X171" s="20" t="n">
        <v>109949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기타 관련 사업 · 계</t>
        </is>
      </c>
      <c r="E173" s="20" t="n">
        <v>73864</v>
      </c>
      <c r="I173" s="20" t="n">
        <v>70016</v>
      </c>
      <c r="M173" s="20" t="n">
        <v>76048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I174" s="15">
        <f>IF(OR(I173="",E173=""),"",IF(E173&lt;=0,"",IFERROR(I173/E173-1,"")))</f>
        <v/>
      </c>
      <c r="M174" s="15">
        <f>IF(OR(M173="",I173=""),"",IF(I173&lt;=0,"",IFERROR(M173/I173-1,"")))</f>
        <v/>
      </c>
    </row>
    <row r="175">
      <c r="A175" s="18" t="inlineStr">
        <is>
          <t>보고부문 합계 · 계</t>
        </is>
      </c>
      <c r="D175" s="20" t="n">
        <v>636311</v>
      </c>
      <c r="E175" s="20" t="n">
        <v>645527</v>
      </c>
      <c r="H175" s="20" t="n">
        <v>670284</v>
      </c>
      <c r="I175" s="20" t="n">
        <v>669943</v>
      </c>
      <c r="L175" s="20" t="n">
        <v>695039</v>
      </c>
      <c r="M175" s="20" t="n">
        <v>707915</v>
      </c>
      <c r="V175" s="20" t="n">
        <v>636311</v>
      </c>
      <c r="W175" s="20" t="n">
        <v>670284</v>
      </c>
      <c r="X175" s="20" t="n">
        <v>695039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조정액 · 계</t>
        </is>
      </c>
      <c r="D177" s="20" t="n">
        <v>-44778</v>
      </c>
      <c r="E177" s="20" t="n">
        <v>-47596</v>
      </c>
      <c r="H177" s="20" t="n">
        <v>-38733</v>
      </c>
      <c r="I177" s="20" t="n">
        <v>-41394</v>
      </c>
      <c r="L177" s="20" t="n">
        <v>-55071</v>
      </c>
      <c r="M177" s="20" t="n">
        <v>-45491</v>
      </c>
      <c r="V177" s="20" t="n">
        <v>-44778</v>
      </c>
      <c r="W177" s="20" t="n">
        <v>-38733</v>
      </c>
      <c r="X177" s="20" t="n">
        <v>-55071</v>
      </c>
    </row>
    <row r="178">
      <c r="A178" s="9" t="inlineStr">
        <is>
          <t>계</t>
        </is>
      </c>
      <c r="D178" s="12" t="n">
        <v>591534</v>
      </c>
      <c r="E178" s="12" t="n">
        <v>597930</v>
      </c>
      <c r="H178" s="12" t="n">
        <v>631551</v>
      </c>
      <c r="I178" s="12" t="n">
        <v>628549</v>
      </c>
      <c r="L178" s="12" t="n">
        <v>639969</v>
      </c>
      <c r="M178" s="12" t="n">
        <v>662424</v>
      </c>
      <c r="V178" s="12" t="n">
        <v>591534</v>
      </c>
      <c r="W178" s="12" t="n">
        <v>631551</v>
      </c>
      <c r="X178" s="12" t="n">
        <v>639969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전자재료 사업 · 부문 이익(영업이익)</t>
        </is>
      </c>
      <c r="D180" s="20" t="n">
        <v>56691</v>
      </c>
      <c r="E180" s="20" t="n">
        <v>89533</v>
      </c>
      <c r="H180" s="20" t="n">
        <v>64247</v>
      </c>
      <c r="I180" s="20" t="n">
        <v>83110</v>
      </c>
      <c r="L180" s="20" t="n">
        <v>85311</v>
      </c>
      <c r="M180" s="20" t="n">
        <v>101935</v>
      </c>
      <c r="V180" s="20" t="n">
        <v>56691</v>
      </c>
      <c r="W180" s="20" t="n">
        <v>64247</v>
      </c>
      <c r="X180" s="20" t="n">
        <v>85311</v>
      </c>
    </row>
    <row r="181">
      <c r="A181" s="43" t="inlineStr">
        <is>
          <t>OPM</t>
        </is>
      </c>
      <c r="B181" s="3" t="inlineStr">
        <is>
          <t>영업이익 ÷ 매출</t>
        </is>
      </c>
      <c r="D181" s="15">
        <f>IF(OR(D180="",D167=""),"",IF(D167&lt;=0,"",IFERROR(D180/D167,"")))</f>
        <v/>
      </c>
      <c r="E181" s="15">
        <f>IF(OR(E180="",E167=""),"",IF(E167&lt;=0,"",IFERROR(E180/E167,"")))</f>
        <v/>
      </c>
      <c r="H181" s="15">
        <f>IF(OR(H180="",H167=""),"",IF(H167&lt;=0,"",IFERROR(H180/H167,"")))</f>
        <v/>
      </c>
      <c r="I181" s="15">
        <f>IF(OR(I180="",I167=""),"",IF(I167&lt;=0,"",IFERROR(I180/I167,"")))</f>
        <v/>
      </c>
      <c r="L181" s="15">
        <f>IF(OR(L180="",L167=""),"",IF(L167&lt;=0,"",IFERROR(L180/L167,"")))</f>
        <v/>
      </c>
      <c r="M181" s="15">
        <f>IF(OR(M180="",M167=""),"",IF(M167&lt;=0,"",IFERROR(M180/M167,"")))</f>
        <v/>
      </c>
      <c r="V181" s="15">
        <f>IF(OR(V180="",V167=""),"",IF(V167&lt;=0,"",IFERROR(V180/V167,"")))</f>
        <v/>
      </c>
      <c r="W181" s="15">
        <f>IF(OR(W180="",W167=""),"",IF(W167&lt;=0,"",IFERROR(W180/W167,"")))</f>
        <v/>
      </c>
      <c r="X181" s="15">
        <f>IF(OR(X180="",X167=""),"",IF(X167&lt;=0,"",IFERROR(X180/X167,"")))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생활환경 기반재료 사업 · 부문 이익(영업이익)</t>
        </is>
      </c>
      <c r="E183" s="20" t="n">
        <v>67955</v>
      </c>
      <c r="I183" s="20" t="n">
        <v>52808</v>
      </c>
      <c r="M183" s="20" t="n">
        <v>34824</v>
      </c>
    </row>
    <row r="184">
      <c r="A184" s="43" t="inlineStr">
        <is>
          <t>OPM</t>
        </is>
      </c>
      <c r="B184" s="3" t="inlineStr">
        <is>
          <t>영업이익 ÷ 매출</t>
        </is>
      </c>
      <c r="E184" s="15">
        <f>IF(OR(E183="",E169=""),"",IF(E169&lt;=0,"",IFERROR(E183/E169,"")))</f>
        <v/>
      </c>
      <c r="I184" s="15">
        <f>IF(OR(I183="",I169=""),"",IF(I169&lt;=0,"",IFERROR(I183/I169,"")))</f>
        <v/>
      </c>
      <c r="M184" s="15">
        <f>IF(OR(M183="",M169=""),"",IF(M169&lt;=0,"",IFERROR(M183/M169,"")))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I185" s="15">
        <f>IF(OR(I183="",E183=""),"",IF(E183&lt;=0,"",IFERROR(I183/E183-1,"")))</f>
        <v/>
      </c>
      <c r="M185" s="15">
        <f>IF(OR(M183="",I183=""),"",IF(I183&lt;=0,"",IFERROR(M183/I183-1,"")))</f>
        <v/>
      </c>
    </row>
    <row r="186">
      <c r="A186" s="18" t="inlineStr">
        <is>
          <t>기능재료 사업 · 부문 이익(영업이익)</t>
        </is>
      </c>
      <c r="D186" s="20" t="n">
        <v>11175</v>
      </c>
      <c r="E186" s="20" t="n">
        <v>26779</v>
      </c>
      <c r="H186" s="20" t="n">
        <v>21712</v>
      </c>
      <c r="I186" s="20" t="n">
        <v>24041</v>
      </c>
      <c r="L186" s="20" t="n">
        <v>28393</v>
      </c>
      <c r="M186" s="20" t="n">
        <v>28872</v>
      </c>
      <c r="V186" s="20" t="n">
        <v>11175</v>
      </c>
      <c r="W186" s="20" t="n">
        <v>21712</v>
      </c>
      <c r="X186" s="20" t="n">
        <v>28393</v>
      </c>
    </row>
    <row r="187">
      <c r="A187" s="43" t="inlineStr">
        <is>
          <t>OPM</t>
        </is>
      </c>
      <c r="B187" s="3" t="inlineStr">
        <is>
          <t>영업이익 ÷ 매출</t>
        </is>
      </c>
      <c r="D187" s="15">
        <f>IF(OR(D186="",D171=""),"",IF(D171&lt;=0,"",IFERROR(D186/D171,"")))</f>
        <v/>
      </c>
      <c r="E187" s="15">
        <f>IF(OR(E186="",E171=""),"",IF(E171&lt;=0,"",IFERROR(E186/E171,"")))</f>
        <v/>
      </c>
      <c r="H187" s="15">
        <f>IF(OR(H186="",H171=""),"",IF(H171&lt;=0,"",IFERROR(H186/H171,"")))</f>
        <v/>
      </c>
      <c r="I187" s="15">
        <f>IF(OR(I186="",I171=""),"",IF(I171&lt;=0,"",IFERROR(I186/I171,"")))</f>
        <v/>
      </c>
      <c r="L187" s="15">
        <f>IF(OR(L186="",L171=""),"",IF(L171&lt;=0,"",IFERROR(L186/L171,"")))</f>
        <v/>
      </c>
      <c r="M187" s="15">
        <f>IF(OR(M186="",M171=""),"",IF(M171&lt;=0,"",IFERROR(M186/M171,"")))</f>
        <v/>
      </c>
      <c r="V187" s="15">
        <f>IF(OR(V186="",V171=""),"",IF(V171&lt;=0,"",IFERROR(V186/V171,"")))</f>
        <v/>
      </c>
      <c r="W187" s="15">
        <f>IF(OR(W186="",W171=""),"",IF(W171&lt;=0,"",IFERROR(W186/W171,"")))</f>
        <v/>
      </c>
      <c r="X187" s="15">
        <f>IF(OR(X186="",X171=""),"",IF(X171&lt;=0,"",IFERROR(X186/X171,"")))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기타 관련 사업 · 부문 이익(영업이익)</t>
        </is>
      </c>
      <c r="E189" s="20" t="n">
        <v>7019</v>
      </c>
      <c r="I189" s="20" t="n">
        <v>7121</v>
      </c>
      <c r="M189" s="20" t="n">
        <v>7670</v>
      </c>
    </row>
    <row r="190">
      <c r="A190" s="43" t="inlineStr">
        <is>
          <t>OPM</t>
        </is>
      </c>
      <c r="B190" s="3" t="inlineStr">
        <is>
          <t>영업이익 ÷ 매출</t>
        </is>
      </c>
      <c r="E190" s="15">
        <f>IF(OR(E189="",E173=""),"",IF(E173&lt;=0,"",IFERROR(E189/E173,"")))</f>
        <v/>
      </c>
      <c r="I190" s="15">
        <f>IF(OR(I189="",I173=""),"",IF(I173&lt;=0,"",IFERROR(I189/I173,"")))</f>
        <v/>
      </c>
      <c r="M190" s="15">
        <f>IF(OR(M189="",M173=""),"",IF(M173&lt;=0,"",IFERROR(M189/M173,"")))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I191" s="15">
        <f>IF(OR(I189="",E189=""),"",IF(E189&lt;=0,"",IFERROR(I189/E189-1,"")))</f>
        <v/>
      </c>
      <c r="M191" s="15">
        <f>IF(OR(M189="",I189=""),"",IF(I189&lt;=0,"",IFERROR(M189/I189-1,"")))</f>
        <v/>
      </c>
    </row>
    <row r="192">
      <c r="A192" s="18" t="inlineStr">
        <is>
          <t>보고부문 합계 · 부문 이익(영업이익)</t>
        </is>
      </c>
      <c r="D192" s="20" t="n">
        <v>142007</v>
      </c>
      <c r="E192" s="20" t="n">
        <v>191287</v>
      </c>
      <c r="H192" s="20" t="n">
        <v>158192</v>
      </c>
      <c r="I192" s="20" t="n">
        <v>167081</v>
      </c>
      <c r="L192" s="20" t="n">
        <v>138409</v>
      </c>
      <c r="M192" s="20" t="n">
        <v>173301</v>
      </c>
      <c r="V192" s="20" t="n">
        <v>142007</v>
      </c>
      <c r="W192" s="20" t="n">
        <v>158192</v>
      </c>
      <c r="X192" s="20" t="n">
        <v>138409</v>
      </c>
    </row>
    <row r="193">
      <c r="A193" s="43" t="inlineStr">
        <is>
          <t>OPM</t>
        </is>
      </c>
      <c r="B193" s="3" t="inlineStr">
        <is>
          <t>영업이익 ÷ 매출</t>
        </is>
      </c>
      <c r="D193" s="15">
        <f>IF(OR(D192="",D175=""),"",IF(D175&lt;=0,"",IFERROR(D192/D175,"")))</f>
        <v/>
      </c>
      <c r="E193" s="15">
        <f>IF(OR(E192="",E175=""),"",IF(E175&lt;=0,"",IFERROR(E192/E175,"")))</f>
        <v/>
      </c>
      <c r="H193" s="15">
        <f>IF(OR(H192="",H175=""),"",IF(H175&lt;=0,"",IFERROR(H192/H175,"")))</f>
        <v/>
      </c>
      <c r="I193" s="15">
        <f>IF(OR(I192="",I175=""),"",IF(I175&lt;=0,"",IFERROR(I192/I175,"")))</f>
        <v/>
      </c>
      <c r="L193" s="15">
        <f>IF(OR(L192="",L175=""),"",IF(L175&lt;=0,"",IFERROR(L192/L175,"")))</f>
        <v/>
      </c>
      <c r="M193" s="15">
        <f>IF(OR(M192="",M175=""),"",IF(M175&lt;=0,"",IFERROR(M192/M175,"")))</f>
        <v/>
      </c>
      <c r="V193" s="15">
        <f>IF(OR(V192="",V175=""),"",IF(V175&lt;=0,"",IFERROR(V192/V175,"")))</f>
        <v/>
      </c>
      <c r="W193" s="15">
        <f>IF(OR(W192="",W175=""),"",IF(W175&lt;=0,"",IFERROR(W192/W175,"")))</f>
        <v/>
      </c>
      <c r="X193" s="15">
        <f>IF(OR(X192="",X175=""),"",IF(X175&lt;=0,"",IFERROR(X192/X175,"")))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조정액 · 부문 이익(영업이익)</t>
        </is>
      </c>
      <c r="D195" s="20" t="n">
        <v>-496</v>
      </c>
      <c r="E195" s="20" t="n">
        <v>-264</v>
      </c>
      <c r="H195" s="20" t="n">
        <v>-527</v>
      </c>
      <c r="I195" s="20" t="n">
        <v>-278</v>
      </c>
      <c r="L195" s="20" t="n">
        <v>-1230</v>
      </c>
      <c r="M195" s="20" t="n">
        <v>496</v>
      </c>
      <c r="V195" s="20" t="n">
        <v>-496</v>
      </c>
      <c r="W195" s="20" t="n">
        <v>-527</v>
      </c>
      <c r="X195" s="20" t="n">
        <v>-1230</v>
      </c>
    </row>
    <row r="196">
      <c r="A196" s="9" t="inlineStr">
        <is>
          <t>부문 이익(영업이익)</t>
        </is>
      </c>
      <c r="D196" s="12" t="n">
        <v>141510</v>
      </c>
      <c r="E196" s="12" t="n">
        <v>191023</v>
      </c>
      <c r="H196" s="12" t="n">
        <v>157666</v>
      </c>
      <c r="I196" s="12" t="n">
        <v>166803</v>
      </c>
      <c r="L196" s="12" t="n">
        <v>137178</v>
      </c>
      <c r="M196" s="12" t="n">
        <v>173798</v>
      </c>
      <c r="V196" s="12" t="n">
        <v>141510</v>
      </c>
      <c r="W196" s="12" t="n">
        <v>157666</v>
      </c>
      <c r="X196" s="12" t="n">
        <v>137178</v>
      </c>
    </row>
    <row r="197">
      <c r="A197" s="43" t="inlineStr">
        <is>
          <t>OPM</t>
        </is>
      </c>
      <c r="B197" s="3" t="inlineStr">
        <is>
          <t>영업이익 ÷ 매출</t>
        </is>
      </c>
      <c r="D197" s="15">
        <f>IF(OR(D196="",D158=""),"",IF(D158&lt;=0,"",IFERROR(D196/D158,"")))</f>
        <v/>
      </c>
      <c r="E197" s="15">
        <f>IF(OR(E196="",E158=""),"",IF(E158&lt;=0,"",IFERROR(E196/E158,"")))</f>
        <v/>
      </c>
      <c r="H197" s="15">
        <f>IF(OR(H196="",H158=""),"",IF(H158&lt;=0,"",IFERROR(H196/H158,"")))</f>
        <v/>
      </c>
      <c r="I197" s="15">
        <f>IF(OR(I196="",I158=""),"",IF(I158&lt;=0,"",IFERROR(I196/I158,"")))</f>
        <v/>
      </c>
      <c r="L197" s="15">
        <f>IF(OR(L196="",L158=""),"",IF(L158&lt;=0,"",IFERROR(L196/L158,"")))</f>
        <v/>
      </c>
      <c r="M197" s="15">
        <f>IF(OR(M196="",M158=""),"",IF(M158&lt;=0,"",IFERROR(M196/M158,"")))</f>
        <v/>
      </c>
      <c r="V197" s="15">
        <f>IF(OR(V196="",V158=""),"",IF(V158&lt;=0,"",IFERROR(V196/V158,"")))</f>
        <v/>
      </c>
      <c r="W197" s="15">
        <f>IF(OR(W196="",W158=""),"",IF(W158&lt;=0,"",IFERROR(W196/W158,"")))</f>
        <v/>
      </c>
      <c r="X197" s="15">
        <f>IF(OR(X196="",X158=""),"",IF(X158&lt;=0,"",IFERROR(X196/X158,"")))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200">
      <c r="A200" s="16" t="inlineStr">
        <is>
          <t>현금흐름표 · 전 항목</t>
        </is>
      </c>
      <c r="B200" s="42" t="inlineStr">
        <is>
          <t>분기 = 결산기 첫날부터 누계(공시 그대로)</t>
        </is>
      </c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</row>
    <row r="201">
      <c r="A201" s="5" t="inlineStr">
        <is>
          <t>항목</t>
        </is>
      </c>
      <c r="B201" s="5" t="inlineStr">
        <is>
          <t>참고</t>
        </is>
      </c>
      <c r="C201" s="5" t="inlineStr">
        <is>
          <t>2024.3Q</t>
        </is>
      </c>
      <c r="D201" s="5" t="inlineStr">
        <is>
          <t>2024.4Q</t>
        </is>
      </c>
      <c r="E201" s="5" t="inlineStr">
        <is>
          <t>2025.1Q</t>
        </is>
      </c>
      <c r="F201" s="5" t="inlineStr">
        <is>
          <t>2025.2Q</t>
        </is>
      </c>
      <c r="G201" s="5" t="inlineStr">
        <is>
          <t>2025.3Q</t>
        </is>
      </c>
      <c r="H201" s="5" t="inlineStr">
        <is>
          <t>2025.4Q</t>
        </is>
      </c>
      <c r="I201" s="5" t="inlineStr">
        <is>
          <t>2026.1Q</t>
        </is>
      </c>
      <c r="J201" s="5" t="inlineStr">
        <is>
          <t>2026.2Q</t>
        </is>
      </c>
      <c r="K201" s="5" t="inlineStr">
        <is>
          <t>2026.3Q</t>
        </is>
      </c>
      <c r="L201" s="5" t="inlineStr">
        <is>
          <t>2026.4Q</t>
        </is>
      </c>
      <c r="M201" s="5" t="inlineStr">
        <is>
          <t>2027.1Q</t>
        </is>
      </c>
      <c r="N201" s="5" t="inlineStr">
        <is>
          <t>2027.2Q</t>
        </is>
      </c>
      <c r="O201" s="5" t="inlineStr">
        <is>
          <t>2017</t>
        </is>
      </c>
      <c r="P201" s="5" t="inlineStr">
        <is>
          <t>2018</t>
        </is>
      </c>
      <c r="Q201" s="5" t="inlineStr">
        <is>
          <t>2019</t>
        </is>
      </c>
      <c r="R201" s="5" t="inlineStr">
        <is>
          <t>2020</t>
        </is>
      </c>
      <c r="S201" s="5" t="inlineStr">
        <is>
          <t>2021</t>
        </is>
      </c>
      <c r="T201" s="5" t="inlineStr">
        <is>
          <t>2022</t>
        </is>
      </c>
      <c r="U201" s="5" t="inlineStr">
        <is>
          <t>2023</t>
        </is>
      </c>
      <c r="V201" s="5" t="inlineStr">
        <is>
          <t>2024</t>
        </is>
      </c>
      <c r="W201" s="5" t="inlineStr">
        <is>
          <t>2025</t>
        </is>
      </c>
      <c r="X201" s="5" t="inlineStr">
        <is>
          <t>2026</t>
        </is>
      </c>
      <c r="Y201" s="5" t="inlineStr">
        <is>
          <t>2027(MW)</t>
        </is>
      </c>
      <c r="Z201" s="5" t="inlineStr">
        <is>
          <t>2028(MW)</t>
        </is>
      </c>
      <c r="AA201" s="5" t="inlineStr">
        <is>
          <t>2029(MW)</t>
        </is>
      </c>
      <c r="AB201" s="5" t="inlineStr">
        <is>
          <t>2030(MW)</t>
        </is>
      </c>
      <c r="AC201" s="5" t="inlineStr">
        <is>
          <t>2031(MW)</t>
        </is>
      </c>
    </row>
    <row r="202">
      <c r="A202" s="9" t="inlineStr">
        <is>
          <t>법인세차감전 순이익</t>
        </is>
      </c>
      <c r="D202" s="12" t="n">
        <v>795673</v>
      </c>
      <c r="F202" s="12" t="n">
        <v>450255</v>
      </c>
      <c r="H202" s="12" t="n">
        <v>826229</v>
      </c>
      <c r="J202" s="12" t="n">
        <v>377005</v>
      </c>
      <c r="L202" s="12" t="n">
        <v>708488</v>
      </c>
      <c r="N202" s="12" t="n">
        <v>421349</v>
      </c>
      <c r="O202" s="12" t="n">
        <v>242133</v>
      </c>
      <c r="P202" s="12" t="n">
        <v>340308</v>
      </c>
      <c r="Q202" s="12" t="n">
        <v>415311</v>
      </c>
      <c r="R202" s="12" t="n">
        <v>426017</v>
      </c>
      <c r="S202" s="12" t="n">
        <v>402145</v>
      </c>
      <c r="T202" s="12" t="n">
        <v>696137</v>
      </c>
      <c r="U202" s="12" t="n">
        <v>1020211</v>
      </c>
      <c r="V202" s="12" t="n">
        <v>795673</v>
      </c>
      <c r="W202" s="12" t="n">
        <v>826229</v>
      </c>
      <c r="X202" s="12" t="n">
        <v>708488</v>
      </c>
    </row>
    <row r="203">
      <c r="A203" s="18" t="inlineStr">
        <is>
          <t>감가상각비</t>
        </is>
      </c>
      <c r="D203" s="20" t="n">
        <v>227619</v>
      </c>
      <c r="F203" s="20" t="n">
        <v>108421</v>
      </c>
      <c r="H203" s="20" t="n">
        <v>238357</v>
      </c>
      <c r="J203" s="20" t="n">
        <v>116312</v>
      </c>
      <c r="L203" s="20" t="n">
        <v>242973</v>
      </c>
      <c r="N203" s="20" t="n">
        <v>115787</v>
      </c>
      <c r="O203" s="20" t="n">
        <v>93087</v>
      </c>
      <c r="P203" s="20" t="n">
        <v>112016</v>
      </c>
      <c r="Q203" s="20" t="n">
        <v>137570</v>
      </c>
      <c r="R203" s="20" t="n">
        <v>131172</v>
      </c>
      <c r="S203" s="20" t="n">
        <v>143807</v>
      </c>
      <c r="T203" s="20" t="n">
        <v>168788</v>
      </c>
      <c r="U203" s="20" t="n">
        <v>213632</v>
      </c>
      <c r="V203" s="20" t="n">
        <v>227619</v>
      </c>
      <c r="W203" s="20" t="n">
        <v>238357</v>
      </c>
      <c r="X203" s="20" t="n">
        <v>242973</v>
      </c>
    </row>
    <row r="204">
      <c r="A204" s="18" t="inlineStr">
        <is>
          <t>손상차손</t>
        </is>
      </c>
      <c r="D204" s="20" t="n">
        <v>21928</v>
      </c>
      <c r="H204" s="20" t="n">
        <v>3527</v>
      </c>
      <c r="L204" s="20" t="n">
        <v>17</v>
      </c>
      <c r="U204" s="20" t="n">
        <v>1510</v>
      </c>
      <c r="V204" s="20" t="n">
        <v>21928</v>
      </c>
      <c r="W204" s="20" t="n">
        <v>3527</v>
      </c>
      <c r="X204" s="20" t="n">
        <v>17</v>
      </c>
    </row>
    <row r="205">
      <c r="A205" s="18" t="inlineStr">
        <is>
          <t>퇴직급여부채 증감</t>
        </is>
      </c>
      <c r="D205" s="20" t="n">
        <v>908</v>
      </c>
      <c r="H205" s="20" t="n">
        <v>-1109</v>
      </c>
      <c r="L205" s="20" t="n">
        <v>-4392</v>
      </c>
      <c r="O205" s="20" t="n">
        <v>1384</v>
      </c>
      <c r="P205" s="20" t="n">
        <v>-4469</v>
      </c>
      <c r="Q205" s="20" t="n">
        <v>-126</v>
      </c>
      <c r="R205" s="20" t="n">
        <v>2723</v>
      </c>
      <c r="S205" s="20" t="n">
        <v>2860</v>
      </c>
      <c r="T205" s="20" t="n">
        <v>3041</v>
      </c>
      <c r="U205" s="20" t="n">
        <v>2441</v>
      </c>
      <c r="V205" s="20" t="n">
        <v>908</v>
      </c>
      <c r="W205" s="20" t="n">
        <v>-1109</v>
      </c>
      <c r="X205" s="20" t="n">
        <v>-4392</v>
      </c>
    </row>
    <row r="206">
      <c r="A206" s="18" t="inlineStr">
        <is>
          <t>투자유가증권 매각손익</t>
        </is>
      </c>
      <c r="D206" s="20" t="n">
        <v>-19178</v>
      </c>
      <c r="F206" s="20" t="n">
        <v>-1909</v>
      </c>
      <c r="H206" s="20" t="n">
        <v>-11003</v>
      </c>
      <c r="J206" s="20" t="n">
        <v>-9665</v>
      </c>
      <c r="L206" s="20" t="n">
        <v>-10572</v>
      </c>
      <c r="N206" s="20" t="n">
        <v>-6240</v>
      </c>
      <c r="Q206" s="20" t="n">
        <v>-78</v>
      </c>
      <c r="R206" s="20" t="n">
        <v>-7774</v>
      </c>
      <c r="S206" s="20" t="n">
        <v>-1687</v>
      </c>
      <c r="T206" s="20" t="n">
        <v>-295</v>
      </c>
      <c r="U206" s="20" t="n">
        <v>-58</v>
      </c>
      <c r="V206" s="20" t="n">
        <v>-19178</v>
      </c>
      <c r="W206" s="20" t="n">
        <v>-11003</v>
      </c>
      <c r="X206" s="20" t="n">
        <v>-10572</v>
      </c>
    </row>
    <row r="207">
      <c r="A207" s="18" t="inlineStr">
        <is>
          <t>대손충당금 증감</t>
        </is>
      </c>
      <c r="D207" s="20" t="n">
        <v>1153</v>
      </c>
      <c r="H207" s="20" t="n">
        <v>1493</v>
      </c>
      <c r="L207" s="20" t="n">
        <v>2794</v>
      </c>
      <c r="O207" s="20" t="n">
        <v>-165</v>
      </c>
      <c r="P207" s="20" t="n">
        <v>-2019</v>
      </c>
      <c r="Q207" s="20" t="n">
        <v>-4281</v>
      </c>
      <c r="R207" s="20" t="n">
        <v>-493</v>
      </c>
      <c r="S207" s="20" t="n">
        <v>-1185</v>
      </c>
      <c r="T207" s="20" t="n">
        <v>3195</v>
      </c>
      <c r="U207" s="20" t="n">
        <v>-266</v>
      </c>
      <c r="V207" s="20" t="n">
        <v>1153</v>
      </c>
      <c r="W207" s="20" t="n">
        <v>1493</v>
      </c>
      <c r="X207" s="20" t="n">
        <v>2794</v>
      </c>
    </row>
    <row r="208">
      <c r="A208" s="18" t="inlineStr">
        <is>
          <t>이자·배당금 수익</t>
        </is>
      </c>
      <c r="D208" s="20" t="n">
        <v>-72233</v>
      </c>
      <c r="F208" s="20" t="n">
        <v>-46591</v>
      </c>
      <c r="H208" s="20" t="n">
        <v>-92230</v>
      </c>
      <c r="J208" s="20" t="n">
        <v>-34290</v>
      </c>
      <c r="L208" s="20" t="n">
        <v>-69099</v>
      </c>
      <c r="N208" s="20" t="n">
        <v>-34130</v>
      </c>
      <c r="O208" s="20" t="n">
        <v>-7317</v>
      </c>
      <c r="P208" s="20" t="n">
        <v>-10939</v>
      </c>
      <c r="Q208" s="20" t="n">
        <v>-14989</v>
      </c>
      <c r="R208" s="20" t="n">
        <v>-18166</v>
      </c>
      <c r="S208" s="20" t="n">
        <v>-12434</v>
      </c>
      <c r="T208" s="20" t="n">
        <v>-4929</v>
      </c>
      <c r="U208" s="20" t="n">
        <v>-19940</v>
      </c>
      <c r="V208" s="20" t="n">
        <v>-72233</v>
      </c>
      <c r="W208" s="20" t="n">
        <v>-92230</v>
      </c>
      <c r="X208" s="20" t="n">
        <v>-69099</v>
      </c>
    </row>
    <row r="209">
      <c r="A209" s="18" t="inlineStr">
        <is>
          <t>이자비용</t>
        </is>
      </c>
      <c r="D209" s="20" t="n">
        <v>1501</v>
      </c>
      <c r="H209" s="20" t="n">
        <v>1350</v>
      </c>
      <c r="L209" s="20" t="n">
        <v>2706</v>
      </c>
      <c r="O209" s="20" t="n">
        <v>529</v>
      </c>
      <c r="P209" s="20" t="n">
        <v>621</v>
      </c>
      <c r="Q209" s="20" t="n">
        <v>746</v>
      </c>
      <c r="R209" s="20" t="n">
        <v>749</v>
      </c>
      <c r="S209" s="20" t="n">
        <v>728</v>
      </c>
      <c r="T209" s="20" t="n">
        <v>983</v>
      </c>
      <c r="U209" s="20" t="n">
        <v>1490</v>
      </c>
      <c r="V209" s="20" t="n">
        <v>1501</v>
      </c>
      <c r="W209" s="20" t="n">
        <v>1350</v>
      </c>
      <c r="X209" s="20" t="n">
        <v>2706</v>
      </c>
    </row>
    <row r="210">
      <c r="A210" s="18" t="inlineStr">
        <is>
          <t>외환차손익</t>
        </is>
      </c>
      <c r="D210" s="20" t="n">
        <v>-11507</v>
      </c>
      <c r="F210" s="20" t="n">
        <v>22460</v>
      </c>
      <c r="H210" s="20" t="n">
        <v>7197</v>
      </c>
      <c r="J210" s="20" t="n">
        <v>-3277</v>
      </c>
      <c r="L210" s="20" t="n">
        <v>-10020</v>
      </c>
      <c r="N210" s="20" t="n">
        <v>6876</v>
      </c>
      <c r="O210" s="20" t="n">
        <v>2370</v>
      </c>
      <c r="P210" s="20" t="n">
        <v>6148</v>
      </c>
      <c r="Q210" s="20" t="n">
        <v>-2060</v>
      </c>
      <c r="R210" s="20" t="n">
        <v>3464</v>
      </c>
      <c r="S210" s="20" t="n">
        <v>-4909</v>
      </c>
      <c r="T210" s="20" t="n">
        <v>-8842</v>
      </c>
      <c r="U210" s="20" t="n">
        <v>-1082</v>
      </c>
      <c r="V210" s="20" t="n">
        <v>-11507</v>
      </c>
      <c r="W210" s="20" t="n">
        <v>7197</v>
      </c>
      <c r="X210" s="20" t="n">
        <v>-10020</v>
      </c>
    </row>
    <row r="211">
      <c r="A211" s="18" t="inlineStr">
        <is>
          <t>지분법손익</t>
        </is>
      </c>
      <c r="D211" s="20" t="n">
        <v>-8607</v>
      </c>
      <c r="H211" s="20" t="n">
        <v>-6351</v>
      </c>
      <c r="L211" s="20" t="n">
        <v>-6228</v>
      </c>
      <c r="O211" s="20" t="n">
        <v>-2788</v>
      </c>
      <c r="P211" s="20" t="n">
        <v>-3762</v>
      </c>
      <c r="Q211" s="20" t="n">
        <v>-4669</v>
      </c>
      <c r="R211" s="20" t="n">
        <v>-4327</v>
      </c>
      <c r="S211" s="20" t="n">
        <v>-5364</v>
      </c>
      <c r="T211" s="20" t="n">
        <v>-7140</v>
      </c>
      <c r="U211" s="20" t="n">
        <v>-9522</v>
      </c>
      <c r="V211" s="20" t="n">
        <v>-8607</v>
      </c>
      <c r="W211" s="20" t="n">
        <v>-6351</v>
      </c>
      <c r="X211" s="20" t="n">
        <v>-6228</v>
      </c>
    </row>
    <row r="212">
      <c r="A212" s="18" t="inlineStr">
        <is>
          <t>재해 손실</t>
        </is>
      </c>
      <c r="R212" s="20" t="n">
        <v>0</v>
      </c>
      <c r="S212" s="20" t="n">
        <v>2955</v>
      </c>
      <c r="T212" s="20" t="n">
        <v>0</v>
      </c>
    </row>
    <row r="213">
      <c r="A213" s="18" t="inlineStr">
        <is>
          <t>매출채권 증감</t>
        </is>
      </c>
      <c r="D213" s="20" t="n">
        <v>7039</v>
      </c>
      <c r="F213" s="20" t="n">
        <v>-4657</v>
      </c>
      <c r="H213" s="20" t="n">
        <v>21712</v>
      </c>
      <c r="J213" s="20" t="n">
        <v>-57672</v>
      </c>
      <c r="L213" s="20" t="n">
        <v>-16851</v>
      </c>
      <c r="N213" s="20" t="n">
        <v>-89168</v>
      </c>
      <c r="O213" s="20" t="n">
        <v>-23501</v>
      </c>
      <c r="P213" s="20" t="n">
        <v>-42287</v>
      </c>
      <c r="Q213" s="20" t="n">
        <v>-8697</v>
      </c>
      <c r="R213" s="20" t="n">
        <v>11215</v>
      </c>
      <c r="S213" s="20" t="n">
        <v>-22016</v>
      </c>
      <c r="T213" s="20" t="n">
        <v>-119162</v>
      </c>
      <c r="U213" s="20" t="n">
        <v>29718</v>
      </c>
      <c r="V213" s="20" t="n">
        <v>7039</v>
      </c>
      <c r="W213" s="20" t="n">
        <v>21712</v>
      </c>
      <c r="X213" s="20" t="n">
        <v>-16851</v>
      </c>
    </row>
    <row r="214">
      <c r="A214" s="18" t="inlineStr">
        <is>
          <t>재고자산 증감</t>
        </is>
      </c>
      <c r="D214" s="20" t="n">
        <v>-9560</v>
      </c>
      <c r="F214" s="20" t="n">
        <v>32051</v>
      </c>
      <c r="H214" s="20" t="n">
        <v>-8469</v>
      </c>
      <c r="J214" s="20" t="n">
        <v>15642</v>
      </c>
      <c r="L214" s="20" t="n">
        <v>-14046</v>
      </c>
      <c r="N214" s="20" t="n">
        <v>-14781</v>
      </c>
      <c r="O214" s="20" t="n">
        <v>10621</v>
      </c>
      <c r="P214" s="20" t="n">
        <v>-13595</v>
      </c>
      <c r="Q214" s="20" t="n">
        <v>-49109</v>
      </c>
      <c r="R214" s="20" t="n">
        <v>-36910</v>
      </c>
      <c r="S214" s="20" t="n">
        <v>-3898</v>
      </c>
      <c r="T214" s="20" t="n">
        <v>-69097</v>
      </c>
      <c r="U214" s="20" t="n">
        <v>-210959</v>
      </c>
      <c r="V214" s="20" t="n">
        <v>-9560</v>
      </c>
      <c r="W214" s="20" t="n">
        <v>-8469</v>
      </c>
      <c r="X214" s="20" t="n">
        <v>-14046</v>
      </c>
    </row>
    <row r="215">
      <c r="A215" s="18" t="inlineStr">
        <is>
          <t>장기 선급금 증감액</t>
        </is>
      </c>
      <c r="D215" s="20" t="n">
        <v>2818</v>
      </c>
      <c r="H215" s="20" t="n">
        <v>3341</v>
      </c>
      <c r="L215" s="20" t="n">
        <v>3609</v>
      </c>
      <c r="O215" s="20" t="n">
        <v>3180</v>
      </c>
      <c r="P215" s="20" t="n">
        <v>3196</v>
      </c>
      <c r="Q215" s="20" t="n">
        <v>3838</v>
      </c>
      <c r="R215" s="20" t="n">
        <v>3579</v>
      </c>
      <c r="S215" s="20" t="n">
        <v>4109</v>
      </c>
      <c r="T215" s="20" t="n">
        <v>-3951</v>
      </c>
      <c r="U215" s="20" t="n">
        <v>2899</v>
      </c>
      <c r="V215" s="20" t="n">
        <v>2818</v>
      </c>
      <c r="W215" s="20" t="n">
        <v>3341</v>
      </c>
      <c r="X215" s="20" t="n">
        <v>3609</v>
      </c>
    </row>
    <row r="216">
      <c r="A216" s="18" t="inlineStr">
        <is>
          <t>매입채무 증감</t>
        </is>
      </c>
      <c r="D216" s="20" t="n">
        <v>-28776</v>
      </c>
      <c r="F216" s="20" t="n">
        <v>-24754</v>
      </c>
      <c r="H216" s="20" t="n">
        <v>-12427</v>
      </c>
      <c r="J216" s="20" t="n">
        <v>-8012</v>
      </c>
      <c r="L216" s="20" t="n">
        <v>-8900</v>
      </c>
      <c r="N216" s="20" t="n">
        <v>14011</v>
      </c>
      <c r="O216" s="20" t="n">
        <v>9606</v>
      </c>
      <c r="P216" s="20" t="n">
        <v>12017</v>
      </c>
      <c r="Q216" s="20" t="n">
        <v>3270</v>
      </c>
      <c r="R216" s="20" t="n">
        <v>-3892</v>
      </c>
      <c r="S216" s="20" t="n">
        <v>-9584</v>
      </c>
      <c r="T216" s="20" t="n">
        <v>47436</v>
      </c>
      <c r="U216" s="20" t="n">
        <v>-1702</v>
      </c>
      <c r="V216" s="20" t="n">
        <v>-28776</v>
      </c>
      <c r="W216" s="20" t="n">
        <v>-12427</v>
      </c>
      <c r="X216" s="20" t="n">
        <v>-8900</v>
      </c>
    </row>
    <row r="217">
      <c r="A217" s="18" t="inlineStr">
        <is>
          <t>기타</t>
        </is>
      </c>
      <c r="D217" s="20" t="n">
        <v>-8232</v>
      </c>
      <c r="F217" s="20" t="n">
        <v>-29429</v>
      </c>
      <c r="H217" s="20" t="n">
        <v>1547</v>
      </c>
      <c r="J217" s="20" t="n">
        <v>25026</v>
      </c>
      <c r="L217" s="20" t="n">
        <v>29155</v>
      </c>
      <c r="N217" s="20" t="n">
        <v>63400</v>
      </c>
      <c r="O217" s="20" t="n">
        <v>17380</v>
      </c>
      <c r="P217" s="20" t="n">
        <v>-813</v>
      </c>
      <c r="Q217" s="20" t="n">
        <v>29675</v>
      </c>
      <c r="R217" s="20" t="n">
        <v>-6491</v>
      </c>
      <c r="S217" s="20" t="n">
        <v>-7402</v>
      </c>
      <c r="T217" s="20" t="n">
        <v>-11354</v>
      </c>
      <c r="U217" s="20" t="n">
        <v>4592</v>
      </c>
      <c r="V217" s="20" t="n">
        <v>-8232</v>
      </c>
      <c r="W217" s="20" t="n">
        <v>1547</v>
      </c>
      <c r="X217" s="20" t="n">
        <v>29155</v>
      </c>
    </row>
    <row r="218">
      <c r="A218" s="18" t="inlineStr">
        <is>
          <t>소계</t>
        </is>
      </c>
      <c r="D218" s="20" t="n">
        <v>900547</v>
      </c>
      <c r="F218" s="20" t="n">
        <v>505846</v>
      </c>
      <c r="H218" s="20" t="n">
        <v>973165</v>
      </c>
      <c r="J218" s="20" t="n">
        <v>421068</v>
      </c>
      <c r="L218" s="20" t="n">
        <v>849633</v>
      </c>
      <c r="N218" s="20" t="n">
        <v>477104</v>
      </c>
      <c r="O218" s="20" t="n">
        <v>346522</v>
      </c>
      <c r="P218" s="20" t="n">
        <v>396420</v>
      </c>
      <c r="Q218" s="20" t="n">
        <v>506400</v>
      </c>
      <c r="R218" s="20" t="n">
        <v>500865</v>
      </c>
      <c r="S218" s="20" t="n">
        <v>488123</v>
      </c>
      <c r="T218" s="20" t="n">
        <v>694808</v>
      </c>
      <c r="U218" s="20" t="n">
        <v>1032964</v>
      </c>
      <c r="V218" s="20" t="n">
        <v>900547</v>
      </c>
      <c r="W218" s="20" t="n">
        <v>973165</v>
      </c>
      <c r="X218" s="20" t="n">
        <v>849633</v>
      </c>
    </row>
    <row r="219">
      <c r="A219" s="18" t="inlineStr">
        <is>
          <t>이자·배당금 수취</t>
        </is>
      </c>
      <c r="D219" s="20" t="n">
        <v>64873</v>
      </c>
      <c r="F219" s="20" t="n">
        <v>45339</v>
      </c>
      <c r="H219" s="20" t="n">
        <v>96942</v>
      </c>
      <c r="J219" s="20" t="n">
        <v>38786</v>
      </c>
      <c r="L219" s="20" t="n">
        <v>73740</v>
      </c>
      <c r="N219" s="20" t="n">
        <v>33364</v>
      </c>
      <c r="O219" s="20" t="n">
        <v>7774</v>
      </c>
      <c r="P219" s="20" t="n">
        <v>11746</v>
      </c>
      <c r="Q219" s="20" t="n">
        <v>16627</v>
      </c>
      <c r="R219" s="20" t="n">
        <v>19852</v>
      </c>
      <c r="S219" s="20" t="n">
        <v>15026</v>
      </c>
      <c r="T219" s="20" t="n">
        <v>6984</v>
      </c>
      <c r="U219" s="20" t="n">
        <v>23220</v>
      </c>
      <c r="V219" s="20" t="n">
        <v>64873</v>
      </c>
      <c r="W219" s="20" t="n">
        <v>96942</v>
      </c>
      <c r="X219" s="20" t="n">
        <v>73740</v>
      </c>
    </row>
    <row r="220">
      <c r="A220" s="18" t="inlineStr">
        <is>
          <t>이자 지급</t>
        </is>
      </c>
      <c r="D220" s="20" t="n">
        <v>-1298</v>
      </c>
      <c r="F220" s="20" t="n">
        <v>-538</v>
      </c>
      <c r="H220" s="20" t="n">
        <v>-1154</v>
      </c>
      <c r="J220" s="20" t="n">
        <v>-592</v>
      </c>
      <c r="L220" s="20" t="n">
        <v>-1788</v>
      </c>
      <c r="N220" s="20" t="n">
        <v>-1660</v>
      </c>
      <c r="O220" s="20" t="n">
        <v>-528</v>
      </c>
      <c r="P220" s="20" t="n">
        <v>-599</v>
      </c>
      <c r="Q220" s="20" t="n">
        <v>-751</v>
      </c>
      <c r="R220" s="20" t="n">
        <v>-508</v>
      </c>
      <c r="S220" s="20" t="n">
        <v>-571</v>
      </c>
      <c r="T220" s="20" t="n">
        <v>-816</v>
      </c>
      <c r="U220" s="20" t="n">
        <v>-1234</v>
      </c>
      <c r="V220" s="20" t="n">
        <v>-1298</v>
      </c>
      <c r="W220" s="20" t="n">
        <v>-1154</v>
      </c>
      <c r="X220" s="20" t="n">
        <v>-1788</v>
      </c>
    </row>
    <row r="221">
      <c r="A221" s="18" t="inlineStr">
        <is>
          <t>법인세 납부</t>
        </is>
      </c>
      <c r="D221" s="20" t="n">
        <v>-208939</v>
      </c>
      <c r="F221" s="20" t="n">
        <v>-98757</v>
      </c>
      <c r="H221" s="20" t="n">
        <v>-187020</v>
      </c>
      <c r="J221" s="20" t="n">
        <v>-112194</v>
      </c>
      <c r="L221" s="20" t="n">
        <v>-208932</v>
      </c>
      <c r="N221" s="20" t="n">
        <v>-98051</v>
      </c>
      <c r="O221" s="20" t="n">
        <v>-62895</v>
      </c>
      <c r="P221" s="20" t="n">
        <v>-74791</v>
      </c>
      <c r="Q221" s="20" t="n">
        <v>-121589</v>
      </c>
      <c r="R221" s="20" t="n">
        <v>-107824</v>
      </c>
      <c r="S221" s="20" t="n">
        <v>-101402</v>
      </c>
      <c r="T221" s="20" t="n">
        <v>-147448</v>
      </c>
      <c r="U221" s="20" t="n">
        <v>-266937</v>
      </c>
      <c r="V221" s="20" t="n">
        <v>-208939</v>
      </c>
      <c r="W221" s="20" t="n">
        <v>-187020</v>
      </c>
      <c r="X221" s="20" t="n">
        <v>-208932</v>
      </c>
    </row>
    <row r="222">
      <c r="A222" s="18" t="inlineStr">
        <is>
          <t>재해 보험금 수입</t>
        </is>
      </c>
      <c r="D222" s="20" t="n">
        <v>4424</v>
      </c>
      <c r="U222" s="20" t="n">
        <v>0</v>
      </c>
      <c r="V222" s="20" t="n">
        <v>4424</v>
      </c>
    </row>
    <row r="223">
      <c r="A223" s="9" t="inlineStr">
        <is>
          <t>영업활동 현금흐름</t>
        </is>
      </c>
      <c r="D223" s="12" t="n">
        <v>755183</v>
      </c>
      <c r="F223" s="12" t="n">
        <v>451889</v>
      </c>
      <c r="H223" s="12" t="n">
        <v>881934</v>
      </c>
      <c r="J223" s="12" t="n">
        <v>347066</v>
      </c>
      <c r="L223" s="12" t="n">
        <v>712651</v>
      </c>
      <c r="N223" s="12" t="n">
        <v>410757</v>
      </c>
      <c r="O223" s="12" t="n">
        <v>290872</v>
      </c>
      <c r="P223" s="12" t="n">
        <v>332776</v>
      </c>
      <c r="Q223" s="12" t="n">
        <v>400687</v>
      </c>
      <c r="R223" s="12" t="n">
        <v>412384</v>
      </c>
      <c r="S223" s="12" t="n">
        <v>401176</v>
      </c>
      <c r="T223" s="12" t="n">
        <v>553528</v>
      </c>
      <c r="U223" s="12" t="n">
        <v>788013</v>
      </c>
      <c r="V223" s="12" t="n">
        <v>755183</v>
      </c>
      <c r="W223" s="12" t="n">
        <v>881934</v>
      </c>
      <c r="X223" s="12" t="n">
        <v>712651</v>
      </c>
    </row>
    <row r="224">
      <c r="A224" s="18" t="inlineStr">
        <is>
          <t>정기예금 증감</t>
        </is>
      </c>
      <c r="F224" s="20" t="n">
        <v>61726</v>
      </c>
    </row>
    <row r="225">
      <c r="A225" s="18" t="inlineStr">
        <is>
          <t>유가증권 매각·상환 수입</t>
        </is>
      </c>
      <c r="F225" s="20" t="n">
        <v>0</v>
      </c>
    </row>
    <row r="226">
      <c r="A226" s="18" t="inlineStr">
        <is>
          <t>정기예금 순증감</t>
        </is>
      </c>
      <c r="D226" s="20" t="n">
        <v>-781343</v>
      </c>
      <c r="F226" s="20" t="n">
        <v>61726</v>
      </c>
      <c r="H226" s="20" t="n">
        <v>328837</v>
      </c>
      <c r="J226" s="20" t="n">
        <v>-79334</v>
      </c>
      <c r="L226" s="20" t="n">
        <v>-188000</v>
      </c>
      <c r="N226" s="20" t="n">
        <v>-92034</v>
      </c>
      <c r="O226" s="20" t="n">
        <v>30289</v>
      </c>
      <c r="P226" s="20" t="n">
        <v>-22649</v>
      </c>
      <c r="Q226" s="20" t="n">
        <v>55116</v>
      </c>
      <c r="R226" s="20" t="n">
        <v>-127525</v>
      </c>
      <c r="S226" s="20" t="n">
        <v>-12334</v>
      </c>
      <c r="T226" s="20" t="n">
        <v>-40783</v>
      </c>
      <c r="U226" s="20" t="n">
        <v>9995</v>
      </c>
      <c r="V226" s="20" t="n">
        <v>-781343</v>
      </c>
      <c r="W226" s="20" t="n">
        <v>328837</v>
      </c>
      <c r="X226" s="20" t="n">
        <v>-188000</v>
      </c>
    </row>
    <row r="227">
      <c r="A227" s="18" t="inlineStr">
        <is>
          <t>유가증권 순증감액</t>
        </is>
      </c>
      <c r="D227" s="20" t="n">
        <v>36065</v>
      </c>
      <c r="F227" s="20" t="n">
        <v>0</v>
      </c>
      <c r="H227" s="20" t="n">
        <v>-3227</v>
      </c>
      <c r="J227" s="20" t="n">
        <v>-6355</v>
      </c>
      <c r="L227" s="20" t="n">
        <v>5657</v>
      </c>
      <c r="N227" s="20" t="n">
        <v>950</v>
      </c>
      <c r="O227" s="20" t="n">
        <v>112380</v>
      </c>
      <c r="P227" s="20" t="n">
        <v>-44439</v>
      </c>
      <c r="Q227" s="20" t="n">
        <v>-1169</v>
      </c>
      <c r="R227" s="20" t="n">
        <v>-1063</v>
      </c>
      <c r="S227" s="20" t="n">
        <v>-5145</v>
      </c>
      <c r="T227" s="20" t="n">
        <v>-6402</v>
      </c>
      <c r="U227" s="20" t="n">
        <v>106394</v>
      </c>
      <c r="V227" s="20" t="n">
        <v>36065</v>
      </c>
      <c r="W227" s="20" t="n">
        <v>-3227</v>
      </c>
      <c r="X227" s="20" t="n">
        <v>5657</v>
      </c>
    </row>
    <row r="228">
      <c r="A228" s="18" t="inlineStr">
        <is>
          <t>투자유가증권 취득</t>
        </is>
      </c>
      <c r="D228" s="20" t="n">
        <v>-2646</v>
      </c>
      <c r="F228" s="20" t="n">
        <v>-4746</v>
      </c>
      <c r="H228" s="20" t="n">
        <v>-6066</v>
      </c>
      <c r="J228" s="20" t="n">
        <v>-1742</v>
      </c>
      <c r="L228" s="20" t="n">
        <v>-4787</v>
      </c>
      <c r="N228" s="20" t="n">
        <v>-1730</v>
      </c>
      <c r="O228" s="20" t="n">
        <v>-1613</v>
      </c>
      <c r="P228" s="20" t="n">
        <v>-7516</v>
      </c>
      <c r="Q228" s="20" t="n">
        <v>-2563</v>
      </c>
      <c r="R228" s="20" t="n">
        <v>-6520</v>
      </c>
      <c r="S228" s="20" t="n">
        <v>-3616</v>
      </c>
      <c r="T228" s="20" t="n">
        <v>-8099</v>
      </c>
      <c r="U228" s="20" t="n">
        <v>-9032</v>
      </c>
      <c r="V228" s="20" t="n">
        <v>-2646</v>
      </c>
      <c r="W228" s="20" t="n">
        <v>-6066</v>
      </c>
      <c r="X228" s="20" t="n">
        <v>-4787</v>
      </c>
    </row>
    <row r="229">
      <c r="A229" s="18" t="inlineStr">
        <is>
          <t>투자유가증권 매각·상환 수입</t>
        </is>
      </c>
      <c r="D229" s="20" t="n">
        <v>26581</v>
      </c>
      <c r="F229" s="20" t="n">
        <v>3162</v>
      </c>
      <c r="H229" s="20" t="n">
        <v>22785</v>
      </c>
      <c r="J229" s="20" t="n">
        <v>14953</v>
      </c>
      <c r="L229" s="20" t="n">
        <v>15937</v>
      </c>
      <c r="N229" s="20" t="n">
        <v>7125</v>
      </c>
      <c r="O229" s="20" t="n">
        <v>53</v>
      </c>
      <c r="P229" s="20" t="n">
        <v>5026</v>
      </c>
      <c r="Q229" s="20" t="n">
        <v>434</v>
      </c>
      <c r="R229" s="20" t="n">
        <v>12606</v>
      </c>
      <c r="S229" s="20" t="n">
        <v>3471</v>
      </c>
      <c r="T229" s="20" t="n">
        <v>389</v>
      </c>
      <c r="U229" s="20" t="n">
        <v>5097</v>
      </c>
      <c r="V229" s="20" t="n">
        <v>26581</v>
      </c>
      <c r="W229" s="20" t="n">
        <v>22785</v>
      </c>
      <c r="X229" s="20" t="n">
        <v>15937</v>
      </c>
    </row>
    <row r="230">
      <c r="A230" s="18" t="inlineStr">
        <is>
          <t>연결범위 변경 자회사 주식 취득</t>
        </is>
      </c>
      <c r="D230" s="20" t="n">
        <v>0</v>
      </c>
      <c r="F230" s="20" t="n">
        <v>-33411</v>
      </c>
      <c r="H230" s="20" t="n">
        <v>-47232</v>
      </c>
      <c r="J230" s="20" t="n">
        <v>0</v>
      </c>
      <c r="L230" s="20" t="n">
        <v>0</v>
      </c>
      <c r="S230" s="20" t="n">
        <v>0</v>
      </c>
      <c r="T230" s="20" t="n">
        <v>-3552</v>
      </c>
      <c r="U230" s="20" t="n">
        <v>0</v>
      </c>
      <c r="V230" s="20" t="n">
        <v>0</v>
      </c>
      <c r="W230" s="20" t="n">
        <v>-47232</v>
      </c>
      <c r="X230" s="20" t="n">
        <v>0</v>
      </c>
    </row>
    <row r="231">
      <c r="A231" s="18" t="inlineStr">
        <is>
          <t>유형자산 취득(설비투자)</t>
        </is>
      </c>
      <c r="D231" s="20" t="n">
        <v>-374417</v>
      </c>
      <c r="F231" s="20" t="n">
        <v>-257851</v>
      </c>
      <c r="H231" s="20" t="n">
        <v>-439473</v>
      </c>
      <c r="J231" s="20" t="n">
        <v>-213920</v>
      </c>
      <c r="L231" s="20" t="n">
        <v>-353620</v>
      </c>
      <c r="N231" s="20" t="n">
        <v>-169121</v>
      </c>
      <c r="O231" s="20" t="n">
        <v>-134897</v>
      </c>
      <c r="P231" s="20" t="n">
        <v>-162311</v>
      </c>
      <c r="Q231" s="20" t="n">
        <v>-226768</v>
      </c>
      <c r="R231" s="20" t="n">
        <v>-268365</v>
      </c>
      <c r="S231" s="20" t="n">
        <v>-236195</v>
      </c>
      <c r="T231" s="20" t="n">
        <v>-195775</v>
      </c>
      <c r="U231" s="20" t="n">
        <v>-295517</v>
      </c>
      <c r="V231" s="20" t="n">
        <v>-374417</v>
      </c>
      <c r="W231" s="20" t="n">
        <v>-439473</v>
      </c>
      <c r="X231" s="20" t="n">
        <v>-353620</v>
      </c>
    </row>
    <row r="232">
      <c r="A232" s="18" t="inlineStr">
        <is>
          <t>무형자산 취득</t>
        </is>
      </c>
      <c r="D232" s="20" t="n">
        <v>-3061</v>
      </c>
      <c r="H232" s="20" t="n">
        <v>-3364</v>
      </c>
      <c r="L232" s="20" t="n">
        <v>-2330</v>
      </c>
      <c r="O232" s="20" t="n">
        <v>-1377</v>
      </c>
      <c r="P232" s="20" t="n">
        <v>-1407</v>
      </c>
      <c r="Q232" s="20" t="n">
        <v>-1334</v>
      </c>
      <c r="R232" s="20" t="n">
        <v>-1063</v>
      </c>
      <c r="S232" s="20" t="n">
        <v>-1177</v>
      </c>
      <c r="T232" s="20" t="n">
        <v>-1781</v>
      </c>
      <c r="U232" s="20" t="n">
        <v>-3850</v>
      </c>
      <c r="V232" s="20" t="n">
        <v>-3061</v>
      </c>
      <c r="W232" s="20" t="n">
        <v>-3364</v>
      </c>
      <c r="X232" s="20" t="n">
        <v>-2330</v>
      </c>
    </row>
    <row r="233">
      <c r="A233" s="18" t="inlineStr">
        <is>
          <t>기타</t>
        </is>
      </c>
      <c r="D233" s="20" t="n">
        <v>-387</v>
      </c>
      <c r="F233" s="20" t="n">
        <v>-4114</v>
      </c>
      <c r="H233" s="20" t="n">
        <v>5187</v>
      </c>
      <c r="J233" s="20" t="n">
        <v>-14302</v>
      </c>
      <c r="L233" s="20" t="n">
        <v>-17663</v>
      </c>
      <c r="N233" s="20" t="n">
        <v>-1752</v>
      </c>
      <c r="O233" s="20" t="n">
        <v>-3553</v>
      </c>
      <c r="P233" s="20" t="n">
        <v>-4305</v>
      </c>
      <c r="Q233" s="20" t="n">
        <v>-5269</v>
      </c>
      <c r="R233" s="20" t="n">
        <v>-2615</v>
      </c>
      <c r="S233" s="20" t="n">
        <v>4278</v>
      </c>
      <c r="T233" s="20" t="n">
        <v>2281</v>
      </c>
      <c r="U233" s="20" t="n">
        <v>424</v>
      </c>
      <c r="V233" s="20" t="n">
        <v>-387</v>
      </c>
      <c r="W233" s="20" t="n">
        <v>5187</v>
      </c>
      <c r="X233" s="20" t="n">
        <v>-17663</v>
      </c>
    </row>
    <row r="234">
      <c r="A234" s="9" t="inlineStr">
        <is>
          <t>투자활동 현금흐름</t>
        </is>
      </c>
      <c r="D234" s="12" t="n">
        <v>-1099208</v>
      </c>
      <c r="F234" s="12" t="n">
        <v>-235235</v>
      </c>
      <c r="H234" s="12" t="n">
        <v>-142553</v>
      </c>
      <c r="J234" s="12" t="n">
        <v>-300701</v>
      </c>
      <c r="L234" s="12" t="n">
        <v>-544806</v>
      </c>
      <c r="N234" s="12" t="n">
        <v>-256562</v>
      </c>
      <c r="O234" s="12" t="n">
        <v>1281</v>
      </c>
      <c r="P234" s="12" t="n">
        <v>-237602</v>
      </c>
      <c r="Q234" s="12" t="n">
        <v>-181553</v>
      </c>
      <c r="R234" s="12" t="n">
        <v>-394547</v>
      </c>
      <c r="S234" s="12" t="n">
        <v>-250719</v>
      </c>
      <c r="T234" s="12" t="n">
        <v>-253723</v>
      </c>
      <c r="U234" s="12" t="n">
        <v>-186488</v>
      </c>
      <c r="V234" s="12" t="n">
        <v>-1099208</v>
      </c>
      <c r="W234" s="12" t="n">
        <v>-142553</v>
      </c>
      <c r="X234" s="12" t="n">
        <v>-544806</v>
      </c>
    </row>
    <row r="235">
      <c r="A235" s="18" t="inlineStr">
        <is>
          <t>단기차입금 순증감</t>
        </is>
      </c>
      <c r="D235" s="20" t="n">
        <v>-1531</v>
      </c>
      <c r="F235" s="20" t="n">
        <v>501</v>
      </c>
      <c r="H235" s="20" t="n">
        <v>2843</v>
      </c>
      <c r="J235" s="20" t="n">
        <v>-864</v>
      </c>
      <c r="L235" s="20" t="n">
        <v>-1767</v>
      </c>
      <c r="N235" s="20" t="n">
        <v>-1755</v>
      </c>
      <c r="O235" s="20" t="n">
        <v>520</v>
      </c>
      <c r="P235" s="20" t="n">
        <v>-114</v>
      </c>
      <c r="Q235" s="20" t="n">
        <v>-298</v>
      </c>
      <c r="R235" s="20" t="n">
        <v>1265</v>
      </c>
      <c r="S235" s="20" t="n">
        <v>701</v>
      </c>
      <c r="T235" s="20" t="n">
        <v>-1100</v>
      </c>
      <c r="U235" s="20" t="n">
        <v>-1521</v>
      </c>
      <c r="V235" s="20" t="n">
        <v>-1531</v>
      </c>
      <c r="W235" s="20" t="n">
        <v>2843</v>
      </c>
      <c r="X235" s="20" t="n">
        <v>-1767</v>
      </c>
    </row>
    <row r="236">
      <c r="A236" s="18" t="inlineStr">
        <is>
          <t>장기차입</t>
        </is>
      </c>
      <c r="D236" s="20" t="n">
        <v>23</v>
      </c>
      <c r="F236" s="20" t="n">
        <v>456</v>
      </c>
      <c r="H236" s="20" t="n">
        <v>1223</v>
      </c>
      <c r="J236" s="20" t="n">
        <v>230010</v>
      </c>
      <c r="L236" s="20" t="n">
        <v>230010</v>
      </c>
      <c r="N236" s="20" t="n">
        <v>161050</v>
      </c>
      <c r="O236" s="20" t="n">
        <v>25</v>
      </c>
      <c r="P236" s="20" t="n">
        <v>2012</v>
      </c>
      <c r="Q236" s="20" t="n">
        <v>51</v>
      </c>
      <c r="R236" s="20" t="n">
        <v>8384</v>
      </c>
      <c r="S236" s="20" t="n">
        <v>4578</v>
      </c>
      <c r="T236" s="20" t="n">
        <v>4677</v>
      </c>
      <c r="U236" s="20" t="n">
        <v>5000</v>
      </c>
      <c r="V236" s="20" t="n">
        <v>23</v>
      </c>
      <c r="W236" s="20" t="n">
        <v>1223</v>
      </c>
      <c r="X236" s="20" t="n">
        <v>230010</v>
      </c>
    </row>
    <row r="237">
      <c r="A237" s="18" t="inlineStr">
        <is>
          <t>장기차입금 상환</t>
        </is>
      </c>
      <c r="D237" s="20" t="n">
        <v>-5109</v>
      </c>
      <c r="F237" s="20" t="n">
        <v>-6730</v>
      </c>
      <c r="H237" s="20" t="n">
        <v>-12637</v>
      </c>
      <c r="J237" s="20" t="n">
        <v>-1343</v>
      </c>
      <c r="L237" s="20" t="n">
        <v>-1593</v>
      </c>
      <c r="N237" s="20" t="n">
        <v>-1086</v>
      </c>
      <c r="O237" s="20" t="n">
        <v>-212</v>
      </c>
      <c r="P237" s="20" t="n">
        <v>-792</v>
      </c>
      <c r="Q237" s="20" t="n">
        <v>-227</v>
      </c>
      <c r="R237" s="20" t="n">
        <v>-743</v>
      </c>
      <c r="S237" s="20" t="n">
        <v>-796</v>
      </c>
      <c r="T237" s="20" t="n">
        <v>-3041</v>
      </c>
      <c r="U237" s="20" t="n">
        <v>-6029</v>
      </c>
      <c r="V237" s="20" t="n">
        <v>-5109</v>
      </c>
      <c r="W237" s="20" t="n">
        <v>-12637</v>
      </c>
      <c r="X237" s="20" t="n">
        <v>-1593</v>
      </c>
    </row>
    <row r="238">
      <c r="A238" s="18" t="inlineStr">
        <is>
          <t>자기주식 취득</t>
        </is>
      </c>
      <c r="D238" s="20" t="n">
        <v>-107742</v>
      </c>
      <c r="F238" s="20" t="n">
        <v>-100003</v>
      </c>
      <c r="H238" s="20" t="n">
        <v>-193988</v>
      </c>
      <c r="J238" s="20" t="n">
        <v>-400002</v>
      </c>
      <c r="L238" s="20" t="n">
        <v>-500006</v>
      </c>
      <c r="N238" s="20" t="n">
        <v>-250002</v>
      </c>
      <c r="O238" s="20" t="n">
        <v>-19</v>
      </c>
      <c r="P238" s="20" t="n">
        <v>-30</v>
      </c>
      <c r="Q238" s="20" t="n">
        <v>-89475</v>
      </c>
      <c r="R238" s="20" t="n">
        <v>-10566</v>
      </c>
      <c r="S238" s="20" t="n">
        <v>-10657</v>
      </c>
      <c r="T238" s="20" t="n">
        <v>-5954</v>
      </c>
      <c r="U238" s="20" t="n">
        <v>-206788</v>
      </c>
      <c r="V238" s="20" t="n">
        <v>-107742</v>
      </c>
      <c r="W238" s="20" t="n">
        <v>-193988</v>
      </c>
      <c r="X238" s="20" t="n">
        <v>-500006</v>
      </c>
    </row>
    <row r="239">
      <c r="A239" s="18" t="inlineStr">
        <is>
          <t>배당금 지급</t>
        </is>
      </c>
      <c r="D239" s="20" t="n">
        <v>-211242</v>
      </c>
      <c r="F239" s="20" t="n">
        <v>-99802</v>
      </c>
      <c r="H239" s="20" t="n">
        <v>-204724</v>
      </c>
      <c r="J239" s="20" t="n">
        <v>-103886</v>
      </c>
      <c r="L239" s="20" t="n">
        <v>-203162</v>
      </c>
      <c r="N239" s="20" t="n">
        <v>-98405</v>
      </c>
      <c r="O239" s="20" t="n">
        <v>-48987</v>
      </c>
      <c r="P239" s="20" t="n">
        <v>-53301</v>
      </c>
      <c r="Q239" s="20" t="n">
        <v>-74655</v>
      </c>
      <c r="R239" s="20" t="n">
        <v>-87410</v>
      </c>
      <c r="S239" s="20" t="n">
        <v>-91420</v>
      </c>
      <c r="T239" s="20" t="n">
        <v>-120481</v>
      </c>
      <c r="U239" s="20" t="n">
        <v>-195365</v>
      </c>
      <c r="V239" s="20" t="n">
        <v>-211242</v>
      </c>
      <c r="W239" s="20" t="n">
        <v>-204724</v>
      </c>
      <c r="X239" s="20" t="n">
        <v>-203162</v>
      </c>
    </row>
    <row r="240">
      <c r="A240" s="18" t="inlineStr">
        <is>
          <t>기타</t>
        </is>
      </c>
      <c r="D240" s="20" t="n">
        <v>-43864</v>
      </c>
      <c r="F240" s="20" t="n">
        <v>-24714</v>
      </c>
      <c r="H240" s="20" t="n">
        <v>-47623</v>
      </c>
      <c r="J240" s="20" t="n">
        <v>-27231</v>
      </c>
      <c r="L240" s="20" t="n">
        <v>-28317</v>
      </c>
      <c r="N240" s="20" t="n">
        <v>-20009</v>
      </c>
      <c r="O240" s="20" t="n">
        <v>11474</v>
      </c>
      <c r="P240" s="20" t="n">
        <v>2219</v>
      </c>
      <c r="Q240" s="20" t="n">
        <v>66</v>
      </c>
      <c r="R240" s="20" t="n">
        <v>-4985</v>
      </c>
      <c r="S240" s="20" t="n">
        <v>6470</v>
      </c>
      <c r="T240" s="20" t="n">
        <v>3396</v>
      </c>
      <c r="U240" s="20" t="n">
        <v>-18854</v>
      </c>
      <c r="V240" s="20" t="n">
        <v>-43864</v>
      </c>
      <c r="W240" s="20" t="n">
        <v>-47623</v>
      </c>
      <c r="X240" s="20" t="n">
        <v>-28317</v>
      </c>
    </row>
    <row r="241">
      <c r="A241" s="9" t="inlineStr">
        <is>
          <t>재무활동 현금흐름</t>
        </is>
      </c>
      <c r="D241" s="12" t="n">
        <v>-369466</v>
      </c>
      <c r="F241" s="12" t="n">
        <v>-230293</v>
      </c>
      <c r="H241" s="12" t="n">
        <v>-454905</v>
      </c>
      <c r="J241" s="12" t="n">
        <v>-303317</v>
      </c>
      <c r="L241" s="12" t="n">
        <v>-504835</v>
      </c>
      <c r="N241" s="12" t="n">
        <v>-210209</v>
      </c>
      <c r="O241" s="12" t="n">
        <v>-37199</v>
      </c>
      <c r="P241" s="12" t="n">
        <v>-50006</v>
      </c>
      <c r="Q241" s="12" t="n">
        <v>-164538</v>
      </c>
      <c r="R241" s="12" t="n">
        <v>-94055</v>
      </c>
      <c r="S241" s="12" t="n">
        <v>-91123</v>
      </c>
      <c r="T241" s="12" t="n">
        <v>-122504</v>
      </c>
      <c r="U241" s="12" t="n">
        <v>-423559</v>
      </c>
      <c r="V241" s="12" t="n">
        <v>-369466</v>
      </c>
      <c r="W241" s="12" t="n">
        <v>-454905</v>
      </c>
      <c r="X241" s="12" t="n">
        <v>-504835</v>
      </c>
    </row>
    <row r="242">
      <c r="A242" s="18" t="inlineStr">
        <is>
          <t>현금성자산 환산차이</t>
        </is>
      </c>
      <c r="D242" s="20" t="n">
        <v>56283</v>
      </c>
      <c r="F242" s="20" t="n">
        <v>27577</v>
      </c>
      <c r="H242" s="20" t="n">
        <v>8125</v>
      </c>
      <c r="J242" s="20" t="n">
        <v>-5662</v>
      </c>
      <c r="L242" s="20" t="n">
        <v>16343</v>
      </c>
      <c r="N242" s="20" t="n">
        <v>8184</v>
      </c>
      <c r="O242" s="20" t="n">
        <v>-13584</v>
      </c>
      <c r="P242" s="20" t="n">
        <v>1626</v>
      </c>
      <c r="Q242" s="20" t="n">
        <v>-7917</v>
      </c>
      <c r="R242" s="20" t="n">
        <v>-7001</v>
      </c>
      <c r="S242" s="20" t="n">
        <v>-2861</v>
      </c>
      <c r="T242" s="20" t="n">
        <v>29963</v>
      </c>
      <c r="U242" s="20" t="n">
        <v>60454</v>
      </c>
      <c r="V242" s="20" t="n">
        <v>56283</v>
      </c>
      <c r="W242" s="20" t="n">
        <v>8125</v>
      </c>
      <c r="X242" s="20" t="n">
        <v>16343</v>
      </c>
    </row>
    <row r="243">
      <c r="A243" s="18" t="inlineStr">
        <is>
          <t>현금성자산 증감</t>
        </is>
      </c>
      <c r="D243" s="20" t="n">
        <v>-657208</v>
      </c>
      <c r="F243" s="20" t="n">
        <v>13937</v>
      </c>
      <c r="H243" s="20" t="n">
        <v>292600</v>
      </c>
      <c r="J243" s="20" t="n">
        <v>-262614</v>
      </c>
      <c r="L243" s="20" t="n">
        <v>-320646</v>
      </c>
      <c r="N243" s="20" t="n">
        <v>-47830</v>
      </c>
      <c r="O243" s="20" t="n">
        <v>241369</v>
      </c>
      <c r="P243" s="20" t="n">
        <v>46792</v>
      </c>
      <c r="Q243" s="20" t="n">
        <v>46678</v>
      </c>
      <c r="R243" s="20" t="n">
        <v>-83220</v>
      </c>
      <c r="S243" s="20" t="n">
        <v>56471</v>
      </c>
      <c r="T243" s="20" t="n">
        <v>207263</v>
      </c>
      <c r="U243" s="20" t="n">
        <v>238419</v>
      </c>
      <c r="V243" s="20" t="n">
        <v>-657208</v>
      </c>
      <c r="W243" s="20" t="n">
        <v>292600</v>
      </c>
      <c r="X243" s="20" t="n">
        <v>-320646</v>
      </c>
    </row>
    <row r="244">
      <c r="A244" s="18" t="inlineStr">
        <is>
          <t>연결범위 변경에 따른 현금성자산 증감</t>
        </is>
      </c>
      <c r="O244" s="20" t="n">
        <v>4332</v>
      </c>
      <c r="P244" s="20" t="n">
        <v>350</v>
      </c>
      <c r="Q244" s="20" t="n">
        <v>1217</v>
      </c>
      <c r="R244" s="20" t="n">
        <v>0</v>
      </c>
    </row>
    <row r="245">
      <c r="A245" s="18" t="inlineStr">
        <is>
          <t>신규 연결 현금성자산 증가</t>
        </is>
      </c>
      <c r="S245" s="20" t="n">
        <v>0</v>
      </c>
      <c r="T245" s="20" t="n">
        <v>64</v>
      </c>
      <c r="U245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신에쓰화학공업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2923096</v>
      </c>
      <c r="D5" s="12" t="n">
        <v>2964096</v>
      </c>
      <c r="E5" s="12" t="n">
        <v>3106055</v>
      </c>
      <c r="F5" s="12" t="n">
        <v>3143576</v>
      </c>
      <c r="G5" s="12" t="n">
        <v>3297654</v>
      </c>
      <c r="H5" s="11" t="n">
        <v>2437975</v>
      </c>
      <c r="I5" s="12" t="n">
        <v>2863524</v>
      </c>
      <c r="J5" s="12" t="n">
        <v>3036509</v>
      </c>
      <c r="K5" s="12" t="n">
        <v>3209652</v>
      </c>
      <c r="L5" s="12" t="n">
        <v>3106055</v>
      </c>
    </row>
    <row r="6">
      <c r="A6" s="18" t="inlineStr">
        <is>
          <t>현금및현금성자산</t>
        </is>
      </c>
      <c r="B6" s="10" t="n"/>
      <c r="C6" s="19" t="n">
        <v>1494104</v>
      </c>
      <c r="D6" s="20" t="n">
        <v>1485976</v>
      </c>
      <c r="E6" s="20" t="n">
        <v>1660060</v>
      </c>
      <c r="F6" s="20" t="n">
        <v>1654261</v>
      </c>
      <c r="G6" s="20" t="n">
        <v>1751095</v>
      </c>
      <c r="H6" s="19" t="n">
        <v>1112775</v>
      </c>
      <c r="I6" s="20" t="n">
        <v>1449617</v>
      </c>
      <c r="J6" s="20" t="n">
        <v>1698999</v>
      </c>
      <c r="K6" s="20" t="n">
        <v>1708438</v>
      </c>
      <c r="L6" s="20" t="n">
        <v>1660060</v>
      </c>
    </row>
    <row r="7">
      <c r="A7" s="18" t="inlineStr">
        <is>
          <t>단기금융상품</t>
        </is>
      </c>
      <c r="B7" s="10" t="n"/>
      <c r="C7" s="19" t="n">
        <v>49869</v>
      </c>
      <c r="D7" s="20" t="n">
        <v>12393</v>
      </c>
      <c r="E7" s="20" t="n">
        <v>7035</v>
      </c>
      <c r="F7" s="20" t="n">
        <v>1842</v>
      </c>
      <c r="G7" s="20" t="n">
        <v>1869</v>
      </c>
      <c r="H7" s="19" t="n">
        <v>323305</v>
      </c>
      <c r="I7" s="20" t="n">
        <v>151031</v>
      </c>
      <c r="J7" s="20" t="n">
        <v>20710</v>
      </c>
      <c r="K7" s="20" t="n">
        <v>103240</v>
      </c>
      <c r="L7" s="20" t="n">
        <v>7035</v>
      </c>
    </row>
    <row r="8">
      <c r="A8" s="18" t="inlineStr">
        <is>
          <t>매출채권</t>
        </is>
      </c>
      <c r="B8" s="10" t="n"/>
      <c r="C8" s="19" t="n">
        <v>559584</v>
      </c>
      <c r="D8" s="20" t="n">
        <v>594104</v>
      </c>
      <c r="E8" s="20" t="n">
        <v>535383</v>
      </c>
      <c r="F8" s="20" t="n">
        <v>572536</v>
      </c>
      <c r="G8" s="20" t="n">
        <v>633061</v>
      </c>
      <c r="H8" s="19" t="n">
        <v>473513</v>
      </c>
      <c r="I8" s="20" t="n">
        <v>472557</v>
      </c>
      <c r="J8" s="20" t="n">
        <v>481812</v>
      </c>
      <c r="K8" s="20" t="n">
        <v>514702</v>
      </c>
      <c r="L8" s="20" t="n">
        <v>535383</v>
      </c>
    </row>
    <row r="9">
      <c r="A9" s="18" t="inlineStr">
        <is>
          <t>재고자산</t>
        </is>
      </c>
      <c r="B9" s="10" t="n"/>
      <c r="C9" s="19" t="n">
        <v>736326</v>
      </c>
      <c r="D9" s="20" t="n">
        <v>760021</v>
      </c>
      <c r="E9" s="20" t="n">
        <v>790911</v>
      </c>
      <c r="F9" s="20" t="n">
        <v>769057</v>
      </c>
      <c r="G9" s="20" t="n">
        <v>816089</v>
      </c>
      <c r="H9" s="19" t="n">
        <v>453660</v>
      </c>
      <c r="I9" s="20" t="n">
        <v>688477</v>
      </c>
      <c r="J9" s="20" t="n">
        <v>720646</v>
      </c>
      <c r="K9" s="20" t="n">
        <v>769967</v>
      </c>
      <c r="L9" s="20" t="n">
        <v>790911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2433621</v>
      </c>
      <c r="D11" s="12" t="n">
        <v>2487255</v>
      </c>
      <c r="E11" s="12" t="n">
        <v>2555852</v>
      </c>
      <c r="F11" s="12" t="n">
        <v>2619377</v>
      </c>
      <c r="G11" s="12" t="n">
        <v>2658244</v>
      </c>
      <c r="H11" s="11" t="n">
        <v>1615436</v>
      </c>
      <c r="I11" s="12" t="n">
        <v>1866870</v>
      </c>
      <c r="J11" s="12" t="n">
        <v>2111465</v>
      </c>
      <c r="K11" s="12" t="n">
        <v>2426949</v>
      </c>
      <c r="L11" s="12" t="n">
        <v>2555852</v>
      </c>
    </row>
    <row r="12">
      <c r="A12" s="18" t="inlineStr">
        <is>
          <t>유형자산</t>
        </is>
      </c>
      <c r="B12" s="10" t="n"/>
      <c r="C12" s="19" t="n">
        <v>2061434</v>
      </c>
      <c r="D12" s="20" t="n">
        <v>2106129</v>
      </c>
      <c r="E12" s="20" t="n">
        <v>2153287</v>
      </c>
      <c r="F12" s="20" t="n">
        <v>2209497</v>
      </c>
      <c r="G12" s="20" t="n">
        <v>2247847</v>
      </c>
      <c r="H12" s="19" t="n">
        <v>1290165</v>
      </c>
      <c r="I12" s="20" t="n">
        <v>1518190</v>
      </c>
      <c r="J12" s="20" t="n">
        <v>1746577</v>
      </c>
      <c r="K12" s="20" t="n">
        <v>2065945</v>
      </c>
      <c r="L12" s="20" t="n">
        <v>2153287</v>
      </c>
    </row>
    <row r="13">
      <c r="A13" s="18" t="inlineStr">
        <is>
          <t>무형자산</t>
        </is>
      </c>
      <c r="B13" s="10" t="n"/>
      <c r="C13" s="19" t="n">
        <v>36122</v>
      </c>
      <c r="D13" s="20" t="n">
        <v>35229</v>
      </c>
      <c r="E13" s="20" t="n">
        <v>34695</v>
      </c>
      <c r="F13" s="20" t="n">
        <v>34012</v>
      </c>
      <c r="G13" s="20" t="n">
        <v>33276</v>
      </c>
      <c r="H13" s="19" t="n">
        <v>10535</v>
      </c>
      <c r="I13" s="20" t="n">
        <v>10351</v>
      </c>
      <c r="J13" s="20" t="n">
        <v>10195</v>
      </c>
      <c r="K13" s="20" t="n">
        <v>36908</v>
      </c>
      <c r="L13" s="20" t="n">
        <v>34695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5356717</v>
      </c>
      <c r="D16" s="12" t="n">
        <v>5451351</v>
      </c>
      <c r="E16" s="12" t="n">
        <v>5661907</v>
      </c>
      <c r="F16" s="12" t="n">
        <v>5762953</v>
      </c>
      <c r="G16" s="12" t="n">
        <v>5955899</v>
      </c>
      <c r="H16" s="11" t="n">
        <v>4053412</v>
      </c>
      <c r="I16" s="12" t="n">
        <v>4730394</v>
      </c>
      <c r="J16" s="12" t="n">
        <v>5147974</v>
      </c>
      <c r="K16" s="12" t="n">
        <v>5636601</v>
      </c>
      <c r="L16" s="12" t="n">
        <v>5661907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495661</v>
      </c>
      <c r="D18" s="12" t="n">
        <v>473203</v>
      </c>
      <c r="E18" s="12" t="n">
        <v>522631</v>
      </c>
      <c r="F18" s="12" t="n">
        <v>515967</v>
      </c>
      <c r="G18" s="12" t="n">
        <v>607727</v>
      </c>
      <c r="H18" s="11" t="n">
        <v>477759</v>
      </c>
      <c r="I18" s="12" t="n">
        <v>507810</v>
      </c>
      <c r="J18" s="12" t="n">
        <v>520395</v>
      </c>
      <c r="K18" s="12" t="n">
        <v>537094</v>
      </c>
      <c r="L18" s="12" t="n">
        <v>522631</v>
      </c>
    </row>
    <row r="19">
      <c r="A19" s="18" t="inlineStr">
        <is>
          <t>매입채무</t>
        </is>
      </c>
      <c r="B19" s="10" t="n"/>
      <c r="C19" s="19" t="n">
        <v>172012</v>
      </c>
      <c r="D19" s="20" t="n">
        <v>183487</v>
      </c>
      <c r="E19" s="20" t="n">
        <v>176399</v>
      </c>
      <c r="F19" s="20" t="n">
        <v>168013</v>
      </c>
      <c r="G19" s="20" t="n">
        <v>192695</v>
      </c>
      <c r="H19" s="19" t="n">
        <v>177682</v>
      </c>
      <c r="I19" s="20" t="n">
        <v>185006</v>
      </c>
      <c r="J19" s="20" t="n">
        <v>161364</v>
      </c>
      <c r="K19" s="20" t="n">
        <v>184369</v>
      </c>
      <c r="L19" s="20" t="n">
        <v>176399</v>
      </c>
    </row>
    <row r="20">
      <c r="A20" s="18" t="inlineStr">
        <is>
          <t>단기차입금</t>
        </is>
      </c>
      <c r="B20" s="10" t="n"/>
      <c r="C20" s="19" t="n">
        <v>7642</v>
      </c>
      <c r="D20" s="20" t="n">
        <v>7127</v>
      </c>
      <c r="E20" s="20" t="n">
        <v>6929</v>
      </c>
      <c r="F20" s="20" t="n">
        <v>23999</v>
      </c>
      <c r="G20" s="20" t="n">
        <v>4163</v>
      </c>
      <c r="H20" s="19" t="n">
        <v>13461</v>
      </c>
      <c r="I20" s="20" t="n">
        <v>10998</v>
      </c>
      <c r="J20" s="20" t="n">
        <v>10386</v>
      </c>
      <c r="K20" s="20" t="n">
        <v>9389</v>
      </c>
      <c r="L20" s="20" t="n">
        <v>6929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479624</v>
      </c>
      <c r="D23" s="12" t="n">
        <v>488379</v>
      </c>
      <c r="E23" s="12" t="n">
        <v>495969</v>
      </c>
      <c r="F23" s="12" t="n">
        <v>502202</v>
      </c>
      <c r="G23" s="12" t="n">
        <v>659809</v>
      </c>
      <c r="H23" s="11" t="n">
        <v>146444</v>
      </c>
      <c r="I23" s="12" t="n">
        <v>196375</v>
      </c>
      <c r="J23" s="12" t="n">
        <v>203505</v>
      </c>
      <c r="K23" s="12" t="n">
        <v>261922</v>
      </c>
      <c r="L23" s="12" t="n">
        <v>495969</v>
      </c>
    </row>
    <row r="24">
      <c r="A24" s="18" t="inlineStr">
        <is>
          <t>장기차입금</t>
        </is>
      </c>
      <c r="B24" s="10" t="n"/>
      <c r="C24" s="19" t="n">
        <v>236273</v>
      </c>
      <c r="D24" s="20" t="n">
        <v>236303</v>
      </c>
      <c r="E24" s="20" t="n">
        <v>236366</v>
      </c>
      <c r="F24" s="20" t="n">
        <v>236368</v>
      </c>
      <c r="G24" s="20" t="n">
        <v>397437</v>
      </c>
      <c r="H24" s="19" t="n">
        <v>16940</v>
      </c>
      <c r="I24" s="20" t="n">
        <v>18812</v>
      </c>
      <c r="J24" s="20" t="n">
        <v>13913</v>
      </c>
      <c r="K24" s="20" t="n">
        <v>7452</v>
      </c>
      <c r="L24" s="20" t="n">
        <v>236366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975286</v>
      </c>
      <c r="D27" s="12" t="n">
        <v>961583</v>
      </c>
      <c r="E27" s="12" t="n">
        <v>1018600</v>
      </c>
      <c r="F27" s="12" t="n">
        <v>1018170</v>
      </c>
      <c r="G27" s="12" t="n">
        <v>1267536</v>
      </c>
      <c r="H27" s="11" t="n">
        <v>624204</v>
      </c>
      <c r="I27" s="12" t="n">
        <v>704185</v>
      </c>
      <c r="J27" s="12" t="n">
        <v>723901</v>
      </c>
      <c r="K27" s="12" t="n">
        <v>799016</v>
      </c>
      <c r="L27" s="12" t="n">
        <v>1018600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4216794</v>
      </c>
      <c r="D31" s="12" t="n">
        <v>4316289</v>
      </c>
      <c r="E31" s="12" t="n">
        <v>4456834</v>
      </c>
      <c r="F31" s="12" t="n">
        <v>4551432</v>
      </c>
      <c r="G31" s="12" t="n">
        <v>4503344</v>
      </c>
      <c r="H31" s="11" t="n">
        <v>3326565</v>
      </c>
      <c r="I31" s="12" t="n">
        <v>3870396</v>
      </c>
      <c r="J31" s="12" t="n">
        <v>4257924</v>
      </c>
      <c r="K31" s="12" t="n">
        <v>4656236</v>
      </c>
      <c r="L31" s="12" t="n">
        <v>4456834</v>
      </c>
    </row>
    <row r="32">
      <c r="A32" s="18" t="inlineStr">
        <is>
          <t>자본금</t>
        </is>
      </c>
      <c r="B32" s="10" t="n"/>
      <c r="C32" s="19" t="n">
        <v>119419</v>
      </c>
      <c r="D32" s="20" t="n">
        <v>119419</v>
      </c>
      <c r="E32" s="20" t="n">
        <v>119419</v>
      </c>
      <c r="F32" s="20" t="n">
        <v>119419</v>
      </c>
      <c r="G32" s="20" t="n">
        <v>119419</v>
      </c>
      <c r="H32" s="19" t="n">
        <v>119419</v>
      </c>
      <c r="I32" s="20" t="n">
        <v>119419</v>
      </c>
      <c r="J32" s="20" t="n">
        <v>119419</v>
      </c>
      <c r="K32" s="20" t="n">
        <v>119419</v>
      </c>
      <c r="L32" s="20" t="n">
        <v>119419</v>
      </c>
    </row>
    <row r="33">
      <c r="A33" s="18" t="inlineStr">
        <is>
          <t>이익잉여금</t>
        </is>
      </c>
      <c r="B33" s="10" t="n"/>
      <c r="C33" s="19" t="n">
        <v>3908589</v>
      </c>
      <c r="D33" s="20" t="n">
        <v>3933846</v>
      </c>
      <c r="E33" s="20" t="n">
        <v>4022591</v>
      </c>
      <c r="F33" s="20" t="n">
        <v>4043163</v>
      </c>
      <c r="G33" s="20" t="n">
        <v>4196069</v>
      </c>
      <c r="H33" s="19" t="n">
        <v>2993026</v>
      </c>
      <c r="I33" s="20" t="n">
        <v>3310205</v>
      </c>
      <c r="J33" s="20" t="n">
        <v>3520355</v>
      </c>
      <c r="K33" s="20" t="n">
        <v>3755274</v>
      </c>
      <c r="L33" s="20" t="n">
        <v>4022591</v>
      </c>
    </row>
    <row r="34">
      <c r="A34" s="18" t="inlineStr">
        <is>
          <t>비지배지분</t>
        </is>
      </c>
      <c r="B34" s="10" t="n"/>
      <c r="C34" s="19" t="n">
        <v>156455</v>
      </c>
      <c r="D34" s="20" t="n">
        <v>165375</v>
      </c>
      <c r="E34" s="20" t="n">
        <v>178877</v>
      </c>
      <c r="F34" s="20" t="n">
        <v>186183</v>
      </c>
      <c r="G34" s="20" t="n">
        <v>175828</v>
      </c>
      <c r="H34" s="19" t="n">
        <v>99910</v>
      </c>
      <c r="I34" s="20" t="n">
        <v>151999</v>
      </c>
      <c r="J34" s="20" t="n">
        <v>161308</v>
      </c>
      <c r="K34" s="20" t="n">
        <v>175112</v>
      </c>
      <c r="L34" s="20" t="n">
        <v>178877</v>
      </c>
    </row>
    <row r="35">
      <c r="A35" s="9" t="inlineStr">
        <is>
          <t>자본총계</t>
        </is>
      </c>
      <c r="B35" s="10" t="n"/>
      <c r="C35" s="11" t="n">
        <v>4381431</v>
      </c>
      <c r="D35" s="12" t="n">
        <v>4489768</v>
      </c>
      <c r="E35" s="12" t="n">
        <v>4643307</v>
      </c>
      <c r="F35" s="12" t="n">
        <v>4744783</v>
      </c>
      <c r="G35" s="12" t="n">
        <v>4688362</v>
      </c>
      <c r="H35" s="11" t="n">
        <v>3429208</v>
      </c>
      <c r="I35" s="12" t="n">
        <v>4026209</v>
      </c>
      <c r="J35" s="12" t="n">
        <v>4424073</v>
      </c>
      <c r="K35" s="12" t="n">
        <v>4837585</v>
      </c>
      <c r="L35" s="12" t="n">
        <v>4643307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777111</v>
      </c>
      <c r="D37" s="12" t="n"/>
      <c r="E37" s="12" t="n">
        <v>712651</v>
      </c>
      <c r="F37" s="12" t="n"/>
      <c r="G37" s="12" t="n">
        <v>776342</v>
      </c>
      <c r="H37" s="11" t="n">
        <v>553528</v>
      </c>
      <c r="I37" s="12" t="n">
        <v>788013</v>
      </c>
      <c r="J37" s="12" t="n">
        <v>755183</v>
      </c>
      <c r="K37" s="12" t="n">
        <v>881934</v>
      </c>
      <c r="L37" s="12" t="n">
        <v>712651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395542</v>
      </c>
      <c r="D38" s="20" t="n"/>
      <c r="E38" s="20" t="n">
        <v>355950</v>
      </c>
      <c r="F38" s="20" t="n"/>
      <c r="G38" s="20" t="n">
        <v>308821</v>
      </c>
      <c r="H38" s="19" t="n">
        <v>197556</v>
      </c>
      <c r="I38" s="20" t="n">
        <v>299367</v>
      </c>
      <c r="J38" s="20" t="n">
        <v>377478</v>
      </c>
      <c r="K38" s="20" t="n">
        <v>442837</v>
      </c>
      <c r="L38" s="20" t="n">
        <v>355950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208808</v>
      </c>
      <c r="D40" s="20" t="n"/>
      <c r="E40" s="20" t="n">
        <v>203162</v>
      </c>
      <c r="F40" s="20" t="n"/>
      <c r="G40" s="20" t="n">
        <v>197681</v>
      </c>
      <c r="H40" s="19" t="n">
        <v>120481</v>
      </c>
      <c r="I40" s="20" t="n">
        <v>195365</v>
      </c>
      <c r="J40" s="20" t="n">
        <v>211242</v>
      </c>
      <c r="K40" s="20" t="n">
        <v>204724</v>
      </c>
      <c r="L40" s="20" t="n">
        <v>203162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IFERROR(IF((IF(COUNT('연간'!G62:J62)&lt;4,"",SUM('연간'!G62:J62)))&lt;=0,"적자",C28/(IF(COUNT('연간'!G62:J62)&lt;4,"",SUM('연간'!G62:J62)))),"")</f>
        <v/>
      </c>
      <c r="D49" s="47">
        <f>IFERROR(IF((IF(COUNT('연간'!H62:K62)&lt;4,"",SUM('연간'!H62:K62)))&lt;=0,"적자",D28/(IF(COUNT('연간'!H62:K62)&lt;4,"",SUM('연간'!H62:K62)))),"")</f>
        <v/>
      </c>
      <c r="E49" s="47">
        <f>IFERROR(IF((IF(COUNT('연간'!I62:L62)&lt;4,"",SUM('연간'!I62:L62)))&lt;=0,"적자",E28/(IF(COUNT('연간'!I62:L62)&lt;4,"",SUM('연간'!I62:L62)))),"")</f>
        <v/>
      </c>
      <c r="F49" s="47">
        <f>IFERROR(IF((IF(COUNT('연간'!J62:M62)&lt;4,"",SUM('연간'!J62:M62)))&lt;=0,"적자",F28/(IF(COUNT('연간'!J62:M62)&lt;4,"",SUM('연간'!J62:M62)))),"")</f>
        <v/>
      </c>
      <c r="G49" s="47">
        <f>IFERROR(IF((IF(COUNT('연간'!K62:N62)&lt;4,"",SUM('연간'!K62:N62)))&lt;=0,"적자",G28/(IF(COUNT('연간'!K62:N62)&lt;4,"",SUM('연간'!K62:N62)))),"")</f>
        <v/>
      </c>
      <c r="H49" s="46">
        <f>IFERROR(IF(('연간'!T62)&lt;=0,"적자",H28/('연간'!T62)),"")</f>
        <v/>
      </c>
      <c r="I49" s="47">
        <f>IFERROR(IF(('연간'!U62)&lt;=0,"적자",I28/('연간'!U62)),"")</f>
        <v/>
      </c>
      <c r="J49" s="47">
        <f>IFERROR(IF(('연간'!V62)&lt;=0,"적자",J28/('연간'!V62)),"")</f>
        <v/>
      </c>
      <c r="K49" s="47">
        <f>IFERROR(IF(('연간'!W62)&lt;=0,"적자",K28/('연간'!W62)),"")</f>
        <v/>
      </c>
      <c r="L49" s="47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1494104</v>
      </c>
      <c r="D71" s="20" t="n">
        <v>1485976</v>
      </c>
      <c r="E71" s="20" t="n">
        <v>1660060</v>
      </c>
      <c r="F71" s="20" t="n">
        <v>1654261</v>
      </c>
      <c r="G71" s="20" t="n">
        <v>1751095</v>
      </c>
      <c r="H71" s="20" t="n">
        <v>1112775</v>
      </c>
      <c r="I71" s="20" t="n">
        <v>1449617</v>
      </c>
      <c r="J71" s="20" t="n">
        <v>1698999</v>
      </c>
      <c r="K71" s="20" t="n">
        <v>1708438</v>
      </c>
      <c r="L71" s="20" t="n">
        <v>1660060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559584</v>
      </c>
      <c r="D73" s="20" t="n">
        <v>594104</v>
      </c>
      <c r="E73" s="20" t="n">
        <v>535383</v>
      </c>
      <c r="F73" s="20" t="n">
        <v>572536</v>
      </c>
      <c r="G73" s="20" t="n">
        <v>633061</v>
      </c>
      <c r="H73" s="20" t="n">
        <v>473513</v>
      </c>
      <c r="I73" s="20" t="n">
        <v>472557</v>
      </c>
      <c r="J73" s="20" t="n">
        <v>481812</v>
      </c>
      <c r="K73" s="20" t="n">
        <v>514702</v>
      </c>
      <c r="L73" s="20" t="n">
        <v>535383</v>
      </c>
    </row>
    <row r="74">
      <c r="A74" s="18" t="inlineStr">
        <is>
          <t>유가증권</t>
        </is>
      </c>
      <c r="C74" s="20" t="n">
        <v>49869</v>
      </c>
      <c r="D74" s="20" t="n">
        <v>12393</v>
      </c>
      <c r="E74" s="20" t="n">
        <v>7035</v>
      </c>
      <c r="F74" s="20" t="n">
        <v>1842</v>
      </c>
      <c r="G74" s="20" t="n">
        <v>1869</v>
      </c>
      <c r="H74" s="20" t="n">
        <v>323305</v>
      </c>
      <c r="I74" s="20" t="n">
        <v>151031</v>
      </c>
      <c r="J74" s="20" t="n">
        <v>20710</v>
      </c>
      <c r="K74" s="20" t="n">
        <v>103240</v>
      </c>
      <c r="L74" s="20" t="n">
        <v>7035</v>
      </c>
    </row>
    <row r="75">
      <c r="A75" s="18" t="inlineStr">
        <is>
          <t>재고자산</t>
        </is>
      </c>
      <c r="C75" s="20" t="n">
        <v>736326</v>
      </c>
      <c r="D75" s="20" t="n">
        <v>760021</v>
      </c>
      <c r="E75" s="20" t="n">
        <v>790911</v>
      </c>
      <c r="F75" s="20" t="n">
        <v>769057</v>
      </c>
      <c r="G75" s="20" t="n">
        <v>816089</v>
      </c>
      <c r="H75" s="20" t="n">
        <v>453660</v>
      </c>
      <c r="I75" s="20" t="n">
        <v>688477</v>
      </c>
      <c r="J75" s="20" t="n">
        <v>720646</v>
      </c>
      <c r="K75" s="20" t="n">
        <v>769967</v>
      </c>
      <c r="L75" s="20" t="n">
        <v>790911</v>
      </c>
    </row>
    <row r="76">
      <c r="A76" s="18" t="inlineStr">
        <is>
          <t>기타</t>
        </is>
      </c>
      <c r="C76" s="20" t="n">
        <v>94554</v>
      </c>
      <c r="D76" s="20" t="n">
        <v>124401</v>
      </c>
      <c r="E76" s="20" t="n">
        <v>126156</v>
      </c>
      <c r="F76" s="20" t="n">
        <v>156850</v>
      </c>
      <c r="G76" s="20" t="n">
        <v>106691</v>
      </c>
      <c r="H76" s="20" t="n">
        <v>80539</v>
      </c>
      <c r="I76" s="20" t="n">
        <v>107535</v>
      </c>
      <c r="J76" s="20" t="n">
        <v>121389</v>
      </c>
      <c r="K76" s="20" t="n">
        <v>123243</v>
      </c>
      <c r="L76" s="20" t="n">
        <v>126156</v>
      </c>
    </row>
    <row r="77">
      <c r="A77" s="18" t="inlineStr">
        <is>
          <t>대손충당금</t>
        </is>
      </c>
      <c r="C77" s="20" t="n">
        <v>-11342</v>
      </c>
      <c r="D77" s="20" t="n">
        <v>-12800</v>
      </c>
      <c r="E77" s="20" t="n">
        <v>-13491</v>
      </c>
      <c r="F77" s="20" t="n">
        <v>-10971</v>
      </c>
      <c r="G77" s="20" t="n">
        <v>-11151</v>
      </c>
      <c r="H77" s="20" t="n">
        <v>-5818</v>
      </c>
      <c r="I77" s="20" t="n">
        <v>-5695</v>
      </c>
      <c r="J77" s="20" t="n">
        <v>-7049</v>
      </c>
      <c r="K77" s="20" t="n">
        <v>-9941</v>
      </c>
      <c r="L77" s="20" t="n">
        <v>-13491</v>
      </c>
    </row>
    <row r="78">
      <c r="A78" s="9" t="inlineStr">
        <is>
          <t>유동자산 합계</t>
        </is>
      </c>
      <c r="C78" s="12" t="n">
        <v>2923096</v>
      </c>
      <c r="D78" s="12" t="n">
        <v>2964096</v>
      </c>
      <c r="E78" s="12" t="n">
        <v>3106055</v>
      </c>
      <c r="F78" s="12" t="n">
        <v>3143576</v>
      </c>
      <c r="G78" s="12" t="n">
        <v>3297654</v>
      </c>
      <c r="H78" s="12" t="n">
        <v>2437975</v>
      </c>
      <c r="I78" s="12" t="n">
        <v>2863524</v>
      </c>
      <c r="J78" s="12" t="n">
        <v>3036509</v>
      </c>
      <c r="K78" s="12" t="n">
        <v>3209652</v>
      </c>
      <c r="L78" s="12" t="n">
        <v>3106055</v>
      </c>
    </row>
    <row r="79">
      <c r="A79" s="18" t="inlineStr">
        <is>
          <t>건물·구축물(순액)</t>
        </is>
      </c>
      <c r="E79" s="20" t="n">
        <v>432855</v>
      </c>
      <c r="H79" s="20" t="n">
        <v>246154</v>
      </c>
      <c r="I79" s="20" t="n">
        <v>282756</v>
      </c>
      <c r="J79" s="20" t="n">
        <v>290086</v>
      </c>
      <c r="K79" s="20" t="n">
        <v>377786</v>
      </c>
      <c r="L79" s="20" t="n">
        <v>432855</v>
      </c>
    </row>
    <row r="80">
      <c r="A80" s="18" t="inlineStr">
        <is>
          <t>기계장치·운반구(순액)</t>
        </is>
      </c>
      <c r="C80" s="20" t="n">
        <v>1002930</v>
      </c>
      <c r="D80" s="20" t="n">
        <v>1024264</v>
      </c>
      <c r="E80" s="20" t="n">
        <v>1044095</v>
      </c>
      <c r="F80" s="20" t="n">
        <v>1061143</v>
      </c>
      <c r="G80" s="20" t="n">
        <v>1071430</v>
      </c>
      <c r="H80" s="20" t="n">
        <v>788524</v>
      </c>
      <c r="I80" s="20" t="n">
        <v>877848</v>
      </c>
      <c r="J80" s="20" t="n">
        <v>860903</v>
      </c>
      <c r="K80" s="20" t="n">
        <v>1081151</v>
      </c>
      <c r="L80" s="20" t="n">
        <v>1044095</v>
      </c>
    </row>
    <row r="81">
      <c r="A81" s="18" t="inlineStr">
        <is>
          <t>토지</t>
        </is>
      </c>
      <c r="E81" s="20" t="n">
        <v>126977</v>
      </c>
      <c r="H81" s="20" t="n">
        <v>94043</v>
      </c>
      <c r="I81" s="20" t="n">
        <v>103350</v>
      </c>
      <c r="J81" s="20" t="n">
        <v>108611</v>
      </c>
      <c r="K81" s="20" t="n">
        <v>119195</v>
      </c>
      <c r="L81" s="20" t="n">
        <v>126977</v>
      </c>
    </row>
    <row r="82">
      <c r="A82" s="18" t="inlineStr">
        <is>
          <t>건설중인자산</t>
        </is>
      </c>
      <c r="E82" s="20" t="n">
        <v>514796</v>
      </c>
      <c r="H82" s="20" t="n">
        <v>140162</v>
      </c>
      <c r="I82" s="20" t="n">
        <v>224247</v>
      </c>
      <c r="J82" s="20" t="n">
        <v>454975</v>
      </c>
      <c r="K82" s="20" t="n">
        <v>451088</v>
      </c>
      <c r="L82" s="20" t="n">
        <v>514796</v>
      </c>
    </row>
    <row r="83">
      <c r="A83" s="18" t="inlineStr">
        <is>
          <t>기타(순액)</t>
        </is>
      </c>
      <c r="C83" s="20" t="n">
        <v>1058503</v>
      </c>
      <c r="D83" s="20" t="n">
        <v>1081864</v>
      </c>
      <c r="E83" s="20" t="n">
        <v>1109192</v>
      </c>
      <c r="F83" s="20" t="n">
        <v>1148354</v>
      </c>
      <c r="G83" s="20" t="n">
        <v>1176416</v>
      </c>
      <c r="H83" s="20" t="n">
        <v>21280</v>
      </c>
      <c r="I83" s="20" t="n">
        <v>29986</v>
      </c>
      <c r="J83" s="20" t="n">
        <v>32000</v>
      </c>
      <c r="K83" s="20" t="n">
        <v>36723</v>
      </c>
      <c r="L83" s="20" t="n">
        <v>1109192</v>
      </c>
    </row>
    <row r="84">
      <c r="A84" s="18" t="inlineStr">
        <is>
          <t>유형자산 합계</t>
        </is>
      </c>
      <c r="C84" s="20" t="n">
        <v>2061434</v>
      </c>
      <c r="D84" s="20" t="n">
        <v>2106129</v>
      </c>
      <c r="E84" s="20" t="n">
        <v>2153287</v>
      </c>
      <c r="F84" s="20" t="n">
        <v>2209497</v>
      </c>
      <c r="G84" s="20" t="n">
        <v>2247847</v>
      </c>
      <c r="H84" s="20" t="n">
        <v>1290165</v>
      </c>
      <c r="I84" s="20" t="n">
        <v>1518190</v>
      </c>
      <c r="J84" s="20" t="n">
        <v>1746577</v>
      </c>
      <c r="K84" s="20" t="n">
        <v>2065945</v>
      </c>
      <c r="L84" s="20" t="n">
        <v>2153287</v>
      </c>
    </row>
    <row r="85">
      <c r="A85" s="18" t="inlineStr">
        <is>
          <t>무형자산</t>
        </is>
      </c>
      <c r="C85" s="20" t="n">
        <v>36122</v>
      </c>
      <c r="D85" s="20" t="n">
        <v>35229</v>
      </c>
      <c r="E85" s="20" t="n">
        <v>34695</v>
      </c>
      <c r="F85" s="20" t="n">
        <v>34012</v>
      </c>
      <c r="G85" s="20" t="n">
        <v>33276</v>
      </c>
      <c r="H85" s="20" t="n">
        <v>10535</v>
      </c>
      <c r="I85" s="20" t="n">
        <v>10351</v>
      </c>
      <c r="J85" s="20" t="n">
        <v>10195</v>
      </c>
      <c r="K85" s="20" t="n">
        <v>36908</v>
      </c>
      <c r="L85" s="20" t="n">
        <v>34695</v>
      </c>
    </row>
    <row r="86">
      <c r="A86" s="18" t="inlineStr">
        <is>
          <t>투자유가증권</t>
        </is>
      </c>
      <c r="E86" s="20" t="n">
        <v>151829</v>
      </c>
      <c r="H86" s="20" t="n">
        <v>161338</v>
      </c>
      <c r="I86" s="20" t="n">
        <v>171110</v>
      </c>
      <c r="J86" s="20" t="n">
        <v>183758</v>
      </c>
      <c r="K86" s="20" t="n">
        <v>134632</v>
      </c>
      <c r="L86" s="20" t="n">
        <v>151829</v>
      </c>
    </row>
    <row r="87">
      <c r="A87" s="18" t="inlineStr">
        <is>
          <t>이연법인세자산</t>
        </is>
      </c>
      <c r="E87" s="20" t="n">
        <v>99001</v>
      </c>
      <c r="H87" s="20" t="n">
        <v>65594</v>
      </c>
      <c r="I87" s="20" t="n">
        <v>75028</v>
      </c>
      <c r="J87" s="20" t="n">
        <v>71284</v>
      </c>
      <c r="K87" s="20" t="n">
        <v>90153</v>
      </c>
      <c r="L87" s="20" t="n">
        <v>99001</v>
      </c>
    </row>
    <row r="88">
      <c r="A88" s="18" t="inlineStr">
        <is>
          <t>기타</t>
        </is>
      </c>
      <c r="E88" s="20" t="n">
        <v>121656</v>
      </c>
      <c r="H88" s="20" t="n">
        <v>93624</v>
      </c>
      <c r="I88" s="20" t="n">
        <v>98241</v>
      </c>
      <c r="J88" s="20" t="n">
        <v>105777</v>
      </c>
      <c r="K88" s="20" t="n">
        <v>104537</v>
      </c>
      <c r="L88" s="20" t="n">
        <v>121656</v>
      </c>
    </row>
    <row r="89">
      <c r="A89" s="18" t="inlineStr">
        <is>
          <t>투자 및 기타자산</t>
        </is>
      </c>
      <c r="C89" s="20" t="n">
        <v>341305</v>
      </c>
      <c r="D89" s="20" t="n">
        <v>351423</v>
      </c>
      <c r="E89" s="20" t="n">
        <v>372487</v>
      </c>
      <c r="F89" s="20" t="n">
        <v>380572</v>
      </c>
      <c r="G89" s="20" t="n">
        <v>381695</v>
      </c>
      <c r="H89" s="20" t="n">
        <v>320557</v>
      </c>
      <c r="I89" s="20" t="n">
        <v>344380</v>
      </c>
      <c r="J89" s="20" t="n">
        <v>360821</v>
      </c>
      <c r="K89" s="20" t="n">
        <v>329324</v>
      </c>
      <c r="L89" s="20" t="n">
        <v>372487</v>
      </c>
    </row>
    <row r="90">
      <c r="A90" s="18" t="inlineStr">
        <is>
          <t>대손충당금</t>
        </is>
      </c>
      <c r="C90" s="20" t="n">
        <v>-5240</v>
      </c>
      <c r="D90" s="20" t="n">
        <v>-5527</v>
      </c>
      <c r="E90" s="20" t="n">
        <v>-4618</v>
      </c>
      <c r="F90" s="20" t="n">
        <v>-4705</v>
      </c>
      <c r="G90" s="20" t="n">
        <v>-4574</v>
      </c>
      <c r="H90" s="20" t="n">
        <v>-5822</v>
      </c>
      <c r="I90" s="20" t="n">
        <v>-6051</v>
      </c>
      <c r="J90" s="20" t="n">
        <v>-6129</v>
      </c>
      <c r="K90" s="20" t="n">
        <v>-5228</v>
      </c>
      <c r="L90" s="20" t="n">
        <v>-4618</v>
      </c>
    </row>
    <row r="91">
      <c r="A91" s="18" t="inlineStr">
        <is>
          <t>투자 및 기타자산 합계</t>
        </is>
      </c>
      <c r="C91" s="20" t="n">
        <v>336065</v>
      </c>
      <c r="D91" s="20" t="n">
        <v>345896</v>
      </c>
      <c r="E91" s="20" t="n">
        <v>367868</v>
      </c>
      <c r="F91" s="20" t="n">
        <v>375866</v>
      </c>
      <c r="G91" s="20" t="n">
        <v>377121</v>
      </c>
      <c r="H91" s="20" t="n">
        <v>314734</v>
      </c>
      <c r="I91" s="20" t="n">
        <v>338328</v>
      </c>
      <c r="J91" s="20" t="n">
        <v>354692</v>
      </c>
      <c r="K91" s="20" t="n">
        <v>324095</v>
      </c>
      <c r="L91" s="20" t="n">
        <v>367868</v>
      </c>
    </row>
    <row r="92">
      <c r="A92" s="9" t="inlineStr">
        <is>
          <t>비유동자산 합계</t>
        </is>
      </c>
      <c r="C92" s="12" t="n">
        <v>2433621</v>
      </c>
      <c r="D92" s="12" t="n">
        <v>2487255</v>
      </c>
      <c r="E92" s="12" t="n">
        <v>2555852</v>
      </c>
      <c r="F92" s="12" t="n">
        <v>2619377</v>
      </c>
      <c r="G92" s="12" t="n">
        <v>2658244</v>
      </c>
      <c r="H92" s="12" t="n">
        <v>1615436</v>
      </c>
      <c r="I92" s="12" t="n">
        <v>1866870</v>
      </c>
      <c r="J92" s="12" t="n">
        <v>2111465</v>
      </c>
      <c r="K92" s="12" t="n">
        <v>2426949</v>
      </c>
      <c r="L92" s="12" t="n">
        <v>2555852</v>
      </c>
    </row>
    <row r="93">
      <c r="A93" s="9" t="inlineStr">
        <is>
          <t>자산 합계</t>
        </is>
      </c>
      <c r="C93" s="12" t="n">
        <v>5356717</v>
      </c>
      <c r="D93" s="12" t="n">
        <v>5451351</v>
      </c>
      <c r="E93" s="12" t="n">
        <v>5661907</v>
      </c>
      <c r="F93" s="12" t="n">
        <v>5762953</v>
      </c>
      <c r="G93" s="12" t="n">
        <v>5955899</v>
      </c>
      <c r="H93" s="12" t="n">
        <v>4053412</v>
      </c>
      <c r="I93" s="12" t="n">
        <v>4730394</v>
      </c>
      <c r="J93" s="12" t="n">
        <v>5147974</v>
      </c>
      <c r="K93" s="12" t="n">
        <v>5636601</v>
      </c>
      <c r="L93" s="12" t="n">
        <v>5661907</v>
      </c>
    </row>
    <row r="94">
      <c r="A94" s="18" t="inlineStr">
        <is>
          <t>지급어음·매입채무</t>
        </is>
      </c>
      <c r="C94" s="20" t="n">
        <v>172012</v>
      </c>
      <c r="D94" s="20" t="n">
        <v>183487</v>
      </c>
      <c r="E94" s="20" t="n">
        <v>176399</v>
      </c>
      <c r="F94" s="20" t="n">
        <v>168013</v>
      </c>
      <c r="G94" s="20" t="n">
        <v>192695</v>
      </c>
      <c r="H94" s="20" t="n">
        <v>177682</v>
      </c>
      <c r="I94" s="20" t="n">
        <v>185006</v>
      </c>
      <c r="J94" s="20" t="n">
        <v>161364</v>
      </c>
      <c r="K94" s="20" t="n">
        <v>184369</v>
      </c>
      <c r="L94" s="20" t="n">
        <v>176399</v>
      </c>
    </row>
    <row r="95">
      <c r="A95" s="18" t="inlineStr">
        <is>
          <t>단기차입금</t>
        </is>
      </c>
      <c r="C95" s="20" t="n">
        <v>7642</v>
      </c>
      <c r="D95" s="20" t="n">
        <v>7127</v>
      </c>
      <c r="E95" s="20" t="n">
        <v>6929</v>
      </c>
      <c r="F95" s="20" t="n">
        <v>23999</v>
      </c>
      <c r="G95" s="20" t="n">
        <v>4163</v>
      </c>
      <c r="H95" s="20" t="n">
        <v>13461</v>
      </c>
      <c r="I95" s="20" t="n">
        <v>10998</v>
      </c>
      <c r="J95" s="20" t="n">
        <v>10386</v>
      </c>
      <c r="K95" s="20" t="n">
        <v>9389</v>
      </c>
      <c r="L95" s="20" t="n">
        <v>6929</v>
      </c>
    </row>
    <row r="96">
      <c r="A96" s="18" t="inlineStr">
        <is>
          <t>미지급금</t>
        </is>
      </c>
      <c r="E96" s="20" t="n">
        <v>88557</v>
      </c>
      <c r="H96" s="20" t="n">
        <v>81350</v>
      </c>
      <c r="I96" s="20" t="n">
        <v>92187</v>
      </c>
      <c r="J96" s="20" t="n">
        <v>115148</v>
      </c>
      <c r="K96" s="20" t="n">
        <v>90181</v>
      </c>
      <c r="L96" s="20" t="n">
        <v>88557</v>
      </c>
    </row>
    <row r="97">
      <c r="A97" s="18" t="inlineStr">
        <is>
          <t>미지급비용</t>
        </is>
      </c>
      <c r="E97" s="20" t="n">
        <v>102356</v>
      </c>
      <c r="H97" s="20" t="n">
        <v>69197</v>
      </c>
      <c r="I97" s="20" t="n">
        <v>85567</v>
      </c>
      <c r="J97" s="20" t="n">
        <v>88680</v>
      </c>
      <c r="K97" s="20" t="n">
        <v>95749</v>
      </c>
      <c r="L97" s="20" t="n">
        <v>102356</v>
      </c>
    </row>
    <row r="98">
      <c r="A98" s="18" t="inlineStr">
        <is>
          <t>미지급법인세</t>
        </is>
      </c>
      <c r="C98" s="20" t="n">
        <v>77028</v>
      </c>
      <c r="E98" s="20" t="n">
        <v>89167</v>
      </c>
      <c r="G98" s="20" t="n">
        <v>103922</v>
      </c>
      <c r="H98" s="20" t="n">
        <v>73756</v>
      </c>
      <c r="I98" s="20" t="n">
        <v>65459</v>
      </c>
      <c r="J98" s="20" t="n">
        <v>73140</v>
      </c>
      <c r="K98" s="20" t="n">
        <v>84604</v>
      </c>
      <c r="L98" s="20" t="n">
        <v>89167</v>
      </c>
    </row>
    <row r="99">
      <c r="A99" s="18" t="inlineStr">
        <is>
          <t>충당금</t>
        </is>
      </c>
      <c r="C99" s="20" t="n">
        <v>6311</v>
      </c>
      <c r="D99" s="20" t="n">
        <v>6160</v>
      </c>
      <c r="E99" s="20" t="n">
        <v>6727</v>
      </c>
      <c r="F99" s="20" t="n">
        <v>5613</v>
      </c>
      <c r="G99" s="20" t="n">
        <v>6212</v>
      </c>
      <c r="H99" s="20" t="n">
        <v>4747</v>
      </c>
      <c r="I99" s="20" t="n">
        <v>4942</v>
      </c>
      <c r="J99" s="20" t="n">
        <v>5363</v>
      </c>
      <c r="K99" s="20" t="n">
        <v>6475</v>
      </c>
      <c r="L99" s="20" t="n">
        <v>6727</v>
      </c>
    </row>
    <row r="100">
      <c r="A100" s="18" t="inlineStr">
        <is>
          <t>기타</t>
        </is>
      </c>
      <c r="C100" s="20" t="n">
        <v>232665</v>
      </c>
      <c r="D100" s="20" t="n">
        <v>276427</v>
      </c>
      <c r="E100" s="20" t="n">
        <v>243407</v>
      </c>
      <c r="F100" s="20" t="n">
        <v>318340</v>
      </c>
      <c r="G100" s="20" t="n">
        <v>300733</v>
      </c>
      <c r="H100" s="20" t="n">
        <v>62309</v>
      </c>
      <c r="I100" s="20" t="n">
        <v>68590</v>
      </c>
      <c r="J100" s="20" t="n">
        <v>71676</v>
      </c>
      <c r="K100" s="20" t="n">
        <v>72800</v>
      </c>
      <c r="L100" s="20" t="n">
        <v>243407</v>
      </c>
    </row>
    <row r="101">
      <c r="A101" s="9" t="inlineStr">
        <is>
          <t>유동부채 합계</t>
        </is>
      </c>
      <c r="C101" s="12" t="n">
        <v>495661</v>
      </c>
      <c r="D101" s="12" t="n">
        <v>473203</v>
      </c>
      <c r="E101" s="12" t="n">
        <v>522631</v>
      </c>
      <c r="F101" s="12" t="n">
        <v>515967</v>
      </c>
      <c r="G101" s="12" t="n">
        <v>607727</v>
      </c>
      <c r="H101" s="12" t="n">
        <v>477759</v>
      </c>
      <c r="I101" s="12" t="n">
        <v>507810</v>
      </c>
      <c r="J101" s="12" t="n">
        <v>520395</v>
      </c>
      <c r="K101" s="12" t="n">
        <v>537094</v>
      </c>
      <c r="L101" s="12" t="n">
        <v>522631</v>
      </c>
    </row>
    <row r="102">
      <c r="A102" s="18" t="inlineStr">
        <is>
          <t>장기차입금</t>
        </is>
      </c>
      <c r="C102" s="20" t="n">
        <v>236273</v>
      </c>
      <c r="D102" s="20" t="n">
        <v>236303</v>
      </c>
      <c r="E102" s="20" t="n">
        <v>236366</v>
      </c>
      <c r="F102" s="20" t="n">
        <v>236368</v>
      </c>
      <c r="G102" s="20" t="n">
        <v>397437</v>
      </c>
      <c r="H102" s="20" t="n">
        <v>16940</v>
      </c>
      <c r="I102" s="20" t="n">
        <v>18812</v>
      </c>
      <c r="J102" s="20" t="n">
        <v>13913</v>
      </c>
      <c r="K102" s="20" t="n">
        <v>7452</v>
      </c>
      <c r="L102" s="20" t="n">
        <v>236366</v>
      </c>
    </row>
    <row r="103">
      <c r="A103" s="18" t="inlineStr">
        <is>
          <t>이연법인세부채</t>
        </is>
      </c>
      <c r="E103" s="20" t="n">
        <v>209216</v>
      </c>
      <c r="H103" s="20" t="n">
        <v>66833</v>
      </c>
      <c r="I103" s="20" t="n">
        <v>112246</v>
      </c>
      <c r="J103" s="20" t="n">
        <v>129262</v>
      </c>
      <c r="K103" s="20" t="n">
        <v>191813</v>
      </c>
      <c r="L103" s="20" t="n">
        <v>209216</v>
      </c>
    </row>
    <row r="104">
      <c r="A104" s="18" t="inlineStr">
        <is>
          <t>퇴직급여부채</t>
        </is>
      </c>
      <c r="C104" s="20" t="n">
        <v>34000</v>
      </c>
      <c r="D104" s="20" t="n">
        <v>34705</v>
      </c>
      <c r="E104" s="20" t="n">
        <v>25966</v>
      </c>
      <c r="F104" s="20" t="n">
        <v>26216</v>
      </c>
      <c r="G104" s="20" t="n">
        <v>26850</v>
      </c>
      <c r="H104" s="20" t="n">
        <v>41469</v>
      </c>
      <c r="I104" s="20" t="n">
        <v>36933</v>
      </c>
      <c r="J104" s="20" t="n">
        <v>32571</v>
      </c>
      <c r="K104" s="20" t="n">
        <v>33172</v>
      </c>
      <c r="L104" s="20" t="n">
        <v>25966</v>
      </c>
    </row>
    <row r="105">
      <c r="A105" s="18" t="inlineStr">
        <is>
          <t>기타</t>
        </is>
      </c>
      <c r="C105" s="20" t="n">
        <v>209350</v>
      </c>
      <c r="D105" s="20" t="n">
        <v>217370</v>
      </c>
      <c r="E105" s="20" t="n">
        <v>233637</v>
      </c>
      <c r="F105" s="20" t="n">
        <v>239617</v>
      </c>
      <c r="G105" s="20" t="n">
        <v>235520</v>
      </c>
      <c r="H105" s="20" t="n">
        <v>62670</v>
      </c>
      <c r="I105" s="20" t="n">
        <v>65315</v>
      </c>
      <c r="J105" s="20" t="n">
        <v>60329</v>
      </c>
      <c r="K105" s="20" t="n">
        <v>62655</v>
      </c>
      <c r="L105" s="20" t="n">
        <v>233637</v>
      </c>
    </row>
    <row r="106">
      <c r="A106" s="9" t="inlineStr">
        <is>
          <t>비유동부채 합계</t>
        </is>
      </c>
      <c r="C106" s="12" t="n">
        <v>479624</v>
      </c>
      <c r="D106" s="12" t="n">
        <v>488379</v>
      </c>
      <c r="E106" s="12" t="n">
        <v>495969</v>
      </c>
      <c r="F106" s="12" t="n">
        <v>502202</v>
      </c>
      <c r="G106" s="12" t="n">
        <v>659809</v>
      </c>
      <c r="H106" s="12" t="n">
        <v>146444</v>
      </c>
      <c r="I106" s="12" t="n">
        <v>196375</v>
      </c>
      <c r="J106" s="12" t="n">
        <v>203505</v>
      </c>
      <c r="K106" s="12" t="n">
        <v>261922</v>
      </c>
      <c r="L106" s="12" t="n">
        <v>495969</v>
      </c>
    </row>
    <row r="107">
      <c r="A107" s="9" t="inlineStr">
        <is>
          <t>부채 합계</t>
        </is>
      </c>
      <c r="C107" s="12" t="n">
        <v>975286</v>
      </c>
      <c r="D107" s="12" t="n">
        <v>961583</v>
      </c>
      <c r="E107" s="12" t="n">
        <v>1018600</v>
      </c>
      <c r="F107" s="12" t="n">
        <v>1018170</v>
      </c>
      <c r="G107" s="12" t="n">
        <v>1267536</v>
      </c>
      <c r="H107" s="12" t="n">
        <v>624204</v>
      </c>
      <c r="I107" s="12" t="n">
        <v>704185</v>
      </c>
      <c r="J107" s="12" t="n">
        <v>723901</v>
      </c>
      <c r="K107" s="12" t="n">
        <v>799016</v>
      </c>
      <c r="L107" s="12" t="n">
        <v>1018600</v>
      </c>
    </row>
    <row r="108">
      <c r="A108" s="18" t="inlineStr">
        <is>
          <t>자본금</t>
        </is>
      </c>
      <c r="C108" s="20" t="n">
        <v>119419</v>
      </c>
      <c r="D108" s="20" t="n">
        <v>119419</v>
      </c>
      <c r="E108" s="20" t="n">
        <v>119419</v>
      </c>
      <c r="F108" s="20" t="n">
        <v>119419</v>
      </c>
      <c r="G108" s="20" t="n">
        <v>119419</v>
      </c>
      <c r="H108" s="20" t="n">
        <v>119419</v>
      </c>
      <c r="I108" s="20" t="n">
        <v>119419</v>
      </c>
      <c r="J108" s="20" t="n">
        <v>119419</v>
      </c>
      <c r="K108" s="20" t="n">
        <v>119419</v>
      </c>
      <c r="L108" s="20" t="n">
        <v>119419</v>
      </c>
    </row>
    <row r="109">
      <c r="A109" s="18" t="inlineStr">
        <is>
          <t>자본잉여금</t>
        </is>
      </c>
      <c r="C109" s="20" t="n">
        <v>125697</v>
      </c>
      <c r="D109" s="20" t="n">
        <v>125597</v>
      </c>
      <c r="E109" s="20" t="n">
        <v>126256</v>
      </c>
      <c r="F109" s="20" t="n">
        <v>126247</v>
      </c>
      <c r="G109" s="20" t="n">
        <v>126245</v>
      </c>
      <c r="H109" s="20" t="n">
        <v>129090</v>
      </c>
      <c r="I109" s="20" t="n">
        <v>128320</v>
      </c>
      <c r="J109" s="20" t="n">
        <v>127894</v>
      </c>
      <c r="K109" s="20" t="n">
        <v>125694</v>
      </c>
      <c r="L109" s="20" t="n">
        <v>126256</v>
      </c>
    </row>
    <row r="110">
      <c r="A110" s="18" t="inlineStr">
        <is>
          <t>이익잉여금</t>
        </is>
      </c>
      <c r="C110" s="20" t="n">
        <v>3908589</v>
      </c>
      <c r="D110" s="20" t="n">
        <v>3933846</v>
      </c>
      <c r="E110" s="20" t="n">
        <v>4022591</v>
      </c>
      <c r="F110" s="20" t="n">
        <v>4043163</v>
      </c>
      <c r="G110" s="20" t="n">
        <v>4196069</v>
      </c>
      <c r="H110" s="20" t="n">
        <v>2993026</v>
      </c>
      <c r="I110" s="20" t="n">
        <v>3310205</v>
      </c>
      <c r="J110" s="20" t="n">
        <v>3520355</v>
      </c>
      <c r="K110" s="20" t="n">
        <v>3755274</v>
      </c>
      <c r="L110" s="20" t="n">
        <v>4022591</v>
      </c>
    </row>
    <row r="111">
      <c r="A111" s="18" t="inlineStr">
        <is>
          <t>자기주식</t>
        </is>
      </c>
      <c r="C111" s="20" t="n">
        <v>-519219</v>
      </c>
      <c r="D111" s="20" t="n">
        <v>-516902</v>
      </c>
      <c r="E111" s="20" t="n">
        <v>-612696</v>
      </c>
      <c r="F111" s="20" t="n">
        <v>-598452</v>
      </c>
      <c r="G111" s="20" t="n">
        <v>-844574</v>
      </c>
      <c r="H111" s="20" t="n">
        <v>-15702</v>
      </c>
      <c r="I111" s="20" t="n">
        <v>-22891</v>
      </c>
      <c r="J111" s="20" t="n">
        <v>-24292</v>
      </c>
      <c r="K111" s="20" t="n">
        <v>-121025</v>
      </c>
      <c r="L111" s="20" t="n">
        <v>-612696</v>
      </c>
    </row>
    <row r="112">
      <c r="A112" s="9" t="inlineStr">
        <is>
          <t>주주자본 합계</t>
        </is>
      </c>
      <c r="C112" s="12" t="n">
        <v>3634487</v>
      </c>
      <c r="D112" s="12" t="n">
        <v>3661960</v>
      </c>
      <c r="E112" s="12" t="n">
        <v>3655570</v>
      </c>
      <c r="F112" s="12" t="n">
        <v>3690378</v>
      </c>
      <c r="G112" s="12" t="n">
        <v>3597160</v>
      </c>
      <c r="H112" s="12" t="n">
        <v>3225834</v>
      </c>
      <c r="I112" s="12" t="n">
        <v>3535053</v>
      </c>
      <c r="J112" s="12" t="n">
        <v>3743377</v>
      </c>
      <c r="K112" s="12" t="n">
        <v>3879362</v>
      </c>
      <c r="L112" s="12" t="n">
        <v>3655570</v>
      </c>
    </row>
    <row r="113">
      <c r="A113" s="18" t="inlineStr">
        <is>
          <t>기타유가증권 평가차액</t>
        </is>
      </c>
      <c r="C113" s="20" t="n">
        <v>32710</v>
      </c>
      <c r="D113" s="20" t="n">
        <v>38145</v>
      </c>
      <c r="E113" s="20" t="n">
        <v>42390</v>
      </c>
      <c r="F113" s="20" t="n">
        <v>50696</v>
      </c>
      <c r="G113" s="20" t="n">
        <v>49114</v>
      </c>
      <c r="H113" s="20" t="n">
        <v>26841</v>
      </c>
      <c r="I113" s="20" t="n">
        <v>31511</v>
      </c>
      <c r="J113" s="20" t="n">
        <v>40518</v>
      </c>
      <c r="K113" s="20" t="n">
        <v>32481</v>
      </c>
      <c r="L113" s="20" t="n">
        <v>42390</v>
      </c>
    </row>
    <row r="114">
      <c r="A114" s="18" t="inlineStr">
        <is>
          <t>이연헤지손익</t>
        </is>
      </c>
      <c r="C114" s="20" t="n">
        <v>-341</v>
      </c>
      <c r="D114" s="20" t="n">
        <v>-1540</v>
      </c>
      <c r="E114" s="20" t="n">
        <v>-997</v>
      </c>
      <c r="F114" s="20" t="n">
        <v>-1684</v>
      </c>
      <c r="G114" s="20" t="n">
        <v>-319</v>
      </c>
      <c r="H114" s="20" t="n">
        <v>-2535</v>
      </c>
      <c r="I114" s="20" t="n">
        <v>-410</v>
      </c>
      <c r="J114" s="20" t="n">
        <v>-2919</v>
      </c>
      <c r="K114" s="20" t="n">
        <v>777</v>
      </c>
      <c r="L114" s="20" t="n">
        <v>-997</v>
      </c>
    </row>
    <row r="115">
      <c r="A115" s="18" t="inlineStr">
        <is>
          <t>해외사업환산조정</t>
        </is>
      </c>
      <c r="C115" s="20" t="n">
        <v>542883</v>
      </c>
      <c r="D115" s="20" t="n">
        <v>611610</v>
      </c>
      <c r="E115" s="20" t="n">
        <v>749285</v>
      </c>
      <c r="F115" s="20" t="n">
        <v>802696</v>
      </c>
      <c r="G115" s="20" t="n">
        <v>849134</v>
      </c>
      <c r="H115" s="20" t="n">
        <v>75374</v>
      </c>
      <c r="I115" s="20" t="n">
        <v>297855</v>
      </c>
      <c r="J115" s="20" t="n">
        <v>466438</v>
      </c>
      <c r="K115" s="20" t="n">
        <v>734201</v>
      </c>
      <c r="L115" s="20" t="n">
        <v>749285</v>
      </c>
    </row>
    <row r="116">
      <c r="A116" s="18" t="inlineStr">
        <is>
          <t>퇴직급여 조정누계액</t>
        </is>
      </c>
      <c r="C116" s="20" t="n">
        <v>7055</v>
      </c>
      <c r="D116" s="20" t="n">
        <v>6112</v>
      </c>
      <c r="E116" s="20" t="n">
        <v>10584</v>
      </c>
      <c r="F116" s="20" t="n">
        <v>9344</v>
      </c>
      <c r="G116" s="20" t="n">
        <v>8254</v>
      </c>
      <c r="H116" s="20" t="n">
        <v>1049</v>
      </c>
      <c r="I116" s="20" t="n">
        <v>6385</v>
      </c>
      <c r="J116" s="20" t="n">
        <v>10507</v>
      </c>
      <c r="K116" s="20" t="n">
        <v>9412</v>
      </c>
      <c r="L116" s="20" t="n">
        <v>10584</v>
      </c>
    </row>
    <row r="117">
      <c r="A117" s="18" t="inlineStr">
        <is>
          <t>기타포괄손익누계액 합계</t>
        </is>
      </c>
      <c r="C117" s="20" t="n">
        <v>582307</v>
      </c>
      <c r="D117" s="20" t="n">
        <v>654327</v>
      </c>
      <c r="E117" s="20" t="n">
        <v>801262</v>
      </c>
      <c r="F117" s="20" t="n">
        <v>861052</v>
      </c>
      <c r="G117" s="20" t="n">
        <v>906183</v>
      </c>
      <c r="H117" s="20" t="n">
        <v>100729</v>
      </c>
      <c r="I117" s="20" t="n">
        <v>335341</v>
      </c>
      <c r="J117" s="20" t="n">
        <v>514545</v>
      </c>
      <c r="K117" s="20" t="n">
        <v>776873</v>
      </c>
      <c r="L117" s="20" t="n">
        <v>801262</v>
      </c>
    </row>
    <row r="118">
      <c r="A118" s="18" t="inlineStr">
        <is>
          <t>신주예약권</t>
        </is>
      </c>
      <c r="C118" s="20" t="n">
        <v>8182</v>
      </c>
      <c r="D118" s="20" t="n">
        <v>8104</v>
      </c>
      <c r="E118" s="20" t="n">
        <v>7596</v>
      </c>
      <c r="F118" s="20" t="n">
        <v>7168</v>
      </c>
      <c r="G118" s="20" t="n">
        <v>9190</v>
      </c>
      <c r="H118" s="20" t="n">
        <v>2733</v>
      </c>
      <c r="I118" s="20" t="n">
        <v>3814</v>
      </c>
      <c r="J118" s="20" t="n">
        <v>4841</v>
      </c>
      <c r="K118" s="20" t="n">
        <v>6237</v>
      </c>
      <c r="L118" s="20" t="n">
        <v>7596</v>
      </c>
    </row>
    <row r="119">
      <c r="A119" s="18" t="inlineStr">
        <is>
          <t>비지배지분</t>
        </is>
      </c>
      <c r="C119" s="20" t="n">
        <v>156455</v>
      </c>
      <c r="D119" s="20" t="n">
        <v>165375</v>
      </c>
      <c r="E119" s="20" t="n">
        <v>178877</v>
      </c>
      <c r="F119" s="20" t="n">
        <v>186183</v>
      </c>
      <c r="G119" s="20" t="n">
        <v>175828</v>
      </c>
      <c r="H119" s="20" t="n">
        <v>99910</v>
      </c>
      <c r="I119" s="20" t="n">
        <v>151999</v>
      </c>
      <c r="J119" s="20" t="n">
        <v>161308</v>
      </c>
      <c r="K119" s="20" t="n">
        <v>175112</v>
      </c>
      <c r="L119" s="20" t="n">
        <v>178877</v>
      </c>
    </row>
    <row r="120">
      <c r="A120" s="9" t="inlineStr">
        <is>
          <t>순자산 합계</t>
        </is>
      </c>
      <c r="C120" s="12" t="n">
        <v>4381431</v>
      </c>
      <c r="D120" s="12" t="n">
        <v>4489768</v>
      </c>
      <c r="E120" s="12" t="n">
        <v>4643307</v>
      </c>
      <c r="F120" s="12" t="n">
        <v>4744783</v>
      </c>
      <c r="G120" s="12" t="n">
        <v>4688362</v>
      </c>
      <c r="H120" s="12" t="n">
        <v>3429208</v>
      </c>
      <c r="I120" s="12" t="n">
        <v>4026209</v>
      </c>
      <c r="J120" s="12" t="n">
        <v>4424073</v>
      </c>
      <c r="K120" s="12" t="n">
        <v>4837585</v>
      </c>
      <c r="L120" s="12" t="n">
        <v>4643307</v>
      </c>
    </row>
    <row r="121">
      <c r="A121" s="9" t="inlineStr">
        <is>
          <t>부채·순자산 합계</t>
        </is>
      </c>
      <c r="C121" s="12" t="n">
        <v>5356717</v>
      </c>
      <c r="D121" s="12" t="n">
        <v>5451351</v>
      </c>
      <c r="E121" s="12" t="n">
        <v>5661907</v>
      </c>
      <c r="F121" s="12" t="n">
        <v>5762953</v>
      </c>
      <c r="G121" s="12" t="n">
        <v>5955899</v>
      </c>
      <c r="H121" s="12" t="n">
        <v>4053412</v>
      </c>
      <c r="I121" s="12" t="n">
        <v>4730394</v>
      </c>
      <c r="J121" s="12" t="n">
        <v>5147974</v>
      </c>
      <c r="K121" s="12" t="n">
        <v>5636601</v>
      </c>
      <c r="L121" s="12" t="n">
        <v>5661907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2026-10-27</t>
        </is>
      </c>
      <c r="B4" t="inlineStr">
        <is>
          <t>2027년 3월 결산기 ２분기 결산단신</t>
        </is>
      </c>
      <c r="C4" t="inlineStr">
        <is>
          <t>https://www2.jpx.co.jp/disc/40630/140120261026556436.pdf</t>
        </is>
      </c>
    </row>
    <row r="5">
      <c r="A5" t="inlineStr">
        <is>
          <t>2026-07-24</t>
        </is>
      </c>
      <c r="B5" t="inlineStr">
        <is>
          <t>2027년 3월 결산기 １분기 결산단신</t>
        </is>
      </c>
      <c r="C5" t="inlineStr">
        <is>
          <t>https://www2.jpx.co.jp/disc/40630/140120260724598954.pdf</t>
        </is>
      </c>
    </row>
    <row r="6">
      <c r="A6" t="inlineStr">
        <is>
          <t>2026-04-28</t>
        </is>
      </c>
      <c r="B6" t="inlineStr">
        <is>
          <t>2026년 3월 결산기 연간 결산단신</t>
        </is>
      </c>
      <c r="C6" t="inlineStr">
        <is>
          <t>https://www2.jpx.co.jp/disc/40630/140120260428512667.pdf</t>
        </is>
      </c>
    </row>
    <row r="7">
      <c r="A7" t="inlineStr">
        <is>
          <t>2026-01-27</t>
        </is>
      </c>
      <c r="B7" t="inlineStr">
        <is>
          <t>2026년 3월 결산기 ３분기 결산단신</t>
        </is>
      </c>
      <c r="C7" t="inlineStr">
        <is>
          <t>https://www2.jpx.co.jp/disc/40630/140120260127538857.pdf</t>
        </is>
      </c>
    </row>
    <row r="8">
      <c r="A8" t="inlineStr">
        <is>
          <t>2025-10-24</t>
        </is>
      </c>
      <c r="B8" t="inlineStr">
        <is>
          <t>2026년 3월 결산기 ２분기 결산단신</t>
        </is>
      </c>
      <c r="C8" t="inlineStr">
        <is>
          <t>https://www2.jpx.co.jp/disc/40630/140120251024578146.pdf</t>
        </is>
      </c>
    </row>
    <row r="9">
      <c r="A9" t="inlineStr">
        <is>
          <t>2025-07-24</t>
        </is>
      </c>
      <c r="B9" t="inlineStr">
        <is>
          <t>2026년 3월 결산기 １분기 결산단신</t>
        </is>
      </c>
      <c r="C9" t="inlineStr">
        <is>
          <t>https://www2.jpx.co.jp/disc/40630/140120250724519316.pdf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https://www2.jpx.co.jp/disc/40630/140120250424522255.pdf</t>
        </is>
      </c>
    </row>
    <row r="11">
      <c r="A11" t="inlineStr">
        <is>
          <t>2025-01-29</t>
        </is>
      </c>
      <c r="B11" t="inlineStr">
        <is>
          <t>2025년 3월 결산기 ３분기 결산단신</t>
        </is>
      </c>
      <c r="C11" t="inlineStr">
        <is>
          <t>https://www2.jpx.co.jp/disc/40630/140120250129556775.pdf</t>
        </is>
      </c>
    </row>
    <row r="12">
      <c r="A12" t="inlineStr">
        <is>
          <t>2024-10-25</t>
        </is>
      </c>
      <c r="B12" t="inlineStr">
        <is>
          <t>2025년 3월 결산기 ２분기 결산단신</t>
        </is>
      </c>
      <c r="C12" t="inlineStr">
        <is>
          <t>https://www2.jpx.co.jp/disc/40630/140120241023501677.pdf</t>
        </is>
      </c>
    </row>
    <row r="13">
      <c r="A13" t="inlineStr">
        <is>
          <t>2024-07-26</t>
        </is>
      </c>
      <c r="B13" t="inlineStr">
        <is>
          <t>2025년 3월 결산기 １분기 결산단신</t>
        </is>
      </c>
      <c r="C13" t="inlineStr">
        <is>
          <t>https://www2.jpx.co.jp/disc/40630/140120240725555168.pdf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https://www2.jpx.co.jp/disc/40630/140120240425576455.pdf</t>
        </is>
      </c>
    </row>
    <row r="15">
      <c r="A15" t="inlineStr">
        <is>
          <t>2024-01-26</t>
        </is>
      </c>
      <c r="B15" t="inlineStr">
        <is>
          <t>2024년 3월 결산기 ３분기 결산단신</t>
        </is>
      </c>
      <c r="C15" t="inlineStr">
        <is>
          <t>https://www2.jpx.co.jp/disc/40630/140120240125519556.pdf</t>
        </is>
      </c>
    </row>
    <row r="16">
      <c r="A16" t="inlineStr">
        <is>
          <t>2023-10-27</t>
        </is>
      </c>
      <c r="B16" t="inlineStr">
        <is>
          <t>2024년 3월 결산기 ２분기 결산단신</t>
        </is>
      </c>
      <c r="C16" t="inlineStr">
        <is>
          <t>https://www2.jpx.co.jp/disc/40630/140120231024570484.pdf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https://www2.jpx.co.jp/disc/40630/140120230725526801.pdf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https://www2.jpx.co.jp/disc/40630/140120230427554009.pdf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https://www2.jpx.co.jp/disc/40630/140120230125593655.pdf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https://www2.jpx.co.jp/disc/40630/140120220425526894.pdf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https://www2.jpx.co.jp/disc/40630/140120210428402264.pdf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https://www2.jpx.co.jp/disc/40630/140120200427400836.pdf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https://www2.jpx.co.jp/disc/40630/140120190426412585.pdf</t>
        </is>
      </c>
    </row>
    <row r="24">
      <c r="A24" t="inlineStr">
        <is>
          <t>2018-04-27</t>
        </is>
      </c>
      <c r="B24" t="inlineStr">
        <is>
          <t>2018년 3월 결산기 연간 결산단신</t>
        </is>
      </c>
      <c r="C24" t="inlineStr">
        <is>
          <t>https://www2.jpx.co.jp/disc/40630/140120180427422921.pdf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2026-10-27T07:17:39Z</dcterms:created>
  <dcterms:modified xmlns:dcterms="http://purl.org/dc/terms/" xmlns:xsi="http://www.w3.org/2001/XMLSchema-instance" xsi:type="dcterms:W3CDTF">2026-10-27T07:17:39Z</dcterms:modified>
</cp:coreProperties>
</file>