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9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4221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12월 결산 · 일본 기준 · 2026.2Q = 2026년 12월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2023.3Q</t>
        </is>
      </c>
      <c r="D3" s="5" t="inlineStr">
        <is>
          <t>2023.4Q</t>
        </is>
      </c>
      <c r="E3" s="5" t="inlineStr">
        <is>
          <t>2024.1Q</t>
        </is>
      </c>
      <c r="F3" s="5" t="inlineStr">
        <is>
          <t>2024.2Q</t>
        </is>
      </c>
      <c r="G3" s="5" t="inlineStr">
        <is>
          <t>2024.3Q</t>
        </is>
      </c>
      <c r="H3" s="5" t="inlineStr">
        <is>
          <t>2024.4Q</t>
        </is>
      </c>
      <c r="I3" s="5" t="inlineStr">
        <is>
          <t>2025.1Q</t>
        </is>
      </c>
      <c r="J3" s="5" t="inlineStr">
        <is>
          <t>2025.2Q</t>
        </is>
      </c>
      <c r="K3" s="5" t="inlineStr">
        <is>
          <t>2025.3Q</t>
        </is>
      </c>
      <c r="L3" s="5" t="inlineStr">
        <is>
          <t>2025.4Q</t>
        </is>
      </c>
      <c r="M3" s="5" t="inlineStr">
        <is>
          <t>2026.1Q</t>
        </is>
      </c>
      <c r="N3" s="5" t="inlineStr">
        <is>
          <t>2026.2Q</t>
        </is>
      </c>
      <c r="O3" s="6" t="inlineStr">
        <is>
          <t>2016</t>
        </is>
      </c>
      <c r="P3" s="5" t="inlineStr">
        <is>
          <t>2017</t>
        </is>
      </c>
      <c r="Q3" s="5" t="inlineStr">
        <is>
          <t>2018</t>
        </is>
      </c>
      <c r="R3" s="5" t="inlineStr">
        <is>
          <t>2019</t>
        </is>
      </c>
      <c r="S3" s="5" t="inlineStr">
        <is>
          <t>2020</t>
        </is>
      </c>
      <c r="T3" s="5" t="inlineStr">
        <is>
          <t>2021</t>
        </is>
      </c>
      <c r="U3" s="5" t="inlineStr">
        <is>
          <t>2022</t>
        </is>
      </c>
      <c r="V3" s="5" t="inlineStr">
        <is>
          <t>2023</t>
        </is>
      </c>
      <c r="W3" s="5" t="inlineStr">
        <is>
          <t>2024</t>
        </is>
      </c>
      <c r="X3" s="5" t="inlineStr">
        <is>
          <t>2025</t>
        </is>
      </c>
      <c r="Y3" s="7" t="inlineStr">
        <is>
          <t>2026(MW)</t>
        </is>
      </c>
      <c r="Z3" s="8" t="inlineStr">
        <is>
          <t>2027(MW)</t>
        </is>
      </c>
      <c r="AA3" s="8" t="inlineStr">
        <is>
          <t>2028(MW)</t>
        </is>
      </c>
      <c r="AB3" s="8" t="inlineStr">
        <is>
          <t>2029(MW)</t>
        </is>
      </c>
      <c r="AC3" s="8" t="inlineStr">
        <is>
          <t>2030(MW)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19361</v>
      </c>
      <c r="D4" s="12" t="n">
        <v>20165</v>
      </c>
      <c r="E4" s="12" t="n">
        <v>19504</v>
      </c>
      <c r="F4" s="12" t="n">
        <v>19896</v>
      </c>
      <c r="G4" s="12" t="n">
        <v>19939</v>
      </c>
      <c r="H4" s="12" t="n">
        <v>21853</v>
      </c>
      <c r="I4" s="12" t="n">
        <v>21686</v>
      </c>
      <c r="J4" s="12" t="n">
        <v>21865</v>
      </c>
      <c r="K4" s="12" t="n">
        <v>20682</v>
      </c>
      <c r="L4" s="12" t="n">
        <v>22425</v>
      </c>
      <c r="M4" s="12" t="n">
        <v>24026</v>
      </c>
      <c r="N4" s="12" t="n">
        <v>28473</v>
      </c>
      <c r="O4" s="11" t="n">
        <v>86079</v>
      </c>
      <c r="P4" s="12" t="n">
        <v>90812</v>
      </c>
      <c r="Q4" s="12" t="n">
        <v>86260</v>
      </c>
      <c r="R4" s="12" t="n">
        <v>85364</v>
      </c>
      <c r="S4" s="12" t="n">
        <v>80958</v>
      </c>
      <c r="T4" s="12" t="n">
        <v>88420</v>
      </c>
      <c r="U4" s="12" t="n">
        <v>77260</v>
      </c>
      <c r="V4" s="12" t="n">
        <v>78863</v>
      </c>
      <c r="W4" s="12" t="n">
        <v>81192</v>
      </c>
      <c r="X4" s="12" t="n">
        <v>86658</v>
      </c>
      <c r="Y4" s="11">
        <f>IF(COUNT(Y7,Y10,Y13,Y16,Y19,Y22,Y25,Y28)=0,"",SUM(Y7,Y10,Y13,Y16,Y19,Y22,Y25,Y28))</f>
        <v/>
      </c>
      <c r="Z4" s="12">
        <f>IF(COUNT(Z7,Z10,Z13,Z16,Z19,Z22,Z25,Z28)=0,"",SUM(Z7,Z10,Z13,Z16,Z19,Z22,Z25,Z28))</f>
        <v/>
      </c>
      <c r="AA4" s="12">
        <f>IF(COUNT(AA7,AA10,AA13,AA16,AA19,AA22,AA25,AA28)=0,"",SUM(AA7,AA10,AA13,AA16,AA19,AA22,AA25,AA28))</f>
        <v/>
      </c>
      <c r="AB4" s="12">
        <f>IF(COUNT(AB7,AB10,AB13,AB16,AB19,AB22,AB25,AB28)=0,"",SUM(AB7,AB10,AB13,AB16,AB19,AB22,AB25,AB28))</f>
        <v/>
      </c>
      <c r="AC4" s="12">
        <f>IF(COUNT(AC7,AC10,AC13,AC16,AC19,AC22,AC25,AC28)=0,"",SUM(AC7,AC10,AC13,AC16,AC19,AC22,AC25,AC28))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SyntheticResinBusinessReportableSegmentsMember</t>
        </is>
      </c>
      <c r="B7" s="10" t="n"/>
      <c r="C7" s="19" t="n">
        <v>12427</v>
      </c>
      <c r="D7" s="20" t="n">
        <v>12819</v>
      </c>
      <c r="E7" s="20" t="n"/>
      <c r="F7" s="20" t="n"/>
      <c r="G7" s="20" t="n">
        <v>12927</v>
      </c>
      <c r="H7" s="20" t="n">
        <v>13570</v>
      </c>
      <c r="I7" s="20" t="n"/>
      <c r="J7" s="20" t="n"/>
      <c r="K7" s="20" t="n">
        <v>12874</v>
      </c>
      <c r="L7" s="20" t="n">
        <v>13384</v>
      </c>
      <c r="M7" s="20" t="n"/>
      <c r="N7" s="20" t="n"/>
      <c r="O7" s="19" t="n"/>
      <c r="P7" s="20" t="n"/>
      <c r="Q7" s="20" t="n"/>
      <c r="R7" s="20" t="n"/>
      <c r="S7" s="20" t="n"/>
      <c r="T7" s="20" t="n"/>
      <c r="U7" s="20" t="n"/>
      <c r="V7" s="20" t="n">
        <v>51005</v>
      </c>
      <c r="W7" s="20" t="n">
        <v>51861</v>
      </c>
      <c r="X7" s="20" t="n">
        <v>52671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NewMaterialBusinessReportableSegmentsMember</t>
        </is>
      </c>
      <c r="B10" s="10" t="n"/>
      <c r="C10" s="19" t="n">
        <v>3587</v>
      </c>
      <c r="D10" s="20" t="n">
        <v>3644</v>
      </c>
      <c r="E10" s="20" t="n"/>
      <c r="F10" s="20" t="n"/>
      <c r="G10" s="20" t="n">
        <v>3292</v>
      </c>
      <c r="H10" s="20" t="n">
        <v>4223</v>
      </c>
      <c r="I10" s="20" t="n"/>
      <c r="J10" s="20" t="n"/>
      <c r="K10" s="20" t="n">
        <v>4061</v>
      </c>
      <c r="L10" s="20" t="n">
        <v>5141</v>
      </c>
      <c r="M10" s="20" t="n"/>
      <c r="N10" s="20" t="n"/>
      <c r="O10" s="19" t="n"/>
      <c r="P10" s="20" t="n"/>
      <c r="Q10" s="20" t="n"/>
      <c r="R10" s="20" t="n"/>
      <c r="S10" s="20" t="n"/>
      <c r="T10" s="20" t="n"/>
      <c r="U10" s="20" t="n"/>
      <c r="V10" s="20" t="n">
        <v>13691</v>
      </c>
      <c r="W10" s="20" t="n">
        <v>14611</v>
      </c>
      <c r="X10" s="20" t="n">
        <v>18928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ConstructionMaterialBusinessReportableSegmentsMember</t>
        </is>
      </c>
      <c r="B13" s="10" t="n"/>
      <c r="C13" s="19" t="n">
        <v>2966</v>
      </c>
      <c r="D13" s="20" t="n">
        <v>3279</v>
      </c>
      <c r="E13" s="20" t="n"/>
      <c r="F13" s="20" t="n"/>
      <c r="G13" s="20" t="n">
        <v>3250</v>
      </c>
      <c r="H13" s="20" t="n">
        <v>3562</v>
      </c>
      <c r="I13" s="20" t="n"/>
      <c r="J13" s="20" t="n"/>
      <c r="K13" s="20" t="n">
        <v>3272</v>
      </c>
      <c r="L13" s="20" t="n">
        <v>3396</v>
      </c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>
        <v>12612</v>
      </c>
      <c r="W13" s="20" t="n">
        <v>12859</v>
      </c>
      <c r="X13" s="20" t="n">
        <v>13185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기타</t>
        </is>
      </c>
      <c r="B16" s="10" t="n"/>
      <c r="C16" s="19" t="n">
        <v>380</v>
      </c>
      <c r="D16" s="20" t="n">
        <v>422</v>
      </c>
      <c r="E16" s="20" t="n">
        <v>428</v>
      </c>
      <c r="F16" s="20" t="n">
        <v>463</v>
      </c>
      <c r="G16" s="20" t="n">
        <v>471</v>
      </c>
      <c r="H16" s="20" t="n">
        <v>498</v>
      </c>
      <c r="I16" s="20" t="n">
        <v>428</v>
      </c>
      <c r="J16" s="20" t="n">
        <v>466</v>
      </c>
      <c r="K16" s="20" t="n">
        <v>474</v>
      </c>
      <c r="L16" s="20" t="n">
        <v>504</v>
      </c>
      <c r="M16" s="20" t="n">
        <v>469</v>
      </c>
      <c r="N16" s="20" t="n">
        <v>511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1553</v>
      </c>
      <c r="W16" s="20" t="n">
        <v>1860</v>
      </c>
      <c r="X16" s="20" t="n">
        <v>1872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EntityTotalMember</t>
        </is>
      </c>
      <c r="B19" s="10" t="n"/>
      <c r="C19" s="19" t="n"/>
      <c r="D19" s="20" t="n"/>
      <c r="E19" s="20" t="n"/>
      <c r="F19" s="20" t="n"/>
      <c r="G19" s="20" t="n"/>
      <c r="H19" s="20" t="n"/>
      <c r="I19" s="20" t="n">
        <v>21686</v>
      </c>
      <c r="J19" s="20" t="n"/>
      <c r="K19" s="20" t="n"/>
      <c r="L19" s="20" t="n"/>
      <c r="M19" s="20" t="n">
        <v>24026</v>
      </c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PlasticReportableSegmentsMember</t>
        </is>
      </c>
      <c r="B22" s="10" t="n"/>
      <c r="C22" s="19" t="n"/>
      <c r="D22" s="20" t="n"/>
      <c r="E22" s="20" t="n">
        <v>12765</v>
      </c>
      <c r="F22" s="20" t="n"/>
      <c r="G22" s="20" t="n"/>
      <c r="H22" s="20" t="n"/>
      <c r="I22" s="20" t="n">
        <v>13347</v>
      </c>
      <c r="J22" s="20" t="n"/>
      <c r="K22" s="20" t="n"/>
      <c r="L22" s="20" t="n"/>
      <c r="M22" s="20" t="n">
        <v>15620</v>
      </c>
      <c r="N22" s="20" t="n"/>
      <c r="O22" s="19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8" t="inlineStr">
        <is>
          <t>NewMaterialReportableSegmentsMember</t>
        </is>
      </c>
      <c r="B25" s="10" t="n"/>
      <c r="C25" s="19" t="n"/>
      <c r="D25" s="20" t="n"/>
      <c r="E25" s="20" t="n">
        <v>3272</v>
      </c>
      <c r="F25" s="20" t="n"/>
      <c r="G25" s="20" t="n"/>
      <c r="H25" s="20" t="n"/>
      <c r="I25" s="20" t="n">
        <v>4611</v>
      </c>
      <c r="J25" s="20" t="n"/>
      <c r="K25" s="20" t="n"/>
      <c r="L25" s="20" t="n"/>
      <c r="M25" s="20" t="n">
        <v>4905</v>
      </c>
      <c r="N25" s="20" t="n"/>
      <c r="O25" s="19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1" t="n"/>
      <c r="Z25" s="22" t="n"/>
      <c r="AA25" s="22" t="n"/>
      <c r="AB25" s="22" t="n"/>
      <c r="AC25" s="22" t="n"/>
    </row>
    <row r="26">
      <c r="A26" s="13" t="inlineStr">
        <is>
          <t>비중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8" t="inlineStr">
        <is>
          <t>ConstructionMaterialReportableSegmentsMember</t>
        </is>
      </c>
      <c r="B28" s="10" t="n"/>
      <c r="C28" s="19" t="n"/>
      <c r="D28" s="20" t="n"/>
      <c r="E28" s="20" t="n">
        <v>3046</v>
      </c>
      <c r="F28" s="20" t="n"/>
      <c r="G28" s="20" t="n"/>
      <c r="H28" s="20" t="n"/>
      <c r="I28" s="20" t="n">
        <v>3301</v>
      </c>
      <c r="J28" s="20" t="n"/>
      <c r="K28" s="20" t="n"/>
      <c r="L28" s="20" t="n"/>
      <c r="M28" s="20" t="n">
        <v>3164</v>
      </c>
      <c r="N28" s="20" t="n"/>
      <c r="O28" s="19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1" t="n"/>
      <c r="Z28" s="22" t="n"/>
      <c r="AA28" s="22" t="n"/>
      <c r="AB28" s="22" t="n"/>
      <c r="AC28" s="22" t="n"/>
    </row>
    <row r="29">
      <c r="A29" s="13" t="inlineStr">
        <is>
          <t>비중</t>
        </is>
      </c>
      <c r="B29" s="10" t="n"/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14">
        <f>IF(OR(Y28="",Y4=""),"",IFERROR(Y28/Y4,""))</f>
        <v/>
      </c>
      <c r="Z29" s="15">
        <f>IF(OR(Z28="",Z4=""),"",IFERROR(Z28/Z4,""))</f>
        <v/>
      </c>
      <c r="AA29" s="15">
        <f>IF(OR(AA28="",AA4=""),"",IFERROR(AA28/AA4,""))</f>
        <v/>
      </c>
      <c r="AB29" s="15">
        <f>IF(OR(AB28="",AB4=""),"",IFERROR(AB28/AB4,""))</f>
        <v/>
      </c>
      <c r="AC29" s="15">
        <f>IF(OR(AC28="",AC4=""),"",IFERROR(AC28/AC4,""))</f>
        <v/>
      </c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매출원가</t>
        </is>
      </c>
      <c r="B31" s="16" t="n"/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18" t="inlineStr">
        <is>
          <t>전체 매출원가</t>
        </is>
      </c>
      <c r="B32" s="10" t="n"/>
      <c r="C32" s="19" t="n">
        <v>15513</v>
      </c>
      <c r="D32" s="20" t="n">
        <v>16360</v>
      </c>
      <c r="E32" s="20" t="n">
        <v>15763</v>
      </c>
      <c r="F32" s="20" t="n">
        <v>16194</v>
      </c>
      <c r="G32" s="20" t="n">
        <v>16407</v>
      </c>
      <c r="H32" s="20" t="n">
        <v>17655</v>
      </c>
      <c r="I32" s="20" t="n">
        <v>17290</v>
      </c>
      <c r="J32" s="20" t="n">
        <v>17202</v>
      </c>
      <c r="K32" s="20" t="n">
        <v>16710</v>
      </c>
      <c r="L32" s="20" t="n">
        <v>17917</v>
      </c>
      <c r="M32" s="20" t="n">
        <v>18557</v>
      </c>
      <c r="N32" s="20" t="n">
        <v>21694</v>
      </c>
      <c r="O32" s="19" t="n">
        <v>72129</v>
      </c>
      <c r="P32" s="20" t="n">
        <v>75565</v>
      </c>
      <c r="Q32" s="20" t="n">
        <v>72544</v>
      </c>
      <c r="R32" s="20" t="n">
        <v>72071</v>
      </c>
      <c r="S32" s="20" t="n">
        <v>67721</v>
      </c>
      <c r="T32" s="20" t="n">
        <v>73912</v>
      </c>
      <c r="U32" s="20" t="n">
        <v>63944</v>
      </c>
      <c r="V32" s="20" t="n">
        <v>63974</v>
      </c>
      <c r="W32" s="20" t="n">
        <v>66019</v>
      </c>
      <c r="X32" s="20" t="n">
        <v>69119</v>
      </c>
      <c r="Y32" s="19" t="n"/>
      <c r="Z32" s="20" t="n"/>
      <c r="AA32" s="20" t="n"/>
      <c r="AB32" s="20" t="n"/>
      <c r="AC32" s="20" t="n"/>
    </row>
    <row r="33">
      <c r="A33" s="18" t="inlineStr">
        <is>
          <t>매출총이익</t>
        </is>
      </c>
      <c r="B33" s="10" t="n"/>
      <c r="C33" s="19">
        <f>IF(OR(C4="",C32=""),"",IFERROR(C4-C32,""))</f>
        <v/>
      </c>
      <c r="D33" s="20">
        <f>IF(OR(D4="",D32=""),"",IFERROR(D4-D32,""))</f>
        <v/>
      </c>
      <c r="E33" s="20">
        <f>IF(OR(E4="",E32=""),"",IFERROR(E4-E32,""))</f>
        <v/>
      </c>
      <c r="F33" s="20">
        <f>IF(OR(F4="",F32=""),"",IFERROR(F4-F32,""))</f>
        <v/>
      </c>
      <c r="G33" s="20">
        <f>IF(OR(G4="",G32=""),"",IFERROR(G4-G32,""))</f>
        <v/>
      </c>
      <c r="H33" s="20">
        <f>IF(OR(H4="",H32=""),"",IFERROR(H4-H32,""))</f>
        <v/>
      </c>
      <c r="I33" s="20">
        <f>IF(OR(I4="",I32=""),"",IFERROR(I4-I32,""))</f>
        <v/>
      </c>
      <c r="J33" s="20">
        <f>IF(OR(J4="",J32=""),"",IFERROR(J4-J32,""))</f>
        <v/>
      </c>
      <c r="K33" s="20">
        <f>IF(OR(K4="",K32=""),"",IFERROR(K4-K32,""))</f>
        <v/>
      </c>
      <c r="L33" s="20">
        <f>IF(OR(L4="",L32=""),"",IFERROR(L4-L32,""))</f>
        <v/>
      </c>
      <c r="M33" s="20">
        <f>IF(OR(M4="",M32=""),"",IFERROR(M4-M32,""))</f>
        <v/>
      </c>
      <c r="N33" s="20">
        <f>IF(OR(N4="",N32=""),"",IFERROR(N4-N32,""))</f>
        <v/>
      </c>
      <c r="O33" s="19">
        <f>IF(OR(O4="",O32=""),"",IFERROR(O4-O32,""))</f>
        <v/>
      </c>
      <c r="P33" s="20">
        <f>IF(OR(P4="",P32=""),"",IFERROR(P4-P32,""))</f>
        <v/>
      </c>
      <c r="Q33" s="20">
        <f>IF(OR(Q4="",Q32=""),"",IFERROR(Q4-Q32,""))</f>
        <v/>
      </c>
      <c r="R33" s="20">
        <f>IF(OR(R4="",R32=""),"",IFERROR(R4-R32,""))</f>
        <v/>
      </c>
      <c r="S33" s="20">
        <f>IF(OR(S4="",S32=""),"",IFERROR(S4-S32,""))</f>
        <v/>
      </c>
      <c r="T33" s="20">
        <f>IF(OR(T4="",T32=""),"",IFERROR(T4-T32,""))</f>
        <v/>
      </c>
      <c r="U33" s="20">
        <f>IF(OR(U4="",U32=""),"",IFERROR(U4-U32,""))</f>
        <v/>
      </c>
      <c r="V33" s="20">
        <f>IF(OR(V4="",V32=""),"",IFERROR(V4-V32,""))</f>
        <v/>
      </c>
      <c r="W33" s="20">
        <f>IF(OR(W4="",W32=""),"",IFERROR(W4-W32,""))</f>
        <v/>
      </c>
      <c r="X33" s="20">
        <f>IF(OR(X4="",X32=""),"",IFERROR(X4-X32,""))</f>
        <v/>
      </c>
      <c r="Y33" s="19" t="n"/>
      <c r="Z33" s="20" t="n"/>
      <c r="AA33" s="20" t="n"/>
      <c r="AB33" s="20" t="n"/>
      <c r="AC33" s="20" t="n"/>
    </row>
    <row r="34">
      <c r="A34" s="13" t="inlineStr">
        <is>
          <t>GPM</t>
        </is>
      </c>
      <c r="B34" s="10" t="n"/>
      <c r="C34" s="14">
        <f>IF(OR(C33="",C4=""),"",IFERROR(C33/C4,""))</f>
        <v/>
      </c>
      <c r="D34" s="15">
        <f>IF(OR(D33="",D4=""),"",IFERROR(D33/D4,""))</f>
        <v/>
      </c>
      <c r="E34" s="15">
        <f>IF(OR(E33="",E4=""),"",IFERROR(E33/E4,""))</f>
        <v/>
      </c>
      <c r="F34" s="15">
        <f>IF(OR(F33="",F4=""),"",IFERROR(F33/F4,""))</f>
        <v/>
      </c>
      <c r="G34" s="15">
        <f>IF(OR(G33="",G4=""),"",IFERROR(G33/G4,""))</f>
        <v/>
      </c>
      <c r="H34" s="15">
        <f>IF(OR(H33="",H4=""),"",IFERROR(H33/H4,""))</f>
        <v/>
      </c>
      <c r="I34" s="15">
        <f>IF(OR(I33="",I4=""),"",IFERROR(I33/I4,""))</f>
        <v/>
      </c>
      <c r="J34" s="15">
        <f>IF(OR(J33="",J4=""),"",IFERROR(J33/J4,""))</f>
        <v/>
      </c>
      <c r="K34" s="15">
        <f>IF(OR(K33="",K4=""),"",IFERROR(K33/K4,""))</f>
        <v/>
      </c>
      <c r="L34" s="15">
        <f>IF(OR(L33="",L4=""),"",IFERROR(L33/L4,""))</f>
        <v/>
      </c>
      <c r="M34" s="15">
        <f>IF(OR(M33="",M4=""),"",IFERROR(M33/M4,""))</f>
        <v/>
      </c>
      <c r="N34" s="15">
        <f>IF(OR(N33="",N4=""),"",IFERROR(N33/N4,""))</f>
        <v/>
      </c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>
        <f>IF(OR(Y33="",Y4=""),"",IFERROR(Y33/Y4,""))</f>
        <v/>
      </c>
      <c r="Z34" s="15">
        <f>IF(OR(Z33="",Z4=""),"",IFERROR(Z33/Z4,""))</f>
        <v/>
      </c>
      <c r="AA34" s="15">
        <f>IF(OR(AA33="",AA4=""),"",IFERROR(AA33/AA4,""))</f>
        <v/>
      </c>
      <c r="AB34" s="15">
        <f>IF(OR(AB33="",AB4=""),"",IFERROR(AB33/AB4,""))</f>
        <v/>
      </c>
      <c r="AC34" s="15">
        <f>IF(OR(AC33="",AC4=""),"",IFERROR(AC33/AC4,""))</f>
        <v/>
      </c>
    </row>
    <row r="35">
      <c r="A35" s="23" t="inlineStr">
        <is>
          <t>판매관리비</t>
        </is>
      </c>
      <c r="B35" s="23" t="n"/>
      <c r="C35" s="24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4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4" t="n"/>
      <c r="Z35" s="23" t="n"/>
      <c r="AA35" s="23" t="n"/>
      <c r="AB35" s="23" t="n"/>
      <c r="AC35" s="23" t="n"/>
    </row>
    <row r="36">
      <c r="A36" s="18" t="inlineStr">
        <is>
          <t>전체 판관비</t>
        </is>
      </c>
      <c r="B36" s="10" t="n"/>
      <c r="C36" s="19" t="n">
        <v>2576</v>
      </c>
      <c r="D36" s="20" t="n">
        <v>2545</v>
      </c>
      <c r="E36" s="20" t="n">
        <v>2541</v>
      </c>
      <c r="F36" s="20" t="n">
        <v>2578</v>
      </c>
      <c r="G36" s="20" t="n">
        <v>2674</v>
      </c>
      <c r="H36" s="20" t="n">
        <v>2815</v>
      </c>
      <c r="I36" s="20" t="n">
        <v>2718</v>
      </c>
      <c r="J36" s="20" t="n">
        <v>2812</v>
      </c>
      <c r="K36" s="20" t="n">
        <v>2815</v>
      </c>
      <c r="L36" s="20" t="n">
        <v>3008</v>
      </c>
      <c r="M36" s="20" t="n">
        <v>3223</v>
      </c>
      <c r="N36" s="20" t="n">
        <v>3706</v>
      </c>
      <c r="O36" s="19" t="n">
        <v>9239</v>
      </c>
      <c r="P36" s="20" t="n">
        <v>9457</v>
      </c>
      <c r="Q36" s="20" t="n">
        <v>9461</v>
      </c>
      <c r="R36" s="20" t="n">
        <v>9573</v>
      </c>
      <c r="S36" s="20" t="n">
        <v>8950</v>
      </c>
      <c r="T36" s="20" t="n">
        <v>9384</v>
      </c>
      <c r="U36" s="20" t="n">
        <v>9544</v>
      </c>
      <c r="V36" s="20" t="n">
        <v>9932</v>
      </c>
      <c r="W36" s="20" t="n">
        <v>10608</v>
      </c>
      <c r="X36" s="20" t="n">
        <v>11353</v>
      </c>
      <c r="Y36" s="19" t="n"/>
      <c r="Z36" s="20" t="n"/>
      <c r="AA36" s="20" t="n"/>
      <c r="AB36" s="20" t="n"/>
      <c r="AC36" s="20" t="n"/>
    </row>
    <row r="37">
      <c r="A37" s="9" t="inlineStr">
        <is>
          <t>영업이익</t>
        </is>
      </c>
      <c r="B37" s="10" t="inlineStr">
        <is>
          <t>MW = 매출 × OPM</t>
        </is>
      </c>
      <c r="C37" s="11" t="n">
        <v>1272</v>
      </c>
      <c r="D37" s="12" t="n">
        <v>1260</v>
      </c>
      <c r="E37" s="12" t="n">
        <v>1199</v>
      </c>
      <c r="F37" s="12" t="n">
        <v>1123</v>
      </c>
      <c r="G37" s="12" t="n">
        <v>859</v>
      </c>
      <c r="H37" s="12" t="n">
        <v>1383</v>
      </c>
      <c r="I37" s="12" t="n">
        <v>1678</v>
      </c>
      <c r="J37" s="12" t="n">
        <v>1849</v>
      </c>
      <c r="K37" s="12" t="n">
        <v>1158</v>
      </c>
      <c r="L37" s="12" t="n">
        <v>1500</v>
      </c>
      <c r="M37" s="12" t="n">
        <v>2245</v>
      </c>
      <c r="N37" s="12" t="n">
        <v>3073</v>
      </c>
      <c r="O37" s="11" t="n">
        <v>4710</v>
      </c>
      <c r="P37" s="12" t="n">
        <v>5789</v>
      </c>
      <c r="Q37" s="12" t="n">
        <v>4254</v>
      </c>
      <c r="R37" s="12" t="n">
        <v>3719</v>
      </c>
      <c r="S37" s="12" t="n">
        <v>4286</v>
      </c>
      <c r="T37" s="12" t="n">
        <v>5123</v>
      </c>
      <c r="U37" s="12" t="n">
        <v>3771</v>
      </c>
      <c r="V37" s="12" t="n">
        <v>4956</v>
      </c>
      <c r="W37" s="12" t="n">
        <v>4564</v>
      </c>
      <c r="X37" s="12" t="n">
        <v>6185</v>
      </c>
      <c r="Y37" s="11">
        <f>IF(OR(Y4="",Y38=""),"",IFERROR(Y4*Y38,""))</f>
        <v/>
      </c>
      <c r="Z37" s="12">
        <f>IF(OR(Z4="",Z38=""),"",IFERROR(Z4*Z38,""))</f>
        <v/>
      </c>
      <c r="AA37" s="12">
        <f>IF(OR(AA4="",AA38=""),"",IFERROR(AA4*AA38,""))</f>
        <v/>
      </c>
      <c r="AB37" s="12">
        <f>IF(OR(AB4="",AB38=""),"",IFERROR(AB4*AB38,""))</f>
        <v/>
      </c>
      <c r="AC37" s="12">
        <f>IF(OR(AC4="",AC38=""),"",IFERROR(AC4*AC38,""))</f>
        <v/>
      </c>
    </row>
    <row r="38">
      <c r="A38" s="13" t="inlineStr">
        <is>
          <t>OPM</t>
        </is>
      </c>
      <c r="B38" s="10" t="inlineStr">
        <is>
          <t>MW 입력</t>
        </is>
      </c>
      <c r="C38" s="14">
        <f>IF(OR(C37="",C4=""),"",IFERROR(C37/C4,""))</f>
        <v/>
      </c>
      <c r="D38" s="15">
        <f>IF(OR(D37="",D4=""),"",IFERROR(D37/D4,""))</f>
        <v/>
      </c>
      <c r="E38" s="15">
        <f>IF(OR(E37="",E4=""),"",IFERROR(E37/E4,""))</f>
        <v/>
      </c>
      <c r="F38" s="15">
        <f>IF(OR(F37="",F4=""),"",IFERROR(F37/F4,""))</f>
        <v/>
      </c>
      <c r="G38" s="15">
        <f>IF(OR(G37="",G4=""),"",IFERROR(G37/G4,""))</f>
        <v/>
      </c>
      <c r="H38" s="15">
        <f>IF(OR(H37="",H4=""),"",IFERROR(H37/H4,""))</f>
        <v/>
      </c>
      <c r="I38" s="15">
        <f>IF(OR(I37="",I4=""),"",IFERROR(I37/I4,""))</f>
        <v/>
      </c>
      <c r="J38" s="15">
        <f>IF(OR(J37="",J4=""),"",IFERROR(J37/J4,""))</f>
        <v/>
      </c>
      <c r="K38" s="15">
        <f>IF(OR(K37="",K4=""),"",IFERROR(K37/K4,""))</f>
        <v/>
      </c>
      <c r="L38" s="15">
        <f>IF(OR(L37="",L4=""),"",IFERROR(L37/L4,""))</f>
        <v/>
      </c>
      <c r="M38" s="15">
        <f>IF(OR(M37="",M4=""),"",IFERROR(M37/M4,""))</f>
        <v/>
      </c>
      <c r="N38" s="15">
        <f>IF(OR(N37="",N4=""),"",IFERROR(N37/N4,""))</f>
        <v/>
      </c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25" t="n"/>
      <c r="Z38" s="26" t="n"/>
      <c r="AA38" s="26" t="n"/>
      <c r="AB38" s="26" t="n"/>
      <c r="AC38" s="26" t="n"/>
    </row>
    <row r="39">
      <c r="A39" s="13" t="inlineStr">
        <is>
          <t>증가율</t>
        </is>
      </c>
      <c r="B39" s="10" t="n"/>
      <c r="C39" s="14" t="n"/>
      <c r="D39" s="15" t="n"/>
      <c r="E39" s="15" t="n"/>
      <c r="F39" s="15" t="n"/>
      <c r="G39" s="15">
        <f>IF(OR(G37="",C37=""),"",IFERROR(G37/C37-1,""))</f>
        <v/>
      </c>
      <c r="H39" s="15">
        <f>IF(OR(H37="",D37=""),"",IFERROR(H37/D37-1,""))</f>
        <v/>
      </c>
      <c r="I39" s="15">
        <f>IF(OR(I37="",E37=""),"",IFERROR(I37/E37-1,""))</f>
        <v/>
      </c>
      <c r="J39" s="15">
        <f>IF(OR(J37="",F37=""),"",IFERROR(J37/F37-1,""))</f>
        <v/>
      </c>
      <c r="K39" s="15">
        <f>IF(OR(K37="",G37=""),"",IFERROR(K37/G37-1,""))</f>
        <v/>
      </c>
      <c r="L39" s="15">
        <f>IF(OR(L37="",H37=""),"",IFERROR(L37/H37-1,""))</f>
        <v/>
      </c>
      <c r="M39" s="15">
        <f>IF(OR(M37="",I37=""),"",IFERROR(M37/I37-1,""))</f>
        <v/>
      </c>
      <c r="N39" s="15">
        <f>IF(OR(N37="",J37=""),"",IFERROR(N37/J37-1,""))</f>
        <v/>
      </c>
      <c r="O39" s="14" t="n"/>
      <c r="P39" s="15">
        <f>IF(OR(P37="",O37=""),"",IFERROR(P37/O37-1,""))</f>
        <v/>
      </c>
      <c r="Q39" s="15">
        <f>IF(OR(Q37="",P37=""),"",IFERROR(Q37/P37-1,""))</f>
        <v/>
      </c>
      <c r="R39" s="15">
        <f>IF(OR(R37="",Q37=""),"",IFERROR(R37/Q37-1,""))</f>
        <v/>
      </c>
      <c r="S39" s="15">
        <f>IF(OR(S37="",R37=""),"",IFERROR(S37/R37-1,""))</f>
        <v/>
      </c>
      <c r="T39" s="15">
        <f>IF(OR(T37="",S37=""),"",IFERROR(T37/S37-1,""))</f>
        <v/>
      </c>
      <c r="U39" s="15">
        <f>IF(OR(U37="",T37=""),"",IFERROR(U37/T37-1,""))</f>
        <v/>
      </c>
      <c r="V39" s="15">
        <f>IF(OR(V37="",U37=""),"",IFERROR(V37/U37-1,""))</f>
        <v/>
      </c>
      <c r="W39" s="15">
        <f>IF(OR(W37="",V37=""),"",IFERROR(W37/V37-1,""))</f>
        <v/>
      </c>
      <c r="X39" s="15">
        <f>IF(OR(X37="",W37=""),"",IFERROR(X37/W37-1,""))</f>
        <v/>
      </c>
      <c r="Y39" s="14">
        <f>IF(OR(Y37="",X37=""),"",IFERROR(Y37/X37-1,""))</f>
        <v/>
      </c>
      <c r="Z39" s="15">
        <f>IF(OR(Z37="",Y37=""),"",IFERROR(Z37/Y37-1,""))</f>
        <v/>
      </c>
      <c r="AA39" s="15">
        <f>IF(OR(AA37="",Z37=""),"",IFERROR(AA37/Z37-1,""))</f>
        <v/>
      </c>
      <c r="AB39" s="15">
        <f>IF(OR(AB37="",AA37=""),"",IFERROR(AB37/AA37-1,""))</f>
        <v/>
      </c>
      <c r="AC39" s="15">
        <f>IF(OR(AC37="",AB37=""),"",IFERROR(AC37/AB37-1,""))</f>
        <v/>
      </c>
    </row>
    <row r="40">
      <c r="A40" s="16" t="inlineStr">
        <is>
          <t>비용의 성격별 분류</t>
        </is>
      </c>
      <c r="B40" s="16" t="inlineStr">
        <is>
          <t>참고 데이터</t>
        </is>
      </c>
      <c r="C40" s="17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7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7" t="n"/>
      <c r="Z40" s="16" t="n"/>
      <c r="AA40" s="16" t="n"/>
      <c r="AB40" s="16" t="n"/>
      <c r="AC40" s="16" t="n"/>
    </row>
    <row r="41">
      <c r="A41" s="9" t="inlineStr">
        <is>
          <t>총 판관비</t>
        </is>
      </c>
      <c r="B41" s="10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2" t="n"/>
      <c r="N41" s="12" t="n"/>
      <c r="O41" s="11">
        <f>IF(O36="","",O36)</f>
        <v/>
      </c>
      <c r="P41" s="12">
        <f>IF(P36="","",P36)</f>
        <v/>
      </c>
      <c r="Q41" s="12">
        <f>IF(Q36="","",Q36)</f>
        <v/>
      </c>
      <c r="R41" s="12">
        <f>IF(R36="","",R36)</f>
        <v/>
      </c>
      <c r="S41" s="12">
        <f>IF(S36="","",S36)</f>
        <v/>
      </c>
      <c r="T41" s="12">
        <f>IF(T36="","",T36)</f>
        <v/>
      </c>
      <c r="U41" s="12">
        <f>IF(U36="","",U36)</f>
        <v/>
      </c>
      <c r="V41" s="12">
        <f>IF(V36="","",V36)</f>
        <v/>
      </c>
      <c r="W41" s="12">
        <f>IF(W36="","",W36)</f>
        <v/>
      </c>
      <c r="X41" s="12">
        <f>IF(X36="","",X36)</f>
        <v/>
      </c>
      <c r="Y41" s="11" t="n"/>
      <c r="Z41" s="12" t="n"/>
      <c r="AA41" s="12" t="n"/>
      <c r="AB41" s="12" t="n"/>
      <c r="AC41" s="12" t="n"/>
    </row>
    <row r="42">
      <c r="A42" s="18" t="inlineStr">
        <is>
          <t>급여</t>
        </is>
      </c>
      <c r="B42" s="10" t="inlineStr">
        <is>
          <t>고정비</t>
        </is>
      </c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>
        <v>2009</v>
      </c>
      <c r="P42" s="20" t="n">
        <v>1994</v>
      </c>
      <c r="Q42" s="20" t="n">
        <v>2027</v>
      </c>
      <c r="R42" s="20" t="n">
        <v>2081</v>
      </c>
      <c r="S42" s="20" t="n">
        <v>2070</v>
      </c>
      <c r="T42" s="20" t="n">
        <v>2087</v>
      </c>
      <c r="U42" s="20" t="n">
        <v>2091</v>
      </c>
      <c r="V42" s="20" t="n">
        <v>2103</v>
      </c>
      <c r="W42" s="20" t="n">
        <v>2219</v>
      </c>
      <c r="X42" s="20" t="n">
        <v>2370</v>
      </c>
      <c r="Y42" s="19" t="n"/>
      <c r="Z42" s="20" t="n"/>
      <c r="AA42" s="20" t="n"/>
      <c r="AB42" s="20" t="n"/>
      <c r="AC42" s="20" t="n"/>
    </row>
    <row r="43">
      <c r="A43" s="13" t="inlineStr">
        <is>
          <t>% of Sales</t>
        </is>
      </c>
      <c r="B43" s="10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14" t="n"/>
      <c r="Z43" s="15" t="n"/>
      <c r="AA43" s="15" t="n"/>
      <c r="AB43" s="15" t="n"/>
      <c r="AC43" s="15" t="n"/>
    </row>
    <row r="44">
      <c r="A44" s="18" t="inlineStr">
        <is>
          <t>감가상각비</t>
        </is>
      </c>
      <c r="B44" s="10" t="inlineStr">
        <is>
          <t>고정비</t>
        </is>
      </c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 t="n">
        <v>172</v>
      </c>
      <c r="P44" s="20" t="n">
        <v>182</v>
      </c>
      <c r="Q44" s="20" t="n">
        <v>204</v>
      </c>
      <c r="R44" s="20" t="n">
        <v>217</v>
      </c>
      <c r="S44" s="20" t="n">
        <v>205</v>
      </c>
      <c r="T44" s="20" t="n">
        <v>199</v>
      </c>
      <c r="U44" s="20" t="n">
        <v>198</v>
      </c>
      <c r="V44" s="20" t="n">
        <v>220</v>
      </c>
      <c r="W44" s="20" t="n">
        <v>238</v>
      </c>
      <c r="X44" s="20" t="n">
        <v>241</v>
      </c>
      <c r="Y44" s="19" t="n"/>
      <c r="Z44" s="20" t="n"/>
      <c r="AA44" s="20" t="n"/>
      <c r="AB44" s="20" t="n"/>
      <c r="AC44" s="20" t="n"/>
    </row>
    <row r="45">
      <c r="A45" s="13" t="inlineStr">
        <is>
          <t>% of Sales</t>
        </is>
      </c>
      <c r="B45" s="10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14" t="n"/>
      <c r="Z45" s="15" t="n"/>
      <c r="AA45" s="15" t="n"/>
      <c r="AB45" s="15" t="n"/>
      <c r="AC45" s="15" t="n"/>
    </row>
    <row r="46">
      <c r="A46" s="18" t="inlineStr">
        <is>
          <t>지급수수료</t>
        </is>
      </c>
      <c r="B46" s="10" t="inlineStr">
        <is>
          <t>고정비</t>
        </is>
      </c>
      <c r="C46" s="19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19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19" t="n"/>
      <c r="Z46" s="20" t="n"/>
      <c r="AA46" s="20" t="n"/>
      <c r="AB46" s="20" t="n"/>
      <c r="AC46" s="20" t="n"/>
    </row>
    <row r="47">
      <c r="A47" s="13" t="inlineStr">
        <is>
          <t>% of Sales</t>
        </is>
      </c>
      <c r="B47" s="10" t="n"/>
      <c r="C47" s="14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14" t="n"/>
      <c r="Z47" s="15" t="n"/>
      <c r="AA47" s="15" t="n"/>
      <c r="AB47" s="15" t="n"/>
      <c r="AC47" s="15" t="n"/>
    </row>
    <row r="48">
      <c r="A48" s="18" t="inlineStr">
        <is>
          <t>연구개발비</t>
        </is>
      </c>
      <c r="B48" s="10" t="inlineStr">
        <is>
          <t>변동비</t>
        </is>
      </c>
      <c r="C48" s="19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19" t="n">
        <v>948</v>
      </c>
      <c r="P48" s="20" t="n">
        <v>944</v>
      </c>
      <c r="Q48" s="20" t="n">
        <v>1029</v>
      </c>
      <c r="R48" s="20" t="n">
        <v>1060</v>
      </c>
      <c r="S48" s="20" t="n">
        <v>949</v>
      </c>
      <c r="T48" s="20" t="n">
        <v>1047</v>
      </c>
      <c r="U48" s="20" t="n">
        <v>1179</v>
      </c>
      <c r="V48" s="20" t="n">
        <v>1301</v>
      </c>
      <c r="W48" s="20" t="n">
        <v>1481</v>
      </c>
      <c r="X48" s="20" t="n">
        <v>1591</v>
      </c>
      <c r="Y48" s="19" t="n"/>
      <c r="Z48" s="20" t="n"/>
      <c r="AA48" s="20" t="n"/>
      <c r="AB48" s="20" t="n"/>
      <c r="AC48" s="20" t="n"/>
    </row>
    <row r="49">
      <c r="A49" s="13" t="inlineStr">
        <is>
          <t>% of Sales</t>
        </is>
      </c>
      <c r="B49" s="10" t="n"/>
      <c r="C49" s="14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14" t="n"/>
      <c r="Z49" s="15" t="n"/>
      <c r="AA49" s="15" t="n"/>
      <c r="AB49" s="15" t="n"/>
      <c r="AC49" s="15" t="n"/>
    </row>
    <row r="50">
      <c r="A50" s="18" t="inlineStr">
        <is>
          <t>기타비용</t>
        </is>
      </c>
      <c r="B50" s="10" t="inlineStr">
        <is>
          <t>변동비</t>
        </is>
      </c>
      <c r="C50" s="19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19">
        <f>IF(OR(O41="",O42="",O44="",O46="",O48=""),"",IFERROR(O41-O42-O44-O46-O48,""))</f>
        <v/>
      </c>
      <c r="P50" s="20">
        <f>IF(OR(P41="",P42="",P44="",P46="",P48=""),"",IFERROR(P41-P42-P44-P46-P48,""))</f>
        <v/>
      </c>
      <c r="Q50" s="20">
        <f>IF(OR(Q41="",Q42="",Q44="",Q46="",Q48=""),"",IFERROR(Q41-Q42-Q44-Q46-Q48,""))</f>
        <v/>
      </c>
      <c r="R50" s="20">
        <f>IF(OR(R41="",R42="",R44="",R46="",R48=""),"",IFERROR(R41-R42-R44-R46-R48,""))</f>
        <v/>
      </c>
      <c r="S50" s="20">
        <f>IF(OR(S41="",S42="",S44="",S46="",S48=""),"",IFERROR(S41-S42-S44-S46-S48,""))</f>
        <v/>
      </c>
      <c r="T50" s="20">
        <f>IF(OR(T41="",T42="",T44="",T46="",T48=""),"",IFERROR(T41-T42-T44-T46-T48,""))</f>
        <v/>
      </c>
      <c r="U50" s="20">
        <f>IF(OR(U41="",U42="",U44="",U46="",U48=""),"",IFERROR(U41-U42-U44-U46-U48,""))</f>
        <v/>
      </c>
      <c r="V50" s="20">
        <f>IF(OR(V41="",V42="",V44="",V46="",V48=""),"",IFERROR(V41-V42-V44-V46-V48,""))</f>
        <v/>
      </c>
      <c r="W50" s="20">
        <f>IF(OR(W41="",W42="",W44="",W46="",W48=""),"",IFERROR(W41-W42-W44-W46-W48,""))</f>
        <v/>
      </c>
      <c r="X50" s="20">
        <f>IF(OR(X41="",X42="",X44="",X46="",X48=""),"",IFERROR(X41-X42-X44-X46-X48,""))</f>
        <v/>
      </c>
      <c r="Y50" s="19" t="n"/>
      <c r="Z50" s="20" t="n"/>
      <c r="AA50" s="20" t="n"/>
      <c r="AB50" s="20" t="n"/>
      <c r="AC50" s="20" t="n"/>
    </row>
    <row r="51">
      <c r="A51" s="13" t="inlineStr">
        <is>
          <t>% of Sales</t>
        </is>
      </c>
      <c r="B51" s="10" t="n"/>
      <c r="C51" s="14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14" t="n"/>
      <c r="Z51" s="15" t="n"/>
      <c r="AA51" s="15" t="n"/>
      <c r="AB51" s="15" t="n"/>
      <c r="AC51" s="15" t="n"/>
    </row>
    <row r="52">
      <c r="A52" s="16" t="inlineStr">
        <is>
          <t>당기순이익 추정</t>
        </is>
      </c>
      <c r="B52" s="16" t="n"/>
      <c r="C52" s="17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7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7" t="n"/>
      <c r="Z52" s="16" t="n"/>
      <c r="AA52" s="16" t="n"/>
      <c r="AB52" s="16" t="n"/>
      <c r="AC52" s="16" t="n"/>
    </row>
    <row r="53">
      <c r="A53" s="18" t="inlineStr">
        <is>
          <t>특별이익</t>
        </is>
      </c>
      <c r="B53" s="10" t="n"/>
      <c r="C53" s="19" t="n">
        <v>1</v>
      </c>
      <c r="D53" s="20" t="n">
        <v>4</v>
      </c>
      <c r="E53" s="20" t="n">
        <v>0</v>
      </c>
      <c r="F53" s="20" t="n">
        <v>876</v>
      </c>
      <c r="G53" s="20" t="n">
        <v>796</v>
      </c>
      <c r="H53" s="20" t="n">
        <v>1623</v>
      </c>
      <c r="I53" s="20" t="n">
        <v>0</v>
      </c>
      <c r="J53" s="20" t="n">
        <v>0</v>
      </c>
      <c r="K53" s="20" t="n">
        <v>0</v>
      </c>
      <c r="L53" s="20" t="n">
        <v>20</v>
      </c>
      <c r="M53" s="20" t="n">
        <v>0</v>
      </c>
      <c r="N53" s="20" t="n">
        <v>4</v>
      </c>
      <c r="O53" s="19" t="n">
        <v>1303</v>
      </c>
      <c r="P53" s="20" t="n">
        <v>7</v>
      </c>
      <c r="Q53" s="20" t="n">
        <v>168</v>
      </c>
      <c r="R53" s="20" t="n">
        <v>193</v>
      </c>
      <c r="S53" s="20" t="n">
        <v>12</v>
      </c>
      <c r="T53" s="20" t="n">
        <v>348</v>
      </c>
      <c r="U53" s="20" t="n">
        <v>1542</v>
      </c>
      <c r="V53" s="20" t="n">
        <v>433</v>
      </c>
      <c r="W53" s="20" t="n">
        <v>3295</v>
      </c>
      <c r="X53" s="20" t="n">
        <v>20</v>
      </c>
      <c r="Y53" s="19">
        <f>IF(OR(Y4="",Y54=""),"",IFERROR(Y4*Y54,""))</f>
        <v/>
      </c>
      <c r="Z53" s="20">
        <f>IF(OR(Z4="",Z54=""),"",IFERROR(Z4*Z54,""))</f>
        <v/>
      </c>
      <c r="AA53" s="20">
        <f>IF(OR(AA4="",AA54=""),"",IFERROR(AA4*AA54,""))</f>
        <v/>
      </c>
      <c r="AB53" s="20">
        <f>IF(OR(AB4="",AB54=""),"",IFERROR(AB4*AB54,""))</f>
        <v/>
      </c>
      <c r="AC53" s="20">
        <f>IF(OR(AC4="",AC54=""),"",IFERROR(AC4*AC54,""))</f>
        <v/>
      </c>
    </row>
    <row r="54">
      <c r="A54" s="13" t="inlineStr">
        <is>
          <t>% of Sales</t>
        </is>
      </c>
      <c r="B54" s="10" t="inlineStr">
        <is>
          <t>MW = 최근 3년 평균</t>
        </is>
      </c>
      <c r="C54" s="14">
        <f>IF(OR(C53="",C4=""),"",IFERROR(C53/C4,""))</f>
        <v/>
      </c>
      <c r="D54" s="15">
        <f>IF(OR(D53="",D4=""),"",IFERROR(D53/D4,""))</f>
        <v/>
      </c>
      <c r="E54" s="15">
        <f>IF(OR(E53="",E4=""),"",IFERROR(E53/E4,""))</f>
        <v/>
      </c>
      <c r="F54" s="15">
        <f>IF(OR(F53="",F4=""),"",IFERROR(F53/F4,""))</f>
        <v/>
      </c>
      <c r="G54" s="15">
        <f>IF(OR(G53="",G4=""),"",IFERROR(G53/G4,""))</f>
        <v/>
      </c>
      <c r="H54" s="15">
        <f>IF(OR(H53="",H4=""),"",IFERROR(H53/H4,""))</f>
        <v/>
      </c>
      <c r="I54" s="15">
        <f>IF(OR(I53="",I4=""),"",IFERROR(I53/I4,""))</f>
        <v/>
      </c>
      <c r="J54" s="15">
        <f>IF(OR(J53="",J4=""),"",IFERROR(J53/J4,""))</f>
        <v/>
      </c>
      <c r="K54" s="15">
        <f>IF(OR(K53="",K4=""),"",IFERROR(K53/K4,""))</f>
        <v/>
      </c>
      <c r="L54" s="15">
        <f>IF(OR(L53="",L4=""),"",IFERROR(L53/L4,""))</f>
        <v/>
      </c>
      <c r="M54" s="15">
        <f>IF(OR(M53="",M4=""),"",IFERROR(M53/M4,""))</f>
        <v/>
      </c>
      <c r="N54" s="15">
        <f>IF(OR(N53="",N4=""),"",IFERROR(N53/N4,""))</f>
        <v/>
      </c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25">
        <f>IFERROR(AVERAGE(V54,W54,X54),"")</f>
        <v/>
      </c>
      <c r="Z54" s="26">
        <f>Y54</f>
        <v/>
      </c>
      <c r="AA54" s="26">
        <f>Z54</f>
        <v/>
      </c>
      <c r="AB54" s="26">
        <f>AA54</f>
        <v/>
      </c>
      <c r="AC54" s="26">
        <f>AB54</f>
        <v/>
      </c>
    </row>
    <row r="55">
      <c r="A55" s="18" t="inlineStr">
        <is>
          <t>특별손실</t>
        </is>
      </c>
      <c r="B55" s="10" t="n"/>
      <c r="C55" s="19" t="n">
        <v>38</v>
      </c>
      <c r="D55" s="20" t="n">
        <v>29</v>
      </c>
      <c r="E55" s="20" t="n">
        <v>206</v>
      </c>
      <c r="F55" s="20" t="n">
        <v>23</v>
      </c>
      <c r="G55" s="20" t="n">
        <v>19</v>
      </c>
      <c r="H55" s="20" t="n">
        <v>2158</v>
      </c>
      <c r="I55" s="20" t="n">
        <v>31</v>
      </c>
      <c r="J55" s="20" t="n">
        <v>15</v>
      </c>
      <c r="K55" s="20" t="n">
        <v>15</v>
      </c>
      <c r="L55" s="20" t="n">
        <v>1185</v>
      </c>
      <c r="M55" s="20" t="n">
        <v>51</v>
      </c>
      <c r="N55" s="20" t="n">
        <v>31</v>
      </c>
      <c r="O55" s="19" t="n">
        <v>2140</v>
      </c>
      <c r="P55" s="20" t="n">
        <v>1853</v>
      </c>
      <c r="Q55" s="20" t="n">
        <v>1200</v>
      </c>
      <c r="R55" s="20" t="n">
        <v>613</v>
      </c>
      <c r="S55" s="20" t="n">
        <v>437</v>
      </c>
      <c r="T55" s="20" t="n">
        <v>943</v>
      </c>
      <c r="U55" s="20" t="n">
        <v>539</v>
      </c>
      <c r="V55" s="20" t="n">
        <v>161</v>
      </c>
      <c r="W55" s="20" t="n">
        <v>2406</v>
      </c>
      <c r="X55" s="20" t="n">
        <v>1246</v>
      </c>
      <c r="Y55" s="19">
        <f>IF(OR(Y4="",Y56=""),"",IFERROR(Y4*Y56,""))</f>
        <v/>
      </c>
      <c r="Z55" s="20">
        <f>IF(OR(Z4="",Z56=""),"",IFERROR(Z4*Z56,""))</f>
        <v/>
      </c>
      <c r="AA55" s="20">
        <f>IF(OR(AA4="",AA56=""),"",IFERROR(AA4*AA56,""))</f>
        <v/>
      </c>
      <c r="AB55" s="20">
        <f>IF(OR(AB4="",AB56=""),"",IFERROR(AB4*AB56,""))</f>
        <v/>
      </c>
      <c r="AC55" s="20">
        <f>IF(OR(AC4="",AC56=""),"",IFERROR(AC4*AC56,""))</f>
        <v/>
      </c>
    </row>
    <row r="56">
      <c r="A56" s="13" t="inlineStr">
        <is>
          <t>% of Sales</t>
        </is>
      </c>
      <c r="B56" s="10" t="n"/>
      <c r="C56" s="14">
        <f>IF(OR(C55="",C4=""),"",IFERROR(C55/C4,""))</f>
        <v/>
      </c>
      <c r="D56" s="15">
        <f>IF(OR(D55="",D4=""),"",IFERROR(D55/D4,""))</f>
        <v/>
      </c>
      <c r="E56" s="15">
        <f>IF(OR(E55="",E4=""),"",IFERROR(E55/E4,""))</f>
        <v/>
      </c>
      <c r="F56" s="15">
        <f>IF(OR(F55="",F4=""),"",IFERROR(F55/F4,""))</f>
        <v/>
      </c>
      <c r="G56" s="15">
        <f>IF(OR(G55="",G4=""),"",IFERROR(G55/G4,""))</f>
        <v/>
      </c>
      <c r="H56" s="15">
        <f>IF(OR(H55="",H4=""),"",IFERROR(H55/H4,""))</f>
        <v/>
      </c>
      <c r="I56" s="15">
        <f>IF(OR(I55="",I4=""),"",IFERROR(I55/I4,""))</f>
        <v/>
      </c>
      <c r="J56" s="15">
        <f>IF(OR(J55="",J4=""),"",IFERROR(J55/J4,""))</f>
        <v/>
      </c>
      <c r="K56" s="15">
        <f>IF(OR(K55="",K4=""),"",IFERROR(K55/K4,""))</f>
        <v/>
      </c>
      <c r="L56" s="15">
        <f>IF(OR(L55="",L4=""),"",IFERROR(L55/L4,""))</f>
        <v/>
      </c>
      <c r="M56" s="15">
        <f>IF(OR(M55="",M4=""),"",IFERROR(M55/M4,""))</f>
        <v/>
      </c>
      <c r="N56" s="15">
        <f>IF(OR(N55="",N4=""),"",IFERROR(N55/N4,""))</f>
        <v/>
      </c>
      <c r="O56" s="14">
        <f>IF(OR(O55="",O4=""),"",IFERROR(O55/O4,""))</f>
        <v/>
      </c>
      <c r="P56" s="15">
        <f>IF(OR(P55="",P4=""),"",IFERROR(P55/P4,""))</f>
        <v/>
      </c>
      <c r="Q56" s="15">
        <f>IF(OR(Q55="",Q4=""),"",IFERROR(Q55/Q4,""))</f>
        <v/>
      </c>
      <c r="R56" s="15">
        <f>IF(OR(R55="",R4=""),"",IFERROR(R55/R4,""))</f>
        <v/>
      </c>
      <c r="S56" s="15">
        <f>IF(OR(S55="",S4=""),"",IFERROR(S55/S4,""))</f>
        <v/>
      </c>
      <c r="T56" s="15">
        <f>IF(OR(T55="",T4=""),"",IFERROR(T55/T4,""))</f>
        <v/>
      </c>
      <c r="U56" s="15">
        <f>IF(OR(U55="",U4=""),"",IFERROR(U55/U4,""))</f>
        <v/>
      </c>
      <c r="V56" s="15">
        <f>IF(OR(V55="",V4=""),"",IFERROR(V55/V4,""))</f>
        <v/>
      </c>
      <c r="W56" s="15">
        <f>IF(OR(W55="",W4=""),"",IFERROR(W55/W4,""))</f>
        <v/>
      </c>
      <c r="X56" s="15">
        <f>IF(OR(X55="",X4=""),"",IFERROR(X55/X4,""))</f>
        <v/>
      </c>
      <c r="Y56" s="25">
        <f>IFERROR(AVERAGE(V56,W56,X56),"")</f>
        <v/>
      </c>
      <c r="Z56" s="26">
        <f>Y56</f>
        <v/>
      </c>
      <c r="AA56" s="26">
        <f>Z56</f>
        <v/>
      </c>
      <c r="AB56" s="26">
        <f>AA56</f>
        <v/>
      </c>
      <c r="AC56" s="26">
        <f>AB56</f>
        <v/>
      </c>
    </row>
    <row r="57">
      <c r="A57" s="18" t="inlineStr">
        <is>
          <t>영업외수익</t>
        </is>
      </c>
      <c r="B57" s="10" t="n"/>
      <c r="C57" s="19" t="n">
        <v>135</v>
      </c>
      <c r="D57" s="20" t="n">
        <v>59</v>
      </c>
      <c r="E57" s="20" t="n">
        <v>198</v>
      </c>
      <c r="F57" s="20" t="n">
        <v>234</v>
      </c>
      <c r="G57" s="20" t="n">
        <v>-55</v>
      </c>
      <c r="H57" s="20" t="n">
        <v>276</v>
      </c>
      <c r="I57" s="20" t="n">
        <v>146</v>
      </c>
      <c r="J57" s="20" t="n">
        <v>98</v>
      </c>
      <c r="K57" s="20" t="n">
        <v>133</v>
      </c>
      <c r="L57" s="20" t="n">
        <v>98</v>
      </c>
      <c r="M57" s="20" t="n">
        <v>204</v>
      </c>
      <c r="N57" s="20" t="n">
        <v>115</v>
      </c>
      <c r="O57" s="19" t="n">
        <v>270</v>
      </c>
      <c r="P57" s="20" t="n">
        <v>279</v>
      </c>
      <c r="Q57" s="20" t="n">
        <v>292</v>
      </c>
      <c r="R57" s="20" t="n">
        <v>319</v>
      </c>
      <c r="S57" s="20" t="n">
        <v>406</v>
      </c>
      <c r="T57" s="20" t="n">
        <v>548</v>
      </c>
      <c r="U57" s="20" t="n">
        <v>576</v>
      </c>
      <c r="V57" s="20" t="n">
        <v>528</v>
      </c>
      <c r="W57" s="20" t="n">
        <v>653</v>
      </c>
      <c r="X57" s="20" t="n">
        <v>475</v>
      </c>
      <c r="Y57" s="19">
        <f>IF(OR(Y4="",Y58=""),"",IFERROR(Y4*Y58,""))</f>
        <v/>
      </c>
      <c r="Z57" s="20">
        <f>IF(OR(Z4="",Z58=""),"",IFERROR(Z4*Z58,""))</f>
        <v/>
      </c>
      <c r="AA57" s="20">
        <f>IF(OR(AA4="",AA58=""),"",IFERROR(AA4*AA58,""))</f>
        <v/>
      </c>
      <c r="AB57" s="20">
        <f>IF(OR(AB4="",AB58=""),"",IFERROR(AB4*AB58,""))</f>
        <v/>
      </c>
      <c r="AC57" s="20">
        <f>IF(OR(AC4="",AC58=""),"",IFERROR(AC4*AC58,""))</f>
        <v/>
      </c>
    </row>
    <row r="58">
      <c r="A58" s="13" t="inlineStr">
        <is>
          <t>% of Sales</t>
        </is>
      </c>
      <c r="B58" s="10" t="n"/>
      <c r="C58" s="14">
        <f>IF(OR(C57="",C4=""),"",IFERROR(C57/C4,""))</f>
        <v/>
      </c>
      <c r="D58" s="15">
        <f>IF(OR(D57="",D4=""),"",IFERROR(D57/D4,""))</f>
        <v/>
      </c>
      <c r="E58" s="15">
        <f>IF(OR(E57="",E4=""),"",IFERROR(E57/E4,""))</f>
        <v/>
      </c>
      <c r="F58" s="15">
        <f>IF(OR(F57="",F4=""),"",IFERROR(F57/F4,""))</f>
        <v/>
      </c>
      <c r="G58" s="15">
        <f>IF(OR(G57="",G4=""),"",IFERROR(G57/G4,""))</f>
        <v/>
      </c>
      <c r="H58" s="15">
        <f>IF(OR(H57="",H4=""),"",IFERROR(H57/H4,""))</f>
        <v/>
      </c>
      <c r="I58" s="15">
        <f>IF(OR(I57="",I4=""),"",IFERROR(I57/I4,""))</f>
        <v/>
      </c>
      <c r="J58" s="15">
        <f>IF(OR(J57="",J4=""),"",IFERROR(J57/J4,""))</f>
        <v/>
      </c>
      <c r="K58" s="15">
        <f>IF(OR(K57="",K4=""),"",IFERROR(K57/K4,""))</f>
        <v/>
      </c>
      <c r="L58" s="15">
        <f>IF(OR(L57="",L4=""),"",IFERROR(L57/L4,""))</f>
        <v/>
      </c>
      <c r="M58" s="15">
        <f>IF(OR(M57="",M4=""),"",IFERROR(M57/M4,""))</f>
        <v/>
      </c>
      <c r="N58" s="15">
        <f>IF(OR(N57="",N4=""),"",IFERROR(N57/N4,""))</f>
        <v/>
      </c>
      <c r="O58" s="14">
        <f>IF(OR(O57="",O4=""),"",IFERROR(O57/O4,""))</f>
        <v/>
      </c>
      <c r="P58" s="15">
        <f>IF(OR(P57="",P4=""),"",IFERROR(P57/P4,""))</f>
        <v/>
      </c>
      <c r="Q58" s="15">
        <f>IF(OR(Q57="",Q4=""),"",IFERROR(Q57/Q4,""))</f>
        <v/>
      </c>
      <c r="R58" s="15">
        <f>IF(OR(R57="",R4=""),"",IFERROR(R57/R4,""))</f>
        <v/>
      </c>
      <c r="S58" s="15">
        <f>IF(OR(S57="",S4=""),"",IFERROR(S57/S4,""))</f>
        <v/>
      </c>
      <c r="T58" s="15">
        <f>IF(OR(T57="",T4=""),"",IFERROR(T57/T4,""))</f>
        <v/>
      </c>
      <c r="U58" s="15">
        <f>IF(OR(U57="",U4=""),"",IFERROR(U57/U4,""))</f>
        <v/>
      </c>
      <c r="V58" s="15">
        <f>IF(OR(V57="",V4=""),"",IFERROR(V57/V4,""))</f>
        <v/>
      </c>
      <c r="W58" s="15">
        <f>IF(OR(W57="",W4=""),"",IFERROR(W57/W4,""))</f>
        <v/>
      </c>
      <c r="X58" s="15">
        <f>IF(OR(X57="",X4=""),"",IFERROR(X57/X4,""))</f>
        <v/>
      </c>
      <c r="Y58" s="25">
        <f>IFERROR(AVERAGE(V58,W58,X58),"")</f>
        <v/>
      </c>
      <c r="Z58" s="26">
        <f>Y58</f>
        <v/>
      </c>
      <c r="AA58" s="26">
        <f>Z58</f>
        <v/>
      </c>
      <c r="AB58" s="26">
        <f>AA58</f>
        <v/>
      </c>
      <c r="AC58" s="26">
        <f>AB58</f>
        <v/>
      </c>
    </row>
    <row r="59">
      <c r="A59" s="18" t="inlineStr">
        <is>
          <t>영업외비용</t>
        </is>
      </c>
      <c r="B59" s="10" t="n"/>
      <c r="C59" s="19" t="n">
        <v>15</v>
      </c>
      <c r="D59" s="20" t="n">
        <v>8</v>
      </c>
      <c r="E59" s="20" t="n">
        <v>32</v>
      </c>
      <c r="F59" s="20" t="n">
        <v>19</v>
      </c>
      <c r="G59" s="20" t="n">
        <v>34</v>
      </c>
      <c r="H59" s="20" t="n">
        <v>22</v>
      </c>
      <c r="I59" s="20" t="n">
        <v>142</v>
      </c>
      <c r="J59" s="20" t="n">
        <v>137</v>
      </c>
      <c r="K59" s="20" t="n">
        <v>-1</v>
      </c>
      <c r="L59" s="20" t="n">
        <v>-46</v>
      </c>
      <c r="M59" s="20" t="n">
        <v>233</v>
      </c>
      <c r="N59" s="20" t="n">
        <v>-43</v>
      </c>
      <c r="O59" s="19" t="n">
        <v>325</v>
      </c>
      <c r="P59" s="20" t="n">
        <v>178</v>
      </c>
      <c r="Q59" s="20" t="n">
        <v>180</v>
      </c>
      <c r="R59" s="20" t="n">
        <v>143</v>
      </c>
      <c r="S59" s="20" t="n">
        <v>182</v>
      </c>
      <c r="T59" s="20" t="n">
        <v>140</v>
      </c>
      <c r="U59" s="20" t="n">
        <v>73</v>
      </c>
      <c r="V59" s="20" t="n">
        <v>67</v>
      </c>
      <c r="W59" s="20" t="n">
        <v>107</v>
      </c>
      <c r="X59" s="20" t="n">
        <v>232</v>
      </c>
      <c r="Y59" s="19">
        <f>IF(OR(Y4="",Y60=""),"",IFERROR(Y4*Y60,""))</f>
        <v/>
      </c>
      <c r="Z59" s="20">
        <f>IF(OR(Z4="",Z60=""),"",IFERROR(Z4*Z60,""))</f>
        <v/>
      </c>
      <c r="AA59" s="20">
        <f>IF(OR(AA4="",AA60=""),"",IFERROR(AA4*AA60,""))</f>
        <v/>
      </c>
      <c r="AB59" s="20">
        <f>IF(OR(AB4="",AB60=""),"",IFERROR(AB4*AB60,""))</f>
        <v/>
      </c>
      <c r="AC59" s="20">
        <f>IF(OR(AC4="",AC60=""),"",IFERROR(AC4*AC60,""))</f>
        <v/>
      </c>
    </row>
    <row r="60">
      <c r="A60" s="13" t="inlineStr">
        <is>
          <t>% of Sales</t>
        </is>
      </c>
      <c r="B60" s="10" t="n"/>
      <c r="C60" s="14">
        <f>IF(OR(C59="",C4=""),"",IFERROR(C59/C4,""))</f>
        <v/>
      </c>
      <c r="D60" s="15">
        <f>IF(OR(D59="",D4=""),"",IFERROR(D59/D4,""))</f>
        <v/>
      </c>
      <c r="E60" s="15">
        <f>IF(OR(E59="",E4=""),"",IFERROR(E59/E4,""))</f>
        <v/>
      </c>
      <c r="F60" s="15">
        <f>IF(OR(F59="",F4=""),"",IFERROR(F59/F4,""))</f>
        <v/>
      </c>
      <c r="G60" s="15">
        <f>IF(OR(G59="",G4=""),"",IFERROR(G59/G4,""))</f>
        <v/>
      </c>
      <c r="H60" s="15">
        <f>IF(OR(H59="",H4=""),"",IFERROR(H59/H4,""))</f>
        <v/>
      </c>
      <c r="I60" s="15">
        <f>IF(OR(I59="",I4=""),"",IFERROR(I59/I4,""))</f>
        <v/>
      </c>
      <c r="J60" s="15">
        <f>IF(OR(J59="",J4=""),"",IFERROR(J59/J4,""))</f>
        <v/>
      </c>
      <c r="K60" s="15">
        <f>IF(OR(K59="",K4=""),"",IFERROR(K59/K4,""))</f>
        <v/>
      </c>
      <c r="L60" s="15">
        <f>IF(OR(L59="",L4=""),"",IFERROR(L59/L4,""))</f>
        <v/>
      </c>
      <c r="M60" s="15">
        <f>IF(OR(M59="",M4=""),"",IFERROR(M59/M4,""))</f>
        <v/>
      </c>
      <c r="N60" s="15">
        <f>IF(OR(N59="",N4=""),"",IFERROR(N59/N4,""))</f>
        <v/>
      </c>
      <c r="O60" s="14">
        <f>IF(OR(O59="",O4=""),"",IFERROR(O59/O4,""))</f>
        <v/>
      </c>
      <c r="P60" s="15">
        <f>IF(OR(P59="",P4=""),"",IFERROR(P59/P4,""))</f>
        <v/>
      </c>
      <c r="Q60" s="15">
        <f>IF(OR(Q59="",Q4=""),"",IFERROR(Q59/Q4,""))</f>
        <v/>
      </c>
      <c r="R60" s="15">
        <f>IF(OR(R59="",R4=""),"",IFERROR(R59/R4,""))</f>
        <v/>
      </c>
      <c r="S60" s="15">
        <f>IF(OR(S59="",S4=""),"",IFERROR(S59/S4,""))</f>
        <v/>
      </c>
      <c r="T60" s="15">
        <f>IF(OR(T59="",T4=""),"",IFERROR(T59/T4,""))</f>
        <v/>
      </c>
      <c r="U60" s="15">
        <f>IF(OR(U59="",U4=""),"",IFERROR(U59/U4,""))</f>
        <v/>
      </c>
      <c r="V60" s="15">
        <f>IF(OR(V59="",V4=""),"",IFERROR(V59/V4,""))</f>
        <v/>
      </c>
      <c r="W60" s="15">
        <f>IF(OR(W59="",W4=""),"",IFERROR(W59/W4,""))</f>
        <v/>
      </c>
      <c r="X60" s="15">
        <f>IF(OR(X59="",X4=""),"",IFERROR(X59/X4,""))</f>
        <v/>
      </c>
      <c r="Y60" s="25">
        <f>IFERROR(AVERAGE(V60,W60,X60),"")</f>
        <v/>
      </c>
      <c r="Z60" s="26">
        <f>Y60</f>
        <v/>
      </c>
      <c r="AA60" s="26">
        <f>Z60</f>
        <v/>
      </c>
      <c r="AB60" s="26">
        <f>AA60</f>
        <v/>
      </c>
      <c r="AC60" s="26">
        <f>AB60</f>
        <v/>
      </c>
    </row>
    <row r="61">
      <c r="A61" s="9" t="inlineStr">
        <is>
          <t>법인세비용차감전순이익(손실)</t>
        </is>
      </c>
      <c r="B61" s="10" t="n"/>
      <c r="C61" s="11" t="n">
        <v>1353</v>
      </c>
      <c r="D61" s="12" t="n">
        <v>1286</v>
      </c>
      <c r="E61" s="12" t="n">
        <v>1160</v>
      </c>
      <c r="F61" s="12" t="n">
        <v>2190</v>
      </c>
      <c r="G61" s="12" t="n">
        <v>1548</v>
      </c>
      <c r="H61" s="12" t="n">
        <v>1102</v>
      </c>
      <c r="I61" s="12" t="n">
        <v>1651</v>
      </c>
      <c r="J61" s="12" t="n">
        <v>1796</v>
      </c>
      <c r="K61" s="12" t="n">
        <v>1276</v>
      </c>
      <c r="L61" s="12" t="n">
        <v>478</v>
      </c>
      <c r="M61" s="12" t="n">
        <v>2165</v>
      </c>
      <c r="N61" s="12" t="n">
        <v>3204</v>
      </c>
      <c r="O61" s="11" t="n">
        <v>3818</v>
      </c>
      <c r="P61" s="12" t="n">
        <v>4045</v>
      </c>
      <c r="Q61" s="12" t="n">
        <v>3334</v>
      </c>
      <c r="R61" s="12" t="n">
        <v>3474</v>
      </c>
      <c r="S61" s="12" t="n">
        <v>4084</v>
      </c>
      <c r="T61" s="12" t="n">
        <v>4937</v>
      </c>
      <c r="U61" s="12" t="n">
        <v>5278</v>
      </c>
      <c r="V61" s="12" t="n">
        <v>5688</v>
      </c>
      <c r="W61" s="12" t="n">
        <v>6000</v>
      </c>
      <c r="X61" s="12" t="n">
        <v>5201</v>
      </c>
      <c r="Y61" s="11">
        <f>IF(OR(Y37=""),"",IFERROR(Y37+N(Y53)-N(Y55)+N(Y57)-N(Y59),""))</f>
        <v/>
      </c>
      <c r="Z61" s="12">
        <f>IF(OR(Z37=""),"",IFERROR(Z37+N(Z53)-N(Z55)+N(Z57)-N(Z59),""))</f>
        <v/>
      </c>
      <c r="AA61" s="12">
        <f>IF(OR(AA37=""),"",IFERROR(AA37+N(AA53)-N(AA55)+N(AA57)-N(AA59),""))</f>
        <v/>
      </c>
      <c r="AB61" s="12">
        <f>IF(OR(AB37=""),"",IFERROR(AB37+N(AB53)-N(AB55)+N(AB57)-N(AB59),""))</f>
        <v/>
      </c>
      <c r="AC61" s="12">
        <f>IF(OR(AC37=""),"",IFERROR(AC37+N(AC53)-N(AC55)+N(AC57)-N(AC59),""))</f>
        <v/>
      </c>
    </row>
    <row r="62">
      <c r="A62" s="18" t="inlineStr">
        <is>
          <t>법인세비용(수익)</t>
        </is>
      </c>
      <c r="B62" s="10" t="n"/>
      <c r="C62" s="19" t="n">
        <v>353</v>
      </c>
      <c r="D62" s="20" t="n">
        <v>273</v>
      </c>
      <c r="E62" s="20" t="n">
        <v>302</v>
      </c>
      <c r="F62" s="20" t="n">
        <v>628</v>
      </c>
      <c r="G62" s="20" t="n">
        <v>455</v>
      </c>
      <c r="H62" s="20" t="n">
        <v>251</v>
      </c>
      <c r="I62" s="20" t="n">
        <v>398</v>
      </c>
      <c r="J62" s="20" t="n">
        <v>494</v>
      </c>
      <c r="K62" s="20" t="n">
        <v>344</v>
      </c>
      <c r="L62" s="20" t="n">
        <v>147</v>
      </c>
      <c r="M62" s="20" t="n">
        <v>698</v>
      </c>
      <c r="N62" s="20" t="n">
        <v>948</v>
      </c>
      <c r="O62" s="19" t="n">
        <v>1311</v>
      </c>
      <c r="P62" s="20" t="n">
        <v>1321</v>
      </c>
      <c r="Q62" s="20" t="n">
        <v>889</v>
      </c>
      <c r="R62" s="20" t="n">
        <v>571</v>
      </c>
      <c r="S62" s="20" t="n">
        <v>1214</v>
      </c>
      <c r="T62" s="20" t="n">
        <v>1519</v>
      </c>
      <c r="U62" s="20" t="n">
        <v>1492</v>
      </c>
      <c r="V62" s="20" t="n">
        <v>1371</v>
      </c>
      <c r="W62" s="20" t="n">
        <v>1636</v>
      </c>
      <c r="X62" s="20" t="n">
        <v>1383</v>
      </c>
      <c r="Y62" s="19">
        <f>IF(OR(Y61="",Y63=""),"",IFERROR(MAX(Y61,0)*Y63,""))</f>
        <v/>
      </c>
      <c r="Z62" s="20">
        <f>IF(OR(Z61="",Z63=""),"",IFERROR(MAX(Z61,0)*Z63,""))</f>
        <v/>
      </c>
      <c r="AA62" s="20">
        <f>IF(OR(AA61="",AA63=""),"",IFERROR(MAX(AA61,0)*AA63,""))</f>
        <v/>
      </c>
      <c r="AB62" s="20">
        <f>IF(OR(AB61="",AB63=""),"",IFERROR(MAX(AB61,0)*AB63,""))</f>
        <v/>
      </c>
      <c r="AC62" s="20">
        <f>IF(OR(AC61="",AC63=""),"",IFERROR(MAX(AC61,0)*AC63,""))</f>
        <v/>
      </c>
    </row>
    <row r="63">
      <c r="A63" s="13" t="inlineStr">
        <is>
          <t>법인세율</t>
        </is>
      </c>
      <c r="B63" s="10" t="inlineStr">
        <is>
          <t>MW 기본 30%</t>
        </is>
      </c>
      <c r="C63" s="14">
        <f>IF(OR(C62="",C61=""),"",IFERROR(C62/C61,""))</f>
        <v/>
      </c>
      <c r="D63" s="15">
        <f>IF(OR(D62="",D61=""),"",IFERROR(D62/D61,""))</f>
        <v/>
      </c>
      <c r="E63" s="15">
        <f>IF(OR(E62="",E61=""),"",IFERROR(E62/E61,""))</f>
        <v/>
      </c>
      <c r="F63" s="15">
        <f>IF(OR(F62="",F61=""),"",IFERROR(F62/F61,""))</f>
        <v/>
      </c>
      <c r="G63" s="15">
        <f>IF(OR(G62="",G61=""),"",IFERROR(G62/G61,""))</f>
        <v/>
      </c>
      <c r="H63" s="15">
        <f>IF(OR(H62="",H61=""),"",IFERROR(H62/H61,""))</f>
        <v/>
      </c>
      <c r="I63" s="15">
        <f>IF(OR(I62="",I61=""),"",IFERROR(I62/I61,""))</f>
        <v/>
      </c>
      <c r="J63" s="15">
        <f>IF(OR(J62="",J61=""),"",IFERROR(J62/J61,""))</f>
        <v/>
      </c>
      <c r="K63" s="15">
        <f>IF(OR(K62="",K61=""),"",IFERROR(K62/K61,""))</f>
        <v/>
      </c>
      <c r="L63" s="15">
        <f>IF(OR(L62="",L61=""),"",IFERROR(L62/L61,""))</f>
        <v/>
      </c>
      <c r="M63" s="15">
        <f>IF(OR(M62="",M61=""),"",IFERROR(M62/M61,""))</f>
        <v/>
      </c>
      <c r="N63" s="15">
        <f>IF(OR(N62="",N61=""),"",IFERROR(N62/N61,""))</f>
        <v/>
      </c>
      <c r="O63" s="14">
        <f>IF(OR(O62="",O61=""),"",IFERROR(O62/O61,""))</f>
        <v/>
      </c>
      <c r="P63" s="15">
        <f>IF(OR(P62="",P61=""),"",IFERROR(P62/P61,""))</f>
        <v/>
      </c>
      <c r="Q63" s="15">
        <f>IF(OR(Q62="",Q61=""),"",IFERROR(Q62/Q61,""))</f>
        <v/>
      </c>
      <c r="R63" s="15">
        <f>IF(OR(R62="",R61=""),"",IFERROR(R62/R61,""))</f>
        <v/>
      </c>
      <c r="S63" s="15">
        <f>IF(OR(S62="",S61=""),"",IFERROR(S62/S61,""))</f>
        <v/>
      </c>
      <c r="T63" s="15">
        <f>IF(OR(T62="",T61=""),"",IFERROR(T62/T61,""))</f>
        <v/>
      </c>
      <c r="U63" s="15">
        <f>IF(OR(U62="",U61=""),"",IFERROR(U62/U61,""))</f>
        <v/>
      </c>
      <c r="V63" s="15">
        <f>IF(OR(V62="",V61=""),"",IFERROR(V62/V61,""))</f>
        <v/>
      </c>
      <c r="W63" s="15">
        <f>IF(OR(W62="",W61=""),"",IFERROR(W62/W61,""))</f>
        <v/>
      </c>
      <c r="X63" s="15">
        <f>IF(OR(X62="",X61=""),"",IFERROR(X62/X61,""))</f>
        <v/>
      </c>
      <c r="Y63" s="25" t="n">
        <v>0.3</v>
      </c>
      <c r="Z63" s="26" t="n">
        <v>0.3</v>
      </c>
      <c r="AA63" s="26" t="n">
        <v>0.3</v>
      </c>
      <c r="AB63" s="26" t="n">
        <v>0.3</v>
      </c>
      <c r="AC63" s="26" t="n">
        <v>0.3</v>
      </c>
    </row>
    <row r="64">
      <c r="A64" s="9" t="inlineStr">
        <is>
          <t>당기순이익(손실)</t>
        </is>
      </c>
      <c r="B64" s="10" t="n"/>
      <c r="C64" s="11" t="n">
        <v>999</v>
      </c>
      <c r="D64" s="12" t="n">
        <v>1014</v>
      </c>
      <c r="E64" s="12" t="n">
        <v>857</v>
      </c>
      <c r="F64" s="12" t="n">
        <v>1563</v>
      </c>
      <c r="G64" s="12" t="n">
        <v>1093</v>
      </c>
      <c r="H64" s="12" t="n">
        <v>851</v>
      </c>
      <c r="I64" s="12" t="n">
        <v>1252</v>
      </c>
      <c r="J64" s="12" t="n">
        <v>1302</v>
      </c>
      <c r="K64" s="12" t="n">
        <v>932</v>
      </c>
      <c r="L64" s="12" t="n">
        <v>332</v>
      </c>
      <c r="M64" s="12" t="n">
        <v>1466</v>
      </c>
      <c r="N64" s="12" t="n">
        <v>2256</v>
      </c>
      <c r="O64" s="11" t="n">
        <v>2506</v>
      </c>
      <c r="P64" s="12" t="n">
        <v>2723</v>
      </c>
      <c r="Q64" s="12" t="n">
        <v>2444</v>
      </c>
      <c r="R64" s="12" t="n">
        <v>2902</v>
      </c>
      <c r="S64" s="12" t="n">
        <v>2870</v>
      </c>
      <c r="T64" s="12" t="n">
        <v>3417</v>
      </c>
      <c r="U64" s="12" t="n">
        <v>3785</v>
      </c>
      <c r="V64" s="12" t="n">
        <v>4317</v>
      </c>
      <c r="W64" s="12" t="n">
        <v>4364</v>
      </c>
      <c r="X64" s="12" t="n">
        <v>3818</v>
      </c>
      <c r="Y64" s="11">
        <f>IF(OR(Y61=""),"",IFERROR(Y61-Y62,""))</f>
        <v/>
      </c>
      <c r="Z64" s="12">
        <f>IF(OR(Z61=""),"",IFERROR(Z61-Z62,""))</f>
        <v/>
      </c>
      <c r="AA64" s="12">
        <f>IF(OR(AA61=""),"",IFERROR(AA61-AA62,""))</f>
        <v/>
      </c>
      <c r="AB64" s="12">
        <f>IF(OR(AB61=""),"",IFERROR(AB61-AB62,""))</f>
        <v/>
      </c>
      <c r="AC64" s="12">
        <f>IF(OR(AC61=""),"",IFERROR(AC61-AC62,""))</f>
        <v/>
      </c>
    </row>
    <row r="65">
      <c r="A65" s="9" t="inlineStr">
        <is>
          <t>지배주주 순이익</t>
        </is>
      </c>
      <c r="B65" s="10" t="n"/>
      <c r="C65" s="11" t="n">
        <v>999</v>
      </c>
      <c r="D65" s="12" t="n">
        <v>1014</v>
      </c>
      <c r="E65" s="12" t="n">
        <v>856</v>
      </c>
      <c r="F65" s="12" t="n">
        <v>1562</v>
      </c>
      <c r="G65" s="12" t="n">
        <v>1092</v>
      </c>
      <c r="H65" s="12" t="n">
        <v>849</v>
      </c>
      <c r="I65" s="12" t="n">
        <v>1251</v>
      </c>
      <c r="J65" s="12" t="n">
        <v>1301</v>
      </c>
      <c r="K65" s="12" t="n">
        <v>930</v>
      </c>
      <c r="L65" s="12" t="n">
        <v>333</v>
      </c>
      <c r="M65" s="12" t="n">
        <v>1474</v>
      </c>
      <c r="N65" s="12" t="n">
        <v>2260</v>
      </c>
      <c r="O65" s="11" t="n">
        <v>2507</v>
      </c>
      <c r="P65" s="12" t="n">
        <v>2720</v>
      </c>
      <c r="Q65" s="12" t="n">
        <v>2442</v>
      </c>
      <c r="R65" s="12" t="n">
        <v>2899</v>
      </c>
      <c r="S65" s="12" t="n">
        <v>2865</v>
      </c>
      <c r="T65" s="12" t="n">
        <v>3417</v>
      </c>
      <c r="U65" s="12" t="n">
        <v>3788</v>
      </c>
      <c r="V65" s="12" t="n">
        <v>4315</v>
      </c>
      <c r="W65" s="12" t="n">
        <v>4359</v>
      </c>
      <c r="X65" s="12" t="n">
        <v>3815</v>
      </c>
      <c r="Y65" s="11">
        <f>IF(OR(Y64="",Y66=""),"",IFERROR(Y64*Y66,""))</f>
        <v/>
      </c>
      <c r="Z65" s="12">
        <f>IF(OR(Z64="",Z66=""),"",IFERROR(Z64*Z66,""))</f>
        <v/>
      </c>
      <c r="AA65" s="12">
        <f>IF(OR(AA64="",AA66=""),"",IFERROR(AA64*AA66,""))</f>
        <v/>
      </c>
      <c r="AB65" s="12">
        <f>IF(OR(AB64="",AB66=""),"",IFERROR(AB64*AB66,""))</f>
        <v/>
      </c>
      <c r="AC65" s="12">
        <f>IF(OR(AC64="",AC66=""),"",IFERROR(AC64*AC66,""))</f>
        <v/>
      </c>
    </row>
    <row r="66">
      <c r="A66" s="13" t="inlineStr">
        <is>
          <t>지배주주 순이익률</t>
        </is>
      </c>
      <c r="B66" s="10" t="inlineStr">
        <is>
          <t>MW 기본 100%</t>
        </is>
      </c>
      <c r="C66" s="14">
        <f>IF(OR(C65="",C64=""),"",IFERROR(C65/C64,""))</f>
        <v/>
      </c>
      <c r="D66" s="15">
        <f>IF(OR(D65="",D64=""),"",IFERROR(D65/D64,""))</f>
        <v/>
      </c>
      <c r="E66" s="15">
        <f>IF(OR(E65="",E64=""),"",IFERROR(E65/E64,""))</f>
        <v/>
      </c>
      <c r="F66" s="15">
        <f>IF(OR(F65="",F64=""),"",IFERROR(F65/F64,""))</f>
        <v/>
      </c>
      <c r="G66" s="15">
        <f>IF(OR(G65="",G64=""),"",IFERROR(G65/G64,""))</f>
        <v/>
      </c>
      <c r="H66" s="15">
        <f>IF(OR(H65="",H64=""),"",IFERROR(H65/H64,""))</f>
        <v/>
      </c>
      <c r="I66" s="15">
        <f>IF(OR(I65="",I64=""),"",IFERROR(I65/I64,""))</f>
        <v/>
      </c>
      <c r="J66" s="15">
        <f>IF(OR(J65="",J64=""),"",IFERROR(J65/J64,""))</f>
        <v/>
      </c>
      <c r="K66" s="15">
        <f>IF(OR(K65="",K64=""),"",IFERROR(K65/K64,""))</f>
        <v/>
      </c>
      <c r="L66" s="15">
        <f>IF(OR(L65="",L64=""),"",IFERROR(L65/L64,""))</f>
        <v/>
      </c>
      <c r="M66" s="15">
        <f>IF(OR(M65="",M64=""),"",IFERROR(M65/M64,""))</f>
        <v/>
      </c>
      <c r="N66" s="15">
        <f>IF(OR(N65="",N64=""),"",IFERROR(N65/N64,""))</f>
        <v/>
      </c>
      <c r="O66" s="14">
        <f>IF(OR(O65="",O64=""),"",IFERROR(O65/O64,""))</f>
        <v/>
      </c>
      <c r="P66" s="15">
        <f>IF(OR(P65="",P64=""),"",IFERROR(P65/P64,""))</f>
        <v/>
      </c>
      <c r="Q66" s="15">
        <f>IF(OR(Q65="",Q64=""),"",IFERROR(Q65/Q64,""))</f>
        <v/>
      </c>
      <c r="R66" s="15">
        <f>IF(OR(R65="",R64=""),"",IFERROR(R65/R64,""))</f>
        <v/>
      </c>
      <c r="S66" s="15">
        <f>IF(OR(S65="",S64=""),"",IFERROR(S65/S64,""))</f>
        <v/>
      </c>
      <c r="T66" s="15">
        <f>IF(OR(T65="",T64=""),"",IFERROR(T65/T64,""))</f>
        <v/>
      </c>
      <c r="U66" s="15">
        <f>IF(OR(U65="",U64=""),"",IFERROR(U65/U64,""))</f>
        <v/>
      </c>
      <c r="V66" s="15">
        <f>IF(OR(V65="",V64=""),"",IFERROR(V65/V64,""))</f>
        <v/>
      </c>
      <c r="W66" s="15">
        <f>IF(OR(W65="",W64=""),"",IFERROR(W65/W64,""))</f>
        <v/>
      </c>
      <c r="X66" s="15">
        <f>IF(OR(X65="",X64=""),"",IFERROR(X65/X64,""))</f>
        <v/>
      </c>
      <c r="Y66" s="25" t="n">
        <v>1</v>
      </c>
      <c r="Z66" s="26" t="n">
        <v>1</v>
      </c>
      <c r="AA66" s="26" t="n">
        <v>1</v>
      </c>
      <c r="AB66" s="26" t="n">
        <v>1</v>
      </c>
      <c r="AC66" s="26" t="n">
        <v>1</v>
      </c>
    </row>
    <row r="67">
      <c r="A67" s="16" t="inlineStr">
        <is>
          <t>목표주가 산출</t>
        </is>
      </c>
      <c r="B67" s="16" t="n"/>
      <c r="C67" s="17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7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7" t="n"/>
      <c r="Z67" s="16" t="n"/>
      <c r="AA67" s="16" t="n"/>
      <c r="AB67" s="16" t="n"/>
      <c r="AC67" s="16" t="n"/>
    </row>
    <row r="68">
      <c r="A68" s="18" t="inlineStr">
        <is>
          <t>현재 주가 (2026.10.26)</t>
        </is>
      </c>
      <c r="B68" s="27" t="n">
        <v>5180</v>
      </c>
      <c r="C68" s="28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8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8" t="n"/>
      <c r="Z68" s="29" t="n"/>
      <c r="AA68" s="29" t="n"/>
      <c r="AB68" s="29" t="n"/>
      <c r="AC68" s="29" t="n"/>
    </row>
    <row r="69">
      <c r="A69" s="18" t="inlineStr">
        <is>
          <t>발행주식수 (보통주)</t>
        </is>
      </c>
      <c r="B69" s="27" t="n">
        <v>12414870</v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8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8" t="n"/>
      <c r="Z69" s="29" t="n"/>
      <c r="AA69" s="29" t="n"/>
      <c r="AB69" s="29" t="n"/>
      <c r="AC69" s="29" t="n"/>
    </row>
    <row r="70">
      <c r="A70" s="18" t="inlineStr">
        <is>
          <t>시가총액 (백만엔)</t>
        </is>
      </c>
      <c r="B70" s="12">
        <f>IF(OR(B68="",B69=""),"",B68*B69/1000000.0)</f>
        <v/>
      </c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19" t="n"/>
      <c r="Z70" s="20" t="n"/>
      <c r="AA70" s="20" t="n"/>
      <c r="AB70" s="20" t="n"/>
      <c r="AC70" s="20" t="n"/>
    </row>
    <row r="71">
      <c r="A71" s="13" t="inlineStr">
        <is>
          <t>OPM</t>
        </is>
      </c>
      <c r="B71" s="10" t="n"/>
      <c r="C71" s="14" t="n"/>
      <c r="D71" s="15" t="n"/>
      <c r="E71" s="15" t="n"/>
      <c r="F71" s="15" t="n"/>
      <c r="G71" s="15" t="n"/>
      <c r="H71" s="15" t="n"/>
      <c r="I71" s="15" t="n"/>
      <c r="J71" s="15" t="n"/>
      <c r="K71" s="15" t="n"/>
      <c r="L71" s="15" t="n"/>
      <c r="M71" s="15" t="n"/>
      <c r="N71" s="15" t="n"/>
      <c r="O71" s="14">
        <f>IF(O38="","",O38)</f>
        <v/>
      </c>
      <c r="P71" s="15">
        <f>IF(P38="","",P38)</f>
        <v/>
      </c>
      <c r="Q71" s="15">
        <f>IF(Q38="","",Q38)</f>
        <v/>
      </c>
      <c r="R71" s="15">
        <f>IF(R38="","",R38)</f>
        <v/>
      </c>
      <c r="S71" s="15">
        <f>IF(S38="","",S38)</f>
        <v/>
      </c>
      <c r="T71" s="15">
        <f>IF(T38="","",T38)</f>
        <v/>
      </c>
      <c r="U71" s="15">
        <f>IF(U38="","",U38)</f>
        <v/>
      </c>
      <c r="V71" s="15">
        <f>IF(V38="","",V38)</f>
        <v/>
      </c>
      <c r="W71" s="15">
        <f>IF(W38="","",W38)</f>
        <v/>
      </c>
      <c r="X71" s="15">
        <f>IF(X38="","",X38)</f>
        <v/>
      </c>
      <c r="Y71" s="14">
        <f>IF(Y38="","",Y38)</f>
        <v/>
      </c>
      <c r="Z71" s="15">
        <f>IF(Z38="","",Z38)</f>
        <v/>
      </c>
      <c r="AA71" s="15">
        <f>IF(AA38="","",AA38)</f>
        <v/>
      </c>
      <c r="AB71" s="15">
        <f>IF(AB38="","",AB38)</f>
        <v/>
      </c>
      <c r="AC71" s="15">
        <f>IF(AC38="","",AC38)</f>
        <v/>
      </c>
    </row>
    <row r="72">
      <c r="A72" s="13" t="inlineStr">
        <is>
          <t>지배주주 순이익 증가율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>
        <f>IF(OR(P65="",O65=""),"",IFERROR(P65/O65-1,""))</f>
        <v/>
      </c>
      <c r="Q72" s="15">
        <f>IF(OR(Q65="",P65=""),"",IFERROR(Q65/P65-1,""))</f>
        <v/>
      </c>
      <c r="R72" s="15">
        <f>IF(OR(R65="",Q65=""),"",IFERROR(R65/Q65-1,""))</f>
        <v/>
      </c>
      <c r="S72" s="15">
        <f>IF(OR(S65="",R65=""),"",IFERROR(S65/R65-1,""))</f>
        <v/>
      </c>
      <c r="T72" s="15">
        <f>IF(OR(T65="",S65=""),"",IFERROR(T65/S65-1,""))</f>
        <v/>
      </c>
      <c r="U72" s="15">
        <f>IF(OR(U65="",T65=""),"",IFERROR(U65/T65-1,""))</f>
        <v/>
      </c>
      <c r="V72" s="15">
        <f>IF(OR(V65="",U65=""),"",IFERROR(V65/U65-1,""))</f>
        <v/>
      </c>
      <c r="W72" s="15">
        <f>IF(OR(W65="",V65=""),"",IFERROR(W65/V65-1,""))</f>
        <v/>
      </c>
      <c r="X72" s="15">
        <f>IF(OR(X65="",W65=""),"",IFERROR(X65/W65-1,""))</f>
        <v/>
      </c>
      <c r="Y72" s="14">
        <f>IF(OR(Y65="",X65=""),"",IFERROR(Y65/X65-1,""))</f>
        <v/>
      </c>
      <c r="Z72" s="15">
        <f>IF(OR(Z65="",Y65=""),"",IFERROR(Z65/Y65-1,""))</f>
        <v/>
      </c>
      <c r="AA72" s="15">
        <f>IF(OR(AA65="",Z65=""),"",IFERROR(AA65/Z65-1,""))</f>
        <v/>
      </c>
      <c r="AB72" s="15">
        <f>IF(OR(AB65="",AA65=""),"",IFERROR(AB65/AA65-1,""))</f>
        <v/>
      </c>
      <c r="AC72" s="15">
        <f>IF(OR(AC65="",AB65=""),"",IFERROR(AC65/AB65-1,""))</f>
        <v/>
      </c>
    </row>
    <row r="73">
      <c r="A73" s="18" t="inlineStr">
        <is>
          <t>P/E (현재 주가)</t>
        </is>
      </c>
      <c r="B73" s="10" t="inlineStr">
        <is>
          <t>시총 ÷ 지배순이익</t>
        </is>
      </c>
      <c r="C73" s="30" t="n"/>
      <c r="D73" s="31" t="n"/>
      <c r="E73" s="31" t="n"/>
      <c r="F73" s="31" t="n"/>
      <c r="G73" s="31" t="n"/>
      <c r="H73" s="31" t="n"/>
      <c r="I73" s="31" t="n"/>
      <c r="J73" s="31" t="n"/>
      <c r="K73" s="31" t="n"/>
      <c r="L73" s="31" t="n"/>
      <c r="M73" s="31" t="n"/>
      <c r="N73" s="31" t="n"/>
      <c r="O73" s="30" t="n"/>
      <c r="P73" s="31" t="n"/>
      <c r="Q73" s="31" t="n"/>
      <c r="R73" s="31" t="n"/>
      <c r="S73" s="31" t="n"/>
      <c r="T73" s="31" t="n"/>
      <c r="U73" s="31" t="n"/>
      <c r="V73" s="31" t="n"/>
      <c r="W73" s="31" t="n"/>
      <c r="X73" s="31">
        <f>IF(OR($B$70="",X65=""),"",IFERROR($B$70/X65,""))</f>
        <v/>
      </c>
      <c r="Y73" s="30">
        <f>IF(OR($B$70="",Y65=""),"",IFERROR($B$70/Y65,""))</f>
        <v/>
      </c>
      <c r="Z73" s="31">
        <f>IF(OR($B$70="",Z65=""),"",IFERROR($B$70/Z65,""))</f>
        <v/>
      </c>
      <c r="AA73" s="31">
        <f>IF(OR($B$70="",AA65=""),"",IFERROR($B$70/AA65,""))</f>
        <v/>
      </c>
      <c r="AB73" s="31">
        <f>IF(OR($B$70="",AB65=""),"",IFERROR($B$70/AB65,""))</f>
        <v/>
      </c>
      <c r="AC73" s="31">
        <f>IF(OR($B$70="",AC65=""),"",IFERROR($B$70/AC65,""))</f>
        <v/>
      </c>
    </row>
    <row r="74">
      <c r="A74" s="18" t="inlineStr">
        <is>
          <t>Target P/E</t>
        </is>
      </c>
      <c r="B74" s="10" t="inlineStr">
        <is>
          <t>직접 입력</t>
        </is>
      </c>
      <c r="C74" s="30" t="n"/>
      <c r="D74" s="31" t="n"/>
      <c r="E74" s="31" t="n"/>
      <c r="F74" s="31" t="n"/>
      <c r="G74" s="31" t="n"/>
      <c r="H74" s="31" t="n"/>
      <c r="I74" s="31" t="n"/>
      <c r="J74" s="31" t="n"/>
      <c r="K74" s="31" t="n"/>
      <c r="L74" s="31" t="n"/>
      <c r="M74" s="31" t="n"/>
      <c r="N74" s="31" t="n"/>
      <c r="O74" s="30" t="n"/>
      <c r="P74" s="31" t="n"/>
      <c r="Q74" s="31" t="n"/>
      <c r="R74" s="31" t="n"/>
      <c r="S74" s="31" t="n"/>
      <c r="T74" s="31" t="n"/>
      <c r="U74" s="31" t="n"/>
      <c r="V74" s="31" t="n"/>
      <c r="W74" s="31" t="n"/>
      <c r="X74" s="31" t="n"/>
      <c r="Y74" s="32" t="n"/>
      <c r="Z74" s="33" t="n"/>
      <c r="AA74" s="33" t="n"/>
      <c r="AB74" s="33" t="n"/>
      <c r="AC74" s="33" t="n"/>
    </row>
    <row r="75">
      <c r="A75" s="18" t="inlineStr">
        <is>
          <t>EPS</t>
        </is>
      </c>
      <c r="B75" s="10" t="inlineStr">
        <is>
          <t>지배순이익 ÷ 주식수</t>
        </is>
      </c>
      <c r="C75" s="28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8">
        <f>IF(OR(O65="",$B$69=""),"",IFERROR(O65*1000000.0/$B$69,""))</f>
        <v/>
      </c>
      <c r="P75" s="29">
        <f>IF(OR(P65="",$B$69=""),"",IFERROR(P65*1000000.0/$B$69,""))</f>
        <v/>
      </c>
      <c r="Q75" s="29">
        <f>IF(OR(Q65="",$B$69=""),"",IFERROR(Q65*1000000.0/$B$69,""))</f>
        <v/>
      </c>
      <c r="R75" s="29">
        <f>IF(OR(R65="",$B$69=""),"",IFERROR(R65*1000000.0/$B$69,""))</f>
        <v/>
      </c>
      <c r="S75" s="29">
        <f>IF(OR(S65="",$B$69=""),"",IFERROR(S65*1000000.0/$B$69,""))</f>
        <v/>
      </c>
      <c r="T75" s="29">
        <f>IF(OR(T65="",$B$69=""),"",IFERROR(T65*1000000.0/$B$69,""))</f>
        <v/>
      </c>
      <c r="U75" s="29">
        <f>IF(OR(U65="",$B$69=""),"",IFERROR(U65*1000000.0/$B$69,""))</f>
        <v/>
      </c>
      <c r="V75" s="29">
        <f>IF(OR(V65="",$B$69=""),"",IFERROR(V65*1000000.0/$B$69,""))</f>
        <v/>
      </c>
      <c r="W75" s="29">
        <f>IF(OR(W65="",$B$69=""),"",IFERROR(W65*1000000.0/$B$69,""))</f>
        <v/>
      </c>
      <c r="X75" s="29">
        <f>IF(OR(X65="",$B$69=""),"",IFERROR(X65*1000000.0/$B$69,""))</f>
        <v/>
      </c>
      <c r="Y75" s="28">
        <f>IF(OR(Y65="",$B$69=""),"",IFERROR(Y65*1000000.0/$B$69,""))</f>
        <v/>
      </c>
      <c r="Z75" s="29">
        <f>IF(OR(Z65="",$B$69=""),"",IFERROR(Z65*1000000.0/$B$69,""))</f>
        <v/>
      </c>
      <c r="AA75" s="29">
        <f>IF(OR(AA65="",$B$69=""),"",IFERROR(AA65*1000000.0/$B$69,""))</f>
        <v/>
      </c>
      <c r="AB75" s="29">
        <f>IF(OR(AB65="",$B$69=""),"",IFERROR(AB65*1000000.0/$B$69,""))</f>
        <v/>
      </c>
      <c r="AC75" s="29">
        <f>IF(OR(AC65="",$B$69=""),"",IFERROR(AC65*1000000.0/$B$69,""))</f>
        <v/>
      </c>
    </row>
    <row r="76">
      <c r="A76" s="9" t="inlineStr">
        <is>
          <t>목표주가</t>
        </is>
      </c>
      <c r="B76" s="10" t="n"/>
      <c r="C76" s="34" t="n"/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34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34">
        <f>IF(OR(Y75="",Y74=""),"",IFERROR(Y75*Y74,""))</f>
        <v/>
      </c>
      <c r="Z76" s="27">
        <f>IF(OR(Z75="",Z74=""),"",IFERROR(Z75*Z74,""))</f>
        <v/>
      </c>
      <c r="AA76" s="27">
        <f>IF(OR(AA75="",AA74=""),"",IFERROR(AA75*AA74,""))</f>
        <v/>
      </c>
      <c r="AB76" s="27">
        <f>IF(OR(AB75="",AB74=""),"",IFERROR(AB75*AB74,""))</f>
        <v/>
      </c>
      <c r="AC76" s="27">
        <f>IF(OR(AC75="",AC74=""),"",IFERROR(AC75*AC74,""))</f>
        <v/>
      </c>
    </row>
    <row r="77">
      <c r="A77" s="18" t="inlineStr">
        <is>
          <t>상승여력</t>
        </is>
      </c>
      <c r="B77" s="10" t="n"/>
      <c r="C77" s="35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5" t="n"/>
      <c r="P77" s="36" t="n"/>
      <c r="Q77" s="36" t="n"/>
      <c r="R77" s="36" t="n"/>
      <c r="S77" s="36" t="n"/>
      <c r="T77" s="36" t="n"/>
      <c r="U77" s="36" t="n"/>
      <c r="V77" s="36" t="n"/>
      <c r="W77" s="36" t="n"/>
      <c r="X77" s="36" t="n"/>
      <c r="Y77" s="37">
        <f>IF(OR(Y76="",$B$68=""),"",IFERROR(Y76/$B$68-1,""))</f>
        <v/>
      </c>
      <c r="Z77" s="38">
        <f>IF(OR(Z76="",$B$68=""),"",IFERROR(Z76/$B$68-1,""))</f>
        <v/>
      </c>
      <c r="AA77" s="38">
        <f>IF(OR(AA76="",$B$68=""),"",IFERROR(AA76/$B$68-1,""))</f>
        <v/>
      </c>
      <c r="AB77" s="38">
        <f>IF(OR(AB76="",$B$68=""),"",IFERROR(AB76/$B$68-1,""))</f>
        <v/>
      </c>
      <c r="AC77" s="38">
        <f>IF(OR(AC76="",$B$68=""),"",IFERROR(AC76/$B$68-1,""))</f>
        <v/>
      </c>
    </row>
    <row r="78">
      <c r="A78" s="16" t="inlineStr">
        <is>
          <t>자산가치 산출</t>
        </is>
      </c>
      <c r="B78" s="16" t="inlineStr">
        <is>
          <t>최신 분기 BS</t>
        </is>
      </c>
      <c r="C78" s="17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7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7" t="n"/>
      <c r="Z78" s="16" t="n"/>
      <c r="AA78" s="16" t="n"/>
      <c r="AB78" s="16" t="n"/>
      <c r="AC78" s="16" t="n"/>
    </row>
    <row r="79">
      <c r="A79" s="18" t="inlineStr">
        <is>
          <t>현금및현금성자산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'재무상태표'!G6</f>
        <v/>
      </c>
      <c r="Y79" s="19">
        <f>'재무상태표'!G6</f>
        <v/>
      </c>
      <c r="Z79" s="20">
        <f>'재무상태표'!G6</f>
        <v/>
      </c>
      <c r="AA79" s="20">
        <f>'재무상태표'!G6</f>
        <v/>
      </c>
      <c r="AB79" s="20">
        <f>'재무상태표'!G6</f>
        <v/>
      </c>
      <c r="AC79" s="20">
        <f>'재무상태표'!G6</f>
        <v/>
      </c>
    </row>
    <row r="80">
      <c r="A80" s="18" t="inlineStr">
        <is>
          <t>단기금융상품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'재무상태표'!G7</f>
        <v/>
      </c>
      <c r="Y80" s="19">
        <f>'재무상태표'!G7</f>
        <v/>
      </c>
      <c r="Z80" s="20">
        <f>'재무상태표'!G7</f>
        <v/>
      </c>
      <c r="AA80" s="20">
        <f>'재무상태표'!G7</f>
        <v/>
      </c>
      <c r="AB80" s="20">
        <f>'재무상태표'!G7</f>
        <v/>
      </c>
      <c r="AC80" s="20">
        <f>'재무상태표'!G7</f>
        <v/>
      </c>
    </row>
    <row r="81">
      <c r="A81" s="18" t="inlineStr">
        <is>
          <t>투자부동산</t>
        </is>
      </c>
      <c r="B81" s="10" t="n"/>
      <c r="C81" s="19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19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>
        <f>'재무상태표'!G14</f>
        <v/>
      </c>
      <c r="Y81" s="19">
        <f>'재무상태표'!G14</f>
        <v/>
      </c>
      <c r="Z81" s="20">
        <f>'재무상태표'!G14</f>
        <v/>
      </c>
      <c r="AA81" s="20">
        <f>'재무상태표'!G14</f>
        <v/>
      </c>
      <c r="AB81" s="20">
        <f>'재무상태표'!G14</f>
        <v/>
      </c>
      <c r="AC81" s="20">
        <f>'재무상태표'!G14</f>
        <v/>
      </c>
    </row>
    <row r="82">
      <c r="A82" s="18" t="inlineStr">
        <is>
          <t>지배자본</t>
        </is>
      </c>
      <c r="B82" s="10" t="n"/>
      <c r="C82" s="19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19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>
        <f>'재무상태표'!G31</f>
        <v/>
      </c>
      <c r="Y82" s="19">
        <f>'재무상태표'!G31</f>
        <v/>
      </c>
      <c r="Z82" s="20">
        <f>'재무상태표'!G31</f>
        <v/>
      </c>
      <c r="AA82" s="20">
        <f>'재무상태표'!G31</f>
        <v/>
      </c>
      <c r="AB82" s="20">
        <f>'재무상태표'!G31</f>
        <v/>
      </c>
      <c r="AC82" s="20">
        <f>'재무상태표'!G31</f>
        <v/>
      </c>
    </row>
    <row r="83">
      <c r="A83" s="18" t="inlineStr">
        <is>
          <t>부채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>
        <f>'재무상태표'!G27</f>
        <v/>
      </c>
      <c r="Y83" s="19">
        <f>'재무상태표'!G27</f>
        <v/>
      </c>
      <c r="Z83" s="20">
        <f>'재무상태표'!G27</f>
        <v/>
      </c>
      <c r="AA83" s="20">
        <f>'재무상태표'!G27</f>
        <v/>
      </c>
      <c r="AB83" s="20">
        <f>'재무상태표'!G27</f>
        <v/>
      </c>
      <c r="AC83" s="20">
        <f>'재무상태표'!G27</f>
        <v/>
      </c>
    </row>
    <row r="84">
      <c r="A84" s="13" t="inlineStr">
        <is>
          <t>부채비율</t>
        </is>
      </c>
      <c r="B84" s="10" t="n"/>
      <c r="C84" s="14" t="n"/>
      <c r="D84" s="15" t="n"/>
      <c r="E84" s="15" t="n"/>
      <c r="F84" s="15" t="n"/>
      <c r="G84" s="15" t="n"/>
      <c r="H84" s="15" t="n"/>
      <c r="I84" s="15" t="n"/>
      <c r="J84" s="15" t="n"/>
      <c r="K84" s="15" t="n"/>
      <c r="L84" s="15" t="n"/>
      <c r="M84" s="15" t="n"/>
      <c r="N84" s="15" t="n"/>
      <c r="O84" s="14" t="n"/>
      <c r="P84" s="15" t="n"/>
      <c r="Q84" s="15" t="n"/>
      <c r="R84" s="15" t="n"/>
      <c r="S84" s="15" t="n"/>
      <c r="T84" s="15" t="n"/>
      <c r="U84" s="15" t="n"/>
      <c r="V84" s="15" t="n"/>
      <c r="W84" s="15" t="n"/>
      <c r="X84" s="15">
        <f>IF(OR(X83="",X82=""),"",IFERROR(X83/X82,""))</f>
        <v/>
      </c>
      <c r="Y84" s="14">
        <f>IF(OR(Y83="",Y82=""),"",IFERROR(Y83/Y82,""))</f>
        <v/>
      </c>
      <c r="Z84" s="15">
        <f>IF(OR(Z83="",Z82=""),"",IFERROR(Z83/Z82,""))</f>
        <v/>
      </c>
      <c r="AA84" s="15">
        <f>IF(OR(AA83="",AA82=""),"",IFERROR(AA83/AA82,""))</f>
        <v/>
      </c>
      <c r="AB84" s="15">
        <f>IF(OR(AB83="",AB82=""),"",IFERROR(AB83/AB82,""))</f>
        <v/>
      </c>
      <c r="AC84" s="15">
        <f>IF(OR(AC83="",AC82=""),"",IFERROR(AC83/AC82,""))</f>
        <v/>
      </c>
    </row>
    <row r="85">
      <c r="A85" s="9" t="inlineStr">
        <is>
          <t>자산가치</t>
        </is>
      </c>
      <c r="B85" s="10" t="inlineStr">
        <is>
          <t>현금+단기금융+투자부동산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>
        <f>SUM(X79,X80,X81)</f>
        <v/>
      </c>
      <c r="Y85" s="11">
        <f>SUM(Y79,Y80,Y81)</f>
        <v/>
      </c>
      <c r="Z85" s="12">
        <f>SUM(Z79,Z80,Z81)</f>
        <v/>
      </c>
      <c r="AA85" s="12">
        <f>SUM(AA79,AA80,AA81)</f>
        <v/>
      </c>
      <c r="AB85" s="12">
        <f>SUM(AB79,AB80,AB81)</f>
        <v/>
      </c>
      <c r="AC85" s="12">
        <f>SUM(AC79,AC80,AC81)</f>
        <v/>
      </c>
    </row>
    <row r="86">
      <c r="A86" s="16" t="inlineStr">
        <is>
          <t>기업가치 산출</t>
        </is>
      </c>
      <c r="B86" s="16" t="n"/>
      <c r="C86" s="17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7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7" t="n"/>
      <c r="Z86" s="16" t="n"/>
      <c r="AA86" s="16" t="n"/>
      <c r="AB86" s="16" t="n"/>
      <c r="AC86" s="16" t="n"/>
    </row>
    <row r="87">
      <c r="A87" s="18" t="inlineStr">
        <is>
          <t>목표 시가총액 (P/E)</t>
        </is>
      </c>
      <c r="B87" s="10" t="inlineStr">
        <is>
          <t>지배순이익 × Target P/E</t>
        </is>
      </c>
      <c r="C87" s="19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19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19">
        <f>IF(OR(Y65="",Y74=""),"",IFERROR(Y65*Y74,""))</f>
        <v/>
      </c>
      <c r="Z87" s="20">
        <f>IF(OR(Z65="",Z74=""),"",IFERROR(Z65*Z74,""))</f>
        <v/>
      </c>
      <c r="AA87" s="20">
        <f>IF(OR(AA65="",AA74=""),"",IFERROR(AA65*AA74,""))</f>
        <v/>
      </c>
      <c r="AB87" s="20">
        <f>IF(OR(AB65="",AB74=""),"",IFERROR(AB65*AB74,""))</f>
        <v/>
      </c>
      <c r="AC87" s="20">
        <f>IF(OR(AC65="",AC74=""),"",IFERROR(AC65*AC74,""))</f>
        <v/>
      </c>
    </row>
    <row r="88">
      <c r="A88" s="9" t="inlineStr">
        <is>
          <t>기업가치</t>
        </is>
      </c>
      <c r="B88" s="10" t="inlineStr">
        <is>
          <t>목표시총 + 자산가치</t>
        </is>
      </c>
      <c r="C88" s="11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1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1">
        <f>IF(OR(Y87=""),"",IFERROR(Y87+Y85,""))</f>
        <v/>
      </c>
      <c r="Z88" s="12">
        <f>IF(OR(Z87=""),"",IFERROR(Z87+Z85,""))</f>
        <v/>
      </c>
      <c r="AA88" s="12">
        <f>IF(OR(AA87=""),"",IFERROR(AA87+AA85,""))</f>
        <v/>
      </c>
      <c r="AB88" s="12">
        <f>IF(OR(AB87=""),"",IFERROR(AB87+AB85,""))</f>
        <v/>
      </c>
      <c r="AC88" s="12">
        <f>IF(OR(AC87=""),"",IFERROR(AC87+AC85,""))</f>
        <v/>
      </c>
    </row>
    <row r="89">
      <c r="A89" s="18" t="inlineStr">
        <is>
          <t>현재 시가총액</t>
        </is>
      </c>
      <c r="B89" s="10" t="n"/>
      <c r="C89" s="19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19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19">
        <f>$B$70</f>
        <v/>
      </c>
      <c r="Z89" s="20">
        <f>$B$70</f>
        <v/>
      </c>
      <c r="AA89" s="20">
        <f>$B$70</f>
        <v/>
      </c>
      <c r="AB89" s="20">
        <f>$B$70</f>
        <v/>
      </c>
      <c r="AC89" s="20">
        <f>$B$70</f>
        <v/>
      </c>
    </row>
    <row r="90">
      <c r="A90" s="18" t="inlineStr">
        <is>
          <t>상승여력</t>
        </is>
      </c>
      <c r="B90" s="10" t="n"/>
      <c r="C90" s="35" t="n"/>
      <c r="D90" s="36" t="n"/>
      <c r="E90" s="36" t="n"/>
      <c r="F90" s="36" t="n"/>
      <c r="G90" s="36" t="n"/>
      <c r="H90" s="36" t="n"/>
      <c r="I90" s="36" t="n"/>
      <c r="J90" s="36" t="n"/>
      <c r="K90" s="36" t="n"/>
      <c r="L90" s="36" t="n"/>
      <c r="M90" s="36" t="n"/>
      <c r="N90" s="36" t="n"/>
      <c r="O90" s="35" t="n"/>
      <c r="P90" s="36" t="n"/>
      <c r="Q90" s="36" t="n"/>
      <c r="R90" s="36" t="n"/>
      <c r="S90" s="36" t="n"/>
      <c r="T90" s="36" t="n"/>
      <c r="U90" s="36" t="n"/>
      <c r="V90" s="36" t="n"/>
      <c r="W90" s="36" t="n"/>
      <c r="X90" s="36" t="n"/>
      <c r="Y90" s="37">
        <f>IF(OR(Y88="",Y89=""),"",IFERROR(Y88/Y89-1,""))</f>
        <v/>
      </c>
      <c r="Z90" s="38">
        <f>IF(OR(Z88="",Z89=""),"",IFERROR(Z88/Z89-1,""))</f>
        <v/>
      </c>
      <c r="AA90" s="38">
        <f>IF(OR(AA88="",AA89=""),"",IFERROR(AA88/AA89-1,""))</f>
        <v/>
      </c>
      <c r="AB90" s="38">
        <f>IF(OR(AB88="",AB89=""),"",IFERROR(AB88/AB89-1,""))</f>
        <v/>
      </c>
      <c r="AC90" s="38">
        <f>IF(OR(AC88="",AC89=""),"",IFERROR(AC88/AC89-1,""))</f>
        <v/>
      </c>
    </row>
    <row r="91">
      <c r="C91" s="39" t="n"/>
      <c r="O91" s="39" t="n"/>
      <c r="Y91" s="39" t="n"/>
    </row>
    <row r="92">
      <c r="A92" s="40" t="inlineStr">
        <is>
          <t>출처</t>
        </is>
      </c>
      <c r="C92" s="39" t="n"/>
      <c r="O92" s="39" t="n"/>
      <c r="Y92" s="39" t="n"/>
    </row>
    <row r="93">
      <c r="A93" s="41" t="inlineStr">
        <is>
          <t>결산단신 XBRL(TDnet·JPX 보관소) — 쓴 문서는 '출처' 시트</t>
        </is>
      </c>
      <c r="C93" s="39" t="n"/>
      <c r="O93" s="39" t="n"/>
      <c r="Y93" s="39" t="n"/>
    </row>
    <row r="94">
      <c r="A94" s="41" t="inlineStr">
        <is>
          <t>분기 = 누계에서 앞 분기를 뺀 3개월 값</t>
        </is>
      </c>
      <c r="C94" s="39" t="n"/>
      <c r="O94" s="39" t="n"/>
      <c r="Y94" s="39" t="n"/>
    </row>
    <row r="95">
      <c r="A95" s="41" t="inlineStr">
        <is>
          <t>주가: 야후 파이낸스 일봉 2026.10.26</t>
        </is>
      </c>
      <c r="C95" s="39" t="n"/>
      <c r="O95" s="39" t="n"/>
      <c r="Y95" s="39" t="n"/>
    </row>
    <row r="97">
      <c r="A97" s="16" t="inlineStr">
        <is>
          <t>손익계산서 · 전 항목</t>
        </is>
      </c>
      <c r="B97" s="42" t="inlineStr">
        <is>
          <t>분기 = 3개월 단독</t>
        </is>
      </c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  <c r="AA97" s="16" t="n"/>
      <c r="AB97" s="16" t="n"/>
      <c r="AC97" s="16" t="n"/>
    </row>
    <row r="98">
      <c r="A98" s="5" t="inlineStr">
        <is>
          <t>항목</t>
        </is>
      </c>
      <c r="B98" s="5" t="inlineStr">
        <is>
          <t>참고</t>
        </is>
      </c>
      <c r="C98" s="5" t="inlineStr">
        <is>
          <t>2023.3Q</t>
        </is>
      </c>
      <c r="D98" s="5" t="inlineStr">
        <is>
          <t>2023.4Q</t>
        </is>
      </c>
      <c r="E98" s="5" t="inlineStr">
        <is>
          <t>2024.1Q</t>
        </is>
      </c>
      <c r="F98" s="5" t="inlineStr">
        <is>
          <t>2024.2Q</t>
        </is>
      </c>
      <c r="G98" s="5" t="inlineStr">
        <is>
          <t>2024.3Q</t>
        </is>
      </c>
      <c r="H98" s="5" t="inlineStr">
        <is>
          <t>2024.4Q</t>
        </is>
      </c>
      <c r="I98" s="5" t="inlineStr">
        <is>
          <t>2025.1Q</t>
        </is>
      </c>
      <c r="J98" s="5" t="inlineStr">
        <is>
          <t>2025.2Q</t>
        </is>
      </c>
      <c r="K98" s="5" t="inlineStr">
        <is>
          <t>2025.3Q</t>
        </is>
      </c>
      <c r="L98" s="5" t="inlineStr">
        <is>
          <t>2025.4Q</t>
        </is>
      </c>
      <c r="M98" s="5" t="inlineStr">
        <is>
          <t>2026.1Q</t>
        </is>
      </c>
      <c r="N98" s="5" t="inlineStr">
        <is>
          <t>2026.2Q</t>
        </is>
      </c>
      <c r="O98" s="5" t="inlineStr">
        <is>
          <t>2016</t>
        </is>
      </c>
      <c r="P98" s="5" t="inlineStr">
        <is>
          <t>2017</t>
        </is>
      </c>
      <c r="Q98" s="5" t="inlineStr">
        <is>
          <t>2018</t>
        </is>
      </c>
      <c r="R98" s="5" t="inlineStr">
        <is>
          <t>2019</t>
        </is>
      </c>
      <c r="S98" s="5" t="inlineStr">
        <is>
          <t>2020</t>
        </is>
      </c>
      <c r="T98" s="5" t="inlineStr">
        <is>
          <t>2021</t>
        </is>
      </c>
      <c r="U98" s="5" t="inlineStr">
        <is>
          <t>2022</t>
        </is>
      </c>
      <c r="V98" s="5" t="inlineStr">
        <is>
          <t>2023</t>
        </is>
      </c>
      <c r="W98" s="5" t="inlineStr">
        <is>
          <t>2024</t>
        </is>
      </c>
      <c r="X98" s="5" t="inlineStr">
        <is>
          <t>2025</t>
        </is>
      </c>
      <c r="Y98" s="5" t="inlineStr">
        <is>
          <t>2026(MW)</t>
        </is>
      </c>
      <c r="Z98" s="5" t="inlineStr">
        <is>
          <t>2027(MW)</t>
        </is>
      </c>
      <c r="AA98" s="5" t="inlineStr">
        <is>
          <t>2028(MW)</t>
        </is>
      </c>
      <c r="AB98" s="5" t="inlineStr">
        <is>
          <t>2029(MW)</t>
        </is>
      </c>
      <c r="AC98" s="5" t="inlineStr">
        <is>
          <t>2030(MW)</t>
        </is>
      </c>
    </row>
    <row r="99">
      <c r="A99" s="9" t="inlineStr">
        <is>
          <t>매출액</t>
        </is>
      </c>
      <c r="C99" s="12" t="n">
        <v>19361</v>
      </c>
      <c r="D99" s="12" t="n">
        <v>20165</v>
      </c>
      <c r="E99" s="12" t="n">
        <v>19504</v>
      </c>
      <c r="F99" s="12" t="n">
        <v>19896</v>
      </c>
      <c r="G99" s="12" t="n">
        <v>19939</v>
      </c>
      <c r="H99" s="12" t="n">
        <v>21853</v>
      </c>
      <c r="I99" s="12" t="n">
        <v>21686</v>
      </c>
      <c r="J99" s="12" t="n">
        <v>21865</v>
      </c>
      <c r="K99" s="12" t="n">
        <v>20682</v>
      </c>
      <c r="L99" s="12" t="n">
        <v>22425</v>
      </c>
      <c r="M99" s="12" t="n">
        <v>24026</v>
      </c>
      <c r="N99" s="12" t="n">
        <v>28473</v>
      </c>
      <c r="T99" s="12" t="n">
        <v>23350</v>
      </c>
      <c r="U99" s="12" t="n">
        <v>19719</v>
      </c>
      <c r="V99" s="12" t="n">
        <v>20165</v>
      </c>
      <c r="W99" s="12" t="n">
        <v>21853</v>
      </c>
      <c r="X99" s="12" t="n">
        <v>22425</v>
      </c>
    </row>
    <row r="100">
      <c r="A100" s="43" t="inlineStr">
        <is>
          <t>YoY</t>
        </is>
      </c>
      <c r="B100" s="3" t="inlineStr">
        <is>
          <t>전년 같은 분기·전년 대비</t>
        </is>
      </c>
      <c r="G100" s="15">
        <f>IF(OR(G99="",C99=""),"",IF(C99&lt;=0,"",IFERROR(G99/C99-1,"")))</f>
        <v/>
      </c>
      <c r="H100" s="15">
        <f>IF(OR(H99="",D99=""),"",IF(D99&lt;=0,"",IFERROR(H99/D99-1,"")))</f>
        <v/>
      </c>
      <c r="I100" s="15">
        <f>IF(OR(I99="",E99=""),"",IF(E99&lt;=0,"",IFERROR(I99/E99-1,"")))</f>
        <v/>
      </c>
      <c r="J100" s="15">
        <f>IF(OR(J99="",F99=""),"",IF(F99&lt;=0,"",IFERROR(J99/F99-1,"")))</f>
        <v/>
      </c>
      <c r="K100" s="15">
        <f>IF(OR(K99="",G99=""),"",IF(G99&lt;=0,"",IFERROR(K99/G99-1,"")))</f>
        <v/>
      </c>
      <c r="L100" s="15">
        <f>IF(OR(L99="",H99=""),"",IF(H99&lt;=0,"",IFERROR(L99/H99-1,"")))</f>
        <v/>
      </c>
      <c r="M100" s="15">
        <f>IF(OR(M99="",I99=""),"",IF(I99&lt;=0,"",IFERROR(M99/I99-1,"")))</f>
        <v/>
      </c>
      <c r="N100" s="15">
        <f>IF(OR(N99="",J99=""),"",IF(J99&lt;=0,"",IFERROR(N99/J99-1,"")))</f>
        <v/>
      </c>
      <c r="T100" s="15">
        <f>IF(OR(T99="",S99=""),"",IF(S99&lt;=0,"",IFERROR(T99/S99-1,"")))</f>
        <v/>
      </c>
      <c r="U100" s="15">
        <f>IF(OR(U99="",T99=""),"",IF(T99&lt;=0,"",IFERROR(U99/T99-1,"")))</f>
        <v/>
      </c>
      <c r="V100" s="15">
        <f>IF(OR(V99="",U99=""),"",IF(U99&lt;=0,"",IFERROR(V99/U99-1,"")))</f>
        <v/>
      </c>
      <c r="W100" s="15">
        <f>IF(OR(W99="",V99=""),"",IF(V99&lt;=0,"",IFERROR(W99/V99-1,"")))</f>
        <v/>
      </c>
      <c r="X100" s="15">
        <f>IF(OR(X99="",W99=""),"",IF(W99&lt;=0,"",IFERROR(X99/W99-1,"")))</f>
        <v/>
      </c>
    </row>
    <row r="101">
      <c r="A101" s="18" t="inlineStr">
        <is>
          <t>매출원가</t>
        </is>
      </c>
      <c r="C101" s="20" t="n">
        <v>15513</v>
      </c>
      <c r="D101" s="20" t="n">
        <v>16360</v>
      </c>
      <c r="E101" s="20" t="n">
        <v>15763</v>
      </c>
      <c r="F101" s="20" t="n">
        <v>16194</v>
      </c>
      <c r="G101" s="20" t="n">
        <v>16407</v>
      </c>
      <c r="H101" s="20" t="n">
        <v>17655</v>
      </c>
      <c r="I101" s="20" t="n">
        <v>17290</v>
      </c>
      <c r="J101" s="20" t="n">
        <v>17202</v>
      </c>
      <c r="K101" s="20" t="n">
        <v>16710</v>
      </c>
      <c r="L101" s="20" t="n">
        <v>17917</v>
      </c>
      <c r="M101" s="20" t="n">
        <v>18557</v>
      </c>
      <c r="N101" s="20" t="n">
        <v>21694</v>
      </c>
      <c r="T101" s="20" t="n">
        <v>20335</v>
      </c>
      <c r="U101" s="20" t="n">
        <v>16595</v>
      </c>
      <c r="V101" s="20" t="n">
        <v>16360</v>
      </c>
      <c r="W101" s="20" t="n">
        <v>17655</v>
      </c>
      <c r="X101" s="20" t="n">
        <v>17917</v>
      </c>
    </row>
    <row r="102">
      <c r="A102" s="9" t="inlineStr">
        <is>
          <t>매출총이익</t>
        </is>
      </c>
      <c r="C102" s="12" t="n">
        <v>3847</v>
      </c>
      <c r="D102" s="12" t="n">
        <v>3805</v>
      </c>
      <c r="E102" s="12" t="n">
        <v>3741</v>
      </c>
      <c r="F102" s="12" t="n">
        <v>3701</v>
      </c>
      <c r="G102" s="12" t="n">
        <v>3533</v>
      </c>
      <c r="H102" s="12" t="n">
        <v>4198</v>
      </c>
      <c r="I102" s="12" t="n">
        <v>4396</v>
      </c>
      <c r="J102" s="12" t="n">
        <v>4662</v>
      </c>
      <c r="K102" s="12" t="n">
        <v>3972</v>
      </c>
      <c r="L102" s="12" t="n">
        <v>4508</v>
      </c>
      <c r="M102" s="12" t="n">
        <v>5468</v>
      </c>
      <c r="N102" s="12" t="n">
        <v>6779</v>
      </c>
      <c r="T102" s="12" t="n">
        <v>3015</v>
      </c>
      <c r="U102" s="12" t="n">
        <v>3125</v>
      </c>
      <c r="V102" s="12" t="n">
        <v>3805</v>
      </c>
      <c r="W102" s="12" t="n">
        <v>4198</v>
      </c>
      <c r="X102" s="12" t="n">
        <v>4508</v>
      </c>
    </row>
    <row r="103">
      <c r="A103" s="43" t="inlineStr">
        <is>
          <t>YoY</t>
        </is>
      </c>
      <c r="B103" s="3" t="inlineStr">
        <is>
          <t>전년 같은 분기·전년 대비</t>
        </is>
      </c>
      <c r="G103" s="15">
        <f>IF(OR(G102="",C102=""),"",IF(C102&lt;=0,"",IFERROR(G102/C102-1,"")))</f>
        <v/>
      </c>
      <c r="H103" s="15">
        <f>IF(OR(H102="",D102=""),"",IF(D102&lt;=0,"",IFERROR(H102/D102-1,"")))</f>
        <v/>
      </c>
      <c r="I103" s="15">
        <f>IF(OR(I102="",E102=""),"",IF(E102&lt;=0,"",IFERROR(I102/E102-1,"")))</f>
        <v/>
      </c>
      <c r="J103" s="15">
        <f>IF(OR(J102="",F102=""),"",IF(F102&lt;=0,"",IFERROR(J102/F102-1,"")))</f>
        <v/>
      </c>
      <c r="K103" s="15">
        <f>IF(OR(K102="",G102=""),"",IF(G102&lt;=0,"",IFERROR(K102/G102-1,"")))</f>
        <v/>
      </c>
      <c r="L103" s="15">
        <f>IF(OR(L102="",H102=""),"",IF(H102&lt;=0,"",IFERROR(L102/H102-1,"")))</f>
        <v/>
      </c>
      <c r="M103" s="15">
        <f>IF(OR(M102="",I102=""),"",IF(I102&lt;=0,"",IFERROR(M102/I102-1,"")))</f>
        <v/>
      </c>
      <c r="N103" s="15">
        <f>IF(OR(N102="",J102=""),"",IF(J102&lt;=0,"",IFERROR(N102/J102-1,"")))</f>
        <v/>
      </c>
      <c r="T103" s="15">
        <f>IF(OR(T102="",S102=""),"",IF(S102&lt;=0,"",IFERROR(T102/S102-1,"")))</f>
        <v/>
      </c>
      <c r="U103" s="15">
        <f>IF(OR(U102="",T102=""),"",IF(T102&lt;=0,"",IFERROR(U102/T102-1,"")))</f>
        <v/>
      </c>
      <c r="V103" s="15">
        <f>IF(OR(V102="",U102=""),"",IF(U102&lt;=0,"",IFERROR(V102/U102-1,"")))</f>
        <v/>
      </c>
      <c r="W103" s="15">
        <f>IF(OR(W102="",V102=""),"",IF(V102&lt;=0,"",IFERROR(W102/V102-1,"")))</f>
        <v/>
      </c>
      <c r="X103" s="15">
        <f>IF(OR(X102="",W102=""),"",IF(W102&lt;=0,"",IFERROR(X102/W102-1,"")))</f>
        <v/>
      </c>
    </row>
    <row r="104">
      <c r="A104" s="18" t="inlineStr">
        <is>
          <t>판매수수료</t>
        </is>
      </c>
      <c r="C104" s="20" t="n">
        <v>22</v>
      </c>
      <c r="D104" s="20" t="n">
        <v>22</v>
      </c>
      <c r="E104" s="20" t="n">
        <v>22</v>
      </c>
      <c r="F104" s="20" t="n">
        <v>23</v>
      </c>
      <c r="G104" s="20" t="n">
        <v>24</v>
      </c>
      <c r="H104" s="20" t="n">
        <v>27</v>
      </c>
      <c r="I104" s="20" t="n">
        <v>21</v>
      </c>
      <c r="J104" s="20" t="n">
        <v>26</v>
      </c>
      <c r="K104" s="20" t="n">
        <v>29</v>
      </c>
      <c r="L104" s="20" t="n">
        <v>29</v>
      </c>
      <c r="M104" s="20" t="n">
        <v>20</v>
      </c>
      <c r="N104" s="20" t="n">
        <v>25</v>
      </c>
      <c r="T104" s="20" t="n">
        <v>16</v>
      </c>
      <c r="U104" s="20" t="n">
        <v>20</v>
      </c>
      <c r="V104" s="20" t="n">
        <v>22</v>
      </c>
      <c r="W104" s="20" t="n">
        <v>27</v>
      </c>
      <c r="X104" s="20" t="n">
        <v>29</v>
      </c>
    </row>
    <row r="105">
      <c r="A105" s="18" t="inlineStr">
        <is>
          <t>Transportation And Warehousing Expenses SGA</t>
        </is>
      </c>
      <c r="C105" s="20" t="n">
        <v>649</v>
      </c>
      <c r="D105" s="20" t="n">
        <v>683</v>
      </c>
      <c r="E105" s="20" t="n">
        <v>662</v>
      </c>
      <c r="F105" s="20" t="n">
        <v>699</v>
      </c>
      <c r="G105" s="20" t="n">
        <v>707</v>
      </c>
      <c r="H105" s="20" t="n">
        <v>742</v>
      </c>
      <c r="I105" s="20" t="n">
        <v>716</v>
      </c>
      <c r="J105" s="20" t="n">
        <v>706</v>
      </c>
      <c r="K105" s="20" t="n">
        <v>690</v>
      </c>
      <c r="L105" s="20" t="n">
        <v>739</v>
      </c>
      <c r="M105" s="20" t="n">
        <v>769</v>
      </c>
      <c r="N105" s="20" t="n">
        <v>819</v>
      </c>
      <c r="T105" s="20" t="n">
        <v>700</v>
      </c>
      <c r="U105" s="20" t="n">
        <v>672</v>
      </c>
      <c r="V105" s="20" t="n">
        <v>683</v>
      </c>
      <c r="W105" s="20" t="n">
        <v>742</v>
      </c>
      <c r="X105" s="20" t="n">
        <v>739</v>
      </c>
    </row>
    <row r="106">
      <c r="A106" s="18" t="inlineStr">
        <is>
          <t>급여</t>
        </is>
      </c>
      <c r="C106" s="20" t="n">
        <v>532</v>
      </c>
      <c r="D106" s="20" t="n">
        <v>530</v>
      </c>
      <c r="E106" s="20" t="n">
        <v>531</v>
      </c>
      <c r="F106" s="20" t="n">
        <v>561</v>
      </c>
      <c r="G106" s="20" t="n">
        <v>562</v>
      </c>
      <c r="H106" s="20" t="n">
        <v>565</v>
      </c>
      <c r="I106" s="20" t="n">
        <v>567</v>
      </c>
      <c r="J106" s="20" t="n">
        <v>597</v>
      </c>
      <c r="K106" s="20" t="n">
        <v>603</v>
      </c>
      <c r="L106" s="20" t="n">
        <v>603</v>
      </c>
      <c r="M106" s="20" t="n">
        <v>727</v>
      </c>
      <c r="N106" s="20" t="n">
        <v>759</v>
      </c>
      <c r="T106" s="20" t="n">
        <v>528</v>
      </c>
      <c r="U106" s="20" t="n">
        <v>520</v>
      </c>
      <c r="V106" s="20" t="n">
        <v>530</v>
      </c>
      <c r="W106" s="20" t="n">
        <v>565</v>
      </c>
      <c r="X106" s="20" t="n">
        <v>603</v>
      </c>
    </row>
    <row r="107">
      <c r="A107" s="18" t="inlineStr">
        <is>
          <t>상여충당금 전입</t>
        </is>
      </c>
      <c r="E107" s="20" t="n">
        <v>163</v>
      </c>
      <c r="I107" s="20" t="n">
        <v>179</v>
      </c>
      <c r="M107" s="20" t="n">
        <v>233</v>
      </c>
    </row>
    <row r="108">
      <c r="A108" s="18" t="inlineStr">
        <is>
          <t>Bonuses SGA</t>
        </is>
      </c>
      <c r="C108" s="20" t="n">
        <v>0</v>
      </c>
      <c r="D108" s="20" t="n">
        <v>334</v>
      </c>
      <c r="G108" s="20" t="n">
        <v>0</v>
      </c>
      <c r="H108" s="20" t="n">
        <v>335</v>
      </c>
      <c r="K108" s="20" t="n">
        <v>0</v>
      </c>
      <c r="L108" s="20" t="n">
        <v>405</v>
      </c>
      <c r="T108" s="20" t="n">
        <v>343</v>
      </c>
      <c r="U108" s="20" t="n">
        <v>316</v>
      </c>
      <c r="V108" s="20" t="n">
        <v>334</v>
      </c>
      <c r="W108" s="20" t="n">
        <v>335</v>
      </c>
      <c r="X108" s="20" t="n">
        <v>405</v>
      </c>
    </row>
    <row r="109">
      <c r="A109" s="18" t="inlineStr">
        <is>
          <t>임원 보수</t>
        </is>
      </c>
      <c r="C109" s="20" t="n">
        <v>84</v>
      </c>
      <c r="D109" s="20" t="n">
        <v>85</v>
      </c>
      <c r="E109" s="20" t="n">
        <v>84</v>
      </c>
      <c r="F109" s="20" t="n">
        <v>90</v>
      </c>
      <c r="G109" s="20" t="n">
        <v>89</v>
      </c>
      <c r="H109" s="20" t="n">
        <v>90</v>
      </c>
      <c r="I109" s="20" t="n">
        <v>89</v>
      </c>
      <c r="J109" s="20" t="n">
        <v>85</v>
      </c>
      <c r="K109" s="20" t="n">
        <v>85</v>
      </c>
      <c r="L109" s="20" t="n">
        <v>86</v>
      </c>
      <c r="M109" s="20" t="n">
        <v>102</v>
      </c>
      <c r="N109" s="20" t="n">
        <v>123</v>
      </c>
      <c r="T109" s="20" t="n">
        <v>80</v>
      </c>
      <c r="U109" s="20" t="n">
        <v>85</v>
      </c>
      <c r="V109" s="20" t="n">
        <v>85</v>
      </c>
      <c r="W109" s="20" t="n">
        <v>90</v>
      </c>
      <c r="X109" s="20" t="n">
        <v>86</v>
      </c>
    </row>
    <row r="110">
      <c r="A110" s="18" t="inlineStr">
        <is>
          <t>퇴직급여비용</t>
        </is>
      </c>
      <c r="C110" s="20" t="n">
        <v>37</v>
      </c>
      <c r="D110" s="20" t="n">
        <v>36</v>
      </c>
      <c r="E110" s="20" t="n">
        <v>35</v>
      </c>
      <c r="F110" s="20" t="n">
        <v>34</v>
      </c>
      <c r="G110" s="20" t="n">
        <v>36</v>
      </c>
      <c r="H110" s="20" t="n">
        <v>34</v>
      </c>
      <c r="I110" s="20" t="n">
        <v>34</v>
      </c>
      <c r="J110" s="20" t="n">
        <v>33</v>
      </c>
      <c r="K110" s="20" t="n">
        <v>34</v>
      </c>
      <c r="L110" s="20" t="n">
        <v>34</v>
      </c>
      <c r="M110" s="20" t="n">
        <v>27</v>
      </c>
      <c r="N110" s="20" t="n">
        <v>29</v>
      </c>
      <c r="T110" s="20" t="n">
        <v>34</v>
      </c>
      <c r="U110" s="20" t="n">
        <v>29</v>
      </c>
      <c r="V110" s="20" t="n">
        <v>36</v>
      </c>
      <c r="W110" s="20" t="n">
        <v>34</v>
      </c>
      <c r="X110" s="20" t="n">
        <v>34</v>
      </c>
    </row>
    <row r="111">
      <c r="A111" s="18" t="inlineStr">
        <is>
          <t>감가상각비</t>
        </is>
      </c>
      <c r="C111" s="20" t="n">
        <v>56</v>
      </c>
      <c r="D111" s="20" t="n">
        <v>60</v>
      </c>
      <c r="E111" s="20" t="n">
        <v>57</v>
      </c>
      <c r="F111" s="20" t="n">
        <v>58</v>
      </c>
      <c r="G111" s="20" t="n">
        <v>60</v>
      </c>
      <c r="H111" s="20" t="n">
        <v>63</v>
      </c>
      <c r="I111" s="20" t="n">
        <v>56</v>
      </c>
      <c r="J111" s="20" t="n">
        <v>58</v>
      </c>
      <c r="K111" s="20" t="n">
        <v>60</v>
      </c>
      <c r="L111" s="20" t="n">
        <v>67</v>
      </c>
      <c r="M111" s="20" t="n">
        <v>90</v>
      </c>
      <c r="N111" s="20" t="n">
        <v>88</v>
      </c>
      <c r="T111" s="20" t="n">
        <v>54</v>
      </c>
      <c r="U111" s="20" t="n">
        <v>51</v>
      </c>
      <c r="V111" s="20" t="n">
        <v>60</v>
      </c>
      <c r="W111" s="20" t="n">
        <v>63</v>
      </c>
      <c r="X111" s="20" t="n">
        <v>67</v>
      </c>
    </row>
    <row r="112">
      <c r="A112" s="18" t="inlineStr">
        <is>
          <t>연구개발비</t>
        </is>
      </c>
      <c r="C112" s="20" t="n">
        <v>349</v>
      </c>
      <c r="D112" s="20" t="n">
        <v>335</v>
      </c>
      <c r="E112" s="20" t="n">
        <v>351</v>
      </c>
      <c r="F112" s="20" t="n">
        <v>352</v>
      </c>
      <c r="G112" s="20" t="n">
        <v>379</v>
      </c>
      <c r="H112" s="20" t="n">
        <v>399</v>
      </c>
      <c r="I112" s="20" t="n">
        <v>349</v>
      </c>
      <c r="J112" s="20" t="n">
        <v>384</v>
      </c>
      <c r="K112" s="20" t="n">
        <v>423</v>
      </c>
      <c r="L112" s="20" t="n">
        <v>435</v>
      </c>
      <c r="M112" s="20" t="n">
        <v>382</v>
      </c>
      <c r="N112" s="20" t="n">
        <v>443</v>
      </c>
      <c r="T112" s="20" t="n">
        <v>289</v>
      </c>
      <c r="U112" s="20" t="n">
        <v>315</v>
      </c>
      <c r="V112" s="20" t="n">
        <v>335</v>
      </c>
      <c r="W112" s="20" t="n">
        <v>399</v>
      </c>
      <c r="X112" s="20" t="n">
        <v>435</v>
      </c>
    </row>
    <row r="113">
      <c r="A113" s="18" t="inlineStr">
        <is>
          <t>대손충당금 전입</t>
        </is>
      </c>
      <c r="C113" s="20" t="n">
        <v>0</v>
      </c>
      <c r="D113" s="20" t="n">
        <v>0</v>
      </c>
      <c r="E113" s="20" t="n">
        <v>0</v>
      </c>
      <c r="F113" s="20" t="n">
        <v>0</v>
      </c>
      <c r="G113" s="20" t="n">
        <v>0</v>
      </c>
      <c r="H113" s="20" t="n">
        <v>0</v>
      </c>
      <c r="I113" s="20" t="n">
        <v>0</v>
      </c>
      <c r="J113" s="20" t="n">
        <v>0</v>
      </c>
      <c r="M113" s="20" t="n">
        <v>-19</v>
      </c>
      <c r="N113" s="20" t="n">
        <v>0</v>
      </c>
      <c r="T113" s="20" t="n">
        <v>0</v>
      </c>
      <c r="U113" s="20" t="n">
        <v>0</v>
      </c>
      <c r="V113" s="20" t="n">
        <v>0</v>
      </c>
      <c r="W113" s="20" t="n">
        <v>0</v>
      </c>
    </row>
    <row r="114">
      <c r="A114" s="18" t="inlineStr">
        <is>
          <t>기타</t>
        </is>
      </c>
      <c r="C114" s="20" t="n">
        <v>676</v>
      </c>
      <c r="D114" s="20" t="n">
        <v>630</v>
      </c>
      <c r="E114" s="20" t="n">
        <v>632</v>
      </c>
      <c r="F114" s="20" t="n">
        <v>629</v>
      </c>
      <c r="G114" s="20" t="n">
        <v>644</v>
      </c>
      <c r="H114" s="20" t="n">
        <v>734</v>
      </c>
      <c r="I114" s="20" t="n">
        <v>703</v>
      </c>
      <c r="J114" s="20" t="n">
        <v>717</v>
      </c>
      <c r="K114" s="20" t="n">
        <v>697</v>
      </c>
      <c r="L114" s="20" t="n">
        <v>804</v>
      </c>
      <c r="M114" s="20" t="n">
        <v>889</v>
      </c>
      <c r="N114" s="20" t="n">
        <v>1008</v>
      </c>
      <c r="T114" s="20" t="n">
        <v>622</v>
      </c>
      <c r="U114" s="20" t="n">
        <v>579</v>
      </c>
      <c r="V114" s="20" t="n">
        <v>630</v>
      </c>
      <c r="W114" s="20" t="n">
        <v>734</v>
      </c>
      <c r="X114" s="20" t="n">
        <v>804</v>
      </c>
    </row>
    <row r="115">
      <c r="A115" s="18" t="inlineStr">
        <is>
          <t>판매비와 관리비 합계</t>
        </is>
      </c>
      <c r="C115" s="20" t="n">
        <v>2576</v>
      </c>
      <c r="D115" s="20" t="n">
        <v>2545</v>
      </c>
      <c r="E115" s="20" t="n">
        <v>2541</v>
      </c>
      <c r="F115" s="20" t="n">
        <v>2578</v>
      </c>
      <c r="G115" s="20" t="n">
        <v>2674</v>
      </c>
      <c r="H115" s="20" t="n">
        <v>2815</v>
      </c>
      <c r="I115" s="20" t="n">
        <v>2718</v>
      </c>
      <c r="J115" s="20" t="n">
        <v>2812</v>
      </c>
      <c r="K115" s="20" t="n">
        <v>2815</v>
      </c>
      <c r="L115" s="20" t="n">
        <v>3008</v>
      </c>
      <c r="M115" s="20" t="n">
        <v>3223</v>
      </c>
      <c r="N115" s="20" t="n">
        <v>3706</v>
      </c>
      <c r="T115" s="20" t="n">
        <v>2486</v>
      </c>
      <c r="U115" s="20" t="n">
        <v>2416</v>
      </c>
      <c r="V115" s="20" t="n">
        <v>2545</v>
      </c>
      <c r="W115" s="20" t="n">
        <v>2815</v>
      </c>
      <c r="X115" s="20" t="n">
        <v>3008</v>
      </c>
    </row>
    <row r="116">
      <c r="A116" s="9" t="inlineStr">
        <is>
          <t>영업이익</t>
        </is>
      </c>
      <c r="C116" s="12" t="n">
        <v>1272</v>
      </c>
      <c r="D116" s="12" t="n">
        <v>1260</v>
      </c>
      <c r="E116" s="12" t="n">
        <v>1199</v>
      </c>
      <c r="F116" s="12" t="n">
        <v>1123</v>
      </c>
      <c r="G116" s="12" t="n">
        <v>859</v>
      </c>
      <c r="H116" s="12" t="n">
        <v>1383</v>
      </c>
      <c r="I116" s="12" t="n">
        <v>1678</v>
      </c>
      <c r="J116" s="12" t="n">
        <v>1849</v>
      </c>
      <c r="K116" s="12" t="n">
        <v>1158</v>
      </c>
      <c r="L116" s="12" t="n">
        <v>1500</v>
      </c>
      <c r="M116" s="12" t="n">
        <v>2245</v>
      </c>
      <c r="N116" s="12" t="n">
        <v>3073</v>
      </c>
      <c r="T116" s="12" t="n">
        <v>529</v>
      </c>
      <c r="U116" s="12" t="n">
        <v>708</v>
      </c>
      <c r="V116" s="12" t="n">
        <v>1260</v>
      </c>
      <c r="W116" s="12" t="n">
        <v>1383</v>
      </c>
      <c r="X116" s="12" t="n">
        <v>1500</v>
      </c>
    </row>
    <row r="117">
      <c r="A117" s="43" t="inlineStr">
        <is>
          <t>OPM</t>
        </is>
      </c>
      <c r="B117" s="3" t="inlineStr">
        <is>
          <t>영업이익 ÷ 매출</t>
        </is>
      </c>
      <c r="C117" s="15">
        <f>IF(OR(C116="",C99=""),"",IF(C99&lt;=0,"",IFERROR(C116/C99,"")))</f>
        <v/>
      </c>
      <c r="D117" s="15">
        <f>IF(OR(D116="",D99=""),"",IF(D99&lt;=0,"",IFERROR(D116/D99,"")))</f>
        <v/>
      </c>
      <c r="E117" s="15">
        <f>IF(OR(E116="",E99=""),"",IF(E99&lt;=0,"",IFERROR(E116/E99,"")))</f>
        <v/>
      </c>
      <c r="F117" s="15">
        <f>IF(OR(F116="",F99=""),"",IF(F99&lt;=0,"",IFERROR(F116/F99,"")))</f>
        <v/>
      </c>
      <c r="G117" s="15">
        <f>IF(OR(G116="",G99=""),"",IF(G99&lt;=0,"",IFERROR(G116/G99,"")))</f>
        <v/>
      </c>
      <c r="H117" s="15">
        <f>IF(OR(H116="",H99=""),"",IF(H99&lt;=0,"",IFERROR(H116/H99,"")))</f>
        <v/>
      </c>
      <c r="I117" s="15">
        <f>IF(OR(I116="",I99=""),"",IF(I99&lt;=0,"",IFERROR(I116/I99,"")))</f>
        <v/>
      </c>
      <c r="J117" s="15">
        <f>IF(OR(J116="",J99=""),"",IF(J99&lt;=0,"",IFERROR(J116/J99,"")))</f>
        <v/>
      </c>
      <c r="K117" s="15">
        <f>IF(OR(K116="",K99=""),"",IF(K99&lt;=0,"",IFERROR(K116/K99,"")))</f>
        <v/>
      </c>
      <c r="L117" s="15">
        <f>IF(OR(L116="",L99=""),"",IF(L99&lt;=0,"",IFERROR(L116/L99,"")))</f>
        <v/>
      </c>
      <c r="M117" s="15">
        <f>IF(OR(M116="",M99=""),"",IF(M99&lt;=0,"",IFERROR(M116/M99,"")))</f>
        <v/>
      </c>
      <c r="N117" s="15">
        <f>IF(OR(N116="",N99=""),"",IF(N99&lt;=0,"",IFERROR(N116/N99,"")))</f>
        <v/>
      </c>
      <c r="T117" s="15">
        <f>IF(OR(T116="",T99=""),"",IF(T99&lt;=0,"",IFERROR(T116/T99,"")))</f>
        <v/>
      </c>
      <c r="U117" s="15">
        <f>IF(OR(U116="",U99=""),"",IF(U99&lt;=0,"",IFERROR(U116/U99,"")))</f>
        <v/>
      </c>
      <c r="V117" s="15">
        <f>IF(OR(V116="",V99=""),"",IF(V99&lt;=0,"",IFERROR(V116/V99,"")))</f>
        <v/>
      </c>
      <c r="W117" s="15">
        <f>IF(OR(W116="",W99=""),"",IF(W99&lt;=0,"",IFERROR(W116/W99,"")))</f>
        <v/>
      </c>
      <c r="X117" s="15">
        <f>IF(OR(X116="",X99=""),"",IF(X99&lt;=0,"",IFERROR(X116/X99,"")))</f>
        <v/>
      </c>
    </row>
    <row r="118">
      <c r="A118" s="43" t="inlineStr">
        <is>
          <t>YoY</t>
        </is>
      </c>
      <c r="B118" s="3" t="inlineStr">
        <is>
          <t>전년 같은 분기·전년 대비</t>
        </is>
      </c>
      <c r="G118" s="15">
        <f>IF(OR(G116="",C116=""),"",IF(C116&lt;=0,"",IFERROR(G116/C116-1,"")))</f>
        <v/>
      </c>
      <c r="H118" s="15">
        <f>IF(OR(H116="",D116=""),"",IF(D116&lt;=0,"",IFERROR(H116/D116-1,"")))</f>
        <v/>
      </c>
      <c r="I118" s="15">
        <f>IF(OR(I116="",E116=""),"",IF(E116&lt;=0,"",IFERROR(I116/E116-1,"")))</f>
        <v/>
      </c>
      <c r="J118" s="15">
        <f>IF(OR(J116="",F116=""),"",IF(F116&lt;=0,"",IFERROR(J116/F116-1,"")))</f>
        <v/>
      </c>
      <c r="K118" s="15">
        <f>IF(OR(K116="",G116=""),"",IF(G116&lt;=0,"",IFERROR(K116/G116-1,"")))</f>
        <v/>
      </c>
      <c r="L118" s="15">
        <f>IF(OR(L116="",H116=""),"",IF(H116&lt;=0,"",IFERROR(L116/H116-1,"")))</f>
        <v/>
      </c>
      <c r="M118" s="15">
        <f>IF(OR(M116="",I116=""),"",IF(I116&lt;=0,"",IFERROR(M116/I116-1,"")))</f>
        <v/>
      </c>
      <c r="N118" s="15">
        <f>IF(OR(N116="",J116=""),"",IF(J116&lt;=0,"",IFERROR(N116/J116-1,"")))</f>
        <v/>
      </c>
      <c r="T118" s="15">
        <f>IF(OR(T116="",S116=""),"",IF(S116&lt;=0,"",IFERROR(T116/S116-1,"")))</f>
        <v/>
      </c>
      <c r="U118" s="15">
        <f>IF(OR(U116="",T116=""),"",IF(T116&lt;=0,"",IFERROR(U116/T116-1,"")))</f>
        <v/>
      </c>
      <c r="V118" s="15">
        <f>IF(OR(V116="",U116=""),"",IF(U116&lt;=0,"",IFERROR(V116/U116-1,"")))</f>
        <v/>
      </c>
      <c r="W118" s="15">
        <f>IF(OR(W116="",V116=""),"",IF(V116&lt;=0,"",IFERROR(W116/V116-1,"")))</f>
        <v/>
      </c>
      <c r="X118" s="15">
        <f>IF(OR(X116="",W116=""),"",IF(W116&lt;=0,"",IFERROR(X116/W116-1,"")))</f>
        <v/>
      </c>
    </row>
    <row r="119">
      <c r="A119" s="18" t="inlineStr">
        <is>
          <t>이자수익</t>
        </is>
      </c>
      <c r="C119" s="20" t="n">
        <v>0</v>
      </c>
      <c r="D119" s="20" t="n">
        <v>4</v>
      </c>
      <c r="E119" s="20" t="n">
        <v>7</v>
      </c>
      <c r="F119" s="20" t="n">
        <v>11</v>
      </c>
      <c r="G119" s="20" t="n">
        <v>18</v>
      </c>
      <c r="H119" s="20" t="n">
        <v>19</v>
      </c>
      <c r="I119" s="20" t="n">
        <v>22</v>
      </c>
      <c r="J119" s="20" t="n">
        <v>19</v>
      </c>
      <c r="K119" s="20" t="n">
        <v>30</v>
      </c>
      <c r="L119" s="20" t="n">
        <v>21</v>
      </c>
      <c r="M119" s="20" t="n">
        <v>12</v>
      </c>
      <c r="N119" s="20" t="n">
        <v>3</v>
      </c>
      <c r="T119" s="20" t="n">
        <v>0</v>
      </c>
      <c r="U119" s="20" t="n">
        <v>4</v>
      </c>
      <c r="V119" s="20" t="n">
        <v>4</v>
      </c>
      <c r="W119" s="20" t="n">
        <v>19</v>
      </c>
      <c r="X119" s="20" t="n">
        <v>21</v>
      </c>
    </row>
    <row r="120">
      <c r="A120" s="18" t="inlineStr">
        <is>
          <t>배당금수익</t>
        </is>
      </c>
      <c r="C120" s="20" t="n">
        <v>78</v>
      </c>
      <c r="D120" s="20" t="n">
        <v>74</v>
      </c>
      <c r="E120" s="20" t="n">
        <v>80</v>
      </c>
      <c r="F120" s="20" t="n">
        <v>98</v>
      </c>
      <c r="G120" s="20" t="n">
        <v>89</v>
      </c>
      <c r="H120" s="20" t="n">
        <v>77</v>
      </c>
      <c r="I120" s="20" t="n">
        <v>100</v>
      </c>
      <c r="J120" s="20" t="n">
        <v>54</v>
      </c>
      <c r="K120" s="20" t="n">
        <v>94</v>
      </c>
      <c r="L120" s="20" t="n">
        <v>55</v>
      </c>
      <c r="M120" s="20" t="n">
        <v>114</v>
      </c>
      <c r="N120" s="20" t="n">
        <v>71</v>
      </c>
      <c r="T120" s="20" t="n">
        <v>65</v>
      </c>
      <c r="U120" s="20" t="n">
        <v>74</v>
      </c>
      <c r="V120" s="20" t="n">
        <v>74</v>
      </c>
      <c r="W120" s="20" t="n">
        <v>77</v>
      </c>
      <c r="X120" s="20" t="n">
        <v>55</v>
      </c>
    </row>
    <row r="121">
      <c r="A121" s="18" t="inlineStr">
        <is>
          <t>외환차익</t>
        </is>
      </c>
      <c r="C121" s="20" t="n">
        <v>36</v>
      </c>
      <c r="D121" s="20" t="n">
        <v>-50</v>
      </c>
      <c r="E121" s="20" t="n">
        <v>83</v>
      </c>
      <c r="F121" s="20" t="n">
        <v>91</v>
      </c>
      <c r="G121" s="20" t="n">
        <v>-174</v>
      </c>
      <c r="H121" s="20" t="n">
        <v>145</v>
      </c>
      <c r="I121" s="20" t="n">
        <v>0</v>
      </c>
      <c r="J121" s="20" t="n">
        <v>0</v>
      </c>
      <c r="M121" s="20" t="n">
        <v>31</v>
      </c>
      <c r="N121" s="20" t="n">
        <v>17</v>
      </c>
      <c r="T121" s="20" t="n">
        <v>19</v>
      </c>
      <c r="U121" s="20" t="n">
        <v>-107</v>
      </c>
      <c r="V121" s="20" t="n">
        <v>-50</v>
      </c>
      <c r="W121" s="20" t="n">
        <v>145</v>
      </c>
    </row>
    <row r="122">
      <c r="A122" s="18" t="inlineStr">
        <is>
          <t>보조금 수입</t>
        </is>
      </c>
      <c r="T122" s="20" t="n">
        <v>9</v>
      </c>
      <c r="U122" s="20" t="n">
        <v>6</v>
      </c>
    </row>
    <row r="123">
      <c r="A123" s="18" t="inlineStr">
        <is>
          <t>보조금 수입</t>
        </is>
      </c>
      <c r="E123" s="20" t="n">
        <v>0</v>
      </c>
    </row>
    <row r="124">
      <c r="A124" s="18" t="inlineStr">
        <is>
          <t>잡이익</t>
        </is>
      </c>
      <c r="C124" s="20" t="n">
        <v>21</v>
      </c>
      <c r="D124" s="20" t="n">
        <v>31</v>
      </c>
      <c r="E124" s="20" t="n">
        <v>26</v>
      </c>
      <c r="F124" s="20" t="n">
        <v>34</v>
      </c>
      <c r="G124" s="20" t="n">
        <v>13</v>
      </c>
      <c r="H124" s="20" t="n">
        <v>34</v>
      </c>
      <c r="I124" s="20" t="n">
        <v>23</v>
      </c>
      <c r="J124" s="20" t="n">
        <v>25</v>
      </c>
      <c r="K124" s="20" t="n">
        <v>9</v>
      </c>
      <c r="L124" s="20" t="n">
        <v>22</v>
      </c>
      <c r="M124" s="20" t="n">
        <v>46</v>
      </c>
      <c r="N124" s="20" t="n">
        <v>23</v>
      </c>
      <c r="T124" s="20" t="n">
        <v>39</v>
      </c>
      <c r="U124" s="20" t="n">
        <v>49</v>
      </c>
      <c r="V124" s="20" t="n">
        <v>31</v>
      </c>
      <c r="W124" s="20" t="n">
        <v>34</v>
      </c>
      <c r="X124" s="20" t="n">
        <v>22</v>
      </c>
    </row>
    <row r="125">
      <c r="A125" s="18" t="inlineStr">
        <is>
          <t>영업외수익 합계</t>
        </is>
      </c>
      <c r="C125" s="20" t="n">
        <v>135</v>
      </c>
      <c r="D125" s="20" t="n">
        <v>59</v>
      </c>
      <c r="E125" s="20" t="n">
        <v>198</v>
      </c>
      <c r="F125" s="20" t="n">
        <v>234</v>
      </c>
      <c r="G125" s="20" t="n">
        <v>-55</v>
      </c>
      <c r="H125" s="20" t="n">
        <v>276</v>
      </c>
      <c r="I125" s="20" t="n">
        <v>146</v>
      </c>
      <c r="J125" s="20" t="n">
        <v>98</v>
      </c>
      <c r="K125" s="20" t="n">
        <v>133</v>
      </c>
      <c r="L125" s="20" t="n">
        <v>98</v>
      </c>
      <c r="M125" s="20" t="n">
        <v>204</v>
      </c>
      <c r="N125" s="20" t="n">
        <v>115</v>
      </c>
      <c r="T125" s="20" t="n">
        <v>132</v>
      </c>
      <c r="U125" s="20" t="n">
        <v>21</v>
      </c>
      <c r="V125" s="20" t="n">
        <v>59</v>
      </c>
      <c r="W125" s="20" t="n">
        <v>276</v>
      </c>
      <c r="X125" s="20" t="n">
        <v>98</v>
      </c>
    </row>
    <row r="126">
      <c r="A126" s="18" t="inlineStr">
        <is>
          <t>이자비용</t>
        </is>
      </c>
      <c r="C126" s="20" t="n">
        <v>5</v>
      </c>
      <c r="D126" s="20" t="n">
        <v>4</v>
      </c>
      <c r="E126" s="20" t="n">
        <v>4</v>
      </c>
      <c r="F126" s="20" t="n">
        <v>8</v>
      </c>
      <c r="G126" s="20" t="n">
        <v>8</v>
      </c>
      <c r="H126" s="20" t="n">
        <v>11</v>
      </c>
      <c r="I126" s="20" t="n">
        <v>12</v>
      </c>
      <c r="J126" s="20" t="n">
        <v>15</v>
      </c>
      <c r="K126" s="20" t="n">
        <v>16</v>
      </c>
      <c r="L126" s="20" t="n">
        <v>15</v>
      </c>
      <c r="M126" s="20" t="n">
        <v>40</v>
      </c>
      <c r="N126" s="20" t="n">
        <v>59</v>
      </c>
      <c r="T126" s="20" t="n">
        <v>19</v>
      </c>
      <c r="U126" s="20" t="n">
        <v>4</v>
      </c>
      <c r="V126" s="20" t="n">
        <v>4</v>
      </c>
      <c r="W126" s="20" t="n">
        <v>11</v>
      </c>
      <c r="X126" s="20" t="n">
        <v>15</v>
      </c>
    </row>
    <row r="127">
      <c r="A127" s="18" t="inlineStr">
        <is>
          <t>외환차손</t>
        </is>
      </c>
      <c r="E127" s="20" t="n">
        <v>0</v>
      </c>
      <c r="F127" s="20" t="n">
        <v>0</v>
      </c>
      <c r="G127" s="20" t="n">
        <v>3</v>
      </c>
      <c r="H127" s="20" t="n">
        <v>-3</v>
      </c>
      <c r="I127" s="20" t="n">
        <v>88</v>
      </c>
      <c r="J127" s="20" t="n">
        <v>42</v>
      </c>
      <c r="K127" s="20" t="n">
        <v>-39</v>
      </c>
      <c r="L127" s="20" t="n">
        <v>-76</v>
      </c>
      <c r="M127" s="20" t="n">
        <v>0</v>
      </c>
      <c r="N127" s="20" t="n">
        <v>0</v>
      </c>
      <c r="W127" s="20" t="n">
        <v>-3</v>
      </c>
      <c r="X127" s="20" t="n">
        <v>-76</v>
      </c>
    </row>
    <row r="128">
      <c r="A128" s="18" t="inlineStr">
        <is>
          <t>지급수수료</t>
        </is>
      </c>
      <c r="C128" s="20" t="n">
        <v>5</v>
      </c>
      <c r="D128" s="20" t="n">
        <v>3</v>
      </c>
      <c r="E128" s="20" t="n">
        <v>22</v>
      </c>
      <c r="F128" s="20" t="n">
        <v>6</v>
      </c>
      <c r="G128" s="20" t="n">
        <v>17</v>
      </c>
      <c r="H128" s="20" t="n">
        <v>6</v>
      </c>
      <c r="I128" s="20" t="n">
        <v>34</v>
      </c>
      <c r="J128" s="20" t="n">
        <v>72</v>
      </c>
      <c r="K128" s="20" t="n">
        <v>14</v>
      </c>
      <c r="L128" s="20" t="n">
        <v>4</v>
      </c>
      <c r="M128" s="20" t="n">
        <v>187</v>
      </c>
      <c r="N128" s="20" t="n">
        <v>-149</v>
      </c>
      <c r="T128" s="20" t="n">
        <v>2</v>
      </c>
      <c r="U128" s="20" t="n">
        <v>3</v>
      </c>
      <c r="V128" s="20" t="n">
        <v>3</v>
      </c>
      <c r="W128" s="20" t="n">
        <v>6</v>
      </c>
      <c r="X128" s="20" t="n">
        <v>4</v>
      </c>
    </row>
    <row r="129">
      <c r="A129" s="18" t="inlineStr">
        <is>
          <t>잡손실</t>
        </is>
      </c>
      <c r="C129" s="20" t="n">
        <v>6</v>
      </c>
      <c r="D129" s="20" t="n">
        <v>1</v>
      </c>
      <c r="E129" s="20" t="n">
        <v>5</v>
      </c>
      <c r="F129" s="20" t="n">
        <v>5</v>
      </c>
      <c r="G129" s="20" t="n">
        <v>4</v>
      </c>
      <c r="H129" s="20" t="n">
        <v>10</v>
      </c>
      <c r="I129" s="20" t="n">
        <v>7</v>
      </c>
      <c r="J129" s="20" t="n">
        <v>7</v>
      </c>
      <c r="K129" s="20" t="n">
        <v>8</v>
      </c>
      <c r="L129" s="20" t="n">
        <v>11</v>
      </c>
      <c r="M129" s="20" t="n">
        <v>5</v>
      </c>
      <c r="N129" s="20" t="n">
        <v>47</v>
      </c>
      <c r="T129" s="20" t="n">
        <v>16</v>
      </c>
      <c r="U129" s="20" t="n">
        <v>6</v>
      </c>
      <c r="V129" s="20" t="n">
        <v>1</v>
      </c>
      <c r="W129" s="20" t="n">
        <v>10</v>
      </c>
      <c r="X129" s="20" t="n">
        <v>11</v>
      </c>
    </row>
    <row r="130">
      <c r="A130" s="18" t="inlineStr">
        <is>
          <t>영업외비용 합계</t>
        </is>
      </c>
      <c r="C130" s="20" t="n">
        <v>15</v>
      </c>
      <c r="D130" s="20" t="n">
        <v>8</v>
      </c>
      <c r="E130" s="20" t="n">
        <v>32</v>
      </c>
      <c r="F130" s="20" t="n">
        <v>19</v>
      </c>
      <c r="G130" s="20" t="n">
        <v>34</v>
      </c>
      <c r="H130" s="20" t="n">
        <v>22</v>
      </c>
      <c r="I130" s="20" t="n">
        <v>142</v>
      </c>
      <c r="J130" s="20" t="n">
        <v>137</v>
      </c>
      <c r="K130" s="20" t="n">
        <v>-1</v>
      </c>
      <c r="L130" s="20" t="n">
        <v>-46</v>
      </c>
      <c r="M130" s="20" t="n">
        <v>233</v>
      </c>
      <c r="N130" s="20" t="n">
        <v>-43</v>
      </c>
      <c r="T130" s="20" t="n">
        <v>37</v>
      </c>
      <c r="U130" s="20" t="n">
        <v>13</v>
      </c>
      <c r="V130" s="20" t="n">
        <v>8</v>
      </c>
      <c r="W130" s="20" t="n">
        <v>22</v>
      </c>
      <c r="X130" s="20" t="n">
        <v>-46</v>
      </c>
    </row>
    <row r="131">
      <c r="A131" s="9" t="inlineStr">
        <is>
          <t>경상이익</t>
        </is>
      </c>
      <c r="C131" s="12" t="n">
        <v>1391</v>
      </c>
      <c r="D131" s="12" t="n">
        <v>1312</v>
      </c>
      <c r="E131" s="12" t="n">
        <v>1365</v>
      </c>
      <c r="F131" s="12" t="n">
        <v>1339</v>
      </c>
      <c r="G131" s="12" t="n">
        <v>769</v>
      </c>
      <c r="H131" s="12" t="n">
        <v>1638</v>
      </c>
      <c r="I131" s="12" t="n">
        <v>1682</v>
      </c>
      <c r="J131" s="12" t="n">
        <v>1811</v>
      </c>
      <c r="K131" s="12" t="n">
        <v>1291</v>
      </c>
      <c r="L131" s="12" t="n">
        <v>1644</v>
      </c>
      <c r="M131" s="12" t="n">
        <v>2215</v>
      </c>
      <c r="N131" s="12" t="n">
        <v>3232</v>
      </c>
      <c r="T131" s="12" t="n">
        <v>624</v>
      </c>
      <c r="U131" s="12" t="n">
        <v>717</v>
      </c>
      <c r="V131" s="12" t="n">
        <v>1312</v>
      </c>
      <c r="W131" s="12" t="n">
        <v>1638</v>
      </c>
      <c r="X131" s="12" t="n">
        <v>1644</v>
      </c>
    </row>
    <row r="132">
      <c r="A132" s="43" t="inlineStr">
        <is>
          <t>YoY</t>
        </is>
      </c>
      <c r="B132" s="3" t="inlineStr">
        <is>
          <t>전년 같은 분기·전년 대비</t>
        </is>
      </c>
      <c r="G132" s="15">
        <f>IF(OR(G131="",C131=""),"",IF(C131&lt;=0,"",IFERROR(G131/C131-1,"")))</f>
        <v/>
      </c>
      <c r="H132" s="15">
        <f>IF(OR(H131="",D131=""),"",IF(D131&lt;=0,"",IFERROR(H131/D131-1,"")))</f>
        <v/>
      </c>
      <c r="I132" s="15">
        <f>IF(OR(I131="",E131=""),"",IF(E131&lt;=0,"",IFERROR(I131/E131-1,"")))</f>
        <v/>
      </c>
      <c r="J132" s="15">
        <f>IF(OR(J131="",F131=""),"",IF(F131&lt;=0,"",IFERROR(J131/F131-1,"")))</f>
        <v/>
      </c>
      <c r="K132" s="15">
        <f>IF(OR(K131="",G131=""),"",IF(G131&lt;=0,"",IFERROR(K131/G131-1,"")))</f>
        <v/>
      </c>
      <c r="L132" s="15">
        <f>IF(OR(L131="",H131=""),"",IF(H131&lt;=0,"",IFERROR(L131/H131-1,"")))</f>
        <v/>
      </c>
      <c r="M132" s="15">
        <f>IF(OR(M131="",I131=""),"",IF(I131&lt;=0,"",IFERROR(M131/I131-1,"")))</f>
        <v/>
      </c>
      <c r="N132" s="15">
        <f>IF(OR(N131="",J131=""),"",IF(J131&lt;=0,"",IFERROR(N131/J131-1,"")))</f>
        <v/>
      </c>
      <c r="T132" s="15">
        <f>IF(OR(T131="",S131=""),"",IF(S131&lt;=0,"",IFERROR(T131/S131-1,"")))</f>
        <v/>
      </c>
      <c r="U132" s="15">
        <f>IF(OR(U131="",T131=""),"",IF(T131&lt;=0,"",IFERROR(U131/T131-1,"")))</f>
        <v/>
      </c>
      <c r="V132" s="15">
        <f>IF(OR(V131="",U131=""),"",IF(U131&lt;=0,"",IFERROR(V131/U131-1,"")))</f>
        <v/>
      </c>
      <c r="W132" s="15">
        <f>IF(OR(W131="",V131=""),"",IF(V131&lt;=0,"",IFERROR(W131/V131-1,"")))</f>
        <v/>
      </c>
      <c r="X132" s="15">
        <f>IF(OR(X131="",W131=""),"",IF(W131&lt;=0,"",IFERROR(X131/W131-1,"")))</f>
        <v/>
      </c>
    </row>
    <row r="133">
      <c r="A133" s="18" t="inlineStr">
        <is>
          <t>고정자산 매각이익</t>
        </is>
      </c>
      <c r="C133" s="20" t="n">
        <v>0</v>
      </c>
      <c r="D133" s="20" t="n">
        <v>4</v>
      </c>
      <c r="E133" s="20" t="n">
        <v>0</v>
      </c>
      <c r="F133" s="20" t="n">
        <v>876</v>
      </c>
      <c r="G133" s="20" t="n">
        <v>3</v>
      </c>
      <c r="H133" s="20" t="n">
        <v>0</v>
      </c>
      <c r="I133" s="20" t="n">
        <v>0</v>
      </c>
      <c r="J133" s="20" t="n">
        <v>0</v>
      </c>
      <c r="K133" s="20" t="n">
        <v>0</v>
      </c>
      <c r="L133" s="20" t="n">
        <v>20</v>
      </c>
      <c r="M133" s="20" t="n">
        <v>0</v>
      </c>
      <c r="N133" s="20" t="n">
        <v>4</v>
      </c>
      <c r="T133" s="20" t="n">
        <v>-1</v>
      </c>
      <c r="U133" s="20" t="n">
        <v>1541</v>
      </c>
      <c r="V133" s="20" t="n">
        <v>4</v>
      </c>
      <c r="W133" s="20" t="n">
        <v>0</v>
      </c>
      <c r="X133" s="20" t="n">
        <v>20</v>
      </c>
    </row>
    <row r="134">
      <c r="A134" s="18" t="inlineStr">
        <is>
          <t>투자유가증권 매각이익</t>
        </is>
      </c>
      <c r="C134" s="20" t="n">
        <v>0</v>
      </c>
      <c r="D134" s="20" t="n">
        <v>0</v>
      </c>
      <c r="G134" s="20" t="n">
        <v>793</v>
      </c>
      <c r="H134" s="20" t="n">
        <v>1623</v>
      </c>
      <c r="L134" s="20" t="n">
        <v>0</v>
      </c>
      <c r="T134" s="20" t="n">
        <v>0</v>
      </c>
      <c r="U134" s="20" t="n">
        <v>0</v>
      </c>
      <c r="V134" s="20" t="n">
        <v>0</v>
      </c>
      <c r="W134" s="20" t="n">
        <v>1623</v>
      </c>
      <c r="X134" s="20" t="n">
        <v>0</v>
      </c>
    </row>
    <row r="135">
      <c r="A135" s="18" t="inlineStr">
        <is>
          <t>특별이익 합계</t>
        </is>
      </c>
      <c r="C135" s="20" t="n">
        <v>1</v>
      </c>
      <c r="D135" s="20" t="n">
        <v>4</v>
      </c>
      <c r="E135" s="20" t="n">
        <v>0</v>
      </c>
      <c r="F135" s="20" t="n">
        <v>876</v>
      </c>
      <c r="G135" s="20" t="n">
        <v>796</v>
      </c>
      <c r="H135" s="20" t="n">
        <v>1623</v>
      </c>
      <c r="I135" s="20" t="n">
        <v>0</v>
      </c>
      <c r="J135" s="20" t="n">
        <v>0</v>
      </c>
      <c r="K135" s="20" t="n">
        <v>0</v>
      </c>
      <c r="L135" s="20" t="n">
        <v>20</v>
      </c>
      <c r="M135" s="20" t="n">
        <v>0</v>
      </c>
      <c r="N135" s="20" t="n">
        <v>4</v>
      </c>
      <c r="T135" s="20" t="n">
        <v>0</v>
      </c>
      <c r="U135" s="20" t="n">
        <v>1541</v>
      </c>
      <c r="V135" s="20" t="n">
        <v>4</v>
      </c>
      <c r="W135" s="20" t="n">
        <v>1623</v>
      </c>
      <c r="X135" s="20" t="n">
        <v>20</v>
      </c>
    </row>
    <row r="136">
      <c r="A136" s="18" t="inlineStr">
        <is>
          <t>고정자산 제각·매각손실</t>
        </is>
      </c>
      <c r="C136" s="20" t="n">
        <v>38</v>
      </c>
      <c r="D136" s="20" t="n">
        <v>29</v>
      </c>
      <c r="E136" s="20" t="n">
        <v>75</v>
      </c>
      <c r="F136" s="20" t="n">
        <v>23</v>
      </c>
      <c r="G136" s="20" t="n">
        <v>19</v>
      </c>
      <c r="H136" s="20" t="n">
        <v>81</v>
      </c>
      <c r="I136" s="20" t="n">
        <v>31</v>
      </c>
      <c r="J136" s="20" t="n">
        <v>15</v>
      </c>
      <c r="K136" s="20" t="n">
        <v>15</v>
      </c>
      <c r="L136" s="20" t="n">
        <v>85</v>
      </c>
      <c r="M136" s="20" t="n">
        <v>25</v>
      </c>
      <c r="N136" s="20" t="n">
        <v>31</v>
      </c>
      <c r="T136" s="20" t="n">
        <v>89</v>
      </c>
      <c r="U136" s="20" t="n">
        <v>52</v>
      </c>
      <c r="V136" s="20" t="n">
        <v>29</v>
      </c>
      <c r="W136" s="20" t="n">
        <v>81</v>
      </c>
      <c r="X136" s="20" t="n">
        <v>85</v>
      </c>
    </row>
    <row r="137">
      <c r="A137" s="18" t="inlineStr">
        <is>
          <t>투자유가증권 매각손실</t>
        </is>
      </c>
      <c r="C137" s="20" t="n">
        <v>0</v>
      </c>
      <c r="D137" s="20" t="n">
        <v>0</v>
      </c>
      <c r="G137" s="20" t="n">
        <v>0</v>
      </c>
      <c r="H137" s="20" t="n">
        <v>0</v>
      </c>
      <c r="U137" s="20" t="n">
        <v>0</v>
      </c>
      <c r="V137" s="20" t="n">
        <v>0</v>
      </c>
      <c r="W137" s="20" t="n">
        <v>0</v>
      </c>
    </row>
    <row r="138">
      <c r="A138" s="18" t="inlineStr">
        <is>
          <t>특별퇴직금</t>
        </is>
      </c>
      <c r="C138" s="20" t="n">
        <v>0</v>
      </c>
      <c r="D138" s="20" t="n">
        <v>0</v>
      </c>
      <c r="G138" s="20" t="n">
        <v>0</v>
      </c>
      <c r="H138" s="20" t="n">
        <v>0</v>
      </c>
      <c r="I138" s="20" t="n">
        <v>0</v>
      </c>
      <c r="J138" s="20" t="n">
        <v>0</v>
      </c>
      <c r="M138" s="20" t="n">
        <v>25</v>
      </c>
      <c r="N138" s="20" t="n">
        <v>1</v>
      </c>
      <c r="T138" s="20" t="n">
        <v>0</v>
      </c>
      <c r="U138" s="20" t="n">
        <v>1</v>
      </c>
      <c r="V138" s="20" t="n">
        <v>0</v>
      </c>
      <c r="W138" s="20" t="n">
        <v>0</v>
      </c>
    </row>
    <row r="139">
      <c r="A139" s="18" t="inlineStr">
        <is>
          <t>Plant Relocation Expense EL</t>
        </is>
      </c>
      <c r="C139" s="20" t="n">
        <v>0</v>
      </c>
      <c r="D139" s="20" t="n">
        <v>0</v>
      </c>
      <c r="E139" s="20" t="n">
        <v>130</v>
      </c>
      <c r="F139" s="20" t="n">
        <v>0</v>
      </c>
      <c r="G139" s="20" t="n">
        <v>0</v>
      </c>
      <c r="H139" s="20" t="n">
        <v>0</v>
      </c>
      <c r="I139" s="20" t="n">
        <v>0</v>
      </c>
      <c r="J139" s="20" t="n">
        <v>0</v>
      </c>
      <c r="K139" s="20" t="n">
        <v>0</v>
      </c>
      <c r="L139" s="20" t="n">
        <v>0</v>
      </c>
      <c r="V139" s="20" t="n">
        <v>0</v>
      </c>
      <c r="W139" s="20" t="n">
        <v>0</v>
      </c>
      <c r="X139" s="20" t="n">
        <v>0</v>
      </c>
    </row>
    <row r="140">
      <c r="A140" s="18" t="inlineStr">
        <is>
          <t>특별손실 합계</t>
        </is>
      </c>
      <c r="C140" s="20" t="n">
        <v>38</v>
      </c>
      <c r="D140" s="20" t="n">
        <v>29</v>
      </c>
      <c r="E140" s="20" t="n">
        <v>206</v>
      </c>
      <c r="F140" s="20" t="n">
        <v>23</v>
      </c>
      <c r="G140" s="20" t="n">
        <v>19</v>
      </c>
      <c r="H140" s="20" t="n">
        <v>2158</v>
      </c>
      <c r="I140" s="20" t="n">
        <v>31</v>
      </c>
      <c r="J140" s="20" t="n">
        <v>15</v>
      </c>
      <c r="K140" s="20" t="n">
        <v>15</v>
      </c>
      <c r="L140" s="20" t="n">
        <v>1185</v>
      </c>
      <c r="M140" s="20" t="n">
        <v>51</v>
      </c>
      <c r="N140" s="20" t="n">
        <v>31</v>
      </c>
      <c r="T140" s="20" t="n">
        <v>858</v>
      </c>
      <c r="U140" s="20" t="n">
        <v>482</v>
      </c>
      <c r="V140" s="20" t="n">
        <v>29</v>
      </c>
      <c r="W140" s="20" t="n">
        <v>2158</v>
      </c>
      <c r="X140" s="20" t="n">
        <v>1185</v>
      </c>
    </row>
    <row r="141">
      <c r="A141" s="9" t="inlineStr">
        <is>
          <t>법인세차감전 순이익</t>
        </is>
      </c>
      <c r="C141" s="12" t="n">
        <v>1353</v>
      </c>
      <c r="D141" s="12" t="n">
        <v>1286</v>
      </c>
      <c r="E141" s="12" t="n">
        <v>1160</v>
      </c>
      <c r="F141" s="12" t="n">
        <v>2190</v>
      </c>
      <c r="G141" s="12" t="n">
        <v>1548</v>
      </c>
      <c r="H141" s="12" t="n">
        <v>1102</v>
      </c>
      <c r="I141" s="12" t="n">
        <v>1651</v>
      </c>
      <c r="J141" s="12" t="n">
        <v>1796</v>
      </c>
      <c r="K141" s="12" t="n">
        <v>1276</v>
      </c>
      <c r="L141" s="12" t="n">
        <v>478</v>
      </c>
      <c r="M141" s="12" t="n">
        <v>2165</v>
      </c>
      <c r="N141" s="12" t="n">
        <v>3204</v>
      </c>
      <c r="T141" s="12" t="n">
        <v>-233</v>
      </c>
      <c r="U141" s="12" t="n">
        <v>1776</v>
      </c>
      <c r="V141" s="12" t="n">
        <v>1286</v>
      </c>
      <c r="W141" s="12" t="n">
        <v>1102</v>
      </c>
      <c r="X141" s="12" t="n">
        <v>478</v>
      </c>
    </row>
    <row r="142">
      <c r="A142" s="18" t="inlineStr">
        <is>
          <t>법인세·주민세·사업세</t>
        </is>
      </c>
      <c r="C142" s="20" t="n">
        <v>568</v>
      </c>
      <c r="D142" s="20" t="n">
        <v>78</v>
      </c>
      <c r="E142" s="20" t="n">
        <v>497</v>
      </c>
      <c r="F142" s="20" t="n">
        <v>486</v>
      </c>
      <c r="G142" s="20" t="n">
        <v>784</v>
      </c>
      <c r="H142" s="20" t="n">
        <v>288</v>
      </c>
      <c r="I142" s="20" t="n">
        <v>371</v>
      </c>
      <c r="J142" s="20" t="n">
        <v>242</v>
      </c>
      <c r="K142" s="20" t="n">
        <v>573</v>
      </c>
      <c r="L142" s="20" t="n">
        <v>235</v>
      </c>
      <c r="M142" s="20" t="n">
        <v>849</v>
      </c>
      <c r="N142" s="20" t="n">
        <v>671</v>
      </c>
      <c r="T142" s="20" t="n">
        <v>-146</v>
      </c>
      <c r="U142" s="20" t="n">
        <v>276</v>
      </c>
      <c r="V142" s="20" t="n">
        <v>78</v>
      </c>
      <c r="W142" s="20" t="n">
        <v>288</v>
      </c>
      <c r="X142" s="20" t="n">
        <v>235</v>
      </c>
    </row>
    <row r="143">
      <c r="A143" s="18" t="inlineStr">
        <is>
          <t>법인세 조정액</t>
        </is>
      </c>
      <c r="C143" s="20" t="n">
        <v>-214</v>
      </c>
      <c r="D143" s="20" t="n">
        <v>194</v>
      </c>
      <c r="E143" s="20" t="n">
        <v>-194</v>
      </c>
      <c r="F143" s="20" t="n">
        <v>141</v>
      </c>
      <c r="G143" s="20" t="n">
        <v>-329</v>
      </c>
      <c r="H143" s="20" t="n">
        <v>-36</v>
      </c>
      <c r="I143" s="20" t="n">
        <v>27</v>
      </c>
      <c r="J143" s="20" t="n">
        <v>251</v>
      </c>
      <c r="K143" s="20" t="n">
        <v>-228</v>
      </c>
      <c r="L143" s="20" t="n">
        <v>-88</v>
      </c>
      <c r="M143" s="20" t="n">
        <v>-151</v>
      </c>
      <c r="N143" s="20" t="n">
        <v>276</v>
      </c>
      <c r="T143" s="20" t="n">
        <v>190</v>
      </c>
      <c r="U143" s="20" t="n">
        <v>273</v>
      </c>
      <c r="V143" s="20" t="n">
        <v>194</v>
      </c>
      <c r="W143" s="20" t="n">
        <v>-36</v>
      </c>
      <c r="X143" s="20" t="n">
        <v>-88</v>
      </c>
    </row>
    <row r="144">
      <c r="A144" s="18" t="inlineStr">
        <is>
          <t>법인세 등 합계</t>
        </is>
      </c>
      <c r="C144" s="20" t="n">
        <v>353</v>
      </c>
      <c r="D144" s="20" t="n">
        <v>273</v>
      </c>
      <c r="E144" s="20" t="n">
        <v>302</v>
      </c>
      <c r="F144" s="20" t="n">
        <v>628</v>
      </c>
      <c r="G144" s="20" t="n">
        <v>455</v>
      </c>
      <c r="H144" s="20" t="n">
        <v>251</v>
      </c>
      <c r="I144" s="20" t="n">
        <v>398</v>
      </c>
      <c r="J144" s="20" t="n">
        <v>494</v>
      </c>
      <c r="K144" s="20" t="n">
        <v>344</v>
      </c>
      <c r="L144" s="20" t="n">
        <v>147</v>
      </c>
      <c r="M144" s="20" t="n">
        <v>698</v>
      </c>
      <c r="N144" s="20" t="n">
        <v>948</v>
      </c>
      <c r="T144" s="20" t="n">
        <v>44</v>
      </c>
      <c r="U144" s="20" t="n">
        <v>551</v>
      </c>
      <c r="V144" s="20" t="n">
        <v>273</v>
      </c>
      <c r="W144" s="20" t="n">
        <v>251</v>
      </c>
      <c r="X144" s="20" t="n">
        <v>147</v>
      </c>
    </row>
    <row r="145">
      <c r="A145" s="9" t="inlineStr">
        <is>
          <t>순이익</t>
        </is>
      </c>
      <c r="C145" s="12" t="n">
        <v>999</v>
      </c>
      <c r="D145" s="12" t="n">
        <v>1014</v>
      </c>
      <c r="E145" s="12" t="n">
        <v>857</v>
      </c>
      <c r="F145" s="12" t="n">
        <v>1563</v>
      </c>
      <c r="G145" s="12" t="n">
        <v>1093</v>
      </c>
      <c r="H145" s="12" t="n">
        <v>851</v>
      </c>
      <c r="I145" s="12" t="n">
        <v>1252</v>
      </c>
      <c r="J145" s="12" t="n">
        <v>1302</v>
      </c>
      <c r="K145" s="12" t="n">
        <v>932</v>
      </c>
      <c r="L145" s="12" t="n">
        <v>332</v>
      </c>
      <c r="M145" s="12" t="n">
        <v>1466</v>
      </c>
      <c r="N145" s="12" t="n">
        <v>2256</v>
      </c>
      <c r="T145" s="12" t="n">
        <v>-277</v>
      </c>
      <c r="U145" s="12" t="n">
        <v>1225</v>
      </c>
      <c r="V145" s="12" t="n">
        <v>1014</v>
      </c>
      <c r="W145" s="12" t="n">
        <v>851</v>
      </c>
      <c r="X145" s="12" t="n">
        <v>332</v>
      </c>
    </row>
    <row r="146">
      <c r="A146" s="43" t="inlineStr">
        <is>
          <t>YoY</t>
        </is>
      </c>
      <c r="B146" s="3" t="inlineStr">
        <is>
          <t>전년 같은 분기·전년 대비</t>
        </is>
      </c>
      <c r="G146" s="15">
        <f>IF(OR(G145="",C145=""),"",IF(C145&lt;=0,"",IFERROR(G145/C145-1,"")))</f>
        <v/>
      </c>
      <c r="H146" s="15">
        <f>IF(OR(H145="",D145=""),"",IF(D145&lt;=0,"",IFERROR(H145/D145-1,"")))</f>
        <v/>
      </c>
      <c r="I146" s="15">
        <f>IF(OR(I145="",E145=""),"",IF(E145&lt;=0,"",IFERROR(I145/E145-1,"")))</f>
        <v/>
      </c>
      <c r="J146" s="15">
        <f>IF(OR(J145="",F145=""),"",IF(F145&lt;=0,"",IFERROR(J145/F145-1,"")))</f>
        <v/>
      </c>
      <c r="K146" s="15">
        <f>IF(OR(K145="",G145=""),"",IF(G145&lt;=0,"",IFERROR(K145/G145-1,"")))</f>
        <v/>
      </c>
      <c r="L146" s="15">
        <f>IF(OR(L145="",H145=""),"",IF(H145&lt;=0,"",IFERROR(L145/H145-1,"")))</f>
        <v/>
      </c>
      <c r="M146" s="15">
        <f>IF(OR(M145="",I145=""),"",IF(I145&lt;=0,"",IFERROR(M145/I145-1,"")))</f>
        <v/>
      </c>
      <c r="N146" s="15">
        <f>IF(OR(N145="",J145=""),"",IF(J145&lt;=0,"",IFERROR(N145/J145-1,"")))</f>
        <v/>
      </c>
      <c r="T146" s="15">
        <f>IF(OR(T145="",S145=""),"",IF(S145&lt;=0,"",IFERROR(T145/S145-1,"")))</f>
        <v/>
      </c>
      <c r="U146" s="15">
        <f>IF(OR(U145="",T145=""),"",IF(T145&lt;=0,"",IFERROR(U145/T145-1,"")))</f>
        <v/>
      </c>
      <c r="V146" s="15">
        <f>IF(OR(V145="",U145=""),"",IF(U145&lt;=0,"",IFERROR(V145/U145-1,"")))</f>
        <v/>
      </c>
      <c r="W146" s="15">
        <f>IF(OR(W145="",V145=""),"",IF(V145&lt;=0,"",IFERROR(W145/V145-1,"")))</f>
        <v/>
      </c>
      <c r="X146" s="15">
        <f>IF(OR(X145="",W145=""),"",IF(W145&lt;=0,"",IFERROR(X145/W145-1,"")))</f>
        <v/>
      </c>
    </row>
    <row r="147">
      <c r="A147" s="9" t="inlineStr">
        <is>
          <t>비지배주주 순손익</t>
        </is>
      </c>
      <c r="C147" s="12" t="n">
        <v>0</v>
      </c>
      <c r="D147" s="12" t="n">
        <v>1</v>
      </c>
      <c r="E147" s="12" t="n">
        <v>0</v>
      </c>
      <c r="F147" s="12" t="n">
        <v>1</v>
      </c>
      <c r="G147" s="12" t="n">
        <v>1</v>
      </c>
      <c r="H147" s="12" t="n">
        <v>2</v>
      </c>
      <c r="I147" s="12" t="n">
        <v>1</v>
      </c>
      <c r="J147" s="12" t="n">
        <v>1</v>
      </c>
      <c r="K147" s="12" t="n">
        <v>1</v>
      </c>
      <c r="L147" s="12" t="n">
        <v>0</v>
      </c>
      <c r="M147" s="12" t="n">
        <v>-7</v>
      </c>
      <c r="N147" s="12" t="n">
        <v>-4</v>
      </c>
      <c r="T147" s="12" t="n">
        <v>0</v>
      </c>
      <c r="U147" s="12" t="n">
        <v>0</v>
      </c>
      <c r="V147" s="12" t="n">
        <v>1</v>
      </c>
      <c r="W147" s="12" t="n">
        <v>2</v>
      </c>
      <c r="X147" s="12" t="n">
        <v>0</v>
      </c>
    </row>
    <row r="148">
      <c r="A148" s="9" t="inlineStr">
        <is>
          <t>지배주주 순이익</t>
        </is>
      </c>
      <c r="C148" s="12" t="n">
        <v>999</v>
      </c>
      <c r="D148" s="12" t="n">
        <v>1014</v>
      </c>
      <c r="E148" s="12" t="n">
        <v>856</v>
      </c>
      <c r="F148" s="12" t="n">
        <v>1562</v>
      </c>
      <c r="G148" s="12" t="n">
        <v>1092</v>
      </c>
      <c r="H148" s="12" t="n">
        <v>849</v>
      </c>
      <c r="I148" s="12" t="n">
        <v>1251</v>
      </c>
      <c r="J148" s="12" t="n">
        <v>1301</v>
      </c>
      <c r="K148" s="12" t="n">
        <v>930</v>
      </c>
      <c r="L148" s="12" t="n">
        <v>333</v>
      </c>
      <c r="M148" s="12" t="n">
        <v>1474</v>
      </c>
      <c r="N148" s="12" t="n">
        <v>2260</v>
      </c>
      <c r="T148" s="12" t="n">
        <v>-277</v>
      </c>
      <c r="U148" s="12" t="n">
        <v>1225</v>
      </c>
      <c r="V148" s="12" t="n">
        <v>1014</v>
      </c>
      <c r="W148" s="12" t="n">
        <v>849</v>
      </c>
      <c r="X148" s="12" t="n">
        <v>333</v>
      </c>
    </row>
    <row r="149">
      <c r="A149" s="43" t="inlineStr">
        <is>
          <t>YoY</t>
        </is>
      </c>
      <c r="B149" s="3" t="inlineStr">
        <is>
          <t>전년 같은 분기·전년 대비</t>
        </is>
      </c>
      <c r="G149" s="15">
        <f>IF(OR(G148="",C148=""),"",IF(C148&lt;=0,"",IFERROR(G148/C148-1,"")))</f>
        <v/>
      </c>
      <c r="H149" s="15">
        <f>IF(OR(H148="",D148=""),"",IF(D148&lt;=0,"",IFERROR(H148/D148-1,"")))</f>
        <v/>
      </c>
      <c r="I149" s="15">
        <f>IF(OR(I148="",E148=""),"",IF(E148&lt;=0,"",IFERROR(I148/E148-1,"")))</f>
        <v/>
      </c>
      <c r="J149" s="15">
        <f>IF(OR(J148="",F148=""),"",IF(F148&lt;=0,"",IFERROR(J148/F148-1,"")))</f>
        <v/>
      </c>
      <c r="K149" s="15">
        <f>IF(OR(K148="",G148=""),"",IF(G148&lt;=0,"",IFERROR(K148/G148-1,"")))</f>
        <v/>
      </c>
      <c r="L149" s="15">
        <f>IF(OR(L148="",H148=""),"",IF(H148&lt;=0,"",IFERROR(L148/H148-1,"")))</f>
        <v/>
      </c>
      <c r="M149" s="15">
        <f>IF(OR(M148="",I148=""),"",IF(I148&lt;=0,"",IFERROR(M148/I148-1,"")))</f>
        <v/>
      </c>
      <c r="N149" s="15">
        <f>IF(OR(N148="",J148=""),"",IF(J148&lt;=0,"",IFERROR(N148/J148-1,"")))</f>
        <v/>
      </c>
      <c r="T149" s="15">
        <f>IF(OR(T148="",S148=""),"",IF(S148&lt;=0,"",IFERROR(T148/S148-1,"")))</f>
        <v/>
      </c>
      <c r="U149" s="15">
        <f>IF(OR(U148="",T148=""),"",IF(T148&lt;=0,"",IFERROR(U148/T148-1,"")))</f>
        <v/>
      </c>
      <c r="V149" s="15">
        <f>IF(OR(V148="",U148=""),"",IF(U148&lt;=0,"",IFERROR(V148/U148-1,"")))</f>
        <v/>
      </c>
      <c r="W149" s="15">
        <f>IF(OR(W148="",V148=""),"",IF(V148&lt;=0,"",IFERROR(W148/V148-1,"")))</f>
        <v/>
      </c>
      <c r="X149" s="15">
        <f>IF(OR(X148="",W148=""),"",IF(W148&lt;=0,"",IFERROR(X148/W148-1,"")))</f>
        <v/>
      </c>
    </row>
    <row r="151">
      <c r="A151" s="16" t="inlineStr">
        <is>
          <t>포괄손익 · 전 항목</t>
        </is>
      </c>
      <c r="B151" s="42" t="inlineStr">
        <is>
          <t>분기 = 3개월 단독</t>
        </is>
      </c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  <c r="AA151" s="16" t="n"/>
      <c r="AB151" s="16" t="n"/>
      <c r="AC151" s="16" t="n"/>
    </row>
    <row r="152">
      <c r="A152" s="5" t="inlineStr">
        <is>
          <t>항목</t>
        </is>
      </c>
      <c r="B152" s="5" t="inlineStr">
        <is>
          <t>참고</t>
        </is>
      </c>
      <c r="C152" s="5" t="inlineStr">
        <is>
          <t>2023.3Q</t>
        </is>
      </c>
      <c r="D152" s="5" t="inlineStr">
        <is>
          <t>2023.4Q</t>
        </is>
      </c>
      <c r="E152" s="5" t="inlineStr">
        <is>
          <t>2024.1Q</t>
        </is>
      </c>
      <c r="F152" s="5" t="inlineStr">
        <is>
          <t>2024.2Q</t>
        </is>
      </c>
      <c r="G152" s="5" t="inlineStr">
        <is>
          <t>2024.3Q</t>
        </is>
      </c>
      <c r="H152" s="5" t="inlineStr">
        <is>
          <t>2024.4Q</t>
        </is>
      </c>
      <c r="I152" s="5" t="inlineStr">
        <is>
          <t>2025.1Q</t>
        </is>
      </c>
      <c r="J152" s="5" t="inlineStr">
        <is>
          <t>2025.2Q</t>
        </is>
      </c>
      <c r="K152" s="5" t="inlineStr">
        <is>
          <t>2025.3Q</t>
        </is>
      </c>
      <c r="L152" s="5" t="inlineStr">
        <is>
          <t>2025.4Q</t>
        </is>
      </c>
      <c r="M152" s="5" t="inlineStr">
        <is>
          <t>2026.1Q</t>
        </is>
      </c>
      <c r="N152" s="5" t="inlineStr">
        <is>
          <t>2026.2Q</t>
        </is>
      </c>
      <c r="O152" s="5" t="inlineStr">
        <is>
          <t>2016</t>
        </is>
      </c>
      <c r="P152" s="5" t="inlineStr">
        <is>
          <t>2017</t>
        </is>
      </c>
      <c r="Q152" s="5" t="inlineStr">
        <is>
          <t>2018</t>
        </is>
      </c>
      <c r="R152" s="5" t="inlineStr">
        <is>
          <t>2019</t>
        </is>
      </c>
      <c r="S152" s="5" t="inlineStr">
        <is>
          <t>2020</t>
        </is>
      </c>
      <c r="T152" s="5" t="inlineStr">
        <is>
          <t>2021</t>
        </is>
      </c>
      <c r="U152" s="5" t="inlineStr">
        <is>
          <t>2022</t>
        </is>
      </c>
      <c r="V152" s="5" t="inlineStr">
        <is>
          <t>2023</t>
        </is>
      </c>
      <c r="W152" s="5" t="inlineStr">
        <is>
          <t>2024</t>
        </is>
      </c>
      <c r="X152" s="5" t="inlineStr">
        <is>
          <t>2025</t>
        </is>
      </c>
      <c r="Y152" s="5" t="inlineStr">
        <is>
          <t>2026(MW)</t>
        </is>
      </c>
      <c r="Z152" s="5" t="inlineStr">
        <is>
          <t>2027(MW)</t>
        </is>
      </c>
      <c r="AA152" s="5" t="inlineStr">
        <is>
          <t>2028(MW)</t>
        </is>
      </c>
      <c r="AB152" s="5" t="inlineStr">
        <is>
          <t>2029(MW)</t>
        </is>
      </c>
      <c r="AC152" s="5" t="inlineStr">
        <is>
          <t>2030(MW)</t>
        </is>
      </c>
    </row>
    <row r="153">
      <c r="A153" s="9" t="inlineStr">
        <is>
          <t>순이익</t>
        </is>
      </c>
      <c r="C153" s="12" t="n">
        <v>999</v>
      </c>
      <c r="D153" s="12" t="n">
        <v>1014</v>
      </c>
      <c r="E153" s="12" t="n">
        <v>857</v>
      </c>
      <c r="F153" s="12" t="n">
        <v>1563</v>
      </c>
      <c r="G153" s="12" t="n">
        <v>1093</v>
      </c>
      <c r="H153" s="12" t="n">
        <v>851</v>
      </c>
      <c r="I153" s="12" t="n">
        <v>1252</v>
      </c>
      <c r="J153" s="12" t="n">
        <v>1302</v>
      </c>
      <c r="K153" s="12" t="n">
        <v>932</v>
      </c>
      <c r="L153" s="12" t="n">
        <v>332</v>
      </c>
      <c r="M153" s="12" t="n">
        <v>1466</v>
      </c>
      <c r="N153" s="12" t="n">
        <v>2256</v>
      </c>
      <c r="T153" s="12" t="n">
        <v>-277</v>
      </c>
      <c r="U153" s="12" t="n">
        <v>1225</v>
      </c>
      <c r="V153" s="12" t="n">
        <v>1014</v>
      </c>
      <c r="W153" s="12" t="n">
        <v>851</v>
      </c>
      <c r="X153" s="12" t="n">
        <v>332</v>
      </c>
    </row>
    <row r="154">
      <c r="A154" s="18" t="inlineStr">
        <is>
          <t>기타유가증권 평가차액</t>
        </is>
      </c>
      <c r="C154" s="20" t="n">
        <v>275</v>
      </c>
      <c r="D154" s="20" t="n">
        <v>146</v>
      </c>
      <c r="E154" s="20" t="n">
        <v>1185</v>
      </c>
      <c r="F154" s="20" t="n">
        <v>509</v>
      </c>
      <c r="G154" s="20" t="n">
        <v>878</v>
      </c>
      <c r="H154" s="20" t="n">
        <v>-2573</v>
      </c>
      <c r="I154" s="20" t="n">
        <v>-715</v>
      </c>
      <c r="J154" s="20" t="n">
        <v>-128</v>
      </c>
      <c r="K154" s="20" t="n">
        <v>1013</v>
      </c>
      <c r="L154" s="20" t="n">
        <v>-107</v>
      </c>
      <c r="M154" s="20" t="n">
        <v>-106</v>
      </c>
      <c r="N154" s="20" t="n">
        <v>46</v>
      </c>
      <c r="T154" s="20" t="n">
        <v>98</v>
      </c>
      <c r="U154" s="20" t="n">
        <v>213</v>
      </c>
      <c r="V154" s="20" t="n">
        <v>146</v>
      </c>
      <c r="W154" s="20" t="n">
        <v>-2573</v>
      </c>
      <c r="X154" s="20" t="n">
        <v>-107</v>
      </c>
    </row>
    <row r="155">
      <c r="A155" s="18" t="inlineStr">
        <is>
          <t>해외사업환산조정</t>
        </is>
      </c>
      <c r="C155" s="20" t="n">
        <v>9</v>
      </c>
      <c r="D155" s="20" t="n">
        <v>-10</v>
      </c>
      <c r="E155" s="20" t="n">
        <v>18</v>
      </c>
      <c r="F155" s="20" t="n">
        <v>25</v>
      </c>
      <c r="G155" s="20" t="n">
        <v>-33</v>
      </c>
      <c r="H155" s="20" t="n">
        <v>25</v>
      </c>
      <c r="I155" s="20" t="n">
        <v>-26</v>
      </c>
      <c r="J155" s="20" t="n">
        <v>-9</v>
      </c>
      <c r="K155" s="20" t="n">
        <v>16</v>
      </c>
      <c r="L155" s="20" t="n">
        <v>35</v>
      </c>
      <c r="M155" s="20" t="n">
        <v>17</v>
      </c>
      <c r="N155" s="20" t="n">
        <v>37</v>
      </c>
      <c r="T155" s="20" t="n">
        <v>15</v>
      </c>
      <c r="U155" s="20" t="n">
        <v>-28</v>
      </c>
      <c r="V155" s="20" t="n">
        <v>-10</v>
      </c>
      <c r="W155" s="20" t="n">
        <v>25</v>
      </c>
      <c r="X155" s="20" t="n">
        <v>35</v>
      </c>
    </row>
    <row r="156">
      <c r="A156" s="18" t="inlineStr">
        <is>
          <t>퇴직급여 조정액</t>
        </is>
      </c>
      <c r="C156" s="20" t="n">
        <v>3</v>
      </c>
      <c r="D156" s="20" t="n">
        <v>131</v>
      </c>
      <c r="E156" s="20" t="n">
        <v>1</v>
      </c>
      <c r="F156" s="20" t="n">
        <v>1</v>
      </c>
      <c r="G156" s="20" t="n">
        <v>1</v>
      </c>
      <c r="H156" s="20" t="n">
        <v>59</v>
      </c>
      <c r="I156" s="20" t="n">
        <v>-1</v>
      </c>
      <c r="J156" s="20" t="n">
        <v>-2</v>
      </c>
      <c r="K156" s="20" t="n">
        <v>-2</v>
      </c>
      <c r="L156" s="20" t="n">
        <v>675</v>
      </c>
      <c r="M156" s="20" t="n">
        <v>-13</v>
      </c>
      <c r="N156" s="20" t="n">
        <v>-15</v>
      </c>
      <c r="T156" s="20" t="n">
        <v>102</v>
      </c>
      <c r="U156" s="20" t="n">
        <v>-189</v>
      </c>
      <c r="V156" s="20" t="n">
        <v>131</v>
      </c>
      <c r="W156" s="20" t="n">
        <v>59</v>
      </c>
      <c r="X156" s="20" t="n">
        <v>675</v>
      </c>
    </row>
    <row r="157">
      <c r="A157" s="18" t="inlineStr">
        <is>
          <t>기타포괄손익 합계</t>
        </is>
      </c>
      <c r="C157" s="20" t="n">
        <v>287</v>
      </c>
      <c r="D157" s="20" t="n">
        <v>267</v>
      </c>
      <c r="E157" s="20" t="n">
        <v>1205</v>
      </c>
      <c r="F157" s="20" t="n">
        <v>535</v>
      </c>
      <c r="G157" s="20" t="n">
        <v>846</v>
      </c>
      <c r="H157" s="20" t="n">
        <v>-2489</v>
      </c>
      <c r="I157" s="20" t="n">
        <v>-743</v>
      </c>
      <c r="J157" s="20" t="n">
        <v>-139</v>
      </c>
      <c r="K157" s="20" t="n">
        <v>1028</v>
      </c>
      <c r="L157" s="20" t="n">
        <v>604</v>
      </c>
      <c r="M157" s="20" t="n">
        <v>-103</v>
      </c>
      <c r="N157" s="20" t="n">
        <v>69</v>
      </c>
      <c r="T157" s="20" t="n">
        <v>216</v>
      </c>
      <c r="U157" s="20" t="n">
        <v>-4</v>
      </c>
      <c r="V157" s="20" t="n">
        <v>267</v>
      </c>
      <c r="W157" s="20" t="n">
        <v>-2489</v>
      </c>
      <c r="X157" s="20" t="n">
        <v>604</v>
      </c>
    </row>
    <row r="158">
      <c r="A158" s="9" t="inlineStr">
        <is>
          <t>포괄이익</t>
        </is>
      </c>
      <c r="C158" s="12" t="n">
        <v>1287</v>
      </c>
      <c r="D158" s="12" t="n">
        <v>1281</v>
      </c>
      <c r="E158" s="12" t="n">
        <v>2063</v>
      </c>
      <c r="F158" s="12" t="n">
        <v>2098</v>
      </c>
      <c r="G158" s="12" t="n">
        <v>1939</v>
      </c>
      <c r="H158" s="12" t="n">
        <v>-1639</v>
      </c>
      <c r="I158" s="12" t="n">
        <v>509</v>
      </c>
      <c r="J158" s="12" t="n">
        <v>1162</v>
      </c>
      <c r="K158" s="12" t="n">
        <v>1962</v>
      </c>
      <c r="L158" s="12" t="n">
        <v>935</v>
      </c>
      <c r="M158" s="12" t="n">
        <v>1363</v>
      </c>
      <c r="N158" s="12" t="n">
        <v>2325</v>
      </c>
      <c r="T158" s="12" t="n">
        <v>-62</v>
      </c>
      <c r="U158" s="12" t="n">
        <v>1222</v>
      </c>
      <c r="V158" s="12" t="n">
        <v>1281</v>
      </c>
      <c r="W158" s="12" t="n">
        <v>-1639</v>
      </c>
      <c r="X158" s="12" t="n">
        <v>935</v>
      </c>
    </row>
    <row r="159">
      <c r="A159" s="9" t="inlineStr">
        <is>
          <t>지배주주 포괄이익</t>
        </is>
      </c>
      <c r="C159" s="12" t="n">
        <v>1287</v>
      </c>
      <c r="D159" s="12" t="n">
        <v>1281</v>
      </c>
      <c r="E159" s="12" t="n">
        <v>2061</v>
      </c>
      <c r="F159" s="12" t="n">
        <v>2095</v>
      </c>
      <c r="G159" s="12" t="n">
        <v>1940</v>
      </c>
      <c r="H159" s="12" t="n">
        <v>-1642</v>
      </c>
      <c r="I159" s="12" t="n">
        <v>509</v>
      </c>
      <c r="J159" s="12" t="n">
        <v>1162</v>
      </c>
      <c r="K159" s="12" t="n">
        <v>1959</v>
      </c>
      <c r="L159" s="12" t="n">
        <v>934</v>
      </c>
      <c r="M159" s="12" t="n">
        <v>1370</v>
      </c>
      <c r="N159" s="12" t="n">
        <v>2325</v>
      </c>
      <c r="T159" s="12" t="n">
        <v>-62</v>
      </c>
      <c r="U159" s="12" t="n">
        <v>1223</v>
      </c>
      <c r="V159" s="12" t="n">
        <v>1281</v>
      </c>
      <c r="W159" s="12" t="n">
        <v>-1642</v>
      </c>
      <c r="X159" s="12" t="n">
        <v>934</v>
      </c>
    </row>
    <row r="160">
      <c r="A160" s="9" t="inlineStr">
        <is>
          <t>비지배주주 포괄이익</t>
        </is>
      </c>
      <c r="C160" s="12" t="n">
        <v>1</v>
      </c>
      <c r="D160" s="12" t="n">
        <v>0</v>
      </c>
      <c r="E160" s="12" t="n">
        <v>1</v>
      </c>
      <c r="F160" s="12" t="n">
        <v>3</v>
      </c>
      <c r="G160" s="12" t="n">
        <v>-1</v>
      </c>
      <c r="H160" s="12" t="n">
        <v>3</v>
      </c>
      <c r="I160" s="12" t="n">
        <v>-0</v>
      </c>
      <c r="J160" s="12" t="n">
        <v>0</v>
      </c>
      <c r="K160" s="12" t="n">
        <v>2</v>
      </c>
      <c r="L160" s="12" t="n">
        <v>2</v>
      </c>
      <c r="M160" s="12" t="n">
        <v>-6</v>
      </c>
      <c r="N160" s="12" t="n">
        <v>-1</v>
      </c>
      <c r="T160" s="12" t="n">
        <v>1</v>
      </c>
      <c r="U160" s="12" t="n">
        <v>-1</v>
      </c>
      <c r="V160" s="12" t="n">
        <v>0</v>
      </c>
      <c r="W160" s="12" t="n">
        <v>3</v>
      </c>
      <c r="X160" s="12" t="n">
        <v>2</v>
      </c>
    </row>
    <row r="162">
      <c r="A162" s="16" t="inlineStr">
        <is>
          <t>부문 · 전 항목</t>
        </is>
      </c>
      <c r="B162" s="42" t="inlineStr">
        <is>
          <t>부문 · 항목</t>
        </is>
      </c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  <c r="AA162" s="16" t="n"/>
      <c r="AB162" s="16" t="n"/>
      <c r="AC162" s="16" t="n"/>
    </row>
    <row r="163">
      <c r="A163" s="5" t="inlineStr">
        <is>
          <t>항목</t>
        </is>
      </c>
      <c r="B163" s="5" t="inlineStr">
        <is>
          <t>참고</t>
        </is>
      </c>
      <c r="C163" s="5" t="inlineStr">
        <is>
          <t>2023.3Q</t>
        </is>
      </c>
      <c r="D163" s="5" t="inlineStr">
        <is>
          <t>2023.4Q</t>
        </is>
      </c>
      <c r="E163" s="5" t="inlineStr">
        <is>
          <t>2024.1Q</t>
        </is>
      </c>
      <c r="F163" s="5" t="inlineStr">
        <is>
          <t>2024.2Q</t>
        </is>
      </c>
      <c r="G163" s="5" t="inlineStr">
        <is>
          <t>2024.3Q</t>
        </is>
      </c>
      <c r="H163" s="5" t="inlineStr">
        <is>
          <t>2024.4Q</t>
        </is>
      </c>
      <c r="I163" s="5" t="inlineStr">
        <is>
          <t>2025.1Q</t>
        </is>
      </c>
      <c r="J163" s="5" t="inlineStr">
        <is>
          <t>2025.2Q</t>
        </is>
      </c>
      <c r="K163" s="5" t="inlineStr">
        <is>
          <t>2025.3Q</t>
        </is>
      </c>
      <c r="L163" s="5" t="inlineStr">
        <is>
          <t>2025.4Q</t>
        </is>
      </c>
      <c r="M163" s="5" t="inlineStr">
        <is>
          <t>2026.1Q</t>
        </is>
      </c>
      <c r="N163" s="5" t="inlineStr">
        <is>
          <t>2026.2Q</t>
        </is>
      </c>
      <c r="O163" s="5" t="inlineStr">
        <is>
          <t>2016</t>
        </is>
      </c>
      <c r="P163" s="5" t="inlineStr">
        <is>
          <t>2017</t>
        </is>
      </c>
      <c r="Q163" s="5" t="inlineStr">
        <is>
          <t>2018</t>
        </is>
      </c>
      <c r="R163" s="5" t="inlineStr">
        <is>
          <t>2019</t>
        </is>
      </c>
      <c r="S163" s="5" t="inlineStr">
        <is>
          <t>2020</t>
        </is>
      </c>
      <c r="T163" s="5" t="inlineStr">
        <is>
          <t>2021</t>
        </is>
      </c>
      <c r="U163" s="5" t="inlineStr">
        <is>
          <t>2022</t>
        </is>
      </c>
      <c r="V163" s="5" t="inlineStr">
        <is>
          <t>2023</t>
        </is>
      </c>
      <c r="W163" s="5" t="inlineStr">
        <is>
          <t>2024</t>
        </is>
      </c>
      <c r="X163" s="5" t="inlineStr">
        <is>
          <t>2025</t>
        </is>
      </c>
      <c r="Y163" s="5" t="inlineStr">
        <is>
          <t>2026(MW)</t>
        </is>
      </c>
      <c r="Z163" s="5" t="inlineStr">
        <is>
          <t>2027(MW)</t>
        </is>
      </c>
      <c r="AA163" s="5" t="inlineStr">
        <is>
          <t>2028(MW)</t>
        </is>
      </c>
      <c r="AB163" s="5" t="inlineStr">
        <is>
          <t>2029(MW)</t>
        </is>
      </c>
      <c r="AC163" s="5" t="inlineStr">
        <is>
          <t>2030(MW)</t>
        </is>
      </c>
    </row>
    <row r="164">
      <c r="A164" s="18" t="inlineStr">
        <is>
          <t>SyntheticResinBusinessReportableSegmentsMember · 외부 고객 매출</t>
        </is>
      </c>
      <c r="C164" s="20" t="n">
        <v>12427</v>
      </c>
      <c r="D164" s="20" t="n">
        <v>12819</v>
      </c>
      <c r="G164" s="20" t="n">
        <v>12927</v>
      </c>
      <c r="H164" s="20" t="n">
        <v>13570</v>
      </c>
      <c r="K164" s="20" t="n">
        <v>12874</v>
      </c>
      <c r="L164" s="20" t="n">
        <v>13384</v>
      </c>
      <c r="V164" s="20" t="n">
        <v>12819</v>
      </c>
      <c r="W164" s="20" t="n">
        <v>13570</v>
      </c>
      <c r="X164" s="20" t="n">
        <v>13384</v>
      </c>
    </row>
    <row r="165">
      <c r="A165" s="43" t="inlineStr">
        <is>
          <t>YoY</t>
        </is>
      </c>
      <c r="B165" s="3" t="inlineStr">
        <is>
          <t>전년 같은 분기·전년 대비</t>
        </is>
      </c>
      <c r="G165" s="15">
        <f>IF(OR(G164="",C164=""),"",IF(C164&lt;=0,"",IFERROR(G164/C164-1,"")))</f>
        <v/>
      </c>
      <c r="H165" s="15">
        <f>IF(OR(H164="",D164=""),"",IF(D164&lt;=0,"",IFERROR(H164/D164-1,"")))</f>
        <v/>
      </c>
      <c r="K165" s="15">
        <f>IF(OR(K164="",G164=""),"",IF(G164&lt;=0,"",IFERROR(K164/G164-1,"")))</f>
        <v/>
      </c>
      <c r="L165" s="15">
        <f>IF(OR(L164="",H164=""),"",IF(H164&lt;=0,"",IFERROR(L164/H164-1,"")))</f>
        <v/>
      </c>
      <c r="V165" s="15">
        <f>IF(OR(V164="",U164=""),"",IF(U164&lt;=0,"",IFERROR(V164/U164-1,"")))</f>
        <v/>
      </c>
      <c r="W165" s="15">
        <f>IF(OR(W164="",V164=""),"",IF(V164&lt;=0,"",IFERROR(W164/V164-1,"")))</f>
        <v/>
      </c>
      <c r="X165" s="15">
        <f>IF(OR(X164="",W164=""),"",IF(W164&lt;=0,"",IFERROR(X164/W164-1,"")))</f>
        <v/>
      </c>
    </row>
    <row r="166">
      <c r="A166" s="18" t="inlineStr">
        <is>
          <t>NewMaterialBusinessReportableSegmentsMember · 외부 고객 매출</t>
        </is>
      </c>
      <c r="C166" s="20" t="n">
        <v>3587</v>
      </c>
      <c r="D166" s="20" t="n">
        <v>3644</v>
      </c>
      <c r="G166" s="20" t="n">
        <v>3292</v>
      </c>
      <c r="H166" s="20" t="n">
        <v>4223</v>
      </c>
      <c r="K166" s="20" t="n">
        <v>4061</v>
      </c>
      <c r="L166" s="20" t="n">
        <v>5141</v>
      </c>
      <c r="V166" s="20" t="n">
        <v>3644</v>
      </c>
      <c r="W166" s="20" t="n">
        <v>4223</v>
      </c>
      <c r="X166" s="20" t="n">
        <v>5141</v>
      </c>
    </row>
    <row r="167">
      <c r="A167" s="43" t="inlineStr">
        <is>
          <t>YoY</t>
        </is>
      </c>
      <c r="B167" s="3" t="inlineStr">
        <is>
          <t>전년 같은 분기·전년 대비</t>
        </is>
      </c>
      <c r="G167" s="15">
        <f>IF(OR(G166="",C166=""),"",IF(C166&lt;=0,"",IFERROR(G166/C166-1,"")))</f>
        <v/>
      </c>
      <c r="H167" s="15">
        <f>IF(OR(H166="",D166=""),"",IF(D166&lt;=0,"",IFERROR(H166/D166-1,"")))</f>
        <v/>
      </c>
      <c r="K167" s="15">
        <f>IF(OR(K166="",G166=""),"",IF(G166&lt;=0,"",IFERROR(K166/G166-1,"")))</f>
        <v/>
      </c>
      <c r="L167" s="15">
        <f>IF(OR(L166="",H166=""),"",IF(H166&lt;=0,"",IFERROR(L166/H166-1,"")))</f>
        <v/>
      </c>
      <c r="V167" s="15">
        <f>IF(OR(V166="",U166=""),"",IF(U166&lt;=0,"",IFERROR(V166/U166-1,"")))</f>
        <v/>
      </c>
      <c r="W167" s="15">
        <f>IF(OR(W166="",V166=""),"",IF(V166&lt;=0,"",IFERROR(W166/V166-1,"")))</f>
        <v/>
      </c>
      <c r="X167" s="15">
        <f>IF(OR(X166="",W166=""),"",IF(W166&lt;=0,"",IFERROR(X166/W166-1,"")))</f>
        <v/>
      </c>
    </row>
    <row r="168">
      <c r="A168" s="18" t="inlineStr">
        <is>
          <t>ConstructionMaterialBusinessReportableSegmentsMember · 외부 고객 매출</t>
        </is>
      </c>
      <c r="C168" s="20" t="n">
        <v>2966</v>
      </c>
      <c r="D168" s="20" t="n">
        <v>3279</v>
      </c>
      <c r="G168" s="20" t="n">
        <v>3250</v>
      </c>
      <c r="H168" s="20" t="n">
        <v>3562</v>
      </c>
      <c r="K168" s="20" t="n">
        <v>3272</v>
      </c>
      <c r="L168" s="20" t="n">
        <v>3396</v>
      </c>
      <c r="V168" s="20" t="n">
        <v>3279</v>
      </c>
      <c r="W168" s="20" t="n">
        <v>3562</v>
      </c>
      <c r="X168" s="20" t="n">
        <v>3396</v>
      </c>
    </row>
    <row r="169">
      <c r="A169" s="43" t="inlineStr">
        <is>
          <t>YoY</t>
        </is>
      </c>
      <c r="B169" s="3" t="inlineStr">
        <is>
          <t>전년 같은 분기·전년 대비</t>
        </is>
      </c>
      <c r="G169" s="15">
        <f>IF(OR(G168="",C168=""),"",IF(C168&lt;=0,"",IFERROR(G168/C168-1,"")))</f>
        <v/>
      </c>
      <c r="H169" s="15">
        <f>IF(OR(H168="",D168=""),"",IF(D168&lt;=0,"",IFERROR(H168/D168-1,"")))</f>
        <v/>
      </c>
      <c r="K169" s="15">
        <f>IF(OR(K168="",G168=""),"",IF(G168&lt;=0,"",IFERROR(K168/G168-1,"")))</f>
        <v/>
      </c>
      <c r="L169" s="15">
        <f>IF(OR(L168="",H168=""),"",IF(H168&lt;=0,"",IFERROR(L168/H168-1,"")))</f>
        <v/>
      </c>
      <c r="V169" s="15">
        <f>IF(OR(V168="",U168=""),"",IF(U168&lt;=0,"",IFERROR(V168/U168-1,"")))</f>
        <v/>
      </c>
      <c r="W169" s="15">
        <f>IF(OR(W168="",V168=""),"",IF(V168&lt;=0,"",IFERROR(W168/V168-1,"")))</f>
        <v/>
      </c>
      <c r="X169" s="15">
        <f>IF(OR(X168="",W168=""),"",IF(W168&lt;=0,"",IFERROR(X168/W168-1,"")))</f>
        <v/>
      </c>
    </row>
    <row r="170">
      <c r="A170" s="18" t="inlineStr">
        <is>
          <t>보고부문 합계 · 외부 고객 매출</t>
        </is>
      </c>
      <c r="C170" s="20" t="n">
        <v>18980</v>
      </c>
      <c r="D170" s="20" t="n">
        <v>19743</v>
      </c>
      <c r="E170" s="20" t="n">
        <v>19075</v>
      </c>
      <c r="F170" s="20" t="n">
        <v>19433</v>
      </c>
      <c r="G170" s="20" t="n">
        <v>19469</v>
      </c>
      <c r="H170" s="20" t="n">
        <v>21354</v>
      </c>
      <c r="I170" s="20" t="n">
        <v>21258</v>
      </c>
      <c r="J170" s="20" t="n">
        <v>21399</v>
      </c>
      <c r="K170" s="20" t="n">
        <v>20208</v>
      </c>
      <c r="L170" s="20" t="n">
        <v>21920</v>
      </c>
      <c r="M170" s="20" t="n">
        <v>23557</v>
      </c>
      <c r="N170" s="20" t="n">
        <v>27961</v>
      </c>
      <c r="V170" s="20" t="n">
        <v>19743</v>
      </c>
      <c r="W170" s="20" t="n">
        <v>21354</v>
      </c>
      <c r="X170" s="20" t="n">
        <v>21920</v>
      </c>
    </row>
    <row r="171">
      <c r="A171" s="43" t="inlineStr">
        <is>
          <t>YoY</t>
        </is>
      </c>
      <c r="B171" s="3" t="inlineStr">
        <is>
          <t>전년 같은 분기·전년 대비</t>
        </is>
      </c>
      <c r="G171" s="15">
        <f>IF(OR(G170="",C170=""),"",IF(C170&lt;=0,"",IFERROR(G170/C170-1,"")))</f>
        <v/>
      </c>
      <c r="H171" s="15">
        <f>IF(OR(H170="",D170=""),"",IF(D170&lt;=0,"",IFERROR(H170/D170-1,"")))</f>
        <v/>
      </c>
      <c r="I171" s="15">
        <f>IF(OR(I170="",E170=""),"",IF(E170&lt;=0,"",IFERROR(I170/E170-1,"")))</f>
        <v/>
      </c>
      <c r="J171" s="15">
        <f>IF(OR(J170="",F170=""),"",IF(F170&lt;=0,"",IFERROR(J170/F170-1,"")))</f>
        <v/>
      </c>
      <c r="K171" s="15">
        <f>IF(OR(K170="",G170=""),"",IF(G170&lt;=0,"",IFERROR(K170/G170-1,"")))</f>
        <v/>
      </c>
      <c r="L171" s="15">
        <f>IF(OR(L170="",H170=""),"",IF(H170&lt;=0,"",IFERROR(L170/H170-1,"")))</f>
        <v/>
      </c>
      <c r="M171" s="15">
        <f>IF(OR(M170="",I170=""),"",IF(I170&lt;=0,"",IFERROR(M170/I170-1,"")))</f>
        <v/>
      </c>
      <c r="N171" s="15">
        <f>IF(OR(N170="",J170=""),"",IF(J170&lt;=0,"",IFERROR(N170/J170-1,"")))</f>
        <v/>
      </c>
      <c r="V171" s="15">
        <f>IF(OR(V170="",U170=""),"",IF(U170&lt;=0,"",IFERROR(V170/U170-1,"")))</f>
        <v/>
      </c>
      <c r="W171" s="15">
        <f>IF(OR(W170="",V170=""),"",IF(V170&lt;=0,"",IFERROR(W170/V170-1,"")))</f>
        <v/>
      </c>
      <c r="X171" s="15">
        <f>IF(OR(X170="",W170=""),"",IF(W170&lt;=0,"",IFERROR(X170/W170-1,"")))</f>
        <v/>
      </c>
    </row>
    <row r="172">
      <c r="A172" s="18" t="inlineStr">
        <is>
          <t>기타 · 외부 고객 매출</t>
        </is>
      </c>
      <c r="C172" s="20" t="n">
        <v>380</v>
      </c>
      <c r="D172" s="20" t="n">
        <v>422</v>
      </c>
      <c r="E172" s="20" t="n">
        <v>428</v>
      </c>
      <c r="F172" s="20" t="n">
        <v>463</v>
      </c>
      <c r="G172" s="20" t="n">
        <v>471</v>
      </c>
      <c r="H172" s="20" t="n">
        <v>498</v>
      </c>
      <c r="I172" s="20" t="n">
        <v>428</v>
      </c>
      <c r="J172" s="20" t="n">
        <v>466</v>
      </c>
      <c r="K172" s="20" t="n">
        <v>474</v>
      </c>
      <c r="L172" s="20" t="n">
        <v>504</v>
      </c>
      <c r="M172" s="20" t="n">
        <v>469</v>
      </c>
      <c r="N172" s="20" t="n">
        <v>511</v>
      </c>
      <c r="V172" s="20" t="n">
        <v>422</v>
      </c>
      <c r="W172" s="20" t="n">
        <v>498</v>
      </c>
      <c r="X172" s="20" t="n">
        <v>504</v>
      </c>
    </row>
    <row r="173">
      <c r="A173" s="43" t="inlineStr">
        <is>
          <t>YoY</t>
        </is>
      </c>
      <c r="B173" s="3" t="inlineStr">
        <is>
          <t>전년 같은 분기·전년 대비</t>
        </is>
      </c>
      <c r="G173" s="15">
        <f>IF(OR(G172="",C172=""),"",IF(C172&lt;=0,"",IFERROR(G172/C172-1,"")))</f>
        <v/>
      </c>
      <c r="H173" s="15">
        <f>IF(OR(H172="",D172=""),"",IF(D172&lt;=0,"",IFERROR(H172/D172-1,"")))</f>
        <v/>
      </c>
      <c r="I173" s="15">
        <f>IF(OR(I172="",E172=""),"",IF(E172&lt;=0,"",IFERROR(I172/E172-1,"")))</f>
        <v/>
      </c>
      <c r="J173" s="15">
        <f>IF(OR(J172="",F172=""),"",IF(F172&lt;=0,"",IFERROR(J172/F172-1,"")))</f>
        <v/>
      </c>
      <c r="K173" s="15">
        <f>IF(OR(K172="",G172=""),"",IF(G172&lt;=0,"",IFERROR(K172/G172-1,"")))</f>
        <v/>
      </c>
      <c r="L173" s="15">
        <f>IF(OR(L172="",H172=""),"",IF(H172&lt;=0,"",IFERROR(L172/H172-1,"")))</f>
        <v/>
      </c>
      <c r="M173" s="15">
        <f>IF(OR(M172="",I172=""),"",IF(I172&lt;=0,"",IFERROR(M172/I172-1,"")))</f>
        <v/>
      </c>
      <c r="N173" s="15">
        <f>IF(OR(N172="",J172=""),"",IF(J172&lt;=0,"",IFERROR(N172/J172-1,"")))</f>
        <v/>
      </c>
      <c r="V173" s="15">
        <f>IF(OR(V172="",U172=""),"",IF(U172&lt;=0,"",IFERROR(V172/U172-1,"")))</f>
        <v/>
      </c>
      <c r="W173" s="15">
        <f>IF(OR(W172="",V172=""),"",IF(V172&lt;=0,"",IFERROR(W172/V172-1,"")))</f>
        <v/>
      </c>
      <c r="X173" s="15">
        <f>IF(OR(X172="",W172=""),"",IF(W172&lt;=0,"",IFERROR(X172/W172-1,"")))</f>
        <v/>
      </c>
    </row>
    <row r="174">
      <c r="A174" s="18" t="inlineStr">
        <is>
          <t>합계 · 외부 고객 매출</t>
        </is>
      </c>
      <c r="C174" s="20" t="n">
        <v>19361</v>
      </c>
      <c r="D174" s="20" t="n">
        <v>20165</v>
      </c>
      <c r="E174" s="20" t="n">
        <v>19504</v>
      </c>
      <c r="F174" s="20" t="n">
        <v>19896</v>
      </c>
      <c r="G174" s="20" t="n">
        <v>19939</v>
      </c>
      <c r="H174" s="20" t="n">
        <v>21853</v>
      </c>
      <c r="I174" s="20" t="n">
        <v>21686</v>
      </c>
      <c r="J174" s="20" t="n">
        <v>21865</v>
      </c>
      <c r="K174" s="20" t="n">
        <v>20682</v>
      </c>
      <c r="L174" s="20" t="n">
        <v>22425</v>
      </c>
      <c r="M174" s="20" t="n">
        <v>24026</v>
      </c>
      <c r="N174" s="20" t="n">
        <v>28473</v>
      </c>
      <c r="V174" s="20" t="n">
        <v>20165</v>
      </c>
      <c r="W174" s="20" t="n">
        <v>21853</v>
      </c>
      <c r="X174" s="20" t="n">
        <v>22425</v>
      </c>
    </row>
    <row r="175">
      <c r="A175" s="43" t="inlineStr">
        <is>
          <t>YoY</t>
        </is>
      </c>
      <c r="B175" s="3" t="inlineStr">
        <is>
          <t>전년 같은 분기·전년 대비</t>
        </is>
      </c>
      <c r="G175" s="15">
        <f>IF(OR(G174="",C174=""),"",IF(C174&lt;=0,"",IFERROR(G174/C174-1,"")))</f>
        <v/>
      </c>
      <c r="H175" s="15">
        <f>IF(OR(H174="",D174=""),"",IF(D174&lt;=0,"",IFERROR(H174/D174-1,"")))</f>
        <v/>
      </c>
      <c r="I175" s="15">
        <f>IF(OR(I174="",E174=""),"",IF(E174&lt;=0,"",IFERROR(I174/E174-1,"")))</f>
        <v/>
      </c>
      <c r="J175" s="15">
        <f>IF(OR(J174="",F174=""),"",IF(F174&lt;=0,"",IFERROR(J174/F174-1,"")))</f>
        <v/>
      </c>
      <c r="K175" s="15">
        <f>IF(OR(K174="",G174=""),"",IF(G174&lt;=0,"",IFERROR(K174/G174-1,"")))</f>
        <v/>
      </c>
      <c r="L175" s="15">
        <f>IF(OR(L174="",H174=""),"",IF(H174&lt;=0,"",IFERROR(L174/H174-1,"")))</f>
        <v/>
      </c>
      <c r="M175" s="15">
        <f>IF(OR(M174="",I174=""),"",IF(I174&lt;=0,"",IFERROR(M174/I174-1,"")))</f>
        <v/>
      </c>
      <c r="N175" s="15">
        <f>IF(OR(N174="",J174=""),"",IF(J174&lt;=0,"",IFERROR(N174/J174-1,"")))</f>
        <v/>
      </c>
      <c r="V175" s="15">
        <f>IF(OR(V174="",U174=""),"",IF(U174&lt;=0,"",IFERROR(V174/U174-1,"")))</f>
        <v/>
      </c>
      <c r="W175" s="15">
        <f>IF(OR(W174="",V174=""),"",IF(V174&lt;=0,"",IFERROR(W174/V174-1,"")))</f>
        <v/>
      </c>
      <c r="X175" s="15">
        <f>IF(OR(X174="",W174=""),"",IF(W174&lt;=0,"",IFERROR(X174/W174-1,"")))</f>
        <v/>
      </c>
    </row>
    <row r="176">
      <c r="A176" s="18" t="inlineStr">
        <is>
          <t>조정액 · 외부 고객 매출</t>
        </is>
      </c>
      <c r="C176" s="20" t="n">
        <v>0</v>
      </c>
      <c r="D176" s="20" t="n">
        <v>0</v>
      </c>
      <c r="E176" s="20" t="n">
        <v>0</v>
      </c>
      <c r="F176" s="20" t="n">
        <v>0</v>
      </c>
      <c r="G176" s="20" t="n">
        <v>0</v>
      </c>
      <c r="H176" s="20" t="n">
        <v>0</v>
      </c>
      <c r="I176" s="20" t="n">
        <v>0</v>
      </c>
      <c r="J176" s="20" t="n">
        <v>0</v>
      </c>
      <c r="K176" s="20" t="n">
        <v>0</v>
      </c>
      <c r="L176" s="20" t="n">
        <v>0</v>
      </c>
      <c r="M176" s="20" t="n">
        <v>0</v>
      </c>
      <c r="N176" s="20" t="n">
        <v>0</v>
      </c>
      <c r="V176" s="20" t="n">
        <v>0</v>
      </c>
      <c r="W176" s="20" t="n">
        <v>0</v>
      </c>
      <c r="X176" s="20" t="n">
        <v>0</v>
      </c>
    </row>
    <row r="177">
      <c r="A177" s="18" t="inlineStr">
        <is>
          <t>EntityTotalMember · 외부 고객 매출</t>
        </is>
      </c>
      <c r="I177" s="20" t="n">
        <v>21686</v>
      </c>
      <c r="M177" s="20" t="n">
        <v>24026</v>
      </c>
    </row>
    <row r="178">
      <c r="A178" s="18" t="inlineStr">
        <is>
          <t>PlasticReportableSegmentsMember · 부문 간 내부매출·대체</t>
        </is>
      </c>
      <c r="E178" s="20" t="n">
        <v>0</v>
      </c>
      <c r="I178" s="20" t="n">
        <v>1</v>
      </c>
      <c r="M178" s="20" t="n">
        <v>21</v>
      </c>
    </row>
    <row r="179">
      <c r="A179" s="18" t="inlineStr">
        <is>
          <t>NewMaterialReportableSegmentsMember · 부문 간 내부매출·대체</t>
        </is>
      </c>
      <c r="E179" s="20" t="n">
        <v>0</v>
      </c>
      <c r="I179" s="20" t="n">
        <v>0</v>
      </c>
      <c r="M179" s="20" t="n">
        <v>110</v>
      </c>
    </row>
    <row r="180">
      <c r="A180" s="18" t="inlineStr">
        <is>
          <t>ConstructionMaterialReportableSegmentsMember · 부문 간 내부매출·대체</t>
        </is>
      </c>
      <c r="E180" s="20" t="n">
        <v>8</v>
      </c>
      <c r="I180" s="20" t="n">
        <v>0</v>
      </c>
      <c r="M180" s="20" t="n">
        <v>1</v>
      </c>
    </row>
    <row r="181">
      <c r="A181" s="9" t="inlineStr">
        <is>
          <t>외부 고객 매출</t>
        </is>
      </c>
      <c r="C181" s="12" t="n">
        <v>19361</v>
      </c>
      <c r="D181" s="12" t="n">
        <v>20165</v>
      </c>
      <c r="E181" s="12" t="n">
        <v>19504</v>
      </c>
      <c r="F181" s="12" t="n">
        <v>19896</v>
      </c>
      <c r="G181" s="12" t="n">
        <v>19939</v>
      </c>
      <c r="H181" s="12" t="n">
        <v>21853</v>
      </c>
      <c r="I181" s="12" t="n">
        <v>21686</v>
      </c>
      <c r="J181" s="12" t="n">
        <v>21865</v>
      </c>
      <c r="K181" s="12" t="n">
        <v>20682</v>
      </c>
      <c r="L181" s="12" t="n">
        <v>22425</v>
      </c>
      <c r="V181" s="12" t="n">
        <v>20165</v>
      </c>
      <c r="W181" s="12" t="n">
        <v>21853</v>
      </c>
      <c r="X181" s="12" t="n">
        <v>22425</v>
      </c>
    </row>
    <row r="182">
      <c r="A182" s="43" t="inlineStr">
        <is>
          <t>YoY</t>
        </is>
      </c>
      <c r="B182" s="3" t="inlineStr">
        <is>
          <t>전년 같은 분기·전년 대비</t>
        </is>
      </c>
      <c r="G182" s="15">
        <f>IF(OR(G181="",C181=""),"",IF(C181&lt;=0,"",IFERROR(G181/C181-1,"")))</f>
        <v/>
      </c>
      <c r="H182" s="15">
        <f>IF(OR(H181="",D181=""),"",IF(D181&lt;=0,"",IFERROR(H181/D181-1,"")))</f>
        <v/>
      </c>
      <c r="I182" s="15">
        <f>IF(OR(I181="",E181=""),"",IF(E181&lt;=0,"",IFERROR(I181/E181-1,"")))</f>
        <v/>
      </c>
      <c r="J182" s="15">
        <f>IF(OR(J181="",F181=""),"",IF(F181&lt;=0,"",IFERROR(J181/F181-1,"")))</f>
        <v/>
      </c>
      <c r="K182" s="15">
        <f>IF(OR(K181="",G181=""),"",IF(G181&lt;=0,"",IFERROR(K181/G181-1,"")))</f>
        <v/>
      </c>
      <c r="L182" s="15">
        <f>IF(OR(L181="",H181=""),"",IF(H181&lt;=0,"",IFERROR(L181/H181-1,"")))</f>
        <v/>
      </c>
      <c r="V182" s="15">
        <f>IF(OR(V181="",U181=""),"",IF(U181&lt;=0,"",IFERROR(V181/U181-1,"")))</f>
        <v/>
      </c>
      <c r="W182" s="15">
        <f>IF(OR(W181="",V181=""),"",IF(V181&lt;=0,"",IFERROR(W181/V181-1,"")))</f>
        <v/>
      </c>
      <c r="X182" s="15">
        <f>IF(OR(X181="",W181=""),"",IF(W181&lt;=0,"",IFERROR(X181/W181-1,"")))</f>
        <v/>
      </c>
    </row>
    <row r="183">
      <c r="A183" s="18" t="inlineStr">
        <is>
          <t>SyntheticResinBusinessReportableSegmentsMember · 부문 간 내부매출·대체</t>
        </is>
      </c>
      <c r="C183" s="20" t="n">
        <v>1</v>
      </c>
      <c r="D183" s="20" t="n">
        <v>0</v>
      </c>
      <c r="G183" s="20" t="n">
        <v>1</v>
      </c>
      <c r="H183" s="20" t="n">
        <v>2</v>
      </c>
      <c r="K183" s="20" t="n">
        <v>1</v>
      </c>
      <c r="L183" s="20" t="n">
        <v>2</v>
      </c>
      <c r="V183" s="20" t="n">
        <v>0</v>
      </c>
      <c r="W183" s="20" t="n">
        <v>2</v>
      </c>
      <c r="X183" s="20" t="n">
        <v>2</v>
      </c>
    </row>
    <row r="184">
      <c r="A184" s="18" t="inlineStr">
        <is>
          <t>NewMaterialBusinessReportableSegmentsMember · 부문 간 내부매출·대체</t>
        </is>
      </c>
      <c r="C184" s="20" t="n">
        <v>0</v>
      </c>
      <c r="D184" s="20" t="n">
        <v>0</v>
      </c>
      <c r="G184" s="20" t="n">
        <v>0</v>
      </c>
      <c r="H184" s="20" t="n">
        <v>0</v>
      </c>
      <c r="K184" s="20" t="n">
        <v>0</v>
      </c>
      <c r="L184" s="20" t="n">
        <v>0</v>
      </c>
      <c r="V184" s="20" t="n">
        <v>0</v>
      </c>
      <c r="W184" s="20" t="n">
        <v>0</v>
      </c>
      <c r="X184" s="20" t="n">
        <v>0</v>
      </c>
    </row>
    <row r="185">
      <c r="A185" s="18" t="inlineStr">
        <is>
          <t>ConstructionMaterialBusinessReportableSegmentsMember · 부문 간 내부매출·대체</t>
        </is>
      </c>
      <c r="C185" s="20" t="n">
        <v>0</v>
      </c>
      <c r="D185" s="20" t="n">
        <v>1</v>
      </c>
      <c r="G185" s="20" t="n">
        <v>3</v>
      </c>
      <c r="H185" s="20" t="n">
        <v>7</v>
      </c>
      <c r="K185" s="20" t="n">
        <v>35</v>
      </c>
      <c r="L185" s="20" t="n">
        <v>18</v>
      </c>
      <c r="V185" s="20" t="n">
        <v>1</v>
      </c>
      <c r="W185" s="20" t="n">
        <v>7</v>
      </c>
      <c r="X185" s="20" t="n">
        <v>18</v>
      </c>
    </row>
    <row r="186">
      <c r="A186" s="18" t="inlineStr">
        <is>
          <t>보고부문 합계 · 부문 간 내부매출·대체</t>
        </is>
      </c>
      <c r="C186" s="20" t="n">
        <v>1</v>
      </c>
      <c r="D186" s="20" t="n">
        <v>2</v>
      </c>
      <c r="E186" s="20" t="n">
        <v>9</v>
      </c>
      <c r="F186" s="20" t="n">
        <v>9</v>
      </c>
      <c r="G186" s="20" t="n">
        <v>4</v>
      </c>
      <c r="H186" s="20" t="n">
        <v>9</v>
      </c>
      <c r="I186" s="20" t="n">
        <v>2</v>
      </c>
      <c r="J186" s="20" t="n">
        <v>60</v>
      </c>
      <c r="K186" s="20" t="n">
        <v>37</v>
      </c>
      <c r="L186" s="20" t="n">
        <v>19</v>
      </c>
      <c r="M186" s="20" t="n">
        <v>133</v>
      </c>
      <c r="N186" s="20" t="n">
        <v>194</v>
      </c>
      <c r="V186" s="20" t="n">
        <v>2</v>
      </c>
      <c r="W186" s="20" t="n">
        <v>9</v>
      </c>
      <c r="X186" s="20" t="n">
        <v>19</v>
      </c>
    </row>
    <row r="187">
      <c r="A187" s="18" t="inlineStr">
        <is>
          <t>기타 · 부문 간 내부매출·대체</t>
        </is>
      </c>
      <c r="C187" s="20" t="n">
        <v>204</v>
      </c>
      <c r="D187" s="20" t="n">
        <v>223</v>
      </c>
      <c r="E187" s="20" t="n">
        <v>200</v>
      </c>
      <c r="F187" s="20" t="n">
        <v>199</v>
      </c>
      <c r="G187" s="20" t="n">
        <v>196</v>
      </c>
      <c r="H187" s="20" t="n">
        <v>241</v>
      </c>
      <c r="I187" s="20" t="n">
        <v>195</v>
      </c>
      <c r="J187" s="20" t="n">
        <v>222</v>
      </c>
      <c r="K187" s="20" t="n">
        <v>210</v>
      </c>
      <c r="L187" s="20" t="n">
        <v>226</v>
      </c>
      <c r="M187" s="20" t="n">
        <v>306</v>
      </c>
      <c r="N187" s="20" t="n">
        <v>307</v>
      </c>
      <c r="V187" s="20" t="n">
        <v>223</v>
      </c>
      <c r="W187" s="20" t="n">
        <v>241</v>
      </c>
      <c r="X187" s="20" t="n">
        <v>226</v>
      </c>
    </row>
    <row r="188">
      <c r="A188" s="18" t="inlineStr">
        <is>
          <t>합계 · 부문 간 내부매출·대체</t>
        </is>
      </c>
      <c r="C188" s="20" t="n">
        <v>206</v>
      </c>
      <c r="D188" s="20" t="n">
        <v>225</v>
      </c>
      <c r="E188" s="20" t="n">
        <v>210</v>
      </c>
      <c r="F188" s="20" t="n">
        <v>208</v>
      </c>
      <c r="G188" s="20" t="n">
        <v>200</v>
      </c>
      <c r="H188" s="20" t="n">
        <v>249</v>
      </c>
      <c r="I188" s="20" t="n">
        <v>197</v>
      </c>
      <c r="J188" s="20" t="n">
        <v>283</v>
      </c>
      <c r="K188" s="20" t="n">
        <v>246</v>
      </c>
      <c r="L188" s="20" t="n">
        <v>246</v>
      </c>
      <c r="M188" s="20" t="n">
        <v>439</v>
      </c>
      <c r="N188" s="20" t="n">
        <v>501</v>
      </c>
      <c r="V188" s="20" t="n">
        <v>225</v>
      </c>
      <c r="W188" s="20" t="n">
        <v>249</v>
      </c>
      <c r="X188" s="20" t="n">
        <v>246</v>
      </c>
    </row>
    <row r="189">
      <c r="A189" s="18" t="inlineStr">
        <is>
          <t>조정액 · 부문 간 내부매출·대체</t>
        </is>
      </c>
      <c r="C189" s="20" t="n">
        <v>-206</v>
      </c>
      <c r="D189" s="20" t="n">
        <v>-225</v>
      </c>
      <c r="E189" s="20" t="n">
        <v>-210</v>
      </c>
      <c r="F189" s="20" t="n">
        <v>-208</v>
      </c>
      <c r="G189" s="20" t="n">
        <v>-200</v>
      </c>
      <c r="H189" s="20" t="n">
        <v>-249</v>
      </c>
      <c r="I189" s="20" t="n">
        <v>-197</v>
      </c>
      <c r="J189" s="20" t="n">
        <v>-283</v>
      </c>
      <c r="K189" s="20" t="n">
        <v>-246</v>
      </c>
      <c r="L189" s="20" t="n">
        <v>-246</v>
      </c>
      <c r="M189" s="20" t="n">
        <v>-439</v>
      </c>
      <c r="N189" s="20" t="n">
        <v>-501</v>
      </c>
      <c r="V189" s="20" t="n">
        <v>-225</v>
      </c>
      <c r="W189" s="20" t="n">
        <v>-249</v>
      </c>
      <c r="X189" s="20" t="n">
        <v>-246</v>
      </c>
    </row>
    <row r="190">
      <c r="A190" s="18" t="inlineStr">
        <is>
          <t>EntityTotalMember · 부문 간 내부매출·대체</t>
        </is>
      </c>
      <c r="I190" s="20" t="n">
        <v>0</v>
      </c>
      <c r="M190" s="20" t="n">
        <v>0</v>
      </c>
    </row>
    <row r="191">
      <c r="A191" s="18" t="inlineStr">
        <is>
          <t>PlasticReportableSegmentsMember · 계</t>
        </is>
      </c>
      <c r="E191" s="20" t="n">
        <v>12765</v>
      </c>
      <c r="I191" s="20" t="n">
        <v>13347</v>
      </c>
      <c r="M191" s="20" t="n">
        <v>15620</v>
      </c>
    </row>
    <row r="192">
      <c r="A192" s="43" t="inlineStr">
        <is>
          <t>YoY</t>
        </is>
      </c>
      <c r="B192" s="3" t="inlineStr">
        <is>
          <t>전년 같은 분기·전년 대비</t>
        </is>
      </c>
      <c r="I192" s="15">
        <f>IF(OR(I191="",E191=""),"",IF(E191&lt;=0,"",IFERROR(I191/E191-1,"")))</f>
        <v/>
      </c>
      <c r="M192" s="15">
        <f>IF(OR(M191="",I191=""),"",IF(I191&lt;=0,"",IFERROR(M191/I191-1,"")))</f>
        <v/>
      </c>
    </row>
    <row r="193">
      <c r="A193" s="18" t="inlineStr">
        <is>
          <t>NewMaterialReportableSegmentsMember · 계</t>
        </is>
      </c>
      <c r="E193" s="20" t="n">
        <v>3272</v>
      </c>
      <c r="I193" s="20" t="n">
        <v>4611</v>
      </c>
      <c r="M193" s="20" t="n">
        <v>4905</v>
      </c>
    </row>
    <row r="194">
      <c r="A194" s="43" t="inlineStr">
        <is>
          <t>YoY</t>
        </is>
      </c>
      <c r="B194" s="3" t="inlineStr">
        <is>
          <t>전년 같은 분기·전년 대비</t>
        </is>
      </c>
      <c r="I194" s="15">
        <f>IF(OR(I193="",E193=""),"",IF(E193&lt;=0,"",IFERROR(I193/E193-1,"")))</f>
        <v/>
      </c>
      <c r="M194" s="15">
        <f>IF(OR(M193="",I193=""),"",IF(I193&lt;=0,"",IFERROR(M193/I193-1,"")))</f>
        <v/>
      </c>
    </row>
    <row r="195">
      <c r="A195" s="18" t="inlineStr">
        <is>
          <t>ConstructionMaterialReportableSegmentsMember · 계</t>
        </is>
      </c>
      <c r="E195" s="20" t="n">
        <v>3046</v>
      </c>
      <c r="I195" s="20" t="n">
        <v>3301</v>
      </c>
      <c r="M195" s="20" t="n">
        <v>3164</v>
      </c>
    </row>
    <row r="196">
      <c r="A196" s="43" t="inlineStr">
        <is>
          <t>YoY</t>
        </is>
      </c>
      <c r="B196" s="3" t="inlineStr">
        <is>
          <t>전년 같은 분기·전년 대비</t>
        </is>
      </c>
      <c r="I196" s="15">
        <f>IF(OR(I195="",E195=""),"",IF(E195&lt;=0,"",IFERROR(I195/E195-1,"")))</f>
        <v/>
      </c>
      <c r="M196" s="15">
        <f>IF(OR(M195="",I195=""),"",IF(I195&lt;=0,"",IFERROR(M195/I195-1,"")))</f>
        <v/>
      </c>
    </row>
    <row r="197">
      <c r="A197" s="18" t="inlineStr">
        <is>
          <t>부문 간 내부매출·대체</t>
        </is>
      </c>
      <c r="C197" s="20" t="n">
        <v>0</v>
      </c>
      <c r="D197" s="20" t="n">
        <v>0</v>
      </c>
      <c r="E197" s="20" t="n">
        <v>0</v>
      </c>
      <c r="F197" s="20" t="n">
        <v>0</v>
      </c>
      <c r="G197" s="20" t="n">
        <v>0</v>
      </c>
      <c r="H197" s="20" t="n">
        <v>0</v>
      </c>
      <c r="I197" s="20" t="n">
        <v>0</v>
      </c>
      <c r="J197" s="20" t="n">
        <v>0</v>
      </c>
      <c r="K197" s="20" t="n">
        <v>0</v>
      </c>
      <c r="L197" s="20" t="n">
        <v>0</v>
      </c>
      <c r="V197" s="20" t="n">
        <v>0</v>
      </c>
      <c r="W197" s="20" t="n">
        <v>0</v>
      </c>
      <c r="X197" s="20" t="n">
        <v>0</v>
      </c>
    </row>
    <row r="198">
      <c r="A198" s="18" t="inlineStr">
        <is>
          <t>SyntheticResinBusinessReportableSegmentsMember · 계</t>
        </is>
      </c>
      <c r="C198" s="20" t="n">
        <v>12428</v>
      </c>
      <c r="D198" s="20" t="n">
        <v>12820</v>
      </c>
      <c r="G198" s="20" t="n">
        <v>12927</v>
      </c>
      <c r="H198" s="20" t="n">
        <v>13572</v>
      </c>
      <c r="K198" s="20" t="n">
        <v>12876</v>
      </c>
      <c r="L198" s="20" t="n">
        <v>13386</v>
      </c>
      <c r="V198" s="20" t="n">
        <v>12820</v>
      </c>
      <c r="W198" s="20" t="n">
        <v>13572</v>
      </c>
      <c r="X198" s="20" t="n">
        <v>13386</v>
      </c>
    </row>
    <row r="199">
      <c r="A199" s="43" t="inlineStr">
        <is>
          <t>YoY</t>
        </is>
      </c>
      <c r="B199" s="3" t="inlineStr">
        <is>
          <t>전년 같은 분기·전년 대비</t>
        </is>
      </c>
      <c r="G199" s="15">
        <f>IF(OR(G198="",C198=""),"",IF(C198&lt;=0,"",IFERROR(G198/C198-1,"")))</f>
        <v/>
      </c>
      <c r="H199" s="15">
        <f>IF(OR(H198="",D198=""),"",IF(D198&lt;=0,"",IFERROR(H198/D198-1,"")))</f>
        <v/>
      </c>
      <c r="K199" s="15">
        <f>IF(OR(K198="",G198=""),"",IF(G198&lt;=0,"",IFERROR(K198/G198-1,"")))</f>
        <v/>
      </c>
      <c r="L199" s="15">
        <f>IF(OR(L198="",H198=""),"",IF(H198&lt;=0,"",IFERROR(L198/H198-1,"")))</f>
        <v/>
      </c>
      <c r="V199" s="15">
        <f>IF(OR(V198="",U198=""),"",IF(U198&lt;=0,"",IFERROR(V198/U198-1,"")))</f>
        <v/>
      </c>
      <c r="W199" s="15">
        <f>IF(OR(W198="",V198=""),"",IF(V198&lt;=0,"",IFERROR(W198/V198-1,"")))</f>
        <v/>
      </c>
      <c r="X199" s="15">
        <f>IF(OR(X198="",W198=""),"",IF(W198&lt;=0,"",IFERROR(X198/W198-1,"")))</f>
        <v/>
      </c>
    </row>
    <row r="200">
      <c r="A200" s="18" t="inlineStr">
        <is>
          <t>NewMaterialBusinessReportableSegmentsMember · 계</t>
        </is>
      </c>
      <c r="C200" s="20" t="n">
        <v>3587</v>
      </c>
      <c r="D200" s="20" t="n">
        <v>3644</v>
      </c>
      <c r="G200" s="20" t="n">
        <v>3292</v>
      </c>
      <c r="H200" s="20" t="n">
        <v>4223</v>
      </c>
      <c r="K200" s="20" t="n">
        <v>4061</v>
      </c>
      <c r="L200" s="20" t="n">
        <v>5141</v>
      </c>
      <c r="V200" s="20" t="n">
        <v>3644</v>
      </c>
      <c r="W200" s="20" t="n">
        <v>4223</v>
      </c>
      <c r="X200" s="20" t="n">
        <v>5141</v>
      </c>
    </row>
    <row r="201">
      <c r="A201" s="43" t="inlineStr">
        <is>
          <t>YoY</t>
        </is>
      </c>
      <c r="B201" s="3" t="inlineStr">
        <is>
          <t>전년 같은 분기·전년 대비</t>
        </is>
      </c>
      <c r="G201" s="15">
        <f>IF(OR(G200="",C200=""),"",IF(C200&lt;=0,"",IFERROR(G200/C200-1,"")))</f>
        <v/>
      </c>
      <c r="H201" s="15">
        <f>IF(OR(H200="",D200=""),"",IF(D200&lt;=0,"",IFERROR(H200/D200-1,"")))</f>
        <v/>
      </c>
      <c r="K201" s="15">
        <f>IF(OR(K200="",G200=""),"",IF(G200&lt;=0,"",IFERROR(K200/G200-1,"")))</f>
        <v/>
      </c>
      <c r="L201" s="15">
        <f>IF(OR(L200="",H200=""),"",IF(H200&lt;=0,"",IFERROR(L200/H200-1,"")))</f>
        <v/>
      </c>
      <c r="V201" s="15">
        <f>IF(OR(V200="",U200=""),"",IF(U200&lt;=0,"",IFERROR(V200/U200-1,"")))</f>
        <v/>
      </c>
      <c r="W201" s="15">
        <f>IF(OR(W200="",V200=""),"",IF(V200&lt;=0,"",IFERROR(W200/V200-1,"")))</f>
        <v/>
      </c>
      <c r="X201" s="15">
        <f>IF(OR(X200="",W200=""),"",IF(W200&lt;=0,"",IFERROR(X200/W200-1,"")))</f>
        <v/>
      </c>
    </row>
    <row r="202">
      <c r="A202" s="18" t="inlineStr">
        <is>
          <t>ConstructionMaterialBusinessReportableSegmentsMember · 계</t>
        </is>
      </c>
      <c r="C202" s="20" t="n">
        <v>2967</v>
      </c>
      <c r="D202" s="20" t="n">
        <v>3280</v>
      </c>
      <c r="G202" s="20" t="n">
        <v>3254</v>
      </c>
      <c r="H202" s="20" t="n">
        <v>3568</v>
      </c>
      <c r="K202" s="20" t="n">
        <v>3307</v>
      </c>
      <c r="L202" s="20" t="n">
        <v>3414</v>
      </c>
      <c r="V202" s="20" t="n">
        <v>3280</v>
      </c>
      <c r="W202" s="20" t="n">
        <v>3568</v>
      </c>
      <c r="X202" s="20" t="n">
        <v>3414</v>
      </c>
    </row>
    <row r="203">
      <c r="A203" s="43" t="inlineStr">
        <is>
          <t>YoY</t>
        </is>
      </c>
      <c r="B203" s="3" t="inlineStr">
        <is>
          <t>전년 같은 분기·전년 대비</t>
        </is>
      </c>
      <c r="G203" s="15">
        <f>IF(OR(G202="",C202=""),"",IF(C202&lt;=0,"",IFERROR(G202/C202-1,"")))</f>
        <v/>
      </c>
      <c r="H203" s="15">
        <f>IF(OR(H202="",D202=""),"",IF(D202&lt;=0,"",IFERROR(H202/D202-1,"")))</f>
        <v/>
      </c>
      <c r="K203" s="15">
        <f>IF(OR(K202="",G202=""),"",IF(G202&lt;=0,"",IFERROR(K202/G202-1,"")))</f>
        <v/>
      </c>
      <c r="L203" s="15">
        <f>IF(OR(L202="",H202=""),"",IF(H202&lt;=0,"",IFERROR(L202/H202-1,"")))</f>
        <v/>
      </c>
      <c r="V203" s="15">
        <f>IF(OR(V202="",U202=""),"",IF(U202&lt;=0,"",IFERROR(V202/U202-1,"")))</f>
        <v/>
      </c>
      <c r="W203" s="15">
        <f>IF(OR(W202="",V202=""),"",IF(V202&lt;=0,"",IFERROR(W202/V202-1,"")))</f>
        <v/>
      </c>
      <c r="X203" s="15">
        <f>IF(OR(X202="",W202=""),"",IF(W202&lt;=0,"",IFERROR(X202/W202-1,"")))</f>
        <v/>
      </c>
    </row>
    <row r="204">
      <c r="A204" s="18" t="inlineStr">
        <is>
          <t>보고부문 합계 · 계</t>
        </is>
      </c>
      <c r="C204" s="20" t="n">
        <v>18981</v>
      </c>
      <c r="D204" s="20" t="n">
        <v>19745</v>
      </c>
      <c r="E204" s="20" t="n">
        <v>19085</v>
      </c>
      <c r="F204" s="20" t="n">
        <v>19441</v>
      </c>
      <c r="G204" s="20" t="n">
        <v>19474</v>
      </c>
      <c r="H204" s="20" t="n">
        <v>21362</v>
      </c>
      <c r="I204" s="20" t="n">
        <v>21260</v>
      </c>
      <c r="J204" s="20" t="n">
        <v>21459</v>
      </c>
      <c r="K204" s="20" t="n">
        <v>20245</v>
      </c>
      <c r="L204" s="20" t="n">
        <v>21940</v>
      </c>
      <c r="M204" s="20" t="n">
        <v>23690</v>
      </c>
      <c r="N204" s="20" t="n">
        <v>28156</v>
      </c>
      <c r="V204" s="20" t="n">
        <v>19745</v>
      </c>
      <c r="W204" s="20" t="n">
        <v>21362</v>
      </c>
      <c r="X204" s="20" t="n">
        <v>21940</v>
      </c>
    </row>
    <row r="205">
      <c r="A205" s="43" t="inlineStr">
        <is>
          <t>YoY</t>
        </is>
      </c>
      <c r="B205" s="3" t="inlineStr">
        <is>
          <t>전년 같은 분기·전년 대비</t>
        </is>
      </c>
      <c r="G205" s="15">
        <f>IF(OR(G204="",C204=""),"",IF(C204&lt;=0,"",IFERROR(G204/C204-1,"")))</f>
        <v/>
      </c>
      <c r="H205" s="15">
        <f>IF(OR(H204="",D204=""),"",IF(D204&lt;=0,"",IFERROR(H204/D204-1,"")))</f>
        <v/>
      </c>
      <c r="I205" s="15">
        <f>IF(OR(I204="",E204=""),"",IF(E204&lt;=0,"",IFERROR(I204/E204-1,"")))</f>
        <v/>
      </c>
      <c r="J205" s="15">
        <f>IF(OR(J204="",F204=""),"",IF(F204&lt;=0,"",IFERROR(J204/F204-1,"")))</f>
        <v/>
      </c>
      <c r="K205" s="15">
        <f>IF(OR(K204="",G204=""),"",IF(G204&lt;=0,"",IFERROR(K204/G204-1,"")))</f>
        <v/>
      </c>
      <c r="L205" s="15">
        <f>IF(OR(L204="",H204=""),"",IF(H204&lt;=0,"",IFERROR(L204/H204-1,"")))</f>
        <v/>
      </c>
      <c r="M205" s="15">
        <f>IF(OR(M204="",I204=""),"",IF(I204&lt;=0,"",IFERROR(M204/I204-1,"")))</f>
        <v/>
      </c>
      <c r="N205" s="15">
        <f>IF(OR(N204="",J204=""),"",IF(J204&lt;=0,"",IFERROR(N204/J204-1,"")))</f>
        <v/>
      </c>
      <c r="V205" s="15">
        <f>IF(OR(V204="",U204=""),"",IF(U204&lt;=0,"",IFERROR(V204/U204-1,"")))</f>
        <v/>
      </c>
      <c r="W205" s="15">
        <f>IF(OR(W204="",V204=""),"",IF(V204&lt;=0,"",IFERROR(W204/V204-1,"")))</f>
        <v/>
      </c>
      <c r="X205" s="15">
        <f>IF(OR(X204="",W204=""),"",IF(W204&lt;=0,"",IFERROR(X204/W204-1,"")))</f>
        <v/>
      </c>
    </row>
    <row r="206">
      <c r="A206" s="18" t="inlineStr">
        <is>
          <t>기타 · 계</t>
        </is>
      </c>
      <c r="C206" s="20" t="n">
        <v>584</v>
      </c>
      <c r="D206" s="20" t="n">
        <v>645</v>
      </c>
      <c r="E206" s="20" t="n">
        <v>629</v>
      </c>
      <c r="F206" s="20" t="n">
        <v>662</v>
      </c>
      <c r="G206" s="20" t="n">
        <v>667</v>
      </c>
      <c r="H206" s="20" t="n">
        <v>738</v>
      </c>
      <c r="I206" s="20" t="n">
        <v>623</v>
      </c>
      <c r="J206" s="20" t="n">
        <v>689</v>
      </c>
      <c r="K206" s="20" t="n">
        <v>683</v>
      </c>
      <c r="L206" s="20" t="n">
        <v>731</v>
      </c>
      <c r="M206" s="20" t="n">
        <v>776</v>
      </c>
      <c r="N206" s="20" t="n">
        <v>817</v>
      </c>
      <c r="V206" s="20" t="n">
        <v>645</v>
      </c>
      <c r="W206" s="20" t="n">
        <v>738</v>
      </c>
      <c r="X206" s="20" t="n">
        <v>731</v>
      </c>
    </row>
    <row r="207">
      <c r="A207" s="43" t="inlineStr">
        <is>
          <t>YoY</t>
        </is>
      </c>
      <c r="B207" s="3" t="inlineStr">
        <is>
          <t>전년 같은 분기·전년 대비</t>
        </is>
      </c>
      <c r="G207" s="15">
        <f>IF(OR(G206="",C206=""),"",IF(C206&lt;=0,"",IFERROR(G206/C206-1,"")))</f>
        <v/>
      </c>
      <c r="H207" s="15">
        <f>IF(OR(H206="",D206=""),"",IF(D206&lt;=0,"",IFERROR(H206/D206-1,"")))</f>
        <v/>
      </c>
      <c r="I207" s="15">
        <f>IF(OR(I206="",E206=""),"",IF(E206&lt;=0,"",IFERROR(I206/E206-1,"")))</f>
        <v/>
      </c>
      <c r="J207" s="15">
        <f>IF(OR(J206="",F206=""),"",IF(F206&lt;=0,"",IFERROR(J206/F206-1,"")))</f>
        <v/>
      </c>
      <c r="K207" s="15">
        <f>IF(OR(K206="",G206=""),"",IF(G206&lt;=0,"",IFERROR(K206/G206-1,"")))</f>
        <v/>
      </c>
      <c r="L207" s="15">
        <f>IF(OR(L206="",H206=""),"",IF(H206&lt;=0,"",IFERROR(L206/H206-1,"")))</f>
        <v/>
      </c>
      <c r="M207" s="15">
        <f>IF(OR(M206="",I206=""),"",IF(I206&lt;=0,"",IFERROR(M206/I206-1,"")))</f>
        <v/>
      </c>
      <c r="N207" s="15">
        <f>IF(OR(N206="",J206=""),"",IF(J206&lt;=0,"",IFERROR(N206/J206-1,"")))</f>
        <v/>
      </c>
      <c r="V207" s="15">
        <f>IF(OR(V206="",U206=""),"",IF(U206&lt;=0,"",IFERROR(V206/U206-1,"")))</f>
        <v/>
      </c>
      <c r="W207" s="15">
        <f>IF(OR(W206="",V206=""),"",IF(V206&lt;=0,"",IFERROR(W206/V206-1,"")))</f>
        <v/>
      </c>
      <c r="X207" s="15">
        <f>IF(OR(X206="",W206=""),"",IF(W206&lt;=0,"",IFERROR(X206/W206-1,"")))</f>
        <v/>
      </c>
    </row>
    <row r="208">
      <c r="A208" s="18" t="inlineStr">
        <is>
          <t>합계 · 계</t>
        </is>
      </c>
      <c r="C208" s="20" t="n">
        <v>19566</v>
      </c>
      <c r="D208" s="20" t="n">
        <v>20390</v>
      </c>
      <c r="E208" s="20" t="n">
        <v>19714</v>
      </c>
      <c r="F208" s="20" t="n">
        <v>20104</v>
      </c>
      <c r="G208" s="20" t="n">
        <v>20140</v>
      </c>
      <c r="H208" s="20" t="n">
        <v>22101</v>
      </c>
      <c r="I208" s="20" t="n">
        <v>21884</v>
      </c>
      <c r="J208" s="20" t="n">
        <v>22147</v>
      </c>
      <c r="K208" s="20" t="n">
        <v>20928</v>
      </c>
      <c r="L208" s="20" t="n">
        <v>22671</v>
      </c>
      <c r="M208" s="20" t="n">
        <v>24466</v>
      </c>
      <c r="N208" s="20" t="n">
        <v>28973</v>
      </c>
      <c r="V208" s="20" t="n">
        <v>20390</v>
      </c>
      <c r="W208" s="20" t="n">
        <v>22101</v>
      </c>
      <c r="X208" s="20" t="n">
        <v>22671</v>
      </c>
    </row>
    <row r="209">
      <c r="A209" s="43" t="inlineStr">
        <is>
          <t>YoY</t>
        </is>
      </c>
      <c r="B209" s="3" t="inlineStr">
        <is>
          <t>전년 같은 분기·전년 대비</t>
        </is>
      </c>
      <c r="G209" s="15">
        <f>IF(OR(G208="",C208=""),"",IF(C208&lt;=0,"",IFERROR(G208/C208-1,"")))</f>
        <v/>
      </c>
      <c r="H209" s="15">
        <f>IF(OR(H208="",D208=""),"",IF(D208&lt;=0,"",IFERROR(H208/D208-1,"")))</f>
        <v/>
      </c>
      <c r="I209" s="15">
        <f>IF(OR(I208="",E208=""),"",IF(E208&lt;=0,"",IFERROR(I208/E208-1,"")))</f>
        <v/>
      </c>
      <c r="J209" s="15">
        <f>IF(OR(J208="",F208=""),"",IF(F208&lt;=0,"",IFERROR(J208/F208-1,"")))</f>
        <v/>
      </c>
      <c r="K209" s="15">
        <f>IF(OR(K208="",G208=""),"",IF(G208&lt;=0,"",IFERROR(K208/G208-1,"")))</f>
        <v/>
      </c>
      <c r="L209" s="15">
        <f>IF(OR(L208="",H208=""),"",IF(H208&lt;=0,"",IFERROR(L208/H208-1,"")))</f>
        <v/>
      </c>
      <c r="M209" s="15">
        <f>IF(OR(M208="",I208=""),"",IF(I208&lt;=0,"",IFERROR(M208/I208-1,"")))</f>
        <v/>
      </c>
      <c r="N209" s="15">
        <f>IF(OR(N208="",J208=""),"",IF(J208&lt;=0,"",IFERROR(N208/J208-1,"")))</f>
        <v/>
      </c>
      <c r="V209" s="15">
        <f>IF(OR(V208="",U208=""),"",IF(U208&lt;=0,"",IFERROR(V208/U208-1,"")))</f>
        <v/>
      </c>
      <c r="W209" s="15">
        <f>IF(OR(W208="",V208=""),"",IF(V208&lt;=0,"",IFERROR(W208/V208-1,"")))</f>
        <v/>
      </c>
      <c r="X209" s="15">
        <f>IF(OR(X208="",W208=""),"",IF(W208&lt;=0,"",IFERROR(X208/W208-1,"")))</f>
        <v/>
      </c>
    </row>
    <row r="210">
      <c r="A210" s="18" t="inlineStr">
        <is>
          <t>조정액 · 계</t>
        </is>
      </c>
      <c r="C210" s="20" t="n">
        <v>-206</v>
      </c>
      <c r="D210" s="20" t="n">
        <v>-225</v>
      </c>
      <c r="E210" s="20" t="n">
        <v>-210</v>
      </c>
      <c r="F210" s="20" t="n">
        <v>-208</v>
      </c>
      <c r="G210" s="20" t="n">
        <v>-200</v>
      </c>
      <c r="H210" s="20" t="n">
        <v>-249</v>
      </c>
      <c r="I210" s="20" t="n">
        <v>-197</v>
      </c>
      <c r="J210" s="20" t="n">
        <v>-283</v>
      </c>
      <c r="K210" s="20" t="n">
        <v>-246</v>
      </c>
      <c r="L210" s="20" t="n">
        <v>-246</v>
      </c>
      <c r="M210" s="20" t="n">
        <v>-439</v>
      </c>
      <c r="N210" s="20" t="n">
        <v>-501</v>
      </c>
      <c r="V210" s="20" t="n">
        <v>-225</v>
      </c>
      <c r="W210" s="20" t="n">
        <v>-249</v>
      </c>
      <c r="X210" s="20" t="n">
        <v>-246</v>
      </c>
    </row>
    <row r="211">
      <c r="A211" s="18" t="inlineStr">
        <is>
          <t>EntityTotalMember · 계</t>
        </is>
      </c>
      <c r="I211" s="20" t="n">
        <v>21686</v>
      </c>
      <c r="M211" s="20" t="n">
        <v>24026</v>
      </c>
    </row>
    <row r="212">
      <c r="A212" s="18" t="inlineStr">
        <is>
          <t>PlasticReportableSegmentsMember · 부문 이익</t>
        </is>
      </c>
      <c r="E212" s="20" t="n">
        <v>1238</v>
      </c>
      <c r="I212" s="20" t="n">
        <v>1493</v>
      </c>
      <c r="M212" s="20" t="n">
        <v>1856</v>
      </c>
    </row>
    <row r="213">
      <c r="A213" s="43" t="inlineStr">
        <is>
          <t>OPM</t>
        </is>
      </c>
      <c r="B213" s="3" t="inlineStr">
        <is>
          <t>영업이익 ÷ 매출</t>
        </is>
      </c>
      <c r="E213" s="15">
        <f>IF(OR(E212="",E191=""),"",IF(E191&lt;=0,"",IFERROR(E212/E191,"")))</f>
        <v/>
      </c>
      <c r="I213" s="15">
        <f>IF(OR(I212="",I191=""),"",IF(I191&lt;=0,"",IFERROR(I212/I191,"")))</f>
        <v/>
      </c>
      <c r="M213" s="15">
        <f>IF(OR(M212="",M191=""),"",IF(M191&lt;=0,"",IFERROR(M212/M191,"")))</f>
        <v/>
      </c>
    </row>
    <row r="214">
      <c r="A214" s="43" t="inlineStr">
        <is>
          <t>YoY</t>
        </is>
      </c>
      <c r="B214" s="3" t="inlineStr">
        <is>
          <t>전년 같은 분기·전년 대비</t>
        </is>
      </c>
      <c r="I214" s="15">
        <f>IF(OR(I212="",E212=""),"",IF(E212&lt;=0,"",IFERROR(I212/E212-1,"")))</f>
        <v/>
      </c>
      <c r="M214" s="15">
        <f>IF(OR(M212="",I212=""),"",IF(I212&lt;=0,"",IFERROR(M212/I212-1,"")))</f>
        <v/>
      </c>
    </row>
    <row r="215">
      <c r="A215" s="18" t="inlineStr">
        <is>
          <t>NewMaterialReportableSegmentsMember · 부문 이익</t>
        </is>
      </c>
      <c r="E215" s="20" t="n">
        <v>251</v>
      </c>
      <c r="I215" s="20" t="n">
        <v>497</v>
      </c>
      <c r="M215" s="20" t="n">
        <v>811</v>
      </c>
    </row>
    <row r="216">
      <c r="A216" s="43" t="inlineStr">
        <is>
          <t>OPM</t>
        </is>
      </c>
      <c r="B216" s="3" t="inlineStr">
        <is>
          <t>영업이익 ÷ 매출</t>
        </is>
      </c>
      <c r="E216" s="15">
        <f>IF(OR(E215="",E193=""),"",IF(E193&lt;=0,"",IFERROR(E215/E193,"")))</f>
        <v/>
      </c>
      <c r="I216" s="15">
        <f>IF(OR(I215="",I193=""),"",IF(I193&lt;=0,"",IFERROR(I215/I193,"")))</f>
        <v/>
      </c>
      <c r="M216" s="15">
        <f>IF(OR(M215="",M193=""),"",IF(M193&lt;=0,"",IFERROR(M215/M193,"")))</f>
        <v/>
      </c>
    </row>
    <row r="217">
      <c r="A217" s="43" t="inlineStr">
        <is>
          <t>YoY</t>
        </is>
      </c>
      <c r="B217" s="3" t="inlineStr">
        <is>
          <t>전년 같은 분기·전년 대비</t>
        </is>
      </c>
      <c r="I217" s="15">
        <f>IF(OR(I215="",E215=""),"",IF(E215&lt;=0,"",IFERROR(I215/E215-1,"")))</f>
        <v/>
      </c>
      <c r="M217" s="15">
        <f>IF(OR(M215="",I215=""),"",IF(I215&lt;=0,"",IFERROR(M215/I215-1,"")))</f>
        <v/>
      </c>
    </row>
    <row r="218">
      <c r="A218" s="18" t="inlineStr">
        <is>
          <t>ConstructionMaterialReportableSegmentsMember · 부문 이익</t>
        </is>
      </c>
      <c r="E218" s="20" t="n">
        <v>210</v>
      </c>
      <c r="I218" s="20" t="n">
        <v>245</v>
      </c>
      <c r="M218" s="20" t="n">
        <v>156</v>
      </c>
    </row>
    <row r="219">
      <c r="A219" s="43" t="inlineStr">
        <is>
          <t>OPM</t>
        </is>
      </c>
      <c r="B219" s="3" t="inlineStr">
        <is>
          <t>영업이익 ÷ 매출</t>
        </is>
      </c>
      <c r="E219" s="15">
        <f>IF(OR(E218="",E195=""),"",IF(E195&lt;=0,"",IFERROR(E218/E195,"")))</f>
        <v/>
      </c>
      <c r="I219" s="15">
        <f>IF(OR(I218="",I195=""),"",IF(I195&lt;=0,"",IFERROR(I218/I195,"")))</f>
        <v/>
      </c>
      <c r="M219" s="15">
        <f>IF(OR(M218="",M195=""),"",IF(M195&lt;=0,"",IFERROR(M218/M195,"")))</f>
        <v/>
      </c>
    </row>
    <row r="220">
      <c r="A220" s="43" t="inlineStr">
        <is>
          <t>YoY</t>
        </is>
      </c>
      <c r="B220" s="3" t="inlineStr">
        <is>
          <t>전년 같은 분기·전년 대비</t>
        </is>
      </c>
      <c r="I220" s="15">
        <f>IF(OR(I218="",E218=""),"",IF(E218&lt;=0,"",IFERROR(I218/E218-1,"")))</f>
        <v/>
      </c>
      <c r="M220" s="15">
        <f>IF(OR(M218="",I218=""),"",IF(I218&lt;=0,"",IFERROR(M218/I218-1,"")))</f>
        <v/>
      </c>
    </row>
    <row r="221">
      <c r="A221" s="9" t="inlineStr">
        <is>
          <t>계</t>
        </is>
      </c>
      <c r="C221" s="12" t="n">
        <v>19361</v>
      </c>
      <c r="D221" s="12" t="n">
        <v>20165</v>
      </c>
      <c r="E221" s="12" t="n">
        <v>19504</v>
      </c>
      <c r="F221" s="12" t="n">
        <v>19896</v>
      </c>
      <c r="G221" s="12" t="n">
        <v>19939</v>
      </c>
      <c r="H221" s="12" t="n">
        <v>21853</v>
      </c>
      <c r="I221" s="12" t="n">
        <v>21686</v>
      </c>
      <c r="J221" s="12" t="n">
        <v>21865</v>
      </c>
      <c r="K221" s="12" t="n">
        <v>20682</v>
      </c>
      <c r="L221" s="12" t="n">
        <v>22425</v>
      </c>
      <c r="V221" s="12" t="n">
        <v>20165</v>
      </c>
      <c r="W221" s="12" t="n">
        <v>21853</v>
      </c>
      <c r="X221" s="12" t="n">
        <v>22425</v>
      </c>
    </row>
    <row r="222">
      <c r="A222" s="43" t="inlineStr">
        <is>
          <t>YoY</t>
        </is>
      </c>
      <c r="B222" s="3" t="inlineStr">
        <is>
          <t>전년 같은 분기·전년 대비</t>
        </is>
      </c>
      <c r="G222" s="15">
        <f>IF(OR(G221="",C221=""),"",IF(C221&lt;=0,"",IFERROR(G221/C221-1,"")))</f>
        <v/>
      </c>
      <c r="H222" s="15">
        <f>IF(OR(H221="",D221=""),"",IF(D221&lt;=0,"",IFERROR(H221/D221-1,"")))</f>
        <v/>
      </c>
      <c r="I222" s="15">
        <f>IF(OR(I221="",E221=""),"",IF(E221&lt;=0,"",IFERROR(I221/E221-1,"")))</f>
        <v/>
      </c>
      <c r="J222" s="15">
        <f>IF(OR(J221="",F221=""),"",IF(F221&lt;=0,"",IFERROR(J221/F221-1,"")))</f>
        <v/>
      </c>
      <c r="K222" s="15">
        <f>IF(OR(K221="",G221=""),"",IF(G221&lt;=0,"",IFERROR(K221/G221-1,"")))</f>
        <v/>
      </c>
      <c r="L222" s="15">
        <f>IF(OR(L221="",H221=""),"",IF(H221&lt;=0,"",IFERROR(L221/H221-1,"")))</f>
        <v/>
      </c>
      <c r="V222" s="15">
        <f>IF(OR(V221="",U221=""),"",IF(U221&lt;=0,"",IFERROR(V221/U221-1,"")))</f>
        <v/>
      </c>
      <c r="W222" s="15">
        <f>IF(OR(W221="",V221=""),"",IF(V221&lt;=0,"",IFERROR(W221/V221-1,"")))</f>
        <v/>
      </c>
      <c r="X222" s="15">
        <f>IF(OR(X221="",W221=""),"",IF(W221&lt;=0,"",IFERROR(X221/W221-1,"")))</f>
        <v/>
      </c>
    </row>
    <row r="223">
      <c r="A223" s="18" t="inlineStr">
        <is>
          <t>SyntheticResinBusinessReportableSegmentsMember · 부문 이익</t>
        </is>
      </c>
      <c r="C223" s="20" t="n">
        <v>930</v>
      </c>
      <c r="D223" s="20" t="n">
        <v>1137</v>
      </c>
      <c r="G223" s="20" t="n">
        <v>972</v>
      </c>
      <c r="H223" s="20" t="n">
        <v>1247</v>
      </c>
      <c r="K223" s="20" t="n">
        <v>1391</v>
      </c>
      <c r="L223" s="20" t="n">
        <v>1265</v>
      </c>
      <c r="V223" s="20" t="n">
        <v>1137</v>
      </c>
      <c r="W223" s="20" t="n">
        <v>1247</v>
      </c>
      <c r="X223" s="20" t="n">
        <v>1265</v>
      </c>
    </row>
    <row r="224">
      <c r="A224" s="43" t="inlineStr">
        <is>
          <t>OPM</t>
        </is>
      </c>
      <c r="B224" s="3" t="inlineStr">
        <is>
          <t>영업이익 ÷ 매출</t>
        </is>
      </c>
      <c r="C224" s="15">
        <f>IF(OR(C223="",C198=""),"",IF(C198&lt;=0,"",IFERROR(C223/C198,"")))</f>
        <v/>
      </c>
      <c r="D224" s="15">
        <f>IF(OR(D223="",D198=""),"",IF(D198&lt;=0,"",IFERROR(D223/D198,"")))</f>
        <v/>
      </c>
      <c r="G224" s="15">
        <f>IF(OR(G223="",G198=""),"",IF(G198&lt;=0,"",IFERROR(G223/G198,"")))</f>
        <v/>
      </c>
      <c r="H224" s="15">
        <f>IF(OR(H223="",H198=""),"",IF(H198&lt;=0,"",IFERROR(H223/H198,"")))</f>
        <v/>
      </c>
      <c r="K224" s="15">
        <f>IF(OR(K223="",K198=""),"",IF(K198&lt;=0,"",IFERROR(K223/K198,"")))</f>
        <v/>
      </c>
      <c r="L224" s="15">
        <f>IF(OR(L223="",L198=""),"",IF(L198&lt;=0,"",IFERROR(L223/L198,"")))</f>
        <v/>
      </c>
      <c r="V224" s="15">
        <f>IF(OR(V223="",V198=""),"",IF(V198&lt;=0,"",IFERROR(V223/V198,"")))</f>
        <v/>
      </c>
      <c r="W224" s="15">
        <f>IF(OR(W223="",W198=""),"",IF(W198&lt;=0,"",IFERROR(W223/W198,"")))</f>
        <v/>
      </c>
      <c r="X224" s="15">
        <f>IF(OR(X223="",X198=""),"",IF(X198&lt;=0,"",IFERROR(X223/X198,"")))</f>
        <v/>
      </c>
    </row>
    <row r="225">
      <c r="A225" s="43" t="inlineStr">
        <is>
          <t>YoY</t>
        </is>
      </c>
      <c r="B225" s="3" t="inlineStr">
        <is>
          <t>전년 같은 분기·전년 대비</t>
        </is>
      </c>
      <c r="G225" s="15">
        <f>IF(OR(G223="",C223=""),"",IF(C223&lt;=0,"",IFERROR(G223/C223-1,"")))</f>
        <v/>
      </c>
      <c r="H225" s="15">
        <f>IF(OR(H223="",D223=""),"",IF(D223&lt;=0,"",IFERROR(H223/D223-1,"")))</f>
        <v/>
      </c>
      <c r="K225" s="15">
        <f>IF(OR(K223="",G223=""),"",IF(G223&lt;=0,"",IFERROR(K223/G223-1,"")))</f>
        <v/>
      </c>
      <c r="L225" s="15">
        <f>IF(OR(L223="",H223=""),"",IF(H223&lt;=0,"",IFERROR(L223/H223-1,"")))</f>
        <v/>
      </c>
      <c r="V225" s="15">
        <f>IF(OR(V223="",U223=""),"",IF(U223&lt;=0,"",IFERROR(V223/U223-1,"")))</f>
        <v/>
      </c>
      <c r="W225" s="15">
        <f>IF(OR(W223="",V223=""),"",IF(V223&lt;=0,"",IFERROR(W223/V223-1,"")))</f>
        <v/>
      </c>
      <c r="X225" s="15">
        <f>IF(OR(X223="",W223=""),"",IF(W223&lt;=0,"",IFERROR(X223/W223-1,"")))</f>
        <v/>
      </c>
    </row>
    <row r="226">
      <c r="A226" s="18" t="inlineStr">
        <is>
          <t>NewMaterialBusinessReportableSegmentsMember · 부문 이익</t>
        </is>
      </c>
      <c r="C226" s="20" t="n">
        <v>675</v>
      </c>
      <c r="D226" s="20" t="n">
        <v>363</v>
      </c>
      <c r="G226" s="20" t="n">
        <v>177</v>
      </c>
      <c r="H226" s="20" t="n">
        <v>419</v>
      </c>
      <c r="K226" s="20" t="n">
        <v>398</v>
      </c>
      <c r="L226" s="20" t="n">
        <v>744</v>
      </c>
      <c r="V226" s="20" t="n">
        <v>363</v>
      </c>
      <c r="W226" s="20" t="n">
        <v>419</v>
      </c>
      <c r="X226" s="20" t="n">
        <v>744</v>
      </c>
    </row>
    <row r="227">
      <c r="A227" s="43" t="inlineStr">
        <is>
          <t>OPM</t>
        </is>
      </c>
      <c r="B227" s="3" t="inlineStr">
        <is>
          <t>영업이익 ÷ 매출</t>
        </is>
      </c>
      <c r="C227" s="15">
        <f>IF(OR(C226="",C200=""),"",IF(C200&lt;=0,"",IFERROR(C226/C200,"")))</f>
        <v/>
      </c>
      <c r="D227" s="15">
        <f>IF(OR(D226="",D200=""),"",IF(D200&lt;=0,"",IFERROR(D226/D200,"")))</f>
        <v/>
      </c>
      <c r="G227" s="15">
        <f>IF(OR(G226="",G200=""),"",IF(G200&lt;=0,"",IFERROR(G226/G200,"")))</f>
        <v/>
      </c>
      <c r="H227" s="15">
        <f>IF(OR(H226="",H200=""),"",IF(H200&lt;=0,"",IFERROR(H226/H200,"")))</f>
        <v/>
      </c>
      <c r="K227" s="15">
        <f>IF(OR(K226="",K200=""),"",IF(K200&lt;=0,"",IFERROR(K226/K200,"")))</f>
        <v/>
      </c>
      <c r="L227" s="15">
        <f>IF(OR(L226="",L200=""),"",IF(L200&lt;=0,"",IFERROR(L226/L200,"")))</f>
        <v/>
      </c>
      <c r="V227" s="15">
        <f>IF(OR(V226="",V200=""),"",IF(V200&lt;=0,"",IFERROR(V226/V200,"")))</f>
        <v/>
      </c>
      <c r="W227" s="15">
        <f>IF(OR(W226="",W200=""),"",IF(W200&lt;=0,"",IFERROR(W226/W200,"")))</f>
        <v/>
      </c>
      <c r="X227" s="15">
        <f>IF(OR(X226="",X200=""),"",IF(X200&lt;=0,"",IFERROR(X226/X200,"")))</f>
        <v/>
      </c>
    </row>
    <row r="228">
      <c r="A228" s="43" t="inlineStr">
        <is>
          <t>YoY</t>
        </is>
      </c>
      <c r="B228" s="3" t="inlineStr">
        <is>
          <t>전년 같은 분기·전년 대비</t>
        </is>
      </c>
      <c r="G228" s="15">
        <f>IF(OR(G226="",C226=""),"",IF(C226&lt;=0,"",IFERROR(G226/C226-1,"")))</f>
        <v/>
      </c>
      <c r="H228" s="15">
        <f>IF(OR(H226="",D226=""),"",IF(D226&lt;=0,"",IFERROR(H226/D226-1,"")))</f>
        <v/>
      </c>
      <c r="K228" s="15">
        <f>IF(OR(K226="",G226=""),"",IF(G226&lt;=0,"",IFERROR(K226/G226-1,"")))</f>
        <v/>
      </c>
      <c r="L228" s="15">
        <f>IF(OR(L226="",H226=""),"",IF(H226&lt;=0,"",IFERROR(L226/H226-1,"")))</f>
        <v/>
      </c>
      <c r="V228" s="15">
        <f>IF(OR(V226="",U226=""),"",IF(U226&lt;=0,"",IFERROR(V226/U226-1,"")))</f>
        <v/>
      </c>
      <c r="W228" s="15">
        <f>IF(OR(W226="",V226=""),"",IF(V226&lt;=0,"",IFERROR(W226/V226-1,"")))</f>
        <v/>
      </c>
      <c r="X228" s="15">
        <f>IF(OR(X226="",W226=""),"",IF(W226&lt;=0,"",IFERROR(X226/W226-1,"")))</f>
        <v/>
      </c>
    </row>
    <row r="229">
      <c r="A229" s="18" t="inlineStr">
        <is>
          <t>ConstructionMaterialBusinessReportableSegmentsMember · 부문 이익</t>
        </is>
      </c>
      <c r="C229" s="20" t="n">
        <v>205</v>
      </c>
      <c r="D229" s="20" t="n">
        <v>229</v>
      </c>
      <c r="G229" s="20" t="n">
        <v>234</v>
      </c>
      <c r="H229" s="20" t="n">
        <v>283</v>
      </c>
      <c r="K229" s="20" t="n">
        <v>-31</v>
      </c>
      <c r="L229" s="20" t="n">
        <v>174</v>
      </c>
      <c r="V229" s="20" t="n">
        <v>229</v>
      </c>
      <c r="W229" s="20" t="n">
        <v>283</v>
      </c>
      <c r="X229" s="20" t="n">
        <v>174</v>
      </c>
    </row>
    <row r="230">
      <c r="A230" s="43" t="inlineStr">
        <is>
          <t>OPM</t>
        </is>
      </c>
      <c r="B230" s="3" t="inlineStr">
        <is>
          <t>영업이익 ÷ 매출</t>
        </is>
      </c>
      <c r="C230" s="15">
        <f>IF(OR(C229="",C202=""),"",IF(C202&lt;=0,"",IFERROR(C229/C202,"")))</f>
        <v/>
      </c>
      <c r="D230" s="15">
        <f>IF(OR(D229="",D202=""),"",IF(D202&lt;=0,"",IFERROR(D229/D202,"")))</f>
        <v/>
      </c>
      <c r="G230" s="15">
        <f>IF(OR(G229="",G202=""),"",IF(G202&lt;=0,"",IFERROR(G229/G202,"")))</f>
        <v/>
      </c>
      <c r="H230" s="15">
        <f>IF(OR(H229="",H202=""),"",IF(H202&lt;=0,"",IFERROR(H229/H202,"")))</f>
        <v/>
      </c>
      <c r="K230" s="15">
        <f>IF(OR(K229="",K202=""),"",IF(K202&lt;=0,"",IFERROR(K229/K202,"")))</f>
        <v/>
      </c>
      <c r="L230" s="15">
        <f>IF(OR(L229="",L202=""),"",IF(L202&lt;=0,"",IFERROR(L229/L202,"")))</f>
        <v/>
      </c>
      <c r="V230" s="15">
        <f>IF(OR(V229="",V202=""),"",IF(V202&lt;=0,"",IFERROR(V229/V202,"")))</f>
        <v/>
      </c>
      <c r="W230" s="15">
        <f>IF(OR(W229="",W202=""),"",IF(W202&lt;=0,"",IFERROR(W229/W202,"")))</f>
        <v/>
      </c>
      <c r="X230" s="15">
        <f>IF(OR(X229="",X202=""),"",IF(X202&lt;=0,"",IFERROR(X229/X202,"")))</f>
        <v/>
      </c>
    </row>
    <row r="231">
      <c r="A231" s="43" t="inlineStr">
        <is>
          <t>YoY</t>
        </is>
      </c>
      <c r="B231" s="3" t="inlineStr">
        <is>
          <t>전년 같은 분기·전년 대비</t>
        </is>
      </c>
      <c r="G231" s="15">
        <f>IF(OR(G229="",C229=""),"",IF(C229&lt;=0,"",IFERROR(G229/C229-1,"")))</f>
        <v/>
      </c>
      <c r="H231" s="15">
        <f>IF(OR(H229="",D229=""),"",IF(D229&lt;=0,"",IFERROR(H229/D229-1,"")))</f>
        <v/>
      </c>
      <c r="K231" s="15">
        <f>IF(OR(K229="",G229=""),"",IF(G229&lt;=0,"",IFERROR(K229/G229-1,"")))</f>
        <v/>
      </c>
      <c r="L231" s="15">
        <f>IF(OR(L229="",H229=""),"",IF(H229&lt;=0,"",IFERROR(L229/H229-1,"")))</f>
        <v/>
      </c>
      <c r="V231" s="15">
        <f>IF(OR(V229="",U229=""),"",IF(U229&lt;=0,"",IFERROR(V229/U229-1,"")))</f>
        <v/>
      </c>
      <c r="W231" s="15">
        <f>IF(OR(W229="",V229=""),"",IF(V229&lt;=0,"",IFERROR(W229/V229-1,"")))</f>
        <v/>
      </c>
      <c r="X231" s="15">
        <f>IF(OR(X229="",W229=""),"",IF(W229&lt;=0,"",IFERROR(X229/W229-1,"")))</f>
        <v/>
      </c>
    </row>
    <row r="232">
      <c r="A232" s="18" t="inlineStr">
        <is>
          <t>보고부문 합계 · 부문 이익</t>
        </is>
      </c>
      <c r="C232" s="20" t="n">
        <v>1811</v>
      </c>
      <c r="D232" s="20" t="n">
        <v>1728</v>
      </c>
      <c r="E232" s="20" t="n">
        <v>1700</v>
      </c>
      <c r="F232" s="20" t="n">
        <v>1616</v>
      </c>
      <c r="G232" s="20" t="n">
        <v>1382</v>
      </c>
      <c r="H232" s="20" t="n">
        <v>1950</v>
      </c>
      <c r="I232" s="20" t="n">
        <v>2235</v>
      </c>
      <c r="J232" s="20" t="n">
        <v>2394</v>
      </c>
      <c r="K232" s="20" t="n">
        <v>1758</v>
      </c>
      <c r="L232" s="20" t="n">
        <v>2183</v>
      </c>
      <c r="M232" s="20" t="n">
        <v>2824</v>
      </c>
      <c r="N232" s="20" t="n">
        <v>3736</v>
      </c>
      <c r="V232" s="20" t="n">
        <v>1728</v>
      </c>
      <c r="W232" s="20" t="n">
        <v>1950</v>
      </c>
      <c r="X232" s="20" t="n">
        <v>2183</v>
      </c>
    </row>
    <row r="233">
      <c r="A233" s="43" t="inlineStr">
        <is>
          <t>OPM</t>
        </is>
      </c>
      <c r="B233" s="3" t="inlineStr">
        <is>
          <t>영업이익 ÷ 매출</t>
        </is>
      </c>
      <c r="C233" s="15">
        <f>IF(OR(C232="",C204=""),"",IF(C204&lt;=0,"",IFERROR(C232/C204,"")))</f>
        <v/>
      </c>
      <c r="D233" s="15">
        <f>IF(OR(D232="",D204=""),"",IF(D204&lt;=0,"",IFERROR(D232/D204,"")))</f>
        <v/>
      </c>
      <c r="E233" s="15">
        <f>IF(OR(E232="",E204=""),"",IF(E204&lt;=0,"",IFERROR(E232/E204,"")))</f>
        <v/>
      </c>
      <c r="F233" s="15">
        <f>IF(OR(F232="",F204=""),"",IF(F204&lt;=0,"",IFERROR(F232/F204,"")))</f>
        <v/>
      </c>
      <c r="G233" s="15">
        <f>IF(OR(G232="",G204=""),"",IF(G204&lt;=0,"",IFERROR(G232/G204,"")))</f>
        <v/>
      </c>
      <c r="H233" s="15">
        <f>IF(OR(H232="",H204=""),"",IF(H204&lt;=0,"",IFERROR(H232/H204,"")))</f>
        <v/>
      </c>
      <c r="I233" s="15">
        <f>IF(OR(I232="",I204=""),"",IF(I204&lt;=0,"",IFERROR(I232/I204,"")))</f>
        <v/>
      </c>
      <c r="J233" s="15">
        <f>IF(OR(J232="",J204=""),"",IF(J204&lt;=0,"",IFERROR(J232/J204,"")))</f>
        <v/>
      </c>
      <c r="K233" s="15">
        <f>IF(OR(K232="",K204=""),"",IF(K204&lt;=0,"",IFERROR(K232/K204,"")))</f>
        <v/>
      </c>
      <c r="L233" s="15">
        <f>IF(OR(L232="",L204=""),"",IF(L204&lt;=0,"",IFERROR(L232/L204,"")))</f>
        <v/>
      </c>
      <c r="M233" s="15">
        <f>IF(OR(M232="",M204=""),"",IF(M204&lt;=0,"",IFERROR(M232/M204,"")))</f>
        <v/>
      </c>
      <c r="N233" s="15">
        <f>IF(OR(N232="",N204=""),"",IF(N204&lt;=0,"",IFERROR(N232/N204,"")))</f>
        <v/>
      </c>
      <c r="V233" s="15">
        <f>IF(OR(V232="",V204=""),"",IF(V204&lt;=0,"",IFERROR(V232/V204,"")))</f>
        <v/>
      </c>
      <c r="W233" s="15">
        <f>IF(OR(W232="",W204=""),"",IF(W204&lt;=0,"",IFERROR(W232/W204,"")))</f>
        <v/>
      </c>
      <c r="X233" s="15">
        <f>IF(OR(X232="",X204=""),"",IF(X204&lt;=0,"",IFERROR(X232/X204,"")))</f>
        <v/>
      </c>
    </row>
    <row r="234">
      <c r="A234" s="43" t="inlineStr">
        <is>
          <t>YoY</t>
        </is>
      </c>
      <c r="B234" s="3" t="inlineStr">
        <is>
          <t>전년 같은 분기·전년 대비</t>
        </is>
      </c>
      <c r="G234" s="15">
        <f>IF(OR(G232="",C232=""),"",IF(C232&lt;=0,"",IFERROR(G232/C232-1,"")))</f>
        <v/>
      </c>
      <c r="H234" s="15">
        <f>IF(OR(H232="",D232=""),"",IF(D232&lt;=0,"",IFERROR(H232/D232-1,"")))</f>
        <v/>
      </c>
      <c r="I234" s="15">
        <f>IF(OR(I232="",E232=""),"",IF(E232&lt;=0,"",IFERROR(I232/E232-1,"")))</f>
        <v/>
      </c>
      <c r="J234" s="15">
        <f>IF(OR(J232="",F232=""),"",IF(F232&lt;=0,"",IFERROR(J232/F232-1,"")))</f>
        <v/>
      </c>
      <c r="K234" s="15">
        <f>IF(OR(K232="",G232=""),"",IF(G232&lt;=0,"",IFERROR(K232/G232-1,"")))</f>
        <v/>
      </c>
      <c r="L234" s="15">
        <f>IF(OR(L232="",H232=""),"",IF(H232&lt;=0,"",IFERROR(L232/H232-1,"")))</f>
        <v/>
      </c>
      <c r="M234" s="15">
        <f>IF(OR(M232="",I232=""),"",IF(I232&lt;=0,"",IFERROR(M232/I232-1,"")))</f>
        <v/>
      </c>
      <c r="N234" s="15">
        <f>IF(OR(N232="",J232=""),"",IF(J232&lt;=0,"",IFERROR(N232/J232-1,"")))</f>
        <v/>
      </c>
      <c r="V234" s="15">
        <f>IF(OR(V232="",U232=""),"",IF(U232&lt;=0,"",IFERROR(V232/U232-1,"")))</f>
        <v/>
      </c>
      <c r="W234" s="15">
        <f>IF(OR(W232="",V232=""),"",IF(V232&lt;=0,"",IFERROR(W232/V232-1,"")))</f>
        <v/>
      </c>
      <c r="X234" s="15">
        <f>IF(OR(X232="",W232=""),"",IF(W232&lt;=0,"",IFERROR(X232/W232-1,"")))</f>
        <v/>
      </c>
    </row>
    <row r="235">
      <c r="A235" s="18" t="inlineStr">
        <is>
          <t>기타 · 부문 이익</t>
        </is>
      </c>
      <c r="C235" s="20" t="n">
        <v>96</v>
      </c>
      <c r="D235" s="20" t="n">
        <v>143</v>
      </c>
      <c r="E235" s="20" t="n">
        <v>120</v>
      </c>
      <c r="F235" s="20" t="n">
        <v>121</v>
      </c>
      <c r="G235" s="20" t="n">
        <v>132</v>
      </c>
      <c r="H235" s="20" t="n">
        <v>121</v>
      </c>
      <c r="I235" s="20" t="n">
        <v>108</v>
      </c>
      <c r="J235" s="20" t="n">
        <v>128</v>
      </c>
      <c r="K235" s="20" t="n">
        <v>121</v>
      </c>
      <c r="L235" s="20" t="n">
        <v>117</v>
      </c>
      <c r="M235" s="20" t="n">
        <v>145</v>
      </c>
      <c r="N235" s="20" t="n">
        <v>137</v>
      </c>
      <c r="V235" s="20" t="n">
        <v>143</v>
      </c>
      <c r="W235" s="20" t="n">
        <v>121</v>
      </c>
      <c r="X235" s="20" t="n">
        <v>117</v>
      </c>
    </row>
    <row r="236">
      <c r="A236" s="43" t="inlineStr">
        <is>
          <t>OPM</t>
        </is>
      </c>
      <c r="B236" s="3" t="inlineStr">
        <is>
          <t>영업이익 ÷ 매출</t>
        </is>
      </c>
      <c r="C236" s="15">
        <f>IF(OR(C235="",C206=""),"",IF(C206&lt;=0,"",IFERROR(C235/C206,"")))</f>
        <v/>
      </c>
      <c r="D236" s="15">
        <f>IF(OR(D235="",D206=""),"",IF(D206&lt;=0,"",IFERROR(D235/D206,"")))</f>
        <v/>
      </c>
      <c r="E236" s="15">
        <f>IF(OR(E235="",E206=""),"",IF(E206&lt;=0,"",IFERROR(E235/E206,"")))</f>
        <v/>
      </c>
      <c r="F236" s="15">
        <f>IF(OR(F235="",F206=""),"",IF(F206&lt;=0,"",IFERROR(F235/F206,"")))</f>
        <v/>
      </c>
      <c r="G236" s="15">
        <f>IF(OR(G235="",G206=""),"",IF(G206&lt;=0,"",IFERROR(G235/G206,"")))</f>
        <v/>
      </c>
      <c r="H236" s="15">
        <f>IF(OR(H235="",H206=""),"",IF(H206&lt;=0,"",IFERROR(H235/H206,"")))</f>
        <v/>
      </c>
      <c r="I236" s="15">
        <f>IF(OR(I235="",I206=""),"",IF(I206&lt;=0,"",IFERROR(I235/I206,"")))</f>
        <v/>
      </c>
      <c r="J236" s="15">
        <f>IF(OR(J235="",J206=""),"",IF(J206&lt;=0,"",IFERROR(J235/J206,"")))</f>
        <v/>
      </c>
      <c r="K236" s="15">
        <f>IF(OR(K235="",K206=""),"",IF(K206&lt;=0,"",IFERROR(K235/K206,"")))</f>
        <v/>
      </c>
      <c r="L236" s="15">
        <f>IF(OR(L235="",L206=""),"",IF(L206&lt;=0,"",IFERROR(L235/L206,"")))</f>
        <v/>
      </c>
      <c r="M236" s="15">
        <f>IF(OR(M235="",M206=""),"",IF(M206&lt;=0,"",IFERROR(M235/M206,"")))</f>
        <v/>
      </c>
      <c r="N236" s="15">
        <f>IF(OR(N235="",N206=""),"",IF(N206&lt;=0,"",IFERROR(N235/N206,"")))</f>
        <v/>
      </c>
      <c r="V236" s="15">
        <f>IF(OR(V235="",V206=""),"",IF(V206&lt;=0,"",IFERROR(V235/V206,"")))</f>
        <v/>
      </c>
      <c r="W236" s="15">
        <f>IF(OR(W235="",W206=""),"",IF(W206&lt;=0,"",IFERROR(W235/W206,"")))</f>
        <v/>
      </c>
      <c r="X236" s="15">
        <f>IF(OR(X235="",X206=""),"",IF(X206&lt;=0,"",IFERROR(X235/X206,"")))</f>
        <v/>
      </c>
    </row>
    <row r="237">
      <c r="A237" s="43" t="inlineStr">
        <is>
          <t>YoY</t>
        </is>
      </c>
      <c r="B237" s="3" t="inlineStr">
        <is>
          <t>전년 같은 분기·전년 대비</t>
        </is>
      </c>
      <c r="G237" s="15">
        <f>IF(OR(G235="",C235=""),"",IF(C235&lt;=0,"",IFERROR(G235/C235-1,"")))</f>
        <v/>
      </c>
      <c r="H237" s="15">
        <f>IF(OR(H235="",D235=""),"",IF(D235&lt;=0,"",IFERROR(H235/D235-1,"")))</f>
        <v/>
      </c>
      <c r="I237" s="15">
        <f>IF(OR(I235="",E235=""),"",IF(E235&lt;=0,"",IFERROR(I235/E235-1,"")))</f>
        <v/>
      </c>
      <c r="J237" s="15">
        <f>IF(OR(J235="",F235=""),"",IF(F235&lt;=0,"",IFERROR(J235/F235-1,"")))</f>
        <v/>
      </c>
      <c r="K237" s="15">
        <f>IF(OR(K235="",G235=""),"",IF(G235&lt;=0,"",IFERROR(K235/G235-1,"")))</f>
        <v/>
      </c>
      <c r="L237" s="15">
        <f>IF(OR(L235="",H235=""),"",IF(H235&lt;=0,"",IFERROR(L235/H235-1,"")))</f>
        <v/>
      </c>
      <c r="M237" s="15">
        <f>IF(OR(M235="",I235=""),"",IF(I235&lt;=0,"",IFERROR(M235/I235-1,"")))</f>
        <v/>
      </c>
      <c r="N237" s="15">
        <f>IF(OR(N235="",J235=""),"",IF(J235&lt;=0,"",IFERROR(N235/J235-1,"")))</f>
        <v/>
      </c>
      <c r="V237" s="15">
        <f>IF(OR(V235="",U235=""),"",IF(U235&lt;=0,"",IFERROR(V235/U235-1,"")))</f>
        <v/>
      </c>
      <c r="W237" s="15">
        <f>IF(OR(W235="",V235=""),"",IF(V235&lt;=0,"",IFERROR(W235/V235-1,"")))</f>
        <v/>
      </c>
      <c r="X237" s="15">
        <f>IF(OR(X235="",W235=""),"",IF(W235&lt;=0,"",IFERROR(X235/W235-1,"")))</f>
        <v/>
      </c>
    </row>
    <row r="238">
      <c r="A238" s="18" t="inlineStr">
        <is>
          <t>합계 · 부문 이익</t>
        </is>
      </c>
      <c r="C238" s="20" t="n">
        <v>1907</v>
      </c>
      <c r="D238" s="20" t="n">
        <v>1872</v>
      </c>
      <c r="E238" s="20" t="n">
        <v>1820</v>
      </c>
      <c r="F238" s="20" t="n">
        <v>1737</v>
      </c>
      <c r="G238" s="20" t="n">
        <v>1515</v>
      </c>
      <c r="H238" s="20" t="n">
        <v>2071</v>
      </c>
      <c r="I238" s="20" t="n">
        <v>2344</v>
      </c>
      <c r="J238" s="20" t="n">
        <v>2522</v>
      </c>
      <c r="K238" s="20" t="n">
        <v>1878</v>
      </c>
      <c r="L238" s="20" t="n">
        <v>2301</v>
      </c>
      <c r="M238" s="20" t="n">
        <v>2969</v>
      </c>
      <c r="N238" s="20" t="n">
        <v>3874</v>
      </c>
      <c r="V238" s="20" t="n">
        <v>1872</v>
      </c>
      <c r="W238" s="20" t="n">
        <v>2071</v>
      </c>
      <c r="X238" s="20" t="n">
        <v>2301</v>
      </c>
    </row>
    <row r="239">
      <c r="A239" s="43" t="inlineStr">
        <is>
          <t>OPM</t>
        </is>
      </c>
      <c r="B239" s="3" t="inlineStr">
        <is>
          <t>영업이익 ÷ 매출</t>
        </is>
      </c>
      <c r="C239" s="15">
        <f>IF(OR(C238="",C208=""),"",IF(C208&lt;=0,"",IFERROR(C238/C208,"")))</f>
        <v/>
      </c>
      <c r="D239" s="15">
        <f>IF(OR(D238="",D208=""),"",IF(D208&lt;=0,"",IFERROR(D238/D208,"")))</f>
        <v/>
      </c>
      <c r="E239" s="15">
        <f>IF(OR(E238="",E208=""),"",IF(E208&lt;=0,"",IFERROR(E238/E208,"")))</f>
        <v/>
      </c>
      <c r="F239" s="15">
        <f>IF(OR(F238="",F208=""),"",IF(F208&lt;=0,"",IFERROR(F238/F208,"")))</f>
        <v/>
      </c>
      <c r="G239" s="15">
        <f>IF(OR(G238="",G208=""),"",IF(G208&lt;=0,"",IFERROR(G238/G208,"")))</f>
        <v/>
      </c>
      <c r="H239" s="15">
        <f>IF(OR(H238="",H208=""),"",IF(H208&lt;=0,"",IFERROR(H238/H208,"")))</f>
        <v/>
      </c>
      <c r="I239" s="15">
        <f>IF(OR(I238="",I208=""),"",IF(I208&lt;=0,"",IFERROR(I238/I208,"")))</f>
        <v/>
      </c>
      <c r="J239" s="15">
        <f>IF(OR(J238="",J208=""),"",IF(J208&lt;=0,"",IFERROR(J238/J208,"")))</f>
        <v/>
      </c>
      <c r="K239" s="15">
        <f>IF(OR(K238="",K208=""),"",IF(K208&lt;=0,"",IFERROR(K238/K208,"")))</f>
        <v/>
      </c>
      <c r="L239" s="15">
        <f>IF(OR(L238="",L208=""),"",IF(L208&lt;=0,"",IFERROR(L238/L208,"")))</f>
        <v/>
      </c>
      <c r="M239" s="15">
        <f>IF(OR(M238="",M208=""),"",IF(M208&lt;=0,"",IFERROR(M238/M208,"")))</f>
        <v/>
      </c>
      <c r="N239" s="15">
        <f>IF(OR(N238="",N208=""),"",IF(N208&lt;=0,"",IFERROR(N238/N208,"")))</f>
        <v/>
      </c>
      <c r="V239" s="15">
        <f>IF(OR(V238="",V208=""),"",IF(V208&lt;=0,"",IFERROR(V238/V208,"")))</f>
        <v/>
      </c>
      <c r="W239" s="15">
        <f>IF(OR(W238="",W208=""),"",IF(W208&lt;=0,"",IFERROR(W238/W208,"")))</f>
        <v/>
      </c>
      <c r="X239" s="15">
        <f>IF(OR(X238="",X208=""),"",IF(X208&lt;=0,"",IFERROR(X238/X208,"")))</f>
        <v/>
      </c>
    </row>
    <row r="240">
      <c r="A240" s="43" t="inlineStr">
        <is>
          <t>YoY</t>
        </is>
      </c>
      <c r="B240" s="3" t="inlineStr">
        <is>
          <t>전년 같은 분기·전년 대비</t>
        </is>
      </c>
      <c r="G240" s="15">
        <f>IF(OR(G238="",C238=""),"",IF(C238&lt;=0,"",IFERROR(G238/C238-1,"")))</f>
        <v/>
      </c>
      <c r="H240" s="15">
        <f>IF(OR(H238="",D238=""),"",IF(D238&lt;=0,"",IFERROR(H238/D238-1,"")))</f>
        <v/>
      </c>
      <c r="I240" s="15">
        <f>IF(OR(I238="",E238=""),"",IF(E238&lt;=0,"",IFERROR(I238/E238-1,"")))</f>
        <v/>
      </c>
      <c r="J240" s="15">
        <f>IF(OR(J238="",F238=""),"",IF(F238&lt;=0,"",IFERROR(J238/F238-1,"")))</f>
        <v/>
      </c>
      <c r="K240" s="15">
        <f>IF(OR(K238="",G238=""),"",IF(G238&lt;=0,"",IFERROR(K238/G238-1,"")))</f>
        <v/>
      </c>
      <c r="L240" s="15">
        <f>IF(OR(L238="",H238=""),"",IF(H238&lt;=0,"",IFERROR(L238/H238-1,"")))</f>
        <v/>
      </c>
      <c r="M240" s="15">
        <f>IF(OR(M238="",I238=""),"",IF(I238&lt;=0,"",IFERROR(M238/I238-1,"")))</f>
        <v/>
      </c>
      <c r="N240" s="15">
        <f>IF(OR(N238="",J238=""),"",IF(J238&lt;=0,"",IFERROR(N238/J238-1,"")))</f>
        <v/>
      </c>
      <c r="V240" s="15">
        <f>IF(OR(V238="",U238=""),"",IF(U238&lt;=0,"",IFERROR(V238/U238-1,"")))</f>
        <v/>
      </c>
      <c r="W240" s="15">
        <f>IF(OR(W238="",V238=""),"",IF(V238&lt;=0,"",IFERROR(W238/V238-1,"")))</f>
        <v/>
      </c>
      <c r="X240" s="15">
        <f>IF(OR(X238="",W238=""),"",IF(W238&lt;=0,"",IFERROR(X238/W238-1,"")))</f>
        <v/>
      </c>
    </row>
    <row r="241">
      <c r="A241" s="18" t="inlineStr">
        <is>
          <t>조정액 · 부문 이익</t>
        </is>
      </c>
      <c r="C241" s="20" t="n">
        <v>-634</v>
      </c>
      <c r="D241" s="20" t="n">
        <v>-612</v>
      </c>
      <c r="E241" s="20" t="n">
        <v>-621</v>
      </c>
      <c r="F241" s="20" t="n">
        <v>-614</v>
      </c>
      <c r="G241" s="20" t="n">
        <v>-655</v>
      </c>
      <c r="H241" s="20" t="n">
        <v>-689</v>
      </c>
      <c r="I241" s="20" t="n">
        <v>-666</v>
      </c>
      <c r="J241" s="20" t="n">
        <v>-672</v>
      </c>
      <c r="K241" s="20" t="n">
        <v>-721</v>
      </c>
      <c r="L241" s="20" t="n">
        <v>-800</v>
      </c>
      <c r="M241" s="20" t="n">
        <v>-724</v>
      </c>
      <c r="N241" s="20" t="n">
        <v>-800</v>
      </c>
      <c r="V241" s="20" t="n">
        <v>-612</v>
      </c>
      <c r="W241" s="20" t="n">
        <v>-689</v>
      </c>
      <c r="X241" s="20" t="n">
        <v>-800</v>
      </c>
    </row>
    <row r="242">
      <c r="A242" s="18" t="inlineStr">
        <is>
          <t>EntityTotalMember · 부문 이익</t>
        </is>
      </c>
      <c r="I242" s="20" t="n">
        <v>1678</v>
      </c>
      <c r="M242" s="20" t="n">
        <v>2245</v>
      </c>
    </row>
    <row r="243">
      <c r="A243" s="9" t="inlineStr">
        <is>
          <t>부문 이익</t>
        </is>
      </c>
      <c r="C243" s="12" t="n">
        <v>1272</v>
      </c>
      <c r="D243" s="12" t="n">
        <v>1260</v>
      </c>
      <c r="E243" s="12" t="n">
        <v>1199</v>
      </c>
      <c r="F243" s="12" t="n">
        <v>1123</v>
      </c>
      <c r="G243" s="12" t="n">
        <v>859</v>
      </c>
      <c r="H243" s="12" t="n">
        <v>1383</v>
      </c>
      <c r="I243" s="12" t="n">
        <v>1678</v>
      </c>
      <c r="J243" s="12" t="n">
        <v>1849</v>
      </c>
      <c r="K243" s="12" t="n">
        <v>1158</v>
      </c>
      <c r="L243" s="12" t="n">
        <v>1500</v>
      </c>
      <c r="V243" s="12" t="n">
        <v>1260</v>
      </c>
      <c r="W243" s="12" t="n">
        <v>1383</v>
      </c>
      <c r="X243" s="12" t="n">
        <v>1500</v>
      </c>
    </row>
    <row r="244">
      <c r="A244" s="43" t="inlineStr">
        <is>
          <t>OPM</t>
        </is>
      </c>
      <c r="B244" s="3" t="inlineStr">
        <is>
          <t>영업이익 ÷ 매출</t>
        </is>
      </c>
      <c r="C244" s="15">
        <f>IF(OR(C243="",C181=""),"",IF(C181&lt;=0,"",IFERROR(C243/C181,"")))</f>
        <v/>
      </c>
      <c r="D244" s="15">
        <f>IF(OR(D243="",D181=""),"",IF(D181&lt;=0,"",IFERROR(D243/D181,"")))</f>
        <v/>
      </c>
      <c r="E244" s="15">
        <f>IF(OR(E243="",E181=""),"",IF(E181&lt;=0,"",IFERROR(E243/E181,"")))</f>
        <v/>
      </c>
      <c r="F244" s="15">
        <f>IF(OR(F243="",F181=""),"",IF(F181&lt;=0,"",IFERROR(F243/F181,"")))</f>
        <v/>
      </c>
      <c r="G244" s="15">
        <f>IF(OR(G243="",G181=""),"",IF(G181&lt;=0,"",IFERROR(G243/G181,"")))</f>
        <v/>
      </c>
      <c r="H244" s="15">
        <f>IF(OR(H243="",H181=""),"",IF(H181&lt;=0,"",IFERROR(H243/H181,"")))</f>
        <v/>
      </c>
      <c r="I244" s="15">
        <f>IF(OR(I243="",I181=""),"",IF(I181&lt;=0,"",IFERROR(I243/I181,"")))</f>
        <v/>
      </c>
      <c r="J244" s="15">
        <f>IF(OR(J243="",J181=""),"",IF(J181&lt;=0,"",IFERROR(J243/J181,"")))</f>
        <v/>
      </c>
      <c r="K244" s="15">
        <f>IF(OR(K243="",K181=""),"",IF(K181&lt;=0,"",IFERROR(K243/K181,"")))</f>
        <v/>
      </c>
      <c r="L244" s="15">
        <f>IF(OR(L243="",L181=""),"",IF(L181&lt;=0,"",IFERROR(L243/L181,"")))</f>
        <v/>
      </c>
      <c r="V244" s="15">
        <f>IF(OR(V243="",V181=""),"",IF(V181&lt;=0,"",IFERROR(V243/V181,"")))</f>
        <v/>
      </c>
      <c r="W244" s="15">
        <f>IF(OR(W243="",W181=""),"",IF(W181&lt;=0,"",IFERROR(W243/W181,"")))</f>
        <v/>
      </c>
      <c r="X244" s="15">
        <f>IF(OR(X243="",X181=""),"",IF(X181&lt;=0,"",IFERROR(X243/X181,"")))</f>
        <v/>
      </c>
    </row>
    <row r="245">
      <c r="A245" s="43" t="inlineStr">
        <is>
          <t>YoY</t>
        </is>
      </c>
      <c r="B245" s="3" t="inlineStr">
        <is>
          <t>전년 같은 분기·전년 대비</t>
        </is>
      </c>
      <c r="G245" s="15">
        <f>IF(OR(G243="",C243=""),"",IF(C243&lt;=0,"",IFERROR(G243/C243-1,"")))</f>
        <v/>
      </c>
      <c r="H245" s="15">
        <f>IF(OR(H243="",D243=""),"",IF(D243&lt;=0,"",IFERROR(H243/D243-1,"")))</f>
        <v/>
      </c>
      <c r="I245" s="15">
        <f>IF(OR(I243="",E243=""),"",IF(E243&lt;=0,"",IFERROR(I243/E243-1,"")))</f>
        <v/>
      </c>
      <c r="J245" s="15">
        <f>IF(OR(J243="",F243=""),"",IF(F243&lt;=0,"",IFERROR(J243/F243-1,"")))</f>
        <v/>
      </c>
      <c r="K245" s="15">
        <f>IF(OR(K243="",G243=""),"",IF(G243&lt;=0,"",IFERROR(K243/G243-1,"")))</f>
        <v/>
      </c>
      <c r="L245" s="15">
        <f>IF(OR(L243="",H243=""),"",IF(H243&lt;=0,"",IFERROR(L243/H243-1,"")))</f>
        <v/>
      </c>
      <c r="V245" s="15">
        <f>IF(OR(V243="",U243=""),"",IF(U243&lt;=0,"",IFERROR(V243/U243-1,"")))</f>
        <v/>
      </c>
      <c r="W245" s="15">
        <f>IF(OR(W243="",V243=""),"",IF(V243&lt;=0,"",IFERROR(W243/V243-1,"")))</f>
        <v/>
      </c>
      <c r="X245" s="15">
        <f>IF(OR(X243="",W243=""),"",IF(W243&lt;=0,"",IFERROR(X243/W243-1,"")))</f>
        <v/>
      </c>
    </row>
    <row r="246">
      <c r="A246" s="18" t="inlineStr">
        <is>
          <t>PlasticReportableSegmentsMember · 외부 고객 매출</t>
        </is>
      </c>
      <c r="E246" s="20" t="n">
        <v>12765</v>
      </c>
      <c r="I246" s="20" t="n">
        <v>13346</v>
      </c>
      <c r="M246" s="20" t="n">
        <v>15598</v>
      </c>
    </row>
    <row r="247">
      <c r="A247" s="43" t="inlineStr">
        <is>
          <t>YoY</t>
        </is>
      </c>
      <c r="B247" s="3" t="inlineStr">
        <is>
          <t>전년 같은 분기·전년 대비</t>
        </is>
      </c>
      <c r="I247" s="15">
        <f>IF(OR(I246="",E246=""),"",IF(E246&lt;=0,"",IFERROR(I246/E246-1,"")))</f>
        <v/>
      </c>
      <c r="M247" s="15">
        <f>IF(OR(M246="",I246=""),"",IF(I246&lt;=0,"",IFERROR(M246/I246-1,"")))</f>
        <v/>
      </c>
    </row>
    <row r="248">
      <c r="A248" s="18" t="inlineStr">
        <is>
          <t>NewMaterialReportableSegmentsMember · 외부 고객 매출</t>
        </is>
      </c>
      <c r="E248" s="20" t="n">
        <v>3272</v>
      </c>
      <c r="I248" s="20" t="n">
        <v>4611</v>
      </c>
      <c r="M248" s="20" t="n">
        <v>4795</v>
      </c>
    </row>
    <row r="249">
      <c r="A249" s="43" t="inlineStr">
        <is>
          <t>YoY</t>
        </is>
      </c>
      <c r="B249" s="3" t="inlineStr">
        <is>
          <t>전년 같은 분기·전년 대비</t>
        </is>
      </c>
      <c r="I249" s="15">
        <f>IF(OR(I248="",E248=""),"",IF(E248&lt;=0,"",IFERROR(I248/E248-1,"")))</f>
        <v/>
      </c>
      <c r="M249" s="15">
        <f>IF(OR(M248="",I248=""),"",IF(I248&lt;=0,"",IFERROR(M248/I248-1,"")))</f>
        <v/>
      </c>
    </row>
    <row r="250">
      <c r="A250" s="18" t="inlineStr">
        <is>
          <t>ConstructionMaterialReportableSegmentsMember · 외부 고객 매출</t>
        </is>
      </c>
      <c r="E250" s="20" t="n">
        <v>3037</v>
      </c>
      <c r="I250" s="20" t="n">
        <v>3301</v>
      </c>
      <c r="M250" s="20" t="n">
        <v>3163</v>
      </c>
    </row>
    <row r="251">
      <c r="A251" s="43" t="inlineStr">
        <is>
          <t>YoY</t>
        </is>
      </c>
      <c r="B251" s="3" t="inlineStr">
        <is>
          <t>전년 같은 분기·전년 대비</t>
        </is>
      </c>
      <c r="I251" s="15">
        <f>IF(OR(I250="",E250=""),"",IF(E250&lt;=0,"",IFERROR(I250/E250-1,"")))</f>
        <v/>
      </c>
      <c r="M251" s="15">
        <f>IF(OR(M250="",I250=""),"",IF(I250&lt;=0,"",IFERROR(M250/I250-1,"")))</f>
        <v/>
      </c>
    </row>
    <row r="253">
      <c r="A253" s="16" t="inlineStr">
        <is>
          <t>현금흐름표 · 전 항목</t>
        </is>
      </c>
      <c r="B253" s="42" t="inlineStr">
        <is>
          <t>분기 = 결산기 첫날부터 누계(공시 그대로)</t>
        </is>
      </c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  <c r="AA253" s="16" t="n"/>
      <c r="AB253" s="16" t="n"/>
      <c r="AC253" s="16" t="n"/>
    </row>
    <row r="254">
      <c r="A254" s="5" t="inlineStr">
        <is>
          <t>항목</t>
        </is>
      </c>
      <c r="B254" s="5" t="inlineStr">
        <is>
          <t>참고</t>
        </is>
      </c>
      <c r="C254" s="5" t="inlineStr">
        <is>
          <t>2023.3Q</t>
        </is>
      </c>
      <c r="D254" s="5" t="inlineStr">
        <is>
          <t>2023.4Q</t>
        </is>
      </c>
      <c r="E254" s="5" t="inlineStr">
        <is>
          <t>2024.1Q</t>
        </is>
      </c>
      <c r="F254" s="5" t="inlineStr">
        <is>
          <t>2024.2Q</t>
        </is>
      </c>
      <c r="G254" s="5" t="inlineStr">
        <is>
          <t>2024.3Q</t>
        </is>
      </c>
      <c r="H254" s="5" t="inlineStr">
        <is>
          <t>2024.4Q</t>
        </is>
      </c>
      <c r="I254" s="5" t="inlineStr">
        <is>
          <t>2025.1Q</t>
        </is>
      </c>
      <c r="J254" s="5" t="inlineStr">
        <is>
          <t>2025.2Q</t>
        </is>
      </c>
      <c r="K254" s="5" t="inlineStr">
        <is>
          <t>2025.3Q</t>
        </is>
      </c>
      <c r="L254" s="5" t="inlineStr">
        <is>
          <t>2025.4Q</t>
        </is>
      </c>
      <c r="M254" s="5" t="inlineStr">
        <is>
          <t>2026.1Q</t>
        </is>
      </c>
      <c r="N254" s="5" t="inlineStr">
        <is>
          <t>2026.2Q</t>
        </is>
      </c>
      <c r="O254" s="5" t="inlineStr">
        <is>
          <t>2016</t>
        </is>
      </c>
      <c r="P254" s="5" t="inlineStr">
        <is>
          <t>2017</t>
        </is>
      </c>
      <c r="Q254" s="5" t="inlineStr">
        <is>
          <t>2018</t>
        </is>
      </c>
      <c r="R254" s="5" t="inlineStr">
        <is>
          <t>2019</t>
        </is>
      </c>
      <c r="S254" s="5" t="inlineStr">
        <is>
          <t>2020</t>
        </is>
      </c>
      <c r="T254" s="5" t="inlineStr">
        <is>
          <t>2021</t>
        </is>
      </c>
      <c r="U254" s="5" t="inlineStr">
        <is>
          <t>2022</t>
        </is>
      </c>
      <c r="V254" s="5" t="inlineStr">
        <is>
          <t>2023</t>
        </is>
      </c>
      <c r="W254" s="5" t="inlineStr">
        <is>
          <t>2024</t>
        </is>
      </c>
      <c r="X254" s="5" t="inlineStr">
        <is>
          <t>2025</t>
        </is>
      </c>
      <c r="Y254" s="5" t="inlineStr">
        <is>
          <t>2026(MW)</t>
        </is>
      </c>
      <c r="Z254" s="5" t="inlineStr">
        <is>
          <t>2027(MW)</t>
        </is>
      </c>
      <c r="AA254" s="5" t="inlineStr">
        <is>
          <t>2028(MW)</t>
        </is>
      </c>
      <c r="AB254" s="5" t="inlineStr">
        <is>
          <t>2029(MW)</t>
        </is>
      </c>
      <c r="AC254" s="5" t="inlineStr">
        <is>
          <t>2030(MW)</t>
        </is>
      </c>
    </row>
    <row r="255">
      <c r="A255" s="9" t="inlineStr">
        <is>
          <t>법인세차감전 순이익</t>
        </is>
      </c>
      <c r="D255" s="12" t="n">
        <v>5688</v>
      </c>
      <c r="F255" s="12" t="n">
        <v>3350</v>
      </c>
      <c r="H255" s="12" t="n">
        <v>6000</v>
      </c>
      <c r="J255" s="12" t="n">
        <v>3447</v>
      </c>
      <c r="L255" s="12" t="n">
        <v>5201</v>
      </c>
      <c r="N255" s="12" t="n">
        <v>5369</v>
      </c>
      <c r="O255" s="12" t="n">
        <v>3818</v>
      </c>
      <c r="P255" s="12" t="n">
        <v>4045</v>
      </c>
      <c r="Q255" s="12" t="n">
        <v>3334</v>
      </c>
      <c r="R255" s="12" t="n">
        <v>3474</v>
      </c>
      <c r="S255" s="12" t="n">
        <v>4084</v>
      </c>
      <c r="T255" s="12" t="n">
        <v>4937</v>
      </c>
      <c r="U255" s="12" t="n">
        <v>5278</v>
      </c>
      <c r="V255" s="12" t="n">
        <v>5688</v>
      </c>
      <c r="W255" s="12" t="n">
        <v>6000</v>
      </c>
      <c r="X255" s="12" t="n">
        <v>5201</v>
      </c>
    </row>
    <row r="256">
      <c r="A256" s="18" t="inlineStr">
        <is>
          <t>손상차손</t>
        </is>
      </c>
      <c r="D256" s="20" t="n">
        <v>0</v>
      </c>
      <c r="H256" s="20" t="n">
        <v>2077</v>
      </c>
      <c r="L256" s="20" t="n">
        <v>1098</v>
      </c>
      <c r="O256" s="20" t="n">
        <v>1799</v>
      </c>
      <c r="P256" s="20" t="n">
        <v>1569</v>
      </c>
      <c r="Q256" s="20" t="n">
        <v>794</v>
      </c>
      <c r="R256" s="20" t="n">
        <v>412</v>
      </c>
      <c r="S256" s="20" t="n">
        <v>0</v>
      </c>
      <c r="T256" s="20" t="n">
        <v>750</v>
      </c>
      <c r="U256" s="20" t="n">
        <v>429</v>
      </c>
      <c r="V256" s="20" t="n">
        <v>0</v>
      </c>
      <c r="W256" s="20" t="n">
        <v>2077</v>
      </c>
      <c r="X256" s="20" t="n">
        <v>1098</v>
      </c>
    </row>
    <row r="257">
      <c r="A257" s="18" t="inlineStr">
        <is>
          <t>감가상각비</t>
        </is>
      </c>
      <c r="D257" s="20" t="n">
        <v>4167</v>
      </c>
      <c r="F257" s="20" t="n">
        <v>2585</v>
      </c>
      <c r="H257" s="20" t="n">
        <v>5404</v>
      </c>
      <c r="J257" s="20" t="n">
        <v>2361</v>
      </c>
      <c r="L257" s="20" t="n">
        <v>5034</v>
      </c>
      <c r="N257" s="20" t="n">
        <v>2776</v>
      </c>
      <c r="O257" s="20" t="n">
        <v>4293</v>
      </c>
      <c r="P257" s="20" t="n">
        <v>3926</v>
      </c>
      <c r="Q257" s="20" t="n">
        <v>3902</v>
      </c>
      <c r="R257" s="20" t="n">
        <v>4525</v>
      </c>
      <c r="S257" s="20" t="n">
        <v>4836</v>
      </c>
      <c r="T257" s="20" t="n">
        <v>4502</v>
      </c>
      <c r="U257" s="20" t="n">
        <v>4252</v>
      </c>
      <c r="V257" s="20" t="n">
        <v>4167</v>
      </c>
      <c r="W257" s="20" t="n">
        <v>5404</v>
      </c>
      <c r="X257" s="20" t="n">
        <v>5034</v>
      </c>
    </row>
    <row r="258">
      <c r="A258" s="18" t="inlineStr">
        <is>
          <t>퇴직급여자산 증감</t>
        </is>
      </c>
      <c r="H258" s="20" t="n">
        <v>0</v>
      </c>
      <c r="L258" s="20" t="n">
        <v>-385</v>
      </c>
      <c r="W258" s="20" t="n">
        <v>0</v>
      </c>
      <c r="X258" s="20" t="n">
        <v>-385</v>
      </c>
    </row>
    <row r="259">
      <c r="A259" s="18" t="inlineStr">
        <is>
          <t>대손충당금 증감</t>
        </is>
      </c>
      <c r="D259" s="20" t="n">
        <v>-0</v>
      </c>
      <c r="F259" s="20" t="n">
        <v>0</v>
      </c>
      <c r="H259" s="20" t="n">
        <v>0</v>
      </c>
      <c r="J259" s="20" t="n">
        <v>0</v>
      </c>
      <c r="N259" s="20" t="n">
        <v>-19</v>
      </c>
      <c r="O259" s="20" t="n">
        <v>-0</v>
      </c>
      <c r="P259" s="20" t="n">
        <v>-7</v>
      </c>
      <c r="Q259" s="20" t="n">
        <v>-80</v>
      </c>
      <c r="R259" s="20" t="n">
        <v>-4</v>
      </c>
      <c r="S259" s="20" t="n">
        <v>-2</v>
      </c>
      <c r="T259" s="20" t="n">
        <v>-0</v>
      </c>
      <c r="U259" s="20" t="n">
        <v>-0</v>
      </c>
      <c r="V259" s="20" t="n">
        <v>-0</v>
      </c>
      <c r="W259" s="20" t="n">
        <v>0</v>
      </c>
    </row>
    <row r="260">
      <c r="A260" s="18" t="inlineStr">
        <is>
          <t>퇴직급여부채 증감</t>
        </is>
      </c>
      <c r="D260" s="20" t="n">
        <v>5</v>
      </c>
      <c r="F260" s="20" t="n">
        <v>-3</v>
      </c>
      <c r="H260" s="20" t="n">
        <v>10</v>
      </c>
      <c r="J260" s="20" t="n">
        <v>9</v>
      </c>
      <c r="L260" s="20" t="n">
        <v>376</v>
      </c>
      <c r="N260" s="20" t="n">
        <v>19</v>
      </c>
      <c r="O260" s="20" t="n">
        <v>132</v>
      </c>
      <c r="P260" s="20" t="n">
        <v>29</v>
      </c>
      <c r="Q260" s="20" t="n">
        <v>-257</v>
      </c>
      <c r="R260" s="20" t="n">
        <v>82</v>
      </c>
      <c r="S260" s="20" t="n">
        <v>54</v>
      </c>
      <c r="T260" s="20" t="n">
        <v>34</v>
      </c>
      <c r="U260" s="20" t="n">
        <v>62</v>
      </c>
      <c r="V260" s="20" t="n">
        <v>5</v>
      </c>
      <c r="W260" s="20" t="n">
        <v>10</v>
      </c>
      <c r="X260" s="20" t="n">
        <v>376</v>
      </c>
    </row>
    <row r="261">
      <c r="A261" s="18" t="inlineStr">
        <is>
          <t>이자·배당금 수익</t>
        </is>
      </c>
      <c r="D261" s="20" t="n">
        <v>-321</v>
      </c>
      <c r="F261" s="20" t="n">
        <v>-197</v>
      </c>
      <c r="H261" s="20" t="n">
        <v>-400</v>
      </c>
      <c r="J261" s="20" t="n">
        <v>-196</v>
      </c>
      <c r="L261" s="20" t="n">
        <v>-395</v>
      </c>
      <c r="N261" s="20" t="n">
        <v>-201</v>
      </c>
      <c r="O261" s="20" t="n">
        <v>-143</v>
      </c>
      <c r="P261" s="20" t="n">
        <v>-162</v>
      </c>
      <c r="Q261" s="20" t="n">
        <v>-172</v>
      </c>
      <c r="R261" s="20" t="n">
        <v>-177</v>
      </c>
      <c r="S261" s="20" t="n">
        <v>-177</v>
      </c>
      <c r="T261" s="20" t="n">
        <v>-207</v>
      </c>
      <c r="U261" s="20" t="n">
        <v>-302</v>
      </c>
      <c r="V261" s="20" t="n">
        <v>-321</v>
      </c>
      <c r="W261" s="20" t="n">
        <v>-400</v>
      </c>
      <c r="X261" s="20" t="n">
        <v>-395</v>
      </c>
    </row>
    <row r="262">
      <c r="A262" s="18" t="inlineStr">
        <is>
          <t>이자비용</t>
        </is>
      </c>
      <c r="D262" s="20" t="n">
        <v>17</v>
      </c>
      <c r="F262" s="20" t="n">
        <v>12</v>
      </c>
      <c r="H262" s="20" t="n">
        <v>31</v>
      </c>
      <c r="J262" s="20" t="n">
        <v>27</v>
      </c>
      <c r="L262" s="20" t="n">
        <v>58</v>
      </c>
      <c r="N262" s="20" t="n">
        <v>99</v>
      </c>
      <c r="O262" s="20" t="n">
        <v>186</v>
      </c>
      <c r="P262" s="20" t="n">
        <v>142</v>
      </c>
      <c r="Q262" s="20" t="n">
        <v>130</v>
      </c>
      <c r="R262" s="20" t="n">
        <v>115</v>
      </c>
      <c r="S262" s="20" t="n">
        <v>100</v>
      </c>
      <c r="T262" s="20" t="n">
        <v>84</v>
      </c>
      <c r="U262" s="20" t="n">
        <v>21</v>
      </c>
      <c r="V262" s="20" t="n">
        <v>17</v>
      </c>
      <c r="W262" s="20" t="n">
        <v>31</v>
      </c>
      <c r="X262" s="20" t="n">
        <v>58</v>
      </c>
    </row>
    <row r="263">
      <c r="A263" s="18" t="inlineStr">
        <is>
          <t>외환차손익</t>
        </is>
      </c>
      <c r="D263" s="20" t="n">
        <v>-29</v>
      </c>
      <c r="F263" s="20" t="n">
        <v>-158</v>
      </c>
      <c r="H263" s="20" t="n">
        <v>-130</v>
      </c>
      <c r="J263" s="20" t="n">
        <v>127</v>
      </c>
      <c r="L263" s="20" t="n">
        <v>2</v>
      </c>
      <c r="N263" s="20" t="n">
        <v>-46</v>
      </c>
      <c r="O263" s="20" t="n">
        <v>83</v>
      </c>
      <c r="P263" s="20" t="n">
        <v>-10</v>
      </c>
      <c r="Q263" s="20" t="n">
        <v>22</v>
      </c>
      <c r="R263" s="20" t="n">
        <v>5</v>
      </c>
      <c r="S263" s="20" t="n">
        <v>22</v>
      </c>
      <c r="T263" s="20" t="n">
        <v>-55</v>
      </c>
      <c r="U263" s="20" t="n">
        <v>-66</v>
      </c>
      <c r="V263" s="20" t="n">
        <v>-29</v>
      </c>
      <c r="W263" s="20" t="n">
        <v>-130</v>
      </c>
      <c r="X263" s="20" t="n">
        <v>2</v>
      </c>
    </row>
    <row r="264">
      <c r="A264" s="18" t="inlineStr">
        <is>
          <t>투자유가증권 매각손익</t>
        </is>
      </c>
      <c r="D264" s="20" t="n">
        <v>-426</v>
      </c>
      <c r="F264" s="20" t="n">
        <v>0</v>
      </c>
      <c r="H264" s="20" t="n">
        <v>-2416</v>
      </c>
      <c r="L264" s="20" t="n">
        <v>0</v>
      </c>
      <c r="O264" s="20" t="n">
        <v>0</v>
      </c>
      <c r="P264" s="20" t="n">
        <v>-0</v>
      </c>
      <c r="Q264" s="20" t="n">
        <v>-142</v>
      </c>
      <c r="R264" s="20" t="n">
        <v>66</v>
      </c>
      <c r="S264" s="20" t="n">
        <v>-9</v>
      </c>
      <c r="T264" s="20" t="n">
        <v>5</v>
      </c>
      <c r="U264" s="20" t="n">
        <v>0</v>
      </c>
      <c r="V264" s="20" t="n">
        <v>-426</v>
      </c>
      <c r="W264" s="20" t="n">
        <v>-2416</v>
      </c>
      <c r="X264" s="20" t="n">
        <v>0</v>
      </c>
    </row>
    <row r="265">
      <c r="A265" s="18" t="inlineStr">
        <is>
          <t>투자유가증권 평가손익</t>
        </is>
      </c>
      <c r="O265" s="20" t="n">
        <v>0</v>
      </c>
      <c r="P265" s="20" t="n">
        <v>0</v>
      </c>
      <c r="Q265" s="20" t="n">
        <v>10</v>
      </c>
      <c r="R265" s="20" t="n">
        <v>0</v>
      </c>
      <c r="S265" s="20" t="n">
        <v>290</v>
      </c>
      <c r="T265" s="20" t="n">
        <v>0</v>
      </c>
    </row>
    <row r="266">
      <c r="A266" s="18" t="inlineStr">
        <is>
          <t>고정자산 제각·매각손익</t>
        </is>
      </c>
      <c r="D266" s="20" t="n">
        <v>58</v>
      </c>
      <c r="F266" s="20" t="n">
        <v>-812</v>
      </c>
      <c r="H266" s="20" t="n">
        <v>-769</v>
      </c>
      <c r="J266" s="20" t="n">
        <v>18</v>
      </c>
      <c r="L266" s="20" t="n">
        <v>16</v>
      </c>
      <c r="N266" s="20" t="n">
        <v>35</v>
      </c>
      <c r="O266" s="20" t="n">
        <v>-1026</v>
      </c>
      <c r="P266" s="20" t="n">
        <v>172</v>
      </c>
      <c r="Q266" s="20" t="n">
        <v>70</v>
      </c>
      <c r="R266" s="20" t="n">
        <v>-154</v>
      </c>
      <c r="S266" s="20" t="n">
        <v>45</v>
      </c>
      <c r="T266" s="20" t="n">
        <v>-248</v>
      </c>
      <c r="U266" s="20" t="n">
        <v>-1504</v>
      </c>
      <c r="V266" s="20" t="n">
        <v>58</v>
      </c>
      <c r="W266" s="20" t="n">
        <v>-769</v>
      </c>
      <c r="X266" s="20" t="n">
        <v>16</v>
      </c>
    </row>
    <row r="267">
      <c r="A267" s="18" t="inlineStr">
        <is>
          <t>매출채권 증감</t>
        </is>
      </c>
      <c r="D267" s="20" t="n">
        <v>-775</v>
      </c>
      <c r="F267" s="20" t="n">
        <v>-258</v>
      </c>
      <c r="H267" s="20" t="n">
        <v>-1235</v>
      </c>
      <c r="J267" s="20" t="n">
        <v>2563</v>
      </c>
      <c r="L267" s="20" t="n">
        <v>1334</v>
      </c>
      <c r="N267" s="20" t="n">
        <v>-3955</v>
      </c>
      <c r="O267" s="20" t="n">
        <v>800</v>
      </c>
      <c r="P267" s="20" t="n">
        <v>-1698</v>
      </c>
      <c r="Q267" s="20" t="n">
        <v>1368</v>
      </c>
      <c r="R267" s="20" t="n">
        <v>1243</v>
      </c>
      <c r="S267" s="20" t="n">
        <v>113</v>
      </c>
      <c r="T267" s="20" t="n">
        <v>-1344</v>
      </c>
      <c r="U267" s="20" t="n">
        <v>-2431</v>
      </c>
      <c r="V267" s="20" t="n">
        <v>-775</v>
      </c>
      <c r="W267" s="20" t="n">
        <v>-1235</v>
      </c>
      <c r="X267" s="20" t="n">
        <v>1334</v>
      </c>
    </row>
    <row r="268">
      <c r="A268" s="18" t="inlineStr">
        <is>
          <t>재고자산 증감</t>
        </is>
      </c>
      <c r="D268" s="20" t="n">
        <v>11</v>
      </c>
      <c r="F268" s="20" t="n">
        <v>-788</v>
      </c>
      <c r="H268" s="20" t="n">
        <v>-919</v>
      </c>
      <c r="J268" s="20" t="n">
        <v>-1204</v>
      </c>
      <c r="L268" s="20" t="n">
        <v>-216</v>
      </c>
      <c r="N268" s="20" t="n">
        <v>-1803</v>
      </c>
      <c r="O268" s="20" t="n">
        <v>852</v>
      </c>
      <c r="P268" s="20" t="n">
        <v>-550</v>
      </c>
      <c r="Q268" s="20" t="n">
        <v>-232</v>
      </c>
      <c r="R268" s="20" t="n">
        <v>-80</v>
      </c>
      <c r="S268" s="20" t="n">
        <v>771</v>
      </c>
      <c r="T268" s="20" t="n">
        <v>-1860</v>
      </c>
      <c r="U268" s="20" t="n">
        <v>-1805</v>
      </c>
      <c r="V268" s="20" t="n">
        <v>11</v>
      </c>
      <c r="W268" s="20" t="n">
        <v>-919</v>
      </c>
      <c r="X268" s="20" t="n">
        <v>-216</v>
      </c>
    </row>
    <row r="269">
      <c r="A269" s="18" t="inlineStr">
        <is>
          <t>매입채무 증감</t>
        </is>
      </c>
      <c r="D269" s="20" t="n">
        <v>-498</v>
      </c>
      <c r="F269" s="20" t="n">
        <v>2143</v>
      </c>
      <c r="H269" s="20" t="n">
        <v>3266</v>
      </c>
      <c r="J269" s="20" t="n">
        <v>897</v>
      </c>
      <c r="L269" s="20" t="n">
        <v>-1992</v>
      </c>
      <c r="N269" s="20" t="n">
        <v>1961</v>
      </c>
      <c r="O269" s="20" t="n">
        <v>-2628</v>
      </c>
      <c r="P269" s="20" t="n">
        <v>3346</v>
      </c>
      <c r="Q269" s="20" t="n">
        <v>-1641</v>
      </c>
      <c r="R269" s="20" t="n">
        <v>-1307</v>
      </c>
      <c r="S269" s="20" t="n">
        <v>-337</v>
      </c>
      <c r="T269" s="20" t="n">
        <v>977</v>
      </c>
      <c r="U269" s="20" t="n">
        <v>1972</v>
      </c>
      <c r="V269" s="20" t="n">
        <v>-498</v>
      </c>
      <c r="W269" s="20" t="n">
        <v>3266</v>
      </c>
      <c r="X269" s="20" t="n">
        <v>-1992</v>
      </c>
    </row>
    <row r="270">
      <c r="A270" s="18" t="inlineStr">
        <is>
          <t>기타</t>
        </is>
      </c>
      <c r="D270" s="20" t="n">
        <v>1608</v>
      </c>
      <c r="F270" s="20" t="n">
        <v>-2080</v>
      </c>
      <c r="H270" s="20" t="n">
        <v>-4121</v>
      </c>
      <c r="J270" s="20" t="n">
        <v>933</v>
      </c>
      <c r="L270" s="20" t="n">
        <v>1467</v>
      </c>
      <c r="N270" s="20" t="n">
        <v>-424</v>
      </c>
      <c r="O270" s="20" t="n">
        <v>477</v>
      </c>
      <c r="P270" s="20" t="n">
        <v>312</v>
      </c>
      <c r="Q270" s="20" t="n">
        <v>-16</v>
      </c>
      <c r="R270" s="20" t="n">
        <v>-373</v>
      </c>
      <c r="S270" s="20" t="n">
        <v>-45</v>
      </c>
      <c r="T270" s="20" t="n">
        <v>18</v>
      </c>
      <c r="U270" s="20" t="n">
        <v>-820</v>
      </c>
      <c r="V270" s="20" t="n">
        <v>1608</v>
      </c>
      <c r="W270" s="20" t="n">
        <v>-4121</v>
      </c>
      <c r="X270" s="20" t="n">
        <v>1467</v>
      </c>
    </row>
    <row r="271">
      <c r="A271" s="18" t="inlineStr">
        <is>
          <t>소계</t>
        </is>
      </c>
      <c r="D271" s="20" t="n">
        <v>9506</v>
      </c>
      <c r="F271" s="20" t="n">
        <v>3792</v>
      </c>
      <c r="H271" s="20" t="n">
        <v>6797</v>
      </c>
      <c r="J271" s="20" t="n">
        <v>8985</v>
      </c>
      <c r="L271" s="20" t="n">
        <v>11599</v>
      </c>
      <c r="N271" s="20" t="n">
        <v>3809</v>
      </c>
      <c r="O271" s="20" t="n">
        <v>8646</v>
      </c>
      <c r="P271" s="20" t="n">
        <v>11115</v>
      </c>
      <c r="Q271" s="20" t="n">
        <v>7092</v>
      </c>
      <c r="R271" s="20" t="n">
        <v>7828</v>
      </c>
      <c r="S271" s="20" t="n">
        <v>9747</v>
      </c>
      <c r="T271" s="20" t="n">
        <v>7594</v>
      </c>
      <c r="U271" s="20" t="n">
        <v>5086</v>
      </c>
      <c r="V271" s="20" t="n">
        <v>9506</v>
      </c>
      <c r="W271" s="20" t="n">
        <v>6797</v>
      </c>
      <c r="X271" s="20" t="n">
        <v>11599</v>
      </c>
    </row>
    <row r="272">
      <c r="A272" s="18" t="inlineStr">
        <is>
          <t>이자·배당금 수취</t>
        </is>
      </c>
      <c r="D272" s="20" t="n">
        <v>323</v>
      </c>
      <c r="F272" s="20" t="n">
        <v>197</v>
      </c>
      <c r="H272" s="20" t="n">
        <v>401</v>
      </c>
      <c r="J272" s="20" t="n">
        <v>196</v>
      </c>
      <c r="L272" s="20" t="n">
        <v>395</v>
      </c>
      <c r="N272" s="20" t="n">
        <v>201</v>
      </c>
      <c r="O272" s="20" t="n">
        <v>143</v>
      </c>
      <c r="P272" s="20" t="n">
        <v>162</v>
      </c>
      <c r="Q272" s="20" t="n">
        <v>172</v>
      </c>
      <c r="R272" s="20" t="n">
        <v>177</v>
      </c>
      <c r="S272" s="20" t="n">
        <v>177</v>
      </c>
      <c r="T272" s="20" t="n">
        <v>207</v>
      </c>
      <c r="U272" s="20" t="n">
        <v>299</v>
      </c>
      <c r="V272" s="20" t="n">
        <v>323</v>
      </c>
      <c r="W272" s="20" t="n">
        <v>401</v>
      </c>
      <c r="X272" s="20" t="n">
        <v>395</v>
      </c>
    </row>
    <row r="273">
      <c r="A273" s="18" t="inlineStr">
        <is>
          <t>이자 지급</t>
        </is>
      </c>
      <c r="D273" s="20" t="n">
        <v>-16</v>
      </c>
      <c r="F273" s="20" t="n">
        <v>-11</v>
      </c>
      <c r="H273" s="20" t="n">
        <v>-31</v>
      </c>
      <c r="J273" s="20" t="n">
        <v>-28</v>
      </c>
      <c r="L273" s="20" t="n">
        <v>-59</v>
      </c>
      <c r="N273" s="20" t="n">
        <v>-110</v>
      </c>
      <c r="O273" s="20" t="n">
        <v>-188</v>
      </c>
      <c r="P273" s="20" t="n">
        <v>-143</v>
      </c>
      <c r="Q273" s="20" t="n">
        <v>-132</v>
      </c>
      <c r="R273" s="20" t="n">
        <v>-118</v>
      </c>
      <c r="S273" s="20" t="n">
        <v>-100</v>
      </c>
      <c r="T273" s="20" t="n">
        <v>-83</v>
      </c>
      <c r="U273" s="20" t="n">
        <v>-21</v>
      </c>
      <c r="V273" s="20" t="n">
        <v>-16</v>
      </c>
      <c r="W273" s="20" t="n">
        <v>-31</v>
      </c>
      <c r="X273" s="20" t="n">
        <v>-59</v>
      </c>
    </row>
    <row r="274">
      <c r="A274" s="18" t="inlineStr">
        <is>
          <t>법인세 납부</t>
        </is>
      </c>
      <c r="D274" s="20" t="n">
        <v>-1409</v>
      </c>
      <c r="F274" s="20" t="n">
        <v>-708</v>
      </c>
      <c r="H274" s="20" t="n">
        <v>-1334</v>
      </c>
      <c r="J274" s="20" t="n">
        <v>-1428</v>
      </c>
      <c r="L274" s="20" t="n">
        <v>-2031</v>
      </c>
      <c r="N274" s="20" t="n">
        <v>-826</v>
      </c>
      <c r="O274" s="20" t="n">
        <v>-1041</v>
      </c>
      <c r="P274" s="20" t="n">
        <v>-2035</v>
      </c>
      <c r="Q274" s="20" t="n">
        <v>-1176</v>
      </c>
      <c r="R274" s="20" t="n">
        <v>-773</v>
      </c>
      <c r="S274" s="20" t="n">
        <v>-525</v>
      </c>
      <c r="T274" s="20" t="n">
        <v>-1371</v>
      </c>
      <c r="U274" s="20" t="n">
        <v>-1661</v>
      </c>
      <c r="V274" s="20" t="n">
        <v>-1409</v>
      </c>
      <c r="W274" s="20" t="n">
        <v>-1334</v>
      </c>
      <c r="X274" s="20" t="n">
        <v>-2031</v>
      </c>
    </row>
    <row r="275">
      <c r="A275" s="9" t="inlineStr">
        <is>
          <t>영업활동 현금흐름</t>
        </is>
      </c>
      <c r="D275" s="12" t="n">
        <v>8403</v>
      </c>
      <c r="F275" s="12" t="n">
        <v>3270</v>
      </c>
      <c r="H275" s="12" t="n">
        <v>5833</v>
      </c>
      <c r="J275" s="12" t="n">
        <v>7724</v>
      </c>
      <c r="L275" s="12" t="n">
        <v>9904</v>
      </c>
      <c r="N275" s="12" t="n">
        <v>3073</v>
      </c>
      <c r="O275" s="12" t="n">
        <v>7558</v>
      </c>
      <c r="P275" s="12" t="n">
        <v>9098</v>
      </c>
      <c r="Q275" s="12" t="n">
        <v>5955</v>
      </c>
      <c r="R275" s="12" t="n">
        <v>7114</v>
      </c>
      <c r="S275" s="12" t="n">
        <v>9298</v>
      </c>
      <c r="T275" s="12" t="n">
        <v>6345</v>
      </c>
      <c r="U275" s="12" t="n">
        <v>3702</v>
      </c>
      <c r="V275" s="12" t="n">
        <v>8403</v>
      </c>
      <c r="W275" s="12" t="n">
        <v>5833</v>
      </c>
      <c r="X275" s="12" t="n">
        <v>9904</v>
      </c>
    </row>
    <row r="276">
      <c r="A276" s="18" t="inlineStr">
        <is>
          <t>유형자산 취득(설비투자)</t>
        </is>
      </c>
      <c r="D276" s="20" t="n">
        <v>-7129</v>
      </c>
      <c r="F276" s="20" t="n">
        <v>-6461</v>
      </c>
      <c r="H276" s="20" t="n">
        <v>-9073</v>
      </c>
      <c r="J276" s="20" t="n">
        <v>-3712</v>
      </c>
      <c r="L276" s="20" t="n">
        <v>-7132</v>
      </c>
      <c r="N276" s="20" t="n">
        <v>-5014</v>
      </c>
      <c r="O276" s="20" t="n">
        <v>-2135</v>
      </c>
      <c r="P276" s="20" t="n">
        <v>-3756</v>
      </c>
      <c r="Q276" s="20" t="n">
        <v>-5279</v>
      </c>
      <c r="R276" s="20" t="n">
        <v>-5825</v>
      </c>
      <c r="S276" s="20" t="n">
        <v>-4403</v>
      </c>
      <c r="T276" s="20" t="n">
        <v>-3498</v>
      </c>
      <c r="U276" s="20" t="n">
        <v>-5120</v>
      </c>
      <c r="V276" s="20" t="n">
        <v>-7129</v>
      </c>
      <c r="W276" s="20" t="n">
        <v>-9073</v>
      </c>
      <c r="X276" s="20" t="n">
        <v>-7132</v>
      </c>
    </row>
    <row r="277">
      <c r="A277" s="18" t="inlineStr">
        <is>
          <t>유형자산 매각</t>
        </is>
      </c>
      <c r="D277" s="20" t="n">
        <v>3</v>
      </c>
      <c r="F277" s="20" t="n">
        <v>1119</v>
      </c>
      <c r="H277" s="20" t="n">
        <v>1127</v>
      </c>
      <c r="J277" s="20" t="n">
        <v>0</v>
      </c>
      <c r="L277" s="20" t="n">
        <v>70</v>
      </c>
      <c r="N277" s="20" t="n">
        <v>4</v>
      </c>
      <c r="O277" s="20" t="n">
        <v>1439</v>
      </c>
      <c r="P277" s="20" t="n">
        <v>12</v>
      </c>
      <c r="Q277" s="20" t="n">
        <v>32</v>
      </c>
      <c r="R277" s="20" t="n">
        <v>414</v>
      </c>
      <c r="S277" s="20" t="n">
        <v>7</v>
      </c>
      <c r="T277" s="20" t="n">
        <v>705</v>
      </c>
      <c r="U277" s="20" t="n">
        <v>1957</v>
      </c>
      <c r="V277" s="20" t="n">
        <v>3</v>
      </c>
      <c r="W277" s="20" t="n">
        <v>1127</v>
      </c>
      <c r="X277" s="20" t="n">
        <v>70</v>
      </c>
    </row>
    <row r="278">
      <c r="A278" s="18" t="inlineStr">
        <is>
          <t>Proceeds From Reception Of Subsidy Inv CF</t>
        </is>
      </c>
      <c r="O278" s="20" t="n">
        <v>3</v>
      </c>
      <c r="P278" s="20" t="n">
        <v>17</v>
      </c>
      <c r="Q278" s="20" t="n">
        <v>14</v>
      </c>
      <c r="R278" s="20" t="n">
        <v>1</v>
      </c>
    </row>
    <row r="279">
      <c r="A279" s="18" t="inlineStr">
        <is>
          <t>Proceeds From Governmental Subsidy Income Inv CF</t>
        </is>
      </c>
      <c r="D279" s="20" t="n">
        <v>52</v>
      </c>
      <c r="F279" s="20" t="n">
        <v>42</v>
      </c>
      <c r="H279" s="20" t="n">
        <v>346</v>
      </c>
      <c r="J279" s="20" t="n">
        <v>10</v>
      </c>
      <c r="L279" s="20" t="n">
        <v>10</v>
      </c>
      <c r="N279" s="20" t="n">
        <v>826</v>
      </c>
      <c r="R279" s="20" t="n">
        <v>1</v>
      </c>
      <c r="S279" s="20" t="n">
        <v>268</v>
      </c>
      <c r="T279" s="20" t="n">
        <v>121</v>
      </c>
      <c r="U279" s="20" t="n">
        <v>19</v>
      </c>
      <c r="V279" s="20" t="n">
        <v>52</v>
      </c>
      <c r="W279" s="20" t="n">
        <v>346</v>
      </c>
      <c r="X279" s="20" t="n">
        <v>10</v>
      </c>
    </row>
    <row r="280">
      <c r="A280" s="18" t="inlineStr">
        <is>
          <t>투자유가증권 취득</t>
        </is>
      </c>
      <c r="D280" s="20" t="n">
        <v>-61</v>
      </c>
      <c r="F280" s="20" t="n">
        <v>-6</v>
      </c>
      <c r="H280" s="20" t="n">
        <v>-12</v>
      </c>
      <c r="J280" s="20" t="n">
        <v>-6</v>
      </c>
      <c r="L280" s="20" t="n">
        <v>-13</v>
      </c>
      <c r="N280" s="20" t="n">
        <v>-6</v>
      </c>
      <c r="O280" s="20" t="n">
        <v>-9</v>
      </c>
      <c r="P280" s="20" t="n">
        <v>-30</v>
      </c>
      <c r="Q280" s="20" t="n">
        <v>-9</v>
      </c>
      <c r="R280" s="20" t="n">
        <v>-9</v>
      </c>
      <c r="S280" s="20" t="n">
        <v>-10</v>
      </c>
      <c r="T280" s="20" t="n">
        <v>-11</v>
      </c>
      <c r="U280" s="20" t="n">
        <v>-21</v>
      </c>
      <c r="V280" s="20" t="n">
        <v>-61</v>
      </c>
      <c r="W280" s="20" t="n">
        <v>-12</v>
      </c>
      <c r="X280" s="20" t="n">
        <v>-13</v>
      </c>
    </row>
    <row r="281">
      <c r="A281" s="18" t="inlineStr">
        <is>
          <t>투자유가증권 매각</t>
        </is>
      </c>
      <c r="D281" s="20" t="n">
        <v>611</v>
      </c>
      <c r="F281" s="20" t="n">
        <v>0</v>
      </c>
      <c r="H281" s="20" t="n">
        <v>3377</v>
      </c>
      <c r="L281" s="20" t="n">
        <v>0</v>
      </c>
      <c r="O281" s="20" t="n">
        <v>0</v>
      </c>
      <c r="P281" s="20" t="n">
        <v>6</v>
      </c>
      <c r="Q281" s="20" t="n">
        <v>174</v>
      </c>
      <c r="R281" s="20" t="n">
        <v>54</v>
      </c>
      <c r="S281" s="20" t="n">
        <v>19</v>
      </c>
      <c r="T281" s="20" t="n">
        <v>58</v>
      </c>
      <c r="U281" s="20" t="n">
        <v>0</v>
      </c>
      <c r="V281" s="20" t="n">
        <v>611</v>
      </c>
      <c r="W281" s="20" t="n">
        <v>3377</v>
      </c>
      <c r="X281" s="20" t="n">
        <v>0</v>
      </c>
    </row>
    <row r="282">
      <c r="A282" s="18" t="inlineStr">
        <is>
          <t>Payments Of Loans Receivable To Subsidiaries And Affiliates Inv CF</t>
        </is>
      </c>
      <c r="D282" s="20" t="n">
        <v>-468</v>
      </c>
      <c r="F282" s="20" t="n">
        <v>-351</v>
      </c>
      <c r="H282" s="20" t="n">
        <v>-790</v>
      </c>
      <c r="J282" s="20" t="n">
        <v>0</v>
      </c>
      <c r="L282" s="20" t="n">
        <v>0</v>
      </c>
      <c r="U282" s="20" t="n">
        <v>0</v>
      </c>
      <c r="V282" s="20" t="n">
        <v>-468</v>
      </c>
      <c r="W282" s="20" t="n">
        <v>-790</v>
      </c>
      <c r="X282" s="20" t="n">
        <v>0</v>
      </c>
    </row>
    <row r="283">
      <c r="A283" s="18" t="inlineStr">
        <is>
          <t>대여금 회수</t>
        </is>
      </c>
      <c r="D283" s="20" t="n">
        <v>1</v>
      </c>
      <c r="F283" s="20" t="n">
        <v>109</v>
      </c>
      <c r="H283" s="20" t="n">
        <v>109</v>
      </c>
      <c r="J283" s="20" t="n">
        <v>0</v>
      </c>
      <c r="L283" s="20" t="n">
        <v>0</v>
      </c>
      <c r="N283" s="20" t="n">
        <v>0</v>
      </c>
      <c r="O283" s="20" t="n">
        <v>5</v>
      </c>
      <c r="P283" s="20" t="n">
        <v>5</v>
      </c>
      <c r="Q283" s="20" t="n">
        <v>7</v>
      </c>
      <c r="R283" s="20" t="n">
        <v>5</v>
      </c>
      <c r="S283" s="20" t="n">
        <v>3</v>
      </c>
      <c r="T283" s="20" t="n">
        <v>2</v>
      </c>
      <c r="U283" s="20" t="n">
        <v>1</v>
      </c>
      <c r="V283" s="20" t="n">
        <v>1</v>
      </c>
      <c r="W283" s="20" t="n">
        <v>109</v>
      </c>
      <c r="X283" s="20" t="n">
        <v>0</v>
      </c>
    </row>
    <row r="284">
      <c r="A284" s="18" t="inlineStr">
        <is>
          <t>관계회사 출자금 납입</t>
        </is>
      </c>
      <c r="D284" s="20" t="n">
        <v>-455</v>
      </c>
      <c r="F284" s="20" t="n">
        <v>0</v>
      </c>
      <c r="H284" s="20" t="n">
        <v>0</v>
      </c>
      <c r="U284" s="20" t="n">
        <v>0</v>
      </c>
      <c r="V284" s="20" t="n">
        <v>-455</v>
      </c>
      <c r="W284" s="20" t="n">
        <v>0</v>
      </c>
    </row>
    <row r="285">
      <c r="A285" s="18" t="inlineStr">
        <is>
          <t>출자금 납입</t>
        </is>
      </c>
      <c r="H285" s="20" t="n">
        <v>0</v>
      </c>
      <c r="J285" s="20" t="n">
        <v>0</v>
      </c>
      <c r="L285" s="20" t="n">
        <v>-153</v>
      </c>
      <c r="N285" s="20" t="n">
        <v>-1280</v>
      </c>
      <c r="W285" s="20" t="n">
        <v>0</v>
      </c>
      <c r="X285" s="20" t="n">
        <v>-153</v>
      </c>
    </row>
    <row r="286">
      <c r="A286" s="18" t="inlineStr">
        <is>
          <t>연결범위 변경 자회사 주식 취득</t>
        </is>
      </c>
      <c r="J286" s="20" t="n">
        <v>0</v>
      </c>
      <c r="N286" s="20" t="n">
        <v>-2593</v>
      </c>
    </row>
    <row r="287">
      <c r="A287" s="18" t="inlineStr">
        <is>
          <t>기타</t>
        </is>
      </c>
      <c r="D287" s="20" t="n">
        <v>-449</v>
      </c>
      <c r="F287" s="20" t="n">
        <v>-336</v>
      </c>
      <c r="H287" s="20" t="n">
        <v>-792</v>
      </c>
      <c r="J287" s="20" t="n">
        <v>-418</v>
      </c>
      <c r="L287" s="20" t="n">
        <v>-750</v>
      </c>
      <c r="N287" s="20" t="n">
        <v>-190</v>
      </c>
      <c r="O287" s="20" t="n">
        <v>-19</v>
      </c>
      <c r="P287" s="20" t="n">
        <v>-276</v>
      </c>
      <c r="Q287" s="20" t="n">
        <v>-207</v>
      </c>
      <c r="R287" s="20" t="n">
        <v>-206</v>
      </c>
      <c r="S287" s="20" t="n">
        <v>-241</v>
      </c>
      <c r="T287" s="20" t="n">
        <v>-140</v>
      </c>
      <c r="U287" s="20" t="n">
        <v>-145</v>
      </c>
      <c r="V287" s="20" t="n">
        <v>-449</v>
      </c>
      <c r="W287" s="20" t="n">
        <v>-792</v>
      </c>
      <c r="X287" s="20" t="n">
        <v>-750</v>
      </c>
    </row>
    <row r="288">
      <c r="A288" s="9" t="inlineStr">
        <is>
          <t>투자활동 현금흐름</t>
        </is>
      </c>
      <c r="D288" s="12" t="n">
        <v>-7897</v>
      </c>
      <c r="F288" s="12" t="n">
        <v>-5885</v>
      </c>
      <c r="H288" s="12" t="n">
        <v>-5708</v>
      </c>
      <c r="J288" s="12" t="n">
        <v>-4126</v>
      </c>
      <c r="L288" s="12" t="n">
        <v>-7970</v>
      </c>
      <c r="N288" s="12" t="n">
        <v>-8255</v>
      </c>
      <c r="O288" s="12" t="n">
        <v>-715</v>
      </c>
      <c r="P288" s="12" t="n">
        <v>-4020</v>
      </c>
      <c r="Q288" s="12" t="n">
        <v>-5267</v>
      </c>
      <c r="R288" s="12" t="n">
        <v>-5566</v>
      </c>
      <c r="S288" s="12" t="n">
        <v>-4356</v>
      </c>
      <c r="T288" s="12" t="n">
        <v>-2763</v>
      </c>
      <c r="U288" s="12" t="n">
        <v>-3310</v>
      </c>
      <c r="V288" s="12" t="n">
        <v>-7897</v>
      </c>
      <c r="W288" s="12" t="n">
        <v>-5708</v>
      </c>
      <c r="X288" s="12" t="n">
        <v>-7970</v>
      </c>
    </row>
    <row r="289">
      <c r="A289" s="18" t="inlineStr">
        <is>
          <t>단기차입금 순증감</t>
        </is>
      </c>
      <c r="D289" s="20" t="n">
        <v>-21</v>
      </c>
      <c r="F289" s="20" t="n">
        <v>3699</v>
      </c>
      <c r="H289" s="20" t="n">
        <v>2938</v>
      </c>
      <c r="J289" s="20" t="n">
        <v>0</v>
      </c>
      <c r="L289" s="20" t="n">
        <v>1001</v>
      </c>
      <c r="N289" s="20" t="n">
        <v>-1096</v>
      </c>
      <c r="O289" s="20" t="n">
        <v>-4440</v>
      </c>
      <c r="P289" s="20" t="n">
        <v>-900</v>
      </c>
      <c r="Q289" s="20" t="n">
        <v>1100</v>
      </c>
      <c r="R289" s="20" t="n">
        <v>259</v>
      </c>
      <c r="S289" s="20" t="n">
        <v>-2064</v>
      </c>
      <c r="T289" s="20" t="n">
        <v>-1410</v>
      </c>
      <c r="U289" s="20" t="n">
        <v>-369</v>
      </c>
      <c r="V289" s="20" t="n">
        <v>-21</v>
      </c>
      <c r="W289" s="20" t="n">
        <v>2938</v>
      </c>
      <c r="X289" s="20" t="n">
        <v>1001</v>
      </c>
    </row>
    <row r="290">
      <c r="A290" s="18" t="inlineStr">
        <is>
          <t>장기차입</t>
        </is>
      </c>
      <c r="D290" s="20" t="n">
        <v>0</v>
      </c>
      <c r="F290" s="20" t="n">
        <v>1950</v>
      </c>
      <c r="H290" s="20" t="n">
        <v>1950</v>
      </c>
      <c r="J290" s="20" t="n">
        <v>0</v>
      </c>
      <c r="L290" s="20" t="n">
        <v>0</v>
      </c>
      <c r="N290" s="20" t="n">
        <v>13700</v>
      </c>
      <c r="O290" s="20" t="n">
        <v>1800</v>
      </c>
      <c r="P290" s="20" t="n">
        <v>490</v>
      </c>
      <c r="Q290" s="20" t="n">
        <v>560</v>
      </c>
      <c r="R290" s="20" t="n">
        <v>1000</v>
      </c>
      <c r="S290" s="20" t="n">
        <v>730</v>
      </c>
      <c r="T290" s="20" t="n">
        <v>80</v>
      </c>
      <c r="U290" s="20" t="n">
        <v>0</v>
      </c>
      <c r="V290" s="20" t="n">
        <v>0</v>
      </c>
      <c r="W290" s="20" t="n">
        <v>1950</v>
      </c>
      <c r="X290" s="20" t="n">
        <v>0</v>
      </c>
    </row>
    <row r="291">
      <c r="A291" s="18" t="inlineStr">
        <is>
          <t>장기차입금 상환</t>
        </is>
      </c>
      <c r="D291" s="20" t="n">
        <v>-453</v>
      </c>
      <c r="F291" s="20" t="n">
        <v>-398</v>
      </c>
      <c r="H291" s="20" t="n">
        <v>-674</v>
      </c>
      <c r="J291" s="20" t="n">
        <v>-216</v>
      </c>
      <c r="L291" s="20" t="n">
        <v>-389</v>
      </c>
      <c r="N291" s="20" t="n">
        <v>-1095</v>
      </c>
      <c r="O291" s="20" t="n">
        <v>-3036</v>
      </c>
      <c r="P291" s="20" t="n">
        <v>-2869</v>
      </c>
      <c r="Q291" s="20" t="n">
        <v>-2769</v>
      </c>
      <c r="R291" s="20" t="n">
        <v>-1978</v>
      </c>
      <c r="S291" s="20" t="n">
        <v>-1352</v>
      </c>
      <c r="T291" s="20" t="n">
        <v>-996</v>
      </c>
      <c r="U291" s="20" t="n">
        <v>-570</v>
      </c>
      <c r="V291" s="20" t="n">
        <v>-453</v>
      </c>
      <c r="W291" s="20" t="n">
        <v>-674</v>
      </c>
      <c r="X291" s="20" t="n">
        <v>-389</v>
      </c>
    </row>
    <row r="292">
      <c r="A292" s="18" t="inlineStr">
        <is>
          <t>리스부채 상환</t>
        </is>
      </c>
      <c r="D292" s="20" t="n">
        <v>0</v>
      </c>
      <c r="F292" s="20" t="n">
        <v>0</v>
      </c>
      <c r="H292" s="20" t="n">
        <v>-0</v>
      </c>
      <c r="J292" s="20" t="n">
        <v>-0</v>
      </c>
      <c r="L292" s="20" t="n">
        <v>-1</v>
      </c>
      <c r="N292" s="20" t="n">
        <v>-0</v>
      </c>
      <c r="O292" s="20" t="n">
        <v>-568</v>
      </c>
      <c r="P292" s="20" t="n">
        <v>-17</v>
      </c>
      <c r="Q292" s="20" t="n">
        <v>-2</v>
      </c>
      <c r="R292" s="20" t="n">
        <v>0</v>
      </c>
      <c r="V292" s="20" t="n">
        <v>0</v>
      </c>
      <c r="W292" s="20" t="n">
        <v>-0</v>
      </c>
      <c r="X292" s="20" t="n">
        <v>-1</v>
      </c>
    </row>
    <row r="293">
      <c r="A293" s="18" t="inlineStr">
        <is>
          <t>자기주식 취득</t>
        </is>
      </c>
      <c r="D293" s="20" t="n">
        <v>-2</v>
      </c>
      <c r="F293" s="20" t="n">
        <v>-2</v>
      </c>
      <c r="H293" s="20" t="n">
        <v>-1276</v>
      </c>
      <c r="J293" s="20" t="n">
        <v>-1229</v>
      </c>
      <c r="L293" s="20" t="n">
        <v>-1231</v>
      </c>
      <c r="N293" s="20" t="n">
        <v>-1</v>
      </c>
      <c r="O293" s="20" t="n">
        <v>-5</v>
      </c>
      <c r="P293" s="20" t="n">
        <v>-16</v>
      </c>
      <c r="Q293" s="20" t="n">
        <v>-6</v>
      </c>
      <c r="R293" s="20" t="n">
        <v>-2</v>
      </c>
      <c r="S293" s="20" t="n">
        <v>-1</v>
      </c>
      <c r="T293" s="20" t="n">
        <v>-2</v>
      </c>
      <c r="U293" s="20" t="n">
        <v>-1</v>
      </c>
      <c r="V293" s="20" t="n">
        <v>-2</v>
      </c>
      <c r="W293" s="20" t="n">
        <v>-1276</v>
      </c>
      <c r="X293" s="20" t="n">
        <v>-1231</v>
      </c>
    </row>
    <row r="294">
      <c r="A294" s="18" t="inlineStr">
        <is>
          <t>자기주식 처분</t>
        </is>
      </c>
      <c r="D294" s="20" t="n">
        <v>293</v>
      </c>
      <c r="H294" s="20" t="n">
        <v>0</v>
      </c>
      <c r="U294" s="20" t="n">
        <v>0</v>
      </c>
      <c r="V294" s="20" t="n">
        <v>293</v>
      </c>
      <c r="W294" s="20" t="n">
        <v>0</v>
      </c>
    </row>
    <row r="295">
      <c r="A295" s="18" t="inlineStr">
        <is>
          <t>배당금 지급</t>
        </is>
      </c>
      <c r="D295" s="20" t="n">
        <v>-1009</v>
      </c>
      <c r="F295" s="20" t="n">
        <v>-1324</v>
      </c>
      <c r="H295" s="20" t="n">
        <v>-1987</v>
      </c>
      <c r="J295" s="20" t="n">
        <v>-1215</v>
      </c>
      <c r="L295" s="20" t="n">
        <v>-2284</v>
      </c>
      <c r="N295" s="20" t="n">
        <v>-1120</v>
      </c>
      <c r="O295" s="20" t="n">
        <v>-444</v>
      </c>
      <c r="P295" s="20" t="n">
        <v>-593</v>
      </c>
      <c r="Q295" s="20" t="n">
        <v>-771</v>
      </c>
      <c r="R295" s="20" t="n">
        <v>-652</v>
      </c>
      <c r="S295" s="20" t="n">
        <v>-652</v>
      </c>
      <c r="T295" s="20" t="n">
        <v>-712</v>
      </c>
      <c r="U295" s="20" t="n">
        <v>-831</v>
      </c>
      <c r="V295" s="20" t="n">
        <v>-1009</v>
      </c>
      <c r="W295" s="20" t="n">
        <v>-1987</v>
      </c>
      <c r="X295" s="20" t="n">
        <v>-2284</v>
      </c>
    </row>
    <row r="296">
      <c r="A296" s="9" t="inlineStr">
        <is>
          <t>재무활동 현금흐름</t>
        </is>
      </c>
      <c r="D296" s="12" t="n">
        <v>-1194</v>
      </c>
      <c r="F296" s="12" t="n">
        <v>3923</v>
      </c>
      <c r="H296" s="12" t="n">
        <v>948</v>
      </c>
      <c r="J296" s="12" t="n">
        <v>-2662</v>
      </c>
      <c r="L296" s="12" t="n">
        <v>-2906</v>
      </c>
      <c r="N296" s="12" t="n">
        <v>10384</v>
      </c>
      <c r="O296" s="12" t="n">
        <v>-6695</v>
      </c>
      <c r="P296" s="12" t="n">
        <v>-3906</v>
      </c>
      <c r="Q296" s="12" t="n">
        <v>-1888</v>
      </c>
      <c r="R296" s="12" t="n">
        <v>-1374</v>
      </c>
      <c r="S296" s="12" t="n">
        <v>-3341</v>
      </c>
      <c r="T296" s="12" t="n">
        <v>-3041</v>
      </c>
      <c r="U296" s="12" t="n">
        <v>-1773</v>
      </c>
      <c r="V296" s="12" t="n">
        <v>-1194</v>
      </c>
      <c r="W296" s="12" t="n">
        <v>948</v>
      </c>
      <c r="X296" s="12" t="n">
        <v>-2906</v>
      </c>
    </row>
    <row r="297">
      <c r="A297" s="18" t="inlineStr">
        <is>
          <t>현금성자산 환산차이</t>
        </is>
      </c>
      <c r="D297" s="20" t="n">
        <v>46</v>
      </c>
      <c r="F297" s="20" t="n">
        <v>78</v>
      </c>
      <c r="H297" s="20" t="n">
        <v>68</v>
      </c>
      <c r="J297" s="20" t="n">
        <v>-24</v>
      </c>
      <c r="L297" s="20" t="n">
        <v>7</v>
      </c>
      <c r="N297" s="20" t="n">
        <v>10</v>
      </c>
      <c r="O297" s="20" t="n">
        <v>-60</v>
      </c>
      <c r="P297" s="20" t="n">
        <v>-2</v>
      </c>
      <c r="Q297" s="20" t="n">
        <v>-9</v>
      </c>
      <c r="R297" s="20" t="n">
        <v>-0</v>
      </c>
      <c r="S297" s="20" t="n">
        <v>-27</v>
      </c>
      <c r="T297" s="20" t="n">
        <v>44</v>
      </c>
      <c r="U297" s="20" t="n">
        <v>63</v>
      </c>
      <c r="V297" s="20" t="n">
        <v>46</v>
      </c>
      <c r="W297" s="20" t="n">
        <v>68</v>
      </c>
      <c r="X297" s="20" t="n">
        <v>7</v>
      </c>
    </row>
    <row r="298">
      <c r="A298" s="18" t="inlineStr">
        <is>
          <t>현금성자산 증감</t>
        </is>
      </c>
      <c r="D298" s="20" t="n">
        <v>-641</v>
      </c>
      <c r="F298" s="20" t="n">
        <v>1387</v>
      </c>
      <c r="H298" s="20" t="n">
        <v>1142</v>
      </c>
      <c r="J298" s="20" t="n">
        <v>911</v>
      </c>
      <c r="L298" s="20" t="n">
        <v>-964</v>
      </c>
      <c r="N298" s="20" t="n">
        <v>5213</v>
      </c>
      <c r="O298" s="20" t="n">
        <v>87</v>
      </c>
      <c r="P298" s="20" t="n">
        <v>1168</v>
      </c>
      <c r="Q298" s="20" t="n">
        <v>-1210</v>
      </c>
      <c r="R298" s="20" t="n">
        <v>174</v>
      </c>
      <c r="S298" s="20" t="n">
        <v>1574</v>
      </c>
      <c r="T298" s="20" t="n">
        <v>586</v>
      </c>
      <c r="U298" s="20" t="n">
        <v>-1317</v>
      </c>
      <c r="V298" s="20" t="n">
        <v>-641</v>
      </c>
      <c r="W298" s="20" t="n">
        <v>1142</v>
      </c>
      <c r="X298" s="20" t="n">
        <v>-964</v>
      </c>
    </row>
    <row r="299">
      <c r="A299" s="18" t="inlineStr">
        <is>
          <t>연결범위 변경에 따른 현금성자산 증감</t>
        </is>
      </c>
      <c r="J299" s="20" t="n">
        <v>0</v>
      </c>
      <c r="N299" s="20" t="n">
        <v>209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4221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2025.2Q</t>
        </is>
      </c>
      <c r="D3" s="5" t="inlineStr">
        <is>
          <t>2025.3Q</t>
        </is>
      </c>
      <c r="E3" s="5" t="inlineStr">
        <is>
          <t>2025.4Q</t>
        </is>
      </c>
      <c r="F3" s="5" t="inlineStr">
        <is>
          <t>2026.1Q</t>
        </is>
      </c>
      <c r="G3" s="5" t="inlineStr">
        <is>
          <t>2026.2Q</t>
        </is>
      </c>
      <c r="H3" s="6" t="inlineStr">
        <is>
          <t>2021</t>
        </is>
      </c>
      <c r="I3" s="5" t="inlineStr">
        <is>
          <t>2022</t>
        </is>
      </c>
      <c r="J3" s="5" t="inlineStr">
        <is>
          <t>2023</t>
        </is>
      </c>
      <c r="K3" s="5" t="inlineStr">
        <is>
          <t>2024</t>
        </is>
      </c>
      <c r="L3" s="5" t="inlineStr">
        <is>
          <t>2025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54093</v>
      </c>
      <c r="D5" s="12" t="n">
        <v>51528</v>
      </c>
      <c r="E5" s="12" t="n">
        <v>52664</v>
      </c>
      <c r="F5" s="12" t="n">
        <v>63500</v>
      </c>
      <c r="G5" s="12" t="n">
        <v>67344</v>
      </c>
      <c r="H5" s="11" t="n">
        <v>46959</v>
      </c>
      <c r="I5" s="12" t="n">
        <v>50640</v>
      </c>
      <c r="J5" s="12" t="n">
        <v>50947</v>
      </c>
      <c r="K5" s="12" t="n">
        <v>55545</v>
      </c>
      <c r="L5" s="12" t="n">
        <v>52664</v>
      </c>
    </row>
    <row r="6">
      <c r="A6" s="18" t="inlineStr">
        <is>
          <t>현금및현금성자산</t>
        </is>
      </c>
      <c r="B6" s="10" t="n"/>
      <c r="C6" s="19" t="n">
        <v>9860</v>
      </c>
      <c r="D6" s="20" t="n">
        <v>7802</v>
      </c>
      <c r="E6" s="20" t="n">
        <v>7984</v>
      </c>
      <c r="F6" s="20" t="n">
        <v>18474</v>
      </c>
      <c r="G6" s="20" t="n">
        <v>13408</v>
      </c>
      <c r="H6" s="19" t="n">
        <v>9765</v>
      </c>
      <c r="I6" s="20" t="n">
        <v>8448</v>
      </c>
      <c r="J6" s="20" t="n">
        <v>7806</v>
      </c>
      <c r="K6" s="20" t="n">
        <v>8949</v>
      </c>
      <c r="L6" s="20" t="n">
        <v>7984</v>
      </c>
    </row>
    <row r="7">
      <c r="A7" s="18" t="inlineStr">
        <is>
          <t>단기금융상품</t>
        </is>
      </c>
      <c r="B7" s="10" t="n"/>
      <c r="C7" s="19" t="n"/>
      <c r="D7" s="20" t="n"/>
      <c r="E7" s="20" t="n">
        <v>0</v>
      </c>
      <c r="F7" s="20" t="n"/>
      <c r="G7" s="20" t="n">
        <v>23</v>
      </c>
      <c r="H7" s="19" t="n"/>
      <c r="I7" s="20" t="n"/>
      <c r="J7" s="20" t="n"/>
      <c r="K7" s="20" t="n"/>
      <c r="L7" s="20" t="n">
        <v>0</v>
      </c>
    </row>
    <row r="8">
      <c r="A8" s="18" t="inlineStr">
        <is>
          <t>매출채권</t>
        </is>
      </c>
      <c r="B8" s="10" t="n"/>
      <c r="C8" s="19" t="n">
        <v>19729</v>
      </c>
      <c r="D8" s="20" t="n">
        <v>19352</v>
      </c>
      <c r="E8" s="20" t="n">
        <v>19263</v>
      </c>
      <c r="F8" s="20" t="n">
        <v>18535</v>
      </c>
      <c r="G8" s="20" t="n">
        <v>24345</v>
      </c>
      <c r="H8" s="19" t="n">
        <v>16823</v>
      </c>
      <c r="I8" s="20" t="n">
        <v>17473</v>
      </c>
      <c r="J8" s="20" t="n">
        <v>18702</v>
      </c>
      <c r="K8" s="20" t="n">
        <v>20170</v>
      </c>
      <c r="L8" s="20" t="n">
        <v>19263</v>
      </c>
    </row>
    <row r="9">
      <c r="A9" s="18" t="inlineStr">
        <is>
          <t>재고자산</t>
        </is>
      </c>
      <c r="B9" s="10" t="n"/>
      <c r="C9" s="19" t="n">
        <v>13898</v>
      </c>
      <c r="D9" s="20" t="n">
        <v>14499</v>
      </c>
      <c r="E9" s="20" t="n">
        <v>12926</v>
      </c>
      <c r="F9" s="20" t="n">
        <v>14593</v>
      </c>
      <c r="G9" s="20" t="n">
        <v>15698</v>
      </c>
      <c r="H9" s="19" t="n">
        <v>9961</v>
      </c>
      <c r="I9" s="20" t="n">
        <v>11774</v>
      </c>
      <c r="J9" s="20" t="n">
        <v>11774</v>
      </c>
      <c r="K9" s="20" t="n">
        <v>12705</v>
      </c>
      <c r="L9" s="20" t="n">
        <v>12926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48063</v>
      </c>
      <c r="D11" s="12" t="n">
        <v>49401</v>
      </c>
      <c r="E11" s="12" t="n">
        <v>50378</v>
      </c>
      <c r="F11" s="12" t="n">
        <v>54189</v>
      </c>
      <c r="G11" s="12" t="n">
        <v>55157</v>
      </c>
      <c r="H11" s="11" t="n">
        <v>38910</v>
      </c>
      <c r="I11" s="12" t="n">
        <v>39594</v>
      </c>
      <c r="J11" s="12" t="n">
        <v>49325</v>
      </c>
      <c r="K11" s="12" t="n">
        <v>47469</v>
      </c>
      <c r="L11" s="12" t="n">
        <v>50378</v>
      </c>
    </row>
    <row r="12">
      <c r="A12" s="18" t="inlineStr">
        <is>
          <t>유형자산</t>
        </is>
      </c>
      <c r="B12" s="10" t="n"/>
      <c r="C12" s="19" t="n">
        <v>34786</v>
      </c>
      <c r="D12" s="20" t="n">
        <v>34479</v>
      </c>
      <c r="E12" s="20" t="n">
        <v>34924</v>
      </c>
      <c r="F12" s="20" t="n">
        <v>40024</v>
      </c>
      <c r="G12" s="20" t="n">
        <v>39643</v>
      </c>
      <c r="H12" s="19" t="n">
        <v>28505</v>
      </c>
      <c r="I12" s="20" t="n">
        <v>28970</v>
      </c>
      <c r="J12" s="20" t="n">
        <v>35616</v>
      </c>
      <c r="K12" s="20" t="n">
        <v>33278</v>
      </c>
      <c r="L12" s="20" t="n">
        <v>34924</v>
      </c>
    </row>
    <row r="13">
      <c r="A13" s="18" t="inlineStr">
        <is>
          <t>무형자산</t>
        </is>
      </c>
      <c r="B13" s="10" t="n"/>
      <c r="C13" s="19" t="n">
        <v>1727</v>
      </c>
      <c r="D13" s="20" t="n">
        <v>1825</v>
      </c>
      <c r="E13" s="20" t="n">
        <v>1960</v>
      </c>
      <c r="F13" s="20" t="n">
        <v>2296</v>
      </c>
      <c r="G13" s="20" t="n">
        <v>2276</v>
      </c>
      <c r="H13" s="19" t="n">
        <v>720</v>
      </c>
      <c r="I13" s="20" t="n">
        <v>642</v>
      </c>
      <c r="J13" s="20" t="n">
        <v>888</v>
      </c>
      <c r="K13" s="20" t="n">
        <v>1420</v>
      </c>
      <c r="L13" s="20" t="n">
        <v>1960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102156</v>
      </c>
      <c r="D16" s="12" t="n">
        <v>100930</v>
      </c>
      <c r="E16" s="12" t="n">
        <v>103043</v>
      </c>
      <c r="F16" s="12" t="n">
        <v>117690</v>
      </c>
      <c r="G16" s="12" t="n">
        <v>122501</v>
      </c>
      <c r="H16" s="11" t="n">
        <v>85869</v>
      </c>
      <c r="I16" s="12" t="n">
        <v>90234</v>
      </c>
      <c r="J16" s="12" t="n">
        <v>100272</v>
      </c>
      <c r="K16" s="12" t="n">
        <v>103014</v>
      </c>
      <c r="L16" s="12" t="n">
        <v>103043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35051</v>
      </c>
      <c r="D18" s="12" t="n">
        <v>32740</v>
      </c>
      <c r="E18" s="12" t="n">
        <v>34478</v>
      </c>
      <c r="F18" s="12" t="n">
        <v>36634</v>
      </c>
      <c r="G18" s="12" t="n">
        <v>39370</v>
      </c>
      <c r="H18" s="11" t="n">
        <v>27971</v>
      </c>
      <c r="I18" s="12" t="n">
        <v>29509</v>
      </c>
      <c r="J18" s="12" t="n">
        <v>34075</v>
      </c>
      <c r="K18" s="12" t="n">
        <v>34851</v>
      </c>
      <c r="L18" s="12" t="n">
        <v>34478</v>
      </c>
    </row>
    <row r="19">
      <c r="A19" s="18" t="inlineStr">
        <is>
          <t>매입채무</t>
        </is>
      </c>
      <c r="B19" s="10" t="n"/>
      <c r="C19" s="19" t="n">
        <v>19866</v>
      </c>
      <c r="D19" s="20" t="n">
        <v>17978</v>
      </c>
      <c r="E19" s="20" t="n">
        <v>16911</v>
      </c>
      <c r="F19" s="20" t="n">
        <v>15239</v>
      </c>
      <c r="G19" s="20" t="n">
        <v>20770</v>
      </c>
      <c r="H19" s="19" t="n">
        <v>16236</v>
      </c>
      <c r="I19" s="20" t="n">
        <v>18179</v>
      </c>
      <c r="J19" s="20" t="n">
        <v>17020</v>
      </c>
      <c r="K19" s="20" t="n">
        <v>18873</v>
      </c>
      <c r="L19" s="20" t="n">
        <v>16911</v>
      </c>
    </row>
    <row r="20">
      <c r="A20" s="18" t="inlineStr">
        <is>
          <t>단기차입금</t>
        </is>
      </c>
      <c r="B20" s="10" t="n"/>
      <c r="C20" s="19" t="n">
        <v>4468</v>
      </c>
      <c r="D20" s="20" t="n">
        <v>4470</v>
      </c>
      <c r="E20" s="20" t="n">
        <v>5474</v>
      </c>
      <c r="F20" s="20" t="n">
        <v>5176</v>
      </c>
      <c r="G20" s="20" t="n">
        <v>4777</v>
      </c>
      <c r="H20" s="19" t="n">
        <v>1914</v>
      </c>
      <c r="I20" s="20" t="n">
        <v>1549</v>
      </c>
      <c r="J20" s="20" t="n">
        <v>1529</v>
      </c>
      <c r="K20" s="20" t="n">
        <v>4471</v>
      </c>
      <c r="L20" s="20" t="n">
        <v>5474</v>
      </c>
    </row>
    <row r="21">
      <c r="A21" s="18" t="inlineStr">
        <is>
          <t>유동성장기부채</t>
        </is>
      </c>
      <c r="B21" s="10" t="n"/>
      <c r="C21" s="19" t="n">
        <v>389</v>
      </c>
      <c r="D21" s="20" t="n">
        <v>389</v>
      </c>
      <c r="E21" s="20" t="n">
        <v>389</v>
      </c>
      <c r="F21" s="20" t="n">
        <v>2585</v>
      </c>
      <c r="G21" s="20" t="n">
        <v>2585</v>
      </c>
      <c r="H21" s="19" t="n">
        <v>570</v>
      </c>
      <c r="I21" s="20" t="n">
        <v>483</v>
      </c>
      <c r="J21" s="20" t="n">
        <v>373</v>
      </c>
      <c r="K21" s="20" t="n">
        <v>389</v>
      </c>
      <c r="L21" s="20" t="n">
        <v>389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5792</v>
      </c>
      <c r="D23" s="12" t="n">
        <v>5990</v>
      </c>
      <c r="E23" s="12" t="n">
        <v>5430</v>
      </c>
      <c r="F23" s="12" t="n">
        <v>17972</v>
      </c>
      <c r="G23" s="12" t="n">
        <v>17690</v>
      </c>
      <c r="H23" s="11" t="n">
        <v>5374</v>
      </c>
      <c r="I23" s="12" t="n">
        <v>5133</v>
      </c>
      <c r="J23" s="12" t="n">
        <v>5327</v>
      </c>
      <c r="K23" s="12" t="n">
        <v>6086</v>
      </c>
      <c r="L23" s="12" t="n">
        <v>5430</v>
      </c>
    </row>
    <row r="24">
      <c r="A24" s="18" t="inlineStr">
        <is>
          <t>장기차입금</t>
        </is>
      </c>
      <c r="B24" s="10" t="n"/>
      <c r="C24" s="19" t="n">
        <v>1042</v>
      </c>
      <c r="D24" s="20" t="n">
        <v>945</v>
      </c>
      <c r="E24" s="20" t="n">
        <v>869</v>
      </c>
      <c r="F24" s="20" t="n">
        <v>13197</v>
      </c>
      <c r="G24" s="20" t="n">
        <v>12555</v>
      </c>
      <c r="H24" s="19" t="n">
        <v>827</v>
      </c>
      <c r="I24" s="20" t="n">
        <v>343</v>
      </c>
      <c r="J24" s="20" t="n">
        <v>0</v>
      </c>
      <c r="K24" s="20" t="n">
        <v>1259</v>
      </c>
      <c r="L24" s="20" t="n">
        <v>869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40844</v>
      </c>
      <c r="D27" s="12" t="n">
        <v>38730</v>
      </c>
      <c r="E27" s="12" t="n">
        <v>39909</v>
      </c>
      <c r="F27" s="12" t="n">
        <v>54606</v>
      </c>
      <c r="G27" s="12" t="n">
        <v>57061</v>
      </c>
      <c r="H27" s="11" t="n">
        <v>33345</v>
      </c>
      <c r="I27" s="12" t="n">
        <v>34643</v>
      </c>
      <c r="J27" s="12" t="n">
        <v>39403</v>
      </c>
      <c r="K27" s="12" t="n">
        <v>40938</v>
      </c>
      <c r="L27" s="12" t="n">
        <v>39909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61281</v>
      </c>
      <c r="D31" s="12" t="n">
        <v>62165</v>
      </c>
      <c r="E31" s="12" t="n">
        <v>63099</v>
      </c>
      <c r="F31" s="12" t="n">
        <v>63028</v>
      </c>
      <c r="G31" s="12" t="n">
        <v>65391</v>
      </c>
      <c r="H31" s="11" t="n">
        <v>52502</v>
      </c>
      <c r="I31" s="12" t="n">
        <v>55571</v>
      </c>
      <c r="J31" s="12" t="n">
        <v>60845</v>
      </c>
      <c r="K31" s="12" t="n">
        <v>62044</v>
      </c>
      <c r="L31" s="12" t="n">
        <v>63099</v>
      </c>
    </row>
    <row r="32">
      <c r="A32" s="18" t="inlineStr">
        <is>
          <t>자본금</t>
        </is>
      </c>
      <c r="B32" s="10" t="n"/>
      <c r="C32" s="19" t="n">
        <v>8619</v>
      </c>
      <c r="D32" s="20" t="n">
        <v>8619</v>
      </c>
      <c r="E32" s="20" t="n">
        <v>8619</v>
      </c>
      <c r="F32" s="20" t="n">
        <v>8619</v>
      </c>
      <c r="G32" s="20" t="n">
        <v>8619</v>
      </c>
      <c r="H32" s="19" t="n">
        <v>8619</v>
      </c>
      <c r="I32" s="20" t="n">
        <v>8619</v>
      </c>
      <c r="J32" s="20" t="n">
        <v>8619</v>
      </c>
      <c r="K32" s="20" t="n">
        <v>8619</v>
      </c>
      <c r="L32" s="20" t="n">
        <v>8619</v>
      </c>
    </row>
    <row r="33">
      <c r="A33" s="18" t="inlineStr">
        <is>
          <t>이익잉여금</t>
        </is>
      </c>
      <c r="B33" s="10" t="n"/>
      <c r="C33" s="19" t="n">
        <v>42090</v>
      </c>
      <c r="D33" s="20" t="n">
        <v>41947</v>
      </c>
      <c r="E33" s="20" t="n">
        <v>42280</v>
      </c>
      <c r="F33" s="20" t="n">
        <v>42314</v>
      </c>
      <c r="G33" s="20" t="n">
        <v>44599</v>
      </c>
      <c r="H33" s="19" t="n">
        <v>32140</v>
      </c>
      <c r="I33" s="20" t="n">
        <v>35094</v>
      </c>
      <c r="J33" s="20" t="n">
        <v>38394</v>
      </c>
      <c r="K33" s="20" t="n">
        <v>40759</v>
      </c>
      <c r="L33" s="20" t="n">
        <v>42280</v>
      </c>
    </row>
    <row r="34">
      <c r="A34" s="18" t="inlineStr">
        <is>
          <t>비지배지분</t>
        </is>
      </c>
      <c r="B34" s="10" t="n"/>
      <c r="C34" s="19" t="n">
        <v>31</v>
      </c>
      <c r="D34" s="20" t="n">
        <v>34</v>
      </c>
      <c r="E34" s="20" t="n">
        <v>35</v>
      </c>
      <c r="F34" s="20" t="n">
        <v>55</v>
      </c>
      <c r="G34" s="20" t="n">
        <v>49</v>
      </c>
      <c r="H34" s="19" t="n">
        <v>22</v>
      </c>
      <c r="I34" s="20" t="n">
        <v>20</v>
      </c>
      <c r="J34" s="20" t="n">
        <v>24</v>
      </c>
      <c r="K34" s="20" t="n">
        <v>31</v>
      </c>
      <c r="L34" s="20" t="n">
        <v>35</v>
      </c>
    </row>
    <row r="35">
      <c r="A35" s="9" t="inlineStr">
        <is>
          <t>자본총계</t>
        </is>
      </c>
      <c r="B35" s="10" t="n"/>
      <c r="C35" s="11" t="n">
        <v>61312</v>
      </c>
      <c r="D35" s="12" t="n">
        <v>62199</v>
      </c>
      <c r="E35" s="12" t="n">
        <v>63134</v>
      </c>
      <c r="F35" s="12" t="n">
        <v>63083</v>
      </c>
      <c r="G35" s="12" t="n">
        <v>65440</v>
      </c>
      <c r="H35" s="11" t="n">
        <v>52524</v>
      </c>
      <c r="I35" s="12" t="n">
        <v>55591</v>
      </c>
      <c r="J35" s="12" t="n">
        <v>60869</v>
      </c>
      <c r="K35" s="12" t="n">
        <v>62075</v>
      </c>
      <c r="L35" s="12" t="n">
        <v>63134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10287</v>
      </c>
      <c r="D37" s="12" t="n"/>
      <c r="E37" s="12" t="n">
        <v>9904</v>
      </c>
      <c r="F37" s="12" t="n"/>
      <c r="G37" s="12" t="n">
        <v>5253</v>
      </c>
      <c r="H37" s="11" t="n">
        <v>6345</v>
      </c>
      <c r="I37" s="12" t="n">
        <v>3702</v>
      </c>
      <c r="J37" s="12" t="n">
        <v>8403</v>
      </c>
      <c r="K37" s="12" t="n">
        <v>5833</v>
      </c>
      <c r="L37" s="12" t="n">
        <v>9904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6324</v>
      </c>
      <c r="D38" s="20" t="n"/>
      <c r="E38" s="20" t="n">
        <v>7132</v>
      </c>
      <c r="F38" s="20" t="n"/>
      <c r="G38" s="20" t="n">
        <v>8434</v>
      </c>
      <c r="H38" s="19" t="n">
        <v>3498</v>
      </c>
      <c r="I38" s="20" t="n">
        <v>5120</v>
      </c>
      <c r="J38" s="20" t="n">
        <v>7129</v>
      </c>
      <c r="K38" s="20" t="n">
        <v>9073</v>
      </c>
      <c r="L38" s="20" t="n">
        <v>7132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1878</v>
      </c>
      <c r="D40" s="20" t="n"/>
      <c r="E40" s="20" t="n">
        <v>2284</v>
      </c>
      <c r="F40" s="20" t="n"/>
      <c r="G40" s="20" t="n">
        <v>2189</v>
      </c>
      <c r="H40" s="19" t="n">
        <v>712</v>
      </c>
      <c r="I40" s="20" t="n">
        <v>831</v>
      </c>
      <c r="J40" s="20" t="n">
        <v>1009</v>
      </c>
      <c r="K40" s="20" t="n">
        <v>1987</v>
      </c>
      <c r="L40" s="20" t="n">
        <v>2284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IFERROR((IF(COUNT('연간'!G37:J37)&lt;4,"",SUM('연간'!G37:J37)))/(IF(COUNT('연간'!G59:J59)&lt;4,"",SUM('연간'!G59:J59))),"")</f>
        <v/>
      </c>
      <c r="D48" s="31">
        <f>IFERROR((IF(COUNT('연간'!H37:K37)&lt;4,"",SUM('연간'!H37:K37)))/(IF(COUNT('연간'!H59:K59)&lt;4,"",SUM('연간'!H59:K59))),"")</f>
        <v/>
      </c>
      <c r="E48" s="31">
        <f>IFERROR((IF(COUNT('연간'!I37:L37)&lt;4,"",SUM('연간'!I37:L37)))/(IF(COUNT('연간'!I59:L59)&lt;4,"",SUM('연간'!I59:L59))),"")</f>
        <v/>
      </c>
      <c r="F48" s="31">
        <f>IFERROR((IF(COUNT('연간'!J37:M37)&lt;4,"",SUM('연간'!J37:M37)))/(IF(COUNT('연간'!J59:M59)&lt;4,"",SUM('연간'!J59:M59))),"")</f>
        <v/>
      </c>
      <c r="G48" s="31">
        <f>IFERROR((IF(COUNT('연간'!K37:N37)&lt;4,"",SUM('연간'!K37:N37)))/(IF(COUNT('연간'!K59:N59)&lt;4,"",SUM('연간'!K59:N59))),"")</f>
        <v/>
      </c>
      <c r="H48" s="30">
        <f>IFERROR(('연간'!T37)/('연간'!T59),"")</f>
        <v/>
      </c>
      <c r="I48" s="31">
        <f>IFERROR(('연간'!U37)/('연간'!U59),"")</f>
        <v/>
      </c>
      <c r="J48" s="31">
        <f>IFERROR(('연간'!V37)/('연간'!V59),"")</f>
        <v/>
      </c>
      <c r="K48" s="31">
        <f>IFERROR(('연간'!W37)/('연간'!W59),"")</f>
        <v/>
      </c>
      <c r="L48" s="31">
        <f>IFERROR(('연간'!X37)/('연간'!X59),"")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IFERROR(IF((IF(COUNT('연간'!G65:J65)&lt;4,"",SUM('연간'!G65:J65)))&lt;=0,"적자",C28/(IF(COUNT('연간'!G65:J65)&lt;4,"",SUM('연간'!G65:J65)))),"")</f>
        <v/>
      </c>
      <c r="D49" s="47">
        <f>IFERROR(IF((IF(COUNT('연간'!H65:K65)&lt;4,"",SUM('연간'!H65:K65)))&lt;=0,"적자",D28/(IF(COUNT('연간'!H65:K65)&lt;4,"",SUM('연간'!H65:K65)))),"")</f>
        <v/>
      </c>
      <c r="E49" s="47">
        <f>IFERROR(IF((IF(COUNT('연간'!I65:L65)&lt;4,"",SUM('연간'!I65:L65)))&lt;=0,"적자",E28/(IF(COUNT('연간'!I65:L65)&lt;4,"",SUM('연간'!I65:L65)))),"")</f>
        <v/>
      </c>
      <c r="F49" s="47">
        <f>IFERROR(IF((IF(COUNT('연간'!J65:M65)&lt;4,"",SUM('연간'!J65:M65)))&lt;=0,"적자",F28/(IF(COUNT('연간'!J65:M65)&lt;4,"",SUM('연간'!J65:M65)))),"")</f>
        <v/>
      </c>
      <c r="G49" s="47">
        <f>IFERROR(IF((IF(COUNT('연간'!K65:N65)&lt;4,"",SUM('연간'!K65:N65)))&lt;=0,"적자",G28/(IF(COUNT('연간'!K65:N65)&lt;4,"",SUM('연간'!K65:N65)))),"")</f>
        <v/>
      </c>
      <c r="H49" s="46">
        <f>IFERROR(IF(('연간'!T65)&lt;=0,"적자",H28/('연간'!T65)),"")</f>
        <v/>
      </c>
      <c r="I49" s="47">
        <f>IFERROR(IF(('연간'!U65)&lt;=0,"적자",I28/('연간'!U65)),"")</f>
        <v/>
      </c>
      <c r="J49" s="47">
        <f>IFERROR(IF(('연간'!V65)&lt;=0,"적자",J28/('연간'!V65)),"")</f>
        <v/>
      </c>
      <c r="K49" s="47">
        <f>IFERROR(IF(('연간'!W65)&lt;=0,"적자",K28/('연간'!W65)),"")</f>
        <v/>
      </c>
      <c r="L49" s="47">
        <f>IFERROR(IF(('연간'!X65)&lt;=0,"적자",L28/('연간'!X65)),"")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IFERROR((IF(COUNT('연간'!G65:J65)&lt;4,"",SUM('연간'!G65:J65)))/C31,"")</f>
        <v/>
      </c>
      <c r="D51" s="36">
        <f>IFERROR((IF(COUNT('연간'!H65:K65)&lt;4,"",SUM('연간'!H65:K65)))/D31,"")</f>
        <v/>
      </c>
      <c r="E51" s="36">
        <f>IFERROR((IF(COUNT('연간'!I65:L65)&lt;4,"",SUM('연간'!I65:L65)))/E31,"")</f>
        <v/>
      </c>
      <c r="F51" s="36">
        <f>IFERROR((IF(COUNT('연간'!J65:M65)&lt;4,"",SUM('연간'!J65:M65)))/F31,"")</f>
        <v/>
      </c>
      <c r="G51" s="36">
        <f>IFERROR((IF(COUNT('연간'!K65:N65)&lt;4,"",SUM('연간'!K65:N65)))/G31,"")</f>
        <v/>
      </c>
      <c r="H51" s="35">
        <f>IFERROR(('연간'!T65)/H31,"")</f>
        <v/>
      </c>
      <c r="I51" s="36">
        <f>IFERROR(('연간'!U65)/I31,"")</f>
        <v/>
      </c>
      <c r="J51" s="36">
        <f>IFERROR(('연간'!V65)/J31,"")</f>
        <v/>
      </c>
      <c r="K51" s="36">
        <f>IFERROR(('연간'!W65)/K31,"")</f>
        <v/>
      </c>
      <c r="L51" s="36">
        <f>IFERROR(('연간'!X65)/L31,"")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IFERROR((IF(COUNT('연간'!G64:J64)&lt;4,"",SUM('연간'!G64:J64)))/C16,"")</f>
        <v/>
      </c>
      <c r="D52" s="36">
        <f>IFERROR((IF(COUNT('연간'!H64:K64)&lt;4,"",SUM('연간'!H64:K64)))/D16,"")</f>
        <v/>
      </c>
      <c r="E52" s="36">
        <f>IFERROR((IF(COUNT('연간'!I64:L64)&lt;4,"",SUM('연간'!I64:L64)))/E16,"")</f>
        <v/>
      </c>
      <c r="F52" s="36">
        <f>IFERROR((IF(COUNT('연간'!J64:M64)&lt;4,"",SUM('연간'!J64:M64)))/F16,"")</f>
        <v/>
      </c>
      <c r="G52" s="36">
        <f>IFERROR((IF(COUNT('연간'!K64:N64)&lt;4,"",SUM('연간'!K64:N64)))/G16,"")</f>
        <v/>
      </c>
      <c r="H52" s="35">
        <f>IFERROR(('연간'!T64)/H16,"")</f>
        <v/>
      </c>
      <c r="I52" s="36">
        <f>IFERROR(('연간'!U64)/I16,"")</f>
        <v/>
      </c>
      <c r="J52" s="36">
        <f>IFERROR(('연간'!V64)/J16,"")</f>
        <v/>
      </c>
      <c r="K52" s="36">
        <f>IFERROR(('연간'!W64)/K16,"")</f>
        <v/>
      </c>
      <c r="L52" s="36">
        <f>IFERROR(('연간'!X64)/L16,"")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IFERROR((IF(COUNT('연간'!G37:J37)&lt;4,"",SUM('연간'!G37:J37)))*(1-0.3)/(C35+C29),"")</f>
        <v/>
      </c>
      <c r="D53" s="36">
        <f>IFERROR((IF(COUNT('연간'!H37:K37)&lt;4,"",SUM('연간'!H37:K37)))*(1-0.3)/(D35+D29),"")</f>
        <v/>
      </c>
      <c r="E53" s="36">
        <f>IFERROR((IF(COUNT('연간'!I37:L37)&lt;4,"",SUM('연간'!I37:L37)))*(1-0.3)/(E35+E29),"")</f>
        <v/>
      </c>
      <c r="F53" s="36">
        <f>IFERROR((IF(COUNT('연간'!J37:M37)&lt;4,"",SUM('연간'!J37:M37)))*(1-0.3)/(F35+F29),"")</f>
        <v/>
      </c>
      <c r="G53" s="36">
        <f>IFERROR((IF(COUNT('연간'!K37:N37)&lt;4,"",SUM('연간'!K37:N37)))*(1-0.3)/(G35+G29),"")</f>
        <v/>
      </c>
      <c r="H53" s="35">
        <f>IFERROR(('연간'!T37)*(1-0.3)/(H35+H29),"")</f>
        <v/>
      </c>
      <c r="I53" s="36">
        <f>IFERROR(('연간'!U37)*(1-0.3)/(I35+I29),"")</f>
        <v/>
      </c>
      <c r="J53" s="36">
        <f>IFERROR(('연간'!V37)*(1-0.3)/(J35+J29),"")</f>
        <v/>
      </c>
      <c r="K53" s="36">
        <f>IFERROR(('연간'!W37)*(1-0.3)/(K35+K29),"")</f>
        <v/>
      </c>
      <c r="L53" s="36">
        <f>IFERROR(('연간'!X37)*(1-0.3)/(L35+L29),"")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IFERROR((IF(COUNT('연간'!G33:J33)&lt;4,"",SUM('연간'!G33:J33)))/(IF(COUNT('연간'!G4:J4)&lt;4,"",SUM('연간'!G4:J4))),"")</f>
        <v/>
      </c>
      <c r="D54" s="36">
        <f>IFERROR((IF(COUNT('연간'!H33:K33)&lt;4,"",SUM('연간'!H33:K33)))/(IF(COUNT('연간'!H4:K4)&lt;4,"",SUM('연간'!H4:K4))),"")</f>
        <v/>
      </c>
      <c r="E54" s="36">
        <f>IFERROR((IF(COUNT('연간'!I33:L33)&lt;4,"",SUM('연간'!I33:L33)))/(IF(COUNT('연간'!I4:L4)&lt;4,"",SUM('연간'!I4:L4))),"")</f>
        <v/>
      </c>
      <c r="F54" s="36">
        <f>IFERROR((IF(COUNT('연간'!J33:M33)&lt;4,"",SUM('연간'!J33:M33)))/(IF(COUNT('연간'!J4:M4)&lt;4,"",SUM('연간'!J4:M4))),"")</f>
        <v/>
      </c>
      <c r="G54" s="36">
        <f>IFERROR((IF(COUNT('연간'!K33:N33)&lt;4,"",SUM('연간'!K33:N33)))/(IF(COUNT('연간'!K4:N4)&lt;4,"",SUM('연간'!K4:N4))),"")</f>
        <v/>
      </c>
      <c r="H54" s="35">
        <f>IFERROR(('연간'!T33)/('연간'!T4),"")</f>
        <v/>
      </c>
      <c r="I54" s="36">
        <f>IFERROR(('연간'!U33)/('연간'!U4),"")</f>
        <v/>
      </c>
      <c r="J54" s="36">
        <f>IFERROR(('연간'!V33)/('연간'!V4),"")</f>
        <v/>
      </c>
      <c r="K54" s="36">
        <f>IFERROR(('연간'!W33)/('연간'!W4),"")</f>
        <v/>
      </c>
      <c r="L54" s="36">
        <f>IFERROR(('연간'!X33)/('연간'!X4),"")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IFERROR((IF(COUNT('연간'!G37:J37)&lt;4,"",SUM('연간'!G37:J37)))/(IF(COUNT('연간'!G4:J4)&lt;4,"",SUM('연간'!G4:J4))),"")</f>
        <v/>
      </c>
      <c r="D55" s="36">
        <f>IFERROR((IF(COUNT('연간'!H37:K37)&lt;4,"",SUM('연간'!H37:K37)))/(IF(COUNT('연간'!H4:K4)&lt;4,"",SUM('연간'!H4:K4))),"")</f>
        <v/>
      </c>
      <c r="E55" s="36">
        <f>IFERROR((IF(COUNT('연간'!I37:L37)&lt;4,"",SUM('연간'!I37:L37)))/(IF(COUNT('연간'!I4:L4)&lt;4,"",SUM('연간'!I4:L4))),"")</f>
        <v/>
      </c>
      <c r="F55" s="36">
        <f>IFERROR((IF(COUNT('연간'!J37:M37)&lt;4,"",SUM('연간'!J37:M37)))/(IF(COUNT('연간'!J4:M4)&lt;4,"",SUM('연간'!J4:M4))),"")</f>
        <v/>
      </c>
      <c r="G55" s="36">
        <f>IFERROR((IF(COUNT('연간'!K37:N37)&lt;4,"",SUM('연간'!K37:N37)))/(IF(COUNT('연간'!K4:N4)&lt;4,"",SUM('연간'!K4:N4))),"")</f>
        <v/>
      </c>
      <c r="H55" s="35">
        <f>IFERROR(('연간'!T37)/('연간'!T4),"")</f>
        <v/>
      </c>
      <c r="I55" s="36">
        <f>IFERROR(('연간'!U37)/('연간'!U4),"")</f>
        <v/>
      </c>
      <c r="J55" s="36">
        <f>IFERROR(('연간'!V37)/('연간'!V4),"")</f>
        <v/>
      </c>
      <c r="K55" s="36">
        <f>IFERROR(('연간'!W37)/('연간'!W4),"")</f>
        <v/>
      </c>
      <c r="L55" s="36">
        <f>IFERROR(('연간'!X37)/('연간'!X4),"")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IFERROR((IF(COUNT('연간'!G64:J64)&lt;4,"",SUM('연간'!G64:J64)))/(IF(COUNT('연간'!G4:J4)&lt;4,"",SUM('연간'!G4:J4))),"")</f>
        <v/>
      </c>
      <c r="D56" s="36">
        <f>IFERROR((IF(COUNT('연간'!H64:K64)&lt;4,"",SUM('연간'!H64:K64)))/(IF(COUNT('연간'!H4:K4)&lt;4,"",SUM('연간'!H4:K4))),"")</f>
        <v/>
      </c>
      <c r="E56" s="36">
        <f>IFERROR((IF(COUNT('연간'!I64:L64)&lt;4,"",SUM('연간'!I64:L64)))/(IF(COUNT('연간'!I4:L4)&lt;4,"",SUM('연간'!I4:L4))),"")</f>
        <v/>
      </c>
      <c r="F56" s="36">
        <f>IFERROR((IF(COUNT('연간'!J64:M64)&lt;4,"",SUM('연간'!J64:M64)))/(IF(COUNT('연간'!J4:M4)&lt;4,"",SUM('연간'!J4:M4))),"")</f>
        <v/>
      </c>
      <c r="G56" s="36">
        <f>IFERROR((IF(COUNT('연간'!K64:N64)&lt;4,"",SUM('연간'!K64:N64)))/(IF(COUNT('연간'!K4:N4)&lt;4,"",SUM('연간'!K4:N4))),"")</f>
        <v/>
      </c>
      <c r="H56" s="35">
        <f>IFERROR(('연간'!T64)/('연간'!T4),"")</f>
        <v/>
      </c>
      <c r="I56" s="36">
        <f>IFERROR(('연간'!U64)/('연간'!U4),"")</f>
        <v/>
      </c>
      <c r="J56" s="36">
        <f>IFERROR(('연간'!V64)/('연간'!V4),"")</f>
        <v/>
      </c>
      <c r="K56" s="36">
        <f>IFERROR(('연간'!W64)/('연간'!W4),"")</f>
        <v/>
      </c>
      <c r="L56" s="36">
        <f>IFERROR(('연간'!X64)/('연간'!X4),"")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IFERROR(C9/(IF(COUNT('연간'!G32:J32)&lt;4,"",SUM('연간'!G32:J32)))*365,"")</f>
        <v/>
      </c>
      <c r="D60" s="49">
        <f>IFERROR(D9/(IF(COUNT('연간'!H32:K32)&lt;4,"",SUM('연간'!H32:K32)))*365,"")</f>
        <v/>
      </c>
      <c r="E60" s="49">
        <f>IFERROR(E9/(IF(COUNT('연간'!I32:L32)&lt;4,"",SUM('연간'!I32:L32)))*365,"")</f>
        <v/>
      </c>
      <c r="F60" s="49">
        <f>IFERROR(F9/(IF(COUNT('연간'!J32:M32)&lt;4,"",SUM('연간'!J32:M32)))*365,"")</f>
        <v/>
      </c>
      <c r="G60" s="49">
        <f>IFERROR(G9/(IF(COUNT('연간'!K32:N32)&lt;4,"",SUM('연간'!K32:N32)))*365,"")</f>
        <v/>
      </c>
      <c r="H60" s="48">
        <f>IFERROR(H9/('연간'!T32)*365,"")</f>
        <v/>
      </c>
      <c r="I60" s="49">
        <f>IFERROR(I9/('연간'!U32)*365,"")</f>
        <v/>
      </c>
      <c r="J60" s="49">
        <f>IFERROR(J9/('연간'!V32)*365,"")</f>
        <v/>
      </c>
      <c r="K60" s="49">
        <f>IFERROR(K9/('연간'!W32)*365,"")</f>
        <v/>
      </c>
      <c r="L60" s="49">
        <f>IFERROR(L9/('연간'!X32)*365,"")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IFERROR(C19/(IF(COUNT('연간'!G32:J32)&lt;4,"",SUM('연간'!G32:J32)))*365,"")</f>
        <v/>
      </c>
      <c r="D61" s="49">
        <f>IFERROR(D19/(IF(COUNT('연간'!H32:K32)&lt;4,"",SUM('연간'!H32:K32)))*365,"")</f>
        <v/>
      </c>
      <c r="E61" s="49">
        <f>IFERROR(E19/(IF(COUNT('연간'!I32:L32)&lt;4,"",SUM('연간'!I32:L32)))*365,"")</f>
        <v/>
      </c>
      <c r="F61" s="49">
        <f>IFERROR(F19/(IF(COUNT('연간'!J32:M32)&lt;4,"",SUM('연간'!J32:M32)))*365,"")</f>
        <v/>
      </c>
      <c r="G61" s="49">
        <f>IFERROR(G19/(IF(COUNT('연간'!K32:N32)&lt;4,"",SUM('연간'!K32:N32)))*365,"")</f>
        <v/>
      </c>
      <c r="H61" s="48">
        <f>IFERROR(H19/('연간'!T32)*365,"")</f>
        <v/>
      </c>
      <c r="I61" s="49">
        <f>IFERROR(I19/('연간'!U32)*365,"")</f>
        <v/>
      </c>
      <c r="J61" s="49">
        <f>IFERROR(J19/('연간'!V32)*365,"")</f>
        <v/>
      </c>
      <c r="K61" s="49">
        <f>IFERROR(K19/('연간'!W32)*365,"")</f>
        <v/>
      </c>
      <c r="L61" s="49">
        <f>IFERROR(L19/('연간'!X32)*365,"")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IF(C37="","",IFERROR(C37/(IF(COUNT('연간'!G64:J64)&lt;4,"",SUM('연간'!G64:J64))),""))</f>
        <v/>
      </c>
      <c r="D64" s="31">
        <f>IF(D37="","",IFERROR(D37/(IF(COUNT('연간'!H64:K64)&lt;4,"",SUM('연간'!H64:K64))),""))</f>
        <v/>
      </c>
      <c r="E64" s="31">
        <f>IF(E37="","",IFERROR(E37/(IF(COUNT('연간'!I64:L64)&lt;4,"",SUM('연간'!I64:L64))),""))</f>
        <v/>
      </c>
      <c r="F64" s="31">
        <f>IF(F37="","",IFERROR(F37/(IF(COUNT('연간'!J64:M64)&lt;4,"",SUM('연간'!J64:M64))),""))</f>
        <v/>
      </c>
      <c r="G64" s="31">
        <f>IF(G37="","",IFERROR(G37/(IF(COUNT('연간'!K64:N64)&lt;4,"",SUM('연간'!K64:N64))),""))</f>
        <v/>
      </c>
      <c r="H64" s="30">
        <f>IF(H37="","",IFERROR(H37/('연간'!T64),""))</f>
        <v/>
      </c>
      <c r="I64" s="31">
        <f>IF(I37="","",IFERROR(I37/('연간'!U64),""))</f>
        <v/>
      </c>
      <c r="J64" s="31">
        <f>IF(J37="","",IFERROR(J37/('연간'!V64),""))</f>
        <v/>
      </c>
      <c r="K64" s="31">
        <f>IF(K37="","",IFERROR(K37/('연간'!W64),""))</f>
        <v/>
      </c>
      <c r="L64" s="31">
        <f>IF(L37="","",IFERROR(L37/('연간'!X64),""))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IF(C40="","",IFERROR(C40/(IF(COUNT('연간'!G65:J65)&lt;4,"",SUM('연간'!G65:J65))),""))</f>
        <v/>
      </c>
      <c r="D67" s="36">
        <f>IF(D40="","",IFERROR(D40/(IF(COUNT('연간'!H65:K65)&lt;4,"",SUM('연간'!H65:K65))),""))</f>
        <v/>
      </c>
      <c r="E67" s="36">
        <f>IF(E40="","",IFERROR(E40/(IF(COUNT('연간'!I65:L65)&lt;4,"",SUM('연간'!I65:L65))),""))</f>
        <v/>
      </c>
      <c r="F67" s="36">
        <f>IF(F40="","",IFERROR(F40/(IF(COUNT('연간'!J65:M65)&lt;4,"",SUM('연간'!J65:M65))),""))</f>
        <v/>
      </c>
      <c r="G67" s="36">
        <f>IF(G40="","",IFERROR(G40/(IF(COUNT('연간'!K65:N65)&lt;4,"",SUM('연간'!K65:N65))),""))</f>
        <v/>
      </c>
      <c r="H67" s="35">
        <f>IF(H40="","",IFERROR(H40/('연간'!T65),""))</f>
        <v/>
      </c>
      <c r="I67" s="36">
        <f>IF(I40="","",IFERROR(I40/('연간'!U65),""))</f>
        <v/>
      </c>
      <c r="J67" s="36">
        <f>IF(J40="","",IFERROR(J40/('연간'!V65),""))</f>
        <v/>
      </c>
      <c r="K67" s="36">
        <f>IF(K40="","",IFERROR(K40/('연간'!W65),""))</f>
        <v/>
      </c>
      <c r="L67" s="36">
        <f>IF(L40="","",IFERROR(L40/('연간'!X65),""))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2025.2Q</t>
        </is>
      </c>
      <c r="D70" s="5" t="inlineStr">
        <is>
          <t>2025.3Q</t>
        </is>
      </c>
      <c r="E70" s="5" t="inlineStr">
        <is>
          <t>2025.4Q</t>
        </is>
      </c>
      <c r="F70" s="5" t="inlineStr">
        <is>
          <t>2026.1Q</t>
        </is>
      </c>
      <c r="G70" s="5" t="inlineStr">
        <is>
          <t>2026.2Q</t>
        </is>
      </c>
      <c r="H70" s="5" t="inlineStr">
        <is>
          <t>2021</t>
        </is>
      </c>
      <c r="I70" s="5" t="inlineStr">
        <is>
          <t>2022</t>
        </is>
      </c>
      <c r="J70" s="5" t="inlineStr">
        <is>
          <t>2023</t>
        </is>
      </c>
      <c r="K70" s="5" t="inlineStr">
        <is>
          <t>2024</t>
        </is>
      </c>
      <c r="L70" s="5" t="inlineStr">
        <is>
          <t>2025</t>
        </is>
      </c>
    </row>
    <row r="71">
      <c r="A71" s="18" t="inlineStr">
        <is>
          <t>현금 및 예금</t>
        </is>
      </c>
      <c r="C71" s="20" t="n">
        <v>9860</v>
      </c>
      <c r="D71" s="20" t="n">
        <v>7802</v>
      </c>
      <c r="E71" s="20" t="n">
        <v>7984</v>
      </c>
      <c r="F71" s="20" t="n">
        <v>18474</v>
      </c>
      <c r="G71" s="20" t="n">
        <v>13408</v>
      </c>
      <c r="H71" s="20" t="n">
        <v>9765</v>
      </c>
      <c r="I71" s="20" t="n">
        <v>8448</v>
      </c>
      <c r="J71" s="20" t="n">
        <v>7806</v>
      </c>
      <c r="K71" s="20" t="n">
        <v>8949</v>
      </c>
      <c r="L71" s="20" t="n">
        <v>7984</v>
      </c>
    </row>
    <row r="72">
      <c r="A72" s="18" t="inlineStr">
        <is>
          <t>받을어음·매출채권</t>
        </is>
      </c>
      <c r="C72" s="20" t="n">
        <v>19729</v>
      </c>
      <c r="D72" s="20" t="n">
        <v>19352</v>
      </c>
      <c r="H72" s="20" t="n">
        <v>21095</v>
      </c>
      <c r="I72" s="20" t="n">
        <v>20797</v>
      </c>
      <c r="J72" s="20" t="n">
        <v>21713</v>
      </c>
      <c r="K72" s="20" t="n">
        <v>21968</v>
      </c>
    </row>
    <row r="73">
      <c r="A73" s="18" t="inlineStr">
        <is>
          <t>받을어음</t>
        </is>
      </c>
      <c r="E73" s="20" t="n">
        <v>901</v>
      </c>
      <c r="F73" s="20" t="n">
        <v>816</v>
      </c>
      <c r="G73" s="20" t="n">
        <v>981</v>
      </c>
      <c r="H73" s="20" t="n">
        <v>4271</v>
      </c>
      <c r="I73" s="20" t="n">
        <v>3324</v>
      </c>
      <c r="J73" s="20" t="n">
        <v>3011</v>
      </c>
      <c r="K73" s="20" t="n">
        <v>1797</v>
      </c>
      <c r="L73" s="20" t="n">
        <v>901</v>
      </c>
    </row>
    <row r="74">
      <c r="A74" s="18" t="inlineStr">
        <is>
          <t>매출채권</t>
        </is>
      </c>
      <c r="E74" s="20" t="n">
        <v>19263</v>
      </c>
      <c r="F74" s="20" t="n">
        <v>18535</v>
      </c>
      <c r="G74" s="20" t="n">
        <v>24345</v>
      </c>
      <c r="H74" s="20" t="n">
        <v>16823</v>
      </c>
      <c r="I74" s="20" t="n">
        <v>17473</v>
      </c>
      <c r="J74" s="20" t="n">
        <v>18702</v>
      </c>
      <c r="K74" s="20" t="n">
        <v>20170</v>
      </c>
      <c r="L74" s="20" t="n">
        <v>19263</v>
      </c>
    </row>
    <row r="75">
      <c r="A75" s="18" t="inlineStr">
        <is>
          <t>전자기록채권</t>
        </is>
      </c>
      <c r="C75" s="20" t="n">
        <v>8846</v>
      </c>
      <c r="D75" s="20" t="n">
        <v>8119</v>
      </c>
      <c r="E75" s="20" t="n">
        <v>9656</v>
      </c>
      <c r="F75" s="20" t="n">
        <v>9599</v>
      </c>
      <c r="G75" s="20" t="n">
        <v>11179</v>
      </c>
      <c r="H75" s="20" t="n">
        <v>5592</v>
      </c>
      <c r="I75" s="20" t="n">
        <v>8325</v>
      </c>
      <c r="J75" s="20" t="n">
        <v>8189</v>
      </c>
      <c r="K75" s="20" t="n">
        <v>9182</v>
      </c>
      <c r="L75" s="20" t="n">
        <v>9656</v>
      </c>
    </row>
    <row r="76">
      <c r="A76" s="18" t="inlineStr">
        <is>
          <t>유가증권</t>
        </is>
      </c>
      <c r="E76" s="20" t="n">
        <v>0</v>
      </c>
      <c r="G76" s="20" t="n">
        <v>23</v>
      </c>
      <c r="L76" s="20" t="n">
        <v>0</v>
      </c>
    </row>
    <row r="77">
      <c r="A77" s="18" t="inlineStr">
        <is>
          <t>상품·제품</t>
        </is>
      </c>
      <c r="C77" s="20" t="n">
        <v>6116</v>
      </c>
      <c r="D77" s="20" t="n">
        <v>7221</v>
      </c>
      <c r="E77" s="20" t="n">
        <v>5947</v>
      </c>
      <c r="F77" s="20" t="n">
        <v>6545</v>
      </c>
      <c r="G77" s="20" t="n">
        <v>6353</v>
      </c>
      <c r="H77" s="20" t="n">
        <v>4429</v>
      </c>
      <c r="I77" s="20" t="n">
        <v>5694</v>
      </c>
      <c r="J77" s="20" t="n">
        <v>5292</v>
      </c>
      <c r="K77" s="20" t="n">
        <v>5786</v>
      </c>
      <c r="L77" s="20" t="n">
        <v>5947</v>
      </c>
    </row>
    <row r="78">
      <c r="A78" s="18" t="inlineStr">
        <is>
          <t>재공품</t>
        </is>
      </c>
      <c r="C78" s="20" t="n">
        <v>1364</v>
      </c>
      <c r="D78" s="20" t="n">
        <v>1438</v>
      </c>
      <c r="E78" s="20" t="n">
        <v>1218</v>
      </c>
      <c r="F78" s="20" t="n">
        <v>1449</v>
      </c>
      <c r="G78" s="20" t="n">
        <v>1522</v>
      </c>
      <c r="H78" s="20" t="n">
        <v>1085</v>
      </c>
      <c r="I78" s="20" t="n">
        <v>1263</v>
      </c>
      <c r="J78" s="20" t="n">
        <v>1224</v>
      </c>
      <c r="K78" s="20" t="n">
        <v>1357</v>
      </c>
      <c r="L78" s="20" t="n">
        <v>1218</v>
      </c>
    </row>
    <row r="79">
      <c r="A79" s="18" t="inlineStr">
        <is>
          <t>원재료·저장품</t>
        </is>
      </c>
      <c r="C79" s="20" t="n">
        <v>6096</v>
      </c>
      <c r="D79" s="20" t="n">
        <v>5560</v>
      </c>
      <c r="E79" s="20" t="n">
        <v>5497</v>
      </c>
      <c r="F79" s="20" t="n">
        <v>6273</v>
      </c>
      <c r="G79" s="20" t="n">
        <v>7523</v>
      </c>
      <c r="H79" s="20" t="n">
        <v>4251</v>
      </c>
      <c r="I79" s="20" t="n">
        <v>4611</v>
      </c>
      <c r="J79" s="20" t="n">
        <v>4967</v>
      </c>
      <c r="K79" s="20" t="n">
        <v>5280</v>
      </c>
      <c r="L79" s="20" t="n">
        <v>5497</v>
      </c>
    </row>
    <row r="80">
      <c r="A80" s="18" t="inlineStr">
        <is>
          <t>판매용 부동산</t>
        </is>
      </c>
      <c r="C80" s="20" t="n">
        <v>322</v>
      </c>
      <c r="D80" s="20" t="n">
        <v>280</v>
      </c>
      <c r="E80" s="20" t="n">
        <v>264</v>
      </c>
      <c r="F80" s="20" t="n">
        <v>326</v>
      </c>
      <c r="G80" s="20" t="n">
        <v>300</v>
      </c>
      <c r="H80" s="20" t="n">
        <v>196</v>
      </c>
      <c r="I80" s="20" t="n">
        <v>206</v>
      </c>
      <c r="J80" s="20" t="n">
        <v>291</v>
      </c>
      <c r="K80" s="20" t="n">
        <v>282</v>
      </c>
      <c r="L80" s="20" t="n">
        <v>264</v>
      </c>
    </row>
    <row r="81">
      <c r="A81" s="18" t="inlineStr">
        <is>
          <t>기타</t>
        </is>
      </c>
      <c r="C81" s="20" t="n">
        <v>1756</v>
      </c>
      <c r="D81" s="20" t="n">
        <v>1753</v>
      </c>
      <c r="E81" s="20" t="n">
        <v>1931</v>
      </c>
      <c r="F81" s="20" t="n">
        <v>1481</v>
      </c>
      <c r="G81" s="20" t="n">
        <v>1707</v>
      </c>
      <c r="H81" s="20" t="n">
        <v>543</v>
      </c>
      <c r="I81" s="20" t="n">
        <v>1292</v>
      </c>
      <c r="J81" s="20" t="n">
        <v>1461</v>
      </c>
      <c r="K81" s="20" t="n">
        <v>2739</v>
      </c>
      <c r="L81" s="20" t="n">
        <v>1931</v>
      </c>
    </row>
    <row r="82">
      <c r="A82" s="18" t="inlineStr">
        <is>
          <t>대손충당금</t>
        </is>
      </c>
      <c r="E82" s="20" t="n">
        <v>0</v>
      </c>
      <c r="F82" s="20" t="n">
        <v>-0</v>
      </c>
      <c r="G82" s="20" t="n">
        <v>-0</v>
      </c>
      <c r="H82" s="20" t="n">
        <v>-0</v>
      </c>
      <c r="I82" s="20" t="n">
        <v>-0</v>
      </c>
      <c r="J82" s="20" t="n">
        <v>0</v>
      </c>
      <c r="L82" s="20" t="n">
        <v>0</v>
      </c>
    </row>
    <row r="83">
      <c r="A83" s="9" t="inlineStr">
        <is>
          <t>유동자산 합계</t>
        </is>
      </c>
      <c r="C83" s="12" t="n">
        <v>54093</v>
      </c>
      <c r="D83" s="12" t="n">
        <v>51528</v>
      </c>
      <c r="E83" s="12" t="n">
        <v>52664</v>
      </c>
      <c r="F83" s="12" t="n">
        <v>63500</v>
      </c>
      <c r="G83" s="12" t="n">
        <v>67344</v>
      </c>
      <c r="H83" s="12" t="n">
        <v>46959</v>
      </c>
      <c r="I83" s="12" t="n">
        <v>50640</v>
      </c>
      <c r="J83" s="12" t="n">
        <v>50947</v>
      </c>
      <c r="K83" s="12" t="n">
        <v>55545</v>
      </c>
      <c r="L83" s="12" t="n">
        <v>52664</v>
      </c>
    </row>
    <row r="84">
      <c r="A84" s="18" t="inlineStr">
        <is>
          <t>건물·구축물(순액)</t>
        </is>
      </c>
      <c r="C84" s="20" t="n">
        <v>15409</v>
      </c>
      <c r="D84" s="20" t="n">
        <v>15362</v>
      </c>
      <c r="E84" s="20" t="n">
        <v>15106</v>
      </c>
      <c r="F84" s="20" t="n">
        <v>17861</v>
      </c>
      <c r="G84" s="20" t="n">
        <v>19954</v>
      </c>
      <c r="H84" s="20" t="n">
        <v>12736</v>
      </c>
      <c r="I84" s="20" t="n">
        <v>11981</v>
      </c>
      <c r="J84" s="20" t="n">
        <v>12032</v>
      </c>
      <c r="K84" s="20" t="n">
        <v>15737</v>
      </c>
      <c r="L84" s="20" t="n">
        <v>15106</v>
      </c>
    </row>
    <row r="85">
      <c r="A85" s="18" t="inlineStr">
        <is>
          <t>기계장치·운반구(순액)</t>
        </is>
      </c>
      <c r="C85" s="20" t="n">
        <v>9194</v>
      </c>
      <c r="D85" s="20" t="n">
        <v>9347</v>
      </c>
      <c r="E85" s="20" t="n">
        <v>8209</v>
      </c>
      <c r="F85" s="20" t="n">
        <v>8585</v>
      </c>
      <c r="G85" s="20" t="n">
        <v>10943</v>
      </c>
      <c r="H85" s="20" t="n">
        <v>8591</v>
      </c>
      <c r="I85" s="20" t="n">
        <v>7415</v>
      </c>
      <c r="J85" s="20" t="n">
        <v>8292</v>
      </c>
      <c r="K85" s="20" t="n">
        <v>9480</v>
      </c>
      <c r="L85" s="20" t="n">
        <v>8209</v>
      </c>
    </row>
    <row r="86">
      <c r="A86" s="18" t="inlineStr">
        <is>
          <t>토지</t>
        </is>
      </c>
      <c r="C86" s="20" t="n">
        <v>5763</v>
      </c>
      <c r="D86" s="20" t="n">
        <v>5764</v>
      </c>
      <c r="E86" s="20" t="n">
        <v>5763</v>
      </c>
      <c r="F86" s="20" t="n">
        <v>6533</v>
      </c>
      <c r="G86" s="20" t="n">
        <v>6533</v>
      </c>
      <c r="H86" s="20" t="n">
        <v>5795</v>
      </c>
      <c r="I86" s="20" t="n">
        <v>6276</v>
      </c>
      <c r="J86" s="20" t="n">
        <v>6278</v>
      </c>
      <c r="K86" s="20" t="n">
        <v>5760</v>
      </c>
      <c r="L86" s="20" t="n">
        <v>5763</v>
      </c>
    </row>
    <row r="87">
      <c r="A87" s="18" t="inlineStr">
        <is>
          <t>건설중인자산</t>
        </is>
      </c>
      <c r="C87" s="20" t="n">
        <v>3834</v>
      </c>
      <c r="D87" s="20" t="n">
        <v>3412</v>
      </c>
      <c r="E87" s="20" t="n">
        <v>5214</v>
      </c>
      <c r="F87" s="20" t="n">
        <v>6296</v>
      </c>
      <c r="G87" s="20" t="n">
        <v>1453</v>
      </c>
      <c r="H87" s="20" t="n">
        <v>885</v>
      </c>
      <c r="I87" s="20" t="n">
        <v>2868</v>
      </c>
      <c r="J87" s="20" t="n">
        <v>8491</v>
      </c>
      <c r="K87" s="20" t="n">
        <v>1737</v>
      </c>
      <c r="L87" s="20" t="n">
        <v>5214</v>
      </c>
    </row>
    <row r="88">
      <c r="A88" s="18" t="inlineStr">
        <is>
          <t>기타(순액)</t>
        </is>
      </c>
      <c r="C88" s="20" t="n">
        <v>584</v>
      </c>
      <c r="D88" s="20" t="n">
        <v>591</v>
      </c>
      <c r="E88" s="20" t="n">
        <v>629</v>
      </c>
      <c r="F88" s="20" t="n">
        <v>747</v>
      </c>
      <c r="G88" s="20" t="n">
        <v>757</v>
      </c>
      <c r="H88" s="20" t="n">
        <v>495</v>
      </c>
      <c r="I88" s="20" t="n">
        <v>428</v>
      </c>
      <c r="J88" s="20" t="n">
        <v>522</v>
      </c>
      <c r="K88" s="20" t="n">
        <v>562</v>
      </c>
      <c r="L88" s="20" t="n">
        <v>629</v>
      </c>
    </row>
    <row r="89">
      <c r="A89" s="18" t="inlineStr">
        <is>
          <t>유형자산 합계</t>
        </is>
      </c>
      <c r="C89" s="20" t="n">
        <v>34786</v>
      </c>
      <c r="D89" s="20" t="n">
        <v>34479</v>
      </c>
      <c r="E89" s="20" t="n">
        <v>34924</v>
      </c>
      <c r="F89" s="20" t="n">
        <v>40024</v>
      </c>
      <c r="G89" s="20" t="n">
        <v>39643</v>
      </c>
      <c r="H89" s="20" t="n">
        <v>28505</v>
      </c>
      <c r="I89" s="20" t="n">
        <v>28970</v>
      </c>
      <c r="J89" s="20" t="n">
        <v>35616</v>
      </c>
      <c r="K89" s="20" t="n">
        <v>33278</v>
      </c>
      <c r="L89" s="20" t="n">
        <v>34924</v>
      </c>
    </row>
    <row r="90">
      <c r="A90" s="18" t="inlineStr">
        <is>
          <t>무형자산</t>
        </is>
      </c>
      <c r="C90" s="20" t="n">
        <v>1727</v>
      </c>
      <c r="D90" s="20" t="n">
        <v>1825</v>
      </c>
      <c r="E90" s="20" t="n">
        <v>1960</v>
      </c>
      <c r="F90" s="20" t="n">
        <v>2296</v>
      </c>
      <c r="G90" s="20" t="n">
        <v>2276</v>
      </c>
      <c r="H90" s="20" t="n">
        <v>720</v>
      </c>
      <c r="I90" s="20" t="n">
        <v>642</v>
      </c>
      <c r="J90" s="20" t="n">
        <v>888</v>
      </c>
      <c r="K90" s="20" t="n">
        <v>1420</v>
      </c>
      <c r="L90" s="20" t="n">
        <v>1960</v>
      </c>
    </row>
    <row r="91">
      <c r="A91" s="18" t="inlineStr">
        <is>
          <t>투자유가증권</t>
        </is>
      </c>
      <c r="C91" s="20" t="n">
        <v>9210</v>
      </c>
      <c r="D91" s="20" t="n">
        <v>10694</v>
      </c>
      <c r="E91" s="20" t="n">
        <v>10540</v>
      </c>
      <c r="F91" s="20" t="n">
        <v>10396</v>
      </c>
      <c r="G91" s="20" t="n">
        <v>10442</v>
      </c>
      <c r="H91" s="20" t="n">
        <v>8696</v>
      </c>
      <c r="I91" s="20" t="n">
        <v>9141</v>
      </c>
      <c r="J91" s="20" t="n">
        <v>11291</v>
      </c>
      <c r="K91" s="20" t="n">
        <v>10341</v>
      </c>
      <c r="L91" s="20" t="n">
        <v>10540</v>
      </c>
    </row>
    <row r="92">
      <c r="A92" s="18" t="inlineStr">
        <is>
          <t>장기대여금</t>
        </is>
      </c>
      <c r="C92" s="20" t="n">
        <v>1078</v>
      </c>
      <c r="D92" s="20" t="n">
        <v>1108</v>
      </c>
      <c r="E92" s="20" t="n">
        <v>1165</v>
      </c>
      <c r="F92" s="20" t="n">
        <v>0</v>
      </c>
      <c r="G92" s="20" t="n">
        <v>0</v>
      </c>
      <c r="K92" s="20" t="n">
        <v>1177</v>
      </c>
      <c r="L92" s="20" t="n">
        <v>1165</v>
      </c>
    </row>
    <row r="93">
      <c r="A93" s="18" t="inlineStr">
        <is>
          <t>퇴직급여자산</t>
        </is>
      </c>
      <c r="E93" s="20" t="n">
        <v>385</v>
      </c>
      <c r="F93" s="20" t="n">
        <v>394</v>
      </c>
      <c r="G93" s="20" t="n">
        <v>403</v>
      </c>
      <c r="K93" s="20" t="n">
        <v>0</v>
      </c>
      <c r="L93" s="20" t="n">
        <v>385</v>
      </c>
    </row>
    <row r="94">
      <c r="A94" s="18" t="inlineStr">
        <is>
          <t>이연법인세자산</t>
        </is>
      </c>
      <c r="C94" s="20" t="n">
        <v>96</v>
      </c>
      <c r="D94" s="20" t="n">
        <v>129</v>
      </c>
      <c r="E94" s="20" t="n">
        <v>83</v>
      </c>
      <c r="F94" s="20" t="n">
        <v>229</v>
      </c>
      <c r="G94" s="20" t="n">
        <v>281</v>
      </c>
      <c r="H94" s="20" t="n">
        <v>389</v>
      </c>
      <c r="I94" s="20" t="n">
        <v>234</v>
      </c>
      <c r="J94" s="20" t="n">
        <v>130</v>
      </c>
      <c r="K94" s="20" t="n">
        <v>94</v>
      </c>
      <c r="L94" s="20" t="n">
        <v>83</v>
      </c>
    </row>
    <row r="95">
      <c r="A95" s="18" t="inlineStr">
        <is>
          <t>기타</t>
        </is>
      </c>
      <c r="C95" s="20" t="n">
        <v>1163</v>
      </c>
      <c r="D95" s="20" t="n">
        <v>1164</v>
      </c>
      <c r="E95" s="20" t="n">
        <v>1318</v>
      </c>
      <c r="F95" s="20" t="n">
        <v>848</v>
      </c>
      <c r="G95" s="20" t="n">
        <v>2109</v>
      </c>
      <c r="H95" s="20" t="n">
        <v>597</v>
      </c>
      <c r="I95" s="20" t="n">
        <v>605</v>
      </c>
      <c r="J95" s="20" t="n">
        <v>1398</v>
      </c>
      <c r="K95" s="20" t="n">
        <v>1155</v>
      </c>
      <c r="L95" s="20" t="n">
        <v>1318</v>
      </c>
    </row>
    <row r="96">
      <c r="A96" s="18" t="inlineStr">
        <is>
          <t>대손충당금</t>
        </is>
      </c>
      <c r="H96" s="20" t="n">
        <v>-0</v>
      </c>
      <c r="I96" s="20" t="n">
        <v>0</v>
      </c>
    </row>
    <row r="97">
      <c r="A97" s="18" t="inlineStr">
        <is>
          <t>투자 및 기타자산 합계</t>
        </is>
      </c>
      <c r="C97" s="20" t="n">
        <v>11548</v>
      </c>
      <c r="D97" s="20" t="n">
        <v>13097</v>
      </c>
      <c r="E97" s="20" t="n">
        <v>13493</v>
      </c>
      <c r="F97" s="20" t="n">
        <v>11868</v>
      </c>
      <c r="G97" s="20" t="n">
        <v>13237</v>
      </c>
      <c r="H97" s="20" t="n">
        <v>9684</v>
      </c>
      <c r="I97" s="20" t="n">
        <v>9981</v>
      </c>
      <c r="J97" s="20" t="n">
        <v>12820</v>
      </c>
      <c r="K97" s="20" t="n">
        <v>12769</v>
      </c>
      <c r="L97" s="20" t="n">
        <v>13493</v>
      </c>
    </row>
    <row r="98">
      <c r="A98" s="9" t="inlineStr">
        <is>
          <t>비유동자산 합계</t>
        </is>
      </c>
      <c r="C98" s="12" t="n">
        <v>48063</v>
      </c>
      <c r="D98" s="12" t="n">
        <v>49401</v>
      </c>
      <c r="E98" s="12" t="n">
        <v>50378</v>
      </c>
      <c r="F98" s="12" t="n">
        <v>54189</v>
      </c>
      <c r="G98" s="12" t="n">
        <v>55157</v>
      </c>
      <c r="H98" s="12" t="n">
        <v>38910</v>
      </c>
      <c r="I98" s="12" t="n">
        <v>39594</v>
      </c>
      <c r="J98" s="12" t="n">
        <v>49325</v>
      </c>
      <c r="K98" s="12" t="n">
        <v>47469</v>
      </c>
      <c r="L98" s="12" t="n">
        <v>50378</v>
      </c>
    </row>
    <row r="99">
      <c r="A99" s="9" t="inlineStr">
        <is>
          <t>자산 합계</t>
        </is>
      </c>
      <c r="C99" s="12" t="n">
        <v>102156</v>
      </c>
      <c r="D99" s="12" t="n">
        <v>100930</v>
      </c>
      <c r="E99" s="12" t="n">
        <v>103043</v>
      </c>
      <c r="F99" s="12" t="n">
        <v>117690</v>
      </c>
      <c r="G99" s="12" t="n">
        <v>122501</v>
      </c>
      <c r="H99" s="12" t="n">
        <v>85869</v>
      </c>
      <c r="I99" s="12" t="n">
        <v>90234</v>
      </c>
      <c r="J99" s="12" t="n">
        <v>100272</v>
      </c>
      <c r="K99" s="12" t="n">
        <v>103014</v>
      </c>
      <c r="L99" s="12" t="n">
        <v>103043</v>
      </c>
    </row>
    <row r="100">
      <c r="A100" s="18" t="inlineStr">
        <is>
          <t>지급어음·매입채무</t>
        </is>
      </c>
      <c r="H100" s="20" t="n">
        <v>16236</v>
      </c>
      <c r="I100" s="20" t="n">
        <v>18179</v>
      </c>
      <c r="J100" s="20" t="n">
        <v>17020</v>
      </c>
    </row>
    <row r="101">
      <c r="A101" s="18" t="inlineStr">
        <is>
          <t>지급어음</t>
        </is>
      </c>
      <c r="E101" s="20" t="n">
        <v>0</v>
      </c>
      <c r="F101" s="20" t="n">
        <v>1574</v>
      </c>
      <c r="G101" s="20" t="n">
        <v>1053</v>
      </c>
      <c r="L101" s="20" t="n">
        <v>0</v>
      </c>
    </row>
    <row r="102">
      <c r="A102" s="18" t="inlineStr">
        <is>
          <t>매입채무</t>
        </is>
      </c>
      <c r="C102" s="20" t="n">
        <v>19866</v>
      </c>
      <c r="D102" s="20" t="n">
        <v>17978</v>
      </c>
      <c r="E102" s="20" t="n">
        <v>16911</v>
      </c>
      <c r="F102" s="20" t="n">
        <v>15239</v>
      </c>
      <c r="G102" s="20" t="n">
        <v>20770</v>
      </c>
      <c r="J102" s="20" t="n">
        <v>17020</v>
      </c>
      <c r="K102" s="20" t="n">
        <v>18873</v>
      </c>
      <c r="L102" s="20" t="n">
        <v>16911</v>
      </c>
    </row>
    <row r="103">
      <c r="A103" s="18" t="inlineStr">
        <is>
          <t>전자기록채무</t>
        </is>
      </c>
      <c r="C103" s="20" t="n">
        <v>1987</v>
      </c>
      <c r="D103" s="20" t="n">
        <v>2010</v>
      </c>
      <c r="E103" s="20" t="n">
        <v>2058</v>
      </c>
      <c r="F103" s="20" t="n">
        <v>1796</v>
      </c>
      <c r="G103" s="20" t="n">
        <v>1666</v>
      </c>
      <c r="I103" s="20" t="n">
        <v>23</v>
      </c>
      <c r="J103" s="20" t="n">
        <v>672</v>
      </c>
      <c r="K103" s="20" t="n">
        <v>2087</v>
      </c>
      <c r="L103" s="20" t="n">
        <v>2058</v>
      </c>
    </row>
    <row r="104">
      <c r="A104" s="18" t="inlineStr">
        <is>
          <t>단기차입금</t>
        </is>
      </c>
      <c r="C104" s="20" t="n">
        <v>4468</v>
      </c>
      <c r="D104" s="20" t="n">
        <v>4470</v>
      </c>
      <c r="E104" s="20" t="n">
        <v>5474</v>
      </c>
      <c r="F104" s="20" t="n">
        <v>5176</v>
      </c>
      <c r="G104" s="20" t="n">
        <v>4777</v>
      </c>
      <c r="H104" s="20" t="n">
        <v>1914</v>
      </c>
      <c r="I104" s="20" t="n">
        <v>1549</v>
      </c>
      <c r="J104" s="20" t="n">
        <v>1529</v>
      </c>
      <c r="K104" s="20" t="n">
        <v>4471</v>
      </c>
      <c r="L104" s="20" t="n">
        <v>5474</v>
      </c>
    </row>
    <row r="105">
      <c r="A105" s="18" t="inlineStr">
        <is>
          <t>1년 내 상환 장기차입금</t>
        </is>
      </c>
      <c r="C105" s="20" t="n">
        <v>389</v>
      </c>
      <c r="D105" s="20" t="n">
        <v>389</v>
      </c>
      <c r="E105" s="20" t="n">
        <v>389</v>
      </c>
      <c r="F105" s="20" t="n">
        <v>2585</v>
      </c>
      <c r="G105" s="20" t="n">
        <v>2585</v>
      </c>
      <c r="H105" s="20" t="n">
        <v>570</v>
      </c>
      <c r="I105" s="20" t="n">
        <v>483</v>
      </c>
      <c r="J105" s="20" t="n">
        <v>373</v>
      </c>
      <c r="K105" s="20" t="n">
        <v>389</v>
      </c>
      <c r="L105" s="20" t="n">
        <v>389</v>
      </c>
    </row>
    <row r="106">
      <c r="A106" s="18" t="inlineStr">
        <is>
          <t>미지급금</t>
        </is>
      </c>
      <c r="C106" s="20" t="n">
        <v>1475</v>
      </c>
      <c r="D106" s="20" t="n">
        <v>1278</v>
      </c>
      <c r="E106" s="20" t="n">
        <v>2630</v>
      </c>
      <c r="F106" s="20" t="n">
        <v>2456</v>
      </c>
      <c r="G106" s="20" t="n">
        <v>994</v>
      </c>
      <c r="H106" s="20" t="n">
        <v>3959</v>
      </c>
      <c r="I106" s="20" t="n">
        <v>4306</v>
      </c>
      <c r="J106" s="20" t="n">
        <v>5382</v>
      </c>
      <c r="K106" s="20" t="n">
        <v>2010</v>
      </c>
      <c r="L106" s="20" t="n">
        <v>2630</v>
      </c>
    </row>
    <row r="107">
      <c r="A107" s="18" t="inlineStr">
        <is>
          <t>미지급법인세</t>
        </is>
      </c>
      <c r="C107" s="20" t="n">
        <v>668</v>
      </c>
      <c r="D107" s="20" t="n">
        <v>633</v>
      </c>
      <c r="E107" s="20" t="n">
        <v>900</v>
      </c>
      <c r="F107" s="20" t="n">
        <v>1078</v>
      </c>
      <c r="G107" s="20" t="n">
        <v>1594</v>
      </c>
      <c r="H107" s="20" t="n">
        <v>1068</v>
      </c>
      <c r="I107" s="20" t="n">
        <v>797</v>
      </c>
      <c r="J107" s="20" t="n">
        <v>765</v>
      </c>
      <c r="K107" s="20" t="n">
        <v>1531</v>
      </c>
      <c r="L107" s="20" t="n">
        <v>900</v>
      </c>
    </row>
    <row r="108">
      <c r="A108" s="18" t="inlineStr">
        <is>
          <t>선수금</t>
        </is>
      </c>
      <c r="E108" s="20" t="n">
        <v>510</v>
      </c>
      <c r="F108" s="20" t="n">
        <v>328</v>
      </c>
      <c r="G108" s="20" t="n">
        <v>384</v>
      </c>
      <c r="K108" s="20" t="n">
        <v>39</v>
      </c>
      <c r="L108" s="20" t="n">
        <v>510</v>
      </c>
    </row>
    <row r="109">
      <c r="A109" s="18" t="inlineStr">
        <is>
          <t>Electronically Recorded Obligations Facilities CL</t>
        </is>
      </c>
      <c r="C109" s="20" t="n">
        <v>1987</v>
      </c>
      <c r="D109" s="20" t="n">
        <v>1326</v>
      </c>
      <c r="E109" s="20" t="n">
        <v>1302</v>
      </c>
      <c r="F109" s="20" t="n">
        <v>1890</v>
      </c>
      <c r="G109" s="20" t="n">
        <v>995</v>
      </c>
      <c r="I109" s="20" t="n">
        <v>9</v>
      </c>
      <c r="J109" s="20" t="n">
        <v>1893</v>
      </c>
      <c r="K109" s="20" t="n">
        <v>1378</v>
      </c>
      <c r="L109" s="20" t="n">
        <v>1302</v>
      </c>
    </row>
    <row r="110">
      <c r="A110" s="18" t="inlineStr">
        <is>
          <t>상여충당금</t>
        </is>
      </c>
      <c r="D110" s="20" t="n">
        <v>604</v>
      </c>
      <c r="E110" s="20" t="n">
        <v>0</v>
      </c>
      <c r="F110" s="20" t="n">
        <v>747</v>
      </c>
      <c r="H110" s="20" t="n">
        <v>0</v>
      </c>
      <c r="I110" s="20" t="n">
        <v>0</v>
      </c>
      <c r="J110" s="20" t="n">
        <v>0</v>
      </c>
      <c r="K110" s="20" t="n">
        <v>0</v>
      </c>
      <c r="L110" s="20" t="n">
        <v>0</v>
      </c>
    </row>
    <row r="111">
      <c r="A111" s="18" t="inlineStr">
        <is>
          <t>기타</t>
        </is>
      </c>
      <c r="C111" s="20" t="n">
        <v>4207</v>
      </c>
      <c r="D111" s="20" t="n">
        <v>4046</v>
      </c>
      <c r="E111" s="20" t="n">
        <v>4299</v>
      </c>
      <c r="F111" s="20" t="n">
        <v>3759</v>
      </c>
      <c r="G111" s="20" t="n">
        <v>4547</v>
      </c>
      <c r="H111" s="20" t="n">
        <v>4221</v>
      </c>
      <c r="I111" s="20" t="n">
        <v>4159</v>
      </c>
      <c r="J111" s="20" t="n">
        <v>6437</v>
      </c>
      <c r="K111" s="20" t="n">
        <v>4069</v>
      </c>
      <c r="L111" s="20" t="n">
        <v>4299</v>
      </c>
    </row>
    <row r="112">
      <c r="A112" s="9" t="inlineStr">
        <is>
          <t>유동부채 합계</t>
        </is>
      </c>
      <c r="C112" s="12" t="n">
        <v>35051</v>
      </c>
      <c r="D112" s="12" t="n">
        <v>32740</v>
      </c>
      <c r="E112" s="12" t="n">
        <v>34478</v>
      </c>
      <c r="F112" s="12" t="n">
        <v>36634</v>
      </c>
      <c r="G112" s="12" t="n">
        <v>39370</v>
      </c>
      <c r="H112" s="12" t="n">
        <v>27971</v>
      </c>
      <c r="I112" s="12" t="n">
        <v>29509</v>
      </c>
      <c r="J112" s="12" t="n">
        <v>34075</v>
      </c>
      <c r="K112" s="12" t="n">
        <v>34851</v>
      </c>
      <c r="L112" s="12" t="n">
        <v>34478</v>
      </c>
    </row>
    <row r="113">
      <c r="A113" s="18" t="inlineStr">
        <is>
          <t>장기차입금</t>
        </is>
      </c>
      <c r="C113" s="20" t="n">
        <v>1042</v>
      </c>
      <c r="D113" s="20" t="n">
        <v>945</v>
      </c>
      <c r="E113" s="20" t="n">
        <v>869</v>
      </c>
      <c r="F113" s="20" t="n">
        <v>13197</v>
      </c>
      <c r="G113" s="20" t="n">
        <v>12555</v>
      </c>
      <c r="H113" s="20" t="n">
        <v>827</v>
      </c>
      <c r="I113" s="20" t="n">
        <v>343</v>
      </c>
      <c r="J113" s="20" t="n">
        <v>0</v>
      </c>
      <c r="K113" s="20" t="n">
        <v>1259</v>
      </c>
      <c r="L113" s="20" t="n">
        <v>869</v>
      </c>
    </row>
    <row r="114">
      <c r="A114" s="18" t="inlineStr">
        <is>
          <t>이연법인세부채</t>
        </is>
      </c>
      <c r="C114" s="20" t="n">
        <v>271</v>
      </c>
      <c r="D114" s="20" t="n">
        <v>540</v>
      </c>
      <c r="E114" s="20" t="n">
        <v>658</v>
      </c>
      <c r="F114" s="20" t="n">
        <v>317</v>
      </c>
      <c r="G114" s="20" t="n">
        <v>661</v>
      </c>
      <c r="H114" s="20" t="n">
        <v>0</v>
      </c>
      <c r="I114" s="20" t="n">
        <v>0</v>
      </c>
      <c r="J114" s="20" t="n">
        <v>714</v>
      </c>
      <c r="K114" s="20" t="n">
        <v>286</v>
      </c>
      <c r="L114" s="20" t="n">
        <v>658</v>
      </c>
    </row>
    <row r="115">
      <c r="A115" s="18" t="inlineStr">
        <is>
          <t>퇴직급여부채</t>
        </is>
      </c>
      <c r="C115" s="20" t="n">
        <v>3728</v>
      </c>
      <c r="D115" s="20" t="n">
        <v>3724</v>
      </c>
      <c r="E115" s="20" t="n">
        <v>3113</v>
      </c>
      <c r="F115" s="20" t="n">
        <v>3570</v>
      </c>
      <c r="G115" s="20" t="n">
        <v>3590</v>
      </c>
      <c r="H115" s="20" t="n">
        <v>3632</v>
      </c>
      <c r="I115" s="20" t="n">
        <v>3968</v>
      </c>
      <c r="J115" s="20" t="n">
        <v>3789</v>
      </c>
      <c r="K115" s="20" t="n">
        <v>3718</v>
      </c>
      <c r="L115" s="20" t="n">
        <v>3113</v>
      </c>
    </row>
    <row r="116">
      <c r="A116" s="18" t="inlineStr">
        <is>
          <t>기타</t>
        </is>
      </c>
      <c r="C116" s="20" t="n">
        <v>750</v>
      </c>
      <c r="D116" s="20" t="n">
        <v>780</v>
      </c>
      <c r="E116" s="20" t="n">
        <v>789</v>
      </c>
      <c r="F116" s="20" t="n">
        <v>886</v>
      </c>
      <c r="G116" s="20" t="n">
        <v>882</v>
      </c>
      <c r="H116" s="20" t="n">
        <v>914</v>
      </c>
      <c r="I116" s="20" t="n">
        <v>821</v>
      </c>
      <c r="J116" s="20" t="n">
        <v>823</v>
      </c>
      <c r="K116" s="20" t="n">
        <v>823</v>
      </c>
      <c r="L116" s="20" t="n">
        <v>789</v>
      </c>
    </row>
    <row r="117">
      <c r="A117" s="9" t="inlineStr">
        <is>
          <t>비유동부채 합계</t>
        </is>
      </c>
      <c r="C117" s="12" t="n">
        <v>5792</v>
      </c>
      <c r="D117" s="12" t="n">
        <v>5990</v>
      </c>
      <c r="E117" s="12" t="n">
        <v>5430</v>
      </c>
      <c r="F117" s="12" t="n">
        <v>17972</v>
      </c>
      <c r="G117" s="12" t="n">
        <v>17690</v>
      </c>
      <c r="H117" s="12" t="n">
        <v>5374</v>
      </c>
      <c r="I117" s="12" t="n">
        <v>5133</v>
      </c>
      <c r="J117" s="12" t="n">
        <v>5327</v>
      </c>
      <c r="K117" s="12" t="n">
        <v>6086</v>
      </c>
      <c r="L117" s="12" t="n">
        <v>5430</v>
      </c>
    </row>
    <row r="118">
      <c r="A118" s="9" t="inlineStr">
        <is>
          <t>부채 합계</t>
        </is>
      </c>
      <c r="C118" s="12" t="n">
        <v>40844</v>
      </c>
      <c r="D118" s="12" t="n">
        <v>38730</v>
      </c>
      <c r="E118" s="12" t="n">
        <v>39909</v>
      </c>
      <c r="F118" s="12" t="n">
        <v>54606</v>
      </c>
      <c r="G118" s="12" t="n">
        <v>57061</v>
      </c>
      <c r="H118" s="12" t="n">
        <v>33345</v>
      </c>
      <c r="I118" s="12" t="n">
        <v>34643</v>
      </c>
      <c r="J118" s="12" t="n">
        <v>39403</v>
      </c>
      <c r="K118" s="12" t="n">
        <v>40938</v>
      </c>
      <c r="L118" s="12" t="n">
        <v>39909</v>
      </c>
    </row>
    <row r="119">
      <c r="A119" s="18" t="inlineStr">
        <is>
          <t>자본금</t>
        </is>
      </c>
      <c r="C119" s="20" t="n">
        <v>8619</v>
      </c>
      <c r="D119" s="20" t="n">
        <v>8619</v>
      </c>
      <c r="E119" s="20" t="n">
        <v>8619</v>
      </c>
      <c r="F119" s="20" t="n">
        <v>8619</v>
      </c>
      <c r="G119" s="20" t="n">
        <v>8619</v>
      </c>
      <c r="H119" s="20" t="n">
        <v>8619</v>
      </c>
      <c r="I119" s="20" t="n">
        <v>8619</v>
      </c>
      <c r="J119" s="20" t="n">
        <v>8619</v>
      </c>
      <c r="K119" s="20" t="n">
        <v>8619</v>
      </c>
      <c r="L119" s="20" t="n">
        <v>8619</v>
      </c>
    </row>
    <row r="120">
      <c r="A120" s="18" t="inlineStr">
        <is>
          <t>자본잉여금</t>
        </is>
      </c>
      <c r="C120" s="20" t="n">
        <v>9118</v>
      </c>
      <c r="D120" s="20" t="n">
        <v>9118</v>
      </c>
      <c r="E120" s="20" t="n">
        <v>9118</v>
      </c>
      <c r="F120" s="20" t="n">
        <v>9118</v>
      </c>
      <c r="G120" s="20" t="n">
        <v>9134</v>
      </c>
      <c r="H120" s="20" t="n">
        <v>9070</v>
      </c>
      <c r="I120" s="20" t="n">
        <v>9071</v>
      </c>
      <c r="J120" s="20" t="n">
        <v>9105</v>
      </c>
      <c r="K120" s="20" t="n">
        <v>9113</v>
      </c>
      <c r="L120" s="20" t="n">
        <v>9118</v>
      </c>
    </row>
    <row r="121">
      <c r="A121" s="18" t="inlineStr">
        <is>
          <t>이익잉여금</t>
        </is>
      </c>
      <c r="C121" s="20" t="n">
        <v>42090</v>
      </c>
      <c r="D121" s="20" t="n">
        <v>41947</v>
      </c>
      <c r="E121" s="20" t="n">
        <v>42280</v>
      </c>
      <c r="F121" s="20" t="n">
        <v>42314</v>
      </c>
      <c r="G121" s="20" t="n">
        <v>44599</v>
      </c>
      <c r="H121" s="20" t="n">
        <v>32140</v>
      </c>
      <c r="I121" s="20" t="n">
        <v>35094</v>
      </c>
      <c r="J121" s="20" t="n">
        <v>38394</v>
      </c>
      <c r="K121" s="20" t="n">
        <v>40759</v>
      </c>
      <c r="L121" s="20" t="n">
        <v>42280</v>
      </c>
    </row>
    <row r="122">
      <c r="A122" s="18" t="inlineStr">
        <is>
          <t>자기주식</t>
        </is>
      </c>
      <c r="C122" s="20" t="n">
        <v>-3043</v>
      </c>
      <c r="D122" s="20" t="n">
        <v>-3044</v>
      </c>
      <c r="E122" s="20" t="n">
        <v>-3046</v>
      </c>
      <c r="F122" s="20" t="n">
        <v>-3046</v>
      </c>
      <c r="G122" s="20" t="n">
        <v>-3023</v>
      </c>
      <c r="H122" s="20" t="n">
        <v>-841</v>
      </c>
      <c r="I122" s="20" t="n">
        <v>-829</v>
      </c>
      <c r="J122" s="20" t="n">
        <v>-557</v>
      </c>
      <c r="K122" s="20" t="n">
        <v>-1824</v>
      </c>
      <c r="L122" s="20" t="n">
        <v>-3046</v>
      </c>
    </row>
    <row r="123">
      <c r="A123" s="9" t="inlineStr">
        <is>
          <t>주주자본 합계</t>
        </is>
      </c>
      <c r="C123" s="12" t="n">
        <v>56784</v>
      </c>
      <c r="D123" s="12" t="n">
        <v>56641</v>
      </c>
      <c r="E123" s="12" t="n">
        <v>56972</v>
      </c>
      <c r="F123" s="12" t="n">
        <v>57006</v>
      </c>
      <c r="G123" s="12" t="n">
        <v>59330</v>
      </c>
      <c r="H123" s="12" t="n">
        <v>48989</v>
      </c>
      <c r="I123" s="12" t="n">
        <v>51956</v>
      </c>
      <c r="J123" s="12" t="n">
        <v>55562</v>
      </c>
      <c r="K123" s="12" t="n">
        <v>56667</v>
      </c>
      <c r="L123" s="12" t="n">
        <v>56972</v>
      </c>
    </row>
    <row r="124">
      <c r="A124" s="18" t="inlineStr">
        <is>
          <t>기타유가증권 평가차액</t>
        </is>
      </c>
      <c r="C124" s="20" t="n">
        <v>4173</v>
      </c>
      <c r="D124" s="20" t="n">
        <v>5187</v>
      </c>
      <c r="E124" s="20" t="n">
        <v>5080</v>
      </c>
      <c r="F124" s="20" t="n">
        <v>4974</v>
      </c>
      <c r="G124" s="20" t="n">
        <v>5019</v>
      </c>
      <c r="H124" s="20" t="n">
        <v>3237</v>
      </c>
      <c r="I124" s="20" t="n">
        <v>3507</v>
      </c>
      <c r="J124" s="20" t="n">
        <v>5018</v>
      </c>
      <c r="K124" s="20" t="n">
        <v>5017</v>
      </c>
      <c r="L124" s="20" t="n">
        <v>5080</v>
      </c>
    </row>
    <row r="125">
      <c r="A125" s="18" t="inlineStr">
        <is>
          <t>해외사업환산조정</t>
        </is>
      </c>
      <c r="C125" s="20" t="n">
        <v>236</v>
      </c>
      <c r="D125" s="20" t="n">
        <v>251</v>
      </c>
      <c r="E125" s="20" t="n">
        <v>285</v>
      </c>
      <c r="F125" s="20" t="n">
        <v>301</v>
      </c>
      <c r="G125" s="20" t="n">
        <v>308</v>
      </c>
      <c r="H125" s="20" t="n">
        <v>202</v>
      </c>
      <c r="I125" s="20" t="n">
        <v>220</v>
      </c>
      <c r="J125" s="20" t="n">
        <v>236</v>
      </c>
      <c r="K125" s="20" t="n">
        <v>269</v>
      </c>
      <c r="L125" s="20" t="n">
        <v>285</v>
      </c>
    </row>
    <row r="126">
      <c r="A126" s="18" t="inlineStr">
        <is>
          <t>퇴직급여 조정누계액</t>
        </is>
      </c>
      <c r="C126" s="20" t="n">
        <v>86</v>
      </c>
      <c r="D126" s="20" t="n">
        <v>84</v>
      </c>
      <c r="E126" s="20" t="n">
        <v>760</v>
      </c>
      <c r="F126" s="20" t="n">
        <v>746</v>
      </c>
      <c r="G126" s="20" t="n">
        <v>732</v>
      </c>
      <c r="H126" s="20" t="n">
        <v>72</v>
      </c>
      <c r="I126" s="20" t="n">
        <v>-114</v>
      </c>
      <c r="J126" s="20" t="n">
        <v>27</v>
      </c>
      <c r="K126" s="20" t="n">
        <v>89</v>
      </c>
      <c r="L126" s="20" t="n">
        <v>760</v>
      </c>
    </row>
    <row r="127">
      <c r="A127" s="18" t="inlineStr">
        <is>
          <t>기타포괄손익누계액 합계</t>
        </is>
      </c>
      <c r="C127" s="20" t="n">
        <v>4496</v>
      </c>
      <c r="D127" s="20" t="n">
        <v>5524</v>
      </c>
      <c r="E127" s="20" t="n">
        <v>6126</v>
      </c>
      <c r="F127" s="20" t="n">
        <v>6021</v>
      </c>
      <c r="G127" s="20" t="n">
        <v>6060</v>
      </c>
      <c r="H127" s="20" t="n">
        <v>3512</v>
      </c>
      <c r="I127" s="20" t="n">
        <v>3613</v>
      </c>
      <c r="J127" s="20" t="n">
        <v>5281</v>
      </c>
      <c r="K127" s="20" t="n">
        <v>5376</v>
      </c>
      <c r="L127" s="20" t="n">
        <v>6126</v>
      </c>
    </row>
    <row r="128">
      <c r="A128" s="18" t="inlineStr">
        <is>
          <t>비지배지분</t>
        </is>
      </c>
      <c r="C128" s="20" t="n">
        <v>31</v>
      </c>
      <c r="D128" s="20" t="n">
        <v>34</v>
      </c>
      <c r="E128" s="20" t="n">
        <v>35</v>
      </c>
      <c r="F128" s="20" t="n">
        <v>55</v>
      </c>
      <c r="G128" s="20" t="n">
        <v>49</v>
      </c>
      <c r="H128" s="20" t="n">
        <v>22</v>
      </c>
      <c r="I128" s="20" t="n">
        <v>20</v>
      </c>
      <c r="J128" s="20" t="n">
        <v>24</v>
      </c>
      <c r="K128" s="20" t="n">
        <v>31</v>
      </c>
      <c r="L128" s="20" t="n">
        <v>35</v>
      </c>
    </row>
    <row r="129">
      <c r="A129" s="9" t="inlineStr">
        <is>
          <t>순자산 합계</t>
        </is>
      </c>
      <c r="C129" s="12" t="n">
        <v>61312</v>
      </c>
      <c r="D129" s="12" t="n">
        <v>62199</v>
      </c>
      <c r="E129" s="12" t="n">
        <v>63134</v>
      </c>
      <c r="F129" s="12" t="n">
        <v>63083</v>
      </c>
      <c r="G129" s="12" t="n">
        <v>65440</v>
      </c>
      <c r="H129" s="12" t="n">
        <v>52524</v>
      </c>
      <c r="I129" s="12" t="n">
        <v>55591</v>
      </c>
      <c r="J129" s="12" t="n">
        <v>60869</v>
      </c>
      <c r="K129" s="12" t="n">
        <v>62075</v>
      </c>
      <c r="L129" s="12" t="n">
        <v>63134</v>
      </c>
    </row>
    <row r="130">
      <c r="A130" s="9" t="inlineStr">
        <is>
          <t>부채·순자산 합계</t>
        </is>
      </c>
      <c r="C130" s="12" t="n">
        <v>102156</v>
      </c>
      <c r="D130" s="12" t="n">
        <v>100930</v>
      </c>
      <c r="E130" s="12" t="n">
        <v>103043</v>
      </c>
      <c r="F130" s="12" t="n">
        <v>117690</v>
      </c>
      <c r="G130" s="12" t="n">
        <v>122501</v>
      </c>
      <c r="H130" s="12" t="n">
        <v>85869</v>
      </c>
      <c r="I130" s="12" t="n">
        <v>90234</v>
      </c>
      <c r="J130" s="12" t="n">
        <v>100272</v>
      </c>
      <c r="K130" s="12" t="n">
        <v>103014</v>
      </c>
      <c r="L130" s="12" t="n">
        <v>103043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2026-07-30</t>
        </is>
      </c>
      <c r="B4" t="inlineStr">
        <is>
          <t>2026년 12월 결산기 2분기 결산단신</t>
        </is>
      </c>
      <c r="C4" t="inlineStr">
        <is>
          <t>https://www2.jpx.co.jp/disc/42210/140120260729502389.pdf</t>
        </is>
      </c>
    </row>
    <row r="5">
      <c r="A5" t="inlineStr">
        <is>
          <t>2026-04-30</t>
        </is>
      </c>
      <c r="B5" t="inlineStr">
        <is>
          <t>2026년 12월 결산기 1분기 결산단신</t>
        </is>
      </c>
      <c r="C5" t="inlineStr">
        <is>
          <t>https://www2.jpx.co.jp/disc/42210/140120260430514570.pdf</t>
        </is>
      </c>
    </row>
    <row r="6">
      <c r="A6" t="inlineStr">
        <is>
          <t>2026-02-12</t>
        </is>
      </c>
      <c r="B6" t="inlineStr">
        <is>
          <t>2025년 12월 결산기 연간 결산단신</t>
        </is>
      </c>
      <c r="C6" t="inlineStr">
        <is>
          <t>https://www2.jpx.co.jp/disc/42210/140120260212555468.pdf</t>
        </is>
      </c>
    </row>
    <row r="7">
      <c r="A7" t="inlineStr">
        <is>
          <t>2025-10-30</t>
        </is>
      </c>
      <c r="B7" t="inlineStr">
        <is>
          <t>2025년 12월 결산기 3분기 결산단신</t>
        </is>
      </c>
      <c r="C7" t="inlineStr">
        <is>
          <t>https://www2.jpx.co.jp/disc/42210/140120251030582193.pdf</t>
        </is>
      </c>
    </row>
    <row r="8">
      <c r="A8" t="inlineStr">
        <is>
          <t>2025-08-08</t>
        </is>
      </c>
      <c r="B8" t="inlineStr">
        <is>
          <t>2025년 12월 결산기 2분기 결산단신</t>
        </is>
      </c>
      <c r="C8" t="inlineStr">
        <is>
          <t>https://www2.jpx.co.jp/disc/42210/140120250807533536.pdf</t>
        </is>
      </c>
    </row>
    <row r="9">
      <c r="A9" t="inlineStr">
        <is>
          <t>2025-04-30</t>
        </is>
      </c>
      <c r="B9" t="inlineStr">
        <is>
          <t>2025년 12월 결산기 1분기 결산단신</t>
        </is>
      </c>
      <c r="C9" t="inlineStr">
        <is>
          <t>https://www2.jpx.co.jp/disc/42210/140120250430527113.pdf</t>
        </is>
      </c>
    </row>
    <row r="10">
      <c r="A10" t="inlineStr">
        <is>
          <t>2025-02-14</t>
        </is>
      </c>
      <c r="B10" t="inlineStr">
        <is>
          <t>2024년 12월 결산기 연간 결산단신</t>
        </is>
      </c>
      <c r="C10" t="inlineStr">
        <is>
          <t>https://www2.jpx.co.jp/disc/42210/140120250214574969.pdf</t>
        </is>
      </c>
    </row>
    <row r="11">
      <c r="A11" t="inlineStr">
        <is>
          <t>2024-11-13</t>
        </is>
      </c>
      <c r="B11" t="inlineStr">
        <is>
          <t>2024년 12월 결산기 3분기 결산단신</t>
        </is>
      </c>
      <c r="C11" t="inlineStr">
        <is>
          <t>https://www2.jpx.co.jp/disc/42210/140120241113520668.pdf</t>
        </is>
      </c>
    </row>
    <row r="12">
      <c r="A12" t="inlineStr">
        <is>
          <t>2024-08-09</t>
        </is>
      </c>
      <c r="B12" t="inlineStr">
        <is>
          <t>2024년 12월 결산기 2분기 결산단신</t>
        </is>
      </c>
      <c r="C12" t="inlineStr">
        <is>
          <t>https://www2.jpx.co.jp/disc/42210/140120240806563312.pdf</t>
        </is>
      </c>
    </row>
    <row r="13">
      <c r="A13" t="inlineStr">
        <is>
          <t>2024-05-14</t>
        </is>
      </c>
      <c r="B13" t="inlineStr">
        <is>
          <t>2024년 12월 결산기 1분기 결산단신</t>
        </is>
      </c>
      <c r="C13" t="inlineStr">
        <is>
          <t>https://www2.jpx.co.jp/disc/42210/140120240418572654.pdf</t>
        </is>
      </c>
    </row>
    <row r="14">
      <c r="A14" t="inlineStr">
        <is>
          <t>2024-02-13</t>
        </is>
      </c>
      <c r="B14" t="inlineStr">
        <is>
          <t>2023년 12월 결산기 연간 결산단신</t>
        </is>
      </c>
      <c r="C14" t="inlineStr">
        <is>
          <t>https://www2.jpx.co.jp/disc/42210/140120240120517165.pdf</t>
        </is>
      </c>
    </row>
    <row r="15">
      <c r="A15" t="inlineStr">
        <is>
          <t>2023-11-13</t>
        </is>
      </c>
      <c r="B15" t="inlineStr">
        <is>
          <t>2023년 12월 결산기 3분기 결산단신</t>
        </is>
      </c>
      <c r="C15" t="inlineStr">
        <is>
          <t>https://www2.jpx.co.jp/disc/42210/140120231020569191.pdf</t>
        </is>
      </c>
    </row>
    <row r="16">
      <c r="A16" t="inlineStr">
        <is>
          <t>2023-08-10</t>
        </is>
      </c>
      <c r="B16" t="inlineStr">
        <is>
          <t>2023년 12월 결산기 2분기 결산단신</t>
        </is>
      </c>
      <c r="C16" t="inlineStr">
        <is>
          <t>https://www2.jpx.co.jp/disc/42210/140120230704517623.pdf</t>
        </is>
      </c>
    </row>
    <row r="17">
      <c r="A17" t="inlineStr">
        <is>
          <t>2023-05-15</t>
        </is>
      </c>
      <c r="B17" t="inlineStr">
        <is>
          <t>2023년 12월 결산기 1분기 결산단신</t>
        </is>
      </c>
      <c r="C17" t="inlineStr">
        <is>
          <t>https://www2.jpx.co.jp/disc/42210/140120230421550995.pdf</t>
        </is>
      </c>
    </row>
    <row r="18">
      <c r="A18" t="inlineStr">
        <is>
          <t>2023-02-10</t>
        </is>
      </c>
      <c r="B18" t="inlineStr">
        <is>
          <t>2022년 12월 결산기 연간 결산단신</t>
        </is>
      </c>
      <c r="C18" t="inlineStr">
        <is>
          <t>https://www2.jpx.co.jp/disc/42210/140120230126593921.pdf</t>
        </is>
      </c>
    </row>
    <row r="19">
      <c r="A19" t="inlineStr">
        <is>
          <t>2022-11-11</t>
        </is>
      </c>
      <c r="B19" t="inlineStr">
        <is>
          <t>2022년 12월 결산기 3분기 결산단신</t>
        </is>
      </c>
      <c r="C19" t="inlineStr">
        <is>
          <t>https://www2.jpx.co.jp/disc/42210/140120221004540424.pdf</t>
        </is>
      </c>
    </row>
    <row r="20">
      <c r="A20" t="inlineStr">
        <is>
          <t>2022-02-10</t>
        </is>
      </c>
      <c r="B20" t="inlineStr">
        <is>
          <t>2021년 12월 결산기 연간 결산단신</t>
        </is>
      </c>
      <c r="C20" t="inlineStr">
        <is>
          <t>https://www2.jpx.co.jp/disc/42210/140120220124571139.pdf</t>
        </is>
      </c>
    </row>
    <row r="21">
      <c r="A21" t="inlineStr">
        <is>
          <t>2021-02-12</t>
        </is>
      </c>
      <c r="B21" t="inlineStr">
        <is>
          <t>2020년 12월 결산기 연간 결산단신</t>
        </is>
      </c>
      <c r="C21" t="inlineStr">
        <is>
          <t>https://www2.jpx.co.jp/disc/42210/140120210128451250.pdf</t>
        </is>
      </c>
    </row>
    <row r="22">
      <c r="A22" t="inlineStr">
        <is>
          <t>2020-02-14</t>
        </is>
      </c>
      <c r="B22" t="inlineStr">
        <is>
          <t>2019년 12월 결산기 연간 결산단신</t>
        </is>
      </c>
      <c r="C22" t="inlineStr">
        <is>
          <t>https://www2.jpx.co.jp/disc/42210/140120200128451845.pdf</t>
        </is>
      </c>
    </row>
    <row r="23">
      <c r="A23" t="inlineStr">
        <is>
          <t>2019-02-12</t>
        </is>
      </c>
      <c r="B23" t="inlineStr">
        <is>
          <t>연간 결산단신</t>
        </is>
      </c>
      <c r="C23" t="inlineStr">
        <is>
          <t>https://www2.jpx.co.jp/disc/42210/140120190131466903.pdf</t>
        </is>
      </c>
    </row>
    <row r="24">
      <c r="A24" t="inlineStr">
        <is>
          <t>2018-02-13</t>
        </is>
      </c>
      <c r="B24" t="inlineStr">
        <is>
          <t>연간 결산단신</t>
        </is>
      </c>
      <c r="C24" t="inlineStr">
        <is>
          <t>https://www2.jpx.co.jp/disc/42210/140120180131459969.pdf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2026-10-26T10:54:10Z</dcterms:created>
  <dcterms:modified xmlns:dcterms="http://purl.org/dc/terms/" xmlns:xsi="http://www.w3.org/2001/XMLSchema-instance" xsi:type="dcterms:W3CDTF">2026-10-26T10:54:10Z</dcterms:modified>
</cp:coreProperties>
</file>