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1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4221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19361</v>
      </c>
      <c r="D4" s="12" t="n">
        <v>20165</v>
      </c>
      <c r="E4" s="12" t="n">
        <v>19504</v>
      </c>
      <c r="F4" s="12" t="n">
        <v>19896</v>
      </c>
      <c r="G4" s="12" t="n">
        <v>19939</v>
      </c>
      <c r="H4" s="12" t="n">
        <v>21853</v>
      </c>
      <c r="I4" s="12" t="n">
        <v>21686</v>
      </c>
      <c r="J4" s="12" t="n">
        <v>21865</v>
      </c>
      <c r="K4" s="12" t="n">
        <v>20682</v>
      </c>
      <c r="L4" s="12" t="n">
        <v>22425</v>
      </c>
      <c r="M4" s="12" t="n">
        <v>24026</v>
      </c>
      <c r="N4" s="12" t="n">
        <v>28473</v>
      </c>
      <c r="O4" s="11" t="n">
        <v>86079</v>
      </c>
      <c r="P4" s="12" t="n">
        <v>90812</v>
      </c>
      <c r="Q4" s="12" t="n">
        <v>86260</v>
      </c>
      <c r="R4" s="12" t="n">
        <v>85364</v>
      </c>
      <c r="S4" s="12" t="n">
        <v>80958</v>
      </c>
      <c r="T4" s="12" t="n">
        <v>88420</v>
      </c>
      <c r="U4" s="12" t="n">
        <v>77260</v>
      </c>
      <c r="V4" s="12" t="n">
        <v>78863</v>
      </c>
      <c r="W4" s="12" t="n">
        <v>81192</v>
      </c>
      <c r="X4" s="12" t="n">
        <v>86658</v>
      </c>
      <c r="Y4" s="11">
        <f>IF(COUNT(Y7,Y10,Y13,Y16,Y19,Y22,Y25,Y28)=0,"",SUM(Y7,Y10,Y13,Y16,Y19,Y22,Y25,Y28))</f>
        <v/>
      </c>
      <c r="Z4" s="12">
        <f>IF(COUNT(Z7,Z10,Z13,Z16,Z19,Z22,Z25,Z28)=0,"",SUM(Z7,Z10,Z13,Z16,Z19,Z22,Z25,Z28))</f>
        <v/>
      </c>
      <c r="AA4" s="12">
        <f>IF(COUNT(AA7,AA10,AA13,AA16,AA19,AA22,AA25,AA28)=0,"",SUM(AA7,AA10,AA13,AA16,AA19,AA22,AA25,AA28))</f>
        <v/>
      </c>
      <c r="AB4" s="12">
        <f>IF(COUNT(AB7,AB10,AB13,AB16,AB19,AB22,AB25,AB28)=0,"",SUM(AB7,AB10,AB13,AB16,AB19,AB22,AB25,AB28))</f>
        <v/>
      </c>
      <c r="AC4" s="12">
        <f>IF(COUNT(AC7,AC10,AC13,AC16,AC19,AC22,AC25,AC28)=0,"",SUM(AC7,AC10,AC13,AC16,AC19,AC22,AC25,AC28))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SyntheticResinBusinessReportableSegmentsMember</t>
        </is>
      </c>
      <c r="B7" s="10" t="n"/>
      <c r="C7" s="19" t="n">
        <v>12427</v>
      </c>
      <c r="D7" s="20" t="n">
        <v>12819</v>
      </c>
      <c r="E7" s="20" t="n"/>
      <c r="F7" s="20" t="n"/>
      <c r="G7" s="20" t="n">
        <v>12927</v>
      </c>
      <c r="H7" s="20" t="n">
        <v>13570</v>
      </c>
      <c r="I7" s="20" t="n"/>
      <c r="J7" s="20" t="n"/>
      <c r="K7" s="20" t="n">
        <v>12874</v>
      </c>
      <c r="L7" s="20" t="n">
        <v>13384</v>
      </c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51005</v>
      </c>
      <c r="W7" s="20" t="n">
        <v>51861</v>
      </c>
      <c r="X7" s="20" t="n">
        <v>52671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NewMaterialBusinessReportableSegmentsMember</t>
        </is>
      </c>
      <c r="B10" s="10" t="n"/>
      <c r="C10" s="19" t="n">
        <v>3587</v>
      </c>
      <c r="D10" s="20" t="n">
        <v>3644</v>
      </c>
      <c r="E10" s="20" t="n"/>
      <c r="F10" s="20" t="n"/>
      <c r="G10" s="20" t="n">
        <v>3292</v>
      </c>
      <c r="H10" s="20" t="n">
        <v>4223</v>
      </c>
      <c r="I10" s="20" t="n"/>
      <c r="J10" s="20" t="n"/>
      <c r="K10" s="20" t="n">
        <v>4061</v>
      </c>
      <c r="L10" s="20" t="n">
        <v>5141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13691</v>
      </c>
      <c r="W10" s="20" t="n">
        <v>14611</v>
      </c>
      <c r="X10" s="20" t="n">
        <v>18928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ConstructionMaterialBusinessReportableSegmentsMember</t>
        </is>
      </c>
      <c r="B13" s="10" t="n"/>
      <c r="C13" s="19" t="n">
        <v>2966</v>
      </c>
      <c r="D13" s="20" t="n">
        <v>3279</v>
      </c>
      <c r="E13" s="20" t="n"/>
      <c r="F13" s="20" t="n"/>
      <c r="G13" s="20" t="n">
        <v>3250</v>
      </c>
      <c r="H13" s="20" t="n">
        <v>3562</v>
      </c>
      <c r="I13" s="20" t="n"/>
      <c r="J13" s="20" t="n"/>
      <c r="K13" s="20" t="n">
        <v>3272</v>
      </c>
      <c r="L13" s="20" t="n">
        <v>3396</v>
      </c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12612</v>
      </c>
      <c r="W13" s="20" t="n">
        <v>12859</v>
      </c>
      <c r="X13" s="20" t="n">
        <v>13185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380</v>
      </c>
      <c r="D16" s="20" t="n">
        <v>422</v>
      </c>
      <c r="E16" s="20" t="n">
        <v>428</v>
      </c>
      <c r="F16" s="20" t="n">
        <v>463</v>
      </c>
      <c r="G16" s="20" t="n">
        <v>471</v>
      </c>
      <c r="H16" s="20" t="n">
        <v>498</v>
      </c>
      <c r="I16" s="20" t="n">
        <v>428</v>
      </c>
      <c r="J16" s="20" t="n">
        <v>466</v>
      </c>
      <c r="K16" s="20" t="n">
        <v>474</v>
      </c>
      <c r="L16" s="20" t="n">
        <v>504</v>
      </c>
      <c r="M16" s="20" t="n">
        <v>469</v>
      </c>
      <c r="N16" s="20" t="n">
        <v>511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1553</v>
      </c>
      <c r="W16" s="20" t="n">
        <v>1860</v>
      </c>
      <c r="X16" s="20" t="n">
        <v>1872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21686</v>
      </c>
      <c r="J19" s="20" t="n"/>
      <c r="K19" s="20" t="n"/>
      <c r="L19" s="20" t="n"/>
      <c r="M19" s="20" t="n">
        <v>24026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PlasticReportableSegmentsMember</t>
        </is>
      </c>
      <c r="B22" s="10" t="n"/>
      <c r="C22" s="19" t="n"/>
      <c r="D22" s="20" t="n"/>
      <c r="E22" s="20" t="n">
        <v>12765</v>
      </c>
      <c r="F22" s="20" t="n"/>
      <c r="G22" s="20" t="n"/>
      <c r="H22" s="20" t="n"/>
      <c r="I22" s="20" t="n">
        <v>13347</v>
      </c>
      <c r="J22" s="20" t="n"/>
      <c r="K22" s="20" t="n"/>
      <c r="L22" s="20" t="n"/>
      <c r="M22" s="20" t="n">
        <v>15620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NewMaterialReportableSegmentsMember</t>
        </is>
      </c>
      <c r="B25" s="10" t="n"/>
      <c r="C25" s="19" t="n"/>
      <c r="D25" s="20" t="n"/>
      <c r="E25" s="20" t="n">
        <v>3272</v>
      </c>
      <c r="F25" s="20" t="n"/>
      <c r="G25" s="20" t="n"/>
      <c r="H25" s="20" t="n"/>
      <c r="I25" s="20" t="n">
        <v>4611</v>
      </c>
      <c r="J25" s="20" t="n"/>
      <c r="K25" s="20" t="n"/>
      <c r="L25" s="20" t="n"/>
      <c r="M25" s="20" t="n">
        <v>4905</v>
      </c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ConstructionMaterialReportableSegmentsMember</t>
        </is>
      </c>
      <c r="B28" s="10" t="n"/>
      <c r="C28" s="19" t="n"/>
      <c r="D28" s="20" t="n"/>
      <c r="E28" s="20" t="n">
        <v>3046</v>
      </c>
      <c r="F28" s="20" t="n"/>
      <c r="G28" s="20" t="n"/>
      <c r="H28" s="20" t="n"/>
      <c r="I28" s="20" t="n">
        <v>3301</v>
      </c>
      <c r="J28" s="20" t="n"/>
      <c r="K28" s="20" t="n"/>
      <c r="L28" s="20" t="n"/>
      <c r="M28" s="20" t="n">
        <v>3164</v>
      </c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매출원가</t>
        </is>
      </c>
      <c r="B31" s="16" t="n"/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18" t="inlineStr">
        <is>
          <t>전체 매출원가</t>
        </is>
      </c>
      <c r="B32" s="10" t="n"/>
      <c r="C32" s="19" t="n">
        <v>15513</v>
      </c>
      <c r="D32" s="20" t="n">
        <v>16360</v>
      </c>
      <c r="E32" s="20" t="n">
        <v>15763</v>
      </c>
      <c r="F32" s="20" t="n">
        <v>16194</v>
      </c>
      <c r="G32" s="20" t="n">
        <v>16407</v>
      </c>
      <c r="H32" s="20" t="n">
        <v>17655</v>
      </c>
      <c r="I32" s="20" t="n">
        <v>17290</v>
      </c>
      <c r="J32" s="20" t="n">
        <v>17202</v>
      </c>
      <c r="K32" s="20" t="n">
        <v>16710</v>
      </c>
      <c r="L32" s="20" t="n">
        <v>17917</v>
      </c>
      <c r="M32" s="20" t="n">
        <v>18557</v>
      </c>
      <c r="N32" s="20" t="n">
        <v>21694</v>
      </c>
      <c r="O32" s="19" t="n">
        <v>72129</v>
      </c>
      <c r="P32" s="20" t="n">
        <v>75565</v>
      </c>
      <c r="Q32" s="20" t="n">
        <v>72544</v>
      </c>
      <c r="R32" s="20" t="n">
        <v>72071</v>
      </c>
      <c r="S32" s="20" t="n">
        <v>67721</v>
      </c>
      <c r="T32" s="20" t="n">
        <v>73912</v>
      </c>
      <c r="U32" s="20" t="n">
        <v>63944</v>
      </c>
      <c r="V32" s="20" t="n">
        <v>63974</v>
      </c>
      <c r="W32" s="20" t="n">
        <v>66019</v>
      </c>
      <c r="X32" s="20" t="n">
        <v>69119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18" t="inlineStr">
        <is>
          <t>매출총이익</t>
        </is>
      </c>
      <c r="B34" s="10" t="n"/>
      <c r="C34" s="19">
        <f>IF(OR(C4="",C32=""),"",IFERROR(C4-C32,""))</f>
        <v/>
      </c>
      <c r="D34" s="20">
        <f>IF(OR(D4="",D32=""),"",IFERROR(D4-D32,""))</f>
        <v/>
      </c>
      <c r="E34" s="20">
        <f>IF(OR(E4="",E32=""),"",IFERROR(E4-E32,""))</f>
        <v/>
      </c>
      <c r="F34" s="20">
        <f>IF(OR(F4="",F32=""),"",IFERROR(F4-F32,""))</f>
        <v/>
      </c>
      <c r="G34" s="20">
        <f>IF(OR(G4="",G32=""),"",IFERROR(G4-G32,""))</f>
        <v/>
      </c>
      <c r="H34" s="20">
        <f>IF(OR(H4="",H32=""),"",IFERROR(H4-H32,""))</f>
        <v/>
      </c>
      <c r="I34" s="20">
        <f>IF(OR(I4="",I32=""),"",IFERROR(I4-I32,""))</f>
        <v/>
      </c>
      <c r="J34" s="20">
        <f>IF(OR(J4="",J32=""),"",IFERROR(J4-J32,""))</f>
        <v/>
      </c>
      <c r="K34" s="20">
        <f>IF(OR(K4="",K32=""),"",IFERROR(K4-K32,""))</f>
        <v/>
      </c>
      <c r="L34" s="20">
        <f>IF(OR(L4="",L32=""),"",IFERROR(L4-L32,""))</f>
        <v/>
      </c>
      <c r="M34" s="20">
        <f>IF(OR(M4="",M32=""),"",IFERROR(M4-M32,""))</f>
        <v/>
      </c>
      <c r="N34" s="20">
        <f>IF(OR(N4="",N32=""),"",IFERROR(N4-N32,""))</f>
        <v/>
      </c>
      <c r="O34" s="19">
        <f>IF(OR(O4="",O32=""),"",IFERROR(O4-O32,""))</f>
        <v/>
      </c>
      <c r="P34" s="20">
        <f>IF(OR(P4="",P32=""),"",IFERROR(P4-P32,""))</f>
        <v/>
      </c>
      <c r="Q34" s="20">
        <f>IF(OR(Q4="",Q32=""),"",IFERROR(Q4-Q32,""))</f>
        <v/>
      </c>
      <c r="R34" s="20">
        <f>IF(OR(R4="",R32=""),"",IFERROR(R4-R32,""))</f>
        <v/>
      </c>
      <c r="S34" s="20">
        <f>IF(OR(S4="",S32=""),"",IFERROR(S4-S32,""))</f>
        <v/>
      </c>
      <c r="T34" s="20">
        <f>IF(OR(T4="",T32=""),"",IFERROR(T4-T32,""))</f>
        <v/>
      </c>
      <c r="U34" s="20">
        <f>IF(OR(U4="",U32=""),"",IFERROR(U4-U32,""))</f>
        <v/>
      </c>
      <c r="V34" s="20">
        <f>IF(OR(V4="",V32=""),"",IFERROR(V4-V32,""))</f>
        <v/>
      </c>
      <c r="W34" s="20">
        <f>IF(OR(W4="",W32=""),"",IFERROR(W4-W32,""))</f>
        <v/>
      </c>
      <c r="X34" s="20">
        <f>IF(OR(X4="",X32=""),"",IFERROR(X4-X32,""))</f>
        <v/>
      </c>
      <c r="Y34" s="19" t="n"/>
      <c r="Z34" s="20" t="n"/>
      <c r="AA34" s="20" t="n"/>
      <c r="AB34" s="20" t="n"/>
      <c r="AC34" s="20" t="n"/>
    </row>
    <row r="35">
      <c r="A35" s="13" t="inlineStr">
        <is>
          <t>GPM</t>
        </is>
      </c>
      <c r="B35" s="10" t="n"/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>
        <f>IF(OR(Y34="",Y4=""),"",IFERROR(Y34/Y4,""))</f>
        <v/>
      </c>
      <c r="Z35" s="15">
        <f>IF(OR(Z34="",Z4=""),"",IFERROR(Z34/Z4,""))</f>
        <v/>
      </c>
      <c r="AA35" s="15">
        <f>IF(OR(AA34="",AA4=""),"",IFERROR(AA34/AA4,""))</f>
        <v/>
      </c>
      <c r="AB35" s="15">
        <f>IF(OR(AB34="",AB4=""),"",IFERROR(AB34/AB4,""))</f>
        <v/>
      </c>
      <c r="AC35" s="15">
        <f>IF(OR(AC34="",AC4=""),"",IFERROR(AC34/AC4,""))</f>
        <v/>
      </c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IF(OR(G34="",C34=""),"",IF(C34&lt;=0,"",IFERROR(G34/C34-1,"")))</f>
        <v/>
      </c>
      <c r="H36" s="15">
        <f>IF(OR(H34="",D34=""),"",IF(D34&lt;=0,"",IFERROR(H34/D34-1,"")))</f>
        <v/>
      </c>
      <c r="I36" s="15">
        <f>IF(OR(I34="",E34=""),"",IF(E34&lt;=0,"",IFERROR(I34/E34-1,"")))</f>
        <v/>
      </c>
      <c r="J36" s="15">
        <f>IF(OR(J34="",F34=""),"",IF(F34&lt;=0,"",IFERROR(J34/F34-1,"")))</f>
        <v/>
      </c>
      <c r="K36" s="15">
        <f>IF(OR(K34="",G34=""),"",IF(G34&lt;=0,"",IFERROR(K34/G34-1,"")))</f>
        <v/>
      </c>
      <c r="L36" s="15">
        <f>IF(OR(L34="",H34=""),"",IF(H34&lt;=0,"",IFERROR(L34/H34-1,"")))</f>
        <v/>
      </c>
      <c r="M36" s="15">
        <f>IF(OR(M34="",I34=""),"",IF(I34&lt;=0,"",IFERROR(M34/I34-1,"")))</f>
        <v/>
      </c>
      <c r="N36" s="15">
        <f>IF(OR(N34="",J34=""),"",IF(J34&lt;=0,"",IFERROR(N34/J34-1,"")))</f>
        <v/>
      </c>
      <c r="O36" s="14" t="n"/>
      <c r="P36" s="15">
        <f>IF(OR(P34="",O34=""),"",IF(O34&lt;=0,"",IFERROR(P34/O34-1,"")))</f>
        <v/>
      </c>
      <c r="Q36" s="15">
        <f>IF(OR(Q34="",P34=""),"",IF(P34&lt;=0,"",IFERROR(Q34/P34-1,"")))</f>
        <v/>
      </c>
      <c r="R36" s="15">
        <f>IF(OR(R34="",Q34=""),"",IF(Q34&lt;=0,"",IFERROR(R34/Q34-1,"")))</f>
        <v/>
      </c>
      <c r="S36" s="15">
        <f>IF(OR(S34="",R34=""),"",IF(R34&lt;=0,"",IFERROR(S34/R34-1,"")))</f>
        <v/>
      </c>
      <c r="T36" s="15">
        <f>IF(OR(T34="",S34=""),"",IF(S34&lt;=0,"",IFERROR(T34/S34-1,"")))</f>
        <v/>
      </c>
      <c r="U36" s="15">
        <f>IF(OR(U34="",T34=""),"",IF(T34&lt;=0,"",IFERROR(U34/T34-1,"")))</f>
        <v/>
      </c>
      <c r="V36" s="15">
        <f>IF(OR(V34="",U34=""),"",IF(U34&lt;=0,"",IFERROR(V34/U34-1,"")))</f>
        <v/>
      </c>
      <c r="W36" s="15">
        <f>IF(OR(W34="",V34=""),"",IF(V34&lt;=0,"",IFERROR(W34/V34-1,"")))</f>
        <v/>
      </c>
      <c r="X36" s="15">
        <f>IF(OR(X34="",W34=""),"",IF(W34&lt;=0,"",IFERROR(X34/W34-1,"")))</f>
        <v/>
      </c>
      <c r="Y36" s="14">
        <f>IF(OR(Y34="",X34=""),"",IF(X34&lt;=0,"",IFERROR(Y34/X34-1,"")))</f>
        <v/>
      </c>
      <c r="Z36" s="15">
        <f>IF(OR(Z34="",Y34=""),"",IF(Y34&lt;=0,"",IFERROR(Z34/Y34-1,"")))</f>
        <v/>
      </c>
      <c r="AA36" s="15">
        <f>IF(OR(AA34="",Z34=""),"",IF(Z34&lt;=0,"",IFERROR(AA34/Z34-1,"")))</f>
        <v/>
      </c>
      <c r="AB36" s="15">
        <f>IF(OR(AB34="",AA34=""),"",IF(AA34&lt;=0,"",IFERROR(AB34/AA34-1,"")))</f>
        <v/>
      </c>
      <c r="AC36" s="15">
        <f>IF(OR(AC34="",AB34=""),"",IF(AB34&lt;=0,"",IFERROR(AC34/AB34-1,"")))</f>
        <v/>
      </c>
    </row>
    <row r="37">
      <c r="A37" s="23" t="inlineStr">
        <is>
          <t>판매관리비</t>
        </is>
      </c>
      <c r="B37" s="23" t="n"/>
      <c r="C37" s="24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4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4" t="n"/>
      <c r="Z37" s="23" t="n"/>
      <c r="AA37" s="23" t="n"/>
      <c r="AB37" s="23" t="n"/>
      <c r="AC37" s="23" t="n"/>
    </row>
    <row r="38">
      <c r="A38" s="18" t="inlineStr">
        <is>
          <t>전체 판관비</t>
        </is>
      </c>
      <c r="B38" s="10" t="n"/>
      <c r="C38" s="19" t="n">
        <v>2576</v>
      </c>
      <c r="D38" s="20" t="n">
        <v>2545</v>
      </c>
      <c r="E38" s="20" t="n">
        <v>2541</v>
      </c>
      <c r="F38" s="20" t="n">
        <v>2578</v>
      </c>
      <c r="G38" s="20" t="n">
        <v>2674</v>
      </c>
      <c r="H38" s="20" t="n">
        <v>2815</v>
      </c>
      <c r="I38" s="20" t="n">
        <v>2718</v>
      </c>
      <c r="J38" s="20" t="n">
        <v>2812</v>
      </c>
      <c r="K38" s="20" t="n">
        <v>2815</v>
      </c>
      <c r="L38" s="20" t="n">
        <v>3008</v>
      </c>
      <c r="M38" s="20" t="n">
        <v>3223</v>
      </c>
      <c r="N38" s="20" t="n">
        <v>3706</v>
      </c>
      <c r="O38" s="19" t="n">
        <v>9239</v>
      </c>
      <c r="P38" s="20" t="n">
        <v>9457</v>
      </c>
      <c r="Q38" s="20" t="n">
        <v>9461</v>
      </c>
      <c r="R38" s="20" t="n">
        <v>9573</v>
      </c>
      <c r="S38" s="20" t="n">
        <v>8950</v>
      </c>
      <c r="T38" s="20" t="n">
        <v>9384</v>
      </c>
      <c r="U38" s="20" t="n">
        <v>9544</v>
      </c>
      <c r="V38" s="20" t="n">
        <v>9932</v>
      </c>
      <c r="W38" s="20" t="n">
        <v>10608</v>
      </c>
      <c r="X38" s="20" t="n">
        <v>11353</v>
      </c>
      <c r="Y38" s="19" t="n"/>
      <c r="Z38" s="20" t="n"/>
      <c r="AA38" s="20" t="n"/>
      <c r="AB38" s="20" t="n"/>
      <c r="AC38" s="20" t="n"/>
    </row>
    <row r="39">
      <c r="A39" s="13" t="inlineStr">
        <is>
          <t>YoY</t>
        </is>
      </c>
      <c r="B39" s="10" t="n"/>
      <c r="C39" s="14" t="n"/>
      <c r="D39" s="15" t="n"/>
      <c r="E39" s="15" t="n"/>
      <c r="F39" s="15" t="n"/>
      <c r="G39" s="15">
        <f>IF(OR(G38="",C38=""),"",IF(C38&lt;=0,"",IFERROR(G38/C38-1,"")))</f>
        <v/>
      </c>
      <c r="H39" s="15">
        <f>IF(OR(H38="",D38=""),"",IF(D38&lt;=0,"",IFERROR(H38/D38-1,"")))</f>
        <v/>
      </c>
      <c r="I39" s="15">
        <f>IF(OR(I38="",E38=""),"",IF(E38&lt;=0,"",IFERROR(I38/E38-1,"")))</f>
        <v/>
      </c>
      <c r="J39" s="15">
        <f>IF(OR(J38="",F38=""),"",IF(F38&lt;=0,"",IFERROR(J38/F38-1,"")))</f>
        <v/>
      </c>
      <c r="K39" s="15">
        <f>IF(OR(K38="",G38=""),"",IF(G38&lt;=0,"",IFERROR(K38/G38-1,"")))</f>
        <v/>
      </c>
      <c r="L39" s="15">
        <f>IF(OR(L38="",H38=""),"",IF(H38&lt;=0,"",IFERROR(L38/H38-1,"")))</f>
        <v/>
      </c>
      <c r="M39" s="15">
        <f>IF(OR(M38="",I38=""),"",IF(I38&lt;=0,"",IFERROR(M38/I38-1,"")))</f>
        <v/>
      </c>
      <c r="N39" s="15">
        <f>IF(OR(N38="",J38=""),"",IF(J38&lt;=0,"",IFERROR(N38/J38-1,"")))</f>
        <v/>
      </c>
      <c r="O39" s="14" t="n"/>
      <c r="P39" s="15">
        <f>IF(OR(P38="",O38=""),"",IF(O38&lt;=0,"",IFERROR(P38/O38-1,"")))</f>
        <v/>
      </c>
      <c r="Q39" s="15">
        <f>IF(OR(Q38="",P38=""),"",IF(P38&lt;=0,"",IFERROR(Q38/P38-1,"")))</f>
        <v/>
      </c>
      <c r="R39" s="15">
        <f>IF(OR(R38="",Q38=""),"",IF(Q38&lt;=0,"",IFERROR(R38/Q38-1,"")))</f>
        <v/>
      </c>
      <c r="S39" s="15">
        <f>IF(OR(S38="",R38=""),"",IF(R38&lt;=0,"",IFERROR(S38/R38-1,"")))</f>
        <v/>
      </c>
      <c r="T39" s="15">
        <f>IF(OR(T38="",S38=""),"",IF(S38&lt;=0,"",IFERROR(T38/S38-1,"")))</f>
        <v/>
      </c>
      <c r="U39" s="15">
        <f>IF(OR(U38="",T38=""),"",IF(T38&lt;=0,"",IFERROR(U38/T38-1,"")))</f>
        <v/>
      </c>
      <c r="V39" s="15">
        <f>IF(OR(V38="",U38=""),"",IF(U38&lt;=0,"",IFERROR(V38/U38-1,"")))</f>
        <v/>
      </c>
      <c r="W39" s="15">
        <f>IF(OR(W38="",V38=""),"",IF(V38&lt;=0,"",IFERROR(W38/V38-1,"")))</f>
        <v/>
      </c>
      <c r="X39" s="15">
        <f>IF(OR(X38="",W38=""),"",IF(W38&lt;=0,"",IFERROR(X38/W38-1,"")))</f>
        <v/>
      </c>
      <c r="Y39" s="14">
        <f>IF(OR(Y38="",X38=""),"",IF(X38&lt;=0,"",IFERROR(Y38/X38-1,"")))</f>
        <v/>
      </c>
      <c r="Z39" s="15">
        <f>IF(OR(Z38="",Y38=""),"",IF(Y38&lt;=0,"",IFERROR(Z38/Y38-1,"")))</f>
        <v/>
      </c>
      <c r="AA39" s="15">
        <f>IF(OR(AA38="",Z38=""),"",IF(Z38&lt;=0,"",IFERROR(AA38/Z38-1,"")))</f>
        <v/>
      </c>
      <c r="AB39" s="15">
        <f>IF(OR(AB38="",AA38=""),"",IF(AA38&lt;=0,"",IFERROR(AB38/AA38-1,"")))</f>
        <v/>
      </c>
      <c r="AC39" s="15">
        <f>IF(OR(AC38="",AB38=""),"",IF(AB38&lt;=0,"",IFERROR(AC38/AB38-1,"")))</f>
        <v/>
      </c>
    </row>
    <row r="40">
      <c r="A40" s="9" t="inlineStr">
        <is>
          <t>영업이익</t>
        </is>
      </c>
      <c r="B40" s="10" t="inlineStr">
        <is>
          <t>MW = 매출 × OPM</t>
        </is>
      </c>
      <c r="C40" s="11" t="n">
        <v>1272</v>
      </c>
      <c r="D40" s="12" t="n">
        <v>1260</v>
      </c>
      <c r="E40" s="12" t="n">
        <v>1199</v>
      </c>
      <c r="F40" s="12" t="n">
        <v>1123</v>
      </c>
      <c r="G40" s="12" t="n">
        <v>859</v>
      </c>
      <c r="H40" s="12" t="n">
        <v>1383</v>
      </c>
      <c r="I40" s="12" t="n">
        <v>1678</v>
      </c>
      <c r="J40" s="12" t="n">
        <v>1849</v>
      </c>
      <c r="K40" s="12" t="n">
        <v>1158</v>
      </c>
      <c r="L40" s="12" t="n">
        <v>1500</v>
      </c>
      <c r="M40" s="12" t="n">
        <v>2245</v>
      </c>
      <c r="N40" s="12" t="n">
        <v>3073</v>
      </c>
      <c r="O40" s="11" t="n">
        <v>4710</v>
      </c>
      <c r="P40" s="12" t="n">
        <v>5789</v>
      </c>
      <c r="Q40" s="12" t="n">
        <v>4254</v>
      </c>
      <c r="R40" s="12" t="n">
        <v>3719</v>
      </c>
      <c r="S40" s="12" t="n">
        <v>4286</v>
      </c>
      <c r="T40" s="12" t="n">
        <v>5123</v>
      </c>
      <c r="U40" s="12" t="n">
        <v>3771</v>
      </c>
      <c r="V40" s="12" t="n">
        <v>4956</v>
      </c>
      <c r="W40" s="12" t="n">
        <v>4564</v>
      </c>
      <c r="X40" s="12" t="n">
        <v>6185</v>
      </c>
      <c r="Y40" s="11">
        <f>IF(OR(Y4="",Y41=""),"",IFERROR(Y4*Y41,""))</f>
        <v/>
      </c>
      <c r="Z40" s="12">
        <f>IF(OR(Z4="",Z41=""),"",IFERROR(Z4*Z41,""))</f>
        <v/>
      </c>
      <c r="AA40" s="12">
        <f>IF(OR(AA4="",AA41=""),"",IFERROR(AA4*AA41,""))</f>
        <v/>
      </c>
      <c r="AB40" s="12">
        <f>IF(OR(AB4="",AB41=""),"",IFERROR(AB4*AB41,""))</f>
        <v/>
      </c>
      <c r="AC40" s="12">
        <f>IF(OR(AC4="",AC41=""),"",IFERROR(AC4*AC41,""))</f>
        <v/>
      </c>
    </row>
    <row r="41">
      <c r="A41" s="13" t="inlineStr">
        <is>
          <t>OPM</t>
        </is>
      </c>
      <c r="B41" s="10" t="inlineStr">
        <is>
          <t>MW 입력</t>
        </is>
      </c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 t="n"/>
      <c r="Z41" s="26" t="n"/>
      <c r="AA41" s="26" t="n"/>
      <c r="AB41" s="26" t="n"/>
      <c r="AC41" s="26" t="n"/>
    </row>
    <row r="42">
      <c r="A42" s="13" t="inlineStr">
        <is>
          <t>증가율</t>
        </is>
      </c>
      <c r="B42" s="10" t="n"/>
      <c r="C42" s="14" t="n"/>
      <c r="D42" s="15" t="n"/>
      <c r="E42" s="15" t="n"/>
      <c r="F42" s="15" t="n"/>
      <c r="G42" s="15">
        <f>IF(OR(G40="",C40=""),"",IFERROR(G40/C40-1,""))</f>
        <v/>
      </c>
      <c r="H42" s="15">
        <f>IF(OR(H40="",D40=""),"",IFERROR(H40/D40-1,""))</f>
        <v/>
      </c>
      <c r="I42" s="15">
        <f>IF(OR(I40="",E40=""),"",IFERROR(I40/E40-1,""))</f>
        <v/>
      </c>
      <c r="J42" s="15">
        <f>IF(OR(J40="",F40=""),"",IFERROR(J40/F40-1,""))</f>
        <v/>
      </c>
      <c r="K42" s="15">
        <f>IF(OR(K40="",G40=""),"",IFERROR(K40/G40-1,""))</f>
        <v/>
      </c>
      <c r="L42" s="15">
        <f>IF(OR(L40="",H40=""),"",IFERROR(L40/H40-1,""))</f>
        <v/>
      </c>
      <c r="M42" s="15">
        <f>IF(OR(M40="",I40=""),"",IFERROR(M40/I40-1,""))</f>
        <v/>
      </c>
      <c r="N42" s="15">
        <f>IF(OR(N40="",J40=""),"",IFERROR(N40/J40-1,""))</f>
        <v/>
      </c>
      <c r="O42" s="14" t="n"/>
      <c r="P42" s="15">
        <f>IF(OR(P40="",O40=""),"",IFERROR(P40/O40-1,""))</f>
        <v/>
      </c>
      <c r="Q42" s="15">
        <f>IF(OR(Q40="",P40=""),"",IFERROR(Q40/P40-1,""))</f>
        <v/>
      </c>
      <c r="R42" s="15">
        <f>IF(OR(R40="",Q40=""),"",IFERROR(R40/Q40-1,""))</f>
        <v/>
      </c>
      <c r="S42" s="15">
        <f>IF(OR(S40="",R40=""),"",IFERROR(S40/R40-1,""))</f>
        <v/>
      </c>
      <c r="T42" s="15">
        <f>IF(OR(T40="",S40=""),"",IFERROR(T40/S40-1,""))</f>
        <v/>
      </c>
      <c r="U42" s="15">
        <f>IF(OR(U40="",T40=""),"",IFERROR(U40/T40-1,""))</f>
        <v/>
      </c>
      <c r="V42" s="15">
        <f>IF(OR(V40="",U40=""),"",IFERROR(V40/U40-1,""))</f>
        <v/>
      </c>
      <c r="W42" s="15">
        <f>IF(OR(W40="",V40=""),"",IFERROR(W40/V40-1,""))</f>
        <v/>
      </c>
      <c r="X42" s="15">
        <f>IF(OR(X40="",W40=""),"",IFERROR(X40/W40-1,""))</f>
        <v/>
      </c>
      <c r="Y42" s="14">
        <f>IF(OR(Y40="",X40=""),"",IFERROR(Y40/X40-1,""))</f>
        <v/>
      </c>
      <c r="Z42" s="15">
        <f>IF(OR(Z40="",Y40=""),"",IFERROR(Z40/Y40-1,""))</f>
        <v/>
      </c>
      <c r="AA42" s="15">
        <f>IF(OR(AA40="",Z40=""),"",IFERROR(AA40/Z40-1,""))</f>
        <v/>
      </c>
      <c r="AB42" s="15">
        <f>IF(OR(AB40="",AA40=""),"",IFERROR(AB40/AA40-1,""))</f>
        <v/>
      </c>
      <c r="AC42" s="15">
        <f>IF(OR(AC40="",AB40=""),"",IFERROR(AC40/AB40-1,""))</f>
        <v/>
      </c>
    </row>
    <row r="43">
      <c r="A43" s="16" t="inlineStr">
        <is>
          <t>비용의 성격별 분류</t>
        </is>
      </c>
      <c r="B43" s="16" t="inlineStr">
        <is>
          <t>참고 데이터</t>
        </is>
      </c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9" t="inlineStr">
        <is>
          <t>총 판관비</t>
        </is>
      </c>
      <c r="B44" s="10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1">
        <f>IF(O38="","",O38)</f>
        <v/>
      </c>
      <c r="P44" s="12">
        <f>IF(P38="","",P38)</f>
        <v/>
      </c>
      <c r="Q44" s="12">
        <f>IF(Q38="","",Q38)</f>
        <v/>
      </c>
      <c r="R44" s="12">
        <f>IF(R38="","",R38)</f>
        <v/>
      </c>
      <c r="S44" s="12">
        <f>IF(S38="","",S38)</f>
        <v/>
      </c>
      <c r="T44" s="12">
        <f>IF(T38="","",T38)</f>
        <v/>
      </c>
      <c r="U44" s="12">
        <f>IF(U38="","",U38)</f>
        <v/>
      </c>
      <c r="V44" s="12">
        <f>IF(V38="","",V38)</f>
        <v/>
      </c>
      <c r="W44" s="12">
        <f>IF(W38="","",W38)</f>
        <v/>
      </c>
      <c r="X44" s="12">
        <f>IF(X38="","",X38)</f>
        <v/>
      </c>
      <c r="Y44" s="11" t="n"/>
      <c r="Z44" s="12" t="n"/>
      <c r="AA44" s="12" t="n"/>
      <c r="AB44" s="12" t="n"/>
      <c r="AC44" s="12" t="n"/>
    </row>
    <row r="45">
      <c r="A45" s="18" t="inlineStr">
        <is>
          <t>급여</t>
        </is>
      </c>
      <c r="B45" s="10" t="inlineStr">
        <is>
          <t>고정비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>
        <v>2009</v>
      </c>
      <c r="P45" s="20" t="n">
        <v>1994</v>
      </c>
      <c r="Q45" s="20" t="n">
        <v>2027</v>
      </c>
      <c r="R45" s="20" t="n">
        <v>2081</v>
      </c>
      <c r="S45" s="20" t="n">
        <v>2070</v>
      </c>
      <c r="T45" s="20" t="n">
        <v>2087</v>
      </c>
      <c r="U45" s="20" t="n">
        <v>2091</v>
      </c>
      <c r="V45" s="20" t="n">
        <v>2103</v>
      </c>
      <c r="W45" s="20" t="n">
        <v>2219</v>
      </c>
      <c r="X45" s="20" t="n">
        <v>2370</v>
      </c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감가상각비</t>
        </is>
      </c>
      <c r="B47" s="10" t="inlineStr">
        <is>
          <t>고정비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>
        <v>172</v>
      </c>
      <c r="P47" s="20" t="n">
        <v>182</v>
      </c>
      <c r="Q47" s="20" t="n">
        <v>204</v>
      </c>
      <c r="R47" s="20" t="n">
        <v>217</v>
      </c>
      <c r="S47" s="20" t="n">
        <v>205</v>
      </c>
      <c r="T47" s="20" t="n">
        <v>199</v>
      </c>
      <c r="U47" s="20" t="n">
        <v>198</v>
      </c>
      <c r="V47" s="20" t="n">
        <v>220</v>
      </c>
      <c r="W47" s="20" t="n">
        <v>238</v>
      </c>
      <c r="X47" s="20" t="n">
        <v>241</v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8" t="inlineStr">
        <is>
          <t>지급수수료</t>
        </is>
      </c>
      <c r="B49" s="10" t="inlineStr">
        <is>
          <t>고정비</t>
        </is>
      </c>
      <c r="C49" s="19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19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19" t="n"/>
      <c r="Z49" s="20" t="n"/>
      <c r="AA49" s="20" t="n"/>
      <c r="AB49" s="20" t="n"/>
      <c r="AC49" s="20" t="n"/>
    </row>
    <row r="50">
      <c r="A50" s="13" t="inlineStr">
        <is>
          <t>% of Sales</t>
        </is>
      </c>
      <c r="B50" s="10" t="n"/>
      <c r="C50" s="14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14" t="n"/>
      <c r="Z50" s="15" t="n"/>
      <c r="AA50" s="15" t="n"/>
      <c r="AB50" s="15" t="n"/>
      <c r="AC50" s="15" t="n"/>
    </row>
    <row r="51">
      <c r="A51" s="18" t="inlineStr">
        <is>
          <t>연구개발비</t>
        </is>
      </c>
      <c r="B51" s="10" t="inlineStr">
        <is>
          <t>변동비</t>
        </is>
      </c>
      <c r="C51" s="19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19" t="n">
        <v>948</v>
      </c>
      <c r="P51" s="20" t="n">
        <v>944</v>
      </c>
      <c r="Q51" s="20" t="n">
        <v>1029</v>
      </c>
      <c r="R51" s="20" t="n">
        <v>1060</v>
      </c>
      <c r="S51" s="20" t="n">
        <v>949</v>
      </c>
      <c r="T51" s="20" t="n">
        <v>1047</v>
      </c>
      <c r="U51" s="20" t="n">
        <v>1179</v>
      </c>
      <c r="V51" s="20" t="n">
        <v>1301</v>
      </c>
      <c r="W51" s="20" t="n">
        <v>1481</v>
      </c>
      <c r="X51" s="20" t="n">
        <v>1591</v>
      </c>
      <c r="Y51" s="19" t="n"/>
      <c r="Z51" s="20" t="n"/>
      <c r="AA51" s="20" t="n"/>
      <c r="AB51" s="20" t="n"/>
      <c r="AC51" s="20" t="n"/>
    </row>
    <row r="52">
      <c r="A52" s="13" t="inlineStr">
        <is>
          <t>% of Sales</t>
        </is>
      </c>
      <c r="B52" s="10" t="n"/>
      <c r="C52" s="14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14" t="n"/>
      <c r="Z52" s="15" t="n"/>
      <c r="AA52" s="15" t="n"/>
      <c r="AB52" s="15" t="n"/>
      <c r="AC52" s="15" t="n"/>
    </row>
    <row r="53">
      <c r="A53" s="18" t="inlineStr">
        <is>
          <t>기타비용</t>
        </is>
      </c>
      <c r="B53" s="10" t="inlineStr">
        <is>
          <t>변동비</t>
        </is>
      </c>
      <c r="C53" s="19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19">
        <f>IF(OR(O44="",O45="",O47="",O49="",O51=""),"",IFERROR(O44-O45-O47-O49-O51,""))</f>
        <v/>
      </c>
      <c r="P53" s="20">
        <f>IF(OR(P44="",P45="",P47="",P49="",P51=""),"",IFERROR(P44-P45-P47-P49-P51,""))</f>
        <v/>
      </c>
      <c r="Q53" s="20">
        <f>IF(OR(Q44="",Q45="",Q47="",Q49="",Q51=""),"",IFERROR(Q44-Q45-Q47-Q49-Q51,""))</f>
        <v/>
      </c>
      <c r="R53" s="20">
        <f>IF(OR(R44="",R45="",R47="",R49="",R51=""),"",IFERROR(R44-R45-R47-R49-R51,""))</f>
        <v/>
      </c>
      <c r="S53" s="20">
        <f>IF(OR(S44="",S45="",S47="",S49="",S51=""),"",IFERROR(S44-S45-S47-S49-S51,""))</f>
        <v/>
      </c>
      <c r="T53" s="20">
        <f>IF(OR(T44="",T45="",T47="",T49="",T51=""),"",IFERROR(T44-T45-T47-T49-T51,""))</f>
        <v/>
      </c>
      <c r="U53" s="20">
        <f>IF(OR(U44="",U45="",U47="",U49="",U51=""),"",IFERROR(U44-U45-U47-U49-U51,""))</f>
        <v/>
      </c>
      <c r="V53" s="20">
        <f>IF(OR(V44="",V45="",V47="",V49="",V51=""),"",IFERROR(V44-V45-V47-V49-V51,""))</f>
        <v/>
      </c>
      <c r="W53" s="20">
        <f>IF(OR(W44="",W45="",W47="",W49="",W51=""),"",IFERROR(W44-W45-W47-W49-W51,""))</f>
        <v/>
      </c>
      <c r="X53" s="20">
        <f>IF(OR(X44="",X45="",X47="",X49="",X51=""),"",IFERROR(X44-X45-X47-X49-X51,""))</f>
        <v/>
      </c>
      <c r="Y53" s="19" t="n"/>
      <c r="Z53" s="20" t="n"/>
      <c r="AA53" s="20" t="n"/>
      <c r="AB53" s="20" t="n"/>
      <c r="AC53" s="20" t="n"/>
    </row>
    <row r="54">
      <c r="A54" s="13" t="inlineStr">
        <is>
          <t>% of Sales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14" t="n"/>
      <c r="Z54" s="15" t="n"/>
      <c r="AA54" s="15" t="n"/>
      <c r="AB54" s="15" t="n"/>
      <c r="AC54" s="15" t="n"/>
    </row>
    <row r="55">
      <c r="A55" s="16" t="inlineStr">
        <is>
          <t>당기순이익 추정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특별이익</t>
        </is>
      </c>
      <c r="B56" s="10" t="n"/>
      <c r="C56" s="19" t="n">
        <v>1</v>
      </c>
      <c r="D56" s="20" t="n">
        <v>4</v>
      </c>
      <c r="E56" s="20" t="n">
        <v>0</v>
      </c>
      <c r="F56" s="20" t="n">
        <v>876</v>
      </c>
      <c r="G56" s="20" t="n">
        <v>796</v>
      </c>
      <c r="H56" s="20" t="n">
        <v>1623</v>
      </c>
      <c r="I56" s="20" t="n">
        <v>0</v>
      </c>
      <c r="J56" s="20" t="n">
        <v>0</v>
      </c>
      <c r="K56" s="20" t="n">
        <v>0</v>
      </c>
      <c r="L56" s="20" t="n">
        <v>20</v>
      </c>
      <c r="M56" s="20" t="n">
        <v>0</v>
      </c>
      <c r="N56" s="20" t="n">
        <v>4</v>
      </c>
      <c r="O56" s="19" t="n">
        <v>1303</v>
      </c>
      <c r="P56" s="20" t="n">
        <v>7</v>
      </c>
      <c r="Q56" s="20" t="n">
        <v>168</v>
      </c>
      <c r="R56" s="20" t="n">
        <v>193</v>
      </c>
      <c r="S56" s="20" t="n">
        <v>12</v>
      </c>
      <c r="T56" s="20" t="n">
        <v>348</v>
      </c>
      <c r="U56" s="20" t="n">
        <v>1542</v>
      </c>
      <c r="V56" s="20" t="n">
        <v>433</v>
      </c>
      <c r="W56" s="20" t="n">
        <v>3295</v>
      </c>
      <c r="X56" s="20" t="n">
        <v>20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inlineStr">
        <is>
          <t>MW = 최근 3년 평균</t>
        </is>
      </c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18" t="inlineStr">
        <is>
          <t>특별손실</t>
        </is>
      </c>
      <c r="B58" s="10" t="n"/>
      <c r="C58" s="19" t="n">
        <v>38</v>
      </c>
      <c r="D58" s="20" t="n">
        <v>29</v>
      </c>
      <c r="E58" s="20" t="n">
        <v>206</v>
      </c>
      <c r="F58" s="20" t="n">
        <v>23</v>
      </c>
      <c r="G58" s="20" t="n">
        <v>19</v>
      </c>
      <c r="H58" s="20" t="n">
        <v>2158</v>
      </c>
      <c r="I58" s="20" t="n">
        <v>31</v>
      </c>
      <c r="J58" s="20" t="n">
        <v>15</v>
      </c>
      <c r="K58" s="20" t="n">
        <v>15</v>
      </c>
      <c r="L58" s="20" t="n">
        <v>1185</v>
      </c>
      <c r="M58" s="20" t="n">
        <v>51</v>
      </c>
      <c r="N58" s="20" t="n">
        <v>31</v>
      </c>
      <c r="O58" s="19" t="n">
        <v>2140</v>
      </c>
      <c r="P58" s="20" t="n">
        <v>1853</v>
      </c>
      <c r="Q58" s="20" t="n">
        <v>1200</v>
      </c>
      <c r="R58" s="20" t="n">
        <v>613</v>
      </c>
      <c r="S58" s="20" t="n">
        <v>437</v>
      </c>
      <c r="T58" s="20" t="n">
        <v>943</v>
      </c>
      <c r="U58" s="20" t="n">
        <v>539</v>
      </c>
      <c r="V58" s="20" t="n">
        <v>161</v>
      </c>
      <c r="W58" s="20" t="n">
        <v>2406</v>
      </c>
      <c r="X58" s="20" t="n">
        <v>1246</v>
      </c>
      <c r="Y58" s="19">
        <f>IF(OR(Y4="",Y59=""),"",IFERROR(Y4*Y59,""))</f>
        <v/>
      </c>
      <c r="Z58" s="20">
        <f>IF(OR(Z4="",Z59=""),"",IFERROR(Z4*Z59,""))</f>
        <v/>
      </c>
      <c r="AA58" s="20">
        <f>IF(OR(AA4="",AA59=""),"",IFERROR(AA4*AA59,""))</f>
        <v/>
      </c>
      <c r="AB58" s="20">
        <f>IF(OR(AB4="",AB59=""),"",IFERROR(AB4*AB59,""))</f>
        <v/>
      </c>
      <c r="AC58" s="20">
        <f>IF(OR(AC4="",AC59=""),"",IFERROR(AC4*AC59,""))</f>
        <v/>
      </c>
    </row>
    <row r="59">
      <c r="A59" s="13" t="inlineStr">
        <is>
          <t>% of Sales</t>
        </is>
      </c>
      <c r="B59" s="10" t="n"/>
      <c r="C59" s="14">
        <f>IF(OR(C58="",C4=""),"",IFERROR(C58/C4,""))</f>
        <v/>
      </c>
      <c r="D59" s="15">
        <f>IF(OR(D58="",D4=""),"",IFERROR(D58/D4,""))</f>
        <v/>
      </c>
      <c r="E59" s="15">
        <f>IF(OR(E58="",E4=""),"",IFERROR(E58/E4,""))</f>
        <v/>
      </c>
      <c r="F59" s="15">
        <f>IF(OR(F58="",F4=""),"",IFERROR(F58/F4,""))</f>
        <v/>
      </c>
      <c r="G59" s="15">
        <f>IF(OR(G58="",G4=""),"",IFERROR(G58/G4,""))</f>
        <v/>
      </c>
      <c r="H59" s="15">
        <f>IF(OR(H58="",H4=""),"",IFERROR(H58/H4,""))</f>
        <v/>
      </c>
      <c r="I59" s="15">
        <f>IF(OR(I58="",I4=""),"",IFERROR(I58/I4,""))</f>
        <v/>
      </c>
      <c r="J59" s="15">
        <f>IF(OR(J58="",J4=""),"",IFERROR(J58/J4,""))</f>
        <v/>
      </c>
      <c r="K59" s="15">
        <f>IF(OR(K58="",K4=""),"",IFERROR(K58/K4,""))</f>
        <v/>
      </c>
      <c r="L59" s="15">
        <f>IF(OR(L58="",L4=""),"",IFERROR(L58/L4,""))</f>
        <v/>
      </c>
      <c r="M59" s="15">
        <f>IF(OR(M58="",M4=""),"",IFERROR(M58/M4,""))</f>
        <v/>
      </c>
      <c r="N59" s="15">
        <f>IF(OR(N58="",N4=""),"",IFERROR(N58/N4,""))</f>
        <v/>
      </c>
      <c r="O59" s="14">
        <f>IF(OR(O58="",O4=""),"",IFERROR(O58/O4,""))</f>
        <v/>
      </c>
      <c r="P59" s="15">
        <f>IF(OR(P58="",P4=""),"",IFERROR(P58/P4,""))</f>
        <v/>
      </c>
      <c r="Q59" s="15">
        <f>IF(OR(Q58="",Q4=""),"",IFERROR(Q58/Q4,""))</f>
        <v/>
      </c>
      <c r="R59" s="15">
        <f>IF(OR(R58="",R4=""),"",IFERROR(R58/R4,""))</f>
        <v/>
      </c>
      <c r="S59" s="15">
        <f>IF(OR(S58="",S4=""),"",IFERROR(S58/S4,""))</f>
        <v/>
      </c>
      <c r="T59" s="15">
        <f>IF(OR(T58="",T4=""),"",IFERROR(T58/T4,""))</f>
        <v/>
      </c>
      <c r="U59" s="15">
        <f>IF(OR(U58="",U4=""),"",IFERROR(U58/U4,""))</f>
        <v/>
      </c>
      <c r="V59" s="15">
        <f>IF(OR(V58="",V4=""),"",IFERROR(V58/V4,""))</f>
        <v/>
      </c>
      <c r="W59" s="15">
        <f>IF(OR(W58="",W4=""),"",IFERROR(W58/W4,""))</f>
        <v/>
      </c>
      <c r="X59" s="15">
        <f>IF(OR(X58="",X4=""),"",IFERROR(X58/X4,""))</f>
        <v/>
      </c>
      <c r="Y59" s="25">
        <f>IFERROR(AVERAGE(V59,W59,X59),"")</f>
        <v/>
      </c>
      <c r="Z59" s="26">
        <f>Y59</f>
        <v/>
      </c>
      <c r="AA59" s="26">
        <f>Z59</f>
        <v/>
      </c>
      <c r="AB59" s="26">
        <f>AA59</f>
        <v/>
      </c>
      <c r="AC59" s="26">
        <f>AB59</f>
        <v/>
      </c>
    </row>
    <row r="60">
      <c r="A60" s="18" t="inlineStr">
        <is>
          <t>영업외수익</t>
        </is>
      </c>
      <c r="B60" s="10" t="n"/>
      <c r="C60" s="19" t="n">
        <v>135</v>
      </c>
      <c r="D60" s="20" t="n">
        <v>59</v>
      </c>
      <c r="E60" s="20" t="n">
        <v>198</v>
      </c>
      <c r="F60" s="20" t="n">
        <v>234</v>
      </c>
      <c r="G60" s="20" t="n">
        <v>-55</v>
      </c>
      <c r="H60" s="20" t="n">
        <v>276</v>
      </c>
      <c r="I60" s="20" t="n">
        <v>146</v>
      </c>
      <c r="J60" s="20" t="n">
        <v>98</v>
      </c>
      <c r="K60" s="20" t="n">
        <v>133</v>
      </c>
      <c r="L60" s="20" t="n">
        <v>98</v>
      </c>
      <c r="M60" s="20" t="n">
        <v>204</v>
      </c>
      <c r="N60" s="20" t="n">
        <v>115</v>
      </c>
      <c r="O60" s="19" t="n">
        <v>270</v>
      </c>
      <c r="P60" s="20" t="n">
        <v>279</v>
      </c>
      <c r="Q60" s="20" t="n">
        <v>292</v>
      </c>
      <c r="R60" s="20" t="n">
        <v>319</v>
      </c>
      <c r="S60" s="20" t="n">
        <v>406</v>
      </c>
      <c r="T60" s="20" t="n">
        <v>548</v>
      </c>
      <c r="U60" s="20" t="n">
        <v>576</v>
      </c>
      <c r="V60" s="20" t="n">
        <v>528</v>
      </c>
      <c r="W60" s="20" t="n">
        <v>653</v>
      </c>
      <c r="X60" s="20" t="n">
        <v>475</v>
      </c>
      <c r="Y60" s="19">
        <f>IF(OR(Y4="",Y61=""),"",IFERROR(Y4*Y61,""))</f>
        <v/>
      </c>
      <c r="Z60" s="20">
        <f>IF(OR(Z4="",Z61=""),"",IFERROR(Z4*Z61,""))</f>
        <v/>
      </c>
      <c r="AA60" s="20">
        <f>IF(OR(AA4="",AA61=""),"",IFERROR(AA4*AA61,""))</f>
        <v/>
      </c>
      <c r="AB60" s="20">
        <f>IF(OR(AB4="",AB61=""),"",IFERROR(AB4*AB61,""))</f>
        <v/>
      </c>
      <c r="AC60" s="20">
        <f>IF(OR(AC4="",AC61=""),"",IFERROR(AC4*AC61,""))</f>
        <v/>
      </c>
    </row>
    <row r="61">
      <c r="A61" s="13" t="inlineStr">
        <is>
          <t>% of Sales</t>
        </is>
      </c>
      <c r="B61" s="10" t="n"/>
      <c r="C61" s="14">
        <f>IF(OR(C60="",C4=""),"",IFERROR(C60/C4,""))</f>
        <v/>
      </c>
      <c r="D61" s="15">
        <f>IF(OR(D60="",D4=""),"",IFERROR(D60/D4,""))</f>
        <v/>
      </c>
      <c r="E61" s="15">
        <f>IF(OR(E60="",E4=""),"",IFERROR(E60/E4,""))</f>
        <v/>
      </c>
      <c r="F61" s="15">
        <f>IF(OR(F60="",F4=""),"",IFERROR(F60/F4,""))</f>
        <v/>
      </c>
      <c r="G61" s="15">
        <f>IF(OR(G60="",G4=""),"",IFERROR(G60/G4,""))</f>
        <v/>
      </c>
      <c r="H61" s="15">
        <f>IF(OR(H60="",H4=""),"",IFERROR(H60/H4,""))</f>
        <v/>
      </c>
      <c r="I61" s="15">
        <f>IF(OR(I60="",I4=""),"",IFERROR(I60/I4,""))</f>
        <v/>
      </c>
      <c r="J61" s="15">
        <f>IF(OR(J60="",J4=""),"",IFERROR(J60/J4,""))</f>
        <v/>
      </c>
      <c r="K61" s="15">
        <f>IF(OR(K60="",K4=""),"",IFERROR(K60/K4,""))</f>
        <v/>
      </c>
      <c r="L61" s="15">
        <f>IF(OR(L60="",L4=""),"",IFERROR(L60/L4,""))</f>
        <v/>
      </c>
      <c r="M61" s="15">
        <f>IF(OR(M60="",M4=""),"",IFERROR(M60/M4,""))</f>
        <v/>
      </c>
      <c r="N61" s="15">
        <f>IF(OR(N60="",N4=""),"",IFERROR(N60/N4,""))</f>
        <v/>
      </c>
      <c r="O61" s="14">
        <f>IF(OR(O60="",O4=""),"",IFERROR(O60/O4,""))</f>
        <v/>
      </c>
      <c r="P61" s="15">
        <f>IF(OR(P60="",P4=""),"",IFERROR(P60/P4,""))</f>
        <v/>
      </c>
      <c r="Q61" s="15">
        <f>IF(OR(Q60="",Q4=""),"",IFERROR(Q60/Q4,""))</f>
        <v/>
      </c>
      <c r="R61" s="15">
        <f>IF(OR(R60="",R4=""),"",IFERROR(R60/R4,""))</f>
        <v/>
      </c>
      <c r="S61" s="15">
        <f>IF(OR(S60="",S4=""),"",IFERROR(S60/S4,""))</f>
        <v/>
      </c>
      <c r="T61" s="15">
        <f>IF(OR(T60="",T4=""),"",IFERROR(T60/T4,""))</f>
        <v/>
      </c>
      <c r="U61" s="15">
        <f>IF(OR(U60="",U4=""),"",IFERROR(U60/U4,""))</f>
        <v/>
      </c>
      <c r="V61" s="15">
        <f>IF(OR(V60="",V4=""),"",IFERROR(V60/V4,""))</f>
        <v/>
      </c>
      <c r="W61" s="15">
        <f>IF(OR(W60="",W4=""),"",IFERROR(W60/W4,""))</f>
        <v/>
      </c>
      <c r="X61" s="15">
        <f>IF(OR(X60="",X4=""),"",IFERROR(X60/X4,""))</f>
        <v/>
      </c>
      <c r="Y61" s="25">
        <f>IFERROR(AVERAGE(V61,W61,X61),"")</f>
        <v/>
      </c>
      <c r="Z61" s="26">
        <f>Y61</f>
        <v/>
      </c>
      <c r="AA61" s="26">
        <f>Z61</f>
        <v/>
      </c>
      <c r="AB61" s="26">
        <f>AA61</f>
        <v/>
      </c>
      <c r="AC61" s="26">
        <f>AB61</f>
        <v/>
      </c>
    </row>
    <row r="62">
      <c r="A62" s="18" t="inlineStr">
        <is>
          <t>영업외비용</t>
        </is>
      </c>
      <c r="B62" s="10" t="n"/>
      <c r="C62" s="19" t="n">
        <v>15</v>
      </c>
      <c r="D62" s="20" t="n">
        <v>8</v>
      </c>
      <c r="E62" s="20" t="n">
        <v>32</v>
      </c>
      <c r="F62" s="20" t="n">
        <v>19</v>
      </c>
      <c r="G62" s="20" t="n">
        <v>34</v>
      </c>
      <c r="H62" s="20" t="n">
        <v>22</v>
      </c>
      <c r="I62" s="20" t="n">
        <v>142</v>
      </c>
      <c r="J62" s="20" t="n">
        <v>137</v>
      </c>
      <c r="K62" s="20" t="n">
        <v>-1</v>
      </c>
      <c r="L62" s="20" t="n">
        <v>-46</v>
      </c>
      <c r="M62" s="20" t="n">
        <v>233</v>
      </c>
      <c r="N62" s="20" t="n">
        <v>-43</v>
      </c>
      <c r="O62" s="19" t="n">
        <v>325</v>
      </c>
      <c r="P62" s="20" t="n">
        <v>178</v>
      </c>
      <c r="Q62" s="20" t="n">
        <v>180</v>
      </c>
      <c r="R62" s="20" t="n">
        <v>143</v>
      </c>
      <c r="S62" s="20" t="n">
        <v>182</v>
      </c>
      <c r="T62" s="20" t="n">
        <v>140</v>
      </c>
      <c r="U62" s="20" t="n">
        <v>73</v>
      </c>
      <c r="V62" s="20" t="n">
        <v>67</v>
      </c>
      <c r="W62" s="20" t="n">
        <v>107</v>
      </c>
      <c r="X62" s="20" t="n">
        <v>232</v>
      </c>
      <c r="Y62" s="19">
        <f>IF(OR(Y4="",Y63=""),"",IFERROR(Y4*Y63,""))</f>
        <v/>
      </c>
      <c r="Z62" s="20">
        <f>IF(OR(Z4="",Z63=""),"",IFERROR(Z4*Z63,""))</f>
        <v/>
      </c>
      <c r="AA62" s="20">
        <f>IF(OR(AA4="",AA63=""),"",IFERROR(AA4*AA63,""))</f>
        <v/>
      </c>
      <c r="AB62" s="20">
        <f>IF(OR(AB4="",AB63=""),"",IFERROR(AB4*AB63,""))</f>
        <v/>
      </c>
      <c r="AC62" s="20">
        <f>IF(OR(AC4="",AC63=""),"",IFERROR(AC4*AC63,""))</f>
        <v/>
      </c>
    </row>
    <row r="63">
      <c r="A63" s="13" t="inlineStr">
        <is>
          <t>% of Sales</t>
        </is>
      </c>
      <c r="B63" s="10" t="n"/>
      <c r="C63" s="14">
        <f>IF(OR(C62="",C4=""),"",IFERROR(C62/C4,""))</f>
        <v/>
      </c>
      <c r="D63" s="15">
        <f>IF(OR(D62="",D4=""),"",IFERROR(D62/D4,""))</f>
        <v/>
      </c>
      <c r="E63" s="15">
        <f>IF(OR(E62="",E4=""),"",IFERROR(E62/E4,""))</f>
        <v/>
      </c>
      <c r="F63" s="15">
        <f>IF(OR(F62="",F4=""),"",IFERROR(F62/F4,""))</f>
        <v/>
      </c>
      <c r="G63" s="15">
        <f>IF(OR(G62="",G4=""),"",IFERROR(G62/G4,""))</f>
        <v/>
      </c>
      <c r="H63" s="15">
        <f>IF(OR(H62="",H4=""),"",IFERROR(H62/H4,""))</f>
        <v/>
      </c>
      <c r="I63" s="15">
        <f>IF(OR(I62="",I4=""),"",IFERROR(I62/I4,""))</f>
        <v/>
      </c>
      <c r="J63" s="15">
        <f>IF(OR(J62="",J4=""),"",IFERROR(J62/J4,""))</f>
        <v/>
      </c>
      <c r="K63" s="15">
        <f>IF(OR(K62="",K4=""),"",IFERROR(K62/K4,""))</f>
        <v/>
      </c>
      <c r="L63" s="15">
        <f>IF(OR(L62="",L4=""),"",IFERROR(L62/L4,""))</f>
        <v/>
      </c>
      <c r="M63" s="15">
        <f>IF(OR(M62="",M4=""),"",IFERROR(M62/M4,""))</f>
        <v/>
      </c>
      <c r="N63" s="15">
        <f>IF(OR(N62="",N4=""),"",IFERROR(N62/N4,""))</f>
        <v/>
      </c>
      <c r="O63" s="14">
        <f>IF(OR(O62="",O4=""),"",IFERROR(O62/O4,""))</f>
        <v/>
      </c>
      <c r="P63" s="15">
        <f>IF(OR(P62="",P4=""),"",IFERROR(P62/P4,""))</f>
        <v/>
      </c>
      <c r="Q63" s="15">
        <f>IF(OR(Q62="",Q4=""),"",IFERROR(Q62/Q4,""))</f>
        <v/>
      </c>
      <c r="R63" s="15">
        <f>IF(OR(R62="",R4=""),"",IFERROR(R62/R4,""))</f>
        <v/>
      </c>
      <c r="S63" s="15">
        <f>IF(OR(S62="",S4=""),"",IFERROR(S62/S4,""))</f>
        <v/>
      </c>
      <c r="T63" s="15">
        <f>IF(OR(T62="",T4=""),"",IFERROR(T62/T4,""))</f>
        <v/>
      </c>
      <c r="U63" s="15">
        <f>IF(OR(U62="",U4=""),"",IFERROR(U62/U4,""))</f>
        <v/>
      </c>
      <c r="V63" s="15">
        <f>IF(OR(V62="",V4=""),"",IFERROR(V62/V4,""))</f>
        <v/>
      </c>
      <c r="W63" s="15">
        <f>IF(OR(W62="",W4=""),"",IFERROR(W62/W4,""))</f>
        <v/>
      </c>
      <c r="X63" s="15">
        <f>IF(OR(X62="",X4=""),"",IFERROR(X62/X4,""))</f>
        <v/>
      </c>
      <c r="Y63" s="25">
        <f>IFERROR(AVERAGE(V63,W63,X63),"")</f>
        <v/>
      </c>
      <c r="Z63" s="26">
        <f>Y63</f>
        <v/>
      </c>
      <c r="AA63" s="26">
        <f>Z63</f>
        <v/>
      </c>
      <c r="AB63" s="26">
        <f>AA63</f>
        <v/>
      </c>
      <c r="AC63" s="26">
        <f>AB63</f>
        <v/>
      </c>
    </row>
    <row r="64">
      <c r="A64" s="9" t="inlineStr">
        <is>
          <t>법인세비용차감전순이익(손실)</t>
        </is>
      </c>
      <c r="B64" s="10" t="n"/>
      <c r="C64" s="11" t="n">
        <v>1353</v>
      </c>
      <c r="D64" s="12" t="n">
        <v>1286</v>
      </c>
      <c r="E64" s="12" t="n">
        <v>1160</v>
      </c>
      <c r="F64" s="12" t="n">
        <v>2190</v>
      </c>
      <c r="G64" s="12" t="n">
        <v>1548</v>
      </c>
      <c r="H64" s="12" t="n">
        <v>1102</v>
      </c>
      <c r="I64" s="12" t="n">
        <v>1651</v>
      </c>
      <c r="J64" s="12" t="n">
        <v>1796</v>
      </c>
      <c r="K64" s="12" t="n">
        <v>1276</v>
      </c>
      <c r="L64" s="12" t="n">
        <v>478</v>
      </c>
      <c r="M64" s="12" t="n">
        <v>2165</v>
      </c>
      <c r="N64" s="12" t="n">
        <v>3204</v>
      </c>
      <c r="O64" s="11" t="n">
        <v>3818</v>
      </c>
      <c r="P64" s="12" t="n">
        <v>4045</v>
      </c>
      <c r="Q64" s="12" t="n">
        <v>3334</v>
      </c>
      <c r="R64" s="12" t="n">
        <v>3474</v>
      </c>
      <c r="S64" s="12" t="n">
        <v>4084</v>
      </c>
      <c r="T64" s="12" t="n">
        <v>4937</v>
      </c>
      <c r="U64" s="12" t="n">
        <v>5278</v>
      </c>
      <c r="V64" s="12" t="n">
        <v>5688</v>
      </c>
      <c r="W64" s="12" t="n">
        <v>6000</v>
      </c>
      <c r="X64" s="12" t="n">
        <v>5201</v>
      </c>
      <c r="Y64" s="11">
        <f>IF(OR(Y40=""),"",IFERROR(Y40+N(Y56)-N(Y58)+N(Y60)-N(Y62),""))</f>
        <v/>
      </c>
      <c r="Z64" s="12">
        <f>IF(OR(Z40=""),"",IFERROR(Z40+N(Z56)-N(Z58)+N(Z60)-N(Z62),""))</f>
        <v/>
      </c>
      <c r="AA64" s="12">
        <f>IF(OR(AA40=""),"",IFERROR(AA40+N(AA56)-N(AA58)+N(AA60)-N(AA62),""))</f>
        <v/>
      </c>
      <c r="AB64" s="12">
        <f>IF(OR(AB40=""),"",IFERROR(AB40+N(AB56)-N(AB58)+N(AB60)-N(AB62),""))</f>
        <v/>
      </c>
      <c r="AC64" s="12">
        <f>IF(OR(AC40=""),"",IFERROR(AC40+N(AC56)-N(AC58)+N(AC60)-N(AC62),""))</f>
        <v/>
      </c>
    </row>
    <row r="65">
      <c r="A65" s="13" t="inlineStr">
        <is>
          <t>YoY</t>
        </is>
      </c>
      <c r="B65" s="10" t="n"/>
      <c r="C65" s="14" t="n"/>
      <c r="D65" s="15" t="n"/>
      <c r="E65" s="15" t="n"/>
      <c r="F65" s="15" t="n"/>
      <c r="G65" s="15">
        <f>IF(OR(G64="",C64=""),"",IF(C64&lt;=0,"",IFERROR(G64/C64-1,"")))</f>
        <v/>
      </c>
      <c r="H65" s="15">
        <f>IF(OR(H64="",D64=""),"",IF(D64&lt;=0,"",IFERROR(H64/D64-1,"")))</f>
        <v/>
      </c>
      <c r="I65" s="15">
        <f>IF(OR(I64="",E64=""),"",IF(E64&lt;=0,"",IFERROR(I64/E64-1,"")))</f>
        <v/>
      </c>
      <c r="J65" s="15">
        <f>IF(OR(J64="",F64=""),"",IF(F64&lt;=0,"",IFERROR(J64/F64-1,"")))</f>
        <v/>
      </c>
      <c r="K65" s="15">
        <f>IF(OR(K64="",G64=""),"",IF(G64&lt;=0,"",IFERROR(K64/G64-1,"")))</f>
        <v/>
      </c>
      <c r="L65" s="15">
        <f>IF(OR(L64="",H64=""),"",IF(H64&lt;=0,"",IFERROR(L64/H64-1,"")))</f>
        <v/>
      </c>
      <c r="M65" s="15">
        <f>IF(OR(M64="",I64=""),"",IF(I64&lt;=0,"",IFERROR(M64/I64-1,"")))</f>
        <v/>
      </c>
      <c r="N65" s="15">
        <f>IF(OR(N64="",J64=""),"",IF(J64&lt;=0,"",IFERROR(N64/J64-1,"")))</f>
        <v/>
      </c>
      <c r="O65" s="14" t="n"/>
      <c r="P65" s="15">
        <f>IF(OR(P64="",O64=""),"",IF(O64&lt;=0,"",IFERROR(P64/O64-1,"")))</f>
        <v/>
      </c>
      <c r="Q65" s="15">
        <f>IF(OR(Q64="",P64=""),"",IF(P64&lt;=0,"",IFERROR(Q64/P64-1,"")))</f>
        <v/>
      </c>
      <c r="R65" s="15">
        <f>IF(OR(R64="",Q64=""),"",IF(Q64&lt;=0,"",IFERROR(R64/Q64-1,"")))</f>
        <v/>
      </c>
      <c r="S65" s="15">
        <f>IF(OR(S64="",R64=""),"",IF(R64&lt;=0,"",IFERROR(S64/R64-1,"")))</f>
        <v/>
      </c>
      <c r="T65" s="15">
        <f>IF(OR(T64="",S64=""),"",IF(S64&lt;=0,"",IFERROR(T64/S64-1,"")))</f>
        <v/>
      </c>
      <c r="U65" s="15">
        <f>IF(OR(U64="",T64=""),"",IF(T64&lt;=0,"",IFERROR(U64/T64-1,"")))</f>
        <v/>
      </c>
      <c r="V65" s="15">
        <f>IF(OR(V64="",U64=""),"",IF(U64&lt;=0,"",IFERROR(V64/U64-1,"")))</f>
        <v/>
      </c>
      <c r="W65" s="15">
        <f>IF(OR(W64="",V64=""),"",IF(V64&lt;=0,"",IFERROR(W64/V64-1,"")))</f>
        <v/>
      </c>
      <c r="X65" s="15">
        <f>IF(OR(X64="",W64=""),"",IF(W64&lt;=0,"",IFERROR(X64/W64-1,"")))</f>
        <v/>
      </c>
      <c r="Y65" s="14">
        <f>IF(OR(Y64="",X64=""),"",IF(X64&lt;=0,"",IFERROR(Y64/X64-1,"")))</f>
        <v/>
      </c>
      <c r="Z65" s="15">
        <f>IF(OR(Z64="",Y64=""),"",IF(Y64&lt;=0,"",IFERROR(Z64/Y64-1,"")))</f>
        <v/>
      </c>
      <c r="AA65" s="15">
        <f>IF(OR(AA64="",Z64=""),"",IF(Z64&lt;=0,"",IFERROR(AA64/Z64-1,"")))</f>
        <v/>
      </c>
      <c r="AB65" s="15">
        <f>IF(OR(AB64="",AA64=""),"",IF(AA64&lt;=0,"",IFERROR(AB64/AA64-1,"")))</f>
        <v/>
      </c>
      <c r="AC65" s="15">
        <f>IF(OR(AC64="",AB64=""),"",IF(AB64&lt;=0,"",IFERROR(AC64/AB64-1,"")))</f>
        <v/>
      </c>
    </row>
    <row r="66">
      <c r="A66" s="18" t="inlineStr">
        <is>
          <t>법인세비용(수익)</t>
        </is>
      </c>
      <c r="B66" s="10" t="n"/>
      <c r="C66" s="19" t="n">
        <v>353</v>
      </c>
      <c r="D66" s="20" t="n">
        <v>273</v>
      </c>
      <c r="E66" s="20" t="n">
        <v>302</v>
      </c>
      <c r="F66" s="20" t="n">
        <v>628</v>
      </c>
      <c r="G66" s="20" t="n">
        <v>455</v>
      </c>
      <c r="H66" s="20" t="n">
        <v>251</v>
      </c>
      <c r="I66" s="20" t="n">
        <v>398</v>
      </c>
      <c r="J66" s="20" t="n">
        <v>494</v>
      </c>
      <c r="K66" s="20" t="n">
        <v>344</v>
      </c>
      <c r="L66" s="20" t="n">
        <v>147</v>
      </c>
      <c r="M66" s="20" t="n">
        <v>698</v>
      </c>
      <c r="N66" s="20" t="n">
        <v>948</v>
      </c>
      <c r="O66" s="19" t="n">
        <v>1311</v>
      </c>
      <c r="P66" s="20" t="n">
        <v>1321</v>
      </c>
      <c r="Q66" s="20" t="n">
        <v>889</v>
      </c>
      <c r="R66" s="20" t="n">
        <v>571</v>
      </c>
      <c r="S66" s="20" t="n">
        <v>1214</v>
      </c>
      <c r="T66" s="20" t="n">
        <v>1519</v>
      </c>
      <c r="U66" s="20" t="n">
        <v>1492</v>
      </c>
      <c r="V66" s="20" t="n">
        <v>1371</v>
      </c>
      <c r="W66" s="20" t="n">
        <v>1636</v>
      </c>
      <c r="X66" s="20" t="n">
        <v>1383</v>
      </c>
      <c r="Y66" s="19">
        <f>IF(OR(Y64="",Y67=""),"",IFERROR(MAX(Y64,0)*Y67,""))</f>
        <v/>
      </c>
      <c r="Z66" s="20">
        <f>IF(OR(Z64="",Z67=""),"",IFERROR(MAX(Z64,0)*Z67,""))</f>
        <v/>
      </c>
      <c r="AA66" s="20">
        <f>IF(OR(AA64="",AA67=""),"",IFERROR(MAX(AA64,0)*AA67,""))</f>
        <v/>
      </c>
      <c r="AB66" s="20">
        <f>IF(OR(AB64="",AB67=""),"",IFERROR(MAX(AB64,0)*AB67,""))</f>
        <v/>
      </c>
      <c r="AC66" s="20">
        <f>IF(OR(AC64="",AC67=""),"",IFERROR(MAX(AC64,0)*AC67,""))</f>
        <v/>
      </c>
    </row>
    <row r="67">
      <c r="A67" s="13" t="inlineStr">
        <is>
          <t>법인세율</t>
        </is>
      </c>
      <c r="B67" s="10" t="inlineStr">
        <is>
          <t>MW 기본 30%</t>
        </is>
      </c>
      <c r="C67" s="14">
        <f>IF(OR(C66="",C64=""),"",IFERROR(C66/C64,""))</f>
        <v/>
      </c>
      <c r="D67" s="15">
        <f>IF(OR(D66="",D64=""),"",IFERROR(D66/D64,""))</f>
        <v/>
      </c>
      <c r="E67" s="15">
        <f>IF(OR(E66="",E64=""),"",IFERROR(E66/E64,""))</f>
        <v/>
      </c>
      <c r="F67" s="15">
        <f>IF(OR(F66="",F64=""),"",IFERROR(F66/F64,""))</f>
        <v/>
      </c>
      <c r="G67" s="15">
        <f>IF(OR(G66="",G64=""),"",IFERROR(G66/G64,""))</f>
        <v/>
      </c>
      <c r="H67" s="15">
        <f>IF(OR(H66="",H64=""),"",IFERROR(H66/H64,""))</f>
        <v/>
      </c>
      <c r="I67" s="15">
        <f>IF(OR(I66="",I64=""),"",IFERROR(I66/I64,""))</f>
        <v/>
      </c>
      <c r="J67" s="15">
        <f>IF(OR(J66="",J64=""),"",IFERROR(J66/J64,""))</f>
        <v/>
      </c>
      <c r="K67" s="15">
        <f>IF(OR(K66="",K64=""),"",IFERROR(K66/K64,""))</f>
        <v/>
      </c>
      <c r="L67" s="15">
        <f>IF(OR(L66="",L64=""),"",IFERROR(L66/L64,""))</f>
        <v/>
      </c>
      <c r="M67" s="15">
        <f>IF(OR(M66="",M64=""),"",IFERROR(M66/M64,""))</f>
        <v/>
      </c>
      <c r="N67" s="15">
        <f>IF(OR(N66="",N64=""),"",IFERROR(N66/N64,""))</f>
        <v/>
      </c>
      <c r="O67" s="14">
        <f>IF(OR(O66="",O64=""),"",IFERROR(O66/O64,""))</f>
        <v/>
      </c>
      <c r="P67" s="15">
        <f>IF(OR(P66="",P64=""),"",IFERROR(P66/P64,""))</f>
        <v/>
      </c>
      <c r="Q67" s="15">
        <f>IF(OR(Q66="",Q64=""),"",IFERROR(Q66/Q64,""))</f>
        <v/>
      </c>
      <c r="R67" s="15">
        <f>IF(OR(R66="",R64=""),"",IFERROR(R66/R64,""))</f>
        <v/>
      </c>
      <c r="S67" s="15">
        <f>IF(OR(S66="",S64=""),"",IFERROR(S66/S64,""))</f>
        <v/>
      </c>
      <c r="T67" s="15">
        <f>IF(OR(T66="",T64=""),"",IFERROR(T66/T64,""))</f>
        <v/>
      </c>
      <c r="U67" s="15">
        <f>IF(OR(U66="",U64=""),"",IFERROR(U66/U64,""))</f>
        <v/>
      </c>
      <c r="V67" s="15">
        <f>IF(OR(V66="",V64=""),"",IFERROR(V66/V64,""))</f>
        <v/>
      </c>
      <c r="W67" s="15">
        <f>IF(OR(W66="",W64=""),"",IFERROR(W66/W64,""))</f>
        <v/>
      </c>
      <c r="X67" s="15">
        <f>IF(OR(X66="",X64=""),"",IFERROR(X66/X64,""))</f>
        <v/>
      </c>
      <c r="Y67" s="25" t="n">
        <v>0.3</v>
      </c>
      <c r="Z67" s="26" t="n">
        <v>0.3</v>
      </c>
      <c r="AA67" s="26" t="n">
        <v>0.3</v>
      </c>
      <c r="AB67" s="26" t="n">
        <v>0.3</v>
      </c>
      <c r="AC67" s="26" t="n">
        <v>0.3</v>
      </c>
    </row>
    <row r="68">
      <c r="A68" s="9" t="inlineStr">
        <is>
          <t>당기순이익(손실)</t>
        </is>
      </c>
      <c r="B68" s="10" t="n"/>
      <c r="C68" s="11" t="n">
        <v>999</v>
      </c>
      <c r="D68" s="12" t="n">
        <v>1014</v>
      </c>
      <c r="E68" s="12" t="n">
        <v>857</v>
      </c>
      <c r="F68" s="12" t="n">
        <v>1563</v>
      </c>
      <c r="G68" s="12" t="n">
        <v>1093</v>
      </c>
      <c r="H68" s="12" t="n">
        <v>851</v>
      </c>
      <c r="I68" s="12" t="n">
        <v>1252</v>
      </c>
      <c r="J68" s="12" t="n">
        <v>1302</v>
      </c>
      <c r="K68" s="12" t="n">
        <v>932</v>
      </c>
      <c r="L68" s="12" t="n">
        <v>332</v>
      </c>
      <c r="M68" s="12" t="n">
        <v>1466</v>
      </c>
      <c r="N68" s="12" t="n">
        <v>2256</v>
      </c>
      <c r="O68" s="11" t="n">
        <v>2506</v>
      </c>
      <c r="P68" s="12" t="n">
        <v>2723</v>
      </c>
      <c r="Q68" s="12" t="n">
        <v>2444</v>
      </c>
      <c r="R68" s="12" t="n">
        <v>2902</v>
      </c>
      <c r="S68" s="12" t="n">
        <v>2870</v>
      </c>
      <c r="T68" s="12" t="n">
        <v>3417</v>
      </c>
      <c r="U68" s="12" t="n">
        <v>3785</v>
      </c>
      <c r="V68" s="12" t="n">
        <v>4317</v>
      </c>
      <c r="W68" s="12" t="n">
        <v>4364</v>
      </c>
      <c r="X68" s="12" t="n">
        <v>3818</v>
      </c>
      <c r="Y68" s="11">
        <f>IF(OR(Y64=""),"",IFERROR(Y64-Y66,""))</f>
        <v/>
      </c>
      <c r="Z68" s="12">
        <f>IF(OR(Z64=""),"",IFERROR(Z64-Z66,""))</f>
        <v/>
      </c>
      <c r="AA68" s="12">
        <f>IF(OR(AA64=""),"",IFERROR(AA64-AA66,""))</f>
        <v/>
      </c>
      <c r="AB68" s="12">
        <f>IF(OR(AB64=""),"",IFERROR(AB64-AB66,""))</f>
        <v/>
      </c>
      <c r="AC68" s="12">
        <f>IF(OR(AC64=""),"",IFERROR(AC64-AC66,""))</f>
        <v/>
      </c>
    </row>
    <row r="69">
      <c r="A69" s="13" t="inlineStr">
        <is>
          <t>YoY</t>
        </is>
      </c>
      <c r="B69" s="10" t="n"/>
      <c r="C69" s="14" t="n"/>
      <c r="D69" s="15" t="n"/>
      <c r="E69" s="15" t="n"/>
      <c r="F69" s="15" t="n"/>
      <c r="G69" s="15">
        <f>IF(OR(G68="",C68=""),"",IF(C68&lt;=0,"",IFERROR(G68/C68-1,"")))</f>
        <v/>
      </c>
      <c r="H69" s="15">
        <f>IF(OR(H68="",D68=""),"",IF(D68&lt;=0,"",IFERROR(H68/D68-1,"")))</f>
        <v/>
      </c>
      <c r="I69" s="15">
        <f>IF(OR(I68="",E68=""),"",IF(E68&lt;=0,"",IFERROR(I68/E68-1,"")))</f>
        <v/>
      </c>
      <c r="J69" s="15">
        <f>IF(OR(J68="",F68=""),"",IF(F68&lt;=0,"",IFERROR(J68/F68-1,"")))</f>
        <v/>
      </c>
      <c r="K69" s="15">
        <f>IF(OR(K68="",G68=""),"",IF(G68&lt;=0,"",IFERROR(K68/G68-1,"")))</f>
        <v/>
      </c>
      <c r="L69" s="15">
        <f>IF(OR(L68="",H68=""),"",IF(H68&lt;=0,"",IFERROR(L68/H68-1,"")))</f>
        <v/>
      </c>
      <c r="M69" s="15">
        <f>IF(OR(M68="",I68=""),"",IF(I68&lt;=0,"",IFERROR(M68/I68-1,"")))</f>
        <v/>
      </c>
      <c r="N69" s="15">
        <f>IF(OR(N68="",J68=""),"",IF(J68&lt;=0,"",IFERROR(N68/J68-1,"")))</f>
        <v/>
      </c>
      <c r="O69" s="14" t="n"/>
      <c r="P69" s="15">
        <f>IF(OR(P68="",O68=""),"",IF(O68&lt;=0,"",IFERROR(P68/O68-1,"")))</f>
        <v/>
      </c>
      <c r="Q69" s="15">
        <f>IF(OR(Q68="",P68=""),"",IF(P68&lt;=0,"",IFERROR(Q68/P68-1,"")))</f>
        <v/>
      </c>
      <c r="R69" s="15">
        <f>IF(OR(R68="",Q68=""),"",IF(Q68&lt;=0,"",IFERROR(R68/Q68-1,"")))</f>
        <v/>
      </c>
      <c r="S69" s="15">
        <f>IF(OR(S68="",R68=""),"",IF(R68&lt;=0,"",IFERROR(S68/R68-1,"")))</f>
        <v/>
      </c>
      <c r="T69" s="15">
        <f>IF(OR(T68="",S68=""),"",IF(S68&lt;=0,"",IFERROR(T68/S68-1,"")))</f>
        <v/>
      </c>
      <c r="U69" s="15">
        <f>IF(OR(U68="",T68=""),"",IF(T68&lt;=0,"",IFERROR(U68/T68-1,"")))</f>
        <v/>
      </c>
      <c r="V69" s="15">
        <f>IF(OR(V68="",U68=""),"",IF(U68&lt;=0,"",IFERROR(V68/U68-1,"")))</f>
        <v/>
      </c>
      <c r="W69" s="15">
        <f>IF(OR(W68="",V68=""),"",IF(V68&lt;=0,"",IFERROR(W68/V68-1,"")))</f>
        <v/>
      </c>
      <c r="X69" s="15">
        <f>IF(OR(X68="",W68=""),"",IF(W68&lt;=0,"",IFERROR(X68/W68-1,"")))</f>
        <v/>
      </c>
      <c r="Y69" s="14">
        <f>IF(OR(Y68="",X68=""),"",IF(X68&lt;=0,"",IFERROR(Y68/X68-1,"")))</f>
        <v/>
      </c>
      <c r="Z69" s="15">
        <f>IF(OR(Z68="",Y68=""),"",IF(Y68&lt;=0,"",IFERROR(Z68/Y68-1,"")))</f>
        <v/>
      </c>
      <c r="AA69" s="15">
        <f>IF(OR(AA68="",Z68=""),"",IF(Z68&lt;=0,"",IFERROR(AA68/Z68-1,"")))</f>
        <v/>
      </c>
      <c r="AB69" s="15">
        <f>IF(OR(AB68="",AA68=""),"",IF(AA68&lt;=0,"",IFERROR(AB68/AA68-1,"")))</f>
        <v/>
      </c>
      <c r="AC69" s="15">
        <f>IF(OR(AC68="",AB68=""),"",IF(AB68&lt;=0,"",IFERROR(AC68/AB68-1,"")))</f>
        <v/>
      </c>
    </row>
    <row r="70">
      <c r="A70" s="9" t="inlineStr">
        <is>
          <t>지배주주 순이익</t>
        </is>
      </c>
      <c r="B70" s="10" t="n"/>
      <c r="C70" s="11" t="n">
        <v>999</v>
      </c>
      <c r="D70" s="12" t="n">
        <v>1014</v>
      </c>
      <c r="E70" s="12" t="n">
        <v>856</v>
      </c>
      <c r="F70" s="12" t="n">
        <v>1562</v>
      </c>
      <c r="G70" s="12" t="n">
        <v>1092</v>
      </c>
      <c r="H70" s="12" t="n">
        <v>849</v>
      </c>
      <c r="I70" s="12" t="n">
        <v>1251</v>
      </c>
      <c r="J70" s="12" t="n">
        <v>1301</v>
      </c>
      <c r="K70" s="12" t="n">
        <v>930</v>
      </c>
      <c r="L70" s="12" t="n">
        <v>333</v>
      </c>
      <c r="M70" s="12" t="n">
        <v>1474</v>
      </c>
      <c r="N70" s="12" t="n">
        <v>2260</v>
      </c>
      <c r="O70" s="11" t="n">
        <v>2507</v>
      </c>
      <c r="P70" s="12" t="n">
        <v>2720</v>
      </c>
      <c r="Q70" s="12" t="n">
        <v>2442</v>
      </c>
      <c r="R70" s="12" t="n">
        <v>2899</v>
      </c>
      <c r="S70" s="12" t="n">
        <v>2865</v>
      </c>
      <c r="T70" s="12" t="n">
        <v>3417</v>
      </c>
      <c r="U70" s="12" t="n">
        <v>3788</v>
      </c>
      <c r="V70" s="12" t="n">
        <v>4315</v>
      </c>
      <c r="W70" s="12" t="n">
        <v>4359</v>
      </c>
      <c r="X70" s="12" t="n">
        <v>3815</v>
      </c>
      <c r="Y70" s="11">
        <f>IF(OR(Y68="",Y71=""),"",IFERROR(Y68*Y71,""))</f>
        <v/>
      </c>
      <c r="Z70" s="12">
        <f>IF(OR(Z68="",Z71=""),"",IFERROR(Z68*Z71,""))</f>
        <v/>
      </c>
      <c r="AA70" s="12">
        <f>IF(OR(AA68="",AA71=""),"",IFERROR(AA68*AA71,""))</f>
        <v/>
      </c>
      <c r="AB70" s="12">
        <f>IF(OR(AB68="",AB71=""),"",IFERROR(AB68*AB71,""))</f>
        <v/>
      </c>
      <c r="AC70" s="12">
        <f>IF(OR(AC68="",AC71=""),"",IFERROR(AC68*AC71,""))</f>
        <v/>
      </c>
    </row>
    <row r="71">
      <c r="A71" s="13" t="inlineStr">
        <is>
          <t>지배주주 순이익률</t>
        </is>
      </c>
      <c r="B71" s="10" t="inlineStr">
        <is>
          <t>MW 기본 100%</t>
        </is>
      </c>
      <c r="C71" s="14">
        <f>IF(OR(C70="",C68=""),"",IFERROR(C70/C68,""))</f>
        <v/>
      </c>
      <c r="D71" s="15">
        <f>IF(OR(D70="",D68=""),"",IFERROR(D70/D68,""))</f>
        <v/>
      </c>
      <c r="E71" s="15">
        <f>IF(OR(E70="",E68=""),"",IFERROR(E70/E68,""))</f>
        <v/>
      </c>
      <c r="F71" s="15">
        <f>IF(OR(F70="",F68=""),"",IFERROR(F70/F68,""))</f>
        <v/>
      </c>
      <c r="G71" s="15">
        <f>IF(OR(G70="",G68=""),"",IFERROR(G70/G68,""))</f>
        <v/>
      </c>
      <c r="H71" s="15">
        <f>IF(OR(H70="",H68=""),"",IFERROR(H70/H68,""))</f>
        <v/>
      </c>
      <c r="I71" s="15">
        <f>IF(OR(I70="",I68=""),"",IFERROR(I70/I68,""))</f>
        <v/>
      </c>
      <c r="J71" s="15">
        <f>IF(OR(J70="",J68=""),"",IFERROR(J70/J68,""))</f>
        <v/>
      </c>
      <c r="K71" s="15">
        <f>IF(OR(K70="",K68=""),"",IFERROR(K70/K68,""))</f>
        <v/>
      </c>
      <c r="L71" s="15">
        <f>IF(OR(L70="",L68=""),"",IFERROR(L70/L68,""))</f>
        <v/>
      </c>
      <c r="M71" s="15">
        <f>IF(OR(M70="",M68=""),"",IFERROR(M70/M68,""))</f>
        <v/>
      </c>
      <c r="N71" s="15">
        <f>IF(OR(N70="",N68=""),"",IFERROR(N70/N68,""))</f>
        <v/>
      </c>
      <c r="O71" s="14">
        <f>IF(OR(O70="",O68=""),"",IFERROR(O70/O68,""))</f>
        <v/>
      </c>
      <c r="P71" s="15">
        <f>IF(OR(P70="",P68=""),"",IFERROR(P70/P68,""))</f>
        <v/>
      </c>
      <c r="Q71" s="15">
        <f>IF(OR(Q70="",Q68=""),"",IFERROR(Q70/Q68,""))</f>
        <v/>
      </c>
      <c r="R71" s="15">
        <f>IF(OR(R70="",R68=""),"",IFERROR(R70/R68,""))</f>
        <v/>
      </c>
      <c r="S71" s="15">
        <f>IF(OR(S70="",S68=""),"",IFERROR(S70/S68,""))</f>
        <v/>
      </c>
      <c r="T71" s="15">
        <f>IF(OR(T70="",T68=""),"",IFERROR(T70/T68,""))</f>
        <v/>
      </c>
      <c r="U71" s="15">
        <f>IF(OR(U70="",U68=""),"",IFERROR(U70/U68,""))</f>
        <v/>
      </c>
      <c r="V71" s="15">
        <f>IF(OR(V70="",V68=""),"",IFERROR(V70/V68,""))</f>
        <v/>
      </c>
      <c r="W71" s="15">
        <f>IF(OR(W70="",W68=""),"",IFERROR(W70/W68,""))</f>
        <v/>
      </c>
      <c r="X71" s="15">
        <f>IF(OR(X70="",X68=""),"",IFERROR(X70/X68,""))</f>
        <v/>
      </c>
      <c r="Y71" s="25" t="n">
        <v>1</v>
      </c>
      <c r="Z71" s="26" t="n">
        <v>1</v>
      </c>
      <c r="AA71" s="26" t="n">
        <v>1</v>
      </c>
      <c r="AB71" s="26" t="n">
        <v>1</v>
      </c>
      <c r="AC71" s="26" t="n">
        <v>1</v>
      </c>
    </row>
    <row r="72">
      <c r="A72" s="13" t="inlineStr">
        <is>
          <t>지배주주 순이익 YoY</t>
        </is>
      </c>
      <c r="B72" s="10" t="n"/>
      <c r="C72" s="14" t="n"/>
      <c r="D72" s="15" t="n"/>
      <c r="E72" s="15" t="n"/>
      <c r="F72" s="15" t="n"/>
      <c r="G72" s="15">
        <f>IF(OR(G70="",C70=""),"",IF(C70&lt;=0,"",IFERROR(G70/C70-1,"")))</f>
        <v/>
      </c>
      <c r="H72" s="15">
        <f>IF(OR(H70="",D70=""),"",IF(D70&lt;=0,"",IFERROR(H70/D70-1,"")))</f>
        <v/>
      </c>
      <c r="I72" s="15">
        <f>IF(OR(I70="",E70=""),"",IF(E70&lt;=0,"",IFERROR(I70/E70-1,"")))</f>
        <v/>
      </c>
      <c r="J72" s="15">
        <f>IF(OR(J70="",F70=""),"",IF(F70&lt;=0,"",IFERROR(J70/F70-1,"")))</f>
        <v/>
      </c>
      <c r="K72" s="15">
        <f>IF(OR(K70="",G70=""),"",IF(G70&lt;=0,"",IFERROR(K70/G70-1,"")))</f>
        <v/>
      </c>
      <c r="L72" s="15">
        <f>IF(OR(L70="",H70=""),"",IF(H70&lt;=0,"",IFERROR(L70/H70-1,"")))</f>
        <v/>
      </c>
      <c r="M72" s="15">
        <f>IF(OR(M70="",I70=""),"",IF(I70&lt;=0,"",IFERROR(M70/I70-1,"")))</f>
        <v/>
      </c>
      <c r="N72" s="15">
        <f>IF(OR(N70="",J70=""),"",IF(J70&lt;=0,"",IFERROR(N70/J70-1,"")))</f>
        <v/>
      </c>
      <c r="O72" s="14" t="n"/>
      <c r="P72" s="15">
        <f>IF(OR(P70="",O70=""),"",IF(O70&lt;=0,"",IFERROR(P70/O70-1,"")))</f>
        <v/>
      </c>
      <c r="Q72" s="15">
        <f>IF(OR(Q70="",P70=""),"",IF(P70&lt;=0,"",IFERROR(Q70/P70-1,"")))</f>
        <v/>
      </c>
      <c r="R72" s="15">
        <f>IF(OR(R70="",Q70=""),"",IF(Q70&lt;=0,"",IFERROR(R70/Q70-1,"")))</f>
        <v/>
      </c>
      <c r="S72" s="15">
        <f>IF(OR(S70="",R70=""),"",IF(R70&lt;=0,"",IFERROR(S70/R70-1,"")))</f>
        <v/>
      </c>
      <c r="T72" s="15">
        <f>IF(OR(T70="",S70=""),"",IF(S70&lt;=0,"",IFERROR(T70/S70-1,"")))</f>
        <v/>
      </c>
      <c r="U72" s="15">
        <f>IF(OR(U70="",T70=""),"",IF(T70&lt;=0,"",IFERROR(U70/T70-1,"")))</f>
        <v/>
      </c>
      <c r="V72" s="15">
        <f>IF(OR(V70="",U70=""),"",IF(U70&lt;=0,"",IFERROR(V70/U70-1,"")))</f>
        <v/>
      </c>
      <c r="W72" s="15">
        <f>IF(OR(W70="",V70=""),"",IF(V70&lt;=0,"",IFERROR(W70/V70-1,"")))</f>
        <v/>
      </c>
      <c r="X72" s="15">
        <f>IF(OR(X70="",W70=""),"",IF(W70&lt;=0,"",IFERROR(X70/W70-1,"")))</f>
        <v/>
      </c>
      <c r="Y72" s="14">
        <f>IF(OR(Y70="",X70=""),"",IF(X70&lt;=0,"",IFERROR(Y70/X70-1,"")))</f>
        <v/>
      </c>
      <c r="Z72" s="15">
        <f>IF(OR(Z70="",Y70=""),"",IF(Y70&lt;=0,"",IFERROR(Z70/Y70-1,"")))</f>
        <v/>
      </c>
      <c r="AA72" s="15">
        <f>IF(OR(AA70="",Z70=""),"",IF(Z70&lt;=0,"",IFERROR(AA70/Z70-1,"")))</f>
        <v/>
      </c>
      <c r="AB72" s="15">
        <f>IF(OR(AB70="",AA70=""),"",IF(AA70&lt;=0,"",IFERROR(AB70/AA70-1,"")))</f>
        <v/>
      </c>
      <c r="AC72" s="15">
        <f>IF(OR(AC70="",AB70=""),"",IF(AB70&lt;=0,"",IFERROR(AC70/AB70-1,"")))</f>
        <v/>
      </c>
    </row>
    <row r="73">
      <c r="A73" s="16" t="inlineStr">
        <is>
          <t>목표주가 산출</t>
        </is>
      </c>
      <c r="B73" s="16" t="n"/>
      <c r="C73" s="17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7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7" t="n"/>
      <c r="Z73" s="16" t="n"/>
      <c r="AA73" s="16" t="n"/>
      <c r="AB73" s="16" t="n"/>
      <c r="AC73" s="16" t="n"/>
    </row>
    <row r="74">
      <c r="A74" s="18" t="inlineStr">
        <is>
          <t>현재 주가 (2026.10.28)</t>
        </is>
      </c>
      <c r="B74" s="27" t="n">
        <v>5130</v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8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8" t="n"/>
      <c r="Z74" s="29" t="n"/>
      <c r="AA74" s="29" t="n"/>
      <c r="AB74" s="29" t="n"/>
      <c r="AC74" s="29" t="n"/>
    </row>
    <row r="75">
      <c r="A75" s="18" t="inlineStr">
        <is>
          <t>발행주식수 (보통주)</t>
        </is>
      </c>
      <c r="B75" s="27" t="n">
        <v>12414870</v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8" t="n"/>
      <c r="Z75" s="29" t="n"/>
      <c r="AA75" s="29" t="n"/>
      <c r="AB75" s="29" t="n"/>
      <c r="AC75" s="29" t="n"/>
    </row>
    <row r="76">
      <c r="A76" s="18" t="inlineStr">
        <is>
          <t>시가총액 (백만엔)</t>
        </is>
      </c>
      <c r="B76" s="12">
        <f>IF(OR(B74="",B75=""),"",B74*B75/1000000.0)</f>
        <v/>
      </c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19" t="n"/>
      <c r="Z76" s="20" t="n"/>
      <c r="AA76" s="20" t="n"/>
      <c r="AB76" s="20" t="n"/>
      <c r="AC76" s="20" t="n"/>
    </row>
    <row r="77">
      <c r="A77" s="13" t="inlineStr">
        <is>
          <t>OPM</t>
        </is>
      </c>
      <c r="B77" s="10" t="n"/>
      <c r="C77" s="14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4">
        <f>IF(O41="","",O41)</f>
        <v/>
      </c>
      <c r="P77" s="15">
        <f>IF(P41="","",P41)</f>
        <v/>
      </c>
      <c r="Q77" s="15">
        <f>IF(Q41="","",Q41)</f>
        <v/>
      </c>
      <c r="R77" s="15">
        <f>IF(R41="","",R41)</f>
        <v/>
      </c>
      <c r="S77" s="15">
        <f>IF(S41="","",S41)</f>
        <v/>
      </c>
      <c r="T77" s="15">
        <f>IF(T41="","",T41)</f>
        <v/>
      </c>
      <c r="U77" s="15">
        <f>IF(U41="","",U41)</f>
        <v/>
      </c>
      <c r="V77" s="15">
        <f>IF(V41="","",V41)</f>
        <v/>
      </c>
      <c r="W77" s="15">
        <f>IF(W41="","",W41)</f>
        <v/>
      </c>
      <c r="X77" s="15">
        <f>IF(X41="","",X41)</f>
        <v/>
      </c>
      <c r="Y77" s="14">
        <f>IF(Y41="","",Y41)</f>
        <v/>
      </c>
      <c r="Z77" s="15">
        <f>IF(Z41="","",Z41)</f>
        <v/>
      </c>
      <c r="AA77" s="15">
        <f>IF(AA41="","",AA41)</f>
        <v/>
      </c>
      <c r="AB77" s="15">
        <f>IF(AB41="","",AB41)</f>
        <v/>
      </c>
      <c r="AC77" s="15">
        <f>IF(AC41="","",AC41)</f>
        <v/>
      </c>
    </row>
    <row r="78">
      <c r="A78" s="13" t="inlineStr">
        <is>
          <t>지배주주 순이익 증가율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>
        <f>IF(OR(P70="",O70=""),"",IFERROR(P70/O70-1,""))</f>
        <v/>
      </c>
      <c r="Q78" s="15">
        <f>IF(OR(Q70="",P70=""),"",IFERROR(Q70/P70-1,""))</f>
        <v/>
      </c>
      <c r="R78" s="15">
        <f>IF(OR(R70="",Q70=""),"",IFERROR(R70/Q70-1,""))</f>
        <v/>
      </c>
      <c r="S78" s="15">
        <f>IF(OR(S70="",R70=""),"",IFERROR(S70/R70-1,""))</f>
        <v/>
      </c>
      <c r="T78" s="15">
        <f>IF(OR(T70="",S70=""),"",IFERROR(T70/S70-1,""))</f>
        <v/>
      </c>
      <c r="U78" s="15">
        <f>IF(OR(U70="",T70=""),"",IFERROR(U70/T70-1,""))</f>
        <v/>
      </c>
      <c r="V78" s="15">
        <f>IF(OR(V70="",U70=""),"",IFERROR(V70/U70-1,""))</f>
        <v/>
      </c>
      <c r="W78" s="15">
        <f>IF(OR(W70="",V70=""),"",IFERROR(W70/V70-1,""))</f>
        <v/>
      </c>
      <c r="X78" s="15">
        <f>IF(OR(X70="",W70=""),"",IFERROR(X70/W70-1,""))</f>
        <v/>
      </c>
      <c r="Y78" s="14">
        <f>IF(OR(Y70="",X70=""),"",IFERROR(Y70/X70-1,""))</f>
        <v/>
      </c>
      <c r="Z78" s="15">
        <f>IF(OR(Z70="",Y70=""),"",IFERROR(Z70/Y70-1,""))</f>
        <v/>
      </c>
      <c r="AA78" s="15">
        <f>IF(OR(AA70="",Z70=""),"",IFERROR(AA70/Z70-1,""))</f>
        <v/>
      </c>
      <c r="AB78" s="15">
        <f>IF(OR(AB70="",AA70=""),"",IFERROR(AB70/AA70-1,""))</f>
        <v/>
      </c>
      <c r="AC78" s="15">
        <f>IF(OR(AC70="",AB70=""),"",IFERROR(AC70/AB70-1,""))</f>
        <v/>
      </c>
    </row>
    <row r="79">
      <c r="A79" s="18" t="inlineStr">
        <is>
          <t>P/E (현재 주가)</t>
        </is>
      </c>
      <c r="B79" s="10" t="inlineStr">
        <is>
          <t>시총 ÷ 지배순이익</t>
        </is>
      </c>
      <c r="C79" s="30" t="n"/>
      <c r="D79" s="31" t="n"/>
      <c r="E79" s="31" t="n"/>
      <c r="F79" s="31" t="n"/>
      <c r="G79" s="31" t="n"/>
      <c r="H79" s="31" t="n"/>
      <c r="I79" s="31" t="n"/>
      <c r="J79" s="31" t="n"/>
      <c r="K79" s="31" t="n"/>
      <c r="L79" s="31" t="n"/>
      <c r="M79" s="31" t="n"/>
      <c r="N79" s="31" t="n"/>
      <c r="O79" s="30" t="n"/>
      <c r="P79" s="31" t="n"/>
      <c r="Q79" s="31" t="n"/>
      <c r="R79" s="31" t="n"/>
      <c r="S79" s="31" t="n"/>
      <c r="T79" s="31" t="n"/>
      <c r="U79" s="31" t="n"/>
      <c r="V79" s="31" t="n"/>
      <c r="W79" s="31" t="n"/>
      <c r="X79" s="31">
        <f>IF(OR($B$76="",X70=""),"",IFERROR($B$76/X70,""))</f>
        <v/>
      </c>
      <c r="Y79" s="30">
        <f>IF(OR($B$76="",Y70=""),"",IFERROR($B$76/Y70,""))</f>
        <v/>
      </c>
      <c r="Z79" s="31">
        <f>IF(OR($B$76="",Z70=""),"",IFERROR($B$76/Z70,""))</f>
        <v/>
      </c>
      <c r="AA79" s="31">
        <f>IF(OR($B$76="",AA70=""),"",IFERROR($B$76/AA70,""))</f>
        <v/>
      </c>
      <c r="AB79" s="31">
        <f>IF(OR($B$76="",AB70=""),"",IFERROR($B$76/AB70,""))</f>
        <v/>
      </c>
      <c r="AC79" s="31">
        <f>IF(OR($B$76="",AC70=""),"",IFERROR($B$76/AC70,""))</f>
        <v/>
      </c>
    </row>
    <row r="80">
      <c r="A80" s="18" t="inlineStr">
        <is>
          <t>Target P/E</t>
        </is>
      </c>
      <c r="B80" s="10" t="inlineStr">
        <is>
          <t>직접 입력</t>
        </is>
      </c>
      <c r="C80" s="30" t="n"/>
      <c r="D80" s="31" t="n"/>
      <c r="E80" s="31" t="n"/>
      <c r="F80" s="31" t="n"/>
      <c r="G80" s="31" t="n"/>
      <c r="H80" s="31" t="n"/>
      <c r="I80" s="31" t="n"/>
      <c r="J80" s="31" t="n"/>
      <c r="K80" s="31" t="n"/>
      <c r="L80" s="31" t="n"/>
      <c r="M80" s="31" t="n"/>
      <c r="N80" s="31" t="n"/>
      <c r="O80" s="30" t="n"/>
      <c r="P80" s="31" t="n"/>
      <c r="Q80" s="31" t="n"/>
      <c r="R80" s="31" t="n"/>
      <c r="S80" s="31" t="n"/>
      <c r="T80" s="31" t="n"/>
      <c r="U80" s="31" t="n"/>
      <c r="V80" s="31" t="n"/>
      <c r="W80" s="31" t="n"/>
      <c r="X80" s="31" t="n"/>
      <c r="Y80" s="32" t="n"/>
      <c r="Z80" s="33" t="n"/>
      <c r="AA80" s="33" t="n"/>
      <c r="AB80" s="33" t="n"/>
      <c r="AC80" s="33" t="n"/>
    </row>
    <row r="81">
      <c r="A81" s="18" t="inlineStr">
        <is>
          <t>EPS</t>
        </is>
      </c>
      <c r="B81" s="10" t="inlineStr">
        <is>
          <t>지배순이익 ÷ 주식수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8">
        <f>IF(OR(O70="",$B$75=""),"",IFERROR(O70*1000000.0/$B$75,""))</f>
        <v/>
      </c>
      <c r="P81" s="29">
        <f>IF(OR(P70="",$B$75=""),"",IFERROR(P70*1000000.0/$B$75,""))</f>
        <v/>
      </c>
      <c r="Q81" s="29">
        <f>IF(OR(Q70="",$B$75=""),"",IFERROR(Q70*1000000.0/$B$75,""))</f>
        <v/>
      </c>
      <c r="R81" s="29">
        <f>IF(OR(R70="",$B$75=""),"",IFERROR(R70*1000000.0/$B$75,""))</f>
        <v/>
      </c>
      <c r="S81" s="29">
        <f>IF(OR(S70="",$B$75=""),"",IFERROR(S70*1000000.0/$B$75,""))</f>
        <v/>
      </c>
      <c r="T81" s="29">
        <f>IF(OR(T70="",$B$75=""),"",IFERROR(T70*1000000.0/$B$75,""))</f>
        <v/>
      </c>
      <c r="U81" s="29">
        <f>IF(OR(U70="",$B$75=""),"",IFERROR(U70*1000000.0/$B$75,""))</f>
        <v/>
      </c>
      <c r="V81" s="29">
        <f>IF(OR(V70="",$B$75=""),"",IFERROR(V70*1000000.0/$B$75,""))</f>
        <v/>
      </c>
      <c r="W81" s="29">
        <f>IF(OR(W70="",$B$75=""),"",IFERROR(W70*1000000.0/$B$75,""))</f>
        <v/>
      </c>
      <c r="X81" s="29">
        <f>IF(OR(X70="",$B$75=""),"",IFERROR(X70*1000000.0/$B$75,""))</f>
        <v/>
      </c>
      <c r="Y81" s="28">
        <f>IF(OR(Y70="",$B$75=""),"",IFERROR(Y70*1000000.0/$B$75,""))</f>
        <v/>
      </c>
      <c r="Z81" s="29">
        <f>IF(OR(Z70="",$B$75=""),"",IFERROR(Z70*1000000.0/$B$75,""))</f>
        <v/>
      </c>
      <c r="AA81" s="29">
        <f>IF(OR(AA70="",$B$75=""),"",IFERROR(AA70*1000000.0/$B$75,""))</f>
        <v/>
      </c>
      <c r="AB81" s="29">
        <f>IF(OR(AB70="",$B$75=""),"",IFERROR(AB70*1000000.0/$B$75,""))</f>
        <v/>
      </c>
      <c r="AC81" s="29">
        <f>IF(OR(AC70="",$B$75=""),"",IFERROR(AC70*1000000.0/$B$75,""))</f>
        <v/>
      </c>
    </row>
    <row r="82">
      <c r="A82" s="9" t="inlineStr">
        <is>
          <t>목표주가</t>
        </is>
      </c>
      <c r="B82" s="10" t="n"/>
      <c r="C82" s="34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34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34">
        <f>IF(OR(Y81="",Y80=""),"",IFERROR(Y81*Y80,""))</f>
        <v/>
      </c>
      <c r="Z82" s="27">
        <f>IF(OR(Z81="",Z80=""),"",IFERROR(Z81*Z80,""))</f>
        <v/>
      </c>
      <c r="AA82" s="27">
        <f>IF(OR(AA81="",AA80=""),"",IFERROR(AA81*AA80,""))</f>
        <v/>
      </c>
      <c r="AB82" s="27">
        <f>IF(OR(AB81="",AB80=""),"",IFERROR(AB81*AB80,""))</f>
        <v/>
      </c>
      <c r="AC82" s="27">
        <f>IF(OR(AC81="",AC80=""),"",IFERROR(AC81*AC80,""))</f>
        <v/>
      </c>
    </row>
    <row r="83">
      <c r="A83" s="18" t="inlineStr">
        <is>
          <t>상승여력</t>
        </is>
      </c>
      <c r="B83" s="10" t="n"/>
      <c r="C83" s="35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5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7">
        <f>IF(OR(Y82="",$B$74=""),"",IFERROR(Y82/$B$74-1,""))</f>
        <v/>
      </c>
      <c r="Z83" s="38">
        <f>IF(OR(Z82="",$B$74=""),"",IFERROR(Z82/$B$74-1,""))</f>
        <v/>
      </c>
      <c r="AA83" s="38">
        <f>IF(OR(AA82="",$B$74=""),"",IFERROR(AA82/$B$74-1,""))</f>
        <v/>
      </c>
      <c r="AB83" s="38">
        <f>IF(OR(AB82="",$B$74=""),"",IFERROR(AB82/$B$74-1,""))</f>
        <v/>
      </c>
      <c r="AC83" s="38">
        <f>IF(OR(AC82="",$B$74=""),"",IFERROR(AC82/$B$74-1,""))</f>
        <v/>
      </c>
    </row>
    <row r="84">
      <c r="A84" s="16" t="inlineStr">
        <is>
          <t>자산가치 산출</t>
        </is>
      </c>
      <c r="B84" s="16" t="inlineStr">
        <is>
          <t>최신 분기 BS</t>
        </is>
      </c>
      <c r="C84" s="17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7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7" t="n"/>
      <c r="Z84" s="16" t="n"/>
      <c r="AA84" s="16" t="n"/>
      <c r="AB84" s="16" t="n"/>
      <c r="AC84" s="16" t="n"/>
    </row>
    <row r="85">
      <c r="A85" s="18" t="inlineStr">
        <is>
          <t>현금및현금성자산</t>
        </is>
      </c>
      <c r="B85" s="10" t="n"/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>
        <f>'재무상태표'!G6</f>
        <v/>
      </c>
      <c r="Y85" s="19">
        <f>'재무상태표'!G6</f>
        <v/>
      </c>
      <c r="Z85" s="20">
        <f>'재무상태표'!G6</f>
        <v/>
      </c>
      <c r="AA85" s="20">
        <f>'재무상태표'!G6</f>
        <v/>
      </c>
      <c r="AB85" s="20">
        <f>'재무상태표'!G6</f>
        <v/>
      </c>
      <c r="AC85" s="20">
        <f>'재무상태표'!G6</f>
        <v/>
      </c>
    </row>
    <row r="86">
      <c r="A86" s="18" t="inlineStr">
        <is>
          <t>단기금융상품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>
        <f>'재무상태표'!G7</f>
        <v/>
      </c>
      <c r="Y86" s="19">
        <f>'재무상태표'!G7</f>
        <v/>
      </c>
      <c r="Z86" s="20">
        <f>'재무상태표'!G7</f>
        <v/>
      </c>
      <c r="AA86" s="20">
        <f>'재무상태표'!G7</f>
        <v/>
      </c>
      <c r="AB86" s="20">
        <f>'재무상태표'!G7</f>
        <v/>
      </c>
      <c r="AC86" s="20">
        <f>'재무상태표'!G7</f>
        <v/>
      </c>
    </row>
    <row r="87">
      <c r="A87" s="18" t="inlineStr">
        <is>
          <t>투자부동산</t>
        </is>
      </c>
      <c r="B87" s="10" t="n"/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>
        <f>'재무상태표'!G14</f>
        <v/>
      </c>
      <c r="Y87" s="19">
        <f>'재무상태표'!G14</f>
        <v/>
      </c>
      <c r="Z87" s="20">
        <f>'재무상태표'!G14</f>
        <v/>
      </c>
      <c r="AA87" s="20">
        <f>'재무상태표'!G14</f>
        <v/>
      </c>
      <c r="AB87" s="20">
        <f>'재무상태표'!G14</f>
        <v/>
      </c>
      <c r="AC87" s="20">
        <f>'재무상태표'!G14</f>
        <v/>
      </c>
    </row>
    <row r="88">
      <c r="A88" s="18" t="inlineStr">
        <is>
          <t>지배자본</t>
        </is>
      </c>
      <c r="B88" s="10" t="n"/>
      <c r="C88" s="19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19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>
        <f>'재무상태표'!G31</f>
        <v/>
      </c>
      <c r="Y88" s="19">
        <f>'재무상태표'!G31</f>
        <v/>
      </c>
      <c r="Z88" s="20">
        <f>'재무상태표'!G31</f>
        <v/>
      </c>
      <c r="AA88" s="20">
        <f>'재무상태표'!G31</f>
        <v/>
      </c>
      <c r="AB88" s="20">
        <f>'재무상태표'!G31</f>
        <v/>
      </c>
      <c r="AC88" s="20">
        <f>'재무상태표'!G31</f>
        <v/>
      </c>
    </row>
    <row r="89">
      <c r="A89" s="18" t="inlineStr">
        <is>
          <t>부채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>
        <f>'재무상태표'!G27</f>
        <v/>
      </c>
      <c r="Y89" s="19">
        <f>'재무상태표'!G27</f>
        <v/>
      </c>
      <c r="Z89" s="20">
        <f>'재무상태표'!G27</f>
        <v/>
      </c>
      <c r="AA89" s="20">
        <f>'재무상태표'!G27</f>
        <v/>
      </c>
      <c r="AB89" s="20">
        <f>'재무상태표'!G27</f>
        <v/>
      </c>
      <c r="AC89" s="20">
        <f>'재무상태표'!G27</f>
        <v/>
      </c>
    </row>
    <row r="90">
      <c r="A90" s="13" t="inlineStr">
        <is>
          <t>부채비율</t>
        </is>
      </c>
      <c r="B90" s="10" t="n"/>
      <c r="C90" s="14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4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>
        <f>IF(OR(X89="",X88=""),"",IFERROR(X89/X88,""))</f>
        <v/>
      </c>
      <c r="Y90" s="14">
        <f>IF(OR(Y89="",Y88=""),"",IFERROR(Y89/Y88,""))</f>
        <v/>
      </c>
      <c r="Z90" s="15">
        <f>IF(OR(Z89="",Z88=""),"",IFERROR(Z89/Z88,""))</f>
        <v/>
      </c>
      <c r="AA90" s="15">
        <f>IF(OR(AA89="",AA88=""),"",IFERROR(AA89/AA88,""))</f>
        <v/>
      </c>
      <c r="AB90" s="15">
        <f>IF(OR(AB89="",AB88=""),"",IFERROR(AB89/AB88,""))</f>
        <v/>
      </c>
      <c r="AC90" s="15">
        <f>IF(OR(AC89="",AC88=""),"",IFERROR(AC89/AC88,""))</f>
        <v/>
      </c>
    </row>
    <row r="91">
      <c r="A91" s="9" t="inlineStr">
        <is>
          <t>자산가치</t>
        </is>
      </c>
      <c r="B91" s="10" t="inlineStr">
        <is>
          <t>현금+단기금융+투자부동산</t>
        </is>
      </c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>
        <f>SUM(X85,X86,X87)</f>
        <v/>
      </c>
      <c r="Y91" s="11">
        <f>SUM(Y85,Y86,Y87)</f>
        <v/>
      </c>
      <c r="Z91" s="12">
        <f>SUM(Z85,Z86,Z87)</f>
        <v/>
      </c>
      <c r="AA91" s="12">
        <f>SUM(AA85,AA86,AA87)</f>
        <v/>
      </c>
      <c r="AB91" s="12">
        <f>SUM(AB85,AB86,AB87)</f>
        <v/>
      </c>
      <c r="AC91" s="12">
        <f>SUM(AC85,AC86,AC87)</f>
        <v/>
      </c>
    </row>
    <row r="92">
      <c r="A92" s="16" t="inlineStr">
        <is>
          <t>기업가치 산출</t>
        </is>
      </c>
      <c r="B92" s="16" t="n"/>
      <c r="C92" s="17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7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7" t="n"/>
      <c r="Z92" s="16" t="n"/>
      <c r="AA92" s="16" t="n"/>
      <c r="AB92" s="16" t="n"/>
      <c r="AC92" s="16" t="n"/>
    </row>
    <row r="93">
      <c r="A93" s="18" t="inlineStr">
        <is>
          <t>목표 시가총액 (P/E)</t>
        </is>
      </c>
      <c r="B93" s="10" t="inlineStr">
        <is>
          <t>지배순이익 × Target P/E</t>
        </is>
      </c>
      <c r="C93" s="19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19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19">
        <f>IF(OR(Y70="",Y80=""),"",IFERROR(Y70*Y80,""))</f>
        <v/>
      </c>
      <c r="Z93" s="20">
        <f>IF(OR(Z70="",Z80=""),"",IFERROR(Z70*Z80,""))</f>
        <v/>
      </c>
      <c r="AA93" s="20">
        <f>IF(OR(AA70="",AA80=""),"",IFERROR(AA70*AA80,""))</f>
        <v/>
      </c>
      <c r="AB93" s="20">
        <f>IF(OR(AB70="",AB80=""),"",IFERROR(AB70*AB80,""))</f>
        <v/>
      </c>
      <c r="AC93" s="20">
        <f>IF(OR(AC70="",AC80=""),"",IFERROR(AC70*AC80,""))</f>
        <v/>
      </c>
    </row>
    <row r="94">
      <c r="A94" s="9" t="inlineStr">
        <is>
          <t>기업가치</t>
        </is>
      </c>
      <c r="B94" s="10" t="inlineStr">
        <is>
          <t>목표시총 + 자산가치</t>
        </is>
      </c>
      <c r="C94" s="11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1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1">
        <f>IF(OR(Y93=""),"",IFERROR(Y93+Y91,""))</f>
        <v/>
      </c>
      <c r="Z94" s="12">
        <f>IF(OR(Z93=""),"",IFERROR(Z93+Z91,""))</f>
        <v/>
      </c>
      <c r="AA94" s="12">
        <f>IF(OR(AA93=""),"",IFERROR(AA93+AA91,""))</f>
        <v/>
      </c>
      <c r="AB94" s="12">
        <f>IF(OR(AB93=""),"",IFERROR(AB93+AB91,""))</f>
        <v/>
      </c>
      <c r="AC94" s="12">
        <f>IF(OR(AC93=""),"",IFERROR(AC93+AC91,""))</f>
        <v/>
      </c>
    </row>
    <row r="95">
      <c r="A95" s="18" t="inlineStr">
        <is>
          <t>현재 시가총액</t>
        </is>
      </c>
      <c r="B95" s="10" t="n"/>
      <c r="C95" s="19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19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19">
        <f>$B$76</f>
        <v/>
      </c>
      <c r="Z95" s="20">
        <f>$B$76</f>
        <v/>
      </c>
      <c r="AA95" s="20">
        <f>$B$76</f>
        <v/>
      </c>
      <c r="AB95" s="20">
        <f>$B$76</f>
        <v/>
      </c>
      <c r="AC95" s="20">
        <f>$B$76</f>
        <v/>
      </c>
    </row>
    <row r="96">
      <c r="A96" s="18" t="inlineStr">
        <is>
          <t>상승여력</t>
        </is>
      </c>
      <c r="B96" s="10" t="n"/>
      <c r="C96" s="35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5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7">
        <f>IF(OR(Y94="",Y95=""),"",IFERROR(Y94/Y95-1,""))</f>
        <v/>
      </c>
      <c r="Z96" s="38">
        <f>IF(OR(Z94="",Z95=""),"",IFERROR(Z94/Z95-1,""))</f>
        <v/>
      </c>
      <c r="AA96" s="38">
        <f>IF(OR(AA94="",AA95=""),"",IFERROR(AA94/AA95-1,""))</f>
        <v/>
      </c>
      <c r="AB96" s="38">
        <f>IF(OR(AB94="",AB95=""),"",IFERROR(AB94/AB95-1,""))</f>
        <v/>
      </c>
      <c r="AC96" s="38">
        <f>IF(OR(AC94="",AC95=""),"",IFERROR(AC94/AC95-1,""))</f>
        <v/>
      </c>
    </row>
    <row r="97">
      <c r="C97" s="39" t="n"/>
      <c r="O97" s="39" t="n"/>
      <c r="Y97" s="39" t="n"/>
    </row>
    <row r="98">
      <c r="A98" s="40" t="inlineStr">
        <is>
          <t>출처</t>
        </is>
      </c>
      <c r="C98" s="39" t="n"/>
      <c r="O98" s="39" t="n"/>
      <c r="Y98" s="39" t="n"/>
    </row>
    <row r="99">
      <c r="A99" s="41" t="inlineStr">
        <is>
          <t>결산단신 XBRL(TDnet·JPX 보관소) — 쓴 문서는 '출처' 시트</t>
        </is>
      </c>
      <c r="C99" s="39" t="n"/>
      <c r="O99" s="39" t="n"/>
      <c r="Y99" s="39" t="n"/>
    </row>
    <row r="100">
      <c r="A100" s="41" t="inlineStr">
        <is>
          <t>분기 = 누계에서 앞 분기를 뺀 3개월 값</t>
        </is>
      </c>
      <c r="C100" s="39" t="n"/>
      <c r="O100" s="39" t="n"/>
      <c r="Y100" s="39" t="n"/>
    </row>
    <row r="101">
      <c r="A101" s="41" t="inlineStr">
        <is>
          <t>주가: 야후 파이낸스 일봉 2026.10.28</t>
        </is>
      </c>
      <c r="C101" s="39" t="n"/>
      <c r="O101" s="39" t="n"/>
      <c r="Y101" s="39" t="n"/>
    </row>
    <row r="103">
      <c r="A103" s="16" t="inlineStr">
        <is>
          <t>손익계산서 · 전 항목</t>
        </is>
      </c>
      <c r="B103" s="42" t="inlineStr">
        <is>
          <t>분기 = 3개월 단독</t>
        </is>
      </c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</row>
    <row r="104">
      <c r="A104" s="5" t="inlineStr">
        <is>
          <t>항목</t>
        </is>
      </c>
      <c r="B104" s="5" t="inlineStr">
        <is>
          <t>참고</t>
        </is>
      </c>
      <c r="C104" s="5" t="inlineStr">
        <is>
          <t>2023.3Q</t>
        </is>
      </c>
      <c r="D104" s="5" t="inlineStr">
        <is>
          <t>2023.4Q</t>
        </is>
      </c>
      <c r="E104" s="5" t="inlineStr">
        <is>
          <t>2024.1Q</t>
        </is>
      </c>
      <c r="F104" s="5" t="inlineStr">
        <is>
          <t>2024.2Q</t>
        </is>
      </c>
      <c r="G104" s="5" t="inlineStr">
        <is>
          <t>2024.3Q</t>
        </is>
      </c>
      <c r="H104" s="5" t="inlineStr">
        <is>
          <t>2024.4Q</t>
        </is>
      </c>
      <c r="I104" s="5" t="inlineStr">
        <is>
          <t>2025.1Q</t>
        </is>
      </c>
      <c r="J104" s="5" t="inlineStr">
        <is>
          <t>2025.2Q</t>
        </is>
      </c>
      <c r="K104" s="5" t="inlineStr">
        <is>
          <t>2025.3Q</t>
        </is>
      </c>
      <c r="L104" s="5" t="inlineStr">
        <is>
          <t>2025.4Q</t>
        </is>
      </c>
      <c r="M104" s="5" t="inlineStr">
        <is>
          <t>2026.1Q</t>
        </is>
      </c>
      <c r="N104" s="5" t="inlineStr">
        <is>
          <t>2026.2Q</t>
        </is>
      </c>
      <c r="O104" s="5" t="inlineStr">
        <is>
          <t>2016</t>
        </is>
      </c>
      <c r="P104" s="5" t="inlineStr">
        <is>
          <t>2017</t>
        </is>
      </c>
      <c r="Q104" s="5" t="inlineStr">
        <is>
          <t>2018</t>
        </is>
      </c>
      <c r="R104" s="5" t="inlineStr">
        <is>
          <t>2019</t>
        </is>
      </c>
      <c r="S104" s="5" t="inlineStr">
        <is>
          <t>2020</t>
        </is>
      </c>
      <c r="T104" s="5" t="inlineStr">
        <is>
          <t>2021</t>
        </is>
      </c>
      <c r="U104" s="5" t="inlineStr">
        <is>
          <t>2022</t>
        </is>
      </c>
      <c r="V104" s="5" t="inlineStr">
        <is>
          <t>2023</t>
        </is>
      </c>
      <c r="W104" s="5" t="inlineStr">
        <is>
          <t>2024</t>
        </is>
      </c>
      <c r="X104" s="5" t="inlineStr">
        <is>
          <t>2025</t>
        </is>
      </c>
      <c r="Y104" s="5" t="inlineStr">
        <is>
          <t>2026(MW)</t>
        </is>
      </c>
      <c r="Z104" s="5" t="inlineStr">
        <is>
          <t>2027(MW)</t>
        </is>
      </c>
      <c r="AA104" s="5" t="inlineStr">
        <is>
          <t>2028(MW)</t>
        </is>
      </c>
      <c r="AB104" s="5" t="inlineStr">
        <is>
          <t>2029(MW)</t>
        </is>
      </c>
      <c r="AC104" s="5" t="inlineStr">
        <is>
          <t>2030(MW)</t>
        </is>
      </c>
    </row>
    <row r="105">
      <c r="A105" s="9" t="inlineStr">
        <is>
          <t>매출액</t>
        </is>
      </c>
      <c r="C105" s="12" t="n">
        <v>19361</v>
      </c>
      <c r="D105" s="12" t="n">
        <v>20165</v>
      </c>
      <c r="E105" s="12" t="n">
        <v>19504</v>
      </c>
      <c r="F105" s="12" t="n">
        <v>19896</v>
      </c>
      <c r="G105" s="12" t="n">
        <v>19939</v>
      </c>
      <c r="H105" s="12" t="n">
        <v>21853</v>
      </c>
      <c r="I105" s="12" t="n">
        <v>21686</v>
      </c>
      <c r="J105" s="12" t="n">
        <v>21865</v>
      </c>
      <c r="K105" s="12" t="n">
        <v>20682</v>
      </c>
      <c r="L105" s="12" t="n">
        <v>22425</v>
      </c>
      <c r="M105" s="12" t="n">
        <v>24026</v>
      </c>
      <c r="N105" s="12" t="n">
        <v>28473</v>
      </c>
      <c r="T105" s="12" t="n">
        <v>23350</v>
      </c>
      <c r="U105" s="12" t="n">
        <v>19719</v>
      </c>
      <c r="V105" s="12" t="n">
        <v>20165</v>
      </c>
      <c r="W105" s="12" t="n">
        <v>21853</v>
      </c>
      <c r="X105" s="12" t="n">
        <v>22425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IF(OR(G105="",C105=""),"",IF(C105&lt;=0,"",IFERROR(G105/C105-1,"")))</f>
        <v/>
      </c>
      <c r="H106" s="15">
        <f>IF(OR(H105="",D105=""),"",IF(D105&lt;=0,"",IFERROR(H105/D105-1,"")))</f>
        <v/>
      </c>
      <c r="I106" s="15">
        <f>IF(OR(I105="",E105=""),"",IF(E105&lt;=0,"",IFERROR(I105/E105-1,"")))</f>
        <v/>
      </c>
      <c r="J106" s="15">
        <f>IF(OR(J105="",F105=""),"",IF(F105&lt;=0,"",IFERROR(J105/F105-1,"")))</f>
        <v/>
      </c>
      <c r="K106" s="15">
        <f>IF(OR(K105="",G105=""),"",IF(G105&lt;=0,"",IFERROR(K105/G105-1,"")))</f>
        <v/>
      </c>
      <c r="L106" s="15">
        <f>IF(OR(L105="",H105=""),"",IF(H105&lt;=0,"",IFERROR(L105/H105-1,"")))</f>
        <v/>
      </c>
      <c r="M106" s="15">
        <f>IF(OR(M105="",I105=""),"",IF(I105&lt;=0,"",IFERROR(M105/I105-1,"")))</f>
        <v/>
      </c>
      <c r="N106" s="15">
        <f>IF(OR(N105="",J105=""),"",IF(J105&lt;=0,"",IFERROR(N105/J105-1,"")))</f>
        <v/>
      </c>
      <c r="T106" s="15">
        <f>IF(OR(T105="",S105=""),"",IF(S105&lt;=0,"",IFERROR(T105/S105-1,"")))</f>
        <v/>
      </c>
      <c r="U106" s="15">
        <f>IF(OR(U105="",T105=""),"",IF(T105&lt;=0,"",IFERROR(U105/T105-1,"")))</f>
        <v/>
      </c>
      <c r="V106" s="15">
        <f>IF(OR(V105="",U105=""),"",IF(U105&lt;=0,"",IFERROR(V105/U105-1,"")))</f>
        <v/>
      </c>
      <c r="W106" s="15">
        <f>IF(OR(W105="",V105=""),"",IF(V105&lt;=0,"",IFERROR(W105/V105-1,"")))</f>
        <v/>
      </c>
      <c r="X106" s="15">
        <f>IF(OR(X105="",W105=""),"",IF(W105&lt;=0,"",IFERROR(X105/W105-1,"")))</f>
        <v/>
      </c>
    </row>
    <row r="107">
      <c r="A107" s="18" t="inlineStr">
        <is>
          <t>매출원가</t>
        </is>
      </c>
      <c r="C107" s="20" t="n">
        <v>15513</v>
      </c>
      <c r="D107" s="20" t="n">
        <v>16360</v>
      </c>
      <c r="E107" s="20" t="n">
        <v>15763</v>
      </c>
      <c r="F107" s="20" t="n">
        <v>16194</v>
      </c>
      <c r="G107" s="20" t="n">
        <v>16407</v>
      </c>
      <c r="H107" s="20" t="n">
        <v>17655</v>
      </c>
      <c r="I107" s="20" t="n">
        <v>17290</v>
      </c>
      <c r="J107" s="20" t="n">
        <v>17202</v>
      </c>
      <c r="K107" s="20" t="n">
        <v>16710</v>
      </c>
      <c r="L107" s="20" t="n">
        <v>17917</v>
      </c>
      <c r="M107" s="20" t="n">
        <v>18557</v>
      </c>
      <c r="N107" s="20" t="n">
        <v>21694</v>
      </c>
      <c r="T107" s="20" t="n">
        <v>20335</v>
      </c>
      <c r="U107" s="20" t="n">
        <v>16595</v>
      </c>
      <c r="V107" s="20" t="n">
        <v>16360</v>
      </c>
      <c r="W107" s="20" t="n">
        <v>17655</v>
      </c>
      <c r="X107" s="20" t="n">
        <v>17917</v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IF(OR(G107="",C107=""),"",IF(G107*C107&lt;=0,"",IFERROR(G107/C107-1,"")))</f>
        <v/>
      </c>
      <c r="H108" s="15">
        <f>IF(OR(H107="",D107=""),"",IF(H107*D107&lt;=0,"",IFERROR(H107/D107-1,"")))</f>
        <v/>
      </c>
      <c r="I108" s="15">
        <f>IF(OR(I107="",E107=""),"",IF(I107*E107&lt;=0,"",IFERROR(I107/E107-1,"")))</f>
        <v/>
      </c>
      <c r="J108" s="15">
        <f>IF(OR(J107="",F107=""),"",IF(J107*F107&lt;=0,"",IFERROR(J107/F107-1,"")))</f>
        <v/>
      </c>
      <c r="K108" s="15">
        <f>IF(OR(K107="",G107=""),"",IF(K107*G107&lt;=0,"",IFERROR(K107/G107-1,"")))</f>
        <v/>
      </c>
      <c r="L108" s="15">
        <f>IF(OR(L107="",H107=""),"",IF(L107*H107&lt;=0,"",IFERROR(L107/H107-1,"")))</f>
        <v/>
      </c>
      <c r="M108" s="15">
        <f>IF(OR(M107="",I107=""),"",IF(M107*I107&lt;=0,"",IFERROR(M107/I107-1,"")))</f>
        <v/>
      </c>
      <c r="N108" s="15">
        <f>IF(OR(N107="",J107=""),"",IF(N107*J107&lt;=0,"",IFERROR(N107/J107-1,"")))</f>
        <v/>
      </c>
      <c r="T108" s="15">
        <f>IF(OR(T107="",S107=""),"",IF(T107*S107&lt;=0,"",IFERROR(T107/S107-1,"")))</f>
        <v/>
      </c>
      <c r="U108" s="15">
        <f>IF(OR(U107="",T107=""),"",IF(U107*T107&lt;=0,"",IFERROR(U107/T107-1,"")))</f>
        <v/>
      </c>
      <c r="V108" s="15">
        <f>IF(OR(V107="",U107=""),"",IF(V107*U107&lt;=0,"",IFERROR(V107/U107-1,"")))</f>
        <v/>
      </c>
      <c r="W108" s="15">
        <f>IF(OR(W107="",V107=""),"",IF(W107*V107&lt;=0,"",IFERROR(W107/V107-1,"")))</f>
        <v/>
      </c>
      <c r="X108" s="15">
        <f>IF(OR(X107="",W107=""),"",IF(X107*W107&lt;=0,"",IFERROR(X107/W107-1,"")))</f>
        <v/>
      </c>
    </row>
    <row r="109">
      <c r="A109" s="9" t="inlineStr">
        <is>
          <t>매출총이익</t>
        </is>
      </c>
      <c r="C109" s="12" t="n">
        <v>3847</v>
      </c>
      <c r="D109" s="12" t="n">
        <v>3805</v>
      </c>
      <c r="E109" s="12" t="n">
        <v>3741</v>
      </c>
      <c r="F109" s="12" t="n">
        <v>3701</v>
      </c>
      <c r="G109" s="12" t="n">
        <v>3533</v>
      </c>
      <c r="H109" s="12" t="n">
        <v>4198</v>
      </c>
      <c r="I109" s="12" t="n">
        <v>4396</v>
      </c>
      <c r="J109" s="12" t="n">
        <v>4662</v>
      </c>
      <c r="K109" s="12" t="n">
        <v>3972</v>
      </c>
      <c r="L109" s="12" t="n">
        <v>4508</v>
      </c>
      <c r="M109" s="12" t="n">
        <v>5468</v>
      </c>
      <c r="N109" s="12" t="n">
        <v>6779</v>
      </c>
      <c r="T109" s="12" t="n">
        <v>3015</v>
      </c>
      <c r="U109" s="12" t="n">
        <v>3125</v>
      </c>
      <c r="V109" s="12" t="n">
        <v>3805</v>
      </c>
      <c r="W109" s="12" t="n">
        <v>4198</v>
      </c>
      <c r="X109" s="12" t="n">
        <v>4508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IF(OR(G109="",C109=""),"",IF(C109&lt;=0,"",IFERROR(G109/C109-1,"")))</f>
        <v/>
      </c>
      <c r="H110" s="15">
        <f>IF(OR(H109="",D109=""),"",IF(D109&lt;=0,"",IFERROR(H109/D109-1,"")))</f>
        <v/>
      </c>
      <c r="I110" s="15">
        <f>IF(OR(I109="",E109=""),"",IF(E109&lt;=0,"",IFERROR(I109/E109-1,"")))</f>
        <v/>
      </c>
      <c r="J110" s="15">
        <f>IF(OR(J109="",F109=""),"",IF(F109&lt;=0,"",IFERROR(J109/F109-1,"")))</f>
        <v/>
      </c>
      <c r="K110" s="15">
        <f>IF(OR(K109="",G109=""),"",IF(G109&lt;=0,"",IFERROR(K109/G109-1,"")))</f>
        <v/>
      </c>
      <c r="L110" s="15">
        <f>IF(OR(L109="",H109=""),"",IF(H109&lt;=0,"",IFERROR(L109/H109-1,"")))</f>
        <v/>
      </c>
      <c r="M110" s="15">
        <f>IF(OR(M109="",I109=""),"",IF(I109&lt;=0,"",IFERROR(M109/I109-1,"")))</f>
        <v/>
      </c>
      <c r="N110" s="15">
        <f>IF(OR(N109="",J109=""),"",IF(J109&lt;=0,"",IFERROR(N109/J109-1,"")))</f>
        <v/>
      </c>
      <c r="T110" s="15">
        <f>IF(OR(T109="",S109=""),"",IF(S109&lt;=0,"",IFERROR(T109/S109-1,"")))</f>
        <v/>
      </c>
      <c r="U110" s="15">
        <f>IF(OR(U109="",T109=""),"",IF(T109&lt;=0,"",IFERROR(U109/T109-1,"")))</f>
        <v/>
      </c>
      <c r="V110" s="15">
        <f>IF(OR(V109="",U109=""),"",IF(U109&lt;=0,"",IFERROR(V109/U109-1,"")))</f>
        <v/>
      </c>
      <c r="W110" s="15">
        <f>IF(OR(W109="",V109=""),"",IF(V109&lt;=0,"",IFERROR(W109/V109-1,"")))</f>
        <v/>
      </c>
      <c r="X110" s="15">
        <f>IF(OR(X109="",W109=""),"",IF(W109&lt;=0,"",IFERROR(X109/W109-1,"")))</f>
        <v/>
      </c>
    </row>
    <row r="111">
      <c r="A111" s="18" t="inlineStr">
        <is>
          <t>판매수수료</t>
        </is>
      </c>
      <c r="C111" s="20" t="n">
        <v>22</v>
      </c>
      <c r="D111" s="20" t="n">
        <v>22</v>
      </c>
      <c r="E111" s="20" t="n">
        <v>22</v>
      </c>
      <c r="F111" s="20" t="n">
        <v>23</v>
      </c>
      <c r="G111" s="20" t="n">
        <v>24</v>
      </c>
      <c r="H111" s="20" t="n">
        <v>27</v>
      </c>
      <c r="I111" s="20" t="n">
        <v>21</v>
      </c>
      <c r="J111" s="20" t="n">
        <v>26</v>
      </c>
      <c r="K111" s="20" t="n">
        <v>29</v>
      </c>
      <c r="L111" s="20" t="n">
        <v>29</v>
      </c>
      <c r="M111" s="20" t="n">
        <v>20</v>
      </c>
      <c r="N111" s="20" t="n">
        <v>25</v>
      </c>
      <c r="T111" s="20" t="n">
        <v>16</v>
      </c>
      <c r="U111" s="20" t="n">
        <v>20</v>
      </c>
      <c r="V111" s="20" t="n">
        <v>22</v>
      </c>
      <c r="W111" s="20" t="n">
        <v>27</v>
      </c>
      <c r="X111" s="20" t="n">
        <v>29</v>
      </c>
    </row>
    <row r="112">
      <c r="A112" s="18" t="inlineStr">
        <is>
          <t>Transportation And Warehousing Expenses SGA</t>
        </is>
      </c>
      <c r="C112" s="20" t="n">
        <v>649</v>
      </c>
      <c r="D112" s="20" t="n">
        <v>683</v>
      </c>
      <c r="E112" s="20" t="n">
        <v>662</v>
      </c>
      <c r="F112" s="20" t="n">
        <v>699</v>
      </c>
      <c r="G112" s="20" t="n">
        <v>707</v>
      </c>
      <c r="H112" s="20" t="n">
        <v>742</v>
      </c>
      <c r="I112" s="20" t="n">
        <v>716</v>
      </c>
      <c r="J112" s="20" t="n">
        <v>706</v>
      </c>
      <c r="K112" s="20" t="n">
        <v>690</v>
      </c>
      <c r="L112" s="20" t="n">
        <v>739</v>
      </c>
      <c r="M112" s="20" t="n">
        <v>769</v>
      </c>
      <c r="N112" s="20" t="n">
        <v>819</v>
      </c>
      <c r="T112" s="20" t="n">
        <v>700</v>
      </c>
      <c r="U112" s="20" t="n">
        <v>672</v>
      </c>
      <c r="V112" s="20" t="n">
        <v>683</v>
      </c>
      <c r="W112" s="20" t="n">
        <v>742</v>
      </c>
      <c r="X112" s="20" t="n">
        <v>739</v>
      </c>
    </row>
    <row r="113">
      <c r="A113" s="18" t="inlineStr">
        <is>
          <t>급여</t>
        </is>
      </c>
      <c r="C113" s="20" t="n">
        <v>532</v>
      </c>
      <c r="D113" s="20" t="n">
        <v>530</v>
      </c>
      <c r="E113" s="20" t="n">
        <v>531</v>
      </c>
      <c r="F113" s="20" t="n">
        <v>561</v>
      </c>
      <c r="G113" s="20" t="n">
        <v>562</v>
      </c>
      <c r="H113" s="20" t="n">
        <v>565</v>
      </c>
      <c r="I113" s="20" t="n">
        <v>567</v>
      </c>
      <c r="J113" s="20" t="n">
        <v>597</v>
      </c>
      <c r="K113" s="20" t="n">
        <v>603</v>
      </c>
      <c r="L113" s="20" t="n">
        <v>603</v>
      </c>
      <c r="M113" s="20" t="n">
        <v>727</v>
      </c>
      <c r="N113" s="20" t="n">
        <v>759</v>
      </c>
      <c r="T113" s="20" t="n">
        <v>528</v>
      </c>
      <c r="U113" s="20" t="n">
        <v>520</v>
      </c>
      <c r="V113" s="20" t="n">
        <v>530</v>
      </c>
      <c r="W113" s="20" t="n">
        <v>565</v>
      </c>
      <c r="X113" s="20" t="n">
        <v>603</v>
      </c>
    </row>
    <row r="114">
      <c r="A114" s="18" t="inlineStr">
        <is>
          <t>상여충당금 전입</t>
        </is>
      </c>
      <c r="E114" s="20" t="n">
        <v>163</v>
      </c>
      <c r="I114" s="20" t="n">
        <v>179</v>
      </c>
      <c r="M114" s="20" t="n">
        <v>233</v>
      </c>
    </row>
    <row r="115">
      <c r="A115" s="18" t="inlineStr">
        <is>
          <t>Bonuses SGA</t>
        </is>
      </c>
      <c r="C115" s="20" t="n">
        <v>0</v>
      </c>
      <c r="D115" s="20" t="n">
        <v>334</v>
      </c>
      <c r="G115" s="20" t="n">
        <v>0</v>
      </c>
      <c r="H115" s="20" t="n">
        <v>335</v>
      </c>
      <c r="K115" s="20" t="n">
        <v>0</v>
      </c>
      <c r="L115" s="20" t="n">
        <v>405</v>
      </c>
      <c r="T115" s="20" t="n">
        <v>343</v>
      </c>
      <c r="U115" s="20" t="n">
        <v>316</v>
      </c>
      <c r="V115" s="20" t="n">
        <v>334</v>
      </c>
      <c r="W115" s="20" t="n">
        <v>335</v>
      </c>
      <c r="X115" s="20" t="n">
        <v>405</v>
      </c>
    </row>
    <row r="116">
      <c r="A116" s="18" t="inlineStr">
        <is>
          <t>임원 보수</t>
        </is>
      </c>
      <c r="C116" s="20" t="n">
        <v>84</v>
      </c>
      <c r="D116" s="20" t="n">
        <v>85</v>
      </c>
      <c r="E116" s="20" t="n">
        <v>84</v>
      </c>
      <c r="F116" s="20" t="n">
        <v>90</v>
      </c>
      <c r="G116" s="20" t="n">
        <v>89</v>
      </c>
      <c r="H116" s="20" t="n">
        <v>90</v>
      </c>
      <c r="I116" s="20" t="n">
        <v>89</v>
      </c>
      <c r="J116" s="20" t="n">
        <v>85</v>
      </c>
      <c r="K116" s="20" t="n">
        <v>85</v>
      </c>
      <c r="L116" s="20" t="n">
        <v>86</v>
      </c>
      <c r="M116" s="20" t="n">
        <v>102</v>
      </c>
      <c r="N116" s="20" t="n">
        <v>123</v>
      </c>
      <c r="T116" s="20" t="n">
        <v>80</v>
      </c>
      <c r="U116" s="20" t="n">
        <v>85</v>
      </c>
      <c r="V116" s="20" t="n">
        <v>85</v>
      </c>
      <c r="W116" s="20" t="n">
        <v>90</v>
      </c>
      <c r="X116" s="20" t="n">
        <v>86</v>
      </c>
    </row>
    <row r="117">
      <c r="A117" s="18" t="inlineStr">
        <is>
          <t>퇴직급여비용</t>
        </is>
      </c>
      <c r="C117" s="20" t="n">
        <v>37</v>
      </c>
      <c r="D117" s="20" t="n">
        <v>36</v>
      </c>
      <c r="E117" s="20" t="n">
        <v>35</v>
      </c>
      <c r="F117" s="20" t="n">
        <v>34</v>
      </c>
      <c r="G117" s="20" t="n">
        <v>36</v>
      </c>
      <c r="H117" s="20" t="n">
        <v>34</v>
      </c>
      <c r="I117" s="20" t="n">
        <v>34</v>
      </c>
      <c r="J117" s="20" t="n">
        <v>33</v>
      </c>
      <c r="K117" s="20" t="n">
        <v>34</v>
      </c>
      <c r="L117" s="20" t="n">
        <v>34</v>
      </c>
      <c r="M117" s="20" t="n">
        <v>27</v>
      </c>
      <c r="N117" s="20" t="n">
        <v>29</v>
      </c>
      <c r="T117" s="20" t="n">
        <v>34</v>
      </c>
      <c r="U117" s="20" t="n">
        <v>29</v>
      </c>
      <c r="V117" s="20" t="n">
        <v>36</v>
      </c>
      <c r="W117" s="20" t="n">
        <v>34</v>
      </c>
      <c r="X117" s="20" t="n">
        <v>34</v>
      </c>
    </row>
    <row r="118">
      <c r="A118" s="18" t="inlineStr">
        <is>
          <t>감가상각비</t>
        </is>
      </c>
      <c r="C118" s="20" t="n">
        <v>56</v>
      </c>
      <c r="D118" s="20" t="n">
        <v>60</v>
      </c>
      <c r="E118" s="20" t="n">
        <v>57</v>
      </c>
      <c r="F118" s="20" t="n">
        <v>58</v>
      </c>
      <c r="G118" s="20" t="n">
        <v>60</v>
      </c>
      <c r="H118" s="20" t="n">
        <v>63</v>
      </c>
      <c r="I118" s="20" t="n">
        <v>56</v>
      </c>
      <c r="J118" s="20" t="n">
        <v>58</v>
      </c>
      <c r="K118" s="20" t="n">
        <v>60</v>
      </c>
      <c r="L118" s="20" t="n">
        <v>67</v>
      </c>
      <c r="M118" s="20" t="n">
        <v>90</v>
      </c>
      <c r="N118" s="20" t="n">
        <v>88</v>
      </c>
      <c r="T118" s="20" t="n">
        <v>54</v>
      </c>
      <c r="U118" s="20" t="n">
        <v>51</v>
      </c>
      <c r="V118" s="20" t="n">
        <v>60</v>
      </c>
      <c r="W118" s="20" t="n">
        <v>63</v>
      </c>
      <c r="X118" s="20" t="n">
        <v>67</v>
      </c>
    </row>
    <row r="119">
      <c r="A119" s="18" t="inlineStr">
        <is>
          <t>연구개발비</t>
        </is>
      </c>
      <c r="C119" s="20" t="n">
        <v>349</v>
      </c>
      <c r="D119" s="20" t="n">
        <v>335</v>
      </c>
      <c r="E119" s="20" t="n">
        <v>351</v>
      </c>
      <c r="F119" s="20" t="n">
        <v>352</v>
      </c>
      <c r="G119" s="20" t="n">
        <v>379</v>
      </c>
      <c r="H119" s="20" t="n">
        <v>399</v>
      </c>
      <c r="I119" s="20" t="n">
        <v>349</v>
      </c>
      <c r="J119" s="20" t="n">
        <v>384</v>
      </c>
      <c r="K119" s="20" t="n">
        <v>423</v>
      </c>
      <c r="L119" s="20" t="n">
        <v>435</v>
      </c>
      <c r="M119" s="20" t="n">
        <v>382</v>
      </c>
      <c r="N119" s="20" t="n">
        <v>443</v>
      </c>
      <c r="T119" s="20" t="n">
        <v>289</v>
      </c>
      <c r="U119" s="20" t="n">
        <v>315</v>
      </c>
      <c r="V119" s="20" t="n">
        <v>335</v>
      </c>
      <c r="W119" s="20" t="n">
        <v>399</v>
      </c>
      <c r="X119" s="20" t="n">
        <v>435</v>
      </c>
    </row>
    <row r="120">
      <c r="A120" s="18" t="inlineStr">
        <is>
          <t>대손충당금 전입</t>
        </is>
      </c>
      <c r="C120" s="20" t="n">
        <v>0</v>
      </c>
      <c r="D120" s="20" t="n">
        <v>0</v>
      </c>
      <c r="E120" s="20" t="n">
        <v>0</v>
      </c>
      <c r="F120" s="20" t="n">
        <v>0</v>
      </c>
      <c r="G120" s="20" t="n">
        <v>0</v>
      </c>
      <c r="H120" s="20" t="n">
        <v>0</v>
      </c>
      <c r="I120" s="20" t="n">
        <v>0</v>
      </c>
      <c r="J120" s="20" t="n">
        <v>0</v>
      </c>
      <c r="M120" s="20" t="n">
        <v>-19</v>
      </c>
      <c r="N120" s="20" t="n">
        <v>0</v>
      </c>
      <c r="T120" s="20" t="n">
        <v>0</v>
      </c>
      <c r="U120" s="20" t="n">
        <v>0</v>
      </c>
      <c r="V120" s="20" t="n">
        <v>0</v>
      </c>
      <c r="W120" s="20" t="n">
        <v>0</v>
      </c>
    </row>
    <row r="121">
      <c r="A121" s="18" t="inlineStr">
        <is>
          <t>기타</t>
        </is>
      </c>
      <c r="C121" s="20" t="n">
        <v>676</v>
      </c>
      <c r="D121" s="20" t="n">
        <v>630</v>
      </c>
      <c r="E121" s="20" t="n">
        <v>632</v>
      </c>
      <c r="F121" s="20" t="n">
        <v>629</v>
      </c>
      <c r="G121" s="20" t="n">
        <v>644</v>
      </c>
      <c r="H121" s="20" t="n">
        <v>734</v>
      </c>
      <c r="I121" s="20" t="n">
        <v>703</v>
      </c>
      <c r="J121" s="20" t="n">
        <v>717</v>
      </c>
      <c r="K121" s="20" t="n">
        <v>697</v>
      </c>
      <c r="L121" s="20" t="n">
        <v>804</v>
      </c>
      <c r="M121" s="20" t="n">
        <v>889</v>
      </c>
      <c r="N121" s="20" t="n">
        <v>1008</v>
      </c>
      <c r="T121" s="20" t="n">
        <v>622</v>
      </c>
      <c r="U121" s="20" t="n">
        <v>579</v>
      </c>
      <c r="V121" s="20" t="n">
        <v>630</v>
      </c>
      <c r="W121" s="20" t="n">
        <v>734</v>
      </c>
      <c r="X121" s="20" t="n">
        <v>804</v>
      </c>
    </row>
    <row r="122">
      <c r="A122" s="18" t="inlineStr">
        <is>
          <t>판매비와 관리비 합계</t>
        </is>
      </c>
      <c r="C122" s="20" t="n">
        <v>2576</v>
      </c>
      <c r="D122" s="20" t="n">
        <v>2545</v>
      </c>
      <c r="E122" s="20" t="n">
        <v>2541</v>
      </c>
      <c r="F122" s="20" t="n">
        <v>2578</v>
      </c>
      <c r="G122" s="20" t="n">
        <v>2674</v>
      </c>
      <c r="H122" s="20" t="n">
        <v>2815</v>
      </c>
      <c r="I122" s="20" t="n">
        <v>2718</v>
      </c>
      <c r="J122" s="20" t="n">
        <v>2812</v>
      </c>
      <c r="K122" s="20" t="n">
        <v>2815</v>
      </c>
      <c r="L122" s="20" t="n">
        <v>3008</v>
      </c>
      <c r="M122" s="20" t="n">
        <v>3223</v>
      </c>
      <c r="N122" s="20" t="n">
        <v>3706</v>
      </c>
      <c r="T122" s="20" t="n">
        <v>2486</v>
      </c>
      <c r="U122" s="20" t="n">
        <v>2416</v>
      </c>
      <c r="V122" s="20" t="n">
        <v>2545</v>
      </c>
      <c r="W122" s="20" t="n">
        <v>2815</v>
      </c>
      <c r="X122" s="20" t="n">
        <v>3008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I123" s="15">
        <f>IF(OR(I122="",E122=""),"",IF(I122*E122&lt;=0,"",IFERROR(I122/E122-1,"")))</f>
        <v/>
      </c>
      <c r="J123" s="15">
        <f>IF(OR(J122="",F122=""),"",IF(J122*F122&lt;=0,"",IFERROR(J122/F122-1,"")))</f>
        <v/>
      </c>
      <c r="K123" s="15">
        <f>IF(OR(K122="",G122=""),"",IF(K122*G122&lt;=0,"",IFERROR(K122/G122-1,"")))</f>
        <v/>
      </c>
      <c r="L123" s="15">
        <f>IF(OR(L122="",H122=""),"",IF(L122*H122&lt;=0,"",IFERROR(L122/H122-1,"")))</f>
        <v/>
      </c>
      <c r="M123" s="15">
        <f>IF(OR(M122="",I122=""),"",IF(M122*I122&lt;=0,"",IFERROR(M122/I122-1,"")))</f>
        <v/>
      </c>
      <c r="N123" s="15">
        <f>IF(OR(N122="",J122=""),"",IF(N122*J122&lt;=0,"",IFERROR(N122/J122-1,"")))</f>
        <v/>
      </c>
      <c r="T123" s="15">
        <f>IF(OR(T122="",S122=""),"",IF(T122*S122&lt;=0,"",IFERROR(T122/S122-1,"")))</f>
        <v/>
      </c>
      <c r="U123" s="15">
        <f>IF(OR(U122="",T122=""),"",IF(U122*T122&lt;=0,"",IFERROR(U122/T122-1,"")))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  <c r="X123" s="15">
        <f>IF(OR(X122="",W122=""),"",IF(X122*W122&lt;=0,"",IFERROR(X122/W122-1,"")))</f>
        <v/>
      </c>
    </row>
    <row r="124">
      <c r="A124" s="9" t="inlineStr">
        <is>
          <t>영업이익</t>
        </is>
      </c>
      <c r="C124" s="12" t="n">
        <v>1272</v>
      </c>
      <c r="D124" s="12" t="n">
        <v>1260</v>
      </c>
      <c r="E124" s="12" t="n">
        <v>1199</v>
      </c>
      <c r="F124" s="12" t="n">
        <v>1123</v>
      </c>
      <c r="G124" s="12" t="n">
        <v>859</v>
      </c>
      <c r="H124" s="12" t="n">
        <v>1383</v>
      </c>
      <c r="I124" s="12" t="n">
        <v>1678</v>
      </c>
      <c r="J124" s="12" t="n">
        <v>1849</v>
      </c>
      <c r="K124" s="12" t="n">
        <v>1158</v>
      </c>
      <c r="L124" s="12" t="n">
        <v>1500</v>
      </c>
      <c r="M124" s="12" t="n">
        <v>2245</v>
      </c>
      <c r="N124" s="12" t="n">
        <v>3073</v>
      </c>
      <c r="T124" s="12" t="n">
        <v>529</v>
      </c>
      <c r="U124" s="12" t="n">
        <v>708</v>
      </c>
      <c r="V124" s="12" t="n">
        <v>1260</v>
      </c>
      <c r="W124" s="12" t="n">
        <v>1383</v>
      </c>
      <c r="X124" s="12" t="n">
        <v>1500</v>
      </c>
    </row>
    <row r="125">
      <c r="A125" s="43" t="inlineStr">
        <is>
          <t>OPM</t>
        </is>
      </c>
      <c r="B125" s="3" t="inlineStr">
        <is>
          <t>영업이익 ÷ 매출</t>
        </is>
      </c>
      <c r="C125" s="15">
        <f>IF(OR(C124="",C105=""),"",IF(C105&lt;=0,"",IFERROR(C124/C105,"")))</f>
        <v/>
      </c>
      <c r="D125" s="15">
        <f>IF(OR(D124="",D105=""),"",IF(D105&lt;=0,"",IFERROR(D124/D105,"")))</f>
        <v/>
      </c>
      <c r="E125" s="15">
        <f>IF(OR(E124="",E105=""),"",IF(E105&lt;=0,"",IFERROR(E124/E105,"")))</f>
        <v/>
      </c>
      <c r="F125" s="15">
        <f>IF(OR(F124="",F105=""),"",IF(F105&lt;=0,"",IFERROR(F124/F105,"")))</f>
        <v/>
      </c>
      <c r="G125" s="15">
        <f>IF(OR(G124="",G105=""),"",IF(G105&lt;=0,"",IFERROR(G124/G105,"")))</f>
        <v/>
      </c>
      <c r="H125" s="15">
        <f>IF(OR(H124="",H105=""),"",IF(H105&lt;=0,"",IFERROR(H124/H105,"")))</f>
        <v/>
      </c>
      <c r="I125" s="15">
        <f>IF(OR(I124="",I105=""),"",IF(I105&lt;=0,"",IFERROR(I124/I105,"")))</f>
        <v/>
      </c>
      <c r="J125" s="15">
        <f>IF(OR(J124="",J105=""),"",IF(J105&lt;=0,"",IFERROR(J124/J105,"")))</f>
        <v/>
      </c>
      <c r="K125" s="15">
        <f>IF(OR(K124="",K105=""),"",IF(K105&lt;=0,"",IFERROR(K124/K105,"")))</f>
        <v/>
      </c>
      <c r="L125" s="15">
        <f>IF(OR(L124="",L105=""),"",IF(L105&lt;=0,"",IFERROR(L124/L105,"")))</f>
        <v/>
      </c>
      <c r="M125" s="15">
        <f>IF(OR(M124="",M105=""),"",IF(M105&lt;=0,"",IFERROR(M124/M105,"")))</f>
        <v/>
      </c>
      <c r="N125" s="15">
        <f>IF(OR(N124="",N105=""),"",IF(N105&lt;=0,"",IFERROR(N124/N105,"")))</f>
        <v/>
      </c>
      <c r="T125" s="15">
        <f>IF(OR(T124="",T105=""),"",IF(T105&lt;=0,"",IFERROR(T124/T105,"")))</f>
        <v/>
      </c>
      <c r="U125" s="15">
        <f>IF(OR(U124="",U105=""),"",IF(U105&lt;=0,"",IFERROR(U124/U105,"")))</f>
        <v/>
      </c>
      <c r="V125" s="15">
        <f>IF(OR(V124="",V105=""),"",IF(V105&lt;=0,"",IFERROR(V124/V105,"")))</f>
        <v/>
      </c>
      <c r="W125" s="15">
        <f>IF(OR(W124="",W105=""),"",IF(W105&lt;=0,"",IFERROR(W124/W105,"")))</f>
        <v/>
      </c>
      <c r="X125" s="15">
        <f>IF(OR(X124="",X105=""),"",IF(X105&lt;=0,"",IFERROR(X124/X105,"")))</f>
        <v/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IF(OR(G124="",C124=""),"",IF(C124&lt;=0,"",IFERROR(G124/C124-1,"")))</f>
        <v/>
      </c>
      <c r="H126" s="15">
        <f>IF(OR(H124="",D124=""),"",IF(D124&lt;=0,"",IFERROR(H124/D124-1,"")))</f>
        <v/>
      </c>
      <c r="I126" s="15">
        <f>IF(OR(I124="",E124=""),"",IF(E124&lt;=0,"",IFERROR(I124/E124-1,"")))</f>
        <v/>
      </c>
      <c r="J126" s="15">
        <f>IF(OR(J124="",F124=""),"",IF(F124&lt;=0,"",IFERROR(J124/F124-1,"")))</f>
        <v/>
      </c>
      <c r="K126" s="15">
        <f>IF(OR(K124="",G124=""),"",IF(G124&lt;=0,"",IFERROR(K124/G124-1,"")))</f>
        <v/>
      </c>
      <c r="L126" s="15">
        <f>IF(OR(L124="",H124=""),"",IF(H124&lt;=0,"",IFERROR(L124/H124-1,"")))</f>
        <v/>
      </c>
      <c r="M126" s="15">
        <f>IF(OR(M124="",I124=""),"",IF(I124&lt;=0,"",IFERROR(M124/I124-1,"")))</f>
        <v/>
      </c>
      <c r="N126" s="15">
        <f>IF(OR(N124="",J124=""),"",IF(J124&lt;=0,"",IFERROR(N124/J124-1,"")))</f>
        <v/>
      </c>
      <c r="T126" s="15">
        <f>IF(OR(T124="",S124=""),"",IF(S124&lt;=0,"",IFERROR(T124/S124-1,"")))</f>
        <v/>
      </c>
      <c r="U126" s="15">
        <f>IF(OR(U124="",T124=""),"",IF(T124&lt;=0,"",IFERROR(U124/T124-1,"")))</f>
        <v/>
      </c>
      <c r="V126" s="15">
        <f>IF(OR(V124="",U124=""),"",IF(U124&lt;=0,"",IFERROR(V124/U124-1,"")))</f>
        <v/>
      </c>
      <c r="W126" s="15">
        <f>IF(OR(W124="",V124=""),"",IF(V124&lt;=0,"",IFERROR(W124/V124-1,"")))</f>
        <v/>
      </c>
      <c r="X126" s="15">
        <f>IF(OR(X124="",W124=""),"",IF(W124&lt;=0,"",IFERROR(X124/W124-1,"")))</f>
        <v/>
      </c>
    </row>
    <row r="127">
      <c r="A127" s="18" t="inlineStr">
        <is>
          <t>이자수익</t>
        </is>
      </c>
      <c r="C127" s="20" t="n">
        <v>0</v>
      </c>
      <c r="D127" s="20" t="n">
        <v>4</v>
      </c>
      <c r="E127" s="20" t="n">
        <v>7</v>
      </c>
      <c r="F127" s="20" t="n">
        <v>11</v>
      </c>
      <c r="G127" s="20" t="n">
        <v>18</v>
      </c>
      <c r="H127" s="20" t="n">
        <v>19</v>
      </c>
      <c r="I127" s="20" t="n">
        <v>22</v>
      </c>
      <c r="J127" s="20" t="n">
        <v>19</v>
      </c>
      <c r="K127" s="20" t="n">
        <v>30</v>
      </c>
      <c r="L127" s="20" t="n">
        <v>21</v>
      </c>
      <c r="M127" s="20" t="n">
        <v>12</v>
      </c>
      <c r="N127" s="20" t="n">
        <v>3</v>
      </c>
      <c r="T127" s="20" t="n">
        <v>0</v>
      </c>
      <c r="U127" s="20" t="n">
        <v>4</v>
      </c>
      <c r="V127" s="20" t="n">
        <v>4</v>
      </c>
      <c r="W127" s="20" t="n">
        <v>19</v>
      </c>
      <c r="X127" s="20" t="n">
        <v>21</v>
      </c>
    </row>
    <row r="128">
      <c r="A128" s="18" t="inlineStr">
        <is>
          <t>배당금수익</t>
        </is>
      </c>
      <c r="C128" s="20" t="n">
        <v>78</v>
      </c>
      <c r="D128" s="20" t="n">
        <v>74</v>
      </c>
      <c r="E128" s="20" t="n">
        <v>80</v>
      </c>
      <c r="F128" s="20" t="n">
        <v>98</v>
      </c>
      <c r="G128" s="20" t="n">
        <v>89</v>
      </c>
      <c r="H128" s="20" t="n">
        <v>77</v>
      </c>
      <c r="I128" s="20" t="n">
        <v>100</v>
      </c>
      <c r="J128" s="20" t="n">
        <v>54</v>
      </c>
      <c r="K128" s="20" t="n">
        <v>94</v>
      </c>
      <c r="L128" s="20" t="n">
        <v>55</v>
      </c>
      <c r="M128" s="20" t="n">
        <v>114</v>
      </c>
      <c r="N128" s="20" t="n">
        <v>71</v>
      </c>
      <c r="T128" s="20" t="n">
        <v>65</v>
      </c>
      <c r="U128" s="20" t="n">
        <v>74</v>
      </c>
      <c r="V128" s="20" t="n">
        <v>74</v>
      </c>
      <c r="W128" s="20" t="n">
        <v>77</v>
      </c>
      <c r="X128" s="20" t="n">
        <v>55</v>
      </c>
    </row>
    <row r="129">
      <c r="A129" s="18" t="inlineStr">
        <is>
          <t>외환차익</t>
        </is>
      </c>
      <c r="C129" s="20" t="n">
        <v>36</v>
      </c>
      <c r="D129" s="20" t="n">
        <v>-50</v>
      </c>
      <c r="E129" s="20" t="n">
        <v>83</v>
      </c>
      <c r="F129" s="20" t="n">
        <v>91</v>
      </c>
      <c r="G129" s="20" t="n">
        <v>-174</v>
      </c>
      <c r="H129" s="20" t="n">
        <v>145</v>
      </c>
      <c r="I129" s="20" t="n">
        <v>0</v>
      </c>
      <c r="J129" s="20" t="n">
        <v>0</v>
      </c>
      <c r="M129" s="20" t="n">
        <v>31</v>
      </c>
      <c r="N129" s="20" t="n">
        <v>17</v>
      </c>
      <c r="T129" s="20" t="n">
        <v>19</v>
      </c>
      <c r="U129" s="20" t="n">
        <v>-107</v>
      </c>
      <c r="V129" s="20" t="n">
        <v>-50</v>
      </c>
      <c r="W129" s="20" t="n">
        <v>145</v>
      </c>
    </row>
    <row r="130">
      <c r="A130" s="18" t="inlineStr">
        <is>
          <t>보조금 수입</t>
        </is>
      </c>
      <c r="T130" s="20" t="n">
        <v>9</v>
      </c>
      <c r="U130" s="20" t="n">
        <v>6</v>
      </c>
    </row>
    <row r="131">
      <c r="A131" s="18" t="inlineStr">
        <is>
          <t>보조금 수입</t>
        </is>
      </c>
      <c r="E131" s="20" t="n">
        <v>0</v>
      </c>
    </row>
    <row r="132">
      <c r="A132" s="18" t="inlineStr">
        <is>
          <t>잡이익</t>
        </is>
      </c>
      <c r="C132" s="20" t="n">
        <v>21</v>
      </c>
      <c r="D132" s="20" t="n">
        <v>31</v>
      </c>
      <c r="E132" s="20" t="n">
        <v>26</v>
      </c>
      <c r="F132" s="20" t="n">
        <v>34</v>
      </c>
      <c r="G132" s="20" t="n">
        <v>13</v>
      </c>
      <c r="H132" s="20" t="n">
        <v>34</v>
      </c>
      <c r="I132" s="20" t="n">
        <v>23</v>
      </c>
      <c r="J132" s="20" t="n">
        <v>25</v>
      </c>
      <c r="K132" s="20" t="n">
        <v>9</v>
      </c>
      <c r="L132" s="20" t="n">
        <v>22</v>
      </c>
      <c r="M132" s="20" t="n">
        <v>46</v>
      </c>
      <c r="N132" s="20" t="n">
        <v>23</v>
      </c>
      <c r="T132" s="20" t="n">
        <v>39</v>
      </c>
      <c r="U132" s="20" t="n">
        <v>49</v>
      </c>
      <c r="V132" s="20" t="n">
        <v>31</v>
      </c>
      <c r="W132" s="20" t="n">
        <v>34</v>
      </c>
      <c r="X132" s="20" t="n">
        <v>22</v>
      </c>
    </row>
    <row r="133">
      <c r="A133" s="18" t="inlineStr">
        <is>
          <t>영업외수익 합계</t>
        </is>
      </c>
      <c r="C133" s="20" t="n">
        <v>135</v>
      </c>
      <c r="D133" s="20" t="n">
        <v>59</v>
      </c>
      <c r="E133" s="20" t="n">
        <v>198</v>
      </c>
      <c r="F133" s="20" t="n">
        <v>234</v>
      </c>
      <c r="G133" s="20" t="n">
        <v>-55</v>
      </c>
      <c r="H133" s="20" t="n">
        <v>276</v>
      </c>
      <c r="I133" s="20" t="n">
        <v>146</v>
      </c>
      <c r="J133" s="20" t="n">
        <v>98</v>
      </c>
      <c r="K133" s="20" t="n">
        <v>133</v>
      </c>
      <c r="L133" s="20" t="n">
        <v>98</v>
      </c>
      <c r="M133" s="20" t="n">
        <v>204</v>
      </c>
      <c r="N133" s="20" t="n">
        <v>115</v>
      </c>
      <c r="T133" s="20" t="n">
        <v>132</v>
      </c>
      <c r="U133" s="20" t="n">
        <v>21</v>
      </c>
      <c r="V133" s="20" t="n">
        <v>59</v>
      </c>
      <c r="W133" s="20" t="n">
        <v>276</v>
      </c>
      <c r="X133" s="20" t="n">
        <v>98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IF(OR(G133="",C133=""),"",IF(G133*C133&lt;=0,"",IFERROR(G133/C133-1,"")))</f>
        <v/>
      </c>
      <c r="H134" s="15">
        <f>IF(OR(H133="",D133=""),"",IF(H133*D133&lt;=0,"",IFERROR(H133/D133-1,"")))</f>
        <v/>
      </c>
      <c r="I134" s="15">
        <f>IF(OR(I133="",E133=""),"",IF(I133*E133&lt;=0,"",IFERROR(I133/E133-1,"")))</f>
        <v/>
      </c>
      <c r="J134" s="15">
        <f>IF(OR(J133="",F133=""),"",IF(J133*F133&lt;=0,"",IFERROR(J133/F133-1,"")))</f>
        <v/>
      </c>
      <c r="K134" s="15">
        <f>IF(OR(K133="",G133=""),"",IF(K133*G133&lt;=0,"",IFERROR(K133/G133-1,"")))</f>
        <v/>
      </c>
      <c r="L134" s="15">
        <f>IF(OR(L133="",H133=""),"",IF(L133*H133&lt;=0,"",IFERROR(L133/H133-1,"")))</f>
        <v/>
      </c>
      <c r="M134" s="15">
        <f>IF(OR(M133="",I133=""),"",IF(M133*I133&lt;=0,"",IFERROR(M133/I133-1,"")))</f>
        <v/>
      </c>
      <c r="N134" s="15">
        <f>IF(OR(N133="",J133=""),"",IF(N133*J133&lt;=0,"",IFERROR(N133/J133-1,"")))</f>
        <v/>
      </c>
      <c r="T134" s="15">
        <f>IF(OR(T133="",S133=""),"",IF(T133*S133&lt;=0,"",IFERROR(T133/S133-1,"")))</f>
        <v/>
      </c>
      <c r="U134" s="15">
        <f>IF(OR(U133="",T133=""),"",IF(U133*T133&lt;=0,"",IFERROR(U133/T133-1,"")))</f>
        <v/>
      </c>
      <c r="V134" s="15">
        <f>IF(OR(V133="",U133=""),"",IF(V133*U133&lt;=0,"",IFERROR(V133/U133-1,"")))</f>
        <v/>
      </c>
      <c r="W134" s="15">
        <f>IF(OR(W133="",V133=""),"",IF(W133*V133&lt;=0,"",IFERROR(W133/V133-1,"")))</f>
        <v/>
      </c>
      <c r="X134" s="15">
        <f>IF(OR(X133="",W133=""),"",IF(X133*W133&lt;=0,"",IFERROR(X133/W133-1,"")))</f>
        <v/>
      </c>
    </row>
    <row r="135">
      <c r="A135" s="18" t="inlineStr">
        <is>
          <t>이자비용</t>
        </is>
      </c>
      <c r="C135" s="20" t="n">
        <v>5</v>
      </c>
      <c r="D135" s="20" t="n">
        <v>4</v>
      </c>
      <c r="E135" s="20" t="n">
        <v>4</v>
      </c>
      <c r="F135" s="20" t="n">
        <v>8</v>
      </c>
      <c r="G135" s="20" t="n">
        <v>8</v>
      </c>
      <c r="H135" s="20" t="n">
        <v>11</v>
      </c>
      <c r="I135" s="20" t="n">
        <v>12</v>
      </c>
      <c r="J135" s="20" t="n">
        <v>15</v>
      </c>
      <c r="K135" s="20" t="n">
        <v>16</v>
      </c>
      <c r="L135" s="20" t="n">
        <v>15</v>
      </c>
      <c r="M135" s="20" t="n">
        <v>40</v>
      </c>
      <c r="N135" s="20" t="n">
        <v>59</v>
      </c>
      <c r="T135" s="20" t="n">
        <v>19</v>
      </c>
      <c r="U135" s="20" t="n">
        <v>4</v>
      </c>
      <c r="V135" s="20" t="n">
        <v>4</v>
      </c>
      <c r="W135" s="20" t="n">
        <v>11</v>
      </c>
      <c r="X135" s="20" t="n">
        <v>15</v>
      </c>
    </row>
    <row r="136">
      <c r="A136" s="18" t="inlineStr">
        <is>
          <t>외환차손</t>
        </is>
      </c>
      <c r="E136" s="20" t="n">
        <v>0</v>
      </c>
      <c r="F136" s="20" t="n">
        <v>0</v>
      </c>
      <c r="G136" s="20" t="n">
        <v>3</v>
      </c>
      <c r="H136" s="20" t="n">
        <v>-3</v>
      </c>
      <c r="I136" s="20" t="n">
        <v>88</v>
      </c>
      <c r="J136" s="20" t="n">
        <v>42</v>
      </c>
      <c r="K136" s="20" t="n">
        <v>-39</v>
      </c>
      <c r="L136" s="20" t="n">
        <v>-76</v>
      </c>
      <c r="M136" s="20" t="n">
        <v>0</v>
      </c>
      <c r="N136" s="20" t="n">
        <v>0</v>
      </c>
      <c r="W136" s="20" t="n">
        <v>-3</v>
      </c>
      <c r="X136" s="20" t="n">
        <v>-76</v>
      </c>
    </row>
    <row r="137">
      <c r="A137" s="18" t="inlineStr">
        <is>
          <t>지급수수료</t>
        </is>
      </c>
      <c r="C137" s="20" t="n">
        <v>5</v>
      </c>
      <c r="D137" s="20" t="n">
        <v>3</v>
      </c>
      <c r="E137" s="20" t="n">
        <v>22</v>
      </c>
      <c r="F137" s="20" t="n">
        <v>6</v>
      </c>
      <c r="G137" s="20" t="n">
        <v>17</v>
      </c>
      <c r="H137" s="20" t="n">
        <v>6</v>
      </c>
      <c r="I137" s="20" t="n">
        <v>34</v>
      </c>
      <c r="J137" s="20" t="n">
        <v>72</v>
      </c>
      <c r="K137" s="20" t="n">
        <v>14</v>
      </c>
      <c r="L137" s="20" t="n">
        <v>4</v>
      </c>
      <c r="M137" s="20" t="n">
        <v>187</v>
      </c>
      <c r="N137" s="20" t="n">
        <v>-149</v>
      </c>
      <c r="T137" s="20" t="n">
        <v>2</v>
      </c>
      <c r="U137" s="20" t="n">
        <v>3</v>
      </c>
      <c r="V137" s="20" t="n">
        <v>3</v>
      </c>
      <c r="W137" s="20" t="n">
        <v>6</v>
      </c>
      <c r="X137" s="20" t="n">
        <v>4</v>
      </c>
    </row>
    <row r="138">
      <c r="A138" s="18" t="inlineStr">
        <is>
          <t>잡손실</t>
        </is>
      </c>
      <c r="C138" s="20" t="n">
        <v>6</v>
      </c>
      <c r="D138" s="20" t="n">
        <v>1</v>
      </c>
      <c r="E138" s="20" t="n">
        <v>5</v>
      </c>
      <c r="F138" s="20" t="n">
        <v>5</v>
      </c>
      <c r="G138" s="20" t="n">
        <v>4</v>
      </c>
      <c r="H138" s="20" t="n">
        <v>10</v>
      </c>
      <c r="I138" s="20" t="n">
        <v>7</v>
      </c>
      <c r="J138" s="20" t="n">
        <v>7</v>
      </c>
      <c r="K138" s="20" t="n">
        <v>8</v>
      </c>
      <c r="L138" s="20" t="n">
        <v>11</v>
      </c>
      <c r="M138" s="20" t="n">
        <v>5</v>
      </c>
      <c r="N138" s="20" t="n">
        <v>47</v>
      </c>
      <c r="T138" s="20" t="n">
        <v>16</v>
      </c>
      <c r="U138" s="20" t="n">
        <v>6</v>
      </c>
      <c r="V138" s="20" t="n">
        <v>1</v>
      </c>
      <c r="W138" s="20" t="n">
        <v>10</v>
      </c>
      <c r="X138" s="20" t="n">
        <v>11</v>
      </c>
    </row>
    <row r="139">
      <c r="A139" s="18" t="inlineStr">
        <is>
          <t>영업외비용 합계</t>
        </is>
      </c>
      <c r="C139" s="20" t="n">
        <v>15</v>
      </c>
      <c r="D139" s="20" t="n">
        <v>8</v>
      </c>
      <c r="E139" s="20" t="n">
        <v>32</v>
      </c>
      <c r="F139" s="20" t="n">
        <v>19</v>
      </c>
      <c r="G139" s="20" t="n">
        <v>34</v>
      </c>
      <c r="H139" s="20" t="n">
        <v>22</v>
      </c>
      <c r="I139" s="20" t="n">
        <v>142</v>
      </c>
      <c r="J139" s="20" t="n">
        <v>137</v>
      </c>
      <c r="K139" s="20" t="n">
        <v>-1</v>
      </c>
      <c r="L139" s="20" t="n">
        <v>-46</v>
      </c>
      <c r="M139" s="20" t="n">
        <v>233</v>
      </c>
      <c r="N139" s="20" t="n">
        <v>-43</v>
      </c>
      <c r="T139" s="20" t="n">
        <v>37</v>
      </c>
      <c r="U139" s="20" t="n">
        <v>13</v>
      </c>
      <c r="V139" s="20" t="n">
        <v>8</v>
      </c>
      <c r="W139" s="20" t="n">
        <v>22</v>
      </c>
      <c r="X139" s="20" t="n">
        <v>-46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IF(OR(G139="",C139=""),"",IF(G139*C139&lt;=0,"",IFERROR(G139/C139-1,"")))</f>
        <v/>
      </c>
      <c r="H140" s="15">
        <f>IF(OR(H139="",D139=""),"",IF(H139*D139&lt;=0,"",IFERROR(H139/D139-1,"")))</f>
        <v/>
      </c>
      <c r="I140" s="15">
        <f>IF(OR(I139="",E139=""),"",IF(I139*E139&lt;=0,"",IFERROR(I139/E139-1,"")))</f>
        <v/>
      </c>
      <c r="J140" s="15">
        <f>IF(OR(J139="",F139=""),"",IF(J139*F139&lt;=0,"",IFERROR(J139/F139-1,"")))</f>
        <v/>
      </c>
      <c r="K140" s="15">
        <f>IF(OR(K139="",G139=""),"",IF(K139*G139&lt;=0,"",IFERROR(K139/G139-1,"")))</f>
        <v/>
      </c>
      <c r="L140" s="15">
        <f>IF(OR(L139="",H139=""),"",IF(L139*H139&lt;=0,"",IFERROR(L139/H139-1,"")))</f>
        <v/>
      </c>
      <c r="M140" s="15">
        <f>IF(OR(M139="",I139=""),"",IF(M139*I139&lt;=0,"",IFERROR(M139/I139-1,"")))</f>
        <v/>
      </c>
      <c r="N140" s="15">
        <f>IF(OR(N139="",J139=""),"",IF(N139*J139&lt;=0,"",IFERROR(N139/J139-1,"")))</f>
        <v/>
      </c>
      <c r="T140" s="15">
        <f>IF(OR(T139="",S139=""),"",IF(T139*S139&lt;=0,"",IFERROR(T139/S139-1,"")))</f>
        <v/>
      </c>
      <c r="U140" s="15">
        <f>IF(OR(U139="",T139=""),"",IF(U139*T139&lt;=0,"",IFERROR(U139/T139-1,"")))</f>
        <v/>
      </c>
      <c r="V140" s="15">
        <f>IF(OR(V139="",U139=""),"",IF(V139*U139&lt;=0,"",IFERROR(V139/U139-1,"")))</f>
        <v/>
      </c>
      <c r="W140" s="15">
        <f>IF(OR(W139="",V139=""),"",IF(W139*V139&lt;=0,"",IFERROR(W139/V139-1,"")))</f>
        <v/>
      </c>
      <c r="X140" s="15">
        <f>IF(OR(X139="",W139=""),"",IF(X139*W139&lt;=0,"",IFERROR(X139/W139-1,"")))</f>
        <v/>
      </c>
    </row>
    <row r="141">
      <c r="A141" s="9" t="inlineStr">
        <is>
          <t>경상이익</t>
        </is>
      </c>
      <c r="C141" s="12" t="n">
        <v>1391</v>
      </c>
      <c r="D141" s="12" t="n">
        <v>1312</v>
      </c>
      <c r="E141" s="12" t="n">
        <v>1365</v>
      </c>
      <c r="F141" s="12" t="n">
        <v>1339</v>
      </c>
      <c r="G141" s="12" t="n">
        <v>769</v>
      </c>
      <c r="H141" s="12" t="n">
        <v>1638</v>
      </c>
      <c r="I141" s="12" t="n">
        <v>1682</v>
      </c>
      <c r="J141" s="12" t="n">
        <v>1811</v>
      </c>
      <c r="K141" s="12" t="n">
        <v>1291</v>
      </c>
      <c r="L141" s="12" t="n">
        <v>1644</v>
      </c>
      <c r="M141" s="12" t="n">
        <v>2215</v>
      </c>
      <c r="N141" s="12" t="n">
        <v>3232</v>
      </c>
      <c r="T141" s="12" t="n">
        <v>624</v>
      </c>
      <c r="U141" s="12" t="n">
        <v>717</v>
      </c>
      <c r="V141" s="12" t="n">
        <v>1312</v>
      </c>
      <c r="W141" s="12" t="n">
        <v>1638</v>
      </c>
      <c r="X141" s="12" t="n">
        <v>1644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고정자산 매각이익</t>
        </is>
      </c>
      <c r="C143" s="20" t="n">
        <v>0</v>
      </c>
      <c r="D143" s="20" t="n">
        <v>4</v>
      </c>
      <c r="E143" s="20" t="n">
        <v>0</v>
      </c>
      <c r="F143" s="20" t="n">
        <v>876</v>
      </c>
      <c r="G143" s="20" t="n">
        <v>3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20</v>
      </c>
      <c r="M143" s="20" t="n">
        <v>0</v>
      </c>
      <c r="N143" s="20" t="n">
        <v>4</v>
      </c>
      <c r="T143" s="20" t="n">
        <v>-1</v>
      </c>
      <c r="U143" s="20" t="n">
        <v>1541</v>
      </c>
      <c r="V143" s="20" t="n">
        <v>4</v>
      </c>
      <c r="W143" s="20" t="n">
        <v>0</v>
      </c>
      <c r="X143" s="20" t="n">
        <v>20</v>
      </c>
    </row>
    <row r="144">
      <c r="A144" s="18" t="inlineStr">
        <is>
          <t>투자유가증권 매각이익</t>
        </is>
      </c>
      <c r="C144" s="20" t="n">
        <v>0</v>
      </c>
      <c r="D144" s="20" t="n">
        <v>0</v>
      </c>
      <c r="G144" s="20" t="n">
        <v>793</v>
      </c>
      <c r="H144" s="20" t="n">
        <v>1623</v>
      </c>
      <c r="L144" s="20" t="n">
        <v>0</v>
      </c>
      <c r="T144" s="20" t="n">
        <v>0</v>
      </c>
      <c r="U144" s="20" t="n">
        <v>0</v>
      </c>
      <c r="V144" s="20" t="n">
        <v>0</v>
      </c>
      <c r="W144" s="20" t="n">
        <v>1623</v>
      </c>
      <c r="X144" s="20" t="n">
        <v>0</v>
      </c>
    </row>
    <row r="145">
      <c r="A145" s="18" t="inlineStr">
        <is>
          <t>특별이익 합계</t>
        </is>
      </c>
      <c r="C145" s="20" t="n">
        <v>1</v>
      </c>
      <c r="D145" s="20" t="n">
        <v>4</v>
      </c>
      <c r="E145" s="20" t="n">
        <v>0</v>
      </c>
      <c r="F145" s="20" t="n">
        <v>876</v>
      </c>
      <c r="G145" s="20" t="n">
        <v>796</v>
      </c>
      <c r="H145" s="20" t="n">
        <v>1623</v>
      </c>
      <c r="I145" s="20" t="n">
        <v>0</v>
      </c>
      <c r="J145" s="20" t="n">
        <v>0</v>
      </c>
      <c r="K145" s="20" t="n">
        <v>0</v>
      </c>
      <c r="L145" s="20" t="n">
        <v>20</v>
      </c>
      <c r="M145" s="20" t="n">
        <v>0</v>
      </c>
      <c r="N145" s="20" t="n">
        <v>4</v>
      </c>
      <c r="T145" s="20" t="n">
        <v>0</v>
      </c>
      <c r="U145" s="20" t="n">
        <v>1541</v>
      </c>
      <c r="V145" s="20" t="n">
        <v>4</v>
      </c>
      <c r="W145" s="20" t="n">
        <v>1623</v>
      </c>
      <c r="X145" s="20" t="n">
        <v>20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IF(OR(G145="",C145=""),"",IF(G145*C145&lt;=0,"",IFERROR(G145/C145-1,"")))</f>
        <v/>
      </c>
      <c r="H146" s="15">
        <f>IF(OR(H145="",D145=""),"",IF(H145*D145&lt;=0,"",IFERROR(H145/D145-1,"")))</f>
        <v/>
      </c>
      <c r="I146" s="15">
        <f>IF(OR(I145="",E145=""),"",IF(I145*E145&lt;=0,"",IFERROR(I145/E145-1,"")))</f>
        <v/>
      </c>
      <c r="J146" s="15">
        <f>IF(OR(J145="",F145=""),"",IF(J145*F145&lt;=0,"",IFERROR(J145/F145-1,"")))</f>
        <v/>
      </c>
      <c r="K146" s="15">
        <f>IF(OR(K145="",G145=""),"",IF(K145*G145&lt;=0,"",IFERROR(K145/G145-1,"")))</f>
        <v/>
      </c>
      <c r="L146" s="15">
        <f>IF(OR(L145="",H145=""),"",IF(L145*H145&lt;=0,"",IFERROR(L145/H145-1,"")))</f>
        <v/>
      </c>
      <c r="M146" s="15">
        <f>IF(OR(M145="",I145=""),"",IF(M145*I145&lt;=0,"",IFERROR(M145/I145-1,"")))</f>
        <v/>
      </c>
      <c r="N146" s="15">
        <f>IF(OR(N145="",J145=""),"",IF(N145*J145&lt;=0,"",IFERROR(N145/J145-1,"")))</f>
        <v/>
      </c>
      <c r="T146" s="15">
        <f>IF(OR(T145="",S145=""),"",IF(T145*S145&lt;=0,"",IFERROR(T145/S145-1,"")))</f>
        <v/>
      </c>
      <c r="U146" s="15">
        <f>IF(OR(U145="",T145=""),"",IF(U145*T145&lt;=0,"",IFERROR(U145/T145-1,"")))</f>
        <v/>
      </c>
      <c r="V146" s="15">
        <f>IF(OR(V145="",U145=""),"",IF(V145*U145&lt;=0,"",IFERROR(V145/U145-1,"")))</f>
        <v/>
      </c>
      <c r="W146" s="15">
        <f>IF(OR(W145="",V145=""),"",IF(W145*V145&lt;=0,"",IFERROR(W145/V145-1,"")))</f>
        <v/>
      </c>
      <c r="X146" s="15">
        <f>IF(OR(X145="",W145=""),"",IF(X145*W145&lt;=0,"",IFERROR(X145/W145-1,"")))</f>
        <v/>
      </c>
    </row>
    <row r="147">
      <c r="A147" s="18" t="inlineStr">
        <is>
          <t>고정자산 제각·매각손실</t>
        </is>
      </c>
      <c r="C147" s="20" t="n">
        <v>38</v>
      </c>
      <c r="D147" s="20" t="n">
        <v>29</v>
      </c>
      <c r="E147" s="20" t="n">
        <v>75</v>
      </c>
      <c r="F147" s="20" t="n">
        <v>23</v>
      </c>
      <c r="G147" s="20" t="n">
        <v>19</v>
      </c>
      <c r="H147" s="20" t="n">
        <v>81</v>
      </c>
      <c r="I147" s="20" t="n">
        <v>31</v>
      </c>
      <c r="J147" s="20" t="n">
        <v>15</v>
      </c>
      <c r="K147" s="20" t="n">
        <v>15</v>
      </c>
      <c r="L147" s="20" t="n">
        <v>85</v>
      </c>
      <c r="M147" s="20" t="n">
        <v>25</v>
      </c>
      <c r="N147" s="20" t="n">
        <v>31</v>
      </c>
      <c r="T147" s="20" t="n">
        <v>89</v>
      </c>
      <c r="U147" s="20" t="n">
        <v>52</v>
      </c>
      <c r="V147" s="20" t="n">
        <v>29</v>
      </c>
      <c r="W147" s="20" t="n">
        <v>81</v>
      </c>
      <c r="X147" s="20" t="n">
        <v>85</v>
      </c>
    </row>
    <row r="148">
      <c r="A148" s="18" t="inlineStr">
        <is>
          <t>투자유가증권 매각손실</t>
        </is>
      </c>
      <c r="C148" s="20" t="n">
        <v>0</v>
      </c>
      <c r="D148" s="20" t="n">
        <v>0</v>
      </c>
      <c r="G148" s="20" t="n">
        <v>0</v>
      </c>
      <c r="H148" s="20" t="n">
        <v>0</v>
      </c>
      <c r="U148" s="20" t="n">
        <v>0</v>
      </c>
      <c r="V148" s="20" t="n">
        <v>0</v>
      </c>
      <c r="W148" s="20" t="n">
        <v>0</v>
      </c>
    </row>
    <row r="149">
      <c r="A149" s="18" t="inlineStr">
        <is>
          <t>특별퇴직금</t>
        </is>
      </c>
      <c r="C149" s="20" t="n">
        <v>0</v>
      </c>
      <c r="D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M149" s="20" t="n">
        <v>25</v>
      </c>
      <c r="N149" s="20" t="n">
        <v>1</v>
      </c>
      <c r="T149" s="20" t="n">
        <v>0</v>
      </c>
      <c r="U149" s="20" t="n">
        <v>1</v>
      </c>
      <c r="V149" s="20" t="n">
        <v>0</v>
      </c>
      <c r="W149" s="20" t="n">
        <v>0</v>
      </c>
    </row>
    <row r="150">
      <c r="A150" s="18" t="inlineStr">
        <is>
          <t>Plant Relocation Expense EL</t>
        </is>
      </c>
      <c r="C150" s="20" t="n">
        <v>0</v>
      </c>
      <c r="D150" s="20" t="n">
        <v>0</v>
      </c>
      <c r="E150" s="20" t="n">
        <v>130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V150" s="20" t="n">
        <v>0</v>
      </c>
      <c r="W150" s="20" t="n">
        <v>0</v>
      </c>
      <c r="X150" s="20" t="n">
        <v>0</v>
      </c>
    </row>
    <row r="151">
      <c r="A151" s="18" t="inlineStr">
        <is>
          <t>특별손실 합계</t>
        </is>
      </c>
      <c r="C151" s="20" t="n">
        <v>38</v>
      </c>
      <c r="D151" s="20" t="n">
        <v>29</v>
      </c>
      <c r="E151" s="20" t="n">
        <v>206</v>
      </c>
      <c r="F151" s="20" t="n">
        <v>23</v>
      </c>
      <c r="G151" s="20" t="n">
        <v>19</v>
      </c>
      <c r="H151" s="20" t="n">
        <v>2158</v>
      </c>
      <c r="I151" s="20" t="n">
        <v>31</v>
      </c>
      <c r="J151" s="20" t="n">
        <v>15</v>
      </c>
      <c r="K151" s="20" t="n">
        <v>15</v>
      </c>
      <c r="L151" s="20" t="n">
        <v>1185</v>
      </c>
      <c r="M151" s="20" t="n">
        <v>51</v>
      </c>
      <c r="N151" s="20" t="n">
        <v>31</v>
      </c>
      <c r="T151" s="20" t="n">
        <v>858</v>
      </c>
      <c r="U151" s="20" t="n">
        <v>482</v>
      </c>
      <c r="V151" s="20" t="n">
        <v>29</v>
      </c>
      <c r="W151" s="20" t="n">
        <v>2158</v>
      </c>
      <c r="X151" s="20" t="n">
        <v>1185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IF(OR(G151="",C151=""),"",IF(G151*C151&lt;=0,"",IFERROR(G151/C151-1,"")))</f>
        <v/>
      </c>
      <c r="H152" s="15">
        <f>IF(OR(H151="",D151=""),"",IF(H151*D151&lt;=0,"",IFERROR(H151/D151-1,"")))</f>
        <v/>
      </c>
      <c r="I152" s="15">
        <f>IF(OR(I151="",E151=""),"",IF(I151*E151&lt;=0,"",IFERROR(I151/E151-1,"")))</f>
        <v/>
      </c>
      <c r="J152" s="15">
        <f>IF(OR(J151="",F151=""),"",IF(J151*F151&lt;=0,"",IFERROR(J151/F151-1,"")))</f>
        <v/>
      </c>
      <c r="K152" s="15">
        <f>IF(OR(K151="",G151=""),"",IF(K151*G151&lt;=0,"",IFERROR(K151/G151-1,"")))</f>
        <v/>
      </c>
      <c r="L152" s="15">
        <f>IF(OR(L151="",H151=""),"",IF(L151*H151&lt;=0,"",IFERROR(L151/H151-1,"")))</f>
        <v/>
      </c>
      <c r="M152" s="15">
        <f>IF(OR(M151="",I151=""),"",IF(M151*I151&lt;=0,"",IFERROR(M151/I151-1,"")))</f>
        <v/>
      </c>
      <c r="N152" s="15">
        <f>IF(OR(N151="",J151=""),"",IF(N151*J151&lt;=0,"",IFERROR(N151/J151-1,"")))</f>
        <v/>
      </c>
      <c r="T152" s="15">
        <f>IF(OR(T151="",S151=""),"",IF(T151*S151&lt;=0,"",IFERROR(T151/S151-1,"")))</f>
        <v/>
      </c>
      <c r="U152" s="15">
        <f>IF(OR(U151="",T151=""),"",IF(U151*T151&lt;=0,"",IFERROR(U151/T151-1,"")))</f>
        <v/>
      </c>
      <c r="V152" s="15">
        <f>IF(OR(V151="",U151=""),"",IF(V151*U151&lt;=0,"",IFERROR(V151/U151-1,"")))</f>
        <v/>
      </c>
      <c r="W152" s="15">
        <f>IF(OR(W151="",V151=""),"",IF(W151*V151&lt;=0,"",IFERROR(W151/V151-1,"")))</f>
        <v/>
      </c>
      <c r="X152" s="15">
        <f>IF(OR(X151="",W151=""),"",IF(X151*W151&lt;=0,"",IFERROR(X151/W151-1,"")))</f>
        <v/>
      </c>
    </row>
    <row r="153">
      <c r="A153" s="9" t="inlineStr">
        <is>
          <t>법인세차감전 순이익</t>
        </is>
      </c>
      <c r="C153" s="12" t="n">
        <v>1353</v>
      </c>
      <c r="D153" s="12" t="n">
        <v>1286</v>
      </c>
      <c r="E153" s="12" t="n">
        <v>1160</v>
      </c>
      <c r="F153" s="12" t="n">
        <v>2190</v>
      </c>
      <c r="G153" s="12" t="n">
        <v>1548</v>
      </c>
      <c r="H153" s="12" t="n">
        <v>1102</v>
      </c>
      <c r="I153" s="12" t="n">
        <v>1651</v>
      </c>
      <c r="J153" s="12" t="n">
        <v>1796</v>
      </c>
      <c r="K153" s="12" t="n">
        <v>1276</v>
      </c>
      <c r="L153" s="12" t="n">
        <v>478</v>
      </c>
      <c r="M153" s="12" t="n">
        <v>2165</v>
      </c>
      <c r="N153" s="12" t="n">
        <v>3204</v>
      </c>
      <c r="T153" s="12" t="n">
        <v>-233</v>
      </c>
      <c r="U153" s="12" t="n">
        <v>1776</v>
      </c>
      <c r="V153" s="12" t="n">
        <v>1286</v>
      </c>
      <c r="W153" s="12" t="n">
        <v>1102</v>
      </c>
      <c r="X153" s="12" t="n">
        <v>478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T154" s="15">
        <f>IF(OR(T153="",S153=""),"",IF(S153&lt;=0,"",IFERROR(T153/S153-1,"")))</f>
        <v/>
      </c>
      <c r="U154" s="15">
        <f>IF(OR(U153="",T153=""),"",IF(T153&lt;=0,"",IFERROR(U153/T153-1,"")))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법인세·주민세·사업세</t>
        </is>
      </c>
      <c r="C155" s="20" t="n">
        <v>568</v>
      </c>
      <c r="D155" s="20" t="n">
        <v>78</v>
      </c>
      <c r="E155" s="20" t="n">
        <v>497</v>
      </c>
      <c r="F155" s="20" t="n">
        <v>486</v>
      </c>
      <c r="G155" s="20" t="n">
        <v>784</v>
      </c>
      <c r="H155" s="20" t="n">
        <v>288</v>
      </c>
      <c r="I155" s="20" t="n">
        <v>371</v>
      </c>
      <c r="J155" s="20" t="n">
        <v>242</v>
      </c>
      <c r="K155" s="20" t="n">
        <v>573</v>
      </c>
      <c r="L155" s="20" t="n">
        <v>235</v>
      </c>
      <c r="M155" s="20" t="n">
        <v>849</v>
      </c>
      <c r="N155" s="20" t="n">
        <v>671</v>
      </c>
      <c r="T155" s="20" t="n">
        <v>-146</v>
      </c>
      <c r="U155" s="20" t="n">
        <v>276</v>
      </c>
      <c r="V155" s="20" t="n">
        <v>78</v>
      </c>
      <c r="W155" s="20" t="n">
        <v>288</v>
      </c>
      <c r="X155" s="20" t="n">
        <v>235</v>
      </c>
    </row>
    <row r="156">
      <c r="A156" s="18" t="inlineStr">
        <is>
          <t>법인세 조정액</t>
        </is>
      </c>
      <c r="C156" s="20" t="n">
        <v>-214</v>
      </c>
      <c r="D156" s="20" t="n">
        <v>194</v>
      </c>
      <c r="E156" s="20" t="n">
        <v>-194</v>
      </c>
      <c r="F156" s="20" t="n">
        <v>141</v>
      </c>
      <c r="G156" s="20" t="n">
        <v>-329</v>
      </c>
      <c r="H156" s="20" t="n">
        <v>-36</v>
      </c>
      <c r="I156" s="20" t="n">
        <v>27</v>
      </c>
      <c r="J156" s="20" t="n">
        <v>251</v>
      </c>
      <c r="K156" s="20" t="n">
        <v>-228</v>
      </c>
      <c r="L156" s="20" t="n">
        <v>-88</v>
      </c>
      <c r="M156" s="20" t="n">
        <v>-151</v>
      </c>
      <c r="N156" s="20" t="n">
        <v>276</v>
      </c>
      <c r="T156" s="20" t="n">
        <v>190</v>
      </c>
      <c r="U156" s="20" t="n">
        <v>273</v>
      </c>
      <c r="V156" s="20" t="n">
        <v>194</v>
      </c>
      <c r="W156" s="20" t="n">
        <v>-36</v>
      </c>
      <c r="X156" s="20" t="n">
        <v>-88</v>
      </c>
    </row>
    <row r="157">
      <c r="A157" s="18" t="inlineStr">
        <is>
          <t>법인세 등 합계</t>
        </is>
      </c>
      <c r="C157" s="20" t="n">
        <v>353</v>
      </c>
      <c r="D157" s="20" t="n">
        <v>273</v>
      </c>
      <c r="E157" s="20" t="n">
        <v>302</v>
      </c>
      <c r="F157" s="20" t="n">
        <v>628</v>
      </c>
      <c r="G157" s="20" t="n">
        <v>455</v>
      </c>
      <c r="H157" s="20" t="n">
        <v>251</v>
      </c>
      <c r="I157" s="20" t="n">
        <v>398</v>
      </c>
      <c r="J157" s="20" t="n">
        <v>494</v>
      </c>
      <c r="K157" s="20" t="n">
        <v>344</v>
      </c>
      <c r="L157" s="20" t="n">
        <v>147</v>
      </c>
      <c r="M157" s="20" t="n">
        <v>698</v>
      </c>
      <c r="N157" s="20" t="n">
        <v>948</v>
      </c>
      <c r="T157" s="20" t="n">
        <v>44</v>
      </c>
      <c r="U157" s="20" t="n">
        <v>551</v>
      </c>
      <c r="V157" s="20" t="n">
        <v>273</v>
      </c>
      <c r="W157" s="20" t="n">
        <v>251</v>
      </c>
      <c r="X157" s="20" t="n">
        <v>147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IF(OR(G157="",C157=""),"",IF(G157*C157&lt;=0,"",IFERROR(G157/C157-1,"")))</f>
        <v/>
      </c>
      <c r="H158" s="15">
        <f>IF(OR(H157="",D157=""),"",IF(H157*D157&lt;=0,"",IFERROR(H157/D157-1,"")))</f>
        <v/>
      </c>
      <c r="I158" s="15">
        <f>IF(OR(I157="",E157=""),"",IF(I157*E157&lt;=0,"",IFERROR(I157/E157-1,"")))</f>
        <v/>
      </c>
      <c r="J158" s="15">
        <f>IF(OR(J157="",F157=""),"",IF(J157*F157&lt;=0,"",IFERROR(J157/F157-1,"")))</f>
        <v/>
      </c>
      <c r="K158" s="15">
        <f>IF(OR(K157="",G157=""),"",IF(K157*G157&lt;=0,"",IFERROR(K157/G157-1,"")))</f>
        <v/>
      </c>
      <c r="L158" s="15">
        <f>IF(OR(L157="",H157=""),"",IF(L157*H157&lt;=0,"",IFERROR(L157/H157-1,"")))</f>
        <v/>
      </c>
      <c r="M158" s="15">
        <f>IF(OR(M157="",I157=""),"",IF(M157*I157&lt;=0,"",IFERROR(M157/I157-1,"")))</f>
        <v/>
      </c>
      <c r="N158" s="15">
        <f>IF(OR(N157="",J157=""),"",IF(N157*J157&lt;=0,"",IFERROR(N157/J157-1,"")))</f>
        <v/>
      </c>
      <c r="T158" s="15">
        <f>IF(OR(T157="",S157=""),"",IF(T157*S157&lt;=0,"",IFERROR(T157/S157-1,"")))</f>
        <v/>
      </c>
      <c r="U158" s="15">
        <f>IF(OR(U157="",T157=""),"",IF(U157*T157&lt;=0,"",IFERROR(U157/T157-1,"")))</f>
        <v/>
      </c>
      <c r="V158" s="15">
        <f>IF(OR(V157="",U157=""),"",IF(V157*U157&lt;=0,"",IFERROR(V157/U157-1,"")))</f>
        <v/>
      </c>
      <c r="W158" s="15">
        <f>IF(OR(W157="",V157=""),"",IF(W157*V157&lt;=0,"",IFERROR(W157/V157-1,"")))</f>
        <v/>
      </c>
      <c r="X158" s="15">
        <f>IF(OR(X157="",W157=""),"",IF(X157*W157&lt;=0,"",IFERROR(X157/W157-1,"")))</f>
        <v/>
      </c>
    </row>
    <row r="159">
      <c r="A159" s="9" t="inlineStr">
        <is>
          <t>순이익</t>
        </is>
      </c>
      <c r="C159" s="12" t="n">
        <v>999</v>
      </c>
      <c r="D159" s="12" t="n">
        <v>1014</v>
      </c>
      <c r="E159" s="12" t="n">
        <v>857</v>
      </c>
      <c r="F159" s="12" t="n">
        <v>1563</v>
      </c>
      <c r="G159" s="12" t="n">
        <v>1093</v>
      </c>
      <c r="H159" s="12" t="n">
        <v>851</v>
      </c>
      <c r="I159" s="12" t="n">
        <v>1252</v>
      </c>
      <c r="J159" s="12" t="n">
        <v>1302</v>
      </c>
      <c r="K159" s="12" t="n">
        <v>932</v>
      </c>
      <c r="L159" s="12" t="n">
        <v>332</v>
      </c>
      <c r="M159" s="12" t="n">
        <v>1466</v>
      </c>
      <c r="N159" s="12" t="n">
        <v>2256</v>
      </c>
      <c r="T159" s="12" t="n">
        <v>-277</v>
      </c>
      <c r="U159" s="12" t="n">
        <v>1225</v>
      </c>
      <c r="V159" s="12" t="n">
        <v>1014</v>
      </c>
      <c r="W159" s="12" t="n">
        <v>851</v>
      </c>
      <c r="X159" s="12" t="n">
        <v>332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T160" s="15">
        <f>IF(OR(T159="",S159=""),"",IF(S159&lt;=0,"",IFERROR(T159/S159-1,"")))</f>
        <v/>
      </c>
      <c r="U160" s="15">
        <f>IF(OR(U159="",T159=""),"",IF(T159&lt;=0,"",IFERROR(U159/T159-1,"")))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9" t="inlineStr">
        <is>
          <t>비지배주주 순손익</t>
        </is>
      </c>
      <c r="C161" s="12" t="n">
        <v>0</v>
      </c>
      <c r="D161" s="12" t="n">
        <v>1</v>
      </c>
      <c r="E161" s="12" t="n">
        <v>0</v>
      </c>
      <c r="F161" s="12" t="n">
        <v>1</v>
      </c>
      <c r="G161" s="12" t="n">
        <v>1</v>
      </c>
      <c r="H161" s="12" t="n">
        <v>2</v>
      </c>
      <c r="I161" s="12" t="n">
        <v>1</v>
      </c>
      <c r="J161" s="12" t="n">
        <v>1</v>
      </c>
      <c r="K161" s="12" t="n">
        <v>1</v>
      </c>
      <c r="L161" s="12" t="n">
        <v>0</v>
      </c>
      <c r="M161" s="12" t="n">
        <v>-7</v>
      </c>
      <c r="N161" s="12" t="n">
        <v>-4</v>
      </c>
      <c r="T161" s="12" t="n">
        <v>0</v>
      </c>
      <c r="U161" s="12" t="n">
        <v>0</v>
      </c>
      <c r="V161" s="12" t="n">
        <v>1</v>
      </c>
      <c r="W161" s="12" t="n">
        <v>2</v>
      </c>
      <c r="X161" s="12" t="n">
        <v>0</v>
      </c>
    </row>
    <row r="162">
      <c r="A162" s="9" t="inlineStr">
        <is>
          <t>지배주주 순이익</t>
        </is>
      </c>
      <c r="C162" s="12" t="n">
        <v>999</v>
      </c>
      <c r="D162" s="12" t="n">
        <v>1014</v>
      </c>
      <c r="E162" s="12" t="n">
        <v>856</v>
      </c>
      <c r="F162" s="12" t="n">
        <v>1562</v>
      </c>
      <c r="G162" s="12" t="n">
        <v>1092</v>
      </c>
      <c r="H162" s="12" t="n">
        <v>849</v>
      </c>
      <c r="I162" s="12" t="n">
        <v>1251</v>
      </c>
      <c r="J162" s="12" t="n">
        <v>1301</v>
      </c>
      <c r="K162" s="12" t="n">
        <v>930</v>
      </c>
      <c r="L162" s="12" t="n">
        <v>333</v>
      </c>
      <c r="M162" s="12" t="n">
        <v>1474</v>
      </c>
      <c r="N162" s="12" t="n">
        <v>2260</v>
      </c>
      <c r="T162" s="12" t="n">
        <v>-277</v>
      </c>
      <c r="U162" s="12" t="n">
        <v>1225</v>
      </c>
      <c r="V162" s="12" t="n">
        <v>1014</v>
      </c>
      <c r="W162" s="12" t="n">
        <v>849</v>
      </c>
      <c r="X162" s="12" t="n">
        <v>333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T163" s="15">
        <f>IF(OR(T162="",S162=""),"",IF(S162&lt;=0,"",IFERROR(T162/S162-1,"")))</f>
        <v/>
      </c>
      <c r="U163" s="15">
        <f>IF(OR(U162="",T162=""),"",IF(T162&lt;=0,"",IFERROR(U162/T162-1,"")))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5">
      <c r="A165" s="16" t="inlineStr">
        <is>
          <t>포괄손익 · 전 항목</t>
        </is>
      </c>
      <c r="B165" s="42" t="inlineStr">
        <is>
          <t>분기 = 3개월 단독</t>
        </is>
      </c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</row>
    <row r="166">
      <c r="A166" s="5" t="inlineStr">
        <is>
          <t>항목</t>
        </is>
      </c>
      <c r="B166" s="5" t="inlineStr">
        <is>
          <t>참고</t>
        </is>
      </c>
      <c r="C166" s="5" t="inlineStr">
        <is>
          <t>2023.3Q</t>
        </is>
      </c>
      <c r="D166" s="5" t="inlineStr">
        <is>
          <t>2023.4Q</t>
        </is>
      </c>
      <c r="E166" s="5" t="inlineStr">
        <is>
          <t>2024.1Q</t>
        </is>
      </c>
      <c r="F166" s="5" t="inlineStr">
        <is>
          <t>2024.2Q</t>
        </is>
      </c>
      <c r="G166" s="5" t="inlineStr">
        <is>
          <t>2024.3Q</t>
        </is>
      </c>
      <c r="H166" s="5" t="inlineStr">
        <is>
          <t>2024.4Q</t>
        </is>
      </c>
      <c r="I166" s="5" t="inlineStr">
        <is>
          <t>2025.1Q</t>
        </is>
      </c>
      <c r="J166" s="5" t="inlineStr">
        <is>
          <t>2025.2Q</t>
        </is>
      </c>
      <c r="K166" s="5" t="inlineStr">
        <is>
          <t>2025.3Q</t>
        </is>
      </c>
      <c r="L166" s="5" t="inlineStr">
        <is>
          <t>2025.4Q</t>
        </is>
      </c>
      <c r="M166" s="5" t="inlineStr">
        <is>
          <t>2026.1Q</t>
        </is>
      </c>
      <c r="N166" s="5" t="inlineStr">
        <is>
          <t>2026.2Q</t>
        </is>
      </c>
      <c r="O166" s="5" t="inlineStr">
        <is>
          <t>2016</t>
        </is>
      </c>
      <c r="P166" s="5" t="inlineStr">
        <is>
          <t>2017</t>
        </is>
      </c>
      <c r="Q166" s="5" t="inlineStr">
        <is>
          <t>2018</t>
        </is>
      </c>
      <c r="R166" s="5" t="inlineStr">
        <is>
          <t>2019</t>
        </is>
      </c>
      <c r="S166" s="5" t="inlineStr">
        <is>
          <t>2020</t>
        </is>
      </c>
      <c r="T166" s="5" t="inlineStr">
        <is>
          <t>2021</t>
        </is>
      </c>
      <c r="U166" s="5" t="inlineStr">
        <is>
          <t>2022</t>
        </is>
      </c>
      <c r="V166" s="5" t="inlineStr">
        <is>
          <t>2023</t>
        </is>
      </c>
      <c r="W166" s="5" t="inlineStr">
        <is>
          <t>2024</t>
        </is>
      </c>
      <c r="X166" s="5" t="inlineStr">
        <is>
          <t>2025</t>
        </is>
      </c>
      <c r="Y166" s="5" t="inlineStr">
        <is>
          <t>2026(MW)</t>
        </is>
      </c>
      <c r="Z166" s="5" t="inlineStr">
        <is>
          <t>2027(MW)</t>
        </is>
      </c>
      <c r="AA166" s="5" t="inlineStr">
        <is>
          <t>2028(MW)</t>
        </is>
      </c>
      <c r="AB166" s="5" t="inlineStr">
        <is>
          <t>2029(MW)</t>
        </is>
      </c>
      <c r="AC166" s="5" t="inlineStr">
        <is>
          <t>2030(MW)</t>
        </is>
      </c>
    </row>
    <row r="167">
      <c r="A167" s="9" t="inlineStr">
        <is>
          <t>순이익</t>
        </is>
      </c>
      <c r="C167" s="12" t="n">
        <v>999</v>
      </c>
      <c r="D167" s="12" t="n">
        <v>1014</v>
      </c>
      <c r="E167" s="12" t="n">
        <v>857</v>
      </c>
      <c r="F167" s="12" t="n">
        <v>1563</v>
      </c>
      <c r="G167" s="12" t="n">
        <v>1093</v>
      </c>
      <c r="H167" s="12" t="n">
        <v>851</v>
      </c>
      <c r="I167" s="12" t="n">
        <v>1252</v>
      </c>
      <c r="J167" s="12" t="n">
        <v>1302</v>
      </c>
      <c r="K167" s="12" t="n">
        <v>932</v>
      </c>
      <c r="L167" s="12" t="n">
        <v>332</v>
      </c>
      <c r="M167" s="12" t="n">
        <v>1466</v>
      </c>
      <c r="N167" s="12" t="n">
        <v>2256</v>
      </c>
      <c r="T167" s="12" t="n">
        <v>-277</v>
      </c>
      <c r="U167" s="12" t="n">
        <v>1225</v>
      </c>
      <c r="V167" s="12" t="n">
        <v>1014</v>
      </c>
      <c r="W167" s="12" t="n">
        <v>851</v>
      </c>
      <c r="X167" s="12" t="n">
        <v>332</v>
      </c>
    </row>
    <row r="168">
      <c r="A168" s="18" t="inlineStr">
        <is>
          <t>기타유가증권 평가차액</t>
        </is>
      </c>
      <c r="C168" s="20" t="n">
        <v>275</v>
      </c>
      <c r="D168" s="20" t="n">
        <v>146</v>
      </c>
      <c r="E168" s="20" t="n">
        <v>1185</v>
      </c>
      <c r="F168" s="20" t="n">
        <v>509</v>
      </c>
      <c r="G168" s="20" t="n">
        <v>878</v>
      </c>
      <c r="H168" s="20" t="n">
        <v>-2573</v>
      </c>
      <c r="I168" s="20" t="n">
        <v>-715</v>
      </c>
      <c r="J168" s="20" t="n">
        <v>-128</v>
      </c>
      <c r="K168" s="20" t="n">
        <v>1013</v>
      </c>
      <c r="L168" s="20" t="n">
        <v>-107</v>
      </c>
      <c r="M168" s="20" t="n">
        <v>-106</v>
      </c>
      <c r="N168" s="20" t="n">
        <v>46</v>
      </c>
      <c r="T168" s="20" t="n">
        <v>98</v>
      </c>
      <c r="U168" s="20" t="n">
        <v>213</v>
      </c>
      <c r="V168" s="20" t="n">
        <v>146</v>
      </c>
      <c r="W168" s="20" t="n">
        <v>-2573</v>
      </c>
      <c r="X168" s="20" t="n">
        <v>-107</v>
      </c>
    </row>
    <row r="169">
      <c r="A169" s="18" t="inlineStr">
        <is>
          <t>해외사업환산조정</t>
        </is>
      </c>
      <c r="C169" s="20" t="n">
        <v>9</v>
      </c>
      <c r="D169" s="20" t="n">
        <v>-10</v>
      </c>
      <c r="E169" s="20" t="n">
        <v>18</v>
      </c>
      <c r="F169" s="20" t="n">
        <v>25</v>
      </c>
      <c r="G169" s="20" t="n">
        <v>-33</v>
      </c>
      <c r="H169" s="20" t="n">
        <v>25</v>
      </c>
      <c r="I169" s="20" t="n">
        <v>-26</v>
      </c>
      <c r="J169" s="20" t="n">
        <v>-9</v>
      </c>
      <c r="K169" s="20" t="n">
        <v>16</v>
      </c>
      <c r="L169" s="20" t="n">
        <v>35</v>
      </c>
      <c r="M169" s="20" t="n">
        <v>17</v>
      </c>
      <c r="N169" s="20" t="n">
        <v>37</v>
      </c>
      <c r="T169" s="20" t="n">
        <v>15</v>
      </c>
      <c r="U169" s="20" t="n">
        <v>-28</v>
      </c>
      <c r="V169" s="20" t="n">
        <v>-10</v>
      </c>
      <c r="W169" s="20" t="n">
        <v>25</v>
      </c>
      <c r="X169" s="20" t="n">
        <v>35</v>
      </c>
    </row>
    <row r="170">
      <c r="A170" s="18" t="inlineStr">
        <is>
          <t>퇴직급여 조정액</t>
        </is>
      </c>
      <c r="C170" s="20" t="n">
        <v>3</v>
      </c>
      <c r="D170" s="20" t="n">
        <v>131</v>
      </c>
      <c r="E170" s="20" t="n">
        <v>1</v>
      </c>
      <c r="F170" s="20" t="n">
        <v>1</v>
      </c>
      <c r="G170" s="20" t="n">
        <v>1</v>
      </c>
      <c r="H170" s="20" t="n">
        <v>59</v>
      </c>
      <c r="I170" s="20" t="n">
        <v>-1</v>
      </c>
      <c r="J170" s="20" t="n">
        <v>-2</v>
      </c>
      <c r="K170" s="20" t="n">
        <v>-2</v>
      </c>
      <c r="L170" s="20" t="n">
        <v>675</v>
      </c>
      <c r="M170" s="20" t="n">
        <v>-13</v>
      </c>
      <c r="N170" s="20" t="n">
        <v>-15</v>
      </c>
      <c r="T170" s="20" t="n">
        <v>102</v>
      </c>
      <c r="U170" s="20" t="n">
        <v>-189</v>
      </c>
      <c r="V170" s="20" t="n">
        <v>131</v>
      </c>
      <c r="W170" s="20" t="n">
        <v>59</v>
      </c>
      <c r="X170" s="20" t="n">
        <v>675</v>
      </c>
    </row>
    <row r="171">
      <c r="A171" s="18" t="inlineStr">
        <is>
          <t>기타포괄손익 합계</t>
        </is>
      </c>
      <c r="C171" s="20" t="n">
        <v>287</v>
      </c>
      <c r="D171" s="20" t="n">
        <v>267</v>
      </c>
      <c r="E171" s="20" t="n">
        <v>1205</v>
      </c>
      <c r="F171" s="20" t="n">
        <v>535</v>
      </c>
      <c r="G171" s="20" t="n">
        <v>846</v>
      </c>
      <c r="H171" s="20" t="n">
        <v>-2489</v>
      </c>
      <c r="I171" s="20" t="n">
        <v>-743</v>
      </c>
      <c r="J171" s="20" t="n">
        <v>-139</v>
      </c>
      <c r="K171" s="20" t="n">
        <v>1028</v>
      </c>
      <c r="L171" s="20" t="n">
        <v>604</v>
      </c>
      <c r="M171" s="20" t="n">
        <v>-103</v>
      </c>
      <c r="N171" s="20" t="n">
        <v>69</v>
      </c>
      <c r="T171" s="20" t="n">
        <v>216</v>
      </c>
      <c r="U171" s="20" t="n">
        <v>-4</v>
      </c>
      <c r="V171" s="20" t="n">
        <v>267</v>
      </c>
      <c r="W171" s="20" t="n">
        <v>-2489</v>
      </c>
      <c r="X171" s="20" t="n">
        <v>604</v>
      </c>
    </row>
    <row r="172">
      <c r="A172" s="9" t="inlineStr">
        <is>
          <t>포괄이익</t>
        </is>
      </c>
      <c r="C172" s="12" t="n">
        <v>1287</v>
      </c>
      <c r="D172" s="12" t="n">
        <v>1281</v>
      </c>
      <c r="E172" s="12" t="n">
        <v>2063</v>
      </c>
      <c r="F172" s="12" t="n">
        <v>2098</v>
      </c>
      <c r="G172" s="12" t="n">
        <v>1939</v>
      </c>
      <c r="H172" s="12" t="n">
        <v>-1639</v>
      </c>
      <c r="I172" s="12" t="n">
        <v>509</v>
      </c>
      <c r="J172" s="12" t="n">
        <v>1162</v>
      </c>
      <c r="K172" s="12" t="n">
        <v>1962</v>
      </c>
      <c r="L172" s="12" t="n">
        <v>935</v>
      </c>
      <c r="M172" s="12" t="n">
        <v>1363</v>
      </c>
      <c r="N172" s="12" t="n">
        <v>2325</v>
      </c>
      <c r="T172" s="12" t="n">
        <v>-62</v>
      </c>
      <c r="U172" s="12" t="n">
        <v>1222</v>
      </c>
      <c r="V172" s="12" t="n">
        <v>1281</v>
      </c>
      <c r="W172" s="12" t="n">
        <v>-1639</v>
      </c>
      <c r="X172" s="12" t="n">
        <v>935</v>
      </c>
    </row>
    <row r="173">
      <c r="A173" s="9" t="inlineStr">
        <is>
          <t>지배주주 포괄이익</t>
        </is>
      </c>
      <c r="C173" s="12" t="n">
        <v>1287</v>
      </c>
      <c r="D173" s="12" t="n">
        <v>1281</v>
      </c>
      <c r="E173" s="12" t="n">
        <v>2061</v>
      </c>
      <c r="F173" s="12" t="n">
        <v>2095</v>
      </c>
      <c r="G173" s="12" t="n">
        <v>1940</v>
      </c>
      <c r="H173" s="12" t="n">
        <v>-1642</v>
      </c>
      <c r="I173" s="12" t="n">
        <v>509</v>
      </c>
      <c r="J173" s="12" t="n">
        <v>1162</v>
      </c>
      <c r="K173" s="12" t="n">
        <v>1959</v>
      </c>
      <c r="L173" s="12" t="n">
        <v>934</v>
      </c>
      <c r="M173" s="12" t="n">
        <v>1370</v>
      </c>
      <c r="N173" s="12" t="n">
        <v>2325</v>
      </c>
      <c r="T173" s="12" t="n">
        <v>-62</v>
      </c>
      <c r="U173" s="12" t="n">
        <v>1223</v>
      </c>
      <c r="V173" s="12" t="n">
        <v>1281</v>
      </c>
      <c r="W173" s="12" t="n">
        <v>-1642</v>
      </c>
      <c r="X173" s="12" t="n">
        <v>934</v>
      </c>
    </row>
    <row r="174">
      <c r="A174" s="9" t="inlineStr">
        <is>
          <t>비지배주주 포괄이익</t>
        </is>
      </c>
      <c r="C174" s="12" t="n">
        <v>1</v>
      </c>
      <c r="D174" s="12" t="n">
        <v>0</v>
      </c>
      <c r="E174" s="12" t="n">
        <v>1</v>
      </c>
      <c r="F174" s="12" t="n">
        <v>3</v>
      </c>
      <c r="G174" s="12" t="n">
        <v>-1</v>
      </c>
      <c r="H174" s="12" t="n">
        <v>3</v>
      </c>
      <c r="I174" s="12" t="n">
        <v>-0</v>
      </c>
      <c r="J174" s="12" t="n">
        <v>0</v>
      </c>
      <c r="K174" s="12" t="n">
        <v>2</v>
      </c>
      <c r="L174" s="12" t="n">
        <v>2</v>
      </c>
      <c r="M174" s="12" t="n">
        <v>-6</v>
      </c>
      <c r="N174" s="12" t="n">
        <v>-1</v>
      </c>
      <c r="T174" s="12" t="n">
        <v>1</v>
      </c>
      <c r="U174" s="12" t="n">
        <v>-1</v>
      </c>
      <c r="V174" s="12" t="n">
        <v>0</v>
      </c>
      <c r="W174" s="12" t="n">
        <v>3</v>
      </c>
      <c r="X174" s="12" t="n">
        <v>2</v>
      </c>
    </row>
    <row r="176">
      <c r="A176" s="16" t="inlineStr">
        <is>
          <t>부문 · 전 항목</t>
        </is>
      </c>
      <c r="B176" s="42" t="inlineStr">
        <is>
          <t>부문 · 항목</t>
        </is>
      </c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</row>
    <row r="177">
      <c r="A177" s="5" t="inlineStr">
        <is>
          <t>항목</t>
        </is>
      </c>
      <c r="B177" s="5" t="inlineStr">
        <is>
          <t>참고</t>
        </is>
      </c>
      <c r="C177" s="5" t="inlineStr">
        <is>
          <t>2023.3Q</t>
        </is>
      </c>
      <c r="D177" s="5" t="inlineStr">
        <is>
          <t>2023.4Q</t>
        </is>
      </c>
      <c r="E177" s="5" t="inlineStr">
        <is>
          <t>2024.1Q</t>
        </is>
      </c>
      <c r="F177" s="5" t="inlineStr">
        <is>
          <t>2024.2Q</t>
        </is>
      </c>
      <c r="G177" s="5" t="inlineStr">
        <is>
          <t>2024.3Q</t>
        </is>
      </c>
      <c r="H177" s="5" t="inlineStr">
        <is>
          <t>2024.4Q</t>
        </is>
      </c>
      <c r="I177" s="5" t="inlineStr">
        <is>
          <t>2025.1Q</t>
        </is>
      </c>
      <c r="J177" s="5" t="inlineStr">
        <is>
          <t>2025.2Q</t>
        </is>
      </c>
      <c r="K177" s="5" t="inlineStr">
        <is>
          <t>2025.3Q</t>
        </is>
      </c>
      <c r="L177" s="5" t="inlineStr">
        <is>
          <t>2025.4Q</t>
        </is>
      </c>
      <c r="M177" s="5" t="inlineStr">
        <is>
          <t>2026.1Q</t>
        </is>
      </c>
      <c r="N177" s="5" t="inlineStr">
        <is>
          <t>2026.2Q</t>
        </is>
      </c>
      <c r="O177" s="5" t="inlineStr">
        <is>
          <t>2016</t>
        </is>
      </c>
      <c r="P177" s="5" t="inlineStr">
        <is>
          <t>2017</t>
        </is>
      </c>
      <c r="Q177" s="5" t="inlineStr">
        <is>
          <t>2018</t>
        </is>
      </c>
      <c r="R177" s="5" t="inlineStr">
        <is>
          <t>2019</t>
        </is>
      </c>
      <c r="S177" s="5" t="inlineStr">
        <is>
          <t>2020</t>
        </is>
      </c>
      <c r="T177" s="5" t="inlineStr">
        <is>
          <t>2021</t>
        </is>
      </c>
      <c r="U177" s="5" t="inlineStr">
        <is>
          <t>2022</t>
        </is>
      </c>
      <c r="V177" s="5" t="inlineStr">
        <is>
          <t>2023</t>
        </is>
      </c>
      <c r="W177" s="5" t="inlineStr">
        <is>
          <t>2024</t>
        </is>
      </c>
      <c r="X177" s="5" t="inlineStr">
        <is>
          <t>2025</t>
        </is>
      </c>
      <c r="Y177" s="5" t="inlineStr">
        <is>
          <t>2026(MW)</t>
        </is>
      </c>
      <c r="Z177" s="5" t="inlineStr">
        <is>
          <t>2027(MW)</t>
        </is>
      </c>
      <c r="AA177" s="5" t="inlineStr">
        <is>
          <t>2028(MW)</t>
        </is>
      </c>
      <c r="AB177" s="5" t="inlineStr">
        <is>
          <t>2029(MW)</t>
        </is>
      </c>
      <c r="AC177" s="5" t="inlineStr">
        <is>
          <t>2030(MW)</t>
        </is>
      </c>
    </row>
    <row r="178">
      <c r="A178" s="18" t="inlineStr">
        <is>
          <t>SyntheticResinBusinessReportableSegmentsMember · 외부 고객 매출</t>
        </is>
      </c>
      <c r="C178" s="20" t="n">
        <v>12427</v>
      </c>
      <c r="D178" s="20" t="n">
        <v>12819</v>
      </c>
      <c r="G178" s="20" t="n">
        <v>12927</v>
      </c>
      <c r="H178" s="20" t="n">
        <v>13570</v>
      </c>
      <c r="K178" s="20" t="n">
        <v>12874</v>
      </c>
      <c r="L178" s="20" t="n">
        <v>13384</v>
      </c>
      <c r="V178" s="20" t="n">
        <v>12819</v>
      </c>
      <c r="W178" s="20" t="n">
        <v>13570</v>
      </c>
      <c r="X178" s="20" t="n">
        <v>13384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NewMaterialBusinessReportableSegmentsMember · 외부 고객 매출</t>
        </is>
      </c>
      <c r="C180" s="20" t="n">
        <v>3587</v>
      </c>
      <c r="D180" s="20" t="n">
        <v>3644</v>
      </c>
      <c r="G180" s="20" t="n">
        <v>3292</v>
      </c>
      <c r="H180" s="20" t="n">
        <v>4223</v>
      </c>
      <c r="K180" s="20" t="n">
        <v>4061</v>
      </c>
      <c r="L180" s="20" t="n">
        <v>5141</v>
      </c>
      <c r="V180" s="20" t="n">
        <v>3644</v>
      </c>
      <c r="W180" s="20" t="n">
        <v>4223</v>
      </c>
      <c r="X180" s="20" t="n">
        <v>5141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ConstructionMaterialBusinessReportableSegmentsMember · 외부 고객 매출</t>
        </is>
      </c>
      <c r="C182" s="20" t="n">
        <v>2966</v>
      </c>
      <c r="D182" s="20" t="n">
        <v>3279</v>
      </c>
      <c r="G182" s="20" t="n">
        <v>3250</v>
      </c>
      <c r="H182" s="20" t="n">
        <v>3562</v>
      </c>
      <c r="K182" s="20" t="n">
        <v>3272</v>
      </c>
      <c r="L182" s="20" t="n">
        <v>3396</v>
      </c>
      <c r="V182" s="20" t="n">
        <v>3279</v>
      </c>
      <c r="W182" s="20" t="n">
        <v>3562</v>
      </c>
      <c r="X182" s="20" t="n">
        <v>3396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보고부문 합계 · 외부 고객 매출</t>
        </is>
      </c>
      <c r="C184" s="20" t="n">
        <v>18980</v>
      </c>
      <c r="D184" s="20" t="n">
        <v>19743</v>
      </c>
      <c r="E184" s="20" t="n">
        <v>19075</v>
      </c>
      <c r="F184" s="20" t="n">
        <v>19433</v>
      </c>
      <c r="G184" s="20" t="n">
        <v>19469</v>
      </c>
      <c r="H184" s="20" t="n">
        <v>21354</v>
      </c>
      <c r="I184" s="20" t="n">
        <v>21258</v>
      </c>
      <c r="J184" s="20" t="n">
        <v>21399</v>
      </c>
      <c r="K184" s="20" t="n">
        <v>20208</v>
      </c>
      <c r="L184" s="20" t="n">
        <v>21920</v>
      </c>
      <c r="M184" s="20" t="n">
        <v>23557</v>
      </c>
      <c r="N184" s="20" t="n">
        <v>27961</v>
      </c>
      <c r="V184" s="20" t="n">
        <v>19743</v>
      </c>
      <c r="W184" s="20" t="n">
        <v>21354</v>
      </c>
      <c r="X184" s="20" t="n">
        <v>21920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기타 · 외부 고객 매출</t>
        </is>
      </c>
      <c r="C186" s="20" t="n">
        <v>380</v>
      </c>
      <c r="D186" s="20" t="n">
        <v>422</v>
      </c>
      <c r="E186" s="20" t="n">
        <v>428</v>
      </c>
      <c r="F186" s="20" t="n">
        <v>463</v>
      </c>
      <c r="G186" s="20" t="n">
        <v>471</v>
      </c>
      <c r="H186" s="20" t="n">
        <v>498</v>
      </c>
      <c r="I186" s="20" t="n">
        <v>428</v>
      </c>
      <c r="J186" s="20" t="n">
        <v>466</v>
      </c>
      <c r="K186" s="20" t="n">
        <v>474</v>
      </c>
      <c r="L186" s="20" t="n">
        <v>504</v>
      </c>
      <c r="M186" s="20" t="n">
        <v>469</v>
      </c>
      <c r="N186" s="20" t="n">
        <v>511</v>
      </c>
      <c r="V186" s="20" t="n">
        <v>422</v>
      </c>
      <c r="W186" s="20" t="n">
        <v>498</v>
      </c>
      <c r="X186" s="20" t="n">
        <v>504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합계 · 외부 고객 매출</t>
        </is>
      </c>
      <c r="C188" s="20" t="n">
        <v>19361</v>
      </c>
      <c r="D188" s="20" t="n">
        <v>20165</v>
      </c>
      <c r="E188" s="20" t="n">
        <v>19504</v>
      </c>
      <c r="F188" s="20" t="n">
        <v>19896</v>
      </c>
      <c r="G188" s="20" t="n">
        <v>19939</v>
      </c>
      <c r="H188" s="20" t="n">
        <v>21853</v>
      </c>
      <c r="I188" s="20" t="n">
        <v>21686</v>
      </c>
      <c r="J188" s="20" t="n">
        <v>21865</v>
      </c>
      <c r="K188" s="20" t="n">
        <v>20682</v>
      </c>
      <c r="L188" s="20" t="n">
        <v>22425</v>
      </c>
      <c r="M188" s="20" t="n">
        <v>24026</v>
      </c>
      <c r="N188" s="20" t="n">
        <v>28473</v>
      </c>
      <c r="V188" s="20" t="n">
        <v>20165</v>
      </c>
      <c r="W188" s="20" t="n">
        <v>21853</v>
      </c>
      <c r="X188" s="20" t="n">
        <v>22425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0">
      <c r="A190" s="18" t="inlineStr">
        <is>
          <t>조정액 · 외부 고객 매출</t>
        </is>
      </c>
      <c r="C190" s="20" t="n">
        <v>0</v>
      </c>
      <c r="D190" s="20" t="n">
        <v>0</v>
      </c>
      <c r="E190" s="20" t="n">
        <v>0</v>
      </c>
      <c r="F190" s="20" t="n">
        <v>0</v>
      </c>
      <c r="G190" s="20" t="n">
        <v>0</v>
      </c>
      <c r="H190" s="20" t="n">
        <v>0</v>
      </c>
      <c r="I190" s="20" t="n">
        <v>0</v>
      </c>
      <c r="J190" s="20" t="n">
        <v>0</v>
      </c>
      <c r="K190" s="20" t="n">
        <v>0</v>
      </c>
      <c r="L190" s="20" t="n">
        <v>0</v>
      </c>
      <c r="M190" s="20" t="n">
        <v>0</v>
      </c>
      <c r="N190" s="20" t="n">
        <v>0</v>
      </c>
      <c r="V190" s="20" t="n">
        <v>0</v>
      </c>
      <c r="W190" s="20" t="n">
        <v>0</v>
      </c>
      <c r="X190" s="20" t="n">
        <v>0</v>
      </c>
    </row>
    <row r="191">
      <c r="A191" s="18" t="inlineStr">
        <is>
          <t>EntityTotalMember · 외부 고객 매출</t>
        </is>
      </c>
      <c r="I191" s="20" t="n">
        <v>21686</v>
      </c>
      <c r="M191" s="20" t="n">
        <v>24026</v>
      </c>
    </row>
    <row r="192">
      <c r="A192" s="18" t="inlineStr">
        <is>
          <t>PlasticReportableSegmentsMember · 부문 간 내부매출·대체</t>
        </is>
      </c>
      <c r="E192" s="20" t="n">
        <v>0</v>
      </c>
      <c r="I192" s="20" t="n">
        <v>1</v>
      </c>
      <c r="M192" s="20" t="n">
        <v>21</v>
      </c>
    </row>
    <row r="193">
      <c r="A193" s="18" t="inlineStr">
        <is>
          <t>NewMaterialReportableSegmentsMember · 부문 간 내부매출·대체</t>
        </is>
      </c>
      <c r="E193" s="20" t="n">
        <v>0</v>
      </c>
      <c r="I193" s="20" t="n">
        <v>0</v>
      </c>
      <c r="M193" s="20" t="n">
        <v>110</v>
      </c>
    </row>
    <row r="194">
      <c r="A194" s="18" t="inlineStr">
        <is>
          <t>ConstructionMaterialReportableSegmentsMember · 부문 간 내부매출·대체</t>
        </is>
      </c>
      <c r="E194" s="20" t="n">
        <v>8</v>
      </c>
      <c r="I194" s="20" t="n">
        <v>0</v>
      </c>
      <c r="M194" s="20" t="n">
        <v>1</v>
      </c>
    </row>
    <row r="195">
      <c r="A195" s="9" t="inlineStr">
        <is>
          <t>외부 고객 매출</t>
        </is>
      </c>
      <c r="C195" s="12" t="n">
        <v>19361</v>
      </c>
      <c r="D195" s="12" t="n">
        <v>20165</v>
      </c>
      <c r="E195" s="12" t="n">
        <v>19504</v>
      </c>
      <c r="F195" s="12" t="n">
        <v>19896</v>
      </c>
      <c r="G195" s="12" t="n">
        <v>19939</v>
      </c>
      <c r="H195" s="12" t="n">
        <v>21853</v>
      </c>
      <c r="I195" s="12" t="n">
        <v>21686</v>
      </c>
      <c r="J195" s="12" t="n">
        <v>21865</v>
      </c>
      <c r="K195" s="12" t="n">
        <v>20682</v>
      </c>
      <c r="L195" s="12" t="n">
        <v>22425</v>
      </c>
      <c r="V195" s="12" t="n">
        <v>20165</v>
      </c>
      <c r="W195" s="12" t="n">
        <v>21853</v>
      </c>
      <c r="X195" s="12" t="n">
        <v>22425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IF(OR(G195="",C195=""),"",IF(C195&lt;=0,"",IFERROR(G195/C195-1,"")))</f>
        <v/>
      </c>
      <c r="H196" s="15">
        <f>IF(OR(H195="",D195=""),"",IF(D195&lt;=0,"",IFERROR(H195/D195-1,"")))</f>
        <v/>
      </c>
      <c r="I196" s="15">
        <f>IF(OR(I195="",E195=""),"",IF(E195&lt;=0,"",IFERROR(I195/E195-1,"")))</f>
        <v/>
      </c>
      <c r="J196" s="15">
        <f>IF(OR(J195="",F195=""),"",IF(F195&lt;=0,"",IFERROR(J195/F195-1,"")))</f>
        <v/>
      </c>
      <c r="K196" s="15">
        <f>IF(OR(K195="",G195=""),"",IF(G195&lt;=0,"",IFERROR(K195/G195-1,"")))</f>
        <v/>
      </c>
      <c r="L196" s="15">
        <f>IF(OR(L195="",H195=""),"",IF(H195&lt;=0,"",IFERROR(L195/H195-1,"")))</f>
        <v/>
      </c>
      <c r="V196" s="15">
        <f>IF(OR(V195="",U195=""),"",IF(U195&lt;=0,"",IFERROR(V195/U195-1,"")))</f>
        <v/>
      </c>
      <c r="W196" s="15">
        <f>IF(OR(W195="",V195=""),"",IF(V195&lt;=0,"",IFERROR(W195/V195-1,"")))</f>
        <v/>
      </c>
      <c r="X196" s="15">
        <f>IF(OR(X195="",W195=""),"",IF(W195&lt;=0,"",IFERROR(X195/W195-1,"")))</f>
        <v/>
      </c>
    </row>
    <row r="197">
      <c r="A197" s="18" t="inlineStr">
        <is>
          <t>SyntheticResinBusinessReportableSegmentsMember · 부문 간 내부매출·대체</t>
        </is>
      </c>
      <c r="C197" s="20" t="n">
        <v>1</v>
      </c>
      <c r="D197" s="20" t="n">
        <v>0</v>
      </c>
      <c r="G197" s="20" t="n">
        <v>1</v>
      </c>
      <c r="H197" s="20" t="n">
        <v>2</v>
      </c>
      <c r="K197" s="20" t="n">
        <v>1</v>
      </c>
      <c r="L197" s="20" t="n">
        <v>2</v>
      </c>
      <c r="V197" s="20" t="n">
        <v>0</v>
      </c>
      <c r="W197" s="20" t="n">
        <v>2</v>
      </c>
      <c r="X197" s="20" t="n">
        <v>2</v>
      </c>
    </row>
    <row r="198">
      <c r="A198" s="18" t="inlineStr">
        <is>
          <t>NewMaterialBusinessReportableSegmentsMember · 부문 간 내부매출·대체</t>
        </is>
      </c>
      <c r="C198" s="20" t="n">
        <v>0</v>
      </c>
      <c r="D198" s="20" t="n">
        <v>0</v>
      </c>
      <c r="G198" s="20" t="n">
        <v>0</v>
      </c>
      <c r="H198" s="20" t="n">
        <v>0</v>
      </c>
      <c r="K198" s="20" t="n">
        <v>0</v>
      </c>
      <c r="L198" s="20" t="n">
        <v>0</v>
      </c>
      <c r="V198" s="20" t="n">
        <v>0</v>
      </c>
      <c r="W198" s="20" t="n">
        <v>0</v>
      </c>
      <c r="X198" s="20" t="n">
        <v>0</v>
      </c>
    </row>
    <row r="199">
      <c r="A199" s="18" t="inlineStr">
        <is>
          <t>ConstructionMaterialBusinessReportableSegmentsMember · 부문 간 내부매출·대체</t>
        </is>
      </c>
      <c r="C199" s="20" t="n">
        <v>0</v>
      </c>
      <c r="D199" s="20" t="n">
        <v>1</v>
      </c>
      <c r="G199" s="20" t="n">
        <v>3</v>
      </c>
      <c r="H199" s="20" t="n">
        <v>7</v>
      </c>
      <c r="K199" s="20" t="n">
        <v>35</v>
      </c>
      <c r="L199" s="20" t="n">
        <v>18</v>
      </c>
      <c r="V199" s="20" t="n">
        <v>1</v>
      </c>
      <c r="W199" s="20" t="n">
        <v>7</v>
      </c>
      <c r="X199" s="20" t="n">
        <v>18</v>
      </c>
    </row>
    <row r="200">
      <c r="A200" s="18" t="inlineStr">
        <is>
          <t>보고부문 합계 · 부문 간 내부매출·대체</t>
        </is>
      </c>
      <c r="C200" s="20" t="n">
        <v>1</v>
      </c>
      <c r="D200" s="20" t="n">
        <v>2</v>
      </c>
      <c r="E200" s="20" t="n">
        <v>9</v>
      </c>
      <c r="F200" s="20" t="n">
        <v>9</v>
      </c>
      <c r="G200" s="20" t="n">
        <v>4</v>
      </c>
      <c r="H200" s="20" t="n">
        <v>9</v>
      </c>
      <c r="I200" s="20" t="n">
        <v>2</v>
      </c>
      <c r="J200" s="20" t="n">
        <v>60</v>
      </c>
      <c r="K200" s="20" t="n">
        <v>37</v>
      </c>
      <c r="L200" s="20" t="n">
        <v>19</v>
      </c>
      <c r="M200" s="20" t="n">
        <v>133</v>
      </c>
      <c r="N200" s="20" t="n">
        <v>194</v>
      </c>
      <c r="V200" s="20" t="n">
        <v>2</v>
      </c>
      <c r="W200" s="20" t="n">
        <v>9</v>
      </c>
      <c r="X200" s="20" t="n">
        <v>19</v>
      </c>
    </row>
    <row r="201">
      <c r="A201" s="18" t="inlineStr">
        <is>
          <t>기타 · 부문 간 내부매출·대체</t>
        </is>
      </c>
      <c r="C201" s="20" t="n">
        <v>204</v>
      </c>
      <c r="D201" s="20" t="n">
        <v>223</v>
      </c>
      <c r="E201" s="20" t="n">
        <v>200</v>
      </c>
      <c r="F201" s="20" t="n">
        <v>199</v>
      </c>
      <c r="G201" s="20" t="n">
        <v>196</v>
      </c>
      <c r="H201" s="20" t="n">
        <v>241</v>
      </c>
      <c r="I201" s="20" t="n">
        <v>195</v>
      </c>
      <c r="J201" s="20" t="n">
        <v>222</v>
      </c>
      <c r="K201" s="20" t="n">
        <v>210</v>
      </c>
      <c r="L201" s="20" t="n">
        <v>226</v>
      </c>
      <c r="M201" s="20" t="n">
        <v>306</v>
      </c>
      <c r="N201" s="20" t="n">
        <v>307</v>
      </c>
      <c r="V201" s="20" t="n">
        <v>223</v>
      </c>
      <c r="W201" s="20" t="n">
        <v>241</v>
      </c>
      <c r="X201" s="20" t="n">
        <v>226</v>
      </c>
    </row>
    <row r="202">
      <c r="A202" s="18" t="inlineStr">
        <is>
          <t>합계 · 부문 간 내부매출·대체</t>
        </is>
      </c>
      <c r="C202" s="20" t="n">
        <v>206</v>
      </c>
      <c r="D202" s="20" t="n">
        <v>225</v>
      </c>
      <c r="E202" s="20" t="n">
        <v>210</v>
      </c>
      <c r="F202" s="20" t="n">
        <v>208</v>
      </c>
      <c r="G202" s="20" t="n">
        <v>200</v>
      </c>
      <c r="H202" s="20" t="n">
        <v>249</v>
      </c>
      <c r="I202" s="20" t="n">
        <v>197</v>
      </c>
      <c r="J202" s="20" t="n">
        <v>283</v>
      </c>
      <c r="K202" s="20" t="n">
        <v>246</v>
      </c>
      <c r="L202" s="20" t="n">
        <v>246</v>
      </c>
      <c r="M202" s="20" t="n">
        <v>439</v>
      </c>
      <c r="N202" s="20" t="n">
        <v>501</v>
      </c>
      <c r="V202" s="20" t="n">
        <v>225</v>
      </c>
      <c r="W202" s="20" t="n">
        <v>249</v>
      </c>
      <c r="X202" s="20" t="n">
        <v>246</v>
      </c>
    </row>
    <row r="203">
      <c r="A203" s="18" t="inlineStr">
        <is>
          <t>조정액 · 부문 간 내부매출·대체</t>
        </is>
      </c>
      <c r="C203" s="20" t="n">
        <v>-206</v>
      </c>
      <c r="D203" s="20" t="n">
        <v>-225</v>
      </c>
      <c r="E203" s="20" t="n">
        <v>-210</v>
      </c>
      <c r="F203" s="20" t="n">
        <v>-208</v>
      </c>
      <c r="G203" s="20" t="n">
        <v>-200</v>
      </c>
      <c r="H203" s="20" t="n">
        <v>-249</v>
      </c>
      <c r="I203" s="20" t="n">
        <v>-197</v>
      </c>
      <c r="J203" s="20" t="n">
        <v>-283</v>
      </c>
      <c r="K203" s="20" t="n">
        <v>-246</v>
      </c>
      <c r="L203" s="20" t="n">
        <v>-246</v>
      </c>
      <c r="M203" s="20" t="n">
        <v>-439</v>
      </c>
      <c r="N203" s="20" t="n">
        <v>-501</v>
      </c>
      <c r="V203" s="20" t="n">
        <v>-225</v>
      </c>
      <c r="W203" s="20" t="n">
        <v>-249</v>
      </c>
      <c r="X203" s="20" t="n">
        <v>-246</v>
      </c>
    </row>
    <row r="204">
      <c r="A204" s="18" t="inlineStr">
        <is>
          <t>EntityTotalMember · 부문 간 내부매출·대체</t>
        </is>
      </c>
      <c r="I204" s="20" t="n">
        <v>0</v>
      </c>
      <c r="M204" s="20" t="n">
        <v>0</v>
      </c>
    </row>
    <row r="205">
      <c r="A205" s="18" t="inlineStr">
        <is>
          <t>PlasticReportableSegmentsMember · 계</t>
        </is>
      </c>
      <c r="E205" s="20" t="n">
        <v>12765</v>
      </c>
      <c r="I205" s="20" t="n">
        <v>13347</v>
      </c>
      <c r="M205" s="20" t="n">
        <v>15620</v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I206" s="15">
        <f>IF(OR(I205="",E205=""),"",IF(E205&lt;=0,"",IFERROR(I205/E205-1,"")))</f>
        <v/>
      </c>
      <c r="M206" s="15">
        <f>IF(OR(M205="",I205=""),"",IF(I205&lt;=0,"",IFERROR(M205/I205-1,"")))</f>
        <v/>
      </c>
    </row>
    <row r="207">
      <c r="A207" s="18" t="inlineStr">
        <is>
          <t>NewMaterialReportableSegmentsMember · 계</t>
        </is>
      </c>
      <c r="E207" s="20" t="n">
        <v>3272</v>
      </c>
      <c r="I207" s="20" t="n">
        <v>4611</v>
      </c>
      <c r="M207" s="20" t="n">
        <v>4905</v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I208" s="15">
        <f>IF(OR(I207="",E207=""),"",IF(E207&lt;=0,"",IFERROR(I207/E207-1,"")))</f>
        <v/>
      </c>
      <c r="M208" s="15">
        <f>IF(OR(M207="",I207=""),"",IF(I207&lt;=0,"",IFERROR(M207/I207-1,"")))</f>
        <v/>
      </c>
    </row>
    <row r="209">
      <c r="A209" s="18" t="inlineStr">
        <is>
          <t>ConstructionMaterialReportableSegmentsMember · 계</t>
        </is>
      </c>
      <c r="E209" s="20" t="n">
        <v>3046</v>
      </c>
      <c r="I209" s="20" t="n">
        <v>3301</v>
      </c>
      <c r="M209" s="20" t="n">
        <v>3164</v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I210" s="15">
        <f>IF(OR(I209="",E209=""),"",IF(E209&lt;=0,"",IFERROR(I209/E209-1,"")))</f>
        <v/>
      </c>
      <c r="M210" s="15">
        <f>IF(OR(M209="",I209=""),"",IF(I209&lt;=0,"",IFERROR(M209/I209-1,"")))</f>
        <v/>
      </c>
    </row>
    <row r="211">
      <c r="A211" s="18" t="inlineStr">
        <is>
          <t>부문 간 내부매출·대체</t>
        </is>
      </c>
      <c r="C211" s="20" t="n">
        <v>0</v>
      </c>
      <c r="D211" s="20" t="n">
        <v>0</v>
      </c>
      <c r="E211" s="20" t="n">
        <v>0</v>
      </c>
      <c r="F211" s="20" t="n">
        <v>0</v>
      </c>
      <c r="G211" s="20" t="n">
        <v>0</v>
      </c>
      <c r="H211" s="20" t="n">
        <v>0</v>
      </c>
      <c r="I211" s="20" t="n">
        <v>0</v>
      </c>
      <c r="J211" s="20" t="n">
        <v>0</v>
      </c>
      <c r="K211" s="20" t="n">
        <v>0</v>
      </c>
      <c r="L211" s="20" t="n">
        <v>0</v>
      </c>
      <c r="V211" s="20" t="n">
        <v>0</v>
      </c>
      <c r="W211" s="20" t="n">
        <v>0</v>
      </c>
      <c r="X211" s="20" t="n">
        <v>0</v>
      </c>
    </row>
    <row r="212">
      <c r="A212" s="18" t="inlineStr">
        <is>
          <t>SyntheticResinBusinessReportableSegmentsMember · 계</t>
        </is>
      </c>
      <c r="C212" s="20" t="n">
        <v>12428</v>
      </c>
      <c r="D212" s="20" t="n">
        <v>12820</v>
      </c>
      <c r="G212" s="20" t="n">
        <v>12927</v>
      </c>
      <c r="H212" s="20" t="n">
        <v>13572</v>
      </c>
      <c r="K212" s="20" t="n">
        <v>12876</v>
      </c>
      <c r="L212" s="20" t="n">
        <v>13386</v>
      </c>
      <c r="V212" s="20" t="n">
        <v>12820</v>
      </c>
      <c r="W212" s="20" t="n">
        <v>13572</v>
      </c>
      <c r="X212" s="20" t="n">
        <v>13386</v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IF(OR(G212="",C212=""),"",IF(C212&lt;=0,"",IFERROR(G212/C212-1,"")))</f>
        <v/>
      </c>
      <c r="H213" s="15">
        <f>IF(OR(H212="",D212=""),"",IF(D212&lt;=0,"",IFERROR(H212/D212-1,"")))</f>
        <v/>
      </c>
      <c r="K213" s="15">
        <f>IF(OR(K212="",G212=""),"",IF(G212&lt;=0,"",IFERROR(K212/G212-1,"")))</f>
        <v/>
      </c>
      <c r="L213" s="15">
        <f>IF(OR(L212="",H212=""),"",IF(H212&lt;=0,"",IFERROR(L212/H212-1,"")))</f>
        <v/>
      </c>
      <c r="V213" s="15">
        <f>IF(OR(V212="",U212=""),"",IF(U212&lt;=0,"",IFERROR(V212/U212-1,"")))</f>
        <v/>
      </c>
      <c r="W213" s="15">
        <f>IF(OR(W212="",V212=""),"",IF(V212&lt;=0,"",IFERROR(W212/V212-1,"")))</f>
        <v/>
      </c>
      <c r="X213" s="15">
        <f>IF(OR(X212="",W212=""),"",IF(W212&lt;=0,"",IFERROR(X212/W212-1,"")))</f>
        <v/>
      </c>
    </row>
    <row r="214">
      <c r="A214" s="18" t="inlineStr">
        <is>
          <t>NewMaterialBusinessReportableSegmentsMember · 계</t>
        </is>
      </c>
      <c r="C214" s="20" t="n">
        <v>3587</v>
      </c>
      <c r="D214" s="20" t="n">
        <v>3644</v>
      </c>
      <c r="G214" s="20" t="n">
        <v>3292</v>
      </c>
      <c r="H214" s="20" t="n">
        <v>4223</v>
      </c>
      <c r="K214" s="20" t="n">
        <v>4061</v>
      </c>
      <c r="L214" s="20" t="n">
        <v>5141</v>
      </c>
      <c r="V214" s="20" t="n">
        <v>3644</v>
      </c>
      <c r="W214" s="20" t="n">
        <v>4223</v>
      </c>
      <c r="X214" s="20" t="n">
        <v>5141</v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IF(OR(G214="",C214=""),"",IF(C214&lt;=0,"",IFERROR(G214/C214-1,"")))</f>
        <v/>
      </c>
      <c r="H215" s="15">
        <f>IF(OR(H214="",D214=""),"",IF(D214&lt;=0,"",IFERROR(H214/D214-1,"")))</f>
        <v/>
      </c>
      <c r="K215" s="15">
        <f>IF(OR(K214="",G214=""),"",IF(G214&lt;=0,"",IFERROR(K214/G214-1,"")))</f>
        <v/>
      </c>
      <c r="L215" s="15">
        <f>IF(OR(L214="",H214=""),"",IF(H214&lt;=0,"",IFERROR(L214/H214-1,"")))</f>
        <v/>
      </c>
      <c r="V215" s="15">
        <f>IF(OR(V214="",U214=""),"",IF(U214&lt;=0,"",IFERROR(V214/U214-1,"")))</f>
        <v/>
      </c>
      <c r="W215" s="15">
        <f>IF(OR(W214="",V214=""),"",IF(V214&lt;=0,"",IFERROR(W214/V214-1,"")))</f>
        <v/>
      </c>
      <c r="X215" s="15">
        <f>IF(OR(X214="",W214=""),"",IF(W214&lt;=0,"",IFERROR(X214/W214-1,"")))</f>
        <v/>
      </c>
    </row>
    <row r="216">
      <c r="A216" s="18" t="inlineStr">
        <is>
          <t>ConstructionMaterialBusinessReportableSegmentsMember · 계</t>
        </is>
      </c>
      <c r="C216" s="20" t="n">
        <v>2967</v>
      </c>
      <c r="D216" s="20" t="n">
        <v>3280</v>
      </c>
      <c r="G216" s="20" t="n">
        <v>3254</v>
      </c>
      <c r="H216" s="20" t="n">
        <v>3568</v>
      </c>
      <c r="K216" s="20" t="n">
        <v>3307</v>
      </c>
      <c r="L216" s="20" t="n">
        <v>3414</v>
      </c>
      <c r="V216" s="20" t="n">
        <v>3280</v>
      </c>
      <c r="W216" s="20" t="n">
        <v>3568</v>
      </c>
      <c r="X216" s="20" t="n">
        <v>3414</v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IF(OR(G216="",C216=""),"",IF(C216&lt;=0,"",IFERROR(G216/C216-1,"")))</f>
        <v/>
      </c>
      <c r="H217" s="15">
        <f>IF(OR(H216="",D216=""),"",IF(D216&lt;=0,"",IFERROR(H216/D216-1,"")))</f>
        <v/>
      </c>
      <c r="K217" s="15">
        <f>IF(OR(K216="",G216=""),"",IF(G216&lt;=0,"",IFERROR(K216/G216-1,"")))</f>
        <v/>
      </c>
      <c r="L217" s="15">
        <f>IF(OR(L216="",H216=""),"",IF(H216&lt;=0,"",IFERROR(L216/H216-1,"")))</f>
        <v/>
      </c>
      <c r="V217" s="15">
        <f>IF(OR(V216="",U216=""),"",IF(U216&lt;=0,"",IFERROR(V216/U216-1,"")))</f>
        <v/>
      </c>
      <c r="W217" s="15">
        <f>IF(OR(W216="",V216=""),"",IF(V216&lt;=0,"",IFERROR(W216/V216-1,"")))</f>
        <v/>
      </c>
      <c r="X217" s="15">
        <f>IF(OR(X216="",W216=""),"",IF(W216&lt;=0,"",IFERROR(X216/W216-1,"")))</f>
        <v/>
      </c>
    </row>
    <row r="218">
      <c r="A218" s="18" t="inlineStr">
        <is>
          <t>보고부문 합계 · 계</t>
        </is>
      </c>
      <c r="C218" s="20" t="n">
        <v>18981</v>
      </c>
      <c r="D218" s="20" t="n">
        <v>19745</v>
      </c>
      <c r="E218" s="20" t="n">
        <v>19085</v>
      </c>
      <c r="F218" s="20" t="n">
        <v>19441</v>
      </c>
      <c r="G218" s="20" t="n">
        <v>19474</v>
      </c>
      <c r="H218" s="20" t="n">
        <v>21362</v>
      </c>
      <c r="I218" s="20" t="n">
        <v>21260</v>
      </c>
      <c r="J218" s="20" t="n">
        <v>21459</v>
      </c>
      <c r="K218" s="20" t="n">
        <v>20245</v>
      </c>
      <c r="L218" s="20" t="n">
        <v>21940</v>
      </c>
      <c r="M218" s="20" t="n">
        <v>23690</v>
      </c>
      <c r="N218" s="20" t="n">
        <v>28156</v>
      </c>
      <c r="V218" s="20" t="n">
        <v>19745</v>
      </c>
      <c r="W218" s="20" t="n">
        <v>21362</v>
      </c>
      <c r="X218" s="20" t="n">
        <v>21940</v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IF(OR(G218="",C218=""),"",IF(C218&lt;=0,"",IFERROR(G218/C218-1,"")))</f>
        <v/>
      </c>
      <c r="H219" s="15">
        <f>IF(OR(H218="",D218=""),"",IF(D218&lt;=0,"",IFERROR(H218/D218-1,"")))</f>
        <v/>
      </c>
      <c r="I219" s="15">
        <f>IF(OR(I218="",E218=""),"",IF(E218&lt;=0,"",IFERROR(I218/E218-1,"")))</f>
        <v/>
      </c>
      <c r="J219" s="15">
        <f>IF(OR(J218="",F218=""),"",IF(F218&lt;=0,"",IFERROR(J218/F218-1,"")))</f>
        <v/>
      </c>
      <c r="K219" s="15">
        <f>IF(OR(K218="",G218=""),"",IF(G218&lt;=0,"",IFERROR(K218/G218-1,"")))</f>
        <v/>
      </c>
      <c r="L219" s="15">
        <f>IF(OR(L218="",H218=""),"",IF(H218&lt;=0,"",IFERROR(L218/H218-1,"")))</f>
        <v/>
      </c>
      <c r="M219" s="15">
        <f>IF(OR(M218="",I218=""),"",IF(I218&lt;=0,"",IFERROR(M218/I218-1,"")))</f>
        <v/>
      </c>
      <c r="N219" s="15">
        <f>IF(OR(N218="",J218=""),"",IF(J218&lt;=0,"",IFERROR(N218/J218-1,"")))</f>
        <v/>
      </c>
      <c r="V219" s="15">
        <f>IF(OR(V218="",U218=""),"",IF(U218&lt;=0,"",IFERROR(V218/U218-1,"")))</f>
        <v/>
      </c>
      <c r="W219" s="15">
        <f>IF(OR(W218="",V218=""),"",IF(V218&lt;=0,"",IFERROR(W218/V218-1,"")))</f>
        <v/>
      </c>
      <c r="X219" s="15">
        <f>IF(OR(X218="",W218=""),"",IF(W218&lt;=0,"",IFERROR(X218/W218-1,"")))</f>
        <v/>
      </c>
    </row>
    <row r="220">
      <c r="A220" s="18" t="inlineStr">
        <is>
          <t>기타 · 계</t>
        </is>
      </c>
      <c r="C220" s="20" t="n">
        <v>584</v>
      </c>
      <c r="D220" s="20" t="n">
        <v>645</v>
      </c>
      <c r="E220" s="20" t="n">
        <v>629</v>
      </c>
      <c r="F220" s="20" t="n">
        <v>662</v>
      </c>
      <c r="G220" s="20" t="n">
        <v>667</v>
      </c>
      <c r="H220" s="20" t="n">
        <v>738</v>
      </c>
      <c r="I220" s="20" t="n">
        <v>623</v>
      </c>
      <c r="J220" s="20" t="n">
        <v>689</v>
      </c>
      <c r="K220" s="20" t="n">
        <v>683</v>
      </c>
      <c r="L220" s="20" t="n">
        <v>731</v>
      </c>
      <c r="M220" s="20" t="n">
        <v>776</v>
      </c>
      <c r="N220" s="20" t="n">
        <v>817</v>
      </c>
      <c r="V220" s="20" t="n">
        <v>645</v>
      </c>
      <c r="W220" s="20" t="n">
        <v>738</v>
      </c>
      <c r="X220" s="20" t="n">
        <v>731</v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G221" s="15">
        <f>IF(OR(G220="",C220=""),"",IF(C220&lt;=0,"",IFERROR(G220/C220-1,"")))</f>
        <v/>
      </c>
      <c r="H221" s="15">
        <f>IF(OR(H220="",D220=""),"",IF(D220&lt;=0,"",IFERROR(H220/D220-1,"")))</f>
        <v/>
      </c>
      <c r="I221" s="15">
        <f>IF(OR(I220="",E220=""),"",IF(E220&lt;=0,"",IFERROR(I220/E220-1,"")))</f>
        <v/>
      </c>
      <c r="J221" s="15">
        <f>IF(OR(J220="",F220=""),"",IF(F220&lt;=0,"",IFERROR(J220/F220-1,"")))</f>
        <v/>
      </c>
      <c r="K221" s="15">
        <f>IF(OR(K220="",G220=""),"",IF(G220&lt;=0,"",IFERROR(K220/G220-1,"")))</f>
        <v/>
      </c>
      <c r="L221" s="15">
        <f>IF(OR(L220="",H220=""),"",IF(H220&lt;=0,"",IFERROR(L220/H220-1,"")))</f>
        <v/>
      </c>
      <c r="M221" s="15">
        <f>IF(OR(M220="",I220=""),"",IF(I220&lt;=0,"",IFERROR(M220/I220-1,"")))</f>
        <v/>
      </c>
      <c r="N221" s="15">
        <f>IF(OR(N220="",J220=""),"",IF(J220&lt;=0,"",IFERROR(N220/J220-1,"")))</f>
        <v/>
      </c>
      <c r="V221" s="15">
        <f>IF(OR(V220="",U220=""),"",IF(U220&lt;=0,"",IFERROR(V220/U220-1,"")))</f>
        <v/>
      </c>
      <c r="W221" s="15">
        <f>IF(OR(W220="",V220=""),"",IF(V220&lt;=0,"",IFERROR(W220/V220-1,"")))</f>
        <v/>
      </c>
      <c r="X221" s="15">
        <f>IF(OR(X220="",W220=""),"",IF(W220&lt;=0,"",IFERROR(X220/W220-1,"")))</f>
        <v/>
      </c>
    </row>
    <row r="222">
      <c r="A222" s="18" t="inlineStr">
        <is>
          <t>합계 · 계</t>
        </is>
      </c>
      <c r="C222" s="20" t="n">
        <v>19566</v>
      </c>
      <c r="D222" s="20" t="n">
        <v>20390</v>
      </c>
      <c r="E222" s="20" t="n">
        <v>19714</v>
      </c>
      <c r="F222" s="20" t="n">
        <v>20104</v>
      </c>
      <c r="G222" s="20" t="n">
        <v>20140</v>
      </c>
      <c r="H222" s="20" t="n">
        <v>22101</v>
      </c>
      <c r="I222" s="20" t="n">
        <v>21884</v>
      </c>
      <c r="J222" s="20" t="n">
        <v>22147</v>
      </c>
      <c r="K222" s="20" t="n">
        <v>20928</v>
      </c>
      <c r="L222" s="20" t="n">
        <v>22671</v>
      </c>
      <c r="M222" s="20" t="n">
        <v>24466</v>
      </c>
      <c r="N222" s="20" t="n">
        <v>28973</v>
      </c>
      <c r="V222" s="20" t="n">
        <v>20390</v>
      </c>
      <c r="W222" s="20" t="n">
        <v>22101</v>
      </c>
      <c r="X222" s="20" t="n">
        <v>22671</v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G223" s="15">
        <f>IF(OR(G222="",C222=""),"",IF(C222&lt;=0,"",IFERROR(G222/C222-1,"")))</f>
        <v/>
      </c>
      <c r="H223" s="15">
        <f>IF(OR(H222="",D222=""),"",IF(D222&lt;=0,"",IFERROR(H222/D222-1,"")))</f>
        <v/>
      </c>
      <c r="I223" s="15">
        <f>IF(OR(I222="",E222=""),"",IF(E222&lt;=0,"",IFERROR(I222/E222-1,"")))</f>
        <v/>
      </c>
      <c r="J223" s="15">
        <f>IF(OR(J222="",F222=""),"",IF(F222&lt;=0,"",IFERROR(J222/F222-1,"")))</f>
        <v/>
      </c>
      <c r="K223" s="15">
        <f>IF(OR(K222="",G222=""),"",IF(G222&lt;=0,"",IFERROR(K222/G222-1,"")))</f>
        <v/>
      </c>
      <c r="L223" s="15">
        <f>IF(OR(L222="",H222=""),"",IF(H222&lt;=0,"",IFERROR(L222/H222-1,"")))</f>
        <v/>
      </c>
      <c r="M223" s="15">
        <f>IF(OR(M222="",I222=""),"",IF(I222&lt;=0,"",IFERROR(M222/I222-1,"")))</f>
        <v/>
      </c>
      <c r="N223" s="15">
        <f>IF(OR(N222="",J222=""),"",IF(J222&lt;=0,"",IFERROR(N222/J222-1,"")))</f>
        <v/>
      </c>
      <c r="V223" s="15">
        <f>IF(OR(V222="",U222=""),"",IF(U222&lt;=0,"",IFERROR(V222/U222-1,"")))</f>
        <v/>
      </c>
      <c r="W223" s="15">
        <f>IF(OR(W222="",V222=""),"",IF(V222&lt;=0,"",IFERROR(W222/V222-1,"")))</f>
        <v/>
      </c>
      <c r="X223" s="15">
        <f>IF(OR(X222="",W222=""),"",IF(W222&lt;=0,"",IFERROR(X222/W222-1,"")))</f>
        <v/>
      </c>
    </row>
    <row r="224">
      <c r="A224" s="18" t="inlineStr">
        <is>
          <t>조정액 · 계</t>
        </is>
      </c>
      <c r="C224" s="20" t="n">
        <v>-206</v>
      </c>
      <c r="D224" s="20" t="n">
        <v>-225</v>
      </c>
      <c r="E224" s="20" t="n">
        <v>-210</v>
      </c>
      <c r="F224" s="20" t="n">
        <v>-208</v>
      </c>
      <c r="G224" s="20" t="n">
        <v>-200</v>
      </c>
      <c r="H224" s="20" t="n">
        <v>-249</v>
      </c>
      <c r="I224" s="20" t="n">
        <v>-197</v>
      </c>
      <c r="J224" s="20" t="n">
        <v>-283</v>
      </c>
      <c r="K224" s="20" t="n">
        <v>-246</v>
      </c>
      <c r="L224" s="20" t="n">
        <v>-246</v>
      </c>
      <c r="M224" s="20" t="n">
        <v>-439</v>
      </c>
      <c r="N224" s="20" t="n">
        <v>-501</v>
      </c>
      <c r="V224" s="20" t="n">
        <v>-225</v>
      </c>
      <c r="W224" s="20" t="n">
        <v>-249</v>
      </c>
      <c r="X224" s="20" t="n">
        <v>-246</v>
      </c>
    </row>
    <row r="225">
      <c r="A225" s="18" t="inlineStr">
        <is>
          <t>EntityTotalMember · 계</t>
        </is>
      </c>
      <c r="I225" s="20" t="n">
        <v>21686</v>
      </c>
      <c r="M225" s="20" t="n">
        <v>24026</v>
      </c>
    </row>
    <row r="226">
      <c r="A226" s="18" t="inlineStr">
        <is>
          <t>PlasticReportableSegmentsMember · 부문 이익</t>
        </is>
      </c>
      <c r="E226" s="20" t="n">
        <v>1238</v>
      </c>
      <c r="I226" s="20" t="n">
        <v>1493</v>
      </c>
      <c r="M226" s="20" t="n">
        <v>1856</v>
      </c>
    </row>
    <row r="227">
      <c r="A227" s="43" t="inlineStr">
        <is>
          <t>OPM</t>
        </is>
      </c>
      <c r="B227" s="3" t="inlineStr">
        <is>
          <t>영업이익 ÷ 매출</t>
        </is>
      </c>
      <c r="E227" s="15">
        <f>IF(OR(E226="",E205=""),"",IF(E205&lt;=0,"",IFERROR(E226/E205,"")))</f>
        <v/>
      </c>
      <c r="I227" s="15">
        <f>IF(OR(I226="",I205=""),"",IF(I205&lt;=0,"",IFERROR(I226/I205,"")))</f>
        <v/>
      </c>
      <c r="M227" s="15">
        <f>IF(OR(M226="",M205=""),"",IF(M205&lt;=0,"",IFERROR(M226/M205,"")))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I228" s="15">
        <f>IF(OR(I226="",E226=""),"",IF(E226&lt;=0,"",IFERROR(I226/E226-1,"")))</f>
        <v/>
      </c>
      <c r="M228" s="15">
        <f>IF(OR(M226="",I226=""),"",IF(I226&lt;=0,"",IFERROR(M226/I226-1,"")))</f>
        <v/>
      </c>
    </row>
    <row r="229">
      <c r="A229" s="18" t="inlineStr">
        <is>
          <t>NewMaterialReportableSegmentsMember · 부문 이익</t>
        </is>
      </c>
      <c r="E229" s="20" t="n">
        <v>251</v>
      </c>
      <c r="I229" s="20" t="n">
        <v>497</v>
      </c>
      <c r="M229" s="20" t="n">
        <v>811</v>
      </c>
    </row>
    <row r="230">
      <c r="A230" s="43" t="inlineStr">
        <is>
          <t>OPM</t>
        </is>
      </c>
      <c r="B230" s="3" t="inlineStr">
        <is>
          <t>영업이익 ÷ 매출</t>
        </is>
      </c>
      <c r="E230" s="15">
        <f>IF(OR(E229="",E207=""),"",IF(E207&lt;=0,"",IFERROR(E229/E207,"")))</f>
        <v/>
      </c>
      <c r="I230" s="15">
        <f>IF(OR(I229="",I207=""),"",IF(I207&lt;=0,"",IFERROR(I229/I207,"")))</f>
        <v/>
      </c>
      <c r="M230" s="15">
        <f>IF(OR(M229="",M207=""),"",IF(M207&lt;=0,"",IFERROR(M229/M207,"")))</f>
        <v/>
      </c>
    </row>
    <row r="231">
      <c r="A231" s="43" t="inlineStr">
        <is>
          <t>YoY</t>
        </is>
      </c>
      <c r="B231" s="3" t="inlineStr">
        <is>
          <t>전년 같은 분기·전년 대비</t>
        </is>
      </c>
      <c r="I231" s="15">
        <f>IF(OR(I229="",E229=""),"",IF(E229&lt;=0,"",IFERROR(I229/E229-1,"")))</f>
        <v/>
      </c>
      <c r="M231" s="15">
        <f>IF(OR(M229="",I229=""),"",IF(I229&lt;=0,"",IFERROR(M229/I229-1,"")))</f>
        <v/>
      </c>
    </row>
    <row r="232">
      <c r="A232" s="18" t="inlineStr">
        <is>
          <t>ConstructionMaterialReportableSegmentsMember · 부문 이익</t>
        </is>
      </c>
      <c r="E232" s="20" t="n">
        <v>210</v>
      </c>
      <c r="I232" s="20" t="n">
        <v>245</v>
      </c>
      <c r="M232" s="20" t="n">
        <v>156</v>
      </c>
    </row>
    <row r="233">
      <c r="A233" s="43" t="inlineStr">
        <is>
          <t>OPM</t>
        </is>
      </c>
      <c r="B233" s="3" t="inlineStr">
        <is>
          <t>영업이익 ÷ 매출</t>
        </is>
      </c>
      <c r="E233" s="15">
        <f>IF(OR(E232="",E209=""),"",IF(E209&lt;=0,"",IFERROR(E232/E209,"")))</f>
        <v/>
      </c>
      <c r="I233" s="15">
        <f>IF(OR(I232="",I209=""),"",IF(I209&lt;=0,"",IFERROR(I232/I209,"")))</f>
        <v/>
      </c>
      <c r="M233" s="15">
        <f>IF(OR(M232="",M209=""),"",IF(M209&lt;=0,"",IFERROR(M232/M209,"")))</f>
        <v/>
      </c>
    </row>
    <row r="234">
      <c r="A234" s="43" t="inlineStr">
        <is>
          <t>YoY</t>
        </is>
      </c>
      <c r="B234" s="3" t="inlineStr">
        <is>
          <t>전년 같은 분기·전년 대비</t>
        </is>
      </c>
      <c r="I234" s="15">
        <f>IF(OR(I232="",E232=""),"",IF(E232&lt;=0,"",IFERROR(I232/E232-1,"")))</f>
        <v/>
      </c>
      <c r="M234" s="15">
        <f>IF(OR(M232="",I232=""),"",IF(I232&lt;=0,"",IFERROR(M232/I232-1,"")))</f>
        <v/>
      </c>
    </row>
    <row r="235">
      <c r="A235" s="9" t="inlineStr">
        <is>
          <t>계</t>
        </is>
      </c>
      <c r="C235" s="12" t="n">
        <v>19361</v>
      </c>
      <c r="D235" s="12" t="n">
        <v>20165</v>
      </c>
      <c r="E235" s="12" t="n">
        <v>19504</v>
      </c>
      <c r="F235" s="12" t="n">
        <v>19896</v>
      </c>
      <c r="G235" s="12" t="n">
        <v>19939</v>
      </c>
      <c r="H235" s="12" t="n">
        <v>21853</v>
      </c>
      <c r="I235" s="12" t="n">
        <v>21686</v>
      </c>
      <c r="J235" s="12" t="n">
        <v>21865</v>
      </c>
      <c r="K235" s="12" t="n">
        <v>20682</v>
      </c>
      <c r="L235" s="12" t="n">
        <v>22425</v>
      </c>
      <c r="V235" s="12" t="n">
        <v>20165</v>
      </c>
      <c r="W235" s="12" t="n">
        <v>21853</v>
      </c>
      <c r="X235" s="12" t="n">
        <v>22425</v>
      </c>
    </row>
    <row r="236">
      <c r="A236" s="43" t="inlineStr">
        <is>
          <t>YoY</t>
        </is>
      </c>
      <c r="B236" s="3" t="inlineStr">
        <is>
          <t>전년 같은 분기·전년 대비</t>
        </is>
      </c>
      <c r="G236" s="15">
        <f>IF(OR(G235="",C235=""),"",IF(C235&lt;=0,"",IFERROR(G235/C235-1,"")))</f>
        <v/>
      </c>
      <c r="H236" s="15">
        <f>IF(OR(H235="",D235=""),"",IF(D235&lt;=0,"",IFERROR(H235/D235-1,"")))</f>
        <v/>
      </c>
      <c r="I236" s="15">
        <f>IF(OR(I235="",E235=""),"",IF(E235&lt;=0,"",IFERROR(I235/E235-1,"")))</f>
        <v/>
      </c>
      <c r="J236" s="15">
        <f>IF(OR(J235="",F235=""),"",IF(F235&lt;=0,"",IFERROR(J235/F235-1,"")))</f>
        <v/>
      </c>
      <c r="K236" s="15">
        <f>IF(OR(K235="",G235=""),"",IF(G235&lt;=0,"",IFERROR(K235/G235-1,"")))</f>
        <v/>
      </c>
      <c r="L236" s="15">
        <f>IF(OR(L235="",H235=""),"",IF(H235&lt;=0,"",IFERROR(L235/H235-1,"")))</f>
        <v/>
      </c>
      <c r="V236" s="15">
        <f>IF(OR(V235="",U235=""),"",IF(U235&lt;=0,"",IFERROR(V235/U235-1,"")))</f>
        <v/>
      </c>
      <c r="W236" s="15">
        <f>IF(OR(W235="",V235=""),"",IF(V235&lt;=0,"",IFERROR(W235/V235-1,"")))</f>
        <v/>
      </c>
      <c r="X236" s="15">
        <f>IF(OR(X235="",W235=""),"",IF(W235&lt;=0,"",IFERROR(X235/W235-1,"")))</f>
        <v/>
      </c>
    </row>
    <row r="237">
      <c r="A237" s="18" t="inlineStr">
        <is>
          <t>SyntheticResinBusinessReportableSegmentsMember · 부문 이익</t>
        </is>
      </c>
      <c r="C237" s="20" t="n">
        <v>930</v>
      </c>
      <c r="D237" s="20" t="n">
        <v>1137</v>
      </c>
      <c r="G237" s="20" t="n">
        <v>972</v>
      </c>
      <c r="H237" s="20" t="n">
        <v>1247</v>
      </c>
      <c r="K237" s="20" t="n">
        <v>1391</v>
      </c>
      <c r="L237" s="20" t="n">
        <v>1265</v>
      </c>
      <c r="V237" s="20" t="n">
        <v>1137</v>
      </c>
      <c r="W237" s="20" t="n">
        <v>1247</v>
      </c>
      <c r="X237" s="20" t="n">
        <v>1265</v>
      </c>
    </row>
    <row r="238">
      <c r="A238" s="43" t="inlineStr">
        <is>
          <t>OPM</t>
        </is>
      </c>
      <c r="B238" s="3" t="inlineStr">
        <is>
          <t>영업이익 ÷ 매출</t>
        </is>
      </c>
      <c r="C238" s="15">
        <f>IF(OR(C237="",C212=""),"",IF(C212&lt;=0,"",IFERROR(C237/C212,"")))</f>
        <v/>
      </c>
      <c r="D238" s="15">
        <f>IF(OR(D237="",D212=""),"",IF(D212&lt;=0,"",IFERROR(D237/D212,"")))</f>
        <v/>
      </c>
      <c r="G238" s="15">
        <f>IF(OR(G237="",G212=""),"",IF(G212&lt;=0,"",IFERROR(G237/G212,"")))</f>
        <v/>
      </c>
      <c r="H238" s="15">
        <f>IF(OR(H237="",H212=""),"",IF(H212&lt;=0,"",IFERROR(H237/H212,"")))</f>
        <v/>
      </c>
      <c r="K238" s="15">
        <f>IF(OR(K237="",K212=""),"",IF(K212&lt;=0,"",IFERROR(K237/K212,"")))</f>
        <v/>
      </c>
      <c r="L238" s="15">
        <f>IF(OR(L237="",L212=""),"",IF(L212&lt;=0,"",IFERROR(L237/L212,"")))</f>
        <v/>
      </c>
      <c r="V238" s="15">
        <f>IF(OR(V237="",V212=""),"",IF(V212&lt;=0,"",IFERROR(V237/V212,"")))</f>
        <v/>
      </c>
      <c r="W238" s="15">
        <f>IF(OR(W237="",W212=""),"",IF(W212&lt;=0,"",IFERROR(W237/W212,"")))</f>
        <v/>
      </c>
      <c r="X238" s="15">
        <f>IF(OR(X237="",X212=""),"",IF(X212&lt;=0,"",IFERROR(X237/X212,"")))</f>
        <v/>
      </c>
    </row>
    <row r="239">
      <c r="A239" s="43" t="inlineStr">
        <is>
          <t>YoY</t>
        </is>
      </c>
      <c r="B239" s="3" t="inlineStr">
        <is>
          <t>전년 같은 분기·전년 대비</t>
        </is>
      </c>
      <c r="G239" s="15">
        <f>IF(OR(G237="",C237=""),"",IF(C237&lt;=0,"",IFERROR(G237/C237-1,"")))</f>
        <v/>
      </c>
      <c r="H239" s="15">
        <f>IF(OR(H237="",D237=""),"",IF(D237&lt;=0,"",IFERROR(H237/D237-1,"")))</f>
        <v/>
      </c>
      <c r="K239" s="15">
        <f>IF(OR(K237="",G237=""),"",IF(G237&lt;=0,"",IFERROR(K237/G237-1,"")))</f>
        <v/>
      </c>
      <c r="L239" s="15">
        <f>IF(OR(L237="",H237=""),"",IF(H237&lt;=0,"",IFERROR(L237/H237-1,"")))</f>
        <v/>
      </c>
      <c r="V239" s="15">
        <f>IF(OR(V237="",U237=""),"",IF(U237&lt;=0,"",IFERROR(V237/U237-1,"")))</f>
        <v/>
      </c>
      <c r="W239" s="15">
        <f>IF(OR(W237="",V237=""),"",IF(V237&lt;=0,"",IFERROR(W237/V237-1,"")))</f>
        <v/>
      </c>
      <c r="X239" s="15">
        <f>IF(OR(X237="",W237=""),"",IF(W237&lt;=0,"",IFERROR(X237/W237-1,"")))</f>
        <v/>
      </c>
    </row>
    <row r="240">
      <c r="A240" s="18" t="inlineStr">
        <is>
          <t>NewMaterialBusinessReportableSegmentsMember · 부문 이익</t>
        </is>
      </c>
      <c r="C240" s="20" t="n">
        <v>675</v>
      </c>
      <c r="D240" s="20" t="n">
        <v>363</v>
      </c>
      <c r="G240" s="20" t="n">
        <v>177</v>
      </c>
      <c r="H240" s="20" t="n">
        <v>419</v>
      </c>
      <c r="K240" s="20" t="n">
        <v>398</v>
      </c>
      <c r="L240" s="20" t="n">
        <v>744</v>
      </c>
      <c r="V240" s="20" t="n">
        <v>363</v>
      </c>
      <c r="W240" s="20" t="n">
        <v>419</v>
      </c>
      <c r="X240" s="20" t="n">
        <v>744</v>
      </c>
    </row>
    <row r="241">
      <c r="A241" s="43" t="inlineStr">
        <is>
          <t>OPM</t>
        </is>
      </c>
      <c r="B241" s="3" t="inlineStr">
        <is>
          <t>영업이익 ÷ 매출</t>
        </is>
      </c>
      <c r="C241" s="15">
        <f>IF(OR(C240="",C214=""),"",IF(C214&lt;=0,"",IFERROR(C240/C214,"")))</f>
        <v/>
      </c>
      <c r="D241" s="15">
        <f>IF(OR(D240="",D214=""),"",IF(D214&lt;=0,"",IFERROR(D240/D214,"")))</f>
        <v/>
      </c>
      <c r="G241" s="15">
        <f>IF(OR(G240="",G214=""),"",IF(G214&lt;=0,"",IFERROR(G240/G214,"")))</f>
        <v/>
      </c>
      <c r="H241" s="15">
        <f>IF(OR(H240="",H214=""),"",IF(H214&lt;=0,"",IFERROR(H240/H214,"")))</f>
        <v/>
      </c>
      <c r="K241" s="15">
        <f>IF(OR(K240="",K214=""),"",IF(K214&lt;=0,"",IFERROR(K240/K214,"")))</f>
        <v/>
      </c>
      <c r="L241" s="15">
        <f>IF(OR(L240="",L214=""),"",IF(L214&lt;=0,"",IFERROR(L240/L214,"")))</f>
        <v/>
      </c>
      <c r="V241" s="15">
        <f>IF(OR(V240="",V214=""),"",IF(V214&lt;=0,"",IFERROR(V240/V214,"")))</f>
        <v/>
      </c>
      <c r="W241" s="15">
        <f>IF(OR(W240="",W214=""),"",IF(W214&lt;=0,"",IFERROR(W240/W214,"")))</f>
        <v/>
      </c>
      <c r="X241" s="15">
        <f>IF(OR(X240="",X214=""),"",IF(X214&lt;=0,"",IFERROR(X240/X214,"")))</f>
        <v/>
      </c>
    </row>
    <row r="242">
      <c r="A242" s="43" t="inlineStr">
        <is>
          <t>YoY</t>
        </is>
      </c>
      <c r="B242" s="3" t="inlineStr">
        <is>
          <t>전년 같은 분기·전년 대비</t>
        </is>
      </c>
      <c r="G242" s="15">
        <f>IF(OR(G240="",C240=""),"",IF(C240&lt;=0,"",IFERROR(G240/C240-1,"")))</f>
        <v/>
      </c>
      <c r="H242" s="15">
        <f>IF(OR(H240="",D240=""),"",IF(D240&lt;=0,"",IFERROR(H240/D240-1,"")))</f>
        <v/>
      </c>
      <c r="K242" s="15">
        <f>IF(OR(K240="",G240=""),"",IF(G240&lt;=0,"",IFERROR(K240/G240-1,"")))</f>
        <v/>
      </c>
      <c r="L242" s="15">
        <f>IF(OR(L240="",H240=""),"",IF(H240&lt;=0,"",IFERROR(L240/H240-1,"")))</f>
        <v/>
      </c>
      <c r="V242" s="15">
        <f>IF(OR(V240="",U240=""),"",IF(U240&lt;=0,"",IFERROR(V240/U240-1,"")))</f>
        <v/>
      </c>
      <c r="W242" s="15">
        <f>IF(OR(W240="",V240=""),"",IF(V240&lt;=0,"",IFERROR(W240/V240-1,"")))</f>
        <v/>
      </c>
      <c r="X242" s="15">
        <f>IF(OR(X240="",W240=""),"",IF(W240&lt;=0,"",IFERROR(X240/W240-1,"")))</f>
        <v/>
      </c>
    </row>
    <row r="243">
      <c r="A243" s="18" t="inlineStr">
        <is>
          <t>ConstructionMaterialBusinessReportableSegmentsMember · 부문 이익</t>
        </is>
      </c>
      <c r="C243" s="20" t="n">
        <v>205</v>
      </c>
      <c r="D243" s="20" t="n">
        <v>229</v>
      </c>
      <c r="G243" s="20" t="n">
        <v>234</v>
      </c>
      <c r="H243" s="20" t="n">
        <v>283</v>
      </c>
      <c r="K243" s="20" t="n">
        <v>-31</v>
      </c>
      <c r="L243" s="20" t="n">
        <v>174</v>
      </c>
      <c r="V243" s="20" t="n">
        <v>229</v>
      </c>
      <c r="W243" s="20" t="n">
        <v>283</v>
      </c>
      <c r="X243" s="20" t="n">
        <v>174</v>
      </c>
    </row>
    <row r="244">
      <c r="A244" s="43" t="inlineStr">
        <is>
          <t>OPM</t>
        </is>
      </c>
      <c r="B244" s="3" t="inlineStr">
        <is>
          <t>영업이익 ÷ 매출</t>
        </is>
      </c>
      <c r="C244" s="15">
        <f>IF(OR(C243="",C216=""),"",IF(C216&lt;=0,"",IFERROR(C243/C216,"")))</f>
        <v/>
      </c>
      <c r="D244" s="15">
        <f>IF(OR(D243="",D216=""),"",IF(D216&lt;=0,"",IFERROR(D243/D216,"")))</f>
        <v/>
      </c>
      <c r="G244" s="15">
        <f>IF(OR(G243="",G216=""),"",IF(G216&lt;=0,"",IFERROR(G243/G216,"")))</f>
        <v/>
      </c>
      <c r="H244" s="15">
        <f>IF(OR(H243="",H216=""),"",IF(H216&lt;=0,"",IFERROR(H243/H216,"")))</f>
        <v/>
      </c>
      <c r="K244" s="15">
        <f>IF(OR(K243="",K216=""),"",IF(K216&lt;=0,"",IFERROR(K243/K216,"")))</f>
        <v/>
      </c>
      <c r="L244" s="15">
        <f>IF(OR(L243="",L216=""),"",IF(L216&lt;=0,"",IFERROR(L243/L216,"")))</f>
        <v/>
      </c>
      <c r="V244" s="15">
        <f>IF(OR(V243="",V216=""),"",IF(V216&lt;=0,"",IFERROR(V243/V216,"")))</f>
        <v/>
      </c>
      <c r="W244" s="15">
        <f>IF(OR(W243="",W216=""),"",IF(W216&lt;=0,"",IFERROR(W243/W216,"")))</f>
        <v/>
      </c>
      <c r="X244" s="15">
        <f>IF(OR(X243="",X216=""),"",IF(X216&lt;=0,"",IFERROR(X243/X216,"")))</f>
        <v/>
      </c>
    </row>
    <row r="245">
      <c r="A245" s="43" t="inlineStr">
        <is>
          <t>YoY</t>
        </is>
      </c>
      <c r="B245" s="3" t="inlineStr">
        <is>
          <t>전년 같은 분기·전년 대비</t>
        </is>
      </c>
      <c r="G245" s="15">
        <f>IF(OR(G243="",C243=""),"",IF(C243&lt;=0,"",IFERROR(G243/C243-1,"")))</f>
        <v/>
      </c>
      <c r="H245" s="15">
        <f>IF(OR(H243="",D243=""),"",IF(D243&lt;=0,"",IFERROR(H243/D243-1,"")))</f>
        <v/>
      </c>
      <c r="K245" s="15">
        <f>IF(OR(K243="",G243=""),"",IF(G243&lt;=0,"",IFERROR(K243/G243-1,"")))</f>
        <v/>
      </c>
      <c r="L245" s="15">
        <f>IF(OR(L243="",H243=""),"",IF(H243&lt;=0,"",IFERROR(L243/H243-1,"")))</f>
        <v/>
      </c>
      <c r="V245" s="15">
        <f>IF(OR(V243="",U243=""),"",IF(U243&lt;=0,"",IFERROR(V243/U243-1,"")))</f>
        <v/>
      </c>
      <c r="W245" s="15">
        <f>IF(OR(W243="",V243=""),"",IF(V243&lt;=0,"",IFERROR(W243/V243-1,"")))</f>
        <v/>
      </c>
      <c r="X245" s="15">
        <f>IF(OR(X243="",W243=""),"",IF(W243&lt;=0,"",IFERROR(X243/W243-1,"")))</f>
        <v/>
      </c>
    </row>
    <row r="246">
      <c r="A246" s="18" t="inlineStr">
        <is>
          <t>보고부문 합계 · 부문 이익</t>
        </is>
      </c>
      <c r="C246" s="20" t="n">
        <v>1811</v>
      </c>
      <c r="D246" s="20" t="n">
        <v>1728</v>
      </c>
      <c r="E246" s="20" t="n">
        <v>1700</v>
      </c>
      <c r="F246" s="20" t="n">
        <v>1616</v>
      </c>
      <c r="G246" s="20" t="n">
        <v>1382</v>
      </c>
      <c r="H246" s="20" t="n">
        <v>1950</v>
      </c>
      <c r="I246" s="20" t="n">
        <v>2235</v>
      </c>
      <c r="J246" s="20" t="n">
        <v>2394</v>
      </c>
      <c r="K246" s="20" t="n">
        <v>1758</v>
      </c>
      <c r="L246" s="20" t="n">
        <v>2183</v>
      </c>
      <c r="M246" s="20" t="n">
        <v>2824</v>
      </c>
      <c r="N246" s="20" t="n">
        <v>3736</v>
      </c>
      <c r="V246" s="20" t="n">
        <v>1728</v>
      </c>
      <c r="W246" s="20" t="n">
        <v>1950</v>
      </c>
      <c r="X246" s="20" t="n">
        <v>2183</v>
      </c>
    </row>
    <row r="247">
      <c r="A247" s="43" t="inlineStr">
        <is>
          <t>OPM</t>
        </is>
      </c>
      <c r="B247" s="3" t="inlineStr">
        <is>
          <t>영업이익 ÷ 매출</t>
        </is>
      </c>
      <c r="C247" s="15">
        <f>IF(OR(C246="",C218=""),"",IF(C218&lt;=0,"",IFERROR(C246/C218,"")))</f>
        <v/>
      </c>
      <c r="D247" s="15">
        <f>IF(OR(D246="",D218=""),"",IF(D218&lt;=0,"",IFERROR(D246/D218,"")))</f>
        <v/>
      </c>
      <c r="E247" s="15">
        <f>IF(OR(E246="",E218=""),"",IF(E218&lt;=0,"",IFERROR(E246/E218,"")))</f>
        <v/>
      </c>
      <c r="F247" s="15">
        <f>IF(OR(F246="",F218=""),"",IF(F218&lt;=0,"",IFERROR(F246/F218,"")))</f>
        <v/>
      </c>
      <c r="G247" s="15">
        <f>IF(OR(G246="",G218=""),"",IF(G218&lt;=0,"",IFERROR(G246/G218,"")))</f>
        <v/>
      </c>
      <c r="H247" s="15">
        <f>IF(OR(H246="",H218=""),"",IF(H218&lt;=0,"",IFERROR(H246/H218,"")))</f>
        <v/>
      </c>
      <c r="I247" s="15">
        <f>IF(OR(I246="",I218=""),"",IF(I218&lt;=0,"",IFERROR(I246/I218,"")))</f>
        <v/>
      </c>
      <c r="J247" s="15">
        <f>IF(OR(J246="",J218=""),"",IF(J218&lt;=0,"",IFERROR(J246/J218,"")))</f>
        <v/>
      </c>
      <c r="K247" s="15">
        <f>IF(OR(K246="",K218=""),"",IF(K218&lt;=0,"",IFERROR(K246/K218,"")))</f>
        <v/>
      </c>
      <c r="L247" s="15">
        <f>IF(OR(L246="",L218=""),"",IF(L218&lt;=0,"",IFERROR(L246/L218,"")))</f>
        <v/>
      </c>
      <c r="M247" s="15">
        <f>IF(OR(M246="",M218=""),"",IF(M218&lt;=0,"",IFERROR(M246/M218,"")))</f>
        <v/>
      </c>
      <c r="N247" s="15">
        <f>IF(OR(N246="",N218=""),"",IF(N218&lt;=0,"",IFERROR(N246/N218,"")))</f>
        <v/>
      </c>
      <c r="V247" s="15">
        <f>IF(OR(V246="",V218=""),"",IF(V218&lt;=0,"",IFERROR(V246/V218,"")))</f>
        <v/>
      </c>
      <c r="W247" s="15">
        <f>IF(OR(W246="",W218=""),"",IF(W218&lt;=0,"",IFERROR(W246/W218,"")))</f>
        <v/>
      </c>
      <c r="X247" s="15">
        <f>IF(OR(X246="",X218=""),"",IF(X218&lt;=0,"",IFERROR(X246/X218,"")))</f>
        <v/>
      </c>
    </row>
    <row r="248">
      <c r="A248" s="43" t="inlineStr">
        <is>
          <t>YoY</t>
        </is>
      </c>
      <c r="B248" s="3" t="inlineStr">
        <is>
          <t>전년 같은 분기·전년 대비</t>
        </is>
      </c>
      <c r="G248" s="15">
        <f>IF(OR(G246="",C246=""),"",IF(C246&lt;=0,"",IFERROR(G246/C246-1,"")))</f>
        <v/>
      </c>
      <c r="H248" s="15">
        <f>IF(OR(H246="",D246=""),"",IF(D246&lt;=0,"",IFERROR(H246/D246-1,"")))</f>
        <v/>
      </c>
      <c r="I248" s="15">
        <f>IF(OR(I246="",E246=""),"",IF(E246&lt;=0,"",IFERROR(I246/E246-1,"")))</f>
        <v/>
      </c>
      <c r="J248" s="15">
        <f>IF(OR(J246="",F246=""),"",IF(F246&lt;=0,"",IFERROR(J246/F246-1,"")))</f>
        <v/>
      </c>
      <c r="K248" s="15">
        <f>IF(OR(K246="",G246=""),"",IF(G246&lt;=0,"",IFERROR(K246/G246-1,"")))</f>
        <v/>
      </c>
      <c r="L248" s="15">
        <f>IF(OR(L246="",H246=""),"",IF(H246&lt;=0,"",IFERROR(L246/H246-1,"")))</f>
        <v/>
      </c>
      <c r="M248" s="15">
        <f>IF(OR(M246="",I246=""),"",IF(I246&lt;=0,"",IFERROR(M246/I246-1,"")))</f>
        <v/>
      </c>
      <c r="N248" s="15">
        <f>IF(OR(N246="",J246=""),"",IF(J246&lt;=0,"",IFERROR(N246/J246-1,"")))</f>
        <v/>
      </c>
      <c r="V248" s="15">
        <f>IF(OR(V246="",U246=""),"",IF(U246&lt;=0,"",IFERROR(V246/U246-1,"")))</f>
        <v/>
      </c>
      <c r="W248" s="15">
        <f>IF(OR(W246="",V246=""),"",IF(V246&lt;=0,"",IFERROR(W246/V246-1,"")))</f>
        <v/>
      </c>
      <c r="X248" s="15">
        <f>IF(OR(X246="",W246=""),"",IF(W246&lt;=0,"",IFERROR(X246/W246-1,"")))</f>
        <v/>
      </c>
    </row>
    <row r="249">
      <c r="A249" s="18" t="inlineStr">
        <is>
          <t>기타 · 부문 이익</t>
        </is>
      </c>
      <c r="C249" s="20" t="n">
        <v>96</v>
      </c>
      <c r="D249" s="20" t="n">
        <v>143</v>
      </c>
      <c r="E249" s="20" t="n">
        <v>120</v>
      </c>
      <c r="F249" s="20" t="n">
        <v>121</v>
      </c>
      <c r="G249" s="20" t="n">
        <v>132</v>
      </c>
      <c r="H249" s="20" t="n">
        <v>121</v>
      </c>
      <c r="I249" s="20" t="n">
        <v>108</v>
      </c>
      <c r="J249" s="20" t="n">
        <v>128</v>
      </c>
      <c r="K249" s="20" t="n">
        <v>121</v>
      </c>
      <c r="L249" s="20" t="n">
        <v>117</v>
      </c>
      <c r="M249" s="20" t="n">
        <v>145</v>
      </c>
      <c r="N249" s="20" t="n">
        <v>137</v>
      </c>
      <c r="V249" s="20" t="n">
        <v>143</v>
      </c>
      <c r="W249" s="20" t="n">
        <v>121</v>
      </c>
      <c r="X249" s="20" t="n">
        <v>117</v>
      </c>
    </row>
    <row r="250">
      <c r="A250" s="43" t="inlineStr">
        <is>
          <t>OPM</t>
        </is>
      </c>
      <c r="B250" s="3" t="inlineStr">
        <is>
          <t>영업이익 ÷ 매출</t>
        </is>
      </c>
      <c r="C250" s="15">
        <f>IF(OR(C249="",C220=""),"",IF(C220&lt;=0,"",IFERROR(C249/C220,"")))</f>
        <v/>
      </c>
      <c r="D250" s="15">
        <f>IF(OR(D249="",D220=""),"",IF(D220&lt;=0,"",IFERROR(D249/D220,"")))</f>
        <v/>
      </c>
      <c r="E250" s="15">
        <f>IF(OR(E249="",E220=""),"",IF(E220&lt;=0,"",IFERROR(E249/E220,"")))</f>
        <v/>
      </c>
      <c r="F250" s="15">
        <f>IF(OR(F249="",F220=""),"",IF(F220&lt;=0,"",IFERROR(F249/F220,"")))</f>
        <v/>
      </c>
      <c r="G250" s="15">
        <f>IF(OR(G249="",G220=""),"",IF(G220&lt;=0,"",IFERROR(G249/G220,"")))</f>
        <v/>
      </c>
      <c r="H250" s="15">
        <f>IF(OR(H249="",H220=""),"",IF(H220&lt;=0,"",IFERROR(H249/H220,"")))</f>
        <v/>
      </c>
      <c r="I250" s="15">
        <f>IF(OR(I249="",I220=""),"",IF(I220&lt;=0,"",IFERROR(I249/I220,"")))</f>
        <v/>
      </c>
      <c r="J250" s="15">
        <f>IF(OR(J249="",J220=""),"",IF(J220&lt;=0,"",IFERROR(J249/J220,"")))</f>
        <v/>
      </c>
      <c r="K250" s="15">
        <f>IF(OR(K249="",K220=""),"",IF(K220&lt;=0,"",IFERROR(K249/K220,"")))</f>
        <v/>
      </c>
      <c r="L250" s="15">
        <f>IF(OR(L249="",L220=""),"",IF(L220&lt;=0,"",IFERROR(L249/L220,"")))</f>
        <v/>
      </c>
      <c r="M250" s="15">
        <f>IF(OR(M249="",M220=""),"",IF(M220&lt;=0,"",IFERROR(M249/M220,"")))</f>
        <v/>
      </c>
      <c r="N250" s="15">
        <f>IF(OR(N249="",N220=""),"",IF(N220&lt;=0,"",IFERROR(N249/N220,"")))</f>
        <v/>
      </c>
      <c r="V250" s="15">
        <f>IF(OR(V249="",V220=""),"",IF(V220&lt;=0,"",IFERROR(V249/V220,"")))</f>
        <v/>
      </c>
      <c r="W250" s="15">
        <f>IF(OR(W249="",W220=""),"",IF(W220&lt;=0,"",IFERROR(W249/W220,"")))</f>
        <v/>
      </c>
      <c r="X250" s="15">
        <f>IF(OR(X249="",X220=""),"",IF(X220&lt;=0,"",IFERROR(X249/X220,"")))</f>
        <v/>
      </c>
    </row>
    <row r="251">
      <c r="A251" s="43" t="inlineStr">
        <is>
          <t>YoY</t>
        </is>
      </c>
      <c r="B251" s="3" t="inlineStr">
        <is>
          <t>전년 같은 분기·전년 대비</t>
        </is>
      </c>
      <c r="G251" s="15">
        <f>IF(OR(G249="",C249=""),"",IF(C249&lt;=0,"",IFERROR(G249/C249-1,"")))</f>
        <v/>
      </c>
      <c r="H251" s="15">
        <f>IF(OR(H249="",D249=""),"",IF(D249&lt;=0,"",IFERROR(H249/D249-1,"")))</f>
        <v/>
      </c>
      <c r="I251" s="15">
        <f>IF(OR(I249="",E249=""),"",IF(E249&lt;=0,"",IFERROR(I249/E249-1,"")))</f>
        <v/>
      </c>
      <c r="J251" s="15">
        <f>IF(OR(J249="",F249=""),"",IF(F249&lt;=0,"",IFERROR(J249/F249-1,"")))</f>
        <v/>
      </c>
      <c r="K251" s="15">
        <f>IF(OR(K249="",G249=""),"",IF(G249&lt;=0,"",IFERROR(K249/G249-1,"")))</f>
        <v/>
      </c>
      <c r="L251" s="15">
        <f>IF(OR(L249="",H249=""),"",IF(H249&lt;=0,"",IFERROR(L249/H249-1,"")))</f>
        <v/>
      </c>
      <c r="M251" s="15">
        <f>IF(OR(M249="",I249=""),"",IF(I249&lt;=0,"",IFERROR(M249/I249-1,"")))</f>
        <v/>
      </c>
      <c r="N251" s="15">
        <f>IF(OR(N249="",J249=""),"",IF(J249&lt;=0,"",IFERROR(N249/J249-1,"")))</f>
        <v/>
      </c>
      <c r="V251" s="15">
        <f>IF(OR(V249="",U249=""),"",IF(U249&lt;=0,"",IFERROR(V249/U249-1,"")))</f>
        <v/>
      </c>
      <c r="W251" s="15">
        <f>IF(OR(W249="",V249=""),"",IF(V249&lt;=0,"",IFERROR(W249/V249-1,"")))</f>
        <v/>
      </c>
      <c r="X251" s="15">
        <f>IF(OR(X249="",W249=""),"",IF(W249&lt;=0,"",IFERROR(X249/W249-1,"")))</f>
        <v/>
      </c>
    </row>
    <row r="252">
      <c r="A252" s="18" t="inlineStr">
        <is>
          <t>합계 · 부문 이익</t>
        </is>
      </c>
      <c r="C252" s="20" t="n">
        <v>1907</v>
      </c>
      <c r="D252" s="20" t="n">
        <v>1872</v>
      </c>
      <c r="E252" s="20" t="n">
        <v>1820</v>
      </c>
      <c r="F252" s="20" t="n">
        <v>1737</v>
      </c>
      <c r="G252" s="20" t="n">
        <v>1515</v>
      </c>
      <c r="H252" s="20" t="n">
        <v>2071</v>
      </c>
      <c r="I252" s="20" t="n">
        <v>2344</v>
      </c>
      <c r="J252" s="20" t="n">
        <v>2522</v>
      </c>
      <c r="K252" s="20" t="n">
        <v>1878</v>
      </c>
      <c r="L252" s="20" t="n">
        <v>2301</v>
      </c>
      <c r="M252" s="20" t="n">
        <v>2969</v>
      </c>
      <c r="N252" s="20" t="n">
        <v>3874</v>
      </c>
      <c r="V252" s="20" t="n">
        <v>1872</v>
      </c>
      <c r="W252" s="20" t="n">
        <v>2071</v>
      </c>
      <c r="X252" s="20" t="n">
        <v>2301</v>
      </c>
    </row>
    <row r="253">
      <c r="A253" s="43" t="inlineStr">
        <is>
          <t>OPM</t>
        </is>
      </c>
      <c r="B253" s="3" t="inlineStr">
        <is>
          <t>영업이익 ÷ 매출</t>
        </is>
      </c>
      <c r="C253" s="15">
        <f>IF(OR(C252="",C222=""),"",IF(C222&lt;=0,"",IFERROR(C252/C222,"")))</f>
        <v/>
      </c>
      <c r="D253" s="15">
        <f>IF(OR(D252="",D222=""),"",IF(D222&lt;=0,"",IFERROR(D252/D222,"")))</f>
        <v/>
      </c>
      <c r="E253" s="15">
        <f>IF(OR(E252="",E222=""),"",IF(E222&lt;=0,"",IFERROR(E252/E222,"")))</f>
        <v/>
      </c>
      <c r="F253" s="15">
        <f>IF(OR(F252="",F222=""),"",IF(F222&lt;=0,"",IFERROR(F252/F222,"")))</f>
        <v/>
      </c>
      <c r="G253" s="15">
        <f>IF(OR(G252="",G222=""),"",IF(G222&lt;=0,"",IFERROR(G252/G222,"")))</f>
        <v/>
      </c>
      <c r="H253" s="15">
        <f>IF(OR(H252="",H222=""),"",IF(H222&lt;=0,"",IFERROR(H252/H222,"")))</f>
        <v/>
      </c>
      <c r="I253" s="15">
        <f>IF(OR(I252="",I222=""),"",IF(I222&lt;=0,"",IFERROR(I252/I222,"")))</f>
        <v/>
      </c>
      <c r="J253" s="15">
        <f>IF(OR(J252="",J222=""),"",IF(J222&lt;=0,"",IFERROR(J252/J222,"")))</f>
        <v/>
      </c>
      <c r="K253" s="15">
        <f>IF(OR(K252="",K222=""),"",IF(K222&lt;=0,"",IFERROR(K252/K222,"")))</f>
        <v/>
      </c>
      <c r="L253" s="15">
        <f>IF(OR(L252="",L222=""),"",IF(L222&lt;=0,"",IFERROR(L252/L222,"")))</f>
        <v/>
      </c>
      <c r="M253" s="15">
        <f>IF(OR(M252="",M222=""),"",IF(M222&lt;=0,"",IFERROR(M252/M222,"")))</f>
        <v/>
      </c>
      <c r="N253" s="15">
        <f>IF(OR(N252="",N222=""),"",IF(N222&lt;=0,"",IFERROR(N252/N222,"")))</f>
        <v/>
      </c>
      <c r="V253" s="15">
        <f>IF(OR(V252="",V222=""),"",IF(V222&lt;=0,"",IFERROR(V252/V222,"")))</f>
        <v/>
      </c>
      <c r="W253" s="15">
        <f>IF(OR(W252="",W222=""),"",IF(W222&lt;=0,"",IFERROR(W252/W222,"")))</f>
        <v/>
      </c>
      <c r="X253" s="15">
        <f>IF(OR(X252="",X222=""),"",IF(X222&lt;=0,"",IFERROR(X252/X222,"")))</f>
        <v/>
      </c>
    </row>
    <row r="254">
      <c r="A254" s="43" t="inlineStr">
        <is>
          <t>YoY</t>
        </is>
      </c>
      <c r="B254" s="3" t="inlineStr">
        <is>
          <t>전년 같은 분기·전년 대비</t>
        </is>
      </c>
      <c r="G254" s="15">
        <f>IF(OR(G252="",C252=""),"",IF(C252&lt;=0,"",IFERROR(G252/C252-1,"")))</f>
        <v/>
      </c>
      <c r="H254" s="15">
        <f>IF(OR(H252="",D252=""),"",IF(D252&lt;=0,"",IFERROR(H252/D252-1,"")))</f>
        <v/>
      </c>
      <c r="I254" s="15">
        <f>IF(OR(I252="",E252=""),"",IF(E252&lt;=0,"",IFERROR(I252/E252-1,"")))</f>
        <v/>
      </c>
      <c r="J254" s="15">
        <f>IF(OR(J252="",F252=""),"",IF(F252&lt;=0,"",IFERROR(J252/F252-1,"")))</f>
        <v/>
      </c>
      <c r="K254" s="15">
        <f>IF(OR(K252="",G252=""),"",IF(G252&lt;=0,"",IFERROR(K252/G252-1,"")))</f>
        <v/>
      </c>
      <c r="L254" s="15">
        <f>IF(OR(L252="",H252=""),"",IF(H252&lt;=0,"",IFERROR(L252/H252-1,"")))</f>
        <v/>
      </c>
      <c r="M254" s="15">
        <f>IF(OR(M252="",I252=""),"",IF(I252&lt;=0,"",IFERROR(M252/I252-1,"")))</f>
        <v/>
      </c>
      <c r="N254" s="15">
        <f>IF(OR(N252="",J252=""),"",IF(J252&lt;=0,"",IFERROR(N252/J252-1,"")))</f>
        <v/>
      </c>
      <c r="V254" s="15">
        <f>IF(OR(V252="",U252=""),"",IF(U252&lt;=0,"",IFERROR(V252/U252-1,"")))</f>
        <v/>
      </c>
      <c r="W254" s="15">
        <f>IF(OR(W252="",V252=""),"",IF(V252&lt;=0,"",IFERROR(W252/V252-1,"")))</f>
        <v/>
      </c>
      <c r="X254" s="15">
        <f>IF(OR(X252="",W252=""),"",IF(W252&lt;=0,"",IFERROR(X252/W252-1,"")))</f>
        <v/>
      </c>
    </row>
    <row r="255">
      <c r="A255" s="18" t="inlineStr">
        <is>
          <t>조정액 · 부문 이익</t>
        </is>
      </c>
      <c r="C255" s="20" t="n">
        <v>-634</v>
      </c>
      <c r="D255" s="20" t="n">
        <v>-612</v>
      </c>
      <c r="E255" s="20" t="n">
        <v>-621</v>
      </c>
      <c r="F255" s="20" t="n">
        <v>-614</v>
      </c>
      <c r="G255" s="20" t="n">
        <v>-655</v>
      </c>
      <c r="H255" s="20" t="n">
        <v>-689</v>
      </c>
      <c r="I255" s="20" t="n">
        <v>-666</v>
      </c>
      <c r="J255" s="20" t="n">
        <v>-672</v>
      </c>
      <c r="K255" s="20" t="n">
        <v>-721</v>
      </c>
      <c r="L255" s="20" t="n">
        <v>-800</v>
      </c>
      <c r="M255" s="20" t="n">
        <v>-724</v>
      </c>
      <c r="N255" s="20" t="n">
        <v>-800</v>
      </c>
      <c r="V255" s="20" t="n">
        <v>-612</v>
      </c>
      <c r="W255" s="20" t="n">
        <v>-689</v>
      </c>
      <c r="X255" s="20" t="n">
        <v>-800</v>
      </c>
    </row>
    <row r="256">
      <c r="A256" s="18" t="inlineStr">
        <is>
          <t>EntityTotalMember · 부문 이익</t>
        </is>
      </c>
      <c r="I256" s="20" t="n">
        <v>1678</v>
      </c>
      <c r="M256" s="20" t="n">
        <v>2245</v>
      </c>
    </row>
    <row r="257">
      <c r="A257" s="9" t="inlineStr">
        <is>
          <t>부문 이익</t>
        </is>
      </c>
      <c r="C257" s="12" t="n">
        <v>1272</v>
      </c>
      <c r="D257" s="12" t="n">
        <v>1260</v>
      </c>
      <c r="E257" s="12" t="n">
        <v>1199</v>
      </c>
      <c r="F257" s="12" t="n">
        <v>1123</v>
      </c>
      <c r="G257" s="12" t="n">
        <v>859</v>
      </c>
      <c r="H257" s="12" t="n">
        <v>1383</v>
      </c>
      <c r="I257" s="12" t="n">
        <v>1678</v>
      </c>
      <c r="J257" s="12" t="n">
        <v>1849</v>
      </c>
      <c r="K257" s="12" t="n">
        <v>1158</v>
      </c>
      <c r="L257" s="12" t="n">
        <v>1500</v>
      </c>
      <c r="V257" s="12" t="n">
        <v>1260</v>
      </c>
      <c r="W257" s="12" t="n">
        <v>1383</v>
      </c>
      <c r="X257" s="12" t="n">
        <v>1500</v>
      </c>
    </row>
    <row r="258">
      <c r="A258" s="43" t="inlineStr">
        <is>
          <t>OPM</t>
        </is>
      </c>
      <c r="B258" s="3" t="inlineStr">
        <is>
          <t>영업이익 ÷ 매출</t>
        </is>
      </c>
      <c r="C258" s="15">
        <f>IF(OR(C257="",C195=""),"",IF(C195&lt;=0,"",IFERROR(C257/C195,"")))</f>
        <v/>
      </c>
      <c r="D258" s="15">
        <f>IF(OR(D257="",D195=""),"",IF(D195&lt;=0,"",IFERROR(D257/D195,"")))</f>
        <v/>
      </c>
      <c r="E258" s="15">
        <f>IF(OR(E257="",E195=""),"",IF(E195&lt;=0,"",IFERROR(E257/E195,"")))</f>
        <v/>
      </c>
      <c r="F258" s="15">
        <f>IF(OR(F257="",F195=""),"",IF(F195&lt;=0,"",IFERROR(F257/F195,"")))</f>
        <v/>
      </c>
      <c r="G258" s="15">
        <f>IF(OR(G257="",G195=""),"",IF(G195&lt;=0,"",IFERROR(G257/G195,"")))</f>
        <v/>
      </c>
      <c r="H258" s="15">
        <f>IF(OR(H257="",H195=""),"",IF(H195&lt;=0,"",IFERROR(H257/H195,"")))</f>
        <v/>
      </c>
      <c r="I258" s="15">
        <f>IF(OR(I257="",I195=""),"",IF(I195&lt;=0,"",IFERROR(I257/I195,"")))</f>
        <v/>
      </c>
      <c r="J258" s="15">
        <f>IF(OR(J257="",J195=""),"",IF(J195&lt;=0,"",IFERROR(J257/J195,"")))</f>
        <v/>
      </c>
      <c r="K258" s="15">
        <f>IF(OR(K257="",K195=""),"",IF(K195&lt;=0,"",IFERROR(K257/K195,"")))</f>
        <v/>
      </c>
      <c r="L258" s="15">
        <f>IF(OR(L257="",L195=""),"",IF(L195&lt;=0,"",IFERROR(L257/L195,"")))</f>
        <v/>
      </c>
      <c r="V258" s="15">
        <f>IF(OR(V257="",V195=""),"",IF(V195&lt;=0,"",IFERROR(V257/V195,"")))</f>
        <v/>
      </c>
      <c r="W258" s="15">
        <f>IF(OR(W257="",W195=""),"",IF(W195&lt;=0,"",IFERROR(W257/W195,"")))</f>
        <v/>
      </c>
      <c r="X258" s="15">
        <f>IF(OR(X257="",X195=""),"",IF(X195&lt;=0,"",IFERROR(X257/X195,"")))</f>
        <v/>
      </c>
    </row>
    <row r="259">
      <c r="A259" s="43" t="inlineStr">
        <is>
          <t>YoY</t>
        </is>
      </c>
      <c r="B259" s="3" t="inlineStr">
        <is>
          <t>전년 같은 분기·전년 대비</t>
        </is>
      </c>
      <c r="G259" s="15">
        <f>IF(OR(G257="",C257=""),"",IF(C257&lt;=0,"",IFERROR(G257/C257-1,"")))</f>
        <v/>
      </c>
      <c r="H259" s="15">
        <f>IF(OR(H257="",D257=""),"",IF(D257&lt;=0,"",IFERROR(H257/D257-1,"")))</f>
        <v/>
      </c>
      <c r="I259" s="15">
        <f>IF(OR(I257="",E257=""),"",IF(E257&lt;=0,"",IFERROR(I257/E257-1,"")))</f>
        <v/>
      </c>
      <c r="J259" s="15">
        <f>IF(OR(J257="",F257=""),"",IF(F257&lt;=0,"",IFERROR(J257/F257-1,"")))</f>
        <v/>
      </c>
      <c r="K259" s="15">
        <f>IF(OR(K257="",G257=""),"",IF(G257&lt;=0,"",IFERROR(K257/G257-1,"")))</f>
        <v/>
      </c>
      <c r="L259" s="15">
        <f>IF(OR(L257="",H257=""),"",IF(H257&lt;=0,"",IFERROR(L257/H257-1,"")))</f>
        <v/>
      </c>
      <c r="V259" s="15">
        <f>IF(OR(V257="",U257=""),"",IF(U257&lt;=0,"",IFERROR(V257/U257-1,"")))</f>
        <v/>
      </c>
      <c r="W259" s="15">
        <f>IF(OR(W257="",V257=""),"",IF(V257&lt;=0,"",IFERROR(W257/V257-1,"")))</f>
        <v/>
      </c>
      <c r="X259" s="15">
        <f>IF(OR(X257="",W257=""),"",IF(W257&lt;=0,"",IFERROR(X257/W257-1,"")))</f>
        <v/>
      </c>
    </row>
    <row r="260">
      <c r="A260" s="18" t="inlineStr">
        <is>
          <t>PlasticReportableSegmentsMember · 외부 고객 매출</t>
        </is>
      </c>
      <c r="E260" s="20" t="n">
        <v>12765</v>
      </c>
      <c r="I260" s="20" t="n">
        <v>13346</v>
      </c>
      <c r="M260" s="20" t="n">
        <v>15598</v>
      </c>
    </row>
    <row r="261">
      <c r="A261" s="43" t="inlineStr">
        <is>
          <t>YoY</t>
        </is>
      </c>
      <c r="B261" s="3" t="inlineStr">
        <is>
          <t>전년 같은 분기·전년 대비</t>
        </is>
      </c>
      <c r="I261" s="15">
        <f>IF(OR(I260="",E260=""),"",IF(E260&lt;=0,"",IFERROR(I260/E260-1,"")))</f>
        <v/>
      </c>
      <c r="M261" s="15">
        <f>IF(OR(M260="",I260=""),"",IF(I260&lt;=0,"",IFERROR(M260/I260-1,"")))</f>
        <v/>
      </c>
    </row>
    <row r="262">
      <c r="A262" s="18" t="inlineStr">
        <is>
          <t>NewMaterialReportableSegmentsMember · 외부 고객 매출</t>
        </is>
      </c>
      <c r="E262" s="20" t="n">
        <v>3272</v>
      </c>
      <c r="I262" s="20" t="n">
        <v>4611</v>
      </c>
      <c r="M262" s="20" t="n">
        <v>4795</v>
      </c>
    </row>
    <row r="263">
      <c r="A263" s="43" t="inlineStr">
        <is>
          <t>YoY</t>
        </is>
      </c>
      <c r="B263" s="3" t="inlineStr">
        <is>
          <t>전년 같은 분기·전년 대비</t>
        </is>
      </c>
      <c r="I263" s="15">
        <f>IF(OR(I262="",E262=""),"",IF(E262&lt;=0,"",IFERROR(I262/E262-1,"")))</f>
        <v/>
      </c>
      <c r="M263" s="15">
        <f>IF(OR(M262="",I262=""),"",IF(I262&lt;=0,"",IFERROR(M262/I262-1,"")))</f>
        <v/>
      </c>
    </row>
    <row r="264">
      <c r="A264" s="18" t="inlineStr">
        <is>
          <t>ConstructionMaterialReportableSegmentsMember · 외부 고객 매출</t>
        </is>
      </c>
      <c r="E264" s="20" t="n">
        <v>3037</v>
      </c>
      <c r="I264" s="20" t="n">
        <v>3301</v>
      </c>
      <c r="M264" s="20" t="n">
        <v>3163</v>
      </c>
    </row>
    <row r="265">
      <c r="A265" s="43" t="inlineStr">
        <is>
          <t>YoY</t>
        </is>
      </c>
      <c r="B265" s="3" t="inlineStr">
        <is>
          <t>전년 같은 분기·전년 대비</t>
        </is>
      </c>
      <c r="I265" s="15">
        <f>IF(OR(I264="",E264=""),"",IF(E264&lt;=0,"",IFERROR(I264/E264-1,"")))</f>
        <v/>
      </c>
      <c r="M265" s="15">
        <f>IF(OR(M264="",I264=""),"",IF(I264&lt;=0,"",IFERROR(M264/I264-1,"")))</f>
        <v/>
      </c>
    </row>
    <row r="267">
      <c r="A267" s="16" t="inlineStr">
        <is>
          <t>현금흐름표 · 전 항목</t>
        </is>
      </c>
      <c r="B267" s="42" t="inlineStr">
        <is>
          <t>분기 = 결산기 첫날부터 누계(공시 그대로)</t>
        </is>
      </c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  <c r="AA267" s="16" t="n"/>
      <c r="AB267" s="16" t="n"/>
      <c r="AC267" s="16" t="n"/>
    </row>
    <row r="268">
      <c r="A268" s="5" t="inlineStr">
        <is>
          <t>항목</t>
        </is>
      </c>
      <c r="B268" s="5" t="inlineStr">
        <is>
          <t>참고</t>
        </is>
      </c>
      <c r="C268" s="5" t="inlineStr">
        <is>
          <t>2023.3Q</t>
        </is>
      </c>
      <c r="D268" s="5" t="inlineStr">
        <is>
          <t>2023.4Q</t>
        </is>
      </c>
      <c r="E268" s="5" t="inlineStr">
        <is>
          <t>2024.1Q</t>
        </is>
      </c>
      <c r="F268" s="5" t="inlineStr">
        <is>
          <t>2024.2Q</t>
        </is>
      </c>
      <c r="G268" s="5" t="inlineStr">
        <is>
          <t>2024.3Q</t>
        </is>
      </c>
      <c r="H268" s="5" t="inlineStr">
        <is>
          <t>2024.4Q</t>
        </is>
      </c>
      <c r="I268" s="5" t="inlineStr">
        <is>
          <t>2025.1Q</t>
        </is>
      </c>
      <c r="J268" s="5" t="inlineStr">
        <is>
          <t>2025.2Q</t>
        </is>
      </c>
      <c r="K268" s="5" t="inlineStr">
        <is>
          <t>2025.3Q</t>
        </is>
      </c>
      <c r="L268" s="5" t="inlineStr">
        <is>
          <t>2025.4Q</t>
        </is>
      </c>
      <c r="M268" s="5" t="inlineStr">
        <is>
          <t>2026.1Q</t>
        </is>
      </c>
      <c r="N268" s="5" t="inlineStr">
        <is>
          <t>2026.2Q</t>
        </is>
      </c>
      <c r="O268" s="5" t="inlineStr">
        <is>
          <t>2016</t>
        </is>
      </c>
      <c r="P268" s="5" t="inlineStr">
        <is>
          <t>2017</t>
        </is>
      </c>
      <c r="Q268" s="5" t="inlineStr">
        <is>
          <t>2018</t>
        </is>
      </c>
      <c r="R268" s="5" t="inlineStr">
        <is>
          <t>2019</t>
        </is>
      </c>
      <c r="S268" s="5" t="inlineStr">
        <is>
          <t>2020</t>
        </is>
      </c>
      <c r="T268" s="5" t="inlineStr">
        <is>
          <t>2021</t>
        </is>
      </c>
      <c r="U268" s="5" t="inlineStr">
        <is>
          <t>2022</t>
        </is>
      </c>
      <c r="V268" s="5" t="inlineStr">
        <is>
          <t>2023</t>
        </is>
      </c>
      <c r="W268" s="5" t="inlineStr">
        <is>
          <t>2024</t>
        </is>
      </c>
      <c r="X268" s="5" t="inlineStr">
        <is>
          <t>2025</t>
        </is>
      </c>
      <c r="Y268" s="5" t="inlineStr">
        <is>
          <t>2026(MW)</t>
        </is>
      </c>
      <c r="Z268" s="5" t="inlineStr">
        <is>
          <t>2027(MW)</t>
        </is>
      </c>
      <c r="AA268" s="5" t="inlineStr">
        <is>
          <t>2028(MW)</t>
        </is>
      </c>
      <c r="AB268" s="5" t="inlineStr">
        <is>
          <t>2029(MW)</t>
        </is>
      </c>
      <c r="AC268" s="5" t="inlineStr">
        <is>
          <t>2030(MW)</t>
        </is>
      </c>
    </row>
    <row r="269">
      <c r="A269" s="9" t="inlineStr">
        <is>
          <t>법인세차감전 순이익</t>
        </is>
      </c>
      <c r="D269" s="12" t="n">
        <v>5688</v>
      </c>
      <c r="F269" s="12" t="n">
        <v>3350</v>
      </c>
      <c r="H269" s="12" t="n">
        <v>6000</v>
      </c>
      <c r="J269" s="12" t="n">
        <v>3447</v>
      </c>
      <c r="L269" s="12" t="n">
        <v>5201</v>
      </c>
      <c r="N269" s="12" t="n">
        <v>5369</v>
      </c>
      <c r="O269" s="12" t="n">
        <v>3818</v>
      </c>
      <c r="P269" s="12" t="n">
        <v>4045</v>
      </c>
      <c r="Q269" s="12" t="n">
        <v>3334</v>
      </c>
      <c r="R269" s="12" t="n">
        <v>3474</v>
      </c>
      <c r="S269" s="12" t="n">
        <v>4084</v>
      </c>
      <c r="T269" s="12" t="n">
        <v>4937</v>
      </c>
      <c r="U269" s="12" t="n">
        <v>5278</v>
      </c>
      <c r="V269" s="12" t="n">
        <v>5688</v>
      </c>
      <c r="W269" s="12" t="n">
        <v>6000</v>
      </c>
      <c r="X269" s="12" t="n">
        <v>5201</v>
      </c>
    </row>
    <row r="270">
      <c r="A270" s="18" t="inlineStr">
        <is>
          <t>손상차손</t>
        </is>
      </c>
      <c r="D270" s="20" t="n">
        <v>0</v>
      </c>
      <c r="H270" s="20" t="n">
        <v>2077</v>
      </c>
      <c r="L270" s="20" t="n">
        <v>1098</v>
      </c>
      <c r="O270" s="20" t="n">
        <v>1799</v>
      </c>
      <c r="P270" s="20" t="n">
        <v>1569</v>
      </c>
      <c r="Q270" s="20" t="n">
        <v>794</v>
      </c>
      <c r="R270" s="20" t="n">
        <v>412</v>
      </c>
      <c r="S270" s="20" t="n">
        <v>0</v>
      </c>
      <c r="T270" s="20" t="n">
        <v>750</v>
      </c>
      <c r="U270" s="20" t="n">
        <v>429</v>
      </c>
      <c r="V270" s="20" t="n">
        <v>0</v>
      </c>
      <c r="W270" s="20" t="n">
        <v>2077</v>
      </c>
      <c r="X270" s="20" t="n">
        <v>1098</v>
      </c>
    </row>
    <row r="271">
      <c r="A271" s="18" t="inlineStr">
        <is>
          <t>감가상각비</t>
        </is>
      </c>
      <c r="D271" s="20" t="n">
        <v>4167</v>
      </c>
      <c r="F271" s="20" t="n">
        <v>2585</v>
      </c>
      <c r="H271" s="20" t="n">
        <v>5404</v>
      </c>
      <c r="J271" s="20" t="n">
        <v>2361</v>
      </c>
      <c r="L271" s="20" t="n">
        <v>5034</v>
      </c>
      <c r="N271" s="20" t="n">
        <v>2776</v>
      </c>
      <c r="O271" s="20" t="n">
        <v>4293</v>
      </c>
      <c r="P271" s="20" t="n">
        <v>3926</v>
      </c>
      <c r="Q271" s="20" t="n">
        <v>3902</v>
      </c>
      <c r="R271" s="20" t="n">
        <v>4525</v>
      </c>
      <c r="S271" s="20" t="n">
        <v>4836</v>
      </c>
      <c r="T271" s="20" t="n">
        <v>4502</v>
      </c>
      <c r="U271" s="20" t="n">
        <v>4252</v>
      </c>
      <c r="V271" s="20" t="n">
        <v>4167</v>
      </c>
      <c r="W271" s="20" t="n">
        <v>5404</v>
      </c>
      <c r="X271" s="20" t="n">
        <v>5034</v>
      </c>
    </row>
    <row r="272">
      <c r="A272" s="18" t="inlineStr">
        <is>
          <t>퇴직급여자산 증감</t>
        </is>
      </c>
      <c r="H272" s="20" t="n">
        <v>0</v>
      </c>
      <c r="L272" s="20" t="n">
        <v>-385</v>
      </c>
      <c r="W272" s="20" t="n">
        <v>0</v>
      </c>
      <c r="X272" s="20" t="n">
        <v>-385</v>
      </c>
    </row>
    <row r="273">
      <c r="A273" s="18" t="inlineStr">
        <is>
          <t>대손충당금 증감</t>
        </is>
      </c>
      <c r="D273" s="20" t="n">
        <v>-0</v>
      </c>
      <c r="F273" s="20" t="n">
        <v>0</v>
      </c>
      <c r="H273" s="20" t="n">
        <v>0</v>
      </c>
      <c r="J273" s="20" t="n">
        <v>0</v>
      </c>
      <c r="N273" s="20" t="n">
        <v>-19</v>
      </c>
      <c r="O273" s="20" t="n">
        <v>-0</v>
      </c>
      <c r="P273" s="20" t="n">
        <v>-7</v>
      </c>
      <c r="Q273" s="20" t="n">
        <v>-80</v>
      </c>
      <c r="R273" s="20" t="n">
        <v>-4</v>
      </c>
      <c r="S273" s="20" t="n">
        <v>-2</v>
      </c>
      <c r="T273" s="20" t="n">
        <v>-0</v>
      </c>
      <c r="U273" s="20" t="n">
        <v>-0</v>
      </c>
      <c r="V273" s="20" t="n">
        <v>-0</v>
      </c>
      <c r="W273" s="20" t="n">
        <v>0</v>
      </c>
    </row>
    <row r="274">
      <c r="A274" s="18" t="inlineStr">
        <is>
          <t>퇴직급여부채 증감</t>
        </is>
      </c>
      <c r="D274" s="20" t="n">
        <v>5</v>
      </c>
      <c r="F274" s="20" t="n">
        <v>-3</v>
      </c>
      <c r="H274" s="20" t="n">
        <v>10</v>
      </c>
      <c r="J274" s="20" t="n">
        <v>9</v>
      </c>
      <c r="L274" s="20" t="n">
        <v>376</v>
      </c>
      <c r="N274" s="20" t="n">
        <v>19</v>
      </c>
      <c r="O274" s="20" t="n">
        <v>132</v>
      </c>
      <c r="P274" s="20" t="n">
        <v>29</v>
      </c>
      <c r="Q274" s="20" t="n">
        <v>-257</v>
      </c>
      <c r="R274" s="20" t="n">
        <v>82</v>
      </c>
      <c r="S274" s="20" t="n">
        <v>54</v>
      </c>
      <c r="T274" s="20" t="n">
        <v>34</v>
      </c>
      <c r="U274" s="20" t="n">
        <v>62</v>
      </c>
      <c r="V274" s="20" t="n">
        <v>5</v>
      </c>
      <c r="W274" s="20" t="n">
        <v>10</v>
      </c>
      <c r="X274" s="20" t="n">
        <v>376</v>
      </c>
    </row>
    <row r="275">
      <c r="A275" s="18" t="inlineStr">
        <is>
          <t>이자·배당금 수익</t>
        </is>
      </c>
      <c r="D275" s="20" t="n">
        <v>-321</v>
      </c>
      <c r="F275" s="20" t="n">
        <v>-197</v>
      </c>
      <c r="H275" s="20" t="n">
        <v>-400</v>
      </c>
      <c r="J275" s="20" t="n">
        <v>-196</v>
      </c>
      <c r="L275" s="20" t="n">
        <v>-395</v>
      </c>
      <c r="N275" s="20" t="n">
        <v>-201</v>
      </c>
      <c r="O275" s="20" t="n">
        <v>-143</v>
      </c>
      <c r="P275" s="20" t="n">
        <v>-162</v>
      </c>
      <c r="Q275" s="20" t="n">
        <v>-172</v>
      </c>
      <c r="R275" s="20" t="n">
        <v>-177</v>
      </c>
      <c r="S275" s="20" t="n">
        <v>-177</v>
      </c>
      <c r="T275" s="20" t="n">
        <v>-207</v>
      </c>
      <c r="U275" s="20" t="n">
        <v>-302</v>
      </c>
      <c r="V275" s="20" t="n">
        <v>-321</v>
      </c>
      <c r="W275" s="20" t="n">
        <v>-400</v>
      </c>
      <c r="X275" s="20" t="n">
        <v>-395</v>
      </c>
    </row>
    <row r="276">
      <c r="A276" s="18" t="inlineStr">
        <is>
          <t>이자비용</t>
        </is>
      </c>
      <c r="D276" s="20" t="n">
        <v>17</v>
      </c>
      <c r="F276" s="20" t="n">
        <v>12</v>
      </c>
      <c r="H276" s="20" t="n">
        <v>31</v>
      </c>
      <c r="J276" s="20" t="n">
        <v>27</v>
      </c>
      <c r="L276" s="20" t="n">
        <v>58</v>
      </c>
      <c r="N276" s="20" t="n">
        <v>99</v>
      </c>
      <c r="O276" s="20" t="n">
        <v>186</v>
      </c>
      <c r="P276" s="20" t="n">
        <v>142</v>
      </c>
      <c r="Q276" s="20" t="n">
        <v>130</v>
      </c>
      <c r="R276" s="20" t="n">
        <v>115</v>
      </c>
      <c r="S276" s="20" t="n">
        <v>100</v>
      </c>
      <c r="T276" s="20" t="n">
        <v>84</v>
      </c>
      <c r="U276" s="20" t="n">
        <v>21</v>
      </c>
      <c r="V276" s="20" t="n">
        <v>17</v>
      </c>
      <c r="W276" s="20" t="n">
        <v>31</v>
      </c>
      <c r="X276" s="20" t="n">
        <v>58</v>
      </c>
    </row>
    <row r="277">
      <c r="A277" s="18" t="inlineStr">
        <is>
          <t>외환차손익</t>
        </is>
      </c>
      <c r="D277" s="20" t="n">
        <v>-29</v>
      </c>
      <c r="F277" s="20" t="n">
        <v>-158</v>
      </c>
      <c r="H277" s="20" t="n">
        <v>-130</v>
      </c>
      <c r="J277" s="20" t="n">
        <v>127</v>
      </c>
      <c r="L277" s="20" t="n">
        <v>2</v>
      </c>
      <c r="N277" s="20" t="n">
        <v>-46</v>
      </c>
      <c r="O277" s="20" t="n">
        <v>83</v>
      </c>
      <c r="P277" s="20" t="n">
        <v>-10</v>
      </c>
      <c r="Q277" s="20" t="n">
        <v>22</v>
      </c>
      <c r="R277" s="20" t="n">
        <v>5</v>
      </c>
      <c r="S277" s="20" t="n">
        <v>22</v>
      </c>
      <c r="T277" s="20" t="n">
        <v>-55</v>
      </c>
      <c r="U277" s="20" t="n">
        <v>-66</v>
      </c>
      <c r="V277" s="20" t="n">
        <v>-29</v>
      </c>
      <c r="W277" s="20" t="n">
        <v>-130</v>
      </c>
      <c r="X277" s="20" t="n">
        <v>2</v>
      </c>
    </row>
    <row r="278">
      <c r="A278" s="18" t="inlineStr">
        <is>
          <t>투자유가증권 매각손익</t>
        </is>
      </c>
      <c r="D278" s="20" t="n">
        <v>-426</v>
      </c>
      <c r="F278" s="20" t="n">
        <v>0</v>
      </c>
      <c r="H278" s="20" t="n">
        <v>-2416</v>
      </c>
      <c r="L278" s="20" t="n">
        <v>0</v>
      </c>
      <c r="O278" s="20" t="n">
        <v>0</v>
      </c>
      <c r="P278" s="20" t="n">
        <v>-0</v>
      </c>
      <c r="Q278" s="20" t="n">
        <v>-142</v>
      </c>
      <c r="R278" s="20" t="n">
        <v>66</v>
      </c>
      <c r="S278" s="20" t="n">
        <v>-9</v>
      </c>
      <c r="T278" s="20" t="n">
        <v>5</v>
      </c>
      <c r="U278" s="20" t="n">
        <v>0</v>
      </c>
      <c r="V278" s="20" t="n">
        <v>-426</v>
      </c>
      <c r="W278" s="20" t="n">
        <v>-2416</v>
      </c>
      <c r="X278" s="20" t="n">
        <v>0</v>
      </c>
    </row>
    <row r="279">
      <c r="A279" s="18" t="inlineStr">
        <is>
          <t>투자유가증권 평가손익</t>
        </is>
      </c>
      <c r="O279" s="20" t="n">
        <v>0</v>
      </c>
      <c r="P279" s="20" t="n">
        <v>0</v>
      </c>
      <c r="Q279" s="20" t="n">
        <v>10</v>
      </c>
      <c r="R279" s="20" t="n">
        <v>0</v>
      </c>
      <c r="S279" s="20" t="n">
        <v>290</v>
      </c>
      <c r="T279" s="20" t="n">
        <v>0</v>
      </c>
    </row>
    <row r="280">
      <c r="A280" s="18" t="inlineStr">
        <is>
          <t>고정자산 제각·매각손익</t>
        </is>
      </c>
      <c r="D280" s="20" t="n">
        <v>58</v>
      </c>
      <c r="F280" s="20" t="n">
        <v>-812</v>
      </c>
      <c r="H280" s="20" t="n">
        <v>-769</v>
      </c>
      <c r="J280" s="20" t="n">
        <v>18</v>
      </c>
      <c r="L280" s="20" t="n">
        <v>16</v>
      </c>
      <c r="N280" s="20" t="n">
        <v>35</v>
      </c>
      <c r="O280" s="20" t="n">
        <v>-1026</v>
      </c>
      <c r="P280" s="20" t="n">
        <v>172</v>
      </c>
      <c r="Q280" s="20" t="n">
        <v>70</v>
      </c>
      <c r="R280" s="20" t="n">
        <v>-154</v>
      </c>
      <c r="S280" s="20" t="n">
        <v>45</v>
      </c>
      <c r="T280" s="20" t="n">
        <v>-248</v>
      </c>
      <c r="U280" s="20" t="n">
        <v>-1504</v>
      </c>
      <c r="V280" s="20" t="n">
        <v>58</v>
      </c>
      <c r="W280" s="20" t="n">
        <v>-769</v>
      </c>
      <c r="X280" s="20" t="n">
        <v>16</v>
      </c>
    </row>
    <row r="281">
      <c r="A281" s="18" t="inlineStr">
        <is>
          <t>매출채권 증감</t>
        </is>
      </c>
      <c r="D281" s="20" t="n">
        <v>-775</v>
      </c>
      <c r="F281" s="20" t="n">
        <v>-258</v>
      </c>
      <c r="H281" s="20" t="n">
        <v>-1235</v>
      </c>
      <c r="J281" s="20" t="n">
        <v>2563</v>
      </c>
      <c r="L281" s="20" t="n">
        <v>1334</v>
      </c>
      <c r="N281" s="20" t="n">
        <v>-3955</v>
      </c>
      <c r="O281" s="20" t="n">
        <v>800</v>
      </c>
      <c r="P281" s="20" t="n">
        <v>-1698</v>
      </c>
      <c r="Q281" s="20" t="n">
        <v>1368</v>
      </c>
      <c r="R281" s="20" t="n">
        <v>1243</v>
      </c>
      <c r="S281" s="20" t="n">
        <v>113</v>
      </c>
      <c r="T281" s="20" t="n">
        <v>-1344</v>
      </c>
      <c r="U281" s="20" t="n">
        <v>-2431</v>
      </c>
      <c r="V281" s="20" t="n">
        <v>-775</v>
      </c>
      <c r="W281" s="20" t="n">
        <v>-1235</v>
      </c>
      <c r="X281" s="20" t="n">
        <v>1334</v>
      </c>
    </row>
    <row r="282">
      <c r="A282" s="18" t="inlineStr">
        <is>
          <t>재고자산 증감</t>
        </is>
      </c>
      <c r="D282" s="20" t="n">
        <v>11</v>
      </c>
      <c r="F282" s="20" t="n">
        <v>-788</v>
      </c>
      <c r="H282" s="20" t="n">
        <v>-919</v>
      </c>
      <c r="J282" s="20" t="n">
        <v>-1204</v>
      </c>
      <c r="L282" s="20" t="n">
        <v>-216</v>
      </c>
      <c r="N282" s="20" t="n">
        <v>-1803</v>
      </c>
      <c r="O282" s="20" t="n">
        <v>852</v>
      </c>
      <c r="P282" s="20" t="n">
        <v>-550</v>
      </c>
      <c r="Q282" s="20" t="n">
        <v>-232</v>
      </c>
      <c r="R282" s="20" t="n">
        <v>-80</v>
      </c>
      <c r="S282" s="20" t="n">
        <v>771</v>
      </c>
      <c r="T282" s="20" t="n">
        <v>-1860</v>
      </c>
      <c r="U282" s="20" t="n">
        <v>-1805</v>
      </c>
      <c r="V282" s="20" t="n">
        <v>11</v>
      </c>
      <c r="W282" s="20" t="n">
        <v>-919</v>
      </c>
      <c r="X282" s="20" t="n">
        <v>-216</v>
      </c>
    </row>
    <row r="283">
      <c r="A283" s="18" t="inlineStr">
        <is>
          <t>매입채무 증감</t>
        </is>
      </c>
      <c r="D283" s="20" t="n">
        <v>-498</v>
      </c>
      <c r="F283" s="20" t="n">
        <v>2143</v>
      </c>
      <c r="H283" s="20" t="n">
        <v>3266</v>
      </c>
      <c r="J283" s="20" t="n">
        <v>897</v>
      </c>
      <c r="L283" s="20" t="n">
        <v>-1992</v>
      </c>
      <c r="N283" s="20" t="n">
        <v>1961</v>
      </c>
      <c r="O283" s="20" t="n">
        <v>-2628</v>
      </c>
      <c r="P283" s="20" t="n">
        <v>3346</v>
      </c>
      <c r="Q283" s="20" t="n">
        <v>-1641</v>
      </c>
      <c r="R283" s="20" t="n">
        <v>-1307</v>
      </c>
      <c r="S283" s="20" t="n">
        <v>-337</v>
      </c>
      <c r="T283" s="20" t="n">
        <v>977</v>
      </c>
      <c r="U283" s="20" t="n">
        <v>1972</v>
      </c>
      <c r="V283" s="20" t="n">
        <v>-498</v>
      </c>
      <c r="W283" s="20" t="n">
        <v>3266</v>
      </c>
      <c r="X283" s="20" t="n">
        <v>-1992</v>
      </c>
    </row>
    <row r="284">
      <c r="A284" s="18" t="inlineStr">
        <is>
          <t>기타</t>
        </is>
      </c>
      <c r="D284" s="20" t="n">
        <v>1608</v>
      </c>
      <c r="F284" s="20" t="n">
        <v>-2080</v>
      </c>
      <c r="H284" s="20" t="n">
        <v>-4121</v>
      </c>
      <c r="J284" s="20" t="n">
        <v>933</v>
      </c>
      <c r="L284" s="20" t="n">
        <v>1467</v>
      </c>
      <c r="N284" s="20" t="n">
        <v>-424</v>
      </c>
      <c r="O284" s="20" t="n">
        <v>477</v>
      </c>
      <c r="P284" s="20" t="n">
        <v>312</v>
      </c>
      <c r="Q284" s="20" t="n">
        <v>-16</v>
      </c>
      <c r="R284" s="20" t="n">
        <v>-373</v>
      </c>
      <c r="S284" s="20" t="n">
        <v>-45</v>
      </c>
      <c r="T284" s="20" t="n">
        <v>18</v>
      </c>
      <c r="U284" s="20" t="n">
        <v>-820</v>
      </c>
      <c r="V284" s="20" t="n">
        <v>1608</v>
      </c>
      <c r="W284" s="20" t="n">
        <v>-4121</v>
      </c>
      <c r="X284" s="20" t="n">
        <v>1467</v>
      </c>
    </row>
    <row r="285">
      <c r="A285" s="18" t="inlineStr">
        <is>
          <t>소계</t>
        </is>
      </c>
      <c r="D285" s="20" t="n">
        <v>9506</v>
      </c>
      <c r="F285" s="20" t="n">
        <v>3792</v>
      </c>
      <c r="H285" s="20" t="n">
        <v>6797</v>
      </c>
      <c r="J285" s="20" t="n">
        <v>8985</v>
      </c>
      <c r="L285" s="20" t="n">
        <v>11599</v>
      </c>
      <c r="N285" s="20" t="n">
        <v>3809</v>
      </c>
      <c r="O285" s="20" t="n">
        <v>8646</v>
      </c>
      <c r="P285" s="20" t="n">
        <v>11115</v>
      </c>
      <c r="Q285" s="20" t="n">
        <v>7092</v>
      </c>
      <c r="R285" s="20" t="n">
        <v>7828</v>
      </c>
      <c r="S285" s="20" t="n">
        <v>9747</v>
      </c>
      <c r="T285" s="20" t="n">
        <v>7594</v>
      </c>
      <c r="U285" s="20" t="n">
        <v>5086</v>
      </c>
      <c r="V285" s="20" t="n">
        <v>9506</v>
      </c>
      <c r="W285" s="20" t="n">
        <v>6797</v>
      </c>
      <c r="X285" s="20" t="n">
        <v>11599</v>
      </c>
    </row>
    <row r="286">
      <c r="A286" s="18" t="inlineStr">
        <is>
          <t>이자·배당금 수취</t>
        </is>
      </c>
      <c r="D286" s="20" t="n">
        <v>323</v>
      </c>
      <c r="F286" s="20" t="n">
        <v>197</v>
      </c>
      <c r="H286" s="20" t="n">
        <v>401</v>
      </c>
      <c r="J286" s="20" t="n">
        <v>196</v>
      </c>
      <c r="L286" s="20" t="n">
        <v>395</v>
      </c>
      <c r="N286" s="20" t="n">
        <v>201</v>
      </c>
      <c r="O286" s="20" t="n">
        <v>143</v>
      </c>
      <c r="P286" s="20" t="n">
        <v>162</v>
      </c>
      <c r="Q286" s="20" t="n">
        <v>172</v>
      </c>
      <c r="R286" s="20" t="n">
        <v>177</v>
      </c>
      <c r="S286" s="20" t="n">
        <v>177</v>
      </c>
      <c r="T286" s="20" t="n">
        <v>207</v>
      </c>
      <c r="U286" s="20" t="n">
        <v>299</v>
      </c>
      <c r="V286" s="20" t="n">
        <v>323</v>
      </c>
      <c r="W286" s="20" t="n">
        <v>401</v>
      </c>
      <c r="X286" s="20" t="n">
        <v>395</v>
      </c>
    </row>
    <row r="287">
      <c r="A287" s="18" t="inlineStr">
        <is>
          <t>이자 지급</t>
        </is>
      </c>
      <c r="D287" s="20" t="n">
        <v>-16</v>
      </c>
      <c r="F287" s="20" t="n">
        <v>-11</v>
      </c>
      <c r="H287" s="20" t="n">
        <v>-31</v>
      </c>
      <c r="J287" s="20" t="n">
        <v>-28</v>
      </c>
      <c r="L287" s="20" t="n">
        <v>-59</v>
      </c>
      <c r="N287" s="20" t="n">
        <v>-110</v>
      </c>
      <c r="O287" s="20" t="n">
        <v>-188</v>
      </c>
      <c r="P287" s="20" t="n">
        <v>-143</v>
      </c>
      <c r="Q287" s="20" t="n">
        <v>-132</v>
      </c>
      <c r="R287" s="20" t="n">
        <v>-118</v>
      </c>
      <c r="S287" s="20" t="n">
        <v>-100</v>
      </c>
      <c r="T287" s="20" t="n">
        <v>-83</v>
      </c>
      <c r="U287" s="20" t="n">
        <v>-21</v>
      </c>
      <c r="V287" s="20" t="n">
        <v>-16</v>
      </c>
      <c r="W287" s="20" t="n">
        <v>-31</v>
      </c>
      <c r="X287" s="20" t="n">
        <v>-59</v>
      </c>
    </row>
    <row r="288">
      <c r="A288" s="18" t="inlineStr">
        <is>
          <t>법인세 납부</t>
        </is>
      </c>
      <c r="D288" s="20" t="n">
        <v>-1409</v>
      </c>
      <c r="F288" s="20" t="n">
        <v>-708</v>
      </c>
      <c r="H288" s="20" t="n">
        <v>-1334</v>
      </c>
      <c r="J288" s="20" t="n">
        <v>-1428</v>
      </c>
      <c r="L288" s="20" t="n">
        <v>-2031</v>
      </c>
      <c r="N288" s="20" t="n">
        <v>-826</v>
      </c>
      <c r="O288" s="20" t="n">
        <v>-1041</v>
      </c>
      <c r="P288" s="20" t="n">
        <v>-2035</v>
      </c>
      <c r="Q288" s="20" t="n">
        <v>-1176</v>
      </c>
      <c r="R288" s="20" t="n">
        <v>-773</v>
      </c>
      <c r="S288" s="20" t="n">
        <v>-525</v>
      </c>
      <c r="T288" s="20" t="n">
        <v>-1371</v>
      </c>
      <c r="U288" s="20" t="n">
        <v>-1661</v>
      </c>
      <c r="V288" s="20" t="n">
        <v>-1409</v>
      </c>
      <c r="W288" s="20" t="n">
        <v>-1334</v>
      </c>
      <c r="X288" s="20" t="n">
        <v>-2031</v>
      </c>
    </row>
    <row r="289">
      <c r="A289" s="9" t="inlineStr">
        <is>
          <t>영업활동 현금흐름</t>
        </is>
      </c>
      <c r="D289" s="12" t="n">
        <v>8403</v>
      </c>
      <c r="F289" s="12" t="n">
        <v>3270</v>
      </c>
      <c r="H289" s="12" t="n">
        <v>5833</v>
      </c>
      <c r="J289" s="12" t="n">
        <v>7724</v>
      </c>
      <c r="L289" s="12" t="n">
        <v>9904</v>
      </c>
      <c r="N289" s="12" t="n">
        <v>3073</v>
      </c>
      <c r="O289" s="12" t="n">
        <v>7558</v>
      </c>
      <c r="P289" s="12" t="n">
        <v>9098</v>
      </c>
      <c r="Q289" s="12" t="n">
        <v>5955</v>
      </c>
      <c r="R289" s="12" t="n">
        <v>7114</v>
      </c>
      <c r="S289" s="12" t="n">
        <v>9298</v>
      </c>
      <c r="T289" s="12" t="n">
        <v>6345</v>
      </c>
      <c r="U289" s="12" t="n">
        <v>3702</v>
      </c>
      <c r="V289" s="12" t="n">
        <v>8403</v>
      </c>
      <c r="W289" s="12" t="n">
        <v>5833</v>
      </c>
      <c r="X289" s="12" t="n">
        <v>9904</v>
      </c>
    </row>
    <row r="290">
      <c r="A290" s="18" t="inlineStr">
        <is>
          <t>유형자산 취득(설비투자)</t>
        </is>
      </c>
      <c r="D290" s="20" t="n">
        <v>-7129</v>
      </c>
      <c r="F290" s="20" t="n">
        <v>-6461</v>
      </c>
      <c r="H290" s="20" t="n">
        <v>-9073</v>
      </c>
      <c r="J290" s="20" t="n">
        <v>-3712</v>
      </c>
      <c r="L290" s="20" t="n">
        <v>-7132</v>
      </c>
      <c r="N290" s="20" t="n">
        <v>-5014</v>
      </c>
      <c r="O290" s="20" t="n">
        <v>-2135</v>
      </c>
      <c r="P290" s="20" t="n">
        <v>-3756</v>
      </c>
      <c r="Q290" s="20" t="n">
        <v>-5279</v>
      </c>
      <c r="R290" s="20" t="n">
        <v>-5825</v>
      </c>
      <c r="S290" s="20" t="n">
        <v>-4403</v>
      </c>
      <c r="T290" s="20" t="n">
        <v>-3498</v>
      </c>
      <c r="U290" s="20" t="n">
        <v>-5120</v>
      </c>
      <c r="V290" s="20" t="n">
        <v>-7129</v>
      </c>
      <c r="W290" s="20" t="n">
        <v>-9073</v>
      </c>
      <c r="X290" s="20" t="n">
        <v>-7132</v>
      </c>
    </row>
    <row r="291">
      <c r="A291" s="18" t="inlineStr">
        <is>
          <t>유형자산 매각</t>
        </is>
      </c>
      <c r="D291" s="20" t="n">
        <v>3</v>
      </c>
      <c r="F291" s="20" t="n">
        <v>1119</v>
      </c>
      <c r="H291" s="20" t="n">
        <v>1127</v>
      </c>
      <c r="J291" s="20" t="n">
        <v>0</v>
      </c>
      <c r="L291" s="20" t="n">
        <v>70</v>
      </c>
      <c r="N291" s="20" t="n">
        <v>4</v>
      </c>
      <c r="O291" s="20" t="n">
        <v>1439</v>
      </c>
      <c r="P291" s="20" t="n">
        <v>12</v>
      </c>
      <c r="Q291" s="20" t="n">
        <v>32</v>
      </c>
      <c r="R291" s="20" t="n">
        <v>414</v>
      </c>
      <c r="S291" s="20" t="n">
        <v>7</v>
      </c>
      <c r="T291" s="20" t="n">
        <v>705</v>
      </c>
      <c r="U291" s="20" t="n">
        <v>1957</v>
      </c>
      <c r="V291" s="20" t="n">
        <v>3</v>
      </c>
      <c r="W291" s="20" t="n">
        <v>1127</v>
      </c>
      <c r="X291" s="20" t="n">
        <v>70</v>
      </c>
    </row>
    <row r="292">
      <c r="A292" s="18" t="inlineStr">
        <is>
          <t>Proceeds From Reception Of Subsidy Inv CF</t>
        </is>
      </c>
      <c r="O292" s="20" t="n">
        <v>3</v>
      </c>
      <c r="P292" s="20" t="n">
        <v>17</v>
      </c>
      <c r="Q292" s="20" t="n">
        <v>14</v>
      </c>
      <c r="R292" s="20" t="n">
        <v>1</v>
      </c>
    </row>
    <row r="293">
      <c r="A293" s="18" t="inlineStr">
        <is>
          <t>Proceeds From Governmental Subsidy Income Inv CF</t>
        </is>
      </c>
      <c r="D293" s="20" t="n">
        <v>52</v>
      </c>
      <c r="F293" s="20" t="n">
        <v>42</v>
      </c>
      <c r="H293" s="20" t="n">
        <v>346</v>
      </c>
      <c r="J293" s="20" t="n">
        <v>10</v>
      </c>
      <c r="L293" s="20" t="n">
        <v>10</v>
      </c>
      <c r="N293" s="20" t="n">
        <v>826</v>
      </c>
      <c r="R293" s="20" t="n">
        <v>1</v>
      </c>
      <c r="S293" s="20" t="n">
        <v>268</v>
      </c>
      <c r="T293" s="20" t="n">
        <v>121</v>
      </c>
      <c r="U293" s="20" t="n">
        <v>19</v>
      </c>
      <c r="V293" s="20" t="n">
        <v>52</v>
      </c>
      <c r="W293" s="20" t="n">
        <v>346</v>
      </c>
      <c r="X293" s="20" t="n">
        <v>10</v>
      </c>
    </row>
    <row r="294">
      <c r="A294" s="18" t="inlineStr">
        <is>
          <t>투자유가증권 취득</t>
        </is>
      </c>
      <c r="D294" s="20" t="n">
        <v>-61</v>
      </c>
      <c r="F294" s="20" t="n">
        <v>-6</v>
      </c>
      <c r="H294" s="20" t="n">
        <v>-12</v>
      </c>
      <c r="J294" s="20" t="n">
        <v>-6</v>
      </c>
      <c r="L294" s="20" t="n">
        <v>-13</v>
      </c>
      <c r="N294" s="20" t="n">
        <v>-6</v>
      </c>
      <c r="O294" s="20" t="n">
        <v>-9</v>
      </c>
      <c r="P294" s="20" t="n">
        <v>-30</v>
      </c>
      <c r="Q294" s="20" t="n">
        <v>-9</v>
      </c>
      <c r="R294" s="20" t="n">
        <v>-9</v>
      </c>
      <c r="S294" s="20" t="n">
        <v>-10</v>
      </c>
      <c r="T294" s="20" t="n">
        <v>-11</v>
      </c>
      <c r="U294" s="20" t="n">
        <v>-21</v>
      </c>
      <c r="V294" s="20" t="n">
        <v>-61</v>
      </c>
      <c r="W294" s="20" t="n">
        <v>-12</v>
      </c>
      <c r="X294" s="20" t="n">
        <v>-13</v>
      </c>
    </row>
    <row r="295">
      <c r="A295" s="18" t="inlineStr">
        <is>
          <t>투자유가증권 매각</t>
        </is>
      </c>
      <c r="D295" s="20" t="n">
        <v>611</v>
      </c>
      <c r="F295" s="20" t="n">
        <v>0</v>
      </c>
      <c r="H295" s="20" t="n">
        <v>3377</v>
      </c>
      <c r="L295" s="20" t="n">
        <v>0</v>
      </c>
      <c r="O295" s="20" t="n">
        <v>0</v>
      </c>
      <c r="P295" s="20" t="n">
        <v>6</v>
      </c>
      <c r="Q295" s="20" t="n">
        <v>174</v>
      </c>
      <c r="R295" s="20" t="n">
        <v>54</v>
      </c>
      <c r="S295" s="20" t="n">
        <v>19</v>
      </c>
      <c r="T295" s="20" t="n">
        <v>58</v>
      </c>
      <c r="U295" s="20" t="n">
        <v>0</v>
      </c>
      <c r="V295" s="20" t="n">
        <v>611</v>
      </c>
      <c r="W295" s="20" t="n">
        <v>3377</v>
      </c>
      <c r="X295" s="20" t="n">
        <v>0</v>
      </c>
    </row>
    <row r="296">
      <c r="A296" s="18" t="inlineStr">
        <is>
          <t>Payments Of Loans Receivable To Subsidiaries And Affiliates Inv CF</t>
        </is>
      </c>
      <c r="D296" s="20" t="n">
        <v>-468</v>
      </c>
      <c r="F296" s="20" t="n">
        <v>-351</v>
      </c>
      <c r="H296" s="20" t="n">
        <v>-790</v>
      </c>
      <c r="J296" s="20" t="n">
        <v>0</v>
      </c>
      <c r="L296" s="20" t="n">
        <v>0</v>
      </c>
      <c r="U296" s="20" t="n">
        <v>0</v>
      </c>
      <c r="V296" s="20" t="n">
        <v>-468</v>
      </c>
      <c r="W296" s="20" t="n">
        <v>-790</v>
      </c>
      <c r="X296" s="20" t="n">
        <v>0</v>
      </c>
    </row>
    <row r="297">
      <c r="A297" s="18" t="inlineStr">
        <is>
          <t>대여금 회수</t>
        </is>
      </c>
      <c r="D297" s="20" t="n">
        <v>1</v>
      </c>
      <c r="F297" s="20" t="n">
        <v>109</v>
      </c>
      <c r="H297" s="20" t="n">
        <v>109</v>
      </c>
      <c r="J297" s="20" t="n">
        <v>0</v>
      </c>
      <c r="L297" s="20" t="n">
        <v>0</v>
      </c>
      <c r="N297" s="20" t="n">
        <v>0</v>
      </c>
      <c r="O297" s="20" t="n">
        <v>5</v>
      </c>
      <c r="P297" s="20" t="n">
        <v>5</v>
      </c>
      <c r="Q297" s="20" t="n">
        <v>7</v>
      </c>
      <c r="R297" s="20" t="n">
        <v>5</v>
      </c>
      <c r="S297" s="20" t="n">
        <v>3</v>
      </c>
      <c r="T297" s="20" t="n">
        <v>2</v>
      </c>
      <c r="U297" s="20" t="n">
        <v>1</v>
      </c>
      <c r="V297" s="20" t="n">
        <v>1</v>
      </c>
      <c r="W297" s="20" t="n">
        <v>109</v>
      </c>
      <c r="X297" s="20" t="n">
        <v>0</v>
      </c>
    </row>
    <row r="298">
      <c r="A298" s="18" t="inlineStr">
        <is>
          <t>관계회사 출자금 납입</t>
        </is>
      </c>
      <c r="D298" s="20" t="n">
        <v>-455</v>
      </c>
      <c r="F298" s="20" t="n">
        <v>0</v>
      </c>
      <c r="H298" s="20" t="n">
        <v>0</v>
      </c>
      <c r="U298" s="20" t="n">
        <v>0</v>
      </c>
      <c r="V298" s="20" t="n">
        <v>-455</v>
      </c>
      <c r="W298" s="20" t="n">
        <v>0</v>
      </c>
    </row>
    <row r="299">
      <c r="A299" s="18" t="inlineStr">
        <is>
          <t>출자금 납입</t>
        </is>
      </c>
      <c r="H299" s="20" t="n">
        <v>0</v>
      </c>
      <c r="J299" s="20" t="n">
        <v>0</v>
      </c>
      <c r="L299" s="20" t="n">
        <v>-153</v>
      </c>
      <c r="N299" s="20" t="n">
        <v>-1280</v>
      </c>
      <c r="W299" s="20" t="n">
        <v>0</v>
      </c>
      <c r="X299" s="20" t="n">
        <v>-153</v>
      </c>
    </row>
    <row r="300">
      <c r="A300" s="18" t="inlineStr">
        <is>
          <t>연결범위 변경 자회사 주식 취득</t>
        </is>
      </c>
      <c r="J300" s="20" t="n">
        <v>0</v>
      </c>
      <c r="N300" s="20" t="n">
        <v>-2593</v>
      </c>
    </row>
    <row r="301">
      <c r="A301" s="18" t="inlineStr">
        <is>
          <t>기타</t>
        </is>
      </c>
      <c r="D301" s="20" t="n">
        <v>-449</v>
      </c>
      <c r="F301" s="20" t="n">
        <v>-336</v>
      </c>
      <c r="H301" s="20" t="n">
        <v>-792</v>
      </c>
      <c r="J301" s="20" t="n">
        <v>-418</v>
      </c>
      <c r="L301" s="20" t="n">
        <v>-750</v>
      </c>
      <c r="N301" s="20" t="n">
        <v>-190</v>
      </c>
      <c r="O301" s="20" t="n">
        <v>-19</v>
      </c>
      <c r="P301" s="20" t="n">
        <v>-276</v>
      </c>
      <c r="Q301" s="20" t="n">
        <v>-207</v>
      </c>
      <c r="R301" s="20" t="n">
        <v>-206</v>
      </c>
      <c r="S301" s="20" t="n">
        <v>-241</v>
      </c>
      <c r="T301" s="20" t="n">
        <v>-140</v>
      </c>
      <c r="U301" s="20" t="n">
        <v>-145</v>
      </c>
      <c r="V301" s="20" t="n">
        <v>-449</v>
      </c>
      <c r="W301" s="20" t="n">
        <v>-792</v>
      </c>
      <c r="X301" s="20" t="n">
        <v>-750</v>
      </c>
    </row>
    <row r="302">
      <c r="A302" s="9" t="inlineStr">
        <is>
          <t>투자활동 현금흐름</t>
        </is>
      </c>
      <c r="D302" s="12" t="n">
        <v>-7897</v>
      </c>
      <c r="F302" s="12" t="n">
        <v>-5885</v>
      </c>
      <c r="H302" s="12" t="n">
        <v>-5708</v>
      </c>
      <c r="J302" s="12" t="n">
        <v>-4126</v>
      </c>
      <c r="L302" s="12" t="n">
        <v>-7970</v>
      </c>
      <c r="N302" s="12" t="n">
        <v>-8255</v>
      </c>
      <c r="O302" s="12" t="n">
        <v>-715</v>
      </c>
      <c r="P302" s="12" t="n">
        <v>-4020</v>
      </c>
      <c r="Q302" s="12" t="n">
        <v>-5267</v>
      </c>
      <c r="R302" s="12" t="n">
        <v>-5566</v>
      </c>
      <c r="S302" s="12" t="n">
        <v>-4356</v>
      </c>
      <c r="T302" s="12" t="n">
        <v>-2763</v>
      </c>
      <c r="U302" s="12" t="n">
        <v>-3310</v>
      </c>
      <c r="V302" s="12" t="n">
        <v>-7897</v>
      </c>
      <c r="W302" s="12" t="n">
        <v>-5708</v>
      </c>
      <c r="X302" s="12" t="n">
        <v>-7970</v>
      </c>
    </row>
    <row r="303">
      <c r="A303" s="18" t="inlineStr">
        <is>
          <t>단기차입금 순증감</t>
        </is>
      </c>
      <c r="D303" s="20" t="n">
        <v>-21</v>
      </c>
      <c r="F303" s="20" t="n">
        <v>3699</v>
      </c>
      <c r="H303" s="20" t="n">
        <v>2938</v>
      </c>
      <c r="J303" s="20" t="n">
        <v>0</v>
      </c>
      <c r="L303" s="20" t="n">
        <v>1001</v>
      </c>
      <c r="N303" s="20" t="n">
        <v>-1096</v>
      </c>
      <c r="O303" s="20" t="n">
        <v>-4440</v>
      </c>
      <c r="P303" s="20" t="n">
        <v>-900</v>
      </c>
      <c r="Q303" s="20" t="n">
        <v>1100</v>
      </c>
      <c r="R303" s="20" t="n">
        <v>259</v>
      </c>
      <c r="S303" s="20" t="n">
        <v>-2064</v>
      </c>
      <c r="T303" s="20" t="n">
        <v>-1410</v>
      </c>
      <c r="U303" s="20" t="n">
        <v>-369</v>
      </c>
      <c r="V303" s="20" t="n">
        <v>-21</v>
      </c>
      <c r="W303" s="20" t="n">
        <v>2938</v>
      </c>
      <c r="X303" s="20" t="n">
        <v>1001</v>
      </c>
    </row>
    <row r="304">
      <c r="A304" s="18" t="inlineStr">
        <is>
          <t>장기차입</t>
        </is>
      </c>
      <c r="D304" s="20" t="n">
        <v>0</v>
      </c>
      <c r="F304" s="20" t="n">
        <v>1950</v>
      </c>
      <c r="H304" s="20" t="n">
        <v>1950</v>
      </c>
      <c r="J304" s="20" t="n">
        <v>0</v>
      </c>
      <c r="L304" s="20" t="n">
        <v>0</v>
      </c>
      <c r="N304" s="20" t="n">
        <v>13700</v>
      </c>
      <c r="O304" s="20" t="n">
        <v>1800</v>
      </c>
      <c r="P304" s="20" t="n">
        <v>490</v>
      </c>
      <c r="Q304" s="20" t="n">
        <v>560</v>
      </c>
      <c r="R304" s="20" t="n">
        <v>1000</v>
      </c>
      <c r="S304" s="20" t="n">
        <v>730</v>
      </c>
      <c r="T304" s="20" t="n">
        <v>80</v>
      </c>
      <c r="U304" s="20" t="n">
        <v>0</v>
      </c>
      <c r="V304" s="20" t="n">
        <v>0</v>
      </c>
      <c r="W304" s="20" t="n">
        <v>1950</v>
      </c>
      <c r="X304" s="20" t="n">
        <v>0</v>
      </c>
    </row>
    <row r="305">
      <c r="A305" s="18" t="inlineStr">
        <is>
          <t>장기차입금 상환</t>
        </is>
      </c>
      <c r="D305" s="20" t="n">
        <v>-453</v>
      </c>
      <c r="F305" s="20" t="n">
        <v>-398</v>
      </c>
      <c r="H305" s="20" t="n">
        <v>-674</v>
      </c>
      <c r="J305" s="20" t="n">
        <v>-216</v>
      </c>
      <c r="L305" s="20" t="n">
        <v>-389</v>
      </c>
      <c r="N305" s="20" t="n">
        <v>-1095</v>
      </c>
      <c r="O305" s="20" t="n">
        <v>-3036</v>
      </c>
      <c r="P305" s="20" t="n">
        <v>-2869</v>
      </c>
      <c r="Q305" s="20" t="n">
        <v>-2769</v>
      </c>
      <c r="R305" s="20" t="n">
        <v>-1978</v>
      </c>
      <c r="S305" s="20" t="n">
        <v>-1352</v>
      </c>
      <c r="T305" s="20" t="n">
        <v>-996</v>
      </c>
      <c r="U305" s="20" t="n">
        <v>-570</v>
      </c>
      <c r="V305" s="20" t="n">
        <v>-453</v>
      </c>
      <c r="W305" s="20" t="n">
        <v>-674</v>
      </c>
      <c r="X305" s="20" t="n">
        <v>-389</v>
      </c>
    </row>
    <row r="306">
      <c r="A306" s="18" t="inlineStr">
        <is>
          <t>리스부채 상환</t>
        </is>
      </c>
      <c r="D306" s="20" t="n">
        <v>0</v>
      </c>
      <c r="F306" s="20" t="n">
        <v>0</v>
      </c>
      <c r="H306" s="20" t="n">
        <v>-0</v>
      </c>
      <c r="J306" s="20" t="n">
        <v>-0</v>
      </c>
      <c r="L306" s="20" t="n">
        <v>-1</v>
      </c>
      <c r="N306" s="20" t="n">
        <v>-0</v>
      </c>
      <c r="O306" s="20" t="n">
        <v>-568</v>
      </c>
      <c r="P306" s="20" t="n">
        <v>-17</v>
      </c>
      <c r="Q306" s="20" t="n">
        <v>-2</v>
      </c>
      <c r="R306" s="20" t="n">
        <v>0</v>
      </c>
      <c r="V306" s="20" t="n">
        <v>0</v>
      </c>
      <c r="W306" s="20" t="n">
        <v>-0</v>
      </c>
      <c r="X306" s="20" t="n">
        <v>-1</v>
      </c>
    </row>
    <row r="307">
      <c r="A307" s="18" t="inlineStr">
        <is>
          <t>자기주식 취득</t>
        </is>
      </c>
      <c r="D307" s="20" t="n">
        <v>-2</v>
      </c>
      <c r="F307" s="20" t="n">
        <v>-2</v>
      </c>
      <c r="H307" s="20" t="n">
        <v>-1276</v>
      </c>
      <c r="J307" s="20" t="n">
        <v>-1229</v>
      </c>
      <c r="L307" s="20" t="n">
        <v>-1231</v>
      </c>
      <c r="N307" s="20" t="n">
        <v>-1</v>
      </c>
      <c r="O307" s="20" t="n">
        <v>-5</v>
      </c>
      <c r="P307" s="20" t="n">
        <v>-16</v>
      </c>
      <c r="Q307" s="20" t="n">
        <v>-6</v>
      </c>
      <c r="R307" s="20" t="n">
        <v>-2</v>
      </c>
      <c r="S307" s="20" t="n">
        <v>-1</v>
      </c>
      <c r="T307" s="20" t="n">
        <v>-2</v>
      </c>
      <c r="U307" s="20" t="n">
        <v>-1</v>
      </c>
      <c r="V307" s="20" t="n">
        <v>-2</v>
      </c>
      <c r="W307" s="20" t="n">
        <v>-1276</v>
      </c>
      <c r="X307" s="20" t="n">
        <v>-1231</v>
      </c>
    </row>
    <row r="308">
      <c r="A308" s="18" t="inlineStr">
        <is>
          <t>자기주식 처분</t>
        </is>
      </c>
      <c r="D308" s="20" t="n">
        <v>293</v>
      </c>
      <c r="H308" s="20" t="n">
        <v>0</v>
      </c>
      <c r="U308" s="20" t="n">
        <v>0</v>
      </c>
      <c r="V308" s="20" t="n">
        <v>293</v>
      </c>
      <c r="W308" s="20" t="n">
        <v>0</v>
      </c>
    </row>
    <row r="309">
      <c r="A309" s="18" t="inlineStr">
        <is>
          <t>배당금 지급</t>
        </is>
      </c>
      <c r="D309" s="20" t="n">
        <v>-1009</v>
      </c>
      <c r="F309" s="20" t="n">
        <v>-1324</v>
      </c>
      <c r="H309" s="20" t="n">
        <v>-1987</v>
      </c>
      <c r="J309" s="20" t="n">
        <v>-1215</v>
      </c>
      <c r="L309" s="20" t="n">
        <v>-2284</v>
      </c>
      <c r="N309" s="20" t="n">
        <v>-1120</v>
      </c>
      <c r="O309" s="20" t="n">
        <v>-444</v>
      </c>
      <c r="P309" s="20" t="n">
        <v>-593</v>
      </c>
      <c r="Q309" s="20" t="n">
        <v>-771</v>
      </c>
      <c r="R309" s="20" t="n">
        <v>-652</v>
      </c>
      <c r="S309" s="20" t="n">
        <v>-652</v>
      </c>
      <c r="T309" s="20" t="n">
        <v>-712</v>
      </c>
      <c r="U309" s="20" t="n">
        <v>-831</v>
      </c>
      <c r="V309" s="20" t="n">
        <v>-1009</v>
      </c>
      <c r="W309" s="20" t="n">
        <v>-1987</v>
      </c>
      <c r="X309" s="20" t="n">
        <v>-2284</v>
      </c>
    </row>
    <row r="310">
      <c r="A310" s="9" t="inlineStr">
        <is>
          <t>재무활동 현금흐름</t>
        </is>
      </c>
      <c r="D310" s="12" t="n">
        <v>-1194</v>
      </c>
      <c r="F310" s="12" t="n">
        <v>3923</v>
      </c>
      <c r="H310" s="12" t="n">
        <v>948</v>
      </c>
      <c r="J310" s="12" t="n">
        <v>-2662</v>
      </c>
      <c r="L310" s="12" t="n">
        <v>-2906</v>
      </c>
      <c r="N310" s="12" t="n">
        <v>10384</v>
      </c>
      <c r="O310" s="12" t="n">
        <v>-6695</v>
      </c>
      <c r="P310" s="12" t="n">
        <v>-3906</v>
      </c>
      <c r="Q310" s="12" t="n">
        <v>-1888</v>
      </c>
      <c r="R310" s="12" t="n">
        <v>-1374</v>
      </c>
      <c r="S310" s="12" t="n">
        <v>-3341</v>
      </c>
      <c r="T310" s="12" t="n">
        <v>-3041</v>
      </c>
      <c r="U310" s="12" t="n">
        <v>-1773</v>
      </c>
      <c r="V310" s="12" t="n">
        <v>-1194</v>
      </c>
      <c r="W310" s="12" t="n">
        <v>948</v>
      </c>
      <c r="X310" s="12" t="n">
        <v>-2906</v>
      </c>
    </row>
    <row r="311">
      <c r="A311" s="18" t="inlineStr">
        <is>
          <t>현금성자산 환산차이</t>
        </is>
      </c>
      <c r="D311" s="20" t="n">
        <v>46</v>
      </c>
      <c r="F311" s="20" t="n">
        <v>78</v>
      </c>
      <c r="H311" s="20" t="n">
        <v>68</v>
      </c>
      <c r="J311" s="20" t="n">
        <v>-24</v>
      </c>
      <c r="L311" s="20" t="n">
        <v>7</v>
      </c>
      <c r="N311" s="20" t="n">
        <v>10</v>
      </c>
      <c r="O311" s="20" t="n">
        <v>-60</v>
      </c>
      <c r="P311" s="20" t="n">
        <v>-2</v>
      </c>
      <c r="Q311" s="20" t="n">
        <v>-9</v>
      </c>
      <c r="R311" s="20" t="n">
        <v>-0</v>
      </c>
      <c r="S311" s="20" t="n">
        <v>-27</v>
      </c>
      <c r="T311" s="20" t="n">
        <v>44</v>
      </c>
      <c r="U311" s="20" t="n">
        <v>63</v>
      </c>
      <c r="V311" s="20" t="n">
        <v>46</v>
      </c>
      <c r="W311" s="20" t="n">
        <v>68</v>
      </c>
      <c r="X311" s="20" t="n">
        <v>7</v>
      </c>
    </row>
    <row r="312">
      <c r="A312" s="18" t="inlineStr">
        <is>
          <t>현금성자산 증감</t>
        </is>
      </c>
      <c r="D312" s="20" t="n">
        <v>-641</v>
      </c>
      <c r="F312" s="20" t="n">
        <v>1387</v>
      </c>
      <c r="H312" s="20" t="n">
        <v>1142</v>
      </c>
      <c r="J312" s="20" t="n">
        <v>911</v>
      </c>
      <c r="L312" s="20" t="n">
        <v>-964</v>
      </c>
      <c r="N312" s="20" t="n">
        <v>5213</v>
      </c>
      <c r="O312" s="20" t="n">
        <v>87</v>
      </c>
      <c r="P312" s="20" t="n">
        <v>1168</v>
      </c>
      <c r="Q312" s="20" t="n">
        <v>-1210</v>
      </c>
      <c r="R312" s="20" t="n">
        <v>174</v>
      </c>
      <c r="S312" s="20" t="n">
        <v>1574</v>
      </c>
      <c r="T312" s="20" t="n">
        <v>586</v>
      </c>
      <c r="U312" s="20" t="n">
        <v>-1317</v>
      </c>
      <c r="V312" s="20" t="n">
        <v>-641</v>
      </c>
      <c r="W312" s="20" t="n">
        <v>1142</v>
      </c>
      <c r="X312" s="20" t="n">
        <v>-964</v>
      </c>
    </row>
    <row r="313">
      <c r="A313" s="18" t="inlineStr">
        <is>
          <t>연결범위 변경에 따른 현금성자산 증감</t>
        </is>
      </c>
      <c r="J313" s="20" t="n">
        <v>0</v>
      </c>
      <c r="N313" s="20" t="n">
        <v>209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4221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2025.2Q</t>
        </is>
      </c>
      <c r="D3" s="5" t="inlineStr">
        <is>
          <t>2025.3Q</t>
        </is>
      </c>
      <c r="E3" s="5" t="inlineStr">
        <is>
          <t>2025.4Q</t>
        </is>
      </c>
      <c r="F3" s="5" t="inlineStr">
        <is>
          <t>2026.1Q</t>
        </is>
      </c>
      <c r="G3" s="5" t="inlineStr">
        <is>
          <t>2026.2Q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54093</v>
      </c>
      <c r="D5" s="12" t="n">
        <v>51528</v>
      </c>
      <c r="E5" s="12" t="n">
        <v>52664</v>
      </c>
      <c r="F5" s="12" t="n">
        <v>63500</v>
      </c>
      <c r="G5" s="12" t="n">
        <v>67344</v>
      </c>
      <c r="H5" s="11" t="n">
        <v>46959</v>
      </c>
      <c r="I5" s="12" t="n">
        <v>50640</v>
      </c>
      <c r="J5" s="12" t="n">
        <v>50947</v>
      </c>
      <c r="K5" s="12" t="n">
        <v>55545</v>
      </c>
      <c r="L5" s="12" t="n">
        <v>52664</v>
      </c>
    </row>
    <row r="6">
      <c r="A6" s="18" t="inlineStr">
        <is>
          <t>현금및현금성자산</t>
        </is>
      </c>
      <c r="B6" s="10" t="n"/>
      <c r="C6" s="19" t="n">
        <v>9860</v>
      </c>
      <c r="D6" s="20" t="n">
        <v>7802</v>
      </c>
      <c r="E6" s="20" t="n">
        <v>7984</v>
      </c>
      <c r="F6" s="20" t="n">
        <v>18474</v>
      </c>
      <c r="G6" s="20" t="n">
        <v>13408</v>
      </c>
      <c r="H6" s="19" t="n">
        <v>9765</v>
      </c>
      <c r="I6" s="20" t="n">
        <v>8448</v>
      </c>
      <c r="J6" s="20" t="n">
        <v>7806</v>
      </c>
      <c r="K6" s="20" t="n">
        <v>8949</v>
      </c>
      <c r="L6" s="20" t="n">
        <v>7984</v>
      </c>
    </row>
    <row r="7">
      <c r="A7" s="18" t="inlineStr">
        <is>
          <t>단기금융상품</t>
        </is>
      </c>
      <c r="B7" s="10" t="n"/>
      <c r="C7" s="19" t="n"/>
      <c r="D7" s="20" t="n"/>
      <c r="E7" s="20" t="n">
        <v>0</v>
      </c>
      <c r="F7" s="20" t="n"/>
      <c r="G7" s="20" t="n">
        <v>23</v>
      </c>
      <c r="H7" s="19" t="n"/>
      <c r="I7" s="20" t="n"/>
      <c r="J7" s="20" t="n"/>
      <c r="K7" s="20" t="n"/>
      <c r="L7" s="20" t="n">
        <v>0</v>
      </c>
    </row>
    <row r="8">
      <c r="A8" s="18" t="inlineStr">
        <is>
          <t>매출채권</t>
        </is>
      </c>
      <c r="B8" s="10" t="n"/>
      <c r="C8" s="19" t="n">
        <v>19729</v>
      </c>
      <c r="D8" s="20" t="n">
        <v>19352</v>
      </c>
      <c r="E8" s="20" t="n">
        <v>19263</v>
      </c>
      <c r="F8" s="20" t="n">
        <v>18535</v>
      </c>
      <c r="G8" s="20" t="n">
        <v>24345</v>
      </c>
      <c r="H8" s="19" t="n">
        <v>16823</v>
      </c>
      <c r="I8" s="20" t="n">
        <v>17473</v>
      </c>
      <c r="J8" s="20" t="n">
        <v>18702</v>
      </c>
      <c r="K8" s="20" t="n">
        <v>20170</v>
      </c>
      <c r="L8" s="20" t="n">
        <v>19263</v>
      </c>
    </row>
    <row r="9">
      <c r="A9" s="18" t="inlineStr">
        <is>
          <t>재고자산</t>
        </is>
      </c>
      <c r="B9" s="10" t="n"/>
      <c r="C9" s="19" t="n">
        <v>13898</v>
      </c>
      <c r="D9" s="20" t="n">
        <v>14499</v>
      </c>
      <c r="E9" s="20" t="n">
        <v>12926</v>
      </c>
      <c r="F9" s="20" t="n">
        <v>14593</v>
      </c>
      <c r="G9" s="20" t="n">
        <v>15698</v>
      </c>
      <c r="H9" s="19" t="n">
        <v>9961</v>
      </c>
      <c r="I9" s="20" t="n">
        <v>11774</v>
      </c>
      <c r="J9" s="20" t="n">
        <v>11774</v>
      </c>
      <c r="K9" s="20" t="n">
        <v>12705</v>
      </c>
      <c r="L9" s="20" t="n">
        <v>12926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48063</v>
      </c>
      <c r="D11" s="12" t="n">
        <v>49401</v>
      </c>
      <c r="E11" s="12" t="n">
        <v>50378</v>
      </c>
      <c r="F11" s="12" t="n">
        <v>54189</v>
      </c>
      <c r="G11" s="12" t="n">
        <v>55157</v>
      </c>
      <c r="H11" s="11" t="n">
        <v>38910</v>
      </c>
      <c r="I11" s="12" t="n">
        <v>39594</v>
      </c>
      <c r="J11" s="12" t="n">
        <v>49325</v>
      </c>
      <c r="K11" s="12" t="n">
        <v>47469</v>
      </c>
      <c r="L11" s="12" t="n">
        <v>50378</v>
      </c>
    </row>
    <row r="12">
      <c r="A12" s="18" t="inlineStr">
        <is>
          <t>유형자산</t>
        </is>
      </c>
      <c r="B12" s="10" t="n"/>
      <c r="C12" s="19" t="n">
        <v>34786</v>
      </c>
      <c r="D12" s="20" t="n">
        <v>34479</v>
      </c>
      <c r="E12" s="20" t="n">
        <v>34924</v>
      </c>
      <c r="F12" s="20" t="n">
        <v>40024</v>
      </c>
      <c r="G12" s="20" t="n">
        <v>39643</v>
      </c>
      <c r="H12" s="19" t="n">
        <v>28505</v>
      </c>
      <c r="I12" s="20" t="n">
        <v>28970</v>
      </c>
      <c r="J12" s="20" t="n">
        <v>35616</v>
      </c>
      <c r="K12" s="20" t="n">
        <v>33278</v>
      </c>
      <c r="L12" s="20" t="n">
        <v>34924</v>
      </c>
    </row>
    <row r="13">
      <c r="A13" s="18" t="inlineStr">
        <is>
          <t>무형자산</t>
        </is>
      </c>
      <c r="B13" s="10" t="n"/>
      <c r="C13" s="19" t="n">
        <v>1727</v>
      </c>
      <c r="D13" s="20" t="n">
        <v>1825</v>
      </c>
      <c r="E13" s="20" t="n">
        <v>1960</v>
      </c>
      <c r="F13" s="20" t="n">
        <v>2296</v>
      </c>
      <c r="G13" s="20" t="n">
        <v>2276</v>
      </c>
      <c r="H13" s="19" t="n">
        <v>720</v>
      </c>
      <c r="I13" s="20" t="n">
        <v>642</v>
      </c>
      <c r="J13" s="20" t="n">
        <v>888</v>
      </c>
      <c r="K13" s="20" t="n">
        <v>1420</v>
      </c>
      <c r="L13" s="20" t="n">
        <v>1960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102156</v>
      </c>
      <c r="D16" s="12" t="n">
        <v>100930</v>
      </c>
      <c r="E16" s="12" t="n">
        <v>103043</v>
      </c>
      <c r="F16" s="12" t="n">
        <v>117690</v>
      </c>
      <c r="G16" s="12" t="n">
        <v>122501</v>
      </c>
      <c r="H16" s="11" t="n">
        <v>85869</v>
      </c>
      <c r="I16" s="12" t="n">
        <v>90234</v>
      </c>
      <c r="J16" s="12" t="n">
        <v>100272</v>
      </c>
      <c r="K16" s="12" t="n">
        <v>103014</v>
      </c>
      <c r="L16" s="12" t="n">
        <v>103043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35051</v>
      </c>
      <c r="D18" s="12" t="n">
        <v>32740</v>
      </c>
      <c r="E18" s="12" t="n">
        <v>34478</v>
      </c>
      <c r="F18" s="12" t="n">
        <v>36634</v>
      </c>
      <c r="G18" s="12" t="n">
        <v>39370</v>
      </c>
      <c r="H18" s="11" t="n">
        <v>27971</v>
      </c>
      <c r="I18" s="12" t="n">
        <v>29509</v>
      </c>
      <c r="J18" s="12" t="n">
        <v>34075</v>
      </c>
      <c r="K18" s="12" t="n">
        <v>34851</v>
      </c>
      <c r="L18" s="12" t="n">
        <v>34478</v>
      </c>
    </row>
    <row r="19">
      <c r="A19" s="18" t="inlineStr">
        <is>
          <t>매입채무</t>
        </is>
      </c>
      <c r="B19" s="10" t="n"/>
      <c r="C19" s="19" t="n">
        <v>19866</v>
      </c>
      <c r="D19" s="20" t="n">
        <v>17978</v>
      </c>
      <c r="E19" s="20" t="n">
        <v>16911</v>
      </c>
      <c r="F19" s="20" t="n">
        <v>15239</v>
      </c>
      <c r="G19" s="20" t="n">
        <v>20770</v>
      </c>
      <c r="H19" s="19" t="n">
        <v>16236</v>
      </c>
      <c r="I19" s="20" t="n">
        <v>18179</v>
      </c>
      <c r="J19" s="20" t="n">
        <v>17020</v>
      </c>
      <c r="K19" s="20" t="n">
        <v>18873</v>
      </c>
      <c r="L19" s="20" t="n">
        <v>16911</v>
      </c>
    </row>
    <row r="20">
      <c r="A20" s="18" t="inlineStr">
        <is>
          <t>단기차입금</t>
        </is>
      </c>
      <c r="B20" s="10" t="n"/>
      <c r="C20" s="19" t="n">
        <v>4468</v>
      </c>
      <c r="D20" s="20" t="n">
        <v>4470</v>
      </c>
      <c r="E20" s="20" t="n">
        <v>5474</v>
      </c>
      <c r="F20" s="20" t="n">
        <v>5176</v>
      </c>
      <c r="G20" s="20" t="n">
        <v>4777</v>
      </c>
      <c r="H20" s="19" t="n">
        <v>1914</v>
      </c>
      <c r="I20" s="20" t="n">
        <v>1549</v>
      </c>
      <c r="J20" s="20" t="n">
        <v>1529</v>
      </c>
      <c r="K20" s="20" t="n">
        <v>4471</v>
      </c>
      <c r="L20" s="20" t="n">
        <v>5474</v>
      </c>
    </row>
    <row r="21">
      <c r="A21" s="18" t="inlineStr">
        <is>
          <t>유동성장기부채</t>
        </is>
      </c>
      <c r="B21" s="10" t="n"/>
      <c r="C21" s="19" t="n">
        <v>389</v>
      </c>
      <c r="D21" s="20" t="n">
        <v>389</v>
      </c>
      <c r="E21" s="20" t="n">
        <v>389</v>
      </c>
      <c r="F21" s="20" t="n">
        <v>2585</v>
      </c>
      <c r="G21" s="20" t="n">
        <v>2585</v>
      </c>
      <c r="H21" s="19" t="n">
        <v>570</v>
      </c>
      <c r="I21" s="20" t="n">
        <v>483</v>
      </c>
      <c r="J21" s="20" t="n">
        <v>373</v>
      </c>
      <c r="K21" s="20" t="n">
        <v>389</v>
      </c>
      <c r="L21" s="20" t="n">
        <v>389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5792</v>
      </c>
      <c r="D23" s="12" t="n">
        <v>5990</v>
      </c>
      <c r="E23" s="12" t="n">
        <v>5430</v>
      </c>
      <c r="F23" s="12" t="n">
        <v>17972</v>
      </c>
      <c r="G23" s="12" t="n">
        <v>17690</v>
      </c>
      <c r="H23" s="11" t="n">
        <v>5374</v>
      </c>
      <c r="I23" s="12" t="n">
        <v>5133</v>
      </c>
      <c r="J23" s="12" t="n">
        <v>5327</v>
      </c>
      <c r="K23" s="12" t="n">
        <v>6086</v>
      </c>
      <c r="L23" s="12" t="n">
        <v>5430</v>
      </c>
    </row>
    <row r="24">
      <c r="A24" s="18" t="inlineStr">
        <is>
          <t>장기차입금</t>
        </is>
      </c>
      <c r="B24" s="10" t="n"/>
      <c r="C24" s="19" t="n">
        <v>1042</v>
      </c>
      <c r="D24" s="20" t="n">
        <v>945</v>
      </c>
      <c r="E24" s="20" t="n">
        <v>869</v>
      </c>
      <c r="F24" s="20" t="n">
        <v>13197</v>
      </c>
      <c r="G24" s="20" t="n">
        <v>12555</v>
      </c>
      <c r="H24" s="19" t="n">
        <v>827</v>
      </c>
      <c r="I24" s="20" t="n">
        <v>343</v>
      </c>
      <c r="J24" s="20" t="n">
        <v>0</v>
      </c>
      <c r="K24" s="20" t="n">
        <v>1259</v>
      </c>
      <c r="L24" s="20" t="n">
        <v>869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40844</v>
      </c>
      <c r="D27" s="12" t="n">
        <v>38730</v>
      </c>
      <c r="E27" s="12" t="n">
        <v>39909</v>
      </c>
      <c r="F27" s="12" t="n">
        <v>54606</v>
      </c>
      <c r="G27" s="12" t="n">
        <v>57061</v>
      </c>
      <c r="H27" s="11" t="n">
        <v>33345</v>
      </c>
      <c r="I27" s="12" t="n">
        <v>34643</v>
      </c>
      <c r="J27" s="12" t="n">
        <v>39403</v>
      </c>
      <c r="K27" s="12" t="n">
        <v>40938</v>
      </c>
      <c r="L27" s="12" t="n">
        <v>39909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61281</v>
      </c>
      <c r="D31" s="12" t="n">
        <v>62165</v>
      </c>
      <c r="E31" s="12" t="n">
        <v>63099</v>
      </c>
      <c r="F31" s="12" t="n">
        <v>63028</v>
      </c>
      <c r="G31" s="12" t="n">
        <v>65391</v>
      </c>
      <c r="H31" s="11" t="n">
        <v>52502</v>
      </c>
      <c r="I31" s="12" t="n">
        <v>55571</v>
      </c>
      <c r="J31" s="12" t="n">
        <v>60845</v>
      </c>
      <c r="K31" s="12" t="n">
        <v>62044</v>
      </c>
      <c r="L31" s="12" t="n">
        <v>63099</v>
      </c>
    </row>
    <row r="32">
      <c r="A32" s="18" t="inlineStr">
        <is>
          <t>자본금</t>
        </is>
      </c>
      <c r="B32" s="10" t="n"/>
      <c r="C32" s="19" t="n">
        <v>8619</v>
      </c>
      <c r="D32" s="20" t="n">
        <v>8619</v>
      </c>
      <c r="E32" s="20" t="n">
        <v>8619</v>
      </c>
      <c r="F32" s="20" t="n">
        <v>8619</v>
      </c>
      <c r="G32" s="20" t="n">
        <v>8619</v>
      </c>
      <c r="H32" s="19" t="n">
        <v>8619</v>
      </c>
      <c r="I32" s="20" t="n">
        <v>8619</v>
      </c>
      <c r="J32" s="20" t="n">
        <v>8619</v>
      </c>
      <c r="K32" s="20" t="n">
        <v>8619</v>
      </c>
      <c r="L32" s="20" t="n">
        <v>8619</v>
      </c>
    </row>
    <row r="33">
      <c r="A33" s="18" t="inlineStr">
        <is>
          <t>이익잉여금</t>
        </is>
      </c>
      <c r="B33" s="10" t="n"/>
      <c r="C33" s="19" t="n">
        <v>42090</v>
      </c>
      <c r="D33" s="20" t="n">
        <v>41947</v>
      </c>
      <c r="E33" s="20" t="n">
        <v>42280</v>
      </c>
      <c r="F33" s="20" t="n">
        <v>42314</v>
      </c>
      <c r="G33" s="20" t="n">
        <v>44599</v>
      </c>
      <c r="H33" s="19" t="n">
        <v>32140</v>
      </c>
      <c r="I33" s="20" t="n">
        <v>35094</v>
      </c>
      <c r="J33" s="20" t="n">
        <v>38394</v>
      </c>
      <c r="K33" s="20" t="n">
        <v>40759</v>
      </c>
      <c r="L33" s="20" t="n">
        <v>42280</v>
      </c>
    </row>
    <row r="34">
      <c r="A34" s="18" t="inlineStr">
        <is>
          <t>비지배지분</t>
        </is>
      </c>
      <c r="B34" s="10" t="n"/>
      <c r="C34" s="19" t="n">
        <v>31</v>
      </c>
      <c r="D34" s="20" t="n">
        <v>34</v>
      </c>
      <c r="E34" s="20" t="n">
        <v>35</v>
      </c>
      <c r="F34" s="20" t="n">
        <v>55</v>
      </c>
      <c r="G34" s="20" t="n">
        <v>49</v>
      </c>
      <c r="H34" s="19" t="n">
        <v>22</v>
      </c>
      <c r="I34" s="20" t="n">
        <v>20</v>
      </c>
      <c r="J34" s="20" t="n">
        <v>24</v>
      </c>
      <c r="K34" s="20" t="n">
        <v>31</v>
      </c>
      <c r="L34" s="20" t="n">
        <v>35</v>
      </c>
    </row>
    <row r="35">
      <c r="A35" s="9" t="inlineStr">
        <is>
          <t>자본총계</t>
        </is>
      </c>
      <c r="B35" s="10" t="n"/>
      <c r="C35" s="11" t="n">
        <v>61312</v>
      </c>
      <c r="D35" s="12" t="n">
        <v>62199</v>
      </c>
      <c r="E35" s="12" t="n">
        <v>63134</v>
      </c>
      <c r="F35" s="12" t="n">
        <v>63083</v>
      </c>
      <c r="G35" s="12" t="n">
        <v>65440</v>
      </c>
      <c r="H35" s="11" t="n">
        <v>52524</v>
      </c>
      <c r="I35" s="12" t="n">
        <v>55591</v>
      </c>
      <c r="J35" s="12" t="n">
        <v>60869</v>
      </c>
      <c r="K35" s="12" t="n">
        <v>62075</v>
      </c>
      <c r="L35" s="12" t="n">
        <v>63134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10287</v>
      </c>
      <c r="D37" s="12" t="n"/>
      <c r="E37" s="12" t="n">
        <v>9904</v>
      </c>
      <c r="F37" s="12" t="n"/>
      <c r="G37" s="12" t="n">
        <v>5253</v>
      </c>
      <c r="H37" s="11" t="n">
        <v>6345</v>
      </c>
      <c r="I37" s="12" t="n">
        <v>3702</v>
      </c>
      <c r="J37" s="12" t="n">
        <v>8403</v>
      </c>
      <c r="K37" s="12" t="n">
        <v>5833</v>
      </c>
      <c r="L37" s="12" t="n">
        <v>9904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6324</v>
      </c>
      <c r="D38" s="20" t="n"/>
      <c r="E38" s="20" t="n">
        <v>7132</v>
      </c>
      <c r="F38" s="20" t="n"/>
      <c r="G38" s="20" t="n">
        <v>8434</v>
      </c>
      <c r="H38" s="19" t="n">
        <v>3498</v>
      </c>
      <c r="I38" s="20" t="n">
        <v>5120</v>
      </c>
      <c r="J38" s="20" t="n">
        <v>7129</v>
      </c>
      <c r="K38" s="20" t="n">
        <v>9073</v>
      </c>
      <c r="L38" s="20" t="n">
        <v>7132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1878</v>
      </c>
      <c r="D40" s="20" t="n"/>
      <c r="E40" s="20" t="n">
        <v>2284</v>
      </c>
      <c r="F40" s="20" t="n"/>
      <c r="G40" s="20" t="n">
        <v>2189</v>
      </c>
      <c r="H40" s="19" t="n">
        <v>712</v>
      </c>
      <c r="I40" s="20" t="n">
        <v>831</v>
      </c>
      <c r="J40" s="20" t="n">
        <v>1009</v>
      </c>
      <c r="K40" s="20" t="n">
        <v>1987</v>
      </c>
      <c r="L40" s="20" t="n">
        <v>2284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IFERROR((IF(COUNT('연간'!G40:J40)&lt;4,"",SUM('연간'!G40:J40)))/(IF(COUNT('연간'!G62:J62)&lt;4,"",SUM('연간'!G62:J62))),"")</f>
        <v/>
      </c>
      <c r="D48" s="31">
        <f>IFERROR((IF(COUNT('연간'!H40:K40)&lt;4,"",SUM('연간'!H40:K40)))/(IF(COUNT('연간'!H62:K62)&lt;4,"",SUM('연간'!H62:K62))),"")</f>
        <v/>
      </c>
      <c r="E48" s="31">
        <f>IFERROR((IF(COUNT('연간'!I40:L40)&lt;4,"",SUM('연간'!I40:L40)))/(IF(COUNT('연간'!I62:L62)&lt;4,"",SUM('연간'!I62:L62))),"")</f>
        <v/>
      </c>
      <c r="F48" s="31">
        <f>IFERROR((IF(COUNT('연간'!J40:M40)&lt;4,"",SUM('연간'!J40:M40)))/(IF(COUNT('연간'!J62:M62)&lt;4,"",SUM('연간'!J62:M62))),"")</f>
        <v/>
      </c>
      <c r="G48" s="31">
        <f>IFERROR((IF(COUNT('연간'!K40:N40)&lt;4,"",SUM('연간'!K40:N40)))/(IF(COUNT('연간'!K62:N62)&lt;4,"",SUM('연간'!K62:N62))),"")</f>
        <v/>
      </c>
      <c r="H48" s="30">
        <f>IFERROR(('연간'!T40)/('연간'!T62),"")</f>
        <v/>
      </c>
      <c r="I48" s="31">
        <f>IFERROR(('연간'!U40)/('연간'!U62),"")</f>
        <v/>
      </c>
      <c r="J48" s="31">
        <f>IFERROR(('연간'!V40)/('연간'!V62),"")</f>
        <v/>
      </c>
      <c r="K48" s="31">
        <f>IFERROR(('연간'!W40)/('연간'!W62),"")</f>
        <v/>
      </c>
      <c r="L48" s="31">
        <f>IFERROR(('연간'!X40)/('연간'!X62),"")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IFERROR(IF((IF(COUNT('연간'!G70:J70)&lt;4,"",SUM('연간'!G70:J70)))&lt;=0,"적자",C28/(IF(COUNT('연간'!G70:J70)&lt;4,"",SUM('연간'!G70:J70)))),"")</f>
        <v/>
      </c>
      <c r="D49" s="47">
        <f>IFERROR(IF((IF(COUNT('연간'!H70:K70)&lt;4,"",SUM('연간'!H70:K70)))&lt;=0,"적자",D28/(IF(COUNT('연간'!H70:K70)&lt;4,"",SUM('연간'!H70:K70)))),"")</f>
        <v/>
      </c>
      <c r="E49" s="47">
        <f>IFERROR(IF((IF(COUNT('연간'!I70:L70)&lt;4,"",SUM('연간'!I70:L70)))&lt;=0,"적자",E28/(IF(COUNT('연간'!I70:L70)&lt;4,"",SUM('연간'!I70:L70)))),"")</f>
        <v/>
      </c>
      <c r="F49" s="47">
        <f>IFERROR(IF((IF(COUNT('연간'!J70:M70)&lt;4,"",SUM('연간'!J70:M70)))&lt;=0,"적자",F28/(IF(COUNT('연간'!J70:M70)&lt;4,"",SUM('연간'!J70:M70)))),"")</f>
        <v/>
      </c>
      <c r="G49" s="47">
        <f>IFERROR(IF((IF(COUNT('연간'!K70:N70)&lt;4,"",SUM('연간'!K70:N70)))&lt;=0,"적자",G28/(IF(COUNT('연간'!K70:N70)&lt;4,"",SUM('연간'!K70:N70)))),"")</f>
        <v/>
      </c>
      <c r="H49" s="46">
        <f>IFERROR(IF(('연간'!T70)&lt;=0,"적자",H28/('연간'!T70)),"")</f>
        <v/>
      </c>
      <c r="I49" s="47">
        <f>IFERROR(IF(('연간'!U70)&lt;=0,"적자",I28/('연간'!U70)),"")</f>
        <v/>
      </c>
      <c r="J49" s="47">
        <f>IFERROR(IF(('연간'!V70)&lt;=0,"적자",J28/('연간'!V70)),"")</f>
        <v/>
      </c>
      <c r="K49" s="47">
        <f>IFERROR(IF(('연간'!W70)&lt;=0,"적자",K28/('연간'!W70)),"")</f>
        <v/>
      </c>
      <c r="L49" s="47">
        <f>IFERROR(IF(('연간'!X70)&lt;=0,"적자",L28/('연간'!X70)),"")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IFERROR((IF(COUNT('연간'!G70:J70)&lt;4,"",SUM('연간'!G70:J70)))/C31,"")</f>
        <v/>
      </c>
      <c r="D51" s="36">
        <f>IFERROR((IF(COUNT('연간'!H70:K70)&lt;4,"",SUM('연간'!H70:K70)))/D31,"")</f>
        <v/>
      </c>
      <c r="E51" s="36">
        <f>IFERROR((IF(COUNT('연간'!I70:L70)&lt;4,"",SUM('연간'!I70:L70)))/E31,"")</f>
        <v/>
      </c>
      <c r="F51" s="36">
        <f>IFERROR((IF(COUNT('연간'!J70:M70)&lt;4,"",SUM('연간'!J70:M70)))/F31,"")</f>
        <v/>
      </c>
      <c r="G51" s="36">
        <f>IFERROR((IF(COUNT('연간'!K70:N70)&lt;4,"",SUM('연간'!K70:N70)))/G31,"")</f>
        <v/>
      </c>
      <c r="H51" s="35">
        <f>IFERROR(('연간'!T70)/H31,"")</f>
        <v/>
      </c>
      <c r="I51" s="36">
        <f>IFERROR(('연간'!U70)/I31,"")</f>
        <v/>
      </c>
      <c r="J51" s="36">
        <f>IFERROR(('연간'!V70)/J31,"")</f>
        <v/>
      </c>
      <c r="K51" s="36">
        <f>IFERROR(('연간'!W70)/K31,"")</f>
        <v/>
      </c>
      <c r="L51" s="36">
        <f>IFERROR(('연간'!X70)/L31,"")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IFERROR((IF(COUNT('연간'!G68:J68)&lt;4,"",SUM('연간'!G68:J68)))/C16,"")</f>
        <v/>
      </c>
      <c r="D52" s="36">
        <f>IFERROR((IF(COUNT('연간'!H68:K68)&lt;4,"",SUM('연간'!H68:K68)))/D16,"")</f>
        <v/>
      </c>
      <c r="E52" s="36">
        <f>IFERROR((IF(COUNT('연간'!I68:L68)&lt;4,"",SUM('연간'!I68:L68)))/E16,"")</f>
        <v/>
      </c>
      <c r="F52" s="36">
        <f>IFERROR((IF(COUNT('연간'!J68:M68)&lt;4,"",SUM('연간'!J68:M68)))/F16,"")</f>
        <v/>
      </c>
      <c r="G52" s="36">
        <f>IFERROR((IF(COUNT('연간'!K68:N68)&lt;4,"",SUM('연간'!K68:N68)))/G16,"")</f>
        <v/>
      </c>
      <c r="H52" s="35">
        <f>IFERROR(('연간'!T68)/H16,"")</f>
        <v/>
      </c>
      <c r="I52" s="36">
        <f>IFERROR(('연간'!U68)/I16,"")</f>
        <v/>
      </c>
      <c r="J52" s="36">
        <f>IFERROR(('연간'!V68)/J16,"")</f>
        <v/>
      </c>
      <c r="K52" s="36">
        <f>IFERROR(('연간'!W68)/K16,"")</f>
        <v/>
      </c>
      <c r="L52" s="36">
        <f>IFERROR(('연간'!X68)/L16,"")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IFERROR((IF(COUNT('연간'!G40:J40)&lt;4,"",SUM('연간'!G40:J40)))*(1-0.3)/(C35+C29),"")</f>
        <v/>
      </c>
      <c r="D53" s="36">
        <f>IFERROR((IF(COUNT('연간'!H40:K40)&lt;4,"",SUM('연간'!H40:K40)))*(1-0.3)/(D35+D29),"")</f>
        <v/>
      </c>
      <c r="E53" s="36">
        <f>IFERROR((IF(COUNT('연간'!I40:L40)&lt;4,"",SUM('연간'!I40:L40)))*(1-0.3)/(E35+E29),"")</f>
        <v/>
      </c>
      <c r="F53" s="36">
        <f>IFERROR((IF(COUNT('연간'!J40:M40)&lt;4,"",SUM('연간'!J40:M40)))*(1-0.3)/(F35+F29),"")</f>
        <v/>
      </c>
      <c r="G53" s="36">
        <f>IFERROR((IF(COUNT('연간'!K40:N40)&lt;4,"",SUM('연간'!K40:N40)))*(1-0.3)/(G35+G29),"")</f>
        <v/>
      </c>
      <c r="H53" s="35">
        <f>IFERROR(('연간'!T40)*(1-0.3)/(H35+H29),"")</f>
        <v/>
      </c>
      <c r="I53" s="36">
        <f>IFERROR(('연간'!U40)*(1-0.3)/(I35+I29),"")</f>
        <v/>
      </c>
      <c r="J53" s="36">
        <f>IFERROR(('연간'!V40)*(1-0.3)/(J35+J29),"")</f>
        <v/>
      </c>
      <c r="K53" s="36">
        <f>IFERROR(('연간'!W40)*(1-0.3)/(K35+K29),"")</f>
        <v/>
      </c>
      <c r="L53" s="36">
        <f>IFERROR(('연간'!X40)*(1-0.3)/(L35+L29),"")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IFERROR((IF(COUNT('연간'!G34:J34)&lt;4,"",SUM('연간'!G34:J34)))/(IF(COUNT('연간'!G4:J4)&lt;4,"",SUM('연간'!G4:J4))),"")</f>
        <v/>
      </c>
      <c r="D54" s="36">
        <f>IFERROR((IF(COUNT('연간'!H34:K34)&lt;4,"",SUM('연간'!H34:K34)))/(IF(COUNT('연간'!H4:K4)&lt;4,"",SUM('연간'!H4:K4))),"")</f>
        <v/>
      </c>
      <c r="E54" s="36">
        <f>IFERROR((IF(COUNT('연간'!I34:L34)&lt;4,"",SUM('연간'!I34:L34)))/(IF(COUNT('연간'!I4:L4)&lt;4,"",SUM('연간'!I4:L4))),"")</f>
        <v/>
      </c>
      <c r="F54" s="36">
        <f>IFERROR((IF(COUNT('연간'!J34:M34)&lt;4,"",SUM('연간'!J34:M34)))/(IF(COUNT('연간'!J4:M4)&lt;4,"",SUM('연간'!J4:M4))),"")</f>
        <v/>
      </c>
      <c r="G54" s="36">
        <f>IFERROR((IF(COUNT('연간'!K34:N34)&lt;4,"",SUM('연간'!K34:N34)))/(IF(COUNT('연간'!K4:N4)&lt;4,"",SUM('연간'!K4:N4))),"")</f>
        <v/>
      </c>
      <c r="H54" s="35">
        <f>IFERROR(('연간'!T34)/('연간'!T4),"")</f>
        <v/>
      </c>
      <c r="I54" s="36">
        <f>IFERROR(('연간'!U34)/('연간'!U4),"")</f>
        <v/>
      </c>
      <c r="J54" s="36">
        <f>IFERROR(('연간'!V34)/('연간'!V4),"")</f>
        <v/>
      </c>
      <c r="K54" s="36">
        <f>IFERROR(('연간'!W34)/('연간'!W4),"")</f>
        <v/>
      </c>
      <c r="L54" s="36">
        <f>IFERROR(('연간'!X34)/('연간'!X4),"")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IFERROR((IF(COUNT('연간'!G40:J40)&lt;4,"",SUM('연간'!G40:J40)))/(IF(COUNT('연간'!G4:J4)&lt;4,"",SUM('연간'!G4:J4))),"")</f>
        <v/>
      </c>
      <c r="D55" s="36">
        <f>IFERROR((IF(COUNT('연간'!H40:K40)&lt;4,"",SUM('연간'!H40:K40)))/(IF(COUNT('연간'!H4:K4)&lt;4,"",SUM('연간'!H4:K4))),"")</f>
        <v/>
      </c>
      <c r="E55" s="36">
        <f>IFERROR((IF(COUNT('연간'!I40:L40)&lt;4,"",SUM('연간'!I40:L40)))/(IF(COUNT('연간'!I4:L4)&lt;4,"",SUM('연간'!I4:L4))),"")</f>
        <v/>
      </c>
      <c r="F55" s="36">
        <f>IFERROR((IF(COUNT('연간'!J40:M40)&lt;4,"",SUM('연간'!J40:M40)))/(IF(COUNT('연간'!J4:M4)&lt;4,"",SUM('연간'!J4:M4))),"")</f>
        <v/>
      </c>
      <c r="G55" s="36">
        <f>IFERROR((IF(COUNT('연간'!K40:N40)&lt;4,"",SUM('연간'!K40:N40)))/(IF(COUNT('연간'!K4:N4)&lt;4,"",SUM('연간'!K4:N4))),"")</f>
        <v/>
      </c>
      <c r="H55" s="35">
        <f>IFERROR(('연간'!T40)/('연간'!T4),"")</f>
        <v/>
      </c>
      <c r="I55" s="36">
        <f>IFERROR(('연간'!U40)/('연간'!U4),"")</f>
        <v/>
      </c>
      <c r="J55" s="36">
        <f>IFERROR(('연간'!V40)/('연간'!V4),"")</f>
        <v/>
      </c>
      <c r="K55" s="36">
        <f>IFERROR(('연간'!W40)/('연간'!W4),"")</f>
        <v/>
      </c>
      <c r="L55" s="36">
        <f>IFERROR(('연간'!X40)/('연간'!X4),"")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IFERROR((IF(COUNT('연간'!G68:J68)&lt;4,"",SUM('연간'!G68:J68)))/(IF(COUNT('연간'!G4:J4)&lt;4,"",SUM('연간'!G4:J4))),"")</f>
        <v/>
      </c>
      <c r="D56" s="36">
        <f>IFERROR((IF(COUNT('연간'!H68:K68)&lt;4,"",SUM('연간'!H68:K68)))/(IF(COUNT('연간'!H4:K4)&lt;4,"",SUM('연간'!H4:K4))),"")</f>
        <v/>
      </c>
      <c r="E56" s="36">
        <f>IFERROR((IF(COUNT('연간'!I68:L68)&lt;4,"",SUM('연간'!I68:L68)))/(IF(COUNT('연간'!I4:L4)&lt;4,"",SUM('연간'!I4:L4))),"")</f>
        <v/>
      </c>
      <c r="F56" s="36">
        <f>IFERROR((IF(COUNT('연간'!J68:M68)&lt;4,"",SUM('연간'!J68:M68)))/(IF(COUNT('연간'!J4:M4)&lt;4,"",SUM('연간'!J4:M4))),"")</f>
        <v/>
      </c>
      <c r="G56" s="36">
        <f>IFERROR((IF(COUNT('연간'!K68:N68)&lt;4,"",SUM('연간'!K68:N68)))/(IF(COUNT('연간'!K4:N4)&lt;4,"",SUM('연간'!K4:N4))),"")</f>
        <v/>
      </c>
      <c r="H56" s="35">
        <f>IFERROR(('연간'!T68)/('연간'!T4),"")</f>
        <v/>
      </c>
      <c r="I56" s="36">
        <f>IFERROR(('연간'!U68)/('연간'!U4),"")</f>
        <v/>
      </c>
      <c r="J56" s="36">
        <f>IFERROR(('연간'!V68)/('연간'!V4),"")</f>
        <v/>
      </c>
      <c r="K56" s="36">
        <f>IFERROR(('연간'!W68)/('연간'!W4),"")</f>
        <v/>
      </c>
      <c r="L56" s="36">
        <f>IFERROR(('연간'!X68)/('연간'!X4),"")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IFERROR(C9/(IF(COUNT('연간'!G32:J32)&lt;4,"",SUM('연간'!G32:J32)))*365,"")</f>
        <v/>
      </c>
      <c r="D60" s="49">
        <f>IFERROR(D9/(IF(COUNT('연간'!H32:K32)&lt;4,"",SUM('연간'!H32:K32)))*365,"")</f>
        <v/>
      </c>
      <c r="E60" s="49">
        <f>IFERROR(E9/(IF(COUNT('연간'!I32:L32)&lt;4,"",SUM('연간'!I32:L32)))*365,"")</f>
        <v/>
      </c>
      <c r="F60" s="49">
        <f>IFERROR(F9/(IF(COUNT('연간'!J32:M32)&lt;4,"",SUM('연간'!J32:M32)))*365,"")</f>
        <v/>
      </c>
      <c r="G60" s="49">
        <f>IFERROR(G9/(IF(COUNT('연간'!K32:N32)&lt;4,"",SUM('연간'!K32:N32)))*365,"")</f>
        <v/>
      </c>
      <c r="H60" s="48">
        <f>IFERROR(H9/('연간'!T32)*365,"")</f>
        <v/>
      </c>
      <c r="I60" s="49">
        <f>IFERROR(I9/('연간'!U32)*365,"")</f>
        <v/>
      </c>
      <c r="J60" s="49">
        <f>IFERROR(J9/('연간'!V32)*365,"")</f>
        <v/>
      </c>
      <c r="K60" s="49">
        <f>IFERROR(K9/('연간'!W32)*365,"")</f>
        <v/>
      </c>
      <c r="L60" s="49">
        <f>IFERROR(L9/('연간'!X32)*365,"")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IFERROR(C19/(IF(COUNT('연간'!G32:J32)&lt;4,"",SUM('연간'!G32:J32)))*365,"")</f>
        <v/>
      </c>
      <c r="D61" s="49">
        <f>IFERROR(D19/(IF(COUNT('연간'!H32:K32)&lt;4,"",SUM('연간'!H32:K32)))*365,"")</f>
        <v/>
      </c>
      <c r="E61" s="49">
        <f>IFERROR(E19/(IF(COUNT('연간'!I32:L32)&lt;4,"",SUM('연간'!I32:L32)))*365,"")</f>
        <v/>
      </c>
      <c r="F61" s="49">
        <f>IFERROR(F19/(IF(COUNT('연간'!J32:M32)&lt;4,"",SUM('연간'!J32:M32)))*365,"")</f>
        <v/>
      </c>
      <c r="G61" s="49">
        <f>IFERROR(G19/(IF(COUNT('연간'!K32:N32)&lt;4,"",SUM('연간'!K32:N32)))*365,"")</f>
        <v/>
      </c>
      <c r="H61" s="48">
        <f>IFERROR(H19/('연간'!T32)*365,"")</f>
        <v/>
      </c>
      <c r="I61" s="49">
        <f>IFERROR(I19/('연간'!U32)*365,"")</f>
        <v/>
      </c>
      <c r="J61" s="49">
        <f>IFERROR(J19/('연간'!V32)*365,"")</f>
        <v/>
      </c>
      <c r="K61" s="49">
        <f>IFERROR(K19/('연간'!W32)*365,"")</f>
        <v/>
      </c>
      <c r="L61" s="49">
        <f>IFERROR(L19/('연간'!X32)*365,"")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IF(C37="","",IFERROR(C37/(IF(COUNT('연간'!G68:J68)&lt;4,"",SUM('연간'!G68:J68))),""))</f>
        <v/>
      </c>
      <c r="D64" s="31">
        <f>IF(D37="","",IFERROR(D37/(IF(COUNT('연간'!H68:K68)&lt;4,"",SUM('연간'!H68:K68))),""))</f>
        <v/>
      </c>
      <c r="E64" s="31">
        <f>IF(E37="","",IFERROR(E37/(IF(COUNT('연간'!I68:L68)&lt;4,"",SUM('연간'!I68:L68))),""))</f>
        <v/>
      </c>
      <c r="F64" s="31">
        <f>IF(F37="","",IFERROR(F37/(IF(COUNT('연간'!J68:M68)&lt;4,"",SUM('연간'!J68:M68))),""))</f>
        <v/>
      </c>
      <c r="G64" s="31">
        <f>IF(G37="","",IFERROR(G37/(IF(COUNT('연간'!K68:N68)&lt;4,"",SUM('연간'!K68:N68))),""))</f>
        <v/>
      </c>
      <c r="H64" s="30">
        <f>IF(H37="","",IFERROR(H37/('연간'!T68),""))</f>
        <v/>
      </c>
      <c r="I64" s="31">
        <f>IF(I37="","",IFERROR(I37/('연간'!U68),""))</f>
        <v/>
      </c>
      <c r="J64" s="31">
        <f>IF(J37="","",IFERROR(J37/('연간'!V68),""))</f>
        <v/>
      </c>
      <c r="K64" s="31">
        <f>IF(K37="","",IFERROR(K37/('연간'!W68),""))</f>
        <v/>
      </c>
      <c r="L64" s="31">
        <f>IF(L37="","",IFERROR(L37/('연간'!X68),""))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IF(C40="","",IFERROR(C40/(IF(COUNT('연간'!G70:J70)&lt;4,"",SUM('연간'!G70:J70))),""))</f>
        <v/>
      </c>
      <c r="D67" s="36">
        <f>IF(D40="","",IFERROR(D40/(IF(COUNT('연간'!H70:K70)&lt;4,"",SUM('연간'!H70:K70))),""))</f>
        <v/>
      </c>
      <c r="E67" s="36">
        <f>IF(E40="","",IFERROR(E40/(IF(COUNT('연간'!I70:L70)&lt;4,"",SUM('연간'!I70:L70))),""))</f>
        <v/>
      </c>
      <c r="F67" s="36">
        <f>IF(F40="","",IFERROR(F40/(IF(COUNT('연간'!J70:M70)&lt;4,"",SUM('연간'!J70:M70))),""))</f>
        <v/>
      </c>
      <c r="G67" s="36">
        <f>IF(G40="","",IFERROR(G40/(IF(COUNT('연간'!K70:N70)&lt;4,"",SUM('연간'!K70:N70))),""))</f>
        <v/>
      </c>
      <c r="H67" s="35">
        <f>IF(H40="","",IFERROR(H40/('연간'!T70),""))</f>
        <v/>
      </c>
      <c r="I67" s="36">
        <f>IF(I40="","",IFERROR(I40/('연간'!U70),""))</f>
        <v/>
      </c>
      <c r="J67" s="36">
        <f>IF(J40="","",IFERROR(J40/('연간'!V70),""))</f>
        <v/>
      </c>
      <c r="K67" s="36">
        <f>IF(K40="","",IFERROR(K40/('연간'!W70),""))</f>
        <v/>
      </c>
      <c r="L67" s="36">
        <f>IF(L40="","",IFERROR(L40/('연간'!X70),""))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2025.2Q</t>
        </is>
      </c>
      <c r="D70" s="5" t="inlineStr">
        <is>
          <t>2025.3Q</t>
        </is>
      </c>
      <c r="E70" s="5" t="inlineStr">
        <is>
          <t>2025.4Q</t>
        </is>
      </c>
      <c r="F70" s="5" t="inlineStr">
        <is>
          <t>2026.1Q</t>
        </is>
      </c>
      <c r="G70" s="5" t="inlineStr">
        <is>
          <t>2026.2Q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9860</v>
      </c>
      <c r="D71" s="20" t="n">
        <v>7802</v>
      </c>
      <c r="E71" s="20" t="n">
        <v>7984</v>
      </c>
      <c r="F71" s="20" t="n">
        <v>18474</v>
      </c>
      <c r="G71" s="20" t="n">
        <v>13408</v>
      </c>
      <c r="H71" s="20" t="n">
        <v>9765</v>
      </c>
      <c r="I71" s="20" t="n">
        <v>8448</v>
      </c>
      <c r="J71" s="20" t="n">
        <v>7806</v>
      </c>
      <c r="K71" s="20" t="n">
        <v>8949</v>
      </c>
      <c r="L71" s="20" t="n">
        <v>7984</v>
      </c>
    </row>
    <row r="72">
      <c r="A72" s="18" t="inlineStr">
        <is>
          <t>받을어음·매출채권</t>
        </is>
      </c>
      <c r="C72" s="20" t="n">
        <v>19729</v>
      </c>
      <c r="D72" s="20" t="n">
        <v>19352</v>
      </c>
      <c r="H72" s="20" t="n">
        <v>21095</v>
      </c>
      <c r="I72" s="20" t="n">
        <v>20797</v>
      </c>
      <c r="J72" s="20" t="n">
        <v>21713</v>
      </c>
      <c r="K72" s="20" t="n">
        <v>21968</v>
      </c>
    </row>
    <row r="73">
      <c r="A73" s="18" t="inlineStr">
        <is>
          <t>받을어음</t>
        </is>
      </c>
      <c r="E73" s="20" t="n">
        <v>901</v>
      </c>
      <c r="F73" s="20" t="n">
        <v>816</v>
      </c>
      <c r="G73" s="20" t="n">
        <v>981</v>
      </c>
      <c r="H73" s="20" t="n">
        <v>4271</v>
      </c>
      <c r="I73" s="20" t="n">
        <v>3324</v>
      </c>
      <c r="J73" s="20" t="n">
        <v>3011</v>
      </c>
      <c r="K73" s="20" t="n">
        <v>1797</v>
      </c>
      <c r="L73" s="20" t="n">
        <v>901</v>
      </c>
    </row>
    <row r="74">
      <c r="A74" s="18" t="inlineStr">
        <is>
          <t>매출채권</t>
        </is>
      </c>
      <c r="E74" s="20" t="n">
        <v>19263</v>
      </c>
      <c r="F74" s="20" t="n">
        <v>18535</v>
      </c>
      <c r="G74" s="20" t="n">
        <v>24345</v>
      </c>
      <c r="H74" s="20" t="n">
        <v>16823</v>
      </c>
      <c r="I74" s="20" t="n">
        <v>17473</v>
      </c>
      <c r="J74" s="20" t="n">
        <v>18702</v>
      </c>
      <c r="K74" s="20" t="n">
        <v>20170</v>
      </c>
      <c r="L74" s="20" t="n">
        <v>19263</v>
      </c>
    </row>
    <row r="75">
      <c r="A75" s="18" t="inlineStr">
        <is>
          <t>전자기록채권</t>
        </is>
      </c>
      <c r="C75" s="20" t="n">
        <v>8846</v>
      </c>
      <c r="D75" s="20" t="n">
        <v>8119</v>
      </c>
      <c r="E75" s="20" t="n">
        <v>9656</v>
      </c>
      <c r="F75" s="20" t="n">
        <v>9599</v>
      </c>
      <c r="G75" s="20" t="n">
        <v>11179</v>
      </c>
      <c r="H75" s="20" t="n">
        <v>5592</v>
      </c>
      <c r="I75" s="20" t="n">
        <v>8325</v>
      </c>
      <c r="J75" s="20" t="n">
        <v>8189</v>
      </c>
      <c r="K75" s="20" t="n">
        <v>9182</v>
      </c>
      <c r="L75" s="20" t="n">
        <v>9656</v>
      </c>
    </row>
    <row r="76">
      <c r="A76" s="18" t="inlineStr">
        <is>
          <t>유가증권</t>
        </is>
      </c>
      <c r="E76" s="20" t="n">
        <v>0</v>
      </c>
      <c r="G76" s="20" t="n">
        <v>23</v>
      </c>
      <c r="L76" s="20" t="n">
        <v>0</v>
      </c>
    </row>
    <row r="77">
      <c r="A77" s="18" t="inlineStr">
        <is>
          <t>상품·제품</t>
        </is>
      </c>
      <c r="C77" s="20" t="n">
        <v>6116</v>
      </c>
      <c r="D77" s="20" t="n">
        <v>7221</v>
      </c>
      <c r="E77" s="20" t="n">
        <v>5947</v>
      </c>
      <c r="F77" s="20" t="n">
        <v>6545</v>
      </c>
      <c r="G77" s="20" t="n">
        <v>6353</v>
      </c>
      <c r="H77" s="20" t="n">
        <v>4429</v>
      </c>
      <c r="I77" s="20" t="n">
        <v>5694</v>
      </c>
      <c r="J77" s="20" t="n">
        <v>5292</v>
      </c>
      <c r="K77" s="20" t="n">
        <v>5786</v>
      </c>
      <c r="L77" s="20" t="n">
        <v>5947</v>
      </c>
    </row>
    <row r="78">
      <c r="A78" s="18" t="inlineStr">
        <is>
          <t>재공품</t>
        </is>
      </c>
      <c r="C78" s="20" t="n">
        <v>1364</v>
      </c>
      <c r="D78" s="20" t="n">
        <v>1438</v>
      </c>
      <c r="E78" s="20" t="n">
        <v>1218</v>
      </c>
      <c r="F78" s="20" t="n">
        <v>1449</v>
      </c>
      <c r="G78" s="20" t="n">
        <v>1522</v>
      </c>
      <c r="H78" s="20" t="n">
        <v>1085</v>
      </c>
      <c r="I78" s="20" t="n">
        <v>1263</v>
      </c>
      <c r="J78" s="20" t="n">
        <v>1224</v>
      </c>
      <c r="K78" s="20" t="n">
        <v>1357</v>
      </c>
      <c r="L78" s="20" t="n">
        <v>1218</v>
      </c>
    </row>
    <row r="79">
      <c r="A79" s="18" t="inlineStr">
        <is>
          <t>원재료·저장품</t>
        </is>
      </c>
      <c r="C79" s="20" t="n">
        <v>6096</v>
      </c>
      <c r="D79" s="20" t="n">
        <v>5560</v>
      </c>
      <c r="E79" s="20" t="n">
        <v>5497</v>
      </c>
      <c r="F79" s="20" t="n">
        <v>6273</v>
      </c>
      <c r="G79" s="20" t="n">
        <v>7523</v>
      </c>
      <c r="H79" s="20" t="n">
        <v>4251</v>
      </c>
      <c r="I79" s="20" t="n">
        <v>4611</v>
      </c>
      <c r="J79" s="20" t="n">
        <v>4967</v>
      </c>
      <c r="K79" s="20" t="n">
        <v>5280</v>
      </c>
      <c r="L79" s="20" t="n">
        <v>5497</v>
      </c>
    </row>
    <row r="80">
      <c r="A80" s="18" t="inlineStr">
        <is>
          <t>판매용 부동산</t>
        </is>
      </c>
      <c r="C80" s="20" t="n">
        <v>322</v>
      </c>
      <c r="D80" s="20" t="n">
        <v>280</v>
      </c>
      <c r="E80" s="20" t="n">
        <v>264</v>
      </c>
      <c r="F80" s="20" t="n">
        <v>326</v>
      </c>
      <c r="G80" s="20" t="n">
        <v>300</v>
      </c>
      <c r="H80" s="20" t="n">
        <v>196</v>
      </c>
      <c r="I80" s="20" t="n">
        <v>206</v>
      </c>
      <c r="J80" s="20" t="n">
        <v>291</v>
      </c>
      <c r="K80" s="20" t="n">
        <v>282</v>
      </c>
      <c r="L80" s="20" t="n">
        <v>264</v>
      </c>
    </row>
    <row r="81">
      <c r="A81" s="18" t="inlineStr">
        <is>
          <t>기타</t>
        </is>
      </c>
      <c r="C81" s="20" t="n">
        <v>1756</v>
      </c>
      <c r="D81" s="20" t="n">
        <v>1753</v>
      </c>
      <c r="E81" s="20" t="n">
        <v>1931</v>
      </c>
      <c r="F81" s="20" t="n">
        <v>1481</v>
      </c>
      <c r="G81" s="20" t="n">
        <v>1707</v>
      </c>
      <c r="H81" s="20" t="n">
        <v>543</v>
      </c>
      <c r="I81" s="20" t="n">
        <v>1292</v>
      </c>
      <c r="J81" s="20" t="n">
        <v>1461</v>
      </c>
      <c r="K81" s="20" t="n">
        <v>2739</v>
      </c>
      <c r="L81" s="20" t="n">
        <v>1931</v>
      </c>
    </row>
    <row r="82">
      <c r="A82" s="18" t="inlineStr">
        <is>
          <t>대손충당금</t>
        </is>
      </c>
      <c r="E82" s="20" t="n">
        <v>0</v>
      </c>
      <c r="F82" s="20" t="n">
        <v>-0</v>
      </c>
      <c r="G82" s="20" t="n">
        <v>-0</v>
      </c>
      <c r="H82" s="20" t="n">
        <v>-0</v>
      </c>
      <c r="I82" s="20" t="n">
        <v>-0</v>
      </c>
      <c r="J82" s="20" t="n">
        <v>0</v>
      </c>
      <c r="L82" s="20" t="n">
        <v>0</v>
      </c>
    </row>
    <row r="83">
      <c r="A83" s="9" t="inlineStr">
        <is>
          <t>유동자산 합계</t>
        </is>
      </c>
      <c r="C83" s="12" t="n">
        <v>54093</v>
      </c>
      <c r="D83" s="12" t="n">
        <v>51528</v>
      </c>
      <c r="E83" s="12" t="n">
        <v>52664</v>
      </c>
      <c r="F83" s="12" t="n">
        <v>63500</v>
      </c>
      <c r="G83" s="12" t="n">
        <v>67344</v>
      </c>
      <c r="H83" s="12" t="n">
        <v>46959</v>
      </c>
      <c r="I83" s="12" t="n">
        <v>50640</v>
      </c>
      <c r="J83" s="12" t="n">
        <v>50947</v>
      </c>
      <c r="K83" s="12" t="n">
        <v>55545</v>
      </c>
      <c r="L83" s="12" t="n">
        <v>52664</v>
      </c>
    </row>
    <row r="84">
      <c r="A84" s="18" t="inlineStr">
        <is>
          <t>건물·구축물(순액)</t>
        </is>
      </c>
      <c r="C84" s="20" t="n">
        <v>15409</v>
      </c>
      <c r="D84" s="20" t="n">
        <v>15362</v>
      </c>
      <c r="E84" s="20" t="n">
        <v>15106</v>
      </c>
      <c r="F84" s="20" t="n">
        <v>17861</v>
      </c>
      <c r="G84" s="20" t="n">
        <v>19954</v>
      </c>
      <c r="H84" s="20" t="n">
        <v>12736</v>
      </c>
      <c r="I84" s="20" t="n">
        <v>11981</v>
      </c>
      <c r="J84" s="20" t="n">
        <v>12032</v>
      </c>
      <c r="K84" s="20" t="n">
        <v>15737</v>
      </c>
      <c r="L84" s="20" t="n">
        <v>15106</v>
      </c>
    </row>
    <row r="85">
      <c r="A85" s="18" t="inlineStr">
        <is>
          <t>기계장치·운반구(순액)</t>
        </is>
      </c>
      <c r="C85" s="20" t="n">
        <v>9194</v>
      </c>
      <c r="D85" s="20" t="n">
        <v>9347</v>
      </c>
      <c r="E85" s="20" t="n">
        <v>8209</v>
      </c>
      <c r="F85" s="20" t="n">
        <v>8585</v>
      </c>
      <c r="G85" s="20" t="n">
        <v>10943</v>
      </c>
      <c r="H85" s="20" t="n">
        <v>8591</v>
      </c>
      <c r="I85" s="20" t="n">
        <v>7415</v>
      </c>
      <c r="J85" s="20" t="n">
        <v>8292</v>
      </c>
      <c r="K85" s="20" t="n">
        <v>9480</v>
      </c>
      <c r="L85" s="20" t="n">
        <v>8209</v>
      </c>
    </row>
    <row r="86">
      <c r="A86" s="18" t="inlineStr">
        <is>
          <t>토지</t>
        </is>
      </c>
      <c r="C86" s="20" t="n">
        <v>5763</v>
      </c>
      <c r="D86" s="20" t="n">
        <v>5764</v>
      </c>
      <c r="E86" s="20" t="n">
        <v>5763</v>
      </c>
      <c r="F86" s="20" t="n">
        <v>6533</v>
      </c>
      <c r="G86" s="20" t="n">
        <v>6533</v>
      </c>
      <c r="H86" s="20" t="n">
        <v>5795</v>
      </c>
      <c r="I86" s="20" t="n">
        <v>6276</v>
      </c>
      <c r="J86" s="20" t="n">
        <v>6278</v>
      </c>
      <c r="K86" s="20" t="n">
        <v>5760</v>
      </c>
      <c r="L86" s="20" t="n">
        <v>5763</v>
      </c>
    </row>
    <row r="87">
      <c r="A87" s="18" t="inlineStr">
        <is>
          <t>건설중인자산</t>
        </is>
      </c>
      <c r="C87" s="20" t="n">
        <v>3834</v>
      </c>
      <c r="D87" s="20" t="n">
        <v>3412</v>
      </c>
      <c r="E87" s="20" t="n">
        <v>5214</v>
      </c>
      <c r="F87" s="20" t="n">
        <v>6296</v>
      </c>
      <c r="G87" s="20" t="n">
        <v>1453</v>
      </c>
      <c r="H87" s="20" t="n">
        <v>885</v>
      </c>
      <c r="I87" s="20" t="n">
        <v>2868</v>
      </c>
      <c r="J87" s="20" t="n">
        <v>8491</v>
      </c>
      <c r="K87" s="20" t="n">
        <v>1737</v>
      </c>
      <c r="L87" s="20" t="n">
        <v>5214</v>
      </c>
    </row>
    <row r="88">
      <c r="A88" s="18" t="inlineStr">
        <is>
          <t>기타(순액)</t>
        </is>
      </c>
      <c r="C88" s="20" t="n">
        <v>584</v>
      </c>
      <c r="D88" s="20" t="n">
        <v>591</v>
      </c>
      <c r="E88" s="20" t="n">
        <v>629</v>
      </c>
      <c r="F88" s="20" t="n">
        <v>747</v>
      </c>
      <c r="G88" s="20" t="n">
        <v>757</v>
      </c>
      <c r="H88" s="20" t="n">
        <v>495</v>
      </c>
      <c r="I88" s="20" t="n">
        <v>428</v>
      </c>
      <c r="J88" s="20" t="n">
        <v>522</v>
      </c>
      <c r="K88" s="20" t="n">
        <v>562</v>
      </c>
      <c r="L88" s="20" t="n">
        <v>629</v>
      </c>
    </row>
    <row r="89">
      <c r="A89" s="18" t="inlineStr">
        <is>
          <t>유형자산 합계</t>
        </is>
      </c>
      <c r="C89" s="20" t="n">
        <v>34786</v>
      </c>
      <c r="D89" s="20" t="n">
        <v>34479</v>
      </c>
      <c r="E89" s="20" t="n">
        <v>34924</v>
      </c>
      <c r="F89" s="20" t="n">
        <v>40024</v>
      </c>
      <c r="G89" s="20" t="n">
        <v>39643</v>
      </c>
      <c r="H89" s="20" t="n">
        <v>28505</v>
      </c>
      <c r="I89" s="20" t="n">
        <v>28970</v>
      </c>
      <c r="J89" s="20" t="n">
        <v>35616</v>
      </c>
      <c r="K89" s="20" t="n">
        <v>33278</v>
      </c>
      <c r="L89" s="20" t="n">
        <v>34924</v>
      </c>
    </row>
    <row r="90">
      <c r="A90" s="18" t="inlineStr">
        <is>
          <t>무형자산</t>
        </is>
      </c>
      <c r="C90" s="20" t="n">
        <v>1727</v>
      </c>
      <c r="D90" s="20" t="n">
        <v>1825</v>
      </c>
      <c r="E90" s="20" t="n">
        <v>1960</v>
      </c>
      <c r="F90" s="20" t="n">
        <v>2296</v>
      </c>
      <c r="G90" s="20" t="n">
        <v>2276</v>
      </c>
      <c r="H90" s="20" t="n">
        <v>720</v>
      </c>
      <c r="I90" s="20" t="n">
        <v>642</v>
      </c>
      <c r="J90" s="20" t="n">
        <v>888</v>
      </c>
      <c r="K90" s="20" t="n">
        <v>1420</v>
      </c>
      <c r="L90" s="20" t="n">
        <v>1960</v>
      </c>
    </row>
    <row r="91">
      <c r="A91" s="18" t="inlineStr">
        <is>
          <t>투자유가증권</t>
        </is>
      </c>
      <c r="C91" s="20" t="n">
        <v>9210</v>
      </c>
      <c r="D91" s="20" t="n">
        <v>10694</v>
      </c>
      <c r="E91" s="20" t="n">
        <v>10540</v>
      </c>
      <c r="F91" s="20" t="n">
        <v>10396</v>
      </c>
      <c r="G91" s="20" t="n">
        <v>10442</v>
      </c>
      <c r="H91" s="20" t="n">
        <v>8696</v>
      </c>
      <c r="I91" s="20" t="n">
        <v>9141</v>
      </c>
      <c r="J91" s="20" t="n">
        <v>11291</v>
      </c>
      <c r="K91" s="20" t="n">
        <v>10341</v>
      </c>
      <c r="L91" s="20" t="n">
        <v>10540</v>
      </c>
    </row>
    <row r="92">
      <c r="A92" s="18" t="inlineStr">
        <is>
          <t>장기대여금</t>
        </is>
      </c>
      <c r="C92" s="20" t="n">
        <v>1078</v>
      </c>
      <c r="D92" s="20" t="n">
        <v>1108</v>
      </c>
      <c r="E92" s="20" t="n">
        <v>1165</v>
      </c>
      <c r="F92" s="20" t="n">
        <v>0</v>
      </c>
      <c r="G92" s="20" t="n">
        <v>0</v>
      </c>
      <c r="K92" s="20" t="n">
        <v>1177</v>
      </c>
      <c r="L92" s="20" t="n">
        <v>1165</v>
      </c>
    </row>
    <row r="93">
      <c r="A93" s="18" t="inlineStr">
        <is>
          <t>퇴직급여자산</t>
        </is>
      </c>
      <c r="E93" s="20" t="n">
        <v>385</v>
      </c>
      <c r="F93" s="20" t="n">
        <v>394</v>
      </c>
      <c r="G93" s="20" t="n">
        <v>403</v>
      </c>
      <c r="K93" s="20" t="n">
        <v>0</v>
      </c>
      <c r="L93" s="20" t="n">
        <v>385</v>
      </c>
    </row>
    <row r="94">
      <c r="A94" s="18" t="inlineStr">
        <is>
          <t>이연법인세자산</t>
        </is>
      </c>
      <c r="C94" s="20" t="n">
        <v>96</v>
      </c>
      <c r="D94" s="20" t="n">
        <v>129</v>
      </c>
      <c r="E94" s="20" t="n">
        <v>83</v>
      </c>
      <c r="F94" s="20" t="n">
        <v>229</v>
      </c>
      <c r="G94" s="20" t="n">
        <v>281</v>
      </c>
      <c r="H94" s="20" t="n">
        <v>389</v>
      </c>
      <c r="I94" s="20" t="n">
        <v>234</v>
      </c>
      <c r="J94" s="20" t="n">
        <v>130</v>
      </c>
      <c r="K94" s="20" t="n">
        <v>94</v>
      </c>
      <c r="L94" s="20" t="n">
        <v>83</v>
      </c>
    </row>
    <row r="95">
      <c r="A95" s="18" t="inlineStr">
        <is>
          <t>기타</t>
        </is>
      </c>
      <c r="C95" s="20" t="n">
        <v>1163</v>
      </c>
      <c r="D95" s="20" t="n">
        <v>1164</v>
      </c>
      <c r="E95" s="20" t="n">
        <v>1318</v>
      </c>
      <c r="F95" s="20" t="n">
        <v>848</v>
      </c>
      <c r="G95" s="20" t="n">
        <v>2109</v>
      </c>
      <c r="H95" s="20" t="n">
        <v>597</v>
      </c>
      <c r="I95" s="20" t="n">
        <v>605</v>
      </c>
      <c r="J95" s="20" t="n">
        <v>1398</v>
      </c>
      <c r="K95" s="20" t="n">
        <v>1155</v>
      </c>
      <c r="L95" s="20" t="n">
        <v>1318</v>
      </c>
    </row>
    <row r="96">
      <c r="A96" s="18" t="inlineStr">
        <is>
          <t>대손충당금</t>
        </is>
      </c>
      <c r="H96" s="20" t="n">
        <v>-0</v>
      </c>
      <c r="I96" s="20" t="n">
        <v>0</v>
      </c>
    </row>
    <row r="97">
      <c r="A97" s="18" t="inlineStr">
        <is>
          <t>투자 및 기타자산 합계</t>
        </is>
      </c>
      <c r="C97" s="20" t="n">
        <v>11548</v>
      </c>
      <c r="D97" s="20" t="n">
        <v>13097</v>
      </c>
      <c r="E97" s="20" t="n">
        <v>13493</v>
      </c>
      <c r="F97" s="20" t="n">
        <v>11868</v>
      </c>
      <c r="G97" s="20" t="n">
        <v>13237</v>
      </c>
      <c r="H97" s="20" t="n">
        <v>9684</v>
      </c>
      <c r="I97" s="20" t="n">
        <v>9981</v>
      </c>
      <c r="J97" s="20" t="n">
        <v>12820</v>
      </c>
      <c r="K97" s="20" t="n">
        <v>12769</v>
      </c>
      <c r="L97" s="20" t="n">
        <v>13493</v>
      </c>
    </row>
    <row r="98">
      <c r="A98" s="9" t="inlineStr">
        <is>
          <t>비유동자산 합계</t>
        </is>
      </c>
      <c r="C98" s="12" t="n">
        <v>48063</v>
      </c>
      <c r="D98" s="12" t="n">
        <v>49401</v>
      </c>
      <c r="E98" s="12" t="n">
        <v>50378</v>
      </c>
      <c r="F98" s="12" t="n">
        <v>54189</v>
      </c>
      <c r="G98" s="12" t="n">
        <v>55157</v>
      </c>
      <c r="H98" s="12" t="n">
        <v>38910</v>
      </c>
      <c r="I98" s="12" t="n">
        <v>39594</v>
      </c>
      <c r="J98" s="12" t="n">
        <v>49325</v>
      </c>
      <c r="K98" s="12" t="n">
        <v>47469</v>
      </c>
      <c r="L98" s="12" t="n">
        <v>50378</v>
      </c>
    </row>
    <row r="99">
      <c r="A99" s="9" t="inlineStr">
        <is>
          <t>자산 합계</t>
        </is>
      </c>
      <c r="C99" s="12" t="n">
        <v>102156</v>
      </c>
      <c r="D99" s="12" t="n">
        <v>100930</v>
      </c>
      <c r="E99" s="12" t="n">
        <v>103043</v>
      </c>
      <c r="F99" s="12" t="n">
        <v>117690</v>
      </c>
      <c r="G99" s="12" t="n">
        <v>122501</v>
      </c>
      <c r="H99" s="12" t="n">
        <v>85869</v>
      </c>
      <c r="I99" s="12" t="n">
        <v>90234</v>
      </c>
      <c r="J99" s="12" t="n">
        <v>100272</v>
      </c>
      <c r="K99" s="12" t="n">
        <v>103014</v>
      </c>
      <c r="L99" s="12" t="n">
        <v>103043</v>
      </c>
    </row>
    <row r="100">
      <c r="A100" s="18" t="inlineStr">
        <is>
          <t>지급어음·매입채무</t>
        </is>
      </c>
      <c r="H100" s="20" t="n">
        <v>16236</v>
      </c>
      <c r="I100" s="20" t="n">
        <v>18179</v>
      </c>
      <c r="J100" s="20" t="n">
        <v>17020</v>
      </c>
    </row>
    <row r="101">
      <c r="A101" s="18" t="inlineStr">
        <is>
          <t>지급어음</t>
        </is>
      </c>
      <c r="E101" s="20" t="n">
        <v>0</v>
      </c>
      <c r="F101" s="20" t="n">
        <v>1574</v>
      </c>
      <c r="G101" s="20" t="n">
        <v>1053</v>
      </c>
      <c r="L101" s="20" t="n">
        <v>0</v>
      </c>
    </row>
    <row r="102">
      <c r="A102" s="18" t="inlineStr">
        <is>
          <t>매입채무</t>
        </is>
      </c>
      <c r="C102" s="20" t="n">
        <v>19866</v>
      </c>
      <c r="D102" s="20" t="n">
        <v>17978</v>
      </c>
      <c r="E102" s="20" t="n">
        <v>16911</v>
      </c>
      <c r="F102" s="20" t="n">
        <v>15239</v>
      </c>
      <c r="G102" s="20" t="n">
        <v>20770</v>
      </c>
      <c r="J102" s="20" t="n">
        <v>17020</v>
      </c>
      <c r="K102" s="20" t="n">
        <v>18873</v>
      </c>
      <c r="L102" s="20" t="n">
        <v>16911</v>
      </c>
    </row>
    <row r="103">
      <c r="A103" s="18" t="inlineStr">
        <is>
          <t>전자기록채무</t>
        </is>
      </c>
      <c r="C103" s="20" t="n">
        <v>1987</v>
      </c>
      <c r="D103" s="20" t="n">
        <v>2010</v>
      </c>
      <c r="E103" s="20" t="n">
        <v>2058</v>
      </c>
      <c r="F103" s="20" t="n">
        <v>1796</v>
      </c>
      <c r="G103" s="20" t="n">
        <v>1666</v>
      </c>
      <c r="I103" s="20" t="n">
        <v>23</v>
      </c>
      <c r="J103" s="20" t="n">
        <v>672</v>
      </c>
      <c r="K103" s="20" t="n">
        <v>2087</v>
      </c>
      <c r="L103" s="20" t="n">
        <v>2058</v>
      </c>
    </row>
    <row r="104">
      <c r="A104" s="18" t="inlineStr">
        <is>
          <t>단기차입금</t>
        </is>
      </c>
      <c r="C104" s="20" t="n">
        <v>4468</v>
      </c>
      <c r="D104" s="20" t="n">
        <v>4470</v>
      </c>
      <c r="E104" s="20" t="n">
        <v>5474</v>
      </c>
      <c r="F104" s="20" t="n">
        <v>5176</v>
      </c>
      <c r="G104" s="20" t="n">
        <v>4777</v>
      </c>
      <c r="H104" s="20" t="n">
        <v>1914</v>
      </c>
      <c r="I104" s="20" t="n">
        <v>1549</v>
      </c>
      <c r="J104" s="20" t="n">
        <v>1529</v>
      </c>
      <c r="K104" s="20" t="n">
        <v>4471</v>
      </c>
      <c r="L104" s="20" t="n">
        <v>5474</v>
      </c>
    </row>
    <row r="105">
      <c r="A105" s="18" t="inlineStr">
        <is>
          <t>1년 내 상환 장기차입금</t>
        </is>
      </c>
      <c r="C105" s="20" t="n">
        <v>389</v>
      </c>
      <c r="D105" s="20" t="n">
        <v>389</v>
      </c>
      <c r="E105" s="20" t="n">
        <v>389</v>
      </c>
      <c r="F105" s="20" t="n">
        <v>2585</v>
      </c>
      <c r="G105" s="20" t="n">
        <v>2585</v>
      </c>
      <c r="H105" s="20" t="n">
        <v>570</v>
      </c>
      <c r="I105" s="20" t="n">
        <v>483</v>
      </c>
      <c r="J105" s="20" t="n">
        <v>373</v>
      </c>
      <c r="K105" s="20" t="n">
        <v>389</v>
      </c>
      <c r="L105" s="20" t="n">
        <v>389</v>
      </c>
    </row>
    <row r="106">
      <c r="A106" s="18" t="inlineStr">
        <is>
          <t>미지급금</t>
        </is>
      </c>
      <c r="C106" s="20" t="n">
        <v>1475</v>
      </c>
      <c r="D106" s="20" t="n">
        <v>1278</v>
      </c>
      <c r="E106" s="20" t="n">
        <v>2630</v>
      </c>
      <c r="F106" s="20" t="n">
        <v>2456</v>
      </c>
      <c r="G106" s="20" t="n">
        <v>994</v>
      </c>
      <c r="H106" s="20" t="n">
        <v>3959</v>
      </c>
      <c r="I106" s="20" t="n">
        <v>4306</v>
      </c>
      <c r="J106" s="20" t="n">
        <v>5382</v>
      </c>
      <c r="K106" s="20" t="n">
        <v>2010</v>
      </c>
      <c r="L106" s="20" t="n">
        <v>2630</v>
      </c>
    </row>
    <row r="107">
      <c r="A107" s="18" t="inlineStr">
        <is>
          <t>미지급법인세</t>
        </is>
      </c>
      <c r="C107" s="20" t="n">
        <v>668</v>
      </c>
      <c r="D107" s="20" t="n">
        <v>633</v>
      </c>
      <c r="E107" s="20" t="n">
        <v>900</v>
      </c>
      <c r="F107" s="20" t="n">
        <v>1078</v>
      </c>
      <c r="G107" s="20" t="n">
        <v>1594</v>
      </c>
      <c r="H107" s="20" t="n">
        <v>1068</v>
      </c>
      <c r="I107" s="20" t="n">
        <v>797</v>
      </c>
      <c r="J107" s="20" t="n">
        <v>765</v>
      </c>
      <c r="K107" s="20" t="n">
        <v>1531</v>
      </c>
      <c r="L107" s="20" t="n">
        <v>900</v>
      </c>
    </row>
    <row r="108">
      <c r="A108" s="18" t="inlineStr">
        <is>
          <t>선수금</t>
        </is>
      </c>
      <c r="E108" s="20" t="n">
        <v>510</v>
      </c>
      <c r="F108" s="20" t="n">
        <v>328</v>
      </c>
      <c r="G108" s="20" t="n">
        <v>384</v>
      </c>
      <c r="K108" s="20" t="n">
        <v>39</v>
      </c>
      <c r="L108" s="20" t="n">
        <v>510</v>
      </c>
    </row>
    <row r="109">
      <c r="A109" s="18" t="inlineStr">
        <is>
          <t>설비 관련 전자기록채무</t>
        </is>
      </c>
      <c r="C109" s="20" t="n">
        <v>1987</v>
      </c>
      <c r="D109" s="20" t="n">
        <v>1326</v>
      </c>
      <c r="E109" s="20" t="n">
        <v>1302</v>
      </c>
      <c r="F109" s="20" t="n">
        <v>1890</v>
      </c>
      <c r="G109" s="20" t="n">
        <v>995</v>
      </c>
      <c r="I109" s="20" t="n">
        <v>9</v>
      </c>
      <c r="J109" s="20" t="n">
        <v>1893</v>
      </c>
      <c r="K109" s="20" t="n">
        <v>1378</v>
      </c>
      <c r="L109" s="20" t="n">
        <v>1302</v>
      </c>
    </row>
    <row r="110">
      <c r="A110" s="18" t="inlineStr">
        <is>
          <t>상여충당금</t>
        </is>
      </c>
      <c r="D110" s="20" t="n">
        <v>604</v>
      </c>
      <c r="E110" s="20" t="n">
        <v>0</v>
      </c>
      <c r="F110" s="20" t="n">
        <v>747</v>
      </c>
      <c r="H110" s="20" t="n">
        <v>0</v>
      </c>
      <c r="I110" s="20" t="n">
        <v>0</v>
      </c>
      <c r="J110" s="20" t="n">
        <v>0</v>
      </c>
      <c r="K110" s="20" t="n">
        <v>0</v>
      </c>
      <c r="L110" s="20" t="n">
        <v>0</v>
      </c>
    </row>
    <row r="111">
      <c r="A111" s="18" t="inlineStr">
        <is>
          <t>기타</t>
        </is>
      </c>
      <c r="C111" s="20" t="n">
        <v>4207</v>
      </c>
      <c r="D111" s="20" t="n">
        <v>4046</v>
      </c>
      <c r="E111" s="20" t="n">
        <v>4299</v>
      </c>
      <c r="F111" s="20" t="n">
        <v>3759</v>
      </c>
      <c r="G111" s="20" t="n">
        <v>4547</v>
      </c>
      <c r="H111" s="20" t="n">
        <v>4221</v>
      </c>
      <c r="I111" s="20" t="n">
        <v>4159</v>
      </c>
      <c r="J111" s="20" t="n">
        <v>6437</v>
      </c>
      <c r="K111" s="20" t="n">
        <v>4069</v>
      </c>
      <c r="L111" s="20" t="n">
        <v>4299</v>
      </c>
    </row>
    <row r="112">
      <c r="A112" s="9" t="inlineStr">
        <is>
          <t>유동부채 합계</t>
        </is>
      </c>
      <c r="C112" s="12" t="n">
        <v>35051</v>
      </c>
      <c r="D112" s="12" t="n">
        <v>32740</v>
      </c>
      <c r="E112" s="12" t="n">
        <v>34478</v>
      </c>
      <c r="F112" s="12" t="n">
        <v>36634</v>
      </c>
      <c r="G112" s="12" t="n">
        <v>39370</v>
      </c>
      <c r="H112" s="12" t="n">
        <v>27971</v>
      </c>
      <c r="I112" s="12" t="n">
        <v>29509</v>
      </c>
      <c r="J112" s="12" t="n">
        <v>34075</v>
      </c>
      <c r="K112" s="12" t="n">
        <v>34851</v>
      </c>
      <c r="L112" s="12" t="n">
        <v>34478</v>
      </c>
    </row>
    <row r="113">
      <c r="A113" s="18" t="inlineStr">
        <is>
          <t>장기차입금</t>
        </is>
      </c>
      <c r="C113" s="20" t="n">
        <v>1042</v>
      </c>
      <c r="D113" s="20" t="n">
        <v>945</v>
      </c>
      <c r="E113" s="20" t="n">
        <v>869</v>
      </c>
      <c r="F113" s="20" t="n">
        <v>13197</v>
      </c>
      <c r="G113" s="20" t="n">
        <v>12555</v>
      </c>
      <c r="H113" s="20" t="n">
        <v>827</v>
      </c>
      <c r="I113" s="20" t="n">
        <v>343</v>
      </c>
      <c r="J113" s="20" t="n">
        <v>0</v>
      </c>
      <c r="K113" s="20" t="n">
        <v>1259</v>
      </c>
      <c r="L113" s="20" t="n">
        <v>869</v>
      </c>
    </row>
    <row r="114">
      <c r="A114" s="18" t="inlineStr">
        <is>
          <t>이연법인세부채</t>
        </is>
      </c>
      <c r="C114" s="20" t="n">
        <v>271</v>
      </c>
      <c r="D114" s="20" t="n">
        <v>540</v>
      </c>
      <c r="E114" s="20" t="n">
        <v>658</v>
      </c>
      <c r="F114" s="20" t="n">
        <v>317</v>
      </c>
      <c r="G114" s="20" t="n">
        <v>661</v>
      </c>
      <c r="H114" s="20" t="n">
        <v>0</v>
      </c>
      <c r="I114" s="20" t="n">
        <v>0</v>
      </c>
      <c r="J114" s="20" t="n">
        <v>714</v>
      </c>
      <c r="K114" s="20" t="n">
        <v>286</v>
      </c>
      <c r="L114" s="20" t="n">
        <v>658</v>
      </c>
    </row>
    <row r="115">
      <c r="A115" s="18" t="inlineStr">
        <is>
          <t>퇴직급여부채</t>
        </is>
      </c>
      <c r="C115" s="20" t="n">
        <v>3728</v>
      </c>
      <c r="D115" s="20" t="n">
        <v>3724</v>
      </c>
      <c r="E115" s="20" t="n">
        <v>3113</v>
      </c>
      <c r="F115" s="20" t="n">
        <v>3570</v>
      </c>
      <c r="G115" s="20" t="n">
        <v>3590</v>
      </c>
      <c r="H115" s="20" t="n">
        <v>3632</v>
      </c>
      <c r="I115" s="20" t="n">
        <v>3968</v>
      </c>
      <c r="J115" s="20" t="n">
        <v>3789</v>
      </c>
      <c r="K115" s="20" t="n">
        <v>3718</v>
      </c>
      <c r="L115" s="20" t="n">
        <v>3113</v>
      </c>
    </row>
    <row r="116">
      <c r="A116" s="18" t="inlineStr">
        <is>
          <t>기타</t>
        </is>
      </c>
      <c r="C116" s="20" t="n">
        <v>750</v>
      </c>
      <c r="D116" s="20" t="n">
        <v>780</v>
      </c>
      <c r="E116" s="20" t="n">
        <v>789</v>
      </c>
      <c r="F116" s="20" t="n">
        <v>886</v>
      </c>
      <c r="G116" s="20" t="n">
        <v>882</v>
      </c>
      <c r="H116" s="20" t="n">
        <v>914</v>
      </c>
      <c r="I116" s="20" t="n">
        <v>821</v>
      </c>
      <c r="J116" s="20" t="n">
        <v>823</v>
      </c>
      <c r="K116" s="20" t="n">
        <v>823</v>
      </c>
      <c r="L116" s="20" t="n">
        <v>789</v>
      </c>
    </row>
    <row r="117">
      <c r="A117" s="9" t="inlineStr">
        <is>
          <t>비유동부채 합계</t>
        </is>
      </c>
      <c r="C117" s="12" t="n">
        <v>5792</v>
      </c>
      <c r="D117" s="12" t="n">
        <v>5990</v>
      </c>
      <c r="E117" s="12" t="n">
        <v>5430</v>
      </c>
      <c r="F117" s="12" t="n">
        <v>17972</v>
      </c>
      <c r="G117" s="12" t="n">
        <v>17690</v>
      </c>
      <c r="H117" s="12" t="n">
        <v>5374</v>
      </c>
      <c r="I117" s="12" t="n">
        <v>5133</v>
      </c>
      <c r="J117" s="12" t="n">
        <v>5327</v>
      </c>
      <c r="K117" s="12" t="n">
        <v>6086</v>
      </c>
      <c r="L117" s="12" t="n">
        <v>5430</v>
      </c>
    </row>
    <row r="118">
      <c r="A118" s="9" t="inlineStr">
        <is>
          <t>부채 합계</t>
        </is>
      </c>
      <c r="C118" s="12" t="n">
        <v>40844</v>
      </c>
      <c r="D118" s="12" t="n">
        <v>38730</v>
      </c>
      <c r="E118" s="12" t="n">
        <v>39909</v>
      </c>
      <c r="F118" s="12" t="n">
        <v>54606</v>
      </c>
      <c r="G118" s="12" t="n">
        <v>57061</v>
      </c>
      <c r="H118" s="12" t="n">
        <v>33345</v>
      </c>
      <c r="I118" s="12" t="n">
        <v>34643</v>
      </c>
      <c r="J118" s="12" t="n">
        <v>39403</v>
      </c>
      <c r="K118" s="12" t="n">
        <v>40938</v>
      </c>
      <c r="L118" s="12" t="n">
        <v>39909</v>
      </c>
    </row>
    <row r="119">
      <c r="A119" s="18" t="inlineStr">
        <is>
          <t>자본금</t>
        </is>
      </c>
      <c r="C119" s="20" t="n">
        <v>8619</v>
      </c>
      <c r="D119" s="20" t="n">
        <v>8619</v>
      </c>
      <c r="E119" s="20" t="n">
        <v>8619</v>
      </c>
      <c r="F119" s="20" t="n">
        <v>8619</v>
      </c>
      <c r="G119" s="20" t="n">
        <v>8619</v>
      </c>
      <c r="H119" s="20" t="n">
        <v>8619</v>
      </c>
      <c r="I119" s="20" t="n">
        <v>8619</v>
      </c>
      <c r="J119" s="20" t="n">
        <v>8619</v>
      </c>
      <c r="K119" s="20" t="n">
        <v>8619</v>
      </c>
      <c r="L119" s="20" t="n">
        <v>8619</v>
      </c>
    </row>
    <row r="120">
      <c r="A120" s="18" t="inlineStr">
        <is>
          <t>자본잉여금</t>
        </is>
      </c>
      <c r="C120" s="20" t="n">
        <v>9118</v>
      </c>
      <c r="D120" s="20" t="n">
        <v>9118</v>
      </c>
      <c r="E120" s="20" t="n">
        <v>9118</v>
      </c>
      <c r="F120" s="20" t="n">
        <v>9118</v>
      </c>
      <c r="G120" s="20" t="n">
        <v>9134</v>
      </c>
      <c r="H120" s="20" t="n">
        <v>9070</v>
      </c>
      <c r="I120" s="20" t="n">
        <v>9071</v>
      </c>
      <c r="J120" s="20" t="n">
        <v>9105</v>
      </c>
      <c r="K120" s="20" t="n">
        <v>9113</v>
      </c>
      <c r="L120" s="20" t="n">
        <v>9118</v>
      </c>
    </row>
    <row r="121">
      <c r="A121" s="18" t="inlineStr">
        <is>
          <t>이익잉여금</t>
        </is>
      </c>
      <c r="C121" s="20" t="n">
        <v>42090</v>
      </c>
      <c r="D121" s="20" t="n">
        <v>41947</v>
      </c>
      <c r="E121" s="20" t="n">
        <v>42280</v>
      </c>
      <c r="F121" s="20" t="n">
        <v>42314</v>
      </c>
      <c r="G121" s="20" t="n">
        <v>44599</v>
      </c>
      <c r="H121" s="20" t="n">
        <v>32140</v>
      </c>
      <c r="I121" s="20" t="n">
        <v>35094</v>
      </c>
      <c r="J121" s="20" t="n">
        <v>38394</v>
      </c>
      <c r="K121" s="20" t="n">
        <v>40759</v>
      </c>
      <c r="L121" s="20" t="n">
        <v>42280</v>
      </c>
    </row>
    <row r="122">
      <c r="A122" s="18" t="inlineStr">
        <is>
          <t>자기주식</t>
        </is>
      </c>
      <c r="C122" s="20" t="n">
        <v>-3043</v>
      </c>
      <c r="D122" s="20" t="n">
        <v>-3044</v>
      </c>
      <c r="E122" s="20" t="n">
        <v>-3046</v>
      </c>
      <c r="F122" s="20" t="n">
        <v>-3046</v>
      </c>
      <c r="G122" s="20" t="n">
        <v>-3023</v>
      </c>
      <c r="H122" s="20" t="n">
        <v>-841</v>
      </c>
      <c r="I122" s="20" t="n">
        <v>-829</v>
      </c>
      <c r="J122" s="20" t="n">
        <v>-557</v>
      </c>
      <c r="K122" s="20" t="n">
        <v>-1824</v>
      </c>
      <c r="L122" s="20" t="n">
        <v>-3046</v>
      </c>
    </row>
    <row r="123">
      <c r="A123" s="9" t="inlineStr">
        <is>
          <t>주주자본 합계</t>
        </is>
      </c>
      <c r="C123" s="12" t="n">
        <v>56784</v>
      </c>
      <c r="D123" s="12" t="n">
        <v>56641</v>
      </c>
      <c r="E123" s="12" t="n">
        <v>56972</v>
      </c>
      <c r="F123" s="12" t="n">
        <v>57006</v>
      </c>
      <c r="G123" s="12" t="n">
        <v>59330</v>
      </c>
      <c r="H123" s="12" t="n">
        <v>48989</v>
      </c>
      <c r="I123" s="12" t="n">
        <v>51956</v>
      </c>
      <c r="J123" s="12" t="n">
        <v>55562</v>
      </c>
      <c r="K123" s="12" t="n">
        <v>56667</v>
      </c>
      <c r="L123" s="12" t="n">
        <v>56972</v>
      </c>
    </row>
    <row r="124">
      <c r="A124" s="18" t="inlineStr">
        <is>
          <t>기타유가증권 평가차액</t>
        </is>
      </c>
      <c r="C124" s="20" t="n">
        <v>4173</v>
      </c>
      <c r="D124" s="20" t="n">
        <v>5187</v>
      </c>
      <c r="E124" s="20" t="n">
        <v>5080</v>
      </c>
      <c r="F124" s="20" t="n">
        <v>4974</v>
      </c>
      <c r="G124" s="20" t="n">
        <v>5019</v>
      </c>
      <c r="H124" s="20" t="n">
        <v>3237</v>
      </c>
      <c r="I124" s="20" t="n">
        <v>3507</v>
      </c>
      <c r="J124" s="20" t="n">
        <v>5018</v>
      </c>
      <c r="K124" s="20" t="n">
        <v>5017</v>
      </c>
      <c r="L124" s="20" t="n">
        <v>5080</v>
      </c>
    </row>
    <row r="125">
      <c r="A125" s="18" t="inlineStr">
        <is>
          <t>해외사업환산조정</t>
        </is>
      </c>
      <c r="C125" s="20" t="n">
        <v>236</v>
      </c>
      <c r="D125" s="20" t="n">
        <v>251</v>
      </c>
      <c r="E125" s="20" t="n">
        <v>285</v>
      </c>
      <c r="F125" s="20" t="n">
        <v>301</v>
      </c>
      <c r="G125" s="20" t="n">
        <v>308</v>
      </c>
      <c r="H125" s="20" t="n">
        <v>202</v>
      </c>
      <c r="I125" s="20" t="n">
        <v>220</v>
      </c>
      <c r="J125" s="20" t="n">
        <v>236</v>
      </c>
      <c r="K125" s="20" t="n">
        <v>269</v>
      </c>
      <c r="L125" s="20" t="n">
        <v>285</v>
      </c>
    </row>
    <row r="126">
      <c r="A126" s="18" t="inlineStr">
        <is>
          <t>퇴직급여 조정누계액</t>
        </is>
      </c>
      <c r="C126" s="20" t="n">
        <v>86</v>
      </c>
      <c r="D126" s="20" t="n">
        <v>84</v>
      </c>
      <c r="E126" s="20" t="n">
        <v>760</v>
      </c>
      <c r="F126" s="20" t="n">
        <v>746</v>
      </c>
      <c r="G126" s="20" t="n">
        <v>732</v>
      </c>
      <c r="H126" s="20" t="n">
        <v>72</v>
      </c>
      <c r="I126" s="20" t="n">
        <v>-114</v>
      </c>
      <c r="J126" s="20" t="n">
        <v>27</v>
      </c>
      <c r="K126" s="20" t="n">
        <v>89</v>
      </c>
      <c r="L126" s="20" t="n">
        <v>760</v>
      </c>
    </row>
    <row r="127">
      <c r="A127" s="18" t="inlineStr">
        <is>
          <t>기타포괄손익누계액 합계</t>
        </is>
      </c>
      <c r="C127" s="20" t="n">
        <v>4496</v>
      </c>
      <c r="D127" s="20" t="n">
        <v>5524</v>
      </c>
      <c r="E127" s="20" t="n">
        <v>6126</v>
      </c>
      <c r="F127" s="20" t="n">
        <v>6021</v>
      </c>
      <c r="G127" s="20" t="n">
        <v>6060</v>
      </c>
      <c r="H127" s="20" t="n">
        <v>3512</v>
      </c>
      <c r="I127" s="20" t="n">
        <v>3613</v>
      </c>
      <c r="J127" s="20" t="n">
        <v>5281</v>
      </c>
      <c r="K127" s="20" t="n">
        <v>5376</v>
      </c>
      <c r="L127" s="20" t="n">
        <v>6126</v>
      </c>
    </row>
    <row r="128">
      <c r="A128" s="18" t="inlineStr">
        <is>
          <t>비지배지분</t>
        </is>
      </c>
      <c r="C128" s="20" t="n">
        <v>31</v>
      </c>
      <c r="D128" s="20" t="n">
        <v>34</v>
      </c>
      <c r="E128" s="20" t="n">
        <v>35</v>
      </c>
      <c r="F128" s="20" t="n">
        <v>55</v>
      </c>
      <c r="G128" s="20" t="n">
        <v>49</v>
      </c>
      <c r="H128" s="20" t="n">
        <v>22</v>
      </c>
      <c r="I128" s="20" t="n">
        <v>20</v>
      </c>
      <c r="J128" s="20" t="n">
        <v>24</v>
      </c>
      <c r="K128" s="20" t="n">
        <v>31</v>
      </c>
      <c r="L128" s="20" t="n">
        <v>35</v>
      </c>
    </row>
    <row r="129">
      <c r="A129" s="9" t="inlineStr">
        <is>
          <t>순자산 합계</t>
        </is>
      </c>
      <c r="C129" s="12" t="n">
        <v>61312</v>
      </c>
      <c r="D129" s="12" t="n">
        <v>62199</v>
      </c>
      <c r="E129" s="12" t="n">
        <v>63134</v>
      </c>
      <c r="F129" s="12" t="n">
        <v>63083</v>
      </c>
      <c r="G129" s="12" t="n">
        <v>65440</v>
      </c>
      <c r="H129" s="12" t="n">
        <v>52524</v>
      </c>
      <c r="I129" s="12" t="n">
        <v>55591</v>
      </c>
      <c r="J129" s="12" t="n">
        <v>60869</v>
      </c>
      <c r="K129" s="12" t="n">
        <v>62075</v>
      </c>
      <c r="L129" s="12" t="n">
        <v>63134</v>
      </c>
    </row>
    <row r="130">
      <c r="A130" s="9" t="inlineStr">
        <is>
          <t>부채·순자산 합계</t>
        </is>
      </c>
      <c r="C130" s="12" t="n">
        <v>102156</v>
      </c>
      <c r="D130" s="12" t="n">
        <v>100930</v>
      </c>
      <c r="E130" s="12" t="n">
        <v>103043</v>
      </c>
      <c r="F130" s="12" t="n">
        <v>117690</v>
      </c>
      <c r="G130" s="12" t="n">
        <v>122501</v>
      </c>
      <c r="H130" s="12" t="n">
        <v>85869</v>
      </c>
      <c r="I130" s="12" t="n">
        <v>90234</v>
      </c>
      <c r="J130" s="12" t="n">
        <v>100272</v>
      </c>
      <c r="K130" s="12" t="n">
        <v>103014</v>
      </c>
      <c r="L130" s="12" t="n">
        <v>103043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2026년 12월 결산기 2분기 결산단신</t>
        </is>
      </c>
      <c r="C4" t="inlineStr">
        <is>
          <t>https://www2.jpx.co.jp/disc/42210/140120260729502389.pdf</t>
        </is>
      </c>
    </row>
    <row r="5">
      <c r="A5" t="inlineStr">
        <is>
          <t>2026-04-30</t>
        </is>
      </c>
      <c r="B5" t="inlineStr">
        <is>
          <t>2026년 12월 결산기 1분기 결산단신</t>
        </is>
      </c>
      <c r="C5" t="inlineStr">
        <is>
          <t>https://www2.jpx.co.jp/disc/42210/140120260430514570.pdf</t>
        </is>
      </c>
    </row>
    <row r="6">
      <c r="A6" t="inlineStr">
        <is>
          <t>2026-02-12</t>
        </is>
      </c>
      <c r="B6" t="inlineStr">
        <is>
          <t>2025년 12월 결산기 연간 결산단신</t>
        </is>
      </c>
      <c r="C6" t="inlineStr">
        <is>
          <t>https://www2.jpx.co.jp/disc/42210/140120260212555468.pdf</t>
        </is>
      </c>
    </row>
    <row r="7">
      <c r="A7" t="inlineStr">
        <is>
          <t>2025-10-30</t>
        </is>
      </c>
      <c r="B7" t="inlineStr">
        <is>
          <t>2025년 12월 결산기 3분기 결산단신</t>
        </is>
      </c>
      <c r="C7" t="inlineStr">
        <is>
          <t>https://www2.jpx.co.jp/disc/42210/140120251030582193.pdf</t>
        </is>
      </c>
    </row>
    <row r="8">
      <c r="A8" t="inlineStr">
        <is>
          <t>2025-08-08</t>
        </is>
      </c>
      <c r="B8" t="inlineStr">
        <is>
          <t>2025년 12월 결산기 2분기 결산단신</t>
        </is>
      </c>
      <c r="C8" t="inlineStr">
        <is>
          <t>https://www2.jpx.co.jp/disc/42210/140120250807533536.pdf</t>
        </is>
      </c>
    </row>
    <row r="9">
      <c r="A9" t="inlineStr">
        <is>
          <t>2025-04-30</t>
        </is>
      </c>
      <c r="B9" t="inlineStr">
        <is>
          <t>2025년 12월 결산기 1분기 결산단신</t>
        </is>
      </c>
      <c r="C9" t="inlineStr">
        <is>
          <t>https://www2.jpx.co.jp/disc/42210/140120250430527113.pdf</t>
        </is>
      </c>
    </row>
    <row r="10">
      <c r="A10" t="inlineStr">
        <is>
          <t>2025-02-14</t>
        </is>
      </c>
      <c r="B10" t="inlineStr">
        <is>
          <t>2024년 12월 결산기 연간 결산단신</t>
        </is>
      </c>
      <c r="C10" t="inlineStr">
        <is>
          <t>https://www2.jpx.co.jp/disc/42210/140120250214574969.pdf</t>
        </is>
      </c>
    </row>
    <row r="11">
      <c r="A11" t="inlineStr">
        <is>
          <t>2024-11-13</t>
        </is>
      </c>
      <c r="B11" t="inlineStr">
        <is>
          <t>2024년 12월 결산기 3분기 결산단신</t>
        </is>
      </c>
      <c r="C11" t="inlineStr">
        <is>
          <t>https://www2.jpx.co.jp/disc/42210/140120241113520668.pdf</t>
        </is>
      </c>
    </row>
    <row r="12">
      <c r="A12" t="inlineStr">
        <is>
          <t>2024-08-09</t>
        </is>
      </c>
      <c r="B12" t="inlineStr">
        <is>
          <t>2024년 12월 결산기 2분기 결산단신</t>
        </is>
      </c>
      <c r="C12" t="inlineStr">
        <is>
          <t>https://www2.jpx.co.jp/disc/42210/140120240806563312.pdf</t>
        </is>
      </c>
    </row>
    <row r="13">
      <c r="A13" t="inlineStr">
        <is>
          <t>2024-05-14</t>
        </is>
      </c>
      <c r="B13" t="inlineStr">
        <is>
          <t>2024년 12월 결산기 1분기 결산단신</t>
        </is>
      </c>
      <c r="C13" t="inlineStr">
        <is>
          <t>https://www2.jpx.co.jp/disc/42210/140120240418572654.pdf</t>
        </is>
      </c>
    </row>
    <row r="14">
      <c r="A14" t="inlineStr">
        <is>
          <t>2024-02-13</t>
        </is>
      </c>
      <c r="B14" t="inlineStr">
        <is>
          <t>2023년 12월 결산기 연간 결산단신</t>
        </is>
      </c>
      <c r="C14" t="inlineStr">
        <is>
          <t>https://www2.jpx.co.jp/disc/42210/140120240120517165.pdf</t>
        </is>
      </c>
    </row>
    <row r="15">
      <c r="A15" t="inlineStr">
        <is>
          <t>2023-11-13</t>
        </is>
      </c>
      <c r="B15" t="inlineStr">
        <is>
          <t>2023년 12월 결산기 3분기 결산단신</t>
        </is>
      </c>
      <c r="C15" t="inlineStr">
        <is>
          <t>https://www2.jpx.co.jp/disc/42210/140120231020569191.pdf</t>
        </is>
      </c>
    </row>
    <row r="16">
      <c r="A16" t="inlineStr">
        <is>
          <t>2023-08-10</t>
        </is>
      </c>
      <c r="B16" t="inlineStr">
        <is>
          <t>2023년 12월 결산기 2분기 결산단신</t>
        </is>
      </c>
      <c r="C16" t="inlineStr">
        <is>
          <t>https://www2.jpx.co.jp/disc/42210/140120230704517623.pdf</t>
        </is>
      </c>
    </row>
    <row r="17">
      <c r="A17" t="inlineStr">
        <is>
          <t>2023-05-15</t>
        </is>
      </c>
      <c r="B17" t="inlineStr">
        <is>
          <t>2023년 12월 결산기 1분기 결산단신</t>
        </is>
      </c>
      <c r="C17" t="inlineStr">
        <is>
          <t>https://www2.jpx.co.jp/disc/42210/140120230421550995.pdf</t>
        </is>
      </c>
    </row>
    <row r="18">
      <c r="A18" t="inlineStr">
        <is>
          <t>2023-02-10</t>
        </is>
      </c>
      <c r="B18" t="inlineStr">
        <is>
          <t>2022년 12월 결산기 연간 결산단신</t>
        </is>
      </c>
      <c r="C18" t="inlineStr">
        <is>
          <t>https://www2.jpx.co.jp/disc/42210/140120230126593921.pdf</t>
        </is>
      </c>
    </row>
    <row r="19">
      <c r="A19" t="inlineStr">
        <is>
          <t>2022-11-11</t>
        </is>
      </c>
      <c r="B19" t="inlineStr">
        <is>
          <t>2022년 12월 결산기 3분기 결산단신</t>
        </is>
      </c>
      <c r="C19" t="inlineStr">
        <is>
          <t>https://www2.jpx.co.jp/disc/42210/140120221004540424.pdf</t>
        </is>
      </c>
    </row>
    <row r="20">
      <c r="A20" t="inlineStr">
        <is>
          <t>2022-02-10</t>
        </is>
      </c>
      <c r="B20" t="inlineStr">
        <is>
          <t>2021년 12월 결산기 연간 결산단신</t>
        </is>
      </c>
      <c r="C20" t="inlineStr">
        <is>
          <t>https://www2.jpx.co.jp/disc/42210/140120220124571139.pdf</t>
        </is>
      </c>
    </row>
    <row r="21">
      <c r="A21" t="inlineStr">
        <is>
          <t>2021-02-12</t>
        </is>
      </c>
      <c r="B21" t="inlineStr">
        <is>
          <t>2020년 12월 결산기 연간 결산단신</t>
        </is>
      </c>
      <c r="C21" t="inlineStr">
        <is>
          <t>https://www2.jpx.co.jp/disc/42210/140120210128451250.pdf</t>
        </is>
      </c>
    </row>
    <row r="22">
      <c r="A22" t="inlineStr">
        <is>
          <t>2020-02-14</t>
        </is>
      </c>
      <c r="B22" t="inlineStr">
        <is>
          <t>2019년 12월 결산기 연간 결산단신</t>
        </is>
      </c>
      <c r="C22" t="inlineStr">
        <is>
          <t>https://www2.jpx.co.jp/disc/42210/140120200128451845.pdf</t>
        </is>
      </c>
    </row>
    <row r="23">
      <c r="A23" t="inlineStr">
        <is>
          <t>2019-02-12</t>
        </is>
      </c>
      <c r="B23" t="inlineStr">
        <is>
          <t>연간 결산단신</t>
        </is>
      </c>
      <c r="C23" t="inlineStr">
        <is>
          <t>https://www2.jpx.co.jp/disc/42210/140120190131466903.pdf</t>
        </is>
      </c>
    </row>
    <row r="24">
      <c r="A24" t="inlineStr">
        <is>
          <t>2018-02-13</t>
        </is>
      </c>
      <c r="B24" t="inlineStr">
        <is>
          <t>연간 결산단신</t>
        </is>
      </c>
      <c r="C24" t="inlineStr">
        <is>
          <t>https://www2.jpx.co.jp/disc/42210/140120180131459969.pdf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2026-10-28T07:02:54Z</dcterms:created>
  <dcterms:modified xmlns:dcterms="http://purl.org/dc/terms/" xmlns:xsi="http://www.w3.org/2001/XMLSchema-instance" xsi:type="dcterms:W3CDTF">2026-10-28T07:02:54Z</dcterms:modified>
</cp:coreProperties>
</file>