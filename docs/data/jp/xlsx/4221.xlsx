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4221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2026.2Q = 2026년 12월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2023.3Q</t>
        </is>
      </c>
      <c r="D3" s="5" t="inlineStr">
        <is>
          <t>2023.4Q</t>
        </is>
      </c>
      <c r="E3" s="5" t="inlineStr">
        <is>
          <t>2024.1Q</t>
        </is>
      </c>
      <c r="F3" s="5" t="inlineStr">
        <is>
          <t>2024.2Q</t>
        </is>
      </c>
      <c r="G3" s="5" t="inlineStr">
        <is>
          <t>2024.3Q</t>
        </is>
      </c>
      <c r="H3" s="5" t="inlineStr">
        <is>
          <t>2024.4Q</t>
        </is>
      </c>
      <c r="I3" s="5" t="inlineStr">
        <is>
          <t>2025.1Q</t>
        </is>
      </c>
      <c r="J3" s="5" t="inlineStr">
        <is>
          <t>2025.2Q</t>
        </is>
      </c>
      <c r="K3" s="5" t="inlineStr">
        <is>
          <t>2025.3Q</t>
        </is>
      </c>
      <c r="L3" s="5" t="inlineStr">
        <is>
          <t>2025.4Q</t>
        </is>
      </c>
      <c r="M3" s="5" t="inlineStr">
        <is>
          <t>2026.1Q</t>
        </is>
      </c>
      <c r="N3" s="5" t="inlineStr">
        <is>
          <t>2026.2Q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19361</v>
      </c>
      <c r="D4" s="12" t="n">
        <v>20165</v>
      </c>
      <c r="E4" s="12" t="n">
        <v>19504</v>
      </c>
      <c r="F4" s="12" t="n">
        <v>19896</v>
      </c>
      <c r="G4" s="12" t="n">
        <v>19939</v>
      </c>
      <c r="H4" s="12" t="n">
        <v>21853</v>
      </c>
      <c r="I4" s="12" t="n">
        <v>21686</v>
      </c>
      <c r="J4" s="12" t="n">
        <v>21865</v>
      </c>
      <c r="K4" s="12" t="n">
        <v>20682</v>
      </c>
      <c r="L4" s="12" t="n">
        <v>22425</v>
      </c>
      <c r="M4" s="12" t="n">
        <v>24026</v>
      </c>
      <c r="N4" s="12" t="n">
        <v>28473</v>
      </c>
      <c r="O4" s="11" t="n">
        <v>86079</v>
      </c>
      <c r="P4" s="12" t="n">
        <v>90812</v>
      </c>
      <c r="Q4" s="12" t="n">
        <v>86260</v>
      </c>
      <c r="R4" s="12" t="n">
        <v>85364</v>
      </c>
      <c r="S4" s="12" t="n">
        <v>80958</v>
      </c>
      <c r="T4" s="12" t="n">
        <v>88420</v>
      </c>
      <c r="U4" s="12" t="n">
        <v>77260</v>
      </c>
      <c r="V4" s="12" t="n">
        <v>78863</v>
      </c>
      <c r="W4" s="12" t="n">
        <v>81192</v>
      </c>
      <c r="X4" s="12" t="n">
        <v>86658</v>
      </c>
      <c r="Y4" s="11">
        <f>IF(COUNT(Y7,Y10,Y13,Y16,Y19,Y22,Y25,Y28)=0,"",SUM(Y7,Y10,Y13,Y16,Y19,Y22,Y25,Y28))</f>
        <v/>
      </c>
      <c r="Z4" s="12">
        <f>IF(COUNT(Z7,Z10,Z13,Z16,Z19,Z22,Z25,Z28)=0,"",SUM(Z7,Z10,Z13,Z16,Z19,Z22,Z25,Z28))</f>
        <v/>
      </c>
      <c r="AA4" s="12">
        <f>IF(COUNT(AA7,AA10,AA13,AA16,AA19,AA22,AA25,AA28)=0,"",SUM(AA7,AA10,AA13,AA16,AA19,AA22,AA25,AA28))</f>
        <v/>
      </c>
      <c r="AB4" s="12">
        <f>IF(COUNT(AB7,AB10,AB13,AB16,AB19,AB22,AB25,AB28)=0,"",SUM(AB7,AB10,AB13,AB16,AB19,AB22,AB25,AB28))</f>
        <v/>
      </c>
      <c r="AC4" s="12">
        <f>IF(COUNT(AC7,AC10,AC13,AC16,AC19,AC22,AC25,AC28)=0,"",SUM(AC7,AC10,AC13,AC16,AC19,AC22,AC25,AC28))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SyntheticResinBusinessReportableSegmentsMember</t>
        </is>
      </c>
      <c r="B7" s="10" t="n"/>
      <c r="C7" s="19" t="n">
        <v>12427</v>
      </c>
      <c r="D7" s="20" t="n">
        <v>12819</v>
      </c>
      <c r="E7" s="20" t="n"/>
      <c r="F7" s="20" t="n"/>
      <c r="G7" s="20" t="n">
        <v>12927</v>
      </c>
      <c r="H7" s="20" t="n">
        <v>13570</v>
      </c>
      <c r="I7" s="20" t="n"/>
      <c r="J7" s="20" t="n"/>
      <c r="K7" s="20" t="n">
        <v>12874</v>
      </c>
      <c r="L7" s="20" t="n">
        <v>13384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51005</v>
      </c>
      <c r="W7" s="20" t="n">
        <v>51861</v>
      </c>
      <c r="X7" s="20" t="n">
        <v>52671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NewMaterialBusinessReportableSegmentsMember</t>
        </is>
      </c>
      <c r="B10" s="10" t="n"/>
      <c r="C10" s="19" t="n">
        <v>3587</v>
      </c>
      <c r="D10" s="20" t="n">
        <v>3644</v>
      </c>
      <c r="E10" s="20" t="n"/>
      <c r="F10" s="20" t="n"/>
      <c r="G10" s="20" t="n">
        <v>3292</v>
      </c>
      <c r="H10" s="20" t="n">
        <v>4223</v>
      </c>
      <c r="I10" s="20" t="n"/>
      <c r="J10" s="20" t="n"/>
      <c r="K10" s="20" t="n">
        <v>4061</v>
      </c>
      <c r="L10" s="20" t="n">
        <v>5141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13691</v>
      </c>
      <c r="W10" s="20" t="n">
        <v>14611</v>
      </c>
      <c r="X10" s="20" t="n">
        <v>18928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ConstructionMaterialBusinessReportableSegmentsMember</t>
        </is>
      </c>
      <c r="B13" s="10" t="n"/>
      <c r="C13" s="19" t="n">
        <v>2966</v>
      </c>
      <c r="D13" s="20" t="n">
        <v>3279</v>
      </c>
      <c r="E13" s="20" t="n"/>
      <c r="F13" s="20" t="n"/>
      <c r="G13" s="20" t="n">
        <v>3250</v>
      </c>
      <c r="H13" s="20" t="n">
        <v>3562</v>
      </c>
      <c r="I13" s="20" t="n"/>
      <c r="J13" s="20" t="n"/>
      <c r="K13" s="20" t="n">
        <v>3272</v>
      </c>
      <c r="L13" s="20" t="n">
        <v>3396</v>
      </c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12612</v>
      </c>
      <c r="W13" s="20" t="n">
        <v>12859</v>
      </c>
      <c r="X13" s="20" t="n">
        <v>13185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380</v>
      </c>
      <c r="D16" s="20" t="n">
        <v>422</v>
      </c>
      <c r="E16" s="20" t="n">
        <v>428</v>
      </c>
      <c r="F16" s="20" t="n">
        <v>463</v>
      </c>
      <c r="G16" s="20" t="n">
        <v>471</v>
      </c>
      <c r="H16" s="20" t="n">
        <v>498</v>
      </c>
      <c r="I16" s="20" t="n">
        <v>428</v>
      </c>
      <c r="J16" s="20" t="n">
        <v>466</v>
      </c>
      <c r="K16" s="20" t="n">
        <v>474</v>
      </c>
      <c r="L16" s="20" t="n">
        <v>504</v>
      </c>
      <c r="M16" s="20" t="n">
        <v>469</v>
      </c>
      <c r="N16" s="20" t="n">
        <v>511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1553</v>
      </c>
      <c r="W16" s="20" t="n">
        <v>1860</v>
      </c>
      <c r="X16" s="20" t="n">
        <v>1872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>
        <v>21686</v>
      </c>
      <c r="J19" s="20" t="n"/>
      <c r="K19" s="20" t="n"/>
      <c r="L19" s="20" t="n"/>
      <c r="M19" s="20" t="n">
        <v>24026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PlasticReportableSegmentsMember</t>
        </is>
      </c>
      <c r="B22" s="10" t="n"/>
      <c r="C22" s="19" t="n"/>
      <c r="D22" s="20" t="n"/>
      <c r="E22" s="20" t="n">
        <v>12765</v>
      </c>
      <c r="F22" s="20" t="n"/>
      <c r="G22" s="20" t="n"/>
      <c r="H22" s="20" t="n"/>
      <c r="I22" s="20" t="n">
        <v>13347</v>
      </c>
      <c r="J22" s="20" t="n"/>
      <c r="K22" s="20" t="n"/>
      <c r="L22" s="20" t="n"/>
      <c r="M22" s="20" t="n">
        <v>15620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NewMaterialReportableSegmentsMember</t>
        </is>
      </c>
      <c r="B25" s="10" t="n"/>
      <c r="C25" s="19" t="n"/>
      <c r="D25" s="20" t="n"/>
      <c r="E25" s="20" t="n">
        <v>3272</v>
      </c>
      <c r="F25" s="20" t="n"/>
      <c r="G25" s="20" t="n"/>
      <c r="H25" s="20" t="n"/>
      <c r="I25" s="20" t="n">
        <v>4611</v>
      </c>
      <c r="J25" s="20" t="n"/>
      <c r="K25" s="20" t="n"/>
      <c r="L25" s="20" t="n"/>
      <c r="M25" s="20" t="n">
        <v>4905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ConstructionMaterialReportableSegmentsMember</t>
        </is>
      </c>
      <c r="B28" s="10" t="n"/>
      <c r="C28" s="19" t="n"/>
      <c r="D28" s="20" t="n"/>
      <c r="E28" s="20" t="n">
        <v>3046</v>
      </c>
      <c r="F28" s="20" t="n"/>
      <c r="G28" s="20" t="n"/>
      <c r="H28" s="20" t="n"/>
      <c r="I28" s="20" t="n">
        <v>3301</v>
      </c>
      <c r="J28" s="20" t="n"/>
      <c r="K28" s="20" t="n"/>
      <c r="L28" s="20" t="n"/>
      <c r="M28" s="20" t="n">
        <v>3164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매출원가</t>
        </is>
      </c>
      <c r="B31" s="16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18" t="inlineStr">
        <is>
          <t>전체 매출원가</t>
        </is>
      </c>
      <c r="B32" s="10" t="n"/>
      <c r="C32" s="19" t="n">
        <v>15513</v>
      </c>
      <c r="D32" s="20" t="n">
        <v>16360</v>
      </c>
      <c r="E32" s="20" t="n">
        <v>15763</v>
      </c>
      <c r="F32" s="20" t="n">
        <v>16194</v>
      </c>
      <c r="G32" s="20" t="n">
        <v>16407</v>
      </c>
      <c r="H32" s="20" t="n">
        <v>17655</v>
      </c>
      <c r="I32" s="20" t="n">
        <v>17290</v>
      </c>
      <c r="J32" s="20" t="n">
        <v>17202</v>
      </c>
      <c r="K32" s="20" t="n">
        <v>16710</v>
      </c>
      <c r="L32" s="20" t="n">
        <v>17917</v>
      </c>
      <c r="M32" s="20" t="n">
        <v>18557</v>
      </c>
      <c r="N32" s="20" t="n">
        <v>21694</v>
      </c>
      <c r="O32" s="19" t="n">
        <v>72129</v>
      </c>
      <c r="P32" s="20" t="n">
        <v>75565</v>
      </c>
      <c r="Q32" s="20" t="n">
        <v>72544</v>
      </c>
      <c r="R32" s="20" t="n">
        <v>72071</v>
      </c>
      <c r="S32" s="20" t="n">
        <v>67721</v>
      </c>
      <c r="T32" s="20" t="n">
        <v>73912</v>
      </c>
      <c r="U32" s="20" t="n">
        <v>63944</v>
      </c>
      <c r="V32" s="20" t="n">
        <v>63974</v>
      </c>
      <c r="W32" s="20" t="n">
        <v>66019</v>
      </c>
      <c r="X32" s="20" t="n">
        <v>69119</v>
      </c>
      <c r="Y32" s="19" t="n"/>
      <c r="Z32" s="20" t="n"/>
      <c r="AA32" s="20" t="n"/>
      <c r="AB32" s="20" t="n"/>
      <c r="AC32" s="20" t="n"/>
    </row>
    <row r="33">
      <c r="A33" s="18" t="inlineStr">
        <is>
          <t>매출총이익</t>
        </is>
      </c>
      <c r="B33" s="10" t="n"/>
      <c r="C33" s="19">
        <f>IF(OR(C4="",C32=""),"",IFERROR(C4-C32,""))</f>
        <v/>
      </c>
      <c r="D33" s="20">
        <f>IF(OR(D4="",D32=""),"",IFERROR(D4-D32,""))</f>
        <v/>
      </c>
      <c r="E33" s="20">
        <f>IF(OR(E4="",E32=""),"",IFERROR(E4-E32,""))</f>
        <v/>
      </c>
      <c r="F33" s="20">
        <f>IF(OR(F4="",F32=""),"",IFERROR(F4-F32,""))</f>
        <v/>
      </c>
      <c r="G33" s="20">
        <f>IF(OR(G4="",G32=""),"",IFERROR(G4-G32,""))</f>
        <v/>
      </c>
      <c r="H33" s="20">
        <f>IF(OR(H4="",H32=""),"",IFERROR(H4-H32,""))</f>
        <v/>
      </c>
      <c r="I33" s="20">
        <f>IF(OR(I4="",I32=""),"",IFERROR(I4-I32,""))</f>
        <v/>
      </c>
      <c r="J33" s="20">
        <f>IF(OR(J4="",J32=""),"",IFERROR(J4-J32,""))</f>
        <v/>
      </c>
      <c r="K33" s="20">
        <f>IF(OR(K4="",K32=""),"",IFERROR(K4-K32,""))</f>
        <v/>
      </c>
      <c r="L33" s="20">
        <f>IF(OR(L4="",L32=""),"",IFERROR(L4-L32,""))</f>
        <v/>
      </c>
      <c r="M33" s="20">
        <f>IF(OR(M4="",M32=""),"",IFERROR(M4-M32,""))</f>
        <v/>
      </c>
      <c r="N33" s="20">
        <f>IF(OR(N4="",N32=""),"",IFERROR(N4-N32,""))</f>
        <v/>
      </c>
      <c r="O33" s="19">
        <f>IF(OR(O4="",O32=""),"",IFERROR(O4-O32,""))</f>
        <v/>
      </c>
      <c r="P33" s="20">
        <f>IF(OR(P4="",P32=""),"",IFERROR(P4-P32,""))</f>
        <v/>
      </c>
      <c r="Q33" s="20">
        <f>IF(OR(Q4="",Q32=""),"",IFERROR(Q4-Q32,""))</f>
        <v/>
      </c>
      <c r="R33" s="20">
        <f>IF(OR(R4="",R32=""),"",IFERROR(R4-R32,""))</f>
        <v/>
      </c>
      <c r="S33" s="20">
        <f>IF(OR(S4="",S32=""),"",IFERROR(S4-S32,""))</f>
        <v/>
      </c>
      <c r="T33" s="20">
        <f>IF(OR(T4="",T32=""),"",IFERROR(T4-T32,""))</f>
        <v/>
      </c>
      <c r="U33" s="20">
        <f>IF(OR(U4="",U32=""),"",IFERROR(U4-U32,""))</f>
        <v/>
      </c>
      <c r="V33" s="20">
        <f>IF(OR(V4="",V32=""),"",IFERROR(V4-V32,""))</f>
        <v/>
      </c>
      <c r="W33" s="20">
        <f>IF(OR(W4="",W32=""),"",IFERROR(W4-W32,""))</f>
        <v/>
      </c>
      <c r="X33" s="20">
        <f>IF(OR(X4="",X32=""),"",IFERROR(X4-X32,""))</f>
        <v/>
      </c>
      <c r="Y33" s="19" t="n"/>
      <c r="Z33" s="20" t="n"/>
      <c r="AA33" s="20" t="n"/>
      <c r="AB33" s="20" t="n"/>
      <c r="AC33" s="20" t="n"/>
    </row>
    <row r="34">
      <c r="A34" s="13" t="inlineStr">
        <is>
          <t>GPM</t>
        </is>
      </c>
      <c r="B34" s="10" t="n"/>
      <c r="C34" s="14">
        <f>IF(OR(C33="",C4=""),"",IFERROR(C33/C4,""))</f>
        <v/>
      </c>
      <c r="D34" s="15">
        <f>IF(OR(D33="",D4=""),"",IFERROR(D33/D4,""))</f>
        <v/>
      </c>
      <c r="E34" s="15">
        <f>IF(OR(E33="",E4=""),"",IFERROR(E33/E4,""))</f>
        <v/>
      </c>
      <c r="F34" s="15">
        <f>IF(OR(F33="",F4=""),"",IFERROR(F33/F4,""))</f>
        <v/>
      </c>
      <c r="G34" s="15">
        <f>IF(OR(G33="",G4=""),"",IFERROR(G33/G4,""))</f>
        <v/>
      </c>
      <c r="H34" s="15">
        <f>IF(OR(H33="",H4=""),"",IFERROR(H33/H4,""))</f>
        <v/>
      </c>
      <c r="I34" s="15">
        <f>IF(OR(I33="",I4=""),"",IFERROR(I33/I4,""))</f>
        <v/>
      </c>
      <c r="J34" s="15">
        <f>IF(OR(J33="",J4=""),"",IFERROR(J33/J4,""))</f>
        <v/>
      </c>
      <c r="K34" s="15">
        <f>IF(OR(K33="",K4=""),"",IFERROR(K33/K4,""))</f>
        <v/>
      </c>
      <c r="L34" s="15">
        <f>IF(OR(L33="",L4=""),"",IFERROR(L33/L4,""))</f>
        <v/>
      </c>
      <c r="M34" s="15">
        <f>IF(OR(M33="",M4=""),"",IFERROR(M33/M4,""))</f>
        <v/>
      </c>
      <c r="N34" s="15">
        <f>IF(OR(N33="",N4=""),"",IFERROR(N33/N4,""))</f>
        <v/>
      </c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>
        <f>IF(OR(Y33="",Y4=""),"",IFERROR(Y33/Y4,""))</f>
        <v/>
      </c>
      <c r="Z34" s="15">
        <f>IF(OR(Z33="",Z4=""),"",IFERROR(Z33/Z4,""))</f>
        <v/>
      </c>
      <c r="AA34" s="15">
        <f>IF(OR(AA33="",AA4=""),"",IFERROR(AA33/AA4,""))</f>
        <v/>
      </c>
      <c r="AB34" s="15">
        <f>IF(OR(AB33="",AB4=""),"",IFERROR(AB33/AB4,""))</f>
        <v/>
      </c>
      <c r="AC34" s="15">
        <f>IF(OR(AC33="",AC4=""),"",IFERROR(AC33/AC4,""))</f>
        <v/>
      </c>
    </row>
    <row r="35">
      <c r="A35" s="23" t="inlineStr">
        <is>
          <t>판매관리비</t>
        </is>
      </c>
      <c r="B35" s="23" t="n"/>
      <c r="C35" s="24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4" t="n"/>
      <c r="Z35" s="23" t="n"/>
      <c r="AA35" s="23" t="n"/>
      <c r="AB35" s="23" t="n"/>
      <c r="AC35" s="23" t="n"/>
    </row>
    <row r="36">
      <c r="A36" s="18" t="inlineStr">
        <is>
          <t>전체 판관비</t>
        </is>
      </c>
      <c r="B36" s="10" t="n"/>
      <c r="C36" s="19" t="n">
        <v>2576</v>
      </c>
      <c r="D36" s="20" t="n">
        <v>2545</v>
      </c>
      <c r="E36" s="20" t="n">
        <v>2541</v>
      </c>
      <c r="F36" s="20" t="n">
        <v>2578</v>
      </c>
      <c r="G36" s="20" t="n">
        <v>2674</v>
      </c>
      <c r="H36" s="20" t="n">
        <v>2815</v>
      </c>
      <c r="I36" s="20" t="n">
        <v>2718</v>
      </c>
      <c r="J36" s="20" t="n">
        <v>2812</v>
      </c>
      <c r="K36" s="20" t="n">
        <v>2815</v>
      </c>
      <c r="L36" s="20" t="n">
        <v>3008</v>
      </c>
      <c r="M36" s="20" t="n">
        <v>3223</v>
      </c>
      <c r="N36" s="20" t="n">
        <v>3706</v>
      </c>
      <c r="O36" s="19" t="n">
        <v>9239</v>
      </c>
      <c r="P36" s="20" t="n">
        <v>9457</v>
      </c>
      <c r="Q36" s="20" t="n">
        <v>9461</v>
      </c>
      <c r="R36" s="20" t="n">
        <v>9573</v>
      </c>
      <c r="S36" s="20" t="n">
        <v>8950</v>
      </c>
      <c r="T36" s="20" t="n">
        <v>9384</v>
      </c>
      <c r="U36" s="20" t="n">
        <v>9544</v>
      </c>
      <c r="V36" s="20" t="n">
        <v>9932</v>
      </c>
      <c r="W36" s="20" t="n">
        <v>10608</v>
      </c>
      <c r="X36" s="20" t="n">
        <v>11353</v>
      </c>
      <c r="Y36" s="19" t="n"/>
      <c r="Z36" s="20" t="n"/>
      <c r="AA36" s="20" t="n"/>
      <c r="AB36" s="20" t="n"/>
      <c r="AC36" s="20" t="n"/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1272</v>
      </c>
      <c r="D37" s="12" t="n">
        <v>1260</v>
      </c>
      <c r="E37" s="12" t="n">
        <v>1199</v>
      </c>
      <c r="F37" s="12" t="n">
        <v>1123</v>
      </c>
      <c r="G37" s="12" t="n">
        <v>859</v>
      </c>
      <c r="H37" s="12" t="n">
        <v>1383</v>
      </c>
      <c r="I37" s="12" t="n">
        <v>1678</v>
      </c>
      <c r="J37" s="12" t="n">
        <v>1849</v>
      </c>
      <c r="K37" s="12" t="n">
        <v>1158</v>
      </c>
      <c r="L37" s="12" t="n">
        <v>1500</v>
      </c>
      <c r="M37" s="12" t="n">
        <v>2245</v>
      </c>
      <c r="N37" s="12" t="n">
        <v>3073</v>
      </c>
      <c r="O37" s="11" t="n">
        <v>4710</v>
      </c>
      <c r="P37" s="12" t="n">
        <v>5789</v>
      </c>
      <c r="Q37" s="12" t="n">
        <v>4254</v>
      </c>
      <c r="R37" s="12" t="n">
        <v>3719</v>
      </c>
      <c r="S37" s="12" t="n">
        <v>4286</v>
      </c>
      <c r="T37" s="12" t="n">
        <v>5123</v>
      </c>
      <c r="U37" s="12" t="n">
        <v>3771</v>
      </c>
      <c r="V37" s="12" t="n">
        <v>4956</v>
      </c>
      <c r="W37" s="12" t="n">
        <v>4564</v>
      </c>
      <c r="X37" s="12" t="n">
        <v>6185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IF(O36="","",O36)</f>
        <v/>
      </c>
      <c r="P41" s="12">
        <f>IF(P36="","",P36)</f>
        <v/>
      </c>
      <c r="Q41" s="12">
        <f>IF(Q36="","",Q36)</f>
        <v/>
      </c>
      <c r="R41" s="12">
        <f>IF(R36="","",R36)</f>
        <v/>
      </c>
      <c r="S41" s="12">
        <f>IF(S36="","",S36)</f>
        <v/>
      </c>
      <c r="T41" s="12">
        <f>IF(T36="","",T36)</f>
        <v/>
      </c>
      <c r="U41" s="12">
        <f>IF(U36="","",U36)</f>
        <v/>
      </c>
      <c r="V41" s="12">
        <f>IF(V36="","",V36)</f>
        <v/>
      </c>
      <c r="W41" s="12">
        <f>IF(W36="","",W36)</f>
        <v/>
      </c>
      <c r="X41" s="12">
        <f>IF(X36="","",X36)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>
        <v>2009</v>
      </c>
      <c r="P42" s="20" t="n">
        <v>1994</v>
      </c>
      <c r="Q42" s="20" t="n">
        <v>2027</v>
      </c>
      <c r="R42" s="20" t="n">
        <v>2081</v>
      </c>
      <c r="S42" s="20" t="n">
        <v>2070</v>
      </c>
      <c r="T42" s="20" t="n">
        <v>2087</v>
      </c>
      <c r="U42" s="20" t="n">
        <v>2091</v>
      </c>
      <c r="V42" s="20" t="n">
        <v>2103</v>
      </c>
      <c r="W42" s="20" t="n">
        <v>2219</v>
      </c>
      <c r="X42" s="20" t="n">
        <v>2370</v>
      </c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>
        <v>172</v>
      </c>
      <c r="P44" s="20" t="n">
        <v>182</v>
      </c>
      <c r="Q44" s="20" t="n">
        <v>204</v>
      </c>
      <c r="R44" s="20" t="n">
        <v>217</v>
      </c>
      <c r="S44" s="20" t="n">
        <v>205</v>
      </c>
      <c r="T44" s="20" t="n">
        <v>199</v>
      </c>
      <c r="U44" s="20" t="n">
        <v>198</v>
      </c>
      <c r="V44" s="20" t="n">
        <v>220</v>
      </c>
      <c r="W44" s="20" t="n">
        <v>238</v>
      </c>
      <c r="X44" s="20" t="n">
        <v>241</v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>
        <v>948</v>
      </c>
      <c r="P48" s="20" t="n">
        <v>944</v>
      </c>
      <c r="Q48" s="20" t="n">
        <v>1029</v>
      </c>
      <c r="R48" s="20" t="n">
        <v>1060</v>
      </c>
      <c r="S48" s="20" t="n">
        <v>949</v>
      </c>
      <c r="T48" s="20" t="n">
        <v>1047</v>
      </c>
      <c r="U48" s="20" t="n">
        <v>1179</v>
      </c>
      <c r="V48" s="20" t="n">
        <v>1301</v>
      </c>
      <c r="W48" s="20" t="n">
        <v>1481</v>
      </c>
      <c r="X48" s="20" t="n">
        <v>1591</v>
      </c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1</v>
      </c>
      <c r="D53" s="20" t="n">
        <v>4</v>
      </c>
      <c r="E53" s="20" t="n">
        <v>0</v>
      </c>
      <c r="F53" s="20" t="n">
        <v>876</v>
      </c>
      <c r="G53" s="20" t="n">
        <v>796</v>
      </c>
      <c r="H53" s="20" t="n">
        <v>1623</v>
      </c>
      <c r="I53" s="20" t="n">
        <v>0</v>
      </c>
      <c r="J53" s="20" t="n">
        <v>0</v>
      </c>
      <c r="K53" s="20" t="n">
        <v>0</v>
      </c>
      <c r="L53" s="20" t="n">
        <v>20</v>
      </c>
      <c r="M53" s="20" t="n">
        <v>0</v>
      </c>
      <c r="N53" s="20" t="n">
        <v>4</v>
      </c>
      <c r="O53" s="19" t="n">
        <v>1303</v>
      </c>
      <c r="P53" s="20" t="n">
        <v>7</v>
      </c>
      <c r="Q53" s="20" t="n">
        <v>168</v>
      </c>
      <c r="R53" s="20" t="n">
        <v>193</v>
      </c>
      <c r="S53" s="20" t="n">
        <v>12</v>
      </c>
      <c r="T53" s="20" t="n">
        <v>348</v>
      </c>
      <c r="U53" s="20" t="n">
        <v>1542</v>
      </c>
      <c r="V53" s="20" t="n">
        <v>433</v>
      </c>
      <c r="W53" s="20" t="n">
        <v>3295</v>
      </c>
      <c r="X53" s="20" t="n">
        <v>20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>
        <v>38</v>
      </c>
      <c r="D55" s="20" t="n">
        <v>29</v>
      </c>
      <c r="E55" s="20" t="n">
        <v>206</v>
      </c>
      <c r="F55" s="20" t="n">
        <v>23</v>
      </c>
      <c r="G55" s="20" t="n">
        <v>19</v>
      </c>
      <c r="H55" s="20" t="n">
        <v>2158</v>
      </c>
      <c r="I55" s="20" t="n">
        <v>31</v>
      </c>
      <c r="J55" s="20" t="n">
        <v>15</v>
      </c>
      <c r="K55" s="20" t="n">
        <v>15</v>
      </c>
      <c r="L55" s="20" t="n">
        <v>1185</v>
      </c>
      <c r="M55" s="20" t="n">
        <v>51</v>
      </c>
      <c r="N55" s="20" t="n">
        <v>31</v>
      </c>
      <c r="O55" s="19" t="n">
        <v>2140</v>
      </c>
      <c r="P55" s="20" t="n">
        <v>1853</v>
      </c>
      <c r="Q55" s="20" t="n">
        <v>1200</v>
      </c>
      <c r="R55" s="20" t="n">
        <v>613</v>
      </c>
      <c r="S55" s="20" t="n">
        <v>437</v>
      </c>
      <c r="T55" s="20" t="n">
        <v>943</v>
      </c>
      <c r="U55" s="20" t="n">
        <v>539</v>
      </c>
      <c r="V55" s="20" t="n">
        <v>161</v>
      </c>
      <c r="W55" s="20" t="n">
        <v>2406</v>
      </c>
      <c r="X55" s="20" t="n">
        <v>1246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135</v>
      </c>
      <c r="D57" s="20" t="n">
        <v>59</v>
      </c>
      <c r="E57" s="20" t="n">
        <v>198</v>
      </c>
      <c r="F57" s="20" t="n">
        <v>234</v>
      </c>
      <c r="G57" s="20" t="n">
        <v>-55</v>
      </c>
      <c r="H57" s="20" t="n">
        <v>276</v>
      </c>
      <c r="I57" s="20" t="n">
        <v>146</v>
      </c>
      <c r="J57" s="20" t="n">
        <v>98</v>
      </c>
      <c r="K57" s="20" t="n">
        <v>133</v>
      </c>
      <c r="L57" s="20" t="n">
        <v>98</v>
      </c>
      <c r="M57" s="20" t="n">
        <v>204</v>
      </c>
      <c r="N57" s="20" t="n">
        <v>115</v>
      </c>
      <c r="O57" s="19" t="n">
        <v>270</v>
      </c>
      <c r="P57" s="20" t="n">
        <v>279</v>
      </c>
      <c r="Q57" s="20" t="n">
        <v>292</v>
      </c>
      <c r="R57" s="20" t="n">
        <v>319</v>
      </c>
      <c r="S57" s="20" t="n">
        <v>406</v>
      </c>
      <c r="T57" s="20" t="n">
        <v>548</v>
      </c>
      <c r="U57" s="20" t="n">
        <v>576</v>
      </c>
      <c r="V57" s="20" t="n">
        <v>528</v>
      </c>
      <c r="W57" s="20" t="n">
        <v>653</v>
      </c>
      <c r="X57" s="20" t="n">
        <v>475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15</v>
      </c>
      <c r="D59" s="20" t="n">
        <v>8</v>
      </c>
      <c r="E59" s="20" t="n">
        <v>32</v>
      </c>
      <c r="F59" s="20" t="n">
        <v>19</v>
      </c>
      <c r="G59" s="20" t="n">
        <v>34</v>
      </c>
      <c r="H59" s="20" t="n">
        <v>22</v>
      </c>
      <c r="I59" s="20" t="n">
        <v>142</v>
      </c>
      <c r="J59" s="20" t="n">
        <v>137</v>
      </c>
      <c r="K59" s="20" t="n">
        <v>-1</v>
      </c>
      <c r="L59" s="20" t="n">
        <v>-46</v>
      </c>
      <c r="M59" s="20" t="n">
        <v>233</v>
      </c>
      <c r="N59" s="20" t="n">
        <v>-43</v>
      </c>
      <c r="O59" s="19" t="n">
        <v>325</v>
      </c>
      <c r="P59" s="20" t="n">
        <v>178</v>
      </c>
      <c r="Q59" s="20" t="n">
        <v>180</v>
      </c>
      <c r="R59" s="20" t="n">
        <v>143</v>
      </c>
      <c r="S59" s="20" t="n">
        <v>182</v>
      </c>
      <c r="T59" s="20" t="n">
        <v>140</v>
      </c>
      <c r="U59" s="20" t="n">
        <v>73</v>
      </c>
      <c r="V59" s="20" t="n">
        <v>67</v>
      </c>
      <c r="W59" s="20" t="n">
        <v>107</v>
      </c>
      <c r="X59" s="20" t="n">
        <v>232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1353</v>
      </c>
      <c r="D61" s="12" t="n">
        <v>1286</v>
      </c>
      <c r="E61" s="12" t="n">
        <v>1160</v>
      </c>
      <c r="F61" s="12" t="n">
        <v>2190</v>
      </c>
      <c r="G61" s="12" t="n">
        <v>1548</v>
      </c>
      <c r="H61" s="12" t="n">
        <v>1102</v>
      </c>
      <c r="I61" s="12" t="n">
        <v>1651</v>
      </c>
      <c r="J61" s="12" t="n">
        <v>1796</v>
      </c>
      <c r="K61" s="12" t="n">
        <v>1276</v>
      </c>
      <c r="L61" s="12" t="n">
        <v>478</v>
      </c>
      <c r="M61" s="12" t="n">
        <v>2165</v>
      </c>
      <c r="N61" s="12" t="n">
        <v>3204</v>
      </c>
      <c r="O61" s="11" t="n">
        <v>3818</v>
      </c>
      <c r="P61" s="12" t="n">
        <v>4045</v>
      </c>
      <c r="Q61" s="12" t="n">
        <v>3334</v>
      </c>
      <c r="R61" s="12" t="n">
        <v>3474</v>
      </c>
      <c r="S61" s="12" t="n">
        <v>4084</v>
      </c>
      <c r="T61" s="12" t="n">
        <v>4937</v>
      </c>
      <c r="U61" s="12" t="n">
        <v>5278</v>
      </c>
      <c r="V61" s="12" t="n">
        <v>5688</v>
      </c>
      <c r="W61" s="12" t="n">
        <v>6000</v>
      </c>
      <c r="X61" s="12" t="n">
        <v>5201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8" t="inlineStr">
        <is>
          <t>법인세비용(수익)</t>
        </is>
      </c>
      <c r="B62" s="10" t="n"/>
      <c r="C62" s="19" t="n">
        <v>353</v>
      </c>
      <c r="D62" s="20" t="n">
        <v>273</v>
      </c>
      <c r="E62" s="20" t="n">
        <v>302</v>
      </c>
      <c r="F62" s="20" t="n">
        <v>628</v>
      </c>
      <c r="G62" s="20" t="n">
        <v>455</v>
      </c>
      <c r="H62" s="20" t="n">
        <v>251</v>
      </c>
      <c r="I62" s="20" t="n">
        <v>398</v>
      </c>
      <c r="J62" s="20" t="n">
        <v>494</v>
      </c>
      <c r="K62" s="20" t="n">
        <v>344</v>
      </c>
      <c r="L62" s="20" t="n">
        <v>147</v>
      </c>
      <c r="M62" s="20" t="n">
        <v>698</v>
      </c>
      <c r="N62" s="20" t="n">
        <v>948</v>
      </c>
      <c r="O62" s="19" t="n">
        <v>1311</v>
      </c>
      <c r="P62" s="20" t="n">
        <v>1321</v>
      </c>
      <c r="Q62" s="20" t="n">
        <v>889</v>
      </c>
      <c r="R62" s="20" t="n">
        <v>571</v>
      </c>
      <c r="S62" s="20" t="n">
        <v>1214</v>
      </c>
      <c r="T62" s="20" t="n">
        <v>1519</v>
      </c>
      <c r="U62" s="20" t="n">
        <v>1492</v>
      </c>
      <c r="V62" s="20" t="n">
        <v>1371</v>
      </c>
      <c r="W62" s="20" t="n">
        <v>1636</v>
      </c>
      <c r="X62" s="20" t="n">
        <v>1383</v>
      </c>
      <c r="Y62" s="19">
        <f>IF(OR(Y61="",Y63=""),"",IFERROR(MAX(Y61,0)*Y63,""))</f>
        <v/>
      </c>
      <c r="Z62" s="20">
        <f>IF(OR(Z61="",Z63=""),"",IFERROR(MAX(Z61,0)*Z63,""))</f>
        <v/>
      </c>
      <c r="AA62" s="20">
        <f>IF(OR(AA61="",AA63=""),"",IFERROR(MAX(AA61,0)*AA63,""))</f>
        <v/>
      </c>
      <c r="AB62" s="20">
        <f>IF(OR(AB61="",AB63=""),"",IFERROR(MAX(AB61,0)*AB63,""))</f>
        <v/>
      </c>
      <c r="AC62" s="20">
        <f>IF(OR(AC61="",AC63=""),"",IFERROR(MAX(AC61,0)*AC63,""))</f>
        <v/>
      </c>
    </row>
    <row r="63">
      <c r="A63" s="13" t="inlineStr">
        <is>
          <t>법인세율</t>
        </is>
      </c>
      <c r="B63" s="10" t="inlineStr">
        <is>
          <t>MW 기본 30%</t>
        </is>
      </c>
      <c r="C63" s="14">
        <f>IF(OR(C62="",C61=""),"",IFERROR(C62/C61,""))</f>
        <v/>
      </c>
      <c r="D63" s="15">
        <f>IF(OR(D62="",D61=""),"",IFERROR(D62/D61,""))</f>
        <v/>
      </c>
      <c r="E63" s="15">
        <f>IF(OR(E62="",E61=""),"",IFERROR(E62/E61,""))</f>
        <v/>
      </c>
      <c r="F63" s="15">
        <f>IF(OR(F62="",F61=""),"",IFERROR(F62/F61,""))</f>
        <v/>
      </c>
      <c r="G63" s="15">
        <f>IF(OR(G62="",G61=""),"",IFERROR(G62/G61,""))</f>
        <v/>
      </c>
      <c r="H63" s="15">
        <f>IF(OR(H62="",H61=""),"",IFERROR(H62/H61,""))</f>
        <v/>
      </c>
      <c r="I63" s="15">
        <f>IF(OR(I62="",I61=""),"",IFERROR(I62/I61,""))</f>
        <v/>
      </c>
      <c r="J63" s="15">
        <f>IF(OR(J62="",J61=""),"",IFERROR(J62/J61,""))</f>
        <v/>
      </c>
      <c r="K63" s="15">
        <f>IF(OR(K62="",K61=""),"",IFERROR(K62/K61,""))</f>
        <v/>
      </c>
      <c r="L63" s="15">
        <f>IF(OR(L62="",L61=""),"",IFERROR(L62/L61,""))</f>
        <v/>
      </c>
      <c r="M63" s="15">
        <f>IF(OR(M62="",M61=""),"",IFERROR(M62/M61,""))</f>
        <v/>
      </c>
      <c r="N63" s="15">
        <f>IF(OR(N62="",N61=""),"",IFERROR(N62/N61,""))</f>
        <v/>
      </c>
      <c r="O63" s="14">
        <f>IF(OR(O62="",O61=""),"",IFERROR(O62/O61,""))</f>
        <v/>
      </c>
      <c r="P63" s="15">
        <f>IF(OR(P62="",P61=""),"",IFERROR(P62/P61,""))</f>
        <v/>
      </c>
      <c r="Q63" s="15">
        <f>IF(OR(Q62="",Q61=""),"",IFERROR(Q62/Q61,""))</f>
        <v/>
      </c>
      <c r="R63" s="15">
        <f>IF(OR(R62="",R61=""),"",IFERROR(R62/R61,""))</f>
        <v/>
      </c>
      <c r="S63" s="15">
        <f>IF(OR(S62="",S61=""),"",IFERROR(S62/S61,""))</f>
        <v/>
      </c>
      <c r="T63" s="15">
        <f>IF(OR(T62="",T61=""),"",IFERROR(T62/T61,""))</f>
        <v/>
      </c>
      <c r="U63" s="15">
        <f>IF(OR(U62="",U61=""),"",IFERROR(U62/U61,""))</f>
        <v/>
      </c>
      <c r="V63" s="15">
        <f>IF(OR(V62="",V61=""),"",IFERROR(V62/V61,""))</f>
        <v/>
      </c>
      <c r="W63" s="15">
        <f>IF(OR(W62="",W61=""),"",IFERROR(W62/W61,""))</f>
        <v/>
      </c>
      <c r="X63" s="15">
        <f>IF(OR(X62="",X61=""),"",IFERROR(X62/X61,""))</f>
        <v/>
      </c>
      <c r="Y63" s="25" t="n">
        <v>0.3</v>
      </c>
      <c r="Z63" s="26" t="n">
        <v>0.3</v>
      </c>
      <c r="AA63" s="26" t="n">
        <v>0.3</v>
      </c>
      <c r="AB63" s="26" t="n">
        <v>0.3</v>
      </c>
      <c r="AC63" s="26" t="n">
        <v>0.3</v>
      </c>
    </row>
    <row r="64">
      <c r="A64" s="9" t="inlineStr">
        <is>
          <t>당기순이익(손실)</t>
        </is>
      </c>
      <c r="B64" s="10" t="n"/>
      <c r="C64" s="11" t="n">
        <v>999</v>
      </c>
      <c r="D64" s="12" t="n">
        <v>1014</v>
      </c>
      <c r="E64" s="12" t="n">
        <v>857</v>
      </c>
      <c r="F64" s="12" t="n">
        <v>1563</v>
      </c>
      <c r="G64" s="12" t="n">
        <v>1093</v>
      </c>
      <c r="H64" s="12" t="n">
        <v>851</v>
      </c>
      <c r="I64" s="12" t="n">
        <v>1252</v>
      </c>
      <c r="J64" s="12" t="n">
        <v>1302</v>
      </c>
      <c r="K64" s="12" t="n">
        <v>932</v>
      </c>
      <c r="L64" s="12" t="n">
        <v>332</v>
      </c>
      <c r="M64" s="12" t="n">
        <v>1466</v>
      </c>
      <c r="N64" s="12" t="n">
        <v>2256</v>
      </c>
      <c r="O64" s="11" t="n">
        <v>2506</v>
      </c>
      <c r="P64" s="12" t="n">
        <v>2723</v>
      </c>
      <c r="Q64" s="12" t="n">
        <v>2444</v>
      </c>
      <c r="R64" s="12" t="n">
        <v>2902</v>
      </c>
      <c r="S64" s="12" t="n">
        <v>2870</v>
      </c>
      <c r="T64" s="12" t="n">
        <v>3417</v>
      </c>
      <c r="U64" s="12" t="n">
        <v>3785</v>
      </c>
      <c r="V64" s="12" t="n">
        <v>4317</v>
      </c>
      <c r="W64" s="12" t="n">
        <v>4364</v>
      </c>
      <c r="X64" s="12" t="n">
        <v>3818</v>
      </c>
      <c r="Y64" s="11">
        <f>IF(OR(Y61=""),"",IFERROR(Y61-Y62,""))</f>
        <v/>
      </c>
      <c r="Z64" s="12">
        <f>IF(OR(Z61=""),"",IFERROR(Z61-Z62,""))</f>
        <v/>
      </c>
      <c r="AA64" s="12">
        <f>IF(OR(AA61=""),"",IFERROR(AA61-AA62,""))</f>
        <v/>
      </c>
      <c r="AB64" s="12">
        <f>IF(OR(AB61=""),"",IFERROR(AB61-AB62,""))</f>
        <v/>
      </c>
      <c r="AC64" s="12">
        <f>IF(OR(AC61=""),"",IFERROR(AC61-AC62,""))</f>
        <v/>
      </c>
    </row>
    <row r="65">
      <c r="A65" s="9" t="inlineStr">
        <is>
          <t>지배주주 순이익</t>
        </is>
      </c>
      <c r="B65" s="10" t="n"/>
      <c r="C65" s="11" t="n">
        <v>999</v>
      </c>
      <c r="D65" s="12" t="n">
        <v>1014</v>
      </c>
      <c r="E65" s="12" t="n">
        <v>856</v>
      </c>
      <c r="F65" s="12" t="n">
        <v>1562</v>
      </c>
      <c r="G65" s="12" t="n">
        <v>1092</v>
      </c>
      <c r="H65" s="12" t="n">
        <v>849</v>
      </c>
      <c r="I65" s="12" t="n">
        <v>1251</v>
      </c>
      <c r="J65" s="12" t="n">
        <v>1301</v>
      </c>
      <c r="K65" s="12" t="n">
        <v>930</v>
      </c>
      <c r="L65" s="12" t="n">
        <v>333</v>
      </c>
      <c r="M65" s="12" t="n">
        <v>1474</v>
      </c>
      <c r="N65" s="12" t="n">
        <v>2260</v>
      </c>
      <c r="O65" s="11" t="n">
        <v>2507</v>
      </c>
      <c r="P65" s="12" t="n">
        <v>2720</v>
      </c>
      <c r="Q65" s="12" t="n">
        <v>2442</v>
      </c>
      <c r="R65" s="12" t="n">
        <v>2899</v>
      </c>
      <c r="S65" s="12" t="n">
        <v>2865</v>
      </c>
      <c r="T65" s="12" t="n">
        <v>3417</v>
      </c>
      <c r="U65" s="12" t="n">
        <v>3788</v>
      </c>
      <c r="V65" s="12" t="n">
        <v>4315</v>
      </c>
      <c r="W65" s="12" t="n">
        <v>4359</v>
      </c>
      <c r="X65" s="12" t="n">
        <v>3815</v>
      </c>
      <c r="Y65" s="11">
        <f>IF(OR(Y64="",Y66=""),"",IFERROR(Y64*Y66,""))</f>
        <v/>
      </c>
      <c r="Z65" s="12">
        <f>IF(OR(Z64="",Z66=""),"",IFERROR(Z64*Z66,""))</f>
        <v/>
      </c>
      <c r="AA65" s="12">
        <f>IF(OR(AA64="",AA66=""),"",IFERROR(AA64*AA66,""))</f>
        <v/>
      </c>
      <c r="AB65" s="12">
        <f>IF(OR(AB64="",AB66=""),"",IFERROR(AB64*AB66,""))</f>
        <v/>
      </c>
      <c r="AC65" s="12">
        <f>IF(OR(AC64="",AC66=""),"",IFERROR(AC64*AC66,""))</f>
        <v/>
      </c>
    </row>
    <row r="66">
      <c r="A66" s="13" t="inlineStr">
        <is>
          <t>지배주주 순이익률</t>
        </is>
      </c>
      <c r="B66" s="10" t="inlineStr">
        <is>
          <t>MW 기본 100%</t>
        </is>
      </c>
      <c r="C66" s="14">
        <f>IF(OR(C65="",C64=""),"",IFERROR(C65/C64,""))</f>
        <v/>
      </c>
      <c r="D66" s="15">
        <f>IF(OR(D65="",D64=""),"",IFERROR(D65/D64,""))</f>
        <v/>
      </c>
      <c r="E66" s="15">
        <f>IF(OR(E65="",E64=""),"",IFERROR(E65/E64,""))</f>
        <v/>
      </c>
      <c r="F66" s="15">
        <f>IF(OR(F65="",F64=""),"",IFERROR(F65/F64,""))</f>
        <v/>
      </c>
      <c r="G66" s="15">
        <f>IF(OR(G65="",G64=""),"",IFERROR(G65/G64,""))</f>
        <v/>
      </c>
      <c r="H66" s="15">
        <f>IF(OR(H65="",H64=""),"",IFERROR(H65/H64,""))</f>
        <v/>
      </c>
      <c r="I66" s="15">
        <f>IF(OR(I65="",I64=""),"",IFERROR(I65/I64,""))</f>
        <v/>
      </c>
      <c r="J66" s="15">
        <f>IF(OR(J65="",J64=""),"",IFERROR(J65/J64,""))</f>
        <v/>
      </c>
      <c r="K66" s="15">
        <f>IF(OR(K65="",K64=""),"",IFERROR(K65/K64,""))</f>
        <v/>
      </c>
      <c r="L66" s="15">
        <f>IF(OR(L65="",L64=""),"",IFERROR(L65/L64,""))</f>
        <v/>
      </c>
      <c r="M66" s="15">
        <f>IF(OR(M65="",M64=""),"",IFERROR(M65/M64,""))</f>
        <v/>
      </c>
      <c r="N66" s="15">
        <f>IF(OR(N65="",N64=""),"",IFERROR(N65/N64,""))</f>
        <v/>
      </c>
      <c r="O66" s="14">
        <f>IF(OR(O65="",O64=""),"",IFERROR(O65/O64,""))</f>
        <v/>
      </c>
      <c r="P66" s="15">
        <f>IF(OR(P65="",P64=""),"",IFERROR(P65/P64,""))</f>
        <v/>
      </c>
      <c r="Q66" s="15">
        <f>IF(OR(Q65="",Q64=""),"",IFERROR(Q65/Q64,""))</f>
        <v/>
      </c>
      <c r="R66" s="15">
        <f>IF(OR(R65="",R64=""),"",IFERROR(R65/R64,""))</f>
        <v/>
      </c>
      <c r="S66" s="15">
        <f>IF(OR(S65="",S64=""),"",IFERROR(S65/S64,""))</f>
        <v/>
      </c>
      <c r="T66" s="15">
        <f>IF(OR(T65="",T64=""),"",IFERROR(T65/T64,""))</f>
        <v/>
      </c>
      <c r="U66" s="15">
        <f>IF(OR(U65="",U64=""),"",IFERROR(U65/U64,""))</f>
        <v/>
      </c>
      <c r="V66" s="15">
        <f>IF(OR(V65="",V64=""),"",IFERROR(V65/V64,""))</f>
        <v/>
      </c>
      <c r="W66" s="15">
        <f>IF(OR(W65="",W64=""),"",IFERROR(W65/W64,""))</f>
        <v/>
      </c>
      <c r="X66" s="15">
        <f>IF(OR(X65="",X64=""),"",IFERROR(X65/X64,""))</f>
        <v/>
      </c>
      <c r="Y66" s="25" t="n">
        <v>1</v>
      </c>
      <c r="Z66" s="26" t="n">
        <v>1</v>
      </c>
      <c r="AA66" s="26" t="n">
        <v>1</v>
      </c>
      <c r="AB66" s="26" t="n">
        <v>1</v>
      </c>
      <c r="AC66" s="26" t="n">
        <v>1</v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IF(O38="","",O38)</f>
        <v/>
      </c>
      <c r="P71" s="15">
        <f>IF(P38="","",P38)</f>
        <v/>
      </c>
      <c r="Q71" s="15">
        <f>IF(Q38="","",Q38)</f>
        <v/>
      </c>
      <c r="R71" s="15">
        <f>IF(R38="","",R38)</f>
        <v/>
      </c>
      <c r="S71" s="15">
        <f>IF(S38="","",S38)</f>
        <v/>
      </c>
      <c r="T71" s="15">
        <f>IF(T38="","",T38)</f>
        <v/>
      </c>
      <c r="U71" s="15">
        <f>IF(U38="","",U38)</f>
        <v/>
      </c>
      <c r="V71" s="15">
        <f>IF(V38="","",V38)</f>
        <v/>
      </c>
      <c r="W71" s="15">
        <f>IF(W38="","",W38)</f>
        <v/>
      </c>
      <c r="X71" s="15">
        <f>IF(X38="","",X38)</f>
        <v/>
      </c>
      <c r="Y71" s="14">
        <f>IF(Y38="","",Y38)</f>
        <v/>
      </c>
      <c r="Z71" s="15">
        <f>IF(Z38="","",Z38)</f>
        <v/>
      </c>
      <c r="AA71" s="15">
        <f>IF(AA38="","",AA38)</f>
        <v/>
      </c>
      <c r="AB71" s="15">
        <f>IF(AB38="","",AB38)</f>
        <v/>
      </c>
      <c r="AC71" s="15">
        <f>IF(AC38="","",AC38)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IF(OR(P65="",O65=""),"",IFERROR(P65/O65-1,""))</f>
        <v/>
      </c>
      <c r="Q72" s="15">
        <f>IF(OR(Q65="",P65=""),"",IFERROR(Q65/P65-1,""))</f>
        <v/>
      </c>
      <c r="R72" s="15">
        <f>IF(OR(R65="",Q65=""),"",IFERROR(R65/Q65-1,""))</f>
        <v/>
      </c>
      <c r="S72" s="15">
        <f>IF(OR(S65="",R65=""),"",IFERROR(S65/R65-1,""))</f>
        <v/>
      </c>
      <c r="T72" s="15">
        <f>IF(OR(T65="",S65=""),"",IFERROR(T65/S65-1,""))</f>
        <v/>
      </c>
      <c r="U72" s="15">
        <f>IF(OR(U65="",T65=""),"",IFERROR(U65/T65-1,""))</f>
        <v/>
      </c>
      <c r="V72" s="15">
        <f>IF(OR(V65="",U65=""),"",IFERROR(V65/U65-1,""))</f>
        <v/>
      </c>
      <c r="W72" s="15">
        <f>IF(OR(W65="",V65=""),"",IFERROR(W65/V65-1,""))</f>
        <v/>
      </c>
      <c r="X72" s="15">
        <f>IF(OR(X65="",W65=""),"",IFERROR(X65/W65-1,""))</f>
        <v/>
      </c>
      <c r="Y72" s="14">
        <f>IF(OR(Y65="",X65=""),"",IFERROR(Y65/X65-1,""))</f>
        <v/>
      </c>
      <c r="Z72" s="15">
        <f>IF(OR(Z65="",Y65=""),"",IFERROR(Z65/Y65-1,""))</f>
        <v/>
      </c>
      <c r="AA72" s="15">
        <f>IF(OR(AA65="",Z65=""),"",IFERROR(AA65/Z65-1,""))</f>
        <v/>
      </c>
      <c r="AB72" s="15">
        <f>IF(OR(AB65="",AA65=""),"",IFERROR(AB65/AA65-1,""))</f>
        <v/>
      </c>
      <c r="AC72" s="15">
        <f>IF(OR(AC65="",AB65=""),"",IFERROR(AC65/AB65-1,""))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IF(OR($B$70="",X65=""),"",IFERROR($B$70/X65,""))</f>
        <v/>
      </c>
      <c r="Y73" s="30">
        <f>IF(OR($B$70="",Y65=""),"",IFERROR($B$70/Y65,""))</f>
        <v/>
      </c>
      <c r="Z73" s="31">
        <f>IF(OR($B$70="",Z65=""),"",IFERROR($B$70/Z65,""))</f>
        <v/>
      </c>
      <c r="AA73" s="31">
        <f>IF(OR($B$70="",AA65=""),"",IFERROR($B$70/AA65,""))</f>
        <v/>
      </c>
      <c r="AB73" s="31">
        <f>IF(OR($B$70="",AB65=""),"",IFERROR($B$70/AB65,""))</f>
        <v/>
      </c>
      <c r="AC73" s="31">
        <f>IF(OR($B$70="",AC65=""),"",IFERROR($B$70/AC65,""))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IF(OR(O65="",$B$69=""),"",IFERROR(O65*1000000.0/$B$69,""))</f>
        <v/>
      </c>
      <c r="P75" s="29">
        <f>IF(OR(P65="",$B$69=""),"",IFERROR(P65*1000000.0/$B$69,""))</f>
        <v/>
      </c>
      <c r="Q75" s="29">
        <f>IF(OR(Q65="",$B$69=""),"",IFERROR(Q65*1000000.0/$B$69,""))</f>
        <v/>
      </c>
      <c r="R75" s="29">
        <f>IF(OR(R65="",$B$69=""),"",IFERROR(R65*1000000.0/$B$69,""))</f>
        <v/>
      </c>
      <c r="S75" s="29">
        <f>IF(OR(S65="",$B$69=""),"",IFERROR(S65*1000000.0/$B$69,""))</f>
        <v/>
      </c>
      <c r="T75" s="29">
        <f>IF(OR(T65="",$B$69=""),"",IFERROR(T65*1000000.0/$B$69,""))</f>
        <v/>
      </c>
      <c r="U75" s="29">
        <f>IF(OR(U65="",$B$69=""),"",IFERROR(U65*1000000.0/$B$69,""))</f>
        <v/>
      </c>
      <c r="V75" s="29">
        <f>IF(OR(V65="",$B$69=""),"",IFERROR(V65*1000000.0/$B$69,""))</f>
        <v/>
      </c>
      <c r="W75" s="29">
        <f>IF(OR(W65="",$B$69=""),"",IFERROR(W65*1000000.0/$B$69,""))</f>
        <v/>
      </c>
      <c r="X75" s="29">
        <f>IF(OR(X65="",$B$69=""),"",IFERROR(X65*1000000.0/$B$69,""))</f>
        <v/>
      </c>
      <c r="Y75" s="28">
        <f>IF(OR(Y65="",$B$69=""),"",IFERROR(Y65*1000000.0/$B$69,""))</f>
        <v/>
      </c>
      <c r="Z75" s="29">
        <f>IF(OR(Z65="",$B$69=""),"",IFERROR(Z65*1000000.0/$B$69,""))</f>
        <v/>
      </c>
      <c r="AA75" s="29">
        <f>IF(OR(AA65="",$B$69=""),"",IFERROR(AA65*1000000.0/$B$69,""))</f>
        <v/>
      </c>
      <c r="AB75" s="29">
        <f>IF(OR(AB65="",$B$69=""),"",IFERROR(AB65*1000000.0/$B$69,""))</f>
        <v/>
      </c>
      <c r="AC75" s="29">
        <f>IF(OR(AC65="",$B$69=""),"",IFERROR(AC65*1000000.0/$B$69,""))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IF(OR(Y65="",Y74=""),"",IFERROR(Y65*Y74,""))</f>
        <v/>
      </c>
      <c r="Z87" s="20">
        <f>IF(OR(Z65="",Z74=""),"",IFERROR(Z65*Z74,""))</f>
        <v/>
      </c>
      <c r="AA87" s="20">
        <f>IF(OR(AA65="",AA74=""),"",IFERROR(AA65*AA74,""))</f>
        <v/>
      </c>
      <c r="AB87" s="20">
        <f>IF(OR(AB65="",AB74=""),"",IFERROR(AB65*AB74,""))</f>
        <v/>
      </c>
      <c r="AC87" s="20">
        <f>IF(OR(AC65="",AC74=""),"",IFERROR(AC65*AC74,""))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2023.3Q</t>
        </is>
      </c>
      <c r="D98" s="5" t="inlineStr">
        <is>
          <t>2023.4Q</t>
        </is>
      </c>
      <c r="E98" s="5" t="inlineStr">
        <is>
          <t>2024.1Q</t>
        </is>
      </c>
      <c r="F98" s="5" t="inlineStr">
        <is>
          <t>2024.2Q</t>
        </is>
      </c>
      <c r="G98" s="5" t="inlineStr">
        <is>
          <t>2024.3Q</t>
        </is>
      </c>
      <c r="H98" s="5" t="inlineStr">
        <is>
          <t>2024.4Q</t>
        </is>
      </c>
      <c r="I98" s="5" t="inlineStr">
        <is>
          <t>2025.1Q</t>
        </is>
      </c>
      <c r="J98" s="5" t="inlineStr">
        <is>
          <t>2025.2Q</t>
        </is>
      </c>
      <c r="K98" s="5" t="inlineStr">
        <is>
          <t>2025.3Q</t>
        </is>
      </c>
      <c r="L98" s="5" t="inlineStr">
        <is>
          <t>2025.4Q</t>
        </is>
      </c>
      <c r="M98" s="5" t="inlineStr">
        <is>
          <t>2026.1Q</t>
        </is>
      </c>
      <c r="N98" s="5" t="inlineStr">
        <is>
          <t>2026.2Q</t>
        </is>
      </c>
      <c r="O98" s="5" t="inlineStr">
        <is>
          <t>2016</t>
        </is>
      </c>
      <c r="P98" s="5" t="inlineStr">
        <is>
          <t>2017</t>
        </is>
      </c>
      <c r="Q98" s="5" t="inlineStr">
        <is>
          <t>2018</t>
        </is>
      </c>
      <c r="R98" s="5" t="inlineStr">
        <is>
          <t>2019</t>
        </is>
      </c>
      <c r="S98" s="5" t="inlineStr">
        <is>
          <t>2020</t>
        </is>
      </c>
      <c r="T98" s="5" t="inlineStr">
        <is>
          <t>2021</t>
        </is>
      </c>
      <c r="U98" s="5" t="inlineStr">
        <is>
          <t>2022</t>
        </is>
      </c>
      <c r="V98" s="5" t="inlineStr">
        <is>
          <t>2023</t>
        </is>
      </c>
      <c r="W98" s="5" t="inlineStr">
        <is>
          <t>2024</t>
        </is>
      </c>
      <c r="X98" s="5" t="inlineStr">
        <is>
          <t>2025</t>
        </is>
      </c>
      <c r="Y98" s="5" t="inlineStr">
        <is>
          <t>2026(MW)</t>
        </is>
      </c>
      <c r="Z98" s="5" t="inlineStr">
        <is>
          <t>2027(MW)</t>
        </is>
      </c>
      <c r="AA98" s="5" t="inlineStr">
        <is>
          <t>2028(MW)</t>
        </is>
      </c>
      <c r="AB98" s="5" t="inlineStr">
        <is>
          <t>2029(MW)</t>
        </is>
      </c>
      <c r="AC98" s="5" t="inlineStr">
        <is>
          <t>2030(MW)</t>
        </is>
      </c>
    </row>
    <row r="99">
      <c r="A99" s="9" t="inlineStr">
        <is>
          <t>매출액</t>
        </is>
      </c>
      <c r="C99" s="12" t="n">
        <v>19361</v>
      </c>
      <c r="D99" s="12" t="n">
        <v>20165</v>
      </c>
      <c r="E99" s="12" t="n">
        <v>19504</v>
      </c>
      <c r="F99" s="12" t="n">
        <v>19896</v>
      </c>
      <c r="G99" s="12" t="n">
        <v>19939</v>
      </c>
      <c r="H99" s="12" t="n">
        <v>21853</v>
      </c>
      <c r="I99" s="12" t="n">
        <v>21686</v>
      </c>
      <c r="J99" s="12" t="n">
        <v>21865</v>
      </c>
      <c r="K99" s="12" t="n">
        <v>20682</v>
      </c>
      <c r="L99" s="12" t="n">
        <v>22425</v>
      </c>
      <c r="M99" s="12" t="n">
        <v>24026</v>
      </c>
      <c r="N99" s="12" t="n">
        <v>28473</v>
      </c>
      <c r="T99" s="12" t="n">
        <v>23350</v>
      </c>
      <c r="U99" s="12" t="n">
        <v>19719</v>
      </c>
      <c r="V99" s="12" t="n">
        <v>20165</v>
      </c>
      <c r="W99" s="12" t="n">
        <v>21853</v>
      </c>
      <c r="X99" s="12" t="n">
        <v>22425</v>
      </c>
    </row>
    <row r="100">
      <c r="A100" s="18" t="inlineStr">
        <is>
          <t>매출원가</t>
        </is>
      </c>
      <c r="C100" s="20" t="n">
        <v>15513</v>
      </c>
      <c r="D100" s="20" t="n">
        <v>16360</v>
      </c>
      <c r="E100" s="20" t="n">
        <v>15763</v>
      </c>
      <c r="F100" s="20" t="n">
        <v>16194</v>
      </c>
      <c r="G100" s="20" t="n">
        <v>16407</v>
      </c>
      <c r="H100" s="20" t="n">
        <v>17655</v>
      </c>
      <c r="I100" s="20" t="n">
        <v>17290</v>
      </c>
      <c r="J100" s="20" t="n">
        <v>17202</v>
      </c>
      <c r="K100" s="20" t="n">
        <v>16710</v>
      </c>
      <c r="L100" s="20" t="n">
        <v>17917</v>
      </c>
      <c r="M100" s="20" t="n">
        <v>18557</v>
      </c>
      <c r="N100" s="20" t="n">
        <v>21694</v>
      </c>
      <c r="T100" s="20" t="n">
        <v>20335</v>
      </c>
      <c r="U100" s="20" t="n">
        <v>16595</v>
      </c>
      <c r="V100" s="20" t="n">
        <v>16360</v>
      </c>
      <c r="W100" s="20" t="n">
        <v>17655</v>
      </c>
      <c r="X100" s="20" t="n">
        <v>17917</v>
      </c>
    </row>
    <row r="101">
      <c r="A101" s="9" t="inlineStr">
        <is>
          <t>매출총이익</t>
        </is>
      </c>
      <c r="C101" s="12" t="n">
        <v>3847</v>
      </c>
      <c r="D101" s="12" t="n">
        <v>3805</v>
      </c>
      <c r="E101" s="12" t="n">
        <v>3741</v>
      </c>
      <c r="F101" s="12" t="n">
        <v>3701</v>
      </c>
      <c r="G101" s="12" t="n">
        <v>3533</v>
      </c>
      <c r="H101" s="12" t="n">
        <v>4198</v>
      </c>
      <c r="I101" s="12" t="n">
        <v>4396</v>
      </c>
      <c r="J101" s="12" t="n">
        <v>4662</v>
      </c>
      <c r="K101" s="12" t="n">
        <v>3972</v>
      </c>
      <c r="L101" s="12" t="n">
        <v>4508</v>
      </c>
      <c r="M101" s="12" t="n">
        <v>5468</v>
      </c>
      <c r="N101" s="12" t="n">
        <v>6779</v>
      </c>
      <c r="T101" s="12" t="n">
        <v>3015</v>
      </c>
      <c r="U101" s="12" t="n">
        <v>3125</v>
      </c>
      <c r="V101" s="12" t="n">
        <v>3805</v>
      </c>
      <c r="W101" s="12" t="n">
        <v>4198</v>
      </c>
      <c r="X101" s="12" t="n">
        <v>4508</v>
      </c>
    </row>
    <row r="102">
      <c r="A102" s="18" t="inlineStr">
        <is>
          <t>판매수수료</t>
        </is>
      </c>
      <c r="C102" s="20" t="n">
        <v>22</v>
      </c>
      <c r="D102" s="20" t="n">
        <v>22</v>
      </c>
      <c r="E102" s="20" t="n">
        <v>22</v>
      </c>
      <c r="F102" s="20" t="n">
        <v>23</v>
      </c>
      <c r="G102" s="20" t="n">
        <v>24</v>
      </c>
      <c r="H102" s="20" t="n">
        <v>27</v>
      </c>
      <c r="I102" s="20" t="n">
        <v>21</v>
      </c>
      <c r="J102" s="20" t="n">
        <v>26</v>
      </c>
      <c r="K102" s="20" t="n">
        <v>29</v>
      </c>
      <c r="L102" s="20" t="n">
        <v>29</v>
      </c>
      <c r="M102" s="20" t="n">
        <v>20</v>
      </c>
      <c r="N102" s="20" t="n">
        <v>25</v>
      </c>
      <c r="T102" s="20" t="n">
        <v>16</v>
      </c>
      <c r="U102" s="20" t="n">
        <v>20</v>
      </c>
      <c r="V102" s="20" t="n">
        <v>22</v>
      </c>
      <c r="W102" s="20" t="n">
        <v>27</v>
      </c>
      <c r="X102" s="20" t="n">
        <v>29</v>
      </c>
    </row>
    <row r="103">
      <c r="A103" s="18" t="inlineStr">
        <is>
          <t>Transportation And Warehousing Expenses SGA</t>
        </is>
      </c>
      <c r="C103" s="20" t="n">
        <v>649</v>
      </c>
      <c r="D103" s="20" t="n">
        <v>683</v>
      </c>
      <c r="E103" s="20" t="n">
        <v>662</v>
      </c>
      <c r="F103" s="20" t="n">
        <v>699</v>
      </c>
      <c r="G103" s="20" t="n">
        <v>707</v>
      </c>
      <c r="H103" s="20" t="n">
        <v>742</v>
      </c>
      <c r="I103" s="20" t="n">
        <v>716</v>
      </c>
      <c r="J103" s="20" t="n">
        <v>706</v>
      </c>
      <c r="K103" s="20" t="n">
        <v>690</v>
      </c>
      <c r="L103" s="20" t="n">
        <v>739</v>
      </c>
      <c r="M103" s="20" t="n">
        <v>769</v>
      </c>
      <c r="N103" s="20" t="n">
        <v>819</v>
      </c>
      <c r="T103" s="20" t="n">
        <v>700</v>
      </c>
      <c r="U103" s="20" t="n">
        <v>672</v>
      </c>
      <c r="V103" s="20" t="n">
        <v>683</v>
      </c>
      <c r="W103" s="20" t="n">
        <v>742</v>
      </c>
      <c r="X103" s="20" t="n">
        <v>739</v>
      </c>
    </row>
    <row r="104">
      <c r="A104" s="18" t="inlineStr">
        <is>
          <t>급여</t>
        </is>
      </c>
      <c r="C104" s="20" t="n">
        <v>532</v>
      </c>
      <c r="D104" s="20" t="n">
        <v>530</v>
      </c>
      <c r="E104" s="20" t="n">
        <v>531</v>
      </c>
      <c r="F104" s="20" t="n">
        <v>561</v>
      </c>
      <c r="G104" s="20" t="n">
        <v>562</v>
      </c>
      <c r="H104" s="20" t="n">
        <v>565</v>
      </c>
      <c r="I104" s="20" t="n">
        <v>567</v>
      </c>
      <c r="J104" s="20" t="n">
        <v>597</v>
      </c>
      <c r="K104" s="20" t="n">
        <v>603</v>
      </c>
      <c r="L104" s="20" t="n">
        <v>603</v>
      </c>
      <c r="M104" s="20" t="n">
        <v>727</v>
      </c>
      <c r="N104" s="20" t="n">
        <v>759</v>
      </c>
      <c r="T104" s="20" t="n">
        <v>528</v>
      </c>
      <c r="U104" s="20" t="n">
        <v>520</v>
      </c>
      <c r="V104" s="20" t="n">
        <v>530</v>
      </c>
      <c r="W104" s="20" t="n">
        <v>565</v>
      </c>
      <c r="X104" s="20" t="n">
        <v>603</v>
      </c>
    </row>
    <row r="105">
      <c r="A105" s="18" t="inlineStr">
        <is>
          <t>상여충당금 전입</t>
        </is>
      </c>
      <c r="E105" s="20" t="n">
        <v>163</v>
      </c>
      <c r="I105" s="20" t="n">
        <v>179</v>
      </c>
      <c r="M105" s="20" t="n">
        <v>233</v>
      </c>
    </row>
    <row r="106">
      <c r="A106" s="18" t="inlineStr">
        <is>
          <t>Bonuses SGA</t>
        </is>
      </c>
      <c r="C106" s="20" t="n">
        <v>0</v>
      </c>
      <c r="D106" s="20" t="n">
        <v>334</v>
      </c>
      <c r="G106" s="20" t="n">
        <v>0</v>
      </c>
      <c r="H106" s="20" t="n">
        <v>335</v>
      </c>
      <c r="K106" s="20" t="n">
        <v>0</v>
      </c>
      <c r="L106" s="20" t="n">
        <v>405</v>
      </c>
      <c r="T106" s="20" t="n">
        <v>343</v>
      </c>
      <c r="U106" s="20" t="n">
        <v>316</v>
      </c>
      <c r="V106" s="20" t="n">
        <v>334</v>
      </c>
      <c r="W106" s="20" t="n">
        <v>335</v>
      </c>
      <c r="X106" s="20" t="n">
        <v>405</v>
      </c>
    </row>
    <row r="107">
      <c r="A107" s="18" t="inlineStr">
        <is>
          <t>임원 보수</t>
        </is>
      </c>
      <c r="C107" s="20" t="n">
        <v>84</v>
      </c>
      <c r="D107" s="20" t="n">
        <v>85</v>
      </c>
      <c r="E107" s="20" t="n">
        <v>84</v>
      </c>
      <c r="F107" s="20" t="n">
        <v>90</v>
      </c>
      <c r="G107" s="20" t="n">
        <v>89</v>
      </c>
      <c r="H107" s="20" t="n">
        <v>90</v>
      </c>
      <c r="I107" s="20" t="n">
        <v>89</v>
      </c>
      <c r="J107" s="20" t="n">
        <v>85</v>
      </c>
      <c r="K107" s="20" t="n">
        <v>85</v>
      </c>
      <c r="L107" s="20" t="n">
        <v>86</v>
      </c>
      <c r="M107" s="20" t="n">
        <v>102</v>
      </c>
      <c r="N107" s="20" t="n">
        <v>123</v>
      </c>
      <c r="T107" s="20" t="n">
        <v>80</v>
      </c>
      <c r="U107" s="20" t="n">
        <v>85</v>
      </c>
      <c r="V107" s="20" t="n">
        <v>85</v>
      </c>
      <c r="W107" s="20" t="n">
        <v>90</v>
      </c>
      <c r="X107" s="20" t="n">
        <v>86</v>
      </c>
    </row>
    <row r="108">
      <c r="A108" s="18" t="inlineStr">
        <is>
          <t>퇴직급여비용</t>
        </is>
      </c>
      <c r="C108" s="20" t="n">
        <v>37</v>
      </c>
      <c r="D108" s="20" t="n">
        <v>36</v>
      </c>
      <c r="E108" s="20" t="n">
        <v>35</v>
      </c>
      <c r="F108" s="20" t="n">
        <v>34</v>
      </c>
      <c r="G108" s="20" t="n">
        <v>36</v>
      </c>
      <c r="H108" s="20" t="n">
        <v>34</v>
      </c>
      <c r="I108" s="20" t="n">
        <v>34</v>
      </c>
      <c r="J108" s="20" t="n">
        <v>33</v>
      </c>
      <c r="K108" s="20" t="n">
        <v>34</v>
      </c>
      <c r="L108" s="20" t="n">
        <v>34</v>
      </c>
      <c r="M108" s="20" t="n">
        <v>27</v>
      </c>
      <c r="N108" s="20" t="n">
        <v>29</v>
      </c>
      <c r="T108" s="20" t="n">
        <v>34</v>
      </c>
      <c r="U108" s="20" t="n">
        <v>29</v>
      </c>
      <c r="V108" s="20" t="n">
        <v>36</v>
      </c>
      <c r="W108" s="20" t="n">
        <v>34</v>
      </c>
      <c r="X108" s="20" t="n">
        <v>34</v>
      </c>
    </row>
    <row r="109">
      <c r="A109" s="18" t="inlineStr">
        <is>
          <t>감가상각비</t>
        </is>
      </c>
      <c r="C109" s="20" t="n">
        <v>56</v>
      </c>
      <c r="D109" s="20" t="n">
        <v>60</v>
      </c>
      <c r="E109" s="20" t="n">
        <v>57</v>
      </c>
      <c r="F109" s="20" t="n">
        <v>58</v>
      </c>
      <c r="G109" s="20" t="n">
        <v>60</v>
      </c>
      <c r="H109" s="20" t="n">
        <v>63</v>
      </c>
      <c r="I109" s="20" t="n">
        <v>56</v>
      </c>
      <c r="J109" s="20" t="n">
        <v>58</v>
      </c>
      <c r="K109" s="20" t="n">
        <v>60</v>
      </c>
      <c r="L109" s="20" t="n">
        <v>67</v>
      </c>
      <c r="M109" s="20" t="n">
        <v>90</v>
      </c>
      <c r="N109" s="20" t="n">
        <v>88</v>
      </c>
      <c r="T109" s="20" t="n">
        <v>54</v>
      </c>
      <c r="U109" s="20" t="n">
        <v>51</v>
      </c>
      <c r="V109" s="20" t="n">
        <v>60</v>
      </c>
      <c r="W109" s="20" t="n">
        <v>63</v>
      </c>
      <c r="X109" s="20" t="n">
        <v>67</v>
      </c>
    </row>
    <row r="110">
      <c r="A110" s="18" t="inlineStr">
        <is>
          <t>연구개발비</t>
        </is>
      </c>
      <c r="C110" s="20" t="n">
        <v>349</v>
      </c>
      <c r="D110" s="20" t="n">
        <v>335</v>
      </c>
      <c r="E110" s="20" t="n">
        <v>351</v>
      </c>
      <c r="F110" s="20" t="n">
        <v>352</v>
      </c>
      <c r="G110" s="20" t="n">
        <v>379</v>
      </c>
      <c r="H110" s="20" t="n">
        <v>399</v>
      </c>
      <c r="I110" s="20" t="n">
        <v>349</v>
      </c>
      <c r="J110" s="20" t="n">
        <v>384</v>
      </c>
      <c r="K110" s="20" t="n">
        <v>423</v>
      </c>
      <c r="L110" s="20" t="n">
        <v>435</v>
      </c>
      <c r="M110" s="20" t="n">
        <v>382</v>
      </c>
      <c r="N110" s="20" t="n">
        <v>443</v>
      </c>
      <c r="T110" s="20" t="n">
        <v>289</v>
      </c>
      <c r="U110" s="20" t="n">
        <v>315</v>
      </c>
      <c r="V110" s="20" t="n">
        <v>335</v>
      </c>
      <c r="W110" s="20" t="n">
        <v>399</v>
      </c>
      <c r="X110" s="20" t="n">
        <v>435</v>
      </c>
    </row>
    <row r="111">
      <c r="A111" s="18" t="inlineStr">
        <is>
          <t>대손충당금 전입</t>
        </is>
      </c>
      <c r="C111" s="20" t="n">
        <v>0</v>
      </c>
      <c r="D111" s="20" t="n">
        <v>0</v>
      </c>
      <c r="E111" s="20" t="n">
        <v>0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0</v>
      </c>
      <c r="M111" s="20" t="n">
        <v>-19</v>
      </c>
      <c r="N111" s="20" t="n">
        <v>0</v>
      </c>
      <c r="T111" s="20" t="n">
        <v>0</v>
      </c>
      <c r="U111" s="20" t="n">
        <v>0</v>
      </c>
      <c r="V111" s="20" t="n">
        <v>0</v>
      </c>
      <c r="W111" s="20" t="n">
        <v>0</v>
      </c>
    </row>
    <row r="112">
      <c r="A112" s="18" t="inlineStr">
        <is>
          <t>기타</t>
        </is>
      </c>
      <c r="C112" s="20" t="n">
        <v>676</v>
      </c>
      <c r="D112" s="20" t="n">
        <v>630</v>
      </c>
      <c r="E112" s="20" t="n">
        <v>632</v>
      </c>
      <c r="F112" s="20" t="n">
        <v>629</v>
      </c>
      <c r="G112" s="20" t="n">
        <v>644</v>
      </c>
      <c r="H112" s="20" t="n">
        <v>734</v>
      </c>
      <c r="I112" s="20" t="n">
        <v>703</v>
      </c>
      <c r="J112" s="20" t="n">
        <v>717</v>
      </c>
      <c r="K112" s="20" t="n">
        <v>697</v>
      </c>
      <c r="L112" s="20" t="n">
        <v>804</v>
      </c>
      <c r="M112" s="20" t="n">
        <v>889</v>
      </c>
      <c r="N112" s="20" t="n">
        <v>1008</v>
      </c>
      <c r="T112" s="20" t="n">
        <v>622</v>
      </c>
      <c r="U112" s="20" t="n">
        <v>579</v>
      </c>
      <c r="V112" s="20" t="n">
        <v>630</v>
      </c>
      <c r="W112" s="20" t="n">
        <v>734</v>
      </c>
      <c r="X112" s="20" t="n">
        <v>804</v>
      </c>
    </row>
    <row r="113">
      <c r="A113" s="18" t="inlineStr">
        <is>
          <t>판매비와 관리비 합계</t>
        </is>
      </c>
      <c r="C113" s="20" t="n">
        <v>2576</v>
      </c>
      <c r="D113" s="20" t="n">
        <v>2545</v>
      </c>
      <c r="E113" s="20" t="n">
        <v>2541</v>
      </c>
      <c r="F113" s="20" t="n">
        <v>2578</v>
      </c>
      <c r="G113" s="20" t="n">
        <v>2674</v>
      </c>
      <c r="H113" s="20" t="n">
        <v>2815</v>
      </c>
      <c r="I113" s="20" t="n">
        <v>2718</v>
      </c>
      <c r="J113" s="20" t="n">
        <v>2812</v>
      </c>
      <c r="K113" s="20" t="n">
        <v>2815</v>
      </c>
      <c r="L113" s="20" t="n">
        <v>3008</v>
      </c>
      <c r="M113" s="20" t="n">
        <v>3223</v>
      </c>
      <c r="N113" s="20" t="n">
        <v>3706</v>
      </c>
      <c r="T113" s="20" t="n">
        <v>2486</v>
      </c>
      <c r="U113" s="20" t="n">
        <v>2416</v>
      </c>
      <c r="V113" s="20" t="n">
        <v>2545</v>
      </c>
      <c r="W113" s="20" t="n">
        <v>2815</v>
      </c>
      <c r="X113" s="20" t="n">
        <v>3008</v>
      </c>
    </row>
    <row r="114">
      <c r="A114" s="9" t="inlineStr">
        <is>
          <t>영업이익</t>
        </is>
      </c>
      <c r="C114" s="12" t="n">
        <v>1272</v>
      </c>
      <c r="D114" s="12" t="n">
        <v>1260</v>
      </c>
      <c r="E114" s="12" t="n">
        <v>1199</v>
      </c>
      <c r="F114" s="12" t="n">
        <v>1123</v>
      </c>
      <c r="G114" s="12" t="n">
        <v>859</v>
      </c>
      <c r="H114" s="12" t="n">
        <v>1383</v>
      </c>
      <c r="I114" s="12" t="n">
        <v>1678</v>
      </c>
      <c r="J114" s="12" t="n">
        <v>1849</v>
      </c>
      <c r="K114" s="12" t="n">
        <v>1158</v>
      </c>
      <c r="L114" s="12" t="n">
        <v>1500</v>
      </c>
      <c r="M114" s="12" t="n">
        <v>2245</v>
      </c>
      <c r="N114" s="12" t="n">
        <v>3073</v>
      </c>
      <c r="T114" s="12" t="n">
        <v>529</v>
      </c>
      <c r="U114" s="12" t="n">
        <v>708</v>
      </c>
      <c r="V114" s="12" t="n">
        <v>1260</v>
      </c>
      <c r="W114" s="12" t="n">
        <v>1383</v>
      </c>
      <c r="X114" s="12" t="n">
        <v>1500</v>
      </c>
    </row>
    <row r="115">
      <c r="A115" s="18" t="inlineStr">
        <is>
          <t>이자수익</t>
        </is>
      </c>
      <c r="C115" s="20" t="n">
        <v>0</v>
      </c>
      <c r="D115" s="20" t="n">
        <v>4</v>
      </c>
      <c r="E115" s="20" t="n">
        <v>7</v>
      </c>
      <c r="F115" s="20" t="n">
        <v>11</v>
      </c>
      <c r="G115" s="20" t="n">
        <v>18</v>
      </c>
      <c r="H115" s="20" t="n">
        <v>19</v>
      </c>
      <c r="I115" s="20" t="n">
        <v>22</v>
      </c>
      <c r="J115" s="20" t="n">
        <v>19</v>
      </c>
      <c r="K115" s="20" t="n">
        <v>30</v>
      </c>
      <c r="L115" s="20" t="n">
        <v>21</v>
      </c>
      <c r="M115" s="20" t="n">
        <v>12</v>
      </c>
      <c r="N115" s="20" t="n">
        <v>3</v>
      </c>
      <c r="T115" s="20" t="n">
        <v>0</v>
      </c>
      <c r="U115" s="20" t="n">
        <v>4</v>
      </c>
      <c r="V115" s="20" t="n">
        <v>4</v>
      </c>
      <c r="W115" s="20" t="n">
        <v>19</v>
      </c>
      <c r="X115" s="20" t="n">
        <v>21</v>
      </c>
    </row>
    <row r="116">
      <c r="A116" s="18" t="inlineStr">
        <is>
          <t>배당금수익</t>
        </is>
      </c>
      <c r="C116" s="20" t="n">
        <v>78</v>
      </c>
      <c r="D116" s="20" t="n">
        <v>74</v>
      </c>
      <c r="E116" s="20" t="n">
        <v>80</v>
      </c>
      <c r="F116" s="20" t="n">
        <v>98</v>
      </c>
      <c r="G116" s="20" t="n">
        <v>89</v>
      </c>
      <c r="H116" s="20" t="n">
        <v>77</v>
      </c>
      <c r="I116" s="20" t="n">
        <v>100</v>
      </c>
      <c r="J116" s="20" t="n">
        <v>54</v>
      </c>
      <c r="K116" s="20" t="n">
        <v>94</v>
      </c>
      <c r="L116" s="20" t="n">
        <v>55</v>
      </c>
      <c r="M116" s="20" t="n">
        <v>114</v>
      </c>
      <c r="N116" s="20" t="n">
        <v>71</v>
      </c>
      <c r="T116" s="20" t="n">
        <v>65</v>
      </c>
      <c r="U116" s="20" t="n">
        <v>74</v>
      </c>
      <c r="V116" s="20" t="n">
        <v>74</v>
      </c>
      <c r="W116" s="20" t="n">
        <v>77</v>
      </c>
      <c r="X116" s="20" t="n">
        <v>55</v>
      </c>
    </row>
    <row r="117">
      <c r="A117" s="18" t="inlineStr">
        <is>
          <t>외환차익</t>
        </is>
      </c>
      <c r="C117" s="20" t="n">
        <v>36</v>
      </c>
      <c r="D117" s="20" t="n">
        <v>-50</v>
      </c>
      <c r="E117" s="20" t="n">
        <v>83</v>
      </c>
      <c r="F117" s="20" t="n">
        <v>91</v>
      </c>
      <c r="G117" s="20" t="n">
        <v>-174</v>
      </c>
      <c r="H117" s="20" t="n">
        <v>145</v>
      </c>
      <c r="I117" s="20" t="n">
        <v>0</v>
      </c>
      <c r="J117" s="20" t="n">
        <v>0</v>
      </c>
      <c r="M117" s="20" t="n">
        <v>31</v>
      </c>
      <c r="N117" s="20" t="n">
        <v>17</v>
      </c>
      <c r="T117" s="20" t="n">
        <v>19</v>
      </c>
      <c r="U117" s="20" t="n">
        <v>-107</v>
      </c>
      <c r="V117" s="20" t="n">
        <v>-50</v>
      </c>
      <c r="W117" s="20" t="n">
        <v>145</v>
      </c>
    </row>
    <row r="118">
      <c r="A118" s="18" t="inlineStr">
        <is>
          <t>보조금 수입</t>
        </is>
      </c>
      <c r="T118" s="20" t="n">
        <v>9</v>
      </c>
      <c r="U118" s="20" t="n">
        <v>6</v>
      </c>
    </row>
    <row r="119">
      <c r="A119" s="18" t="inlineStr">
        <is>
          <t>보조금 수입</t>
        </is>
      </c>
      <c r="E119" s="20" t="n">
        <v>0</v>
      </c>
    </row>
    <row r="120">
      <c r="A120" s="18" t="inlineStr">
        <is>
          <t>잡이익</t>
        </is>
      </c>
      <c r="C120" s="20" t="n">
        <v>21</v>
      </c>
      <c r="D120" s="20" t="n">
        <v>31</v>
      </c>
      <c r="E120" s="20" t="n">
        <v>26</v>
      </c>
      <c r="F120" s="20" t="n">
        <v>34</v>
      </c>
      <c r="G120" s="20" t="n">
        <v>13</v>
      </c>
      <c r="H120" s="20" t="n">
        <v>34</v>
      </c>
      <c r="I120" s="20" t="n">
        <v>23</v>
      </c>
      <c r="J120" s="20" t="n">
        <v>25</v>
      </c>
      <c r="K120" s="20" t="n">
        <v>9</v>
      </c>
      <c r="L120" s="20" t="n">
        <v>22</v>
      </c>
      <c r="M120" s="20" t="n">
        <v>46</v>
      </c>
      <c r="N120" s="20" t="n">
        <v>23</v>
      </c>
      <c r="T120" s="20" t="n">
        <v>39</v>
      </c>
      <c r="U120" s="20" t="n">
        <v>49</v>
      </c>
      <c r="V120" s="20" t="n">
        <v>31</v>
      </c>
      <c r="W120" s="20" t="n">
        <v>34</v>
      </c>
      <c r="X120" s="20" t="n">
        <v>22</v>
      </c>
    </row>
    <row r="121">
      <c r="A121" s="18" t="inlineStr">
        <is>
          <t>영업외수익 합계</t>
        </is>
      </c>
      <c r="C121" s="20" t="n">
        <v>135</v>
      </c>
      <c r="D121" s="20" t="n">
        <v>59</v>
      </c>
      <c r="E121" s="20" t="n">
        <v>198</v>
      </c>
      <c r="F121" s="20" t="n">
        <v>234</v>
      </c>
      <c r="G121" s="20" t="n">
        <v>-55</v>
      </c>
      <c r="H121" s="20" t="n">
        <v>276</v>
      </c>
      <c r="I121" s="20" t="n">
        <v>146</v>
      </c>
      <c r="J121" s="20" t="n">
        <v>98</v>
      </c>
      <c r="K121" s="20" t="n">
        <v>133</v>
      </c>
      <c r="L121" s="20" t="n">
        <v>98</v>
      </c>
      <c r="M121" s="20" t="n">
        <v>204</v>
      </c>
      <c r="N121" s="20" t="n">
        <v>115</v>
      </c>
      <c r="T121" s="20" t="n">
        <v>132</v>
      </c>
      <c r="U121" s="20" t="n">
        <v>21</v>
      </c>
      <c r="V121" s="20" t="n">
        <v>59</v>
      </c>
      <c r="W121" s="20" t="n">
        <v>276</v>
      </c>
      <c r="X121" s="20" t="n">
        <v>98</v>
      </c>
    </row>
    <row r="122">
      <c r="A122" s="18" t="inlineStr">
        <is>
          <t>이자비용</t>
        </is>
      </c>
      <c r="C122" s="20" t="n">
        <v>5</v>
      </c>
      <c r="D122" s="20" t="n">
        <v>4</v>
      </c>
      <c r="E122" s="20" t="n">
        <v>4</v>
      </c>
      <c r="F122" s="20" t="n">
        <v>8</v>
      </c>
      <c r="G122" s="20" t="n">
        <v>8</v>
      </c>
      <c r="H122" s="20" t="n">
        <v>11</v>
      </c>
      <c r="I122" s="20" t="n">
        <v>12</v>
      </c>
      <c r="J122" s="20" t="n">
        <v>15</v>
      </c>
      <c r="K122" s="20" t="n">
        <v>16</v>
      </c>
      <c r="L122" s="20" t="n">
        <v>15</v>
      </c>
      <c r="M122" s="20" t="n">
        <v>40</v>
      </c>
      <c r="N122" s="20" t="n">
        <v>59</v>
      </c>
      <c r="T122" s="20" t="n">
        <v>19</v>
      </c>
      <c r="U122" s="20" t="n">
        <v>4</v>
      </c>
      <c r="V122" s="20" t="n">
        <v>4</v>
      </c>
      <c r="W122" s="20" t="n">
        <v>11</v>
      </c>
      <c r="X122" s="20" t="n">
        <v>15</v>
      </c>
    </row>
    <row r="123">
      <c r="A123" s="18" t="inlineStr">
        <is>
          <t>외환차손</t>
        </is>
      </c>
      <c r="E123" s="20" t="n">
        <v>0</v>
      </c>
      <c r="F123" s="20" t="n">
        <v>0</v>
      </c>
      <c r="G123" s="20" t="n">
        <v>3</v>
      </c>
      <c r="H123" s="20" t="n">
        <v>-3</v>
      </c>
      <c r="I123" s="20" t="n">
        <v>88</v>
      </c>
      <c r="J123" s="20" t="n">
        <v>42</v>
      </c>
      <c r="K123" s="20" t="n">
        <v>-39</v>
      </c>
      <c r="L123" s="20" t="n">
        <v>-76</v>
      </c>
      <c r="M123" s="20" t="n">
        <v>0</v>
      </c>
      <c r="N123" s="20" t="n">
        <v>0</v>
      </c>
      <c r="W123" s="20" t="n">
        <v>-3</v>
      </c>
      <c r="X123" s="20" t="n">
        <v>-76</v>
      </c>
    </row>
    <row r="124">
      <c r="A124" s="18" t="inlineStr">
        <is>
          <t>지급수수료</t>
        </is>
      </c>
      <c r="C124" s="20" t="n">
        <v>5</v>
      </c>
      <c r="D124" s="20" t="n">
        <v>3</v>
      </c>
      <c r="E124" s="20" t="n">
        <v>22</v>
      </c>
      <c r="F124" s="20" t="n">
        <v>6</v>
      </c>
      <c r="G124" s="20" t="n">
        <v>17</v>
      </c>
      <c r="H124" s="20" t="n">
        <v>6</v>
      </c>
      <c r="I124" s="20" t="n">
        <v>34</v>
      </c>
      <c r="J124" s="20" t="n">
        <v>72</v>
      </c>
      <c r="K124" s="20" t="n">
        <v>14</v>
      </c>
      <c r="L124" s="20" t="n">
        <v>4</v>
      </c>
      <c r="M124" s="20" t="n">
        <v>187</v>
      </c>
      <c r="N124" s="20" t="n">
        <v>-149</v>
      </c>
      <c r="T124" s="20" t="n">
        <v>2</v>
      </c>
      <c r="U124" s="20" t="n">
        <v>3</v>
      </c>
      <c r="V124" s="20" t="n">
        <v>3</v>
      </c>
      <c r="W124" s="20" t="n">
        <v>6</v>
      </c>
      <c r="X124" s="20" t="n">
        <v>4</v>
      </c>
    </row>
    <row r="125">
      <c r="A125" s="18" t="inlineStr">
        <is>
          <t>잡손실</t>
        </is>
      </c>
      <c r="C125" s="20" t="n">
        <v>6</v>
      </c>
      <c r="D125" s="20" t="n">
        <v>1</v>
      </c>
      <c r="E125" s="20" t="n">
        <v>5</v>
      </c>
      <c r="F125" s="20" t="n">
        <v>5</v>
      </c>
      <c r="G125" s="20" t="n">
        <v>4</v>
      </c>
      <c r="H125" s="20" t="n">
        <v>10</v>
      </c>
      <c r="I125" s="20" t="n">
        <v>7</v>
      </c>
      <c r="J125" s="20" t="n">
        <v>7</v>
      </c>
      <c r="K125" s="20" t="n">
        <v>8</v>
      </c>
      <c r="L125" s="20" t="n">
        <v>11</v>
      </c>
      <c r="M125" s="20" t="n">
        <v>5</v>
      </c>
      <c r="N125" s="20" t="n">
        <v>47</v>
      </c>
      <c r="T125" s="20" t="n">
        <v>16</v>
      </c>
      <c r="U125" s="20" t="n">
        <v>6</v>
      </c>
      <c r="V125" s="20" t="n">
        <v>1</v>
      </c>
      <c r="W125" s="20" t="n">
        <v>10</v>
      </c>
      <c r="X125" s="20" t="n">
        <v>11</v>
      </c>
    </row>
    <row r="126">
      <c r="A126" s="18" t="inlineStr">
        <is>
          <t>영업외비용 합계</t>
        </is>
      </c>
      <c r="C126" s="20" t="n">
        <v>15</v>
      </c>
      <c r="D126" s="20" t="n">
        <v>8</v>
      </c>
      <c r="E126" s="20" t="n">
        <v>32</v>
      </c>
      <c r="F126" s="20" t="n">
        <v>19</v>
      </c>
      <c r="G126" s="20" t="n">
        <v>34</v>
      </c>
      <c r="H126" s="20" t="n">
        <v>22</v>
      </c>
      <c r="I126" s="20" t="n">
        <v>142</v>
      </c>
      <c r="J126" s="20" t="n">
        <v>137</v>
      </c>
      <c r="K126" s="20" t="n">
        <v>-1</v>
      </c>
      <c r="L126" s="20" t="n">
        <v>-46</v>
      </c>
      <c r="M126" s="20" t="n">
        <v>233</v>
      </c>
      <c r="N126" s="20" t="n">
        <v>-43</v>
      </c>
      <c r="T126" s="20" t="n">
        <v>37</v>
      </c>
      <c r="U126" s="20" t="n">
        <v>13</v>
      </c>
      <c r="V126" s="20" t="n">
        <v>8</v>
      </c>
      <c r="W126" s="20" t="n">
        <v>22</v>
      </c>
      <c r="X126" s="20" t="n">
        <v>-46</v>
      </c>
    </row>
    <row r="127">
      <c r="A127" s="9" t="inlineStr">
        <is>
          <t>경상이익</t>
        </is>
      </c>
      <c r="C127" s="12" t="n">
        <v>1391</v>
      </c>
      <c r="D127" s="12" t="n">
        <v>1312</v>
      </c>
      <c r="E127" s="12" t="n">
        <v>1365</v>
      </c>
      <c r="F127" s="12" t="n">
        <v>1339</v>
      </c>
      <c r="G127" s="12" t="n">
        <v>769</v>
      </c>
      <c r="H127" s="12" t="n">
        <v>1638</v>
      </c>
      <c r="I127" s="12" t="n">
        <v>1682</v>
      </c>
      <c r="J127" s="12" t="n">
        <v>1811</v>
      </c>
      <c r="K127" s="12" t="n">
        <v>1291</v>
      </c>
      <c r="L127" s="12" t="n">
        <v>1644</v>
      </c>
      <c r="M127" s="12" t="n">
        <v>2215</v>
      </c>
      <c r="N127" s="12" t="n">
        <v>3232</v>
      </c>
      <c r="T127" s="12" t="n">
        <v>624</v>
      </c>
      <c r="U127" s="12" t="n">
        <v>717</v>
      </c>
      <c r="V127" s="12" t="n">
        <v>1312</v>
      </c>
      <c r="W127" s="12" t="n">
        <v>1638</v>
      </c>
      <c r="X127" s="12" t="n">
        <v>1644</v>
      </c>
    </row>
    <row r="128">
      <c r="A128" s="18" t="inlineStr">
        <is>
          <t>고정자산 매각이익</t>
        </is>
      </c>
      <c r="C128" s="20" t="n">
        <v>0</v>
      </c>
      <c r="D128" s="20" t="n">
        <v>4</v>
      </c>
      <c r="E128" s="20" t="n">
        <v>0</v>
      </c>
      <c r="F128" s="20" t="n">
        <v>876</v>
      </c>
      <c r="G128" s="20" t="n">
        <v>3</v>
      </c>
      <c r="H128" s="20" t="n">
        <v>0</v>
      </c>
      <c r="I128" s="20" t="n">
        <v>0</v>
      </c>
      <c r="J128" s="20" t="n">
        <v>0</v>
      </c>
      <c r="K128" s="20" t="n">
        <v>0</v>
      </c>
      <c r="L128" s="20" t="n">
        <v>20</v>
      </c>
      <c r="M128" s="20" t="n">
        <v>0</v>
      </c>
      <c r="N128" s="20" t="n">
        <v>4</v>
      </c>
      <c r="T128" s="20" t="n">
        <v>-1</v>
      </c>
      <c r="U128" s="20" t="n">
        <v>1541</v>
      </c>
      <c r="V128" s="20" t="n">
        <v>4</v>
      </c>
      <c r="W128" s="20" t="n">
        <v>0</v>
      </c>
      <c r="X128" s="20" t="n">
        <v>20</v>
      </c>
    </row>
    <row r="129">
      <c r="A129" s="18" t="inlineStr">
        <is>
          <t>투자유가증권 매각이익</t>
        </is>
      </c>
      <c r="C129" s="20" t="n">
        <v>0</v>
      </c>
      <c r="D129" s="20" t="n">
        <v>0</v>
      </c>
      <c r="G129" s="20" t="n">
        <v>793</v>
      </c>
      <c r="H129" s="20" t="n">
        <v>1623</v>
      </c>
      <c r="L129" s="20" t="n">
        <v>0</v>
      </c>
      <c r="T129" s="20" t="n">
        <v>0</v>
      </c>
      <c r="U129" s="20" t="n">
        <v>0</v>
      </c>
      <c r="V129" s="20" t="n">
        <v>0</v>
      </c>
      <c r="W129" s="20" t="n">
        <v>1623</v>
      </c>
      <c r="X129" s="20" t="n">
        <v>0</v>
      </c>
    </row>
    <row r="130">
      <c r="A130" s="18" t="inlineStr">
        <is>
          <t>특별이익 합계</t>
        </is>
      </c>
      <c r="C130" s="20" t="n">
        <v>1</v>
      </c>
      <c r="D130" s="20" t="n">
        <v>4</v>
      </c>
      <c r="E130" s="20" t="n">
        <v>0</v>
      </c>
      <c r="F130" s="20" t="n">
        <v>876</v>
      </c>
      <c r="G130" s="20" t="n">
        <v>796</v>
      </c>
      <c r="H130" s="20" t="n">
        <v>1623</v>
      </c>
      <c r="I130" s="20" t="n">
        <v>0</v>
      </c>
      <c r="J130" s="20" t="n">
        <v>0</v>
      </c>
      <c r="K130" s="20" t="n">
        <v>0</v>
      </c>
      <c r="L130" s="20" t="n">
        <v>20</v>
      </c>
      <c r="M130" s="20" t="n">
        <v>0</v>
      </c>
      <c r="N130" s="20" t="n">
        <v>4</v>
      </c>
      <c r="T130" s="20" t="n">
        <v>0</v>
      </c>
      <c r="U130" s="20" t="n">
        <v>1541</v>
      </c>
      <c r="V130" s="20" t="n">
        <v>4</v>
      </c>
      <c r="W130" s="20" t="n">
        <v>1623</v>
      </c>
      <c r="X130" s="20" t="n">
        <v>20</v>
      </c>
    </row>
    <row r="131">
      <c r="A131" s="18" t="inlineStr">
        <is>
          <t>고정자산 제각·매각손실</t>
        </is>
      </c>
      <c r="C131" s="20" t="n">
        <v>38</v>
      </c>
      <c r="D131" s="20" t="n">
        <v>29</v>
      </c>
      <c r="E131" s="20" t="n">
        <v>75</v>
      </c>
      <c r="F131" s="20" t="n">
        <v>23</v>
      </c>
      <c r="G131" s="20" t="n">
        <v>19</v>
      </c>
      <c r="H131" s="20" t="n">
        <v>81</v>
      </c>
      <c r="I131" s="20" t="n">
        <v>31</v>
      </c>
      <c r="J131" s="20" t="n">
        <v>15</v>
      </c>
      <c r="K131" s="20" t="n">
        <v>15</v>
      </c>
      <c r="L131" s="20" t="n">
        <v>85</v>
      </c>
      <c r="M131" s="20" t="n">
        <v>25</v>
      </c>
      <c r="N131" s="20" t="n">
        <v>31</v>
      </c>
      <c r="T131" s="20" t="n">
        <v>89</v>
      </c>
      <c r="U131" s="20" t="n">
        <v>52</v>
      </c>
      <c r="V131" s="20" t="n">
        <v>29</v>
      </c>
      <c r="W131" s="20" t="n">
        <v>81</v>
      </c>
      <c r="X131" s="20" t="n">
        <v>85</v>
      </c>
    </row>
    <row r="132">
      <c r="A132" s="18" t="inlineStr">
        <is>
          <t>투자유가증권 매각손실</t>
        </is>
      </c>
      <c r="C132" s="20" t="n">
        <v>0</v>
      </c>
      <c r="D132" s="20" t="n">
        <v>0</v>
      </c>
      <c r="G132" s="20" t="n">
        <v>0</v>
      </c>
      <c r="H132" s="20" t="n">
        <v>0</v>
      </c>
      <c r="U132" s="20" t="n">
        <v>0</v>
      </c>
      <c r="V132" s="20" t="n">
        <v>0</v>
      </c>
      <c r="W132" s="20" t="n">
        <v>0</v>
      </c>
    </row>
    <row r="133">
      <c r="A133" s="18" t="inlineStr">
        <is>
          <t>특별퇴직금</t>
        </is>
      </c>
      <c r="C133" s="20" t="n">
        <v>0</v>
      </c>
      <c r="D133" s="20" t="n">
        <v>0</v>
      </c>
      <c r="G133" s="20" t="n">
        <v>0</v>
      </c>
      <c r="H133" s="20" t="n">
        <v>0</v>
      </c>
      <c r="I133" s="20" t="n">
        <v>0</v>
      </c>
      <c r="J133" s="20" t="n">
        <v>0</v>
      </c>
      <c r="M133" s="20" t="n">
        <v>25</v>
      </c>
      <c r="N133" s="20" t="n">
        <v>1</v>
      </c>
      <c r="T133" s="20" t="n">
        <v>0</v>
      </c>
      <c r="U133" s="20" t="n">
        <v>1</v>
      </c>
      <c r="V133" s="20" t="n">
        <v>0</v>
      </c>
      <c r="W133" s="20" t="n">
        <v>0</v>
      </c>
    </row>
    <row r="134">
      <c r="A134" s="18" t="inlineStr">
        <is>
          <t>Plant Relocation Expense EL</t>
        </is>
      </c>
      <c r="C134" s="20" t="n">
        <v>0</v>
      </c>
      <c r="D134" s="20" t="n">
        <v>0</v>
      </c>
      <c r="E134" s="20" t="n">
        <v>130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0</v>
      </c>
      <c r="V134" s="20" t="n">
        <v>0</v>
      </c>
      <c r="W134" s="20" t="n">
        <v>0</v>
      </c>
      <c r="X134" s="20" t="n">
        <v>0</v>
      </c>
    </row>
    <row r="135">
      <c r="A135" s="18" t="inlineStr">
        <is>
          <t>특별손실 합계</t>
        </is>
      </c>
      <c r="C135" s="20" t="n">
        <v>38</v>
      </c>
      <c r="D135" s="20" t="n">
        <v>29</v>
      </c>
      <c r="E135" s="20" t="n">
        <v>206</v>
      </c>
      <c r="F135" s="20" t="n">
        <v>23</v>
      </c>
      <c r="G135" s="20" t="n">
        <v>19</v>
      </c>
      <c r="H135" s="20" t="n">
        <v>2158</v>
      </c>
      <c r="I135" s="20" t="n">
        <v>31</v>
      </c>
      <c r="J135" s="20" t="n">
        <v>15</v>
      </c>
      <c r="K135" s="20" t="n">
        <v>15</v>
      </c>
      <c r="L135" s="20" t="n">
        <v>1185</v>
      </c>
      <c r="M135" s="20" t="n">
        <v>51</v>
      </c>
      <c r="N135" s="20" t="n">
        <v>31</v>
      </c>
      <c r="T135" s="20" t="n">
        <v>858</v>
      </c>
      <c r="U135" s="20" t="n">
        <v>482</v>
      </c>
      <c r="V135" s="20" t="n">
        <v>29</v>
      </c>
      <c r="W135" s="20" t="n">
        <v>2158</v>
      </c>
      <c r="X135" s="20" t="n">
        <v>1185</v>
      </c>
    </row>
    <row r="136">
      <c r="A136" s="9" t="inlineStr">
        <is>
          <t>법인세차감전 순이익</t>
        </is>
      </c>
      <c r="C136" s="12" t="n">
        <v>1353</v>
      </c>
      <c r="D136" s="12" t="n">
        <v>1286</v>
      </c>
      <c r="E136" s="12" t="n">
        <v>1160</v>
      </c>
      <c r="F136" s="12" t="n">
        <v>2190</v>
      </c>
      <c r="G136" s="12" t="n">
        <v>1548</v>
      </c>
      <c r="H136" s="12" t="n">
        <v>1102</v>
      </c>
      <c r="I136" s="12" t="n">
        <v>1651</v>
      </c>
      <c r="J136" s="12" t="n">
        <v>1796</v>
      </c>
      <c r="K136" s="12" t="n">
        <v>1276</v>
      </c>
      <c r="L136" s="12" t="n">
        <v>478</v>
      </c>
      <c r="M136" s="12" t="n">
        <v>2165</v>
      </c>
      <c r="N136" s="12" t="n">
        <v>3204</v>
      </c>
      <c r="T136" s="12" t="n">
        <v>-233</v>
      </c>
      <c r="U136" s="12" t="n">
        <v>1776</v>
      </c>
      <c r="V136" s="12" t="n">
        <v>1286</v>
      </c>
      <c r="W136" s="12" t="n">
        <v>1102</v>
      </c>
      <c r="X136" s="12" t="n">
        <v>478</v>
      </c>
    </row>
    <row r="137">
      <c r="A137" s="18" t="inlineStr">
        <is>
          <t>법인세·주민세·사업세</t>
        </is>
      </c>
      <c r="C137" s="20" t="n">
        <v>568</v>
      </c>
      <c r="D137" s="20" t="n">
        <v>78</v>
      </c>
      <c r="E137" s="20" t="n">
        <v>497</v>
      </c>
      <c r="F137" s="20" t="n">
        <v>486</v>
      </c>
      <c r="G137" s="20" t="n">
        <v>784</v>
      </c>
      <c r="H137" s="20" t="n">
        <v>288</v>
      </c>
      <c r="I137" s="20" t="n">
        <v>371</v>
      </c>
      <c r="J137" s="20" t="n">
        <v>242</v>
      </c>
      <c r="K137" s="20" t="n">
        <v>573</v>
      </c>
      <c r="L137" s="20" t="n">
        <v>235</v>
      </c>
      <c r="M137" s="20" t="n">
        <v>849</v>
      </c>
      <c r="N137" s="20" t="n">
        <v>671</v>
      </c>
      <c r="T137" s="20" t="n">
        <v>-146</v>
      </c>
      <c r="U137" s="20" t="n">
        <v>276</v>
      </c>
      <c r="V137" s="20" t="n">
        <v>78</v>
      </c>
      <c r="W137" s="20" t="n">
        <v>288</v>
      </c>
      <c r="X137" s="20" t="n">
        <v>235</v>
      </c>
    </row>
    <row r="138">
      <c r="A138" s="18" t="inlineStr">
        <is>
          <t>법인세 조정액</t>
        </is>
      </c>
      <c r="C138" s="20" t="n">
        <v>-214</v>
      </c>
      <c r="D138" s="20" t="n">
        <v>194</v>
      </c>
      <c r="E138" s="20" t="n">
        <v>-194</v>
      </c>
      <c r="F138" s="20" t="n">
        <v>141</v>
      </c>
      <c r="G138" s="20" t="n">
        <v>-329</v>
      </c>
      <c r="H138" s="20" t="n">
        <v>-36</v>
      </c>
      <c r="I138" s="20" t="n">
        <v>27</v>
      </c>
      <c r="J138" s="20" t="n">
        <v>251</v>
      </c>
      <c r="K138" s="20" t="n">
        <v>-228</v>
      </c>
      <c r="L138" s="20" t="n">
        <v>-88</v>
      </c>
      <c r="M138" s="20" t="n">
        <v>-151</v>
      </c>
      <c r="N138" s="20" t="n">
        <v>276</v>
      </c>
      <c r="T138" s="20" t="n">
        <v>190</v>
      </c>
      <c r="U138" s="20" t="n">
        <v>273</v>
      </c>
      <c r="V138" s="20" t="n">
        <v>194</v>
      </c>
      <c r="W138" s="20" t="n">
        <v>-36</v>
      </c>
      <c r="X138" s="20" t="n">
        <v>-88</v>
      </c>
    </row>
    <row r="139">
      <c r="A139" s="18" t="inlineStr">
        <is>
          <t>법인세 등 합계</t>
        </is>
      </c>
      <c r="C139" s="20" t="n">
        <v>353</v>
      </c>
      <c r="D139" s="20" t="n">
        <v>273</v>
      </c>
      <c r="E139" s="20" t="n">
        <v>302</v>
      </c>
      <c r="F139" s="20" t="n">
        <v>628</v>
      </c>
      <c r="G139" s="20" t="n">
        <v>455</v>
      </c>
      <c r="H139" s="20" t="n">
        <v>251</v>
      </c>
      <c r="I139" s="20" t="n">
        <v>398</v>
      </c>
      <c r="J139" s="20" t="n">
        <v>494</v>
      </c>
      <c r="K139" s="20" t="n">
        <v>344</v>
      </c>
      <c r="L139" s="20" t="n">
        <v>147</v>
      </c>
      <c r="M139" s="20" t="n">
        <v>698</v>
      </c>
      <c r="N139" s="20" t="n">
        <v>948</v>
      </c>
      <c r="T139" s="20" t="n">
        <v>44</v>
      </c>
      <c r="U139" s="20" t="n">
        <v>551</v>
      </c>
      <c r="V139" s="20" t="n">
        <v>273</v>
      </c>
      <c r="W139" s="20" t="n">
        <v>251</v>
      </c>
      <c r="X139" s="20" t="n">
        <v>147</v>
      </c>
    </row>
    <row r="140">
      <c r="A140" s="9" t="inlineStr">
        <is>
          <t>순이익</t>
        </is>
      </c>
      <c r="C140" s="12" t="n">
        <v>999</v>
      </c>
      <c r="D140" s="12" t="n">
        <v>1014</v>
      </c>
      <c r="E140" s="12" t="n">
        <v>857</v>
      </c>
      <c r="F140" s="12" t="n">
        <v>1563</v>
      </c>
      <c r="G140" s="12" t="n">
        <v>1093</v>
      </c>
      <c r="H140" s="12" t="n">
        <v>851</v>
      </c>
      <c r="I140" s="12" t="n">
        <v>1252</v>
      </c>
      <c r="J140" s="12" t="n">
        <v>1302</v>
      </c>
      <c r="K140" s="12" t="n">
        <v>932</v>
      </c>
      <c r="L140" s="12" t="n">
        <v>332</v>
      </c>
      <c r="M140" s="12" t="n">
        <v>1466</v>
      </c>
      <c r="N140" s="12" t="n">
        <v>2256</v>
      </c>
      <c r="T140" s="12" t="n">
        <v>-277</v>
      </c>
      <c r="U140" s="12" t="n">
        <v>1225</v>
      </c>
      <c r="V140" s="12" t="n">
        <v>1014</v>
      </c>
      <c r="W140" s="12" t="n">
        <v>851</v>
      </c>
      <c r="X140" s="12" t="n">
        <v>332</v>
      </c>
    </row>
    <row r="141">
      <c r="A141" s="9" t="inlineStr">
        <is>
          <t>비지배주주 순손익</t>
        </is>
      </c>
      <c r="C141" s="12" t="n">
        <v>0</v>
      </c>
      <c r="D141" s="12" t="n">
        <v>1</v>
      </c>
      <c r="E141" s="12" t="n">
        <v>0</v>
      </c>
      <c r="F141" s="12" t="n">
        <v>1</v>
      </c>
      <c r="G141" s="12" t="n">
        <v>1</v>
      </c>
      <c r="H141" s="12" t="n">
        <v>2</v>
      </c>
      <c r="I141" s="12" t="n">
        <v>1</v>
      </c>
      <c r="J141" s="12" t="n">
        <v>1</v>
      </c>
      <c r="K141" s="12" t="n">
        <v>1</v>
      </c>
      <c r="L141" s="12" t="n">
        <v>0</v>
      </c>
      <c r="M141" s="12" t="n">
        <v>-7</v>
      </c>
      <c r="N141" s="12" t="n">
        <v>-4</v>
      </c>
      <c r="T141" s="12" t="n">
        <v>0</v>
      </c>
      <c r="U141" s="12" t="n">
        <v>0</v>
      </c>
      <c r="V141" s="12" t="n">
        <v>1</v>
      </c>
      <c r="W141" s="12" t="n">
        <v>2</v>
      </c>
      <c r="X141" s="12" t="n">
        <v>0</v>
      </c>
    </row>
    <row r="142">
      <c r="A142" s="9" t="inlineStr">
        <is>
          <t>지배주주 순이익</t>
        </is>
      </c>
      <c r="C142" s="12" t="n">
        <v>999</v>
      </c>
      <c r="D142" s="12" t="n">
        <v>1014</v>
      </c>
      <c r="E142" s="12" t="n">
        <v>856</v>
      </c>
      <c r="F142" s="12" t="n">
        <v>1562</v>
      </c>
      <c r="G142" s="12" t="n">
        <v>1092</v>
      </c>
      <c r="H142" s="12" t="n">
        <v>849</v>
      </c>
      <c r="I142" s="12" t="n">
        <v>1251</v>
      </c>
      <c r="J142" s="12" t="n">
        <v>1301</v>
      </c>
      <c r="K142" s="12" t="n">
        <v>930</v>
      </c>
      <c r="L142" s="12" t="n">
        <v>333</v>
      </c>
      <c r="M142" s="12" t="n">
        <v>1474</v>
      </c>
      <c r="N142" s="12" t="n">
        <v>2260</v>
      </c>
      <c r="T142" s="12" t="n">
        <v>-277</v>
      </c>
      <c r="U142" s="12" t="n">
        <v>1225</v>
      </c>
      <c r="V142" s="12" t="n">
        <v>1014</v>
      </c>
      <c r="W142" s="12" t="n">
        <v>849</v>
      </c>
      <c r="X142" s="12" t="n">
        <v>333</v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2023.3Q</t>
        </is>
      </c>
      <c r="D145" s="5" t="inlineStr">
        <is>
          <t>2023.4Q</t>
        </is>
      </c>
      <c r="E145" s="5" t="inlineStr">
        <is>
          <t>2024.1Q</t>
        </is>
      </c>
      <c r="F145" s="5" t="inlineStr">
        <is>
          <t>2024.2Q</t>
        </is>
      </c>
      <c r="G145" s="5" t="inlineStr">
        <is>
          <t>2024.3Q</t>
        </is>
      </c>
      <c r="H145" s="5" t="inlineStr">
        <is>
          <t>2024.4Q</t>
        </is>
      </c>
      <c r="I145" s="5" t="inlineStr">
        <is>
          <t>2025.1Q</t>
        </is>
      </c>
      <c r="J145" s="5" t="inlineStr">
        <is>
          <t>2025.2Q</t>
        </is>
      </c>
      <c r="K145" s="5" t="inlineStr">
        <is>
          <t>2025.3Q</t>
        </is>
      </c>
      <c r="L145" s="5" t="inlineStr">
        <is>
          <t>2025.4Q</t>
        </is>
      </c>
      <c r="M145" s="5" t="inlineStr">
        <is>
          <t>2026.1Q</t>
        </is>
      </c>
      <c r="N145" s="5" t="inlineStr">
        <is>
          <t>2026.2Q</t>
        </is>
      </c>
      <c r="O145" s="5" t="inlineStr">
        <is>
          <t>2016</t>
        </is>
      </c>
      <c r="P145" s="5" t="inlineStr">
        <is>
          <t>2017</t>
        </is>
      </c>
      <c r="Q145" s="5" t="inlineStr">
        <is>
          <t>2018</t>
        </is>
      </c>
      <c r="R145" s="5" t="inlineStr">
        <is>
          <t>2019</t>
        </is>
      </c>
      <c r="S145" s="5" t="inlineStr">
        <is>
          <t>2020</t>
        </is>
      </c>
      <c r="T145" s="5" t="inlineStr">
        <is>
          <t>2021</t>
        </is>
      </c>
      <c r="U145" s="5" t="inlineStr">
        <is>
          <t>2022</t>
        </is>
      </c>
      <c r="V145" s="5" t="inlineStr">
        <is>
          <t>2023</t>
        </is>
      </c>
      <c r="W145" s="5" t="inlineStr">
        <is>
          <t>2024</t>
        </is>
      </c>
      <c r="X145" s="5" t="inlineStr">
        <is>
          <t>2025</t>
        </is>
      </c>
      <c r="Y145" s="5" t="inlineStr">
        <is>
          <t>2026(MW)</t>
        </is>
      </c>
      <c r="Z145" s="5" t="inlineStr">
        <is>
          <t>2027(MW)</t>
        </is>
      </c>
      <c r="AA145" s="5" t="inlineStr">
        <is>
          <t>2028(MW)</t>
        </is>
      </c>
      <c r="AB145" s="5" t="inlineStr">
        <is>
          <t>2029(MW)</t>
        </is>
      </c>
      <c r="AC145" s="5" t="inlineStr">
        <is>
          <t>2030(MW)</t>
        </is>
      </c>
    </row>
    <row r="146">
      <c r="A146" s="9" t="inlineStr">
        <is>
          <t>순이익</t>
        </is>
      </c>
      <c r="C146" s="12" t="n">
        <v>999</v>
      </c>
      <c r="D146" s="12" t="n">
        <v>1014</v>
      </c>
      <c r="E146" s="12" t="n">
        <v>857</v>
      </c>
      <c r="F146" s="12" t="n">
        <v>1563</v>
      </c>
      <c r="G146" s="12" t="n">
        <v>1093</v>
      </c>
      <c r="H146" s="12" t="n">
        <v>851</v>
      </c>
      <c r="I146" s="12" t="n">
        <v>1252</v>
      </c>
      <c r="J146" s="12" t="n">
        <v>1302</v>
      </c>
      <c r="K146" s="12" t="n">
        <v>932</v>
      </c>
      <c r="L146" s="12" t="n">
        <v>332</v>
      </c>
      <c r="M146" s="12" t="n">
        <v>1466</v>
      </c>
      <c r="N146" s="12" t="n">
        <v>2256</v>
      </c>
      <c r="T146" s="12" t="n">
        <v>-277</v>
      </c>
      <c r="U146" s="12" t="n">
        <v>1225</v>
      </c>
      <c r="V146" s="12" t="n">
        <v>1014</v>
      </c>
      <c r="W146" s="12" t="n">
        <v>851</v>
      </c>
      <c r="X146" s="12" t="n">
        <v>332</v>
      </c>
    </row>
    <row r="147">
      <c r="A147" s="18" t="inlineStr">
        <is>
          <t>기타유가증권 평가차액</t>
        </is>
      </c>
      <c r="C147" s="20" t="n">
        <v>275</v>
      </c>
      <c r="D147" s="20" t="n">
        <v>146</v>
      </c>
      <c r="E147" s="20" t="n">
        <v>1185</v>
      </c>
      <c r="F147" s="20" t="n">
        <v>509</v>
      </c>
      <c r="G147" s="20" t="n">
        <v>878</v>
      </c>
      <c r="H147" s="20" t="n">
        <v>-2573</v>
      </c>
      <c r="I147" s="20" t="n">
        <v>-715</v>
      </c>
      <c r="J147" s="20" t="n">
        <v>-128</v>
      </c>
      <c r="K147" s="20" t="n">
        <v>1013</v>
      </c>
      <c r="L147" s="20" t="n">
        <v>-107</v>
      </c>
      <c r="M147" s="20" t="n">
        <v>-106</v>
      </c>
      <c r="N147" s="20" t="n">
        <v>46</v>
      </c>
      <c r="T147" s="20" t="n">
        <v>98</v>
      </c>
      <c r="U147" s="20" t="n">
        <v>213</v>
      </c>
      <c r="V147" s="20" t="n">
        <v>146</v>
      </c>
      <c r="W147" s="20" t="n">
        <v>-2573</v>
      </c>
      <c r="X147" s="20" t="n">
        <v>-107</v>
      </c>
    </row>
    <row r="148">
      <c r="A148" s="18" t="inlineStr">
        <is>
          <t>해외사업환산조정</t>
        </is>
      </c>
      <c r="C148" s="20" t="n">
        <v>9</v>
      </c>
      <c r="D148" s="20" t="n">
        <v>-10</v>
      </c>
      <c r="E148" s="20" t="n">
        <v>18</v>
      </c>
      <c r="F148" s="20" t="n">
        <v>25</v>
      </c>
      <c r="G148" s="20" t="n">
        <v>-33</v>
      </c>
      <c r="H148" s="20" t="n">
        <v>25</v>
      </c>
      <c r="I148" s="20" t="n">
        <v>-26</v>
      </c>
      <c r="J148" s="20" t="n">
        <v>-9</v>
      </c>
      <c r="K148" s="20" t="n">
        <v>16</v>
      </c>
      <c r="L148" s="20" t="n">
        <v>35</v>
      </c>
      <c r="M148" s="20" t="n">
        <v>17</v>
      </c>
      <c r="N148" s="20" t="n">
        <v>37</v>
      </c>
      <c r="T148" s="20" t="n">
        <v>15</v>
      </c>
      <c r="U148" s="20" t="n">
        <v>-28</v>
      </c>
      <c r="V148" s="20" t="n">
        <v>-10</v>
      </c>
      <c r="W148" s="20" t="n">
        <v>25</v>
      </c>
      <c r="X148" s="20" t="n">
        <v>35</v>
      </c>
    </row>
    <row r="149">
      <c r="A149" s="18" t="inlineStr">
        <is>
          <t>퇴직급여 조정액</t>
        </is>
      </c>
      <c r="C149" s="20" t="n">
        <v>3</v>
      </c>
      <c r="D149" s="20" t="n">
        <v>131</v>
      </c>
      <c r="E149" s="20" t="n">
        <v>1</v>
      </c>
      <c r="F149" s="20" t="n">
        <v>1</v>
      </c>
      <c r="G149" s="20" t="n">
        <v>1</v>
      </c>
      <c r="H149" s="20" t="n">
        <v>59</v>
      </c>
      <c r="I149" s="20" t="n">
        <v>-1</v>
      </c>
      <c r="J149" s="20" t="n">
        <v>-2</v>
      </c>
      <c r="K149" s="20" t="n">
        <v>-2</v>
      </c>
      <c r="L149" s="20" t="n">
        <v>675</v>
      </c>
      <c r="M149" s="20" t="n">
        <v>-13</v>
      </c>
      <c r="N149" s="20" t="n">
        <v>-15</v>
      </c>
      <c r="T149" s="20" t="n">
        <v>102</v>
      </c>
      <c r="U149" s="20" t="n">
        <v>-189</v>
      </c>
      <c r="V149" s="20" t="n">
        <v>131</v>
      </c>
      <c r="W149" s="20" t="n">
        <v>59</v>
      </c>
      <c r="X149" s="20" t="n">
        <v>675</v>
      </c>
    </row>
    <row r="150">
      <c r="A150" s="18" t="inlineStr">
        <is>
          <t>기타포괄손익 합계</t>
        </is>
      </c>
      <c r="C150" s="20" t="n">
        <v>287</v>
      </c>
      <c r="D150" s="20" t="n">
        <v>267</v>
      </c>
      <c r="E150" s="20" t="n">
        <v>1205</v>
      </c>
      <c r="F150" s="20" t="n">
        <v>535</v>
      </c>
      <c r="G150" s="20" t="n">
        <v>846</v>
      </c>
      <c r="H150" s="20" t="n">
        <v>-2489</v>
      </c>
      <c r="I150" s="20" t="n">
        <v>-743</v>
      </c>
      <c r="J150" s="20" t="n">
        <v>-139</v>
      </c>
      <c r="K150" s="20" t="n">
        <v>1028</v>
      </c>
      <c r="L150" s="20" t="n">
        <v>604</v>
      </c>
      <c r="M150" s="20" t="n">
        <v>-103</v>
      </c>
      <c r="N150" s="20" t="n">
        <v>69</v>
      </c>
      <c r="T150" s="20" t="n">
        <v>216</v>
      </c>
      <c r="U150" s="20" t="n">
        <v>-4</v>
      </c>
      <c r="V150" s="20" t="n">
        <v>267</v>
      </c>
      <c r="W150" s="20" t="n">
        <v>-2489</v>
      </c>
      <c r="X150" s="20" t="n">
        <v>604</v>
      </c>
    </row>
    <row r="151">
      <c r="A151" s="9" t="inlineStr">
        <is>
          <t>포괄이익</t>
        </is>
      </c>
      <c r="C151" s="12" t="n">
        <v>1287</v>
      </c>
      <c r="D151" s="12" t="n">
        <v>1281</v>
      </c>
      <c r="E151" s="12" t="n">
        <v>2063</v>
      </c>
      <c r="F151" s="12" t="n">
        <v>2098</v>
      </c>
      <c r="G151" s="12" t="n">
        <v>1939</v>
      </c>
      <c r="H151" s="12" t="n">
        <v>-1639</v>
      </c>
      <c r="I151" s="12" t="n">
        <v>509</v>
      </c>
      <c r="J151" s="12" t="n">
        <v>1162</v>
      </c>
      <c r="K151" s="12" t="n">
        <v>1962</v>
      </c>
      <c r="L151" s="12" t="n">
        <v>935</v>
      </c>
      <c r="M151" s="12" t="n">
        <v>1363</v>
      </c>
      <c r="N151" s="12" t="n">
        <v>2325</v>
      </c>
      <c r="T151" s="12" t="n">
        <v>-62</v>
      </c>
      <c r="U151" s="12" t="n">
        <v>1222</v>
      </c>
      <c r="V151" s="12" t="n">
        <v>1281</v>
      </c>
      <c r="W151" s="12" t="n">
        <v>-1639</v>
      </c>
      <c r="X151" s="12" t="n">
        <v>935</v>
      </c>
    </row>
    <row r="152">
      <c r="A152" s="9" t="inlineStr">
        <is>
          <t>지배주주 포괄이익</t>
        </is>
      </c>
      <c r="C152" s="12" t="n">
        <v>1287</v>
      </c>
      <c r="D152" s="12" t="n">
        <v>1281</v>
      </c>
      <c r="E152" s="12" t="n">
        <v>2061</v>
      </c>
      <c r="F152" s="12" t="n">
        <v>2095</v>
      </c>
      <c r="G152" s="12" t="n">
        <v>1940</v>
      </c>
      <c r="H152" s="12" t="n">
        <v>-1642</v>
      </c>
      <c r="I152" s="12" t="n">
        <v>509</v>
      </c>
      <c r="J152" s="12" t="n">
        <v>1162</v>
      </c>
      <c r="K152" s="12" t="n">
        <v>1959</v>
      </c>
      <c r="L152" s="12" t="n">
        <v>934</v>
      </c>
      <c r="M152" s="12" t="n">
        <v>1370</v>
      </c>
      <c r="N152" s="12" t="n">
        <v>2325</v>
      </c>
      <c r="T152" s="12" t="n">
        <v>-62</v>
      </c>
      <c r="U152" s="12" t="n">
        <v>1223</v>
      </c>
      <c r="V152" s="12" t="n">
        <v>1281</v>
      </c>
      <c r="W152" s="12" t="n">
        <v>-1642</v>
      </c>
      <c r="X152" s="12" t="n">
        <v>934</v>
      </c>
    </row>
    <row r="153">
      <c r="A153" s="9" t="inlineStr">
        <is>
          <t>비지배주주 포괄이익</t>
        </is>
      </c>
      <c r="C153" s="12" t="n">
        <v>1</v>
      </c>
      <c r="D153" s="12" t="n">
        <v>0</v>
      </c>
      <c r="E153" s="12" t="n">
        <v>1</v>
      </c>
      <c r="F153" s="12" t="n">
        <v>3</v>
      </c>
      <c r="G153" s="12" t="n">
        <v>-1</v>
      </c>
      <c r="H153" s="12" t="n">
        <v>3</v>
      </c>
      <c r="I153" s="12" t="n">
        <v>-0</v>
      </c>
      <c r="J153" s="12" t="n">
        <v>0</v>
      </c>
      <c r="K153" s="12" t="n">
        <v>2</v>
      </c>
      <c r="L153" s="12" t="n">
        <v>2</v>
      </c>
      <c r="M153" s="12" t="n">
        <v>-6</v>
      </c>
      <c r="N153" s="12" t="n">
        <v>-1</v>
      </c>
      <c r="T153" s="12" t="n">
        <v>1</v>
      </c>
      <c r="U153" s="12" t="n">
        <v>-1</v>
      </c>
      <c r="V153" s="12" t="n">
        <v>0</v>
      </c>
      <c r="W153" s="12" t="n">
        <v>3</v>
      </c>
      <c r="X153" s="12" t="n">
        <v>2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2023.3Q</t>
        </is>
      </c>
      <c r="D156" s="5" t="inlineStr">
        <is>
          <t>2023.4Q</t>
        </is>
      </c>
      <c r="E156" s="5" t="inlineStr">
        <is>
          <t>2024.1Q</t>
        </is>
      </c>
      <c r="F156" s="5" t="inlineStr">
        <is>
          <t>2024.2Q</t>
        </is>
      </c>
      <c r="G156" s="5" t="inlineStr">
        <is>
          <t>2024.3Q</t>
        </is>
      </c>
      <c r="H156" s="5" t="inlineStr">
        <is>
          <t>2024.4Q</t>
        </is>
      </c>
      <c r="I156" s="5" t="inlineStr">
        <is>
          <t>2025.1Q</t>
        </is>
      </c>
      <c r="J156" s="5" t="inlineStr">
        <is>
          <t>2025.2Q</t>
        </is>
      </c>
      <c r="K156" s="5" t="inlineStr">
        <is>
          <t>2025.3Q</t>
        </is>
      </c>
      <c r="L156" s="5" t="inlineStr">
        <is>
          <t>2025.4Q</t>
        </is>
      </c>
      <c r="M156" s="5" t="inlineStr">
        <is>
          <t>2026.1Q</t>
        </is>
      </c>
      <c r="N156" s="5" t="inlineStr">
        <is>
          <t>2026.2Q</t>
        </is>
      </c>
      <c r="O156" s="5" t="inlineStr">
        <is>
          <t>2016</t>
        </is>
      </c>
      <c r="P156" s="5" t="inlineStr">
        <is>
          <t>2017</t>
        </is>
      </c>
      <c r="Q156" s="5" t="inlineStr">
        <is>
          <t>2018</t>
        </is>
      </c>
      <c r="R156" s="5" t="inlineStr">
        <is>
          <t>2019</t>
        </is>
      </c>
      <c r="S156" s="5" t="inlineStr">
        <is>
          <t>2020</t>
        </is>
      </c>
      <c r="T156" s="5" t="inlineStr">
        <is>
          <t>2021</t>
        </is>
      </c>
      <c r="U156" s="5" t="inlineStr">
        <is>
          <t>2022</t>
        </is>
      </c>
      <c r="V156" s="5" t="inlineStr">
        <is>
          <t>2023</t>
        </is>
      </c>
      <c r="W156" s="5" t="inlineStr">
        <is>
          <t>2024</t>
        </is>
      </c>
      <c r="X156" s="5" t="inlineStr">
        <is>
          <t>2025</t>
        </is>
      </c>
      <c r="Y156" s="5" t="inlineStr">
        <is>
          <t>2026(MW)</t>
        </is>
      </c>
      <c r="Z156" s="5" t="inlineStr">
        <is>
          <t>2027(MW)</t>
        </is>
      </c>
      <c r="AA156" s="5" t="inlineStr">
        <is>
          <t>2028(MW)</t>
        </is>
      </c>
      <c r="AB156" s="5" t="inlineStr">
        <is>
          <t>2029(MW)</t>
        </is>
      </c>
      <c r="AC156" s="5" t="inlineStr">
        <is>
          <t>2030(MW)</t>
        </is>
      </c>
    </row>
    <row r="157">
      <c r="A157" s="18" t="inlineStr">
        <is>
          <t>SyntheticResinBusinessReportableSegmentsMember · 외부 고객 매출</t>
        </is>
      </c>
      <c r="C157" s="20" t="n">
        <v>12427</v>
      </c>
      <c r="D157" s="20" t="n">
        <v>12819</v>
      </c>
      <c r="G157" s="20" t="n">
        <v>12927</v>
      </c>
      <c r="H157" s="20" t="n">
        <v>13570</v>
      </c>
      <c r="K157" s="20" t="n">
        <v>12874</v>
      </c>
      <c r="L157" s="20" t="n">
        <v>13384</v>
      </c>
      <c r="V157" s="20" t="n">
        <v>12819</v>
      </c>
      <c r="W157" s="20" t="n">
        <v>13570</v>
      </c>
      <c r="X157" s="20" t="n">
        <v>13384</v>
      </c>
    </row>
    <row r="158">
      <c r="A158" s="18" t="inlineStr">
        <is>
          <t>NewMaterialBusinessReportableSegmentsMember · 외부 고객 매출</t>
        </is>
      </c>
      <c r="C158" s="20" t="n">
        <v>3587</v>
      </c>
      <c r="D158" s="20" t="n">
        <v>3644</v>
      </c>
      <c r="G158" s="20" t="n">
        <v>3292</v>
      </c>
      <c r="H158" s="20" t="n">
        <v>4223</v>
      </c>
      <c r="K158" s="20" t="n">
        <v>4061</v>
      </c>
      <c r="L158" s="20" t="n">
        <v>5141</v>
      </c>
      <c r="V158" s="20" t="n">
        <v>3644</v>
      </c>
      <c r="W158" s="20" t="n">
        <v>4223</v>
      </c>
      <c r="X158" s="20" t="n">
        <v>5141</v>
      </c>
    </row>
    <row r="159">
      <c r="A159" s="18" t="inlineStr">
        <is>
          <t>ConstructionMaterialBusinessReportableSegmentsMember · 외부 고객 매출</t>
        </is>
      </c>
      <c r="C159" s="20" t="n">
        <v>2966</v>
      </c>
      <c r="D159" s="20" t="n">
        <v>3279</v>
      </c>
      <c r="G159" s="20" t="n">
        <v>3250</v>
      </c>
      <c r="H159" s="20" t="n">
        <v>3562</v>
      </c>
      <c r="K159" s="20" t="n">
        <v>3272</v>
      </c>
      <c r="L159" s="20" t="n">
        <v>3396</v>
      </c>
      <c r="V159" s="20" t="n">
        <v>3279</v>
      </c>
      <c r="W159" s="20" t="n">
        <v>3562</v>
      </c>
      <c r="X159" s="20" t="n">
        <v>3396</v>
      </c>
    </row>
    <row r="160">
      <c r="A160" s="18" t="inlineStr">
        <is>
          <t>보고부문 합계 · 외부 고객 매출</t>
        </is>
      </c>
      <c r="C160" s="20" t="n">
        <v>18980</v>
      </c>
      <c r="D160" s="20" t="n">
        <v>19743</v>
      </c>
      <c r="E160" s="20" t="n">
        <v>19075</v>
      </c>
      <c r="F160" s="20" t="n">
        <v>19433</v>
      </c>
      <c r="G160" s="20" t="n">
        <v>19469</v>
      </c>
      <c r="H160" s="20" t="n">
        <v>21354</v>
      </c>
      <c r="I160" s="20" t="n">
        <v>21258</v>
      </c>
      <c r="J160" s="20" t="n">
        <v>21399</v>
      </c>
      <c r="K160" s="20" t="n">
        <v>20208</v>
      </c>
      <c r="L160" s="20" t="n">
        <v>21920</v>
      </c>
      <c r="M160" s="20" t="n">
        <v>23557</v>
      </c>
      <c r="N160" s="20" t="n">
        <v>27961</v>
      </c>
      <c r="V160" s="20" t="n">
        <v>19743</v>
      </c>
      <c r="W160" s="20" t="n">
        <v>21354</v>
      </c>
      <c r="X160" s="20" t="n">
        <v>21920</v>
      </c>
    </row>
    <row r="161">
      <c r="A161" s="18" t="inlineStr">
        <is>
          <t>기타 · 외부 고객 매출</t>
        </is>
      </c>
      <c r="C161" s="20" t="n">
        <v>380</v>
      </c>
      <c r="D161" s="20" t="n">
        <v>422</v>
      </c>
      <c r="E161" s="20" t="n">
        <v>428</v>
      </c>
      <c r="F161" s="20" t="n">
        <v>463</v>
      </c>
      <c r="G161" s="20" t="n">
        <v>471</v>
      </c>
      <c r="H161" s="20" t="n">
        <v>498</v>
      </c>
      <c r="I161" s="20" t="n">
        <v>428</v>
      </c>
      <c r="J161" s="20" t="n">
        <v>466</v>
      </c>
      <c r="K161" s="20" t="n">
        <v>474</v>
      </c>
      <c r="L161" s="20" t="n">
        <v>504</v>
      </c>
      <c r="M161" s="20" t="n">
        <v>469</v>
      </c>
      <c r="N161" s="20" t="n">
        <v>511</v>
      </c>
      <c r="V161" s="20" t="n">
        <v>422</v>
      </c>
      <c r="W161" s="20" t="n">
        <v>498</v>
      </c>
      <c r="X161" s="20" t="n">
        <v>504</v>
      </c>
    </row>
    <row r="162">
      <c r="A162" s="18" t="inlineStr">
        <is>
          <t>합계 · 외부 고객 매출</t>
        </is>
      </c>
      <c r="C162" s="20" t="n">
        <v>19361</v>
      </c>
      <c r="D162" s="20" t="n">
        <v>20165</v>
      </c>
      <c r="E162" s="20" t="n">
        <v>19504</v>
      </c>
      <c r="F162" s="20" t="n">
        <v>19896</v>
      </c>
      <c r="G162" s="20" t="n">
        <v>19939</v>
      </c>
      <c r="H162" s="20" t="n">
        <v>21853</v>
      </c>
      <c r="I162" s="20" t="n">
        <v>21686</v>
      </c>
      <c r="J162" s="20" t="n">
        <v>21865</v>
      </c>
      <c r="K162" s="20" t="n">
        <v>20682</v>
      </c>
      <c r="L162" s="20" t="n">
        <v>22425</v>
      </c>
      <c r="M162" s="20" t="n">
        <v>24026</v>
      </c>
      <c r="N162" s="20" t="n">
        <v>28473</v>
      </c>
      <c r="V162" s="20" t="n">
        <v>20165</v>
      </c>
      <c r="W162" s="20" t="n">
        <v>21853</v>
      </c>
      <c r="X162" s="20" t="n">
        <v>22425</v>
      </c>
    </row>
    <row r="163">
      <c r="A163" s="18" t="inlineStr">
        <is>
          <t>조정액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18" t="inlineStr">
        <is>
          <t>EntityTotalMember · 외부 고객 매출</t>
        </is>
      </c>
      <c r="I164" s="20" t="n">
        <v>21686</v>
      </c>
      <c r="M164" s="20" t="n">
        <v>24026</v>
      </c>
    </row>
    <row r="165">
      <c r="A165" s="18" t="inlineStr">
        <is>
          <t>PlasticReportableSegmentsMember · 부문 간 내부매출·대체</t>
        </is>
      </c>
      <c r="E165" s="20" t="n">
        <v>0</v>
      </c>
      <c r="I165" s="20" t="n">
        <v>1</v>
      </c>
      <c r="M165" s="20" t="n">
        <v>21</v>
      </c>
    </row>
    <row r="166">
      <c r="A166" s="18" t="inlineStr">
        <is>
          <t>NewMaterialReportableSegmentsMember · 부문 간 내부매출·대체</t>
        </is>
      </c>
      <c r="E166" s="20" t="n">
        <v>0</v>
      </c>
      <c r="I166" s="20" t="n">
        <v>0</v>
      </c>
      <c r="M166" s="20" t="n">
        <v>110</v>
      </c>
    </row>
    <row r="167">
      <c r="A167" s="18" t="inlineStr">
        <is>
          <t>ConstructionMaterialReportableSegmentsMember · 부문 간 내부매출·대체</t>
        </is>
      </c>
      <c r="E167" s="20" t="n">
        <v>8</v>
      </c>
      <c r="I167" s="20" t="n">
        <v>0</v>
      </c>
      <c r="M167" s="20" t="n">
        <v>1</v>
      </c>
    </row>
    <row r="168">
      <c r="A168" s="9" t="inlineStr">
        <is>
          <t>외부 고객 매출</t>
        </is>
      </c>
      <c r="C168" s="12" t="n">
        <v>19361</v>
      </c>
      <c r="D168" s="12" t="n">
        <v>20165</v>
      </c>
      <c r="E168" s="12" t="n">
        <v>19504</v>
      </c>
      <c r="F168" s="12" t="n">
        <v>19896</v>
      </c>
      <c r="G168" s="12" t="n">
        <v>19939</v>
      </c>
      <c r="H168" s="12" t="n">
        <v>21853</v>
      </c>
      <c r="I168" s="12" t="n">
        <v>21686</v>
      </c>
      <c r="J168" s="12" t="n">
        <v>21865</v>
      </c>
      <c r="K168" s="12" t="n">
        <v>20682</v>
      </c>
      <c r="L168" s="12" t="n">
        <v>22425</v>
      </c>
      <c r="V168" s="12" t="n">
        <v>20165</v>
      </c>
      <c r="W168" s="12" t="n">
        <v>21853</v>
      </c>
      <c r="X168" s="12" t="n">
        <v>22425</v>
      </c>
    </row>
    <row r="169">
      <c r="A169" s="18" t="inlineStr">
        <is>
          <t>SyntheticResinBusinessReportableSegmentsMember · 부문 간 내부매출·대체</t>
        </is>
      </c>
      <c r="C169" s="20" t="n">
        <v>1</v>
      </c>
      <c r="D169" s="20" t="n">
        <v>0</v>
      </c>
      <c r="G169" s="20" t="n">
        <v>1</v>
      </c>
      <c r="H169" s="20" t="n">
        <v>2</v>
      </c>
      <c r="K169" s="20" t="n">
        <v>1</v>
      </c>
      <c r="L169" s="20" t="n">
        <v>2</v>
      </c>
      <c r="V169" s="20" t="n">
        <v>0</v>
      </c>
      <c r="W169" s="20" t="n">
        <v>2</v>
      </c>
      <c r="X169" s="20" t="n">
        <v>2</v>
      </c>
    </row>
    <row r="170">
      <c r="A170" s="18" t="inlineStr">
        <is>
          <t>NewMaterialBusinessReportableSegmentsMember · 부문 간 내부매출·대체</t>
        </is>
      </c>
      <c r="C170" s="20" t="n">
        <v>0</v>
      </c>
      <c r="D170" s="20" t="n">
        <v>0</v>
      </c>
      <c r="G170" s="20" t="n">
        <v>0</v>
      </c>
      <c r="H170" s="20" t="n">
        <v>0</v>
      </c>
      <c r="K170" s="20" t="n">
        <v>0</v>
      </c>
      <c r="L170" s="20" t="n">
        <v>0</v>
      </c>
      <c r="V170" s="20" t="n">
        <v>0</v>
      </c>
      <c r="W170" s="20" t="n">
        <v>0</v>
      </c>
      <c r="X170" s="20" t="n">
        <v>0</v>
      </c>
    </row>
    <row r="171">
      <c r="A171" s="18" t="inlineStr">
        <is>
          <t>ConstructionMaterialBusinessReportableSegmentsMember · 부문 간 내부매출·대체</t>
        </is>
      </c>
      <c r="C171" s="20" t="n">
        <v>0</v>
      </c>
      <c r="D171" s="20" t="n">
        <v>1</v>
      </c>
      <c r="G171" s="20" t="n">
        <v>3</v>
      </c>
      <c r="H171" s="20" t="n">
        <v>7</v>
      </c>
      <c r="K171" s="20" t="n">
        <v>35</v>
      </c>
      <c r="L171" s="20" t="n">
        <v>18</v>
      </c>
      <c r="V171" s="20" t="n">
        <v>1</v>
      </c>
      <c r="W171" s="20" t="n">
        <v>7</v>
      </c>
      <c r="X171" s="20" t="n">
        <v>18</v>
      </c>
    </row>
    <row r="172">
      <c r="A172" s="18" t="inlineStr">
        <is>
          <t>보고부문 합계 · 부문 간 내부매출·대체</t>
        </is>
      </c>
      <c r="C172" s="20" t="n">
        <v>1</v>
      </c>
      <c r="D172" s="20" t="n">
        <v>2</v>
      </c>
      <c r="E172" s="20" t="n">
        <v>9</v>
      </c>
      <c r="F172" s="20" t="n">
        <v>9</v>
      </c>
      <c r="G172" s="20" t="n">
        <v>4</v>
      </c>
      <c r="H172" s="20" t="n">
        <v>9</v>
      </c>
      <c r="I172" s="20" t="n">
        <v>2</v>
      </c>
      <c r="J172" s="20" t="n">
        <v>60</v>
      </c>
      <c r="K172" s="20" t="n">
        <v>37</v>
      </c>
      <c r="L172" s="20" t="n">
        <v>19</v>
      </c>
      <c r="M172" s="20" t="n">
        <v>133</v>
      </c>
      <c r="N172" s="20" t="n">
        <v>194</v>
      </c>
      <c r="V172" s="20" t="n">
        <v>2</v>
      </c>
      <c r="W172" s="20" t="n">
        <v>9</v>
      </c>
      <c r="X172" s="20" t="n">
        <v>19</v>
      </c>
    </row>
    <row r="173">
      <c r="A173" s="18" t="inlineStr">
        <is>
          <t>기타 · 부문 간 내부매출·대체</t>
        </is>
      </c>
      <c r="C173" s="20" t="n">
        <v>204</v>
      </c>
      <c r="D173" s="20" t="n">
        <v>223</v>
      </c>
      <c r="E173" s="20" t="n">
        <v>200</v>
      </c>
      <c r="F173" s="20" t="n">
        <v>199</v>
      </c>
      <c r="G173" s="20" t="n">
        <v>196</v>
      </c>
      <c r="H173" s="20" t="n">
        <v>241</v>
      </c>
      <c r="I173" s="20" t="n">
        <v>195</v>
      </c>
      <c r="J173" s="20" t="n">
        <v>222</v>
      </c>
      <c r="K173" s="20" t="n">
        <v>210</v>
      </c>
      <c r="L173" s="20" t="n">
        <v>226</v>
      </c>
      <c r="M173" s="20" t="n">
        <v>306</v>
      </c>
      <c r="N173" s="20" t="n">
        <v>307</v>
      </c>
      <c r="V173" s="20" t="n">
        <v>223</v>
      </c>
      <c r="W173" s="20" t="n">
        <v>241</v>
      </c>
      <c r="X173" s="20" t="n">
        <v>226</v>
      </c>
    </row>
    <row r="174">
      <c r="A174" s="18" t="inlineStr">
        <is>
          <t>합계 · 부문 간 내부매출·대체</t>
        </is>
      </c>
      <c r="C174" s="20" t="n">
        <v>206</v>
      </c>
      <c r="D174" s="20" t="n">
        <v>225</v>
      </c>
      <c r="E174" s="20" t="n">
        <v>210</v>
      </c>
      <c r="F174" s="20" t="n">
        <v>208</v>
      </c>
      <c r="G174" s="20" t="n">
        <v>200</v>
      </c>
      <c r="H174" s="20" t="n">
        <v>249</v>
      </c>
      <c r="I174" s="20" t="n">
        <v>197</v>
      </c>
      <c r="J174" s="20" t="n">
        <v>283</v>
      </c>
      <c r="K174" s="20" t="n">
        <v>246</v>
      </c>
      <c r="L174" s="20" t="n">
        <v>246</v>
      </c>
      <c r="M174" s="20" t="n">
        <v>439</v>
      </c>
      <c r="N174" s="20" t="n">
        <v>501</v>
      </c>
      <c r="V174" s="20" t="n">
        <v>225</v>
      </c>
      <c r="W174" s="20" t="n">
        <v>249</v>
      </c>
      <c r="X174" s="20" t="n">
        <v>246</v>
      </c>
    </row>
    <row r="175">
      <c r="A175" s="18" t="inlineStr">
        <is>
          <t>조정액 · 부문 간 내부매출·대체</t>
        </is>
      </c>
      <c r="C175" s="20" t="n">
        <v>-206</v>
      </c>
      <c r="D175" s="20" t="n">
        <v>-225</v>
      </c>
      <c r="E175" s="20" t="n">
        <v>-210</v>
      </c>
      <c r="F175" s="20" t="n">
        <v>-208</v>
      </c>
      <c r="G175" s="20" t="n">
        <v>-200</v>
      </c>
      <c r="H175" s="20" t="n">
        <v>-249</v>
      </c>
      <c r="I175" s="20" t="n">
        <v>-197</v>
      </c>
      <c r="J175" s="20" t="n">
        <v>-283</v>
      </c>
      <c r="K175" s="20" t="n">
        <v>-246</v>
      </c>
      <c r="L175" s="20" t="n">
        <v>-246</v>
      </c>
      <c r="M175" s="20" t="n">
        <v>-439</v>
      </c>
      <c r="N175" s="20" t="n">
        <v>-501</v>
      </c>
      <c r="V175" s="20" t="n">
        <v>-225</v>
      </c>
      <c r="W175" s="20" t="n">
        <v>-249</v>
      </c>
      <c r="X175" s="20" t="n">
        <v>-246</v>
      </c>
    </row>
    <row r="176">
      <c r="A176" s="18" t="inlineStr">
        <is>
          <t>EntityTotalMember · 부문 간 내부매출·대체</t>
        </is>
      </c>
      <c r="I176" s="20" t="n">
        <v>0</v>
      </c>
      <c r="M176" s="20" t="n">
        <v>0</v>
      </c>
    </row>
    <row r="177">
      <c r="A177" s="18" t="inlineStr">
        <is>
          <t>PlasticReportableSegmentsMember · 계</t>
        </is>
      </c>
      <c r="E177" s="20" t="n">
        <v>12765</v>
      </c>
      <c r="I177" s="20" t="n">
        <v>13347</v>
      </c>
      <c r="M177" s="20" t="n">
        <v>15620</v>
      </c>
    </row>
    <row r="178">
      <c r="A178" s="18" t="inlineStr">
        <is>
          <t>NewMaterialReportableSegmentsMember · 계</t>
        </is>
      </c>
      <c r="E178" s="20" t="n">
        <v>3272</v>
      </c>
      <c r="I178" s="20" t="n">
        <v>4611</v>
      </c>
      <c r="M178" s="20" t="n">
        <v>4905</v>
      </c>
    </row>
    <row r="179">
      <c r="A179" s="18" t="inlineStr">
        <is>
          <t>ConstructionMaterialReportableSegmentsMember · 계</t>
        </is>
      </c>
      <c r="E179" s="20" t="n">
        <v>3046</v>
      </c>
      <c r="I179" s="20" t="n">
        <v>3301</v>
      </c>
      <c r="M179" s="20" t="n">
        <v>3164</v>
      </c>
    </row>
    <row r="180">
      <c r="A180" s="18" t="inlineStr">
        <is>
          <t>부문 간 내부매출·대체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  <c r="K180" s="20" t="n">
        <v>0</v>
      </c>
      <c r="L180" s="20" t="n">
        <v>0</v>
      </c>
      <c r="V180" s="20" t="n">
        <v>0</v>
      </c>
      <c r="W180" s="20" t="n">
        <v>0</v>
      </c>
      <c r="X180" s="20" t="n">
        <v>0</v>
      </c>
    </row>
    <row r="181">
      <c r="A181" s="18" t="inlineStr">
        <is>
          <t>SyntheticResinBusinessReportableSegmentsMember · 계</t>
        </is>
      </c>
      <c r="C181" s="20" t="n">
        <v>12428</v>
      </c>
      <c r="D181" s="20" t="n">
        <v>12820</v>
      </c>
      <c r="G181" s="20" t="n">
        <v>12927</v>
      </c>
      <c r="H181" s="20" t="n">
        <v>13572</v>
      </c>
      <c r="K181" s="20" t="n">
        <v>12876</v>
      </c>
      <c r="L181" s="20" t="n">
        <v>13386</v>
      </c>
      <c r="V181" s="20" t="n">
        <v>12820</v>
      </c>
      <c r="W181" s="20" t="n">
        <v>13572</v>
      </c>
      <c r="X181" s="20" t="n">
        <v>13386</v>
      </c>
    </row>
    <row r="182">
      <c r="A182" s="18" t="inlineStr">
        <is>
          <t>NewMaterialBusinessReportableSegmentsMember · 계</t>
        </is>
      </c>
      <c r="C182" s="20" t="n">
        <v>3587</v>
      </c>
      <c r="D182" s="20" t="n">
        <v>3644</v>
      </c>
      <c r="G182" s="20" t="n">
        <v>3292</v>
      </c>
      <c r="H182" s="20" t="n">
        <v>4223</v>
      </c>
      <c r="K182" s="20" t="n">
        <v>4061</v>
      </c>
      <c r="L182" s="20" t="n">
        <v>5141</v>
      </c>
      <c r="V182" s="20" t="n">
        <v>3644</v>
      </c>
      <c r="W182" s="20" t="n">
        <v>4223</v>
      </c>
      <c r="X182" s="20" t="n">
        <v>5141</v>
      </c>
    </row>
    <row r="183">
      <c r="A183" s="18" t="inlineStr">
        <is>
          <t>ConstructionMaterialBusinessReportableSegmentsMember · 계</t>
        </is>
      </c>
      <c r="C183" s="20" t="n">
        <v>2967</v>
      </c>
      <c r="D183" s="20" t="n">
        <v>3280</v>
      </c>
      <c r="G183" s="20" t="n">
        <v>3254</v>
      </c>
      <c r="H183" s="20" t="n">
        <v>3568</v>
      </c>
      <c r="K183" s="20" t="n">
        <v>3307</v>
      </c>
      <c r="L183" s="20" t="n">
        <v>3414</v>
      </c>
      <c r="V183" s="20" t="n">
        <v>3280</v>
      </c>
      <c r="W183" s="20" t="n">
        <v>3568</v>
      </c>
      <c r="X183" s="20" t="n">
        <v>3414</v>
      </c>
    </row>
    <row r="184">
      <c r="A184" s="18" t="inlineStr">
        <is>
          <t>보고부문 합계 · 계</t>
        </is>
      </c>
      <c r="C184" s="20" t="n">
        <v>18981</v>
      </c>
      <c r="D184" s="20" t="n">
        <v>19745</v>
      </c>
      <c r="E184" s="20" t="n">
        <v>19085</v>
      </c>
      <c r="F184" s="20" t="n">
        <v>19441</v>
      </c>
      <c r="G184" s="20" t="n">
        <v>19474</v>
      </c>
      <c r="H184" s="20" t="n">
        <v>21362</v>
      </c>
      <c r="I184" s="20" t="n">
        <v>21260</v>
      </c>
      <c r="J184" s="20" t="n">
        <v>21459</v>
      </c>
      <c r="K184" s="20" t="n">
        <v>20245</v>
      </c>
      <c r="L184" s="20" t="n">
        <v>21940</v>
      </c>
      <c r="M184" s="20" t="n">
        <v>23690</v>
      </c>
      <c r="N184" s="20" t="n">
        <v>28156</v>
      </c>
      <c r="V184" s="20" t="n">
        <v>19745</v>
      </c>
      <c r="W184" s="20" t="n">
        <v>21362</v>
      </c>
      <c r="X184" s="20" t="n">
        <v>21940</v>
      </c>
    </row>
    <row r="185">
      <c r="A185" s="18" t="inlineStr">
        <is>
          <t>기타 · 계</t>
        </is>
      </c>
      <c r="C185" s="20" t="n">
        <v>584</v>
      </c>
      <c r="D185" s="20" t="n">
        <v>645</v>
      </c>
      <c r="E185" s="20" t="n">
        <v>629</v>
      </c>
      <c r="F185" s="20" t="n">
        <v>662</v>
      </c>
      <c r="G185" s="20" t="n">
        <v>667</v>
      </c>
      <c r="H185" s="20" t="n">
        <v>738</v>
      </c>
      <c r="I185" s="20" t="n">
        <v>623</v>
      </c>
      <c r="J185" s="20" t="n">
        <v>689</v>
      </c>
      <c r="K185" s="20" t="n">
        <v>683</v>
      </c>
      <c r="L185" s="20" t="n">
        <v>731</v>
      </c>
      <c r="M185" s="20" t="n">
        <v>776</v>
      </c>
      <c r="N185" s="20" t="n">
        <v>817</v>
      </c>
      <c r="V185" s="20" t="n">
        <v>645</v>
      </c>
      <c r="W185" s="20" t="n">
        <v>738</v>
      </c>
      <c r="X185" s="20" t="n">
        <v>731</v>
      </c>
    </row>
    <row r="186">
      <c r="A186" s="18" t="inlineStr">
        <is>
          <t>합계 · 계</t>
        </is>
      </c>
      <c r="C186" s="20" t="n">
        <v>19566</v>
      </c>
      <c r="D186" s="20" t="n">
        <v>20390</v>
      </c>
      <c r="E186" s="20" t="n">
        <v>19714</v>
      </c>
      <c r="F186" s="20" t="n">
        <v>20104</v>
      </c>
      <c r="G186" s="20" t="n">
        <v>20140</v>
      </c>
      <c r="H186" s="20" t="n">
        <v>22101</v>
      </c>
      <c r="I186" s="20" t="n">
        <v>21884</v>
      </c>
      <c r="J186" s="20" t="n">
        <v>22147</v>
      </c>
      <c r="K186" s="20" t="n">
        <v>20928</v>
      </c>
      <c r="L186" s="20" t="n">
        <v>22671</v>
      </c>
      <c r="M186" s="20" t="n">
        <v>24466</v>
      </c>
      <c r="N186" s="20" t="n">
        <v>28973</v>
      </c>
      <c r="V186" s="20" t="n">
        <v>20390</v>
      </c>
      <c r="W186" s="20" t="n">
        <v>22101</v>
      </c>
      <c r="X186" s="20" t="n">
        <v>22671</v>
      </c>
    </row>
    <row r="187">
      <c r="A187" s="18" t="inlineStr">
        <is>
          <t>조정액 · 계</t>
        </is>
      </c>
      <c r="C187" s="20" t="n">
        <v>-206</v>
      </c>
      <c r="D187" s="20" t="n">
        <v>-225</v>
      </c>
      <c r="E187" s="20" t="n">
        <v>-210</v>
      </c>
      <c r="F187" s="20" t="n">
        <v>-208</v>
      </c>
      <c r="G187" s="20" t="n">
        <v>-200</v>
      </c>
      <c r="H187" s="20" t="n">
        <v>-249</v>
      </c>
      <c r="I187" s="20" t="n">
        <v>-197</v>
      </c>
      <c r="J187" s="20" t="n">
        <v>-283</v>
      </c>
      <c r="K187" s="20" t="n">
        <v>-246</v>
      </c>
      <c r="L187" s="20" t="n">
        <v>-246</v>
      </c>
      <c r="M187" s="20" t="n">
        <v>-439</v>
      </c>
      <c r="N187" s="20" t="n">
        <v>-501</v>
      </c>
      <c r="V187" s="20" t="n">
        <v>-225</v>
      </c>
      <c r="W187" s="20" t="n">
        <v>-249</v>
      </c>
      <c r="X187" s="20" t="n">
        <v>-246</v>
      </c>
    </row>
    <row r="188">
      <c r="A188" s="18" t="inlineStr">
        <is>
          <t>EntityTotalMember · 계</t>
        </is>
      </c>
      <c r="I188" s="20" t="n">
        <v>21686</v>
      </c>
      <c r="M188" s="20" t="n">
        <v>24026</v>
      </c>
    </row>
    <row r="189">
      <c r="A189" s="18" t="inlineStr">
        <is>
          <t>PlasticReportableSegmentsMember · 부문 이익</t>
        </is>
      </c>
      <c r="E189" s="20" t="n">
        <v>1238</v>
      </c>
      <c r="I189" s="20" t="n">
        <v>1493</v>
      </c>
      <c r="M189" s="20" t="n">
        <v>1856</v>
      </c>
    </row>
    <row r="190">
      <c r="A190" s="18" t="inlineStr">
        <is>
          <t>NewMaterialReportableSegmentsMember · 부문 이익</t>
        </is>
      </c>
      <c r="E190" s="20" t="n">
        <v>251</v>
      </c>
      <c r="I190" s="20" t="n">
        <v>497</v>
      </c>
      <c r="M190" s="20" t="n">
        <v>811</v>
      </c>
    </row>
    <row r="191">
      <c r="A191" s="18" t="inlineStr">
        <is>
          <t>ConstructionMaterialReportableSegmentsMember · 부문 이익</t>
        </is>
      </c>
      <c r="E191" s="20" t="n">
        <v>210</v>
      </c>
      <c r="I191" s="20" t="n">
        <v>245</v>
      </c>
      <c r="M191" s="20" t="n">
        <v>156</v>
      </c>
    </row>
    <row r="192">
      <c r="A192" s="9" t="inlineStr">
        <is>
          <t>계</t>
        </is>
      </c>
      <c r="C192" s="12" t="n">
        <v>19361</v>
      </c>
      <c r="D192" s="12" t="n">
        <v>20165</v>
      </c>
      <c r="E192" s="12" t="n">
        <v>19504</v>
      </c>
      <c r="F192" s="12" t="n">
        <v>19896</v>
      </c>
      <c r="G192" s="12" t="n">
        <v>19939</v>
      </c>
      <c r="H192" s="12" t="n">
        <v>21853</v>
      </c>
      <c r="I192" s="12" t="n">
        <v>21686</v>
      </c>
      <c r="J192" s="12" t="n">
        <v>21865</v>
      </c>
      <c r="K192" s="12" t="n">
        <v>20682</v>
      </c>
      <c r="L192" s="12" t="n">
        <v>22425</v>
      </c>
      <c r="V192" s="12" t="n">
        <v>20165</v>
      </c>
      <c r="W192" s="12" t="n">
        <v>21853</v>
      </c>
      <c r="X192" s="12" t="n">
        <v>22425</v>
      </c>
    </row>
    <row r="193">
      <c r="A193" s="18" t="inlineStr">
        <is>
          <t>SyntheticResinBusinessReportableSegmentsMember · 부문 이익</t>
        </is>
      </c>
      <c r="C193" s="20" t="n">
        <v>930</v>
      </c>
      <c r="D193" s="20" t="n">
        <v>1137</v>
      </c>
      <c r="G193" s="20" t="n">
        <v>972</v>
      </c>
      <c r="H193" s="20" t="n">
        <v>1247</v>
      </c>
      <c r="K193" s="20" t="n">
        <v>1391</v>
      </c>
      <c r="L193" s="20" t="n">
        <v>1265</v>
      </c>
      <c r="V193" s="20" t="n">
        <v>1137</v>
      </c>
      <c r="W193" s="20" t="n">
        <v>1247</v>
      </c>
      <c r="X193" s="20" t="n">
        <v>1265</v>
      </c>
    </row>
    <row r="194">
      <c r="A194" s="18" t="inlineStr">
        <is>
          <t>NewMaterialBusinessReportableSegmentsMember · 부문 이익</t>
        </is>
      </c>
      <c r="C194" s="20" t="n">
        <v>675</v>
      </c>
      <c r="D194" s="20" t="n">
        <v>363</v>
      </c>
      <c r="G194" s="20" t="n">
        <v>177</v>
      </c>
      <c r="H194" s="20" t="n">
        <v>419</v>
      </c>
      <c r="K194" s="20" t="n">
        <v>398</v>
      </c>
      <c r="L194" s="20" t="n">
        <v>744</v>
      </c>
      <c r="V194" s="20" t="n">
        <v>363</v>
      </c>
      <c r="W194" s="20" t="n">
        <v>419</v>
      </c>
      <c r="X194" s="20" t="n">
        <v>744</v>
      </c>
    </row>
    <row r="195">
      <c r="A195" s="18" t="inlineStr">
        <is>
          <t>ConstructionMaterialBusinessReportableSegmentsMember · 부문 이익</t>
        </is>
      </c>
      <c r="C195" s="20" t="n">
        <v>205</v>
      </c>
      <c r="D195" s="20" t="n">
        <v>229</v>
      </c>
      <c r="G195" s="20" t="n">
        <v>234</v>
      </c>
      <c r="H195" s="20" t="n">
        <v>283</v>
      </c>
      <c r="K195" s="20" t="n">
        <v>-31</v>
      </c>
      <c r="L195" s="20" t="n">
        <v>174</v>
      </c>
      <c r="V195" s="20" t="n">
        <v>229</v>
      </c>
      <c r="W195" s="20" t="n">
        <v>283</v>
      </c>
      <c r="X195" s="20" t="n">
        <v>174</v>
      </c>
    </row>
    <row r="196">
      <c r="A196" s="18" t="inlineStr">
        <is>
          <t>보고부문 합계 · 부문 이익</t>
        </is>
      </c>
      <c r="C196" s="20" t="n">
        <v>1811</v>
      </c>
      <c r="D196" s="20" t="n">
        <v>1728</v>
      </c>
      <c r="E196" s="20" t="n">
        <v>1700</v>
      </c>
      <c r="F196" s="20" t="n">
        <v>1616</v>
      </c>
      <c r="G196" s="20" t="n">
        <v>1382</v>
      </c>
      <c r="H196" s="20" t="n">
        <v>1950</v>
      </c>
      <c r="I196" s="20" t="n">
        <v>2235</v>
      </c>
      <c r="J196" s="20" t="n">
        <v>2394</v>
      </c>
      <c r="K196" s="20" t="n">
        <v>1758</v>
      </c>
      <c r="L196" s="20" t="n">
        <v>2183</v>
      </c>
      <c r="M196" s="20" t="n">
        <v>2824</v>
      </c>
      <c r="N196" s="20" t="n">
        <v>3736</v>
      </c>
      <c r="V196" s="20" t="n">
        <v>1728</v>
      </c>
      <c r="W196" s="20" t="n">
        <v>1950</v>
      </c>
      <c r="X196" s="20" t="n">
        <v>2183</v>
      </c>
    </row>
    <row r="197">
      <c r="A197" s="18" t="inlineStr">
        <is>
          <t>기타 · 부문 이익</t>
        </is>
      </c>
      <c r="C197" s="20" t="n">
        <v>96</v>
      </c>
      <c r="D197" s="20" t="n">
        <v>143</v>
      </c>
      <c r="E197" s="20" t="n">
        <v>120</v>
      </c>
      <c r="F197" s="20" t="n">
        <v>121</v>
      </c>
      <c r="G197" s="20" t="n">
        <v>132</v>
      </c>
      <c r="H197" s="20" t="n">
        <v>121</v>
      </c>
      <c r="I197" s="20" t="n">
        <v>108</v>
      </c>
      <c r="J197" s="20" t="n">
        <v>128</v>
      </c>
      <c r="K197" s="20" t="n">
        <v>121</v>
      </c>
      <c r="L197" s="20" t="n">
        <v>117</v>
      </c>
      <c r="M197" s="20" t="n">
        <v>145</v>
      </c>
      <c r="N197" s="20" t="n">
        <v>137</v>
      </c>
      <c r="V197" s="20" t="n">
        <v>143</v>
      </c>
      <c r="W197" s="20" t="n">
        <v>121</v>
      </c>
      <c r="X197" s="20" t="n">
        <v>117</v>
      </c>
    </row>
    <row r="198">
      <c r="A198" s="18" t="inlineStr">
        <is>
          <t>합계 · 부문 이익</t>
        </is>
      </c>
      <c r="C198" s="20" t="n">
        <v>1907</v>
      </c>
      <c r="D198" s="20" t="n">
        <v>1872</v>
      </c>
      <c r="E198" s="20" t="n">
        <v>1820</v>
      </c>
      <c r="F198" s="20" t="n">
        <v>1737</v>
      </c>
      <c r="G198" s="20" t="n">
        <v>1515</v>
      </c>
      <c r="H198" s="20" t="n">
        <v>2071</v>
      </c>
      <c r="I198" s="20" t="n">
        <v>2344</v>
      </c>
      <c r="J198" s="20" t="n">
        <v>2522</v>
      </c>
      <c r="K198" s="20" t="n">
        <v>1878</v>
      </c>
      <c r="L198" s="20" t="n">
        <v>2301</v>
      </c>
      <c r="M198" s="20" t="n">
        <v>2969</v>
      </c>
      <c r="N198" s="20" t="n">
        <v>3874</v>
      </c>
      <c r="V198" s="20" t="n">
        <v>1872</v>
      </c>
      <c r="W198" s="20" t="n">
        <v>2071</v>
      </c>
      <c r="X198" s="20" t="n">
        <v>2301</v>
      </c>
    </row>
    <row r="199">
      <c r="A199" s="18" t="inlineStr">
        <is>
          <t>조정액 · 부문 이익</t>
        </is>
      </c>
      <c r="C199" s="20" t="n">
        <v>-634</v>
      </c>
      <c r="D199" s="20" t="n">
        <v>-612</v>
      </c>
      <c r="E199" s="20" t="n">
        <v>-621</v>
      </c>
      <c r="F199" s="20" t="n">
        <v>-614</v>
      </c>
      <c r="G199" s="20" t="n">
        <v>-655</v>
      </c>
      <c r="H199" s="20" t="n">
        <v>-689</v>
      </c>
      <c r="I199" s="20" t="n">
        <v>-666</v>
      </c>
      <c r="J199" s="20" t="n">
        <v>-672</v>
      </c>
      <c r="K199" s="20" t="n">
        <v>-721</v>
      </c>
      <c r="L199" s="20" t="n">
        <v>-800</v>
      </c>
      <c r="M199" s="20" t="n">
        <v>-724</v>
      </c>
      <c r="N199" s="20" t="n">
        <v>-800</v>
      </c>
      <c r="V199" s="20" t="n">
        <v>-612</v>
      </c>
      <c r="W199" s="20" t="n">
        <v>-689</v>
      </c>
      <c r="X199" s="20" t="n">
        <v>-800</v>
      </c>
    </row>
    <row r="200">
      <c r="A200" s="18" t="inlineStr">
        <is>
          <t>EntityTotalMember · 부문 이익</t>
        </is>
      </c>
      <c r="I200" s="20" t="n">
        <v>1678</v>
      </c>
      <c r="M200" s="20" t="n">
        <v>2245</v>
      </c>
    </row>
    <row r="201">
      <c r="A201" s="9" t="inlineStr">
        <is>
          <t>부문 이익</t>
        </is>
      </c>
      <c r="C201" s="12" t="n">
        <v>1272</v>
      </c>
      <c r="D201" s="12" t="n">
        <v>1260</v>
      </c>
      <c r="E201" s="12" t="n">
        <v>1199</v>
      </c>
      <c r="F201" s="12" t="n">
        <v>1123</v>
      </c>
      <c r="G201" s="12" t="n">
        <v>859</v>
      </c>
      <c r="H201" s="12" t="n">
        <v>1383</v>
      </c>
      <c r="I201" s="12" t="n">
        <v>1678</v>
      </c>
      <c r="J201" s="12" t="n">
        <v>1849</v>
      </c>
      <c r="K201" s="12" t="n">
        <v>1158</v>
      </c>
      <c r="L201" s="12" t="n">
        <v>1500</v>
      </c>
      <c r="V201" s="12" t="n">
        <v>1260</v>
      </c>
      <c r="W201" s="12" t="n">
        <v>1383</v>
      </c>
      <c r="X201" s="12" t="n">
        <v>1500</v>
      </c>
    </row>
    <row r="202">
      <c r="A202" s="18" t="inlineStr">
        <is>
          <t>PlasticReportableSegmentsMember · 외부 고객 매출</t>
        </is>
      </c>
      <c r="E202" s="20" t="n">
        <v>12765</v>
      </c>
      <c r="I202" s="20" t="n">
        <v>13346</v>
      </c>
      <c r="M202" s="20" t="n">
        <v>15598</v>
      </c>
    </row>
    <row r="203">
      <c r="A203" s="18" t="inlineStr">
        <is>
          <t>NewMaterialReportableSegmentsMember · 외부 고객 매출</t>
        </is>
      </c>
      <c r="E203" s="20" t="n">
        <v>3272</v>
      </c>
      <c r="I203" s="20" t="n">
        <v>4611</v>
      </c>
      <c r="M203" s="20" t="n">
        <v>4795</v>
      </c>
    </row>
    <row r="204">
      <c r="A204" s="18" t="inlineStr">
        <is>
          <t>ConstructionMaterialReportableSegmentsMember · 외부 고객 매출</t>
        </is>
      </c>
      <c r="E204" s="20" t="n">
        <v>3037</v>
      </c>
      <c r="I204" s="20" t="n">
        <v>3301</v>
      </c>
      <c r="M204" s="20" t="n">
        <v>3163</v>
      </c>
    </row>
    <row r="206">
      <c r="A206" s="16" t="inlineStr">
        <is>
          <t>현금흐름표 · 전 항목</t>
        </is>
      </c>
      <c r="B206" s="42" t="inlineStr">
        <is>
          <t>분기 = 결산기 첫날부터 누계(공시 그대로)</t>
        </is>
      </c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</row>
    <row r="207">
      <c r="A207" s="5" t="inlineStr">
        <is>
          <t>항목</t>
        </is>
      </c>
      <c r="B207" s="5" t="inlineStr">
        <is>
          <t>참고</t>
        </is>
      </c>
      <c r="C207" s="5" t="inlineStr">
        <is>
          <t>2023.3Q</t>
        </is>
      </c>
      <c r="D207" s="5" t="inlineStr">
        <is>
          <t>2023.4Q</t>
        </is>
      </c>
      <c r="E207" s="5" t="inlineStr">
        <is>
          <t>2024.1Q</t>
        </is>
      </c>
      <c r="F207" s="5" t="inlineStr">
        <is>
          <t>2024.2Q</t>
        </is>
      </c>
      <c r="G207" s="5" t="inlineStr">
        <is>
          <t>2024.3Q</t>
        </is>
      </c>
      <c r="H207" s="5" t="inlineStr">
        <is>
          <t>2024.4Q</t>
        </is>
      </c>
      <c r="I207" s="5" t="inlineStr">
        <is>
          <t>2025.1Q</t>
        </is>
      </c>
      <c r="J207" s="5" t="inlineStr">
        <is>
          <t>2025.2Q</t>
        </is>
      </c>
      <c r="K207" s="5" t="inlineStr">
        <is>
          <t>2025.3Q</t>
        </is>
      </c>
      <c r="L207" s="5" t="inlineStr">
        <is>
          <t>2025.4Q</t>
        </is>
      </c>
      <c r="M207" s="5" t="inlineStr">
        <is>
          <t>2026.1Q</t>
        </is>
      </c>
      <c r="N207" s="5" t="inlineStr">
        <is>
          <t>2026.2Q</t>
        </is>
      </c>
      <c r="O207" s="5" t="inlineStr">
        <is>
          <t>2016</t>
        </is>
      </c>
      <c r="P207" s="5" t="inlineStr">
        <is>
          <t>2017</t>
        </is>
      </c>
      <c r="Q207" s="5" t="inlineStr">
        <is>
          <t>2018</t>
        </is>
      </c>
      <c r="R207" s="5" t="inlineStr">
        <is>
          <t>2019</t>
        </is>
      </c>
      <c r="S207" s="5" t="inlineStr">
        <is>
          <t>2020</t>
        </is>
      </c>
      <c r="T207" s="5" t="inlineStr">
        <is>
          <t>2021</t>
        </is>
      </c>
      <c r="U207" s="5" t="inlineStr">
        <is>
          <t>2022</t>
        </is>
      </c>
      <c r="V207" s="5" t="inlineStr">
        <is>
          <t>2023</t>
        </is>
      </c>
      <c r="W207" s="5" t="inlineStr">
        <is>
          <t>2024</t>
        </is>
      </c>
      <c r="X207" s="5" t="inlineStr">
        <is>
          <t>2025</t>
        </is>
      </c>
      <c r="Y207" s="5" t="inlineStr">
        <is>
          <t>2026(MW)</t>
        </is>
      </c>
      <c r="Z207" s="5" t="inlineStr">
        <is>
          <t>2027(MW)</t>
        </is>
      </c>
      <c r="AA207" s="5" t="inlineStr">
        <is>
          <t>2028(MW)</t>
        </is>
      </c>
      <c r="AB207" s="5" t="inlineStr">
        <is>
          <t>2029(MW)</t>
        </is>
      </c>
      <c r="AC207" s="5" t="inlineStr">
        <is>
          <t>2030(MW)</t>
        </is>
      </c>
    </row>
    <row r="208">
      <c r="A208" s="9" t="inlineStr">
        <is>
          <t>법인세차감전 순이익</t>
        </is>
      </c>
      <c r="D208" s="12" t="n">
        <v>5688</v>
      </c>
      <c r="F208" s="12" t="n">
        <v>3350</v>
      </c>
      <c r="H208" s="12" t="n">
        <v>6000</v>
      </c>
      <c r="J208" s="12" t="n">
        <v>3447</v>
      </c>
      <c r="L208" s="12" t="n">
        <v>5201</v>
      </c>
      <c r="N208" s="12" t="n">
        <v>5369</v>
      </c>
      <c r="O208" s="12" t="n">
        <v>3818</v>
      </c>
      <c r="P208" s="12" t="n">
        <v>4045</v>
      </c>
      <c r="Q208" s="12" t="n">
        <v>3334</v>
      </c>
      <c r="R208" s="12" t="n">
        <v>3474</v>
      </c>
      <c r="S208" s="12" t="n">
        <v>4084</v>
      </c>
      <c r="T208" s="12" t="n">
        <v>4937</v>
      </c>
      <c r="U208" s="12" t="n">
        <v>5278</v>
      </c>
      <c r="V208" s="12" t="n">
        <v>5688</v>
      </c>
      <c r="W208" s="12" t="n">
        <v>6000</v>
      </c>
      <c r="X208" s="12" t="n">
        <v>5201</v>
      </c>
    </row>
    <row r="209">
      <c r="A209" s="18" t="inlineStr">
        <is>
          <t>손상차손</t>
        </is>
      </c>
      <c r="D209" s="20" t="n">
        <v>0</v>
      </c>
      <c r="H209" s="20" t="n">
        <v>2077</v>
      </c>
      <c r="L209" s="20" t="n">
        <v>1098</v>
      </c>
      <c r="O209" s="20" t="n">
        <v>1799</v>
      </c>
      <c r="P209" s="20" t="n">
        <v>1569</v>
      </c>
      <c r="Q209" s="20" t="n">
        <v>794</v>
      </c>
      <c r="R209" s="20" t="n">
        <v>412</v>
      </c>
      <c r="S209" s="20" t="n">
        <v>0</v>
      </c>
      <c r="T209" s="20" t="n">
        <v>750</v>
      </c>
      <c r="U209" s="20" t="n">
        <v>429</v>
      </c>
      <c r="V209" s="20" t="n">
        <v>0</v>
      </c>
      <c r="W209" s="20" t="n">
        <v>2077</v>
      </c>
      <c r="X209" s="20" t="n">
        <v>1098</v>
      </c>
    </row>
    <row r="210">
      <c r="A210" s="18" t="inlineStr">
        <is>
          <t>감가상각비</t>
        </is>
      </c>
      <c r="D210" s="20" t="n">
        <v>4167</v>
      </c>
      <c r="F210" s="20" t="n">
        <v>2585</v>
      </c>
      <c r="H210" s="20" t="n">
        <v>5404</v>
      </c>
      <c r="J210" s="20" t="n">
        <v>2361</v>
      </c>
      <c r="L210" s="20" t="n">
        <v>5034</v>
      </c>
      <c r="N210" s="20" t="n">
        <v>2776</v>
      </c>
      <c r="O210" s="20" t="n">
        <v>4293</v>
      </c>
      <c r="P210" s="20" t="n">
        <v>3926</v>
      </c>
      <c r="Q210" s="20" t="n">
        <v>3902</v>
      </c>
      <c r="R210" s="20" t="n">
        <v>4525</v>
      </c>
      <c r="S210" s="20" t="n">
        <v>4836</v>
      </c>
      <c r="T210" s="20" t="n">
        <v>4502</v>
      </c>
      <c r="U210" s="20" t="n">
        <v>4252</v>
      </c>
      <c r="V210" s="20" t="n">
        <v>4167</v>
      </c>
      <c r="W210" s="20" t="n">
        <v>5404</v>
      </c>
      <c r="X210" s="20" t="n">
        <v>5034</v>
      </c>
    </row>
    <row r="211">
      <c r="A211" s="18" t="inlineStr">
        <is>
          <t>퇴직급여자산 증감</t>
        </is>
      </c>
      <c r="H211" s="20" t="n">
        <v>0</v>
      </c>
      <c r="L211" s="20" t="n">
        <v>-385</v>
      </c>
      <c r="W211" s="20" t="n">
        <v>0</v>
      </c>
      <c r="X211" s="20" t="n">
        <v>-385</v>
      </c>
    </row>
    <row r="212">
      <c r="A212" s="18" t="inlineStr">
        <is>
          <t>대손충당금 증감</t>
        </is>
      </c>
      <c r="D212" s="20" t="n">
        <v>-0</v>
      </c>
      <c r="F212" s="20" t="n">
        <v>0</v>
      </c>
      <c r="H212" s="20" t="n">
        <v>0</v>
      </c>
      <c r="J212" s="20" t="n">
        <v>0</v>
      </c>
      <c r="N212" s="20" t="n">
        <v>-19</v>
      </c>
      <c r="O212" s="20" t="n">
        <v>-0</v>
      </c>
      <c r="P212" s="20" t="n">
        <v>-7</v>
      </c>
      <c r="Q212" s="20" t="n">
        <v>-80</v>
      </c>
      <c r="R212" s="20" t="n">
        <v>-4</v>
      </c>
      <c r="S212" s="20" t="n">
        <v>-2</v>
      </c>
      <c r="T212" s="20" t="n">
        <v>-0</v>
      </c>
      <c r="U212" s="20" t="n">
        <v>-0</v>
      </c>
      <c r="V212" s="20" t="n">
        <v>-0</v>
      </c>
      <c r="W212" s="20" t="n">
        <v>0</v>
      </c>
    </row>
    <row r="213">
      <c r="A213" s="18" t="inlineStr">
        <is>
          <t>퇴직급여부채 증감</t>
        </is>
      </c>
      <c r="D213" s="20" t="n">
        <v>5</v>
      </c>
      <c r="F213" s="20" t="n">
        <v>-3</v>
      </c>
      <c r="H213" s="20" t="n">
        <v>10</v>
      </c>
      <c r="J213" s="20" t="n">
        <v>9</v>
      </c>
      <c r="L213" s="20" t="n">
        <v>376</v>
      </c>
      <c r="N213" s="20" t="n">
        <v>19</v>
      </c>
      <c r="O213" s="20" t="n">
        <v>132</v>
      </c>
      <c r="P213" s="20" t="n">
        <v>29</v>
      </c>
      <c r="Q213" s="20" t="n">
        <v>-257</v>
      </c>
      <c r="R213" s="20" t="n">
        <v>82</v>
      </c>
      <c r="S213" s="20" t="n">
        <v>54</v>
      </c>
      <c r="T213" s="20" t="n">
        <v>34</v>
      </c>
      <c r="U213" s="20" t="n">
        <v>62</v>
      </c>
      <c r="V213" s="20" t="n">
        <v>5</v>
      </c>
      <c r="W213" s="20" t="n">
        <v>10</v>
      </c>
      <c r="X213" s="20" t="n">
        <v>376</v>
      </c>
    </row>
    <row r="214">
      <c r="A214" s="18" t="inlineStr">
        <is>
          <t>이자·배당금 수익</t>
        </is>
      </c>
      <c r="D214" s="20" t="n">
        <v>-321</v>
      </c>
      <c r="F214" s="20" t="n">
        <v>-197</v>
      </c>
      <c r="H214" s="20" t="n">
        <v>-400</v>
      </c>
      <c r="J214" s="20" t="n">
        <v>-196</v>
      </c>
      <c r="L214" s="20" t="n">
        <v>-395</v>
      </c>
      <c r="N214" s="20" t="n">
        <v>-201</v>
      </c>
      <c r="O214" s="20" t="n">
        <v>-143</v>
      </c>
      <c r="P214" s="20" t="n">
        <v>-162</v>
      </c>
      <c r="Q214" s="20" t="n">
        <v>-172</v>
      </c>
      <c r="R214" s="20" t="n">
        <v>-177</v>
      </c>
      <c r="S214" s="20" t="n">
        <v>-177</v>
      </c>
      <c r="T214" s="20" t="n">
        <v>-207</v>
      </c>
      <c r="U214" s="20" t="n">
        <v>-302</v>
      </c>
      <c r="V214" s="20" t="n">
        <v>-321</v>
      </c>
      <c r="W214" s="20" t="n">
        <v>-400</v>
      </c>
      <c r="X214" s="20" t="n">
        <v>-395</v>
      </c>
    </row>
    <row r="215">
      <c r="A215" s="18" t="inlineStr">
        <is>
          <t>이자비용</t>
        </is>
      </c>
      <c r="D215" s="20" t="n">
        <v>17</v>
      </c>
      <c r="F215" s="20" t="n">
        <v>12</v>
      </c>
      <c r="H215" s="20" t="n">
        <v>31</v>
      </c>
      <c r="J215" s="20" t="n">
        <v>27</v>
      </c>
      <c r="L215" s="20" t="n">
        <v>58</v>
      </c>
      <c r="N215" s="20" t="n">
        <v>99</v>
      </c>
      <c r="O215" s="20" t="n">
        <v>186</v>
      </c>
      <c r="P215" s="20" t="n">
        <v>142</v>
      </c>
      <c r="Q215" s="20" t="n">
        <v>130</v>
      </c>
      <c r="R215" s="20" t="n">
        <v>115</v>
      </c>
      <c r="S215" s="20" t="n">
        <v>100</v>
      </c>
      <c r="T215" s="20" t="n">
        <v>84</v>
      </c>
      <c r="U215" s="20" t="n">
        <v>21</v>
      </c>
      <c r="V215" s="20" t="n">
        <v>17</v>
      </c>
      <c r="W215" s="20" t="n">
        <v>31</v>
      </c>
      <c r="X215" s="20" t="n">
        <v>58</v>
      </c>
    </row>
    <row r="216">
      <c r="A216" s="18" t="inlineStr">
        <is>
          <t>외환차손익</t>
        </is>
      </c>
      <c r="D216" s="20" t="n">
        <v>-29</v>
      </c>
      <c r="F216" s="20" t="n">
        <v>-158</v>
      </c>
      <c r="H216" s="20" t="n">
        <v>-130</v>
      </c>
      <c r="J216" s="20" t="n">
        <v>127</v>
      </c>
      <c r="L216" s="20" t="n">
        <v>2</v>
      </c>
      <c r="N216" s="20" t="n">
        <v>-46</v>
      </c>
      <c r="O216" s="20" t="n">
        <v>83</v>
      </c>
      <c r="P216" s="20" t="n">
        <v>-10</v>
      </c>
      <c r="Q216" s="20" t="n">
        <v>22</v>
      </c>
      <c r="R216" s="20" t="n">
        <v>5</v>
      </c>
      <c r="S216" s="20" t="n">
        <v>22</v>
      </c>
      <c r="T216" s="20" t="n">
        <v>-55</v>
      </c>
      <c r="U216" s="20" t="n">
        <v>-66</v>
      </c>
      <c r="V216" s="20" t="n">
        <v>-29</v>
      </c>
      <c r="W216" s="20" t="n">
        <v>-130</v>
      </c>
      <c r="X216" s="20" t="n">
        <v>2</v>
      </c>
    </row>
    <row r="217">
      <c r="A217" s="18" t="inlineStr">
        <is>
          <t>투자유가증권 매각손익</t>
        </is>
      </c>
      <c r="D217" s="20" t="n">
        <v>-426</v>
      </c>
      <c r="F217" s="20" t="n">
        <v>0</v>
      </c>
      <c r="H217" s="20" t="n">
        <v>-2416</v>
      </c>
      <c r="L217" s="20" t="n">
        <v>0</v>
      </c>
      <c r="O217" s="20" t="n">
        <v>0</v>
      </c>
      <c r="P217" s="20" t="n">
        <v>-0</v>
      </c>
      <c r="Q217" s="20" t="n">
        <v>-142</v>
      </c>
      <c r="R217" s="20" t="n">
        <v>66</v>
      </c>
      <c r="S217" s="20" t="n">
        <v>-9</v>
      </c>
      <c r="T217" s="20" t="n">
        <v>5</v>
      </c>
      <c r="U217" s="20" t="n">
        <v>0</v>
      </c>
      <c r="V217" s="20" t="n">
        <v>-426</v>
      </c>
      <c r="W217" s="20" t="n">
        <v>-2416</v>
      </c>
      <c r="X217" s="20" t="n">
        <v>0</v>
      </c>
    </row>
    <row r="218">
      <c r="A218" s="18" t="inlineStr">
        <is>
          <t>투자유가증권 평가손익</t>
        </is>
      </c>
      <c r="O218" s="20" t="n">
        <v>0</v>
      </c>
      <c r="P218" s="20" t="n">
        <v>0</v>
      </c>
      <c r="Q218" s="20" t="n">
        <v>10</v>
      </c>
      <c r="R218" s="20" t="n">
        <v>0</v>
      </c>
      <c r="S218" s="20" t="n">
        <v>290</v>
      </c>
      <c r="T218" s="20" t="n">
        <v>0</v>
      </c>
    </row>
    <row r="219">
      <c r="A219" s="18" t="inlineStr">
        <is>
          <t>고정자산 제각·매각손익</t>
        </is>
      </c>
      <c r="D219" s="20" t="n">
        <v>58</v>
      </c>
      <c r="F219" s="20" t="n">
        <v>-812</v>
      </c>
      <c r="H219" s="20" t="n">
        <v>-769</v>
      </c>
      <c r="J219" s="20" t="n">
        <v>18</v>
      </c>
      <c r="L219" s="20" t="n">
        <v>16</v>
      </c>
      <c r="N219" s="20" t="n">
        <v>35</v>
      </c>
      <c r="O219" s="20" t="n">
        <v>-1026</v>
      </c>
      <c r="P219" s="20" t="n">
        <v>172</v>
      </c>
      <c r="Q219" s="20" t="n">
        <v>70</v>
      </c>
      <c r="R219" s="20" t="n">
        <v>-154</v>
      </c>
      <c r="S219" s="20" t="n">
        <v>45</v>
      </c>
      <c r="T219" s="20" t="n">
        <v>-248</v>
      </c>
      <c r="U219" s="20" t="n">
        <v>-1504</v>
      </c>
      <c r="V219" s="20" t="n">
        <v>58</v>
      </c>
      <c r="W219" s="20" t="n">
        <v>-769</v>
      </c>
      <c r="X219" s="20" t="n">
        <v>16</v>
      </c>
    </row>
    <row r="220">
      <c r="A220" s="18" t="inlineStr">
        <is>
          <t>매출채권 증감</t>
        </is>
      </c>
      <c r="D220" s="20" t="n">
        <v>-775</v>
      </c>
      <c r="F220" s="20" t="n">
        <v>-258</v>
      </c>
      <c r="H220" s="20" t="n">
        <v>-1235</v>
      </c>
      <c r="J220" s="20" t="n">
        <v>2563</v>
      </c>
      <c r="L220" s="20" t="n">
        <v>1334</v>
      </c>
      <c r="N220" s="20" t="n">
        <v>-3955</v>
      </c>
      <c r="O220" s="20" t="n">
        <v>800</v>
      </c>
      <c r="P220" s="20" t="n">
        <v>-1698</v>
      </c>
      <c r="Q220" s="20" t="n">
        <v>1368</v>
      </c>
      <c r="R220" s="20" t="n">
        <v>1243</v>
      </c>
      <c r="S220" s="20" t="n">
        <v>113</v>
      </c>
      <c r="T220" s="20" t="n">
        <v>-1344</v>
      </c>
      <c r="U220" s="20" t="n">
        <v>-2431</v>
      </c>
      <c r="V220" s="20" t="n">
        <v>-775</v>
      </c>
      <c r="W220" s="20" t="n">
        <v>-1235</v>
      </c>
      <c r="X220" s="20" t="n">
        <v>1334</v>
      </c>
    </row>
    <row r="221">
      <c r="A221" s="18" t="inlineStr">
        <is>
          <t>재고자산 증감</t>
        </is>
      </c>
      <c r="D221" s="20" t="n">
        <v>11</v>
      </c>
      <c r="F221" s="20" t="n">
        <v>-788</v>
      </c>
      <c r="H221" s="20" t="n">
        <v>-919</v>
      </c>
      <c r="J221" s="20" t="n">
        <v>-1204</v>
      </c>
      <c r="L221" s="20" t="n">
        <v>-216</v>
      </c>
      <c r="N221" s="20" t="n">
        <v>-1803</v>
      </c>
      <c r="O221" s="20" t="n">
        <v>852</v>
      </c>
      <c r="P221" s="20" t="n">
        <v>-550</v>
      </c>
      <c r="Q221" s="20" t="n">
        <v>-232</v>
      </c>
      <c r="R221" s="20" t="n">
        <v>-80</v>
      </c>
      <c r="S221" s="20" t="n">
        <v>771</v>
      </c>
      <c r="T221" s="20" t="n">
        <v>-1860</v>
      </c>
      <c r="U221" s="20" t="n">
        <v>-1805</v>
      </c>
      <c r="V221" s="20" t="n">
        <v>11</v>
      </c>
      <c r="W221" s="20" t="n">
        <v>-919</v>
      </c>
      <c r="X221" s="20" t="n">
        <v>-216</v>
      </c>
    </row>
    <row r="222">
      <c r="A222" s="18" t="inlineStr">
        <is>
          <t>매입채무 증감</t>
        </is>
      </c>
      <c r="D222" s="20" t="n">
        <v>-498</v>
      </c>
      <c r="F222" s="20" t="n">
        <v>2143</v>
      </c>
      <c r="H222" s="20" t="n">
        <v>3266</v>
      </c>
      <c r="J222" s="20" t="n">
        <v>897</v>
      </c>
      <c r="L222" s="20" t="n">
        <v>-1992</v>
      </c>
      <c r="N222" s="20" t="n">
        <v>1961</v>
      </c>
      <c r="O222" s="20" t="n">
        <v>-2628</v>
      </c>
      <c r="P222" s="20" t="n">
        <v>3346</v>
      </c>
      <c r="Q222" s="20" t="n">
        <v>-1641</v>
      </c>
      <c r="R222" s="20" t="n">
        <v>-1307</v>
      </c>
      <c r="S222" s="20" t="n">
        <v>-337</v>
      </c>
      <c r="T222" s="20" t="n">
        <v>977</v>
      </c>
      <c r="U222" s="20" t="n">
        <v>1972</v>
      </c>
      <c r="V222" s="20" t="n">
        <v>-498</v>
      </c>
      <c r="W222" s="20" t="n">
        <v>3266</v>
      </c>
      <c r="X222" s="20" t="n">
        <v>-1992</v>
      </c>
    </row>
    <row r="223">
      <c r="A223" s="18" t="inlineStr">
        <is>
          <t>기타</t>
        </is>
      </c>
      <c r="D223" s="20" t="n">
        <v>1608</v>
      </c>
      <c r="F223" s="20" t="n">
        <v>-2080</v>
      </c>
      <c r="H223" s="20" t="n">
        <v>-4121</v>
      </c>
      <c r="J223" s="20" t="n">
        <v>933</v>
      </c>
      <c r="L223" s="20" t="n">
        <v>1467</v>
      </c>
      <c r="N223" s="20" t="n">
        <v>-424</v>
      </c>
      <c r="O223" s="20" t="n">
        <v>477</v>
      </c>
      <c r="P223" s="20" t="n">
        <v>312</v>
      </c>
      <c r="Q223" s="20" t="n">
        <v>-16</v>
      </c>
      <c r="R223" s="20" t="n">
        <v>-373</v>
      </c>
      <c r="S223" s="20" t="n">
        <v>-45</v>
      </c>
      <c r="T223" s="20" t="n">
        <v>18</v>
      </c>
      <c r="U223" s="20" t="n">
        <v>-820</v>
      </c>
      <c r="V223" s="20" t="n">
        <v>1608</v>
      </c>
      <c r="W223" s="20" t="n">
        <v>-4121</v>
      </c>
      <c r="X223" s="20" t="n">
        <v>1467</v>
      </c>
    </row>
    <row r="224">
      <c r="A224" s="18" t="inlineStr">
        <is>
          <t>소계</t>
        </is>
      </c>
      <c r="D224" s="20" t="n">
        <v>9506</v>
      </c>
      <c r="F224" s="20" t="n">
        <v>3792</v>
      </c>
      <c r="H224" s="20" t="n">
        <v>6797</v>
      </c>
      <c r="J224" s="20" t="n">
        <v>8985</v>
      </c>
      <c r="L224" s="20" t="n">
        <v>11599</v>
      </c>
      <c r="N224" s="20" t="n">
        <v>3809</v>
      </c>
      <c r="O224" s="20" t="n">
        <v>8646</v>
      </c>
      <c r="P224" s="20" t="n">
        <v>11115</v>
      </c>
      <c r="Q224" s="20" t="n">
        <v>7092</v>
      </c>
      <c r="R224" s="20" t="n">
        <v>7828</v>
      </c>
      <c r="S224" s="20" t="n">
        <v>9747</v>
      </c>
      <c r="T224" s="20" t="n">
        <v>7594</v>
      </c>
      <c r="U224" s="20" t="n">
        <v>5086</v>
      </c>
      <c r="V224" s="20" t="n">
        <v>9506</v>
      </c>
      <c r="W224" s="20" t="n">
        <v>6797</v>
      </c>
      <c r="X224" s="20" t="n">
        <v>11599</v>
      </c>
    </row>
    <row r="225">
      <c r="A225" s="18" t="inlineStr">
        <is>
          <t>이자·배당금 수취</t>
        </is>
      </c>
      <c r="D225" s="20" t="n">
        <v>323</v>
      </c>
      <c r="F225" s="20" t="n">
        <v>197</v>
      </c>
      <c r="H225" s="20" t="n">
        <v>401</v>
      </c>
      <c r="J225" s="20" t="n">
        <v>196</v>
      </c>
      <c r="L225" s="20" t="n">
        <v>395</v>
      </c>
      <c r="N225" s="20" t="n">
        <v>201</v>
      </c>
      <c r="O225" s="20" t="n">
        <v>143</v>
      </c>
      <c r="P225" s="20" t="n">
        <v>162</v>
      </c>
      <c r="Q225" s="20" t="n">
        <v>172</v>
      </c>
      <c r="R225" s="20" t="n">
        <v>177</v>
      </c>
      <c r="S225" s="20" t="n">
        <v>177</v>
      </c>
      <c r="T225" s="20" t="n">
        <v>207</v>
      </c>
      <c r="U225" s="20" t="n">
        <v>299</v>
      </c>
      <c r="V225" s="20" t="n">
        <v>323</v>
      </c>
      <c r="W225" s="20" t="n">
        <v>401</v>
      </c>
      <c r="X225" s="20" t="n">
        <v>395</v>
      </c>
    </row>
    <row r="226">
      <c r="A226" s="18" t="inlineStr">
        <is>
          <t>이자 지급</t>
        </is>
      </c>
      <c r="D226" s="20" t="n">
        <v>-16</v>
      </c>
      <c r="F226" s="20" t="n">
        <v>-11</v>
      </c>
      <c r="H226" s="20" t="n">
        <v>-31</v>
      </c>
      <c r="J226" s="20" t="n">
        <v>-28</v>
      </c>
      <c r="L226" s="20" t="n">
        <v>-59</v>
      </c>
      <c r="N226" s="20" t="n">
        <v>-110</v>
      </c>
      <c r="O226" s="20" t="n">
        <v>-188</v>
      </c>
      <c r="P226" s="20" t="n">
        <v>-143</v>
      </c>
      <c r="Q226" s="20" t="n">
        <v>-132</v>
      </c>
      <c r="R226" s="20" t="n">
        <v>-118</v>
      </c>
      <c r="S226" s="20" t="n">
        <v>-100</v>
      </c>
      <c r="T226" s="20" t="n">
        <v>-83</v>
      </c>
      <c r="U226" s="20" t="n">
        <v>-21</v>
      </c>
      <c r="V226" s="20" t="n">
        <v>-16</v>
      </c>
      <c r="W226" s="20" t="n">
        <v>-31</v>
      </c>
      <c r="X226" s="20" t="n">
        <v>-59</v>
      </c>
    </row>
    <row r="227">
      <c r="A227" s="18" t="inlineStr">
        <is>
          <t>법인세 납부</t>
        </is>
      </c>
      <c r="D227" s="20" t="n">
        <v>-1409</v>
      </c>
      <c r="F227" s="20" t="n">
        <v>-708</v>
      </c>
      <c r="H227" s="20" t="n">
        <v>-1334</v>
      </c>
      <c r="J227" s="20" t="n">
        <v>-1428</v>
      </c>
      <c r="L227" s="20" t="n">
        <v>-2031</v>
      </c>
      <c r="N227" s="20" t="n">
        <v>-826</v>
      </c>
      <c r="O227" s="20" t="n">
        <v>-1041</v>
      </c>
      <c r="P227" s="20" t="n">
        <v>-2035</v>
      </c>
      <c r="Q227" s="20" t="n">
        <v>-1176</v>
      </c>
      <c r="R227" s="20" t="n">
        <v>-773</v>
      </c>
      <c r="S227" s="20" t="n">
        <v>-525</v>
      </c>
      <c r="T227" s="20" t="n">
        <v>-1371</v>
      </c>
      <c r="U227" s="20" t="n">
        <v>-1661</v>
      </c>
      <c r="V227" s="20" t="n">
        <v>-1409</v>
      </c>
      <c r="W227" s="20" t="n">
        <v>-1334</v>
      </c>
      <c r="X227" s="20" t="n">
        <v>-2031</v>
      </c>
    </row>
    <row r="228">
      <c r="A228" s="9" t="inlineStr">
        <is>
          <t>영업활동 현금흐름</t>
        </is>
      </c>
      <c r="D228" s="12" t="n">
        <v>8403</v>
      </c>
      <c r="F228" s="12" t="n">
        <v>3270</v>
      </c>
      <c r="H228" s="12" t="n">
        <v>5833</v>
      </c>
      <c r="J228" s="12" t="n">
        <v>7724</v>
      </c>
      <c r="L228" s="12" t="n">
        <v>9904</v>
      </c>
      <c r="N228" s="12" t="n">
        <v>3073</v>
      </c>
      <c r="O228" s="12" t="n">
        <v>7558</v>
      </c>
      <c r="P228" s="12" t="n">
        <v>9098</v>
      </c>
      <c r="Q228" s="12" t="n">
        <v>5955</v>
      </c>
      <c r="R228" s="12" t="n">
        <v>7114</v>
      </c>
      <c r="S228" s="12" t="n">
        <v>9298</v>
      </c>
      <c r="T228" s="12" t="n">
        <v>6345</v>
      </c>
      <c r="U228" s="12" t="n">
        <v>3702</v>
      </c>
      <c r="V228" s="12" t="n">
        <v>8403</v>
      </c>
      <c r="W228" s="12" t="n">
        <v>5833</v>
      </c>
      <c r="X228" s="12" t="n">
        <v>9904</v>
      </c>
    </row>
    <row r="229">
      <c r="A229" s="18" t="inlineStr">
        <is>
          <t>유형자산 취득(설비투자)</t>
        </is>
      </c>
      <c r="D229" s="20" t="n">
        <v>-7129</v>
      </c>
      <c r="F229" s="20" t="n">
        <v>-6461</v>
      </c>
      <c r="H229" s="20" t="n">
        <v>-9073</v>
      </c>
      <c r="J229" s="20" t="n">
        <v>-3712</v>
      </c>
      <c r="L229" s="20" t="n">
        <v>-7132</v>
      </c>
      <c r="N229" s="20" t="n">
        <v>-5014</v>
      </c>
      <c r="O229" s="20" t="n">
        <v>-2135</v>
      </c>
      <c r="P229" s="20" t="n">
        <v>-3756</v>
      </c>
      <c r="Q229" s="20" t="n">
        <v>-5279</v>
      </c>
      <c r="R229" s="20" t="n">
        <v>-5825</v>
      </c>
      <c r="S229" s="20" t="n">
        <v>-4403</v>
      </c>
      <c r="T229" s="20" t="n">
        <v>-3498</v>
      </c>
      <c r="U229" s="20" t="n">
        <v>-5120</v>
      </c>
      <c r="V229" s="20" t="n">
        <v>-7129</v>
      </c>
      <c r="W229" s="20" t="n">
        <v>-9073</v>
      </c>
      <c r="X229" s="20" t="n">
        <v>-7132</v>
      </c>
    </row>
    <row r="230">
      <c r="A230" s="18" t="inlineStr">
        <is>
          <t>유형자산 매각</t>
        </is>
      </c>
      <c r="D230" s="20" t="n">
        <v>3</v>
      </c>
      <c r="F230" s="20" t="n">
        <v>1119</v>
      </c>
      <c r="H230" s="20" t="n">
        <v>1127</v>
      </c>
      <c r="J230" s="20" t="n">
        <v>0</v>
      </c>
      <c r="L230" s="20" t="n">
        <v>70</v>
      </c>
      <c r="N230" s="20" t="n">
        <v>4</v>
      </c>
      <c r="O230" s="20" t="n">
        <v>1439</v>
      </c>
      <c r="P230" s="20" t="n">
        <v>12</v>
      </c>
      <c r="Q230" s="20" t="n">
        <v>32</v>
      </c>
      <c r="R230" s="20" t="n">
        <v>414</v>
      </c>
      <c r="S230" s="20" t="n">
        <v>7</v>
      </c>
      <c r="T230" s="20" t="n">
        <v>705</v>
      </c>
      <c r="U230" s="20" t="n">
        <v>1957</v>
      </c>
      <c r="V230" s="20" t="n">
        <v>3</v>
      </c>
      <c r="W230" s="20" t="n">
        <v>1127</v>
      </c>
      <c r="X230" s="20" t="n">
        <v>70</v>
      </c>
    </row>
    <row r="231">
      <c r="A231" s="18" t="inlineStr">
        <is>
          <t>Proceeds From Reception Of Subsidy Inv CF</t>
        </is>
      </c>
      <c r="O231" s="20" t="n">
        <v>3</v>
      </c>
      <c r="P231" s="20" t="n">
        <v>17</v>
      </c>
      <c r="Q231" s="20" t="n">
        <v>14</v>
      </c>
      <c r="R231" s="20" t="n">
        <v>1</v>
      </c>
    </row>
    <row r="232">
      <c r="A232" s="18" t="inlineStr">
        <is>
          <t>Proceeds From Governmental Subsidy Income Inv CF</t>
        </is>
      </c>
      <c r="D232" s="20" t="n">
        <v>52</v>
      </c>
      <c r="F232" s="20" t="n">
        <v>42</v>
      </c>
      <c r="H232" s="20" t="n">
        <v>346</v>
      </c>
      <c r="J232" s="20" t="n">
        <v>10</v>
      </c>
      <c r="L232" s="20" t="n">
        <v>10</v>
      </c>
      <c r="N232" s="20" t="n">
        <v>826</v>
      </c>
      <c r="R232" s="20" t="n">
        <v>1</v>
      </c>
      <c r="S232" s="20" t="n">
        <v>268</v>
      </c>
      <c r="T232" s="20" t="n">
        <v>121</v>
      </c>
      <c r="U232" s="20" t="n">
        <v>19</v>
      </c>
      <c r="V232" s="20" t="n">
        <v>52</v>
      </c>
      <c r="W232" s="20" t="n">
        <v>346</v>
      </c>
      <c r="X232" s="20" t="n">
        <v>10</v>
      </c>
    </row>
    <row r="233">
      <c r="A233" s="18" t="inlineStr">
        <is>
          <t>투자유가증권 취득</t>
        </is>
      </c>
      <c r="D233" s="20" t="n">
        <v>-61</v>
      </c>
      <c r="F233" s="20" t="n">
        <v>-6</v>
      </c>
      <c r="H233" s="20" t="n">
        <v>-12</v>
      </c>
      <c r="J233" s="20" t="n">
        <v>-6</v>
      </c>
      <c r="L233" s="20" t="n">
        <v>-13</v>
      </c>
      <c r="N233" s="20" t="n">
        <v>-6</v>
      </c>
      <c r="O233" s="20" t="n">
        <v>-9</v>
      </c>
      <c r="P233" s="20" t="n">
        <v>-30</v>
      </c>
      <c r="Q233" s="20" t="n">
        <v>-9</v>
      </c>
      <c r="R233" s="20" t="n">
        <v>-9</v>
      </c>
      <c r="S233" s="20" t="n">
        <v>-10</v>
      </c>
      <c r="T233" s="20" t="n">
        <v>-11</v>
      </c>
      <c r="U233" s="20" t="n">
        <v>-21</v>
      </c>
      <c r="V233" s="20" t="n">
        <v>-61</v>
      </c>
      <c r="W233" s="20" t="n">
        <v>-12</v>
      </c>
      <c r="X233" s="20" t="n">
        <v>-13</v>
      </c>
    </row>
    <row r="234">
      <c r="A234" s="18" t="inlineStr">
        <is>
          <t>투자유가증권 매각</t>
        </is>
      </c>
      <c r="D234" s="20" t="n">
        <v>611</v>
      </c>
      <c r="F234" s="20" t="n">
        <v>0</v>
      </c>
      <c r="H234" s="20" t="n">
        <v>3377</v>
      </c>
      <c r="L234" s="20" t="n">
        <v>0</v>
      </c>
      <c r="O234" s="20" t="n">
        <v>0</v>
      </c>
      <c r="P234" s="20" t="n">
        <v>6</v>
      </c>
      <c r="Q234" s="20" t="n">
        <v>174</v>
      </c>
      <c r="R234" s="20" t="n">
        <v>54</v>
      </c>
      <c r="S234" s="20" t="n">
        <v>19</v>
      </c>
      <c r="T234" s="20" t="n">
        <v>58</v>
      </c>
      <c r="U234" s="20" t="n">
        <v>0</v>
      </c>
      <c r="V234" s="20" t="n">
        <v>611</v>
      </c>
      <c r="W234" s="20" t="n">
        <v>3377</v>
      </c>
      <c r="X234" s="20" t="n">
        <v>0</v>
      </c>
    </row>
    <row r="235">
      <c r="A235" s="18" t="inlineStr">
        <is>
          <t>Payments Of Loans Receivable To Subsidiaries And Affiliates Inv CF</t>
        </is>
      </c>
      <c r="D235" s="20" t="n">
        <v>-468</v>
      </c>
      <c r="F235" s="20" t="n">
        <v>-351</v>
      </c>
      <c r="H235" s="20" t="n">
        <v>-790</v>
      </c>
      <c r="J235" s="20" t="n">
        <v>0</v>
      </c>
      <c r="L235" s="20" t="n">
        <v>0</v>
      </c>
      <c r="U235" s="20" t="n">
        <v>0</v>
      </c>
      <c r="V235" s="20" t="n">
        <v>-468</v>
      </c>
      <c r="W235" s="20" t="n">
        <v>-790</v>
      </c>
      <c r="X235" s="20" t="n">
        <v>0</v>
      </c>
    </row>
    <row r="236">
      <c r="A236" s="18" t="inlineStr">
        <is>
          <t>대여금 회수</t>
        </is>
      </c>
      <c r="D236" s="20" t="n">
        <v>1</v>
      </c>
      <c r="F236" s="20" t="n">
        <v>109</v>
      </c>
      <c r="H236" s="20" t="n">
        <v>109</v>
      </c>
      <c r="J236" s="20" t="n">
        <v>0</v>
      </c>
      <c r="L236" s="20" t="n">
        <v>0</v>
      </c>
      <c r="N236" s="20" t="n">
        <v>0</v>
      </c>
      <c r="O236" s="20" t="n">
        <v>5</v>
      </c>
      <c r="P236" s="20" t="n">
        <v>5</v>
      </c>
      <c r="Q236" s="20" t="n">
        <v>7</v>
      </c>
      <c r="R236" s="20" t="n">
        <v>5</v>
      </c>
      <c r="S236" s="20" t="n">
        <v>3</v>
      </c>
      <c r="T236" s="20" t="n">
        <v>2</v>
      </c>
      <c r="U236" s="20" t="n">
        <v>1</v>
      </c>
      <c r="V236" s="20" t="n">
        <v>1</v>
      </c>
      <c r="W236" s="20" t="n">
        <v>109</v>
      </c>
      <c r="X236" s="20" t="n">
        <v>0</v>
      </c>
    </row>
    <row r="237">
      <c r="A237" s="18" t="inlineStr">
        <is>
          <t>관계회사 출자금 납입</t>
        </is>
      </c>
      <c r="D237" s="20" t="n">
        <v>-455</v>
      </c>
      <c r="F237" s="20" t="n">
        <v>0</v>
      </c>
      <c r="H237" s="20" t="n">
        <v>0</v>
      </c>
      <c r="U237" s="20" t="n">
        <v>0</v>
      </c>
      <c r="V237" s="20" t="n">
        <v>-455</v>
      </c>
      <c r="W237" s="20" t="n">
        <v>0</v>
      </c>
    </row>
    <row r="238">
      <c r="A238" s="18" t="inlineStr">
        <is>
          <t>출자금 납입</t>
        </is>
      </c>
      <c r="H238" s="20" t="n">
        <v>0</v>
      </c>
      <c r="J238" s="20" t="n">
        <v>0</v>
      </c>
      <c r="L238" s="20" t="n">
        <v>-153</v>
      </c>
      <c r="N238" s="20" t="n">
        <v>-1280</v>
      </c>
      <c r="W238" s="20" t="n">
        <v>0</v>
      </c>
      <c r="X238" s="20" t="n">
        <v>-153</v>
      </c>
    </row>
    <row r="239">
      <c r="A239" s="18" t="inlineStr">
        <is>
          <t>연결범위 변경 자회사 주식 취득</t>
        </is>
      </c>
      <c r="J239" s="20" t="n">
        <v>0</v>
      </c>
      <c r="N239" s="20" t="n">
        <v>-2593</v>
      </c>
    </row>
    <row r="240">
      <c r="A240" s="18" t="inlineStr">
        <is>
          <t>기타</t>
        </is>
      </c>
      <c r="D240" s="20" t="n">
        <v>-449</v>
      </c>
      <c r="F240" s="20" t="n">
        <v>-336</v>
      </c>
      <c r="H240" s="20" t="n">
        <v>-792</v>
      </c>
      <c r="J240" s="20" t="n">
        <v>-418</v>
      </c>
      <c r="L240" s="20" t="n">
        <v>-750</v>
      </c>
      <c r="N240" s="20" t="n">
        <v>-190</v>
      </c>
      <c r="O240" s="20" t="n">
        <v>-19</v>
      </c>
      <c r="P240" s="20" t="n">
        <v>-276</v>
      </c>
      <c r="Q240" s="20" t="n">
        <v>-207</v>
      </c>
      <c r="R240" s="20" t="n">
        <v>-206</v>
      </c>
      <c r="S240" s="20" t="n">
        <v>-241</v>
      </c>
      <c r="T240" s="20" t="n">
        <v>-140</v>
      </c>
      <c r="U240" s="20" t="n">
        <v>-145</v>
      </c>
      <c r="V240" s="20" t="n">
        <v>-449</v>
      </c>
      <c r="W240" s="20" t="n">
        <v>-792</v>
      </c>
      <c r="X240" s="20" t="n">
        <v>-750</v>
      </c>
    </row>
    <row r="241">
      <c r="A241" s="9" t="inlineStr">
        <is>
          <t>투자활동 현금흐름</t>
        </is>
      </c>
      <c r="D241" s="12" t="n">
        <v>-7897</v>
      </c>
      <c r="F241" s="12" t="n">
        <v>-5885</v>
      </c>
      <c r="H241" s="12" t="n">
        <v>-5708</v>
      </c>
      <c r="J241" s="12" t="n">
        <v>-4126</v>
      </c>
      <c r="L241" s="12" t="n">
        <v>-7970</v>
      </c>
      <c r="N241" s="12" t="n">
        <v>-8255</v>
      </c>
      <c r="O241" s="12" t="n">
        <v>-715</v>
      </c>
      <c r="P241" s="12" t="n">
        <v>-4020</v>
      </c>
      <c r="Q241" s="12" t="n">
        <v>-5267</v>
      </c>
      <c r="R241" s="12" t="n">
        <v>-5566</v>
      </c>
      <c r="S241" s="12" t="n">
        <v>-4356</v>
      </c>
      <c r="T241" s="12" t="n">
        <v>-2763</v>
      </c>
      <c r="U241" s="12" t="n">
        <v>-3310</v>
      </c>
      <c r="V241" s="12" t="n">
        <v>-7897</v>
      </c>
      <c r="W241" s="12" t="n">
        <v>-5708</v>
      </c>
      <c r="X241" s="12" t="n">
        <v>-7970</v>
      </c>
    </row>
    <row r="242">
      <c r="A242" s="18" t="inlineStr">
        <is>
          <t>단기차입금 순증감</t>
        </is>
      </c>
      <c r="D242" s="20" t="n">
        <v>-21</v>
      </c>
      <c r="F242" s="20" t="n">
        <v>3699</v>
      </c>
      <c r="H242" s="20" t="n">
        <v>2938</v>
      </c>
      <c r="J242" s="20" t="n">
        <v>0</v>
      </c>
      <c r="L242" s="20" t="n">
        <v>1001</v>
      </c>
      <c r="N242" s="20" t="n">
        <v>-1096</v>
      </c>
      <c r="O242" s="20" t="n">
        <v>-4440</v>
      </c>
      <c r="P242" s="20" t="n">
        <v>-900</v>
      </c>
      <c r="Q242" s="20" t="n">
        <v>1100</v>
      </c>
      <c r="R242" s="20" t="n">
        <v>259</v>
      </c>
      <c r="S242" s="20" t="n">
        <v>-2064</v>
      </c>
      <c r="T242" s="20" t="n">
        <v>-1410</v>
      </c>
      <c r="U242" s="20" t="n">
        <v>-369</v>
      </c>
      <c r="V242" s="20" t="n">
        <v>-21</v>
      </c>
      <c r="W242" s="20" t="n">
        <v>2938</v>
      </c>
      <c r="X242" s="20" t="n">
        <v>1001</v>
      </c>
    </row>
    <row r="243">
      <c r="A243" s="18" t="inlineStr">
        <is>
          <t>장기차입</t>
        </is>
      </c>
      <c r="D243" s="20" t="n">
        <v>0</v>
      </c>
      <c r="F243" s="20" t="n">
        <v>1950</v>
      </c>
      <c r="H243" s="20" t="n">
        <v>1950</v>
      </c>
      <c r="J243" s="20" t="n">
        <v>0</v>
      </c>
      <c r="L243" s="20" t="n">
        <v>0</v>
      </c>
      <c r="N243" s="20" t="n">
        <v>13700</v>
      </c>
      <c r="O243" s="20" t="n">
        <v>1800</v>
      </c>
      <c r="P243" s="20" t="n">
        <v>490</v>
      </c>
      <c r="Q243" s="20" t="n">
        <v>560</v>
      </c>
      <c r="R243" s="20" t="n">
        <v>1000</v>
      </c>
      <c r="S243" s="20" t="n">
        <v>730</v>
      </c>
      <c r="T243" s="20" t="n">
        <v>80</v>
      </c>
      <c r="U243" s="20" t="n">
        <v>0</v>
      </c>
      <c r="V243" s="20" t="n">
        <v>0</v>
      </c>
      <c r="W243" s="20" t="n">
        <v>1950</v>
      </c>
      <c r="X243" s="20" t="n">
        <v>0</v>
      </c>
    </row>
    <row r="244">
      <c r="A244" s="18" t="inlineStr">
        <is>
          <t>장기차입금 상환</t>
        </is>
      </c>
      <c r="D244" s="20" t="n">
        <v>-453</v>
      </c>
      <c r="F244" s="20" t="n">
        <v>-398</v>
      </c>
      <c r="H244" s="20" t="n">
        <v>-674</v>
      </c>
      <c r="J244" s="20" t="n">
        <v>-216</v>
      </c>
      <c r="L244" s="20" t="n">
        <v>-389</v>
      </c>
      <c r="N244" s="20" t="n">
        <v>-1095</v>
      </c>
      <c r="O244" s="20" t="n">
        <v>-3036</v>
      </c>
      <c r="P244" s="20" t="n">
        <v>-2869</v>
      </c>
      <c r="Q244" s="20" t="n">
        <v>-2769</v>
      </c>
      <c r="R244" s="20" t="n">
        <v>-1978</v>
      </c>
      <c r="S244" s="20" t="n">
        <v>-1352</v>
      </c>
      <c r="T244" s="20" t="n">
        <v>-996</v>
      </c>
      <c r="U244" s="20" t="n">
        <v>-570</v>
      </c>
      <c r="V244" s="20" t="n">
        <v>-453</v>
      </c>
      <c r="W244" s="20" t="n">
        <v>-674</v>
      </c>
      <c r="X244" s="20" t="n">
        <v>-389</v>
      </c>
    </row>
    <row r="245">
      <c r="A245" s="18" t="inlineStr">
        <is>
          <t>리스부채 상환</t>
        </is>
      </c>
      <c r="D245" s="20" t="n">
        <v>0</v>
      </c>
      <c r="F245" s="20" t="n">
        <v>0</v>
      </c>
      <c r="H245" s="20" t="n">
        <v>-0</v>
      </c>
      <c r="J245" s="20" t="n">
        <v>-0</v>
      </c>
      <c r="L245" s="20" t="n">
        <v>-1</v>
      </c>
      <c r="N245" s="20" t="n">
        <v>-0</v>
      </c>
      <c r="O245" s="20" t="n">
        <v>-568</v>
      </c>
      <c r="P245" s="20" t="n">
        <v>-17</v>
      </c>
      <c r="Q245" s="20" t="n">
        <v>-2</v>
      </c>
      <c r="R245" s="20" t="n">
        <v>0</v>
      </c>
      <c r="V245" s="20" t="n">
        <v>0</v>
      </c>
      <c r="W245" s="20" t="n">
        <v>-0</v>
      </c>
      <c r="X245" s="20" t="n">
        <v>-1</v>
      </c>
    </row>
    <row r="246">
      <c r="A246" s="18" t="inlineStr">
        <is>
          <t>자기주식 취득</t>
        </is>
      </c>
      <c r="D246" s="20" t="n">
        <v>-2</v>
      </c>
      <c r="F246" s="20" t="n">
        <v>-2</v>
      </c>
      <c r="H246" s="20" t="n">
        <v>-1276</v>
      </c>
      <c r="J246" s="20" t="n">
        <v>-1229</v>
      </c>
      <c r="L246" s="20" t="n">
        <v>-1231</v>
      </c>
      <c r="N246" s="20" t="n">
        <v>-1</v>
      </c>
      <c r="O246" s="20" t="n">
        <v>-5</v>
      </c>
      <c r="P246" s="20" t="n">
        <v>-16</v>
      </c>
      <c r="Q246" s="20" t="n">
        <v>-6</v>
      </c>
      <c r="R246" s="20" t="n">
        <v>-2</v>
      </c>
      <c r="S246" s="20" t="n">
        <v>-1</v>
      </c>
      <c r="T246" s="20" t="n">
        <v>-2</v>
      </c>
      <c r="U246" s="20" t="n">
        <v>-1</v>
      </c>
      <c r="V246" s="20" t="n">
        <v>-2</v>
      </c>
      <c r="W246" s="20" t="n">
        <v>-1276</v>
      </c>
      <c r="X246" s="20" t="n">
        <v>-1231</v>
      </c>
    </row>
    <row r="247">
      <c r="A247" s="18" t="inlineStr">
        <is>
          <t>자기주식 처분</t>
        </is>
      </c>
      <c r="D247" s="20" t="n">
        <v>293</v>
      </c>
      <c r="H247" s="20" t="n">
        <v>0</v>
      </c>
      <c r="U247" s="20" t="n">
        <v>0</v>
      </c>
      <c r="V247" s="20" t="n">
        <v>293</v>
      </c>
      <c r="W247" s="20" t="n">
        <v>0</v>
      </c>
    </row>
    <row r="248">
      <c r="A248" s="18" t="inlineStr">
        <is>
          <t>배당금 지급</t>
        </is>
      </c>
      <c r="D248" s="20" t="n">
        <v>-1009</v>
      </c>
      <c r="F248" s="20" t="n">
        <v>-1324</v>
      </c>
      <c r="H248" s="20" t="n">
        <v>-1987</v>
      </c>
      <c r="J248" s="20" t="n">
        <v>-1215</v>
      </c>
      <c r="L248" s="20" t="n">
        <v>-2284</v>
      </c>
      <c r="N248" s="20" t="n">
        <v>-1120</v>
      </c>
      <c r="O248" s="20" t="n">
        <v>-444</v>
      </c>
      <c r="P248" s="20" t="n">
        <v>-593</v>
      </c>
      <c r="Q248" s="20" t="n">
        <v>-771</v>
      </c>
      <c r="R248" s="20" t="n">
        <v>-652</v>
      </c>
      <c r="S248" s="20" t="n">
        <v>-652</v>
      </c>
      <c r="T248" s="20" t="n">
        <v>-712</v>
      </c>
      <c r="U248" s="20" t="n">
        <v>-831</v>
      </c>
      <c r="V248" s="20" t="n">
        <v>-1009</v>
      </c>
      <c r="W248" s="20" t="n">
        <v>-1987</v>
      </c>
      <c r="X248" s="20" t="n">
        <v>-2284</v>
      </c>
    </row>
    <row r="249">
      <c r="A249" s="9" t="inlineStr">
        <is>
          <t>재무활동 현금흐름</t>
        </is>
      </c>
      <c r="D249" s="12" t="n">
        <v>-1194</v>
      </c>
      <c r="F249" s="12" t="n">
        <v>3923</v>
      </c>
      <c r="H249" s="12" t="n">
        <v>948</v>
      </c>
      <c r="J249" s="12" t="n">
        <v>-2662</v>
      </c>
      <c r="L249" s="12" t="n">
        <v>-2906</v>
      </c>
      <c r="N249" s="12" t="n">
        <v>10384</v>
      </c>
      <c r="O249" s="12" t="n">
        <v>-6695</v>
      </c>
      <c r="P249" s="12" t="n">
        <v>-3906</v>
      </c>
      <c r="Q249" s="12" t="n">
        <v>-1888</v>
      </c>
      <c r="R249" s="12" t="n">
        <v>-1374</v>
      </c>
      <c r="S249" s="12" t="n">
        <v>-3341</v>
      </c>
      <c r="T249" s="12" t="n">
        <v>-3041</v>
      </c>
      <c r="U249" s="12" t="n">
        <v>-1773</v>
      </c>
      <c r="V249" s="12" t="n">
        <v>-1194</v>
      </c>
      <c r="W249" s="12" t="n">
        <v>948</v>
      </c>
      <c r="X249" s="12" t="n">
        <v>-2906</v>
      </c>
    </row>
    <row r="250">
      <c r="A250" s="18" t="inlineStr">
        <is>
          <t>현금성자산 환산차이</t>
        </is>
      </c>
      <c r="D250" s="20" t="n">
        <v>46</v>
      </c>
      <c r="F250" s="20" t="n">
        <v>78</v>
      </c>
      <c r="H250" s="20" t="n">
        <v>68</v>
      </c>
      <c r="J250" s="20" t="n">
        <v>-24</v>
      </c>
      <c r="L250" s="20" t="n">
        <v>7</v>
      </c>
      <c r="N250" s="20" t="n">
        <v>10</v>
      </c>
      <c r="O250" s="20" t="n">
        <v>-60</v>
      </c>
      <c r="P250" s="20" t="n">
        <v>-2</v>
      </c>
      <c r="Q250" s="20" t="n">
        <v>-9</v>
      </c>
      <c r="R250" s="20" t="n">
        <v>-0</v>
      </c>
      <c r="S250" s="20" t="n">
        <v>-27</v>
      </c>
      <c r="T250" s="20" t="n">
        <v>44</v>
      </c>
      <c r="U250" s="20" t="n">
        <v>63</v>
      </c>
      <c r="V250" s="20" t="n">
        <v>46</v>
      </c>
      <c r="W250" s="20" t="n">
        <v>68</v>
      </c>
      <c r="X250" s="20" t="n">
        <v>7</v>
      </c>
    </row>
    <row r="251">
      <c r="A251" s="18" t="inlineStr">
        <is>
          <t>현금성자산 증감</t>
        </is>
      </c>
      <c r="D251" s="20" t="n">
        <v>-641</v>
      </c>
      <c r="F251" s="20" t="n">
        <v>1387</v>
      </c>
      <c r="H251" s="20" t="n">
        <v>1142</v>
      </c>
      <c r="J251" s="20" t="n">
        <v>911</v>
      </c>
      <c r="L251" s="20" t="n">
        <v>-964</v>
      </c>
      <c r="N251" s="20" t="n">
        <v>5213</v>
      </c>
      <c r="O251" s="20" t="n">
        <v>87</v>
      </c>
      <c r="P251" s="20" t="n">
        <v>1168</v>
      </c>
      <c r="Q251" s="20" t="n">
        <v>-1210</v>
      </c>
      <c r="R251" s="20" t="n">
        <v>174</v>
      </c>
      <c r="S251" s="20" t="n">
        <v>1574</v>
      </c>
      <c r="T251" s="20" t="n">
        <v>586</v>
      </c>
      <c r="U251" s="20" t="n">
        <v>-1317</v>
      </c>
      <c r="V251" s="20" t="n">
        <v>-641</v>
      </c>
      <c r="W251" s="20" t="n">
        <v>1142</v>
      </c>
      <c r="X251" s="20" t="n">
        <v>-964</v>
      </c>
    </row>
    <row r="252">
      <c r="A252" s="18" t="inlineStr">
        <is>
          <t>연결범위 변경에 따른 현금성자산 증감</t>
        </is>
      </c>
      <c r="J252" s="20" t="n">
        <v>0</v>
      </c>
      <c r="N252" s="20" t="n">
        <v>209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4221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2025.2Q</t>
        </is>
      </c>
      <c r="D3" s="5" t="inlineStr">
        <is>
          <t>2025.3Q</t>
        </is>
      </c>
      <c r="E3" s="5" t="inlineStr">
        <is>
          <t>2025.4Q</t>
        </is>
      </c>
      <c r="F3" s="5" t="inlineStr">
        <is>
          <t>2026.1Q</t>
        </is>
      </c>
      <c r="G3" s="5" t="inlineStr">
        <is>
          <t>2026.2Q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54093</v>
      </c>
      <c r="D5" s="12" t="n">
        <v>51528</v>
      </c>
      <c r="E5" s="12" t="n">
        <v>52664</v>
      </c>
      <c r="F5" s="12" t="n">
        <v>63500</v>
      </c>
      <c r="G5" s="12" t="n">
        <v>67344</v>
      </c>
      <c r="H5" s="11" t="n">
        <v>46959</v>
      </c>
      <c r="I5" s="12" t="n">
        <v>50640</v>
      </c>
      <c r="J5" s="12" t="n">
        <v>50947</v>
      </c>
      <c r="K5" s="12" t="n">
        <v>55545</v>
      </c>
      <c r="L5" s="12" t="n">
        <v>52664</v>
      </c>
    </row>
    <row r="6">
      <c r="A6" s="18" t="inlineStr">
        <is>
          <t>현금및현금성자산</t>
        </is>
      </c>
      <c r="B6" s="10" t="n"/>
      <c r="C6" s="19" t="n">
        <v>9860</v>
      </c>
      <c r="D6" s="20" t="n">
        <v>7802</v>
      </c>
      <c r="E6" s="20" t="n">
        <v>7984</v>
      </c>
      <c r="F6" s="20" t="n">
        <v>18474</v>
      </c>
      <c r="G6" s="20" t="n">
        <v>13408</v>
      </c>
      <c r="H6" s="19" t="n">
        <v>9765</v>
      </c>
      <c r="I6" s="20" t="n">
        <v>8448</v>
      </c>
      <c r="J6" s="20" t="n">
        <v>7806</v>
      </c>
      <c r="K6" s="20" t="n">
        <v>8949</v>
      </c>
      <c r="L6" s="20" t="n">
        <v>7984</v>
      </c>
    </row>
    <row r="7">
      <c r="A7" s="18" t="inlineStr">
        <is>
          <t>단기금융상품</t>
        </is>
      </c>
      <c r="B7" s="10" t="n"/>
      <c r="C7" s="19" t="n"/>
      <c r="D7" s="20" t="n"/>
      <c r="E7" s="20" t="n">
        <v>0</v>
      </c>
      <c r="F7" s="20" t="n"/>
      <c r="G7" s="20" t="n">
        <v>23</v>
      </c>
      <c r="H7" s="19" t="n"/>
      <c r="I7" s="20" t="n"/>
      <c r="J7" s="20" t="n"/>
      <c r="K7" s="20" t="n"/>
      <c r="L7" s="20" t="n">
        <v>0</v>
      </c>
    </row>
    <row r="8">
      <c r="A8" s="18" t="inlineStr">
        <is>
          <t>매출채권</t>
        </is>
      </c>
      <c r="B8" s="10" t="n"/>
      <c r="C8" s="19" t="n">
        <v>19729</v>
      </c>
      <c r="D8" s="20" t="n">
        <v>19352</v>
      </c>
      <c r="E8" s="20" t="n">
        <v>19263</v>
      </c>
      <c r="F8" s="20" t="n">
        <v>18535</v>
      </c>
      <c r="G8" s="20" t="n">
        <v>24345</v>
      </c>
      <c r="H8" s="19" t="n">
        <v>16823</v>
      </c>
      <c r="I8" s="20" t="n">
        <v>17473</v>
      </c>
      <c r="J8" s="20" t="n">
        <v>18702</v>
      </c>
      <c r="K8" s="20" t="n">
        <v>20170</v>
      </c>
      <c r="L8" s="20" t="n">
        <v>19263</v>
      </c>
    </row>
    <row r="9">
      <c r="A9" s="18" t="inlineStr">
        <is>
          <t>재고자산</t>
        </is>
      </c>
      <c r="B9" s="10" t="n"/>
      <c r="C9" s="19" t="n">
        <v>13898</v>
      </c>
      <c r="D9" s="20" t="n">
        <v>14499</v>
      </c>
      <c r="E9" s="20" t="n">
        <v>12926</v>
      </c>
      <c r="F9" s="20" t="n">
        <v>14593</v>
      </c>
      <c r="G9" s="20" t="n">
        <v>15698</v>
      </c>
      <c r="H9" s="19" t="n">
        <v>9961</v>
      </c>
      <c r="I9" s="20" t="n">
        <v>11774</v>
      </c>
      <c r="J9" s="20" t="n">
        <v>11774</v>
      </c>
      <c r="K9" s="20" t="n">
        <v>12705</v>
      </c>
      <c r="L9" s="20" t="n">
        <v>12926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48063</v>
      </c>
      <c r="D11" s="12" t="n">
        <v>49401</v>
      </c>
      <c r="E11" s="12" t="n">
        <v>50378</v>
      </c>
      <c r="F11" s="12" t="n">
        <v>54189</v>
      </c>
      <c r="G11" s="12" t="n">
        <v>55157</v>
      </c>
      <c r="H11" s="11" t="n">
        <v>38910</v>
      </c>
      <c r="I11" s="12" t="n">
        <v>39594</v>
      </c>
      <c r="J11" s="12" t="n">
        <v>49325</v>
      </c>
      <c r="K11" s="12" t="n">
        <v>47469</v>
      </c>
      <c r="L11" s="12" t="n">
        <v>50378</v>
      </c>
    </row>
    <row r="12">
      <c r="A12" s="18" t="inlineStr">
        <is>
          <t>유형자산</t>
        </is>
      </c>
      <c r="B12" s="10" t="n"/>
      <c r="C12" s="19" t="n">
        <v>34786</v>
      </c>
      <c r="D12" s="20" t="n">
        <v>34479</v>
      </c>
      <c r="E12" s="20" t="n">
        <v>34924</v>
      </c>
      <c r="F12" s="20" t="n">
        <v>40024</v>
      </c>
      <c r="G12" s="20" t="n">
        <v>39643</v>
      </c>
      <c r="H12" s="19" t="n">
        <v>28505</v>
      </c>
      <c r="I12" s="20" t="n">
        <v>28970</v>
      </c>
      <c r="J12" s="20" t="n">
        <v>35616</v>
      </c>
      <c r="K12" s="20" t="n">
        <v>33278</v>
      </c>
      <c r="L12" s="20" t="n">
        <v>34924</v>
      </c>
    </row>
    <row r="13">
      <c r="A13" s="18" t="inlineStr">
        <is>
          <t>무형자산</t>
        </is>
      </c>
      <c r="B13" s="10" t="n"/>
      <c r="C13" s="19" t="n">
        <v>1727</v>
      </c>
      <c r="D13" s="20" t="n">
        <v>1825</v>
      </c>
      <c r="E13" s="20" t="n">
        <v>1960</v>
      </c>
      <c r="F13" s="20" t="n">
        <v>2296</v>
      </c>
      <c r="G13" s="20" t="n">
        <v>2276</v>
      </c>
      <c r="H13" s="19" t="n">
        <v>720</v>
      </c>
      <c r="I13" s="20" t="n">
        <v>642</v>
      </c>
      <c r="J13" s="20" t="n">
        <v>888</v>
      </c>
      <c r="K13" s="20" t="n">
        <v>1420</v>
      </c>
      <c r="L13" s="20" t="n">
        <v>1960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102156</v>
      </c>
      <c r="D16" s="12" t="n">
        <v>100930</v>
      </c>
      <c r="E16" s="12" t="n">
        <v>103043</v>
      </c>
      <c r="F16" s="12" t="n">
        <v>117690</v>
      </c>
      <c r="G16" s="12" t="n">
        <v>122501</v>
      </c>
      <c r="H16" s="11" t="n">
        <v>85869</v>
      </c>
      <c r="I16" s="12" t="n">
        <v>90234</v>
      </c>
      <c r="J16" s="12" t="n">
        <v>100272</v>
      </c>
      <c r="K16" s="12" t="n">
        <v>103014</v>
      </c>
      <c r="L16" s="12" t="n">
        <v>103043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35051</v>
      </c>
      <c r="D18" s="12" t="n">
        <v>32740</v>
      </c>
      <c r="E18" s="12" t="n">
        <v>34478</v>
      </c>
      <c r="F18" s="12" t="n">
        <v>36634</v>
      </c>
      <c r="G18" s="12" t="n">
        <v>39370</v>
      </c>
      <c r="H18" s="11" t="n">
        <v>27971</v>
      </c>
      <c r="I18" s="12" t="n">
        <v>29509</v>
      </c>
      <c r="J18" s="12" t="n">
        <v>34075</v>
      </c>
      <c r="K18" s="12" t="n">
        <v>34851</v>
      </c>
      <c r="L18" s="12" t="n">
        <v>34478</v>
      </c>
    </row>
    <row r="19">
      <c r="A19" s="18" t="inlineStr">
        <is>
          <t>매입채무</t>
        </is>
      </c>
      <c r="B19" s="10" t="n"/>
      <c r="C19" s="19" t="n">
        <v>19866</v>
      </c>
      <c r="D19" s="20" t="n">
        <v>17978</v>
      </c>
      <c r="E19" s="20" t="n">
        <v>16911</v>
      </c>
      <c r="F19" s="20" t="n">
        <v>15239</v>
      </c>
      <c r="G19" s="20" t="n">
        <v>20770</v>
      </c>
      <c r="H19" s="19" t="n">
        <v>16236</v>
      </c>
      <c r="I19" s="20" t="n">
        <v>18179</v>
      </c>
      <c r="J19" s="20" t="n">
        <v>17020</v>
      </c>
      <c r="K19" s="20" t="n">
        <v>18873</v>
      </c>
      <c r="L19" s="20" t="n">
        <v>16911</v>
      </c>
    </row>
    <row r="20">
      <c r="A20" s="18" t="inlineStr">
        <is>
          <t>단기차입금</t>
        </is>
      </c>
      <c r="B20" s="10" t="n"/>
      <c r="C20" s="19" t="n">
        <v>4468</v>
      </c>
      <c r="D20" s="20" t="n">
        <v>4470</v>
      </c>
      <c r="E20" s="20" t="n">
        <v>5474</v>
      </c>
      <c r="F20" s="20" t="n">
        <v>5176</v>
      </c>
      <c r="G20" s="20" t="n">
        <v>4777</v>
      </c>
      <c r="H20" s="19" t="n">
        <v>1914</v>
      </c>
      <c r="I20" s="20" t="n">
        <v>1549</v>
      </c>
      <c r="J20" s="20" t="n">
        <v>1529</v>
      </c>
      <c r="K20" s="20" t="n">
        <v>4471</v>
      </c>
      <c r="L20" s="20" t="n">
        <v>5474</v>
      </c>
    </row>
    <row r="21">
      <c r="A21" s="18" t="inlineStr">
        <is>
          <t>유동성장기부채</t>
        </is>
      </c>
      <c r="B21" s="10" t="n"/>
      <c r="C21" s="19" t="n">
        <v>389</v>
      </c>
      <c r="D21" s="20" t="n">
        <v>389</v>
      </c>
      <c r="E21" s="20" t="n">
        <v>389</v>
      </c>
      <c r="F21" s="20" t="n">
        <v>2585</v>
      </c>
      <c r="G21" s="20" t="n">
        <v>2585</v>
      </c>
      <c r="H21" s="19" t="n">
        <v>570</v>
      </c>
      <c r="I21" s="20" t="n">
        <v>483</v>
      </c>
      <c r="J21" s="20" t="n">
        <v>373</v>
      </c>
      <c r="K21" s="20" t="n">
        <v>389</v>
      </c>
      <c r="L21" s="20" t="n">
        <v>389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5792</v>
      </c>
      <c r="D23" s="12" t="n">
        <v>5990</v>
      </c>
      <c r="E23" s="12" t="n">
        <v>5430</v>
      </c>
      <c r="F23" s="12" t="n">
        <v>17972</v>
      </c>
      <c r="G23" s="12" t="n">
        <v>17690</v>
      </c>
      <c r="H23" s="11" t="n">
        <v>5374</v>
      </c>
      <c r="I23" s="12" t="n">
        <v>5133</v>
      </c>
      <c r="J23" s="12" t="n">
        <v>5327</v>
      </c>
      <c r="K23" s="12" t="n">
        <v>6086</v>
      </c>
      <c r="L23" s="12" t="n">
        <v>5430</v>
      </c>
    </row>
    <row r="24">
      <c r="A24" s="18" t="inlineStr">
        <is>
          <t>장기차입금</t>
        </is>
      </c>
      <c r="B24" s="10" t="n"/>
      <c r="C24" s="19" t="n">
        <v>1042</v>
      </c>
      <c r="D24" s="20" t="n">
        <v>945</v>
      </c>
      <c r="E24" s="20" t="n">
        <v>869</v>
      </c>
      <c r="F24" s="20" t="n">
        <v>13197</v>
      </c>
      <c r="G24" s="20" t="n">
        <v>12555</v>
      </c>
      <c r="H24" s="19" t="n">
        <v>827</v>
      </c>
      <c r="I24" s="20" t="n">
        <v>343</v>
      </c>
      <c r="J24" s="20" t="n">
        <v>0</v>
      </c>
      <c r="K24" s="20" t="n">
        <v>1259</v>
      </c>
      <c r="L24" s="20" t="n">
        <v>869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40844</v>
      </c>
      <c r="D27" s="12" t="n">
        <v>38730</v>
      </c>
      <c r="E27" s="12" t="n">
        <v>39909</v>
      </c>
      <c r="F27" s="12" t="n">
        <v>54606</v>
      </c>
      <c r="G27" s="12" t="n">
        <v>57061</v>
      </c>
      <c r="H27" s="11" t="n">
        <v>33345</v>
      </c>
      <c r="I27" s="12" t="n">
        <v>34643</v>
      </c>
      <c r="J27" s="12" t="n">
        <v>39403</v>
      </c>
      <c r="K27" s="12" t="n">
        <v>40938</v>
      </c>
      <c r="L27" s="12" t="n">
        <v>39909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61281</v>
      </c>
      <c r="D31" s="12" t="n">
        <v>62165</v>
      </c>
      <c r="E31" s="12" t="n">
        <v>63099</v>
      </c>
      <c r="F31" s="12" t="n">
        <v>63028</v>
      </c>
      <c r="G31" s="12" t="n">
        <v>65391</v>
      </c>
      <c r="H31" s="11" t="n">
        <v>52502</v>
      </c>
      <c r="I31" s="12" t="n">
        <v>55571</v>
      </c>
      <c r="J31" s="12" t="n">
        <v>60845</v>
      </c>
      <c r="K31" s="12" t="n">
        <v>62044</v>
      </c>
      <c r="L31" s="12" t="n">
        <v>63099</v>
      </c>
    </row>
    <row r="32">
      <c r="A32" s="18" t="inlineStr">
        <is>
          <t>자본금</t>
        </is>
      </c>
      <c r="B32" s="10" t="n"/>
      <c r="C32" s="19" t="n">
        <v>8619</v>
      </c>
      <c r="D32" s="20" t="n">
        <v>8619</v>
      </c>
      <c r="E32" s="20" t="n">
        <v>8619</v>
      </c>
      <c r="F32" s="20" t="n">
        <v>8619</v>
      </c>
      <c r="G32" s="20" t="n">
        <v>8619</v>
      </c>
      <c r="H32" s="19" t="n">
        <v>8619</v>
      </c>
      <c r="I32" s="20" t="n">
        <v>8619</v>
      </c>
      <c r="J32" s="20" t="n">
        <v>8619</v>
      </c>
      <c r="K32" s="20" t="n">
        <v>8619</v>
      </c>
      <c r="L32" s="20" t="n">
        <v>8619</v>
      </c>
    </row>
    <row r="33">
      <c r="A33" s="18" t="inlineStr">
        <is>
          <t>이익잉여금</t>
        </is>
      </c>
      <c r="B33" s="10" t="n"/>
      <c r="C33" s="19" t="n">
        <v>42090</v>
      </c>
      <c r="D33" s="20" t="n">
        <v>41947</v>
      </c>
      <c r="E33" s="20" t="n">
        <v>42280</v>
      </c>
      <c r="F33" s="20" t="n">
        <v>42314</v>
      </c>
      <c r="G33" s="20" t="n">
        <v>44599</v>
      </c>
      <c r="H33" s="19" t="n">
        <v>32140</v>
      </c>
      <c r="I33" s="20" t="n">
        <v>35094</v>
      </c>
      <c r="J33" s="20" t="n">
        <v>38394</v>
      </c>
      <c r="K33" s="20" t="n">
        <v>40759</v>
      </c>
      <c r="L33" s="20" t="n">
        <v>42280</v>
      </c>
    </row>
    <row r="34">
      <c r="A34" s="18" t="inlineStr">
        <is>
          <t>비지배지분</t>
        </is>
      </c>
      <c r="B34" s="10" t="n"/>
      <c r="C34" s="19" t="n">
        <v>31</v>
      </c>
      <c r="D34" s="20" t="n">
        <v>34</v>
      </c>
      <c r="E34" s="20" t="n">
        <v>35</v>
      </c>
      <c r="F34" s="20" t="n">
        <v>55</v>
      </c>
      <c r="G34" s="20" t="n">
        <v>49</v>
      </c>
      <c r="H34" s="19" t="n">
        <v>22</v>
      </c>
      <c r="I34" s="20" t="n">
        <v>20</v>
      </c>
      <c r="J34" s="20" t="n">
        <v>24</v>
      </c>
      <c r="K34" s="20" t="n">
        <v>31</v>
      </c>
      <c r="L34" s="20" t="n">
        <v>35</v>
      </c>
    </row>
    <row r="35">
      <c r="A35" s="9" t="inlineStr">
        <is>
          <t>자본총계</t>
        </is>
      </c>
      <c r="B35" s="10" t="n"/>
      <c r="C35" s="11" t="n">
        <v>61312</v>
      </c>
      <c r="D35" s="12" t="n">
        <v>62199</v>
      </c>
      <c r="E35" s="12" t="n">
        <v>63134</v>
      </c>
      <c r="F35" s="12" t="n">
        <v>63083</v>
      </c>
      <c r="G35" s="12" t="n">
        <v>65440</v>
      </c>
      <c r="H35" s="11" t="n">
        <v>52524</v>
      </c>
      <c r="I35" s="12" t="n">
        <v>55591</v>
      </c>
      <c r="J35" s="12" t="n">
        <v>60869</v>
      </c>
      <c r="K35" s="12" t="n">
        <v>62075</v>
      </c>
      <c r="L35" s="12" t="n">
        <v>63134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10287</v>
      </c>
      <c r="D37" s="12" t="n"/>
      <c r="E37" s="12" t="n">
        <v>9904</v>
      </c>
      <c r="F37" s="12" t="n"/>
      <c r="G37" s="12" t="n">
        <v>5253</v>
      </c>
      <c r="H37" s="11" t="n">
        <v>6345</v>
      </c>
      <c r="I37" s="12" t="n">
        <v>3702</v>
      </c>
      <c r="J37" s="12" t="n">
        <v>8403</v>
      </c>
      <c r="K37" s="12" t="n">
        <v>5833</v>
      </c>
      <c r="L37" s="12" t="n">
        <v>9904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6324</v>
      </c>
      <c r="D38" s="20" t="n"/>
      <c r="E38" s="20" t="n">
        <v>7132</v>
      </c>
      <c r="F38" s="20" t="n"/>
      <c r="G38" s="20" t="n">
        <v>8434</v>
      </c>
      <c r="H38" s="19" t="n">
        <v>3498</v>
      </c>
      <c r="I38" s="20" t="n">
        <v>5120</v>
      </c>
      <c r="J38" s="20" t="n">
        <v>7129</v>
      </c>
      <c r="K38" s="20" t="n">
        <v>9073</v>
      </c>
      <c r="L38" s="20" t="n">
        <v>7132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1878</v>
      </c>
      <c r="D40" s="20" t="n"/>
      <c r="E40" s="20" t="n">
        <v>2284</v>
      </c>
      <c r="F40" s="20" t="n"/>
      <c r="G40" s="20" t="n">
        <v>2189</v>
      </c>
      <c r="H40" s="19" t="n">
        <v>712</v>
      </c>
      <c r="I40" s="20" t="n">
        <v>831</v>
      </c>
      <c r="J40" s="20" t="n">
        <v>1009</v>
      </c>
      <c r="K40" s="20" t="n">
        <v>1987</v>
      </c>
      <c r="L40" s="20" t="n">
        <v>2284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IFERROR(IF((IF(COUNT('연간'!G65:J65)&lt;4,"",SUM('연간'!G65:J65)))&lt;=0,"적자",C28/(IF(COUNT('연간'!G65:J65)&lt;4,"",SUM('연간'!G65:J65)))),"")</f>
        <v/>
      </c>
      <c r="D49" s="46">
        <f>IFERROR(IF((IF(COUNT('연간'!H65:K65)&lt;4,"",SUM('연간'!H65:K65)))&lt;=0,"적자",D28/(IF(COUNT('연간'!H65:K65)&lt;4,"",SUM('연간'!H65:K65)))),"")</f>
        <v/>
      </c>
      <c r="E49" s="46">
        <f>IFERROR(IF((IF(COUNT('연간'!I65:L65)&lt;4,"",SUM('연간'!I65:L65)))&lt;=0,"적자",E28/(IF(COUNT('연간'!I65:L65)&lt;4,"",SUM('연간'!I65:L65)))),"")</f>
        <v/>
      </c>
      <c r="F49" s="46">
        <f>IFERROR(IF((IF(COUNT('연간'!J65:M65)&lt;4,"",SUM('연간'!J65:M65)))&lt;=0,"적자",F28/(IF(COUNT('연간'!J65:M65)&lt;4,"",SUM('연간'!J65:M65)))),"")</f>
        <v/>
      </c>
      <c r="G49" s="46">
        <f>IFERROR(IF((IF(COUNT('연간'!K65:N65)&lt;4,"",SUM('연간'!K65:N65)))&lt;=0,"적자",G28/(IF(COUNT('연간'!K65:N65)&lt;4,"",SUM('연간'!K65:N65)))),"")</f>
        <v/>
      </c>
      <c r="H49" s="45">
        <f>IFERROR(IF(('연간'!T65)&lt;=0,"적자",H28/('연간'!T65)),"")</f>
        <v/>
      </c>
      <c r="I49" s="46">
        <f>IFERROR(IF(('연간'!U65)&lt;=0,"적자",I28/('연간'!U65)),"")</f>
        <v/>
      </c>
      <c r="J49" s="46">
        <f>IFERROR(IF(('연간'!V65)&lt;=0,"적자",J28/('연간'!V65)),"")</f>
        <v/>
      </c>
      <c r="K49" s="46">
        <f>IFERROR(IF(('연간'!W65)&lt;=0,"적자",K28/('연간'!W65)),"")</f>
        <v/>
      </c>
      <c r="L49" s="46">
        <f>IFERROR(IF(('연간'!X65)&lt;=0,"적자",L28/('연간'!X65)),"")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IFERROR((IF(COUNT('연간'!G65:J65)&lt;4,"",SUM('연간'!G65:J65)))/C31,"")</f>
        <v/>
      </c>
      <c r="D51" s="36">
        <f>IFERROR((IF(COUNT('연간'!H65:K65)&lt;4,"",SUM('연간'!H65:K65)))/D31,"")</f>
        <v/>
      </c>
      <c r="E51" s="36">
        <f>IFERROR((IF(COUNT('연간'!I65:L65)&lt;4,"",SUM('연간'!I65:L65)))/E31,"")</f>
        <v/>
      </c>
      <c r="F51" s="36">
        <f>IFERROR((IF(COUNT('연간'!J65:M65)&lt;4,"",SUM('연간'!J65:M65)))/F31,"")</f>
        <v/>
      </c>
      <c r="G51" s="36">
        <f>IFERROR((IF(COUNT('연간'!K65:N65)&lt;4,"",SUM('연간'!K65:N65)))/G31,"")</f>
        <v/>
      </c>
      <c r="H51" s="35">
        <f>IFERROR(('연간'!T65)/H31,"")</f>
        <v/>
      </c>
      <c r="I51" s="36">
        <f>IFERROR(('연간'!U65)/I31,"")</f>
        <v/>
      </c>
      <c r="J51" s="36">
        <f>IFERROR(('연간'!V65)/J31,"")</f>
        <v/>
      </c>
      <c r="K51" s="36">
        <f>IFERROR(('연간'!W65)/K31,"")</f>
        <v/>
      </c>
      <c r="L51" s="36">
        <f>IFERROR(('연간'!X65)/L31,"")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IFERROR((IF(COUNT('연간'!G64:J64)&lt;4,"",SUM('연간'!G64:J64)))/C16,"")</f>
        <v/>
      </c>
      <c r="D52" s="36">
        <f>IFERROR((IF(COUNT('연간'!H64:K64)&lt;4,"",SUM('연간'!H64:K64)))/D16,"")</f>
        <v/>
      </c>
      <c r="E52" s="36">
        <f>IFERROR((IF(COUNT('연간'!I64:L64)&lt;4,"",SUM('연간'!I64:L64)))/E16,"")</f>
        <v/>
      </c>
      <c r="F52" s="36">
        <f>IFERROR((IF(COUNT('연간'!J64:M64)&lt;4,"",SUM('연간'!J64:M64)))/F16,"")</f>
        <v/>
      </c>
      <c r="G52" s="36">
        <f>IFERROR((IF(COUNT('연간'!K64:N64)&lt;4,"",SUM('연간'!K64:N64)))/G16,"")</f>
        <v/>
      </c>
      <c r="H52" s="35">
        <f>IFERROR(('연간'!T64)/H16,"")</f>
        <v/>
      </c>
      <c r="I52" s="36">
        <f>IFERROR(('연간'!U64)/I16,"")</f>
        <v/>
      </c>
      <c r="J52" s="36">
        <f>IFERROR(('연간'!V64)/J16,"")</f>
        <v/>
      </c>
      <c r="K52" s="36">
        <f>IFERROR(('연간'!W64)/K16,"")</f>
        <v/>
      </c>
      <c r="L52" s="36">
        <f>IFERROR(('연간'!X64)/L16,"")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IFERROR((IF(COUNT('연간'!G33:J33)&lt;4,"",SUM('연간'!G33:J33)))/(IF(COUNT('연간'!G4:J4)&lt;4,"",SUM('연간'!G4:J4))),"")</f>
        <v/>
      </c>
      <c r="D54" s="36">
        <f>IFERROR((IF(COUNT('연간'!H33:K33)&lt;4,"",SUM('연간'!H33:K33)))/(IF(COUNT('연간'!H4:K4)&lt;4,"",SUM('연간'!H4:K4))),"")</f>
        <v/>
      </c>
      <c r="E54" s="36">
        <f>IFERROR((IF(COUNT('연간'!I33:L33)&lt;4,"",SUM('연간'!I33:L33)))/(IF(COUNT('연간'!I4:L4)&lt;4,"",SUM('연간'!I4:L4))),"")</f>
        <v/>
      </c>
      <c r="F54" s="36">
        <f>IFERROR((IF(COUNT('연간'!J33:M33)&lt;4,"",SUM('연간'!J33:M33)))/(IF(COUNT('연간'!J4:M4)&lt;4,"",SUM('연간'!J4:M4))),"")</f>
        <v/>
      </c>
      <c r="G54" s="36">
        <f>IFERROR((IF(COUNT('연간'!K33:N33)&lt;4,"",SUM('연간'!K33:N33)))/(IF(COUNT('연간'!K4:N4)&lt;4,"",SUM('연간'!K4:N4))),"")</f>
        <v/>
      </c>
      <c r="H54" s="35">
        <f>IFERROR(('연간'!T33)/('연간'!T4),"")</f>
        <v/>
      </c>
      <c r="I54" s="36">
        <f>IFERROR(('연간'!U33)/('연간'!U4),"")</f>
        <v/>
      </c>
      <c r="J54" s="36">
        <f>IFERROR(('연간'!V33)/('연간'!V4),"")</f>
        <v/>
      </c>
      <c r="K54" s="36">
        <f>IFERROR(('연간'!W33)/('연간'!W4),"")</f>
        <v/>
      </c>
      <c r="L54" s="36">
        <f>IFERROR(('연간'!X33)/('연간'!X4),"")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IFERROR((IF(COUNT('연간'!G64:J64)&lt;4,"",SUM('연간'!G64:J64)))/(IF(COUNT('연간'!G4:J4)&lt;4,"",SUM('연간'!G4:J4))),"")</f>
        <v/>
      </c>
      <c r="D56" s="36">
        <f>IFERROR((IF(COUNT('연간'!H64:K64)&lt;4,"",SUM('연간'!H64:K64)))/(IF(COUNT('연간'!H4:K4)&lt;4,"",SUM('연간'!H4:K4))),"")</f>
        <v/>
      </c>
      <c r="E56" s="36">
        <f>IFERROR((IF(COUNT('연간'!I64:L64)&lt;4,"",SUM('연간'!I64:L64)))/(IF(COUNT('연간'!I4:L4)&lt;4,"",SUM('연간'!I4:L4))),"")</f>
        <v/>
      </c>
      <c r="F56" s="36">
        <f>IFERROR((IF(COUNT('연간'!J64:M64)&lt;4,"",SUM('연간'!J64:M64)))/(IF(COUNT('연간'!J4:M4)&lt;4,"",SUM('연간'!J4:M4))),"")</f>
        <v/>
      </c>
      <c r="G56" s="36">
        <f>IFERROR((IF(COUNT('연간'!K64:N64)&lt;4,"",SUM('연간'!K64:N64)))/(IF(COUNT('연간'!K4:N4)&lt;4,"",SUM('연간'!K4:N4))),"")</f>
        <v/>
      </c>
      <c r="H56" s="35">
        <f>IFERROR(('연간'!T64)/('연간'!T4),"")</f>
        <v/>
      </c>
      <c r="I56" s="36">
        <f>IFERROR(('연간'!U64)/('연간'!U4),"")</f>
        <v/>
      </c>
      <c r="J56" s="36">
        <f>IFERROR(('연간'!V64)/('연간'!V4),"")</f>
        <v/>
      </c>
      <c r="K56" s="36">
        <f>IFERROR(('연간'!W64)/('연간'!W4),"")</f>
        <v/>
      </c>
      <c r="L56" s="36">
        <f>IFERROR(('연간'!X64)/('연간'!X4),"")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IFERROR(C9/(IF(COUNT('연간'!G32:J32)&lt;4,"",SUM('연간'!G32:J32)))*365,"")</f>
        <v/>
      </c>
      <c r="D60" s="48">
        <f>IFERROR(D9/(IF(COUNT('연간'!H32:K32)&lt;4,"",SUM('연간'!H32:K32)))*365,"")</f>
        <v/>
      </c>
      <c r="E60" s="48">
        <f>IFERROR(E9/(IF(COUNT('연간'!I32:L32)&lt;4,"",SUM('연간'!I32:L32)))*365,"")</f>
        <v/>
      </c>
      <c r="F60" s="48">
        <f>IFERROR(F9/(IF(COUNT('연간'!J32:M32)&lt;4,"",SUM('연간'!J32:M32)))*365,"")</f>
        <v/>
      </c>
      <c r="G60" s="48">
        <f>IFERROR(G9/(IF(COUNT('연간'!K32:N32)&lt;4,"",SUM('연간'!K32:N32)))*365,"")</f>
        <v/>
      </c>
      <c r="H60" s="47">
        <f>IFERROR(H9/('연간'!T32)*365,"")</f>
        <v/>
      </c>
      <c r="I60" s="48">
        <f>IFERROR(I9/('연간'!U32)*365,"")</f>
        <v/>
      </c>
      <c r="J60" s="48">
        <f>IFERROR(J9/('연간'!V32)*365,"")</f>
        <v/>
      </c>
      <c r="K60" s="48">
        <f>IFERROR(K9/('연간'!W32)*365,"")</f>
        <v/>
      </c>
      <c r="L60" s="48">
        <f>IFERROR(L9/('연간'!X32)*365,"")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IFERROR(C19/(IF(COUNT('연간'!G32:J32)&lt;4,"",SUM('연간'!G32:J32)))*365,"")</f>
        <v/>
      </c>
      <c r="D61" s="48">
        <f>IFERROR(D19/(IF(COUNT('연간'!H32:K32)&lt;4,"",SUM('연간'!H32:K32)))*365,"")</f>
        <v/>
      </c>
      <c r="E61" s="48">
        <f>IFERROR(E19/(IF(COUNT('연간'!I32:L32)&lt;4,"",SUM('연간'!I32:L32)))*365,"")</f>
        <v/>
      </c>
      <c r="F61" s="48">
        <f>IFERROR(F19/(IF(COUNT('연간'!J32:M32)&lt;4,"",SUM('연간'!J32:M32)))*365,"")</f>
        <v/>
      </c>
      <c r="G61" s="48">
        <f>IFERROR(G19/(IF(COUNT('연간'!K32:N32)&lt;4,"",SUM('연간'!K32:N32)))*365,"")</f>
        <v/>
      </c>
      <c r="H61" s="47">
        <f>IFERROR(H19/('연간'!T32)*365,"")</f>
        <v/>
      </c>
      <c r="I61" s="48">
        <f>IFERROR(I19/('연간'!U32)*365,"")</f>
        <v/>
      </c>
      <c r="J61" s="48">
        <f>IFERROR(J19/('연간'!V32)*365,"")</f>
        <v/>
      </c>
      <c r="K61" s="48">
        <f>IFERROR(K19/('연간'!W32)*365,"")</f>
        <v/>
      </c>
      <c r="L61" s="48">
        <f>IFERROR(L19/('연간'!X32)*365,"")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IF(C37="","",IFERROR(C37/(IF(COUNT('연간'!G64:J64)&lt;4,"",SUM('연간'!G64:J64))),""))</f>
        <v/>
      </c>
      <c r="D64" s="31">
        <f>IF(D37="","",IFERROR(D37/(IF(COUNT('연간'!H64:K64)&lt;4,"",SUM('연간'!H64:K64))),""))</f>
        <v/>
      </c>
      <c r="E64" s="31">
        <f>IF(E37="","",IFERROR(E37/(IF(COUNT('연간'!I64:L64)&lt;4,"",SUM('연간'!I64:L64))),""))</f>
        <v/>
      </c>
      <c r="F64" s="31">
        <f>IF(F37="","",IFERROR(F37/(IF(COUNT('연간'!J64:M64)&lt;4,"",SUM('연간'!J64:M64))),""))</f>
        <v/>
      </c>
      <c r="G64" s="31">
        <f>IF(G37="","",IFERROR(G37/(IF(COUNT('연간'!K64:N64)&lt;4,"",SUM('연간'!K64:N64))),""))</f>
        <v/>
      </c>
      <c r="H64" s="30">
        <f>IF(H37="","",IFERROR(H37/('연간'!T64),""))</f>
        <v/>
      </c>
      <c r="I64" s="31">
        <f>IF(I37="","",IFERROR(I37/('연간'!U64),""))</f>
        <v/>
      </c>
      <c r="J64" s="31">
        <f>IF(J37="","",IFERROR(J37/('연간'!V64),""))</f>
        <v/>
      </c>
      <c r="K64" s="31">
        <f>IF(K37="","",IFERROR(K37/('연간'!W64),""))</f>
        <v/>
      </c>
      <c r="L64" s="31">
        <f>IF(L37="","",IFERROR(L37/('연간'!X64),""))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IF(C40="","",IFERROR(C40/(IF(COUNT('연간'!G65:J65)&lt;4,"",SUM('연간'!G65:J65))),""))</f>
        <v/>
      </c>
      <c r="D67" s="36">
        <f>IF(D40="","",IFERROR(D40/(IF(COUNT('연간'!H65:K65)&lt;4,"",SUM('연간'!H65:K65))),""))</f>
        <v/>
      </c>
      <c r="E67" s="36">
        <f>IF(E40="","",IFERROR(E40/(IF(COUNT('연간'!I65:L65)&lt;4,"",SUM('연간'!I65:L65))),""))</f>
        <v/>
      </c>
      <c r="F67" s="36">
        <f>IF(F40="","",IFERROR(F40/(IF(COUNT('연간'!J65:M65)&lt;4,"",SUM('연간'!J65:M65))),""))</f>
        <v/>
      </c>
      <c r="G67" s="36">
        <f>IF(G40="","",IFERROR(G40/(IF(COUNT('연간'!K65:N65)&lt;4,"",SUM('연간'!K65:N65))),""))</f>
        <v/>
      </c>
      <c r="H67" s="35">
        <f>IF(H40="","",IFERROR(H40/('연간'!T65),""))</f>
        <v/>
      </c>
      <c r="I67" s="36">
        <f>IF(I40="","",IFERROR(I40/('연간'!U65),""))</f>
        <v/>
      </c>
      <c r="J67" s="36">
        <f>IF(J40="","",IFERROR(J40/('연간'!V65),""))</f>
        <v/>
      </c>
      <c r="K67" s="36">
        <f>IF(K40="","",IFERROR(K40/('연간'!W65),""))</f>
        <v/>
      </c>
      <c r="L67" s="36">
        <f>IF(L40="","",IFERROR(L40/('연간'!X65),""))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2025.2Q</t>
        </is>
      </c>
      <c r="D70" s="5" t="inlineStr">
        <is>
          <t>2025.3Q</t>
        </is>
      </c>
      <c r="E70" s="5" t="inlineStr">
        <is>
          <t>2025.4Q</t>
        </is>
      </c>
      <c r="F70" s="5" t="inlineStr">
        <is>
          <t>2026.1Q</t>
        </is>
      </c>
      <c r="G70" s="5" t="inlineStr">
        <is>
          <t>2026.2Q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9860</v>
      </c>
      <c r="D71" s="20" t="n">
        <v>7802</v>
      </c>
      <c r="E71" s="20" t="n">
        <v>7984</v>
      </c>
      <c r="F71" s="20" t="n">
        <v>18474</v>
      </c>
      <c r="G71" s="20" t="n">
        <v>13408</v>
      </c>
      <c r="H71" s="20" t="n">
        <v>9765</v>
      </c>
      <c r="I71" s="20" t="n">
        <v>8448</v>
      </c>
      <c r="J71" s="20" t="n">
        <v>7806</v>
      </c>
      <c r="K71" s="20" t="n">
        <v>8949</v>
      </c>
      <c r="L71" s="20" t="n">
        <v>7984</v>
      </c>
    </row>
    <row r="72">
      <c r="A72" s="18" t="inlineStr">
        <is>
          <t>받을어음·매출채권</t>
        </is>
      </c>
      <c r="C72" s="20" t="n">
        <v>19729</v>
      </c>
      <c r="D72" s="20" t="n">
        <v>19352</v>
      </c>
      <c r="H72" s="20" t="n">
        <v>21095</v>
      </c>
      <c r="I72" s="20" t="n">
        <v>20797</v>
      </c>
      <c r="J72" s="20" t="n">
        <v>21713</v>
      </c>
      <c r="K72" s="20" t="n">
        <v>21968</v>
      </c>
    </row>
    <row r="73">
      <c r="A73" s="18" t="inlineStr">
        <is>
          <t>받을어음</t>
        </is>
      </c>
      <c r="E73" s="20" t="n">
        <v>901</v>
      </c>
      <c r="F73" s="20" t="n">
        <v>816</v>
      </c>
      <c r="G73" s="20" t="n">
        <v>981</v>
      </c>
      <c r="H73" s="20" t="n">
        <v>4271</v>
      </c>
      <c r="I73" s="20" t="n">
        <v>3324</v>
      </c>
      <c r="J73" s="20" t="n">
        <v>3011</v>
      </c>
      <c r="K73" s="20" t="n">
        <v>1797</v>
      </c>
      <c r="L73" s="20" t="n">
        <v>901</v>
      </c>
    </row>
    <row r="74">
      <c r="A74" s="18" t="inlineStr">
        <is>
          <t>매출채권</t>
        </is>
      </c>
      <c r="E74" s="20" t="n">
        <v>19263</v>
      </c>
      <c r="F74" s="20" t="n">
        <v>18535</v>
      </c>
      <c r="G74" s="20" t="n">
        <v>24345</v>
      </c>
      <c r="H74" s="20" t="n">
        <v>16823</v>
      </c>
      <c r="I74" s="20" t="n">
        <v>17473</v>
      </c>
      <c r="J74" s="20" t="n">
        <v>18702</v>
      </c>
      <c r="K74" s="20" t="n">
        <v>20170</v>
      </c>
      <c r="L74" s="20" t="n">
        <v>19263</v>
      </c>
    </row>
    <row r="75">
      <c r="A75" s="18" t="inlineStr">
        <is>
          <t>전자기록채권</t>
        </is>
      </c>
      <c r="C75" s="20" t="n">
        <v>8846</v>
      </c>
      <c r="D75" s="20" t="n">
        <v>8119</v>
      </c>
      <c r="E75" s="20" t="n">
        <v>9656</v>
      </c>
      <c r="F75" s="20" t="n">
        <v>9599</v>
      </c>
      <c r="G75" s="20" t="n">
        <v>11179</v>
      </c>
      <c r="H75" s="20" t="n">
        <v>5592</v>
      </c>
      <c r="I75" s="20" t="n">
        <v>8325</v>
      </c>
      <c r="J75" s="20" t="n">
        <v>8189</v>
      </c>
      <c r="K75" s="20" t="n">
        <v>9182</v>
      </c>
      <c r="L75" s="20" t="n">
        <v>9656</v>
      </c>
    </row>
    <row r="76">
      <c r="A76" s="18" t="inlineStr">
        <is>
          <t>유가증권</t>
        </is>
      </c>
      <c r="E76" s="20" t="n">
        <v>0</v>
      </c>
      <c r="G76" s="20" t="n">
        <v>23</v>
      </c>
      <c r="L76" s="20" t="n">
        <v>0</v>
      </c>
    </row>
    <row r="77">
      <c r="A77" s="18" t="inlineStr">
        <is>
          <t>상품·제품</t>
        </is>
      </c>
      <c r="C77" s="20" t="n">
        <v>6116</v>
      </c>
      <c r="D77" s="20" t="n">
        <v>7221</v>
      </c>
      <c r="E77" s="20" t="n">
        <v>5947</v>
      </c>
      <c r="F77" s="20" t="n">
        <v>6545</v>
      </c>
      <c r="G77" s="20" t="n">
        <v>6353</v>
      </c>
      <c r="H77" s="20" t="n">
        <v>4429</v>
      </c>
      <c r="I77" s="20" t="n">
        <v>5694</v>
      </c>
      <c r="J77" s="20" t="n">
        <v>5292</v>
      </c>
      <c r="K77" s="20" t="n">
        <v>5786</v>
      </c>
      <c r="L77" s="20" t="n">
        <v>5947</v>
      </c>
    </row>
    <row r="78">
      <c r="A78" s="18" t="inlineStr">
        <is>
          <t>재공품</t>
        </is>
      </c>
      <c r="C78" s="20" t="n">
        <v>1364</v>
      </c>
      <c r="D78" s="20" t="n">
        <v>1438</v>
      </c>
      <c r="E78" s="20" t="n">
        <v>1218</v>
      </c>
      <c r="F78" s="20" t="n">
        <v>1449</v>
      </c>
      <c r="G78" s="20" t="n">
        <v>1522</v>
      </c>
      <c r="H78" s="20" t="n">
        <v>1085</v>
      </c>
      <c r="I78" s="20" t="n">
        <v>1263</v>
      </c>
      <c r="J78" s="20" t="n">
        <v>1224</v>
      </c>
      <c r="K78" s="20" t="n">
        <v>1357</v>
      </c>
      <c r="L78" s="20" t="n">
        <v>1218</v>
      </c>
    </row>
    <row r="79">
      <c r="A79" s="18" t="inlineStr">
        <is>
          <t>원재료·저장품</t>
        </is>
      </c>
      <c r="C79" s="20" t="n">
        <v>6096</v>
      </c>
      <c r="D79" s="20" t="n">
        <v>5560</v>
      </c>
      <c r="E79" s="20" t="n">
        <v>5497</v>
      </c>
      <c r="F79" s="20" t="n">
        <v>6273</v>
      </c>
      <c r="G79" s="20" t="n">
        <v>7523</v>
      </c>
      <c r="H79" s="20" t="n">
        <v>4251</v>
      </c>
      <c r="I79" s="20" t="n">
        <v>4611</v>
      </c>
      <c r="J79" s="20" t="n">
        <v>4967</v>
      </c>
      <c r="K79" s="20" t="n">
        <v>5280</v>
      </c>
      <c r="L79" s="20" t="n">
        <v>5497</v>
      </c>
    </row>
    <row r="80">
      <c r="A80" s="18" t="inlineStr">
        <is>
          <t>판매용 부동산</t>
        </is>
      </c>
      <c r="C80" s="20" t="n">
        <v>322</v>
      </c>
      <c r="D80" s="20" t="n">
        <v>280</v>
      </c>
      <c r="E80" s="20" t="n">
        <v>264</v>
      </c>
      <c r="F80" s="20" t="n">
        <v>326</v>
      </c>
      <c r="G80" s="20" t="n">
        <v>300</v>
      </c>
      <c r="H80" s="20" t="n">
        <v>196</v>
      </c>
      <c r="I80" s="20" t="n">
        <v>206</v>
      </c>
      <c r="J80" s="20" t="n">
        <v>291</v>
      </c>
      <c r="K80" s="20" t="n">
        <v>282</v>
      </c>
      <c r="L80" s="20" t="n">
        <v>264</v>
      </c>
    </row>
    <row r="81">
      <c r="A81" s="18" t="inlineStr">
        <is>
          <t>기타</t>
        </is>
      </c>
      <c r="C81" s="20" t="n">
        <v>1756</v>
      </c>
      <c r="D81" s="20" t="n">
        <v>1753</v>
      </c>
      <c r="E81" s="20" t="n">
        <v>1931</v>
      </c>
      <c r="F81" s="20" t="n">
        <v>1481</v>
      </c>
      <c r="G81" s="20" t="n">
        <v>1707</v>
      </c>
      <c r="H81" s="20" t="n">
        <v>543</v>
      </c>
      <c r="I81" s="20" t="n">
        <v>1292</v>
      </c>
      <c r="J81" s="20" t="n">
        <v>1461</v>
      </c>
      <c r="K81" s="20" t="n">
        <v>2739</v>
      </c>
      <c r="L81" s="20" t="n">
        <v>1931</v>
      </c>
    </row>
    <row r="82">
      <c r="A82" s="18" t="inlineStr">
        <is>
          <t>대손충당금</t>
        </is>
      </c>
      <c r="E82" s="20" t="n">
        <v>0</v>
      </c>
      <c r="F82" s="20" t="n">
        <v>-0</v>
      </c>
      <c r="G82" s="20" t="n">
        <v>-0</v>
      </c>
      <c r="H82" s="20" t="n">
        <v>-0</v>
      </c>
      <c r="I82" s="20" t="n">
        <v>-0</v>
      </c>
      <c r="J82" s="20" t="n">
        <v>0</v>
      </c>
      <c r="L82" s="20" t="n">
        <v>0</v>
      </c>
    </row>
    <row r="83">
      <c r="A83" s="9" t="inlineStr">
        <is>
          <t>유동자산 합계</t>
        </is>
      </c>
      <c r="C83" s="12" t="n">
        <v>54093</v>
      </c>
      <c r="D83" s="12" t="n">
        <v>51528</v>
      </c>
      <c r="E83" s="12" t="n">
        <v>52664</v>
      </c>
      <c r="F83" s="12" t="n">
        <v>63500</v>
      </c>
      <c r="G83" s="12" t="n">
        <v>67344</v>
      </c>
      <c r="H83" s="12" t="n">
        <v>46959</v>
      </c>
      <c r="I83" s="12" t="n">
        <v>50640</v>
      </c>
      <c r="J83" s="12" t="n">
        <v>50947</v>
      </c>
      <c r="K83" s="12" t="n">
        <v>55545</v>
      </c>
      <c r="L83" s="12" t="n">
        <v>52664</v>
      </c>
    </row>
    <row r="84">
      <c r="A84" s="18" t="inlineStr">
        <is>
          <t>건물·구축물(순액)</t>
        </is>
      </c>
      <c r="C84" s="20" t="n">
        <v>15409</v>
      </c>
      <c r="D84" s="20" t="n">
        <v>15362</v>
      </c>
      <c r="E84" s="20" t="n">
        <v>15106</v>
      </c>
      <c r="F84" s="20" t="n">
        <v>17861</v>
      </c>
      <c r="G84" s="20" t="n">
        <v>19954</v>
      </c>
      <c r="H84" s="20" t="n">
        <v>12736</v>
      </c>
      <c r="I84" s="20" t="n">
        <v>11981</v>
      </c>
      <c r="J84" s="20" t="n">
        <v>12032</v>
      </c>
      <c r="K84" s="20" t="n">
        <v>15737</v>
      </c>
      <c r="L84" s="20" t="n">
        <v>15106</v>
      </c>
    </row>
    <row r="85">
      <c r="A85" s="18" t="inlineStr">
        <is>
          <t>기계장치·운반구(순액)</t>
        </is>
      </c>
      <c r="C85" s="20" t="n">
        <v>9194</v>
      </c>
      <c r="D85" s="20" t="n">
        <v>9347</v>
      </c>
      <c r="E85" s="20" t="n">
        <v>8209</v>
      </c>
      <c r="F85" s="20" t="n">
        <v>8585</v>
      </c>
      <c r="G85" s="20" t="n">
        <v>10943</v>
      </c>
      <c r="H85" s="20" t="n">
        <v>8591</v>
      </c>
      <c r="I85" s="20" t="n">
        <v>7415</v>
      </c>
      <c r="J85" s="20" t="n">
        <v>8292</v>
      </c>
      <c r="K85" s="20" t="n">
        <v>9480</v>
      </c>
      <c r="L85" s="20" t="n">
        <v>8209</v>
      </c>
    </row>
    <row r="86">
      <c r="A86" s="18" t="inlineStr">
        <is>
          <t>토지</t>
        </is>
      </c>
      <c r="C86" s="20" t="n">
        <v>5763</v>
      </c>
      <c r="D86" s="20" t="n">
        <v>5764</v>
      </c>
      <c r="E86" s="20" t="n">
        <v>5763</v>
      </c>
      <c r="F86" s="20" t="n">
        <v>6533</v>
      </c>
      <c r="G86" s="20" t="n">
        <v>6533</v>
      </c>
      <c r="H86" s="20" t="n">
        <v>5795</v>
      </c>
      <c r="I86" s="20" t="n">
        <v>6276</v>
      </c>
      <c r="J86" s="20" t="n">
        <v>6278</v>
      </c>
      <c r="K86" s="20" t="n">
        <v>5760</v>
      </c>
      <c r="L86" s="20" t="n">
        <v>5763</v>
      </c>
    </row>
    <row r="87">
      <c r="A87" s="18" t="inlineStr">
        <is>
          <t>건설중인자산</t>
        </is>
      </c>
      <c r="C87" s="20" t="n">
        <v>3834</v>
      </c>
      <c r="D87" s="20" t="n">
        <v>3412</v>
      </c>
      <c r="E87" s="20" t="n">
        <v>5214</v>
      </c>
      <c r="F87" s="20" t="n">
        <v>6296</v>
      </c>
      <c r="G87" s="20" t="n">
        <v>1453</v>
      </c>
      <c r="H87" s="20" t="n">
        <v>885</v>
      </c>
      <c r="I87" s="20" t="n">
        <v>2868</v>
      </c>
      <c r="J87" s="20" t="n">
        <v>8491</v>
      </c>
      <c r="K87" s="20" t="n">
        <v>1737</v>
      </c>
      <c r="L87" s="20" t="n">
        <v>5214</v>
      </c>
    </row>
    <row r="88">
      <c r="A88" s="18" t="inlineStr">
        <is>
          <t>기타(순액)</t>
        </is>
      </c>
      <c r="C88" s="20" t="n">
        <v>584</v>
      </c>
      <c r="D88" s="20" t="n">
        <v>591</v>
      </c>
      <c r="E88" s="20" t="n">
        <v>629</v>
      </c>
      <c r="F88" s="20" t="n">
        <v>747</v>
      </c>
      <c r="G88" s="20" t="n">
        <v>757</v>
      </c>
      <c r="H88" s="20" t="n">
        <v>495</v>
      </c>
      <c r="I88" s="20" t="n">
        <v>428</v>
      </c>
      <c r="J88" s="20" t="n">
        <v>522</v>
      </c>
      <c r="K88" s="20" t="n">
        <v>562</v>
      </c>
      <c r="L88" s="20" t="n">
        <v>629</v>
      </c>
    </row>
    <row r="89">
      <c r="A89" s="18" t="inlineStr">
        <is>
          <t>유형자산 합계</t>
        </is>
      </c>
      <c r="C89" s="20" t="n">
        <v>34786</v>
      </c>
      <c r="D89" s="20" t="n">
        <v>34479</v>
      </c>
      <c r="E89" s="20" t="n">
        <v>34924</v>
      </c>
      <c r="F89" s="20" t="n">
        <v>40024</v>
      </c>
      <c r="G89" s="20" t="n">
        <v>39643</v>
      </c>
      <c r="H89" s="20" t="n">
        <v>28505</v>
      </c>
      <c r="I89" s="20" t="n">
        <v>28970</v>
      </c>
      <c r="J89" s="20" t="n">
        <v>35616</v>
      </c>
      <c r="K89" s="20" t="n">
        <v>33278</v>
      </c>
      <c r="L89" s="20" t="n">
        <v>34924</v>
      </c>
    </row>
    <row r="90">
      <c r="A90" s="18" t="inlineStr">
        <is>
          <t>무형자산</t>
        </is>
      </c>
      <c r="C90" s="20" t="n">
        <v>1727</v>
      </c>
      <c r="D90" s="20" t="n">
        <v>1825</v>
      </c>
      <c r="E90" s="20" t="n">
        <v>1960</v>
      </c>
      <c r="F90" s="20" t="n">
        <v>2296</v>
      </c>
      <c r="G90" s="20" t="n">
        <v>2276</v>
      </c>
      <c r="H90" s="20" t="n">
        <v>720</v>
      </c>
      <c r="I90" s="20" t="n">
        <v>642</v>
      </c>
      <c r="J90" s="20" t="n">
        <v>888</v>
      </c>
      <c r="K90" s="20" t="n">
        <v>1420</v>
      </c>
      <c r="L90" s="20" t="n">
        <v>1960</v>
      </c>
    </row>
    <row r="91">
      <c r="A91" s="18" t="inlineStr">
        <is>
          <t>투자유가증권</t>
        </is>
      </c>
      <c r="C91" s="20" t="n">
        <v>9210</v>
      </c>
      <c r="D91" s="20" t="n">
        <v>10694</v>
      </c>
      <c r="E91" s="20" t="n">
        <v>10540</v>
      </c>
      <c r="F91" s="20" t="n">
        <v>10396</v>
      </c>
      <c r="G91" s="20" t="n">
        <v>10442</v>
      </c>
      <c r="H91" s="20" t="n">
        <v>8696</v>
      </c>
      <c r="I91" s="20" t="n">
        <v>9141</v>
      </c>
      <c r="J91" s="20" t="n">
        <v>11291</v>
      </c>
      <c r="K91" s="20" t="n">
        <v>10341</v>
      </c>
      <c r="L91" s="20" t="n">
        <v>10540</v>
      </c>
    </row>
    <row r="92">
      <c r="A92" s="18" t="inlineStr">
        <is>
          <t>장기대여금</t>
        </is>
      </c>
      <c r="C92" s="20" t="n">
        <v>1078</v>
      </c>
      <c r="D92" s="20" t="n">
        <v>1108</v>
      </c>
      <c r="E92" s="20" t="n">
        <v>1165</v>
      </c>
      <c r="F92" s="20" t="n">
        <v>0</v>
      </c>
      <c r="G92" s="20" t="n">
        <v>0</v>
      </c>
      <c r="K92" s="20" t="n">
        <v>1177</v>
      </c>
      <c r="L92" s="20" t="n">
        <v>1165</v>
      </c>
    </row>
    <row r="93">
      <c r="A93" s="18" t="inlineStr">
        <is>
          <t>퇴직급여자산</t>
        </is>
      </c>
      <c r="E93" s="20" t="n">
        <v>385</v>
      </c>
      <c r="F93" s="20" t="n">
        <v>394</v>
      </c>
      <c r="G93" s="20" t="n">
        <v>403</v>
      </c>
      <c r="K93" s="20" t="n">
        <v>0</v>
      </c>
      <c r="L93" s="20" t="n">
        <v>385</v>
      </c>
    </row>
    <row r="94">
      <c r="A94" s="18" t="inlineStr">
        <is>
          <t>이연법인세자산</t>
        </is>
      </c>
      <c r="C94" s="20" t="n">
        <v>96</v>
      </c>
      <c r="D94" s="20" t="n">
        <v>129</v>
      </c>
      <c r="E94" s="20" t="n">
        <v>83</v>
      </c>
      <c r="F94" s="20" t="n">
        <v>229</v>
      </c>
      <c r="G94" s="20" t="n">
        <v>281</v>
      </c>
      <c r="H94" s="20" t="n">
        <v>389</v>
      </c>
      <c r="I94" s="20" t="n">
        <v>234</v>
      </c>
      <c r="J94" s="20" t="n">
        <v>130</v>
      </c>
      <c r="K94" s="20" t="n">
        <v>94</v>
      </c>
      <c r="L94" s="20" t="n">
        <v>83</v>
      </c>
    </row>
    <row r="95">
      <c r="A95" s="18" t="inlineStr">
        <is>
          <t>기타</t>
        </is>
      </c>
      <c r="C95" s="20" t="n">
        <v>1163</v>
      </c>
      <c r="D95" s="20" t="n">
        <v>1164</v>
      </c>
      <c r="E95" s="20" t="n">
        <v>1318</v>
      </c>
      <c r="F95" s="20" t="n">
        <v>848</v>
      </c>
      <c r="G95" s="20" t="n">
        <v>2109</v>
      </c>
      <c r="H95" s="20" t="n">
        <v>597</v>
      </c>
      <c r="I95" s="20" t="n">
        <v>605</v>
      </c>
      <c r="J95" s="20" t="n">
        <v>1398</v>
      </c>
      <c r="K95" s="20" t="n">
        <v>1155</v>
      </c>
      <c r="L95" s="20" t="n">
        <v>1318</v>
      </c>
    </row>
    <row r="96">
      <c r="A96" s="18" t="inlineStr">
        <is>
          <t>대손충당금</t>
        </is>
      </c>
      <c r="H96" s="20" t="n">
        <v>-0</v>
      </c>
      <c r="I96" s="20" t="n">
        <v>0</v>
      </c>
    </row>
    <row r="97">
      <c r="A97" s="18" t="inlineStr">
        <is>
          <t>투자 및 기타자산 합계</t>
        </is>
      </c>
      <c r="C97" s="20" t="n">
        <v>11548</v>
      </c>
      <c r="D97" s="20" t="n">
        <v>13097</v>
      </c>
      <c r="E97" s="20" t="n">
        <v>13493</v>
      </c>
      <c r="F97" s="20" t="n">
        <v>11868</v>
      </c>
      <c r="G97" s="20" t="n">
        <v>13237</v>
      </c>
      <c r="H97" s="20" t="n">
        <v>9684</v>
      </c>
      <c r="I97" s="20" t="n">
        <v>9981</v>
      </c>
      <c r="J97" s="20" t="n">
        <v>12820</v>
      </c>
      <c r="K97" s="20" t="n">
        <v>12769</v>
      </c>
      <c r="L97" s="20" t="n">
        <v>13493</v>
      </c>
    </row>
    <row r="98">
      <c r="A98" s="9" t="inlineStr">
        <is>
          <t>비유동자산 합계</t>
        </is>
      </c>
      <c r="C98" s="12" t="n">
        <v>48063</v>
      </c>
      <c r="D98" s="12" t="n">
        <v>49401</v>
      </c>
      <c r="E98" s="12" t="n">
        <v>50378</v>
      </c>
      <c r="F98" s="12" t="n">
        <v>54189</v>
      </c>
      <c r="G98" s="12" t="n">
        <v>55157</v>
      </c>
      <c r="H98" s="12" t="n">
        <v>38910</v>
      </c>
      <c r="I98" s="12" t="n">
        <v>39594</v>
      </c>
      <c r="J98" s="12" t="n">
        <v>49325</v>
      </c>
      <c r="K98" s="12" t="n">
        <v>47469</v>
      </c>
      <c r="L98" s="12" t="n">
        <v>50378</v>
      </c>
    </row>
    <row r="99">
      <c r="A99" s="9" t="inlineStr">
        <is>
          <t>자산 합계</t>
        </is>
      </c>
      <c r="C99" s="12" t="n">
        <v>102156</v>
      </c>
      <c r="D99" s="12" t="n">
        <v>100930</v>
      </c>
      <c r="E99" s="12" t="n">
        <v>103043</v>
      </c>
      <c r="F99" s="12" t="n">
        <v>117690</v>
      </c>
      <c r="G99" s="12" t="n">
        <v>122501</v>
      </c>
      <c r="H99" s="12" t="n">
        <v>85869</v>
      </c>
      <c r="I99" s="12" t="n">
        <v>90234</v>
      </c>
      <c r="J99" s="12" t="n">
        <v>100272</v>
      </c>
      <c r="K99" s="12" t="n">
        <v>103014</v>
      </c>
      <c r="L99" s="12" t="n">
        <v>103043</v>
      </c>
    </row>
    <row r="100">
      <c r="A100" s="18" t="inlineStr">
        <is>
          <t>지급어음·매입채무</t>
        </is>
      </c>
      <c r="H100" s="20" t="n">
        <v>16236</v>
      </c>
      <c r="I100" s="20" t="n">
        <v>18179</v>
      </c>
      <c r="J100" s="20" t="n">
        <v>17020</v>
      </c>
    </row>
    <row r="101">
      <c r="A101" s="18" t="inlineStr">
        <is>
          <t>지급어음</t>
        </is>
      </c>
      <c r="E101" s="20" t="n">
        <v>0</v>
      </c>
      <c r="F101" s="20" t="n">
        <v>1574</v>
      </c>
      <c r="G101" s="20" t="n">
        <v>1053</v>
      </c>
      <c r="L101" s="20" t="n">
        <v>0</v>
      </c>
    </row>
    <row r="102">
      <c r="A102" s="18" t="inlineStr">
        <is>
          <t>매입채무</t>
        </is>
      </c>
      <c r="C102" s="20" t="n">
        <v>19866</v>
      </c>
      <c r="D102" s="20" t="n">
        <v>17978</v>
      </c>
      <c r="E102" s="20" t="n">
        <v>16911</v>
      </c>
      <c r="F102" s="20" t="n">
        <v>15239</v>
      </c>
      <c r="G102" s="20" t="n">
        <v>20770</v>
      </c>
      <c r="J102" s="20" t="n">
        <v>17020</v>
      </c>
      <c r="K102" s="20" t="n">
        <v>18873</v>
      </c>
      <c r="L102" s="20" t="n">
        <v>16911</v>
      </c>
    </row>
    <row r="103">
      <c r="A103" s="18" t="inlineStr">
        <is>
          <t>전자기록채무</t>
        </is>
      </c>
      <c r="C103" s="20" t="n">
        <v>1987</v>
      </c>
      <c r="D103" s="20" t="n">
        <v>2010</v>
      </c>
      <c r="E103" s="20" t="n">
        <v>2058</v>
      </c>
      <c r="F103" s="20" t="n">
        <v>1796</v>
      </c>
      <c r="G103" s="20" t="n">
        <v>1666</v>
      </c>
      <c r="I103" s="20" t="n">
        <v>23</v>
      </c>
      <c r="J103" s="20" t="n">
        <v>672</v>
      </c>
      <c r="K103" s="20" t="n">
        <v>2087</v>
      </c>
      <c r="L103" s="20" t="n">
        <v>2058</v>
      </c>
    </row>
    <row r="104">
      <c r="A104" s="18" t="inlineStr">
        <is>
          <t>단기차입금</t>
        </is>
      </c>
      <c r="C104" s="20" t="n">
        <v>4468</v>
      </c>
      <c r="D104" s="20" t="n">
        <v>4470</v>
      </c>
      <c r="E104" s="20" t="n">
        <v>5474</v>
      </c>
      <c r="F104" s="20" t="n">
        <v>5176</v>
      </c>
      <c r="G104" s="20" t="n">
        <v>4777</v>
      </c>
      <c r="H104" s="20" t="n">
        <v>1914</v>
      </c>
      <c r="I104" s="20" t="n">
        <v>1549</v>
      </c>
      <c r="J104" s="20" t="n">
        <v>1529</v>
      </c>
      <c r="K104" s="20" t="n">
        <v>4471</v>
      </c>
      <c r="L104" s="20" t="n">
        <v>5474</v>
      </c>
    </row>
    <row r="105">
      <c r="A105" s="18" t="inlineStr">
        <is>
          <t>1년 내 상환 장기차입금</t>
        </is>
      </c>
      <c r="C105" s="20" t="n">
        <v>389</v>
      </c>
      <c r="D105" s="20" t="n">
        <v>389</v>
      </c>
      <c r="E105" s="20" t="n">
        <v>389</v>
      </c>
      <c r="F105" s="20" t="n">
        <v>2585</v>
      </c>
      <c r="G105" s="20" t="n">
        <v>2585</v>
      </c>
      <c r="H105" s="20" t="n">
        <v>570</v>
      </c>
      <c r="I105" s="20" t="n">
        <v>483</v>
      </c>
      <c r="J105" s="20" t="n">
        <v>373</v>
      </c>
      <c r="K105" s="20" t="n">
        <v>389</v>
      </c>
      <c r="L105" s="20" t="n">
        <v>389</v>
      </c>
    </row>
    <row r="106">
      <c r="A106" s="18" t="inlineStr">
        <is>
          <t>미지급금</t>
        </is>
      </c>
      <c r="C106" s="20" t="n">
        <v>1475</v>
      </c>
      <c r="D106" s="20" t="n">
        <v>1278</v>
      </c>
      <c r="E106" s="20" t="n">
        <v>2630</v>
      </c>
      <c r="F106" s="20" t="n">
        <v>2456</v>
      </c>
      <c r="G106" s="20" t="n">
        <v>994</v>
      </c>
      <c r="H106" s="20" t="n">
        <v>3959</v>
      </c>
      <c r="I106" s="20" t="n">
        <v>4306</v>
      </c>
      <c r="J106" s="20" t="n">
        <v>5382</v>
      </c>
      <c r="K106" s="20" t="n">
        <v>2010</v>
      </c>
      <c r="L106" s="20" t="n">
        <v>2630</v>
      </c>
    </row>
    <row r="107">
      <c r="A107" s="18" t="inlineStr">
        <is>
          <t>미지급법인세</t>
        </is>
      </c>
      <c r="C107" s="20" t="n">
        <v>668</v>
      </c>
      <c r="D107" s="20" t="n">
        <v>633</v>
      </c>
      <c r="E107" s="20" t="n">
        <v>900</v>
      </c>
      <c r="F107" s="20" t="n">
        <v>1078</v>
      </c>
      <c r="G107" s="20" t="n">
        <v>1594</v>
      </c>
      <c r="H107" s="20" t="n">
        <v>1068</v>
      </c>
      <c r="I107" s="20" t="n">
        <v>797</v>
      </c>
      <c r="J107" s="20" t="n">
        <v>765</v>
      </c>
      <c r="K107" s="20" t="n">
        <v>1531</v>
      </c>
      <c r="L107" s="20" t="n">
        <v>900</v>
      </c>
    </row>
    <row r="108">
      <c r="A108" s="18" t="inlineStr">
        <is>
          <t>선수금</t>
        </is>
      </c>
      <c r="E108" s="20" t="n">
        <v>510</v>
      </c>
      <c r="F108" s="20" t="n">
        <v>328</v>
      </c>
      <c r="G108" s="20" t="n">
        <v>384</v>
      </c>
      <c r="K108" s="20" t="n">
        <v>39</v>
      </c>
      <c r="L108" s="20" t="n">
        <v>510</v>
      </c>
    </row>
    <row r="109">
      <c r="A109" s="18" t="inlineStr">
        <is>
          <t>Electronically Recorded Obligations Facilities CL</t>
        </is>
      </c>
      <c r="C109" s="20" t="n">
        <v>1987</v>
      </c>
      <c r="D109" s="20" t="n">
        <v>1326</v>
      </c>
      <c r="E109" s="20" t="n">
        <v>1302</v>
      </c>
      <c r="F109" s="20" t="n">
        <v>1890</v>
      </c>
      <c r="G109" s="20" t="n">
        <v>995</v>
      </c>
      <c r="I109" s="20" t="n">
        <v>9</v>
      </c>
      <c r="J109" s="20" t="n">
        <v>1893</v>
      </c>
      <c r="K109" s="20" t="n">
        <v>1378</v>
      </c>
      <c r="L109" s="20" t="n">
        <v>1302</v>
      </c>
    </row>
    <row r="110">
      <c r="A110" s="18" t="inlineStr">
        <is>
          <t>상여충당금</t>
        </is>
      </c>
      <c r="D110" s="20" t="n">
        <v>604</v>
      </c>
      <c r="E110" s="20" t="n">
        <v>0</v>
      </c>
      <c r="F110" s="20" t="n">
        <v>747</v>
      </c>
      <c r="H110" s="20" t="n">
        <v>0</v>
      </c>
      <c r="I110" s="20" t="n">
        <v>0</v>
      </c>
      <c r="J110" s="20" t="n">
        <v>0</v>
      </c>
      <c r="K110" s="20" t="n">
        <v>0</v>
      </c>
      <c r="L110" s="20" t="n">
        <v>0</v>
      </c>
    </row>
    <row r="111">
      <c r="A111" s="18" t="inlineStr">
        <is>
          <t>기타</t>
        </is>
      </c>
      <c r="C111" s="20" t="n">
        <v>4207</v>
      </c>
      <c r="D111" s="20" t="n">
        <v>4046</v>
      </c>
      <c r="E111" s="20" t="n">
        <v>4299</v>
      </c>
      <c r="F111" s="20" t="n">
        <v>3759</v>
      </c>
      <c r="G111" s="20" t="n">
        <v>4547</v>
      </c>
      <c r="H111" s="20" t="n">
        <v>4221</v>
      </c>
      <c r="I111" s="20" t="n">
        <v>4159</v>
      </c>
      <c r="J111" s="20" t="n">
        <v>6437</v>
      </c>
      <c r="K111" s="20" t="n">
        <v>4069</v>
      </c>
      <c r="L111" s="20" t="n">
        <v>4299</v>
      </c>
    </row>
    <row r="112">
      <c r="A112" s="9" t="inlineStr">
        <is>
          <t>유동부채 합계</t>
        </is>
      </c>
      <c r="C112" s="12" t="n">
        <v>35051</v>
      </c>
      <c r="D112" s="12" t="n">
        <v>32740</v>
      </c>
      <c r="E112" s="12" t="n">
        <v>34478</v>
      </c>
      <c r="F112" s="12" t="n">
        <v>36634</v>
      </c>
      <c r="G112" s="12" t="n">
        <v>39370</v>
      </c>
      <c r="H112" s="12" t="n">
        <v>27971</v>
      </c>
      <c r="I112" s="12" t="n">
        <v>29509</v>
      </c>
      <c r="J112" s="12" t="n">
        <v>34075</v>
      </c>
      <c r="K112" s="12" t="n">
        <v>34851</v>
      </c>
      <c r="L112" s="12" t="n">
        <v>34478</v>
      </c>
    </row>
    <row r="113">
      <c r="A113" s="18" t="inlineStr">
        <is>
          <t>장기차입금</t>
        </is>
      </c>
      <c r="C113" s="20" t="n">
        <v>1042</v>
      </c>
      <c r="D113" s="20" t="n">
        <v>945</v>
      </c>
      <c r="E113" s="20" t="n">
        <v>869</v>
      </c>
      <c r="F113" s="20" t="n">
        <v>13197</v>
      </c>
      <c r="G113" s="20" t="n">
        <v>12555</v>
      </c>
      <c r="H113" s="20" t="n">
        <v>827</v>
      </c>
      <c r="I113" s="20" t="n">
        <v>343</v>
      </c>
      <c r="J113" s="20" t="n">
        <v>0</v>
      </c>
      <c r="K113" s="20" t="n">
        <v>1259</v>
      </c>
      <c r="L113" s="20" t="n">
        <v>869</v>
      </c>
    </row>
    <row r="114">
      <c r="A114" s="18" t="inlineStr">
        <is>
          <t>이연법인세부채</t>
        </is>
      </c>
      <c r="C114" s="20" t="n">
        <v>271</v>
      </c>
      <c r="D114" s="20" t="n">
        <v>540</v>
      </c>
      <c r="E114" s="20" t="n">
        <v>658</v>
      </c>
      <c r="F114" s="20" t="n">
        <v>317</v>
      </c>
      <c r="G114" s="20" t="n">
        <v>661</v>
      </c>
      <c r="H114" s="20" t="n">
        <v>0</v>
      </c>
      <c r="I114" s="20" t="n">
        <v>0</v>
      </c>
      <c r="J114" s="20" t="n">
        <v>714</v>
      </c>
      <c r="K114" s="20" t="n">
        <v>286</v>
      </c>
      <c r="L114" s="20" t="n">
        <v>658</v>
      </c>
    </row>
    <row r="115">
      <c r="A115" s="18" t="inlineStr">
        <is>
          <t>퇴직급여부채</t>
        </is>
      </c>
      <c r="C115" s="20" t="n">
        <v>3728</v>
      </c>
      <c r="D115" s="20" t="n">
        <v>3724</v>
      </c>
      <c r="E115" s="20" t="n">
        <v>3113</v>
      </c>
      <c r="F115" s="20" t="n">
        <v>3570</v>
      </c>
      <c r="G115" s="20" t="n">
        <v>3590</v>
      </c>
      <c r="H115" s="20" t="n">
        <v>3632</v>
      </c>
      <c r="I115" s="20" t="n">
        <v>3968</v>
      </c>
      <c r="J115" s="20" t="n">
        <v>3789</v>
      </c>
      <c r="K115" s="20" t="n">
        <v>3718</v>
      </c>
      <c r="L115" s="20" t="n">
        <v>3113</v>
      </c>
    </row>
    <row r="116">
      <c r="A116" s="18" t="inlineStr">
        <is>
          <t>기타</t>
        </is>
      </c>
      <c r="C116" s="20" t="n">
        <v>750</v>
      </c>
      <c r="D116" s="20" t="n">
        <v>780</v>
      </c>
      <c r="E116" s="20" t="n">
        <v>789</v>
      </c>
      <c r="F116" s="20" t="n">
        <v>886</v>
      </c>
      <c r="G116" s="20" t="n">
        <v>882</v>
      </c>
      <c r="H116" s="20" t="n">
        <v>914</v>
      </c>
      <c r="I116" s="20" t="n">
        <v>821</v>
      </c>
      <c r="J116" s="20" t="n">
        <v>823</v>
      </c>
      <c r="K116" s="20" t="n">
        <v>823</v>
      </c>
      <c r="L116" s="20" t="n">
        <v>789</v>
      </c>
    </row>
    <row r="117">
      <c r="A117" s="9" t="inlineStr">
        <is>
          <t>비유동부채 합계</t>
        </is>
      </c>
      <c r="C117" s="12" t="n">
        <v>5792</v>
      </c>
      <c r="D117" s="12" t="n">
        <v>5990</v>
      </c>
      <c r="E117" s="12" t="n">
        <v>5430</v>
      </c>
      <c r="F117" s="12" t="n">
        <v>17972</v>
      </c>
      <c r="G117" s="12" t="n">
        <v>17690</v>
      </c>
      <c r="H117" s="12" t="n">
        <v>5374</v>
      </c>
      <c r="I117" s="12" t="n">
        <v>5133</v>
      </c>
      <c r="J117" s="12" t="n">
        <v>5327</v>
      </c>
      <c r="K117" s="12" t="n">
        <v>6086</v>
      </c>
      <c r="L117" s="12" t="n">
        <v>5430</v>
      </c>
    </row>
    <row r="118">
      <c r="A118" s="9" t="inlineStr">
        <is>
          <t>부채 합계</t>
        </is>
      </c>
      <c r="C118" s="12" t="n">
        <v>40844</v>
      </c>
      <c r="D118" s="12" t="n">
        <v>38730</v>
      </c>
      <c r="E118" s="12" t="n">
        <v>39909</v>
      </c>
      <c r="F118" s="12" t="n">
        <v>54606</v>
      </c>
      <c r="G118" s="12" t="n">
        <v>57061</v>
      </c>
      <c r="H118" s="12" t="n">
        <v>33345</v>
      </c>
      <c r="I118" s="12" t="n">
        <v>34643</v>
      </c>
      <c r="J118" s="12" t="n">
        <v>39403</v>
      </c>
      <c r="K118" s="12" t="n">
        <v>40938</v>
      </c>
      <c r="L118" s="12" t="n">
        <v>39909</v>
      </c>
    </row>
    <row r="119">
      <c r="A119" s="18" t="inlineStr">
        <is>
          <t>자본금</t>
        </is>
      </c>
      <c r="C119" s="20" t="n">
        <v>8619</v>
      </c>
      <c r="D119" s="20" t="n">
        <v>8619</v>
      </c>
      <c r="E119" s="20" t="n">
        <v>8619</v>
      </c>
      <c r="F119" s="20" t="n">
        <v>8619</v>
      </c>
      <c r="G119" s="20" t="n">
        <v>8619</v>
      </c>
      <c r="H119" s="20" t="n">
        <v>8619</v>
      </c>
      <c r="I119" s="20" t="n">
        <v>8619</v>
      </c>
      <c r="J119" s="20" t="n">
        <v>8619</v>
      </c>
      <c r="K119" s="20" t="n">
        <v>8619</v>
      </c>
      <c r="L119" s="20" t="n">
        <v>8619</v>
      </c>
    </row>
    <row r="120">
      <c r="A120" s="18" t="inlineStr">
        <is>
          <t>자본잉여금</t>
        </is>
      </c>
      <c r="C120" s="20" t="n">
        <v>9118</v>
      </c>
      <c r="D120" s="20" t="n">
        <v>9118</v>
      </c>
      <c r="E120" s="20" t="n">
        <v>9118</v>
      </c>
      <c r="F120" s="20" t="n">
        <v>9118</v>
      </c>
      <c r="G120" s="20" t="n">
        <v>9134</v>
      </c>
      <c r="H120" s="20" t="n">
        <v>9070</v>
      </c>
      <c r="I120" s="20" t="n">
        <v>9071</v>
      </c>
      <c r="J120" s="20" t="n">
        <v>9105</v>
      </c>
      <c r="K120" s="20" t="n">
        <v>9113</v>
      </c>
      <c r="L120" s="20" t="n">
        <v>9118</v>
      </c>
    </row>
    <row r="121">
      <c r="A121" s="18" t="inlineStr">
        <is>
          <t>이익잉여금</t>
        </is>
      </c>
      <c r="C121" s="20" t="n">
        <v>42090</v>
      </c>
      <c r="D121" s="20" t="n">
        <v>41947</v>
      </c>
      <c r="E121" s="20" t="n">
        <v>42280</v>
      </c>
      <c r="F121" s="20" t="n">
        <v>42314</v>
      </c>
      <c r="G121" s="20" t="n">
        <v>44599</v>
      </c>
      <c r="H121" s="20" t="n">
        <v>32140</v>
      </c>
      <c r="I121" s="20" t="n">
        <v>35094</v>
      </c>
      <c r="J121" s="20" t="n">
        <v>38394</v>
      </c>
      <c r="K121" s="20" t="n">
        <v>40759</v>
      </c>
      <c r="L121" s="20" t="n">
        <v>42280</v>
      </c>
    </row>
    <row r="122">
      <c r="A122" s="18" t="inlineStr">
        <is>
          <t>자기주식</t>
        </is>
      </c>
      <c r="C122" s="20" t="n">
        <v>-3043</v>
      </c>
      <c r="D122" s="20" t="n">
        <v>-3044</v>
      </c>
      <c r="E122" s="20" t="n">
        <v>-3046</v>
      </c>
      <c r="F122" s="20" t="n">
        <v>-3046</v>
      </c>
      <c r="G122" s="20" t="n">
        <v>-3023</v>
      </c>
      <c r="H122" s="20" t="n">
        <v>-841</v>
      </c>
      <c r="I122" s="20" t="n">
        <v>-829</v>
      </c>
      <c r="J122" s="20" t="n">
        <v>-557</v>
      </c>
      <c r="K122" s="20" t="n">
        <v>-1824</v>
      </c>
      <c r="L122" s="20" t="n">
        <v>-3046</v>
      </c>
    </row>
    <row r="123">
      <c r="A123" s="9" t="inlineStr">
        <is>
          <t>주주자본 합계</t>
        </is>
      </c>
      <c r="C123" s="12" t="n">
        <v>56784</v>
      </c>
      <c r="D123" s="12" t="n">
        <v>56641</v>
      </c>
      <c r="E123" s="12" t="n">
        <v>56972</v>
      </c>
      <c r="F123" s="12" t="n">
        <v>57006</v>
      </c>
      <c r="G123" s="12" t="n">
        <v>59330</v>
      </c>
      <c r="H123" s="12" t="n">
        <v>48989</v>
      </c>
      <c r="I123" s="12" t="n">
        <v>51956</v>
      </c>
      <c r="J123" s="12" t="n">
        <v>55562</v>
      </c>
      <c r="K123" s="12" t="n">
        <v>56667</v>
      </c>
      <c r="L123" s="12" t="n">
        <v>56972</v>
      </c>
    </row>
    <row r="124">
      <c r="A124" s="18" t="inlineStr">
        <is>
          <t>기타유가증권 평가차액</t>
        </is>
      </c>
      <c r="C124" s="20" t="n">
        <v>4173</v>
      </c>
      <c r="D124" s="20" t="n">
        <v>5187</v>
      </c>
      <c r="E124" s="20" t="n">
        <v>5080</v>
      </c>
      <c r="F124" s="20" t="n">
        <v>4974</v>
      </c>
      <c r="G124" s="20" t="n">
        <v>5019</v>
      </c>
      <c r="H124" s="20" t="n">
        <v>3237</v>
      </c>
      <c r="I124" s="20" t="n">
        <v>3507</v>
      </c>
      <c r="J124" s="20" t="n">
        <v>5018</v>
      </c>
      <c r="K124" s="20" t="n">
        <v>5017</v>
      </c>
      <c r="L124" s="20" t="n">
        <v>5080</v>
      </c>
    </row>
    <row r="125">
      <c r="A125" s="18" t="inlineStr">
        <is>
          <t>해외사업환산조정</t>
        </is>
      </c>
      <c r="C125" s="20" t="n">
        <v>236</v>
      </c>
      <c r="D125" s="20" t="n">
        <v>251</v>
      </c>
      <c r="E125" s="20" t="n">
        <v>285</v>
      </c>
      <c r="F125" s="20" t="n">
        <v>301</v>
      </c>
      <c r="G125" s="20" t="n">
        <v>308</v>
      </c>
      <c r="H125" s="20" t="n">
        <v>202</v>
      </c>
      <c r="I125" s="20" t="n">
        <v>220</v>
      </c>
      <c r="J125" s="20" t="n">
        <v>236</v>
      </c>
      <c r="K125" s="20" t="n">
        <v>269</v>
      </c>
      <c r="L125" s="20" t="n">
        <v>285</v>
      </c>
    </row>
    <row r="126">
      <c r="A126" s="18" t="inlineStr">
        <is>
          <t>퇴직급여 조정누계액</t>
        </is>
      </c>
      <c r="C126" s="20" t="n">
        <v>86</v>
      </c>
      <c r="D126" s="20" t="n">
        <v>84</v>
      </c>
      <c r="E126" s="20" t="n">
        <v>760</v>
      </c>
      <c r="F126" s="20" t="n">
        <v>746</v>
      </c>
      <c r="G126" s="20" t="n">
        <v>732</v>
      </c>
      <c r="H126" s="20" t="n">
        <v>72</v>
      </c>
      <c r="I126" s="20" t="n">
        <v>-114</v>
      </c>
      <c r="J126" s="20" t="n">
        <v>27</v>
      </c>
      <c r="K126" s="20" t="n">
        <v>89</v>
      </c>
      <c r="L126" s="20" t="n">
        <v>760</v>
      </c>
    </row>
    <row r="127">
      <c r="A127" s="18" t="inlineStr">
        <is>
          <t>기타포괄손익누계액 합계</t>
        </is>
      </c>
      <c r="C127" s="20" t="n">
        <v>4496</v>
      </c>
      <c r="D127" s="20" t="n">
        <v>5524</v>
      </c>
      <c r="E127" s="20" t="n">
        <v>6126</v>
      </c>
      <c r="F127" s="20" t="n">
        <v>6021</v>
      </c>
      <c r="G127" s="20" t="n">
        <v>6060</v>
      </c>
      <c r="H127" s="20" t="n">
        <v>3512</v>
      </c>
      <c r="I127" s="20" t="n">
        <v>3613</v>
      </c>
      <c r="J127" s="20" t="n">
        <v>5281</v>
      </c>
      <c r="K127" s="20" t="n">
        <v>5376</v>
      </c>
      <c r="L127" s="20" t="n">
        <v>6126</v>
      </c>
    </row>
    <row r="128">
      <c r="A128" s="18" t="inlineStr">
        <is>
          <t>비지배지분</t>
        </is>
      </c>
      <c r="C128" s="20" t="n">
        <v>31</v>
      </c>
      <c r="D128" s="20" t="n">
        <v>34</v>
      </c>
      <c r="E128" s="20" t="n">
        <v>35</v>
      </c>
      <c r="F128" s="20" t="n">
        <v>55</v>
      </c>
      <c r="G128" s="20" t="n">
        <v>49</v>
      </c>
      <c r="H128" s="20" t="n">
        <v>22</v>
      </c>
      <c r="I128" s="20" t="n">
        <v>20</v>
      </c>
      <c r="J128" s="20" t="n">
        <v>24</v>
      </c>
      <c r="K128" s="20" t="n">
        <v>31</v>
      </c>
      <c r="L128" s="20" t="n">
        <v>35</v>
      </c>
    </row>
    <row r="129">
      <c r="A129" s="9" t="inlineStr">
        <is>
          <t>순자산 합계</t>
        </is>
      </c>
      <c r="C129" s="12" t="n">
        <v>61312</v>
      </c>
      <c r="D129" s="12" t="n">
        <v>62199</v>
      </c>
      <c r="E129" s="12" t="n">
        <v>63134</v>
      </c>
      <c r="F129" s="12" t="n">
        <v>63083</v>
      </c>
      <c r="G129" s="12" t="n">
        <v>65440</v>
      </c>
      <c r="H129" s="12" t="n">
        <v>52524</v>
      </c>
      <c r="I129" s="12" t="n">
        <v>55591</v>
      </c>
      <c r="J129" s="12" t="n">
        <v>60869</v>
      </c>
      <c r="K129" s="12" t="n">
        <v>62075</v>
      </c>
      <c r="L129" s="12" t="n">
        <v>63134</v>
      </c>
    </row>
    <row r="130">
      <c r="A130" s="9" t="inlineStr">
        <is>
          <t>부채·순자산 합계</t>
        </is>
      </c>
      <c r="C130" s="12" t="n">
        <v>102156</v>
      </c>
      <c r="D130" s="12" t="n">
        <v>100930</v>
      </c>
      <c r="E130" s="12" t="n">
        <v>103043</v>
      </c>
      <c r="F130" s="12" t="n">
        <v>117690</v>
      </c>
      <c r="G130" s="12" t="n">
        <v>122501</v>
      </c>
      <c r="H130" s="12" t="n">
        <v>85869</v>
      </c>
      <c r="I130" s="12" t="n">
        <v>90234</v>
      </c>
      <c r="J130" s="12" t="n">
        <v>100272</v>
      </c>
      <c r="K130" s="12" t="n">
        <v>103014</v>
      </c>
      <c r="L130" s="12" t="n">
        <v>103043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2026년 12월 결산기 2분기 결산단신</t>
        </is>
      </c>
      <c r="C4" t="inlineStr">
        <is>
          <t>https://www2.jpx.co.jp/disc/42210/140120260729502389.pdf</t>
        </is>
      </c>
    </row>
    <row r="5">
      <c r="A5" t="inlineStr">
        <is>
          <t>2026-04-30</t>
        </is>
      </c>
      <c r="B5" t="inlineStr">
        <is>
          <t>2026년 12월 결산기 1분기 결산단신</t>
        </is>
      </c>
      <c r="C5" t="inlineStr">
        <is>
          <t>https://www2.jpx.co.jp/disc/42210/140120260430514570.pdf</t>
        </is>
      </c>
    </row>
    <row r="6">
      <c r="A6" t="inlineStr">
        <is>
          <t>2026-02-12</t>
        </is>
      </c>
      <c r="B6" t="inlineStr">
        <is>
          <t>2025년 12월 결산기 연간 결산단신</t>
        </is>
      </c>
      <c r="C6" t="inlineStr">
        <is>
          <t>https://www2.jpx.co.jp/disc/42210/140120260212555468.pdf</t>
        </is>
      </c>
    </row>
    <row r="7">
      <c r="A7" t="inlineStr">
        <is>
          <t>2025-10-30</t>
        </is>
      </c>
      <c r="B7" t="inlineStr">
        <is>
          <t>2025년 12월 결산기 3분기 결산단신</t>
        </is>
      </c>
      <c r="C7" t="inlineStr">
        <is>
          <t>https://www2.jpx.co.jp/disc/42210/140120251030582193.pdf</t>
        </is>
      </c>
    </row>
    <row r="8">
      <c r="A8" t="inlineStr">
        <is>
          <t>2025-08-08</t>
        </is>
      </c>
      <c r="B8" t="inlineStr">
        <is>
          <t>2025년 12월 결산기 2분기 결산단신</t>
        </is>
      </c>
      <c r="C8" t="inlineStr">
        <is>
          <t>https://www2.jpx.co.jp/disc/42210/140120250807533536.pdf</t>
        </is>
      </c>
    </row>
    <row r="9">
      <c r="A9" t="inlineStr">
        <is>
          <t>2025-04-30</t>
        </is>
      </c>
      <c r="B9" t="inlineStr">
        <is>
          <t>2025년 12월 결산기 1분기 결산단신</t>
        </is>
      </c>
      <c r="C9" t="inlineStr">
        <is>
          <t>https://www2.jpx.co.jp/disc/42210/140120250430527113.pdf</t>
        </is>
      </c>
    </row>
    <row r="10">
      <c r="A10" t="inlineStr">
        <is>
          <t>2025-02-14</t>
        </is>
      </c>
      <c r="B10" t="inlineStr">
        <is>
          <t>2024년 12월 결산기 연간 결산단신</t>
        </is>
      </c>
      <c r="C10" t="inlineStr">
        <is>
          <t>https://www2.jpx.co.jp/disc/42210/140120250214574969.pdf</t>
        </is>
      </c>
    </row>
    <row r="11">
      <c r="A11" t="inlineStr">
        <is>
          <t>2024-11-13</t>
        </is>
      </c>
      <c r="B11" t="inlineStr">
        <is>
          <t>2024년 12월 결산기 3분기 결산단신</t>
        </is>
      </c>
      <c r="C11" t="inlineStr">
        <is>
          <t>https://www2.jpx.co.jp/disc/42210/140120241113520668.pdf</t>
        </is>
      </c>
    </row>
    <row r="12">
      <c r="A12" t="inlineStr">
        <is>
          <t>2024-08-09</t>
        </is>
      </c>
      <c r="B12" t="inlineStr">
        <is>
          <t>2024년 12월 결산기 2분기 결산단신</t>
        </is>
      </c>
      <c r="C12" t="inlineStr">
        <is>
          <t>https://www2.jpx.co.jp/disc/42210/140120240806563312.pdf</t>
        </is>
      </c>
    </row>
    <row r="13">
      <c r="A13" t="inlineStr">
        <is>
          <t>2024-05-14</t>
        </is>
      </c>
      <c r="B13" t="inlineStr">
        <is>
          <t>2024년 12월 결산기 1분기 결산단신</t>
        </is>
      </c>
      <c r="C13" t="inlineStr">
        <is>
          <t>https://www2.jpx.co.jp/disc/42210/140120240418572654.pdf</t>
        </is>
      </c>
    </row>
    <row r="14">
      <c r="A14" t="inlineStr">
        <is>
          <t>2024-02-13</t>
        </is>
      </c>
      <c r="B14" t="inlineStr">
        <is>
          <t>2023년 12월 결산기 연간 결산단신</t>
        </is>
      </c>
      <c r="C14" t="inlineStr">
        <is>
          <t>https://www2.jpx.co.jp/disc/42210/140120240120517165.pdf</t>
        </is>
      </c>
    </row>
    <row r="15">
      <c r="A15" t="inlineStr">
        <is>
          <t>2023-11-13</t>
        </is>
      </c>
      <c r="B15" t="inlineStr">
        <is>
          <t>2023년 12월 결산기 3분기 결산단신</t>
        </is>
      </c>
      <c r="C15" t="inlineStr">
        <is>
          <t>https://www2.jpx.co.jp/disc/42210/140120231020569191.pdf</t>
        </is>
      </c>
    </row>
    <row r="16">
      <c r="A16" t="inlineStr">
        <is>
          <t>2023-08-10</t>
        </is>
      </c>
      <c r="B16" t="inlineStr">
        <is>
          <t>2023년 12월 결산기 2분기 결산단신</t>
        </is>
      </c>
      <c r="C16" t="inlineStr">
        <is>
          <t>https://www2.jpx.co.jp/disc/42210/140120230704517623.pdf</t>
        </is>
      </c>
    </row>
    <row r="17">
      <c r="A17" t="inlineStr">
        <is>
          <t>2023-05-15</t>
        </is>
      </c>
      <c r="B17" t="inlineStr">
        <is>
          <t>2023년 12월 결산기 1분기 결산단신</t>
        </is>
      </c>
      <c r="C17" t="inlineStr">
        <is>
          <t>https://www2.jpx.co.jp/disc/42210/140120230421550995.pdf</t>
        </is>
      </c>
    </row>
    <row r="18">
      <c r="A18" t="inlineStr">
        <is>
          <t>2023-02-10</t>
        </is>
      </c>
      <c r="B18" t="inlineStr">
        <is>
          <t>2022년 12월 결산기 연간 결산단신</t>
        </is>
      </c>
      <c r="C18" t="inlineStr">
        <is>
          <t>https://www2.jpx.co.jp/disc/42210/140120230126593921.pdf</t>
        </is>
      </c>
    </row>
    <row r="19">
      <c r="A19" t="inlineStr">
        <is>
          <t>2022-11-11</t>
        </is>
      </c>
      <c r="B19" t="inlineStr">
        <is>
          <t>2022년 12월 결산기 3분기 결산단신</t>
        </is>
      </c>
      <c r="C19" t="inlineStr">
        <is>
          <t>https://www2.jpx.co.jp/disc/42210/140120221004540424.pdf</t>
        </is>
      </c>
    </row>
    <row r="20">
      <c r="A20" t="inlineStr">
        <is>
          <t>2022-02-10</t>
        </is>
      </c>
      <c r="B20" t="inlineStr">
        <is>
          <t>2021년 12월 결산기 연간 결산단신</t>
        </is>
      </c>
      <c r="C20" t="inlineStr">
        <is>
          <t>https://www2.jpx.co.jp/disc/42210/140120220124571139.pdf</t>
        </is>
      </c>
    </row>
    <row r="21">
      <c r="A21" t="inlineStr">
        <is>
          <t>2021-02-12</t>
        </is>
      </c>
      <c r="B21" t="inlineStr">
        <is>
          <t>2020년 12월 결산기 연간 결산단신</t>
        </is>
      </c>
      <c r="C21" t="inlineStr">
        <is>
          <t>https://www2.jpx.co.jp/disc/42210/140120210128451250.pdf</t>
        </is>
      </c>
    </row>
    <row r="22">
      <c r="A22" t="inlineStr">
        <is>
          <t>2020-02-14</t>
        </is>
      </c>
      <c r="B22" t="inlineStr">
        <is>
          <t>2019년 12월 결산기 연간 결산단신</t>
        </is>
      </c>
      <c r="C22" t="inlineStr">
        <is>
          <t>https://www2.jpx.co.jp/disc/42210/140120200128451845.pdf</t>
        </is>
      </c>
    </row>
    <row r="23">
      <c r="A23" t="inlineStr">
        <is>
          <t>2019-02-12</t>
        </is>
      </c>
      <c r="B23" t="inlineStr">
        <is>
          <t>연간 결산단신</t>
        </is>
      </c>
      <c r="C23" t="inlineStr">
        <is>
          <t>https://www2.jpx.co.jp/disc/42210/140120190131466903.pdf</t>
        </is>
      </c>
    </row>
    <row r="24">
      <c r="A24" t="inlineStr">
        <is>
          <t>2018-02-13</t>
        </is>
      </c>
      <c r="B24" t="inlineStr">
        <is>
          <t>연간 결산단신</t>
        </is>
      </c>
      <c r="C24" t="inlineStr">
        <is>
          <t>https://www2.jpx.co.jp/disc/42210/140120180131459969.pdf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2026-10-25T14:02:21Z</dcterms:created>
  <dcterms:modified xmlns:dcterms="http://purl.org/dc/terms/" xmlns:xsi="http://www.w3.org/2001/XMLSchema-instance" xsi:type="dcterms:W3CDTF">2026-10-25T14:02:22Z</dcterms:modified>
</cp:coreProperties>
</file>