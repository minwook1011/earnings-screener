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7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6518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4680.935</v>
      </c>
      <c r="D4" s="12" t="n">
        <v>4379.222</v>
      </c>
      <c r="E4" s="12" t="n">
        <v>3926.958</v>
      </c>
      <c r="F4" s="12" t="n">
        <v>3612.388</v>
      </c>
      <c r="G4" s="12" t="n">
        <v>4003.704</v>
      </c>
      <c r="H4" s="12" t="n">
        <v>4298.493</v>
      </c>
      <c r="I4" s="12" t="n">
        <v>4115.001</v>
      </c>
      <c r="J4" s="12" t="n">
        <v>3971.305</v>
      </c>
      <c r="K4" s="12" t="n">
        <v>4981.771</v>
      </c>
      <c r="L4" s="12" t="n">
        <v>4670.348</v>
      </c>
      <c r="M4" s="12" t="n">
        <v>4669.309</v>
      </c>
      <c r="N4" s="12" t="n">
        <v>4927.188</v>
      </c>
      <c r="O4" s="11" t="n">
        <v>13948.314</v>
      </c>
      <c r="P4" s="12" t="n">
        <v>15554.461</v>
      </c>
      <c r="Q4" s="12" t="n">
        <v>15804.098</v>
      </c>
      <c r="R4" s="12" t="n">
        <v>13719.37</v>
      </c>
      <c r="S4" s="12" t="n">
        <v>12926.811</v>
      </c>
      <c r="T4" s="12" t="n">
        <v>17098.746</v>
      </c>
      <c r="U4" s="12" t="n">
        <v>18618.63</v>
      </c>
      <c r="V4" s="12" t="n">
        <v>17666.653</v>
      </c>
      <c r="W4" s="12" t="n">
        <v>16029.586</v>
      </c>
      <c r="X4" s="12" t="n">
        <v>18292.733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3812.408</v>
      </c>
      <c r="D11" s="22" t="n">
        <v>3557.825</v>
      </c>
      <c r="E11" s="22" t="n">
        <v>3328.302</v>
      </c>
      <c r="F11" s="22" t="n">
        <v>3031.829</v>
      </c>
      <c r="G11" s="22" t="n">
        <v>3348.72</v>
      </c>
      <c r="H11" s="22" t="n">
        <v>3616.026</v>
      </c>
      <c r="I11" s="22" t="n">
        <v>3443.748</v>
      </c>
      <c r="J11" s="22" t="n">
        <v>3158.001</v>
      </c>
      <c r="K11" s="22" t="n">
        <v>4125.384</v>
      </c>
      <c r="L11" s="22" t="n">
        <v>3731.962</v>
      </c>
      <c r="M11" s="22" t="n">
        <v>3918.977</v>
      </c>
      <c r="N11" s="22" t="n">
        <v>3894.637</v>
      </c>
      <c r="O11" s="21" t="n">
        <v>11072.893</v>
      </c>
      <c r="P11" s="22" t="n">
        <v>12342.934</v>
      </c>
      <c r="Q11" s="22" t="n">
        <v>12499.549</v>
      </c>
      <c r="R11" s="22" t="n">
        <v>11141.684</v>
      </c>
      <c r="S11" s="22" t="n">
        <v>10281.149</v>
      </c>
      <c r="T11" s="22" t="n">
        <v>13915.725</v>
      </c>
      <c r="U11" s="22" t="n">
        <v>15130.818</v>
      </c>
      <c r="V11" s="22" t="n">
        <v>14425.953</v>
      </c>
      <c r="W11" s="22" t="n">
        <v>13440.323</v>
      </c>
      <c r="X11" s="22" t="n">
        <v>14934.324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644.535</v>
      </c>
      <c r="D15" s="22" t="n">
        <v>656.76</v>
      </c>
      <c r="E15" s="22" t="n">
        <v>607.347</v>
      </c>
      <c r="F15" s="22" t="n">
        <v>647.15</v>
      </c>
      <c r="G15" s="22" t="n">
        <v>684.915</v>
      </c>
      <c r="H15" s="22" t="n">
        <v>597.923</v>
      </c>
      <c r="I15" s="22" t="n">
        <v>589.571</v>
      </c>
      <c r="J15" s="22" t="n">
        <v>611.769</v>
      </c>
      <c r="K15" s="22" t="n">
        <v>648.807</v>
      </c>
      <c r="L15" s="22" t="n">
        <v>653.516</v>
      </c>
      <c r="M15" s="22" t="n">
        <v>649.663</v>
      </c>
      <c r="N15" s="22" t="n">
        <v>634.687</v>
      </c>
      <c r="O15" s="21" t="n">
        <v>2193.798</v>
      </c>
      <c r="P15" s="22" t="n">
        <v>2328.981</v>
      </c>
      <c r="Q15" s="22" t="n">
        <v>2445.063</v>
      </c>
      <c r="R15" s="22" t="n">
        <v>2332.239</v>
      </c>
      <c r="S15" s="22" t="n">
        <v>2260.609</v>
      </c>
      <c r="T15" s="22" t="n">
        <v>2376.54</v>
      </c>
      <c r="U15" s="22" t="n">
        <v>2586.518</v>
      </c>
      <c r="V15" s="22" t="n">
        <v>2562.754</v>
      </c>
      <c r="W15" s="22" t="n">
        <v>2519.559</v>
      </c>
      <c r="X15" s="22" t="n">
        <v>2563.755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223.992</v>
      </c>
      <c r="D16" s="12" t="n">
        <v>164.637</v>
      </c>
      <c r="E16" s="12" t="n">
        <v>-8.691000000000001</v>
      </c>
      <c r="F16" s="12" t="n">
        <v>-66.59099999999999</v>
      </c>
      <c r="G16" s="12" t="n">
        <v>-29.931</v>
      </c>
      <c r="H16" s="12" t="n">
        <v>84.544</v>
      </c>
      <c r="I16" s="12" t="n">
        <v>81.681</v>
      </c>
      <c r="J16" s="12" t="n">
        <v>201.533</v>
      </c>
      <c r="K16" s="12" t="n">
        <v>207.582</v>
      </c>
      <c r="L16" s="12" t="n">
        <v>284.869</v>
      </c>
      <c r="M16" s="12" t="n">
        <v>100.669</v>
      </c>
      <c r="N16" s="12" t="n">
        <v>397.863</v>
      </c>
      <c r="O16" s="11" t="n">
        <v>681.623</v>
      </c>
      <c r="P16" s="12" t="n">
        <v>882.545</v>
      </c>
      <c r="Q16" s="12" t="n">
        <v>859.485</v>
      </c>
      <c r="R16" s="12" t="n">
        <v>245.446</v>
      </c>
      <c r="S16" s="12" t="n">
        <v>385.052</v>
      </c>
      <c r="T16" s="12" t="n">
        <v>806.48</v>
      </c>
      <c r="U16" s="12" t="n">
        <v>901.292</v>
      </c>
      <c r="V16" s="12" t="n">
        <v>677.9450000000001</v>
      </c>
      <c r="W16" s="12" t="n">
        <v>69.703</v>
      </c>
      <c r="X16" s="12" t="n">
        <v>794.653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12.936</v>
      </c>
      <c r="D32" s="22" t="n">
        <v>0</v>
      </c>
      <c r="E32" s="22" t="n">
        <v>0.02</v>
      </c>
      <c r="F32" s="22" t="n">
        <v>3.729</v>
      </c>
      <c r="G32" s="22" t="n">
        <v>0.102</v>
      </c>
      <c r="H32" s="22" t="n">
        <v>0.227</v>
      </c>
      <c r="I32" s="22" t="n">
        <v>103.52</v>
      </c>
      <c r="J32" s="22" t="n">
        <v>0.034</v>
      </c>
      <c r="K32" s="22" t="n">
        <v>0</v>
      </c>
      <c r="L32" s="22" t="n">
        <v>0.08599999999999999</v>
      </c>
      <c r="M32" s="22" t="n">
        <v>0.093</v>
      </c>
      <c r="N32" s="22" t="n">
        <v>12.905</v>
      </c>
      <c r="O32" s="21" t="n">
        <v>195.364</v>
      </c>
      <c r="P32" s="22" t="n">
        <v>36.293</v>
      </c>
      <c r="Q32" s="22" t="n">
        <v>2.564</v>
      </c>
      <c r="R32" s="22" t="n">
        <v>0</v>
      </c>
      <c r="S32" s="22" t="n">
        <v>93.21899999999999</v>
      </c>
      <c r="T32" s="22" t="n">
        <v>125.132</v>
      </c>
      <c r="U32" s="22" t="n">
        <v>5.239</v>
      </c>
      <c r="V32" s="22" t="n">
        <v>12.956</v>
      </c>
      <c r="W32" s="22" t="n">
        <v>107.578</v>
      </c>
      <c r="X32" s="22" t="n">
        <v>0.213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0.313</v>
      </c>
      <c r="D34" s="22" t="n">
        <v>1.587</v>
      </c>
      <c r="E34" s="22" t="n">
        <v>66.84699999999999</v>
      </c>
      <c r="F34" s="22" t="n">
        <v>0.271</v>
      </c>
      <c r="G34" s="22" t="n">
        <v>1.377</v>
      </c>
      <c r="H34" s="22" t="n">
        <v>3.024</v>
      </c>
      <c r="I34" s="22" t="n">
        <v>3.591</v>
      </c>
      <c r="J34" s="22" t="n">
        <v>0.945</v>
      </c>
      <c r="K34" s="22" t="n">
        <v>6.976</v>
      </c>
      <c r="L34" s="22" t="n">
        <v>9.164</v>
      </c>
      <c r="M34" s="22" t="n">
        <v>0.156</v>
      </c>
      <c r="N34" s="22" t="n">
        <v>0.089</v>
      </c>
      <c r="O34" s="21" t="n">
        <v>14.272</v>
      </c>
      <c r="P34" s="22" t="n">
        <v>40.447</v>
      </c>
      <c r="Q34" s="22" t="n">
        <v>18.082</v>
      </c>
      <c r="R34" s="22" t="n">
        <v>9.970000000000001</v>
      </c>
      <c r="S34" s="22" t="n">
        <v>115.198</v>
      </c>
      <c r="T34" s="22" t="n">
        <v>7.902</v>
      </c>
      <c r="U34" s="22" t="n">
        <v>6.222</v>
      </c>
      <c r="V34" s="22" t="n">
        <v>76.41500000000001</v>
      </c>
      <c r="W34" s="22" t="n">
        <v>8.263</v>
      </c>
      <c r="X34" s="22" t="n">
        <v>17.241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36.495</v>
      </c>
      <c r="D36" s="22" t="n">
        <v>29.046</v>
      </c>
      <c r="E36" s="22" t="n">
        <v>26.948</v>
      </c>
      <c r="F36" s="22" t="n">
        <v>37.862</v>
      </c>
      <c r="G36" s="22" t="n">
        <v>30.512</v>
      </c>
      <c r="H36" s="22" t="n">
        <v>36.252</v>
      </c>
      <c r="I36" s="22" t="n">
        <v>28.945</v>
      </c>
      <c r="J36" s="22" t="n">
        <v>53.623</v>
      </c>
      <c r="K36" s="22" t="n">
        <v>52.726</v>
      </c>
      <c r="L36" s="22" t="n">
        <v>16.537</v>
      </c>
      <c r="M36" s="22" t="n">
        <v>20.91</v>
      </c>
      <c r="N36" s="22" t="n">
        <v>38.289</v>
      </c>
      <c r="O36" s="21" t="n">
        <v>116.232</v>
      </c>
      <c r="P36" s="22" t="n">
        <v>86.89100000000001</v>
      </c>
      <c r="Q36" s="22" t="n">
        <v>58.487</v>
      </c>
      <c r="R36" s="22" t="n">
        <v>79.89700000000001</v>
      </c>
      <c r="S36" s="22" t="n">
        <v>225.367</v>
      </c>
      <c r="T36" s="22" t="n">
        <v>170.55</v>
      </c>
      <c r="U36" s="22" t="n">
        <v>190.862</v>
      </c>
      <c r="V36" s="22" t="n">
        <v>166.107</v>
      </c>
      <c r="W36" s="22" t="n">
        <v>133.571</v>
      </c>
      <c r="X36" s="22" t="n">
        <v>143.796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11.239</v>
      </c>
      <c r="D38" s="22" t="n">
        <v>15.496</v>
      </c>
      <c r="E38" s="22" t="n">
        <v>10.53</v>
      </c>
      <c r="F38" s="22" t="n">
        <v>23.255</v>
      </c>
      <c r="G38" s="22" t="n">
        <v>25.522</v>
      </c>
      <c r="H38" s="22" t="n">
        <v>-3.783</v>
      </c>
      <c r="I38" s="22" t="n">
        <v>21.812</v>
      </c>
      <c r="J38" s="22" t="n">
        <v>10.624</v>
      </c>
      <c r="K38" s="22" t="n">
        <v>11.546</v>
      </c>
      <c r="L38" s="22" t="n">
        <v>15.046</v>
      </c>
      <c r="M38" s="22" t="n">
        <v>38.196</v>
      </c>
      <c r="N38" s="22" t="n">
        <v>61.454</v>
      </c>
      <c r="O38" s="21" t="n">
        <v>23.562</v>
      </c>
      <c r="P38" s="22" t="n">
        <v>44.806</v>
      </c>
      <c r="Q38" s="22" t="n">
        <v>24.859</v>
      </c>
      <c r="R38" s="22" t="n">
        <v>42.52</v>
      </c>
      <c r="S38" s="22" t="n">
        <v>26.426</v>
      </c>
      <c r="T38" s="22" t="n">
        <v>37.444</v>
      </c>
      <c r="U38" s="22" t="n">
        <v>36.662</v>
      </c>
      <c r="V38" s="22" t="n">
        <v>47.744</v>
      </c>
      <c r="W38" s="22" t="n">
        <v>66.806</v>
      </c>
      <c r="X38" s="22" t="n">
        <v>75.41200000000001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261.872</v>
      </c>
      <c r="D40" s="12" t="n">
        <v>176.599</v>
      </c>
      <c r="E40" s="12" t="n">
        <v>-59.099</v>
      </c>
      <c r="F40" s="12" t="n">
        <v>-48.525</v>
      </c>
      <c r="G40" s="12" t="n">
        <v>-26.217</v>
      </c>
      <c r="H40" s="12" t="n">
        <v>121.781</v>
      </c>
      <c r="I40" s="12" t="n">
        <v>188.744</v>
      </c>
      <c r="J40" s="12" t="n">
        <v>243.621</v>
      </c>
      <c r="K40" s="12" t="n">
        <v>241.785</v>
      </c>
      <c r="L40" s="12" t="n">
        <v>277.283</v>
      </c>
      <c r="M40" s="12" t="n">
        <v>83.31999999999999</v>
      </c>
      <c r="N40" s="12" t="n">
        <v>387.515</v>
      </c>
      <c r="O40" s="11" t="n">
        <v>955.386</v>
      </c>
      <c r="P40" s="12" t="n">
        <v>920.476</v>
      </c>
      <c r="Q40" s="12" t="n">
        <v>877.596</v>
      </c>
      <c r="R40" s="12" t="n">
        <v>272.851</v>
      </c>
      <c r="S40" s="12" t="n">
        <v>562.013</v>
      </c>
      <c r="T40" s="12" t="n">
        <v>1056.815</v>
      </c>
      <c r="U40" s="12" t="n">
        <v>1054.51</v>
      </c>
      <c r="V40" s="12" t="n">
        <v>732.849</v>
      </c>
      <c r="W40" s="12" t="n">
        <v>235.783</v>
      </c>
      <c r="X40" s="12" t="n">
        <v>846.009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83.05500000000001</v>
      </c>
      <c r="D41" s="22" t="n">
        <v>59.314</v>
      </c>
      <c r="E41" s="22" t="n">
        <v>-9.311</v>
      </c>
      <c r="F41" s="22" t="n">
        <v>5.597</v>
      </c>
      <c r="G41" s="22" t="n">
        <v>38.994</v>
      </c>
      <c r="H41" s="22" t="n">
        <v>34.09</v>
      </c>
      <c r="I41" s="22" t="n">
        <v>38.666</v>
      </c>
      <c r="J41" s="22" t="n">
        <v>83.27800000000001</v>
      </c>
      <c r="K41" s="22" t="n">
        <v>94.194</v>
      </c>
      <c r="L41" s="22" t="n">
        <v>87.292</v>
      </c>
      <c r="M41" s="22" t="n">
        <v>12.795</v>
      </c>
      <c r="N41" s="22" t="n">
        <v>116.59</v>
      </c>
      <c r="O41" s="21" t="n">
        <v>148.225</v>
      </c>
      <c r="P41" s="22" t="n">
        <v>122.229</v>
      </c>
      <c r="Q41" s="22" t="n">
        <v>220.116</v>
      </c>
      <c r="R41" s="22" t="n">
        <v>99.91500000000001</v>
      </c>
      <c r="S41" s="22" t="n">
        <v>159.663</v>
      </c>
      <c r="T41" s="22" t="n">
        <v>172.497</v>
      </c>
      <c r="U41" s="22" t="n">
        <v>238.855</v>
      </c>
      <c r="V41" s="22" t="n">
        <v>239.778</v>
      </c>
      <c r="W41" s="22" t="n">
        <v>117.347</v>
      </c>
      <c r="X41" s="22" t="n">
        <v>277.559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178.817</v>
      </c>
      <c r="D43" s="12" t="n">
        <v>117.285</v>
      </c>
      <c r="E43" s="12" t="n">
        <v>-49.789</v>
      </c>
      <c r="F43" s="12" t="n">
        <v>-54.122</v>
      </c>
      <c r="G43" s="12" t="n">
        <v>-65.211</v>
      </c>
      <c r="H43" s="12" t="n">
        <v>87.69199999999999</v>
      </c>
      <c r="I43" s="12" t="n">
        <v>150.077</v>
      </c>
      <c r="J43" s="12" t="n">
        <v>160.342</v>
      </c>
      <c r="K43" s="12" t="n">
        <v>147.591</v>
      </c>
      <c r="L43" s="12" t="n">
        <v>189.991</v>
      </c>
      <c r="M43" s="12" t="n">
        <v>70.52500000000001</v>
      </c>
      <c r="N43" s="12" t="n">
        <v>270.924</v>
      </c>
      <c r="O43" s="11" t="n">
        <v>807.16</v>
      </c>
      <c r="P43" s="12" t="n">
        <v>798.247</v>
      </c>
      <c r="Q43" s="12" t="n">
        <v>657.479</v>
      </c>
      <c r="R43" s="12" t="n">
        <v>172.936</v>
      </c>
      <c r="S43" s="12" t="n">
        <v>402.35</v>
      </c>
      <c r="T43" s="12" t="n">
        <v>884.318</v>
      </c>
      <c r="U43" s="12" t="n">
        <v>815.655</v>
      </c>
      <c r="V43" s="12" t="n">
        <v>493.07</v>
      </c>
      <c r="W43" s="12" t="n">
        <v>118.436</v>
      </c>
      <c r="X43" s="12" t="n">
        <v>568.449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178.817</v>
      </c>
      <c r="D44" s="12" t="n">
        <v>117.285</v>
      </c>
      <c r="E44" s="12" t="n">
        <v>-49.789</v>
      </c>
      <c r="F44" s="12" t="n">
        <v>-54.122</v>
      </c>
      <c r="G44" s="12" t="n">
        <v>-65.211</v>
      </c>
      <c r="H44" s="12" t="n">
        <v>87.69199999999999</v>
      </c>
      <c r="I44" s="12" t="n">
        <v>150.077</v>
      </c>
      <c r="J44" s="12" t="n">
        <v>160.342</v>
      </c>
      <c r="K44" s="12" t="n">
        <v>147.591</v>
      </c>
      <c r="L44" s="12" t="n">
        <v>189.991</v>
      </c>
      <c r="M44" s="12" t="n">
        <v>70.52500000000001</v>
      </c>
      <c r="N44" s="12" t="n">
        <v>270.924</v>
      </c>
      <c r="O44" s="11" t="n">
        <v>807.16</v>
      </c>
      <c r="P44" s="12" t="n">
        <v>798.247</v>
      </c>
      <c r="Q44" s="12" t="n">
        <v>657.479</v>
      </c>
      <c r="R44" s="12" t="n">
        <v>172.936</v>
      </c>
      <c r="S44" s="12" t="n">
        <v>402.35</v>
      </c>
      <c r="T44" s="12" t="n">
        <v>884.318</v>
      </c>
      <c r="U44" s="12" t="n">
        <v>815.655</v>
      </c>
      <c r="V44" s="12" t="n">
        <v>493.07</v>
      </c>
      <c r="W44" s="12" t="n">
        <v>118.436</v>
      </c>
      <c r="X44" s="12" t="n">
        <v>568.449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()</t>
        </is>
      </c>
      <c r="B47" s="29" t="n"/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/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4680.935</v>
      </c>
      <c r="D78" s="12" t="n">
        <v>4379.222</v>
      </c>
      <c r="E78" s="12" t="n">
        <v>3926.958</v>
      </c>
      <c r="F78" s="12" t="n">
        <v>3612.388</v>
      </c>
      <c r="G78" s="12" t="n">
        <v>4003.704</v>
      </c>
      <c r="H78" s="12" t="n">
        <v>4298.493</v>
      </c>
      <c r="I78" s="12" t="n">
        <v>4115.001</v>
      </c>
      <c r="J78" s="12" t="n">
        <v>3971.305</v>
      </c>
      <c r="K78" s="12" t="n">
        <v>4981.771</v>
      </c>
      <c r="L78" s="12" t="n">
        <v>4670.348</v>
      </c>
      <c r="M78" s="12" t="n">
        <v>4669.309</v>
      </c>
      <c r="N78" s="12" t="n">
        <v>4927.188</v>
      </c>
      <c r="T78" s="12" t="n">
        <v>4760.864</v>
      </c>
      <c r="U78" s="12" t="n">
        <v>5125.412</v>
      </c>
      <c r="V78" s="12" t="n">
        <v>3926.958</v>
      </c>
      <c r="W78" s="12" t="n">
        <v>4115.001</v>
      </c>
      <c r="X78" s="12" t="n">
        <v>4669.309</v>
      </c>
    </row>
    <row r="79">
      <c r="A79" s="20" t="inlineStr">
        <is>
          <t>매출원가</t>
        </is>
      </c>
      <c r="C79" s="22" t="n">
        <v>3812.408</v>
      </c>
      <c r="D79" s="22" t="n">
        <v>3557.825</v>
      </c>
      <c r="E79" s="22" t="n">
        <v>3328.302</v>
      </c>
      <c r="F79" s="22" t="n">
        <v>3031.829</v>
      </c>
      <c r="G79" s="22" t="n">
        <v>3348.72</v>
      </c>
      <c r="H79" s="22" t="n">
        <v>3616.026</v>
      </c>
      <c r="I79" s="22" t="n">
        <v>3443.748</v>
      </c>
      <c r="J79" s="22" t="n">
        <v>3158.001</v>
      </c>
      <c r="K79" s="22" t="n">
        <v>4125.384</v>
      </c>
      <c r="L79" s="22" t="n">
        <v>3731.962</v>
      </c>
      <c r="M79" s="22" t="n">
        <v>3918.977</v>
      </c>
      <c r="N79" s="22" t="n">
        <v>3894.637</v>
      </c>
      <c r="T79" s="22" t="n">
        <v>3907.06</v>
      </c>
      <c r="U79" s="22" t="n">
        <v>4223.959</v>
      </c>
      <c r="V79" s="22" t="n">
        <v>3328.302</v>
      </c>
      <c r="W79" s="22" t="n">
        <v>3443.748</v>
      </c>
      <c r="X79" s="22" t="n">
        <v>3918.977</v>
      </c>
    </row>
    <row r="80">
      <c r="A80" s="9" t="inlineStr">
        <is>
          <t>매출총이익</t>
        </is>
      </c>
      <c r="C80" s="12" t="n">
        <v>868.527</v>
      </c>
      <c r="D80" s="12" t="n">
        <v>821.396</v>
      </c>
      <c r="E80" s="12" t="n">
        <v>598.6559999999999</v>
      </c>
      <c r="F80" s="12" t="n">
        <v>580.559</v>
      </c>
      <c r="G80" s="12" t="n">
        <v>654.984</v>
      </c>
      <c r="H80" s="12" t="n">
        <v>682.466</v>
      </c>
      <c r="I80" s="12" t="n">
        <v>671.254</v>
      </c>
      <c r="J80" s="12" t="n">
        <v>813.303</v>
      </c>
      <c r="K80" s="12" t="n">
        <v>856.388</v>
      </c>
      <c r="L80" s="12" t="n">
        <v>938.386</v>
      </c>
      <c r="M80" s="12" t="n">
        <v>750.331</v>
      </c>
      <c r="N80" s="12" t="n">
        <v>1032.551</v>
      </c>
      <c r="T80" s="12" t="n">
        <v>853.804</v>
      </c>
      <c r="U80" s="12" t="n">
        <v>901.453</v>
      </c>
      <c r="V80" s="12" t="n">
        <v>598.6559999999999</v>
      </c>
      <c r="W80" s="12" t="n">
        <v>671.254</v>
      </c>
      <c r="X80" s="12" t="n">
        <v>750.331</v>
      </c>
    </row>
    <row r="81">
      <c r="A81" s="20" t="inlineStr">
        <is>
          <t>판매비와 관리비</t>
        </is>
      </c>
      <c r="C81" s="22" t="n">
        <v>644.535</v>
      </c>
      <c r="D81" s="22" t="n">
        <v>656.76</v>
      </c>
      <c r="E81" s="22" t="n">
        <v>607.347</v>
      </c>
      <c r="F81" s="22" t="n">
        <v>647.15</v>
      </c>
      <c r="G81" s="22" t="n">
        <v>684.915</v>
      </c>
      <c r="H81" s="22" t="n">
        <v>597.923</v>
      </c>
      <c r="I81" s="22" t="n">
        <v>589.571</v>
      </c>
      <c r="J81" s="22" t="n">
        <v>611.769</v>
      </c>
      <c r="K81" s="22" t="n">
        <v>648.807</v>
      </c>
      <c r="L81" s="22" t="n">
        <v>653.516</v>
      </c>
      <c r="M81" s="22" t="n">
        <v>649.663</v>
      </c>
      <c r="N81" s="22" t="n">
        <v>634.687</v>
      </c>
      <c r="T81" s="22" t="n">
        <v>615.3099999999999</v>
      </c>
      <c r="U81" s="22" t="n">
        <v>672.011</v>
      </c>
      <c r="V81" s="22" t="n">
        <v>607.347</v>
      </c>
      <c r="W81" s="22" t="n">
        <v>589.571</v>
      </c>
      <c r="X81" s="22" t="n">
        <v>649.663</v>
      </c>
    </row>
    <row r="82">
      <c r="A82" s="9" t="inlineStr">
        <is>
          <t>영업이익</t>
        </is>
      </c>
      <c r="C82" s="12" t="n">
        <v>223.992</v>
      </c>
      <c r="D82" s="12" t="n">
        <v>164.637</v>
      </c>
      <c r="E82" s="12" t="n">
        <v>-8.691000000000001</v>
      </c>
      <c r="F82" s="12" t="n">
        <v>-66.59099999999999</v>
      </c>
      <c r="G82" s="12" t="n">
        <v>-29.931</v>
      </c>
      <c r="H82" s="12" t="n">
        <v>84.544</v>
      </c>
      <c r="I82" s="12" t="n">
        <v>81.681</v>
      </c>
      <c r="J82" s="12" t="n">
        <v>201.533</v>
      </c>
      <c r="K82" s="12" t="n">
        <v>207.582</v>
      </c>
      <c r="L82" s="12" t="n">
        <v>284.869</v>
      </c>
      <c r="M82" s="12" t="n">
        <v>100.669</v>
      </c>
      <c r="N82" s="12" t="n">
        <v>397.863</v>
      </c>
      <c r="T82" s="12" t="n">
        <v>238.495</v>
      </c>
      <c r="U82" s="12" t="n">
        <v>229.441</v>
      </c>
      <c r="V82" s="12" t="n">
        <v>-8.691000000000001</v>
      </c>
      <c r="W82" s="12" t="n">
        <v>81.681</v>
      </c>
      <c r="X82" s="12" t="n">
        <v>100.669</v>
      </c>
    </row>
    <row r="83">
      <c r="A83" s="20" t="inlineStr">
        <is>
          <t>이자수익</t>
        </is>
      </c>
      <c r="C83" s="22" t="n">
        <v>3.623</v>
      </c>
      <c r="D83" s="22" t="n">
        <v>1.394</v>
      </c>
      <c r="E83" s="22" t="n">
        <v>2.617</v>
      </c>
      <c r="F83" s="22" t="n">
        <v>0.903</v>
      </c>
      <c r="G83" s="22" t="n">
        <v>2.824</v>
      </c>
      <c r="H83" s="22" t="n">
        <v>0.9389999999999999</v>
      </c>
      <c r="I83" s="22" t="n">
        <v>2.556</v>
      </c>
      <c r="J83" s="22" t="n">
        <v>0.909</v>
      </c>
      <c r="K83" s="22" t="n">
        <v>2.195</v>
      </c>
      <c r="L83" s="22" t="n">
        <v>0.51</v>
      </c>
      <c r="M83" s="22" t="n">
        <v>0.417</v>
      </c>
      <c r="N83" s="22" t="n">
        <v>0.733</v>
      </c>
      <c r="T83" s="22" t="n">
        <v>3.669</v>
      </c>
      <c r="U83" s="22" t="n">
        <v>4.045</v>
      </c>
      <c r="V83" s="22" t="n">
        <v>2.617</v>
      </c>
      <c r="W83" s="22" t="n">
        <v>2.556</v>
      </c>
      <c r="X83" s="22" t="n">
        <v>0.417</v>
      </c>
    </row>
    <row r="84">
      <c r="A84" s="20" t="inlineStr">
        <is>
          <t>배당금수익</t>
        </is>
      </c>
      <c r="C84" s="22" t="n">
        <v>2.57</v>
      </c>
      <c r="D84" s="22" t="n">
        <v>6.4</v>
      </c>
      <c r="E84" s="22" t="n">
        <v>3.748</v>
      </c>
      <c r="F84" s="22" t="n">
        <v>9.239000000000001</v>
      </c>
      <c r="G84" s="22" t="n">
        <v>2.862</v>
      </c>
      <c r="H84" s="22" t="n">
        <v>8.353</v>
      </c>
      <c r="I84" s="22" t="n">
        <v>3.439</v>
      </c>
      <c r="J84" s="22" t="n">
        <v>6.032</v>
      </c>
      <c r="K84" s="22" t="n">
        <v>4.796</v>
      </c>
      <c r="L84" s="22" t="n">
        <v>9.49</v>
      </c>
      <c r="M84" s="22" t="n">
        <v>4.001</v>
      </c>
      <c r="N84" s="22" t="n">
        <v>9.417</v>
      </c>
      <c r="T84" s="22" t="n">
        <v>2.423</v>
      </c>
      <c r="U84" s="22" t="n">
        <v>1.974</v>
      </c>
      <c r="V84" s="22" t="n">
        <v>3.748</v>
      </c>
      <c r="W84" s="22" t="n">
        <v>3.439</v>
      </c>
      <c r="X84" s="22" t="n">
        <v>4.001</v>
      </c>
    </row>
    <row r="85">
      <c r="A85" s="20" t="inlineStr">
        <is>
          <t>외환차익</t>
        </is>
      </c>
      <c r="C85" s="22" t="n">
        <v>12.162</v>
      </c>
      <c r="D85" s="22" t="n">
        <v>-5.656</v>
      </c>
      <c r="E85" s="22" t="n">
        <v>-0.417</v>
      </c>
      <c r="F85" s="22" t="n">
        <v>0</v>
      </c>
      <c r="G85" s="22" t="n">
        <v>0</v>
      </c>
      <c r="H85" s="22" t="n">
        <v>0</v>
      </c>
      <c r="I85" s="22" t="n">
        <v>0</v>
      </c>
      <c r="J85" s="22" t="n">
        <v>18.11</v>
      </c>
      <c r="K85" s="22" t="n">
        <v>14.167</v>
      </c>
      <c r="L85" s="22" t="n">
        <v>-21.329</v>
      </c>
      <c r="N85" s="22" t="n">
        <v>0</v>
      </c>
      <c r="T85" s="22" t="n">
        <v>23.735</v>
      </c>
      <c r="U85" s="22" t="n">
        <v>9.478</v>
      </c>
      <c r="V85" s="22" t="n">
        <v>-0.417</v>
      </c>
      <c r="W85" s="22" t="n">
        <v>0</v>
      </c>
    </row>
    <row r="86">
      <c r="A86" s="20" t="inlineStr">
        <is>
          <t>Gain On Valuation Of Investment Securities NOI</t>
        </is>
      </c>
      <c r="C86" s="22" t="n">
        <v>0.359</v>
      </c>
      <c r="D86" s="22" t="n">
        <v>-1.399</v>
      </c>
      <c r="E86" s="22" t="n">
        <v>0.126</v>
      </c>
      <c r="F86" s="22" t="n">
        <v>0.006</v>
      </c>
      <c r="G86" s="22" t="n">
        <v>-0.006</v>
      </c>
      <c r="H86" s="22" t="n">
        <v>0</v>
      </c>
      <c r="I86" s="22" t="n">
        <v>0</v>
      </c>
      <c r="J86" s="22" t="n">
        <v>0</v>
      </c>
      <c r="T86" s="22" t="n">
        <v>0</v>
      </c>
      <c r="U86" s="22" t="n">
        <v>8.657999999999999</v>
      </c>
      <c r="V86" s="22" t="n">
        <v>0.126</v>
      </c>
      <c r="W86" s="22" t="n">
        <v>0</v>
      </c>
    </row>
    <row r="87">
      <c r="A87" s="20" t="inlineStr">
        <is>
          <t>투자유가증권 매각이익</t>
        </is>
      </c>
      <c r="C87" s="22" t="n">
        <v>-0.84</v>
      </c>
      <c r="D87" s="22" t="n">
        <v>1.969</v>
      </c>
      <c r="E87" s="22" t="n">
        <v>3.658</v>
      </c>
      <c r="F87" s="22" t="n">
        <v>4.475</v>
      </c>
      <c r="G87" s="22" t="n">
        <v>0.6919999999999999</v>
      </c>
      <c r="H87" s="22" t="n">
        <v>0.037</v>
      </c>
      <c r="I87" s="22" t="n">
        <v>-0.23</v>
      </c>
      <c r="J87" s="22" t="n">
        <v>2.432</v>
      </c>
      <c r="K87" s="22" t="n">
        <v>3.798</v>
      </c>
      <c r="L87" s="22" t="n">
        <v>2.776</v>
      </c>
      <c r="M87" s="22" t="n">
        <v>3.098</v>
      </c>
      <c r="N87" s="22" t="n">
        <v>5.337</v>
      </c>
      <c r="T87" s="22" t="n">
        <v>0.222</v>
      </c>
      <c r="U87" s="22" t="n">
        <v>-0.08</v>
      </c>
      <c r="V87" s="22" t="n">
        <v>3.658</v>
      </c>
      <c r="W87" s="22" t="n">
        <v>-0.23</v>
      </c>
      <c r="X87" s="22" t="n">
        <v>3.098</v>
      </c>
    </row>
    <row r="88">
      <c r="A88" s="20" t="inlineStr">
        <is>
          <t>Amortization Of Negative Goodwill NOI</t>
        </is>
      </c>
      <c r="C88" s="22" t="n">
        <v>0.538</v>
      </c>
      <c r="D88" s="22" t="n">
        <v>0.538</v>
      </c>
      <c r="E88" s="22" t="n">
        <v>0.538</v>
      </c>
      <c r="F88" s="22" t="n">
        <v>0.538</v>
      </c>
      <c r="G88" s="22" t="n">
        <v>0.538</v>
      </c>
      <c r="H88" s="22" t="n">
        <v>0.538</v>
      </c>
      <c r="I88" s="22" t="n">
        <v>0.538</v>
      </c>
      <c r="J88" s="22" t="n">
        <v>0.538</v>
      </c>
      <c r="K88" s="22" t="n">
        <v>0.538</v>
      </c>
      <c r="L88" s="22" t="n">
        <v>0.538</v>
      </c>
      <c r="M88" s="22" t="n">
        <v>0.538</v>
      </c>
      <c r="N88" s="22" t="n">
        <v>0.538</v>
      </c>
      <c r="T88" s="22" t="n">
        <v>0.538</v>
      </c>
      <c r="U88" s="22" t="n">
        <v>0.538</v>
      </c>
      <c r="V88" s="22" t="n">
        <v>0.538</v>
      </c>
      <c r="W88" s="22" t="n">
        <v>0.538</v>
      </c>
      <c r="X88" s="22" t="n">
        <v>0.538</v>
      </c>
    </row>
    <row r="89">
      <c r="A89" s="20" t="inlineStr">
        <is>
          <t>부동산 임대료</t>
        </is>
      </c>
      <c r="C89" s="22" t="n">
        <v>14.197</v>
      </c>
      <c r="D89" s="22" t="n">
        <v>20.555</v>
      </c>
      <c r="E89" s="22" t="n">
        <v>9.696999999999999</v>
      </c>
      <c r="F89" s="22" t="n">
        <v>18.838</v>
      </c>
      <c r="G89" s="22" t="n">
        <v>16.356</v>
      </c>
      <c r="H89" s="22" t="n">
        <v>19.109</v>
      </c>
      <c r="I89" s="22" t="n">
        <v>15.758</v>
      </c>
      <c r="J89" s="22" t="n">
        <v>18.905</v>
      </c>
      <c r="K89" s="22" t="n">
        <v>20.156</v>
      </c>
      <c r="L89" s="22" t="n">
        <v>16.563</v>
      </c>
      <c r="M89" s="22" t="n">
        <v>15.605</v>
      </c>
      <c r="N89" s="22" t="n">
        <v>17.712</v>
      </c>
      <c r="T89" s="22" t="n">
        <v>10.421</v>
      </c>
      <c r="U89" s="22" t="n">
        <v>11.099</v>
      </c>
      <c r="V89" s="22" t="n">
        <v>9.696999999999999</v>
      </c>
      <c r="W89" s="22" t="n">
        <v>15.758</v>
      </c>
      <c r="X89" s="22" t="n">
        <v>15.605</v>
      </c>
    </row>
    <row r="90">
      <c r="A90" s="20" t="inlineStr">
        <is>
          <t>Electricity Sale Income NOI</t>
        </is>
      </c>
      <c r="C90" s="22" t="n">
        <v>1.489</v>
      </c>
      <c r="D90" s="22" t="n">
        <v>1.763</v>
      </c>
      <c r="E90" s="22" t="n">
        <v>1.221</v>
      </c>
      <c r="F90" s="22" t="n">
        <v>1.954</v>
      </c>
      <c r="G90" s="22" t="n">
        <v>2.027</v>
      </c>
      <c r="H90" s="22" t="n">
        <v>1.598</v>
      </c>
      <c r="I90" s="22" t="n">
        <v>1.336</v>
      </c>
      <c r="J90" s="22" t="n">
        <v>2.062</v>
      </c>
      <c r="K90" s="22" t="n">
        <v>1.125</v>
      </c>
      <c r="L90" s="22" t="n">
        <v>2.617</v>
      </c>
      <c r="M90" s="22" t="n">
        <v>1.293</v>
      </c>
      <c r="N90" s="22" t="n">
        <v>2.125</v>
      </c>
      <c r="T90" s="22" t="n">
        <v>1.309</v>
      </c>
      <c r="U90" s="22" t="n">
        <v>1.184</v>
      </c>
      <c r="V90" s="22" t="n">
        <v>1.221</v>
      </c>
      <c r="W90" s="22" t="n">
        <v>1.336</v>
      </c>
      <c r="X90" s="22" t="n">
        <v>1.293</v>
      </c>
    </row>
    <row r="91">
      <c r="A91" s="20" t="inlineStr">
        <is>
          <t>기타</t>
        </is>
      </c>
      <c r="C91" s="22" t="n">
        <v>2.398</v>
      </c>
      <c r="D91" s="22" t="n">
        <v>3.481</v>
      </c>
      <c r="E91" s="22" t="n">
        <v>2.998</v>
      </c>
      <c r="F91" s="22" t="n">
        <v>1.906</v>
      </c>
      <c r="G91" s="22" t="n">
        <v>5.219</v>
      </c>
      <c r="H91" s="22" t="n">
        <v>5.677</v>
      </c>
      <c r="I91" s="22" t="n">
        <v>5.549</v>
      </c>
      <c r="J91" s="22" t="n">
        <v>4.631</v>
      </c>
      <c r="K91" s="22" t="n">
        <v>5.952</v>
      </c>
      <c r="L91" s="22" t="n">
        <v>5.37</v>
      </c>
      <c r="M91" s="22" t="n">
        <v>6.909</v>
      </c>
      <c r="N91" s="22" t="n">
        <v>2.425</v>
      </c>
      <c r="T91" s="22" t="n">
        <v>-13.661</v>
      </c>
      <c r="U91" s="22" t="n">
        <v>-11.82</v>
      </c>
      <c r="V91" s="22" t="n">
        <v>2.998</v>
      </c>
      <c r="W91" s="22" t="n">
        <v>5.549</v>
      </c>
      <c r="X91" s="22" t="n">
        <v>6.909</v>
      </c>
    </row>
    <row r="92">
      <c r="A92" s="20" t="inlineStr">
        <is>
          <t>영업외수익 합계</t>
        </is>
      </c>
      <c r="C92" s="22" t="n">
        <v>36.495</v>
      </c>
      <c r="D92" s="22" t="n">
        <v>29.046</v>
      </c>
      <c r="E92" s="22" t="n">
        <v>26.948</v>
      </c>
      <c r="F92" s="22" t="n">
        <v>37.862</v>
      </c>
      <c r="G92" s="22" t="n">
        <v>30.512</v>
      </c>
      <c r="H92" s="22" t="n">
        <v>36.252</v>
      </c>
      <c r="I92" s="22" t="n">
        <v>28.945</v>
      </c>
      <c r="J92" s="22" t="n">
        <v>53.623</v>
      </c>
      <c r="K92" s="22" t="n">
        <v>52.726</v>
      </c>
      <c r="L92" s="22" t="n">
        <v>16.537</v>
      </c>
      <c r="M92" s="22" t="n">
        <v>20.91</v>
      </c>
      <c r="N92" s="22" t="n">
        <v>38.289</v>
      </c>
      <c r="T92" s="22" t="n">
        <v>56.364</v>
      </c>
      <c r="U92" s="22" t="n">
        <v>48.671</v>
      </c>
      <c r="V92" s="22" t="n">
        <v>26.948</v>
      </c>
      <c r="W92" s="22" t="n">
        <v>28.945</v>
      </c>
      <c r="X92" s="22" t="n">
        <v>20.91</v>
      </c>
    </row>
    <row r="93">
      <c r="A93" s="20" t="inlineStr">
        <is>
          <t>이자비용</t>
        </is>
      </c>
      <c r="C93" s="22" t="n">
        <v>3.023</v>
      </c>
      <c r="D93" s="22" t="n">
        <v>2.812</v>
      </c>
      <c r="E93" s="22" t="n">
        <v>2.605</v>
      </c>
      <c r="F93" s="22" t="n">
        <v>3.028</v>
      </c>
      <c r="G93" s="22" t="n">
        <v>2.98</v>
      </c>
      <c r="H93" s="22" t="n">
        <v>2.692</v>
      </c>
      <c r="I93" s="22" t="n">
        <v>2.773</v>
      </c>
      <c r="J93" s="22" t="n">
        <v>2.776</v>
      </c>
      <c r="K93" s="22" t="n">
        <v>3.073</v>
      </c>
      <c r="L93" s="22" t="n">
        <v>3.452</v>
      </c>
      <c r="M93" s="22" t="n">
        <v>3.704</v>
      </c>
      <c r="N93" s="22" t="n">
        <v>3.418</v>
      </c>
      <c r="T93" s="22" t="n">
        <v>1.634</v>
      </c>
      <c r="U93" s="22" t="n">
        <v>2.799</v>
      </c>
      <c r="V93" s="22" t="n">
        <v>2.605</v>
      </c>
      <c r="W93" s="22" t="n">
        <v>2.773</v>
      </c>
      <c r="X93" s="22" t="n">
        <v>3.704</v>
      </c>
    </row>
    <row r="94">
      <c r="A94" s="20" t="inlineStr">
        <is>
          <t>외환차손</t>
        </is>
      </c>
      <c r="C94" s="22" t="n">
        <v>0</v>
      </c>
      <c r="D94" s="22" t="n">
        <v>0</v>
      </c>
      <c r="E94" s="22" t="n">
        <v>0</v>
      </c>
      <c r="F94" s="22" t="n">
        <v>11.472</v>
      </c>
      <c r="G94" s="22" t="n">
        <v>13.321</v>
      </c>
      <c r="H94" s="22" t="n">
        <v>-17.746</v>
      </c>
      <c r="I94" s="22" t="n">
        <v>3.233</v>
      </c>
      <c r="J94" s="22" t="n">
        <v>0</v>
      </c>
      <c r="K94" s="22" t="n">
        <v>0</v>
      </c>
      <c r="L94" s="22" t="n">
        <v>0</v>
      </c>
      <c r="M94" s="22" t="n">
        <v>21.963</v>
      </c>
      <c r="N94" s="22" t="n">
        <v>50.853</v>
      </c>
      <c r="V94" s="22" t="n">
        <v>0</v>
      </c>
      <c r="W94" s="22" t="n">
        <v>3.233</v>
      </c>
      <c r="X94" s="22" t="n">
        <v>21.963</v>
      </c>
    </row>
    <row r="95">
      <c r="A95" s="20" t="inlineStr">
        <is>
          <t>투자유가증권 평가손실</t>
        </is>
      </c>
      <c r="C95" s="22" t="n">
        <v>0</v>
      </c>
      <c r="D95" s="22" t="n">
        <v>0</v>
      </c>
      <c r="E95" s="22" t="n">
        <v>0</v>
      </c>
      <c r="F95" s="22" t="n">
        <v>0</v>
      </c>
      <c r="G95" s="22" t="n">
        <v>0.101</v>
      </c>
      <c r="H95" s="22" t="n">
        <v>0.1</v>
      </c>
      <c r="I95" s="22" t="n">
        <v>-0.049</v>
      </c>
      <c r="J95" s="22" t="n">
        <v>0.118</v>
      </c>
      <c r="K95" s="22" t="n">
        <v>0</v>
      </c>
      <c r="L95" s="22" t="n">
        <v>0</v>
      </c>
      <c r="M95" s="22" t="n">
        <v>0</v>
      </c>
      <c r="N95" s="22" t="n">
        <v>0</v>
      </c>
      <c r="V95" s="22" t="n">
        <v>0</v>
      </c>
      <c r="W95" s="22" t="n">
        <v>-0.049</v>
      </c>
      <c r="X95" s="22" t="n">
        <v>0</v>
      </c>
    </row>
    <row r="96">
      <c r="A96" s="20" t="inlineStr">
        <is>
          <t>Rent Expenses On Real Estates NOE</t>
        </is>
      </c>
      <c r="C96" s="22" t="n">
        <v>7.075</v>
      </c>
      <c r="D96" s="22" t="n">
        <v>11.525</v>
      </c>
      <c r="E96" s="22" t="n">
        <v>6.22</v>
      </c>
      <c r="F96" s="22" t="n">
        <v>7.57</v>
      </c>
      <c r="G96" s="22" t="n">
        <v>7.931</v>
      </c>
      <c r="H96" s="22" t="n">
        <v>9.85</v>
      </c>
      <c r="I96" s="22" t="n">
        <v>8.505000000000001</v>
      </c>
      <c r="J96" s="22" t="n">
        <v>6.535</v>
      </c>
      <c r="K96" s="22" t="n">
        <v>7.279</v>
      </c>
      <c r="L96" s="22" t="n">
        <v>10.396</v>
      </c>
      <c r="M96" s="22" t="n">
        <v>8.162000000000001</v>
      </c>
      <c r="N96" s="22" t="n">
        <v>5.958</v>
      </c>
      <c r="T96" s="22" t="n">
        <v>5.579</v>
      </c>
      <c r="U96" s="22" t="n">
        <v>6.32</v>
      </c>
      <c r="V96" s="22" t="n">
        <v>6.22</v>
      </c>
      <c r="W96" s="22" t="n">
        <v>8.505000000000001</v>
      </c>
      <c r="X96" s="22" t="n">
        <v>8.162000000000001</v>
      </c>
    </row>
    <row r="97">
      <c r="A97" s="20" t="inlineStr">
        <is>
          <t>Electricity Sale Expenses NOE</t>
        </is>
      </c>
      <c r="C97" s="22" t="n">
        <v>0.758</v>
      </c>
      <c r="D97" s="22" t="n">
        <v>0.767</v>
      </c>
      <c r="E97" s="22" t="n">
        <v>0.764</v>
      </c>
      <c r="F97" s="22" t="n">
        <v>0.756</v>
      </c>
      <c r="G97" s="22" t="n">
        <v>0.759</v>
      </c>
      <c r="H97" s="22" t="n">
        <v>0.895</v>
      </c>
      <c r="I97" s="22" t="n">
        <v>0.748</v>
      </c>
      <c r="J97" s="22" t="n">
        <v>0.74</v>
      </c>
      <c r="K97" s="22" t="n">
        <v>0.737</v>
      </c>
      <c r="L97" s="22" t="n">
        <v>0.742</v>
      </c>
      <c r="M97" s="22" t="n">
        <v>0.737</v>
      </c>
      <c r="N97" s="22" t="n">
        <v>0.725</v>
      </c>
      <c r="T97" s="22" t="n">
        <v>1.014</v>
      </c>
      <c r="U97" s="22" t="n">
        <v>0.8070000000000001</v>
      </c>
      <c r="V97" s="22" t="n">
        <v>0.764</v>
      </c>
      <c r="W97" s="22" t="n">
        <v>0.748</v>
      </c>
      <c r="X97" s="22" t="n">
        <v>0.737</v>
      </c>
    </row>
    <row r="98">
      <c r="A98" s="20" t="inlineStr">
        <is>
          <t>기타</t>
        </is>
      </c>
      <c r="C98" s="22" t="n">
        <v>0.383</v>
      </c>
      <c r="D98" s="22" t="n">
        <v>0.391</v>
      </c>
      <c r="E98" s="22" t="n">
        <v>0.9409999999999999</v>
      </c>
      <c r="F98" s="22" t="n">
        <v>0.427</v>
      </c>
      <c r="G98" s="22" t="n">
        <v>0.429</v>
      </c>
      <c r="H98" s="22" t="n">
        <v>0.426</v>
      </c>
      <c r="I98" s="22" t="n">
        <v>1.548</v>
      </c>
      <c r="J98" s="22" t="n">
        <v>0.453</v>
      </c>
      <c r="K98" s="22" t="n">
        <v>0.456</v>
      </c>
      <c r="L98" s="22" t="n">
        <v>0.457</v>
      </c>
      <c r="M98" s="22" t="n">
        <v>3.629</v>
      </c>
      <c r="N98" s="22" t="n">
        <v>0.499</v>
      </c>
      <c r="T98" s="22" t="n">
        <v>-3.164</v>
      </c>
      <c r="U98" s="22" t="n">
        <v>0.393</v>
      </c>
      <c r="V98" s="22" t="n">
        <v>0.9409999999999999</v>
      </c>
      <c r="W98" s="22" t="n">
        <v>1.548</v>
      </c>
      <c r="X98" s="22" t="n">
        <v>3.629</v>
      </c>
    </row>
    <row r="99">
      <c r="A99" s="20" t="inlineStr">
        <is>
          <t>영업외비용 합계</t>
        </is>
      </c>
      <c r="C99" s="22" t="n">
        <v>11.239</v>
      </c>
      <c r="D99" s="22" t="n">
        <v>15.496</v>
      </c>
      <c r="E99" s="22" t="n">
        <v>10.53</v>
      </c>
      <c r="F99" s="22" t="n">
        <v>23.255</v>
      </c>
      <c r="G99" s="22" t="n">
        <v>25.522</v>
      </c>
      <c r="H99" s="22" t="n">
        <v>-3.783</v>
      </c>
      <c r="I99" s="22" t="n">
        <v>21.812</v>
      </c>
      <c r="J99" s="22" t="n">
        <v>10.624</v>
      </c>
      <c r="K99" s="22" t="n">
        <v>11.546</v>
      </c>
      <c r="L99" s="22" t="n">
        <v>15.046</v>
      </c>
      <c r="M99" s="22" t="n">
        <v>38.196</v>
      </c>
      <c r="N99" s="22" t="n">
        <v>61.454</v>
      </c>
      <c r="T99" s="22" t="n">
        <v>11.57</v>
      </c>
      <c r="U99" s="22" t="n">
        <v>10.319</v>
      </c>
      <c r="V99" s="22" t="n">
        <v>10.53</v>
      </c>
      <c r="W99" s="22" t="n">
        <v>21.812</v>
      </c>
      <c r="X99" s="22" t="n">
        <v>38.196</v>
      </c>
    </row>
    <row r="100">
      <c r="A100" s="9" t="inlineStr">
        <is>
          <t>경상이익</t>
        </is>
      </c>
      <c r="C100" s="12" t="n">
        <v>249.248</v>
      </c>
      <c r="D100" s="12" t="n">
        <v>178.187</v>
      </c>
      <c r="E100" s="12" t="n">
        <v>7.726</v>
      </c>
      <c r="F100" s="12" t="n">
        <v>-51.983</v>
      </c>
      <c r="G100" s="12" t="n">
        <v>-24.941</v>
      </c>
      <c r="H100" s="12" t="n">
        <v>124.577</v>
      </c>
      <c r="I100" s="12" t="n">
        <v>88.815</v>
      </c>
      <c r="J100" s="12" t="n">
        <v>244.532</v>
      </c>
      <c r="K100" s="12" t="n">
        <v>248.762</v>
      </c>
      <c r="L100" s="12" t="n">
        <v>286.359</v>
      </c>
      <c r="M100" s="12" t="n">
        <v>83.384</v>
      </c>
      <c r="N100" s="12" t="n">
        <v>374.698</v>
      </c>
      <c r="T100" s="12" t="n">
        <v>283.289</v>
      </c>
      <c r="U100" s="12" t="n">
        <v>267.794</v>
      </c>
      <c r="V100" s="12" t="n">
        <v>7.726</v>
      </c>
      <c r="W100" s="12" t="n">
        <v>88.815</v>
      </c>
      <c r="X100" s="12" t="n">
        <v>83.384</v>
      </c>
    </row>
    <row r="101">
      <c r="A101" s="20" t="inlineStr">
        <is>
          <t>고정자산 매각이익</t>
        </is>
      </c>
      <c r="C101" s="22" t="n">
        <v>0</v>
      </c>
      <c r="D101" s="22" t="n">
        <v>0</v>
      </c>
      <c r="E101" s="22" t="n">
        <v>0.02</v>
      </c>
      <c r="F101" s="22" t="n">
        <v>3.729</v>
      </c>
      <c r="G101" s="22" t="n">
        <v>0.102</v>
      </c>
      <c r="H101" s="22" t="n">
        <v>0.227</v>
      </c>
      <c r="I101" s="22" t="n">
        <v>0.213</v>
      </c>
      <c r="J101" s="22" t="n">
        <v>0.034</v>
      </c>
      <c r="K101" s="22" t="n">
        <v>0</v>
      </c>
      <c r="L101" s="22" t="n">
        <v>0.08599999999999999</v>
      </c>
      <c r="M101" s="22" t="n">
        <v>0.093</v>
      </c>
      <c r="N101" s="22" t="n">
        <v>0</v>
      </c>
      <c r="T101" s="22" t="n">
        <v>2.011</v>
      </c>
      <c r="U101" s="22" t="n">
        <v>5.07</v>
      </c>
      <c r="V101" s="22" t="n">
        <v>0.02</v>
      </c>
      <c r="W101" s="22" t="n">
        <v>0.213</v>
      </c>
      <c r="X101" s="22" t="n">
        <v>0.093</v>
      </c>
    </row>
    <row r="102">
      <c r="A102" s="20" t="inlineStr">
        <is>
          <t>투자유가증권 매각이익</t>
        </is>
      </c>
      <c r="D102" s="22" t="n">
        <v>0</v>
      </c>
      <c r="E102" s="22" t="n">
        <v>0</v>
      </c>
      <c r="H102" s="22" t="n">
        <v>0</v>
      </c>
      <c r="I102" s="22" t="n">
        <v>103.307</v>
      </c>
      <c r="U102" s="22" t="n">
        <v>0</v>
      </c>
      <c r="V102" s="22" t="n">
        <v>0</v>
      </c>
      <c r="W102" s="22" t="n">
        <v>103.307</v>
      </c>
    </row>
    <row r="103">
      <c r="A103" s="20" t="inlineStr">
        <is>
          <t>투자유가증권 상환이익</t>
        </is>
      </c>
      <c r="J103" s="22" t="n">
        <v>0</v>
      </c>
      <c r="N103" s="22" t="n">
        <v>12.905</v>
      </c>
    </row>
    <row r="104">
      <c r="A104" s="20" t="inlineStr">
        <is>
          <t>특별이익 합계</t>
        </is>
      </c>
      <c r="C104" s="22" t="n">
        <v>12.936</v>
      </c>
      <c r="D104" s="22" t="n">
        <v>0</v>
      </c>
      <c r="E104" s="22" t="n">
        <v>0.02</v>
      </c>
      <c r="F104" s="22" t="n">
        <v>3.729</v>
      </c>
      <c r="G104" s="22" t="n">
        <v>0.102</v>
      </c>
      <c r="H104" s="22" t="n">
        <v>0.227</v>
      </c>
      <c r="I104" s="22" t="n">
        <v>103.52</v>
      </c>
      <c r="J104" s="22" t="n">
        <v>0.034</v>
      </c>
      <c r="K104" s="22" t="n">
        <v>0</v>
      </c>
      <c r="L104" s="22" t="n">
        <v>0.08599999999999999</v>
      </c>
      <c r="M104" s="22" t="n">
        <v>0.093</v>
      </c>
      <c r="N104" s="22" t="n">
        <v>12.905</v>
      </c>
      <c r="T104" s="22" t="n">
        <v>2.011</v>
      </c>
      <c r="U104" s="22" t="n">
        <v>5.07</v>
      </c>
      <c r="V104" s="22" t="n">
        <v>0.02</v>
      </c>
      <c r="W104" s="22" t="n">
        <v>103.52</v>
      </c>
      <c r="X104" s="22" t="n">
        <v>0.093</v>
      </c>
    </row>
    <row r="105">
      <c r="A105" s="20" t="inlineStr">
        <is>
          <t>고정자산 매각손실</t>
        </is>
      </c>
      <c r="D105" s="22" t="n">
        <v>0.15</v>
      </c>
      <c r="E105" s="22" t="n">
        <v>0.002</v>
      </c>
      <c r="F105" s="22" t="n">
        <v>0</v>
      </c>
      <c r="G105" s="22" t="n">
        <v>0</v>
      </c>
      <c r="H105" s="22" t="n">
        <v>0</v>
      </c>
      <c r="I105" s="22" t="n">
        <v>1.031</v>
      </c>
      <c r="J105" s="22" t="n">
        <v>0.173</v>
      </c>
      <c r="K105" s="22" t="n">
        <v>-0.002</v>
      </c>
      <c r="L105" s="22" t="n">
        <v>0</v>
      </c>
      <c r="M105" s="22" t="n">
        <v>0.002</v>
      </c>
      <c r="N105" s="22" t="n">
        <v>0</v>
      </c>
      <c r="U105" s="22" t="n">
        <v>0</v>
      </c>
      <c r="V105" s="22" t="n">
        <v>0.002</v>
      </c>
      <c r="W105" s="22" t="n">
        <v>1.031</v>
      </c>
      <c r="X105" s="22" t="n">
        <v>0.002</v>
      </c>
    </row>
    <row r="106">
      <c r="A106" s="20" t="inlineStr">
        <is>
          <t>고정자산 제각손실</t>
        </is>
      </c>
      <c r="C106" s="22" t="n">
        <v>0.284</v>
      </c>
      <c r="D106" s="22" t="n">
        <v>1.438</v>
      </c>
      <c r="E106" s="22" t="n">
        <v>2.863</v>
      </c>
      <c r="F106" s="22" t="n">
        <v>0.271</v>
      </c>
      <c r="G106" s="22" t="n">
        <v>1.377</v>
      </c>
      <c r="H106" s="22" t="n">
        <v>3.024</v>
      </c>
      <c r="I106" s="22" t="n">
        <v>0.469</v>
      </c>
      <c r="J106" s="22" t="n">
        <v>0.771</v>
      </c>
      <c r="K106" s="22" t="n">
        <v>6.979</v>
      </c>
      <c r="L106" s="22" t="n">
        <v>9.164</v>
      </c>
      <c r="M106" s="22" t="n">
        <v>0.153</v>
      </c>
      <c r="N106" s="22" t="n">
        <v>0.089</v>
      </c>
      <c r="T106" s="22" t="n">
        <v>0.571</v>
      </c>
      <c r="U106" s="22" t="n">
        <v>1.182</v>
      </c>
      <c r="V106" s="22" t="n">
        <v>2.863</v>
      </c>
      <c r="W106" s="22" t="n">
        <v>0.469</v>
      </c>
      <c r="X106" s="22" t="n">
        <v>0.153</v>
      </c>
    </row>
    <row r="107">
      <c r="A107" s="20" t="inlineStr">
        <is>
          <t>특별손실 합계</t>
        </is>
      </c>
      <c r="C107" s="22" t="n">
        <v>0.313</v>
      </c>
      <c r="D107" s="22" t="n">
        <v>1.587</v>
      </c>
      <c r="E107" s="22" t="n">
        <v>66.84699999999999</v>
      </c>
      <c r="F107" s="22" t="n">
        <v>0.271</v>
      </c>
      <c r="G107" s="22" t="n">
        <v>1.377</v>
      </c>
      <c r="H107" s="22" t="n">
        <v>3.024</v>
      </c>
      <c r="I107" s="22" t="n">
        <v>3.591</v>
      </c>
      <c r="J107" s="22" t="n">
        <v>0.945</v>
      </c>
      <c r="K107" s="22" t="n">
        <v>6.976</v>
      </c>
      <c r="L107" s="22" t="n">
        <v>9.164</v>
      </c>
      <c r="M107" s="22" t="n">
        <v>0.156</v>
      </c>
      <c r="N107" s="22" t="n">
        <v>0.089</v>
      </c>
      <c r="T107" s="22" t="n">
        <v>2.814</v>
      </c>
      <c r="U107" s="22" t="n">
        <v>1.182</v>
      </c>
      <c r="V107" s="22" t="n">
        <v>66.84699999999999</v>
      </c>
      <c r="W107" s="22" t="n">
        <v>3.591</v>
      </c>
      <c r="X107" s="22" t="n">
        <v>0.156</v>
      </c>
    </row>
    <row r="108">
      <c r="A108" s="9" t="inlineStr">
        <is>
          <t>법인세차감전 순이익</t>
        </is>
      </c>
      <c r="C108" s="12" t="n">
        <v>261.872</v>
      </c>
      <c r="D108" s="12" t="n">
        <v>176.599</v>
      </c>
      <c r="E108" s="12" t="n">
        <v>-59.099</v>
      </c>
      <c r="F108" s="12" t="n">
        <v>-48.525</v>
      </c>
      <c r="G108" s="12" t="n">
        <v>-26.217</v>
      </c>
      <c r="H108" s="12" t="n">
        <v>121.781</v>
      </c>
      <c r="I108" s="12" t="n">
        <v>188.744</v>
      </c>
      <c r="J108" s="12" t="n">
        <v>243.621</v>
      </c>
      <c r="K108" s="12" t="n">
        <v>241.785</v>
      </c>
      <c r="L108" s="12" t="n">
        <v>277.283</v>
      </c>
      <c r="M108" s="12" t="n">
        <v>83.31999999999999</v>
      </c>
      <c r="N108" s="12" t="n">
        <v>387.515</v>
      </c>
      <c r="T108" s="12" t="n">
        <v>282.485</v>
      </c>
      <c r="U108" s="12" t="n">
        <v>271.682</v>
      </c>
      <c r="V108" s="12" t="n">
        <v>-59.099</v>
      </c>
      <c r="W108" s="12" t="n">
        <v>188.744</v>
      </c>
      <c r="X108" s="12" t="n">
        <v>83.31999999999999</v>
      </c>
    </row>
    <row r="109">
      <c r="A109" s="20" t="inlineStr">
        <is>
          <t>법인세·주민세·사업세</t>
        </is>
      </c>
      <c r="C109" s="22" t="n">
        <v>17.026</v>
      </c>
      <c r="D109" s="22" t="n">
        <v>8.331</v>
      </c>
      <c r="E109" s="22" t="n">
        <v>-8.949999999999999</v>
      </c>
      <c r="F109" s="22" t="n">
        <v>50.443</v>
      </c>
      <c r="G109" s="22" t="n">
        <v>-28.989</v>
      </c>
      <c r="H109" s="22" t="n">
        <v>3.982</v>
      </c>
      <c r="I109" s="22" t="n">
        <v>82.28100000000001</v>
      </c>
      <c r="J109" s="22" t="n">
        <v>126.614</v>
      </c>
      <c r="K109" s="22" t="n">
        <v>64.029</v>
      </c>
      <c r="L109" s="22" t="n">
        <v>36.397</v>
      </c>
      <c r="M109" s="22" t="n">
        <v>85.498</v>
      </c>
      <c r="N109" s="22" t="n">
        <v>151.638</v>
      </c>
      <c r="T109" s="22" t="n">
        <v>94.19</v>
      </c>
      <c r="U109" s="22" t="n">
        <v>97.203</v>
      </c>
      <c r="V109" s="22" t="n">
        <v>-8.949999999999999</v>
      </c>
      <c r="W109" s="22" t="n">
        <v>82.28100000000001</v>
      </c>
      <c r="X109" s="22" t="n">
        <v>85.498</v>
      </c>
    </row>
    <row r="110">
      <c r="A110" s="20" t="inlineStr">
        <is>
          <t>법인세 조정액</t>
        </is>
      </c>
      <c r="C110" s="22" t="n">
        <v>66.027</v>
      </c>
      <c r="D110" s="22" t="n">
        <v>50.983</v>
      </c>
      <c r="E110" s="22" t="n">
        <v>-0.36</v>
      </c>
      <c r="F110" s="22" t="n">
        <v>-44.846</v>
      </c>
      <c r="G110" s="22" t="n">
        <v>67.982</v>
      </c>
      <c r="H110" s="22" t="n">
        <v>30.108</v>
      </c>
      <c r="I110" s="22" t="n">
        <v>-43.615</v>
      </c>
      <c r="J110" s="22" t="n">
        <v>-43.335</v>
      </c>
      <c r="K110" s="22" t="n">
        <v>30.165</v>
      </c>
      <c r="L110" s="22" t="n">
        <v>50.894</v>
      </c>
      <c r="M110" s="22" t="n">
        <v>-72.703</v>
      </c>
      <c r="N110" s="22" t="n">
        <v>-35.048</v>
      </c>
      <c r="T110" s="22" t="n">
        <v>-44.684</v>
      </c>
      <c r="U110" s="22" t="n">
        <v>-84.28700000000001</v>
      </c>
      <c r="V110" s="22" t="n">
        <v>-0.36</v>
      </c>
      <c r="W110" s="22" t="n">
        <v>-43.615</v>
      </c>
      <c r="X110" s="22" t="n">
        <v>-72.703</v>
      </c>
    </row>
    <row r="111">
      <c r="A111" s="20" t="inlineStr">
        <is>
          <t>법인세 등 합계</t>
        </is>
      </c>
      <c r="C111" s="22" t="n">
        <v>83.05500000000001</v>
      </c>
      <c r="D111" s="22" t="n">
        <v>59.314</v>
      </c>
      <c r="E111" s="22" t="n">
        <v>-9.311</v>
      </c>
      <c r="F111" s="22" t="n">
        <v>5.597</v>
      </c>
      <c r="G111" s="22" t="n">
        <v>38.994</v>
      </c>
      <c r="H111" s="22" t="n">
        <v>34.09</v>
      </c>
      <c r="I111" s="22" t="n">
        <v>38.666</v>
      </c>
      <c r="J111" s="22" t="n">
        <v>83.27800000000001</v>
      </c>
      <c r="K111" s="22" t="n">
        <v>94.194</v>
      </c>
      <c r="L111" s="22" t="n">
        <v>87.292</v>
      </c>
      <c r="M111" s="22" t="n">
        <v>12.795</v>
      </c>
      <c r="N111" s="22" t="n">
        <v>116.59</v>
      </c>
      <c r="T111" s="22" t="n">
        <v>49.506</v>
      </c>
      <c r="U111" s="22" t="n">
        <v>12.916</v>
      </c>
      <c r="V111" s="22" t="n">
        <v>-9.311</v>
      </c>
      <c r="W111" s="22" t="n">
        <v>38.666</v>
      </c>
      <c r="X111" s="22" t="n">
        <v>12.795</v>
      </c>
    </row>
    <row r="112">
      <c r="A112" s="9" t="inlineStr">
        <is>
          <t>순이익</t>
        </is>
      </c>
      <c r="C112" s="12" t="n">
        <v>178.817</v>
      </c>
      <c r="D112" s="12" t="n">
        <v>117.285</v>
      </c>
      <c r="E112" s="12" t="n">
        <v>-49.789</v>
      </c>
      <c r="F112" s="12" t="n">
        <v>-54.122</v>
      </c>
      <c r="G112" s="12" t="n">
        <v>-65.211</v>
      </c>
      <c r="H112" s="12" t="n">
        <v>87.69199999999999</v>
      </c>
      <c r="I112" s="12" t="n">
        <v>150.077</v>
      </c>
      <c r="J112" s="12" t="n">
        <v>160.342</v>
      </c>
      <c r="K112" s="12" t="n">
        <v>147.591</v>
      </c>
      <c r="L112" s="12" t="n">
        <v>189.991</v>
      </c>
      <c r="M112" s="12" t="n">
        <v>70.52500000000001</v>
      </c>
      <c r="N112" s="12" t="n">
        <v>270.924</v>
      </c>
      <c r="T112" s="12" t="n">
        <v>232.98</v>
      </c>
      <c r="U112" s="12" t="n">
        <v>258.767</v>
      </c>
      <c r="V112" s="12" t="n">
        <v>-49.789</v>
      </c>
      <c r="W112" s="12" t="n">
        <v>150.077</v>
      </c>
      <c r="X112" s="12" t="n">
        <v>70.52500000000001</v>
      </c>
    </row>
    <row r="113">
      <c r="A113" s="9" t="inlineStr">
        <is>
          <t>지배주주 순이익</t>
        </is>
      </c>
      <c r="C113" s="12" t="n">
        <v>178.817</v>
      </c>
      <c r="D113" s="12" t="n">
        <v>117.285</v>
      </c>
      <c r="E113" s="12" t="n">
        <v>-49.789</v>
      </c>
      <c r="F113" s="12" t="n">
        <v>-54.122</v>
      </c>
      <c r="G113" s="12" t="n">
        <v>-65.211</v>
      </c>
      <c r="H113" s="12" t="n">
        <v>87.69199999999999</v>
      </c>
      <c r="I113" s="12" t="n">
        <v>150.077</v>
      </c>
      <c r="J113" s="12" t="n">
        <v>160.342</v>
      </c>
      <c r="K113" s="12" t="n">
        <v>147.591</v>
      </c>
      <c r="L113" s="12" t="n">
        <v>189.991</v>
      </c>
      <c r="M113" s="12" t="n">
        <v>70.52500000000001</v>
      </c>
      <c r="N113" s="12" t="n">
        <v>270.924</v>
      </c>
      <c r="T113" s="12" t="n">
        <v>232.98</v>
      </c>
      <c r="U113" s="12" t="n">
        <v>258.767</v>
      </c>
      <c r="V113" s="12" t="n">
        <v>-49.789</v>
      </c>
      <c r="W113" s="12" t="n">
        <v>150.077</v>
      </c>
      <c r="X113" s="12" t="n">
        <v>70.52500000000001</v>
      </c>
    </row>
    <row r="115">
      <c r="A115" s="18" t="inlineStr">
        <is>
          <t>포괄손익 · 전 항목</t>
        </is>
      </c>
      <c r="B115" s="44" t="inlineStr">
        <is>
          <t>분기 = 3개월 단독</t>
        </is>
      </c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</row>
    <row r="116">
      <c r="A116" s="5" t="inlineStr">
        <is>
          <t>항목</t>
        </is>
      </c>
      <c r="B116" s="5" t="inlineStr">
        <is>
          <t>참고</t>
        </is>
      </c>
      <c r="C116" s="5" t="inlineStr">
        <is>
          <t>2024.2Q</t>
        </is>
      </c>
      <c r="D116" s="5" t="inlineStr">
        <is>
          <t>2024.3Q</t>
        </is>
      </c>
      <c r="E116" s="5" t="inlineStr">
        <is>
          <t>2024.4Q</t>
        </is>
      </c>
      <c r="F116" s="5" t="inlineStr">
        <is>
          <t>2025.1Q</t>
        </is>
      </c>
      <c r="G116" s="5" t="inlineStr">
        <is>
          <t>2025.2Q</t>
        </is>
      </c>
      <c r="H116" s="5" t="inlineStr">
        <is>
          <t>2025.3Q</t>
        </is>
      </c>
      <c r="I116" s="5" t="inlineStr">
        <is>
          <t>2025.4Q</t>
        </is>
      </c>
      <c r="J116" s="5" t="inlineStr">
        <is>
          <t>2026.1Q</t>
        </is>
      </c>
      <c r="K116" s="5" t="inlineStr">
        <is>
          <t>2026.2Q</t>
        </is>
      </c>
      <c r="L116" s="5" t="inlineStr">
        <is>
          <t>2026.3Q</t>
        </is>
      </c>
      <c r="M116" s="5" t="inlineStr">
        <is>
          <t>2026.4Q</t>
        </is>
      </c>
      <c r="N116" s="5" t="inlineStr">
        <is>
          <t>2027.1Q</t>
        </is>
      </c>
      <c r="O116" s="5" t="inlineStr">
        <is>
          <t>2017</t>
        </is>
      </c>
      <c r="P116" s="5" t="inlineStr">
        <is>
          <t>2018</t>
        </is>
      </c>
      <c r="Q116" s="5" t="inlineStr">
        <is>
          <t>2019</t>
        </is>
      </c>
      <c r="R116" s="5" t="inlineStr">
        <is>
          <t>2020</t>
        </is>
      </c>
      <c r="S116" s="5" t="inlineStr">
        <is>
          <t>2021</t>
        </is>
      </c>
      <c r="T116" s="5" t="inlineStr">
        <is>
          <t>2022</t>
        </is>
      </c>
      <c r="U116" s="5" t="inlineStr">
        <is>
          <t>2023</t>
        </is>
      </c>
      <c r="V116" s="5" t="inlineStr">
        <is>
          <t>2024</t>
        </is>
      </c>
      <c r="W116" s="5" t="inlineStr">
        <is>
          <t>2025</t>
        </is>
      </c>
      <c r="X116" s="5" t="inlineStr">
        <is>
          <t>2026</t>
        </is>
      </c>
      <c r="Y116" s="5" t="inlineStr">
        <is>
          <t>2027(MW)</t>
        </is>
      </c>
      <c r="Z116" s="5" t="inlineStr">
        <is>
          <t>2028(MW)</t>
        </is>
      </c>
      <c r="AA116" s="5" t="inlineStr">
        <is>
          <t>2029(MW)</t>
        </is>
      </c>
      <c r="AB116" s="5" t="inlineStr">
        <is>
          <t>2030(MW)</t>
        </is>
      </c>
      <c r="AC116" s="5" t="inlineStr">
        <is>
          <t>2031(MW)</t>
        </is>
      </c>
    </row>
    <row r="117">
      <c r="A117" s="9" t="inlineStr">
        <is>
          <t>순이익</t>
        </is>
      </c>
      <c r="C117" s="12" t="n">
        <v>178.817</v>
      </c>
      <c r="D117" s="12" t="n">
        <v>117.285</v>
      </c>
      <c r="E117" s="12" t="n">
        <v>-49.789</v>
      </c>
      <c r="F117" s="12" t="n">
        <v>-54.122</v>
      </c>
      <c r="G117" s="12" t="n">
        <v>-65.211</v>
      </c>
      <c r="H117" s="12" t="n">
        <v>87.69199999999999</v>
      </c>
      <c r="I117" s="12" t="n">
        <v>150.077</v>
      </c>
      <c r="J117" s="12" t="n">
        <v>160.342</v>
      </c>
      <c r="K117" s="12" t="n">
        <v>147.591</v>
      </c>
      <c r="L117" s="12" t="n">
        <v>189.991</v>
      </c>
      <c r="M117" s="12" t="n">
        <v>70.52500000000001</v>
      </c>
      <c r="N117" s="12" t="n">
        <v>270.924</v>
      </c>
      <c r="T117" s="12" t="n">
        <v>232.98</v>
      </c>
      <c r="U117" s="12" t="n">
        <v>258.767</v>
      </c>
      <c r="V117" s="12" t="n">
        <v>-49.789</v>
      </c>
      <c r="W117" s="12" t="n">
        <v>150.077</v>
      </c>
      <c r="X117" s="12" t="n">
        <v>70.52500000000001</v>
      </c>
    </row>
    <row r="118">
      <c r="A118" s="20" t="inlineStr">
        <is>
          <t>기타유가증권 평가차액</t>
        </is>
      </c>
      <c r="C118" s="22" t="n">
        <v>-4.379</v>
      </c>
      <c r="D118" s="22" t="n">
        <v>6.955</v>
      </c>
      <c r="E118" s="22" t="n">
        <v>86.492</v>
      </c>
      <c r="F118" s="22" t="n">
        <v>31.34</v>
      </c>
      <c r="G118" s="22" t="n">
        <v>-6.976</v>
      </c>
      <c r="H118" s="22" t="n">
        <v>46.56</v>
      </c>
      <c r="I118" s="22" t="n">
        <v>-66.309</v>
      </c>
      <c r="J118" s="22" t="n">
        <v>48.437</v>
      </c>
      <c r="K118" s="22" t="n">
        <v>60.147</v>
      </c>
      <c r="L118" s="22" t="n">
        <v>30.806</v>
      </c>
      <c r="M118" s="22" t="n">
        <v>42.357</v>
      </c>
      <c r="N118" s="22" t="n">
        <v>53.414</v>
      </c>
      <c r="T118" s="22" t="n">
        <v>-21.159</v>
      </c>
      <c r="U118" s="22" t="n">
        <v>16.879</v>
      </c>
      <c r="V118" s="22" t="n">
        <v>86.492</v>
      </c>
      <c r="W118" s="22" t="n">
        <v>-66.309</v>
      </c>
      <c r="X118" s="22" t="n">
        <v>42.357</v>
      </c>
    </row>
    <row r="119">
      <c r="A119" s="20" t="inlineStr">
        <is>
          <t>이연헤지손익</t>
        </is>
      </c>
      <c r="C119" s="22" t="n">
        <v>0</v>
      </c>
      <c r="D119" s="22" t="n">
        <v>0</v>
      </c>
      <c r="E119" s="22" t="n">
        <v>0</v>
      </c>
      <c r="F119" s="22" t="n">
        <v>0</v>
      </c>
      <c r="G119" s="22" t="n">
        <v>0</v>
      </c>
      <c r="H119" s="22" t="n">
        <v>0</v>
      </c>
      <c r="I119" s="22" t="n">
        <v>0</v>
      </c>
      <c r="T119" s="22" t="n">
        <v>13.913</v>
      </c>
      <c r="U119" s="22" t="n">
        <v>-14.708</v>
      </c>
      <c r="V119" s="22" t="n">
        <v>0</v>
      </c>
      <c r="W119" s="22" t="n">
        <v>0</v>
      </c>
    </row>
    <row r="120">
      <c r="A120" s="20" t="inlineStr">
        <is>
          <t>해외사업환산조정</t>
        </is>
      </c>
      <c r="C120" s="22" t="n">
        <v>60.17</v>
      </c>
      <c r="D120" s="22" t="n">
        <v>65.021</v>
      </c>
      <c r="E120" s="22" t="n">
        <v>-69.527</v>
      </c>
      <c r="F120" s="22" t="n">
        <v>119.281</v>
      </c>
      <c r="G120" s="22" t="n">
        <v>107.877</v>
      </c>
      <c r="H120" s="22" t="n">
        <v>-184.802</v>
      </c>
      <c r="I120" s="22" t="n">
        <v>116.065</v>
      </c>
      <c r="J120" s="22" t="n">
        <v>-89.556</v>
      </c>
      <c r="K120" s="22" t="n">
        <v>-51.48</v>
      </c>
      <c r="L120" s="22" t="n">
        <v>72.651</v>
      </c>
      <c r="M120" s="22" t="n">
        <v>136.876</v>
      </c>
      <c r="N120" s="22" t="n">
        <v>75.691</v>
      </c>
      <c r="T120" s="22" t="n">
        <v>72.86499999999999</v>
      </c>
      <c r="U120" s="22" t="n">
        <v>-111.38</v>
      </c>
      <c r="V120" s="22" t="n">
        <v>-69.527</v>
      </c>
      <c r="W120" s="22" t="n">
        <v>116.065</v>
      </c>
      <c r="X120" s="22" t="n">
        <v>136.876</v>
      </c>
    </row>
    <row r="121">
      <c r="A121" s="20" t="inlineStr">
        <is>
          <t>퇴직급여 조정액</t>
        </is>
      </c>
      <c r="C121" s="22" t="n">
        <v>0.551</v>
      </c>
      <c r="D121" s="22" t="n">
        <v>0.551</v>
      </c>
      <c r="E121" s="22" t="n">
        <v>-0.283</v>
      </c>
      <c r="F121" s="22" t="n">
        <v>0.544</v>
      </c>
      <c r="G121" s="22" t="n">
        <v>0.544</v>
      </c>
      <c r="H121" s="22" t="n">
        <v>0.544</v>
      </c>
      <c r="I121" s="22" t="n">
        <v>9.788</v>
      </c>
      <c r="J121" s="22" t="n">
        <v>0.098</v>
      </c>
      <c r="K121" s="22" t="n">
        <v>0.512</v>
      </c>
      <c r="L121" s="22" t="n">
        <v>0.256</v>
      </c>
      <c r="M121" s="22" t="n">
        <v>-10.53</v>
      </c>
      <c r="N121" s="22" t="n">
        <v>0.742</v>
      </c>
      <c r="T121" s="22" t="n">
        <v>-12.008</v>
      </c>
      <c r="U121" s="22" t="n">
        <v>-3.498</v>
      </c>
      <c r="V121" s="22" t="n">
        <v>-0.283</v>
      </c>
      <c r="W121" s="22" t="n">
        <v>9.788</v>
      </c>
      <c r="X121" s="22" t="n">
        <v>-10.53</v>
      </c>
    </row>
    <row r="122">
      <c r="A122" s="20" t="inlineStr">
        <is>
          <t>기타포괄손익 합계</t>
        </is>
      </c>
      <c r="C122" s="22" t="n">
        <v>56.343</v>
      </c>
      <c r="D122" s="22" t="n">
        <v>72.52500000000001</v>
      </c>
      <c r="E122" s="22" t="n">
        <v>16.683</v>
      </c>
      <c r="F122" s="22" t="n">
        <v>151.166</v>
      </c>
      <c r="G122" s="22" t="n">
        <v>101.445</v>
      </c>
      <c r="H122" s="22" t="n">
        <v>-137.698</v>
      </c>
      <c r="I122" s="22" t="n">
        <v>59.545</v>
      </c>
      <c r="J122" s="22" t="n">
        <v>-41.019</v>
      </c>
      <c r="K122" s="22" t="n">
        <v>9.178000000000001</v>
      </c>
      <c r="L122" s="22" t="n">
        <v>103.712</v>
      </c>
      <c r="M122" s="22" t="n">
        <v>168.703</v>
      </c>
      <c r="N122" s="22" t="n">
        <v>129.848</v>
      </c>
      <c r="T122" s="22" t="n">
        <v>53.608</v>
      </c>
      <c r="U122" s="22" t="n">
        <v>-112.708</v>
      </c>
      <c r="V122" s="22" t="n">
        <v>16.683</v>
      </c>
      <c r="W122" s="22" t="n">
        <v>59.545</v>
      </c>
      <c r="X122" s="22" t="n">
        <v>168.703</v>
      </c>
    </row>
    <row r="123">
      <c r="A123" s="9" t="inlineStr">
        <is>
          <t>포괄이익</t>
        </is>
      </c>
      <c r="C123" s="12" t="n">
        <v>235.16</v>
      </c>
      <c r="D123" s="12" t="n">
        <v>189.811</v>
      </c>
      <c r="E123" s="12" t="n">
        <v>-33.106</v>
      </c>
      <c r="F123" s="12" t="n">
        <v>97.04300000000001</v>
      </c>
      <c r="G123" s="12" t="n">
        <v>36.235</v>
      </c>
      <c r="H123" s="12" t="n">
        <v>-50.006</v>
      </c>
      <c r="I123" s="12" t="n">
        <v>209.622</v>
      </c>
      <c r="J123" s="12" t="n">
        <v>119.322</v>
      </c>
      <c r="K123" s="12" t="n">
        <v>156.77</v>
      </c>
      <c r="L123" s="12" t="n">
        <v>293.703</v>
      </c>
      <c r="M123" s="12" t="n">
        <v>239.229</v>
      </c>
      <c r="N123" s="12" t="n">
        <v>400.773</v>
      </c>
      <c r="T123" s="12" t="n">
        <v>286.589</v>
      </c>
      <c r="U123" s="12" t="n">
        <v>146.06</v>
      </c>
      <c r="V123" s="12" t="n">
        <v>-33.106</v>
      </c>
      <c r="W123" s="12" t="n">
        <v>209.622</v>
      </c>
      <c r="X123" s="12" t="n">
        <v>239.229</v>
      </c>
    </row>
    <row r="124">
      <c r="A124" s="9" t="inlineStr">
        <is>
          <t>지배주주 포괄이익</t>
        </is>
      </c>
      <c r="C124" s="12" t="n">
        <v>235.16</v>
      </c>
      <c r="D124" s="12" t="n">
        <v>189.811</v>
      </c>
      <c r="E124" s="12" t="n">
        <v>-33.106</v>
      </c>
      <c r="F124" s="12" t="n">
        <v>97.04300000000001</v>
      </c>
      <c r="G124" s="12" t="n">
        <v>36.235</v>
      </c>
      <c r="H124" s="12" t="n">
        <v>-50.006</v>
      </c>
      <c r="I124" s="12" t="n">
        <v>209.622</v>
      </c>
      <c r="J124" s="12" t="n">
        <v>119.322</v>
      </c>
      <c r="K124" s="12" t="n">
        <v>156.77</v>
      </c>
      <c r="L124" s="12" t="n">
        <v>293.703</v>
      </c>
      <c r="M124" s="12" t="n">
        <v>239.229</v>
      </c>
      <c r="N124" s="12" t="n">
        <v>400.773</v>
      </c>
      <c r="T124" s="12" t="n">
        <v>286.589</v>
      </c>
      <c r="U124" s="12" t="n">
        <v>146.06</v>
      </c>
      <c r="V124" s="12" t="n">
        <v>-33.106</v>
      </c>
      <c r="W124" s="12" t="n">
        <v>209.622</v>
      </c>
      <c r="X124" s="12" t="n">
        <v>239.229</v>
      </c>
    </row>
    <row r="126">
      <c r="A126" s="18" t="inlineStr">
        <is>
          <t>현금흐름표 · 전 항목</t>
        </is>
      </c>
      <c r="B126" s="44" t="inlineStr">
        <is>
          <t>분기 = 결산기 첫날부터 누계(공시 그대로)</t>
        </is>
      </c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</row>
    <row r="127">
      <c r="A127" s="5" t="inlineStr">
        <is>
          <t>항목</t>
        </is>
      </c>
      <c r="B127" s="5" t="inlineStr">
        <is>
          <t>참고</t>
        </is>
      </c>
      <c r="C127" s="5" t="inlineStr">
        <is>
          <t>2024.2Q</t>
        </is>
      </c>
      <c r="D127" s="5" t="inlineStr">
        <is>
          <t>2024.3Q</t>
        </is>
      </c>
      <c r="E127" s="5" t="inlineStr">
        <is>
          <t>2024.4Q</t>
        </is>
      </c>
      <c r="F127" s="5" t="inlineStr">
        <is>
          <t>2025.1Q</t>
        </is>
      </c>
      <c r="G127" s="5" t="inlineStr">
        <is>
          <t>2025.2Q</t>
        </is>
      </c>
      <c r="H127" s="5" t="inlineStr">
        <is>
          <t>2025.3Q</t>
        </is>
      </c>
      <c r="I127" s="5" t="inlineStr">
        <is>
          <t>2025.4Q</t>
        </is>
      </c>
      <c r="J127" s="5" t="inlineStr">
        <is>
          <t>2026.1Q</t>
        </is>
      </c>
      <c r="K127" s="5" t="inlineStr">
        <is>
          <t>2026.2Q</t>
        </is>
      </c>
      <c r="L127" s="5" t="inlineStr">
        <is>
          <t>2026.3Q</t>
        </is>
      </c>
      <c r="M127" s="5" t="inlineStr">
        <is>
          <t>2026.4Q</t>
        </is>
      </c>
      <c r="N127" s="5" t="inlineStr">
        <is>
          <t>2027.1Q</t>
        </is>
      </c>
      <c r="O127" s="5" t="inlineStr">
        <is>
          <t>2017</t>
        </is>
      </c>
      <c r="P127" s="5" t="inlineStr">
        <is>
          <t>2018</t>
        </is>
      </c>
      <c r="Q127" s="5" t="inlineStr">
        <is>
          <t>2019</t>
        </is>
      </c>
      <c r="R127" s="5" t="inlineStr">
        <is>
          <t>2020</t>
        </is>
      </c>
      <c r="S127" s="5" t="inlineStr">
        <is>
          <t>2021</t>
        </is>
      </c>
      <c r="T127" s="5" t="inlineStr">
        <is>
          <t>2022</t>
        </is>
      </c>
      <c r="U127" s="5" t="inlineStr">
        <is>
          <t>2023</t>
        </is>
      </c>
      <c r="V127" s="5" t="inlineStr">
        <is>
          <t>2024</t>
        </is>
      </c>
      <c r="W127" s="5" t="inlineStr">
        <is>
          <t>2025</t>
        </is>
      </c>
      <c r="X127" s="5" t="inlineStr">
        <is>
          <t>2026</t>
        </is>
      </c>
      <c r="Y127" s="5" t="inlineStr">
        <is>
          <t>2027(MW)</t>
        </is>
      </c>
      <c r="Z127" s="5" t="inlineStr">
        <is>
          <t>2028(MW)</t>
        </is>
      </c>
      <c r="AA127" s="5" t="inlineStr">
        <is>
          <t>2029(MW)</t>
        </is>
      </c>
      <c r="AB127" s="5" t="inlineStr">
        <is>
          <t>2030(MW)</t>
        </is>
      </c>
      <c r="AC127" s="5" t="inlineStr">
        <is>
          <t>2031(MW)</t>
        </is>
      </c>
    </row>
    <row r="128">
      <c r="A128" s="9" t="inlineStr">
        <is>
          <t>법인세차감전 순이익</t>
        </is>
      </c>
      <c r="E128" s="12" t="n">
        <v>732.849</v>
      </c>
      <c r="I128" s="12" t="n">
        <v>235.783</v>
      </c>
      <c r="M128" s="12" t="n">
        <v>846.009</v>
      </c>
      <c r="O128" s="12" t="n">
        <v>955.386</v>
      </c>
      <c r="P128" s="12" t="n">
        <v>920.476</v>
      </c>
      <c r="Q128" s="12" t="n">
        <v>877.596</v>
      </c>
      <c r="R128" s="12" t="n">
        <v>272.851</v>
      </c>
      <c r="S128" s="12" t="n">
        <v>562.013</v>
      </c>
      <c r="T128" s="12" t="n">
        <v>1056.815</v>
      </c>
      <c r="U128" s="12" t="n">
        <v>1054.51</v>
      </c>
      <c r="V128" s="12" t="n">
        <v>732.849</v>
      </c>
      <c r="W128" s="12" t="n">
        <v>235.783</v>
      </c>
      <c r="X128" s="12" t="n">
        <v>846.009</v>
      </c>
    </row>
    <row r="129">
      <c r="A129" s="20" t="inlineStr">
        <is>
          <t>감가상각비</t>
        </is>
      </c>
      <c r="E129" s="22" t="n">
        <v>886.139</v>
      </c>
      <c r="I129" s="22" t="n">
        <v>913.229</v>
      </c>
      <c r="M129" s="22" t="n">
        <v>877.846</v>
      </c>
      <c r="O129" s="22" t="n">
        <v>584.274</v>
      </c>
      <c r="P129" s="22" t="n">
        <v>653.062</v>
      </c>
      <c r="Q129" s="22" t="n">
        <v>733.713</v>
      </c>
      <c r="R129" s="22" t="n">
        <v>799.4400000000001</v>
      </c>
      <c r="S129" s="22" t="n">
        <v>790.8390000000001</v>
      </c>
      <c r="T129" s="22" t="n">
        <v>788.082</v>
      </c>
      <c r="U129" s="22" t="n">
        <v>821.487</v>
      </c>
      <c r="V129" s="22" t="n">
        <v>886.139</v>
      </c>
      <c r="W129" s="22" t="n">
        <v>913.229</v>
      </c>
      <c r="X129" s="22" t="n">
        <v>877.846</v>
      </c>
    </row>
    <row r="130">
      <c r="A130" s="20" t="inlineStr">
        <is>
          <t>손상차손</t>
        </is>
      </c>
      <c r="O130" s="22" t="n">
        <v>0</v>
      </c>
      <c r="P130" s="22" t="n">
        <v>22.881</v>
      </c>
      <c r="Q130" s="22" t="n">
        <v>0</v>
      </c>
    </row>
    <row r="131">
      <c r="A131" s="20" t="inlineStr">
        <is>
          <t>사업구조개혁 비용</t>
        </is>
      </c>
      <c r="R131" s="22" t="n">
        <v>0</v>
      </c>
      <c r="S131" s="22" t="n">
        <v>36.181</v>
      </c>
      <c r="T131" s="22" t="n">
        <v>0</v>
      </c>
    </row>
    <row r="132">
      <c r="A132" s="20" t="inlineStr">
        <is>
          <t>Amortization Of Negative Goodwill Ope CF</t>
        </is>
      </c>
      <c r="E132" s="22" t="n">
        <v>-2.152</v>
      </c>
      <c r="I132" s="22" t="n">
        <v>-2.152</v>
      </c>
      <c r="M132" s="22" t="n">
        <v>-2.152</v>
      </c>
      <c r="O132" s="22" t="n">
        <v>-2.152</v>
      </c>
      <c r="P132" s="22" t="n">
        <v>-2.152</v>
      </c>
      <c r="Q132" s="22" t="n">
        <v>-2.152</v>
      </c>
      <c r="R132" s="22" t="n">
        <v>-2.152</v>
      </c>
      <c r="S132" s="22" t="n">
        <v>-2.152</v>
      </c>
      <c r="T132" s="22" t="n">
        <v>-2.152</v>
      </c>
      <c r="U132" s="22" t="n">
        <v>-2.152</v>
      </c>
      <c r="V132" s="22" t="n">
        <v>-2.152</v>
      </c>
      <c r="W132" s="22" t="n">
        <v>-2.152</v>
      </c>
      <c r="X132" s="22" t="n">
        <v>-2.152</v>
      </c>
    </row>
    <row r="133">
      <c r="A133" s="20" t="inlineStr">
        <is>
          <t>부의 영업권 발생이익</t>
        </is>
      </c>
      <c r="O133" s="22" t="n">
        <v>-168.814</v>
      </c>
      <c r="P133" s="22" t="n">
        <v>0</v>
      </c>
    </row>
    <row r="134">
      <c r="A134" s="20" t="inlineStr">
        <is>
          <t>제품보상 충당금 증감</t>
        </is>
      </c>
      <c r="R134" s="22" t="n">
        <v>-13.7</v>
      </c>
      <c r="S134" s="22" t="n">
        <v>0</v>
      </c>
    </row>
    <row r="135">
      <c r="A135" s="20" t="inlineStr">
        <is>
          <t>퇴직급여부채 증감</t>
        </is>
      </c>
      <c r="E135" s="22" t="n">
        <v>-65.38</v>
      </c>
      <c r="I135" s="22" t="n">
        <v>-11.063</v>
      </c>
      <c r="M135" s="22" t="n">
        <v>-6.359</v>
      </c>
      <c r="O135" s="22" t="n">
        <v>-32.642</v>
      </c>
      <c r="P135" s="22" t="n">
        <v>-9.52</v>
      </c>
      <c r="Q135" s="22" t="n">
        <v>38.224</v>
      </c>
      <c r="R135" s="22" t="n">
        <v>31.086</v>
      </c>
      <c r="S135" s="22" t="n">
        <v>27.212</v>
      </c>
      <c r="T135" s="22" t="n">
        <v>10.615</v>
      </c>
      <c r="U135" s="22" t="n">
        <v>9.971</v>
      </c>
      <c r="V135" s="22" t="n">
        <v>-65.38</v>
      </c>
      <c r="W135" s="22" t="n">
        <v>-11.063</v>
      </c>
      <c r="X135" s="22" t="n">
        <v>-6.359</v>
      </c>
    </row>
    <row r="136">
      <c r="A136" s="20" t="inlineStr">
        <is>
          <t>대손충당금 증감</t>
        </is>
      </c>
      <c r="O136" s="22" t="n">
        <v>-0.145</v>
      </c>
      <c r="P136" s="22" t="n">
        <v>-0.9</v>
      </c>
      <c r="Q136" s="22" t="n">
        <v>-0.3</v>
      </c>
      <c r="R136" s="22" t="n">
        <v>0</v>
      </c>
      <c r="S136" s="22" t="n">
        <v>0</v>
      </c>
      <c r="T136" s="22" t="n">
        <v>-3.3</v>
      </c>
      <c r="U136" s="22" t="n">
        <v>0</v>
      </c>
    </row>
    <row r="137">
      <c r="A137" s="20" t="inlineStr">
        <is>
          <t>제품보증 충당금 증감</t>
        </is>
      </c>
      <c r="Q137" s="22" t="n">
        <v>0</v>
      </c>
      <c r="R137" s="22" t="n">
        <v>-13.7</v>
      </c>
    </row>
    <row r="138">
      <c r="A138" s="20" t="inlineStr">
        <is>
          <t>이자·배당금 수익</t>
        </is>
      </c>
      <c r="E138" s="22" t="n">
        <v>-30.786</v>
      </c>
      <c r="I138" s="22" t="n">
        <v>-31.116</v>
      </c>
      <c r="M138" s="22" t="n">
        <v>-28.35</v>
      </c>
      <c r="O138" s="22" t="n">
        <v>-31.827</v>
      </c>
      <c r="P138" s="22" t="n">
        <v>-28.887</v>
      </c>
      <c r="Q138" s="22" t="n">
        <v>-25.909</v>
      </c>
      <c r="R138" s="22" t="n">
        <v>-29.65</v>
      </c>
      <c r="S138" s="22" t="n">
        <v>-21.003</v>
      </c>
      <c r="T138" s="22" t="n">
        <v>-30.753</v>
      </c>
      <c r="U138" s="22" t="n">
        <v>-32.954</v>
      </c>
      <c r="V138" s="22" t="n">
        <v>-30.786</v>
      </c>
      <c r="W138" s="22" t="n">
        <v>-31.116</v>
      </c>
      <c r="X138" s="22" t="n">
        <v>-28.35</v>
      </c>
    </row>
    <row r="139">
      <c r="A139" s="20" t="inlineStr">
        <is>
          <t>이자비용</t>
        </is>
      </c>
      <c r="E139" s="22" t="n">
        <v>11.649</v>
      </c>
      <c r="I139" s="22" t="n">
        <v>11.473</v>
      </c>
      <c r="M139" s="22" t="n">
        <v>13.005</v>
      </c>
      <c r="O139" s="22" t="n">
        <v>12.955</v>
      </c>
      <c r="P139" s="22" t="n">
        <v>10.168</v>
      </c>
      <c r="Q139" s="22" t="n">
        <v>8.654999999999999</v>
      </c>
      <c r="R139" s="22" t="n">
        <v>7.919</v>
      </c>
      <c r="S139" s="22" t="n">
        <v>6.697</v>
      </c>
      <c r="T139" s="22" t="n">
        <v>6.844</v>
      </c>
      <c r="U139" s="22" t="n">
        <v>8.91</v>
      </c>
      <c r="V139" s="22" t="n">
        <v>11.649</v>
      </c>
      <c r="W139" s="22" t="n">
        <v>11.473</v>
      </c>
      <c r="X139" s="22" t="n">
        <v>13.005</v>
      </c>
    </row>
    <row r="140">
      <c r="A140" s="20" t="inlineStr">
        <is>
          <t>외환차손익</t>
        </is>
      </c>
      <c r="E140" s="22" t="n">
        <v>-20.065</v>
      </c>
      <c r="I140" s="22" t="n">
        <v>-33.131</v>
      </c>
      <c r="M140" s="22" t="n">
        <v>-25.352</v>
      </c>
      <c r="O140" s="22" t="n">
        <v>35.292</v>
      </c>
      <c r="P140" s="22" t="n">
        <v>-11.183</v>
      </c>
      <c r="Q140" s="22" t="n">
        <v>24.07</v>
      </c>
      <c r="R140" s="22" t="n">
        <v>13.472</v>
      </c>
      <c r="S140" s="22" t="n">
        <v>-3.061</v>
      </c>
      <c r="T140" s="22" t="n">
        <v>-48.821</v>
      </c>
      <c r="U140" s="22" t="n">
        <v>-8.532</v>
      </c>
      <c r="V140" s="22" t="n">
        <v>-20.065</v>
      </c>
      <c r="W140" s="22" t="n">
        <v>-33.131</v>
      </c>
      <c r="X140" s="22" t="n">
        <v>-25.352</v>
      </c>
    </row>
    <row r="141">
      <c r="A141" s="20" t="inlineStr">
        <is>
          <t>고정자산 매각손익</t>
        </is>
      </c>
      <c r="E141" s="22" t="n">
        <v>0.159</v>
      </c>
      <c r="I141" s="22" t="n">
        <v>-3.24</v>
      </c>
      <c r="M141" s="22" t="n">
        <v>-0.039</v>
      </c>
      <c r="O141" s="22" t="n">
        <v>-26.549</v>
      </c>
      <c r="P141" s="22" t="n">
        <v>-0.397</v>
      </c>
      <c r="Q141" s="22" t="n">
        <v>-2.564</v>
      </c>
      <c r="R141" s="22" t="n">
        <v>5.47</v>
      </c>
      <c r="S141" s="22" t="n">
        <v>0.641</v>
      </c>
      <c r="T141" s="22" t="n">
        <v>-125.132</v>
      </c>
      <c r="U141" s="22" t="n">
        <v>-5.239</v>
      </c>
      <c r="V141" s="22" t="n">
        <v>0.159</v>
      </c>
      <c r="W141" s="22" t="n">
        <v>-3.24</v>
      </c>
      <c r="X141" s="22" t="n">
        <v>-0.039</v>
      </c>
    </row>
    <row r="142">
      <c r="A142" s="20" t="inlineStr">
        <is>
          <t>고정자산 제각손실</t>
        </is>
      </c>
      <c r="E142" s="22" t="n">
        <v>12.253</v>
      </c>
      <c r="I142" s="22" t="n">
        <v>5.141</v>
      </c>
      <c r="M142" s="22" t="n">
        <v>17.067</v>
      </c>
      <c r="O142" s="22" t="n">
        <v>14.272</v>
      </c>
      <c r="P142" s="22" t="n">
        <v>17.565</v>
      </c>
      <c r="Q142" s="22" t="n">
        <v>18.082</v>
      </c>
      <c r="R142" s="22" t="n">
        <v>4.499</v>
      </c>
      <c r="S142" s="22" t="n">
        <v>4.872</v>
      </c>
      <c r="T142" s="22" t="n">
        <v>5.659</v>
      </c>
      <c r="U142" s="22" t="n">
        <v>6.222</v>
      </c>
      <c r="V142" s="22" t="n">
        <v>12.253</v>
      </c>
      <c r="W142" s="22" t="n">
        <v>5.141</v>
      </c>
      <c r="X142" s="22" t="n">
        <v>17.067</v>
      </c>
    </row>
    <row r="143">
      <c r="A143" s="20" t="inlineStr">
        <is>
          <t>투자유가증권 매각손익</t>
        </is>
      </c>
      <c r="E143" s="22" t="n">
        <v>-19.157</v>
      </c>
      <c r="I143" s="22" t="n">
        <v>-106.19</v>
      </c>
      <c r="M143" s="22" t="n">
        <v>-12.104</v>
      </c>
      <c r="O143" s="22" t="n">
        <v>-9.068</v>
      </c>
      <c r="P143" s="22" t="n">
        <v>-37.902</v>
      </c>
      <c r="Q143" s="22" t="n">
        <v>-0.421</v>
      </c>
      <c r="R143" s="22" t="n">
        <v>-2.376</v>
      </c>
      <c r="S143" s="22" t="n">
        <v>-96.015</v>
      </c>
      <c r="T143" s="22" t="n">
        <v>-2.351</v>
      </c>
      <c r="U143" s="22" t="n">
        <v>-0.791</v>
      </c>
      <c r="V143" s="22" t="n">
        <v>-19.157</v>
      </c>
      <c r="W143" s="22" t="n">
        <v>-106.19</v>
      </c>
      <c r="X143" s="22" t="n">
        <v>-12.104</v>
      </c>
    </row>
    <row r="144">
      <c r="A144" s="20" t="inlineStr">
        <is>
          <t>투자유가증권 평가손익</t>
        </is>
      </c>
      <c r="E144" s="22" t="n">
        <v>-6.847</v>
      </c>
      <c r="I144" s="22" t="n">
        <v>0.152</v>
      </c>
      <c r="M144" s="22" t="n">
        <v>0.118</v>
      </c>
      <c r="O144" s="22" t="n">
        <v>-13.189</v>
      </c>
      <c r="P144" s="22" t="n">
        <v>22.717</v>
      </c>
      <c r="Q144" s="22" t="n">
        <v>4.213</v>
      </c>
      <c r="R144" s="22" t="n">
        <v>23.346</v>
      </c>
      <c r="S144" s="22" t="n">
        <v>-23.978</v>
      </c>
      <c r="T144" s="22" t="n">
        <v>8.75</v>
      </c>
      <c r="U144" s="22" t="n">
        <v>-9.566000000000001</v>
      </c>
      <c r="V144" s="22" t="n">
        <v>-6.847</v>
      </c>
      <c r="W144" s="22" t="n">
        <v>0.152</v>
      </c>
      <c r="X144" s="22" t="n">
        <v>0.118</v>
      </c>
    </row>
    <row r="145">
      <c r="A145" s="20" t="inlineStr">
        <is>
          <t>투자유가증권 상환손익</t>
        </is>
      </c>
      <c r="E145" s="22" t="n">
        <v>0</v>
      </c>
      <c r="I145" s="22" t="n">
        <v>5.054</v>
      </c>
      <c r="M145" s="22" t="n">
        <v>0</v>
      </c>
      <c r="O145" s="22" t="n">
        <v>0</v>
      </c>
      <c r="P145" s="22" t="n">
        <v>-8.981999999999999</v>
      </c>
      <c r="Q145" s="22" t="n">
        <v>0</v>
      </c>
      <c r="V145" s="22" t="n">
        <v>0</v>
      </c>
      <c r="W145" s="22" t="n">
        <v>5.054</v>
      </c>
      <c r="X145" s="22" t="n">
        <v>0</v>
      </c>
    </row>
    <row r="146">
      <c r="A146" s="20" t="inlineStr">
        <is>
          <t>매출채권 증감</t>
        </is>
      </c>
      <c r="E146" s="22" t="n">
        <v>977.131</v>
      </c>
      <c r="I146" s="22" t="n">
        <v>94.39</v>
      </c>
      <c r="M146" s="22" t="n">
        <v>300.821</v>
      </c>
      <c r="O146" s="22" t="n">
        <v>-238.526</v>
      </c>
      <c r="P146" s="22" t="n">
        <v>-644.122</v>
      </c>
      <c r="Q146" s="22" t="n">
        <v>659.029</v>
      </c>
      <c r="R146" s="22" t="n">
        <v>683.46</v>
      </c>
      <c r="S146" s="22" t="n">
        <v>167.614</v>
      </c>
      <c r="T146" s="22" t="n">
        <v>-1573.339</v>
      </c>
      <c r="U146" s="22" t="n">
        <v>-0.708</v>
      </c>
      <c r="V146" s="22" t="n">
        <v>977.131</v>
      </c>
      <c r="W146" s="22" t="n">
        <v>94.39</v>
      </c>
      <c r="X146" s="22" t="n">
        <v>300.821</v>
      </c>
    </row>
    <row r="147">
      <c r="A147" s="20" t="inlineStr">
        <is>
          <t>재고자산 증감</t>
        </is>
      </c>
      <c r="E147" s="22" t="n">
        <v>396.252</v>
      </c>
      <c r="I147" s="22" t="n">
        <v>-163.784</v>
      </c>
      <c r="M147" s="22" t="n">
        <v>-310.987</v>
      </c>
      <c r="O147" s="22" t="n">
        <v>310.541</v>
      </c>
      <c r="P147" s="22" t="n">
        <v>29.363</v>
      </c>
      <c r="Q147" s="22" t="n">
        <v>-230.707</v>
      </c>
      <c r="R147" s="22" t="n">
        <v>172.635</v>
      </c>
      <c r="S147" s="22" t="n">
        <v>-128.591</v>
      </c>
      <c r="T147" s="22" t="n">
        <v>-469.368</v>
      </c>
      <c r="U147" s="22" t="n">
        <v>-545.433</v>
      </c>
      <c r="V147" s="22" t="n">
        <v>396.252</v>
      </c>
      <c r="W147" s="22" t="n">
        <v>-163.784</v>
      </c>
      <c r="X147" s="22" t="n">
        <v>-310.987</v>
      </c>
    </row>
    <row r="148">
      <c r="A148" s="20" t="inlineStr">
        <is>
          <t>매입채무 증감</t>
        </is>
      </c>
      <c r="E148" s="22" t="n">
        <v>-627.559</v>
      </c>
      <c r="I148" s="22" t="n">
        <v>-312.816</v>
      </c>
      <c r="M148" s="22" t="n">
        <v>-239.477</v>
      </c>
      <c r="O148" s="22" t="n">
        <v>188.821</v>
      </c>
      <c r="P148" s="22" t="n">
        <v>340.78</v>
      </c>
      <c r="Q148" s="22" t="n">
        <v>-431.09</v>
      </c>
      <c r="R148" s="22" t="n">
        <v>-392.912</v>
      </c>
      <c r="S148" s="22" t="n">
        <v>15.218</v>
      </c>
      <c r="T148" s="22" t="n">
        <v>869.107</v>
      </c>
      <c r="U148" s="22" t="n">
        <v>125.356</v>
      </c>
      <c r="V148" s="22" t="n">
        <v>-627.559</v>
      </c>
      <c r="W148" s="22" t="n">
        <v>-312.816</v>
      </c>
      <c r="X148" s="22" t="n">
        <v>-239.477</v>
      </c>
    </row>
    <row r="149">
      <c r="A149" s="20" t="inlineStr">
        <is>
          <t>기타</t>
        </is>
      </c>
      <c r="E149" s="22" t="n">
        <v>21.523</v>
      </c>
      <c r="I149" s="22" t="n">
        <v>-239.789</v>
      </c>
      <c r="M149" s="22" t="n">
        <v>419.794</v>
      </c>
      <c r="O149" s="22" t="n">
        <v>299.219</v>
      </c>
      <c r="P149" s="22" t="n">
        <v>-42.586</v>
      </c>
      <c r="Q149" s="22" t="n">
        <v>-211.861</v>
      </c>
      <c r="R149" s="22" t="n">
        <v>108.272</v>
      </c>
      <c r="S149" s="22" t="n">
        <v>-15.688</v>
      </c>
      <c r="T149" s="22" t="n">
        <v>256.567</v>
      </c>
      <c r="U149" s="22" t="n">
        <v>-10.477</v>
      </c>
      <c r="V149" s="22" t="n">
        <v>21.523</v>
      </c>
      <c r="W149" s="22" t="n">
        <v>-239.789</v>
      </c>
      <c r="X149" s="22" t="n">
        <v>419.794</v>
      </c>
    </row>
    <row r="150">
      <c r="A150" s="20" t="inlineStr">
        <is>
          <t>소계</t>
        </is>
      </c>
      <c r="E150" s="22" t="n">
        <v>2266.008</v>
      </c>
      <c r="I150" s="22" t="n">
        <v>361.941</v>
      </c>
      <c r="M150" s="22" t="n">
        <v>1849.839</v>
      </c>
      <c r="O150" s="22" t="n">
        <v>1877.845</v>
      </c>
      <c r="P150" s="22" t="n">
        <v>1230.38</v>
      </c>
      <c r="Q150" s="22" t="n">
        <v>1458.578</v>
      </c>
      <c r="R150" s="22" t="n">
        <v>1681.664</v>
      </c>
      <c r="S150" s="22" t="n">
        <v>1320.799</v>
      </c>
      <c r="T150" s="22" t="n">
        <v>747.222</v>
      </c>
      <c r="U150" s="22" t="n">
        <v>1410.603</v>
      </c>
      <c r="V150" s="22" t="n">
        <v>2266.008</v>
      </c>
      <c r="W150" s="22" t="n">
        <v>361.941</v>
      </c>
      <c r="X150" s="22" t="n">
        <v>1849.839</v>
      </c>
    </row>
    <row r="151">
      <c r="A151" s="20" t="inlineStr">
        <is>
          <t>이자·배당금 수취</t>
        </is>
      </c>
      <c r="E151" s="22" t="n">
        <v>31.435</v>
      </c>
      <c r="I151" s="22" t="n">
        <v>31.286</v>
      </c>
      <c r="M151" s="22" t="n">
        <v>28.715</v>
      </c>
      <c r="O151" s="22" t="n">
        <v>32.017</v>
      </c>
      <c r="P151" s="22" t="n">
        <v>29.164</v>
      </c>
      <c r="Q151" s="22" t="n">
        <v>25.762</v>
      </c>
      <c r="R151" s="22" t="n">
        <v>29.837</v>
      </c>
      <c r="S151" s="22" t="n">
        <v>20.951</v>
      </c>
      <c r="T151" s="22" t="n">
        <v>30.046</v>
      </c>
      <c r="U151" s="22" t="n">
        <v>32.945</v>
      </c>
      <c r="V151" s="22" t="n">
        <v>31.435</v>
      </c>
      <c r="W151" s="22" t="n">
        <v>31.286</v>
      </c>
      <c r="X151" s="22" t="n">
        <v>28.715</v>
      </c>
    </row>
    <row r="152">
      <c r="A152" s="20" t="inlineStr">
        <is>
          <t>이자 지급</t>
        </is>
      </c>
      <c r="E152" s="22" t="n">
        <v>-11.504</v>
      </c>
      <c r="I152" s="22" t="n">
        <v>-11.437</v>
      </c>
      <c r="M152" s="22" t="n">
        <v>-13.303</v>
      </c>
      <c r="O152" s="22" t="n">
        <v>-12.756</v>
      </c>
      <c r="P152" s="22" t="n">
        <v>-10.038</v>
      </c>
      <c r="Q152" s="22" t="n">
        <v>-8.625999999999999</v>
      </c>
      <c r="R152" s="22" t="n">
        <v>-7.873</v>
      </c>
      <c r="S152" s="22" t="n">
        <v>-6.711</v>
      </c>
      <c r="T152" s="22" t="n">
        <v>-6.788</v>
      </c>
      <c r="U152" s="22" t="n">
        <v>-9.089</v>
      </c>
      <c r="V152" s="22" t="n">
        <v>-11.504</v>
      </c>
      <c r="W152" s="22" t="n">
        <v>-11.437</v>
      </c>
      <c r="X152" s="22" t="n">
        <v>-13.303</v>
      </c>
    </row>
    <row r="153">
      <c r="A153" s="20" t="inlineStr">
        <is>
          <t>법인세 납부</t>
        </is>
      </c>
      <c r="E153" s="22" t="n">
        <v>-245.492</v>
      </c>
      <c r="I153" s="22" t="n">
        <v>-79.696</v>
      </c>
      <c r="M153" s="22" t="n">
        <v>-153.495</v>
      </c>
      <c r="O153" s="22" t="n">
        <v>-166.352</v>
      </c>
      <c r="P153" s="22" t="n">
        <v>-132.483</v>
      </c>
      <c r="Q153" s="22" t="n">
        <v>-210.024</v>
      </c>
      <c r="R153" s="22" t="n">
        <v>-185.571</v>
      </c>
      <c r="S153" s="22" t="n">
        <v>-95.91500000000001</v>
      </c>
      <c r="T153" s="22" t="n">
        <v>-200.219</v>
      </c>
      <c r="U153" s="22" t="n">
        <v>-273.041</v>
      </c>
      <c r="V153" s="22" t="n">
        <v>-245.492</v>
      </c>
      <c r="W153" s="22" t="n">
        <v>-79.696</v>
      </c>
      <c r="X153" s="22" t="n">
        <v>-153.495</v>
      </c>
    </row>
    <row r="154">
      <c r="A154" s="9" t="inlineStr">
        <is>
          <t>영업활동 현금흐름</t>
        </is>
      </c>
      <c r="E154" s="12" t="n">
        <v>2040.447</v>
      </c>
      <c r="I154" s="12" t="n">
        <v>302.095</v>
      </c>
      <c r="M154" s="12" t="n">
        <v>1711.756</v>
      </c>
      <c r="O154" s="12" t="n">
        <v>1730.754</v>
      </c>
      <c r="P154" s="12" t="n">
        <v>1117.022</v>
      </c>
      <c r="Q154" s="12" t="n">
        <v>1265.689</v>
      </c>
      <c r="R154" s="12" t="n">
        <v>1518.057</v>
      </c>
      <c r="S154" s="12" t="n">
        <v>1239.124</v>
      </c>
      <c r="T154" s="12" t="n">
        <v>570.261</v>
      </c>
      <c r="U154" s="12" t="n">
        <v>1161.418</v>
      </c>
      <c r="V154" s="12" t="n">
        <v>2040.447</v>
      </c>
      <c r="W154" s="12" t="n">
        <v>302.095</v>
      </c>
      <c r="X154" s="12" t="n">
        <v>1711.756</v>
      </c>
    </row>
    <row r="155">
      <c r="A155" s="20" t="inlineStr">
        <is>
          <t>정기예금 증감</t>
        </is>
      </c>
      <c r="O155" s="22" t="n">
        <v>47.632</v>
      </c>
      <c r="P155" s="22" t="n">
        <v>39.424</v>
      </c>
      <c r="Q155" s="22" t="n">
        <v>18.402</v>
      </c>
      <c r="R155" s="22" t="n">
        <v>0</v>
      </c>
    </row>
    <row r="156">
      <c r="A156" s="20" t="inlineStr">
        <is>
          <t>정기예금 예입</t>
        </is>
      </c>
      <c r="E156" s="22" t="n">
        <v>-30</v>
      </c>
      <c r="I156" s="22" t="n">
        <v>-200</v>
      </c>
      <c r="M156" s="22" t="n">
        <v>0</v>
      </c>
      <c r="U156" s="22" t="n">
        <v>0</v>
      </c>
      <c r="V156" s="22" t="n">
        <v>-30</v>
      </c>
      <c r="W156" s="22" t="n">
        <v>-200</v>
      </c>
      <c r="X156" s="22" t="n">
        <v>0</v>
      </c>
    </row>
    <row r="157">
      <c r="A157" s="20" t="inlineStr">
        <is>
          <t>정기예금 인출</t>
        </is>
      </c>
      <c r="E157" s="22" t="n">
        <v>0</v>
      </c>
      <c r="I157" s="22" t="n">
        <v>30</v>
      </c>
      <c r="M157" s="22" t="n">
        <v>200</v>
      </c>
      <c r="V157" s="22" t="n">
        <v>0</v>
      </c>
      <c r="W157" s="22" t="n">
        <v>30</v>
      </c>
      <c r="X157" s="22" t="n">
        <v>200</v>
      </c>
    </row>
    <row r="158">
      <c r="A158" s="20" t="inlineStr">
        <is>
          <t>유형자산 취득(설비투자)</t>
        </is>
      </c>
      <c r="E158" s="22" t="n">
        <v>-660.518</v>
      </c>
      <c r="I158" s="22" t="n">
        <v>-2005.407</v>
      </c>
      <c r="M158" s="22" t="n">
        <v>-978.337</v>
      </c>
      <c r="O158" s="22" t="n">
        <v>-650.381</v>
      </c>
      <c r="P158" s="22" t="n">
        <v>-856.364</v>
      </c>
      <c r="Q158" s="22" t="n">
        <v>-1137.28</v>
      </c>
      <c r="R158" s="22" t="n">
        <v>-948.298</v>
      </c>
      <c r="S158" s="22" t="n">
        <v>-482.201</v>
      </c>
      <c r="T158" s="22" t="n">
        <v>-563.674</v>
      </c>
      <c r="U158" s="22" t="n">
        <v>-565.6180000000001</v>
      </c>
      <c r="V158" s="22" t="n">
        <v>-660.518</v>
      </c>
      <c r="W158" s="22" t="n">
        <v>-2005.407</v>
      </c>
      <c r="X158" s="22" t="n">
        <v>-978.337</v>
      </c>
    </row>
    <row r="159">
      <c r="A159" s="20" t="inlineStr">
        <is>
          <t>유형자산 매각</t>
        </is>
      </c>
      <c r="E159" s="22" t="n">
        <v>0.502</v>
      </c>
      <c r="I159" s="22" t="n">
        <v>14.291</v>
      </c>
      <c r="M159" s="22" t="n">
        <v>0.658</v>
      </c>
      <c r="O159" s="22" t="n">
        <v>26.897</v>
      </c>
      <c r="P159" s="22" t="n">
        <v>12.429</v>
      </c>
      <c r="Q159" s="22" t="n">
        <v>2.564</v>
      </c>
      <c r="R159" s="22" t="n">
        <v>1.343</v>
      </c>
      <c r="S159" s="22" t="n">
        <v>0.164</v>
      </c>
      <c r="T159" s="22" t="n">
        <v>227.675</v>
      </c>
      <c r="U159" s="22" t="n">
        <v>5.24</v>
      </c>
      <c r="V159" s="22" t="n">
        <v>0.502</v>
      </c>
      <c r="W159" s="22" t="n">
        <v>14.291</v>
      </c>
      <c r="X159" s="22" t="n">
        <v>0.658</v>
      </c>
    </row>
    <row r="160">
      <c r="A160" s="20" t="inlineStr">
        <is>
          <t>무형자산 취득</t>
        </is>
      </c>
      <c r="E160" s="22" t="n">
        <v>-12.813</v>
      </c>
      <c r="I160" s="22" t="n">
        <v>-3.567</v>
      </c>
      <c r="M160" s="22" t="n">
        <v>-0.614</v>
      </c>
      <c r="O160" s="22" t="n">
        <v>-16.077</v>
      </c>
      <c r="P160" s="22" t="n">
        <v>-31.858</v>
      </c>
      <c r="Q160" s="22" t="n">
        <v>-15.701</v>
      </c>
      <c r="R160" s="22" t="n">
        <v>-22.1</v>
      </c>
      <c r="S160" s="22" t="n">
        <v>-17.766</v>
      </c>
      <c r="T160" s="22" t="n">
        <v>-29.859</v>
      </c>
      <c r="U160" s="22" t="n">
        <v>-33.569</v>
      </c>
      <c r="V160" s="22" t="n">
        <v>-12.813</v>
      </c>
      <c r="W160" s="22" t="n">
        <v>-3.567</v>
      </c>
      <c r="X160" s="22" t="n">
        <v>-0.614</v>
      </c>
    </row>
    <row r="161">
      <c r="A161" s="20" t="inlineStr">
        <is>
          <t>투자유가증권 취득</t>
        </is>
      </c>
      <c r="E161" s="22" t="n">
        <v>-50.874</v>
      </c>
      <c r="I161" s="22" t="n">
        <v>-30.2</v>
      </c>
      <c r="M161" s="22" t="n">
        <v>0</v>
      </c>
      <c r="O161" s="22" t="n">
        <v>-109.856</v>
      </c>
      <c r="P161" s="22" t="n">
        <v>-110.157</v>
      </c>
      <c r="Q161" s="22" t="n">
        <v>-203.037</v>
      </c>
      <c r="R161" s="22" t="n">
        <v>-168.783</v>
      </c>
      <c r="S161" s="22" t="n">
        <v>-265.391</v>
      </c>
      <c r="T161" s="22" t="n">
        <v>-350.813</v>
      </c>
      <c r="U161" s="22" t="n">
        <v>-120.463</v>
      </c>
      <c r="V161" s="22" t="n">
        <v>-50.874</v>
      </c>
      <c r="W161" s="22" t="n">
        <v>-30.2</v>
      </c>
      <c r="X161" s="22" t="n">
        <v>0</v>
      </c>
    </row>
    <row r="162">
      <c r="A162" s="20" t="inlineStr">
        <is>
          <t>투자유가증권 매각·상환 수입</t>
        </is>
      </c>
      <c r="E162" s="22" t="n">
        <v>424.416</v>
      </c>
      <c r="I162" s="22" t="n">
        <v>322.909</v>
      </c>
      <c r="M162" s="22" t="n">
        <v>102.02</v>
      </c>
      <c r="O162" s="22" t="n">
        <v>166.979</v>
      </c>
      <c r="P162" s="22" t="n">
        <v>296.437</v>
      </c>
      <c r="Q162" s="22" t="n">
        <v>114.347</v>
      </c>
      <c r="R162" s="22" t="n">
        <v>155.28</v>
      </c>
      <c r="S162" s="22" t="n">
        <v>526.962</v>
      </c>
      <c r="T162" s="22" t="n">
        <v>101.2</v>
      </c>
      <c r="U162" s="22" t="n">
        <v>2.194</v>
      </c>
      <c r="V162" s="22" t="n">
        <v>424.416</v>
      </c>
      <c r="W162" s="22" t="n">
        <v>322.909</v>
      </c>
      <c r="X162" s="22" t="n">
        <v>102.02</v>
      </c>
    </row>
    <row r="163">
      <c r="A163" s="20" t="inlineStr">
        <is>
          <t>연결범위 변경 자회사 주식 취득(수입)</t>
        </is>
      </c>
      <c r="O163" s="22" t="n">
        <v>7.671</v>
      </c>
      <c r="P163" s="22" t="n">
        <v>0</v>
      </c>
    </row>
    <row r="164">
      <c r="A164" s="20" t="inlineStr">
        <is>
          <t>기타</t>
        </is>
      </c>
      <c r="E164" s="22" t="n">
        <v>-9.792</v>
      </c>
      <c r="I164" s="22" t="n">
        <v>-1.248</v>
      </c>
      <c r="M164" s="22" t="n">
        <v>-14.408</v>
      </c>
      <c r="O164" s="22" t="n">
        <v>41.922</v>
      </c>
      <c r="P164" s="22" t="n">
        <v>-2.257</v>
      </c>
      <c r="Q164" s="22" t="n">
        <v>0.154</v>
      </c>
      <c r="R164" s="22" t="n">
        <v>0.313</v>
      </c>
      <c r="S164" s="22" t="n">
        <v>-6.095</v>
      </c>
      <c r="T164" s="22" t="n">
        <v>-3.636</v>
      </c>
      <c r="U164" s="22" t="n">
        <v>-3.635</v>
      </c>
      <c r="V164" s="22" t="n">
        <v>-9.792</v>
      </c>
      <c r="W164" s="22" t="n">
        <v>-1.248</v>
      </c>
      <c r="X164" s="22" t="n">
        <v>-14.408</v>
      </c>
    </row>
    <row r="165">
      <c r="A165" s="9" t="inlineStr">
        <is>
          <t>투자활동 현금흐름</t>
        </is>
      </c>
      <c r="E165" s="12" t="n">
        <v>-339.079</v>
      </c>
      <c r="I165" s="12" t="n">
        <v>-1873.223</v>
      </c>
      <c r="M165" s="12" t="n">
        <v>-690.681</v>
      </c>
      <c r="O165" s="12" t="n">
        <v>-485.211</v>
      </c>
      <c r="P165" s="12" t="n">
        <v>-652.346</v>
      </c>
      <c r="Q165" s="12" t="n">
        <v>-1220.551</v>
      </c>
      <c r="R165" s="12" t="n">
        <v>-982.245</v>
      </c>
      <c r="S165" s="12" t="n">
        <v>-244.328</v>
      </c>
      <c r="T165" s="12" t="n">
        <v>-619.1079999999999</v>
      </c>
      <c r="U165" s="12" t="n">
        <v>-715.853</v>
      </c>
      <c r="V165" s="12" t="n">
        <v>-339.079</v>
      </c>
      <c r="W165" s="12" t="n">
        <v>-1873.223</v>
      </c>
      <c r="X165" s="12" t="n">
        <v>-690.681</v>
      </c>
    </row>
    <row r="166">
      <c r="A166" s="20" t="inlineStr">
        <is>
          <t>단기차입금 순증감</t>
        </is>
      </c>
      <c r="E166" s="22" t="n">
        <v>-97.608</v>
      </c>
      <c r="I166" s="22" t="n">
        <v>-90.212</v>
      </c>
      <c r="M166" s="22" t="n">
        <v>100</v>
      </c>
      <c r="O166" s="22" t="n">
        <v>-415</v>
      </c>
      <c r="P166" s="22" t="n">
        <v>-20</v>
      </c>
      <c r="Q166" s="22" t="n">
        <v>0</v>
      </c>
      <c r="T166" s="22" t="n">
        <v>0</v>
      </c>
      <c r="U166" s="22" t="n">
        <v>129.4</v>
      </c>
      <c r="V166" s="22" t="n">
        <v>-97.608</v>
      </c>
      <c r="W166" s="22" t="n">
        <v>-90.212</v>
      </c>
      <c r="X166" s="22" t="n">
        <v>100</v>
      </c>
    </row>
    <row r="167">
      <c r="A167" s="20" t="inlineStr">
        <is>
          <t>장기차입</t>
        </is>
      </c>
      <c r="E167" s="22" t="n">
        <v>0</v>
      </c>
      <c r="I167" s="22" t="n">
        <v>0</v>
      </c>
      <c r="M167" s="22" t="n">
        <v>500</v>
      </c>
      <c r="O167" s="22" t="n">
        <v>1100</v>
      </c>
      <c r="P167" s="22" t="n">
        <v>0</v>
      </c>
      <c r="Q167" s="22" t="n">
        <v>800</v>
      </c>
      <c r="R167" s="22" t="n">
        <v>200</v>
      </c>
      <c r="S167" s="22" t="n">
        <v>530</v>
      </c>
      <c r="T167" s="22" t="n">
        <v>200</v>
      </c>
      <c r="U167" s="22" t="n">
        <v>1900</v>
      </c>
      <c r="V167" s="22" t="n">
        <v>0</v>
      </c>
      <c r="W167" s="22" t="n">
        <v>0</v>
      </c>
      <c r="X167" s="22" t="n">
        <v>500</v>
      </c>
    </row>
    <row r="168">
      <c r="A168" s="20" t="inlineStr">
        <is>
          <t>장기차입금 상환</t>
        </is>
      </c>
      <c r="E168" s="22" t="n">
        <v>-626.689</v>
      </c>
      <c r="I168" s="22" t="n">
        <v>-539.968</v>
      </c>
      <c r="M168" s="22" t="n">
        <v>-516.654</v>
      </c>
      <c r="O168" s="22" t="n">
        <v>-1145.309</v>
      </c>
      <c r="P168" s="22" t="n">
        <v>-659.25</v>
      </c>
      <c r="Q168" s="22" t="n">
        <v>-591.045</v>
      </c>
      <c r="R168" s="22" t="n">
        <v>-615.397</v>
      </c>
      <c r="S168" s="22" t="n">
        <v>-872.588</v>
      </c>
      <c r="T168" s="22" t="n">
        <v>-353.309</v>
      </c>
      <c r="U168" s="22" t="n">
        <v>-485.831</v>
      </c>
      <c r="V168" s="22" t="n">
        <v>-626.689</v>
      </c>
      <c r="W168" s="22" t="n">
        <v>-539.968</v>
      </c>
      <c r="X168" s="22" t="n">
        <v>-516.654</v>
      </c>
    </row>
    <row r="169">
      <c r="A169" s="20" t="inlineStr">
        <is>
          <t>자기주식 증감액</t>
        </is>
      </c>
      <c r="O169" s="22" t="n">
        <v>-1.255</v>
      </c>
      <c r="P169" s="22" t="n">
        <v>-1.207</v>
      </c>
      <c r="Q169" s="22" t="n">
        <v>-35.73</v>
      </c>
      <c r="R169" s="22" t="n">
        <v>0</v>
      </c>
      <c r="S169" s="22" t="n">
        <v>0</v>
      </c>
      <c r="T169" s="22" t="n">
        <v>-0.07000000000000001</v>
      </c>
      <c r="U169" s="22" t="n">
        <v>0</v>
      </c>
    </row>
    <row r="170">
      <c r="A170" s="20" t="inlineStr">
        <is>
          <t>배당금 지급</t>
        </is>
      </c>
      <c r="E170" s="22" t="n">
        <v>-122.479</v>
      </c>
      <c r="I170" s="22" t="n">
        <v>-122.508</v>
      </c>
      <c r="M170" s="22" t="n">
        <v>-113.517</v>
      </c>
      <c r="O170" s="22" t="n">
        <v>-54.238</v>
      </c>
      <c r="P170" s="22" t="n">
        <v>-63.168</v>
      </c>
      <c r="Q170" s="22" t="n">
        <v>-90.166</v>
      </c>
      <c r="R170" s="22" t="n">
        <v>-98.309</v>
      </c>
      <c r="S170" s="22" t="n">
        <v>-98.654</v>
      </c>
      <c r="T170" s="22" t="n">
        <v>-99.01000000000001</v>
      </c>
      <c r="U170" s="22" t="n">
        <v>-113.04</v>
      </c>
      <c r="V170" s="22" t="n">
        <v>-122.479</v>
      </c>
      <c r="W170" s="22" t="n">
        <v>-122.508</v>
      </c>
      <c r="X170" s="22" t="n">
        <v>-113.517</v>
      </c>
    </row>
    <row r="171">
      <c r="A171" s="20" t="inlineStr">
        <is>
          <t>리스부채 상환</t>
        </is>
      </c>
      <c r="E171" s="22" t="n">
        <v>-212.649</v>
      </c>
      <c r="I171" s="22" t="n">
        <v>-186.896</v>
      </c>
      <c r="M171" s="22" t="n">
        <v>-195.109</v>
      </c>
      <c r="O171" s="22" t="n">
        <v>-64.164</v>
      </c>
      <c r="P171" s="22" t="n">
        <v>-118.148</v>
      </c>
      <c r="Q171" s="22" t="n">
        <v>-141.585</v>
      </c>
      <c r="R171" s="22" t="n">
        <v>-127.843</v>
      </c>
      <c r="S171" s="22" t="n">
        <v>-132.017</v>
      </c>
      <c r="T171" s="22" t="n">
        <v>-157.281</v>
      </c>
      <c r="U171" s="22" t="n">
        <v>-171.308</v>
      </c>
      <c r="V171" s="22" t="n">
        <v>-212.649</v>
      </c>
      <c r="W171" s="22" t="n">
        <v>-186.896</v>
      </c>
      <c r="X171" s="22" t="n">
        <v>-195.109</v>
      </c>
    </row>
    <row r="172">
      <c r="A172" s="9" t="inlineStr">
        <is>
          <t>재무활동 현금흐름</t>
        </is>
      </c>
      <c r="E172" s="12" t="n">
        <v>-1059.426</v>
      </c>
      <c r="I172" s="12" t="n">
        <v>-939.586</v>
      </c>
      <c r="M172" s="12" t="n">
        <v>-225.281</v>
      </c>
      <c r="O172" s="12" t="n">
        <v>-579.967</v>
      </c>
      <c r="P172" s="12" t="n">
        <v>-861.774</v>
      </c>
      <c r="Q172" s="12" t="n">
        <v>-58.527</v>
      </c>
      <c r="R172" s="12" t="n">
        <v>-641.55</v>
      </c>
      <c r="S172" s="12" t="n">
        <v>-573.26</v>
      </c>
      <c r="T172" s="12" t="n">
        <v>-409.671</v>
      </c>
      <c r="U172" s="12" t="n">
        <v>1259.22</v>
      </c>
      <c r="V172" s="12" t="n">
        <v>-1059.426</v>
      </c>
      <c r="W172" s="12" t="n">
        <v>-939.586</v>
      </c>
      <c r="X172" s="12" t="n">
        <v>-225.281</v>
      </c>
    </row>
    <row r="173">
      <c r="A173" s="20" t="inlineStr">
        <is>
          <t>현금성자산 환산차이</t>
        </is>
      </c>
      <c r="E173" s="22" t="n">
        <v>39.185</v>
      </c>
      <c r="I173" s="22" t="n">
        <v>88.32899999999999</v>
      </c>
      <c r="M173" s="22" t="n">
        <v>47.831</v>
      </c>
      <c r="O173" s="22" t="n">
        <v>-95.32599999999999</v>
      </c>
      <c r="P173" s="22" t="n">
        <v>18.668</v>
      </c>
      <c r="Q173" s="22" t="n">
        <v>-41.782</v>
      </c>
      <c r="R173" s="22" t="n">
        <v>-21.099</v>
      </c>
      <c r="S173" s="22" t="n">
        <v>6.179</v>
      </c>
      <c r="T173" s="22" t="n">
        <v>69.98699999999999</v>
      </c>
      <c r="U173" s="22" t="n">
        <v>8.612</v>
      </c>
      <c r="V173" s="22" t="n">
        <v>39.185</v>
      </c>
      <c r="W173" s="22" t="n">
        <v>88.32899999999999</v>
      </c>
      <c r="X173" s="22" t="n">
        <v>47.831</v>
      </c>
    </row>
    <row r="174">
      <c r="A174" s="20" t="inlineStr">
        <is>
          <t>현금성자산 증감</t>
        </is>
      </c>
      <c r="E174" s="22" t="n">
        <v>681.126</v>
      </c>
      <c r="I174" s="22" t="n">
        <v>-2422.384</v>
      </c>
      <c r="M174" s="22" t="n">
        <v>843.625</v>
      </c>
      <c r="O174" s="22" t="n">
        <v>570.248</v>
      </c>
      <c r="P174" s="22" t="n">
        <v>-378.43</v>
      </c>
      <c r="Q174" s="22" t="n">
        <v>-55.171</v>
      </c>
      <c r="R174" s="22" t="n">
        <v>-126.837</v>
      </c>
      <c r="S174" s="22" t="n">
        <v>427.714</v>
      </c>
      <c r="T174" s="22" t="n">
        <v>-388.531</v>
      </c>
      <c r="U174" s="22" t="n">
        <v>1713.398</v>
      </c>
      <c r="V174" s="22" t="n">
        <v>681.126</v>
      </c>
      <c r="W174" s="22" t="n">
        <v>-2422.384</v>
      </c>
      <c r="X174" s="22" t="n">
        <v>843.625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6518 재무상태표</t>
        </is>
      </c>
    </row>
    <row r="2">
      <c r="A2" s="45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11071.691</v>
      </c>
      <c r="D5" s="12" t="n">
        <v>11920.334</v>
      </c>
      <c r="E5" s="12" t="n">
        <v>11281.888</v>
      </c>
      <c r="F5" s="12" t="n">
        <v>11671.851</v>
      </c>
      <c r="G5" s="12" t="n">
        <v>11767.854</v>
      </c>
      <c r="H5" s="11" t="n">
        <v>11164.13</v>
      </c>
      <c r="I5" s="12" t="n">
        <v>13482.231</v>
      </c>
      <c r="J5" s="12" t="n">
        <v>12824.161</v>
      </c>
      <c r="K5" s="12" t="n">
        <v>10829.394</v>
      </c>
      <c r="L5" s="12" t="n">
        <v>11671.851</v>
      </c>
    </row>
    <row r="6">
      <c r="A6" s="20" t="inlineStr">
        <is>
          <t>현금및현금성자산</t>
        </is>
      </c>
      <c r="B6" s="10" t="n"/>
      <c r="C6" s="21" t="n">
        <v>2846.144</v>
      </c>
      <c r="D6" s="22" t="n">
        <v>3351.664</v>
      </c>
      <c r="E6" s="22" t="n">
        <v>2590.155</v>
      </c>
      <c r="F6" s="22" t="n">
        <v>3350.037</v>
      </c>
      <c r="G6" s="22" t="n">
        <v>3374.802</v>
      </c>
      <c r="H6" s="21" t="n">
        <v>2534.271</v>
      </c>
      <c r="I6" s="22" t="n">
        <v>4247.669</v>
      </c>
      <c r="J6" s="22" t="n">
        <v>4958.796</v>
      </c>
      <c r="K6" s="22" t="n">
        <v>2706.411</v>
      </c>
      <c r="L6" s="22" t="n">
        <v>3350.037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2940.642</v>
      </c>
      <c r="D8" s="22" t="n">
        <v>3166.991</v>
      </c>
      <c r="E8" s="22" t="n">
        <v>3122.336</v>
      </c>
      <c r="F8" s="22" t="n">
        <v>2758.486</v>
      </c>
      <c r="G8" s="22" t="n">
        <v>2686.151</v>
      </c>
      <c r="H8" s="21" t="n">
        <v>4106.986</v>
      </c>
      <c r="I8" s="22" t="n">
        <v>4110.47</v>
      </c>
      <c r="J8" s="22" t="n">
        <v>2987.687</v>
      </c>
      <c r="K8" s="22" t="n">
        <v>2750.115</v>
      </c>
      <c r="L8" s="22" t="n">
        <v>2758.486</v>
      </c>
    </row>
    <row r="9">
      <c r="A9" s="20" t="inlineStr">
        <is>
          <t>재고자산</t>
        </is>
      </c>
      <c r="B9" s="10" t="n"/>
      <c r="C9" s="21" t="n">
        <v>2670.945</v>
      </c>
      <c r="D9" s="22" t="n">
        <v>2626.192</v>
      </c>
      <c r="E9" s="22" t="n">
        <v>2693.767</v>
      </c>
      <c r="F9" s="22" t="n">
        <v>2862.331</v>
      </c>
      <c r="G9" s="22" t="n">
        <v>3200.974</v>
      </c>
      <c r="H9" s="21" t="n">
        <v>2125.417</v>
      </c>
      <c r="I9" s="22" t="n">
        <v>2698.912</v>
      </c>
      <c r="J9" s="22" t="n">
        <v>2328.526</v>
      </c>
      <c r="K9" s="22" t="n">
        <v>2532.251</v>
      </c>
      <c r="L9" s="22" t="n">
        <v>2862.331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7635.92</v>
      </c>
      <c r="D11" s="12" t="n">
        <v>8282.798000000001</v>
      </c>
      <c r="E11" s="12" t="n">
        <v>8213.406999999999</v>
      </c>
      <c r="F11" s="12" t="n">
        <v>8304.902</v>
      </c>
      <c r="G11" s="12" t="n">
        <v>8338.084000000001</v>
      </c>
      <c r="H11" s="11" t="n">
        <v>6515.462</v>
      </c>
      <c r="I11" s="12" t="n">
        <v>6945.439</v>
      </c>
      <c r="J11" s="12" t="n">
        <v>6709.144</v>
      </c>
      <c r="K11" s="12" t="n">
        <v>7678.993</v>
      </c>
      <c r="L11" s="12" t="n">
        <v>8304.902</v>
      </c>
    </row>
    <row r="12">
      <c r="A12" s="20" t="inlineStr">
        <is>
          <t>유형자산</t>
        </is>
      </c>
      <c r="B12" s="10" t="n"/>
      <c r="C12" s="21" t="n">
        <v>6010.063</v>
      </c>
      <c r="D12" s="22" t="n">
        <v>6750.907</v>
      </c>
      <c r="E12" s="22" t="n">
        <v>6690.579</v>
      </c>
      <c r="F12" s="22" t="n">
        <v>6668.257</v>
      </c>
      <c r="G12" s="22" t="n">
        <v>6626.766</v>
      </c>
      <c r="H12" s="21" t="n">
        <v>4640.263</v>
      </c>
      <c r="I12" s="22" t="n">
        <v>4900.153</v>
      </c>
      <c r="J12" s="22" t="n">
        <v>4940.225</v>
      </c>
      <c r="K12" s="22" t="n">
        <v>6140.129</v>
      </c>
      <c r="L12" s="22" t="n">
        <v>6668.257</v>
      </c>
    </row>
    <row r="13">
      <c r="A13" s="20" t="inlineStr">
        <is>
          <t>무형자산</t>
        </is>
      </c>
      <c r="B13" s="10" t="n"/>
      <c r="C13" s="21" t="n">
        <v>78.352</v>
      </c>
      <c r="D13" s="22" t="n">
        <v>72.526</v>
      </c>
      <c r="E13" s="22" t="n">
        <v>69.626</v>
      </c>
      <c r="F13" s="22" t="n">
        <v>68.029</v>
      </c>
      <c r="G13" s="22" t="n">
        <v>67.82899999999999</v>
      </c>
      <c r="H13" s="21" t="n">
        <v>101.773</v>
      </c>
      <c r="I13" s="22" t="n">
        <v>111.185</v>
      </c>
      <c r="J13" s="22" t="n">
        <v>99.768</v>
      </c>
      <c r="K13" s="22" t="n">
        <v>84.651</v>
      </c>
      <c r="L13" s="22" t="n">
        <v>68.029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18707.612</v>
      </c>
      <c r="D16" s="12" t="n">
        <v>20203.133</v>
      </c>
      <c r="E16" s="12" t="n">
        <v>19495.296</v>
      </c>
      <c r="F16" s="12" t="n">
        <v>19976.753</v>
      </c>
      <c r="G16" s="12" t="n">
        <v>20105.939</v>
      </c>
      <c r="H16" s="11" t="n">
        <v>17679.592</v>
      </c>
      <c r="I16" s="12" t="n">
        <v>20427.67</v>
      </c>
      <c r="J16" s="12" t="n">
        <v>19533.305</v>
      </c>
      <c r="K16" s="12" t="n">
        <v>18508.388</v>
      </c>
      <c r="L16" s="12" t="n">
        <v>19976.753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4671.714</v>
      </c>
      <c r="D18" s="12" t="n">
        <v>5599.352</v>
      </c>
      <c r="E18" s="12" t="n">
        <v>4658.477</v>
      </c>
      <c r="F18" s="12" t="n">
        <v>4981.18</v>
      </c>
      <c r="G18" s="12" t="n">
        <v>4944.716</v>
      </c>
      <c r="H18" s="11" t="n">
        <v>5170.633</v>
      </c>
      <c r="I18" s="12" t="n">
        <v>5915.937</v>
      </c>
      <c r="J18" s="12" t="n">
        <v>5061.864</v>
      </c>
      <c r="K18" s="12" t="n">
        <v>4349.882</v>
      </c>
      <c r="L18" s="12" t="n">
        <v>4981.18</v>
      </c>
    </row>
    <row r="19">
      <c r="A19" s="20" t="inlineStr">
        <is>
          <t>매입채무</t>
        </is>
      </c>
      <c r="B19" s="10" t="n"/>
      <c r="C19" s="21" t="n">
        <v>1081.931</v>
      </c>
      <c r="D19" s="22" t="n">
        <v>1102.994</v>
      </c>
      <c r="E19" s="22" t="n">
        <v>1036.12</v>
      </c>
      <c r="F19" s="22" t="n">
        <v>1153.546</v>
      </c>
      <c r="G19" s="22" t="n">
        <v>1177.473</v>
      </c>
      <c r="H19" s="21" t="n">
        <v>1100.188</v>
      </c>
      <c r="I19" s="22" t="n">
        <v>1194.443</v>
      </c>
      <c r="J19" s="22" t="n">
        <v>908.019</v>
      </c>
      <c r="K19" s="22" t="n">
        <v>1036.692</v>
      </c>
      <c r="L19" s="22" t="n">
        <v>1153.546</v>
      </c>
    </row>
    <row r="20">
      <c r="A20" s="20" t="inlineStr">
        <is>
          <t>단기차입금</t>
        </is>
      </c>
      <c r="B20" s="10" t="n"/>
      <c r="C20" s="21" t="n">
        <v>312.179</v>
      </c>
      <c r="D20" s="22" t="n">
        <v>312.179</v>
      </c>
      <c r="E20" s="22" t="n">
        <v>312.179</v>
      </c>
      <c r="F20" s="22" t="n">
        <v>412.179</v>
      </c>
      <c r="G20" s="22" t="n">
        <v>312.179</v>
      </c>
      <c r="H20" s="21" t="n">
        <v>370.6</v>
      </c>
      <c r="I20" s="22" t="n">
        <v>500</v>
      </c>
      <c r="J20" s="22" t="n">
        <v>402.391</v>
      </c>
      <c r="K20" s="22" t="n">
        <v>312.179</v>
      </c>
      <c r="L20" s="22" t="n">
        <v>412.179</v>
      </c>
    </row>
    <row r="21">
      <c r="A21" s="20" t="inlineStr">
        <is>
          <t>유동성장기부채</t>
        </is>
      </c>
      <c r="B21" s="10" t="n"/>
      <c r="C21" s="21" t="n">
        <v>438.346</v>
      </c>
      <c r="D21" s="22" t="n">
        <v>533.288</v>
      </c>
      <c r="E21" s="22" t="n">
        <v>524.915</v>
      </c>
      <c r="F21" s="22" t="n">
        <v>508.322</v>
      </c>
      <c r="G21" s="22" t="n">
        <v>485.825</v>
      </c>
      <c r="H21" s="21" t="n">
        <v>320.838</v>
      </c>
      <c r="I21" s="22" t="n">
        <v>626.689</v>
      </c>
      <c r="J21" s="22" t="n">
        <v>539.968</v>
      </c>
      <c r="K21" s="22" t="n">
        <v>463.344</v>
      </c>
      <c r="L21" s="22" t="n">
        <v>508.322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2132.597</v>
      </c>
      <c r="D23" s="12" t="n">
        <v>2530.969</v>
      </c>
      <c r="E23" s="12" t="n">
        <v>2470.305</v>
      </c>
      <c r="F23" s="12" t="n">
        <v>2389.83</v>
      </c>
      <c r="G23" s="12" t="n">
        <v>2269.14</v>
      </c>
      <c r="H23" s="11" t="n">
        <v>2139.947</v>
      </c>
      <c r="I23" s="12" t="n">
        <v>3389.862</v>
      </c>
      <c r="J23" s="12" t="n">
        <v>2756.104</v>
      </c>
      <c r="K23" s="12" t="n">
        <v>2260.482</v>
      </c>
      <c r="L23" s="12" t="n">
        <v>2389.83</v>
      </c>
    </row>
    <row r="24">
      <c r="A24" s="20" t="inlineStr">
        <is>
          <t>장기차입금</t>
        </is>
      </c>
      <c r="B24" s="10" t="n"/>
      <c r="C24" s="21" t="n">
        <v>484.255</v>
      </c>
      <c r="D24" s="22" t="n">
        <v>773.491</v>
      </c>
      <c r="E24" s="22" t="n">
        <v>646.008</v>
      </c>
      <c r="F24" s="22" t="n">
        <v>530.117</v>
      </c>
      <c r="G24" s="22" t="n">
        <v>420.13</v>
      </c>
      <c r="H24" s="21" t="n">
        <v>486.743</v>
      </c>
      <c r="I24" s="22" t="n">
        <v>1595.061</v>
      </c>
      <c r="J24" s="22" t="n">
        <v>1055.093</v>
      </c>
      <c r="K24" s="22" t="n">
        <v>591.749</v>
      </c>
      <c r="L24" s="22" t="n">
        <v>530.117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6804.312</v>
      </c>
      <c r="D27" s="12" t="n">
        <v>8130.322</v>
      </c>
      <c r="E27" s="12" t="n">
        <v>7128.782</v>
      </c>
      <c r="F27" s="12" t="n">
        <v>7371.01</v>
      </c>
      <c r="G27" s="12" t="n">
        <v>7213.857</v>
      </c>
      <c r="H27" s="11" t="n">
        <v>7310.581</v>
      </c>
      <c r="I27" s="12" t="n">
        <v>9305.799000000001</v>
      </c>
      <c r="J27" s="12" t="n">
        <v>7817.969</v>
      </c>
      <c r="K27" s="12" t="n">
        <v>6610.365</v>
      </c>
      <c r="L27" s="12" t="n">
        <v>7371.01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11903.299</v>
      </c>
      <c r="D31" s="12" t="n">
        <v>12072.81</v>
      </c>
      <c r="E31" s="12" t="n">
        <v>12366.513</v>
      </c>
      <c r="F31" s="12" t="n">
        <v>12605.742</v>
      </c>
      <c r="G31" s="12" t="n">
        <v>12892.082</v>
      </c>
      <c r="H31" s="11" t="n">
        <v>10369.01</v>
      </c>
      <c r="I31" s="12" t="n">
        <v>11121.871</v>
      </c>
      <c r="J31" s="12" t="n">
        <v>11715.336</v>
      </c>
      <c r="K31" s="12" t="n">
        <v>11898.023</v>
      </c>
      <c r="L31" s="12" t="n">
        <v>12605.742</v>
      </c>
    </row>
    <row r="32">
      <c r="A32" s="20" t="inlineStr">
        <is>
          <t>자본금</t>
        </is>
      </c>
      <c r="B32" s="10" t="n"/>
      <c r="C32" s="21" t="n">
        <v>915.231</v>
      </c>
      <c r="D32" s="22" t="n">
        <v>921.601</v>
      </c>
      <c r="E32" s="22" t="n">
        <v>921.601</v>
      </c>
      <c r="F32" s="22" t="n">
        <v>921.601</v>
      </c>
      <c r="G32" s="22" t="n">
        <v>921.601</v>
      </c>
      <c r="H32" s="21" t="n">
        <v>893.684</v>
      </c>
      <c r="I32" s="22" t="n">
        <v>901.663</v>
      </c>
      <c r="J32" s="22" t="n">
        <v>908.918</v>
      </c>
      <c r="K32" s="22" t="n">
        <v>915.231</v>
      </c>
      <c r="L32" s="22" t="n">
        <v>921.601</v>
      </c>
    </row>
    <row r="33">
      <c r="A33" s="20" t="inlineStr">
        <is>
          <t>이익잉여금</t>
        </is>
      </c>
      <c r="B33" s="10" t="n"/>
      <c r="C33" s="21" t="n">
        <v>8380.272000000001</v>
      </c>
      <c r="D33" s="22" t="n">
        <v>8527.862999999999</v>
      </c>
      <c r="E33" s="22" t="n">
        <v>8717.852999999999</v>
      </c>
      <c r="F33" s="22" t="n">
        <v>8788.379000000001</v>
      </c>
      <c r="G33" s="22" t="n">
        <v>8944.870000000001</v>
      </c>
      <c r="H33" s="21" t="n">
        <v>7265.138</v>
      </c>
      <c r="I33" s="22" t="n">
        <v>7967.774</v>
      </c>
      <c r="J33" s="22" t="n">
        <v>8338.370999999999</v>
      </c>
      <c r="K33" s="22" t="n">
        <v>8333.975</v>
      </c>
      <c r="L33" s="22" t="n">
        <v>8788.379000000001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11903.299</v>
      </c>
      <c r="D35" s="12" t="n">
        <v>12072.81</v>
      </c>
      <c r="E35" s="12" t="n">
        <v>12366.513</v>
      </c>
      <c r="F35" s="12" t="n">
        <v>12605.742</v>
      </c>
      <c r="G35" s="12" t="n">
        <v>12892.082</v>
      </c>
      <c r="H35" s="11" t="n">
        <v>10369.01</v>
      </c>
      <c r="I35" s="12" t="n">
        <v>11121.871</v>
      </c>
      <c r="J35" s="12" t="n">
        <v>11715.336</v>
      </c>
      <c r="K35" s="12" t="n">
        <v>11898.023</v>
      </c>
      <c r="L35" s="12" t="n">
        <v>12605.742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1711.756</v>
      </c>
      <c r="G37" s="12" t="n"/>
      <c r="H37" s="11" t="n">
        <v>570.261</v>
      </c>
      <c r="I37" s="12" t="n">
        <v>1161.418</v>
      </c>
      <c r="J37" s="12" t="n">
        <v>2040.447</v>
      </c>
      <c r="K37" s="12" t="n">
        <v>302.095</v>
      </c>
      <c r="L37" s="12" t="n">
        <v>1711.756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/>
      <c r="F38" s="22" t="n">
        <v>978.951</v>
      </c>
      <c r="G38" s="22" t="n"/>
      <c r="H38" s="21" t="n">
        <v>593.533</v>
      </c>
      <c r="I38" s="22" t="n">
        <v>599.187</v>
      </c>
      <c r="J38" s="22" t="n">
        <v>673.331</v>
      </c>
      <c r="K38" s="22" t="n">
        <v>2008.974</v>
      </c>
      <c r="L38" s="22" t="n">
        <v>978.951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>
        <v>113.517</v>
      </c>
      <c r="G40" s="22" t="n"/>
      <c r="H40" s="21" t="n">
        <v>99.01000000000001</v>
      </c>
      <c r="I40" s="22" t="n">
        <v>113.04</v>
      </c>
      <c r="J40" s="22" t="n">
        <v>122.479</v>
      </c>
      <c r="K40" s="22" t="n">
        <v>122.508</v>
      </c>
      <c r="L40" s="22" t="n">
        <v>113.517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6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6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6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6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6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6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6" t="inlineStr">
        <is>
          <t>차입금 상환연수</t>
        </is>
      </c>
      <c r="B49" s="10" t="inlineStr">
        <is>
          <t>4년↓ (버핏)</t>
        </is>
      </c>
      <c r="C49" s="47">
        <f>IFERROR(IF((IF(COUNT('연간'!G44:J44)&lt;4,"",SUM('연간'!G44:J44)))&lt;=0,"적자",C28/(IF(COUNT('연간'!G44:J44)&lt;4,"",SUM('연간'!G44:J44)))),"")</f>
        <v/>
      </c>
      <c r="D49" s="48">
        <f>IFERROR(IF((IF(COUNT('연간'!H44:K44)&lt;4,"",SUM('연간'!H44:K44)))&lt;=0,"적자",D28/(IF(COUNT('연간'!H44:K44)&lt;4,"",SUM('연간'!H44:K44)))),"")</f>
        <v/>
      </c>
      <c r="E49" s="48">
        <f>IFERROR(IF((IF(COUNT('연간'!I44:L44)&lt;4,"",SUM('연간'!I44:L44)))&lt;=0,"적자",E28/(IF(COUNT('연간'!I44:L44)&lt;4,"",SUM('연간'!I44:L44)))),"")</f>
        <v/>
      </c>
      <c r="F49" s="48">
        <f>IFERROR(IF((IF(COUNT('연간'!J44:M44)&lt;4,"",SUM('연간'!J44:M44)))&lt;=0,"적자",F28/(IF(COUNT('연간'!J44:M44)&lt;4,"",SUM('연간'!J44:M44)))),"")</f>
        <v/>
      </c>
      <c r="G49" s="48">
        <f>IFERROR(IF((IF(COUNT('연간'!K44:N44)&lt;4,"",SUM('연간'!K44:N44)))&lt;=0,"적자",G28/(IF(COUNT('연간'!K44:N44)&lt;4,"",SUM('연간'!K44:N44)))),"")</f>
        <v/>
      </c>
      <c r="H49" s="47">
        <f>IFERROR(IF(('연간'!T44)&lt;=0,"적자",H28/('연간'!T44)),"")</f>
        <v/>
      </c>
      <c r="I49" s="48">
        <f>IFERROR(IF(('연간'!U44)&lt;=0,"적자",I28/('연간'!U44)),"")</f>
        <v/>
      </c>
      <c r="J49" s="48">
        <f>IFERROR(IF(('연간'!V44)&lt;=0,"적자",J28/('연간'!V44)),"")</f>
        <v/>
      </c>
      <c r="K49" s="48">
        <f>IFERROR(IF(('연간'!W44)&lt;=0,"적자",K28/('연간'!W44)),"")</f>
        <v/>
      </c>
      <c r="L49" s="48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6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6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6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6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6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6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6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6" t="inlineStr">
        <is>
          <t>매출채권회전일수</t>
        </is>
      </c>
      <c r="B59" s="10" t="inlineStr">
        <is>
          <t>짧을수록↑</t>
        </is>
      </c>
      <c r="C59" s="49">
        <f>IFERROR(C8/(IF(COUNT('연간'!G4:J4)&lt;4,"",SUM('연간'!G4:J4)))*365,"")</f>
        <v/>
      </c>
      <c r="D59" s="50">
        <f>IFERROR(D8/(IF(COUNT('연간'!H4:K4)&lt;4,"",SUM('연간'!H4:K4)))*365,"")</f>
        <v/>
      </c>
      <c r="E59" s="50">
        <f>IFERROR(E8/(IF(COUNT('연간'!I4:L4)&lt;4,"",SUM('연간'!I4:L4)))*365,"")</f>
        <v/>
      </c>
      <c r="F59" s="50">
        <f>IFERROR(F8/(IF(COUNT('연간'!J4:M4)&lt;4,"",SUM('연간'!J4:M4)))*365,"")</f>
        <v/>
      </c>
      <c r="G59" s="50">
        <f>IFERROR(G8/(IF(COUNT('연간'!K4:N4)&lt;4,"",SUM('연간'!K4:N4)))*365,"")</f>
        <v/>
      </c>
      <c r="H59" s="49">
        <f>IFERROR(H8/('연간'!T4)*365,"")</f>
        <v/>
      </c>
      <c r="I59" s="50">
        <f>IFERROR(I8/('연간'!U4)*365,"")</f>
        <v/>
      </c>
      <c r="J59" s="50">
        <f>IFERROR(J8/('연간'!V4)*365,"")</f>
        <v/>
      </c>
      <c r="K59" s="50">
        <f>IFERROR(K8/('연간'!W4)*365,"")</f>
        <v/>
      </c>
      <c r="L59" s="50">
        <f>IFERROR(L8/('연간'!X4)*365,"")</f>
        <v/>
      </c>
    </row>
    <row r="60">
      <c r="A60" s="46" t="inlineStr">
        <is>
          <t>재고자산회전일수</t>
        </is>
      </c>
      <c r="B60" s="10" t="inlineStr">
        <is>
          <t>짧을수록↑</t>
        </is>
      </c>
      <c r="C60" s="49">
        <f>IFERROR(C9/(IF(COUNT('연간'!G11:J11)&lt;4,"",SUM('연간'!G11:J11)))*365,"")</f>
        <v/>
      </c>
      <c r="D60" s="50">
        <f>IFERROR(D9/(IF(COUNT('연간'!H11:K11)&lt;4,"",SUM('연간'!H11:K11)))*365,"")</f>
        <v/>
      </c>
      <c r="E60" s="50">
        <f>IFERROR(E9/(IF(COUNT('연간'!I11:L11)&lt;4,"",SUM('연간'!I11:L11)))*365,"")</f>
        <v/>
      </c>
      <c r="F60" s="50">
        <f>IFERROR(F9/(IF(COUNT('연간'!J11:M11)&lt;4,"",SUM('연간'!J11:M11)))*365,"")</f>
        <v/>
      </c>
      <c r="G60" s="50">
        <f>IFERROR(G9/(IF(COUNT('연간'!K11:N11)&lt;4,"",SUM('연간'!K11:N11)))*365,"")</f>
        <v/>
      </c>
      <c r="H60" s="49">
        <f>IFERROR(H9/('연간'!T11)*365,"")</f>
        <v/>
      </c>
      <c r="I60" s="50">
        <f>IFERROR(I9/('연간'!U11)*365,"")</f>
        <v/>
      </c>
      <c r="J60" s="50">
        <f>IFERROR(J9/('연간'!V11)*365,"")</f>
        <v/>
      </c>
      <c r="K60" s="50">
        <f>IFERROR(K9/('연간'!W11)*365,"")</f>
        <v/>
      </c>
      <c r="L60" s="50">
        <f>IFERROR(L9/('연간'!X11)*365,"")</f>
        <v/>
      </c>
    </row>
    <row r="61">
      <c r="A61" s="46" t="inlineStr">
        <is>
          <t>매입채무회전일수</t>
        </is>
      </c>
      <c r="B61" s="10" t="inlineStr">
        <is>
          <t>길수록 유리</t>
        </is>
      </c>
      <c r="C61" s="49">
        <f>IFERROR(C19/(IF(COUNT('연간'!G11:J11)&lt;4,"",SUM('연간'!G11:J11)))*365,"")</f>
        <v/>
      </c>
      <c r="D61" s="50">
        <f>IFERROR(D19/(IF(COUNT('연간'!H11:K11)&lt;4,"",SUM('연간'!H11:K11)))*365,"")</f>
        <v/>
      </c>
      <c r="E61" s="50">
        <f>IFERROR(E19/(IF(COUNT('연간'!I11:L11)&lt;4,"",SUM('연간'!I11:L11)))*365,"")</f>
        <v/>
      </c>
      <c r="F61" s="50">
        <f>IFERROR(F19/(IF(COUNT('연간'!J11:M11)&lt;4,"",SUM('연간'!J11:M11)))*365,"")</f>
        <v/>
      </c>
      <c r="G61" s="50">
        <f>IFERROR(G19/(IF(COUNT('연간'!K11:N11)&lt;4,"",SUM('연간'!K11:N11)))*365,"")</f>
        <v/>
      </c>
      <c r="H61" s="49">
        <f>IFERROR(H19/('연간'!T11)*365,"")</f>
        <v/>
      </c>
      <c r="I61" s="50">
        <f>IFERROR(I19/('연간'!U11)*365,"")</f>
        <v/>
      </c>
      <c r="J61" s="50">
        <f>IFERROR(J19/('연간'!V11)*365,"")</f>
        <v/>
      </c>
      <c r="K61" s="50">
        <f>IFERROR(K19/('연간'!W11)*365,"")</f>
        <v/>
      </c>
      <c r="L61" s="50">
        <f>IFERROR(L19/('연간'!X11)*365,"")</f>
        <v/>
      </c>
    </row>
    <row r="62">
      <c r="A62" s="46" t="inlineStr">
        <is>
          <t>현금전환주기 (CCC)</t>
        </is>
      </c>
      <c r="B62" s="10" t="inlineStr">
        <is>
          <t>짧을수록↑</t>
        </is>
      </c>
      <c r="C62" s="49">
        <f>IF(OR(C59="",C60="",C61=""),"",IFERROR(C59+C60-C61,""))</f>
        <v/>
      </c>
      <c r="D62" s="50">
        <f>IF(OR(D59="",D60="",D61=""),"",IFERROR(D59+D60-D61,""))</f>
        <v/>
      </c>
      <c r="E62" s="50">
        <f>IF(OR(E59="",E60="",E61=""),"",IFERROR(E59+E60-E61,""))</f>
        <v/>
      </c>
      <c r="F62" s="50">
        <f>IF(OR(F59="",F60="",F61=""),"",IFERROR(F59+F60-F61,""))</f>
        <v/>
      </c>
      <c r="G62" s="50">
        <f>IF(OR(G59="",G60="",G61=""),"",IFERROR(G59+G60-G61,""))</f>
        <v/>
      </c>
      <c r="H62" s="49">
        <f>IF(OR(H59="",H60="",H61=""),"",IFERROR(H59+H60-H61,""))</f>
        <v/>
      </c>
      <c r="I62" s="50">
        <f>IF(OR(I59="",I60="",I61=""),"",IFERROR(I59+I60-I61,""))</f>
        <v/>
      </c>
      <c r="J62" s="50">
        <f>IF(OR(J59="",J60="",J61=""),"",IFERROR(J59+J60-J61,""))</f>
        <v/>
      </c>
      <c r="K62" s="50">
        <f>IF(OR(K59="",K60="",K61=""),"",IFERROR(K59+K60-K61,""))</f>
        <v/>
      </c>
      <c r="L62" s="50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6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6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6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6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2846.144</v>
      </c>
      <c r="D71" s="22" t="n">
        <v>3351.664</v>
      </c>
      <c r="E71" s="22" t="n">
        <v>2590.155</v>
      </c>
      <c r="F71" s="22" t="n">
        <v>3350.037</v>
      </c>
      <c r="G71" s="22" t="n">
        <v>3374.802</v>
      </c>
      <c r="H71" s="22" t="n">
        <v>2534.271</v>
      </c>
      <c r="I71" s="22" t="n">
        <v>4247.669</v>
      </c>
      <c r="J71" s="22" t="n">
        <v>4958.796</v>
      </c>
      <c r="K71" s="22" t="n">
        <v>2706.411</v>
      </c>
      <c r="L71" s="22" t="n">
        <v>3350.037</v>
      </c>
    </row>
    <row r="72">
      <c r="A72" s="20" t="inlineStr">
        <is>
          <t>받을어음·매출채권</t>
        </is>
      </c>
      <c r="C72" s="22" t="n">
        <v>2940.642</v>
      </c>
      <c r="D72" s="22" t="n">
        <v>3166.991</v>
      </c>
      <c r="E72" s="22" t="n">
        <v>3122.336</v>
      </c>
      <c r="F72" s="22" t="n">
        <v>2758.486</v>
      </c>
      <c r="G72" s="22" t="n">
        <v>2686.151</v>
      </c>
      <c r="H72" s="22" t="n">
        <v>4106.986</v>
      </c>
      <c r="I72" s="22" t="n">
        <v>4110.47</v>
      </c>
      <c r="J72" s="22" t="n">
        <v>2987.687</v>
      </c>
      <c r="K72" s="22" t="n">
        <v>2750.115</v>
      </c>
      <c r="L72" s="22" t="n">
        <v>2758.486</v>
      </c>
    </row>
    <row r="73">
      <c r="A73" s="20" t="inlineStr">
        <is>
          <t>전자기록채권</t>
        </is>
      </c>
      <c r="C73" s="22" t="n">
        <v>2447.366</v>
      </c>
      <c r="D73" s="22" t="n">
        <v>2533.712</v>
      </c>
      <c r="E73" s="22" t="n">
        <v>2508.225</v>
      </c>
      <c r="F73" s="22" t="n">
        <v>2302.873</v>
      </c>
      <c r="G73" s="22" t="n">
        <v>2139.287</v>
      </c>
      <c r="H73" s="22" t="n">
        <v>2126.283</v>
      </c>
      <c r="I73" s="22" t="n">
        <v>2194.454</v>
      </c>
      <c r="J73" s="22" t="n">
        <v>2375.046</v>
      </c>
      <c r="K73" s="22" t="n">
        <v>2576.332</v>
      </c>
      <c r="L73" s="22" t="n">
        <v>2302.873</v>
      </c>
    </row>
    <row r="74">
      <c r="A74" s="20" t="inlineStr">
        <is>
          <t>상품·제품</t>
        </is>
      </c>
      <c r="C74" s="22" t="n">
        <v>951.2430000000001</v>
      </c>
      <c r="D74" s="22" t="n">
        <v>872.841</v>
      </c>
      <c r="E74" s="22" t="n">
        <v>951.403</v>
      </c>
      <c r="F74" s="22" t="n">
        <v>966.801</v>
      </c>
      <c r="G74" s="22" t="n">
        <v>945.9109999999999</v>
      </c>
      <c r="H74" s="22" t="n">
        <v>627.12</v>
      </c>
      <c r="I74" s="22" t="n">
        <v>661.972</v>
      </c>
      <c r="J74" s="22" t="n">
        <v>609.529</v>
      </c>
      <c r="K74" s="22" t="n">
        <v>936.7619999999999</v>
      </c>
      <c r="L74" s="22" t="n">
        <v>966.801</v>
      </c>
    </row>
    <row r="75">
      <c r="A75" s="20" t="inlineStr">
        <is>
          <t>재공품</t>
        </is>
      </c>
      <c r="C75" s="22" t="n">
        <v>1280.65</v>
      </c>
      <c r="D75" s="22" t="n">
        <v>1338.861</v>
      </c>
      <c r="E75" s="22" t="n">
        <v>1317.466</v>
      </c>
      <c r="F75" s="22" t="n">
        <v>1401.606</v>
      </c>
      <c r="G75" s="22" t="n">
        <v>1663.254</v>
      </c>
      <c r="H75" s="22" t="n">
        <v>1147.496</v>
      </c>
      <c r="I75" s="22" t="n">
        <v>1495.301</v>
      </c>
      <c r="J75" s="22" t="n">
        <v>1322.182</v>
      </c>
      <c r="K75" s="22" t="n">
        <v>1199.555</v>
      </c>
      <c r="L75" s="22" t="n">
        <v>1401.606</v>
      </c>
    </row>
    <row r="76">
      <c r="A76" s="20" t="inlineStr">
        <is>
          <t>원재료·저장품</t>
        </is>
      </c>
      <c r="C76" s="22" t="n">
        <v>439.052</v>
      </c>
      <c r="D76" s="22" t="n">
        <v>414.49</v>
      </c>
      <c r="E76" s="22" t="n">
        <v>424.898</v>
      </c>
      <c r="F76" s="22" t="n">
        <v>493.924</v>
      </c>
      <c r="G76" s="22" t="n">
        <v>591.809</v>
      </c>
      <c r="H76" s="22" t="n">
        <v>350.801</v>
      </c>
      <c r="I76" s="22" t="n">
        <v>541.639</v>
      </c>
      <c r="J76" s="22" t="n">
        <v>396.815</v>
      </c>
      <c r="K76" s="22" t="n">
        <v>395.934</v>
      </c>
      <c r="L76" s="22" t="n">
        <v>493.924</v>
      </c>
    </row>
    <row r="77">
      <c r="A77" s="20" t="inlineStr">
        <is>
          <t>기타</t>
        </is>
      </c>
      <c r="C77" s="22" t="n">
        <v>167.592</v>
      </c>
      <c r="D77" s="22" t="n">
        <v>242.772</v>
      </c>
      <c r="E77" s="22" t="n">
        <v>368.402</v>
      </c>
      <c r="F77" s="22" t="n">
        <v>399.121</v>
      </c>
      <c r="G77" s="22" t="n">
        <v>367.636</v>
      </c>
      <c r="H77" s="22" t="n">
        <v>272.17</v>
      </c>
      <c r="I77" s="22" t="n">
        <v>231.723</v>
      </c>
      <c r="J77" s="22" t="n">
        <v>175.102</v>
      </c>
      <c r="K77" s="22" t="n">
        <v>265.283</v>
      </c>
      <c r="L77" s="22" t="n">
        <v>399.121</v>
      </c>
    </row>
    <row r="78">
      <c r="A78" s="20" t="inlineStr">
        <is>
          <t>대손충당금</t>
        </is>
      </c>
      <c r="C78" s="22" t="n">
        <v>-1</v>
      </c>
      <c r="D78" s="22" t="n">
        <v>-1</v>
      </c>
      <c r="E78" s="22" t="n">
        <v>-1</v>
      </c>
      <c r="F78" s="22" t="n">
        <v>-1</v>
      </c>
      <c r="G78" s="22" t="n">
        <v>-1</v>
      </c>
      <c r="H78" s="22" t="n">
        <v>-1</v>
      </c>
      <c r="I78" s="22" t="n">
        <v>-1</v>
      </c>
      <c r="J78" s="22" t="n">
        <v>-1</v>
      </c>
      <c r="K78" s="22" t="n">
        <v>-1</v>
      </c>
      <c r="L78" s="22" t="n">
        <v>-1</v>
      </c>
    </row>
    <row r="79">
      <c r="A79" s="9" t="inlineStr">
        <is>
          <t>유동자산 합계</t>
        </is>
      </c>
      <c r="C79" s="12" t="n">
        <v>11071.691</v>
      </c>
      <c r="D79" s="12" t="n">
        <v>11920.334</v>
      </c>
      <c r="E79" s="12" t="n">
        <v>11281.888</v>
      </c>
      <c r="F79" s="12" t="n">
        <v>11671.851</v>
      </c>
      <c r="G79" s="12" t="n">
        <v>11767.854</v>
      </c>
      <c r="H79" s="12" t="n">
        <v>11164.13</v>
      </c>
      <c r="I79" s="12" t="n">
        <v>13482.231</v>
      </c>
      <c r="J79" s="12" t="n">
        <v>12824.161</v>
      </c>
      <c r="K79" s="12" t="n">
        <v>10829.394</v>
      </c>
      <c r="L79" s="12" t="n">
        <v>11671.851</v>
      </c>
    </row>
    <row r="80">
      <c r="A80" s="20" t="inlineStr">
        <is>
          <t>건물·구축물</t>
        </is>
      </c>
      <c r="F80" s="22" t="n">
        <v>7414.65</v>
      </c>
      <c r="H80" s="22" t="n">
        <v>5195.191</v>
      </c>
      <c r="I80" s="22" t="n">
        <v>5330.352</v>
      </c>
      <c r="J80" s="22" t="n">
        <v>5443.928</v>
      </c>
      <c r="K80" s="22" t="n">
        <v>5485.162</v>
      </c>
      <c r="L80" s="22" t="n">
        <v>7414.65</v>
      </c>
    </row>
    <row r="81">
      <c r="A81" s="20" t="inlineStr">
        <is>
          <t>감가상각누계액</t>
        </is>
      </c>
      <c r="F81" s="22" t="n">
        <v>-3661.858</v>
      </c>
      <c r="H81" s="22" t="n">
        <v>-2949.783</v>
      </c>
      <c r="I81" s="22" t="n">
        <v>-3104.16</v>
      </c>
      <c r="J81" s="22" t="n">
        <v>-3275.709</v>
      </c>
      <c r="K81" s="22" t="n">
        <v>-3428.016</v>
      </c>
      <c r="L81" s="22" t="n">
        <v>-3661.858</v>
      </c>
    </row>
    <row r="82">
      <c r="A82" s="20" t="inlineStr">
        <is>
          <t>건물·구축물(순액)</t>
        </is>
      </c>
      <c r="C82" s="22" t="n">
        <v>2001.98</v>
      </c>
      <c r="D82" s="22" t="n">
        <v>3801.464</v>
      </c>
      <c r="E82" s="22" t="n">
        <v>3813.597</v>
      </c>
      <c r="F82" s="22" t="n">
        <v>3752.791</v>
      </c>
      <c r="G82" s="22" t="n">
        <v>3706.278</v>
      </c>
      <c r="H82" s="22" t="n">
        <v>2245.408</v>
      </c>
      <c r="I82" s="22" t="n">
        <v>2226.191</v>
      </c>
      <c r="J82" s="22" t="n">
        <v>2168.219</v>
      </c>
      <c r="K82" s="22" t="n">
        <v>2057.145</v>
      </c>
      <c r="L82" s="22" t="n">
        <v>3752.791</v>
      </c>
    </row>
    <row r="83">
      <c r="A83" s="20" t="inlineStr">
        <is>
          <t>기계장치·운반구</t>
        </is>
      </c>
      <c r="F83" s="22" t="n">
        <v>4271.785</v>
      </c>
      <c r="H83" s="22" t="n">
        <v>3544.39</v>
      </c>
      <c r="I83" s="22" t="n">
        <v>3760.598</v>
      </c>
      <c r="J83" s="22" t="n">
        <v>3934.228</v>
      </c>
      <c r="K83" s="22" t="n">
        <v>4173.575</v>
      </c>
      <c r="L83" s="22" t="n">
        <v>4271.785</v>
      </c>
    </row>
    <row r="84">
      <c r="A84" s="20" t="inlineStr">
        <is>
          <t>감가상각누계액</t>
        </is>
      </c>
      <c r="F84" s="22" t="n">
        <v>-3630.65</v>
      </c>
      <c r="H84" s="22" t="n">
        <v>-2949.668</v>
      </c>
      <c r="I84" s="22" t="n">
        <v>-3145.623</v>
      </c>
      <c r="J84" s="22" t="n">
        <v>-3248.991</v>
      </c>
      <c r="K84" s="22" t="n">
        <v>-3562.402</v>
      </c>
      <c r="L84" s="22" t="n">
        <v>-3630.65</v>
      </c>
    </row>
    <row r="85">
      <c r="A85" s="20" t="inlineStr">
        <is>
          <t>기계장치·운반구(순액)</t>
        </is>
      </c>
      <c r="C85" s="22" t="n">
        <v>590.785</v>
      </c>
      <c r="D85" s="22" t="n">
        <v>577.606</v>
      </c>
      <c r="E85" s="22" t="n">
        <v>635.803</v>
      </c>
      <c r="F85" s="22" t="n">
        <v>641.134</v>
      </c>
      <c r="G85" s="22" t="n">
        <v>651.0650000000001</v>
      </c>
      <c r="H85" s="22" t="n">
        <v>594.722</v>
      </c>
      <c r="I85" s="22" t="n">
        <v>614.974</v>
      </c>
      <c r="J85" s="22" t="n">
        <v>685.237</v>
      </c>
      <c r="K85" s="22" t="n">
        <v>611.173</v>
      </c>
      <c r="L85" s="22" t="n">
        <v>641.134</v>
      </c>
    </row>
    <row r="86">
      <c r="A86" s="20" t="inlineStr">
        <is>
          <t>공구·기구·비품</t>
        </is>
      </c>
      <c r="F86" s="22" t="n">
        <v>4722.666</v>
      </c>
      <c r="H86" s="22" t="n">
        <v>3714.223</v>
      </c>
      <c r="I86" s="22" t="n">
        <v>3987.758</v>
      </c>
      <c r="J86" s="22" t="n">
        <v>4250.351</v>
      </c>
      <c r="K86" s="22" t="n">
        <v>4504.259</v>
      </c>
      <c r="L86" s="22" t="n">
        <v>4722.666</v>
      </c>
    </row>
    <row r="87">
      <c r="A87" s="20" t="inlineStr">
        <is>
          <t>감가상각누계액</t>
        </is>
      </c>
      <c r="F87" s="22" t="n">
        <v>-4376.344</v>
      </c>
      <c r="H87" s="22" t="n">
        <v>-3343.31</v>
      </c>
      <c r="I87" s="22" t="n">
        <v>-3575.839</v>
      </c>
      <c r="J87" s="22" t="n">
        <v>-3815.897</v>
      </c>
      <c r="K87" s="22" t="n">
        <v>-4125.429</v>
      </c>
      <c r="L87" s="22" t="n">
        <v>-4376.344</v>
      </c>
    </row>
    <row r="88">
      <c r="A88" s="20" t="inlineStr">
        <is>
          <t>공구·기구·비품(순액)</t>
        </is>
      </c>
      <c r="C88" s="22" t="n">
        <v>357.512</v>
      </c>
      <c r="D88" s="22" t="n">
        <v>374.431</v>
      </c>
      <c r="E88" s="22" t="n">
        <v>353.321</v>
      </c>
      <c r="F88" s="22" t="n">
        <v>346.321</v>
      </c>
      <c r="G88" s="22" t="n">
        <v>348.043</v>
      </c>
      <c r="H88" s="22" t="n">
        <v>370.912</v>
      </c>
      <c r="I88" s="22" t="n">
        <v>411.919</v>
      </c>
      <c r="J88" s="22" t="n">
        <v>434.453</v>
      </c>
      <c r="K88" s="22" t="n">
        <v>378.83</v>
      </c>
      <c r="L88" s="22" t="n">
        <v>346.321</v>
      </c>
    </row>
    <row r="89">
      <c r="A89" s="20" t="inlineStr">
        <is>
          <t>토지</t>
        </is>
      </c>
      <c r="C89" s="22" t="n">
        <v>945.996</v>
      </c>
      <c r="D89" s="22" t="n">
        <v>945.996</v>
      </c>
      <c r="E89" s="22" t="n">
        <v>945.996</v>
      </c>
      <c r="F89" s="22" t="n">
        <v>945.996</v>
      </c>
      <c r="G89" s="22" t="n">
        <v>960.3150000000001</v>
      </c>
      <c r="H89" s="22" t="n">
        <v>829.319</v>
      </c>
      <c r="I89" s="22" t="n">
        <v>897.605</v>
      </c>
      <c r="J89" s="22" t="n">
        <v>945.996</v>
      </c>
      <c r="K89" s="22" t="n">
        <v>945.996</v>
      </c>
      <c r="L89" s="22" t="n">
        <v>945.996</v>
      </c>
    </row>
    <row r="90">
      <c r="A90" s="20" t="inlineStr">
        <is>
          <t>리스자산</t>
        </is>
      </c>
      <c r="F90" s="22" t="n">
        <v>1836.146</v>
      </c>
      <c r="H90" s="22" t="n">
        <v>1337.606</v>
      </c>
      <c r="I90" s="22" t="n">
        <v>1663.429</v>
      </c>
      <c r="J90" s="22" t="n">
        <v>1499.883</v>
      </c>
      <c r="K90" s="22" t="n">
        <v>1545.755</v>
      </c>
      <c r="L90" s="22" t="n">
        <v>1836.146</v>
      </c>
    </row>
    <row r="91">
      <c r="A91" s="20" t="inlineStr">
        <is>
          <t>감가상각누계액</t>
        </is>
      </c>
      <c r="F91" s="22" t="n">
        <v>-1023.773</v>
      </c>
      <c r="H91" s="22" t="n">
        <v>-843.184</v>
      </c>
      <c r="I91" s="22" t="n">
        <v>-998.009</v>
      </c>
      <c r="J91" s="22" t="n">
        <v>-872.726</v>
      </c>
      <c r="K91" s="22" t="n">
        <v>-915.725</v>
      </c>
      <c r="L91" s="22" t="n">
        <v>-1023.773</v>
      </c>
    </row>
    <row r="92">
      <c r="A92" s="20" t="inlineStr">
        <is>
          <t>리스자산(순액)</t>
        </is>
      </c>
      <c r="C92" s="22" t="n">
        <v>586.295</v>
      </c>
      <c r="D92" s="22" t="n">
        <v>699.498</v>
      </c>
      <c r="E92" s="22" t="n">
        <v>796.229</v>
      </c>
      <c r="F92" s="22" t="n">
        <v>812.373</v>
      </c>
      <c r="G92" s="22" t="n">
        <v>801.614</v>
      </c>
      <c r="H92" s="22" t="n">
        <v>494.422</v>
      </c>
      <c r="I92" s="22" t="n">
        <v>665.419</v>
      </c>
      <c r="J92" s="22" t="n">
        <v>627.1559999999999</v>
      </c>
      <c r="K92" s="22" t="n">
        <v>630.029</v>
      </c>
      <c r="L92" s="22" t="n">
        <v>812.373</v>
      </c>
    </row>
    <row r="93">
      <c r="A93" s="20" t="inlineStr">
        <is>
          <t>건설중인자산</t>
        </is>
      </c>
      <c r="C93" s="22" t="n">
        <v>1527.493</v>
      </c>
      <c r="D93" s="22" t="n">
        <v>351.908</v>
      </c>
      <c r="E93" s="22" t="n">
        <v>145.63</v>
      </c>
      <c r="F93" s="22" t="n">
        <v>169.64</v>
      </c>
      <c r="G93" s="22" t="n">
        <v>159.449</v>
      </c>
      <c r="H93" s="22" t="n">
        <v>105.478</v>
      </c>
      <c r="I93" s="22" t="n">
        <v>84.041</v>
      </c>
      <c r="J93" s="22" t="n">
        <v>79.161</v>
      </c>
      <c r="K93" s="22" t="n">
        <v>1516.954</v>
      </c>
      <c r="L93" s="22" t="n">
        <v>169.64</v>
      </c>
    </row>
    <row r="94">
      <c r="A94" s="20" t="inlineStr">
        <is>
          <t>유형자산 합계</t>
        </is>
      </c>
      <c r="C94" s="22" t="n">
        <v>6010.063</v>
      </c>
      <c r="D94" s="22" t="n">
        <v>6750.907</v>
      </c>
      <c r="E94" s="22" t="n">
        <v>6690.579</v>
      </c>
      <c r="F94" s="22" t="n">
        <v>6668.257</v>
      </c>
      <c r="G94" s="22" t="n">
        <v>6626.766</v>
      </c>
      <c r="H94" s="22" t="n">
        <v>4640.263</v>
      </c>
      <c r="I94" s="22" t="n">
        <v>4900.153</v>
      </c>
      <c r="J94" s="22" t="n">
        <v>4940.225</v>
      </c>
      <c r="K94" s="22" t="n">
        <v>6140.129</v>
      </c>
      <c r="L94" s="22" t="n">
        <v>6668.257</v>
      </c>
    </row>
    <row r="95">
      <c r="A95" s="20" t="inlineStr">
        <is>
          <t>기타</t>
        </is>
      </c>
      <c r="C95" s="22" t="n">
        <v>78.352</v>
      </c>
      <c r="D95" s="22" t="n">
        <v>72.526</v>
      </c>
      <c r="E95" s="22" t="n">
        <v>69.626</v>
      </c>
      <c r="F95" s="22" t="n">
        <v>68.029</v>
      </c>
      <c r="G95" s="22" t="n">
        <v>67.82899999999999</v>
      </c>
      <c r="H95" s="22" t="n">
        <v>101.773</v>
      </c>
      <c r="I95" s="22" t="n">
        <v>111.185</v>
      </c>
      <c r="J95" s="22" t="n">
        <v>99.768</v>
      </c>
      <c r="K95" s="22" t="n">
        <v>84.651</v>
      </c>
      <c r="L95" s="22" t="n">
        <v>68.029</v>
      </c>
    </row>
    <row r="96">
      <c r="A96" s="20" t="inlineStr">
        <is>
          <t>무형자산 합계</t>
        </is>
      </c>
      <c r="C96" s="22" t="n">
        <v>78.352</v>
      </c>
      <c r="D96" s="22" t="n">
        <v>72.526</v>
      </c>
      <c r="E96" s="22" t="n">
        <v>69.626</v>
      </c>
      <c r="F96" s="22" t="n">
        <v>68.029</v>
      </c>
      <c r="G96" s="22" t="n">
        <v>67.82899999999999</v>
      </c>
      <c r="H96" s="22" t="n">
        <v>101.773</v>
      </c>
      <c r="I96" s="22" t="n">
        <v>111.185</v>
      </c>
      <c r="J96" s="22" t="n">
        <v>99.768</v>
      </c>
      <c r="K96" s="22" t="n">
        <v>84.651</v>
      </c>
      <c r="L96" s="22" t="n">
        <v>68.029</v>
      </c>
    </row>
    <row r="97">
      <c r="A97" s="20" t="inlineStr">
        <is>
          <t>투자유가증권</t>
        </is>
      </c>
      <c r="C97" s="22" t="n">
        <v>1047.528</v>
      </c>
      <c r="D97" s="22" t="n">
        <v>1020.54</v>
      </c>
      <c r="E97" s="22" t="n">
        <v>1081.981</v>
      </c>
      <c r="F97" s="22" t="n">
        <v>1142.302</v>
      </c>
      <c r="G97" s="22" t="n">
        <v>1208.209</v>
      </c>
      <c r="H97" s="22" t="n">
        <v>1149.696</v>
      </c>
      <c r="I97" s="22" t="n">
        <v>1298.019</v>
      </c>
      <c r="J97" s="22" t="n">
        <v>1158.204</v>
      </c>
      <c r="K97" s="22" t="n">
        <v>974.133</v>
      </c>
      <c r="L97" s="22" t="n">
        <v>1142.302</v>
      </c>
    </row>
    <row r="98">
      <c r="A98" s="20" t="inlineStr">
        <is>
          <t>이연법인세자산</t>
        </is>
      </c>
      <c r="C98" s="22" t="n">
        <v>270.288</v>
      </c>
      <c r="D98" s="22" t="n">
        <v>212.209</v>
      </c>
      <c r="E98" s="22" t="n">
        <v>147.059</v>
      </c>
      <c r="F98" s="22" t="n">
        <v>204.311</v>
      </c>
      <c r="G98" s="22" t="n">
        <v>214.455</v>
      </c>
      <c r="H98" s="22" t="n">
        <v>358.446</v>
      </c>
      <c r="I98" s="22" t="n">
        <v>404.872</v>
      </c>
      <c r="J98" s="22" t="n">
        <v>275.606</v>
      </c>
      <c r="K98" s="22" t="n">
        <v>249.165</v>
      </c>
      <c r="L98" s="22" t="n">
        <v>204.311</v>
      </c>
    </row>
    <row r="99">
      <c r="A99" s="20" t="inlineStr">
        <is>
          <t>기타</t>
        </is>
      </c>
      <c r="C99" s="22" t="n">
        <v>229.687</v>
      </c>
      <c r="D99" s="22" t="n">
        <v>226.615</v>
      </c>
      <c r="E99" s="22" t="n">
        <v>224.16</v>
      </c>
      <c r="F99" s="22" t="n">
        <v>222</v>
      </c>
      <c r="G99" s="22" t="n">
        <v>220.823</v>
      </c>
      <c r="H99" s="22" t="n">
        <v>265.282</v>
      </c>
      <c r="I99" s="22" t="n">
        <v>231.208</v>
      </c>
      <c r="J99" s="22" t="n">
        <v>235.34</v>
      </c>
      <c r="K99" s="22" t="n">
        <v>230.913</v>
      </c>
      <c r="L99" s="22" t="n">
        <v>222</v>
      </c>
    </row>
    <row r="100">
      <c r="A100" s="20" t="inlineStr">
        <is>
          <t>대손충당금</t>
        </is>
      </c>
      <c r="H100" s="22" t="n">
        <v>0</v>
      </c>
    </row>
    <row r="101">
      <c r="A101" s="20" t="inlineStr">
        <is>
          <t>투자 및 기타자산 합계</t>
        </is>
      </c>
      <c r="C101" s="22" t="n">
        <v>1547.504</v>
      </c>
      <c r="D101" s="22" t="n">
        <v>1459.365</v>
      </c>
      <c r="E101" s="22" t="n">
        <v>1453.201</v>
      </c>
      <c r="F101" s="22" t="n">
        <v>1568.614</v>
      </c>
      <c r="G101" s="22" t="n">
        <v>1643.488</v>
      </c>
      <c r="H101" s="22" t="n">
        <v>1773.425</v>
      </c>
      <c r="I101" s="22" t="n">
        <v>1934.1</v>
      </c>
      <c r="J101" s="22" t="n">
        <v>1669.151</v>
      </c>
      <c r="K101" s="22" t="n">
        <v>1454.212</v>
      </c>
      <c r="L101" s="22" t="n">
        <v>1568.614</v>
      </c>
    </row>
    <row r="102">
      <c r="A102" s="9" t="inlineStr">
        <is>
          <t>비유동자산 합계</t>
        </is>
      </c>
      <c r="C102" s="12" t="n">
        <v>7635.92</v>
      </c>
      <c r="D102" s="12" t="n">
        <v>8282.798000000001</v>
      </c>
      <c r="E102" s="12" t="n">
        <v>8213.406999999999</v>
      </c>
      <c r="F102" s="12" t="n">
        <v>8304.902</v>
      </c>
      <c r="G102" s="12" t="n">
        <v>8338.084000000001</v>
      </c>
      <c r="H102" s="12" t="n">
        <v>6515.462</v>
      </c>
      <c r="I102" s="12" t="n">
        <v>6945.439</v>
      </c>
      <c r="J102" s="12" t="n">
        <v>6709.144</v>
      </c>
      <c r="K102" s="12" t="n">
        <v>7678.993</v>
      </c>
      <c r="L102" s="12" t="n">
        <v>8304.902</v>
      </c>
    </row>
    <row r="103">
      <c r="A103" s="9" t="inlineStr">
        <is>
          <t>자산 합계</t>
        </is>
      </c>
      <c r="C103" s="12" t="n">
        <v>18707.612</v>
      </c>
      <c r="D103" s="12" t="n">
        <v>20203.133</v>
      </c>
      <c r="E103" s="12" t="n">
        <v>19495.296</v>
      </c>
      <c r="F103" s="12" t="n">
        <v>19976.753</v>
      </c>
      <c r="G103" s="12" t="n">
        <v>20105.939</v>
      </c>
      <c r="H103" s="12" t="n">
        <v>17679.592</v>
      </c>
      <c r="I103" s="12" t="n">
        <v>20427.67</v>
      </c>
      <c r="J103" s="12" t="n">
        <v>19533.305</v>
      </c>
      <c r="K103" s="12" t="n">
        <v>18508.388</v>
      </c>
      <c r="L103" s="12" t="n">
        <v>19976.753</v>
      </c>
    </row>
    <row r="104">
      <c r="A104" s="20" t="inlineStr">
        <is>
          <t>지급어음·매입채무</t>
        </is>
      </c>
      <c r="C104" s="22" t="n">
        <v>1081.931</v>
      </c>
      <c r="D104" s="22" t="n">
        <v>1102.994</v>
      </c>
      <c r="E104" s="22" t="n">
        <v>1036.12</v>
      </c>
      <c r="F104" s="22" t="n">
        <v>1153.546</v>
      </c>
      <c r="G104" s="22" t="n">
        <v>1177.473</v>
      </c>
      <c r="H104" s="22" t="n">
        <v>1100.188</v>
      </c>
      <c r="I104" s="22" t="n">
        <v>1194.443</v>
      </c>
      <c r="J104" s="22" t="n">
        <v>908.019</v>
      </c>
      <c r="K104" s="22" t="n">
        <v>1036.692</v>
      </c>
      <c r="L104" s="22" t="n">
        <v>1153.546</v>
      </c>
    </row>
    <row r="105">
      <c r="A105" s="20" t="inlineStr">
        <is>
          <t>전자기록채무</t>
        </is>
      </c>
      <c r="C105" s="22" t="n">
        <v>1279.393</v>
      </c>
      <c r="D105" s="22" t="n">
        <v>1348.828</v>
      </c>
      <c r="E105" s="22" t="n">
        <v>1321.326</v>
      </c>
      <c r="F105" s="22" t="n">
        <v>846.854</v>
      </c>
      <c r="G105" s="22" t="n">
        <v>877.133</v>
      </c>
      <c r="H105" s="22" t="n">
        <v>1833.47</v>
      </c>
      <c r="I105" s="22" t="n">
        <v>1901.584</v>
      </c>
      <c r="J105" s="22" t="n">
        <v>1583.82</v>
      </c>
      <c r="K105" s="22" t="n">
        <v>1181.107</v>
      </c>
      <c r="L105" s="22" t="n">
        <v>846.854</v>
      </c>
    </row>
    <row r="106">
      <c r="A106" s="20" t="inlineStr">
        <is>
          <t>단기차입금</t>
        </is>
      </c>
      <c r="C106" s="22" t="n">
        <v>312.179</v>
      </c>
      <c r="D106" s="22" t="n">
        <v>312.179</v>
      </c>
      <c r="E106" s="22" t="n">
        <v>312.179</v>
      </c>
      <c r="F106" s="22" t="n">
        <v>412.179</v>
      </c>
      <c r="G106" s="22" t="n">
        <v>312.179</v>
      </c>
      <c r="H106" s="22" t="n">
        <v>370.6</v>
      </c>
      <c r="I106" s="22" t="n">
        <v>500</v>
      </c>
      <c r="J106" s="22" t="n">
        <v>402.391</v>
      </c>
      <c r="K106" s="22" t="n">
        <v>312.179</v>
      </c>
      <c r="L106" s="22" t="n">
        <v>412.179</v>
      </c>
    </row>
    <row r="107">
      <c r="A107" s="20" t="inlineStr">
        <is>
          <t>1년 내 상환 장기차입금</t>
        </is>
      </c>
      <c r="C107" s="22" t="n">
        <v>438.346</v>
      </c>
      <c r="D107" s="22" t="n">
        <v>533.288</v>
      </c>
      <c r="E107" s="22" t="n">
        <v>524.915</v>
      </c>
      <c r="F107" s="22" t="n">
        <v>508.322</v>
      </c>
      <c r="G107" s="22" t="n">
        <v>485.825</v>
      </c>
      <c r="H107" s="22" t="n">
        <v>320.838</v>
      </c>
      <c r="I107" s="22" t="n">
        <v>626.689</v>
      </c>
      <c r="J107" s="22" t="n">
        <v>539.968</v>
      </c>
      <c r="K107" s="22" t="n">
        <v>463.344</v>
      </c>
      <c r="L107" s="22" t="n">
        <v>508.322</v>
      </c>
    </row>
    <row r="108">
      <c r="A108" s="20" t="inlineStr">
        <is>
          <t>미지급비용</t>
        </is>
      </c>
      <c r="C108" s="22" t="n">
        <v>601.117</v>
      </c>
      <c r="D108" s="22" t="n">
        <v>490.683</v>
      </c>
      <c r="E108" s="22" t="n">
        <v>324.687</v>
      </c>
      <c r="F108" s="22" t="n">
        <v>560.35</v>
      </c>
      <c r="G108" s="22" t="n">
        <v>748.626</v>
      </c>
      <c r="H108" s="22" t="n">
        <v>493.609</v>
      </c>
      <c r="I108" s="22" t="n">
        <v>508.745</v>
      </c>
      <c r="J108" s="22" t="n">
        <v>446.99</v>
      </c>
      <c r="K108" s="22" t="n">
        <v>424.594</v>
      </c>
      <c r="L108" s="22" t="n">
        <v>560.35</v>
      </c>
    </row>
    <row r="109">
      <c r="A109" s="20" t="inlineStr">
        <is>
          <t>미지급법인세</t>
        </is>
      </c>
      <c r="C109" s="22" t="n">
        <v>140.733</v>
      </c>
      <c r="D109" s="22" t="n">
        <v>193.855</v>
      </c>
      <c r="E109" s="22" t="n">
        <v>167.794</v>
      </c>
      <c r="F109" s="22" t="n">
        <v>257.731</v>
      </c>
      <c r="G109" s="22" t="n">
        <v>170.392</v>
      </c>
      <c r="H109" s="22" t="n">
        <v>164.383</v>
      </c>
      <c r="I109" s="22" t="n">
        <v>152.669</v>
      </c>
      <c r="J109" s="22" t="n">
        <v>76.661</v>
      </c>
      <c r="K109" s="22" t="n">
        <v>93.768</v>
      </c>
      <c r="L109" s="22" t="n">
        <v>257.731</v>
      </c>
    </row>
    <row r="110">
      <c r="A110" s="20" t="inlineStr">
        <is>
          <t>기타</t>
        </is>
      </c>
      <c r="C110" s="22" t="n">
        <v>818.013</v>
      </c>
      <c r="D110" s="22" t="n">
        <v>1617.524</v>
      </c>
      <c r="E110" s="22" t="n">
        <v>971.453</v>
      </c>
      <c r="F110" s="22" t="n">
        <v>1242.196</v>
      </c>
      <c r="G110" s="22" t="n">
        <v>1173.087</v>
      </c>
      <c r="H110" s="22" t="n">
        <v>887.543</v>
      </c>
      <c r="I110" s="22" t="n">
        <v>1031.805</v>
      </c>
      <c r="J110" s="22" t="n">
        <v>1104.012</v>
      </c>
      <c r="K110" s="22" t="n">
        <v>838.196</v>
      </c>
      <c r="L110" s="22" t="n">
        <v>1242.196</v>
      </c>
    </row>
    <row r="111">
      <c r="A111" s="9" t="inlineStr">
        <is>
          <t>유동부채 합계</t>
        </is>
      </c>
      <c r="C111" s="12" t="n">
        <v>4671.714</v>
      </c>
      <c r="D111" s="12" t="n">
        <v>5599.352</v>
      </c>
      <c r="E111" s="12" t="n">
        <v>4658.477</v>
      </c>
      <c r="F111" s="12" t="n">
        <v>4981.18</v>
      </c>
      <c r="G111" s="12" t="n">
        <v>4944.716</v>
      </c>
      <c r="H111" s="12" t="n">
        <v>5170.633</v>
      </c>
      <c r="I111" s="12" t="n">
        <v>5915.937</v>
      </c>
      <c r="J111" s="12" t="n">
        <v>5061.864</v>
      </c>
      <c r="K111" s="12" t="n">
        <v>4349.882</v>
      </c>
      <c r="L111" s="12" t="n">
        <v>4981.18</v>
      </c>
    </row>
    <row r="112">
      <c r="A112" s="20" t="inlineStr">
        <is>
          <t>장기차입금</t>
        </is>
      </c>
      <c r="C112" s="22" t="n">
        <v>484.255</v>
      </c>
      <c r="D112" s="22" t="n">
        <v>773.491</v>
      </c>
      <c r="E112" s="22" t="n">
        <v>646.008</v>
      </c>
      <c r="F112" s="22" t="n">
        <v>530.117</v>
      </c>
      <c r="G112" s="22" t="n">
        <v>420.13</v>
      </c>
      <c r="H112" s="22" t="n">
        <v>486.743</v>
      </c>
      <c r="I112" s="22" t="n">
        <v>1595.061</v>
      </c>
      <c r="J112" s="22" t="n">
        <v>1055.093</v>
      </c>
      <c r="K112" s="22" t="n">
        <v>591.749</v>
      </c>
      <c r="L112" s="22" t="n">
        <v>530.117</v>
      </c>
    </row>
    <row r="113">
      <c r="A113" s="20" t="inlineStr">
        <is>
          <t>리스부채</t>
        </is>
      </c>
      <c r="C113" s="22" t="n">
        <v>453.821</v>
      </c>
      <c r="D113" s="22" t="n">
        <v>563.564</v>
      </c>
      <c r="E113" s="22" t="n">
        <v>642.573</v>
      </c>
      <c r="F113" s="22" t="n">
        <v>674.943</v>
      </c>
      <c r="G113" s="22" t="n">
        <v>660.612</v>
      </c>
      <c r="H113" s="22" t="n">
        <v>376.798</v>
      </c>
      <c r="I113" s="22" t="n">
        <v>512.623</v>
      </c>
      <c r="J113" s="22" t="n">
        <v>492.309</v>
      </c>
      <c r="K113" s="22" t="n">
        <v>489.703</v>
      </c>
      <c r="L113" s="22" t="n">
        <v>674.943</v>
      </c>
    </row>
    <row r="114">
      <c r="A114" s="20" t="inlineStr">
        <is>
          <t>이연법인세부채</t>
        </is>
      </c>
      <c r="H114" s="22" t="n">
        <v>0</v>
      </c>
    </row>
    <row r="115">
      <c r="A115" s="20" t="inlineStr">
        <is>
          <t>퇴직급여부채</t>
        </is>
      </c>
      <c r="C115" s="22" t="n">
        <v>1169.404</v>
      </c>
      <c r="D115" s="22" t="n">
        <v>1169.335</v>
      </c>
      <c r="E115" s="22" t="n">
        <v>1157.682</v>
      </c>
      <c r="F115" s="22" t="n">
        <v>1161.268</v>
      </c>
      <c r="G115" s="22" t="n">
        <v>1165.433</v>
      </c>
      <c r="H115" s="22" t="n">
        <v>1240.653</v>
      </c>
      <c r="I115" s="22" t="n">
        <v>1248.577</v>
      </c>
      <c r="J115" s="22" t="n">
        <v>1180.894</v>
      </c>
      <c r="K115" s="22" t="n">
        <v>1153.375</v>
      </c>
      <c r="L115" s="22" t="n">
        <v>1161.268</v>
      </c>
    </row>
    <row r="116">
      <c r="A116" s="20" t="inlineStr">
        <is>
          <t>Negative Goodwill</t>
        </is>
      </c>
      <c r="C116" s="22" t="n">
        <v>3.766</v>
      </c>
      <c r="D116" s="22" t="n">
        <v>3.228</v>
      </c>
      <c r="E116" s="22" t="n">
        <v>2.69</v>
      </c>
      <c r="F116" s="22" t="n">
        <v>2.152</v>
      </c>
      <c r="G116" s="22" t="n">
        <v>1.614</v>
      </c>
      <c r="H116" s="22" t="n">
        <v>10.762</v>
      </c>
      <c r="I116" s="22" t="n">
        <v>8.609999999999999</v>
      </c>
      <c r="J116" s="22" t="n">
        <v>6.457</v>
      </c>
      <c r="K116" s="22" t="n">
        <v>4.305</v>
      </c>
      <c r="L116" s="22" t="n">
        <v>2.152</v>
      </c>
    </row>
    <row r="117">
      <c r="A117" s="20" t="inlineStr">
        <is>
          <t>기타</t>
        </is>
      </c>
      <c r="C117" s="22" t="n">
        <v>21.35</v>
      </c>
      <c r="D117" s="22" t="n">
        <v>21.35</v>
      </c>
      <c r="E117" s="22" t="n">
        <v>21.35</v>
      </c>
      <c r="F117" s="22" t="n">
        <v>21.35</v>
      </c>
      <c r="G117" s="22" t="n">
        <v>21.35</v>
      </c>
      <c r="H117" s="22" t="n">
        <v>24.99</v>
      </c>
      <c r="I117" s="22" t="n">
        <v>24.99</v>
      </c>
      <c r="J117" s="22" t="n">
        <v>21.35</v>
      </c>
      <c r="K117" s="22" t="n">
        <v>21.35</v>
      </c>
      <c r="L117" s="22" t="n">
        <v>21.35</v>
      </c>
    </row>
    <row r="118">
      <c r="A118" s="9" t="inlineStr">
        <is>
          <t>비유동부채 합계</t>
        </is>
      </c>
      <c r="C118" s="12" t="n">
        <v>2132.597</v>
      </c>
      <c r="D118" s="12" t="n">
        <v>2530.969</v>
      </c>
      <c r="E118" s="12" t="n">
        <v>2470.305</v>
      </c>
      <c r="F118" s="12" t="n">
        <v>2389.83</v>
      </c>
      <c r="G118" s="12" t="n">
        <v>2269.14</v>
      </c>
      <c r="H118" s="12" t="n">
        <v>2139.947</v>
      </c>
      <c r="I118" s="12" t="n">
        <v>3389.862</v>
      </c>
      <c r="J118" s="12" t="n">
        <v>2756.104</v>
      </c>
      <c r="K118" s="12" t="n">
        <v>2260.482</v>
      </c>
      <c r="L118" s="12" t="n">
        <v>2389.83</v>
      </c>
    </row>
    <row r="119">
      <c r="A119" s="9" t="inlineStr">
        <is>
          <t>부채 합계</t>
        </is>
      </c>
      <c r="C119" s="12" t="n">
        <v>6804.312</v>
      </c>
      <c r="D119" s="12" t="n">
        <v>8130.322</v>
      </c>
      <c r="E119" s="12" t="n">
        <v>7128.782</v>
      </c>
      <c r="F119" s="12" t="n">
        <v>7371.01</v>
      </c>
      <c r="G119" s="12" t="n">
        <v>7213.857</v>
      </c>
      <c r="H119" s="12" t="n">
        <v>7310.581</v>
      </c>
      <c r="I119" s="12" t="n">
        <v>9305.799000000001</v>
      </c>
      <c r="J119" s="12" t="n">
        <v>7817.969</v>
      </c>
      <c r="K119" s="12" t="n">
        <v>6610.365</v>
      </c>
      <c r="L119" s="12" t="n">
        <v>7371.01</v>
      </c>
    </row>
    <row r="120">
      <c r="A120" s="20" t="inlineStr">
        <is>
          <t>자본금</t>
        </is>
      </c>
      <c r="C120" s="22" t="n">
        <v>915.231</v>
      </c>
      <c r="D120" s="22" t="n">
        <v>921.601</v>
      </c>
      <c r="E120" s="22" t="n">
        <v>921.601</v>
      </c>
      <c r="F120" s="22" t="n">
        <v>921.601</v>
      </c>
      <c r="G120" s="22" t="n">
        <v>921.601</v>
      </c>
      <c r="H120" s="22" t="n">
        <v>893.684</v>
      </c>
      <c r="I120" s="22" t="n">
        <v>901.663</v>
      </c>
      <c r="J120" s="22" t="n">
        <v>908.918</v>
      </c>
      <c r="K120" s="22" t="n">
        <v>915.231</v>
      </c>
      <c r="L120" s="22" t="n">
        <v>921.601</v>
      </c>
    </row>
    <row r="121">
      <c r="A121" s="20" t="inlineStr">
        <is>
          <t>자본잉여금</t>
        </is>
      </c>
      <c r="C121" s="22" t="n">
        <v>1869.528</v>
      </c>
      <c r="D121" s="22" t="n">
        <v>1875.898</v>
      </c>
      <c r="E121" s="22" t="n">
        <v>1875.898</v>
      </c>
      <c r="F121" s="22" t="n">
        <v>1875.898</v>
      </c>
      <c r="G121" s="22" t="n">
        <v>1875.898</v>
      </c>
      <c r="H121" s="22" t="n">
        <v>1847.981</v>
      </c>
      <c r="I121" s="22" t="n">
        <v>1855.96</v>
      </c>
      <c r="J121" s="22" t="n">
        <v>1863.215</v>
      </c>
      <c r="K121" s="22" t="n">
        <v>1869.528</v>
      </c>
      <c r="L121" s="22" t="n">
        <v>1875.898</v>
      </c>
    </row>
    <row r="122">
      <c r="A122" s="20" t="inlineStr">
        <is>
          <t>이익잉여금</t>
        </is>
      </c>
      <c r="C122" s="22" t="n">
        <v>8380.272000000001</v>
      </c>
      <c r="D122" s="22" t="n">
        <v>8527.862999999999</v>
      </c>
      <c r="E122" s="22" t="n">
        <v>8717.852999999999</v>
      </c>
      <c r="F122" s="22" t="n">
        <v>8788.379000000001</v>
      </c>
      <c r="G122" s="22" t="n">
        <v>8944.870000000001</v>
      </c>
      <c r="H122" s="22" t="n">
        <v>7265.138</v>
      </c>
      <c r="I122" s="22" t="n">
        <v>7967.774</v>
      </c>
      <c r="J122" s="22" t="n">
        <v>8338.370999999999</v>
      </c>
      <c r="K122" s="22" t="n">
        <v>8333.975</v>
      </c>
      <c r="L122" s="22" t="n">
        <v>8788.379000000001</v>
      </c>
    </row>
    <row r="123">
      <c r="A123" s="20" t="inlineStr">
        <is>
          <t>자기주식</t>
        </is>
      </c>
      <c r="C123" s="22" t="n">
        <v>-79.134</v>
      </c>
      <c r="D123" s="22" t="n">
        <v>-79.134</v>
      </c>
      <c r="E123" s="22" t="n">
        <v>-79.134</v>
      </c>
      <c r="F123" s="22" t="n">
        <v>-79.134</v>
      </c>
      <c r="G123" s="22" t="n">
        <v>-79.134</v>
      </c>
      <c r="H123" s="22" t="n">
        <v>-79.134</v>
      </c>
      <c r="I123" s="22" t="n">
        <v>-79.134</v>
      </c>
      <c r="J123" s="22" t="n">
        <v>-79.134</v>
      </c>
      <c r="K123" s="22" t="n">
        <v>-79.134</v>
      </c>
      <c r="L123" s="22" t="n">
        <v>-79.134</v>
      </c>
    </row>
    <row r="124">
      <c r="A124" s="9" t="inlineStr">
        <is>
          <t>주주자본 합계</t>
        </is>
      </c>
      <c r="C124" s="12" t="n">
        <v>11085.896</v>
      </c>
      <c r="D124" s="12" t="n">
        <v>11246.229</v>
      </c>
      <c r="E124" s="12" t="n">
        <v>11436.219</v>
      </c>
      <c r="F124" s="12" t="n">
        <v>11506.745</v>
      </c>
      <c r="G124" s="12" t="n">
        <v>11663.236</v>
      </c>
      <c r="H124" s="12" t="n">
        <v>9927.669</v>
      </c>
      <c r="I124" s="12" t="n">
        <v>10646.264</v>
      </c>
      <c r="J124" s="12" t="n">
        <v>11031.371</v>
      </c>
      <c r="K124" s="12" t="n">
        <v>11039.6</v>
      </c>
      <c r="L124" s="12" t="n">
        <v>11506.745</v>
      </c>
    </row>
    <row r="125">
      <c r="A125" s="20" t="inlineStr">
        <is>
          <t>기타유가증권 평가차액</t>
        </is>
      </c>
      <c r="C125" s="22" t="n">
        <v>254.371</v>
      </c>
      <c r="D125" s="22" t="n">
        <v>314.518</v>
      </c>
      <c r="E125" s="22" t="n">
        <v>345.324</v>
      </c>
      <c r="F125" s="22" t="n">
        <v>387.682</v>
      </c>
      <c r="G125" s="22" t="n">
        <v>441.096</v>
      </c>
      <c r="H125" s="22" t="n">
        <v>55.579</v>
      </c>
      <c r="I125" s="22" t="n">
        <v>54.402</v>
      </c>
      <c r="J125" s="22" t="n">
        <v>201.318</v>
      </c>
      <c r="K125" s="22" t="n">
        <v>205.934</v>
      </c>
      <c r="L125" s="22" t="n">
        <v>387.682</v>
      </c>
    </row>
    <row r="126">
      <c r="A126" s="20" t="inlineStr">
        <is>
          <t>이연헤지손익</t>
        </is>
      </c>
      <c r="H126" s="22" t="n">
        <v>81.66800000000001</v>
      </c>
      <c r="I126" s="22" t="n">
        <v>18.467</v>
      </c>
      <c r="J126" s="22" t="n">
        <v>0</v>
      </c>
    </row>
    <row r="127">
      <c r="A127" s="20" t="inlineStr">
        <is>
          <t>해외사업환산조정</t>
        </is>
      </c>
      <c r="C127" s="22" t="n">
        <v>570.539</v>
      </c>
      <c r="D127" s="22" t="n">
        <v>519.059</v>
      </c>
      <c r="E127" s="22" t="n">
        <v>591.7089999999999</v>
      </c>
      <c r="F127" s="22" t="n">
        <v>728.586</v>
      </c>
      <c r="G127" s="22" t="n">
        <v>804.278</v>
      </c>
      <c r="H127" s="22" t="n">
        <v>325.046</v>
      </c>
      <c r="I127" s="22" t="n">
        <v>423.134</v>
      </c>
      <c r="J127" s="22" t="n">
        <v>501.673</v>
      </c>
      <c r="K127" s="22" t="n">
        <v>660.095</v>
      </c>
      <c r="L127" s="22" t="n">
        <v>728.586</v>
      </c>
    </row>
    <row r="128">
      <c r="A128" s="20" t="inlineStr">
        <is>
          <t>퇴직급여 조정누계액</t>
        </is>
      </c>
      <c r="C128" s="22" t="n">
        <v>-7.507</v>
      </c>
      <c r="D128" s="22" t="n">
        <v>-6.996</v>
      </c>
      <c r="E128" s="22" t="n">
        <v>-6.74</v>
      </c>
      <c r="F128" s="22" t="n">
        <v>-17.27</v>
      </c>
      <c r="G128" s="22" t="n">
        <v>-16.528</v>
      </c>
      <c r="H128" s="22" t="n">
        <v>-20.954</v>
      </c>
      <c r="I128" s="22" t="n">
        <v>-20.397</v>
      </c>
      <c r="J128" s="22" t="n">
        <v>-19.027</v>
      </c>
      <c r="K128" s="22" t="n">
        <v>-7.606</v>
      </c>
      <c r="L128" s="22" t="n">
        <v>-17.27</v>
      </c>
    </row>
    <row r="129">
      <c r="A129" s="20" t="inlineStr">
        <is>
          <t>기타포괄손익누계액 합계</t>
        </is>
      </c>
      <c r="C129" s="22" t="n">
        <v>817.402</v>
      </c>
      <c r="D129" s="22" t="n">
        <v>826.581</v>
      </c>
      <c r="E129" s="22" t="n">
        <v>930.294</v>
      </c>
      <c r="F129" s="22" t="n">
        <v>1098.997</v>
      </c>
      <c r="G129" s="22" t="n">
        <v>1228.846</v>
      </c>
      <c r="H129" s="22" t="n">
        <v>441.34</v>
      </c>
      <c r="I129" s="22" t="n">
        <v>475.606</v>
      </c>
      <c r="J129" s="22" t="n">
        <v>683.9640000000001</v>
      </c>
      <c r="K129" s="22" t="n">
        <v>858.422</v>
      </c>
      <c r="L129" s="22" t="n">
        <v>1098.997</v>
      </c>
    </row>
    <row r="130">
      <c r="A130" s="9" t="inlineStr">
        <is>
          <t>순자산 합계</t>
        </is>
      </c>
      <c r="C130" s="12" t="n">
        <v>11903.299</v>
      </c>
      <c r="D130" s="12" t="n">
        <v>12072.81</v>
      </c>
      <c r="E130" s="12" t="n">
        <v>12366.513</v>
      </c>
      <c r="F130" s="12" t="n">
        <v>12605.742</v>
      </c>
      <c r="G130" s="12" t="n">
        <v>12892.082</v>
      </c>
      <c r="H130" s="12" t="n">
        <v>10369.01</v>
      </c>
      <c r="I130" s="12" t="n">
        <v>11121.871</v>
      </c>
      <c r="J130" s="12" t="n">
        <v>11715.336</v>
      </c>
      <c r="K130" s="12" t="n">
        <v>11898.023</v>
      </c>
      <c r="L130" s="12" t="n">
        <v>12605.742</v>
      </c>
    </row>
    <row r="131">
      <c r="A131" s="9" t="inlineStr">
        <is>
          <t>부채·순자산 합계</t>
        </is>
      </c>
      <c r="C131" s="12" t="n">
        <v>18707.612</v>
      </c>
      <c r="D131" s="12" t="n">
        <v>20203.133</v>
      </c>
      <c r="E131" s="12" t="n">
        <v>19495.296</v>
      </c>
      <c r="F131" s="12" t="n">
        <v>19976.753</v>
      </c>
      <c r="G131" s="12" t="n">
        <v>20105.939</v>
      </c>
      <c r="H131" s="12" t="n">
        <v>17679.592</v>
      </c>
      <c r="I131" s="12" t="n">
        <v>20427.67</v>
      </c>
      <c r="J131" s="12" t="n">
        <v>19533.305</v>
      </c>
      <c r="K131" s="12" t="n">
        <v>18508.388</v>
      </c>
      <c r="L131" s="12" t="n">
        <v>19976.753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1" t="inlineStr">
        <is>
          <t>출처 · 쓴 결산단신</t>
        </is>
      </c>
    </row>
    <row r="3">
      <c r="A3" s="52" t="inlineStr">
        <is>
          <t>공시일</t>
        </is>
      </c>
      <c r="B3" s="52" t="inlineStr">
        <is>
          <t>문서</t>
        </is>
      </c>
      <c r="C3" s="52" t="inlineStr">
        <is>
          <t>PDF</t>
        </is>
      </c>
    </row>
    <row r="4">
      <c r="A4" t="inlineStr">
        <is>
          <t>2026-08-07</t>
        </is>
      </c>
      <c r="B4" t="inlineStr">
        <is>
          <t>2027년 3월 결산기 １분기 결산단신</t>
        </is>
      </c>
      <c r="C4" t="inlineStr">
        <is>
          <t>https://www2.jpx.co.jp/disc/65180/140120260806512038.pdf</t>
        </is>
      </c>
    </row>
    <row r="5">
      <c r="A5" t="inlineStr">
        <is>
          <t>2026-05-13</t>
        </is>
      </c>
      <c r="B5" t="inlineStr">
        <is>
          <t>2026년 3월 결산기 연간 결산단신</t>
        </is>
      </c>
      <c r="C5" t="inlineStr">
        <is>
          <t>https://www2.jpx.co.jp/disc/65180/140120260512527457.pdf</t>
        </is>
      </c>
    </row>
    <row r="6">
      <c r="A6" t="inlineStr">
        <is>
          <t>2026-02-10</t>
        </is>
      </c>
      <c r="B6" t="inlineStr">
        <is>
          <t>2026년 3월 결산기 ３분기 결산단신</t>
        </is>
      </c>
      <c r="C6" t="inlineStr">
        <is>
          <t>https://www2.jpx.co.jp/disc/65180/140120260209552524.pdf</t>
        </is>
      </c>
    </row>
    <row r="7">
      <c r="A7" t="inlineStr">
        <is>
          <t>2025-10-31</t>
        </is>
      </c>
      <c r="B7" t="inlineStr">
        <is>
          <t>2026년 3월 결산기 ２분기 결산단신</t>
        </is>
      </c>
      <c r="C7" t="inlineStr">
        <is>
          <t>https://www2.jpx.co.jp/disc/65180/140120251030582389.pdf</t>
        </is>
      </c>
    </row>
    <row r="8">
      <c r="A8" t="inlineStr">
        <is>
          <t>2025-08-08</t>
        </is>
      </c>
      <c r="B8" t="inlineStr">
        <is>
          <t>2026년 3월 결산기 １분기 결산단신</t>
        </is>
      </c>
      <c r="C8" t="inlineStr">
        <is>
          <t>https://www2.jpx.co.jp/disc/65180/140120250807534573.pdf</t>
        </is>
      </c>
    </row>
    <row r="9">
      <c r="A9" t="inlineStr">
        <is>
          <t>2025-05-09</t>
        </is>
      </c>
      <c r="B9" t="inlineStr">
        <is>
          <t>2025년 3월 결산기 연간 결산단신</t>
        </is>
      </c>
      <c r="C9" t="inlineStr">
        <is>
          <t>https://www2.jpx.co.jp/disc/65180/140120250508535430.pdf</t>
        </is>
      </c>
    </row>
    <row r="10">
      <c r="A10" t="inlineStr">
        <is>
          <t>2025-02-07</t>
        </is>
      </c>
      <c r="B10" t="inlineStr">
        <is>
          <t>2025년 3월 결산기 ３분기 결산단신</t>
        </is>
      </c>
      <c r="C10" t="inlineStr">
        <is>
          <t>https://www2.jpx.co.jp/disc/65180/140120250205563307.pdf</t>
        </is>
      </c>
    </row>
    <row r="11">
      <c r="A11" t="inlineStr">
        <is>
          <t>2024-10-31</t>
        </is>
      </c>
      <c r="B11" t="inlineStr">
        <is>
          <t>2025년 3월 결산기 ２분기 결산단신</t>
        </is>
      </c>
      <c r="C11" t="inlineStr">
        <is>
          <t>https://www2.jpx.co.jp/disc/65180/140120241028504248.pdf</t>
        </is>
      </c>
    </row>
    <row r="12">
      <c r="A12" t="inlineStr">
        <is>
          <t>2024-08-09</t>
        </is>
      </c>
      <c r="B12" t="inlineStr">
        <is>
          <t>2025년 3월 결산기 １분기 결산단신</t>
        </is>
      </c>
      <c r="C12" t="inlineStr">
        <is>
          <t>https://www2.jpx.co.jp/disc/65180/140120240718551118.pdf</t>
        </is>
      </c>
    </row>
    <row r="13">
      <c r="A13" t="inlineStr">
        <is>
          <t>2024-05-09</t>
        </is>
      </c>
      <c r="B13" t="inlineStr">
        <is>
          <t>2024년 3월 결산기 연간 결산단신</t>
        </is>
      </c>
      <c r="C13" t="inlineStr">
        <is>
          <t>https://www2.jpx.co.jp/disc/65180/140120240417572168.pdf</t>
        </is>
      </c>
    </row>
    <row r="14">
      <c r="A14" t="inlineStr">
        <is>
          <t>2024-01-31</t>
        </is>
      </c>
      <c r="B14" t="inlineStr">
        <is>
          <t>2024년 3월 결산기 ３분기 결산단신</t>
        </is>
      </c>
      <c r="C14" t="inlineStr">
        <is>
          <t>https://www2.jpx.co.jp/disc/65180/140120240122517481.pdf</t>
        </is>
      </c>
    </row>
    <row r="15">
      <c r="A15" t="inlineStr">
        <is>
          <t>2023-10-31</t>
        </is>
      </c>
      <c r="B15" t="inlineStr">
        <is>
          <t>2024년 3월 결산기 ２분기 결산단신</t>
        </is>
      </c>
      <c r="C15" t="inlineStr">
        <is>
          <t>https://www2.jpx.co.jp/disc/65180/140120231017568106.pdf</t>
        </is>
      </c>
    </row>
    <row r="16">
      <c r="A16" t="inlineStr">
        <is>
          <t>2023-07-31</t>
        </is>
      </c>
      <c r="B16" t="inlineStr">
        <is>
          <t>2024년 3월 결산기 １분기 결산단신</t>
        </is>
      </c>
      <c r="C16" t="inlineStr">
        <is>
          <t>https://www2.jpx.co.jp/disc/65180/140120230721525032.pdf</t>
        </is>
      </c>
    </row>
    <row r="17">
      <c r="A17" t="inlineStr">
        <is>
          <t>2023-05-10</t>
        </is>
      </c>
      <c r="B17" t="inlineStr">
        <is>
          <t>2023년 3월 결산기 연간 결산단신</t>
        </is>
      </c>
      <c r="C17" t="inlineStr">
        <is>
          <t>https://www2.jpx.co.jp/disc/65180/140120230419549304.pdf</t>
        </is>
      </c>
    </row>
    <row r="18">
      <c r="A18" t="inlineStr">
        <is>
          <t>2023-01-31</t>
        </is>
      </c>
      <c r="B18" t="inlineStr">
        <is>
          <t>2023년 3월 결산기 ３분기 결산단신</t>
        </is>
      </c>
      <c r="C18" t="inlineStr">
        <is>
          <t>https://www2.jpx.co.jp/disc/65180/140120230123592080.pdf</t>
        </is>
      </c>
    </row>
    <row r="19">
      <c r="A19" t="inlineStr">
        <is>
          <t>2022-10-31</t>
        </is>
      </c>
      <c r="B19" t="inlineStr">
        <is>
          <t>2023년 3월 결산기 ２분기 결산단신</t>
        </is>
      </c>
      <c r="C19" t="inlineStr">
        <is>
          <t>https://www2.jpx.co.jp/disc/65180/140120221020547014.pdf</t>
        </is>
      </c>
    </row>
    <row r="20">
      <c r="A20" t="inlineStr">
        <is>
          <t>2022-05-10</t>
        </is>
      </c>
      <c r="B20" t="inlineStr">
        <is>
          <t>2022년 3월 결산기 연간 결산단신</t>
        </is>
      </c>
      <c r="C20" t="inlineStr">
        <is>
          <t>https://www2.jpx.co.jp/disc/65180/140120220418523198.pdf</t>
        </is>
      </c>
    </row>
    <row r="21">
      <c r="A21" t="inlineStr">
        <is>
          <t>2021-05-07</t>
        </is>
      </c>
      <c r="B21" t="inlineStr">
        <is>
          <t>2021년 3월 결산기 연간 결산단신</t>
        </is>
      </c>
      <c r="C21" t="inlineStr">
        <is>
          <t>https://www2.jpx.co.jp/disc/65180/140120210422498214.pdf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https://www2.jpx.co.jp/disc/65180/140120200421496879.pdf</t>
        </is>
      </c>
    </row>
    <row r="23">
      <c r="A23" t="inlineStr">
        <is>
          <t>2019-05-10</t>
        </is>
      </c>
      <c r="B23" t="inlineStr">
        <is>
          <t>2019년 3월 결산기 연간 결산단신</t>
        </is>
      </c>
      <c r="C23" t="inlineStr">
        <is>
          <t>https://www2.jpx.co.jp/disc/65180/140120190501414170.pdf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https://www2.jpx.co.jp/disc/65180/140120180508428939.pdf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2026-10-25T17:43:54Z</dcterms:created>
  <dcterms:modified xmlns:dcterms="http://purl.org/dc/terms/" xmlns:xsi="http://www.w3.org/2001/XMLSchema-instance" xsi:type="dcterms:W3CDTF">2026-10-25T17:43:54Z</dcterms:modified>
</cp:coreProperties>
</file>