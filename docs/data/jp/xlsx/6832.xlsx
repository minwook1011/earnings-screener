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8750.644</v>
      </c>
      <c r="D4" s="12" t="n">
        <v>8441.638999999999</v>
      </c>
      <c r="E4" s="12" t="n">
        <v>8423.025</v>
      </c>
      <c r="F4" s="12" t="n">
        <v>8566.081</v>
      </c>
      <c r="G4" s="12" t="n">
        <v>9085.287</v>
      </c>
      <c r="H4" s="12" t="n">
        <v>8652.433000000001</v>
      </c>
      <c r="I4" s="12" t="n">
        <v>8670.877</v>
      </c>
      <c r="J4" s="12" t="n">
        <v>9317.267</v>
      </c>
      <c r="K4" s="12" t="n">
        <v>9843.370999999999</v>
      </c>
      <c r="L4" s="12" t="n">
        <v>9324.450999999999</v>
      </c>
      <c r="M4" s="12" t="n">
        <v>9838.222</v>
      </c>
      <c r="N4" s="12" t="n">
        <v>10961.15</v>
      </c>
      <c r="O4" s="11" t="n">
        <v>44765.297</v>
      </c>
      <c r="P4" s="12" t="n">
        <v>45699.618</v>
      </c>
      <c r="Q4" s="12" t="n">
        <v>42777.15</v>
      </c>
      <c r="R4" s="12" t="n">
        <v>42342.555</v>
      </c>
      <c r="S4" s="12" t="n">
        <v>40265.543</v>
      </c>
      <c r="T4" s="12" t="n">
        <v>43347.226</v>
      </c>
      <c r="U4" s="12" t="n">
        <v>37231.391</v>
      </c>
      <c r="V4" s="12" t="n">
        <v>33941.324</v>
      </c>
      <c r="W4" s="12" t="n">
        <v>34974.678</v>
      </c>
      <c r="X4" s="12" t="n">
        <v>38323.311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8038.769</v>
      </c>
      <c r="D11" s="22" t="n">
        <v>7526.212</v>
      </c>
      <c r="E11" s="22" t="n">
        <v>7881.669</v>
      </c>
      <c r="F11" s="22" t="n">
        <v>7132.125</v>
      </c>
      <c r="G11" s="22" t="n">
        <v>7742.236</v>
      </c>
      <c r="H11" s="22" t="n">
        <v>7196.492</v>
      </c>
      <c r="I11" s="22" t="n">
        <v>7693.78</v>
      </c>
      <c r="J11" s="22" t="n">
        <v>7725.742</v>
      </c>
      <c r="K11" s="22" t="n">
        <v>8099.73</v>
      </c>
      <c r="L11" s="22" t="n">
        <v>7891.948</v>
      </c>
      <c r="M11" s="22" t="n">
        <v>8511.236000000001</v>
      </c>
      <c r="N11" s="22" t="n">
        <v>8810.173000000001</v>
      </c>
      <c r="O11" s="21" t="n">
        <v>36094.98</v>
      </c>
      <c r="P11" s="22" t="n">
        <v>38001.877</v>
      </c>
      <c r="Q11" s="22" t="n">
        <v>35426.733</v>
      </c>
      <c r="R11" s="22" t="n">
        <v>34722.501</v>
      </c>
      <c r="S11" s="22" t="n">
        <v>34320.547</v>
      </c>
      <c r="T11" s="22" t="n">
        <v>35551.702</v>
      </c>
      <c r="U11" s="22" t="n">
        <v>32722.877</v>
      </c>
      <c r="V11" s="22" t="n">
        <v>31182.283</v>
      </c>
      <c r="W11" s="22" t="n">
        <v>29764.633</v>
      </c>
      <c r="X11" s="22" t="n">
        <v>32228.656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1070.016</v>
      </c>
      <c r="D15" s="22" t="n">
        <v>1068.343</v>
      </c>
      <c r="E15" s="22" t="n">
        <v>1148.244</v>
      </c>
      <c r="F15" s="22" t="n">
        <v>1072.577</v>
      </c>
      <c r="G15" s="22" t="n">
        <v>1165.346</v>
      </c>
      <c r="H15" s="22" t="n">
        <v>1233.523</v>
      </c>
      <c r="I15" s="22" t="n">
        <v>1299.758</v>
      </c>
      <c r="J15" s="22" t="n">
        <v>1368.076</v>
      </c>
      <c r="K15" s="22" t="n">
        <v>1491.541</v>
      </c>
      <c r="L15" s="22" t="n">
        <v>1480.11</v>
      </c>
      <c r="M15" s="22" t="n">
        <v>1448.571</v>
      </c>
      <c r="N15" s="22" t="n">
        <v>1625.292</v>
      </c>
      <c r="O15" s="21" t="n">
        <v>3405.868</v>
      </c>
      <c r="P15" s="22" t="n">
        <v>3036.814</v>
      </c>
      <c r="Q15" s="22" t="n">
        <v>4060.466</v>
      </c>
      <c r="R15" s="22" t="n">
        <v>4441.923</v>
      </c>
      <c r="S15" s="22" t="n">
        <v>4597.89</v>
      </c>
      <c r="T15" s="22" t="n">
        <v>4485.089</v>
      </c>
      <c r="U15" s="22" t="n">
        <v>4350.367</v>
      </c>
      <c r="V15" s="22" t="n">
        <v>4308.028</v>
      </c>
      <c r="W15" s="22" t="n">
        <v>4771.204</v>
      </c>
      <c r="X15" s="22" t="n">
        <v>5788.298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-358.14</v>
      </c>
      <c r="D16" s="12" t="n">
        <v>-152.917</v>
      </c>
      <c r="E16" s="12" t="n">
        <v>-606.888</v>
      </c>
      <c r="F16" s="12" t="n">
        <v>361.378</v>
      </c>
      <c r="G16" s="12" t="n">
        <v>177.705</v>
      </c>
      <c r="H16" s="12" t="n">
        <v>222.417</v>
      </c>
      <c r="I16" s="12" t="n">
        <v>-322.661</v>
      </c>
      <c r="J16" s="12" t="n">
        <v>223.449</v>
      </c>
      <c r="K16" s="12" t="n">
        <v>252.099</v>
      </c>
      <c r="L16" s="12" t="n">
        <v>-47.606</v>
      </c>
      <c r="M16" s="12" t="n">
        <v>-121.586</v>
      </c>
      <c r="N16" s="12" t="n">
        <v>525.684</v>
      </c>
      <c r="O16" s="11" t="n">
        <v>5264.448</v>
      </c>
      <c r="P16" s="12" t="n">
        <v>4660.927</v>
      </c>
      <c r="Q16" s="12" t="n">
        <v>3289.95</v>
      </c>
      <c r="R16" s="12" t="n">
        <v>3178.13</v>
      </c>
      <c r="S16" s="12" t="n">
        <v>1347.105</v>
      </c>
      <c r="T16" s="12" t="n">
        <v>3310.435</v>
      </c>
      <c r="U16" s="12" t="n">
        <v>158.146</v>
      </c>
      <c r="V16" s="12" t="n">
        <v>-1548.987</v>
      </c>
      <c r="W16" s="12" t="n">
        <v>438.839</v>
      </c>
      <c r="X16" s="12" t="n">
        <v>306.356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52.777</v>
      </c>
      <c r="D32" s="22" t="n">
        <v>8.622999999999999</v>
      </c>
      <c r="E32" s="22" t="n">
        <v>2.483</v>
      </c>
      <c r="F32" s="22" t="n">
        <v>0.282</v>
      </c>
      <c r="G32" s="22" t="n">
        <v>0.039</v>
      </c>
      <c r="H32" s="22" t="n">
        <v>0.163</v>
      </c>
      <c r="I32" s="22" t="n">
        <v>15.047</v>
      </c>
      <c r="J32" s="22" t="n">
        <v>0.494</v>
      </c>
      <c r="K32" s="22" t="n">
        <v>0</v>
      </c>
      <c r="L32" s="22" t="n">
        <v>0.407</v>
      </c>
      <c r="M32" s="22" t="n">
        <v>6.52</v>
      </c>
      <c r="N32" s="22" t="n">
        <v>0</v>
      </c>
      <c r="O32" s="21" t="n">
        <v>74.562</v>
      </c>
      <c r="P32" s="22" t="n">
        <v>1.268</v>
      </c>
      <c r="Q32" s="22" t="n">
        <v>1.095</v>
      </c>
      <c r="R32" s="22" t="n">
        <v>4.04</v>
      </c>
      <c r="S32" s="22" t="n">
        <v>59.186</v>
      </c>
      <c r="T32" s="22" t="n">
        <v>11.278</v>
      </c>
      <c r="U32" s="22" t="n">
        <v>27.842</v>
      </c>
      <c r="V32" s="22" t="n">
        <v>72.733</v>
      </c>
      <c r="W32" s="22" t="n">
        <v>15.531</v>
      </c>
      <c r="X32" s="22" t="n">
        <v>7.421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43.69</v>
      </c>
      <c r="D34" s="22" t="n">
        <v>8.917</v>
      </c>
      <c r="E34" s="22" t="n">
        <v>3084.521</v>
      </c>
      <c r="F34" s="22" t="n">
        <v>0.134</v>
      </c>
      <c r="G34" s="22" t="n">
        <v>3.9</v>
      </c>
      <c r="H34" s="22" t="n">
        <v>1.619</v>
      </c>
      <c r="I34" s="22" t="n">
        <v>36.088</v>
      </c>
      <c r="J34" s="22" t="n">
        <v>28.155</v>
      </c>
      <c r="K34" s="22" t="n">
        <v>62.173</v>
      </c>
      <c r="L34" s="22" t="n">
        <v>35.308</v>
      </c>
      <c r="M34" s="22" t="n">
        <v>331.702</v>
      </c>
      <c r="N34" s="22" t="n">
        <v>7.174</v>
      </c>
      <c r="O34" s="21" t="n">
        <v>423.732</v>
      </c>
      <c r="P34" s="22" t="n">
        <v>99.89700000000001</v>
      </c>
      <c r="Q34" s="22" t="n">
        <v>447.63</v>
      </c>
      <c r="R34" s="22" t="n">
        <v>864.5700000000001</v>
      </c>
      <c r="S34" s="22" t="n">
        <v>66.11</v>
      </c>
      <c r="T34" s="22" t="n">
        <v>130.305</v>
      </c>
      <c r="U34" s="22" t="n">
        <v>315.193</v>
      </c>
      <c r="V34" s="22" t="n">
        <v>3137.862</v>
      </c>
      <c r="W34" s="22" t="n">
        <v>41.741</v>
      </c>
      <c r="X34" s="22" t="n">
        <v>457.338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66.45399999999999</v>
      </c>
      <c r="D36" s="22" t="n">
        <v>39.433</v>
      </c>
      <c r="E36" s="22" t="n">
        <v>154.532</v>
      </c>
      <c r="F36" s="22" t="n">
        <v>93.39100000000001</v>
      </c>
      <c r="G36" s="22" t="n">
        <v>8.567</v>
      </c>
      <c r="H36" s="22" t="n">
        <v>70.49299999999999</v>
      </c>
      <c r="I36" s="22" t="n">
        <v>66.396</v>
      </c>
      <c r="J36" s="22" t="n">
        <v>86.60899999999999</v>
      </c>
      <c r="K36" s="22" t="n">
        <v>105.652</v>
      </c>
      <c r="L36" s="22" t="n">
        <v>282.05</v>
      </c>
      <c r="M36" s="22" t="n">
        <v>105.164</v>
      </c>
      <c r="N36" s="22" t="n">
        <v>55.44</v>
      </c>
      <c r="O36" s="21" t="n">
        <v>379.058</v>
      </c>
      <c r="P36" s="22" t="n">
        <v>734.955</v>
      </c>
      <c r="Q36" s="22" t="n">
        <v>812.954</v>
      </c>
      <c r="R36" s="22" t="n">
        <v>361.192</v>
      </c>
      <c r="S36" s="22" t="n">
        <v>280.436</v>
      </c>
      <c r="T36" s="22" t="n">
        <v>968.752</v>
      </c>
      <c r="U36" s="22" t="n">
        <v>445.69</v>
      </c>
      <c r="V36" s="22" t="n">
        <v>408.379</v>
      </c>
      <c r="W36" s="22" t="n">
        <v>238.847</v>
      </c>
      <c r="X36" s="22" t="n">
        <v>579.475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31.55</v>
      </c>
      <c r="D38" s="22" t="n">
        <v>37.208</v>
      </c>
      <c r="E38" s="22" t="n">
        <v>37.633</v>
      </c>
      <c r="F38" s="22" t="n">
        <v>18.027</v>
      </c>
      <c r="G38" s="22" t="n">
        <v>85.38</v>
      </c>
      <c r="H38" s="22" t="n">
        <v>-34.885</v>
      </c>
      <c r="I38" s="22" t="n">
        <v>189.989</v>
      </c>
      <c r="J38" s="22" t="n">
        <v>56.61</v>
      </c>
      <c r="K38" s="22" t="n">
        <v>14.681</v>
      </c>
      <c r="L38" s="22" t="n">
        <v>45.904</v>
      </c>
      <c r="M38" s="22" t="n">
        <v>40.315</v>
      </c>
      <c r="N38" s="22" t="n">
        <v>168.266</v>
      </c>
      <c r="O38" s="21" t="n">
        <v>73.167</v>
      </c>
      <c r="P38" s="22" t="n">
        <v>209.928</v>
      </c>
      <c r="Q38" s="22" t="n">
        <v>64.3</v>
      </c>
      <c r="R38" s="22" t="n">
        <v>120.12</v>
      </c>
      <c r="S38" s="22" t="n">
        <v>63.053</v>
      </c>
      <c r="T38" s="22" t="n">
        <v>145.153</v>
      </c>
      <c r="U38" s="22" t="n">
        <v>102.552</v>
      </c>
      <c r="V38" s="22" t="n">
        <v>146.751</v>
      </c>
      <c r="W38" s="22" t="n">
        <v>258.511</v>
      </c>
      <c r="X38" s="22" t="n">
        <v>157.51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-314.15</v>
      </c>
      <c r="D40" s="12" t="n">
        <v>-150.985</v>
      </c>
      <c r="E40" s="12" t="n">
        <v>-3572.027</v>
      </c>
      <c r="F40" s="12" t="n">
        <v>436.89</v>
      </c>
      <c r="G40" s="12" t="n">
        <v>97.03100000000001</v>
      </c>
      <c r="H40" s="12" t="n">
        <v>326.34</v>
      </c>
      <c r="I40" s="12" t="n">
        <v>-467.297</v>
      </c>
      <c r="J40" s="12" t="n">
        <v>225.787</v>
      </c>
      <c r="K40" s="12" t="n">
        <v>280.897</v>
      </c>
      <c r="L40" s="12" t="n">
        <v>153.639</v>
      </c>
      <c r="M40" s="12" t="n">
        <v>-381.919</v>
      </c>
      <c r="N40" s="12" t="n">
        <v>405.684</v>
      </c>
      <c r="O40" s="11" t="n">
        <v>5221.169</v>
      </c>
      <c r="P40" s="12" t="n">
        <v>5087.324</v>
      </c>
      <c r="Q40" s="12" t="n">
        <v>3592.069</v>
      </c>
      <c r="R40" s="12" t="n">
        <v>2558.671</v>
      </c>
      <c r="S40" s="12" t="n">
        <v>1557.564</v>
      </c>
      <c r="T40" s="12" t="n">
        <v>4015.007</v>
      </c>
      <c r="U40" s="12" t="n">
        <v>213.933</v>
      </c>
      <c r="V40" s="12" t="n">
        <v>-4352.488</v>
      </c>
      <c r="W40" s="12" t="n">
        <v>392.964</v>
      </c>
      <c r="X40" s="12" t="n">
        <v>278.404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-26.077</v>
      </c>
      <c r="D41" s="22" t="n">
        <v>13.414</v>
      </c>
      <c r="E41" s="22" t="n">
        <v>866.956</v>
      </c>
      <c r="F41" s="22" t="n">
        <v>20.099</v>
      </c>
      <c r="G41" s="22" t="n">
        <v>34.764</v>
      </c>
      <c r="H41" s="22" t="n">
        <v>24.074</v>
      </c>
      <c r="I41" s="22" t="n">
        <v>135.982</v>
      </c>
      <c r="J41" s="22" t="n">
        <v>22.364</v>
      </c>
      <c r="K41" s="22" t="n">
        <v>70.22499999999999</v>
      </c>
      <c r="L41" s="22" t="n">
        <v>17.955</v>
      </c>
      <c r="M41" s="22" t="n">
        <v>97.73</v>
      </c>
      <c r="N41" s="22" t="n">
        <v>41.184</v>
      </c>
      <c r="O41" s="21" t="n">
        <v>1498.621</v>
      </c>
      <c r="P41" s="22" t="n">
        <v>1429.938</v>
      </c>
      <c r="Q41" s="22" t="n">
        <v>1314.936</v>
      </c>
      <c r="R41" s="22" t="n">
        <v>759.893</v>
      </c>
      <c r="S41" s="22" t="n">
        <v>502.78</v>
      </c>
      <c r="T41" s="22" t="n">
        <v>1216.676</v>
      </c>
      <c r="U41" s="22" t="n">
        <v>198.979</v>
      </c>
      <c r="V41" s="22" t="n">
        <v>908.4400000000001</v>
      </c>
      <c r="W41" s="22" t="n">
        <v>214.919</v>
      </c>
      <c r="X41" s="22" t="n">
        <v>208.274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-288.073</v>
      </c>
      <c r="D43" s="12" t="n">
        <v>-164.4</v>
      </c>
      <c r="E43" s="12" t="n">
        <v>-4438.983</v>
      </c>
      <c r="F43" s="12" t="n">
        <v>416.79</v>
      </c>
      <c r="G43" s="12" t="n">
        <v>62.268</v>
      </c>
      <c r="H43" s="12" t="n">
        <v>302.265</v>
      </c>
      <c r="I43" s="12" t="n">
        <v>-603.278</v>
      </c>
      <c r="J43" s="12" t="n">
        <v>203.423</v>
      </c>
      <c r="K43" s="12" t="n">
        <v>210.671</v>
      </c>
      <c r="L43" s="12" t="n">
        <v>135.684</v>
      </c>
      <c r="M43" s="12" t="n">
        <v>-479.649</v>
      </c>
      <c r="N43" s="12" t="n">
        <v>364.499</v>
      </c>
      <c r="O43" s="11" t="n">
        <v>3722.548</v>
      </c>
      <c r="P43" s="12" t="n">
        <v>3657.386</v>
      </c>
      <c r="Q43" s="12" t="n">
        <v>2277.133</v>
      </c>
      <c r="R43" s="12" t="n">
        <v>1798.777</v>
      </c>
      <c r="S43" s="12" t="n">
        <v>1054.783</v>
      </c>
      <c r="T43" s="12" t="n">
        <v>2798.331</v>
      </c>
      <c r="U43" s="12" t="n">
        <v>14.954</v>
      </c>
      <c r="V43" s="12" t="n">
        <v>-5260.929</v>
      </c>
      <c r="W43" s="12" t="n">
        <v>178.045</v>
      </c>
      <c r="X43" s="12" t="n">
        <v>70.129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-288.073</v>
      </c>
      <c r="D44" s="12" t="n">
        <v>-164.4</v>
      </c>
      <c r="E44" s="12" t="n">
        <v>-4438.983</v>
      </c>
      <c r="F44" s="12" t="n">
        <v>416.79</v>
      </c>
      <c r="G44" s="12" t="n">
        <v>62.268</v>
      </c>
      <c r="H44" s="12" t="n">
        <v>302.265</v>
      </c>
      <c r="I44" s="12" t="n">
        <v>-603.278</v>
      </c>
      <c r="J44" s="12" t="n">
        <v>203.423</v>
      </c>
      <c r="K44" s="12" t="n">
        <v>210.671</v>
      </c>
      <c r="L44" s="12" t="n">
        <v>135.684</v>
      </c>
      <c r="M44" s="12" t="n">
        <v>-479.649</v>
      </c>
      <c r="N44" s="12" t="n">
        <v>364.499</v>
      </c>
      <c r="O44" s="11" t="n">
        <v>4226.502</v>
      </c>
      <c r="P44" s="12" t="n">
        <v>4566.674</v>
      </c>
      <c r="Q44" s="12" t="n">
        <v>2277.133</v>
      </c>
      <c r="R44" s="12" t="n">
        <v>1798.777</v>
      </c>
      <c r="S44" s="12" t="n">
        <v>1054.783</v>
      </c>
      <c r="T44" s="12" t="n">
        <v>2798.331</v>
      </c>
      <c r="U44" s="12" t="n">
        <v>14.954</v>
      </c>
      <c r="V44" s="12" t="n">
        <v>-5260.929</v>
      </c>
      <c r="W44" s="12" t="n">
        <v>178.045</v>
      </c>
      <c r="X44" s="12" t="n">
        <v>70.129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8750.644</v>
      </c>
      <c r="D78" s="12" t="n">
        <v>8441.638999999999</v>
      </c>
      <c r="E78" s="12" t="n">
        <v>8423.025</v>
      </c>
      <c r="F78" s="12" t="n">
        <v>8566.081</v>
      </c>
      <c r="G78" s="12" t="n">
        <v>9085.287</v>
      </c>
      <c r="H78" s="12" t="n">
        <v>8652.433000000001</v>
      </c>
      <c r="I78" s="12" t="n">
        <v>8670.877</v>
      </c>
      <c r="J78" s="12" t="n">
        <v>9317.267</v>
      </c>
      <c r="K78" s="12" t="n">
        <v>9843.370999999999</v>
      </c>
      <c r="L78" s="12" t="n">
        <v>9324.450999999999</v>
      </c>
      <c r="M78" s="12" t="n">
        <v>9838.222</v>
      </c>
      <c r="N78" s="12" t="n">
        <v>10961.15</v>
      </c>
      <c r="T78" s="12" t="n">
        <v>10840.787</v>
      </c>
      <c r="U78" s="12" t="n">
        <v>7875.791</v>
      </c>
      <c r="V78" s="12" t="n">
        <v>8423.025</v>
      </c>
      <c r="W78" s="12" t="n">
        <v>8670.877</v>
      </c>
      <c r="X78" s="12" t="n">
        <v>9838.222</v>
      </c>
    </row>
    <row r="79">
      <c r="A79" s="20" t="inlineStr">
        <is>
          <t>매출원가</t>
        </is>
      </c>
      <c r="C79" s="22" t="n">
        <v>8038.769</v>
      </c>
      <c r="D79" s="22" t="n">
        <v>7526.212</v>
      </c>
      <c r="E79" s="22" t="n">
        <v>7881.669</v>
      </c>
      <c r="F79" s="22" t="n">
        <v>7132.125</v>
      </c>
      <c r="G79" s="22" t="n">
        <v>7742.236</v>
      </c>
      <c r="H79" s="22" t="n">
        <v>7196.492</v>
      </c>
      <c r="I79" s="22" t="n">
        <v>7693.78</v>
      </c>
      <c r="J79" s="22" t="n">
        <v>7725.742</v>
      </c>
      <c r="K79" s="22" t="n">
        <v>8099.73</v>
      </c>
      <c r="L79" s="22" t="n">
        <v>7891.948</v>
      </c>
      <c r="M79" s="22" t="n">
        <v>8511.236000000001</v>
      </c>
      <c r="N79" s="22" t="n">
        <v>8810.173000000001</v>
      </c>
      <c r="T79" s="22" t="n">
        <v>9113.052</v>
      </c>
      <c r="U79" s="22" t="n">
        <v>7738.254</v>
      </c>
      <c r="V79" s="22" t="n">
        <v>7881.669</v>
      </c>
      <c r="W79" s="22" t="n">
        <v>7693.78</v>
      </c>
      <c r="X79" s="22" t="n">
        <v>8511.236000000001</v>
      </c>
    </row>
    <row r="80">
      <c r="A80" s="9" t="inlineStr">
        <is>
          <t>매출총이익</t>
        </is>
      </c>
      <c r="C80" s="12" t="n">
        <v>711.876</v>
      </c>
      <c r="D80" s="12" t="n">
        <v>915.427</v>
      </c>
      <c r="E80" s="12" t="n">
        <v>541.356</v>
      </c>
      <c r="F80" s="12" t="n">
        <v>1433.956</v>
      </c>
      <c r="G80" s="12" t="n">
        <v>1343.05</v>
      </c>
      <c r="H80" s="12" t="n">
        <v>1455.941</v>
      </c>
      <c r="I80" s="12" t="n">
        <v>977.097</v>
      </c>
      <c r="J80" s="12" t="n">
        <v>1591.525</v>
      </c>
      <c r="K80" s="12" t="n">
        <v>1743.64</v>
      </c>
      <c r="L80" s="12" t="n">
        <v>1432.504</v>
      </c>
      <c r="M80" s="12" t="n">
        <v>1326.985</v>
      </c>
      <c r="N80" s="12" t="n">
        <v>2150.976</v>
      </c>
      <c r="T80" s="12" t="n">
        <v>1727.736</v>
      </c>
      <c r="U80" s="12" t="n">
        <v>137.537</v>
      </c>
      <c r="V80" s="12" t="n">
        <v>541.356</v>
      </c>
      <c r="W80" s="12" t="n">
        <v>977.097</v>
      </c>
      <c r="X80" s="12" t="n">
        <v>1326.985</v>
      </c>
    </row>
    <row r="81">
      <c r="A81" s="20" t="inlineStr">
        <is>
          <t>판매비와 관리비</t>
        </is>
      </c>
      <c r="C81" s="22" t="n">
        <v>1070.016</v>
      </c>
      <c r="D81" s="22" t="n">
        <v>1068.343</v>
      </c>
      <c r="E81" s="22" t="n">
        <v>1148.244</v>
      </c>
      <c r="F81" s="22" t="n">
        <v>1072.577</v>
      </c>
      <c r="G81" s="22" t="n">
        <v>1165.346</v>
      </c>
      <c r="H81" s="22" t="n">
        <v>1233.523</v>
      </c>
      <c r="I81" s="22" t="n">
        <v>1299.758</v>
      </c>
      <c r="J81" s="22" t="n">
        <v>1368.076</v>
      </c>
      <c r="K81" s="22" t="n">
        <v>1491.541</v>
      </c>
      <c r="L81" s="22" t="n">
        <v>1480.11</v>
      </c>
      <c r="M81" s="22" t="n">
        <v>1448.571</v>
      </c>
      <c r="N81" s="22" t="n">
        <v>1625.292</v>
      </c>
      <c r="T81" s="22" t="n">
        <v>1110.103</v>
      </c>
      <c r="U81" s="22" t="n">
        <v>1058.27</v>
      </c>
      <c r="V81" s="22" t="n">
        <v>1148.244</v>
      </c>
      <c r="W81" s="22" t="n">
        <v>1299.758</v>
      </c>
      <c r="X81" s="22" t="n">
        <v>1448.571</v>
      </c>
    </row>
    <row r="82">
      <c r="A82" s="9" t="inlineStr">
        <is>
          <t>영업이익</t>
        </is>
      </c>
      <c r="C82" s="12" t="n">
        <v>-358.14</v>
      </c>
      <c r="D82" s="12" t="n">
        <v>-152.917</v>
      </c>
      <c r="E82" s="12" t="n">
        <v>-606.888</v>
      </c>
      <c r="F82" s="12" t="n">
        <v>361.378</v>
      </c>
      <c r="G82" s="12" t="n">
        <v>177.705</v>
      </c>
      <c r="H82" s="12" t="n">
        <v>222.417</v>
      </c>
      <c r="I82" s="12" t="n">
        <v>-322.661</v>
      </c>
      <c r="J82" s="12" t="n">
        <v>223.449</v>
      </c>
      <c r="K82" s="12" t="n">
        <v>252.099</v>
      </c>
      <c r="L82" s="12" t="n">
        <v>-47.606</v>
      </c>
      <c r="M82" s="12" t="n">
        <v>-121.586</v>
      </c>
      <c r="N82" s="12" t="n">
        <v>525.684</v>
      </c>
      <c r="T82" s="12" t="n">
        <v>617.633</v>
      </c>
      <c r="U82" s="12" t="n">
        <v>-920.732</v>
      </c>
      <c r="V82" s="12" t="n">
        <v>-606.888</v>
      </c>
      <c r="W82" s="12" t="n">
        <v>-322.661</v>
      </c>
      <c r="X82" s="12" t="n">
        <v>-121.586</v>
      </c>
    </row>
    <row r="83">
      <c r="A83" s="20" t="inlineStr">
        <is>
          <t>이자수익</t>
        </is>
      </c>
      <c r="C83" s="22" t="n">
        <v>0.554</v>
      </c>
      <c r="D83" s="22" t="n">
        <v>0.342</v>
      </c>
      <c r="E83" s="22" t="n">
        <v>1.105</v>
      </c>
      <c r="F83" s="22" t="n">
        <v>0.8090000000000001</v>
      </c>
      <c r="G83" s="22" t="n">
        <v>2.271</v>
      </c>
      <c r="H83" s="22" t="n">
        <v>3.436</v>
      </c>
      <c r="I83" s="22" t="n">
        <v>9.625999999999999</v>
      </c>
      <c r="J83" s="22" t="n">
        <v>13.144</v>
      </c>
      <c r="K83" s="22" t="n">
        <v>15.779</v>
      </c>
      <c r="L83" s="22" t="n">
        <v>10.742</v>
      </c>
      <c r="M83" s="22" t="n">
        <v>12.296</v>
      </c>
      <c r="N83" s="22" t="n">
        <v>1.895</v>
      </c>
      <c r="T83" s="22" t="n">
        <v>0.58</v>
      </c>
      <c r="U83" s="22" t="n">
        <v>0.548</v>
      </c>
      <c r="V83" s="22" t="n">
        <v>1.105</v>
      </c>
      <c r="W83" s="22" t="n">
        <v>9.625999999999999</v>
      </c>
      <c r="X83" s="22" t="n">
        <v>12.296</v>
      </c>
    </row>
    <row r="84">
      <c r="A84" s="20" t="inlineStr">
        <is>
          <t>배당금수익</t>
        </is>
      </c>
      <c r="C84" s="22" t="n">
        <v>0.383</v>
      </c>
      <c r="D84" s="22" t="n">
        <v>8.07</v>
      </c>
      <c r="E84" s="22" t="n">
        <v>40.383</v>
      </c>
      <c r="F84" s="22" t="n">
        <v>8.349</v>
      </c>
      <c r="G84" s="22" t="n">
        <v>0.399</v>
      </c>
      <c r="H84" s="22" t="n">
        <v>9.157999999999999</v>
      </c>
      <c r="I84" s="22" t="n">
        <v>35.413</v>
      </c>
      <c r="J84" s="22" t="n">
        <v>11.755</v>
      </c>
      <c r="K84" s="22" t="n">
        <v>0.438</v>
      </c>
      <c r="L84" s="22" t="n">
        <v>11.057</v>
      </c>
      <c r="M84" s="22" t="n">
        <v>35.264</v>
      </c>
      <c r="N84" s="22" t="n">
        <v>14.013</v>
      </c>
      <c r="T84" s="22" t="n">
        <v>60.33</v>
      </c>
      <c r="U84" s="22" t="n">
        <v>70.402</v>
      </c>
      <c r="V84" s="22" t="n">
        <v>40.383</v>
      </c>
      <c r="W84" s="22" t="n">
        <v>35.413</v>
      </c>
      <c r="X84" s="22" t="n">
        <v>35.264</v>
      </c>
    </row>
    <row r="85">
      <c r="A85" s="20" t="inlineStr">
        <is>
          <t>외환차익</t>
        </is>
      </c>
      <c r="C85" s="22" t="n">
        <v>25.928</v>
      </c>
      <c r="D85" s="22" t="n">
        <v>-43.291</v>
      </c>
      <c r="E85" s="22" t="n">
        <v>56.484</v>
      </c>
      <c r="F85" s="22" t="n">
        <v>41.981</v>
      </c>
      <c r="G85" s="22" t="n">
        <v>-41.981</v>
      </c>
      <c r="H85" s="22" t="n">
        <v>6.978</v>
      </c>
      <c r="I85" s="22" t="n">
        <v>-6.978</v>
      </c>
      <c r="J85" s="22" t="n">
        <v>0</v>
      </c>
      <c r="K85" s="22" t="n">
        <v>33.441</v>
      </c>
      <c r="L85" s="22" t="n">
        <v>44.221</v>
      </c>
      <c r="M85" s="22" t="n">
        <v>24.146</v>
      </c>
      <c r="N85" s="22" t="n">
        <v>5.092</v>
      </c>
      <c r="T85" s="22" t="n">
        <v>170.431</v>
      </c>
      <c r="U85" s="22" t="n">
        <v>35.117</v>
      </c>
      <c r="V85" s="22" t="n">
        <v>56.484</v>
      </c>
      <c r="W85" s="22" t="n">
        <v>-6.978</v>
      </c>
      <c r="X85" s="22" t="n">
        <v>24.146</v>
      </c>
    </row>
    <row r="86">
      <c r="A86" s="20" t="inlineStr">
        <is>
          <t>임대료 수익</t>
        </is>
      </c>
      <c r="C86" s="22" t="n">
        <v>7.737</v>
      </c>
      <c r="D86" s="22" t="n">
        <v>7.737</v>
      </c>
      <c r="E86" s="22" t="n">
        <v>8.186999999999999</v>
      </c>
      <c r="F86" s="22" t="n">
        <v>8.18</v>
      </c>
      <c r="G86" s="22" t="n">
        <v>8.781000000000001</v>
      </c>
      <c r="H86" s="22" t="n">
        <v>6.795</v>
      </c>
      <c r="I86" s="22" t="n">
        <v>7.065</v>
      </c>
      <c r="J86" s="22" t="n">
        <v>6.105</v>
      </c>
      <c r="K86" s="22" t="n">
        <v>13.823</v>
      </c>
      <c r="L86" s="22" t="n">
        <v>10.805</v>
      </c>
      <c r="M86" s="22" t="n">
        <v>6.753</v>
      </c>
      <c r="N86" s="22" t="n">
        <v>6.855</v>
      </c>
      <c r="T86" s="22" t="n">
        <v>8.617000000000001</v>
      </c>
      <c r="U86" s="22" t="n">
        <v>7.737</v>
      </c>
      <c r="V86" s="22" t="n">
        <v>8.186999999999999</v>
      </c>
      <c r="W86" s="22" t="n">
        <v>7.065</v>
      </c>
      <c r="X86" s="22" t="n">
        <v>6.753</v>
      </c>
    </row>
    <row r="87">
      <c r="A87" s="20" t="inlineStr">
        <is>
          <t>보조금 수입</t>
        </is>
      </c>
      <c r="D87" s="22" t="n">
        <v>0</v>
      </c>
      <c r="E87" s="22" t="n">
        <v>5.113</v>
      </c>
      <c r="H87" s="22" t="n">
        <v>0</v>
      </c>
      <c r="I87" s="22" t="n">
        <v>0</v>
      </c>
      <c r="U87" s="22" t="n">
        <v>13.997</v>
      </c>
      <c r="V87" s="22" t="n">
        <v>5.113</v>
      </c>
      <c r="W87" s="22" t="n">
        <v>0</v>
      </c>
    </row>
    <row r="88">
      <c r="A88" s="20" t="inlineStr">
        <is>
          <t>보상금 수취</t>
        </is>
      </c>
      <c r="C88" s="22" t="n">
        <v>0.097</v>
      </c>
      <c r="D88" s="22" t="n">
        <v>14.49</v>
      </c>
      <c r="E88" s="22" t="n">
        <v>22.766</v>
      </c>
      <c r="F88" s="22" t="n">
        <v>0.696</v>
      </c>
      <c r="G88" s="22" t="n">
        <v>8.862</v>
      </c>
      <c r="H88" s="22" t="n">
        <v>0</v>
      </c>
      <c r="I88" s="22" t="n">
        <v>29.659</v>
      </c>
      <c r="J88" s="22" t="n">
        <v>13.82</v>
      </c>
      <c r="K88" s="22" t="n">
        <v>6.804</v>
      </c>
      <c r="L88" s="22" t="n">
        <v>2.802</v>
      </c>
      <c r="M88" s="22" t="n">
        <v>0</v>
      </c>
      <c r="N88" s="22" t="n">
        <v>6.171</v>
      </c>
      <c r="T88" s="22" t="n">
        <v>0.262</v>
      </c>
      <c r="U88" s="22" t="n">
        <v>0.035</v>
      </c>
      <c r="V88" s="22" t="n">
        <v>22.766</v>
      </c>
      <c r="W88" s="22" t="n">
        <v>29.659</v>
      </c>
      <c r="X88" s="22" t="n">
        <v>0</v>
      </c>
    </row>
    <row r="89">
      <c r="A89" s="20" t="inlineStr">
        <is>
          <t>Technical Support Fee NOI</t>
        </is>
      </c>
      <c r="C89" s="22" t="n">
        <v>14.156</v>
      </c>
      <c r="D89" s="22" t="n">
        <v>35.425</v>
      </c>
      <c r="E89" s="22" t="n">
        <v>9.326000000000001</v>
      </c>
      <c r="F89" s="22" t="n">
        <v>1.519</v>
      </c>
      <c r="G89" s="22" t="n">
        <v>5.078</v>
      </c>
      <c r="H89" s="22" t="n">
        <v>9.75</v>
      </c>
      <c r="I89" s="22" t="n">
        <v>5.876</v>
      </c>
      <c r="J89" s="22" t="n">
        <v>25.6</v>
      </c>
      <c r="K89" s="22" t="n">
        <v>18.06</v>
      </c>
      <c r="L89" s="22" t="n">
        <v>186.563</v>
      </c>
      <c r="M89" s="22" t="n">
        <v>8.583</v>
      </c>
      <c r="N89" s="22" t="n">
        <v>6.778</v>
      </c>
      <c r="T89" s="22" t="n">
        <v>12.44</v>
      </c>
      <c r="U89" s="22" t="n">
        <v>14.988</v>
      </c>
      <c r="V89" s="22" t="n">
        <v>9.326000000000001</v>
      </c>
      <c r="W89" s="22" t="n">
        <v>5.876</v>
      </c>
      <c r="X89" s="22" t="n">
        <v>8.583</v>
      </c>
    </row>
    <row r="90">
      <c r="A90" s="20" t="inlineStr">
        <is>
          <t>지분법이익</t>
        </is>
      </c>
      <c r="C90" s="22" t="n">
        <v>0</v>
      </c>
      <c r="D90" s="22" t="n">
        <v>0</v>
      </c>
      <c r="E90" s="22" t="n">
        <v>0</v>
      </c>
      <c r="F90" s="22" t="n">
        <v>0.923</v>
      </c>
      <c r="G90" s="22" t="n">
        <v>9.967000000000001</v>
      </c>
      <c r="H90" s="22" t="n">
        <v>5.802</v>
      </c>
      <c r="I90" s="22" t="n">
        <v>-5.478</v>
      </c>
      <c r="J90" s="22" t="n">
        <v>0</v>
      </c>
      <c r="K90" s="22" t="n">
        <v>0</v>
      </c>
      <c r="L90" s="22" t="n">
        <v>0</v>
      </c>
      <c r="M90" s="22" t="n">
        <v>0</v>
      </c>
      <c r="T90" s="22" t="n">
        <v>8.752000000000001</v>
      </c>
      <c r="U90" s="22" t="n">
        <v>0</v>
      </c>
      <c r="V90" s="22" t="n">
        <v>0</v>
      </c>
      <c r="W90" s="22" t="n">
        <v>-5.478</v>
      </c>
      <c r="X90" s="22" t="n">
        <v>0</v>
      </c>
    </row>
    <row r="91">
      <c r="A91" s="20" t="inlineStr">
        <is>
          <t>기타</t>
        </is>
      </c>
      <c r="C91" s="22" t="n">
        <v>-7.186</v>
      </c>
      <c r="D91" s="22" t="n">
        <v>16.661</v>
      </c>
      <c r="E91" s="22" t="n">
        <v>11.168</v>
      </c>
      <c r="F91" s="22" t="n">
        <v>30.929</v>
      </c>
      <c r="G91" s="22" t="n">
        <v>15.192</v>
      </c>
      <c r="H91" s="22" t="n">
        <v>28.573</v>
      </c>
      <c r="I91" s="22" t="n">
        <v>-8.787000000000001</v>
      </c>
      <c r="J91" s="22" t="n">
        <v>16.183</v>
      </c>
      <c r="K91" s="22" t="n">
        <v>17.306</v>
      </c>
      <c r="L91" s="22" t="n">
        <v>15.86</v>
      </c>
      <c r="M91" s="22" t="n">
        <v>18.121</v>
      </c>
      <c r="N91" s="22" t="n">
        <v>14.635</v>
      </c>
      <c r="T91" s="22" t="n">
        <v>7.447</v>
      </c>
      <c r="U91" s="22" t="n">
        <v>3.173</v>
      </c>
      <c r="V91" s="22" t="n">
        <v>11.168</v>
      </c>
      <c r="W91" s="22" t="n">
        <v>-8.787000000000001</v>
      </c>
      <c r="X91" s="22" t="n">
        <v>18.121</v>
      </c>
    </row>
    <row r="92">
      <c r="A92" s="20" t="inlineStr">
        <is>
          <t>영업외수익 합계</t>
        </is>
      </c>
      <c r="C92" s="22" t="n">
        <v>66.45399999999999</v>
      </c>
      <c r="D92" s="22" t="n">
        <v>39.433</v>
      </c>
      <c r="E92" s="22" t="n">
        <v>154.532</v>
      </c>
      <c r="F92" s="22" t="n">
        <v>93.39100000000001</v>
      </c>
      <c r="G92" s="22" t="n">
        <v>8.567</v>
      </c>
      <c r="H92" s="22" t="n">
        <v>70.49299999999999</v>
      </c>
      <c r="I92" s="22" t="n">
        <v>66.396</v>
      </c>
      <c r="J92" s="22" t="n">
        <v>86.60899999999999</v>
      </c>
      <c r="K92" s="22" t="n">
        <v>105.652</v>
      </c>
      <c r="L92" s="22" t="n">
        <v>282.05</v>
      </c>
      <c r="M92" s="22" t="n">
        <v>105.164</v>
      </c>
      <c r="N92" s="22" t="n">
        <v>55.44</v>
      </c>
      <c r="T92" s="22" t="n">
        <v>627.444</v>
      </c>
      <c r="U92" s="22" t="n">
        <v>145.998</v>
      </c>
      <c r="V92" s="22" t="n">
        <v>154.532</v>
      </c>
      <c r="W92" s="22" t="n">
        <v>66.396</v>
      </c>
      <c r="X92" s="22" t="n">
        <v>105.164</v>
      </c>
    </row>
    <row r="93">
      <c r="A93" s="20" t="inlineStr">
        <is>
          <t>이자비용</t>
        </is>
      </c>
      <c r="C93" s="22" t="n">
        <v>1.032</v>
      </c>
      <c r="D93" s="22" t="n">
        <v>1.069</v>
      </c>
      <c r="E93" s="22" t="n">
        <v>1.238</v>
      </c>
      <c r="F93" s="22" t="n">
        <v>1.288</v>
      </c>
      <c r="G93" s="22" t="n">
        <v>1.641</v>
      </c>
      <c r="H93" s="22" t="n">
        <v>1.668</v>
      </c>
      <c r="I93" s="22" t="n">
        <v>2.041</v>
      </c>
      <c r="J93" s="22" t="n">
        <v>4.397</v>
      </c>
      <c r="K93" s="22" t="n">
        <v>12.732</v>
      </c>
      <c r="L93" s="22" t="n">
        <v>24.29</v>
      </c>
      <c r="M93" s="22" t="n">
        <v>37.071</v>
      </c>
      <c r="N93" s="22" t="n">
        <v>36.364</v>
      </c>
      <c r="T93" s="22" t="n">
        <v>3.102</v>
      </c>
      <c r="U93" s="22" t="n">
        <v>0.8179999999999999</v>
      </c>
      <c r="V93" s="22" t="n">
        <v>1.238</v>
      </c>
      <c r="W93" s="22" t="n">
        <v>2.041</v>
      </c>
      <c r="X93" s="22" t="n">
        <v>37.071</v>
      </c>
    </row>
    <row r="94">
      <c r="A94" s="20" t="inlineStr">
        <is>
          <t>외환차손</t>
        </is>
      </c>
      <c r="F94" s="22" t="n">
        <v>0</v>
      </c>
      <c r="G94" s="22" t="n">
        <v>69.651</v>
      </c>
      <c r="J94" s="22" t="n">
        <v>20.11</v>
      </c>
      <c r="K94" s="22" t="n">
        <v>-20.11</v>
      </c>
      <c r="N94" s="22" t="n">
        <v>0</v>
      </c>
    </row>
    <row r="95">
      <c r="A95" s="20" t="inlineStr">
        <is>
          <t>보상비 지급</t>
        </is>
      </c>
      <c r="C95" s="22" t="n">
        <v>10.917</v>
      </c>
      <c r="D95" s="22" t="n">
        <v>21.757</v>
      </c>
      <c r="E95" s="22" t="n">
        <v>42.38</v>
      </c>
      <c r="F95" s="22" t="n">
        <v>4.509</v>
      </c>
      <c r="G95" s="22" t="n">
        <v>1.977</v>
      </c>
      <c r="H95" s="22" t="n">
        <v>17.445</v>
      </c>
      <c r="I95" s="22" t="n">
        <v>22.895</v>
      </c>
      <c r="J95" s="22" t="n">
        <v>4.172</v>
      </c>
      <c r="K95" s="22" t="n">
        <v>3.513</v>
      </c>
      <c r="L95" s="22" t="n">
        <v>0</v>
      </c>
      <c r="M95" s="22" t="n">
        <v>1.014</v>
      </c>
      <c r="N95" s="22" t="n">
        <v>94</v>
      </c>
      <c r="T95" s="22" t="n">
        <v>70.20999999999999</v>
      </c>
      <c r="U95" s="22" t="n">
        <v>1.763</v>
      </c>
      <c r="V95" s="22" t="n">
        <v>42.38</v>
      </c>
      <c r="W95" s="22" t="n">
        <v>22.895</v>
      </c>
      <c r="X95" s="22" t="n">
        <v>1.014</v>
      </c>
    </row>
    <row r="96">
      <c r="A96" s="20" t="inlineStr">
        <is>
          <t>Depreciation Of Assets For Rent NOE</t>
        </is>
      </c>
      <c r="C96" s="22" t="n">
        <v>8.632</v>
      </c>
      <c r="D96" s="22" t="n">
        <v>9.827</v>
      </c>
      <c r="E96" s="22" t="n">
        <v>5.136</v>
      </c>
      <c r="F96" s="22" t="n">
        <v>7.613</v>
      </c>
      <c r="G96" s="22" t="n">
        <v>8.836</v>
      </c>
      <c r="H96" s="22" t="n">
        <v>7.831</v>
      </c>
      <c r="I96" s="22" t="n">
        <v>7.473</v>
      </c>
      <c r="J96" s="22" t="n">
        <v>8.519</v>
      </c>
      <c r="K96" s="22" t="n">
        <v>9.316000000000001</v>
      </c>
      <c r="L96" s="22" t="n">
        <v>7.936</v>
      </c>
      <c r="M96" s="22" t="n">
        <v>7.369</v>
      </c>
      <c r="N96" s="22" t="n">
        <v>7.411</v>
      </c>
      <c r="T96" s="22" t="n">
        <v>7.455</v>
      </c>
      <c r="U96" s="22" t="n">
        <v>8.641999999999999</v>
      </c>
      <c r="V96" s="22" t="n">
        <v>5.136</v>
      </c>
      <c r="W96" s="22" t="n">
        <v>7.473</v>
      </c>
      <c r="X96" s="22" t="n">
        <v>7.369</v>
      </c>
    </row>
    <row r="97">
      <c r="A97" s="20" t="inlineStr">
        <is>
          <t>지분법손실</t>
        </is>
      </c>
      <c r="C97" s="22" t="n">
        <v>7.204</v>
      </c>
      <c r="D97" s="22" t="n">
        <v>3.224</v>
      </c>
      <c r="E97" s="22" t="n">
        <v>-10.547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13.457</v>
      </c>
      <c r="K97" s="22" t="n">
        <v>1.289</v>
      </c>
      <c r="L97" s="22" t="n">
        <v>2.351</v>
      </c>
      <c r="M97" s="22" t="n">
        <v>-15.764</v>
      </c>
      <c r="N97" s="22" t="n">
        <v>11.142</v>
      </c>
      <c r="T97" s="22" t="n">
        <v>0</v>
      </c>
      <c r="U97" s="22" t="n">
        <v>0.675</v>
      </c>
      <c r="V97" s="22" t="n">
        <v>-10.547</v>
      </c>
      <c r="W97" s="22" t="n">
        <v>0</v>
      </c>
      <c r="X97" s="22" t="n">
        <v>-15.764</v>
      </c>
    </row>
    <row r="98">
      <c r="A98" s="20" t="inlineStr">
        <is>
          <t>기타</t>
        </is>
      </c>
      <c r="C98" s="22" t="n">
        <v>3.764</v>
      </c>
      <c r="D98" s="22" t="n">
        <v>1.332</v>
      </c>
      <c r="E98" s="22" t="n">
        <v>-0.573</v>
      </c>
      <c r="F98" s="22" t="n">
        <v>4.615</v>
      </c>
      <c r="G98" s="22" t="n">
        <v>3.274</v>
      </c>
      <c r="H98" s="22" t="n">
        <v>7.823</v>
      </c>
      <c r="I98" s="22" t="n">
        <v>3.46</v>
      </c>
      <c r="J98" s="22" t="n">
        <v>5.951</v>
      </c>
      <c r="K98" s="22" t="n">
        <v>7.943</v>
      </c>
      <c r="L98" s="22" t="n">
        <v>11.327</v>
      </c>
      <c r="M98" s="22" t="n">
        <v>10.625</v>
      </c>
      <c r="N98" s="22" t="n">
        <v>19.348</v>
      </c>
      <c r="T98" s="22" t="n">
        <v>0.393</v>
      </c>
      <c r="U98" s="22" t="n">
        <v>0.96</v>
      </c>
      <c r="V98" s="22" t="n">
        <v>-0.573</v>
      </c>
      <c r="W98" s="22" t="n">
        <v>3.46</v>
      </c>
      <c r="X98" s="22" t="n">
        <v>10.625</v>
      </c>
    </row>
    <row r="99">
      <c r="A99" s="20" t="inlineStr">
        <is>
          <t>영업외비용 합계</t>
        </is>
      </c>
      <c r="C99" s="22" t="n">
        <v>31.55</v>
      </c>
      <c r="D99" s="22" t="n">
        <v>37.208</v>
      </c>
      <c r="E99" s="22" t="n">
        <v>37.633</v>
      </c>
      <c r="F99" s="22" t="n">
        <v>18.027</v>
      </c>
      <c r="G99" s="22" t="n">
        <v>85.38</v>
      </c>
      <c r="H99" s="22" t="n">
        <v>-34.885</v>
      </c>
      <c r="I99" s="22" t="n">
        <v>189.989</v>
      </c>
      <c r="J99" s="22" t="n">
        <v>56.61</v>
      </c>
      <c r="K99" s="22" t="n">
        <v>14.681</v>
      </c>
      <c r="L99" s="22" t="n">
        <v>45.904</v>
      </c>
      <c r="M99" s="22" t="n">
        <v>40.315</v>
      </c>
      <c r="N99" s="22" t="n">
        <v>168.266</v>
      </c>
      <c r="T99" s="22" t="n">
        <v>81.16</v>
      </c>
      <c r="U99" s="22" t="n">
        <v>12.858</v>
      </c>
      <c r="V99" s="22" t="n">
        <v>37.633</v>
      </c>
      <c r="W99" s="22" t="n">
        <v>189.989</v>
      </c>
      <c r="X99" s="22" t="n">
        <v>40.315</v>
      </c>
    </row>
    <row r="100">
      <c r="A100" s="9" t="inlineStr">
        <is>
          <t>경상이익</t>
        </is>
      </c>
      <c r="C100" s="12" t="n">
        <v>-323.236</v>
      </c>
      <c r="D100" s="12" t="n">
        <v>-150.692</v>
      </c>
      <c r="E100" s="12" t="n">
        <v>-489.989</v>
      </c>
      <c r="F100" s="12" t="n">
        <v>436.742</v>
      </c>
      <c r="G100" s="12" t="n">
        <v>100.892</v>
      </c>
      <c r="H100" s="12" t="n">
        <v>327.795</v>
      </c>
      <c r="I100" s="12" t="n">
        <v>-446.254</v>
      </c>
      <c r="J100" s="12" t="n">
        <v>253.448</v>
      </c>
      <c r="K100" s="12" t="n">
        <v>343.069</v>
      </c>
      <c r="L100" s="12" t="n">
        <v>188.541</v>
      </c>
      <c r="M100" s="12" t="n">
        <v>-56.738</v>
      </c>
      <c r="N100" s="12" t="n">
        <v>412.858</v>
      </c>
      <c r="T100" s="12" t="n">
        <v>1163.918</v>
      </c>
      <c r="U100" s="12" t="n">
        <v>-787.593</v>
      </c>
      <c r="V100" s="12" t="n">
        <v>-489.989</v>
      </c>
      <c r="W100" s="12" t="n">
        <v>-446.254</v>
      </c>
      <c r="X100" s="12" t="n">
        <v>-56.738</v>
      </c>
    </row>
    <row r="101">
      <c r="A101" s="20" t="inlineStr">
        <is>
          <t>고정자산 매각이익</t>
        </is>
      </c>
      <c r="C101" s="22" t="n">
        <v>52.689</v>
      </c>
      <c r="D101" s="22" t="n">
        <v>7.671</v>
      </c>
      <c r="E101" s="22" t="n">
        <v>2.483</v>
      </c>
      <c r="F101" s="22" t="n">
        <v>0.282</v>
      </c>
      <c r="G101" s="22" t="n">
        <v>0.039</v>
      </c>
      <c r="H101" s="22" t="n">
        <v>0.163</v>
      </c>
      <c r="I101" s="22" t="n">
        <v>0.662</v>
      </c>
      <c r="J101" s="22" t="n">
        <v>0.494</v>
      </c>
      <c r="K101" s="22" t="n">
        <v>0</v>
      </c>
      <c r="L101" s="22" t="n">
        <v>0.407</v>
      </c>
      <c r="M101" s="22" t="n">
        <v>0</v>
      </c>
      <c r="N101" s="22" t="n">
        <v>0</v>
      </c>
      <c r="T101" s="22" t="n">
        <v>0.161</v>
      </c>
      <c r="U101" s="22" t="n">
        <v>0.008</v>
      </c>
      <c r="V101" s="22" t="n">
        <v>2.483</v>
      </c>
      <c r="W101" s="22" t="n">
        <v>0.662</v>
      </c>
      <c r="X101" s="22" t="n">
        <v>0</v>
      </c>
    </row>
    <row r="102">
      <c r="A102" s="20" t="inlineStr">
        <is>
          <t>투자유가증권 매각이익</t>
        </is>
      </c>
      <c r="D102" s="22" t="n">
        <v>0.953</v>
      </c>
      <c r="E102" s="22" t="n">
        <v>0</v>
      </c>
      <c r="H102" s="22" t="n">
        <v>0</v>
      </c>
      <c r="I102" s="22" t="n">
        <v>14.385</v>
      </c>
      <c r="U102" s="22" t="n">
        <v>0</v>
      </c>
      <c r="V102" s="22" t="n">
        <v>0</v>
      </c>
      <c r="W102" s="22" t="n">
        <v>14.385</v>
      </c>
    </row>
    <row r="103">
      <c r="A103" s="20" t="inlineStr">
        <is>
          <t>특별이익 합계</t>
        </is>
      </c>
      <c r="C103" s="22" t="n">
        <v>52.777</v>
      </c>
      <c r="D103" s="22" t="n">
        <v>8.622999999999999</v>
      </c>
      <c r="E103" s="22" t="n">
        <v>2.483</v>
      </c>
      <c r="F103" s="22" t="n">
        <v>0.282</v>
      </c>
      <c r="G103" s="22" t="n">
        <v>0.039</v>
      </c>
      <c r="H103" s="22" t="n">
        <v>0.163</v>
      </c>
      <c r="I103" s="22" t="n">
        <v>15.047</v>
      </c>
      <c r="J103" s="22" t="n">
        <v>0.494</v>
      </c>
      <c r="K103" s="22" t="n">
        <v>0</v>
      </c>
      <c r="L103" s="22" t="n">
        <v>0.407</v>
      </c>
      <c r="M103" s="22" t="n">
        <v>6.52</v>
      </c>
      <c r="N103" s="22" t="n">
        <v>0</v>
      </c>
      <c r="T103" s="22" t="n">
        <v>0.161</v>
      </c>
      <c r="U103" s="22" t="n">
        <v>0.008</v>
      </c>
      <c r="V103" s="22" t="n">
        <v>2.483</v>
      </c>
      <c r="W103" s="22" t="n">
        <v>15.047</v>
      </c>
      <c r="X103" s="22" t="n">
        <v>6.52</v>
      </c>
    </row>
    <row r="104">
      <c r="A104" s="20" t="inlineStr">
        <is>
          <t>고정자산 매각손실</t>
        </is>
      </c>
      <c r="D104" s="22" t="n">
        <v>0</v>
      </c>
      <c r="E104" s="22" t="n">
        <v>0</v>
      </c>
      <c r="H104" s="22" t="n">
        <v>0</v>
      </c>
      <c r="I104" s="22" t="n">
        <v>0</v>
      </c>
      <c r="J104" s="22" t="n">
        <v>0</v>
      </c>
      <c r="N104" s="22" t="n">
        <v>3.019</v>
      </c>
      <c r="U104" s="22" t="n">
        <v>0</v>
      </c>
      <c r="V104" s="22" t="n">
        <v>0</v>
      </c>
      <c r="W104" s="22" t="n">
        <v>0</v>
      </c>
    </row>
    <row r="105">
      <c r="A105" s="20" t="inlineStr">
        <is>
          <t>고정자산 제각손실</t>
        </is>
      </c>
      <c r="C105" s="22" t="n">
        <v>8.867000000000001</v>
      </c>
      <c r="D105" s="22" t="n">
        <v>2.856</v>
      </c>
      <c r="E105" s="22" t="n">
        <v>24.497</v>
      </c>
      <c r="F105" s="22" t="n">
        <v>0.134</v>
      </c>
      <c r="G105" s="22" t="n">
        <v>3.9</v>
      </c>
      <c r="H105" s="22" t="n">
        <v>1.619</v>
      </c>
      <c r="I105" s="22" t="n">
        <v>36.088</v>
      </c>
      <c r="J105" s="22" t="n">
        <v>28.155</v>
      </c>
      <c r="K105" s="22" t="n">
        <v>62.173</v>
      </c>
      <c r="L105" s="22" t="n">
        <v>35.308</v>
      </c>
      <c r="M105" s="22" t="n">
        <v>34.716</v>
      </c>
      <c r="N105" s="22" t="n">
        <v>4.154</v>
      </c>
      <c r="T105" s="22" t="n">
        <v>80.443</v>
      </c>
      <c r="U105" s="22" t="n">
        <v>196.514</v>
      </c>
      <c r="V105" s="22" t="n">
        <v>24.497</v>
      </c>
      <c r="W105" s="22" t="n">
        <v>36.088</v>
      </c>
      <c r="X105" s="22" t="n">
        <v>34.716</v>
      </c>
    </row>
    <row r="106">
      <c r="A106" s="20" t="inlineStr">
        <is>
          <t>투자유가증권 평가손실</t>
        </is>
      </c>
      <c r="T106" s="22" t="n">
        <v>-0.323</v>
      </c>
      <c r="U106" s="22" t="n">
        <v>0</v>
      </c>
    </row>
    <row r="107">
      <c r="A107" s="20" t="inlineStr">
        <is>
          <t>환경대책비</t>
        </is>
      </c>
      <c r="C107" s="22" t="n">
        <v>13.53</v>
      </c>
      <c r="D107" s="22" t="n">
        <v>6.06</v>
      </c>
      <c r="E107" s="22" t="n">
        <v>0</v>
      </c>
      <c r="H107" s="22" t="n">
        <v>0</v>
      </c>
      <c r="I107" s="22" t="n">
        <v>0</v>
      </c>
      <c r="T107" s="22" t="n">
        <v>38.55</v>
      </c>
      <c r="U107" s="22" t="n">
        <v>50</v>
      </c>
      <c r="V107" s="22" t="n">
        <v>0</v>
      </c>
      <c r="W107" s="22" t="n">
        <v>0</v>
      </c>
    </row>
    <row r="108">
      <c r="A108" s="20" t="inlineStr">
        <is>
          <t>특별손실 합계</t>
        </is>
      </c>
      <c r="C108" s="22" t="n">
        <v>43.69</v>
      </c>
      <c r="D108" s="22" t="n">
        <v>8.917</v>
      </c>
      <c r="E108" s="22" t="n">
        <v>3084.521</v>
      </c>
      <c r="F108" s="22" t="n">
        <v>0.134</v>
      </c>
      <c r="G108" s="22" t="n">
        <v>3.9</v>
      </c>
      <c r="H108" s="22" t="n">
        <v>1.619</v>
      </c>
      <c r="I108" s="22" t="n">
        <v>36.088</v>
      </c>
      <c r="J108" s="22" t="n">
        <v>28.155</v>
      </c>
      <c r="K108" s="22" t="n">
        <v>62.173</v>
      </c>
      <c r="L108" s="22" t="n">
        <v>35.308</v>
      </c>
      <c r="M108" s="22" t="n">
        <v>331.702</v>
      </c>
      <c r="N108" s="22" t="n">
        <v>7.174</v>
      </c>
      <c r="T108" s="22" t="n">
        <v>118.709</v>
      </c>
      <c r="U108" s="22" t="n">
        <v>261.53</v>
      </c>
      <c r="V108" s="22" t="n">
        <v>3084.521</v>
      </c>
      <c r="W108" s="22" t="n">
        <v>36.088</v>
      </c>
      <c r="X108" s="22" t="n">
        <v>331.702</v>
      </c>
    </row>
    <row r="109">
      <c r="A109" s="9" t="inlineStr">
        <is>
          <t>법인세차감전 순이익</t>
        </is>
      </c>
      <c r="C109" s="12" t="n">
        <v>-314.15</v>
      </c>
      <c r="D109" s="12" t="n">
        <v>-150.985</v>
      </c>
      <c r="E109" s="12" t="n">
        <v>-3572.027</v>
      </c>
      <c r="F109" s="12" t="n">
        <v>436.89</v>
      </c>
      <c r="G109" s="12" t="n">
        <v>97.03100000000001</v>
      </c>
      <c r="H109" s="12" t="n">
        <v>326.34</v>
      </c>
      <c r="I109" s="12" t="n">
        <v>-467.297</v>
      </c>
      <c r="J109" s="12" t="n">
        <v>225.787</v>
      </c>
      <c r="K109" s="12" t="n">
        <v>280.897</v>
      </c>
      <c r="L109" s="12" t="n">
        <v>153.639</v>
      </c>
      <c r="M109" s="12" t="n">
        <v>-381.919</v>
      </c>
      <c r="N109" s="12" t="n">
        <v>405.684</v>
      </c>
      <c r="T109" s="12" t="n">
        <v>1045.369</v>
      </c>
      <c r="U109" s="12" t="n">
        <v>-1049.114</v>
      </c>
      <c r="V109" s="12" t="n">
        <v>-3572.027</v>
      </c>
      <c r="W109" s="12" t="n">
        <v>-467.297</v>
      </c>
      <c r="X109" s="12" t="n">
        <v>-381.919</v>
      </c>
    </row>
    <row r="110">
      <c r="A110" s="20" t="inlineStr">
        <is>
          <t>법인세·주민세·사업세</t>
        </is>
      </c>
      <c r="C110" s="22" t="n">
        <v>2.5</v>
      </c>
      <c r="D110" s="22" t="n">
        <v>2.598</v>
      </c>
      <c r="E110" s="22" t="n">
        <v>2.5</v>
      </c>
      <c r="F110" s="22" t="n">
        <v>2.493</v>
      </c>
      <c r="G110" s="22" t="n">
        <v>22.881</v>
      </c>
      <c r="H110" s="22" t="n">
        <v>11.447</v>
      </c>
      <c r="I110" s="22" t="n">
        <v>-0.836</v>
      </c>
      <c r="J110" s="22" t="n">
        <v>5.797</v>
      </c>
      <c r="K110" s="22" t="n">
        <v>55.608</v>
      </c>
      <c r="L110" s="22" t="n">
        <v>-13.293</v>
      </c>
      <c r="M110" s="22" t="n">
        <v>4.063</v>
      </c>
      <c r="N110" s="22" t="n">
        <v>22.5</v>
      </c>
      <c r="T110" s="22" t="n">
        <v>571.177</v>
      </c>
      <c r="U110" s="22" t="n">
        <v>28.36</v>
      </c>
      <c r="V110" s="22" t="n">
        <v>2.5</v>
      </c>
      <c r="W110" s="22" t="n">
        <v>-0.836</v>
      </c>
      <c r="X110" s="22" t="n">
        <v>4.063</v>
      </c>
    </row>
    <row r="111">
      <c r="A111" s="20" t="inlineStr">
        <is>
          <t>법인세 조정액</t>
        </is>
      </c>
      <c r="C111" s="22" t="n">
        <v>-28.576</v>
      </c>
      <c r="D111" s="22" t="n">
        <v>10.815</v>
      </c>
      <c r="E111" s="22" t="n">
        <v>864.456</v>
      </c>
      <c r="F111" s="22" t="n">
        <v>17.605</v>
      </c>
      <c r="G111" s="22" t="n">
        <v>11.883</v>
      </c>
      <c r="H111" s="22" t="n">
        <v>12.628</v>
      </c>
      <c r="I111" s="22" t="n">
        <v>136.817</v>
      </c>
      <c r="J111" s="22" t="n">
        <v>16.566</v>
      </c>
      <c r="K111" s="22" t="n">
        <v>14.618</v>
      </c>
      <c r="L111" s="22" t="n">
        <v>31.248</v>
      </c>
      <c r="M111" s="22" t="n">
        <v>93.667</v>
      </c>
      <c r="N111" s="22" t="n">
        <v>18.684</v>
      </c>
      <c r="T111" s="22" t="n">
        <v>-280.721</v>
      </c>
      <c r="U111" s="22" t="n">
        <v>-210.817</v>
      </c>
      <c r="V111" s="22" t="n">
        <v>864.456</v>
      </c>
      <c r="W111" s="22" t="n">
        <v>136.817</v>
      </c>
      <c r="X111" s="22" t="n">
        <v>93.667</v>
      </c>
    </row>
    <row r="112">
      <c r="A112" s="20" t="inlineStr">
        <is>
          <t>법인세 등 합계</t>
        </is>
      </c>
      <c r="C112" s="22" t="n">
        <v>-26.077</v>
      </c>
      <c r="D112" s="22" t="n">
        <v>13.414</v>
      </c>
      <c r="E112" s="22" t="n">
        <v>866.956</v>
      </c>
      <c r="F112" s="22" t="n">
        <v>20.099</v>
      </c>
      <c r="G112" s="22" t="n">
        <v>34.764</v>
      </c>
      <c r="H112" s="22" t="n">
        <v>24.074</v>
      </c>
      <c r="I112" s="22" t="n">
        <v>135.982</v>
      </c>
      <c r="J112" s="22" t="n">
        <v>22.364</v>
      </c>
      <c r="K112" s="22" t="n">
        <v>70.22499999999999</v>
      </c>
      <c r="L112" s="22" t="n">
        <v>17.955</v>
      </c>
      <c r="M112" s="22" t="n">
        <v>97.73</v>
      </c>
      <c r="N112" s="22" t="n">
        <v>41.184</v>
      </c>
      <c r="T112" s="22" t="n">
        <v>290.455</v>
      </c>
      <c r="U112" s="22" t="n">
        <v>-182.457</v>
      </c>
      <c r="V112" s="22" t="n">
        <v>866.956</v>
      </c>
      <c r="W112" s="22" t="n">
        <v>135.982</v>
      </c>
      <c r="X112" s="22" t="n">
        <v>97.73</v>
      </c>
    </row>
    <row r="113">
      <c r="A113" s="9" t="inlineStr">
        <is>
          <t>순이익</t>
        </is>
      </c>
      <c r="C113" s="12" t="n">
        <v>-288.073</v>
      </c>
      <c r="D113" s="12" t="n">
        <v>-164.4</v>
      </c>
      <c r="E113" s="12" t="n">
        <v>-4438.983</v>
      </c>
      <c r="F113" s="12" t="n">
        <v>416.79</v>
      </c>
      <c r="G113" s="12" t="n">
        <v>62.268</v>
      </c>
      <c r="H113" s="12" t="n">
        <v>302.265</v>
      </c>
      <c r="I113" s="12" t="n">
        <v>-603.278</v>
      </c>
      <c r="J113" s="12" t="n">
        <v>203.423</v>
      </c>
      <c r="K113" s="12" t="n">
        <v>210.671</v>
      </c>
      <c r="L113" s="12" t="n">
        <v>135.684</v>
      </c>
      <c r="M113" s="12" t="n">
        <v>-479.649</v>
      </c>
      <c r="N113" s="12" t="n">
        <v>364.499</v>
      </c>
      <c r="T113" s="12" t="n">
        <v>754.915</v>
      </c>
      <c r="U113" s="12" t="n">
        <v>-866.657</v>
      </c>
      <c r="V113" s="12" t="n">
        <v>-4438.983</v>
      </c>
      <c r="W113" s="12" t="n">
        <v>-603.278</v>
      </c>
      <c r="X113" s="12" t="n">
        <v>-479.649</v>
      </c>
    </row>
    <row r="114">
      <c r="A114" s="9" t="inlineStr">
        <is>
          <t>지배주주 순이익</t>
        </is>
      </c>
      <c r="C114" s="12" t="n">
        <v>-288.073</v>
      </c>
      <c r="D114" s="12" t="n">
        <v>-164.4</v>
      </c>
      <c r="E114" s="12" t="n">
        <v>-4438.983</v>
      </c>
      <c r="F114" s="12" t="n">
        <v>416.79</v>
      </c>
      <c r="G114" s="12" t="n">
        <v>62.268</v>
      </c>
      <c r="H114" s="12" t="n">
        <v>302.265</v>
      </c>
      <c r="I114" s="12" t="n">
        <v>-603.278</v>
      </c>
      <c r="J114" s="12" t="n">
        <v>203.423</v>
      </c>
      <c r="K114" s="12" t="n">
        <v>210.671</v>
      </c>
      <c r="L114" s="12" t="n">
        <v>135.684</v>
      </c>
      <c r="M114" s="12" t="n">
        <v>-479.649</v>
      </c>
      <c r="N114" s="12" t="n">
        <v>364.499</v>
      </c>
      <c r="T114" s="12" t="n">
        <v>754.915</v>
      </c>
      <c r="U114" s="12" t="n">
        <v>-866.657</v>
      </c>
      <c r="V114" s="12" t="n">
        <v>-4438.983</v>
      </c>
      <c r="W114" s="12" t="n">
        <v>-603.278</v>
      </c>
      <c r="X114" s="12" t="n">
        <v>-479.649</v>
      </c>
    </row>
    <row r="116">
      <c r="A116" s="18" t="inlineStr">
        <is>
          <t>포괄손익 · 전 항목</t>
        </is>
      </c>
      <c r="B116" s="44" t="inlineStr">
        <is>
          <t>분기 = 3개월 단독</t>
        </is>
      </c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</row>
    <row r="117">
      <c r="A117" s="5" t="inlineStr">
        <is>
          <t>항목</t>
        </is>
      </c>
      <c r="B117" s="5" t="inlineStr">
        <is>
          <t>참고</t>
        </is>
      </c>
      <c r="C117" s="5" t="inlineStr">
        <is>
          <t>2024.2Q</t>
        </is>
      </c>
      <c r="D117" s="5" t="inlineStr">
        <is>
          <t>2024.3Q</t>
        </is>
      </c>
      <c r="E117" s="5" t="inlineStr">
        <is>
          <t>2024.4Q</t>
        </is>
      </c>
      <c r="F117" s="5" t="inlineStr">
        <is>
          <t>2025.1Q</t>
        </is>
      </c>
      <c r="G117" s="5" t="inlineStr">
        <is>
          <t>2025.2Q</t>
        </is>
      </c>
      <c r="H117" s="5" t="inlineStr">
        <is>
          <t>2025.3Q</t>
        </is>
      </c>
      <c r="I117" s="5" t="inlineStr">
        <is>
          <t>2025.4Q</t>
        </is>
      </c>
      <c r="J117" s="5" t="inlineStr">
        <is>
          <t>2026.1Q</t>
        </is>
      </c>
      <c r="K117" s="5" t="inlineStr">
        <is>
          <t>2026.2Q</t>
        </is>
      </c>
      <c r="L117" s="5" t="inlineStr">
        <is>
          <t>2026.3Q</t>
        </is>
      </c>
      <c r="M117" s="5" t="inlineStr">
        <is>
          <t>2026.4Q</t>
        </is>
      </c>
      <c r="N117" s="5" t="inlineStr">
        <is>
          <t>2027.1Q</t>
        </is>
      </c>
      <c r="O117" s="5" t="inlineStr">
        <is>
          <t>2017</t>
        </is>
      </c>
      <c r="P117" s="5" t="inlineStr">
        <is>
          <t>2018</t>
        </is>
      </c>
      <c r="Q117" s="5" t="inlineStr">
        <is>
          <t>2019</t>
        </is>
      </c>
      <c r="R117" s="5" t="inlineStr">
        <is>
          <t>2020</t>
        </is>
      </c>
      <c r="S117" s="5" t="inlineStr">
        <is>
          <t>2021</t>
        </is>
      </c>
      <c r="T117" s="5" t="inlineStr">
        <is>
          <t>2022</t>
        </is>
      </c>
      <c r="U117" s="5" t="inlineStr">
        <is>
          <t>2023</t>
        </is>
      </c>
      <c r="V117" s="5" t="inlineStr">
        <is>
          <t>2024</t>
        </is>
      </c>
      <c r="W117" s="5" t="inlineStr">
        <is>
          <t>2025</t>
        </is>
      </c>
      <c r="X117" s="5" t="inlineStr">
        <is>
          <t>2026</t>
        </is>
      </c>
      <c r="Y117" s="5" t="inlineStr">
        <is>
          <t>2027(MW)</t>
        </is>
      </c>
      <c r="Z117" s="5" t="inlineStr">
        <is>
          <t>2028(MW)</t>
        </is>
      </c>
      <c r="AA117" s="5" t="inlineStr">
        <is>
          <t>2029(MW)</t>
        </is>
      </c>
      <c r="AB117" s="5" t="inlineStr">
        <is>
          <t>2030(MW)</t>
        </is>
      </c>
      <c r="AC117" s="5" t="inlineStr">
        <is>
          <t>2031(MW)</t>
        </is>
      </c>
    </row>
    <row r="118">
      <c r="A118" s="9" t="inlineStr">
        <is>
          <t>순이익</t>
        </is>
      </c>
      <c r="C118" s="12" t="n">
        <v>-288.073</v>
      </c>
      <c r="D118" s="12" t="n">
        <v>-164.4</v>
      </c>
      <c r="E118" s="12" t="n">
        <v>-4438.983</v>
      </c>
      <c r="F118" s="12" t="n">
        <v>416.79</v>
      </c>
      <c r="G118" s="12" t="n">
        <v>62.268</v>
      </c>
      <c r="H118" s="12" t="n">
        <v>302.265</v>
      </c>
      <c r="I118" s="12" t="n">
        <v>-603.278</v>
      </c>
      <c r="J118" s="12" t="n">
        <v>203.423</v>
      </c>
      <c r="K118" s="12" t="n">
        <v>210.671</v>
      </c>
      <c r="L118" s="12" t="n">
        <v>135.684</v>
      </c>
      <c r="M118" s="12" t="n">
        <v>-479.649</v>
      </c>
      <c r="N118" s="12" t="n">
        <v>364.499</v>
      </c>
      <c r="T118" s="12" t="n">
        <v>754.915</v>
      </c>
      <c r="U118" s="12" t="n">
        <v>-866.657</v>
      </c>
      <c r="V118" s="12" t="n">
        <v>-4438.983</v>
      </c>
      <c r="W118" s="12" t="n">
        <v>-603.278</v>
      </c>
      <c r="X118" s="12" t="n">
        <v>-479.649</v>
      </c>
    </row>
    <row r="119">
      <c r="A119" s="20" t="inlineStr">
        <is>
          <t>기타유가증권 평가차액</t>
        </is>
      </c>
      <c r="C119" s="22" t="n">
        <v>3.039</v>
      </c>
      <c r="D119" s="22" t="n">
        <v>-36.423</v>
      </c>
      <c r="E119" s="22" t="n">
        <v>61.816</v>
      </c>
      <c r="F119" s="22" t="n">
        <v>26.408</v>
      </c>
      <c r="G119" s="22" t="n">
        <v>-61.084</v>
      </c>
      <c r="H119" s="22" t="n">
        <v>30.766</v>
      </c>
      <c r="I119" s="22" t="n">
        <v>-0.794</v>
      </c>
      <c r="J119" s="22" t="n">
        <v>11.503</v>
      </c>
      <c r="K119" s="22" t="n">
        <v>84.869</v>
      </c>
      <c r="L119" s="22" t="n">
        <v>19.431</v>
      </c>
      <c r="M119" s="22" t="n">
        <v>9.877000000000001</v>
      </c>
      <c r="N119" s="22" t="n">
        <v>191.849</v>
      </c>
      <c r="T119" s="22" t="n">
        <v>-52.666</v>
      </c>
      <c r="U119" s="22" t="n">
        <v>1.197</v>
      </c>
      <c r="V119" s="22" t="n">
        <v>61.816</v>
      </c>
      <c r="W119" s="22" t="n">
        <v>-0.794</v>
      </c>
      <c r="X119" s="22" t="n">
        <v>9.877000000000001</v>
      </c>
    </row>
    <row r="120">
      <c r="A120" s="20" t="inlineStr">
        <is>
          <t>퇴직급여 조정액</t>
        </is>
      </c>
      <c r="C120" s="22" t="n">
        <v>0.067</v>
      </c>
      <c r="D120" s="22" t="n">
        <v>0.067</v>
      </c>
      <c r="E120" s="22" t="n">
        <v>400.615</v>
      </c>
      <c r="F120" s="22" t="n">
        <v>-17.983</v>
      </c>
      <c r="G120" s="22" t="n">
        <v>-17.984</v>
      </c>
      <c r="H120" s="22" t="n">
        <v>-17.984</v>
      </c>
      <c r="I120" s="22" t="n">
        <v>239.63</v>
      </c>
      <c r="J120" s="22" t="n">
        <v>-15.996</v>
      </c>
      <c r="K120" s="22" t="n">
        <v>-15.996</v>
      </c>
      <c r="L120" s="22" t="n">
        <v>-15.996</v>
      </c>
      <c r="M120" s="22" t="n">
        <v>786.6130000000001</v>
      </c>
      <c r="N120" s="22" t="n">
        <v>-32.098</v>
      </c>
      <c r="T120" s="22" t="n">
        <v>-180.17</v>
      </c>
      <c r="U120" s="22" t="n">
        <v>225.958</v>
      </c>
      <c r="V120" s="22" t="n">
        <v>400.615</v>
      </c>
      <c r="W120" s="22" t="n">
        <v>239.63</v>
      </c>
      <c r="X120" s="22" t="n">
        <v>786.6130000000001</v>
      </c>
    </row>
    <row r="121">
      <c r="A121" s="20" t="inlineStr">
        <is>
          <t>기타포괄손익 합계</t>
        </is>
      </c>
      <c r="C121" s="22" t="n">
        <v>3.105</v>
      </c>
      <c r="D121" s="22" t="n">
        <v>-36.356</v>
      </c>
      <c r="E121" s="22" t="n">
        <v>462.431</v>
      </c>
      <c r="F121" s="22" t="n">
        <v>8.423999999999999</v>
      </c>
      <c r="G121" s="22" t="n">
        <v>-79.068</v>
      </c>
      <c r="H121" s="22" t="n">
        <v>12.783</v>
      </c>
      <c r="I121" s="22" t="n">
        <v>238.835</v>
      </c>
      <c r="J121" s="22" t="n">
        <v>-4.492</v>
      </c>
      <c r="K121" s="22" t="n">
        <v>68.872</v>
      </c>
      <c r="L121" s="22" t="n">
        <v>3.435</v>
      </c>
      <c r="M121" s="22" t="n">
        <v>796.491</v>
      </c>
      <c r="N121" s="22" t="n">
        <v>159.751</v>
      </c>
      <c r="T121" s="22" t="n">
        <v>-232.836</v>
      </c>
      <c r="U121" s="22" t="n">
        <v>227.155</v>
      </c>
      <c r="V121" s="22" t="n">
        <v>462.431</v>
      </c>
      <c r="W121" s="22" t="n">
        <v>238.835</v>
      </c>
      <c r="X121" s="22" t="n">
        <v>796.491</v>
      </c>
    </row>
    <row r="122">
      <c r="A122" s="9" t="inlineStr">
        <is>
          <t>포괄이익</t>
        </is>
      </c>
      <c r="C122" s="12" t="n">
        <v>-284.968</v>
      </c>
      <c r="D122" s="12" t="n">
        <v>-200.755</v>
      </c>
      <c r="E122" s="12" t="n">
        <v>-3976.552</v>
      </c>
      <c r="F122" s="12" t="n">
        <v>425.215</v>
      </c>
      <c r="G122" s="12" t="n">
        <v>-16.801</v>
      </c>
      <c r="H122" s="12" t="n">
        <v>315.048</v>
      </c>
      <c r="I122" s="12" t="n">
        <v>-364.443</v>
      </c>
      <c r="J122" s="12" t="n">
        <v>198.93</v>
      </c>
      <c r="K122" s="12" t="n">
        <v>279.545</v>
      </c>
      <c r="L122" s="12" t="n">
        <v>139.118</v>
      </c>
      <c r="M122" s="12" t="n">
        <v>316.842</v>
      </c>
      <c r="N122" s="12" t="n">
        <v>524.25</v>
      </c>
      <c r="T122" s="12" t="n">
        <v>522.078</v>
      </c>
      <c r="U122" s="12" t="n">
        <v>-639.503</v>
      </c>
      <c r="V122" s="12" t="n">
        <v>-3976.552</v>
      </c>
      <c r="W122" s="12" t="n">
        <v>-364.443</v>
      </c>
      <c r="X122" s="12" t="n">
        <v>316.842</v>
      </c>
    </row>
    <row r="123">
      <c r="A123" s="9" t="inlineStr">
        <is>
          <t>지배주주 포괄이익</t>
        </is>
      </c>
      <c r="C123" s="12" t="n">
        <v>-284.968</v>
      </c>
      <c r="D123" s="12" t="n">
        <v>-200.755</v>
      </c>
      <c r="E123" s="12" t="n">
        <v>-3976.552</v>
      </c>
      <c r="F123" s="12" t="n">
        <v>425.215</v>
      </c>
      <c r="G123" s="12" t="n">
        <v>-16.801</v>
      </c>
      <c r="H123" s="12" t="n">
        <v>315.048</v>
      </c>
      <c r="I123" s="12" t="n">
        <v>-364.443</v>
      </c>
      <c r="J123" s="12" t="n">
        <v>198.93</v>
      </c>
      <c r="K123" s="12" t="n">
        <v>279.545</v>
      </c>
      <c r="L123" s="12" t="n">
        <v>139.118</v>
      </c>
      <c r="M123" s="12" t="n">
        <v>316.842</v>
      </c>
      <c r="N123" s="12" t="n">
        <v>524.25</v>
      </c>
      <c r="T123" s="12" t="n">
        <v>522.078</v>
      </c>
      <c r="U123" s="12" t="n">
        <v>-639.503</v>
      </c>
      <c r="V123" s="12" t="n">
        <v>-3976.552</v>
      </c>
      <c r="W123" s="12" t="n">
        <v>-364.443</v>
      </c>
      <c r="X123" s="12" t="n">
        <v>316.842</v>
      </c>
    </row>
    <row r="124">
      <c r="A124" s="9" t="inlineStr">
        <is>
          <t>비지배주주 포괄이익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법인세차감전 순이익</t>
        </is>
      </c>
      <c r="E128" s="12" t="n">
        <v>-4352.488</v>
      </c>
      <c r="I128" s="12" t="n">
        <v>392.964</v>
      </c>
      <c r="M128" s="12" t="n">
        <v>278.404</v>
      </c>
      <c r="O128" s="12" t="n">
        <v>5953.916</v>
      </c>
      <c r="P128" s="12" t="n">
        <v>6062.304</v>
      </c>
      <c r="Q128" s="12" t="n">
        <v>3592.069</v>
      </c>
      <c r="R128" s="12" t="n">
        <v>2558.671</v>
      </c>
      <c r="S128" s="12" t="n">
        <v>1557.564</v>
      </c>
      <c r="T128" s="12" t="n">
        <v>4015.007</v>
      </c>
      <c r="U128" s="12" t="n">
        <v>213.933</v>
      </c>
      <c r="V128" s="12" t="n">
        <v>-4352.488</v>
      </c>
      <c r="W128" s="12" t="n">
        <v>392.964</v>
      </c>
      <c r="X128" s="12" t="n">
        <v>278.404</v>
      </c>
    </row>
    <row r="129">
      <c r="A129" s="20" t="inlineStr">
        <is>
          <t>감가상각비</t>
        </is>
      </c>
      <c r="E129" s="22" t="n">
        <v>3110.34</v>
      </c>
      <c r="I129" s="22" t="n">
        <v>1753.036</v>
      </c>
      <c r="M129" s="22" t="n">
        <v>2337.543</v>
      </c>
      <c r="O129" s="22" t="n">
        <v>2271.478</v>
      </c>
      <c r="P129" s="22" t="n">
        <v>2979.519</v>
      </c>
      <c r="Q129" s="22" t="n">
        <v>3414.358</v>
      </c>
      <c r="R129" s="22" t="n">
        <v>3256.774</v>
      </c>
      <c r="S129" s="22" t="n">
        <v>3291.338</v>
      </c>
      <c r="T129" s="22" t="n">
        <v>3114.671</v>
      </c>
      <c r="U129" s="22" t="n">
        <v>3307.537</v>
      </c>
      <c r="V129" s="22" t="n">
        <v>3110.34</v>
      </c>
      <c r="W129" s="22" t="n">
        <v>1753.036</v>
      </c>
      <c r="X129" s="22" t="n">
        <v>2337.543</v>
      </c>
    </row>
    <row r="130">
      <c r="A130" s="20" t="inlineStr">
        <is>
          <t>Depreciation And Amortization On Other Ope CF</t>
        </is>
      </c>
      <c r="O130" s="22" t="n">
        <v>76.664</v>
      </c>
      <c r="P130" s="22" t="n">
        <v>73.551</v>
      </c>
      <c r="Q130" s="22" t="n">
        <v>77.37</v>
      </c>
    </row>
    <row r="131">
      <c r="A131" s="20" t="inlineStr">
        <is>
          <t>손상차손</t>
        </is>
      </c>
      <c r="E131" s="22" t="n">
        <v>3060.024</v>
      </c>
      <c r="I131" s="22" t="n">
        <v>0</v>
      </c>
      <c r="M131" s="22" t="n">
        <v>252.118</v>
      </c>
      <c r="O131" s="22" t="n">
        <v>519.655</v>
      </c>
      <c r="P131" s="22" t="n">
        <v>0</v>
      </c>
      <c r="Q131" s="22" t="n">
        <v>438.852</v>
      </c>
      <c r="R131" s="22" t="n">
        <v>833.391</v>
      </c>
      <c r="S131" s="22" t="n">
        <v>44.418</v>
      </c>
      <c r="T131" s="22" t="n">
        <v>0</v>
      </c>
      <c r="U131" s="22" t="n">
        <v>15.016</v>
      </c>
      <c r="V131" s="22" t="n">
        <v>3060.024</v>
      </c>
      <c r="W131" s="22" t="n">
        <v>0</v>
      </c>
      <c r="X131" s="22" t="n">
        <v>252.118</v>
      </c>
    </row>
    <row r="132">
      <c r="A132" s="20" t="inlineStr">
        <is>
          <t>영업권 상각</t>
        </is>
      </c>
      <c r="E132" s="22" t="n">
        <v>12.683</v>
      </c>
      <c r="I132" s="22" t="n">
        <v>0</v>
      </c>
      <c r="O132" s="22" t="n">
        <v>22.076</v>
      </c>
      <c r="P132" s="22" t="n">
        <v>12.683</v>
      </c>
      <c r="Q132" s="22" t="n">
        <v>12.683</v>
      </c>
      <c r="R132" s="22" t="n">
        <v>12.683</v>
      </c>
      <c r="S132" s="22" t="n">
        <v>12.683</v>
      </c>
      <c r="T132" s="22" t="n">
        <v>12.683</v>
      </c>
      <c r="U132" s="22" t="n">
        <v>12.683</v>
      </c>
      <c r="V132" s="22" t="n">
        <v>12.683</v>
      </c>
      <c r="W132" s="22" t="n">
        <v>0</v>
      </c>
    </row>
    <row r="133">
      <c r="A133" s="20" t="inlineStr">
        <is>
          <t>고정자산 제각손실</t>
        </is>
      </c>
      <c r="E133" s="22" t="n">
        <v>36.954</v>
      </c>
      <c r="I133" s="22" t="n">
        <v>41.741</v>
      </c>
      <c r="M133" s="22" t="n">
        <v>160.352</v>
      </c>
      <c r="O133" s="22" t="n">
        <v>12.993</v>
      </c>
      <c r="P133" s="22" t="n">
        <v>104.433</v>
      </c>
      <c r="Q133" s="22" t="n">
        <v>7.578</v>
      </c>
      <c r="R133" s="22" t="n">
        <v>30.823</v>
      </c>
      <c r="S133" s="22" t="n">
        <v>17.908</v>
      </c>
      <c r="T133" s="22" t="n">
        <v>88.627</v>
      </c>
      <c r="U133" s="22" t="n">
        <v>248.71</v>
      </c>
      <c r="V133" s="22" t="n">
        <v>36.954</v>
      </c>
      <c r="W133" s="22" t="n">
        <v>41.741</v>
      </c>
      <c r="X133" s="22" t="n">
        <v>160.352</v>
      </c>
    </row>
    <row r="134">
      <c r="A134" s="20" t="inlineStr">
        <is>
          <t>고정자산 매각손익</t>
        </is>
      </c>
      <c r="E134" s="22" t="n">
        <v>-50.4</v>
      </c>
      <c r="I134" s="22" t="n">
        <v>-1.146</v>
      </c>
      <c r="M134" s="22" t="n">
        <v>43.608</v>
      </c>
      <c r="O134" s="22" t="n">
        <v>-0.022</v>
      </c>
      <c r="P134" s="22" t="n">
        <v>-1.168</v>
      </c>
      <c r="Q134" s="22" t="n">
        <v>-1.095</v>
      </c>
      <c r="R134" s="22" t="n">
        <v>0.345</v>
      </c>
      <c r="S134" s="22" t="n">
        <v>-11.573</v>
      </c>
      <c r="T134" s="22" t="n">
        <v>-11.239</v>
      </c>
      <c r="U134" s="22" t="n">
        <v>-27.842</v>
      </c>
      <c r="V134" s="22" t="n">
        <v>-50.4</v>
      </c>
      <c r="W134" s="22" t="n">
        <v>-1.146</v>
      </c>
      <c r="X134" s="22" t="n">
        <v>43.608</v>
      </c>
    </row>
    <row r="135">
      <c r="A135" s="20" t="inlineStr">
        <is>
          <t>투자유가증권 매각손익</t>
        </is>
      </c>
      <c r="E135" s="22" t="n">
        <v>-1.04</v>
      </c>
      <c r="I135" s="22" t="n">
        <v>-14.385</v>
      </c>
      <c r="M135" s="22" t="n">
        <v>-6.52</v>
      </c>
      <c r="O135" s="22" t="n">
        <v>-74.562</v>
      </c>
      <c r="P135" s="22" t="n">
        <v>-0.1</v>
      </c>
      <c r="Q135" s="22" t="n">
        <v>0</v>
      </c>
      <c r="R135" s="22" t="n">
        <v>-4.031</v>
      </c>
      <c r="S135" s="22" t="n">
        <v>-47.612</v>
      </c>
      <c r="T135" s="22" t="n">
        <v>0</v>
      </c>
      <c r="U135" s="22" t="n">
        <v>0</v>
      </c>
      <c r="V135" s="22" t="n">
        <v>-1.04</v>
      </c>
      <c r="W135" s="22" t="n">
        <v>-14.385</v>
      </c>
      <c r="X135" s="22" t="n">
        <v>-6.52</v>
      </c>
    </row>
    <row r="136">
      <c r="A136" s="20" t="inlineStr">
        <is>
          <t>부의 영업권 발생이익</t>
        </is>
      </c>
      <c r="O136" s="22" t="n">
        <v>-324.506</v>
      </c>
      <c r="P136" s="22" t="n">
        <v>0</v>
      </c>
    </row>
    <row r="137">
      <c r="A137" s="20" t="inlineStr">
        <is>
          <t>투자유가증권 평가손익</t>
        </is>
      </c>
      <c r="I137" s="22" t="n">
        <v>0</v>
      </c>
      <c r="M137" s="22" t="n">
        <v>0.357</v>
      </c>
      <c r="R137" s="22" t="n">
        <v>0</v>
      </c>
      <c r="S137" s="22" t="n">
        <v>3.784</v>
      </c>
      <c r="T137" s="22" t="n">
        <v>3.089</v>
      </c>
      <c r="U137" s="22" t="n">
        <v>0</v>
      </c>
      <c r="W137" s="22" t="n">
        <v>0</v>
      </c>
      <c r="X137" s="22" t="n">
        <v>0.357</v>
      </c>
    </row>
    <row r="138">
      <c r="A138" s="20" t="inlineStr">
        <is>
          <t>대손충당금 증감</t>
        </is>
      </c>
      <c r="O138" s="22" t="n">
        <v>318.107</v>
      </c>
      <c r="P138" s="22" t="n">
        <v>-304.145</v>
      </c>
      <c r="Q138" s="22" t="n">
        <v>-3.235</v>
      </c>
      <c r="R138" s="22" t="n">
        <v>-10.726</v>
      </c>
      <c r="S138" s="22" t="n">
        <v>0</v>
      </c>
    </row>
    <row r="139">
      <c r="A139" s="20" t="inlineStr">
        <is>
          <t>임원 퇴직위로 충당금 증감</t>
        </is>
      </c>
      <c r="O139" s="22" t="n">
        <v>-1464.986</v>
      </c>
      <c r="P139" s="22" t="n">
        <v>0</v>
      </c>
    </row>
    <row r="140">
      <c r="A140" s="20" t="inlineStr">
        <is>
          <t>상여충당금 증감</t>
        </is>
      </c>
      <c r="E140" s="22" t="n">
        <v>-31.935</v>
      </c>
      <c r="I140" s="22" t="n">
        <v>-6.563</v>
      </c>
      <c r="M140" s="22" t="n">
        <v>-1.626</v>
      </c>
      <c r="O140" s="22" t="n">
        <v>30.476</v>
      </c>
      <c r="P140" s="22" t="n">
        <v>50.734</v>
      </c>
      <c r="Q140" s="22" t="n">
        <v>-42.092</v>
      </c>
      <c r="R140" s="22" t="n">
        <v>-7.865</v>
      </c>
      <c r="S140" s="22" t="n">
        <v>5.862</v>
      </c>
      <c r="T140" s="22" t="n">
        <v>-66.899</v>
      </c>
      <c r="U140" s="22" t="n">
        <v>-8.691000000000001</v>
      </c>
      <c r="V140" s="22" t="n">
        <v>-31.935</v>
      </c>
      <c r="W140" s="22" t="n">
        <v>-6.563</v>
      </c>
      <c r="X140" s="22" t="n">
        <v>-1.626</v>
      </c>
    </row>
    <row r="141">
      <c r="A141" s="20" t="inlineStr">
        <is>
          <t>퇴직급여자산 증감</t>
        </is>
      </c>
      <c r="E141" s="22" t="n">
        <v>-108.037</v>
      </c>
      <c r="I141" s="22" t="n">
        <v>-266.223</v>
      </c>
      <c r="M141" s="22" t="n">
        <v>-240.551</v>
      </c>
      <c r="O141" s="22" t="n">
        <v>82.68899999999999</v>
      </c>
      <c r="P141" s="22" t="n">
        <v>14.732</v>
      </c>
      <c r="Q141" s="22" t="n">
        <v>-23.509</v>
      </c>
      <c r="R141" s="22" t="n">
        <v>-36.254</v>
      </c>
      <c r="S141" s="22" t="n">
        <v>-31.941</v>
      </c>
      <c r="T141" s="22" t="n">
        <v>-42.104</v>
      </c>
      <c r="U141" s="22" t="n">
        <v>-23.743</v>
      </c>
      <c r="V141" s="22" t="n">
        <v>-108.037</v>
      </c>
      <c r="W141" s="22" t="n">
        <v>-266.223</v>
      </c>
      <c r="X141" s="22" t="n">
        <v>-240.551</v>
      </c>
    </row>
    <row r="142">
      <c r="A142" s="20" t="inlineStr">
        <is>
          <t>퇴직급여부채 증감</t>
        </is>
      </c>
      <c r="E142" s="22" t="n">
        <v>30.314</v>
      </c>
      <c r="I142" s="22" t="n">
        <v>73.52</v>
      </c>
      <c r="M142" s="22" t="n">
        <v>85.94799999999999</v>
      </c>
      <c r="O142" s="22" t="n">
        <v>-36.642</v>
      </c>
      <c r="P142" s="22" t="n">
        <v>-2.929</v>
      </c>
      <c r="Q142" s="22" t="n">
        <v>-30.47</v>
      </c>
      <c r="R142" s="22" t="n">
        <v>-35.782</v>
      </c>
      <c r="S142" s="22" t="n">
        <v>-46.175</v>
      </c>
      <c r="T142" s="22" t="n">
        <v>-61.702</v>
      </c>
      <c r="U142" s="22" t="n">
        <v>-43.889</v>
      </c>
      <c r="V142" s="22" t="n">
        <v>30.314</v>
      </c>
      <c r="W142" s="22" t="n">
        <v>73.52</v>
      </c>
      <c r="X142" s="22" t="n">
        <v>85.94799999999999</v>
      </c>
    </row>
    <row r="143">
      <c r="A143" s="20" t="inlineStr">
        <is>
          <t>이자·배당금 수익</t>
        </is>
      </c>
      <c r="E143" s="22" t="n">
        <v>-58.59</v>
      </c>
      <c r="I143" s="22" t="n">
        <v>-69.462</v>
      </c>
      <c r="M143" s="22" t="n">
        <v>-110.475</v>
      </c>
      <c r="O143" s="22" t="n">
        <v>-71.154</v>
      </c>
      <c r="P143" s="22" t="n">
        <v>-78.544</v>
      </c>
      <c r="Q143" s="22" t="n">
        <v>-82.96299999999999</v>
      </c>
      <c r="R143" s="22" t="n">
        <v>-61.658</v>
      </c>
      <c r="S143" s="22" t="n">
        <v>-53.404</v>
      </c>
      <c r="T143" s="22" t="n">
        <v>-73.843</v>
      </c>
      <c r="U143" s="22" t="n">
        <v>-86.309</v>
      </c>
      <c r="V143" s="22" t="n">
        <v>-58.59</v>
      </c>
      <c r="W143" s="22" t="n">
        <v>-69.462</v>
      </c>
      <c r="X143" s="22" t="n">
        <v>-110.475</v>
      </c>
    </row>
    <row r="144">
      <c r="A144" s="20" t="inlineStr">
        <is>
          <t>이자비용</t>
        </is>
      </c>
      <c r="E144" s="22" t="n">
        <v>3.949</v>
      </c>
      <c r="I144" s="22" t="n">
        <v>6.638</v>
      </c>
      <c r="M144" s="22" t="n">
        <v>78.48999999999999</v>
      </c>
      <c r="O144" s="22" t="n">
        <v>13.215</v>
      </c>
      <c r="P144" s="22" t="n">
        <v>11.697</v>
      </c>
      <c r="Q144" s="22" t="n">
        <v>9.659000000000001</v>
      </c>
      <c r="R144" s="22" t="n">
        <v>8.161</v>
      </c>
      <c r="S144" s="22" t="n">
        <v>7.475</v>
      </c>
      <c r="T144" s="22" t="n">
        <v>8.403</v>
      </c>
      <c r="U144" s="22" t="n">
        <v>4.73</v>
      </c>
      <c r="V144" s="22" t="n">
        <v>3.949</v>
      </c>
      <c r="W144" s="22" t="n">
        <v>6.638</v>
      </c>
      <c r="X144" s="22" t="n">
        <v>78.48999999999999</v>
      </c>
    </row>
    <row r="145">
      <c r="A145" s="20" t="inlineStr">
        <is>
          <t>외환차손익</t>
        </is>
      </c>
      <c r="E145" s="22" t="n">
        <v>-20.494</v>
      </c>
      <c r="I145" s="22" t="n">
        <v>46.481</v>
      </c>
      <c r="M145" s="22" t="n">
        <v>-44.939</v>
      </c>
      <c r="O145" s="22" t="n">
        <v>254.298</v>
      </c>
      <c r="P145" s="22" t="n">
        <v>135.973</v>
      </c>
      <c r="Q145" s="22" t="n">
        <v>-31.495</v>
      </c>
      <c r="R145" s="22" t="n">
        <v>-37.186</v>
      </c>
      <c r="S145" s="22" t="n">
        <v>-18.785</v>
      </c>
      <c r="T145" s="22" t="n">
        <v>-315.079</v>
      </c>
      <c r="U145" s="22" t="n">
        <v>-128.483</v>
      </c>
      <c r="V145" s="22" t="n">
        <v>-20.494</v>
      </c>
      <c r="W145" s="22" t="n">
        <v>46.481</v>
      </c>
      <c r="X145" s="22" t="n">
        <v>-44.939</v>
      </c>
    </row>
    <row r="146">
      <c r="A146" s="20" t="inlineStr">
        <is>
          <t>지분법손익</t>
        </is>
      </c>
      <c r="E146" s="22" t="n">
        <v>9.981999999999999</v>
      </c>
      <c r="I146" s="22" t="n">
        <v>-11.214</v>
      </c>
      <c r="M146" s="22" t="n">
        <v>1.333</v>
      </c>
      <c r="O146" s="22" t="n">
        <v>-91.256</v>
      </c>
      <c r="P146" s="22" t="n">
        <v>-36.858</v>
      </c>
      <c r="Q146" s="22" t="n">
        <v>-72.747</v>
      </c>
      <c r="R146" s="22" t="n">
        <v>-43.175</v>
      </c>
      <c r="S146" s="22" t="n">
        <v>-58.919</v>
      </c>
      <c r="T146" s="22" t="n">
        <v>-12.817</v>
      </c>
      <c r="U146" s="22" t="n">
        <v>3.602</v>
      </c>
      <c r="V146" s="22" t="n">
        <v>9.981999999999999</v>
      </c>
      <c r="W146" s="22" t="n">
        <v>-11.214</v>
      </c>
      <c r="X146" s="22" t="n">
        <v>1.333</v>
      </c>
    </row>
    <row r="147">
      <c r="A147" s="20" t="inlineStr">
        <is>
          <t>보험해약 손익</t>
        </is>
      </c>
      <c r="O147" s="22" t="n">
        <v>54.514</v>
      </c>
      <c r="P147" s="22" t="n">
        <v>0</v>
      </c>
    </row>
    <row r="148">
      <c r="A148" s="20" t="inlineStr">
        <is>
          <t>임대료 수익</t>
        </is>
      </c>
      <c r="E148" s="22" t="n">
        <v>-31.397</v>
      </c>
      <c r="I148" s="22" t="n">
        <v>-30.821</v>
      </c>
      <c r="M148" s="22" t="n">
        <v>-37.486</v>
      </c>
      <c r="T148" s="22" t="n">
        <v>-34.468</v>
      </c>
      <c r="U148" s="22" t="n">
        <v>-33.014</v>
      </c>
      <c r="V148" s="22" t="n">
        <v>-31.397</v>
      </c>
      <c r="W148" s="22" t="n">
        <v>-30.821</v>
      </c>
      <c r="X148" s="22" t="n">
        <v>-37.486</v>
      </c>
    </row>
    <row r="149">
      <c r="A149" s="20" t="inlineStr">
        <is>
          <t>보조금 수입</t>
        </is>
      </c>
      <c r="E149" s="22" t="n">
        <v>-29.896</v>
      </c>
      <c r="I149" s="22" t="n">
        <v>0</v>
      </c>
      <c r="U149" s="22" t="n">
        <v>-13.997</v>
      </c>
      <c r="V149" s="22" t="n">
        <v>-29.896</v>
      </c>
      <c r="W149" s="22" t="n">
        <v>0</v>
      </c>
    </row>
    <row r="150">
      <c r="A150" s="20" t="inlineStr">
        <is>
          <t>환경대책비</t>
        </is>
      </c>
      <c r="E150" s="22" t="n">
        <v>19.59</v>
      </c>
      <c r="I150" s="22" t="n">
        <v>0</v>
      </c>
      <c r="T150" s="22" t="n">
        <v>0</v>
      </c>
      <c r="U150" s="22" t="n">
        <v>51.467</v>
      </c>
      <c r="V150" s="22" t="n">
        <v>19.59</v>
      </c>
      <c r="W150" s="22" t="n">
        <v>0</v>
      </c>
    </row>
    <row r="151">
      <c r="A151" s="20" t="inlineStr">
        <is>
          <t>매출채권 증감</t>
        </is>
      </c>
      <c r="E151" s="22" t="n">
        <v>156.948</v>
      </c>
      <c r="I151" s="22" t="n">
        <v>-715.559</v>
      </c>
      <c r="M151" s="22" t="n">
        <v>-1181.954</v>
      </c>
      <c r="O151" s="22" t="n">
        <v>-2006.493</v>
      </c>
      <c r="P151" s="22" t="n">
        <v>-258.276</v>
      </c>
      <c r="Q151" s="22" t="n">
        <v>2415.924</v>
      </c>
      <c r="R151" s="22" t="n">
        <v>-2000.63</v>
      </c>
      <c r="S151" s="22" t="n">
        <v>-163.083</v>
      </c>
      <c r="T151" s="22" t="n">
        <v>-594.546</v>
      </c>
      <c r="U151" s="22" t="n">
        <v>3298.575</v>
      </c>
      <c r="V151" s="22" t="n">
        <v>156.948</v>
      </c>
      <c r="W151" s="22" t="n">
        <v>-715.559</v>
      </c>
      <c r="X151" s="22" t="n">
        <v>-1181.954</v>
      </c>
    </row>
    <row r="152">
      <c r="A152" s="20" t="inlineStr">
        <is>
          <t>재고자산 증감</t>
        </is>
      </c>
      <c r="E152" s="22" t="n">
        <v>505.175</v>
      </c>
      <c r="I152" s="22" t="n">
        <v>-36.296</v>
      </c>
      <c r="M152" s="22" t="n">
        <v>-2003.698</v>
      </c>
      <c r="O152" s="22" t="n">
        <v>-28.494</v>
      </c>
      <c r="P152" s="22" t="n">
        <v>-127.78</v>
      </c>
      <c r="Q152" s="22" t="n">
        <v>-29.554</v>
      </c>
      <c r="R152" s="22" t="n">
        <v>-253.274</v>
      </c>
      <c r="S152" s="22" t="n">
        <v>-98.157</v>
      </c>
      <c r="T152" s="22" t="n">
        <v>-627.686</v>
      </c>
      <c r="U152" s="22" t="n">
        <v>-435.652</v>
      </c>
      <c r="V152" s="22" t="n">
        <v>505.175</v>
      </c>
      <c r="W152" s="22" t="n">
        <v>-36.296</v>
      </c>
      <c r="X152" s="22" t="n">
        <v>-2003.698</v>
      </c>
    </row>
    <row r="153">
      <c r="A153" s="20" t="inlineStr">
        <is>
          <t>기타 자산 증감</t>
        </is>
      </c>
      <c r="O153" s="22" t="n">
        <v>40.026</v>
      </c>
      <c r="P153" s="22" t="n">
        <v>-175.845</v>
      </c>
    </row>
    <row r="154">
      <c r="A154" s="20" t="inlineStr">
        <is>
          <t>매입채무 증감</t>
        </is>
      </c>
      <c r="E154" s="22" t="n">
        <v>153.896</v>
      </c>
      <c r="I154" s="22" t="n">
        <v>91.58499999999999</v>
      </c>
      <c r="M154" s="22" t="n">
        <v>-516.329</v>
      </c>
      <c r="O154" s="22" t="n">
        <v>890.438</v>
      </c>
      <c r="P154" s="22" t="n">
        <v>414.826</v>
      </c>
      <c r="Q154" s="22" t="n">
        <v>-566.152</v>
      </c>
      <c r="R154" s="22" t="n">
        <v>-270.572</v>
      </c>
      <c r="S154" s="22" t="n">
        <v>373.481</v>
      </c>
      <c r="T154" s="22" t="n">
        <v>-360.433</v>
      </c>
      <c r="U154" s="22" t="n">
        <v>-1493.565</v>
      </c>
      <c r="V154" s="22" t="n">
        <v>153.896</v>
      </c>
      <c r="W154" s="22" t="n">
        <v>91.58499999999999</v>
      </c>
      <c r="X154" s="22" t="n">
        <v>-516.329</v>
      </c>
    </row>
    <row r="155">
      <c r="A155" s="20" t="inlineStr">
        <is>
          <t>기타 부채 증감</t>
        </is>
      </c>
      <c r="O155" s="22" t="n">
        <v>594.42</v>
      </c>
      <c r="P155" s="22" t="n">
        <v>464.081</v>
      </c>
    </row>
    <row r="156">
      <c r="A156" s="20" t="inlineStr">
        <is>
          <t>기타</t>
        </is>
      </c>
      <c r="E156" s="22" t="n">
        <v>-223.059</v>
      </c>
      <c r="I156" s="22" t="n">
        <v>116.731</v>
      </c>
      <c r="M156" s="22" t="n">
        <v>1790.335</v>
      </c>
      <c r="P156" s="22" t="n">
        <v>288.135</v>
      </c>
      <c r="Q156" s="22" t="n">
        <v>71.078</v>
      </c>
      <c r="R156" s="22" t="n">
        <v>749.4880000000001</v>
      </c>
      <c r="S156" s="22" t="n">
        <v>515.992</v>
      </c>
      <c r="T156" s="22" t="n">
        <v>-922.999</v>
      </c>
      <c r="U156" s="22" t="n">
        <v>-95.895</v>
      </c>
      <c r="V156" s="22" t="n">
        <v>-223.059</v>
      </c>
      <c r="W156" s="22" t="n">
        <v>116.731</v>
      </c>
      <c r="X156" s="22" t="n">
        <v>1790.335</v>
      </c>
    </row>
    <row r="157">
      <c r="A157" s="20" t="inlineStr">
        <is>
          <t>소계</t>
        </is>
      </c>
      <c r="E157" s="22" t="n">
        <v>2192.519</v>
      </c>
      <c r="I157" s="22" t="n">
        <v>1371.027</v>
      </c>
      <c r="M157" s="22" t="n">
        <v>884.91</v>
      </c>
      <c r="O157" s="22" t="n">
        <v>7036.85</v>
      </c>
      <c r="P157" s="22" t="n">
        <v>9338.887000000001</v>
      </c>
      <c r="Q157" s="22" t="n">
        <v>9078.888000000001</v>
      </c>
      <c r="R157" s="22" t="n">
        <v>4689.182</v>
      </c>
      <c r="S157" s="22" t="n">
        <v>5300.856</v>
      </c>
      <c r="T157" s="22" t="n">
        <v>4118.661</v>
      </c>
      <c r="U157" s="22" t="n">
        <v>4765.172</v>
      </c>
      <c r="V157" s="22" t="n">
        <v>2192.519</v>
      </c>
      <c r="W157" s="22" t="n">
        <v>1371.027</v>
      </c>
      <c r="X157" s="22" t="n">
        <v>884.91</v>
      </c>
    </row>
    <row r="158">
      <c r="A158" s="20" t="inlineStr">
        <is>
          <t>이자·배당금 수취</t>
        </is>
      </c>
      <c r="E158" s="22" t="n">
        <v>63.392</v>
      </c>
      <c r="I158" s="22" t="n">
        <v>71.878</v>
      </c>
      <c r="M158" s="22" t="n">
        <v>115.103</v>
      </c>
      <c r="O158" s="22" t="n">
        <v>123.692</v>
      </c>
      <c r="P158" s="22" t="n">
        <v>104.733</v>
      </c>
      <c r="Q158" s="22" t="n">
        <v>100.062</v>
      </c>
      <c r="R158" s="22" t="n">
        <v>84.369</v>
      </c>
      <c r="S158" s="22" t="n">
        <v>70.36</v>
      </c>
      <c r="T158" s="22" t="n">
        <v>91.18300000000001</v>
      </c>
      <c r="U158" s="22" t="n">
        <v>92.428</v>
      </c>
      <c r="V158" s="22" t="n">
        <v>63.392</v>
      </c>
      <c r="W158" s="22" t="n">
        <v>71.878</v>
      </c>
      <c r="X158" s="22" t="n">
        <v>115.103</v>
      </c>
    </row>
    <row r="159">
      <c r="A159" s="20" t="inlineStr">
        <is>
          <t>이자 지급</t>
        </is>
      </c>
      <c r="E159" s="22" t="n">
        <v>-3.997</v>
      </c>
      <c r="I159" s="22" t="n">
        <v>-6.857</v>
      </c>
      <c r="M159" s="22" t="n">
        <v>-78.505</v>
      </c>
      <c r="O159" s="22" t="n">
        <v>-12.544</v>
      </c>
      <c r="P159" s="22" t="n">
        <v>-11.232</v>
      </c>
      <c r="Q159" s="22" t="n">
        <v>-9.598000000000001</v>
      </c>
      <c r="R159" s="22" t="n">
        <v>-7.706</v>
      </c>
      <c r="S159" s="22" t="n">
        <v>-7.943</v>
      </c>
      <c r="T159" s="22" t="n">
        <v>-7.797</v>
      </c>
      <c r="U159" s="22" t="n">
        <v>-5.179</v>
      </c>
      <c r="V159" s="22" t="n">
        <v>-3.997</v>
      </c>
      <c r="W159" s="22" t="n">
        <v>-6.857</v>
      </c>
      <c r="X159" s="22" t="n">
        <v>-78.505</v>
      </c>
    </row>
    <row r="160">
      <c r="A160" s="20" t="inlineStr">
        <is>
          <t>Proceeds From Rent Income Ope CF</t>
        </is>
      </c>
      <c r="E160" s="22" t="n">
        <v>31.397</v>
      </c>
      <c r="I160" s="22" t="n">
        <v>30.203</v>
      </c>
      <c r="M160" s="22" t="n">
        <v>37.519</v>
      </c>
      <c r="T160" s="22" t="n">
        <v>34.468</v>
      </c>
      <c r="U160" s="22" t="n">
        <v>32.69</v>
      </c>
      <c r="V160" s="22" t="n">
        <v>31.397</v>
      </c>
      <c r="W160" s="22" t="n">
        <v>30.203</v>
      </c>
      <c r="X160" s="22" t="n">
        <v>37.519</v>
      </c>
    </row>
    <row r="161">
      <c r="A161" s="20" t="inlineStr">
        <is>
          <t>보조금 수취</t>
        </is>
      </c>
      <c r="E161" s="22" t="n">
        <v>29.896</v>
      </c>
      <c r="I161" s="22" t="n">
        <v>0</v>
      </c>
      <c r="T161" s="22" t="n">
        <v>0</v>
      </c>
      <c r="U161" s="22" t="n">
        <v>365.301</v>
      </c>
      <c r="V161" s="22" t="n">
        <v>29.896</v>
      </c>
      <c r="W161" s="22" t="n">
        <v>0</v>
      </c>
    </row>
    <row r="162">
      <c r="A162" s="20" t="inlineStr">
        <is>
          <t>Environmental Expenses Paid Ope CF</t>
        </is>
      </c>
      <c r="E162" s="22" t="n">
        <v>-75.64</v>
      </c>
      <c r="I162" s="22" t="n">
        <v>0</v>
      </c>
      <c r="T162" s="22" t="n">
        <v>0</v>
      </c>
      <c r="U162" s="22" t="n">
        <v>-33.987</v>
      </c>
      <c r="V162" s="22" t="n">
        <v>-75.64</v>
      </c>
      <c r="W162" s="22" t="n">
        <v>0</v>
      </c>
    </row>
    <row r="163">
      <c r="A163" s="20" t="inlineStr">
        <is>
          <t>법인세 납부·환급</t>
        </is>
      </c>
      <c r="E163" s="22" t="n">
        <v>467.596</v>
      </c>
      <c r="O163" s="22" t="n">
        <v>-1289.413</v>
      </c>
      <c r="P163" s="22" t="n">
        <v>-1264.487</v>
      </c>
      <c r="Q163" s="22" t="n">
        <v>-1688.401</v>
      </c>
      <c r="R163" s="22" t="n">
        <v>-1284.77</v>
      </c>
      <c r="S163" s="22" t="n">
        <v>-787.572</v>
      </c>
      <c r="T163" s="22" t="n">
        <v>-205.397</v>
      </c>
      <c r="U163" s="22" t="n">
        <v>-1628.164</v>
      </c>
      <c r="V163" s="22" t="n">
        <v>467.596</v>
      </c>
    </row>
    <row r="164">
      <c r="A164" s="20" t="inlineStr">
        <is>
          <t>Payments For Directors Retirement Benefits Ope CF</t>
        </is>
      </c>
      <c r="E164" s="22" t="n">
        <v>0</v>
      </c>
      <c r="I164" s="22" t="n">
        <v>-15.624</v>
      </c>
      <c r="M164" s="22" t="n">
        <v>0</v>
      </c>
      <c r="V164" s="22" t="n">
        <v>0</v>
      </c>
      <c r="W164" s="22" t="n">
        <v>-15.624</v>
      </c>
      <c r="X164" s="22" t="n">
        <v>0</v>
      </c>
    </row>
    <row r="165">
      <c r="A165" s="20" t="inlineStr">
        <is>
          <t>법인세 납부</t>
        </is>
      </c>
      <c r="E165" s="22" t="n">
        <v>-27.369</v>
      </c>
      <c r="I165" s="22" t="n">
        <v>-17.612</v>
      </c>
      <c r="M165" s="22" t="n">
        <v>-92.08199999999999</v>
      </c>
      <c r="V165" s="22" t="n">
        <v>-27.369</v>
      </c>
      <c r="W165" s="22" t="n">
        <v>-17.612</v>
      </c>
      <c r="X165" s="22" t="n">
        <v>-92.08199999999999</v>
      </c>
    </row>
    <row r="166">
      <c r="A166" s="20" t="inlineStr">
        <is>
          <t>법인세 환급</t>
        </is>
      </c>
      <c r="E166" s="22" t="n">
        <v>494.965</v>
      </c>
      <c r="I166" s="22" t="n">
        <v>17.56</v>
      </c>
      <c r="M166" s="22" t="n">
        <v>11.957</v>
      </c>
      <c r="V166" s="22" t="n">
        <v>494.965</v>
      </c>
      <c r="W166" s="22" t="n">
        <v>17.56</v>
      </c>
      <c r="X166" s="22" t="n">
        <v>11.957</v>
      </c>
    </row>
    <row r="167">
      <c r="A167" s="9" t="inlineStr">
        <is>
          <t>영업활동 현금흐름</t>
        </is>
      </c>
      <c r="E167" s="12" t="n">
        <v>2705.164</v>
      </c>
      <c r="I167" s="12" t="n">
        <v>1450.576</v>
      </c>
      <c r="M167" s="12" t="n">
        <v>878.904</v>
      </c>
      <c r="O167" s="12" t="n">
        <v>5858.584</v>
      </c>
      <c r="P167" s="12" t="n">
        <v>8167.901</v>
      </c>
      <c r="Q167" s="12" t="n">
        <v>7480.95</v>
      </c>
      <c r="R167" s="12" t="n">
        <v>3481.075</v>
      </c>
      <c r="S167" s="12" t="n">
        <v>4575.701</v>
      </c>
      <c r="T167" s="12" t="n">
        <v>4031.117</v>
      </c>
      <c r="U167" s="12" t="n">
        <v>3588.261</v>
      </c>
      <c r="V167" s="12" t="n">
        <v>2705.164</v>
      </c>
      <c r="W167" s="12" t="n">
        <v>1450.576</v>
      </c>
      <c r="X167" s="12" t="n">
        <v>878.904</v>
      </c>
    </row>
    <row r="168">
      <c r="A168" s="20" t="inlineStr">
        <is>
          <t>정기예금 예입</t>
        </is>
      </c>
      <c r="E168" s="22" t="n">
        <v>0</v>
      </c>
      <c r="I168" s="22" t="n">
        <v>-4000</v>
      </c>
      <c r="M168" s="22" t="n">
        <v>0</v>
      </c>
      <c r="O168" s="22" t="n">
        <v>-1128.7</v>
      </c>
      <c r="P168" s="22" t="n">
        <v>0</v>
      </c>
      <c r="V168" s="22" t="n">
        <v>0</v>
      </c>
      <c r="W168" s="22" t="n">
        <v>-4000</v>
      </c>
      <c r="X168" s="22" t="n">
        <v>0</v>
      </c>
    </row>
    <row r="169">
      <c r="A169" s="20" t="inlineStr">
        <is>
          <t>정기예금 인출</t>
        </is>
      </c>
      <c r="I169" s="22" t="n">
        <v>0</v>
      </c>
      <c r="M169" s="22" t="n">
        <v>4000</v>
      </c>
      <c r="P169" s="22" t="n">
        <v>0</v>
      </c>
      <c r="Q169" s="22" t="n">
        <v>1128.7</v>
      </c>
      <c r="R169" s="22" t="n">
        <v>0</v>
      </c>
      <c r="W169" s="22" t="n">
        <v>0</v>
      </c>
      <c r="X169" s="22" t="n">
        <v>4000</v>
      </c>
    </row>
    <row r="170">
      <c r="A170" s="20" t="inlineStr">
        <is>
          <t>유형자산 취득(설비투자)</t>
        </is>
      </c>
      <c r="E170" s="22" t="n">
        <v>-2943.406</v>
      </c>
      <c r="I170" s="22" t="n">
        <v>-3851.746</v>
      </c>
      <c r="M170" s="22" t="n">
        <v>-11359.851</v>
      </c>
      <c r="O170" s="22" t="n">
        <v>-2747.07</v>
      </c>
      <c r="P170" s="22" t="n">
        <v>-4744.546</v>
      </c>
      <c r="Q170" s="22" t="n">
        <v>-4037.514</v>
      </c>
      <c r="R170" s="22" t="n">
        <v>-3929.121</v>
      </c>
      <c r="S170" s="22" t="n">
        <v>-2488.374</v>
      </c>
      <c r="T170" s="22" t="n">
        <v>-2678.123</v>
      </c>
      <c r="U170" s="22" t="n">
        <v>-3725.477</v>
      </c>
      <c r="V170" s="22" t="n">
        <v>-2943.406</v>
      </c>
      <c r="W170" s="22" t="n">
        <v>-3851.746</v>
      </c>
      <c r="X170" s="22" t="n">
        <v>-11359.851</v>
      </c>
    </row>
    <row r="171">
      <c r="A171" s="20" t="inlineStr">
        <is>
          <t>유형자산 제각 지출</t>
        </is>
      </c>
      <c r="E171" s="22" t="n">
        <v>-137.999</v>
      </c>
      <c r="I171" s="22" t="n">
        <v>-33.658</v>
      </c>
      <c r="M171" s="22" t="n">
        <v>-135.607</v>
      </c>
      <c r="O171" s="22" t="n">
        <v>-1.616</v>
      </c>
      <c r="P171" s="22" t="n">
        <v>-3.558</v>
      </c>
      <c r="Q171" s="22" t="n">
        <v>-1.85</v>
      </c>
      <c r="R171" s="22" t="n">
        <v>-8.971</v>
      </c>
      <c r="S171" s="22" t="n">
        <v>-5.159</v>
      </c>
      <c r="T171" s="22" t="n">
        <v>-14.4</v>
      </c>
      <c r="U171" s="22" t="n">
        <v>-47.657</v>
      </c>
      <c r="V171" s="22" t="n">
        <v>-137.999</v>
      </c>
      <c r="W171" s="22" t="n">
        <v>-33.658</v>
      </c>
      <c r="X171" s="22" t="n">
        <v>-135.607</v>
      </c>
    </row>
    <row r="172">
      <c r="A172" s="20" t="inlineStr">
        <is>
          <t>유형자산 매각</t>
        </is>
      </c>
      <c r="E172" s="22" t="n">
        <v>167.063</v>
      </c>
      <c r="I172" s="22" t="n">
        <v>2.381</v>
      </c>
      <c r="M172" s="22" t="n">
        <v>3.443</v>
      </c>
      <c r="O172" s="22" t="n">
        <v>0.155</v>
      </c>
      <c r="P172" s="22" t="n">
        <v>2.61</v>
      </c>
      <c r="Q172" s="22" t="n">
        <v>1.11</v>
      </c>
      <c r="R172" s="22" t="n">
        <v>0.041</v>
      </c>
      <c r="S172" s="22" t="n">
        <v>12.529</v>
      </c>
      <c r="T172" s="22" t="n">
        <v>14.148</v>
      </c>
      <c r="U172" s="22" t="n">
        <v>28.618</v>
      </c>
      <c r="V172" s="22" t="n">
        <v>167.063</v>
      </c>
      <c r="W172" s="22" t="n">
        <v>2.381</v>
      </c>
      <c r="X172" s="22" t="n">
        <v>3.443</v>
      </c>
    </row>
    <row r="173">
      <c r="A173" s="20" t="inlineStr">
        <is>
          <t>무형자산 취득</t>
        </is>
      </c>
      <c r="E173" s="22" t="n">
        <v>-54.513</v>
      </c>
      <c r="I173" s="22" t="n">
        <v>-40.359</v>
      </c>
      <c r="M173" s="22" t="n">
        <v>-79.14700000000001</v>
      </c>
      <c r="O173" s="22" t="n">
        <v>-67.18600000000001</v>
      </c>
      <c r="P173" s="22" t="n">
        <v>-98.616</v>
      </c>
      <c r="Q173" s="22" t="n">
        <v>-44.784</v>
      </c>
      <c r="R173" s="22" t="n">
        <v>-71.246</v>
      </c>
      <c r="S173" s="22" t="n">
        <v>-40.97</v>
      </c>
      <c r="T173" s="22" t="n">
        <v>-48.867</v>
      </c>
      <c r="U173" s="22" t="n">
        <v>-37.068</v>
      </c>
      <c r="V173" s="22" t="n">
        <v>-54.513</v>
      </c>
      <c r="W173" s="22" t="n">
        <v>-40.359</v>
      </c>
      <c r="X173" s="22" t="n">
        <v>-79.14700000000001</v>
      </c>
    </row>
    <row r="174">
      <c r="A174" s="20" t="inlineStr">
        <is>
          <t>투자유가증권 취득</t>
        </is>
      </c>
      <c r="E174" s="22" t="n">
        <v>-100</v>
      </c>
      <c r="I174" s="22" t="n">
        <v>0</v>
      </c>
      <c r="Q174" s="22" t="n">
        <v>0</v>
      </c>
      <c r="R174" s="22" t="n">
        <v>-5.701</v>
      </c>
      <c r="S174" s="22" t="n">
        <v>0</v>
      </c>
      <c r="T174" s="22" t="n">
        <v>0</v>
      </c>
      <c r="U174" s="22" t="n">
        <v>-100</v>
      </c>
      <c r="V174" s="22" t="n">
        <v>-100</v>
      </c>
      <c r="W174" s="22" t="n">
        <v>0</v>
      </c>
    </row>
    <row r="175">
      <c r="A175" s="20" t="inlineStr">
        <is>
          <t>투자유가증권 매각</t>
        </is>
      </c>
      <c r="E175" s="22" t="n">
        <v>2.31</v>
      </c>
      <c r="I175" s="22" t="n">
        <v>17.76</v>
      </c>
      <c r="M175" s="22" t="n">
        <v>11.05</v>
      </c>
      <c r="O175" s="22" t="n">
        <v>202.653</v>
      </c>
      <c r="P175" s="22" t="n">
        <v>1.1</v>
      </c>
      <c r="Q175" s="22" t="n">
        <v>0</v>
      </c>
      <c r="R175" s="22" t="n">
        <v>5.847</v>
      </c>
      <c r="S175" s="22" t="n">
        <v>62.387</v>
      </c>
      <c r="T175" s="22" t="n">
        <v>0</v>
      </c>
      <c r="U175" s="22" t="n">
        <v>0</v>
      </c>
      <c r="V175" s="22" t="n">
        <v>2.31</v>
      </c>
      <c r="W175" s="22" t="n">
        <v>17.76</v>
      </c>
      <c r="X175" s="22" t="n">
        <v>11.05</v>
      </c>
    </row>
    <row r="176">
      <c r="A176" s="20" t="inlineStr">
        <is>
          <t>연결범위 변경 자회사 주식 취득</t>
        </is>
      </c>
      <c r="O176" s="22" t="n">
        <v>-614.5170000000001</v>
      </c>
      <c r="P176" s="22" t="n">
        <v>0</v>
      </c>
    </row>
    <row r="177">
      <c r="A177" s="20" t="inlineStr">
        <is>
          <t>보험적립금 환급</t>
        </is>
      </c>
      <c r="O177" s="22" t="n">
        <v>100.607</v>
      </c>
      <c r="P177" s="22" t="n">
        <v>0</v>
      </c>
    </row>
    <row r="178">
      <c r="A178" s="20" t="inlineStr">
        <is>
          <t>보증금 회수</t>
        </is>
      </c>
      <c r="O178" s="22" t="n">
        <v>0.063</v>
      </c>
      <c r="P178" s="22" t="n">
        <v>0.439</v>
      </c>
    </row>
    <row r="179">
      <c r="A179" s="20" t="inlineStr">
        <is>
          <t>기타 지출</t>
        </is>
      </c>
      <c r="O179" s="22" t="n">
        <v>-37.857</v>
      </c>
      <c r="P179" s="22" t="n">
        <v>-32.923</v>
      </c>
    </row>
    <row r="180">
      <c r="A180" s="20" t="inlineStr">
        <is>
          <t>기타</t>
        </is>
      </c>
      <c r="E180" s="22" t="n">
        <v>102.36</v>
      </c>
      <c r="I180" s="22" t="n">
        <v>53.257</v>
      </c>
      <c r="M180" s="22" t="n">
        <v>-87.327</v>
      </c>
      <c r="P180" s="22" t="n">
        <v>-32.484</v>
      </c>
      <c r="Q180" s="22" t="n">
        <v>-26.865</v>
      </c>
      <c r="R180" s="22" t="n">
        <v>-39.28</v>
      </c>
      <c r="S180" s="22" t="n">
        <v>9.257</v>
      </c>
      <c r="T180" s="22" t="n">
        <v>43.44</v>
      </c>
      <c r="U180" s="22" t="n">
        <v>31.303</v>
      </c>
      <c r="V180" s="22" t="n">
        <v>102.36</v>
      </c>
      <c r="W180" s="22" t="n">
        <v>53.257</v>
      </c>
      <c r="X180" s="22" t="n">
        <v>-87.327</v>
      </c>
    </row>
    <row r="181">
      <c r="A181" s="9" t="inlineStr">
        <is>
          <t>투자활동 현금흐름</t>
        </is>
      </c>
      <c r="E181" s="12" t="n">
        <v>-2964.185</v>
      </c>
      <c r="I181" s="12" t="n">
        <v>-7852.366</v>
      </c>
      <c r="M181" s="12" t="n">
        <v>-7647.44</v>
      </c>
      <c r="O181" s="12" t="n">
        <v>-4293.467</v>
      </c>
      <c r="P181" s="12" t="n">
        <v>-4875.493</v>
      </c>
      <c r="Q181" s="12" t="n">
        <v>-2981.204</v>
      </c>
      <c r="R181" s="12" t="n">
        <v>-4048.432</v>
      </c>
      <c r="S181" s="12" t="n">
        <v>-2450.328</v>
      </c>
      <c r="T181" s="12" t="n">
        <v>-2683.802</v>
      </c>
      <c r="U181" s="12" t="n">
        <v>-3850.281</v>
      </c>
      <c r="V181" s="12" t="n">
        <v>-2964.185</v>
      </c>
      <c r="W181" s="12" t="n">
        <v>-7852.366</v>
      </c>
      <c r="X181" s="12" t="n">
        <v>-7647.44</v>
      </c>
    </row>
    <row r="182">
      <c r="A182" s="20" t="inlineStr">
        <is>
          <t>단기차입</t>
        </is>
      </c>
      <c r="E182" s="22" t="n">
        <v>1140</v>
      </c>
      <c r="I182" s="22" t="n">
        <v>2130</v>
      </c>
      <c r="M182" s="22" t="n">
        <v>1200</v>
      </c>
      <c r="O182" s="22" t="n">
        <v>1140</v>
      </c>
      <c r="P182" s="22" t="n">
        <v>1140</v>
      </c>
      <c r="Q182" s="22" t="n">
        <v>1140</v>
      </c>
      <c r="R182" s="22" t="n">
        <v>1140</v>
      </c>
      <c r="S182" s="22" t="n">
        <v>1140</v>
      </c>
      <c r="T182" s="22" t="n">
        <v>1140</v>
      </c>
      <c r="U182" s="22" t="n">
        <v>1140</v>
      </c>
      <c r="V182" s="22" t="n">
        <v>1140</v>
      </c>
      <c r="W182" s="22" t="n">
        <v>2130</v>
      </c>
      <c r="X182" s="22" t="n">
        <v>1200</v>
      </c>
    </row>
    <row r="183">
      <c r="A183" s="20" t="inlineStr">
        <is>
          <t>단기차입금 상환</t>
        </is>
      </c>
      <c r="E183" s="22" t="n">
        <v>-1140</v>
      </c>
      <c r="I183" s="22" t="n">
        <v>-1140</v>
      </c>
      <c r="M183" s="22" t="n">
        <v>-1490</v>
      </c>
      <c r="O183" s="22" t="n">
        <v>-1140</v>
      </c>
      <c r="P183" s="22" t="n">
        <v>-1140</v>
      </c>
      <c r="Q183" s="22" t="n">
        <v>-1140</v>
      </c>
      <c r="R183" s="22" t="n">
        <v>-1140</v>
      </c>
      <c r="S183" s="22" t="n">
        <v>-1140</v>
      </c>
      <c r="T183" s="22" t="n">
        <v>-1140</v>
      </c>
      <c r="U183" s="22" t="n">
        <v>-1140</v>
      </c>
      <c r="V183" s="22" t="n">
        <v>-1140</v>
      </c>
      <c r="W183" s="22" t="n">
        <v>-1140</v>
      </c>
      <c r="X183" s="22" t="n">
        <v>-1490</v>
      </c>
    </row>
    <row r="184">
      <c r="A184" s="20" t="inlineStr">
        <is>
          <t>장기차입</t>
        </is>
      </c>
      <c r="E184" s="22" t="n">
        <v>630</v>
      </c>
      <c r="I184" s="22" t="n">
        <v>0</v>
      </c>
      <c r="M184" s="22" t="n">
        <v>8475</v>
      </c>
      <c r="O184" s="22" t="n">
        <v>0</v>
      </c>
      <c r="P184" s="22" t="n">
        <v>400</v>
      </c>
      <c r="Q184" s="22" t="n">
        <v>630</v>
      </c>
      <c r="R184" s="22" t="n">
        <v>0</v>
      </c>
      <c r="S184" s="22" t="n">
        <v>500</v>
      </c>
      <c r="T184" s="22" t="n">
        <v>0</v>
      </c>
      <c r="U184" s="22" t="n">
        <v>0</v>
      </c>
      <c r="V184" s="22" t="n">
        <v>630</v>
      </c>
      <c r="W184" s="22" t="n">
        <v>0</v>
      </c>
      <c r="X184" s="22" t="n">
        <v>8475</v>
      </c>
    </row>
    <row r="185">
      <c r="A185" s="20" t="inlineStr">
        <is>
          <t>장기차입금 상환</t>
        </is>
      </c>
      <c r="E185" s="22" t="n">
        <v>-224.496</v>
      </c>
      <c r="I185" s="22" t="n">
        <v>-233.496</v>
      </c>
      <c r="M185" s="22" t="n">
        <v>-167.685</v>
      </c>
      <c r="O185" s="22" t="n">
        <v>-459.188</v>
      </c>
      <c r="P185" s="22" t="n">
        <v>-559.188</v>
      </c>
      <c r="Q185" s="22" t="n">
        <v>-387.748</v>
      </c>
      <c r="R185" s="22" t="n">
        <v>-264.612</v>
      </c>
      <c r="S185" s="22" t="n">
        <v>-288.76</v>
      </c>
      <c r="T185" s="22" t="n">
        <v>-305.988</v>
      </c>
      <c r="U185" s="22" t="n">
        <v>-306.028</v>
      </c>
      <c r="V185" s="22" t="n">
        <v>-224.496</v>
      </c>
      <c r="W185" s="22" t="n">
        <v>-233.496</v>
      </c>
      <c r="X185" s="22" t="n">
        <v>-167.685</v>
      </c>
    </row>
    <row r="186">
      <c r="A186" s="20" t="inlineStr">
        <is>
          <t>리스부채 상환</t>
        </is>
      </c>
      <c r="E186" s="22" t="n">
        <v>-65.09399999999999</v>
      </c>
      <c r="I186" s="22" t="n">
        <v>-58.792</v>
      </c>
      <c r="M186" s="22" t="n">
        <v>-43.435</v>
      </c>
      <c r="O186" s="22" t="n">
        <v>-89.59</v>
      </c>
      <c r="P186" s="22" t="n">
        <v>-229.241</v>
      </c>
      <c r="Q186" s="22" t="n">
        <v>-352.419</v>
      </c>
      <c r="R186" s="22" t="n">
        <v>-343.804</v>
      </c>
      <c r="S186" s="22" t="n">
        <v>-82.34999999999999</v>
      </c>
      <c r="T186" s="22" t="n">
        <v>-74.36199999999999</v>
      </c>
      <c r="U186" s="22" t="n">
        <v>-67.218</v>
      </c>
      <c r="V186" s="22" t="n">
        <v>-65.09399999999999</v>
      </c>
      <c r="W186" s="22" t="n">
        <v>-58.792</v>
      </c>
      <c r="X186" s="22" t="n">
        <v>-43.435</v>
      </c>
    </row>
    <row r="187">
      <c r="A187" s="20" t="inlineStr">
        <is>
          <t>Repayments Of Installment Payables Fin CF</t>
        </is>
      </c>
      <c r="E187" s="22" t="n">
        <v>0</v>
      </c>
      <c r="S187" s="22" t="n">
        <v>-548.954</v>
      </c>
      <c r="T187" s="22" t="n">
        <v>-539.754</v>
      </c>
      <c r="U187" s="22" t="n">
        <v>-373.618</v>
      </c>
      <c r="V187" s="22" t="n">
        <v>0</v>
      </c>
    </row>
    <row r="188">
      <c r="A188" s="20" t="inlineStr">
        <is>
          <t>배당금 지급</t>
        </is>
      </c>
      <c r="E188" s="22" t="n">
        <v>-647.947</v>
      </c>
      <c r="I188" s="22" t="n">
        <v>-604.746</v>
      </c>
      <c r="M188" s="22" t="n">
        <v>-604.7430000000001</v>
      </c>
      <c r="O188" s="22" t="n">
        <v>-635.965</v>
      </c>
      <c r="P188" s="22" t="n">
        <v>-647.962</v>
      </c>
      <c r="Q188" s="22" t="n">
        <v>-671.96</v>
      </c>
      <c r="R188" s="22" t="n">
        <v>-791.953</v>
      </c>
      <c r="S188" s="22" t="n">
        <v>-671.956</v>
      </c>
      <c r="T188" s="22" t="n">
        <v>-671.949</v>
      </c>
      <c r="U188" s="22" t="n">
        <v>-671.949</v>
      </c>
      <c r="V188" s="22" t="n">
        <v>-647.947</v>
      </c>
      <c r="W188" s="22" t="n">
        <v>-604.746</v>
      </c>
      <c r="X188" s="22" t="n">
        <v>-604.7430000000001</v>
      </c>
    </row>
    <row r="189">
      <c r="A189" s="20" t="inlineStr">
        <is>
          <t>자기주식 취득</t>
        </is>
      </c>
      <c r="E189" s="22" t="n">
        <v>-1959.2</v>
      </c>
      <c r="I189" s="22" t="n">
        <v>-0.141</v>
      </c>
      <c r="M189" s="22" t="n">
        <v>-0.059</v>
      </c>
      <c r="O189" s="22" t="n">
        <v>-0.205</v>
      </c>
      <c r="P189" s="22" t="n">
        <v>0</v>
      </c>
      <c r="Q189" s="22" t="n">
        <v>0</v>
      </c>
      <c r="R189" s="22" t="n">
        <v>-0.132</v>
      </c>
      <c r="S189" s="22" t="n">
        <v>-0.329</v>
      </c>
      <c r="T189" s="22" t="n">
        <v>0</v>
      </c>
      <c r="U189" s="22" t="n">
        <v>-0.147</v>
      </c>
      <c r="V189" s="22" t="n">
        <v>-1959.2</v>
      </c>
      <c r="W189" s="22" t="n">
        <v>-0.141</v>
      </c>
      <c r="X189" s="22" t="n">
        <v>-0.059</v>
      </c>
    </row>
    <row r="190">
      <c r="A190" s="9" t="inlineStr">
        <is>
          <t>재무활동 현금흐름</t>
        </is>
      </c>
      <c r="E190" s="12" t="n">
        <v>-2266.737</v>
      </c>
      <c r="I190" s="12" t="n">
        <v>92.82299999999999</v>
      </c>
      <c r="M190" s="12" t="n">
        <v>7369.076</v>
      </c>
      <c r="O190" s="12" t="n">
        <v>-1184.949</v>
      </c>
      <c r="P190" s="12" t="n">
        <v>-1036.391</v>
      </c>
      <c r="Q190" s="12" t="n">
        <v>-782.128</v>
      </c>
      <c r="R190" s="12" t="n">
        <v>-1400.502</v>
      </c>
      <c r="S190" s="12" t="n">
        <v>-1092.351</v>
      </c>
      <c r="T190" s="12" t="n">
        <v>-1592.054</v>
      </c>
      <c r="U190" s="12" t="n">
        <v>-1418.961</v>
      </c>
      <c r="V190" s="12" t="n">
        <v>-2266.737</v>
      </c>
      <c r="W190" s="12" t="n">
        <v>92.82299999999999</v>
      </c>
      <c r="X190" s="12" t="n">
        <v>7369.076</v>
      </c>
    </row>
    <row r="191">
      <c r="A191" s="20" t="inlineStr">
        <is>
          <t>현금성자산 환산차이</t>
        </is>
      </c>
      <c r="E191" s="22" t="n">
        <v>20.494</v>
      </c>
      <c r="I191" s="22" t="n">
        <v>-46.481</v>
      </c>
      <c r="M191" s="22" t="n">
        <v>44.939</v>
      </c>
      <c r="O191" s="22" t="n">
        <v>-254.298</v>
      </c>
      <c r="P191" s="22" t="n">
        <v>-135.973</v>
      </c>
      <c r="Q191" s="22" t="n">
        <v>31.495</v>
      </c>
      <c r="R191" s="22" t="n">
        <v>37.186</v>
      </c>
      <c r="S191" s="22" t="n">
        <v>18.785</v>
      </c>
      <c r="T191" s="22" t="n">
        <v>315.079</v>
      </c>
      <c r="U191" s="22" t="n">
        <v>128.483</v>
      </c>
      <c r="V191" s="22" t="n">
        <v>20.494</v>
      </c>
      <c r="W191" s="22" t="n">
        <v>-46.481</v>
      </c>
      <c r="X191" s="22" t="n">
        <v>44.939</v>
      </c>
    </row>
    <row r="192">
      <c r="A192" s="20" t="inlineStr">
        <is>
          <t>현금성자산 증감</t>
        </is>
      </c>
      <c r="E192" s="22" t="n">
        <v>-2505.264</v>
      </c>
      <c r="I192" s="22" t="n">
        <v>-6355.447</v>
      </c>
      <c r="M192" s="22" t="n">
        <v>645.479</v>
      </c>
      <c r="O192" s="22" t="n">
        <v>125.869</v>
      </c>
      <c r="P192" s="22" t="n">
        <v>2120.042</v>
      </c>
      <c r="Q192" s="22" t="n">
        <v>3749.113</v>
      </c>
      <c r="R192" s="22" t="n">
        <v>-1930.672</v>
      </c>
      <c r="S192" s="22" t="n">
        <v>1051.806</v>
      </c>
      <c r="T192" s="22" t="n">
        <v>70.34</v>
      </c>
      <c r="U192" s="22" t="n">
        <v>-1552.498</v>
      </c>
      <c r="V192" s="22" t="n">
        <v>-2505.264</v>
      </c>
      <c r="W192" s="22" t="n">
        <v>-6355.447</v>
      </c>
      <c r="X192" s="22" t="n">
        <v>645.479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6832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32292.143</v>
      </c>
      <c r="D5" s="12" t="n">
        <v>32767.38</v>
      </c>
      <c r="E5" s="12" t="n">
        <v>34189.973</v>
      </c>
      <c r="F5" s="12" t="n">
        <v>33637.275</v>
      </c>
      <c r="G5" s="12" t="n">
        <v>30019.661</v>
      </c>
      <c r="H5" s="11" t="n">
        <v>42717.723</v>
      </c>
      <c r="I5" s="12" t="n">
        <v>38215.541</v>
      </c>
      <c r="J5" s="12" t="n">
        <v>34948.405</v>
      </c>
      <c r="K5" s="12" t="n">
        <v>33429.242</v>
      </c>
      <c r="L5" s="12" t="n">
        <v>33637.275</v>
      </c>
    </row>
    <row r="6">
      <c r="A6" s="20" t="inlineStr">
        <is>
          <t>현금및현금성자산</t>
        </is>
      </c>
      <c r="B6" s="10" t="n"/>
      <c r="C6" s="21" t="n">
        <v>14506.244</v>
      </c>
      <c r="D6" s="22" t="n">
        <v>14621.194</v>
      </c>
      <c r="E6" s="22" t="n">
        <v>13705.132</v>
      </c>
      <c r="F6" s="22" t="n">
        <v>16346.71</v>
      </c>
      <c r="G6" s="22" t="n">
        <v>11672.767</v>
      </c>
      <c r="H6" s="21" t="n">
        <v>24114.441</v>
      </c>
      <c r="I6" s="22" t="n">
        <v>22561.943</v>
      </c>
      <c r="J6" s="22" t="n">
        <v>20056.678</v>
      </c>
      <c r="K6" s="22" t="n">
        <v>17701.231</v>
      </c>
      <c r="L6" s="22" t="n">
        <v>16346.71</v>
      </c>
    </row>
    <row r="7">
      <c r="A7" s="20" t="inlineStr">
        <is>
          <t>단기금융상품</t>
        </is>
      </c>
      <c r="B7" s="10" t="n"/>
      <c r="C7" s="21" t="n">
        <v>3000</v>
      </c>
      <c r="D7" s="22" t="n">
        <v>3000</v>
      </c>
      <c r="E7" s="22" t="n">
        <v>3000</v>
      </c>
      <c r="F7" s="22" t="n">
        <v>1000</v>
      </c>
      <c r="G7" s="22" t="n">
        <v>1000</v>
      </c>
      <c r="H7" s="21" t="n">
        <v>3000</v>
      </c>
      <c r="I7" s="22" t="n">
        <v>3000</v>
      </c>
      <c r="J7" s="22" t="n">
        <v>3000</v>
      </c>
      <c r="K7" s="22" t="n">
        <v>3000</v>
      </c>
      <c r="L7" s="22" t="n">
        <v>1000</v>
      </c>
    </row>
    <row r="8">
      <c r="A8" s="20" t="inlineStr">
        <is>
          <t>매출채권</t>
        </is>
      </c>
      <c r="B8" s="10" t="n"/>
      <c r="C8" s="21" t="n">
        <v>7105.966</v>
      </c>
      <c r="D8" s="22" t="n">
        <v>7543.797</v>
      </c>
      <c r="E8" s="22" t="n">
        <v>7359.816</v>
      </c>
      <c r="F8" s="22" t="n">
        <v>7589.605</v>
      </c>
      <c r="G8" s="22" t="n">
        <v>7797.747</v>
      </c>
      <c r="H8" s="21" t="n">
        <v>9438.508</v>
      </c>
      <c r="I8" s="22" t="n">
        <v>6247.175</v>
      </c>
      <c r="J8" s="22" t="n">
        <v>6520.586</v>
      </c>
      <c r="K8" s="22" t="n">
        <v>6864.429</v>
      </c>
      <c r="L8" s="22" t="n">
        <v>7589.605</v>
      </c>
    </row>
    <row r="9">
      <c r="A9" s="20" t="inlineStr">
        <is>
          <t>재고자산</t>
        </is>
      </c>
      <c r="B9" s="10" t="n"/>
      <c r="C9" s="21" t="n">
        <v>4608.083</v>
      </c>
      <c r="D9" s="22" t="n">
        <v>4057.367</v>
      </c>
      <c r="E9" s="22" t="n">
        <v>6107.135</v>
      </c>
      <c r="F9" s="22" t="n">
        <v>4918.337</v>
      </c>
      <c r="G9" s="22" t="n">
        <v>5206.544</v>
      </c>
      <c r="H9" s="21" t="n">
        <v>2992.374</v>
      </c>
      <c r="I9" s="22" t="n">
        <v>3428.027</v>
      </c>
      <c r="J9" s="22" t="n">
        <v>2922.851</v>
      </c>
      <c r="K9" s="22" t="n">
        <v>2959.148</v>
      </c>
      <c r="L9" s="22" t="n">
        <v>4918.337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18909.348</v>
      </c>
      <c r="D11" s="12" t="n">
        <v>24815.281</v>
      </c>
      <c r="E11" s="12" t="n">
        <v>25945.967</v>
      </c>
      <c r="F11" s="12" t="n">
        <v>29068.962</v>
      </c>
      <c r="G11" s="12" t="n">
        <v>31902.476</v>
      </c>
      <c r="H11" s="11" t="n">
        <v>18435.041</v>
      </c>
      <c r="I11" s="12" t="n">
        <v>19153.278</v>
      </c>
      <c r="J11" s="12" t="n">
        <v>15185.837</v>
      </c>
      <c r="K11" s="12" t="n">
        <v>18163.417</v>
      </c>
      <c r="L11" s="12" t="n">
        <v>29068.962</v>
      </c>
    </row>
    <row r="12">
      <c r="A12" s="20" t="inlineStr">
        <is>
          <t>유형자산</t>
        </is>
      </c>
      <c r="B12" s="10" t="n"/>
      <c r="C12" s="21" t="n">
        <v>13761.374</v>
      </c>
      <c r="D12" s="22" t="n">
        <v>19544.532</v>
      </c>
      <c r="E12" s="22" t="n">
        <v>20613.79</v>
      </c>
      <c r="F12" s="22" t="n">
        <v>22221.628</v>
      </c>
      <c r="G12" s="22" t="n">
        <v>24657.078</v>
      </c>
      <c r="H12" s="21" t="n">
        <v>13570.201</v>
      </c>
      <c r="I12" s="22" t="n">
        <v>14043.109</v>
      </c>
      <c r="J12" s="22" t="n">
        <v>10509.025</v>
      </c>
      <c r="K12" s="22" t="n">
        <v>13027.841</v>
      </c>
      <c r="L12" s="22" t="n">
        <v>22221.628</v>
      </c>
    </row>
    <row r="13">
      <c r="A13" s="20" t="inlineStr">
        <is>
          <t>무형자산</t>
        </is>
      </c>
      <c r="B13" s="10" t="n"/>
      <c r="C13" s="21" t="n">
        <v>132.251</v>
      </c>
      <c r="D13" s="22" t="n">
        <v>130.54</v>
      </c>
      <c r="E13" s="22" t="n">
        <v>149.389</v>
      </c>
      <c r="F13" s="22" t="n">
        <v>335.905</v>
      </c>
      <c r="G13" s="22" t="n">
        <v>454.684</v>
      </c>
      <c r="H13" s="21" t="n">
        <v>301.605</v>
      </c>
      <c r="I13" s="22" t="n">
        <v>278.297</v>
      </c>
      <c r="J13" s="22" t="n">
        <v>117.174</v>
      </c>
      <c r="K13" s="22" t="n">
        <v>124.387</v>
      </c>
      <c r="L13" s="22" t="n">
        <v>335.905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51201.491</v>
      </c>
      <c r="D16" s="12" t="n">
        <v>57582.661</v>
      </c>
      <c r="E16" s="12" t="n">
        <v>60135.94</v>
      </c>
      <c r="F16" s="12" t="n">
        <v>62706.238</v>
      </c>
      <c r="G16" s="12" t="n">
        <v>61922.137</v>
      </c>
      <c r="H16" s="11" t="n">
        <v>61152.764</v>
      </c>
      <c r="I16" s="12" t="n">
        <v>57368.82</v>
      </c>
      <c r="J16" s="12" t="n">
        <v>50134.243</v>
      </c>
      <c r="K16" s="12" t="n">
        <v>51592.659</v>
      </c>
      <c r="L16" s="12" t="n">
        <v>62706.238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7118.589</v>
      </c>
      <c r="D18" s="12" t="n">
        <v>7572.321</v>
      </c>
      <c r="E18" s="12" t="n">
        <v>6757.41</v>
      </c>
      <c r="F18" s="12" t="n">
        <v>8547.008</v>
      </c>
      <c r="G18" s="12" t="n">
        <v>7607.835</v>
      </c>
      <c r="H18" s="11" t="n">
        <v>9486.688</v>
      </c>
      <c r="I18" s="12" t="n">
        <v>6329.312</v>
      </c>
      <c r="J18" s="12" t="n">
        <v>6084.296</v>
      </c>
      <c r="K18" s="12" t="n">
        <v>7651.274</v>
      </c>
      <c r="L18" s="12" t="n">
        <v>8547.008</v>
      </c>
    </row>
    <row r="19">
      <c r="A19" s="20" t="inlineStr">
        <is>
          <t>매입채무</t>
        </is>
      </c>
      <c r="B19" s="10" t="n"/>
      <c r="C19" s="21" t="n">
        <v>1948.086</v>
      </c>
      <c r="D19" s="22" t="n">
        <v>1702.526</v>
      </c>
      <c r="E19" s="22" t="n">
        <v>1776.9</v>
      </c>
      <c r="F19" s="22" t="n">
        <v>1577.933</v>
      </c>
      <c r="G19" s="22" t="n">
        <v>2430.17</v>
      </c>
      <c r="H19" s="21" t="n">
        <v>2471.09</v>
      </c>
      <c r="I19" s="22" t="n">
        <v>1630.025</v>
      </c>
      <c r="J19" s="22" t="n">
        <v>1719.617</v>
      </c>
      <c r="K19" s="22" t="n">
        <v>1924.254</v>
      </c>
      <c r="L19" s="22" t="n">
        <v>1577.933</v>
      </c>
    </row>
    <row r="20">
      <c r="A20" s="20" t="inlineStr">
        <is>
          <t>단기차입금</t>
        </is>
      </c>
      <c r="B20" s="10" t="n"/>
      <c r="C20" s="21" t="n">
        <v>1190</v>
      </c>
      <c r="D20" s="22" t="n">
        <v>200</v>
      </c>
      <c r="E20" s="22" t="n">
        <v>500</v>
      </c>
      <c r="F20" s="22" t="n">
        <v>200</v>
      </c>
      <c r="G20" s="22" t="n">
        <v>500</v>
      </c>
      <c r="H20" s="21" t="n">
        <v>190</v>
      </c>
      <c r="I20" s="22" t="n">
        <v>190</v>
      </c>
      <c r="J20" s="22" t="n">
        <v>190</v>
      </c>
      <c r="K20" s="22" t="n">
        <v>1180</v>
      </c>
      <c r="L20" s="22" t="n">
        <v>200</v>
      </c>
    </row>
    <row r="21">
      <c r="A21" s="20" t="inlineStr">
        <is>
          <t>유동성장기부채</t>
        </is>
      </c>
      <c r="B21" s="10" t="n"/>
      <c r="C21" s="21" t="n">
        <v>142.686</v>
      </c>
      <c r="D21" s="22" t="n">
        <v>126</v>
      </c>
      <c r="E21" s="22" t="n">
        <v>126</v>
      </c>
      <c r="F21" s="22" t="n">
        <v>1992.666</v>
      </c>
      <c r="G21" s="22" t="n">
        <v>237.625</v>
      </c>
      <c r="H21" s="21" t="n">
        <v>306.028</v>
      </c>
      <c r="I21" s="22" t="n">
        <v>160.496</v>
      </c>
      <c r="J21" s="22" t="n">
        <v>233.496</v>
      </c>
      <c r="K21" s="22" t="n">
        <v>167.685</v>
      </c>
      <c r="L21" s="22" t="n">
        <v>1992.666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1293.182</v>
      </c>
      <c r="D23" s="12" t="n">
        <v>6941.135</v>
      </c>
      <c r="E23" s="12" t="n">
        <v>10450.179</v>
      </c>
      <c r="F23" s="12" t="n">
        <v>10914.036</v>
      </c>
      <c r="G23" s="12" t="n">
        <v>10869.627</v>
      </c>
      <c r="H23" s="11" t="n">
        <v>719.934</v>
      </c>
      <c r="I23" s="12" t="n">
        <v>501.571</v>
      </c>
      <c r="J23" s="12" t="n">
        <v>888.518</v>
      </c>
      <c r="K23" s="12" t="n">
        <v>1025.826</v>
      </c>
      <c r="L23" s="12" t="n">
        <v>10914.036</v>
      </c>
    </row>
    <row r="24">
      <c r="A24" s="20" t="inlineStr">
        <is>
          <t>장기차입금</t>
        </is>
      </c>
      <c r="B24" s="10" t="n"/>
      <c r="C24" s="21" t="n">
        <v>275</v>
      </c>
      <c r="D24" s="22" t="n">
        <v>5883.5</v>
      </c>
      <c r="E24" s="22" t="n">
        <v>9384.5</v>
      </c>
      <c r="F24" s="22" t="n">
        <v>7478.833</v>
      </c>
      <c r="G24" s="22" t="n">
        <v>6922.375</v>
      </c>
      <c r="H24" s="21" t="n">
        <v>302.177</v>
      </c>
      <c r="I24" s="22" t="n">
        <v>141.681</v>
      </c>
      <c r="J24" s="22" t="n">
        <v>474.185</v>
      </c>
      <c r="K24" s="22" t="n">
        <v>306.5</v>
      </c>
      <c r="L24" s="22" t="n">
        <v>7478.833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8411.772000000001</v>
      </c>
      <c r="D27" s="12" t="n">
        <v>14513.456</v>
      </c>
      <c r="E27" s="12" t="n">
        <v>17207.589</v>
      </c>
      <c r="F27" s="12" t="n">
        <v>19461.045</v>
      </c>
      <c r="G27" s="12" t="n">
        <v>18477.463</v>
      </c>
      <c r="H27" s="11" t="n">
        <v>10206.623</v>
      </c>
      <c r="I27" s="12" t="n">
        <v>6830.884</v>
      </c>
      <c r="J27" s="12" t="n">
        <v>6972.815</v>
      </c>
      <c r="K27" s="12" t="n">
        <v>8677.1</v>
      </c>
      <c r="L27" s="12" t="n">
        <v>19461.045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42789.719</v>
      </c>
      <c r="D31" s="12" t="n">
        <v>43069.205</v>
      </c>
      <c r="E31" s="12" t="n">
        <v>42928.35</v>
      </c>
      <c r="F31" s="12" t="n">
        <v>43245.192</v>
      </c>
      <c r="G31" s="12" t="n">
        <v>43444.674</v>
      </c>
      <c r="H31" s="11" t="n">
        <v>50946.141</v>
      </c>
      <c r="I31" s="12" t="n">
        <v>50537.936</v>
      </c>
      <c r="J31" s="12" t="n">
        <v>43161.427</v>
      </c>
      <c r="K31" s="12" t="n">
        <v>42915.559</v>
      </c>
      <c r="L31" s="12" t="n">
        <v>43245.192</v>
      </c>
    </row>
    <row r="32">
      <c r="A32" s="20" t="inlineStr">
        <is>
          <t>자본금</t>
        </is>
      </c>
      <c r="B32" s="10" t="n"/>
      <c r="C32" s="21" t="n">
        <v>4545.5</v>
      </c>
      <c r="D32" s="22" t="n">
        <v>4545.5</v>
      </c>
      <c r="E32" s="22" t="n">
        <v>4545.5</v>
      </c>
      <c r="F32" s="22" t="n">
        <v>4545.5</v>
      </c>
      <c r="G32" s="22" t="n">
        <v>4545.5</v>
      </c>
      <c r="H32" s="21" t="n">
        <v>4545.5</v>
      </c>
      <c r="I32" s="22" t="n">
        <v>4545.5</v>
      </c>
      <c r="J32" s="22" t="n">
        <v>4545.5</v>
      </c>
      <c r="K32" s="22" t="n">
        <v>4545.5</v>
      </c>
      <c r="L32" s="22" t="n">
        <v>4545.5</v>
      </c>
    </row>
    <row r="33">
      <c r="A33" s="20" t="inlineStr">
        <is>
          <t>이익잉여금</t>
        </is>
      </c>
      <c r="B33" s="10" t="n"/>
      <c r="C33" s="21" t="n">
        <v>33288.766</v>
      </c>
      <c r="D33" s="22" t="n">
        <v>33499.437</v>
      </c>
      <c r="E33" s="22" t="n">
        <v>33355.148</v>
      </c>
      <c r="F33" s="22" t="n">
        <v>32875.499</v>
      </c>
      <c r="G33" s="22" t="n">
        <v>33352.503</v>
      </c>
      <c r="H33" s="21" t="n">
        <v>40402.686</v>
      </c>
      <c r="I33" s="22" t="n">
        <v>39745.691</v>
      </c>
      <c r="J33" s="22" t="n">
        <v>33836.814</v>
      </c>
      <c r="K33" s="22" t="n">
        <v>33410.113</v>
      </c>
      <c r="L33" s="22" t="n">
        <v>32875.499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42789.719</v>
      </c>
      <c r="D35" s="12" t="n">
        <v>43069.205</v>
      </c>
      <c r="E35" s="12" t="n">
        <v>42928.35</v>
      </c>
      <c r="F35" s="12" t="n">
        <v>43245.192</v>
      </c>
      <c r="G35" s="12" t="n">
        <v>43444.674</v>
      </c>
      <c r="H35" s="11" t="n">
        <v>50946.141</v>
      </c>
      <c r="I35" s="12" t="n">
        <v>50537.936</v>
      </c>
      <c r="J35" s="12" t="n">
        <v>43161.427</v>
      </c>
      <c r="K35" s="12" t="n">
        <v>42915.559</v>
      </c>
      <c r="L35" s="12" t="n">
        <v>43245.192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878.904</v>
      </c>
      <c r="G37" s="12" t="n"/>
      <c r="H37" s="11" t="n">
        <v>4031.117</v>
      </c>
      <c r="I37" s="12" t="n">
        <v>3588.261</v>
      </c>
      <c r="J37" s="12" t="n">
        <v>2705.164</v>
      </c>
      <c r="K37" s="12" t="n">
        <v>1450.576</v>
      </c>
      <c r="L37" s="12" t="n">
        <v>878.904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11438.998</v>
      </c>
      <c r="G38" s="22" t="n"/>
      <c r="H38" s="21" t="n">
        <v>2726.99</v>
      </c>
      <c r="I38" s="22" t="n">
        <v>3762.545</v>
      </c>
      <c r="J38" s="22" t="n">
        <v>2997.919</v>
      </c>
      <c r="K38" s="22" t="n">
        <v>3892.105</v>
      </c>
      <c r="L38" s="22" t="n">
        <v>11438.998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>
        <v>604.7430000000001</v>
      </c>
      <c r="G40" s="22" t="n"/>
      <c r="H40" s="21" t="n">
        <v>671.949</v>
      </c>
      <c r="I40" s="22" t="n">
        <v>671.949</v>
      </c>
      <c r="J40" s="22" t="n">
        <v>647.947</v>
      </c>
      <c r="K40" s="22" t="n">
        <v>604.746</v>
      </c>
      <c r="L40" s="22" t="n">
        <v>604.7430000000001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IFERROR(IF(('연간'!T44)&lt;=0,"적자",H28/('연간'!T44)),"")</f>
        <v/>
      </c>
      <c r="I49" s="48">
        <f>IFERROR(IF(('연간'!U44)&lt;=0,"적자",I28/('연간'!U44)),"")</f>
        <v/>
      </c>
      <c r="J49" s="48">
        <f>IFERROR(IF(('연간'!V44)&lt;=0,"적자",J28/('연간'!V44)),"")</f>
        <v/>
      </c>
      <c r="K49" s="48">
        <f>IFERROR(IF(('연간'!W44)&lt;=0,"적자",K28/('연간'!W44)),"")</f>
        <v/>
      </c>
      <c r="L49" s="48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IFERROR(H8/('연간'!T4)*365,"")</f>
        <v/>
      </c>
      <c r="I59" s="50">
        <f>IFERROR(I8/('연간'!U4)*365,"")</f>
        <v/>
      </c>
      <c r="J59" s="50">
        <f>IFERROR(J8/('연간'!V4)*365,"")</f>
        <v/>
      </c>
      <c r="K59" s="50">
        <f>IFERROR(K8/('연간'!W4)*365,"")</f>
        <v/>
      </c>
      <c r="L59" s="50">
        <f>IFERROR(L8/('연간'!X4)*365,"")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IFERROR(H9/('연간'!T11)*365,"")</f>
        <v/>
      </c>
      <c r="I60" s="50">
        <f>IFERROR(I9/('연간'!U11)*365,"")</f>
        <v/>
      </c>
      <c r="J60" s="50">
        <f>IFERROR(J9/('연간'!V11)*365,"")</f>
        <v/>
      </c>
      <c r="K60" s="50">
        <f>IFERROR(K9/('연간'!W11)*365,"")</f>
        <v/>
      </c>
      <c r="L60" s="50">
        <f>IFERROR(L9/('연간'!X11)*365,"")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IFERROR(H19/('연간'!T11)*365,"")</f>
        <v/>
      </c>
      <c r="I61" s="50">
        <f>IFERROR(I19/('연간'!U11)*365,"")</f>
        <v/>
      </c>
      <c r="J61" s="50">
        <f>IFERROR(J19/('연간'!V11)*365,"")</f>
        <v/>
      </c>
      <c r="K61" s="50">
        <f>IFERROR(K19/('연간'!W11)*365,"")</f>
        <v/>
      </c>
      <c r="L61" s="50">
        <f>IFERROR(L19/('연간'!X11)*365,"")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  <c r="L62" s="50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14506.244</v>
      </c>
      <c r="D71" s="22" t="n">
        <v>14621.194</v>
      </c>
      <c r="E71" s="22" t="n">
        <v>13705.132</v>
      </c>
      <c r="F71" s="22" t="n">
        <v>16346.71</v>
      </c>
      <c r="G71" s="22" t="n">
        <v>11672.767</v>
      </c>
      <c r="H71" s="22" t="n">
        <v>24114.441</v>
      </c>
      <c r="I71" s="22" t="n">
        <v>22561.943</v>
      </c>
      <c r="J71" s="22" t="n">
        <v>20056.678</v>
      </c>
      <c r="K71" s="22" t="n">
        <v>17701.231</v>
      </c>
      <c r="L71" s="22" t="n">
        <v>16346.71</v>
      </c>
    </row>
    <row r="72">
      <c r="A72" s="20" t="inlineStr">
        <is>
          <t>받을어음·매출채권</t>
        </is>
      </c>
      <c r="C72" s="22" t="n">
        <v>7105.966</v>
      </c>
      <c r="D72" s="22" t="n">
        <v>7543.797</v>
      </c>
      <c r="E72" s="22" t="n">
        <v>7359.816</v>
      </c>
      <c r="F72" s="22" t="n">
        <v>7589.605</v>
      </c>
      <c r="G72" s="22" t="n">
        <v>7797.747</v>
      </c>
      <c r="H72" s="22" t="n">
        <v>9438.508</v>
      </c>
      <c r="I72" s="22" t="n">
        <v>6247.175</v>
      </c>
      <c r="J72" s="22" t="n">
        <v>6520.586</v>
      </c>
      <c r="K72" s="22" t="n">
        <v>6864.429</v>
      </c>
      <c r="L72" s="22" t="n">
        <v>7589.605</v>
      </c>
    </row>
    <row r="73">
      <c r="A73" s="20" t="inlineStr">
        <is>
          <t>전자기록채권</t>
        </is>
      </c>
      <c r="C73" s="22" t="n">
        <v>2231.097</v>
      </c>
      <c r="D73" s="22" t="n">
        <v>2470.291</v>
      </c>
      <c r="E73" s="22" t="n">
        <v>2664.515</v>
      </c>
      <c r="F73" s="22" t="n">
        <v>2511.915</v>
      </c>
      <c r="G73" s="22" t="n">
        <v>2827.372</v>
      </c>
      <c r="H73" s="22" t="n">
        <v>2221.023</v>
      </c>
      <c r="I73" s="22" t="n">
        <v>2113.781</v>
      </c>
      <c r="J73" s="22" t="n">
        <v>1683.421</v>
      </c>
      <c r="K73" s="22" t="n">
        <v>2055.138</v>
      </c>
      <c r="L73" s="22" t="n">
        <v>2511.915</v>
      </c>
    </row>
    <row r="74">
      <c r="A74" s="20" t="inlineStr">
        <is>
          <t>유가증권</t>
        </is>
      </c>
      <c r="C74" s="22" t="n">
        <v>3000</v>
      </c>
      <c r="D74" s="22" t="n">
        <v>3000</v>
      </c>
      <c r="E74" s="22" t="n">
        <v>3000</v>
      </c>
      <c r="F74" s="22" t="n">
        <v>1000</v>
      </c>
      <c r="G74" s="22" t="n">
        <v>1000</v>
      </c>
      <c r="H74" s="22" t="n">
        <v>3000</v>
      </c>
      <c r="I74" s="22" t="n">
        <v>3000</v>
      </c>
      <c r="J74" s="22" t="n">
        <v>3000</v>
      </c>
      <c r="K74" s="22" t="n">
        <v>3000</v>
      </c>
      <c r="L74" s="22" t="n">
        <v>1000</v>
      </c>
    </row>
    <row r="75">
      <c r="A75" s="20" t="inlineStr">
        <is>
          <t>상품·제품</t>
        </is>
      </c>
      <c r="C75" s="22" t="n">
        <v>65.104</v>
      </c>
      <c r="D75" s="22" t="n">
        <v>65.62</v>
      </c>
      <c r="E75" s="22" t="n">
        <v>83.14100000000001</v>
      </c>
      <c r="F75" s="22" t="n">
        <v>95.492</v>
      </c>
      <c r="G75" s="22" t="n">
        <v>139.62</v>
      </c>
      <c r="H75" s="22" t="n">
        <v>154.269</v>
      </c>
      <c r="I75" s="22" t="n">
        <v>83.755</v>
      </c>
      <c r="J75" s="22" t="n">
        <v>63.176</v>
      </c>
      <c r="K75" s="22" t="n">
        <v>65.283</v>
      </c>
      <c r="L75" s="22" t="n">
        <v>95.492</v>
      </c>
    </row>
    <row r="76">
      <c r="A76" s="20" t="inlineStr">
        <is>
          <t>재공품</t>
        </is>
      </c>
      <c r="C76" s="22" t="n">
        <v>1229.983</v>
      </c>
      <c r="D76" s="22" t="n">
        <v>1108.368</v>
      </c>
      <c r="E76" s="22" t="n">
        <v>1237.167</v>
      </c>
      <c r="F76" s="22" t="n">
        <v>1299.899</v>
      </c>
      <c r="G76" s="22" t="n">
        <v>1476.082</v>
      </c>
      <c r="H76" s="22" t="n">
        <v>950.571</v>
      </c>
      <c r="I76" s="22" t="n">
        <v>1118.635</v>
      </c>
      <c r="J76" s="22" t="n">
        <v>905.0650000000001</v>
      </c>
      <c r="K76" s="22" t="n">
        <v>1061.575</v>
      </c>
      <c r="L76" s="22" t="n">
        <v>1299.899</v>
      </c>
    </row>
    <row r="77">
      <c r="A77" s="20" t="inlineStr">
        <is>
          <t>원재료·저장품</t>
        </is>
      </c>
      <c r="C77" s="22" t="n">
        <v>3312.996</v>
      </c>
      <c r="D77" s="22" t="n">
        <v>2883.379</v>
      </c>
      <c r="E77" s="22" t="n">
        <v>4786.827</v>
      </c>
      <c r="F77" s="22" t="n">
        <v>3522.946</v>
      </c>
      <c r="G77" s="22" t="n">
        <v>3590.842</v>
      </c>
      <c r="H77" s="22" t="n">
        <v>1887.534</v>
      </c>
      <c r="I77" s="22" t="n">
        <v>2225.637</v>
      </c>
      <c r="J77" s="22" t="n">
        <v>1954.61</v>
      </c>
      <c r="K77" s="22" t="n">
        <v>1832.29</v>
      </c>
      <c r="L77" s="22" t="n">
        <v>3522.946</v>
      </c>
    </row>
    <row r="78">
      <c r="A78" s="20" t="inlineStr">
        <is>
          <t>선급비용</t>
        </is>
      </c>
      <c r="C78" s="22" t="n">
        <v>135.263</v>
      </c>
      <c r="D78" s="22" t="n">
        <v>144.33</v>
      </c>
      <c r="E78" s="22" t="n">
        <v>204.215</v>
      </c>
      <c r="F78" s="22" t="n">
        <v>96.574</v>
      </c>
      <c r="G78" s="22" t="n">
        <v>184.607</v>
      </c>
      <c r="H78" s="22" t="n">
        <v>77.291</v>
      </c>
      <c r="I78" s="22" t="n">
        <v>78.967</v>
      </c>
      <c r="J78" s="22" t="n">
        <v>86.392</v>
      </c>
      <c r="K78" s="22" t="n">
        <v>103.43</v>
      </c>
      <c r="L78" s="22" t="n">
        <v>96.574</v>
      </c>
    </row>
    <row r="79">
      <c r="A79" s="20" t="inlineStr">
        <is>
          <t>기타</t>
        </is>
      </c>
      <c r="C79" s="22" t="n">
        <v>705.487</v>
      </c>
      <c r="D79" s="22" t="n">
        <v>930.398</v>
      </c>
      <c r="E79" s="22" t="n">
        <v>1149.157</v>
      </c>
      <c r="F79" s="22" t="n">
        <v>1174.13</v>
      </c>
      <c r="G79" s="22" t="n">
        <v>1330.62</v>
      </c>
      <c r="H79" s="22" t="n">
        <v>874.083</v>
      </c>
      <c r="I79" s="22" t="n">
        <v>785.646</v>
      </c>
      <c r="J79" s="22" t="n">
        <v>678.473</v>
      </c>
      <c r="K79" s="22" t="n">
        <v>745.8630000000001</v>
      </c>
      <c r="L79" s="22" t="n">
        <v>1174.13</v>
      </c>
    </row>
    <row r="80">
      <c r="A80" s="9" t="inlineStr">
        <is>
          <t>유동자산 합계</t>
        </is>
      </c>
      <c r="C80" s="12" t="n">
        <v>32292.143</v>
      </c>
      <c r="D80" s="12" t="n">
        <v>32767.38</v>
      </c>
      <c r="E80" s="12" t="n">
        <v>34189.973</v>
      </c>
      <c r="F80" s="12" t="n">
        <v>33637.275</v>
      </c>
      <c r="G80" s="12" t="n">
        <v>30019.661</v>
      </c>
      <c r="H80" s="12" t="n">
        <v>42717.723</v>
      </c>
      <c r="I80" s="12" t="n">
        <v>38215.541</v>
      </c>
      <c r="J80" s="12" t="n">
        <v>34948.405</v>
      </c>
      <c r="K80" s="12" t="n">
        <v>33429.242</v>
      </c>
      <c r="L80" s="12" t="n">
        <v>33637.275</v>
      </c>
    </row>
    <row r="81">
      <c r="A81" s="20" t="inlineStr">
        <is>
          <t>건물·구축물</t>
        </is>
      </c>
      <c r="C81" s="22" t="n">
        <v>23731.893</v>
      </c>
      <c r="D81" s="22" t="n">
        <v>25026.435</v>
      </c>
      <c r="E81" s="22" t="n">
        <v>25061.057</v>
      </c>
      <c r="F81" s="22" t="n">
        <v>25211.43</v>
      </c>
      <c r="G81" s="22" t="n">
        <v>25739.332</v>
      </c>
      <c r="H81" s="22" t="n">
        <v>21301.681</v>
      </c>
      <c r="I81" s="22" t="n">
        <v>21166.342</v>
      </c>
      <c r="J81" s="22" t="n">
        <v>22578.392</v>
      </c>
      <c r="K81" s="22" t="n">
        <v>23711.628</v>
      </c>
      <c r="L81" s="22" t="n">
        <v>25211.43</v>
      </c>
    </row>
    <row r="82">
      <c r="A82" s="20" t="inlineStr">
        <is>
          <t>감가상각누계액 및 손상차손누계액</t>
        </is>
      </c>
      <c r="C82" s="22" t="n">
        <v>-17971.511</v>
      </c>
      <c r="D82" s="22" t="n">
        <v>-18160.046</v>
      </c>
      <c r="E82" s="22" t="n">
        <v>-18405.836</v>
      </c>
      <c r="F82" s="22" t="n">
        <v>-18580.733</v>
      </c>
      <c r="G82" s="22" t="n">
        <v>-18727.879</v>
      </c>
      <c r="H82" s="22" t="n">
        <v>-15508.63</v>
      </c>
      <c r="I82" s="22" t="n">
        <v>-15690.299</v>
      </c>
      <c r="J82" s="22" t="n">
        <v>-17007.723</v>
      </c>
      <c r="K82" s="22" t="n">
        <v>-17782.736</v>
      </c>
      <c r="L82" s="22" t="n">
        <v>-18580.733</v>
      </c>
    </row>
    <row r="83">
      <c r="A83" s="20" t="inlineStr">
        <is>
          <t>건물·구축물(순액)</t>
        </is>
      </c>
      <c r="C83" s="22" t="n">
        <v>5760.382</v>
      </c>
      <c r="D83" s="22" t="n">
        <v>6866.388</v>
      </c>
      <c r="E83" s="22" t="n">
        <v>6655.221</v>
      </c>
      <c r="F83" s="22" t="n">
        <v>6630.696</v>
      </c>
      <c r="G83" s="22" t="n">
        <v>7011.452</v>
      </c>
      <c r="H83" s="22" t="n">
        <v>5793.051</v>
      </c>
      <c r="I83" s="22" t="n">
        <v>5476.042</v>
      </c>
      <c r="J83" s="22" t="n">
        <v>5570.669</v>
      </c>
      <c r="K83" s="22" t="n">
        <v>5928.892</v>
      </c>
      <c r="L83" s="22" t="n">
        <v>6630.696</v>
      </c>
    </row>
    <row r="84">
      <c r="A84" s="20" t="inlineStr">
        <is>
          <t>기계장치·운반구</t>
        </is>
      </c>
      <c r="C84" s="22" t="n">
        <v>46119.843</v>
      </c>
      <c r="D84" s="22" t="n">
        <v>46357.881</v>
      </c>
      <c r="E84" s="22" t="n">
        <v>46306.02</v>
      </c>
      <c r="F84" s="22" t="n">
        <v>46560.73</v>
      </c>
      <c r="G84" s="22" t="n">
        <v>46837.914</v>
      </c>
      <c r="H84" s="22" t="n">
        <v>46354.918</v>
      </c>
      <c r="I84" s="22" t="n">
        <v>46225.613</v>
      </c>
      <c r="J84" s="22" t="n">
        <v>45463.641</v>
      </c>
      <c r="K84" s="22" t="n">
        <v>46277.009</v>
      </c>
      <c r="L84" s="22" t="n">
        <v>46560.73</v>
      </c>
    </row>
    <row r="85">
      <c r="A85" s="20" t="inlineStr">
        <is>
          <t>감가상각누계액 및 손상차손누계액</t>
        </is>
      </c>
      <c r="C85" s="22" t="n">
        <v>-44152.239</v>
      </c>
      <c r="D85" s="22" t="n">
        <v>-44246.543</v>
      </c>
      <c r="E85" s="22" t="n">
        <v>-44235.785</v>
      </c>
      <c r="F85" s="22" t="n">
        <v>-44651.724</v>
      </c>
      <c r="G85" s="22" t="n">
        <v>-44747.133</v>
      </c>
      <c r="H85" s="22" t="n">
        <v>-43519.03</v>
      </c>
      <c r="I85" s="22" t="n">
        <v>-43367.398</v>
      </c>
      <c r="J85" s="22" t="n">
        <v>-44714.908</v>
      </c>
      <c r="K85" s="22" t="n">
        <v>-44288.442</v>
      </c>
      <c r="L85" s="22" t="n">
        <v>-44651.724</v>
      </c>
    </row>
    <row r="86">
      <c r="A86" s="20" t="inlineStr">
        <is>
          <t>기계장치·운반구(순액)</t>
        </is>
      </c>
      <c r="C86" s="22" t="n">
        <v>1967.603</v>
      </c>
      <c r="D86" s="22" t="n">
        <v>2111.338</v>
      </c>
      <c r="E86" s="22" t="n">
        <v>2070.235</v>
      </c>
      <c r="F86" s="22" t="n">
        <v>1909.006</v>
      </c>
      <c r="G86" s="22" t="n">
        <v>2090.78</v>
      </c>
      <c r="H86" s="22" t="n">
        <v>2835.887</v>
      </c>
      <c r="I86" s="22" t="n">
        <v>2858.214</v>
      </c>
      <c r="J86" s="22" t="n">
        <v>748.732</v>
      </c>
      <c r="K86" s="22" t="n">
        <v>1988.566</v>
      </c>
      <c r="L86" s="22" t="n">
        <v>1909.006</v>
      </c>
    </row>
    <row r="87">
      <c r="A87" s="20" t="inlineStr">
        <is>
          <t>공구·기구·비품</t>
        </is>
      </c>
      <c r="C87" s="22" t="n">
        <v>8620.398999999999</v>
      </c>
      <c r="D87" s="22" t="n">
        <v>8781.102999999999</v>
      </c>
      <c r="E87" s="22" t="n">
        <v>8727.289000000001</v>
      </c>
      <c r="F87" s="22" t="n">
        <v>8735.412</v>
      </c>
      <c r="G87" s="22" t="n">
        <v>8756.635</v>
      </c>
      <c r="H87" s="22" t="n">
        <v>8684.17</v>
      </c>
      <c r="I87" s="22" t="n">
        <v>8865.107</v>
      </c>
      <c r="J87" s="22" t="n">
        <v>8778.433000000001</v>
      </c>
      <c r="K87" s="22" t="n">
        <v>8738.502</v>
      </c>
      <c r="L87" s="22" t="n">
        <v>8735.412</v>
      </c>
    </row>
    <row r="88">
      <c r="A88" s="20" t="inlineStr">
        <is>
          <t>감가상각누계액 및 손상차손누계액</t>
        </is>
      </c>
      <c r="C88" s="22" t="n">
        <v>-8432.177</v>
      </c>
      <c r="D88" s="22" t="n">
        <v>-8473.002</v>
      </c>
      <c r="E88" s="22" t="n">
        <v>-8440.669</v>
      </c>
      <c r="F88" s="22" t="n">
        <v>-8480.605</v>
      </c>
      <c r="G88" s="22" t="n">
        <v>-8473.244000000001</v>
      </c>
      <c r="H88" s="22" t="n">
        <v>-8056.393</v>
      </c>
      <c r="I88" s="22" t="n">
        <v>-8349.648999999999</v>
      </c>
      <c r="J88" s="22" t="n">
        <v>-8686.858</v>
      </c>
      <c r="K88" s="22" t="n">
        <v>-8538.01</v>
      </c>
      <c r="L88" s="22" t="n">
        <v>-8480.605</v>
      </c>
    </row>
    <row r="89">
      <c r="A89" s="20" t="inlineStr">
        <is>
          <t>공구·기구·비품(순액)</t>
        </is>
      </c>
      <c r="C89" s="22" t="n">
        <v>188.222</v>
      </c>
      <c r="D89" s="22" t="n">
        <v>308.101</v>
      </c>
      <c r="E89" s="22" t="n">
        <v>286.619</v>
      </c>
      <c r="F89" s="22" t="n">
        <v>254.806</v>
      </c>
      <c r="G89" s="22" t="n">
        <v>283.391</v>
      </c>
      <c r="H89" s="22" t="n">
        <v>627.776</v>
      </c>
      <c r="I89" s="22" t="n">
        <v>515.457</v>
      </c>
      <c r="J89" s="22" t="n">
        <v>91.575</v>
      </c>
      <c r="K89" s="22" t="n">
        <v>200.492</v>
      </c>
      <c r="L89" s="22" t="n">
        <v>254.806</v>
      </c>
    </row>
    <row r="90">
      <c r="A90" s="20" t="inlineStr">
        <is>
          <t>토지</t>
        </is>
      </c>
      <c r="C90" s="22" t="n">
        <v>3453.102</v>
      </c>
      <c r="D90" s="22" t="n">
        <v>3453.102</v>
      </c>
      <c r="E90" s="22" t="n">
        <v>4353.102</v>
      </c>
      <c r="F90" s="22" t="n">
        <v>4355.075</v>
      </c>
      <c r="G90" s="22" t="n">
        <v>4355.075</v>
      </c>
      <c r="H90" s="22" t="n">
        <v>3463.289</v>
      </c>
      <c r="I90" s="22" t="n">
        <v>3464.288</v>
      </c>
      <c r="J90" s="22" t="n">
        <v>3453.102</v>
      </c>
      <c r="K90" s="22" t="n">
        <v>3453.102</v>
      </c>
      <c r="L90" s="22" t="n">
        <v>4355.075</v>
      </c>
    </row>
    <row r="91">
      <c r="A91" s="20" t="inlineStr">
        <is>
          <t>리스자산</t>
        </is>
      </c>
      <c r="C91" s="22" t="n">
        <v>236.25</v>
      </c>
      <c r="D91" s="22" t="n">
        <v>224.269</v>
      </c>
      <c r="E91" s="22" t="n">
        <v>228.73</v>
      </c>
      <c r="F91" s="22" t="n">
        <v>248.91</v>
      </c>
      <c r="G91" s="22" t="n">
        <v>242.509</v>
      </c>
      <c r="H91" s="22" t="n">
        <v>337.161</v>
      </c>
      <c r="I91" s="22" t="n">
        <v>348.453</v>
      </c>
      <c r="J91" s="22" t="n">
        <v>311.308</v>
      </c>
      <c r="K91" s="22" t="n">
        <v>266.05</v>
      </c>
      <c r="L91" s="22" t="n">
        <v>248.91</v>
      </c>
    </row>
    <row r="92">
      <c r="A92" s="20" t="inlineStr">
        <is>
          <t>감가상각누계액 및 손상차손누계액</t>
        </is>
      </c>
      <c r="C92" s="22" t="n">
        <v>-142.092</v>
      </c>
      <c r="D92" s="22" t="n">
        <v>-131.427</v>
      </c>
      <c r="E92" s="22" t="n">
        <v>-134.771</v>
      </c>
      <c r="F92" s="22" t="n">
        <v>-155.129</v>
      </c>
      <c r="G92" s="22" t="n">
        <v>-136.539</v>
      </c>
      <c r="H92" s="22" t="n">
        <v>-187.874</v>
      </c>
      <c r="I92" s="22" t="n">
        <v>-196.798</v>
      </c>
      <c r="J92" s="22" t="n">
        <v>-208.047</v>
      </c>
      <c r="K92" s="22" t="n">
        <v>-161.509</v>
      </c>
      <c r="L92" s="22" t="n">
        <v>-155.129</v>
      </c>
    </row>
    <row r="93">
      <c r="A93" s="20" t="inlineStr">
        <is>
          <t>리스자산(순액)</t>
        </is>
      </c>
      <c r="C93" s="22" t="n">
        <v>94.157</v>
      </c>
      <c r="D93" s="22" t="n">
        <v>92.84099999999999</v>
      </c>
      <c r="E93" s="22" t="n">
        <v>93.958</v>
      </c>
      <c r="F93" s="22" t="n">
        <v>93.78100000000001</v>
      </c>
      <c r="G93" s="22" t="n">
        <v>105.97</v>
      </c>
      <c r="H93" s="22" t="n">
        <v>149.287</v>
      </c>
      <c r="I93" s="22" t="n">
        <v>151.654</v>
      </c>
      <c r="J93" s="22" t="n">
        <v>103.26</v>
      </c>
      <c r="K93" s="22" t="n">
        <v>104.541</v>
      </c>
      <c r="L93" s="22" t="n">
        <v>93.78100000000001</v>
      </c>
    </row>
    <row r="94">
      <c r="A94" s="20" t="inlineStr">
        <is>
          <t>건설중인자산</t>
        </is>
      </c>
      <c r="C94" s="22" t="n">
        <v>2297.905</v>
      </c>
      <c r="D94" s="22" t="n">
        <v>6712.76</v>
      </c>
      <c r="E94" s="22" t="n">
        <v>7154.653</v>
      </c>
      <c r="F94" s="22" t="n">
        <v>8978.261</v>
      </c>
      <c r="G94" s="22" t="n">
        <v>10810.407</v>
      </c>
      <c r="H94" s="22" t="n">
        <v>700.91</v>
      </c>
      <c r="I94" s="22" t="n">
        <v>1577.451</v>
      </c>
      <c r="J94" s="22" t="n">
        <v>541.684</v>
      </c>
      <c r="K94" s="22" t="n">
        <v>1352.245</v>
      </c>
      <c r="L94" s="22" t="n">
        <v>8978.261</v>
      </c>
    </row>
    <row r="95">
      <c r="A95" s="20" t="inlineStr">
        <is>
          <t>유형자산 합계</t>
        </is>
      </c>
      <c r="C95" s="22" t="n">
        <v>13761.374</v>
      </c>
      <c r="D95" s="22" t="n">
        <v>19544.532</v>
      </c>
      <c r="E95" s="22" t="n">
        <v>20613.79</v>
      </c>
      <c r="F95" s="22" t="n">
        <v>22221.628</v>
      </c>
      <c r="G95" s="22" t="n">
        <v>24657.078</v>
      </c>
      <c r="H95" s="22" t="n">
        <v>13570.201</v>
      </c>
      <c r="I95" s="22" t="n">
        <v>14043.109</v>
      </c>
      <c r="J95" s="22" t="n">
        <v>10509.025</v>
      </c>
      <c r="K95" s="22" t="n">
        <v>13027.841</v>
      </c>
      <c r="L95" s="22" t="n">
        <v>22221.628</v>
      </c>
    </row>
    <row r="96">
      <c r="A96" s="20" t="inlineStr">
        <is>
          <t>영업권</t>
        </is>
      </c>
      <c r="H96" s="22" t="n">
        <v>136.35</v>
      </c>
      <c r="I96" s="22" t="n">
        <v>123.667</v>
      </c>
      <c r="J96" s="22" t="n">
        <v>0</v>
      </c>
    </row>
    <row r="97">
      <c r="A97" s="20" t="inlineStr">
        <is>
          <t>기타</t>
        </is>
      </c>
      <c r="H97" s="22" t="n">
        <v>165.254</v>
      </c>
      <c r="I97" s="22" t="n">
        <v>154.63</v>
      </c>
      <c r="J97" s="22" t="n">
        <v>117.174</v>
      </c>
    </row>
    <row r="98">
      <c r="A98" s="20" t="inlineStr">
        <is>
          <t>무형자산</t>
        </is>
      </c>
      <c r="C98" s="22" t="n">
        <v>132.251</v>
      </c>
      <c r="D98" s="22" t="n">
        <v>130.54</v>
      </c>
      <c r="E98" s="22" t="n">
        <v>149.389</v>
      </c>
      <c r="F98" s="22" t="n">
        <v>335.905</v>
      </c>
      <c r="G98" s="22" t="n">
        <v>454.684</v>
      </c>
      <c r="H98" s="22" t="n">
        <v>301.605</v>
      </c>
      <c r="I98" s="22" t="n">
        <v>278.297</v>
      </c>
      <c r="J98" s="22" t="n">
        <v>117.174</v>
      </c>
      <c r="K98" s="22" t="n">
        <v>124.387</v>
      </c>
      <c r="L98" s="22" t="n">
        <v>335.905</v>
      </c>
    </row>
    <row r="99">
      <c r="A99" s="20" t="inlineStr">
        <is>
          <t>투자유가증권</t>
        </is>
      </c>
      <c r="C99" s="22" t="n">
        <v>2948.677</v>
      </c>
      <c r="D99" s="22" t="n">
        <v>3070.29</v>
      </c>
      <c r="E99" s="22" t="n">
        <v>3096.03</v>
      </c>
      <c r="F99" s="22" t="n">
        <v>3121.346</v>
      </c>
      <c r="G99" s="22" t="n">
        <v>3385.081</v>
      </c>
      <c r="H99" s="22" t="n">
        <v>2694.487</v>
      </c>
      <c r="I99" s="22" t="n">
        <v>2755.349</v>
      </c>
      <c r="J99" s="22" t="n">
        <v>2948.981</v>
      </c>
      <c r="K99" s="22" t="n">
        <v>2951.046</v>
      </c>
      <c r="L99" s="22" t="n">
        <v>3121.346</v>
      </c>
    </row>
    <row r="100">
      <c r="A100" s="20" t="inlineStr">
        <is>
          <t>퇴직급여자산</t>
        </is>
      </c>
      <c r="C100" s="22" t="n">
        <v>1808.057</v>
      </c>
      <c r="D100" s="22" t="n">
        <v>1822.311</v>
      </c>
      <c r="E100" s="22" t="n">
        <v>1835.655</v>
      </c>
      <c r="F100" s="22" t="n">
        <v>3021.812</v>
      </c>
      <c r="G100" s="22" t="n">
        <v>3037.006</v>
      </c>
      <c r="H100" s="22" t="n">
        <v>377.488</v>
      </c>
      <c r="I100" s="22" t="n">
        <v>778.13</v>
      </c>
      <c r="J100" s="22" t="n">
        <v>1320.318</v>
      </c>
      <c r="K100" s="22" t="n">
        <v>1793.285</v>
      </c>
      <c r="L100" s="22" t="n">
        <v>3021.812</v>
      </c>
    </row>
    <row r="101">
      <c r="A101" s="20" t="inlineStr">
        <is>
          <t>이연법인세자산</t>
        </is>
      </c>
      <c r="C101" s="22" t="n">
        <v>82.949</v>
      </c>
      <c r="D101" s="22" t="n">
        <v>78.654</v>
      </c>
      <c r="E101" s="22" t="n">
        <v>81.47499999999999</v>
      </c>
      <c r="F101" s="22" t="n">
        <v>118.202</v>
      </c>
      <c r="G101" s="22" t="n">
        <v>116.701</v>
      </c>
      <c r="H101" s="22" t="n">
        <v>1084.14</v>
      </c>
      <c r="I101" s="22" t="n">
        <v>937.957</v>
      </c>
      <c r="J101" s="22" t="n">
        <v>47.428</v>
      </c>
      <c r="K101" s="22" t="n">
        <v>90.666</v>
      </c>
      <c r="L101" s="22" t="n">
        <v>118.202</v>
      </c>
    </row>
    <row r="102">
      <c r="A102" s="20" t="inlineStr">
        <is>
          <t>기타</t>
        </is>
      </c>
      <c r="C102" s="22" t="n">
        <v>176.038</v>
      </c>
      <c r="D102" s="22" t="n">
        <v>168.951</v>
      </c>
      <c r="E102" s="22" t="n">
        <v>169.625</v>
      </c>
      <c r="F102" s="22" t="n">
        <v>250.066</v>
      </c>
      <c r="G102" s="22" t="n">
        <v>251.924</v>
      </c>
      <c r="H102" s="22" t="n">
        <v>407.117</v>
      </c>
      <c r="I102" s="22" t="n">
        <v>360.432</v>
      </c>
      <c r="J102" s="22" t="n">
        <v>242.908</v>
      </c>
      <c r="K102" s="22" t="n">
        <v>176.189</v>
      </c>
      <c r="L102" s="22" t="n">
        <v>250.066</v>
      </c>
    </row>
    <row r="103">
      <c r="A103" s="20" t="inlineStr">
        <is>
          <t>투자 및 기타자산 합계</t>
        </is>
      </c>
      <c r="C103" s="22" t="n">
        <v>5015.723</v>
      </c>
      <c r="D103" s="22" t="n">
        <v>5140.207</v>
      </c>
      <c r="E103" s="22" t="n">
        <v>5182.786</v>
      </c>
      <c r="F103" s="22" t="n">
        <v>6511.428</v>
      </c>
      <c r="G103" s="22" t="n">
        <v>6790.713</v>
      </c>
      <c r="H103" s="22" t="n">
        <v>4563.233</v>
      </c>
      <c r="I103" s="22" t="n">
        <v>4831.87</v>
      </c>
      <c r="J103" s="22" t="n">
        <v>4559.637</v>
      </c>
      <c r="K103" s="22" t="n">
        <v>5011.188</v>
      </c>
      <c r="L103" s="22" t="n">
        <v>6511.428</v>
      </c>
    </row>
    <row r="104">
      <c r="A104" s="9" t="inlineStr">
        <is>
          <t>비유동자산 합계</t>
        </is>
      </c>
      <c r="C104" s="12" t="n">
        <v>18909.348</v>
      </c>
      <c r="D104" s="12" t="n">
        <v>24815.281</v>
      </c>
      <c r="E104" s="12" t="n">
        <v>25945.967</v>
      </c>
      <c r="F104" s="12" t="n">
        <v>29068.962</v>
      </c>
      <c r="G104" s="12" t="n">
        <v>31902.476</v>
      </c>
      <c r="H104" s="12" t="n">
        <v>18435.041</v>
      </c>
      <c r="I104" s="12" t="n">
        <v>19153.278</v>
      </c>
      <c r="J104" s="12" t="n">
        <v>15185.837</v>
      </c>
      <c r="K104" s="12" t="n">
        <v>18163.417</v>
      </c>
      <c r="L104" s="12" t="n">
        <v>29068.962</v>
      </c>
    </row>
    <row r="105">
      <c r="A105" s="9" t="inlineStr">
        <is>
          <t>자산 합계</t>
        </is>
      </c>
      <c r="C105" s="12" t="n">
        <v>51201.491</v>
      </c>
      <c r="D105" s="12" t="n">
        <v>57582.661</v>
      </c>
      <c r="E105" s="12" t="n">
        <v>60135.94</v>
      </c>
      <c r="F105" s="12" t="n">
        <v>62706.238</v>
      </c>
      <c r="G105" s="12" t="n">
        <v>61922.137</v>
      </c>
      <c r="H105" s="12" t="n">
        <v>61152.764</v>
      </c>
      <c r="I105" s="12" t="n">
        <v>57368.82</v>
      </c>
      <c r="J105" s="12" t="n">
        <v>50134.243</v>
      </c>
      <c r="K105" s="12" t="n">
        <v>51592.659</v>
      </c>
      <c r="L105" s="12" t="n">
        <v>62706.238</v>
      </c>
    </row>
    <row r="106">
      <c r="A106" s="20" t="inlineStr">
        <is>
          <t>지급어음·매입채무</t>
        </is>
      </c>
      <c r="C106" s="22" t="n">
        <v>1948.086</v>
      </c>
      <c r="D106" s="22" t="n">
        <v>1702.526</v>
      </c>
      <c r="E106" s="22" t="n">
        <v>1776.9</v>
      </c>
      <c r="F106" s="22" t="n">
        <v>1577.933</v>
      </c>
      <c r="G106" s="22" t="n">
        <v>2430.17</v>
      </c>
      <c r="H106" s="22" t="n">
        <v>2471.09</v>
      </c>
      <c r="I106" s="22" t="n">
        <v>1630.025</v>
      </c>
      <c r="J106" s="22" t="n">
        <v>1719.617</v>
      </c>
      <c r="K106" s="22" t="n">
        <v>1924.254</v>
      </c>
      <c r="L106" s="22" t="n">
        <v>1577.933</v>
      </c>
    </row>
    <row r="107">
      <c r="A107" s="20" t="inlineStr">
        <is>
          <t>전자기록채무</t>
        </is>
      </c>
      <c r="C107" s="22" t="n">
        <v>811.4930000000001</v>
      </c>
      <c r="D107" s="22" t="n">
        <v>703.696</v>
      </c>
      <c r="E107" s="22" t="n">
        <v>870.2910000000001</v>
      </c>
      <c r="F107" s="22" t="n">
        <v>632.963</v>
      </c>
      <c r="G107" s="22" t="n">
        <v>727.15</v>
      </c>
      <c r="H107" s="22" t="n">
        <v>1504.218</v>
      </c>
      <c r="I107" s="22" t="n">
        <v>851.717</v>
      </c>
      <c r="J107" s="22" t="n">
        <v>916.022</v>
      </c>
      <c r="K107" s="22" t="n">
        <v>802.971</v>
      </c>
      <c r="L107" s="22" t="n">
        <v>632.963</v>
      </c>
    </row>
    <row r="108">
      <c r="A108" s="20" t="inlineStr">
        <is>
          <t>단기차입금</t>
        </is>
      </c>
      <c r="C108" s="22" t="n">
        <v>1190</v>
      </c>
      <c r="D108" s="22" t="n">
        <v>200</v>
      </c>
      <c r="E108" s="22" t="n">
        <v>500</v>
      </c>
      <c r="F108" s="22" t="n">
        <v>200</v>
      </c>
      <c r="G108" s="22" t="n">
        <v>500</v>
      </c>
      <c r="H108" s="22" t="n">
        <v>190</v>
      </c>
      <c r="I108" s="22" t="n">
        <v>190</v>
      </c>
      <c r="J108" s="22" t="n">
        <v>190</v>
      </c>
      <c r="K108" s="22" t="n">
        <v>1180</v>
      </c>
      <c r="L108" s="22" t="n">
        <v>200</v>
      </c>
    </row>
    <row r="109">
      <c r="A109" s="20" t="inlineStr">
        <is>
          <t>1년 내 상환 장기차입금</t>
        </is>
      </c>
      <c r="C109" s="22" t="n">
        <v>142.686</v>
      </c>
      <c r="D109" s="22" t="n">
        <v>126</v>
      </c>
      <c r="E109" s="22" t="n">
        <v>126</v>
      </c>
      <c r="F109" s="22" t="n">
        <v>1992.666</v>
      </c>
      <c r="G109" s="22" t="n">
        <v>237.625</v>
      </c>
      <c r="H109" s="22" t="n">
        <v>306.028</v>
      </c>
      <c r="I109" s="22" t="n">
        <v>160.496</v>
      </c>
      <c r="J109" s="22" t="n">
        <v>233.496</v>
      </c>
      <c r="K109" s="22" t="n">
        <v>167.685</v>
      </c>
      <c r="L109" s="22" t="n">
        <v>1992.666</v>
      </c>
    </row>
    <row r="110">
      <c r="A110" s="20" t="inlineStr">
        <is>
          <t>리스부채</t>
        </is>
      </c>
      <c r="C110" s="22" t="n">
        <v>36.604</v>
      </c>
      <c r="D110" s="22" t="n">
        <v>35.523</v>
      </c>
      <c r="E110" s="22" t="n">
        <v>35.342</v>
      </c>
      <c r="F110" s="22" t="n">
        <v>37.862</v>
      </c>
      <c r="G110" s="22" t="n">
        <v>40.454</v>
      </c>
      <c r="H110" s="22" t="n">
        <v>63.542</v>
      </c>
      <c r="I110" s="22" t="n">
        <v>63.87</v>
      </c>
      <c r="J110" s="22" t="n">
        <v>52.292</v>
      </c>
      <c r="K110" s="22" t="n">
        <v>40.353</v>
      </c>
      <c r="L110" s="22" t="n">
        <v>37.862</v>
      </c>
    </row>
    <row r="111">
      <c r="A111" s="20" t="inlineStr">
        <is>
          <t>미지급금</t>
        </is>
      </c>
      <c r="C111" s="22" t="n">
        <v>2022.168</v>
      </c>
      <c r="D111" s="22" t="n">
        <v>3475.915</v>
      </c>
      <c r="E111" s="22" t="n">
        <v>2091.485</v>
      </c>
      <c r="F111" s="22" t="n">
        <v>2570.993</v>
      </c>
      <c r="G111" s="22" t="n">
        <v>2589.316</v>
      </c>
      <c r="H111" s="22" t="n">
        <v>2441.021</v>
      </c>
      <c r="I111" s="22" t="n">
        <v>2074.116</v>
      </c>
      <c r="J111" s="22" t="n">
        <v>1694.444</v>
      </c>
      <c r="K111" s="22" t="n">
        <v>2056.896</v>
      </c>
      <c r="L111" s="22" t="n">
        <v>2570.993</v>
      </c>
    </row>
    <row r="112">
      <c r="A112" s="20" t="inlineStr">
        <is>
          <t>미지급법인세</t>
        </is>
      </c>
      <c r="C112" s="22" t="n">
        <v>35.211</v>
      </c>
      <c r="D112" s="22" t="n">
        <v>123.003</v>
      </c>
      <c r="E112" s="22" t="n">
        <v>70.374</v>
      </c>
      <c r="F112" s="22" t="n">
        <v>106.108</v>
      </c>
      <c r="G112" s="22" t="n">
        <v>54.144</v>
      </c>
      <c r="H112" s="22" t="n">
        <v>1128.147</v>
      </c>
      <c r="I112" s="22" t="n">
        <v>51.533</v>
      </c>
      <c r="J112" s="22" t="n">
        <v>62.151</v>
      </c>
      <c r="K112" s="22" t="n">
        <v>92.72799999999999</v>
      </c>
      <c r="L112" s="22" t="n">
        <v>106.108</v>
      </c>
    </row>
    <row r="113">
      <c r="A113" s="20" t="inlineStr">
        <is>
          <t>상여충당금</t>
        </is>
      </c>
      <c r="C113" s="22" t="n">
        <v>168.55</v>
      </c>
      <c r="D113" s="22" t="n">
        <v>668.4589999999999</v>
      </c>
      <c r="E113" s="22" t="n">
        <v>167.376</v>
      </c>
      <c r="F113" s="22" t="n">
        <v>672.845</v>
      </c>
      <c r="G113" s="22" t="n">
        <v>172.055</v>
      </c>
      <c r="H113" s="22" t="n">
        <v>721.662</v>
      </c>
      <c r="I113" s="22" t="n">
        <v>712.97</v>
      </c>
      <c r="J113" s="22" t="n">
        <v>681.035</v>
      </c>
      <c r="K113" s="22" t="n">
        <v>674.471</v>
      </c>
      <c r="L113" s="22" t="n">
        <v>672.845</v>
      </c>
    </row>
    <row r="114">
      <c r="A114" s="20" t="inlineStr">
        <is>
          <t>기타</t>
        </is>
      </c>
      <c r="C114" s="22" t="n">
        <v>763.788</v>
      </c>
      <c r="D114" s="22" t="n">
        <v>537.198</v>
      </c>
      <c r="E114" s="22" t="n">
        <v>1119.638</v>
      </c>
      <c r="F114" s="22" t="n">
        <v>755.634</v>
      </c>
      <c r="G114" s="22" t="n">
        <v>856.918</v>
      </c>
      <c r="H114" s="22" t="n">
        <v>660.977</v>
      </c>
      <c r="I114" s="22" t="n">
        <v>594.581</v>
      </c>
      <c r="J114" s="22" t="n">
        <v>535.235</v>
      </c>
      <c r="K114" s="22" t="n">
        <v>711.9109999999999</v>
      </c>
      <c r="L114" s="22" t="n">
        <v>755.634</v>
      </c>
    </row>
    <row r="115">
      <c r="A115" s="9" t="inlineStr">
        <is>
          <t>유동부채 합계</t>
        </is>
      </c>
      <c r="C115" s="12" t="n">
        <v>7118.589</v>
      </c>
      <c r="D115" s="12" t="n">
        <v>7572.321</v>
      </c>
      <c r="E115" s="12" t="n">
        <v>6757.41</v>
      </c>
      <c r="F115" s="12" t="n">
        <v>8547.008</v>
      </c>
      <c r="G115" s="12" t="n">
        <v>7607.835</v>
      </c>
      <c r="H115" s="12" t="n">
        <v>9486.688</v>
      </c>
      <c r="I115" s="12" t="n">
        <v>6329.312</v>
      </c>
      <c r="J115" s="12" t="n">
        <v>6084.296</v>
      </c>
      <c r="K115" s="12" t="n">
        <v>7651.274</v>
      </c>
      <c r="L115" s="12" t="n">
        <v>8547.008</v>
      </c>
    </row>
    <row r="116">
      <c r="A116" s="20" t="inlineStr">
        <is>
          <t>장기차입금</t>
        </is>
      </c>
      <c r="C116" s="22" t="n">
        <v>275</v>
      </c>
      <c r="D116" s="22" t="n">
        <v>5883.5</v>
      </c>
      <c r="E116" s="22" t="n">
        <v>9384.5</v>
      </c>
      <c r="F116" s="22" t="n">
        <v>7478.833</v>
      </c>
      <c r="G116" s="22" t="n">
        <v>6922.375</v>
      </c>
      <c r="H116" s="22" t="n">
        <v>302.177</v>
      </c>
      <c r="I116" s="22" t="n">
        <v>141.681</v>
      </c>
      <c r="J116" s="22" t="n">
        <v>474.185</v>
      </c>
      <c r="K116" s="22" t="n">
        <v>306.5</v>
      </c>
      <c r="L116" s="22" t="n">
        <v>7478.833</v>
      </c>
    </row>
    <row r="117">
      <c r="A117" s="20" t="inlineStr">
        <is>
          <t>리스부채</t>
        </is>
      </c>
      <c r="C117" s="22" t="n">
        <v>61.405</v>
      </c>
      <c r="D117" s="22" t="n">
        <v>61.265</v>
      </c>
      <c r="E117" s="22" t="n">
        <v>63.096</v>
      </c>
      <c r="F117" s="22" t="n">
        <v>74.54000000000001</v>
      </c>
      <c r="G117" s="22" t="n">
        <v>84.586</v>
      </c>
      <c r="H117" s="22" t="n">
        <v>109.399</v>
      </c>
      <c r="I117" s="22" t="n">
        <v>95.408</v>
      </c>
      <c r="J117" s="22" t="n">
        <v>60.855</v>
      </c>
      <c r="K117" s="22" t="n">
        <v>70.057</v>
      </c>
      <c r="L117" s="22" t="n">
        <v>74.54000000000001</v>
      </c>
    </row>
    <row r="118">
      <c r="A118" s="20" t="inlineStr">
        <is>
          <t>이연법인세부채</t>
        </is>
      </c>
      <c r="C118" s="22" t="n">
        <v>563.414</v>
      </c>
      <c r="D118" s="22" t="n">
        <v>604.62</v>
      </c>
      <c r="E118" s="22" t="n">
        <v>615.546</v>
      </c>
      <c r="F118" s="22" t="n">
        <v>1113.786</v>
      </c>
      <c r="G118" s="22" t="n">
        <v>1203.98</v>
      </c>
      <c r="H118" s="22" t="n">
        <v>1.377</v>
      </c>
      <c r="I118" s="22" t="n">
        <v>2.121</v>
      </c>
      <c r="J118" s="22" t="n">
        <v>230.681</v>
      </c>
      <c r="K118" s="22" t="n">
        <v>556.347</v>
      </c>
      <c r="L118" s="22" t="n">
        <v>1113.786</v>
      </c>
    </row>
    <row r="119">
      <c r="A119" s="20" t="inlineStr">
        <is>
          <t>퇴직급여부채</t>
        </is>
      </c>
      <c r="C119" s="22" t="n">
        <v>31.775</v>
      </c>
      <c r="D119" s="22" t="n">
        <v>30.898</v>
      </c>
      <c r="E119" s="22" t="n">
        <v>27.773</v>
      </c>
      <c r="F119" s="22" t="n">
        <v>24.829</v>
      </c>
      <c r="G119" s="22" t="n">
        <v>24.094</v>
      </c>
      <c r="H119" s="22" t="n">
        <v>216.791</v>
      </c>
      <c r="I119" s="22" t="n">
        <v>175.496</v>
      </c>
      <c r="J119" s="22" t="n">
        <v>37.43</v>
      </c>
      <c r="K119" s="22" t="n">
        <v>31.371</v>
      </c>
      <c r="L119" s="22" t="n">
        <v>24.829</v>
      </c>
    </row>
    <row r="120">
      <c r="A120" s="20" t="inlineStr">
        <is>
          <t>자산복구부채</t>
        </is>
      </c>
      <c r="C120" s="22" t="n">
        <v>28.076</v>
      </c>
      <c r="D120" s="22" t="n">
        <v>28.114</v>
      </c>
      <c r="E120" s="22" t="n">
        <v>28.151</v>
      </c>
      <c r="F120" s="22" t="n">
        <v>28.189</v>
      </c>
      <c r="G120" s="22" t="n">
        <v>28.226</v>
      </c>
      <c r="H120" s="22" t="n">
        <v>27.595</v>
      </c>
      <c r="I120" s="22" t="n">
        <v>27.742</v>
      </c>
      <c r="J120" s="22" t="n">
        <v>27.89</v>
      </c>
      <c r="K120" s="22" t="n">
        <v>28.039</v>
      </c>
      <c r="L120" s="22" t="n">
        <v>28.189</v>
      </c>
    </row>
    <row r="121">
      <c r="A121" s="20" t="inlineStr">
        <is>
          <t>Special Suspense Account For Tax Purpose Reduction Entry NCL</t>
        </is>
      </c>
      <c r="D121" s="22" t="n">
        <v>300</v>
      </c>
      <c r="F121" s="22" t="n">
        <v>2166.666</v>
      </c>
      <c r="G121" s="22" t="n">
        <v>2579.999</v>
      </c>
      <c r="K121" s="22" t="n">
        <v>0</v>
      </c>
      <c r="L121" s="22" t="n">
        <v>2166.666</v>
      </c>
    </row>
    <row r="122">
      <c r="A122" s="20" t="inlineStr">
        <is>
          <t>기타</t>
        </is>
      </c>
      <c r="C122" s="22" t="n">
        <v>333.51</v>
      </c>
      <c r="D122" s="22" t="n">
        <v>32.736</v>
      </c>
      <c r="E122" s="22" t="n">
        <v>331.111</v>
      </c>
      <c r="F122" s="22" t="n">
        <v>27.191</v>
      </c>
      <c r="G122" s="22" t="n">
        <v>26.364</v>
      </c>
      <c r="H122" s="22" t="n">
        <v>62.592</v>
      </c>
      <c r="I122" s="22" t="n">
        <v>59.121</v>
      </c>
      <c r="J122" s="22" t="n">
        <v>57.476</v>
      </c>
      <c r="K122" s="22" t="n">
        <v>33.51</v>
      </c>
      <c r="L122" s="22" t="n">
        <v>27.191</v>
      </c>
    </row>
    <row r="123">
      <c r="A123" s="9" t="inlineStr">
        <is>
          <t>비유동부채 합계</t>
        </is>
      </c>
      <c r="C123" s="12" t="n">
        <v>1293.182</v>
      </c>
      <c r="D123" s="12" t="n">
        <v>6941.135</v>
      </c>
      <c r="E123" s="12" t="n">
        <v>10450.179</v>
      </c>
      <c r="F123" s="12" t="n">
        <v>10914.036</v>
      </c>
      <c r="G123" s="12" t="n">
        <v>10869.627</v>
      </c>
      <c r="H123" s="12" t="n">
        <v>719.934</v>
      </c>
      <c r="I123" s="12" t="n">
        <v>501.571</v>
      </c>
      <c r="J123" s="12" t="n">
        <v>888.518</v>
      </c>
      <c r="K123" s="12" t="n">
        <v>1025.826</v>
      </c>
      <c r="L123" s="12" t="n">
        <v>10914.036</v>
      </c>
    </row>
    <row r="124">
      <c r="A124" s="9" t="inlineStr">
        <is>
          <t>부채 합계</t>
        </is>
      </c>
      <c r="C124" s="12" t="n">
        <v>8411.772000000001</v>
      </c>
      <c r="D124" s="12" t="n">
        <v>14513.456</v>
      </c>
      <c r="E124" s="12" t="n">
        <v>17207.589</v>
      </c>
      <c r="F124" s="12" t="n">
        <v>19461.045</v>
      </c>
      <c r="G124" s="12" t="n">
        <v>18477.463</v>
      </c>
      <c r="H124" s="12" t="n">
        <v>10206.623</v>
      </c>
      <c r="I124" s="12" t="n">
        <v>6830.884</v>
      </c>
      <c r="J124" s="12" t="n">
        <v>6972.815</v>
      </c>
      <c r="K124" s="12" t="n">
        <v>8677.1</v>
      </c>
      <c r="L124" s="12" t="n">
        <v>19461.045</v>
      </c>
    </row>
    <row r="125">
      <c r="A125" s="20" t="inlineStr">
        <is>
          <t>자본금</t>
        </is>
      </c>
      <c r="C125" s="22" t="n">
        <v>4545.5</v>
      </c>
      <c r="D125" s="22" t="n">
        <v>4545.5</v>
      </c>
      <c r="E125" s="22" t="n">
        <v>4545.5</v>
      </c>
      <c r="F125" s="22" t="n">
        <v>4545.5</v>
      </c>
      <c r="G125" s="22" t="n">
        <v>4545.5</v>
      </c>
      <c r="H125" s="22" t="n">
        <v>4545.5</v>
      </c>
      <c r="I125" s="22" t="n">
        <v>4545.5</v>
      </c>
      <c r="J125" s="22" t="n">
        <v>4545.5</v>
      </c>
      <c r="K125" s="22" t="n">
        <v>4545.5</v>
      </c>
      <c r="L125" s="22" t="n">
        <v>4545.5</v>
      </c>
    </row>
    <row r="126">
      <c r="A126" s="20" t="inlineStr">
        <is>
          <t>자본잉여금</t>
        </is>
      </c>
      <c r="C126" s="22" t="n">
        <v>5790.95</v>
      </c>
      <c r="D126" s="22" t="n">
        <v>5790.95</v>
      </c>
      <c r="E126" s="22" t="n">
        <v>5790.95</v>
      </c>
      <c r="F126" s="22" t="n">
        <v>5790.95</v>
      </c>
      <c r="G126" s="22" t="n">
        <v>5353.675</v>
      </c>
      <c r="H126" s="22" t="n">
        <v>5790.95</v>
      </c>
      <c r="I126" s="22" t="n">
        <v>5790.95</v>
      </c>
      <c r="J126" s="22" t="n">
        <v>5790.95</v>
      </c>
      <c r="K126" s="22" t="n">
        <v>5790.95</v>
      </c>
      <c r="L126" s="22" t="n">
        <v>5790.95</v>
      </c>
    </row>
    <row r="127">
      <c r="A127" s="20" t="inlineStr">
        <is>
          <t>이익잉여금</t>
        </is>
      </c>
      <c r="C127" s="22" t="n">
        <v>33288.766</v>
      </c>
      <c r="D127" s="22" t="n">
        <v>33499.437</v>
      </c>
      <c r="E127" s="22" t="n">
        <v>33355.148</v>
      </c>
      <c r="F127" s="22" t="n">
        <v>32875.499</v>
      </c>
      <c r="G127" s="22" t="n">
        <v>33352.503</v>
      </c>
      <c r="H127" s="22" t="n">
        <v>40402.686</v>
      </c>
      <c r="I127" s="22" t="n">
        <v>39745.691</v>
      </c>
      <c r="J127" s="22" t="n">
        <v>33836.814</v>
      </c>
      <c r="K127" s="22" t="n">
        <v>33410.113</v>
      </c>
      <c r="L127" s="22" t="n">
        <v>32875.499</v>
      </c>
    </row>
    <row r="128">
      <c r="A128" s="20" t="inlineStr">
        <is>
          <t>자기주식</t>
        </is>
      </c>
      <c r="C128" s="22" t="n">
        <v>-1961.37</v>
      </c>
      <c r="D128" s="22" t="n">
        <v>-1961.429</v>
      </c>
      <c r="E128" s="22" t="n">
        <v>-1961.429</v>
      </c>
      <c r="F128" s="22" t="n">
        <v>-1961.429</v>
      </c>
      <c r="G128" s="22" t="n">
        <v>-1961.429</v>
      </c>
      <c r="H128" s="22" t="n">
        <v>-1.881</v>
      </c>
      <c r="I128" s="22" t="n">
        <v>-2.028</v>
      </c>
      <c r="J128" s="22" t="n">
        <v>-1961.228</v>
      </c>
      <c r="K128" s="22" t="n">
        <v>-1961.37</v>
      </c>
      <c r="L128" s="22" t="n">
        <v>-1961.429</v>
      </c>
    </row>
    <row r="129">
      <c r="A129" s="9" t="inlineStr">
        <is>
          <t>주주자본 합계</t>
        </is>
      </c>
      <c r="C129" s="12" t="n">
        <v>41663.846</v>
      </c>
      <c r="D129" s="12" t="n">
        <v>41874.458</v>
      </c>
      <c r="E129" s="12" t="n">
        <v>41730.169</v>
      </c>
      <c r="F129" s="12" t="n">
        <v>41250.52</v>
      </c>
      <c r="G129" s="12" t="n">
        <v>41290.25</v>
      </c>
      <c r="H129" s="12" t="n">
        <v>50737.255</v>
      </c>
      <c r="I129" s="12" t="n">
        <v>50080.112</v>
      </c>
      <c r="J129" s="12" t="n">
        <v>42212.036</v>
      </c>
      <c r="K129" s="12" t="n">
        <v>41785.193</v>
      </c>
      <c r="L129" s="12" t="n">
        <v>41250.52</v>
      </c>
    </row>
    <row r="130">
      <c r="A130" s="20" t="inlineStr">
        <is>
          <t>기타유가증권 평가차액</t>
        </is>
      </c>
      <c r="C130" s="22" t="n">
        <v>317.475</v>
      </c>
      <c r="D130" s="22" t="n">
        <v>402.344</v>
      </c>
      <c r="E130" s="22" t="n">
        <v>421.775</v>
      </c>
      <c r="F130" s="22" t="n">
        <v>431.652</v>
      </c>
      <c r="G130" s="22" t="n">
        <v>623.502</v>
      </c>
      <c r="H130" s="22" t="n">
        <v>243.992</v>
      </c>
      <c r="I130" s="22" t="n">
        <v>232.553</v>
      </c>
      <c r="J130" s="22" t="n">
        <v>310.676</v>
      </c>
      <c r="K130" s="22" t="n">
        <v>305.972</v>
      </c>
      <c r="L130" s="22" t="n">
        <v>431.652</v>
      </c>
    </row>
    <row r="131">
      <c r="A131" s="20" t="inlineStr">
        <is>
          <t>퇴직급여 조정누계액</t>
        </is>
      </c>
      <c r="C131" s="22" t="n">
        <v>808.397</v>
      </c>
      <c r="D131" s="22" t="n">
        <v>792.401</v>
      </c>
      <c r="E131" s="22" t="n">
        <v>776.405</v>
      </c>
      <c r="F131" s="22" t="n">
        <v>1563.019</v>
      </c>
      <c r="G131" s="22" t="n">
        <v>1530.921</v>
      </c>
      <c r="H131" s="22" t="n">
        <v>-35.106</v>
      </c>
      <c r="I131" s="22" t="n">
        <v>225.27</v>
      </c>
      <c r="J131" s="22" t="n">
        <v>638.7140000000001</v>
      </c>
      <c r="K131" s="22" t="n">
        <v>824.394</v>
      </c>
      <c r="L131" s="22" t="n">
        <v>1563.019</v>
      </c>
    </row>
    <row r="132">
      <c r="A132" s="20" t="inlineStr">
        <is>
          <t>기타포괄손익누계액 합계</t>
        </is>
      </c>
      <c r="C132" s="22" t="n">
        <v>1125.873</v>
      </c>
      <c r="D132" s="22" t="n">
        <v>1194.746</v>
      </c>
      <c r="E132" s="22" t="n">
        <v>1198.181</v>
      </c>
      <c r="F132" s="22" t="n">
        <v>1994.672</v>
      </c>
      <c r="G132" s="22" t="n">
        <v>2154.424</v>
      </c>
      <c r="H132" s="22" t="n">
        <v>208.886</v>
      </c>
      <c r="I132" s="22" t="n">
        <v>457.823</v>
      </c>
      <c r="J132" s="22" t="n">
        <v>949.391</v>
      </c>
      <c r="K132" s="22" t="n">
        <v>1130.366</v>
      </c>
      <c r="L132" s="22" t="n">
        <v>1994.672</v>
      </c>
    </row>
    <row r="133">
      <c r="A133" s="9" t="inlineStr">
        <is>
          <t>순자산 합계</t>
        </is>
      </c>
      <c r="C133" s="12" t="n">
        <v>42789.719</v>
      </c>
      <c r="D133" s="12" t="n">
        <v>43069.205</v>
      </c>
      <c r="E133" s="12" t="n">
        <v>42928.35</v>
      </c>
      <c r="F133" s="12" t="n">
        <v>43245.192</v>
      </c>
      <c r="G133" s="12" t="n">
        <v>43444.674</v>
      </c>
      <c r="H133" s="12" t="n">
        <v>50946.141</v>
      </c>
      <c r="I133" s="12" t="n">
        <v>50537.936</v>
      </c>
      <c r="J133" s="12" t="n">
        <v>43161.427</v>
      </c>
      <c r="K133" s="12" t="n">
        <v>42915.559</v>
      </c>
      <c r="L133" s="12" t="n">
        <v>43245.192</v>
      </c>
    </row>
    <row r="134">
      <c r="A134" s="9" t="inlineStr">
        <is>
          <t>부채·순자산 합계</t>
        </is>
      </c>
      <c r="C134" s="12" t="n">
        <v>51201.491</v>
      </c>
      <c r="D134" s="12" t="n">
        <v>57582.661</v>
      </c>
      <c r="E134" s="12" t="n">
        <v>60135.94</v>
      </c>
      <c r="F134" s="12" t="n">
        <v>62706.238</v>
      </c>
      <c r="G134" s="12" t="n">
        <v>61922.137</v>
      </c>
      <c r="H134" s="12" t="n">
        <v>61152.764</v>
      </c>
      <c r="I134" s="12" t="n">
        <v>57368.82</v>
      </c>
      <c r="J134" s="12" t="n">
        <v>50134.243</v>
      </c>
      <c r="K134" s="12" t="n">
        <v>51592.659</v>
      </c>
      <c r="L134" s="12" t="n">
        <v>62706.238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https://www2.jpx.co.jp/disc/68320/140120260731504922.pdf</t>
        </is>
      </c>
    </row>
    <row r="5">
      <c r="A5" t="inlineStr">
        <is>
          <t>2026-05-08</t>
        </is>
      </c>
      <c r="B5" t="inlineStr">
        <is>
          <t>2026년 3월 결산기 연간 결산단신</t>
        </is>
      </c>
      <c r="C5" t="inlineStr">
        <is>
          <t>https://www2.jpx.co.jp/disc/68320/140120260508519469.pdf</t>
        </is>
      </c>
    </row>
    <row r="6">
      <c r="A6" t="inlineStr">
        <is>
          <t>2026-02-04</t>
        </is>
      </c>
      <c r="B6" t="inlineStr">
        <is>
          <t>2026년 3월 결산기 ３분기 결산단신</t>
        </is>
      </c>
      <c r="C6" t="inlineStr">
        <is>
          <t>https://www2.jpx.co.jp/disc/68320/140120260204546907.pdf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https://www2.jpx.co.jp/disc/68320/140120251031584414.pdf</t>
        </is>
      </c>
    </row>
    <row r="8">
      <c r="A8" t="inlineStr">
        <is>
          <t>2025-08-01</t>
        </is>
      </c>
      <c r="B8" t="inlineStr">
        <is>
          <t>2026년 3월 결산기 １분기 결산단신</t>
        </is>
      </c>
      <c r="C8" t="inlineStr">
        <is>
          <t>https://www2.jpx.co.jp/disc/68320/140120250801527329.pdf</t>
        </is>
      </c>
    </row>
    <row r="9">
      <c r="A9" t="inlineStr">
        <is>
          <t>2025-05-09</t>
        </is>
      </c>
      <c r="B9" t="inlineStr">
        <is>
          <t>2025년 3월 결산기 연간 결산단신</t>
        </is>
      </c>
      <c r="C9" t="inlineStr">
        <is>
          <t>https://www2.jpx.co.jp/disc/68320/140120250509536882.pdf</t>
        </is>
      </c>
    </row>
    <row r="10">
      <c r="A10" t="inlineStr">
        <is>
          <t>2025-02-05</t>
        </is>
      </c>
      <c r="B10" t="inlineStr">
        <is>
          <t>2025년 3월 결산기 ３분기 결산단신</t>
        </is>
      </c>
      <c r="C10" t="inlineStr">
        <is>
          <t>https://www2.jpx.co.jp/disc/68320/140120250205563421.pdf</t>
        </is>
      </c>
    </row>
    <row r="11">
      <c r="A11" t="inlineStr">
        <is>
          <t>2024-11-01</t>
        </is>
      </c>
      <c r="B11" t="inlineStr">
        <is>
          <t>2025년 3월 결산기 ２분기 결산단신</t>
        </is>
      </c>
      <c r="C11" t="inlineStr">
        <is>
          <t>https://www2.jpx.co.jp/disc/68320/140120241101509147.pdf</t>
        </is>
      </c>
    </row>
    <row r="12">
      <c r="A12" t="inlineStr">
        <is>
          <t>2024-08-02</t>
        </is>
      </c>
      <c r="B12" t="inlineStr">
        <is>
          <t>2025년 3월 결산기 １분기 결산단신</t>
        </is>
      </c>
      <c r="C12" t="inlineStr">
        <is>
          <t>https://www2.jpx.co.jp/disc/68320/140120240802561443.pdf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https://www2.jpx.co.jp/disc/68320/140120240510588957.pdf</t>
        </is>
      </c>
    </row>
    <row r="14">
      <c r="A14" t="inlineStr">
        <is>
          <t>2024-02-02</t>
        </is>
      </c>
      <c r="B14" t="inlineStr">
        <is>
          <t>2024년 3월 결산기 ３분기 결산단신</t>
        </is>
      </c>
      <c r="C14" t="inlineStr">
        <is>
          <t>https://www2.jpx.co.jp/disc/68320/140120240201524560.pdf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https://www2.jpx.co.jp/disc/68320/140120231026572289.pdf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https://www2.jpx.co.jp/disc/68320/140120230728528848.pdf</t>
        </is>
      </c>
    </row>
    <row r="17">
      <c r="A17" t="inlineStr">
        <is>
          <t>2023-05-10</t>
        </is>
      </c>
      <c r="B17" t="inlineStr">
        <is>
          <t>2023년 3월 결산기 연간 결산단신</t>
        </is>
      </c>
      <c r="C17" t="inlineStr">
        <is>
          <t>https://www2.jpx.co.jp/disc/68320/140120230508560278.pdf</t>
        </is>
      </c>
    </row>
    <row r="18">
      <c r="A18" t="inlineStr">
        <is>
          <t>2023-02-03</t>
        </is>
      </c>
      <c r="B18" t="inlineStr">
        <is>
          <t>2023년 3월 결산기 ３분기 결산단신</t>
        </is>
      </c>
      <c r="C18" t="inlineStr">
        <is>
          <t>https://www2.jpx.co.jp/disc/68320/140120230203599703.pdf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https://www2.jpx.co.jp/disc/68320/140120221028551678.pdf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https://www2.jpx.co.jp/disc/68320/140120220511538766.pdf</t>
        </is>
      </c>
    </row>
    <row r="21">
      <c r="A21" t="inlineStr">
        <is>
          <t>2021-05-07</t>
        </is>
      </c>
      <c r="B21" t="inlineStr">
        <is>
          <t>2021년 3월 결산기 연간 결산단신</t>
        </is>
      </c>
      <c r="C21" t="inlineStr">
        <is>
          <t>https://www2.jpx.co.jp/disc/68320/140120210506406590.pdf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https://www2.jpx.co.jp/disc/68320/140120200508406349.pdf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https://www2.jpx.co.jp/disc/68320/140120190510420586.pdf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https://www2.jpx.co.jp/disc/68320/140120180511434452.pdf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2026-10-25T17:49:10Z</dcterms:created>
  <dcterms:modified xmlns:dcterms="http://purl.org/dc/terms/" xmlns:xsi="http://www.w3.org/2001/XMLSchema-instance" xsi:type="dcterms:W3CDTF">2026-10-25T17:49:11Z</dcterms:modified>
</cp:coreProperties>
</file>