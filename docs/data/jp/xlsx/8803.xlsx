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연간" sheetId="1" state="visible" r:id="rId1"/>
    <sheet xmlns:r="http://schemas.openxmlformats.org/officeDocument/2006/relationships" name="재무상태표" sheetId="2" state="visible" r:id="rId2"/>
    <sheet xmlns:r="http://schemas.openxmlformats.org/officeDocument/2006/relationships" name="섹터 데이터" sheetId="3" state="visible" r:id="rId3"/>
    <sheet xmlns:r="http://schemas.openxmlformats.org/officeDocument/2006/relationships" name="출처" sheetId="4" state="visible" r:id="rId4"/>
    <sheet xmlns:r="http://schemas.openxmlformats.org/officeDocument/2006/relationships" name="재무제표 한눈에 보기" sheetId="5" state="visible" r:id="rId5"/>
  </sheets>
  <definedNames>
    <definedName name="_xlnm.Print_Titles" localSheetId="0">'연간'!$3:$3</definedName>
    <definedName name="_xlnm.Print_Titles" localSheetId="1">'재무상태표'!$3:$3</definedName>
  </definedNames>
  <calcPr calcId="124519" fullCalcOnLoad="1"/>
</workbook>
</file>

<file path=xl/styles.xml><?xml version="1.0" encoding="utf-8"?>
<styleSheet xmlns="http://schemas.openxmlformats.org/spreadsheetml/2006/main">
  <numFmts count="7">
    <numFmt numFmtId="164" formatCode="0.0%;-0.0%;&quot;-&quot;"/>
    <numFmt numFmtId="165" formatCode="#,##0;(#,##0);&quot;-&quot;"/>
    <numFmt numFmtId="166" formatCode="0.0&quot;x&quot;;-0.0&quot;x&quot;;&quot;-&quot;"/>
    <numFmt numFmtId="167" formatCode="0.0&quot;년&quot;;-0.0&quot;년&quot;;&quot;-&quot;"/>
    <numFmt numFmtId="168" formatCode="0&quot;일&quot;;-0&quot;일&quot;;&quot;-&quot;"/>
    <numFmt numFmtId="169" formatCode="#,##0.0;\(#,##0.0\);&quot;-&quot;"/>
    <numFmt numFmtId="170" formatCode="0.0&quot;%&quot;"/>
  </numFmts>
  <fonts count="25">
    <font>
      <name val="Calibri"/>
      <family val="2"/>
      <color theme="1"/>
      <sz val="11"/>
      <scheme val="minor"/>
    </font>
    <font>
      <name val="맑은 고딕"/>
      <b val="1"/>
      <color rgb="00000000"/>
      <sz val="20"/>
    </font>
    <font>
      <name val="맑은 고딕"/>
      <color rgb="00FF0000"/>
      <sz val="11"/>
    </font>
    <font>
      <name val="맑은 고딕"/>
      <color rgb="00808080"/>
      <sz val="9"/>
    </font>
    <font>
      <name val="맑은 고딕"/>
      <color rgb="000000FF"/>
      <sz val="9"/>
    </font>
    <font>
      <name val="맑은 고딕"/>
      <b val="1"/>
      <color rgb="00000000"/>
      <sz val="10"/>
    </font>
    <font>
      <name val="맑은 고딕"/>
      <color rgb="00808080"/>
      <sz val="11"/>
    </font>
    <font>
      <name val="맑은 고딕"/>
      <b val="1"/>
      <color rgb="00FFFFFF"/>
      <sz val="11"/>
    </font>
    <font>
      <name val="맑은 고딕"/>
      <color rgb="00000000"/>
      <sz val="11"/>
    </font>
    <font>
      <name val="맑은 고딕"/>
      <color rgb="000000FF"/>
      <sz val="11"/>
    </font>
    <font>
      <name val="맑은 고딕"/>
      <b val="1"/>
      <color rgb="00000000"/>
      <sz val="11"/>
    </font>
    <font>
      <name val="맑은 고딕"/>
      <b val="1"/>
      <color rgb="00FF0000"/>
      <sz val="11"/>
    </font>
    <font>
      <name val="맑은 고딕"/>
      <b val="1"/>
      <color rgb="00808080"/>
      <sz val="9"/>
    </font>
    <font>
      <name val="맑은 고딕"/>
      <color rgb="00FF0000"/>
      <sz val="9"/>
    </font>
    <font>
      <name val="맑은 고딕"/>
      <b val="1"/>
      <color rgb="00FFFFFF"/>
      <sz val="9"/>
    </font>
    <font>
      <name val="맑은 고딕"/>
      <b val="1"/>
      <sz val="20"/>
    </font>
    <font>
      <name val="맑은 고딕"/>
      <color rgb="FFFF0000"/>
      <sz val="9"/>
    </font>
    <font>
      <name val="맑은 고딕"/>
      <b val="1"/>
      <color rgb="FFFFFFFF"/>
      <sz val="11"/>
    </font>
    <font>
      <name val="맑은 고딕"/>
      <b val="1"/>
      <sz val="10"/>
    </font>
    <font>
      <name val="맑은 고딕"/>
      <sz val="11"/>
    </font>
    <font>
      <name val="맑은 고딕"/>
      <color rgb="FF808080"/>
      <sz val="9"/>
    </font>
    <font>
      <name val="맑은 고딕"/>
      <b val="1"/>
      <sz val="12"/>
    </font>
    <font>
      <name val="맑은 고딕"/>
      <color rgb="00666666"/>
      <sz val="8"/>
    </font>
    <font>
      <name val="맑은 고딕"/>
      <b val="1"/>
      <sz val="9"/>
    </font>
    <font>
      <name val="맑은 고딕"/>
      <sz val="9"/>
    </font>
  </fonts>
  <fills count="9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808080"/>
      </patternFill>
    </fill>
    <fill>
      <patternFill patternType="solid">
        <fgColor rgb="00A6A6A6"/>
      </patternFill>
    </fill>
    <fill>
      <patternFill patternType="solid">
        <fgColor rgb="00DDEBF7"/>
      </patternFill>
    </fill>
    <fill>
      <patternFill patternType="solid">
        <fgColor rgb="FF808080"/>
      </patternFill>
    </fill>
    <fill>
      <patternFill patternType="solid">
        <fgColor rgb="FFD9D9D9"/>
      </patternFill>
    </fill>
    <fill>
      <patternFill patternType="solid">
        <fgColor rgb="00D9E1F2"/>
      </patternFill>
    </fill>
  </fills>
  <borders count="4">
    <border>
      <left/>
      <right/>
      <top/>
      <bottom/>
      <diagonal/>
    </border>
    <border>
      <top style="thin">
        <color rgb="007F7F7F"/>
      </top>
      <bottom style="thin">
        <color rgb="007F7F7F"/>
      </bottom>
    </border>
    <border>
      <left style="thin">
        <color rgb="007F7F7F"/>
      </left>
      <top style="thin">
        <color rgb="007F7F7F"/>
      </top>
      <bottom style="thin">
        <color rgb="007F7F7F"/>
      </bottom>
    </border>
    <border>
      <left style="thin">
        <color rgb="007F7F7F"/>
      </left>
      <top/>
      <bottom/>
    </border>
  </borders>
  <cellStyleXfs count="1">
    <xf numFmtId="0" fontId="0" fillId="0" borderId="0"/>
  </cellStyleXfs>
  <cellXfs count="6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65" fontId="10" fillId="0" borderId="3" applyAlignment="1" pivotButton="0" quotePrefix="0" xfId="0">
      <alignment horizontal="center" vertical="center"/>
    </xf>
    <xf numFmtId="165" fontId="10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 indent="1"/>
    </xf>
    <xf numFmtId="164" fontId="6" fillId="0" borderId="3" applyAlignment="1" pivotButton="0" quotePrefix="0" xfId="0">
      <alignment horizontal="center" vertical="center"/>
    </xf>
    <xf numFmtId="164" fontId="6" fillId="0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3" borderId="3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165" fontId="8" fillId="0" borderId="3" applyAlignment="1" pivotButton="0" quotePrefix="0" xfId="0">
      <alignment horizontal="center" vertical="center"/>
    </xf>
    <xf numFmtId="165" fontId="8" fillId="0" borderId="0" applyAlignment="1" pivotButton="0" quotePrefix="0" xfId="0">
      <alignment horizontal="center" vertical="center"/>
    </xf>
    <xf numFmtId="165" fontId="9" fillId="0" borderId="3" applyAlignment="1" pivotButton="0" quotePrefix="0" xfId="0">
      <alignment horizontal="center" vertical="center"/>
    </xf>
    <xf numFmtId="165" fontId="9" fillId="0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7" fillId="4" borderId="3" applyAlignment="1" pivotButton="0" quotePrefix="0" xfId="0">
      <alignment horizontal="center" vertical="center"/>
    </xf>
    <xf numFmtId="164" fontId="9" fillId="0" borderId="3" applyAlignment="1" pivotButton="0" quotePrefix="0" xfId="0">
      <alignment horizontal="center" vertical="center"/>
    </xf>
    <xf numFmtId="164" fontId="9" fillId="0" borderId="0" applyAlignment="1" pivotButton="0" quotePrefix="0" xfId="0">
      <alignment horizontal="center" vertical="center"/>
    </xf>
    <xf numFmtId="3" fontId="10" fillId="0" borderId="0" applyAlignment="1" pivotButton="0" quotePrefix="0" xfId="0">
      <alignment horizontal="center" vertical="center"/>
    </xf>
    <xf numFmtId="3" fontId="8" fillId="0" borderId="3" applyAlignment="1" pivotButton="0" quotePrefix="0" xfId="0">
      <alignment horizontal="center" vertical="center"/>
    </xf>
    <xf numFmtId="3" fontId="8" fillId="0" borderId="0" applyAlignment="1" pivotButton="0" quotePrefix="0" xfId="0">
      <alignment horizontal="center" vertical="center"/>
    </xf>
    <xf numFmtId="166" fontId="8" fillId="0" borderId="3" applyAlignment="1" pivotButton="0" quotePrefix="0" xfId="0">
      <alignment horizontal="center" vertical="center"/>
    </xf>
    <xf numFmtId="166" fontId="8" fillId="0" borderId="0" applyAlignment="1" pivotButton="0" quotePrefix="0" xfId="0">
      <alignment horizontal="center" vertical="center"/>
    </xf>
    <xf numFmtId="166" fontId="9" fillId="0" borderId="3" applyAlignment="1" pivotButton="0" quotePrefix="0" xfId="0">
      <alignment horizontal="center" vertical="center"/>
    </xf>
    <xf numFmtId="166" fontId="9" fillId="0" borderId="0" applyAlignment="1" pivotButton="0" quotePrefix="0" xfId="0">
      <alignment horizontal="center" vertical="center"/>
    </xf>
    <xf numFmtId="3" fontId="10" fillId="0" borderId="3" applyAlignment="1" pivotButton="0" quotePrefix="0" xfId="0">
      <alignment horizontal="center" vertical="center"/>
    </xf>
    <xf numFmtId="164" fontId="8" fillId="0" borderId="3" applyAlignment="1" pivotButton="0" quotePrefix="0" xfId="0">
      <alignment horizontal="center" vertical="center"/>
    </xf>
    <xf numFmtId="164" fontId="8" fillId="0" borderId="0" applyAlignment="1" pivotButton="0" quotePrefix="0" xfId="0">
      <alignment horizontal="center" vertical="center"/>
    </xf>
    <xf numFmtId="164" fontId="11" fillId="0" borderId="3" applyAlignment="1" pivotButton="0" quotePrefix="0" xfId="0">
      <alignment horizontal="center" vertical="center"/>
    </xf>
    <xf numFmtId="164" fontId="11" fillId="0" borderId="0" applyAlignment="1" pivotButton="0" quotePrefix="0" xfId="0">
      <alignment horizontal="center" vertical="center"/>
    </xf>
    <xf numFmtId="0" fontId="0" fillId="0" borderId="3" pivotButton="0" quotePrefix="0" xfId="0"/>
    <xf numFmtId="0" fontId="12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14" fillId="3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13" fillId="0" borderId="0" pivotButton="0" quotePrefix="0" xfId="0"/>
    <xf numFmtId="0" fontId="8" fillId="0" borderId="0" applyAlignment="1" pivotButton="0" quotePrefix="0" xfId="0">
      <alignment horizontal="left" vertical="center" indent="1"/>
    </xf>
    <xf numFmtId="167" fontId="8" fillId="0" borderId="3" applyAlignment="1" pivotButton="0" quotePrefix="0" xfId="0">
      <alignment horizontal="center" vertical="center"/>
    </xf>
    <xf numFmtId="167" fontId="8" fillId="0" borderId="0" applyAlignment="1" pivotButton="0" quotePrefix="0" xfId="0">
      <alignment horizontal="center" vertical="center"/>
    </xf>
    <xf numFmtId="168" fontId="8" fillId="0" borderId="3" applyAlignment="1" pivotButton="0" quotePrefix="0" xfId="0">
      <alignment horizontal="center" vertical="center"/>
    </xf>
    <xf numFmtId="168" fontId="8" fillId="0" borderId="0" applyAlignment="1" pivotButton="0" quotePrefix="0" xfId="0">
      <alignment horizontal="center" vertical="center"/>
    </xf>
    <xf numFmtId="0" fontId="15" fillId="0" borderId="0" pivotButton="0" quotePrefix="0" xfId="0"/>
    <xf numFmtId="0" fontId="16" fillId="0" borderId="0" pivotButton="0" quotePrefix="0" xfId="0"/>
    <xf numFmtId="0" fontId="17" fillId="6" borderId="0" applyAlignment="1" pivotButton="0" quotePrefix="0" xfId="0">
      <alignment horizontal="center" vertical="center"/>
    </xf>
    <xf numFmtId="0" fontId="18" fillId="7" borderId="0" applyAlignment="1" pivotButton="0" quotePrefix="0" xfId="0">
      <alignment horizontal="center" vertical="center"/>
    </xf>
    <xf numFmtId="0" fontId="19" fillId="0" borderId="0" pivotButton="0" quotePrefix="0" xfId="0"/>
    <xf numFmtId="169" fontId="19" fillId="0" borderId="0" applyAlignment="1" pivotButton="0" quotePrefix="0" xfId="0">
      <alignment horizontal="center" vertical="center"/>
    </xf>
    <xf numFmtId="0" fontId="20" fillId="0" borderId="0" pivotButton="0" quotePrefix="0" xfId="0"/>
    <xf numFmtId="3" fontId="19" fillId="0" borderId="0" applyAlignment="1" pivotButton="0" quotePrefix="0" xfId="0">
      <alignment horizontal="center" vertical="center"/>
    </xf>
    <xf numFmtId="0" fontId="18" fillId="7" borderId="0" pivotButton="0" quotePrefix="0" xfId="0"/>
    <xf numFmtId="0" fontId="21" fillId="0" borderId="0" pivotButton="0" quotePrefix="0" xfId="0"/>
    <xf numFmtId="0" fontId="22" fillId="0" borderId="0" pivotButton="0" quotePrefix="0" xfId="0"/>
    <xf numFmtId="0" fontId="23" fillId="0" borderId="0" pivotButton="0" quotePrefix="0" xfId="0"/>
    <xf numFmtId="0" fontId="23" fillId="8" borderId="0" applyAlignment="1" pivotButton="0" quotePrefix="0" xfId="0">
      <alignment horizontal="center"/>
    </xf>
    <xf numFmtId="0" fontId="24" fillId="0" borderId="0" pivotButton="0" quotePrefix="0" xfId="0"/>
    <xf numFmtId="3" fontId="24" fillId="0" borderId="0" pivotButton="0" quotePrefix="0" xfId="0"/>
    <xf numFmtId="170" fontId="24" fillId="0" borderId="0" pivotButton="0" quotePrefix="0" xfId="0"/>
  </cellXfs>
  <cellStyles count="1">
    <cellStyle name="Normal" xfId="0" builtinId="0" hidden="0"/>
  </cellStyles>
  <dxfs count="1">
    <dxf>
      <font>
        <name val="맑은 고딕"/>
        <b val="1"/>
        <color rgb="00FF00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매출액 (억 엔) · YoY (%)</a:t>
            </a:r>
          </a:p>
        </rich>
      </tx>
    </title>
    <plotArea>
      <barChart>
        <barDir val="col"/>
        <grouping val="clustered"/>
        <varyColors val="0"/>
        <ser>
          <idx val="0"/>
          <order val="0"/>
          <tx>
            <strRef>
              <f>'재무제표 한눈에 보기'!A5</f>
            </strRef>
          </tx>
          <spPr>
            <a:solidFill xmlns:a="http://schemas.openxmlformats.org/drawingml/2006/main">
              <a:srgbClr val="4472C4"/>
            </a:solidFill>
            <a:ln xmlns:a="http://schemas.openxmlformats.org/drawingml/2006/main">
              <a:solidFill>
                <a:srgbClr val="4472C4"/>
              </a:solidFill>
              <a:prstDash val="solid"/>
            </a:ln>
          </spPr>
          <cat>
            <numRef>
              <f>'재무제표 한눈에 보기'!$B$4:$AO$4</f>
            </numRef>
          </cat>
          <val>
            <numRef>
              <f>'재무제표 한눈에 보기'!$B$5:$AO$5</f>
            </numRef>
          </val>
        </ser>
        <dLbls>
          <numFmt formatCode="#,##0"/>
          <dLblPos val="outEnd"/>
          <showLegendKey val="0"/>
          <showVal val="1"/>
          <showCatName val="0"/>
          <showSerName val="0"/>
        </dLbls>
        <gapWidth val="40"/>
        <axId val="10"/>
        <axId val="100"/>
      </barChart>
      <lineChart>
        <grouping val="standard"/>
        <ser>
          <idx val="1"/>
          <order val="1"/>
          <tx>
            <strRef>
              <f>'재무제표 한눈에 보기'!A6</f>
            </strRef>
          </tx>
          <spPr>
            <a:ln xmlns:a="http://schemas.openxmlformats.org/drawingml/2006/main">
              <a:solidFill>
                <a:srgbClr val="ED7D31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ED7D31"/>
              </a:solidFill>
              <a:ln xmlns:a="http://schemas.openxmlformats.org/drawingml/2006/main">
                <a:solidFill>
                  <a:srgbClr val="ED7D31"/>
                </a:solidFill>
                <a:prstDash val="solid"/>
              </a:ln>
            </spPr>
          </marker>
          <val>
            <numRef>
              <f>'재무제표 한눈에 보기'!$B$6:$AO$6</f>
            </numRef>
          </val>
          <smooth val="0"/>
        </ser>
        <dLbls>
          <numFmt formatCode="0&quot;%&quot;"/>
          <dLblPos val="t"/>
          <showLegendKey val="0"/>
          <showVal val="1"/>
          <showCatName val="0"/>
          <showSerName val="0"/>
        </dLbls>
        <axId val="10"/>
        <axId val="200"/>
      </lineChart>
      <catAx>
        <axId val="10"/>
        <scaling>
          <orientation val="minMax"/>
        </scaling>
        <delete val="0"/>
        <axPos val="l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majorTickMark val="none"/>
        <minorTickMark val="none"/>
        <crossAx val="10"/>
      </valAx>
      <valAx>
        <axId val="2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</a:t>
                </a:r>
              </a:p>
            </rich>
          </tx>
        </title>
        <majorTickMark val="none"/>
        <minorTickMark val="none"/>
        <crossAx val="10"/>
        <crosses val="max"/>
      </valAx>
    </plotArea>
    <legend>
      <legendPos val="t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부문별 매출 (억 엔)</a:t>
            </a:r>
          </a:p>
        </rich>
      </tx>
    </title>
    <plotArea>
      <lineChart>
        <grouping val="standard"/>
        <varyColors val="0"/>
        <ser>
          <idx val="0"/>
          <order val="0"/>
          <tx>
            <strRef>
              <f>'재무제표 한눈에 보기'!A24</f>
            </strRef>
          </tx>
          <spPr>
            <a:ln xmlns:a="http://schemas.openxmlformats.org/drawingml/2006/main" w="22000">
              <a:solidFill>
                <a:srgbClr val="4472C4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4472C4"/>
              </a:solidFill>
              <a:ln xmlns:a="http://schemas.openxmlformats.org/drawingml/2006/main">
                <a:solidFill>
                  <a:srgbClr val="4472C4"/>
                </a:solidFill>
                <a:prstDash val="solid"/>
              </a:ln>
            </spPr>
          </marker>
          <cat>
            <numRef>
              <f>'재무제표 한눈에 보기'!$B$4:$AO$4</f>
            </numRef>
          </cat>
          <val>
            <numRef>
              <f>'재무제표 한눈에 보기'!$B$24:$AO$24</f>
            </numRef>
          </val>
          <smooth val="0"/>
        </ser>
        <ser>
          <idx val="1"/>
          <order val="1"/>
          <tx>
            <strRef>
              <f>'재무제표 한눈에 보기'!A25</f>
            </strRef>
          </tx>
          <spPr>
            <a:ln xmlns:a="http://schemas.openxmlformats.org/drawingml/2006/main" w="22000">
              <a:solidFill>
                <a:srgbClr val="ED7D31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ED7D31"/>
              </a:solidFill>
              <a:ln xmlns:a="http://schemas.openxmlformats.org/drawingml/2006/main">
                <a:solidFill>
                  <a:srgbClr val="ED7D31"/>
                </a:solidFill>
                <a:prstDash val="solid"/>
              </a:ln>
            </spPr>
          </marker>
          <cat>
            <numRef>
              <f>'재무제표 한눈에 보기'!$B$4:$AO$4</f>
            </numRef>
          </cat>
          <val>
            <numRef>
              <f>'재무제표 한눈에 보기'!$B$25:$AO$25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majorTickMark val="none"/>
        <minorTickMark val="none"/>
        <crossAx val="10"/>
      </valAx>
    </plotArea>
    <legend>
      <legendPos val="t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영업이익 (억 엔) · OPM·YoY (%)</a:t>
            </a:r>
          </a:p>
        </rich>
      </tx>
    </title>
    <plotArea>
      <barChart>
        <barDir val="col"/>
        <grouping val="clustered"/>
        <varyColors val="0"/>
        <ser>
          <idx val="0"/>
          <order val="0"/>
          <tx>
            <strRef>
              <f>'재무제표 한눈에 보기'!A7</f>
            </strRef>
          </tx>
          <spPr>
            <a:solidFill xmlns:a="http://schemas.openxmlformats.org/drawingml/2006/main">
              <a:srgbClr val="4472C4"/>
            </a:solidFill>
            <a:ln xmlns:a="http://schemas.openxmlformats.org/drawingml/2006/main">
              <a:solidFill>
                <a:srgbClr val="4472C4"/>
              </a:solidFill>
              <a:prstDash val="solid"/>
            </a:ln>
          </spPr>
          <cat>
            <numRef>
              <f>'재무제표 한눈에 보기'!$B$4:$AO$4</f>
            </numRef>
          </cat>
          <val>
            <numRef>
              <f>'재무제표 한눈에 보기'!$B$7:$AO$7</f>
            </numRef>
          </val>
        </ser>
        <dLbls>
          <numFmt formatCode="#,##0"/>
          <dLblPos val="outEnd"/>
          <showLegendKey val="0"/>
          <showVal val="1"/>
          <showCatName val="0"/>
          <showSerName val="0"/>
        </dLbls>
        <gapWidth val="40"/>
        <axId val="10"/>
        <axId val="100"/>
      </barChart>
      <lineChart>
        <grouping val="standard"/>
        <ser>
          <idx val="1"/>
          <order val="1"/>
          <tx>
            <strRef>
              <f>'재무제표 한눈에 보기'!A8</f>
            </strRef>
          </tx>
          <spPr>
            <a:ln xmlns:a="http://schemas.openxmlformats.org/drawingml/2006/main">
              <a:solidFill>
                <a:srgbClr val="ED7D31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ED7D31"/>
              </a:solidFill>
              <a:ln xmlns:a="http://schemas.openxmlformats.org/drawingml/2006/main">
                <a:solidFill>
                  <a:srgbClr val="ED7D31"/>
                </a:solidFill>
                <a:prstDash val="solid"/>
              </a:ln>
            </spPr>
          </marker>
          <val>
            <numRef>
              <f>'재무제표 한눈에 보기'!$B$8:$AO$8</f>
            </numRef>
          </val>
          <smooth val="0"/>
        </ser>
        <ser>
          <idx val="2"/>
          <order val="2"/>
          <tx>
            <strRef>
              <f>'재무제표 한눈에 보기'!A9</f>
            </strRef>
          </tx>
          <spPr>
            <a:ln xmlns:a="http://schemas.openxmlformats.org/drawingml/2006/main">
              <a:solidFill>
                <a:srgbClr val="A5A5A5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A5A5A5"/>
              </a:solidFill>
              <a:ln xmlns:a="http://schemas.openxmlformats.org/drawingml/2006/main">
                <a:solidFill>
                  <a:srgbClr val="A5A5A5"/>
                </a:solidFill>
                <a:prstDash val="solid"/>
              </a:ln>
            </spPr>
          </marker>
          <val>
            <numRef>
              <f>'재무제표 한눈에 보기'!$B$9:$AO$9</f>
            </numRef>
          </val>
          <smooth val="0"/>
        </ser>
        <dLbls>
          <numFmt formatCode="0&quot;%&quot;"/>
          <dLblPos val="t"/>
          <showLegendKey val="0"/>
          <showVal val="1"/>
          <showCatName val="0"/>
          <showSerName val="0"/>
        </dLbls>
        <axId val="10"/>
        <axId val="200"/>
      </lineChart>
      <catAx>
        <axId val="10"/>
        <scaling>
          <orientation val="minMax"/>
        </scaling>
        <delete val="0"/>
        <axPos val="l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majorTickMark val="none"/>
        <minorTickMark val="none"/>
        <crossAx val="10"/>
      </valAx>
      <valAx>
        <axId val="2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</a:t>
                </a:r>
              </a:p>
            </rich>
          </tx>
        </title>
        <majorTickMark val="none"/>
        <minorTickMark val="none"/>
        <crossAx val="10"/>
        <crosses val="max"/>
      </valAx>
    </plotArea>
    <legend>
      <legendPos val="t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재무 안정성 — 총 차입금·현금 (억 엔) · 부채비율 (%)</a:t>
            </a:r>
          </a:p>
        </rich>
      </tx>
    </title>
    <plotArea>
      <barChart>
        <barDir val="col"/>
        <grouping val="clustered"/>
        <varyColors val="0"/>
        <ser>
          <idx val="0"/>
          <order val="0"/>
          <tx>
            <strRef>
              <f>'재무제표 한눈에 보기'!A22</f>
            </strRef>
          </tx>
          <spPr>
            <a:solidFill xmlns:a="http://schemas.openxmlformats.org/drawingml/2006/main">
              <a:srgbClr val="4472C4"/>
            </a:solidFill>
            <a:ln xmlns:a="http://schemas.openxmlformats.org/drawingml/2006/main">
              <a:solidFill>
                <a:srgbClr val="4472C4"/>
              </a:solidFill>
              <a:prstDash val="solid"/>
            </a:ln>
          </spPr>
          <cat>
            <numRef>
              <f>'재무제표 한눈에 보기'!$B$4:$AO$4</f>
            </numRef>
          </cat>
          <val>
            <numRef>
              <f>'재무제표 한눈에 보기'!$B$22:$AO$22</f>
            </numRef>
          </val>
        </ser>
        <ser>
          <idx val="1"/>
          <order val="1"/>
          <tx>
            <strRef>
              <f>'재무제표 한눈에 보기'!A23</f>
            </strRef>
          </tx>
          <spPr>
            <a:solidFill xmlns:a="http://schemas.openxmlformats.org/drawingml/2006/main">
              <a:srgbClr val="ED7D31"/>
            </a:solidFill>
            <a:ln xmlns:a="http://schemas.openxmlformats.org/drawingml/2006/main">
              <a:solidFill>
                <a:srgbClr val="ED7D31"/>
              </a:solidFill>
              <a:prstDash val="solid"/>
            </a:ln>
          </spPr>
          <cat>
            <numRef>
              <f>'재무제표 한눈에 보기'!$B$4:$AO$4</f>
            </numRef>
          </cat>
          <val>
            <numRef>
              <f>'재무제표 한눈에 보기'!$B$23:$AO$23</f>
            </numRef>
          </val>
        </ser>
        <dLbls>
          <numFmt formatCode="#,##0"/>
          <dLblPos val="outEnd"/>
          <showLegendKey val="0"/>
          <showVal val="1"/>
          <showCatName val="0"/>
          <showSerName val="0"/>
        </dLbls>
        <gapWidth val="40"/>
        <axId val="10"/>
        <axId val="100"/>
      </barChart>
      <lineChart>
        <grouping val="standard"/>
        <ser>
          <idx val="2"/>
          <order val="2"/>
          <tx>
            <strRef>
              <f>'재무제표 한눈에 보기'!A15</f>
            </strRef>
          </tx>
          <spPr>
            <a:ln xmlns:a="http://schemas.openxmlformats.org/drawingml/2006/main">
              <a:solidFill>
                <a:srgbClr val="A5A5A5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A5A5A5"/>
              </a:solidFill>
              <a:ln xmlns:a="http://schemas.openxmlformats.org/drawingml/2006/main">
                <a:solidFill>
                  <a:srgbClr val="A5A5A5"/>
                </a:solidFill>
                <a:prstDash val="solid"/>
              </a:ln>
            </spPr>
          </marker>
          <val>
            <numRef>
              <f>'재무제표 한눈에 보기'!$B$15:$AO$15</f>
            </numRef>
          </val>
          <smooth val="0"/>
        </ser>
        <dLbls>
          <numFmt formatCode="0&quot;%&quot;"/>
          <dLblPos val="t"/>
          <showLegendKey val="0"/>
          <showVal val="1"/>
          <showCatName val="0"/>
          <showSerName val="0"/>
        </dLbls>
        <axId val="10"/>
        <axId val="200"/>
      </lineChart>
      <catAx>
        <axId val="10"/>
        <scaling>
          <orientation val="minMax"/>
        </scaling>
        <delete val="0"/>
        <axPos val="l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majorTickMark val="none"/>
        <minorTickMark val="none"/>
        <crossAx val="10"/>
      </valAx>
      <valAx>
        <axId val="2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</a:t>
                </a:r>
              </a:p>
            </rich>
          </tx>
        </title>
        <majorTickMark val="none"/>
        <minorTickMark val="none"/>
        <crossAx val="10"/>
        <crosses val="max"/>
      </valAx>
    </plotArea>
    <legend>
      <legendPos val="t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0</col>
      <colOff>0</colOff>
      <row>27</row>
      <rowOff>0</rowOff>
    </from>
    <ext cx="864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22</col>
      <colOff>0</colOff>
      <row>27</row>
      <rowOff>0</rowOff>
    </from>
    <ext cx="8640000" cy="32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46</row>
      <rowOff>0</rowOff>
    </from>
    <ext cx="8640000" cy="32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22</col>
      <colOff>0</colOff>
      <row>46</row>
      <rowOff>0</rowOff>
    </from>
    <ext cx="8640000" cy="32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C246"/>
  <sheetViews>
    <sheetView showGridLines="0" zoomScale="85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4" customWidth="1" min="2" max="2"/>
    <col outlineLevel="1" width="11" customWidth="1" min="3" max="3"/>
    <col outlineLevel="1" width="11" customWidth="1" min="4" max="4"/>
    <col outlineLevel="1" width="11" customWidth="1" min="5" max="5"/>
    <col outlineLevel="1" width="11" customWidth="1" min="6" max="6"/>
    <col outlineLevel="1" width="11" customWidth="1" min="7" max="7"/>
    <col outlineLevel="1" width="11" customWidth="1" min="8" max="8"/>
    <col outlineLevel="1" width="11" customWidth="1" min="9" max="9"/>
    <col outlineLevel="1" width="11" customWidth="1" min="10" max="10"/>
    <col outlineLevel="1" width="11" customWidth="1" min="11" max="11"/>
    <col outlineLevel="1" width="11" customWidth="1" min="12" max="12"/>
    <col outlineLevel="1" width="11" customWidth="1" min="13" max="13"/>
    <col outlineLevel="1"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</cols>
  <sheetData>
    <row r="1" ht="30" customHeight="1">
      <c r="A1" s="1" t="inlineStr">
        <is>
          <t>8803 Model</t>
        </is>
      </c>
    </row>
    <row r="2">
      <c r="A2" s="2" t="inlineStr">
        <is>
          <t>모를 땐 보수적으로</t>
        </is>
      </c>
      <c r="B2" s="3" t="inlineStr">
        <is>
          <t>(단위: 백만엔)</t>
        </is>
      </c>
      <c r="C2" s="3" t="inlineStr">
        <is>
          <t>3월 결산 · 일본 기준 · 2027.2Q = 2027년 3월 결산기 2분기</t>
        </is>
      </c>
      <c r="Y2" s="4" t="inlineStr">
        <is>
          <t>(추정: 파란 글씨 = 직접 입력)</t>
        </is>
      </c>
    </row>
    <row r="3">
      <c r="A3" s="5" t="inlineStr">
        <is>
          <t>항목</t>
        </is>
      </c>
      <c r="B3" s="5" t="inlineStr">
        <is>
          <t>참고</t>
        </is>
      </c>
      <c r="C3" s="6" t="inlineStr">
        <is>
          <t>2024.3Q</t>
        </is>
      </c>
      <c r="D3" s="5" t="inlineStr">
        <is>
          <t>2024.4Q</t>
        </is>
      </c>
      <c r="E3" s="5" t="inlineStr">
        <is>
          <t>2025.1Q</t>
        </is>
      </c>
      <c r="F3" s="5" t="inlineStr">
        <is>
          <t>2025.2Q</t>
        </is>
      </c>
      <c r="G3" s="5" t="inlineStr">
        <is>
          <t>2025.3Q</t>
        </is>
      </c>
      <c r="H3" s="5" t="inlineStr">
        <is>
          <t>2025.4Q</t>
        </is>
      </c>
      <c r="I3" s="5" t="inlineStr">
        <is>
          <t>2026.1Q</t>
        </is>
      </c>
      <c r="J3" s="5" t="inlineStr">
        <is>
          <t>2026.2Q</t>
        </is>
      </c>
      <c r="K3" s="5" t="inlineStr">
        <is>
          <t>2026.3Q</t>
        </is>
      </c>
      <c r="L3" s="5" t="inlineStr">
        <is>
          <t>2026.4Q</t>
        </is>
      </c>
      <c r="M3" s="5" t="inlineStr">
        <is>
          <t>2027.1Q</t>
        </is>
      </c>
      <c r="N3" s="5" t="inlineStr">
        <is>
          <t>2027.2Q</t>
        </is>
      </c>
      <c r="O3" s="6" t="inlineStr">
        <is>
          <t>2017</t>
        </is>
      </c>
      <c r="P3" s="5" t="inlineStr">
        <is>
          <t>2018</t>
        </is>
      </c>
      <c r="Q3" s="5" t="inlineStr">
        <is>
          <t>2019</t>
        </is>
      </c>
      <c r="R3" s="5" t="inlineStr">
        <is>
          <t>2020</t>
        </is>
      </c>
      <c r="S3" s="5" t="inlineStr">
        <is>
          <t>2021</t>
        </is>
      </c>
      <c r="T3" s="5" t="inlineStr">
        <is>
          <t>2022</t>
        </is>
      </c>
      <c r="U3" s="5" t="inlineStr">
        <is>
          <t>2023</t>
        </is>
      </c>
      <c r="V3" s="5" t="inlineStr">
        <is>
          <t>2024</t>
        </is>
      </c>
      <c r="W3" s="5" t="inlineStr">
        <is>
          <t>2025</t>
        </is>
      </c>
      <c r="X3" s="5" t="inlineStr">
        <is>
          <t>2026</t>
        </is>
      </c>
      <c r="Y3" s="7" t="inlineStr">
        <is>
          <t>2027(MW)</t>
        </is>
      </c>
      <c r="Z3" s="8" t="inlineStr">
        <is>
          <t>2028(MW)</t>
        </is>
      </c>
      <c r="AA3" s="8" t="inlineStr">
        <is>
          <t>2029(MW)</t>
        </is>
      </c>
      <c r="AB3" s="8" t="inlineStr">
        <is>
          <t>2030(MW)</t>
        </is>
      </c>
      <c r="AC3" s="8" t="inlineStr">
        <is>
          <t>2031(MW)</t>
        </is>
      </c>
    </row>
    <row r="4">
      <c r="A4" s="9" t="inlineStr">
        <is>
          <t>매출액</t>
        </is>
      </c>
      <c r="B4" s="10" t="inlineStr">
        <is>
          <t>MW = 제품 합계</t>
        </is>
      </c>
      <c r="C4" s="11" t="n">
        <v>7524</v>
      </c>
      <c r="D4" s="12" t="n">
        <v>8718</v>
      </c>
      <c r="E4" s="12" t="n">
        <v>10579</v>
      </c>
      <c r="F4" s="12" t="n">
        <v>8182</v>
      </c>
      <c r="G4" s="12" t="n">
        <v>8186</v>
      </c>
      <c r="H4" s="12" t="n">
        <v>15128</v>
      </c>
      <c r="I4" s="12" t="n">
        <v>13123</v>
      </c>
      <c r="J4" s="12" t="n">
        <v>8697</v>
      </c>
      <c r="K4" s="12" t="n">
        <v>10952</v>
      </c>
      <c r="L4" s="12" t="n">
        <v>18083</v>
      </c>
      <c r="M4" s="12" t="n">
        <v>11021</v>
      </c>
      <c r="N4" s="12" t="n">
        <v>15530</v>
      </c>
      <c r="O4" s="11" t="n">
        <v>41747</v>
      </c>
      <c r="P4" s="12" t="n">
        <v>32698</v>
      </c>
      <c r="Q4" s="12" t="n">
        <v>39480</v>
      </c>
      <c r="R4" s="12" t="n">
        <v>46639</v>
      </c>
      <c r="S4" s="12" t="n">
        <v>35048</v>
      </c>
      <c r="T4" s="12" t="n">
        <v>57818</v>
      </c>
      <c r="U4" s="12" t="n">
        <v>44522</v>
      </c>
      <c r="V4" s="12" t="n">
        <v>44433</v>
      </c>
      <c r="W4" s="12" t="n">
        <v>42075</v>
      </c>
      <c r="X4" s="12" t="n">
        <v>50855</v>
      </c>
      <c r="Y4" s="11">
        <f>IF(COUNT(Y7,Y10)=0,"",SUM(Y7,Y10))</f>
        <v/>
      </c>
      <c r="Z4" s="12">
        <f>IF(COUNT(Z7,Z10)=0,"",SUM(Z7,Z10))</f>
        <v/>
      </c>
      <c r="AA4" s="12">
        <f>IF(COUNT(AA7,AA10)=0,"",SUM(AA7,AA10))</f>
        <v/>
      </c>
      <c r="AB4" s="12">
        <f>IF(COUNT(AB7,AB10)=0,"",SUM(AB7,AB10))</f>
        <v/>
      </c>
      <c r="AC4" s="12">
        <f>IF(COUNT(AC7,AC10)=0,"",SUM(AC7,AC10))</f>
        <v/>
      </c>
    </row>
    <row r="5">
      <c r="A5" s="13" t="inlineStr">
        <is>
          <t>YoY</t>
        </is>
      </c>
      <c r="B5" s="10" t="n"/>
      <c r="C5" s="14" t="n"/>
      <c r="D5" s="15" t="n"/>
      <c r="E5" s="15" t="n"/>
      <c r="F5" s="15" t="n"/>
      <c r="G5" s="15">
        <f>IF(OR(G4="",C4=""),"",IFERROR(G4/C4-1,""))</f>
        <v/>
      </c>
      <c r="H5" s="15">
        <f>IF(OR(H4="",D4=""),"",IFERROR(H4/D4-1,""))</f>
        <v/>
      </c>
      <c r="I5" s="15">
        <f>IF(OR(I4="",E4=""),"",IFERROR(I4/E4-1,""))</f>
        <v/>
      </c>
      <c r="J5" s="15">
        <f>IF(OR(J4="",F4=""),"",IFERROR(J4/F4-1,""))</f>
        <v/>
      </c>
      <c r="K5" s="15">
        <f>IF(OR(K4="",G4=""),"",IFERROR(K4/G4-1,""))</f>
        <v/>
      </c>
      <c r="L5" s="15">
        <f>IF(OR(L4="",H4=""),"",IFERROR(L4/H4-1,""))</f>
        <v/>
      </c>
      <c r="M5" s="15">
        <f>IF(OR(M4="",I4=""),"",IFERROR(M4/I4-1,""))</f>
        <v/>
      </c>
      <c r="N5" s="15">
        <f>IF(OR(N4="",J4=""),"",IFERROR(N4/J4-1,""))</f>
        <v/>
      </c>
      <c r="O5" s="14" t="n"/>
      <c r="P5" s="15">
        <f>IF(OR(P4="",O4=""),"",IFERROR(P4/O4-1,""))</f>
        <v/>
      </c>
      <c r="Q5" s="15">
        <f>IF(OR(Q4="",P4=""),"",IFERROR(Q4/P4-1,""))</f>
        <v/>
      </c>
      <c r="R5" s="15">
        <f>IF(OR(R4="",Q4=""),"",IFERROR(R4/Q4-1,""))</f>
        <v/>
      </c>
      <c r="S5" s="15">
        <f>IF(OR(S4="",R4=""),"",IFERROR(S4/R4-1,""))</f>
        <v/>
      </c>
      <c r="T5" s="15">
        <f>IF(OR(T4="",S4=""),"",IFERROR(T4/S4-1,""))</f>
        <v/>
      </c>
      <c r="U5" s="15">
        <f>IF(OR(U4="",T4=""),"",IFERROR(U4/T4-1,""))</f>
        <v/>
      </c>
      <c r="V5" s="15">
        <f>IF(OR(V4="",U4=""),"",IFERROR(V4/U4-1,""))</f>
        <v/>
      </c>
      <c r="W5" s="15">
        <f>IF(OR(W4="",V4=""),"",IFERROR(W4/V4-1,""))</f>
        <v/>
      </c>
      <c r="X5" s="15">
        <f>IF(OR(X4="",W4=""),"",IFERROR(X4/W4-1,""))</f>
        <v/>
      </c>
      <c r="Y5" s="14">
        <f>IF(OR(Y4="",X4=""),"",IFERROR(Y4/X4-1,""))</f>
        <v/>
      </c>
      <c r="Z5" s="15">
        <f>IF(OR(Z4="",Y4=""),"",IFERROR(Z4/Y4-1,""))</f>
        <v/>
      </c>
      <c r="AA5" s="15">
        <f>IF(OR(AA4="",Z4=""),"",IFERROR(AA4/Z4-1,""))</f>
        <v/>
      </c>
      <c r="AB5" s="15">
        <f>IF(OR(AB4="",AA4=""),"",IFERROR(AB4/AA4-1,""))</f>
        <v/>
      </c>
      <c r="AC5" s="15">
        <f>IF(OR(AC4="",AB4=""),"",IFERROR(AC4/AB4-1,""))</f>
        <v/>
      </c>
    </row>
    <row r="6">
      <c r="A6" s="16" t="inlineStr">
        <is>
          <t>제품별 매출 분류</t>
        </is>
      </c>
      <c r="B6" s="16" t="inlineStr">
        <is>
          <t>사업보고서 매출실적</t>
        </is>
      </c>
      <c r="C6" s="17" t="n"/>
      <c r="D6" s="16" t="n"/>
      <c r="E6" s="16" t="n"/>
      <c r="F6" s="16" t="n"/>
      <c r="G6" s="16" t="n"/>
      <c r="H6" s="16" t="n"/>
      <c r="I6" s="16" t="n"/>
      <c r="J6" s="16" t="n"/>
      <c r="K6" s="16" t="n"/>
      <c r="L6" s="16" t="n"/>
      <c r="M6" s="16" t="n"/>
      <c r="N6" s="16" t="n"/>
      <c r="O6" s="17" t="n"/>
      <c r="P6" s="16" t="n"/>
      <c r="Q6" s="16" t="n"/>
      <c r="R6" s="16" t="n"/>
      <c r="S6" s="16" t="n"/>
      <c r="T6" s="16" t="n"/>
      <c r="U6" s="16" t="n"/>
      <c r="V6" s="16" t="n"/>
      <c r="W6" s="16" t="n"/>
      <c r="X6" s="16" t="n"/>
      <c r="Y6" s="17" t="n"/>
      <c r="Z6" s="16" t="n"/>
      <c r="AA6" s="16" t="n"/>
      <c r="AB6" s="16" t="n"/>
      <c r="AC6" s="16" t="n"/>
    </row>
    <row r="7">
      <c r="A7" s="18" t="inlineStr">
        <is>
          <t>빌딩 사업</t>
        </is>
      </c>
      <c r="B7" s="10" t="n"/>
      <c r="C7" s="19" t="n">
        <v>6823</v>
      </c>
      <c r="D7" s="20" t="n">
        <v>7346</v>
      </c>
      <c r="E7" s="20" t="n">
        <v>9879</v>
      </c>
      <c r="F7" s="20" t="n">
        <v>7128</v>
      </c>
      <c r="G7" s="20" t="n">
        <v>7434</v>
      </c>
      <c r="H7" s="20" t="n">
        <v>13556</v>
      </c>
      <c r="I7" s="20" t="n">
        <v>12419</v>
      </c>
      <c r="J7" s="20" t="n">
        <v>7314</v>
      </c>
      <c r="K7" s="20" t="n">
        <v>10055</v>
      </c>
      <c r="L7" s="20" t="n">
        <v>16448</v>
      </c>
      <c r="M7" s="20" t="n">
        <v>10156</v>
      </c>
      <c r="N7" s="20" t="n">
        <v>14019</v>
      </c>
      <c r="O7" s="19" t="n"/>
      <c r="P7" s="20" t="n"/>
      <c r="Q7" s="20" t="n"/>
      <c r="R7" s="20" t="n"/>
      <c r="S7" s="20" t="n"/>
      <c r="T7" s="20" t="n"/>
      <c r="U7" s="20" t="n"/>
      <c r="V7" s="20" t="n">
        <v>40544</v>
      </c>
      <c r="W7" s="20" t="n">
        <v>37997</v>
      </c>
      <c r="X7" s="20" t="n">
        <v>46236</v>
      </c>
      <c r="Y7" s="21" t="n"/>
      <c r="Z7" s="22" t="n"/>
      <c r="AA7" s="22" t="n"/>
      <c r="AB7" s="22" t="n"/>
      <c r="AC7" s="22" t="n"/>
    </row>
    <row r="8">
      <c r="A8" s="13" t="inlineStr">
        <is>
          <t>비중</t>
        </is>
      </c>
      <c r="B8" s="10" t="n"/>
      <c r="C8" s="14">
        <f>IF(OR(C7="",C4=""),"",IFERROR(C7/C4,""))</f>
        <v/>
      </c>
      <c r="D8" s="15">
        <f>IF(OR(D7="",D4=""),"",IFERROR(D7/D4,""))</f>
        <v/>
      </c>
      <c r="E8" s="15">
        <f>IF(OR(E7="",E4=""),"",IFERROR(E7/E4,""))</f>
        <v/>
      </c>
      <c r="F8" s="15">
        <f>IF(OR(F7="",F4=""),"",IFERROR(F7/F4,""))</f>
        <v/>
      </c>
      <c r="G8" s="15">
        <f>IF(OR(G7="",G4=""),"",IFERROR(G7/G4,""))</f>
        <v/>
      </c>
      <c r="H8" s="15">
        <f>IF(OR(H7="",H4=""),"",IFERROR(H7/H4,""))</f>
        <v/>
      </c>
      <c r="I8" s="15">
        <f>IF(OR(I7="",I4=""),"",IFERROR(I7/I4,""))</f>
        <v/>
      </c>
      <c r="J8" s="15">
        <f>IF(OR(J7="",J4=""),"",IFERROR(J7/J4,""))</f>
        <v/>
      </c>
      <c r="K8" s="15">
        <f>IF(OR(K7="",K4=""),"",IFERROR(K7/K4,""))</f>
        <v/>
      </c>
      <c r="L8" s="15">
        <f>IF(OR(L7="",L4=""),"",IFERROR(L7/L4,""))</f>
        <v/>
      </c>
      <c r="M8" s="15">
        <f>IF(OR(M7="",M4=""),"",IFERROR(M7/M4,""))</f>
        <v/>
      </c>
      <c r="N8" s="15">
        <f>IF(OR(N7="",N4=""),"",IFERROR(N7/N4,""))</f>
        <v/>
      </c>
      <c r="O8" s="14">
        <f>IF(OR(O7="",O4=""),"",IFERROR(O7/O4,""))</f>
        <v/>
      </c>
      <c r="P8" s="15">
        <f>IF(OR(P7="",P4=""),"",IFERROR(P7/P4,""))</f>
        <v/>
      </c>
      <c r="Q8" s="15">
        <f>IF(OR(Q7="",Q4=""),"",IFERROR(Q7/Q4,""))</f>
        <v/>
      </c>
      <c r="R8" s="15">
        <f>IF(OR(R7="",R4=""),"",IFERROR(R7/R4,""))</f>
        <v/>
      </c>
      <c r="S8" s="15">
        <f>IF(OR(S7="",S4=""),"",IFERROR(S7/S4,""))</f>
        <v/>
      </c>
      <c r="T8" s="15">
        <f>IF(OR(T7="",T4=""),"",IFERROR(T7/T4,""))</f>
        <v/>
      </c>
      <c r="U8" s="15">
        <f>IF(OR(U7="",U4=""),"",IFERROR(U7/U4,""))</f>
        <v/>
      </c>
      <c r="V8" s="15">
        <f>IF(OR(V7="",V4=""),"",IFERROR(V7/V4,""))</f>
        <v/>
      </c>
      <c r="W8" s="15">
        <f>IF(OR(W7="",W4=""),"",IFERROR(W7/W4,""))</f>
        <v/>
      </c>
      <c r="X8" s="15">
        <f>IF(OR(X7="",X4=""),"",IFERROR(X7/X4,""))</f>
        <v/>
      </c>
      <c r="Y8" s="14">
        <f>IF(OR(Y7="",Y4=""),"",IFERROR(Y7/Y4,""))</f>
        <v/>
      </c>
      <c r="Z8" s="15">
        <f>IF(OR(Z7="",Z4=""),"",IFERROR(Z7/Z4,""))</f>
        <v/>
      </c>
      <c r="AA8" s="15">
        <f>IF(OR(AA7="",AA4=""),"",IFERROR(AA7/AA4,""))</f>
        <v/>
      </c>
      <c r="AB8" s="15">
        <f>IF(OR(AB7="",AB4=""),"",IFERROR(AB7/AB4,""))</f>
        <v/>
      </c>
      <c r="AC8" s="15">
        <f>IF(OR(AC7="",AC4=""),"",IFERROR(AC7/AC4,""))</f>
        <v/>
      </c>
    </row>
    <row r="9">
      <c r="A9" s="13" t="inlineStr">
        <is>
          <t>YoY</t>
        </is>
      </c>
      <c r="B9" s="10" t="n"/>
      <c r="C9" s="14" t="n"/>
      <c r="D9" s="15" t="n"/>
      <c r="E9" s="15" t="n"/>
      <c r="F9" s="15" t="n"/>
      <c r="G9" s="15">
        <f>IF(OR(G7="",C7=""),"",IFERROR(G7/C7-1,""))</f>
        <v/>
      </c>
      <c r="H9" s="15">
        <f>IF(OR(H7="",D7=""),"",IFERROR(H7/D7-1,""))</f>
        <v/>
      </c>
      <c r="I9" s="15">
        <f>IF(OR(I7="",E7=""),"",IFERROR(I7/E7-1,""))</f>
        <v/>
      </c>
      <c r="J9" s="15">
        <f>IF(OR(J7="",F7=""),"",IFERROR(J7/F7-1,""))</f>
        <v/>
      </c>
      <c r="K9" s="15">
        <f>IF(OR(K7="",G7=""),"",IFERROR(K7/G7-1,""))</f>
        <v/>
      </c>
      <c r="L9" s="15">
        <f>IF(OR(L7="",H7=""),"",IFERROR(L7/H7-1,""))</f>
        <v/>
      </c>
      <c r="M9" s="15">
        <f>IF(OR(M7="",I7=""),"",IFERROR(M7/I7-1,""))</f>
        <v/>
      </c>
      <c r="N9" s="15">
        <f>IF(OR(N7="",J7=""),"",IFERROR(N7/J7-1,""))</f>
        <v/>
      </c>
      <c r="O9" s="14" t="n"/>
      <c r="P9" s="15">
        <f>IF(OR(P7="",O7=""),"",IFERROR(P7/O7-1,""))</f>
        <v/>
      </c>
      <c r="Q9" s="15">
        <f>IF(OR(Q7="",P7=""),"",IFERROR(Q7/P7-1,""))</f>
        <v/>
      </c>
      <c r="R9" s="15">
        <f>IF(OR(R7="",Q7=""),"",IFERROR(R7/Q7-1,""))</f>
        <v/>
      </c>
      <c r="S9" s="15">
        <f>IF(OR(S7="",R7=""),"",IFERROR(S7/R7-1,""))</f>
        <v/>
      </c>
      <c r="T9" s="15">
        <f>IF(OR(T7="",S7=""),"",IFERROR(T7/S7-1,""))</f>
        <v/>
      </c>
      <c r="U9" s="15">
        <f>IF(OR(U7="",T7=""),"",IFERROR(U7/T7-1,""))</f>
        <v/>
      </c>
      <c r="V9" s="15">
        <f>IF(OR(V7="",U7=""),"",IFERROR(V7/U7-1,""))</f>
        <v/>
      </c>
      <c r="W9" s="15">
        <f>IF(OR(W7="",V7=""),"",IFERROR(W7/V7-1,""))</f>
        <v/>
      </c>
      <c r="X9" s="15">
        <f>IF(OR(X7="",W7=""),"",IFERROR(X7/W7-1,""))</f>
        <v/>
      </c>
      <c r="Y9" s="14">
        <f>IF(OR(Y7="",X7=""),"",IFERROR(Y7/X7-1,""))</f>
        <v/>
      </c>
      <c r="Z9" s="15">
        <f>IF(OR(Z7="",Y7=""),"",IFERROR(Z7/Y7-1,""))</f>
        <v/>
      </c>
      <c r="AA9" s="15">
        <f>IF(OR(AA7="",Z7=""),"",IFERROR(AA7/Z7-1,""))</f>
        <v/>
      </c>
      <c r="AB9" s="15">
        <f>IF(OR(AB7="",AA7=""),"",IFERROR(AB7/AA7-1,""))</f>
        <v/>
      </c>
      <c r="AC9" s="15">
        <f>IF(OR(AC7="",AB7=""),"",IFERROR(AC7/AB7-1,""))</f>
        <v/>
      </c>
    </row>
    <row r="10">
      <c r="A10" s="18" t="inlineStr">
        <is>
          <t>자산운용 사업</t>
        </is>
      </c>
      <c r="B10" s="10" t="n"/>
      <c r="C10" s="19" t="n">
        <v>701</v>
      </c>
      <c r="D10" s="20" t="n">
        <v>1371</v>
      </c>
      <c r="E10" s="20" t="n">
        <v>699</v>
      </c>
      <c r="F10" s="20" t="n">
        <v>1054</v>
      </c>
      <c r="G10" s="20" t="n">
        <v>752</v>
      </c>
      <c r="H10" s="20" t="n">
        <v>1573</v>
      </c>
      <c r="I10" s="20" t="n">
        <v>703</v>
      </c>
      <c r="J10" s="20" t="n">
        <v>1384</v>
      </c>
      <c r="K10" s="20" t="n">
        <v>896</v>
      </c>
      <c r="L10" s="20" t="n">
        <v>1636</v>
      </c>
      <c r="M10" s="20" t="n">
        <v>864</v>
      </c>
      <c r="N10" s="20" t="n">
        <v>1511</v>
      </c>
      <c r="O10" s="19" t="n"/>
      <c r="P10" s="20" t="n"/>
      <c r="Q10" s="20" t="n"/>
      <c r="R10" s="20" t="n"/>
      <c r="S10" s="20" t="n"/>
      <c r="T10" s="20" t="n"/>
      <c r="U10" s="20" t="n"/>
      <c r="V10" s="20" t="n">
        <v>3888</v>
      </c>
      <c r="W10" s="20" t="n">
        <v>4078</v>
      </c>
      <c r="X10" s="20" t="n">
        <v>4619</v>
      </c>
      <c r="Y10" s="21" t="n"/>
      <c r="Z10" s="22" t="n"/>
      <c r="AA10" s="22" t="n"/>
      <c r="AB10" s="22" t="n"/>
      <c r="AC10" s="22" t="n"/>
    </row>
    <row r="11">
      <c r="A11" s="13" t="inlineStr">
        <is>
          <t>비중</t>
        </is>
      </c>
      <c r="B11" s="10" t="n"/>
      <c r="C11" s="14">
        <f>IF(OR(C10="",C4=""),"",IFERROR(C10/C4,""))</f>
        <v/>
      </c>
      <c r="D11" s="15">
        <f>IF(OR(D10="",D4=""),"",IFERROR(D10/D4,""))</f>
        <v/>
      </c>
      <c r="E11" s="15">
        <f>IF(OR(E10="",E4=""),"",IFERROR(E10/E4,""))</f>
        <v/>
      </c>
      <c r="F11" s="15">
        <f>IF(OR(F10="",F4=""),"",IFERROR(F10/F4,""))</f>
        <v/>
      </c>
      <c r="G11" s="15">
        <f>IF(OR(G10="",G4=""),"",IFERROR(G10/G4,""))</f>
        <v/>
      </c>
      <c r="H11" s="15">
        <f>IF(OR(H10="",H4=""),"",IFERROR(H10/H4,""))</f>
        <v/>
      </c>
      <c r="I11" s="15">
        <f>IF(OR(I10="",I4=""),"",IFERROR(I10/I4,""))</f>
        <v/>
      </c>
      <c r="J11" s="15">
        <f>IF(OR(J10="",J4=""),"",IFERROR(J10/J4,""))</f>
        <v/>
      </c>
      <c r="K11" s="15">
        <f>IF(OR(K10="",K4=""),"",IFERROR(K10/K4,""))</f>
        <v/>
      </c>
      <c r="L11" s="15">
        <f>IF(OR(L10="",L4=""),"",IFERROR(L10/L4,""))</f>
        <v/>
      </c>
      <c r="M11" s="15">
        <f>IF(OR(M10="",M4=""),"",IFERROR(M10/M4,""))</f>
        <v/>
      </c>
      <c r="N11" s="15">
        <f>IF(OR(N10="",N4=""),"",IFERROR(N10/N4,""))</f>
        <v/>
      </c>
      <c r="O11" s="14">
        <f>IF(OR(O10="",O4=""),"",IFERROR(O10/O4,""))</f>
        <v/>
      </c>
      <c r="P11" s="15">
        <f>IF(OR(P10="",P4=""),"",IFERROR(P10/P4,""))</f>
        <v/>
      </c>
      <c r="Q11" s="15">
        <f>IF(OR(Q10="",Q4=""),"",IFERROR(Q10/Q4,""))</f>
        <v/>
      </c>
      <c r="R11" s="15">
        <f>IF(OR(R10="",R4=""),"",IFERROR(R10/R4,""))</f>
        <v/>
      </c>
      <c r="S11" s="15">
        <f>IF(OR(S10="",S4=""),"",IFERROR(S10/S4,""))</f>
        <v/>
      </c>
      <c r="T11" s="15">
        <f>IF(OR(T10="",T4=""),"",IFERROR(T10/T4,""))</f>
        <v/>
      </c>
      <c r="U11" s="15">
        <f>IF(OR(U10="",U4=""),"",IFERROR(U10/U4,""))</f>
        <v/>
      </c>
      <c r="V11" s="15">
        <f>IF(OR(V10="",V4=""),"",IFERROR(V10/V4,""))</f>
        <v/>
      </c>
      <c r="W11" s="15">
        <f>IF(OR(W10="",W4=""),"",IFERROR(W10/W4,""))</f>
        <v/>
      </c>
      <c r="X11" s="15">
        <f>IF(OR(X10="",X4=""),"",IFERROR(X10/X4,""))</f>
        <v/>
      </c>
      <c r="Y11" s="14">
        <f>IF(OR(Y10="",Y4=""),"",IFERROR(Y10/Y4,""))</f>
        <v/>
      </c>
      <c r="Z11" s="15">
        <f>IF(OR(Z10="",Z4=""),"",IFERROR(Z10/Z4,""))</f>
        <v/>
      </c>
      <c r="AA11" s="15">
        <f>IF(OR(AA10="",AA4=""),"",IFERROR(AA10/AA4,""))</f>
        <v/>
      </c>
      <c r="AB11" s="15">
        <f>IF(OR(AB10="",AB4=""),"",IFERROR(AB10/AB4,""))</f>
        <v/>
      </c>
      <c r="AC11" s="15">
        <f>IF(OR(AC10="",AC4=""),"",IFERROR(AC10/AC4,""))</f>
        <v/>
      </c>
    </row>
    <row r="12">
      <c r="A12" s="13" t="inlineStr">
        <is>
          <t>YoY</t>
        </is>
      </c>
      <c r="B12" s="10" t="n"/>
      <c r="C12" s="14" t="n"/>
      <c r="D12" s="15" t="n"/>
      <c r="E12" s="15" t="n"/>
      <c r="F12" s="15" t="n"/>
      <c r="G12" s="15">
        <f>IF(OR(G10="",C10=""),"",IFERROR(G10/C10-1,""))</f>
        <v/>
      </c>
      <c r="H12" s="15">
        <f>IF(OR(H10="",D10=""),"",IFERROR(H10/D10-1,""))</f>
        <v/>
      </c>
      <c r="I12" s="15">
        <f>IF(OR(I10="",E10=""),"",IFERROR(I10/E10-1,""))</f>
        <v/>
      </c>
      <c r="J12" s="15">
        <f>IF(OR(J10="",F10=""),"",IFERROR(J10/F10-1,""))</f>
        <v/>
      </c>
      <c r="K12" s="15">
        <f>IF(OR(K10="",G10=""),"",IFERROR(K10/G10-1,""))</f>
        <v/>
      </c>
      <c r="L12" s="15">
        <f>IF(OR(L10="",H10=""),"",IFERROR(L10/H10-1,""))</f>
        <v/>
      </c>
      <c r="M12" s="15">
        <f>IF(OR(M10="",I10=""),"",IFERROR(M10/I10-1,""))</f>
        <v/>
      </c>
      <c r="N12" s="15">
        <f>IF(OR(N10="",J10=""),"",IFERROR(N10/J10-1,""))</f>
        <v/>
      </c>
      <c r="O12" s="14" t="n"/>
      <c r="P12" s="15">
        <f>IF(OR(P10="",O10=""),"",IFERROR(P10/O10-1,""))</f>
        <v/>
      </c>
      <c r="Q12" s="15">
        <f>IF(OR(Q10="",P10=""),"",IFERROR(Q10/P10-1,""))</f>
        <v/>
      </c>
      <c r="R12" s="15">
        <f>IF(OR(R10="",Q10=""),"",IFERROR(R10/Q10-1,""))</f>
        <v/>
      </c>
      <c r="S12" s="15">
        <f>IF(OR(S10="",R10=""),"",IFERROR(S10/R10-1,""))</f>
        <v/>
      </c>
      <c r="T12" s="15">
        <f>IF(OR(T10="",S10=""),"",IFERROR(T10/S10-1,""))</f>
        <v/>
      </c>
      <c r="U12" s="15">
        <f>IF(OR(U10="",T10=""),"",IFERROR(U10/T10-1,""))</f>
        <v/>
      </c>
      <c r="V12" s="15">
        <f>IF(OR(V10="",U10=""),"",IFERROR(V10/U10-1,""))</f>
        <v/>
      </c>
      <c r="W12" s="15">
        <f>IF(OR(W10="",V10=""),"",IFERROR(W10/V10-1,""))</f>
        <v/>
      </c>
      <c r="X12" s="15">
        <f>IF(OR(X10="",W10=""),"",IFERROR(X10/W10-1,""))</f>
        <v/>
      </c>
      <c r="Y12" s="14">
        <f>IF(OR(Y10="",X10=""),"",IFERROR(Y10/X10-1,""))</f>
        <v/>
      </c>
      <c r="Z12" s="15">
        <f>IF(OR(Z10="",Y10=""),"",IFERROR(Z10/Y10-1,""))</f>
        <v/>
      </c>
      <c r="AA12" s="15">
        <f>IF(OR(AA10="",Z10=""),"",IFERROR(AA10/Z10-1,""))</f>
        <v/>
      </c>
      <c r="AB12" s="15">
        <f>IF(OR(AB10="",AA10=""),"",IFERROR(AB10/AA10-1,""))</f>
        <v/>
      </c>
      <c r="AC12" s="15">
        <f>IF(OR(AC10="",AB10=""),"",IFERROR(AC10/AB10-1,""))</f>
        <v/>
      </c>
    </row>
    <row r="13">
      <c r="A13" s="16" t="inlineStr">
        <is>
          <t>매출원가</t>
        </is>
      </c>
      <c r="B13" s="16" t="n"/>
      <c r="C13" s="17" t="n"/>
      <c r="D13" s="16" t="n"/>
      <c r="E13" s="16" t="n"/>
      <c r="F13" s="16" t="n"/>
      <c r="G13" s="16" t="n"/>
      <c r="H13" s="16" t="n"/>
      <c r="I13" s="16" t="n"/>
      <c r="J13" s="16" t="n"/>
      <c r="K13" s="16" t="n"/>
      <c r="L13" s="16" t="n"/>
      <c r="M13" s="16" t="n"/>
      <c r="N13" s="16" t="n"/>
      <c r="O13" s="17" t="n"/>
      <c r="P13" s="16" t="n"/>
      <c r="Q13" s="16" t="n"/>
      <c r="R13" s="16" t="n"/>
      <c r="S13" s="16" t="n"/>
      <c r="T13" s="16" t="n"/>
      <c r="U13" s="16" t="n"/>
      <c r="V13" s="16" t="n"/>
      <c r="W13" s="16" t="n"/>
      <c r="X13" s="16" t="n"/>
      <c r="Y13" s="17" t="n"/>
      <c r="Z13" s="16" t="n"/>
      <c r="AA13" s="16" t="n"/>
      <c r="AB13" s="16" t="n"/>
      <c r="AC13" s="16" t="n"/>
    </row>
    <row r="14">
      <c r="A14" s="18" t="inlineStr">
        <is>
          <t>전체 매출원가</t>
        </is>
      </c>
      <c r="B14" s="10" t="n"/>
      <c r="C14" s="19" t="n">
        <v>4602</v>
      </c>
      <c r="D14" s="20" t="n">
        <v>4872</v>
      </c>
      <c r="E14" s="20" t="n">
        <v>6286</v>
      </c>
      <c r="F14" s="20" t="n">
        <v>4568</v>
      </c>
      <c r="G14" s="20" t="n">
        <v>4598</v>
      </c>
      <c r="H14" s="20" t="n">
        <v>7576</v>
      </c>
      <c r="I14" s="20" t="n">
        <v>8266</v>
      </c>
      <c r="J14" s="20" t="n">
        <v>4928</v>
      </c>
      <c r="K14" s="20" t="n">
        <v>6545</v>
      </c>
      <c r="L14" s="20" t="n">
        <v>9797</v>
      </c>
      <c r="M14" s="20" t="n">
        <v>6690</v>
      </c>
      <c r="N14" s="20" t="n">
        <v>9243</v>
      </c>
      <c r="O14" s="19" t="n">
        <v>28069</v>
      </c>
      <c r="P14" s="20" t="n">
        <v>19394</v>
      </c>
      <c r="Q14" s="20" t="n">
        <v>25927</v>
      </c>
      <c r="R14" s="20" t="n">
        <v>31548</v>
      </c>
      <c r="S14" s="20" t="n">
        <v>19687</v>
      </c>
      <c r="T14" s="20" t="n">
        <v>40126</v>
      </c>
      <c r="U14" s="20" t="n">
        <v>28242</v>
      </c>
      <c r="V14" s="20" t="n">
        <v>25863</v>
      </c>
      <c r="W14" s="20" t="n">
        <v>23028</v>
      </c>
      <c r="X14" s="20" t="n">
        <v>29536</v>
      </c>
      <c r="Y14" s="19" t="n"/>
      <c r="Z14" s="20" t="n"/>
      <c r="AA14" s="20" t="n"/>
      <c r="AB14" s="20" t="n"/>
      <c r="AC14" s="20" t="n"/>
    </row>
    <row r="15">
      <c r="A15" s="13" t="inlineStr">
        <is>
          <t>YoY</t>
        </is>
      </c>
      <c r="B15" s="10" t="n"/>
      <c r="C15" s="14" t="n"/>
      <c r="D15" s="15" t="n"/>
      <c r="E15" s="15" t="n"/>
      <c r="F15" s="15" t="n"/>
      <c r="G15" s="15">
        <f>IF(OR(G14="",C14=""),"",IF(C14&lt;=0,"",IFERROR(G14/C14-1,"")))</f>
        <v/>
      </c>
      <c r="H15" s="15">
        <f>IF(OR(H14="",D14=""),"",IF(D14&lt;=0,"",IFERROR(H14/D14-1,"")))</f>
        <v/>
      </c>
      <c r="I15" s="15">
        <f>IF(OR(I14="",E14=""),"",IF(E14&lt;=0,"",IFERROR(I14/E14-1,"")))</f>
        <v/>
      </c>
      <c r="J15" s="15">
        <f>IF(OR(J14="",F14=""),"",IF(F14&lt;=0,"",IFERROR(J14/F14-1,"")))</f>
        <v/>
      </c>
      <c r="K15" s="15">
        <f>IF(OR(K14="",G14=""),"",IF(G14&lt;=0,"",IFERROR(K14/G14-1,"")))</f>
        <v/>
      </c>
      <c r="L15" s="15">
        <f>IF(OR(L14="",H14=""),"",IF(H14&lt;=0,"",IFERROR(L14/H14-1,"")))</f>
        <v/>
      </c>
      <c r="M15" s="15">
        <f>IF(OR(M14="",I14=""),"",IF(I14&lt;=0,"",IFERROR(M14/I14-1,"")))</f>
        <v/>
      </c>
      <c r="N15" s="15">
        <f>IF(OR(N14="",J14=""),"",IF(J14&lt;=0,"",IFERROR(N14/J14-1,"")))</f>
        <v/>
      </c>
      <c r="O15" s="14" t="n"/>
      <c r="P15" s="15">
        <f>IF(OR(P14="",O14=""),"",IF(O14&lt;=0,"",IFERROR(P14/O14-1,"")))</f>
        <v/>
      </c>
      <c r="Q15" s="15">
        <f>IF(OR(Q14="",P14=""),"",IF(P14&lt;=0,"",IFERROR(Q14/P14-1,"")))</f>
        <v/>
      </c>
      <c r="R15" s="15">
        <f>IF(OR(R14="",Q14=""),"",IF(Q14&lt;=0,"",IFERROR(R14/Q14-1,"")))</f>
        <v/>
      </c>
      <c r="S15" s="15">
        <f>IF(OR(S14="",R14=""),"",IF(R14&lt;=0,"",IFERROR(S14/R14-1,"")))</f>
        <v/>
      </c>
      <c r="T15" s="15">
        <f>IF(OR(T14="",S14=""),"",IF(S14&lt;=0,"",IFERROR(T14/S14-1,"")))</f>
        <v/>
      </c>
      <c r="U15" s="15">
        <f>IF(OR(U14="",T14=""),"",IF(T14&lt;=0,"",IFERROR(U14/T14-1,"")))</f>
        <v/>
      </c>
      <c r="V15" s="15">
        <f>IF(OR(V14="",U14=""),"",IF(U14&lt;=0,"",IFERROR(V14/U14-1,"")))</f>
        <v/>
      </c>
      <c r="W15" s="15">
        <f>IF(OR(W14="",V14=""),"",IF(V14&lt;=0,"",IFERROR(W14/V14-1,"")))</f>
        <v/>
      </c>
      <c r="X15" s="15">
        <f>IF(OR(X14="",W14=""),"",IF(W14&lt;=0,"",IFERROR(X14/W14-1,"")))</f>
        <v/>
      </c>
      <c r="Y15" s="14">
        <f>IF(OR(Y14="",X14=""),"",IF(X14&lt;=0,"",IFERROR(Y14/X14-1,"")))</f>
        <v/>
      </c>
      <c r="Z15" s="15">
        <f>IF(OR(Z14="",Y14=""),"",IF(Y14&lt;=0,"",IFERROR(Z14/Y14-1,"")))</f>
        <v/>
      </c>
      <c r="AA15" s="15">
        <f>IF(OR(AA14="",Z14=""),"",IF(Z14&lt;=0,"",IFERROR(AA14/Z14-1,"")))</f>
        <v/>
      </c>
      <c r="AB15" s="15">
        <f>IF(OR(AB14="",AA14=""),"",IF(AA14&lt;=0,"",IFERROR(AB14/AA14-1,"")))</f>
        <v/>
      </c>
      <c r="AC15" s="15">
        <f>IF(OR(AC14="",AB14=""),"",IF(AB14&lt;=0,"",IFERROR(AC14/AB14-1,"")))</f>
        <v/>
      </c>
    </row>
    <row r="16">
      <c r="A16" s="18" t="inlineStr">
        <is>
          <t>매출총이익</t>
        </is>
      </c>
      <c r="B16" s="10" t="n"/>
      <c r="C16" s="19">
        <f>IF(OR(C4="",C14=""),"",IFERROR(C4-C14,""))</f>
        <v/>
      </c>
      <c r="D16" s="20">
        <f>IF(OR(D4="",D14=""),"",IFERROR(D4-D14,""))</f>
        <v/>
      </c>
      <c r="E16" s="20">
        <f>IF(OR(E4="",E14=""),"",IFERROR(E4-E14,""))</f>
        <v/>
      </c>
      <c r="F16" s="20">
        <f>IF(OR(F4="",F14=""),"",IFERROR(F4-F14,""))</f>
        <v/>
      </c>
      <c r="G16" s="20">
        <f>IF(OR(G4="",G14=""),"",IFERROR(G4-G14,""))</f>
        <v/>
      </c>
      <c r="H16" s="20">
        <f>IF(OR(H4="",H14=""),"",IFERROR(H4-H14,""))</f>
        <v/>
      </c>
      <c r="I16" s="20">
        <f>IF(OR(I4="",I14=""),"",IFERROR(I4-I14,""))</f>
        <v/>
      </c>
      <c r="J16" s="20">
        <f>IF(OR(J4="",J14=""),"",IFERROR(J4-J14,""))</f>
        <v/>
      </c>
      <c r="K16" s="20">
        <f>IF(OR(K4="",K14=""),"",IFERROR(K4-K14,""))</f>
        <v/>
      </c>
      <c r="L16" s="20">
        <f>IF(OR(L4="",L14=""),"",IFERROR(L4-L14,""))</f>
        <v/>
      </c>
      <c r="M16" s="20">
        <f>IF(OR(M4="",M14=""),"",IFERROR(M4-M14,""))</f>
        <v/>
      </c>
      <c r="N16" s="20">
        <f>IF(OR(N4="",N14=""),"",IFERROR(N4-N14,""))</f>
        <v/>
      </c>
      <c r="O16" s="19">
        <f>IF(OR(O4="",O14=""),"",IFERROR(O4-O14,""))</f>
        <v/>
      </c>
      <c r="P16" s="20">
        <f>IF(OR(P4="",P14=""),"",IFERROR(P4-P14,""))</f>
        <v/>
      </c>
      <c r="Q16" s="20">
        <f>IF(OR(Q4="",Q14=""),"",IFERROR(Q4-Q14,""))</f>
        <v/>
      </c>
      <c r="R16" s="20">
        <f>IF(OR(R4="",R14=""),"",IFERROR(R4-R14,""))</f>
        <v/>
      </c>
      <c r="S16" s="20">
        <f>IF(OR(S4="",S14=""),"",IFERROR(S4-S14,""))</f>
        <v/>
      </c>
      <c r="T16" s="20">
        <f>IF(OR(T4="",T14=""),"",IFERROR(T4-T14,""))</f>
        <v/>
      </c>
      <c r="U16" s="20">
        <f>IF(OR(U4="",U14=""),"",IFERROR(U4-U14,""))</f>
        <v/>
      </c>
      <c r="V16" s="20">
        <f>IF(OR(V4="",V14=""),"",IFERROR(V4-V14,""))</f>
        <v/>
      </c>
      <c r="W16" s="20">
        <f>IF(OR(W4="",W14=""),"",IFERROR(W4-W14,""))</f>
        <v/>
      </c>
      <c r="X16" s="20">
        <f>IF(OR(X4="",X14=""),"",IFERROR(X4-X14,""))</f>
        <v/>
      </c>
      <c r="Y16" s="19" t="n"/>
      <c r="Z16" s="20" t="n"/>
      <c r="AA16" s="20" t="n"/>
      <c r="AB16" s="20" t="n"/>
      <c r="AC16" s="20" t="n"/>
    </row>
    <row r="17">
      <c r="A17" s="13" t="inlineStr">
        <is>
          <t>GPM</t>
        </is>
      </c>
      <c r="B17" s="10" t="n"/>
      <c r="C17" s="14">
        <f>IF(OR(C16="",C4=""),"",IFERROR(C16/C4,""))</f>
        <v/>
      </c>
      <c r="D17" s="15">
        <f>IF(OR(D16="",D4=""),"",IFERROR(D16/D4,""))</f>
        <v/>
      </c>
      <c r="E17" s="15">
        <f>IF(OR(E16="",E4=""),"",IFERROR(E16/E4,""))</f>
        <v/>
      </c>
      <c r="F17" s="15">
        <f>IF(OR(F16="",F4=""),"",IFERROR(F16/F4,""))</f>
        <v/>
      </c>
      <c r="G17" s="15">
        <f>IF(OR(G16="",G4=""),"",IFERROR(G16/G4,""))</f>
        <v/>
      </c>
      <c r="H17" s="15">
        <f>IF(OR(H16="",H4=""),"",IFERROR(H16/H4,""))</f>
        <v/>
      </c>
      <c r="I17" s="15">
        <f>IF(OR(I16="",I4=""),"",IFERROR(I16/I4,""))</f>
        <v/>
      </c>
      <c r="J17" s="15">
        <f>IF(OR(J16="",J4=""),"",IFERROR(J16/J4,""))</f>
        <v/>
      </c>
      <c r="K17" s="15">
        <f>IF(OR(K16="",K4=""),"",IFERROR(K16/K4,""))</f>
        <v/>
      </c>
      <c r="L17" s="15">
        <f>IF(OR(L16="",L4=""),"",IFERROR(L16/L4,""))</f>
        <v/>
      </c>
      <c r="M17" s="15">
        <f>IF(OR(M16="",M4=""),"",IFERROR(M16/M4,""))</f>
        <v/>
      </c>
      <c r="N17" s="15">
        <f>IF(OR(N16="",N4=""),"",IFERROR(N16/N4,""))</f>
        <v/>
      </c>
      <c r="O17" s="14">
        <f>IF(OR(O16="",O4=""),"",IFERROR(O16/O4,""))</f>
        <v/>
      </c>
      <c r="P17" s="15">
        <f>IF(OR(P16="",P4=""),"",IFERROR(P16/P4,""))</f>
        <v/>
      </c>
      <c r="Q17" s="15">
        <f>IF(OR(Q16="",Q4=""),"",IFERROR(Q16/Q4,""))</f>
        <v/>
      </c>
      <c r="R17" s="15">
        <f>IF(OR(R16="",R4=""),"",IFERROR(R16/R4,""))</f>
        <v/>
      </c>
      <c r="S17" s="15">
        <f>IF(OR(S16="",S4=""),"",IFERROR(S16/S4,""))</f>
        <v/>
      </c>
      <c r="T17" s="15">
        <f>IF(OR(T16="",T4=""),"",IFERROR(T16/T4,""))</f>
        <v/>
      </c>
      <c r="U17" s="15">
        <f>IF(OR(U16="",U4=""),"",IFERROR(U16/U4,""))</f>
        <v/>
      </c>
      <c r="V17" s="15">
        <f>IF(OR(V16="",V4=""),"",IFERROR(V16/V4,""))</f>
        <v/>
      </c>
      <c r="W17" s="15">
        <f>IF(OR(W16="",W4=""),"",IFERROR(W16/W4,""))</f>
        <v/>
      </c>
      <c r="X17" s="15">
        <f>IF(OR(X16="",X4=""),"",IFERROR(X16/X4,""))</f>
        <v/>
      </c>
      <c r="Y17" s="14">
        <f>IF(OR(Y16="",Y4=""),"",IFERROR(Y16/Y4,""))</f>
        <v/>
      </c>
      <c r="Z17" s="15">
        <f>IF(OR(Z16="",Z4=""),"",IFERROR(Z16/Z4,""))</f>
        <v/>
      </c>
      <c r="AA17" s="15">
        <f>IF(OR(AA16="",AA4=""),"",IFERROR(AA16/AA4,""))</f>
        <v/>
      </c>
      <c r="AB17" s="15">
        <f>IF(OR(AB16="",AB4=""),"",IFERROR(AB16/AB4,""))</f>
        <v/>
      </c>
      <c r="AC17" s="15">
        <f>IF(OR(AC16="",AC4=""),"",IFERROR(AC16/AC4,""))</f>
        <v/>
      </c>
    </row>
    <row r="18">
      <c r="A18" s="13" t="inlineStr">
        <is>
          <t>YoY</t>
        </is>
      </c>
      <c r="B18" s="10" t="n"/>
      <c r="C18" s="14" t="n"/>
      <c r="D18" s="15" t="n"/>
      <c r="E18" s="15" t="n"/>
      <c r="F18" s="15" t="n"/>
      <c r="G18" s="15">
        <f>IF(OR(G16="",C16=""),"",IF(C16&lt;=0,"",IFERROR(G16/C16-1,"")))</f>
        <v/>
      </c>
      <c r="H18" s="15">
        <f>IF(OR(H16="",D16=""),"",IF(D16&lt;=0,"",IFERROR(H16/D16-1,"")))</f>
        <v/>
      </c>
      <c r="I18" s="15">
        <f>IF(OR(I16="",E16=""),"",IF(E16&lt;=0,"",IFERROR(I16/E16-1,"")))</f>
        <v/>
      </c>
      <c r="J18" s="15">
        <f>IF(OR(J16="",F16=""),"",IF(F16&lt;=0,"",IFERROR(J16/F16-1,"")))</f>
        <v/>
      </c>
      <c r="K18" s="15">
        <f>IF(OR(K16="",G16=""),"",IF(G16&lt;=0,"",IFERROR(K16/G16-1,"")))</f>
        <v/>
      </c>
      <c r="L18" s="15">
        <f>IF(OR(L16="",H16=""),"",IF(H16&lt;=0,"",IFERROR(L16/H16-1,"")))</f>
        <v/>
      </c>
      <c r="M18" s="15">
        <f>IF(OR(M16="",I16=""),"",IF(I16&lt;=0,"",IFERROR(M16/I16-1,"")))</f>
        <v/>
      </c>
      <c r="N18" s="15">
        <f>IF(OR(N16="",J16=""),"",IF(J16&lt;=0,"",IFERROR(N16/J16-1,"")))</f>
        <v/>
      </c>
      <c r="O18" s="14" t="n"/>
      <c r="P18" s="15">
        <f>IF(OR(P16="",O16=""),"",IF(O16&lt;=0,"",IFERROR(P16/O16-1,"")))</f>
        <v/>
      </c>
      <c r="Q18" s="15">
        <f>IF(OR(Q16="",P16=""),"",IF(P16&lt;=0,"",IFERROR(Q16/P16-1,"")))</f>
        <v/>
      </c>
      <c r="R18" s="15">
        <f>IF(OR(R16="",Q16=""),"",IF(Q16&lt;=0,"",IFERROR(R16/Q16-1,"")))</f>
        <v/>
      </c>
      <c r="S18" s="15">
        <f>IF(OR(S16="",R16=""),"",IF(R16&lt;=0,"",IFERROR(S16/R16-1,"")))</f>
        <v/>
      </c>
      <c r="T18" s="15">
        <f>IF(OR(T16="",S16=""),"",IF(S16&lt;=0,"",IFERROR(T16/S16-1,"")))</f>
        <v/>
      </c>
      <c r="U18" s="15">
        <f>IF(OR(U16="",T16=""),"",IF(T16&lt;=0,"",IFERROR(U16/T16-1,"")))</f>
        <v/>
      </c>
      <c r="V18" s="15">
        <f>IF(OR(V16="",U16=""),"",IF(U16&lt;=0,"",IFERROR(V16/U16-1,"")))</f>
        <v/>
      </c>
      <c r="W18" s="15">
        <f>IF(OR(W16="",V16=""),"",IF(V16&lt;=0,"",IFERROR(W16/V16-1,"")))</f>
        <v/>
      </c>
      <c r="X18" s="15">
        <f>IF(OR(X16="",W16=""),"",IF(W16&lt;=0,"",IFERROR(X16/W16-1,"")))</f>
        <v/>
      </c>
      <c r="Y18" s="14">
        <f>IF(OR(Y16="",X16=""),"",IF(X16&lt;=0,"",IFERROR(Y16/X16-1,"")))</f>
        <v/>
      </c>
      <c r="Z18" s="15">
        <f>IF(OR(Z16="",Y16=""),"",IF(Y16&lt;=0,"",IFERROR(Z16/Y16-1,"")))</f>
        <v/>
      </c>
      <c r="AA18" s="15">
        <f>IF(OR(AA16="",Z16=""),"",IF(Z16&lt;=0,"",IFERROR(AA16/Z16-1,"")))</f>
        <v/>
      </c>
      <c r="AB18" s="15">
        <f>IF(OR(AB16="",AA16=""),"",IF(AA16&lt;=0,"",IFERROR(AB16/AA16-1,"")))</f>
        <v/>
      </c>
      <c r="AC18" s="15">
        <f>IF(OR(AC16="",AB16=""),"",IF(AB16&lt;=0,"",IFERROR(AC16/AB16-1,"")))</f>
        <v/>
      </c>
    </row>
    <row r="19">
      <c r="A19" s="23" t="inlineStr">
        <is>
          <t>판매관리비</t>
        </is>
      </c>
      <c r="B19" s="23" t="n"/>
      <c r="C19" s="24" t="n"/>
      <c r="D19" s="23" t="n"/>
      <c r="E19" s="23" t="n"/>
      <c r="F19" s="23" t="n"/>
      <c r="G19" s="23" t="n"/>
      <c r="H19" s="23" t="n"/>
      <c r="I19" s="23" t="n"/>
      <c r="J19" s="23" t="n"/>
      <c r="K19" s="23" t="n"/>
      <c r="L19" s="23" t="n"/>
      <c r="M19" s="23" t="n"/>
      <c r="N19" s="23" t="n"/>
      <c r="O19" s="24" t="n"/>
      <c r="P19" s="23" t="n"/>
      <c r="Q19" s="23" t="n"/>
      <c r="R19" s="23" t="n"/>
      <c r="S19" s="23" t="n"/>
      <c r="T19" s="23" t="n"/>
      <c r="U19" s="23" t="n"/>
      <c r="V19" s="23" t="n"/>
      <c r="W19" s="23" t="n"/>
      <c r="X19" s="23" t="n"/>
      <c r="Y19" s="24" t="n"/>
      <c r="Z19" s="23" t="n"/>
      <c r="AA19" s="23" t="n"/>
      <c r="AB19" s="23" t="n"/>
      <c r="AC19" s="23" t="n"/>
    </row>
    <row r="20">
      <c r="A20" s="18" t="inlineStr">
        <is>
          <t>전체 판관비</t>
        </is>
      </c>
      <c r="B20" s="10" t="n"/>
      <c r="C20" s="19" t="n">
        <v>1225</v>
      </c>
      <c r="D20" s="20" t="n">
        <v>1775</v>
      </c>
      <c r="E20" s="20" t="n">
        <v>1331</v>
      </c>
      <c r="F20" s="20" t="n">
        <v>1322</v>
      </c>
      <c r="G20" s="20" t="n">
        <v>1361</v>
      </c>
      <c r="H20" s="20" t="n">
        <v>1836</v>
      </c>
      <c r="I20" s="20" t="n">
        <v>1418</v>
      </c>
      <c r="J20" s="20" t="n">
        <v>1441</v>
      </c>
      <c r="K20" s="20" t="n">
        <v>1514</v>
      </c>
      <c r="L20" s="20" t="n">
        <v>1836</v>
      </c>
      <c r="M20" s="20" t="n">
        <v>1542</v>
      </c>
      <c r="N20" s="20" t="n">
        <v>1671</v>
      </c>
      <c r="O20" s="19" t="n">
        <v>4005</v>
      </c>
      <c r="P20" s="20" t="n">
        <v>3870</v>
      </c>
      <c r="Q20" s="20" t="n">
        <v>4217</v>
      </c>
      <c r="R20" s="20" t="n">
        <v>4187</v>
      </c>
      <c r="S20" s="20" t="n">
        <v>4132</v>
      </c>
      <c r="T20" s="20" t="n">
        <v>5076</v>
      </c>
      <c r="U20" s="20" t="n">
        <v>5495</v>
      </c>
      <c r="V20" s="20" t="n">
        <v>5547</v>
      </c>
      <c r="W20" s="20" t="n">
        <v>5850</v>
      </c>
      <c r="X20" s="20" t="n">
        <v>6209</v>
      </c>
      <c r="Y20" s="19" t="n"/>
      <c r="Z20" s="20" t="n"/>
      <c r="AA20" s="20" t="n"/>
      <c r="AB20" s="20" t="n"/>
      <c r="AC20" s="20" t="n"/>
    </row>
    <row r="21">
      <c r="A21" s="13" t="inlineStr">
        <is>
          <t>YoY</t>
        </is>
      </c>
      <c r="B21" s="10" t="n"/>
      <c r="C21" s="14" t="n"/>
      <c r="D21" s="15" t="n"/>
      <c r="E21" s="15" t="n"/>
      <c r="F21" s="15" t="n"/>
      <c r="G21" s="15">
        <f>IF(OR(G20="",C20=""),"",IF(C20&lt;=0,"",IFERROR(G20/C20-1,"")))</f>
        <v/>
      </c>
      <c r="H21" s="15">
        <f>IF(OR(H20="",D20=""),"",IF(D20&lt;=0,"",IFERROR(H20/D20-1,"")))</f>
        <v/>
      </c>
      <c r="I21" s="15">
        <f>IF(OR(I20="",E20=""),"",IF(E20&lt;=0,"",IFERROR(I20/E20-1,"")))</f>
        <v/>
      </c>
      <c r="J21" s="15">
        <f>IF(OR(J20="",F20=""),"",IF(F20&lt;=0,"",IFERROR(J20/F20-1,"")))</f>
        <v/>
      </c>
      <c r="K21" s="15">
        <f>IF(OR(K20="",G20=""),"",IF(G20&lt;=0,"",IFERROR(K20/G20-1,"")))</f>
        <v/>
      </c>
      <c r="L21" s="15">
        <f>IF(OR(L20="",H20=""),"",IF(H20&lt;=0,"",IFERROR(L20/H20-1,"")))</f>
        <v/>
      </c>
      <c r="M21" s="15">
        <f>IF(OR(M20="",I20=""),"",IF(I20&lt;=0,"",IFERROR(M20/I20-1,"")))</f>
        <v/>
      </c>
      <c r="N21" s="15">
        <f>IF(OR(N20="",J20=""),"",IF(J20&lt;=0,"",IFERROR(N20/J20-1,"")))</f>
        <v/>
      </c>
      <c r="O21" s="14" t="n"/>
      <c r="P21" s="15">
        <f>IF(OR(P20="",O20=""),"",IF(O20&lt;=0,"",IFERROR(P20/O20-1,"")))</f>
        <v/>
      </c>
      <c r="Q21" s="15">
        <f>IF(OR(Q20="",P20=""),"",IF(P20&lt;=0,"",IFERROR(Q20/P20-1,"")))</f>
        <v/>
      </c>
      <c r="R21" s="15">
        <f>IF(OR(R20="",Q20=""),"",IF(Q20&lt;=0,"",IFERROR(R20/Q20-1,"")))</f>
        <v/>
      </c>
      <c r="S21" s="15">
        <f>IF(OR(S20="",R20=""),"",IF(R20&lt;=0,"",IFERROR(S20/R20-1,"")))</f>
        <v/>
      </c>
      <c r="T21" s="15">
        <f>IF(OR(T20="",S20=""),"",IF(S20&lt;=0,"",IFERROR(T20/S20-1,"")))</f>
        <v/>
      </c>
      <c r="U21" s="15">
        <f>IF(OR(U20="",T20=""),"",IF(T20&lt;=0,"",IFERROR(U20/T20-1,"")))</f>
        <v/>
      </c>
      <c r="V21" s="15">
        <f>IF(OR(V20="",U20=""),"",IF(U20&lt;=0,"",IFERROR(V20/U20-1,"")))</f>
        <v/>
      </c>
      <c r="W21" s="15">
        <f>IF(OR(W20="",V20=""),"",IF(V20&lt;=0,"",IFERROR(W20/V20-1,"")))</f>
        <v/>
      </c>
      <c r="X21" s="15">
        <f>IF(OR(X20="",W20=""),"",IF(W20&lt;=0,"",IFERROR(X20/W20-1,"")))</f>
        <v/>
      </c>
      <c r="Y21" s="14">
        <f>IF(OR(Y20="",X20=""),"",IF(X20&lt;=0,"",IFERROR(Y20/X20-1,"")))</f>
        <v/>
      </c>
      <c r="Z21" s="15">
        <f>IF(OR(Z20="",Y20=""),"",IF(Y20&lt;=0,"",IFERROR(Z20/Y20-1,"")))</f>
        <v/>
      </c>
      <c r="AA21" s="15">
        <f>IF(OR(AA20="",Z20=""),"",IF(Z20&lt;=0,"",IFERROR(AA20/Z20-1,"")))</f>
        <v/>
      </c>
      <c r="AB21" s="15">
        <f>IF(OR(AB20="",AA20=""),"",IF(AA20&lt;=0,"",IFERROR(AB20/AA20-1,"")))</f>
        <v/>
      </c>
      <c r="AC21" s="15">
        <f>IF(OR(AC20="",AB20=""),"",IF(AB20&lt;=0,"",IFERROR(AC20/AB20-1,"")))</f>
        <v/>
      </c>
    </row>
    <row r="22">
      <c r="A22" s="9" t="inlineStr">
        <is>
          <t>영업이익</t>
        </is>
      </c>
      <c r="B22" s="10" t="inlineStr">
        <is>
          <t>MW = 매출 × OPM</t>
        </is>
      </c>
      <c r="C22" s="11" t="n">
        <v>1697</v>
      </c>
      <c r="D22" s="12" t="n">
        <v>2071</v>
      </c>
      <c r="E22" s="12" t="n">
        <v>2961</v>
      </c>
      <c r="F22" s="12" t="n">
        <v>2293</v>
      </c>
      <c r="G22" s="12" t="n">
        <v>2225</v>
      </c>
      <c r="H22" s="12" t="n">
        <v>5717</v>
      </c>
      <c r="I22" s="12" t="n">
        <v>3438</v>
      </c>
      <c r="J22" s="12" t="n">
        <v>2328</v>
      </c>
      <c r="K22" s="12" t="n">
        <v>2893</v>
      </c>
      <c r="L22" s="12" t="n">
        <v>6450</v>
      </c>
      <c r="M22" s="12" t="n">
        <v>2787</v>
      </c>
      <c r="N22" s="12" t="n">
        <v>4617</v>
      </c>
      <c r="O22" s="11" t="n">
        <v>9673</v>
      </c>
      <c r="P22" s="12" t="n">
        <v>9432</v>
      </c>
      <c r="Q22" s="12" t="n">
        <v>9335</v>
      </c>
      <c r="R22" s="12" t="n">
        <v>10903</v>
      </c>
      <c r="S22" s="12" t="n">
        <v>11228</v>
      </c>
      <c r="T22" s="12" t="n">
        <v>12615</v>
      </c>
      <c r="U22" s="12" t="n">
        <v>10784</v>
      </c>
      <c r="V22" s="12" t="n">
        <v>13022</v>
      </c>
      <c r="W22" s="12" t="n">
        <v>13196</v>
      </c>
      <c r="X22" s="12" t="n">
        <v>15109</v>
      </c>
      <c r="Y22" s="11">
        <f>IF(OR(Y4="",Y23=""),"",IFERROR(Y4*Y23,""))</f>
        <v/>
      </c>
      <c r="Z22" s="12">
        <f>IF(OR(Z4="",Z23=""),"",IFERROR(Z4*Z23,""))</f>
        <v/>
      </c>
      <c r="AA22" s="12">
        <f>IF(OR(AA4="",AA23=""),"",IFERROR(AA4*AA23,""))</f>
        <v/>
      </c>
      <c r="AB22" s="12">
        <f>IF(OR(AB4="",AB23=""),"",IFERROR(AB4*AB23,""))</f>
        <v/>
      </c>
      <c r="AC22" s="12">
        <f>IF(OR(AC4="",AC23=""),"",IFERROR(AC4*AC23,""))</f>
        <v/>
      </c>
    </row>
    <row r="23">
      <c r="A23" s="13" t="inlineStr">
        <is>
          <t>OPM</t>
        </is>
      </c>
      <c r="B23" s="10" t="inlineStr">
        <is>
          <t>MW 입력</t>
        </is>
      </c>
      <c r="C23" s="14">
        <f>IF(OR(C22="",C4=""),"",IFERROR(C22/C4,""))</f>
        <v/>
      </c>
      <c r="D23" s="15">
        <f>IF(OR(D22="",D4=""),"",IFERROR(D22/D4,""))</f>
        <v/>
      </c>
      <c r="E23" s="15">
        <f>IF(OR(E22="",E4=""),"",IFERROR(E22/E4,""))</f>
        <v/>
      </c>
      <c r="F23" s="15">
        <f>IF(OR(F22="",F4=""),"",IFERROR(F22/F4,""))</f>
        <v/>
      </c>
      <c r="G23" s="15">
        <f>IF(OR(G22="",G4=""),"",IFERROR(G22/G4,""))</f>
        <v/>
      </c>
      <c r="H23" s="15">
        <f>IF(OR(H22="",H4=""),"",IFERROR(H22/H4,""))</f>
        <v/>
      </c>
      <c r="I23" s="15">
        <f>IF(OR(I22="",I4=""),"",IFERROR(I22/I4,""))</f>
        <v/>
      </c>
      <c r="J23" s="15">
        <f>IF(OR(J22="",J4=""),"",IFERROR(J22/J4,""))</f>
        <v/>
      </c>
      <c r="K23" s="15">
        <f>IF(OR(K22="",K4=""),"",IFERROR(K22/K4,""))</f>
        <v/>
      </c>
      <c r="L23" s="15">
        <f>IF(OR(L22="",L4=""),"",IFERROR(L22/L4,""))</f>
        <v/>
      </c>
      <c r="M23" s="15">
        <f>IF(OR(M22="",M4=""),"",IFERROR(M22/M4,""))</f>
        <v/>
      </c>
      <c r="N23" s="15">
        <f>IF(OR(N22="",N4=""),"",IFERROR(N22/N4,""))</f>
        <v/>
      </c>
      <c r="O23" s="14">
        <f>IF(OR(O22="",O4=""),"",IFERROR(O22/O4,""))</f>
        <v/>
      </c>
      <c r="P23" s="15">
        <f>IF(OR(P22="",P4=""),"",IFERROR(P22/P4,""))</f>
        <v/>
      </c>
      <c r="Q23" s="15">
        <f>IF(OR(Q22="",Q4=""),"",IFERROR(Q22/Q4,""))</f>
        <v/>
      </c>
      <c r="R23" s="15">
        <f>IF(OR(R22="",R4=""),"",IFERROR(R22/R4,""))</f>
        <v/>
      </c>
      <c r="S23" s="15">
        <f>IF(OR(S22="",S4=""),"",IFERROR(S22/S4,""))</f>
        <v/>
      </c>
      <c r="T23" s="15">
        <f>IF(OR(T22="",T4=""),"",IFERROR(T22/T4,""))</f>
        <v/>
      </c>
      <c r="U23" s="15">
        <f>IF(OR(U22="",U4=""),"",IFERROR(U22/U4,""))</f>
        <v/>
      </c>
      <c r="V23" s="15">
        <f>IF(OR(V22="",V4=""),"",IFERROR(V22/V4,""))</f>
        <v/>
      </c>
      <c r="W23" s="15">
        <f>IF(OR(W22="",W4=""),"",IFERROR(W22/W4,""))</f>
        <v/>
      </c>
      <c r="X23" s="15">
        <f>IF(OR(X22="",X4=""),"",IFERROR(X22/X4,""))</f>
        <v/>
      </c>
      <c r="Y23" s="25" t="n"/>
      <c r="Z23" s="26" t="n"/>
      <c r="AA23" s="26" t="n"/>
      <c r="AB23" s="26" t="n"/>
      <c r="AC23" s="26" t="n"/>
    </row>
    <row r="24">
      <c r="A24" s="13" t="inlineStr">
        <is>
          <t>증가율</t>
        </is>
      </c>
      <c r="B24" s="10" t="n"/>
      <c r="C24" s="14" t="n"/>
      <c r="D24" s="15" t="n"/>
      <c r="E24" s="15" t="n"/>
      <c r="F24" s="15" t="n"/>
      <c r="G24" s="15">
        <f>IF(OR(G22="",C22=""),"",IFERROR(G22/C22-1,""))</f>
        <v/>
      </c>
      <c r="H24" s="15">
        <f>IF(OR(H22="",D22=""),"",IFERROR(H22/D22-1,""))</f>
        <v/>
      </c>
      <c r="I24" s="15">
        <f>IF(OR(I22="",E22=""),"",IFERROR(I22/E22-1,""))</f>
        <v/>
      </c>
      <c r="J24" s="15">
        <f>IF(OR(J22="",F22=""),"",IFERROR(J22/F22-1,""))</f>
        <v/>
      </c>
      <c r="K24" s="15">
        <f>IF(OR(K22="",G22=""),"",IFERROR(K22/G22-1,""))</f>
        <v/>
      </c>
      <c r="L24" s="15">
        <f>IF(OR(L22="",H22=""),"",IFERROR(L22/H22-1,""))</f>
        <v/>
      </c>
      <c r="M24" s="15">
        <f>IF(OR(M22="",I22=""),"",IFERROR(M22/I22-1,""))</f>
        <v/>
      </c>
      <c r="N24" s="15">
        <f>IF(OR(N22="",J22=""),"",IFERROR(N22/J22-1,""))</f>
        <v/>
      </c>
      <c r="O24" s="14" t="n"/>
      <c r="P24" s="15">
        <f>IF(OR(P22="",O22=""),"",IFERROR(P22/O22-1,""))</f>
        <v/>
      </c>
      <c r="Q24" s="15">
        <f>IF(OR(Q22="",P22=""),"",IFERROR(Q22/P22-1,""))</f>
        <v/>
      </c>
      <c r="R24" s="15">
        <f>IF(OR(R22="",Q22=""),"",IFERROR(R22/Q22-1,""))</f>
        <v/>
      </c>
      <c r="S24" s="15">
        <f>IF(OR(S22="",R22=""),"",IFERROR(S22/R22-1,""))</f>
        <v/>
      </c>
      <c r="T24" s="15">
        <f>IF(OR(T22="",S22=""),"",IFERROR(T22/S22-1,""))</f>
        <v/>
      </c>
      <c r="U24" s="15">
        <f>IF(OR(U22="",T22=""),"",IFERROR(U22/T22-1,""))</f>
        <v/>
      </c>
      <c r="V24" s="15">
        <f>IF(OR(V22="",U22=""),"",IFERROR(V22/U22-1,""))</f>
        <v/>
      </c>
      <c r="W24" s="15">
        <f>IF(OR(W22="",V22=""),"",IFERROR(W22/V22-1,""))</f>
        <v/>
      </c>
      <c r="X24" s="15">
        <f>IF(OR(X22="",W22=""),"",IFERROR(X22/W22-1,""))</f>
        <v/>
      </c>
      <c r="Y24" s="14">
        <f>IF(OR(Y22="",X22=""),"",IFERROR(Y22/X22-1,""))</f>
        <v/>
      </c>
      <c r="Z24" s="15">
        <f>IF(OR(Z22="",Y22=""),"",IFERROR(Z22/Y22-1,""))</f>
        <v/>
      </c>
      <c r="AA24" s="15">
        <f>IF(OR(AA22="",Z22=""),"",IFERROR(AA22/Z22-1,""))</f>
        <v/>
      </c>
      <c r="AB24" s="15">
        <f>IF(OR(AB22="",AA22=""),"",IFERROR(AB22/AA22-1,""))</f>
        <v/>
      </c>
      <c r="AC24" s="15">
        <f>IF(OR(AC22="",AB22=""),"",IFERROR(AC22/AB22-1,""))</f>
        <v/>
      </c>
    </row>
    <row r="25">
      <c r="A25" s="16" t="inlineStr">
        <is>
          <t>비용의 성격별 분류</t>
        </is>
      </c>
      <c r="B25" s="16" t="inlineStr">
        <is>
          <t>참고 데이터</t>
        </is>
      </c>
      <c r="C25" s="17" t="n"/>
      <c r="D25" s="16" t="n"/>
      <c r="E25" s="16" t="n"/>
      <c r="F25" s="16" t="n"/>
      <c r="G25" s="16" t="n"/>
      <c r="H25" s="16" t="n"/>
      <c r="I25" s="16" t="n"/>
      <c r="J25" s="16" t="n"/>
      <c r="K25" s="16" t="n"/>
      <c r="L25" s="16" t="n"/>
      <c r="M25" s="16" t="n"/>
      <c r="N25" s="16" t="n"/>
      <c r="O25" s="17" t="n"/>
      <c r="P25" s="16" t="n"/>
      <c r="Q25" s="16" t="n"/>
      <c r="R25" s="16" t="n"/>
      <c r="S25" s="16" t="n"/>
      <c r="T25" s="16" t="n"/>
      <c r="U25" s="16" t="n"/>
      <c r="V25" s="16" t="n"/>
      <c r="W25" s="16" t="n"/>
      <c r="X25" s="16" t="n"/>
      <c r="Y25" s="17" t="n"/>
      <c r="Z25" s="16" t="n"/>
      <c r="AA25" s="16" t="n"/>
      <c r="AB25" s="16" t="n"/>
      <c r="AC25" s="16" t="n"/>
    </row>
    <row r="26">
      <c r="A26" s="9" t="inlineStr">
        <is>
          <t>총 판관비</t>
        </is>
      </c>
      <c r="B26" s="10" t="n"/>
      <c r="C26" s="11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  <c r="O26" s="11">
        <f>IF(O20="","",O20)</f>
        <v/>
      </c>
      <c r="P26" s="12">
        <f>IF(P20="","",P20)</f>
        <v/>
      </c>
      <c r="Q26" s="12">
        <f>IF(Q20="","",Q20)</f>
        <v/>
      </c>
      <c r="R26" s="12">
        <f>IF(R20="","",R20)</f>
        <v/>
      </c>
      <c r="S26" s="12">
        <f>IF(S20="","",S20)</f>
        <v/>
      </c>
      <c r="T26" s="12">
        <f>IF(T20="","",T20)</f>
        <v/>
      </c>
      <c r="U26" s="12">
        <f>IF(U20="","",U20)</f>
        <v/>
      </c>
      <c r="V26" s="12">
        <f>IF(V20="","",V20)</f>
        <v/>
      </c>
      <c r="W26" s="12">
        <f>IF(W20="","",W20)</f>
        <v/>
      </c>
      <c r="X26" s="12">
        <f>IF(X20="","",X20)</f>
        <v/>
      </c>
      <c r="Y26" s="11" t="n"/>
      <c r="Z26" s="12" t="n"/>
      <c r="AA26" s="12" t="n"/>
      <c r="AB26" s="12" t="n"/>
      <c r="AC26" s="12" t="n"/>
    </row>
    <row r="27">
      <c r="A27" s="18" t="inlineStr">
        <is>
          <t>급여</t>
        </is>
      </c>
      <c r="B27" s="10" t="inlineStr">
        <is>
          <t>고정비</t>
        </is>
      </c>
      <c r="C27" s="19" t="n"/>
      <c r="D27" s="20" t="n"/>
      <c r="E27" s="20" t="n"/>
      <c r="F27" s="20" t="n"/>
      <c r="G27" s="20" t="n"/>
      <c r="H27" s="20" t="n"/>
      <c r="I27" s="20" t="n"/>
      <c r="J27" s="20" t="n"/>
      <c r="K27" s="20" t="n"/>
      <c r="L27" s="20" t="n"/>
      <c r="M27" s="20" t="n"/>
      <c r="N27" s="20" t="n"/>
      <c r="O27" s="19" t="n">
        <v>1390</v>
      </c>
      <c r="P27" s="20" t="n">
        <v>1371</v>
      </c>
      <c r="Q27" s="20" t="n">
        <v>1408</v>
      </c>
      <c r="R27" s="20" t="n">
        <v>1391</v>
      </c>
      <c r="S27" s="20" t="n">
        <v>1397</v>
      </c>
      <c r="T27" s="20" t="n">
        <v>1547</v>
      </c>
      <c r="U27" s="20" t="n">
        <v>1578</v>
      </c>
      <c r="V27" s="20" t="n">
        <v>1610</v>
      </c>
      <c r="W27" s="20" t="n">
        <v>1618</v>
      </c>
      <c r="X27" s="20" t="n">
        <v>1758</v>
      </c>
      <c r="Y27" s="19" t="n"/>
      <c r="Z27" s="20" t="n"/>
      <c r="AA27" s="20" t="n"/>
      <c r="AB27" s="20" t="n"/>
      <c r="AC27" s="20" t="n"/>
    </row>
    <row r="28">
      <c r="A28" s="13" t="inlineStr">
        <is>
          <t>% of Sales</t>
        </is>
      </c>
      <c r="B28" s="10" t="n"/>
      <c r="C28" s="14" t="n"/>
      <c r="D28" s="15" t="n"/>
      <c r="E28" s="15" t="n"/>
      <c r="F28" s="15" t="n"/>
      <c r="G28" s="15" t="n"/>
      <c r="H28" s="15" t="n"/>
      <c r="I28" s="15" t="n"/>
      <c r="J28" s="15" t="n"/>
      <c r="K28" s="15" t="n"/>
      <c r="L28" s="15" t="n"/>
      <c r="M28" s="15" t="n"/>
      <c r="N28" s="15" t="n"/>
      <c r="O28" s="14">
        <f>IF(OR(O27="",O4=""),"",IFERROR(O27/O4,""))</f>
        <v/>
      </c>
      <c r="P28" s="15">
        <f>IF(OR(P27="",P4=""),"",IFERROR(P27/P4,""))</f>
        <v/>
      </c>
      <c r="Q28" s="15">
        <f>IF(OR(Q27="",Q4=""),"",IFERROR(Q27/Q4,""))</f>
        <v/>
      </c>
      <c r="R28" s="15">
        <f>IF(OR(R27="",R4=""),"",IFERROR(R27/R4,""))</f>
        <v/>
      </c>
      <c r="S28" s="15">
        <f>IF(OR(S27="",S4=""),"",IFERROR(S27/S4,""))</f>
        <v/>
      </c>
      <c r="T28" s="15">
        <f>IF(OR(T27="",T4=""),"",IFERROR(T27/T4,""))</f>
        <v/>
      </c>
      <c r="U28" s="15">
        <f>IF(OR(U27="",U4=""),"",IFERROR(U27/U4,""))</f>
        <v/>
      </c>
      <c r="V28" s="15">
        <f>IF(OR(V27="",V4=""),"",IFERROR(V27/V4,""))</f>
        <v/>
      </c>
      <c r="W28" s="15">
        <f>IF(OR(W27="",W4=""),"",IFERROR(W27/W4,""))</f>
        <v/>
      </c>
      <c r="X28" s="15">
        <f>IF(OR(X27="",X4=""),"",IFERROR(X27/X4,""))</f>
        <v/>
      </c>
      <c r="Y28" s="14" t="n"/>
      <c r="Z28" s="15" t="n"/>
      <c r="AA28" s="15" t="n"/>
      <c r="AB28" s="15" t="n"/>
      <c r="AC28" s="15" t="n"/>
    </row>
    <row r="29">
      <c r="A29" s="18" t="inlineStr">
        <is>
          <t>감가상각비</t>
        </is>
      </c>
      <c r="B29" s="10" t="inlineStr">
        <is>
          <t>고정비</t>
        </is>
      </c>
      <c r="C29" s="19" t="n"/>
      <c r="D29" s="20" t="n"/>
      <c r="E29" s="20" t="n"/>
      <c r="F29" s="20" t="n"/>
      <c r="G29" s="20" t="n"/>
      <c r="H29" s="20" t="n"/>
      <c r="I29" s="20" t="n"/>
      <c r="J29" s="20" t="n"/>
      <c r="K29" s="20" t="n"/>
      <c r="L29" s="20" t="n"/>
      <c r="M29" s="20" t="n"/>
      <c r="N29" s="20" t="n"/>
      <c r="O29" s="19" t="n"/>
      <c r="P29" s="20" t="n"/>
      <c r="Q29" s="20" t="n"/>
      <c r="R29" s="20" t="n"/>
      <c r="S29" s="20" t="n"/>
      <c r="T29" s="20" t="n"/>
      <c r="U29" s="20" t="n"/>
      <c r="V29" s="20" t="n"/>
      <c r="W29" s="20" t="n"/>
      <c r="X29" s="20" t="n"/>
      <c r="Y29" s="19" t="n"/>
      <c r="Z29" s="20" t="n"/>
      <c r="AA29" s="20" t="n"/>
      <c r="AB29" s="20" t="n"/>
      <c r="AC29" s="20" t="n"/>
    </row>
    <row r="30">
      <c r="A30" s="13" t="inlineStr">
        <is>
          <t>% of Sales</t>
        </is>
      </c>
      <c r="B30" s="10" t="n"/>
      <c r="C30" s="14" t="n"/>
      <c r="D30" s="15" t="n"/>
      <c r="E30" s="15" t="n"/>
      <c r="F30" s="15" t="n"/>
      <c r="G30" s="15" t="n"/>
      <c r="H30" s="15" t="n"/>
      <c r="I30" s="15" t="n"/>
      <c r="J30" s="15" t="n"/>
      <c r="K30" s="15" t="n"/>
      <c r="L30" s="15" t="n"/>
      <c r="M30" s="15" t="n"/>
      <c r="N30" s="15" t="n"/>
      <c r="O30" s="14">
        <f>IF(OR(O29="",O4=""),"",IFERROR(O29/O4,""))</f>
        <v/>
      </c>
      <c r="P30" s="15">
        <f>IF(OR(P29="",P4=""),"",IFERROR(P29/P4,""))</f>
        <v/>
      </c>
      <c r="Q30" s="15">
        <f>IF(OR(Q29="",Q4=""),"",IFERROR(Q29/Q4,""))</f>
        <v/>
      </c>
      <c r="R30" s="15">
        <f>IF(OR(R29="",R4=""),"",IFERROR(R29/R4,""))</f>
        <v/>
      </c>
      <c r="S30" s="15">
        <f>IF(OR(S29="",S4=""),"",IFERROR(S29/S4,""))</f>
        <v/>
      </c>
      <c r="T30" s="15">
        <f>IF(OR(T29="",T4=""),"",IFERROR(T29/T4,""))</f>
        <v/>
      </c>
      <c r="U30" s="15">
        <f>IF(OR(U29="",U4=""),"",IFERROR(U29/U4,""))</f>
        <v/>
      </c>
      <c r="V30" s="15">
        <f>IF(OR(V29="",V4=""),"",IFERROR(V29/V4,""))</f>
        <v/>
      </c>
      <c r="W30" s="15">
        <f>IF(OR(W29="",W4=""),"",IFERROR(W29/W4,""))</f>
        <v/>
      </c>
      <c r="X30" s="15">
        <f>IF(OR(X29="",X4=""),"",IFERROR(X29/X4,""))</f>
        <v/>
      </c>
      <c r="Y30" s="14" t="n"/>
      <c r="Z30" s="15" t="n"/>
      <c r="AA30" s="15" t="n"/>
      <c r="AB30" s="15" t="n"/>
      <c r="AC30" s="15" t="n"/>
    </row>
    <row r="31">
      <c r="A31" s="18" t="inlineStr">
        <is>
          <t>지급수수료</t>
        </is>
      </c>
      <c r="B31" s="10" t="inlineStr">
        <is>
          <t>고정비</t>
        </is>
      </c>
      <c r="C31" s="19" t="n"/>
      <c r="D31" s="20" t="n"/>
      <c r="E31" s="20" t="n"/>
      <c r="F31" s="20" t="n"/>
      <c r="G31" s="20" t="n"/>
      <c r="H31" s="20" t="n"/>
      <c r="I31" s="20" t="n"/>
      <c r="J31" s="20" t="n"/>
      <c r="K31" s="20" t="n"/>
      <c r="L31" s="20" t="n"/>
      <c r="M31" s="20" t="n"/>
      <c r="N31" s="20" t="n"/>
      <c r="O31" s="19" t="n">
        <v>487</v>
      </c>
      <c r="P31" s="20" t="n">
        <v>460</v>
      </c>
      <c r="Q31" s="20" t="n">
        <v>635</v>
      </c>
      <c r="R31" s="20" t="n">
        <v>532</v>
      </c>
      <c r="S31" s="20" t="n">
        <v>496</v>
      </c>
      <c r="T31" s="20" t="n">
        <v>725</v>
      </c>
      <c r="U31" s="20" t="n">
        <v>838</v>
      </c>
      <c r="V31" s="20" t="n">
        <v>848</v>
      </c>
      <c r="W31" s="20" t="n">
        <v>915</v>
      </c>
      <c r="X31" s="20" t="n">
        <v>996</v>
      </c>
      <c r="Y31" s="19" t="n"/>
      <c r="Z31" s="20" t="n"/>
      <c r="AA31" s="20" t="n"/>
      <c r="AB31" s="20" t="n"/>
      <c r="AC31" s="20" t="n"/>
    </row>
    <row r="32">
      <c r="A32" s="13" t="inlineStr">
        <is>
          <t>% of Sales</t>
        </is>
      </c>
      <c r="B32" s="10" t="n"/>
      <c r="C32" s="14" t="n"/>
      <c r="D32" s="15" t="n"/>
      <c r="E32" s="15" t="n"/>
      <c r="F32" s="15" t="n"/>
      <c r="G32" s="15" t="n"/>
      <c r="H32" s="15" t="n"/>
      <c r="I32" s="15" t="n"/>
      <c r="J32" s="15" t="n"/>
      <c r="K32" s="15" t="n"/>
      <c r="L32" s="15" t="n"/>
      <c r="M32" s="15" t="n"/>
      <c r="N32" s="15" t="n"/>
      <c r="O32" s="14">
        <f>IF(OR(O31="",O4=""),"",IFERROR(O31/O4,""))</f>
        <v/>
      </c>
      <c r="P32" s="15">
        <f>IF(OR(P31="",P4=""),"",IFERROR(P31/P4,""))</f>
        <v/>
      </c>
      <c r="Q32" s="15">
        <f>IF(OR(Q31="",Q4=""),"",IFERROR(Q31/Q4,""))</f>
        <v/>
      </c>
      <c r="R32" s="15">
        <f>IF(OR(R31="",R4=""),"",IFERROR(R31/R4,""))</f>
        <v/>
      </c>
      <c r="S32" s="15">
        <f>IF(OR(S31="",S4=""),"",IFERROR(S31/S4,""))</f>
        <v/>
      </c>
      <c r="T32" s="15">
        <f>IF(OR(T31="",T4=""),"",IFERROR(T31/T4,""))</f>
        <v/>
      </c>
      <c r="U32" s="15">
        <f>IF(OR(U31="",U4=""),"",IFERROR(U31/U4,""))</f>
        <v/>
      </c>
      <c r="V32" s="15">
        <f>IF(OR(V31="",V4=""),"",IFERROR(V31/V4,""))</f>
        <v/>
      </c>
      <c r="W32" s="15">
        <f>IF(OR(W31="",W4=""),"",IFERROR(W31/W4,""))</f>
        <v/>
      </c>
      <c r="X32" s="15">
        <f>IF(OR(X31="",X4=""),"",IFERROR(X31/X4,""))</f>
        <v/>
      </c>
      <c r="Y32" s="14" t="n"/>
      <c r="Z32" s="15" t="n"/>
      <c r="AA32" s="15" t="n"/>
      <c r="AB32" s="15" t="n"/>
      <c r="AC32" s="15" t="n"/>
    </row>
    <row r="33">
      <c r="A33" s="18" t="inlineStr">
        <is>
          <t>연구개발비</t>
        </is>
      </c>
      <c r="B33" s="10" t="inlineStr">
        <is>
          <t>변동비</t>
        </is>
      </c>
      <c r="C33" s="19" t="n"/>
      <c r="D33" s="20" t="n"/>
      <c r="E33" s="20" t="n"/>
      <c r="F33" s="20" t="n"/>
      <c r="G33" s="20" t="n"/>
      <c r="H33" s="20" t="n"/>
      <c r="I33" s="20" t="n"/>
      <c r="J33" s="20" t="n"/>
      <c r="K33" s="20" t="n"/>
      <c r="L33" s="20" t="n"/>
      <c r="M33" s="20" t="n"/>
      <c r="N33" s="20" t="n"/>
      <c r="O33" s="19" t="n"/>
      <c r="P33" s="20" t="n"/>
      <c r="Q33" s="20" t="n"/>
      <c r="R33" s="20" t="n"/>
      <c r="S33" s="20" t="n"/>
      <c r="T33" s="20" t="n"/>
      <c r="U33" s="20" t="n"/>
      <c r="V33" s="20" t="n"/>
      <c r="W33" s="20" t="n"/>
      <c r="X33" s="20" t="n"/>
      <c r="Y33" s="19" t="n"/>
      <c r="Z33" s="20" t="n"/>
      <c r="AA33" s="20" t="n"/>
      <c r="AB33" s="20" t="n"/>
      <c r="AC33" s="20" t="n"/>
    </row>
    <row r="34">
      <c r="A34" s="13" t="inlineStr">
        <is>
          <t>% of Sales</t>
        </is>
      </c>
      <c r="B34" s="10" t="n"/>
      <c r="C34" s="14" t="n"/>
      <c r="D34" s="15" t="n"/>
      <c r="E34" s="15" t="n"/>
      <c r="F34" s="15" t="n"/>
      <c r="G34" s="15" t="n"/>
      <c r="H34" s="15" t="n"/>
      <c r="I34" s="15" t="n"/>
      <c r="J34" s="15" t="n"/>
      <c r="K34" s="15" t="n"/>
      <c r="L34" s="15" t="n"/>
      <c r="M34" s="15" t="n"/>
      <c r="N34" s="15" t="n"/>
      <c r="O34" s="14">
        <f>IF(OR(O33="",O4=""),"",IFERROR(O33/O4,""))</f>
        <v/>
      </c>
      <c r="P34" s="15">
        <f>IF(OR(P33="",P4=""),"",IFERROR(P33/P4,""))</f>
        <v/>
      </c>
      <c r="Q34" s="15">
        <f>IF(OR(Q33="",Q4=""),"",IFERROR(Q33/Q4,""))</f>
        <v/>
      </c>
      <c r="R34" s="15">
        <f>IF(OR(R33="",R4=""),"",IFERROR(R33/R4,""))</f>
        <v/>
      </c>
      <c r="S34" s="15">
        <f>IF(OR(S33="",S4=""),"",IFERROR(S33/S4,""))</f>
        <v/>
      </c>
      <c r="T34" s="15">
        <f>IF(OR(T33="",T4=""),"",IFERROR(T33/T4,""))</f>
        <v/>
      </c>
      <c r="U34" s="15">
        <f>IF(OR(U33="",U4=""),"",IFERROR(U33/U4,""))</f>
        <v/>
      </c>
      <c r="V34" s="15">
        <f>IF(OR(V33="",V4=""),"",IFERROR(V33/V4,""))</f>
        <v/>
      </c>
      <c r="W34" s="15">
        <f>IF(OR(W33="",W4=""),"",IFERROR(W33/W4,""))</f>
        <v/>
      </c>
      <c r="X34" s="15">
        <f>IF(OR(X33="",X4=""),"",IFERROR(X33/X4,""))</f>
        <v/>
      </c>
      <c r="Y34" s="14" t="n"/>
      <c r="Z34" s="15" t="n"/>
      <c r="AA34" s="15" t="n"/>
      <c r="AB34" s="15" t="n"/>
      <c r="AC34" s="15" t="n"/>
    </row>
    <row r="35">
      <c r="A35" s="18" t="inlineStr">
        <is>
          <t>기타비용</t>
        </is>
      </c>
      <c r="B35" s="10" t="inlineStr">
        <is>
          <t>변동비</t>
        </is>
      </c>
      <c r="C35" s="19" t="n"/>
      <c r="D35" s="20" t="n"/>
      <c r="E35" s="20" t="n"/>
      <c r="F35" s="20" t="n"/>
      <c r="G35" s="20" t="n"/>
      <c r="H35" s="20" t="n"/>
      <c r="I35" s="20" t="n"/>
      <c r="J35" s="20" t="n"/>
      <c r="K35" s="20" t="n"/>
      <c r="L35" s="20" t="n"/>
      <c r="M35" s="20" t="n"/>
      <c r="N35" s="20" t="n"/>
      <c r="O35" s="19">
        <f>IF(OR(O26="",O27="",O29="",O31="",O33=""),"",IFERROR(O26-O27-O29-O31-O33,""))</f>
        <v/>
      </c>
      <c r="P35" s="20">
        <f>IF(OR(P26="",P27="",P29="",P31="",P33=""),"",IFERROR(P26-P27-P29-P31-P33,""))</f>
        <v/>
      </c>
      <c r="Q35" s="20">
        <f>IF(OR(Q26="",Q27="",Q29="",Q31="",Q33=""),"",IFERROR(Q26-Q27-Q29-Q31-Q33,""))</f>
        <v/>
      </c>
      <c r="R35" s="20">
        <f>IF(OR(R26="",R27="",R29="",R31="",R33=""),"",IFERROR(R26-R27-R29-R31-R33,""))</f>
        <v/>
      </c>
      <c r="S35" s="20">
        <f>IF(OR(S26="",S27="",S29="",S31="",S33=""),"",IFERROR(S26-S27-S29-S31-S33,""))</f>
        <v/>
      </c>
      <c r="T35" s="20">
        <f>IF(OR(T26="",T27="",T29="",T31="",T33=""),"",IFERROR(T26-T27-T29-T31-T33,""))</f>
        <v/>
      </c>
      <c r="U35" s="20">
        <f>IF(OR(U26="",U27="",U29="",U31="",U33=""),"",IFERROR(U26-U27-U29-U31-U33,""))</f>
        <v/>
      </c>
      <c r="V35" s="20">
        <f>IF(OR(V26="",V27="",V29="",V31="",V33=""),"",IFERROR(V26-V27-V29-V31-V33,""))</f>
        <v/>
      </c>
      <c r="W35" s="20">
        <f>IF(OR(W26="",W27="",W29="",W31="",W33=""),"",IFERROR(W26-W27-W29-W31-W33,""))</f>
        <v/>
      </c>
      <c r="X35" s="20">
        <f>IF(OR(X26="",X27="",X29="",X31="",X33=""),"",IFERROR(X26-X27-X29-X31-X33,""))</f>
        <v/>
      </c>
      <c r="Y35" s="19" t="n"/>
      <c r="Z35" s="20" t="n"/>
      <c r="AA35" s="20" t="n"/>
      <c r="AB35" s="20" t="n"/>
      <c r="AC35" s="20" t="n"/>
    </row>
    <row r="36">
      <c r="A36" s="13" t="inlineStr">
        <is>
          <t>% of Sales</t>
        </is>
      </c>
      <c r="B36" s="10" t="n"/>
      <c r="C36" s="14" t="n"/>
      <c r="D36" s="15" t="n"/>
      <c r="E36" s="15" t="n"/>
      <c r="F36" s="15" t="n"/>
      <c r="G36" s="15" t="n"/>
      <c r="H36" s="15" t="n"/>
      <c r="I36" s="15" t="n"/>
      <c r="J36" s="15" t="n"/>
      <c r="K36" s="15" t="n"/>
      <c r="L36" s="15" t="n"/>
      <c r="M36" s="15" t="n"/>
      <c r="N36" s="15" t="n"/>
      <c r="O36" s="14">
        <f>IF(OR(O35="",O4=""),"",IFERROR(O35/O4,""))</f>
        <v/>
      </c>
      <c r="P36" s="15">
        <f>IF(OR(P35="",P4=""),"",IFERROR(P35/P4,""))</f>
        <v/>
      </c>
      <c r="Q36" s="15">
        <f>IF(OR(Q35="",Q4=""),"",IFERROR(Q35/Q4,""))</f>
        <v/>
      </c>
      <c r="R36" s="15">
        <f>IF(OR(R35="",R4=""),"",IFERROR(R35/R4,""))</f>
        <v/>
      </c>
      <c r="S36" s="15">
        <f>IF(OR(S35="",S4=""),"",IFERROR(S35/S4,""))</f>
        <v/>
      </c>
      <c r="T36" s="15">
        <f>IF(OR(T35="",T4=""),"",IFERROR(T35/T4,""))</f>
        <v/>
      </c>
      <c r="U36" s="15">
        <f>IF(OR(U35="",U4=""),"",IFERROR(U35/U4,""))</f>
        <v/>
      </c>
      <c r="V36" s="15">
        <f>IF(OR(V35="",V4=""),"",IFERROR(V35/V4,""))</f>
        <v/>
      </c>
      <c r="W36" s="15">
        <f>IF(OR(W35="",W4=""),"",IFERROR(W35/W4,""))</f>
        <v/>
      </c>
      <c r="X36" s="15">
        <f>IF(OR(X35="",X4=""),"",IFERROR(X35/X4,""))</f>
        <v/>
      </c>
      <c r="Y36" s="14" t="n"/>
      <c r="Z36" s="15" t="n"/>
      <c r="AA36" s="15" t="n"/>
      <c r="AB36" s="15" t="n"/>
      <c r="AC36" s="15" t="n"/>
    </row>
    <row r="37">
      <c r="A37" s="16" t="inlineStr">
        <is>
          <t>당기순이익 추정</t>
        </is>
      </c>
      <c r="B37" s="16" t="n"/>
      <c r="C37" s="17" t="n"/>
      <c r="D37" s="16" t="n"/>
      <c r="E37" s="16" t="n"/>
      <c r="F37" s="16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7" t="n"/>
      <c r="P37" s="16" t="n"/>
      <c r="Q37" s="16" t="n"/>
      <c r="R37" s="16" t="n"/>
      <c r="S37" s="16" t="n"/>
      <c r="T37" s="16" t="n"/>
      <c r="U37" s="16" t="n"/>
      <c r="V37" s="16" t="n"/>
      <c r="W37" s="16" t="n"/>
      <c r="X37" s="16" t="n"/>
      <c r="Y37" s="17" t="n"/>
      <c r="Z37" s="16" t="n"/>
      <c r="AA37" s="16" t="n"/>
      <c r="AB37" s="16" t="n"/>
      <c r="AC37" s="16" t="n"/>
    </row>
    <row r="38">
      <c r="A38" s="18" t="inlineStr">
        <is>
          <t>특별이익</t>
        </is>
      </c>
      <c r="B38" s="10" t="n"/>
      <c r="C38" s="19" t="n">
        <v>0</v>
      </c>
      <c r="D38" s="20" t="n">
        <v>21</v>
      </c>
      <c r="E38" s="20" t="n">
        <v>0</v>
      </c>
      <c r="F38" s="20" t="n">
        <v>0</v>
      </c>
      <c r="G38" s="20" t="n">
        <v>0</v>
      </c>
      <c r="H38" s="20" t="n">
        <v>799</v>
      </c>
      <c r="I38" s="20" t="n">
        <v>519</v>
      </c>
      <c r="J38" s="20" t="n">
        <v>1245</v>
      </c>
      <c r="K38" s="20" t="n">
        <v>230</v>
      </c>
      <c r="L38" s="20" t="n">
        <v>1254</v>
      </c>
      <c r="M38" s="20" t="n">
        <v>514</v>
      </c>
      <c r="N38" s="20" t="n">
        <v>408</v>
      </c>
      <c r="O38" s="19" t="n">
        <v>158</v>
      </c>
      <c r="P38" s="20" t="n">
        <v>94</v>
      </c>
      <c r="Q38" s="20" t="n">
        <v>1371</v>
      </c>
      <c r="R38" s="20" t="n">
        <v>256</v>
      </c>
      <c r="S38" s="20" t="n">
        <v>0</v>
      </c>
      <c r="T38" s="20" t="n">
        <v>1106</v>
      </c>
      <c r="U38" s="20" t="n">
        <v>3827</v>
      </c>
      <c r="V38" s="20" t="n">
        <v>1218</v>
      </c>
      <c r="W38" s="20" t="n">
        <v>799</v>
      </c>
      <c r="X38" s="20" t="n">
        <v>3248</v>
      </c>
      <c r="Y38" s="19">
        <f>IF(OR(Y4="",Y39=""),"",IFERROR(Y4*Y39,""))</f>
        <v/>
      </c>
      <c r="Z38" s="20">
        <f>IF(OR(Z4="",Z39=""),"",IFERROR(Z4*Z39,""))</f>
        <v/>
      </c>
      <c r="AA38" s="20">
        <f>IF(OR(AA4="",AA39=""),"",IFERROR(AA4*AA39,""))</f>
        <v/>
      </c>
      <c r="AB38" s="20">
        <f>IF(OR(AB4="",AB39=""),"",IFERROR(AB4*AB39,""))</f>
        <v/>
      </c>
      <c r="AC38" s="20">
        <f>IF(OR(AC4="",AC39=""),"",IFERROR(AC4*AC39,""))</f>
        <v/>
      </c>
    </row>
    <row r="39">
      <c r="A39" s="13" t="inlineStr">
        <is>
          <t>% of Sales</t>
        </is>
      </c>
      <c r="B39" s="10" t="inlineStr">
        <is>
          <t>MW = 최근 3년 평균</t>
        </is>
      </c>
      <c r="C39" s="14">
        <f>IF(OR(C38="",C4=""),"",IFERROR(C38/C4,""))</f>
        <v/>
      </c>
      <c r="D39" s="15">
        <f>IF(OR(D38="",D4=""),"",IFERROR(D38/D4,""))</f>
        <v/>
      </c>
      <c r="E39" s="15">
        <f>IF(OR(E38="",E4=""),"",IFERROR(E38/E4,""))</f>
        <v/>
      </c>
      <c r="F39" s="15">
        <f>IF(OR(F38="",F4=""),"",IFERROR(F38/F4,""))</f>
        <v/>
      </c>
      <c r="G39" s="15">
        <f>IF(OR(G38="",G4=""),"",IFERROR(G38/G4,""))</f>
        <v/>
      </c>
      <c r="H39" s="15">
        <f>IF(OR(H38="",H4=""),"",IFERROR(H38/H4,""))</f>
        <v/>
      </c>
      <c r="I39" s="15">
        <f>IF(OR(I38="",I4=""),"",IFERROR(I38/I4,""))</f>
        <v/>
      </c>
      <c r="J39" s="15">
        <f>IF(OR(J38="",J4=""),"",IFERROR(J38/J4,""))</f>
        <v/>
      </c>
      <c r="K39" s="15">
        <f>IF(OR(K38="",K4=""),"",IFERROR(K38/K4,""))</f>
        <v/>
      </c>
      <c r="L39" s="15">
        <f>IF(OR(L38="",L4=""),"",IFERROR(L38/L4,""))</f>
        <v/>
      </c>
      <c r="M39" s="15">
        <f>IF(OR(M38="",M4=""),"",IFERROR(M38/M4,""))</f>
        <v/>
      </c>
      <c r="N39" s="15">
        <f>IF(OR(N38="",N4=""),"",IFERROR(N38/N4,""))</f>
        <v/>
      </c>
      <c r="O39" s="14">
        <f>IF(OR(O38="",O4=""),"",IFERROR(O38/O4,""))</f>
        <v/>
      </c>
      <c r="P39" s="15">
        <f>IF(OR(P38="",P4=""),"",IFERROR(P38/P4,""))</f>
        <v/>
      </c>
      <c r="Q39" s="15">
        <f>IF(OR(Q38="",Q4=""),"",IFERROR(Q38/Q4,""))</f>
        <v/>
      </c>
      <c r="R39" s="15">
        <f>IF(OR(R38="",R4=""),"",IFERROR(R38/R4,""))</f>
        <v/>
      </c>
      <c r="S39" s="15">
        <f>IF(OR(S38="",S4=""),"",IFERROR(S38/S4,""))</f>
        <v/>
      </c>
      <c r="T39" s="15">
        <f>IF(OR(T38="",T4=""),"",IFERROR(T38/T4,""))</f>
        <v/>
      </c>
      <c r="U39" s="15">
        <f>IF(OR(U38="",U4=""),"",IFERROR(U38/U4,""))</f>
        <v/>
      </c>
      <c r="V39" s="15">
        <f>IF(OR(V38="",V4=""),"",IFERROR(V38/V4,""))</f>
        <v/>
      </c>
      <c r="W39" s="15">
        <f>IF(OR(W38="",W4=""),"",IFERROR(W38/W4,""))</f>
        <v/>
      </c>
      <c r="X39" s="15">
        <f>IF(OR(X38="",X4=""),"",IFERROR(X38/X4,""))</f>
        <v/>
      </c>
      <c r="Y39" s="25">
        <f>IFERROR(AVERAGE(V39,W39,X39),"")</f>
        <v/>
      </c>
      <c r="Z39" s="26">
        <f>Y39</f>
        <v/>
      </c>
      <c r="AA39" s="26">
        <f>Z39</f>
        <v/>
      </c>
      <c r="AB39" s="26">
        <f>AA39</f>
        <v/>
      </c>
      <c r="AC39" s="26">
        <f>AB39</f>
        <v/>
      </c>
    </row>
    <row r="40">
      <c r="A40" s="18" t="inlineStr">
        <is>
          <t>특별손실</t>
        </is>
      </c>
      <c r="B40" s="10" t="n"/>
      <c r="C40" s="19" t="n">
        <v>1</v>
      </c>
      <c r="D40" s="20" t="n">
        <v>259</v>
      </c>
      <c r="E40" s="20" t="n">
        <v>4</v>
      </c>
      <c r="F40" s="20" t="n">
        <v>4</v>
      </c>
      <c r="G40" s="20" t="n">
        <v>3</v>
      </c>
      <c r="H40" s="20" t="n">
        <v>5</v>
      </c>
      <c r="I40" s="20" t="n">
        <v>2</v>
      </c>
      <c r="J40" s="20" t="n">
        <v>0</v>
      </c>
      <c r="K40" s="20" t="n">
        <v>87</v>
      </c>
      <c r="L40" s="20" t="n">
        <v>241</v>
      </c>
      <c r="M40" s="20" t="n">
        <v>23</v>
      </c>
      <c r="N40" s="20" t="n">
        <v>11</v>
      </c>
      <c r="O40" s="19" t="n">
        <v>2303</v>
      </c>
      <c r="P40" s="20" t="n">
        <v>688</v>
      </c>
      <c r="Q40" s="20" t="n">
        <v>101</v>
      </c>
      <c r="R40" s="20" t="n">
        <v>289</v>
      </c>
      <c r="S40" s="20" t="n">
        <v>27</v>
      </c>
      <c r="T40" s="20" t="n">
        <v>133</v>
      </c>
      <c r="U40" s="20" t="n">
        <v>214</v>
      </c>
      <c r="V40" s="20" t="n">
        <v>271</v>
      </c>
      <c r="W40" s="20" t="n">
        <v>16</v>
      </c>
      <c r="X40" s="20" t="n">
        <v>330</v>
      </c>
      <c r="Y40" s="19">
        <f>IF(OR(Y4="",Y41=""),"",IFERROR(Y4*Y41,""))</f>
        <v/>
      </c>
      <c r="Z40" s="20">
        <f>IF(OR(Z4="",Z41=""),"",IFERROR(Z4*Z41,""))</f>
        <v/>
      </c>
      <c r="AA40" s="20">
        <f>IF(OR(AA4="",AA41=""),"",IFERROR(AA4*AA41,""))</f>
        <v/>
      </c>
      <c r="AB40" s="20">
        <f>IF(OR(AB4="",AB41=""),"",IFERROR(AB4*AB41,""))</f>
        <v/>
      </c>
      <c r="AC40" s="20">
        <f>IF(OR(AC4="",AC41=""),"",IFERROR(AC4*AC41,""))</f>
        <v/>
      </c>
    </row>
    <row r="41">
      <c r="A41" s="13" t="inlineStr">
        <is>
          <t>% of Sales</t>
        </is>
      </c>
      <c r="B41" s="10" t="n"/>
      <c r="C41" s="14">
        <f>IF(OR(C40="",C4=""),"",IFERROR(C40/C4,""))</f>
        <v/>
      </c>
      <c r="D41" s="15">
        <f>IF(OR(D40="",D4=""),"",IFERROR(D40/D4,""))</f>
        <v/>
      </c>
      <c r="E41" s="15">
        <f>IF(OR(E40="",E4=""),"",IFERROR(E40/E4,""))</f>
        <v/>
      </c>
      <c r="F41" s="15">
        <f>IF(OR(F40="",F4=""),"",IFERROR(F40/F4,""))</f>
        <v/>
      </c>
      <c r="G41" s="15">
        <f>IF(OR(G40="",G4=""),"",IFERROR(G40/G4,""))</f>
        <v/>
      </c>
      <c r="H41" s="15">
        <f>IF(OR(H40="",H4=""),"",IFERROR(H40/H4,""))</f>
        <v/>
      </c>
      <c r="I41" s="15">
        <f>IF(OR(I40="",I4=""),"",IFERROR(I40/I4,""))</f>
        <v/>
      </c>
      <c r="J41" s="15">
        <f>IF(OR(J40="",J4=""),"",IFERROR(J40/J4,""))</f>
        <v/>
      </c>
      <c r="K41" s="15">
        <f>IF(OR(K40="",K4=""),"",IFERROR(K40/K4,""))</f>
        <v/>
      </c>
      <c r="L41" s="15">
        <f>IF(OR(L40="",L4=""),"",IFERROR(L40/L4,""))</f>
        <v/>
      </c>
      <c r="M41" s="15">
        <f>IF(OR(M40="",M4=""),"",IFERROR(M40/M4,""))</f>
        <v/>
      </c>
      <c r="N41" s="15">
        <f>IF(OR(N40="",N4=""),"",IFERROR(N40/N4,""))</f>
        <v/>
      </c>
      <c r="O41" s="14">
        <f>IF(OR(O40="",O4=""),"",IFERROR(O40/O4,""))</f>
        <v/>
      </c>
      <c r="P41" s="15">
        <f>IF(OR(P40="",P4=""),"",IFERROR(P40/P4,""))</f>
        <v/>
      </c>
      <c r="Q41" s="15">
        <f>IF(OR(Q40="",Q4=""),"",IFERROR(Q40/Q4,""))</f>
        <v/>
      </c>
      <c r="R41" s="15">
        <f>IF(OR(R40="",R4=""),"",IFERROR(R40/R4,""))</f>
        <v/>
      </c>
      <c r="S41" s="15">
        <f>IF(OR(S40="",S4=""),"",IFERROR(S40/S4,""))</f>
        <v/>
      </c>
      <c r="T41" s="15">
        <f>IF(OR(T40="",T4=""),"",IFERROR(T40/T4,""))</f>
        <v/>
      </c>
      <c r="U41" s="15">
        <f>IF(OR(U40="",U4=""),"",IFERROR(U40/U4,""))</f>
        <v/>
      </c>
      <c r="V41" s="15">
        <f>IF(OR(V40="",V4=""),"",IFERROR(V40/V4,""))</f>
        <v/>
      </c>
      <c r="W41" s="15">
        <f>IF(OR(W40="",W4=""),"",IFERROR(W40/W4,""))</f>
        <v/>
      </c>
      <c r="X41" s="15">
        <f>IF(OR(X40="",X4=""),"",IFERROR(X40/X4,""))</f>
        <v/>
      </c>
      <c r="Y41" s="25">
        <f>IFERROR(AVERAGE(V41,W41,X41),"")</f>
        <v/>
      </c>
      <c r="Z41" s="26">
        <f>Y41</f>
        <v/>
      </c>
      <c r="AA41" s="26">
        <f>Z41</f>
        <v/>
      </c>
      <c r="AB41" s="26">
        <f>AA41</f>
        <v/>
      </c>
      <c r="AC41" s="26">
        <f>AB41</f>
        <v/>
      </c>
    </row>
    <row r="42">
      <c r="A42" s="18" t="inlineStr">
        <is>
          <t>영업외수익</t>
        </is>
      </c>
      <c r="B42" s="10" t="n"/>
      <c r="C42" s="19" t="n">
        <v>147</v>
      </c>
      <c r="D42" s="20" t="n">
        <v>54</v>
      </c>
      <c r="E42" s="20" t="n">
        <v>275</v>
      </c>
      <c r="F42" s="20" t="n">
        <v>39</v>
      </c>
      <c r="G42" s="20" t="n">
        <v>220</v>
      </c>
      <c r="H42" s="20" t="n">
        <v>41</v>
      </c>
      <c r="I42" s="20" t="n">
        <v>345</v>
      </c>
      <c r="J42" s="20" t="n">
        <v>69</v>
      </c>
      <c r="K42" s="20" t="n">
        <v>262</v>
      </c>
      <c r="L42" s="20" t="n">
        <v>66</v>
      </c>
      <c r="M42" s="20" t="n">
        <v>413</v>
      </c>
      <c r="N42" s="20" t="n">
        <v>106</v>
      </c>
      <c r="O42" s="19" t="n">
        <v>419</v>
      </c>
      <c r="P42" s="20" t="n">
        <v>424</v>
      </c>
      <c r="Q42" s="20" t="n">
        <v>524</v>
      </c>
      <c r="R42" s="20" t="n">
        <v>509</v>
      </c>
      <c r="S42" s="20" t="n">
        <v>522</v>
      </c>
      <c r="T42" s="20" t="n">
        <v>585</v>
      </c>
      <c r="U42" s="20" t="n">
        <v>575</v>
      </c>
      <c r="V42" s="20" t="n">
        <v>444</v>
      </c>
      <c r="W42" s="20" t="n">
        <v>575</v>
      </c>
      <c r="X42" s="20" t="n">
        <v>742</v>
      </c>
      <c r="Y42" s="19">
        <f>IF(OR(Y4="",Y43=""),"",IFERROR(Y4*Y43,""))</f>
        <v/>
      </c>
      <c r="Z42" s="20">
        <f>IF(OR(Z4="",Z43=""),"",IFERROR(Z4*Z43,""))</f>
        <v/>
      </c>
      <c r="AA42" s="20">
        <f>IF(OR(AA4="",AA43=""),"",IFERROR(AA4*AA43,""))</f>
        <v/>
      </c>
      <c r="AB42" s="20">
        <f>IF(OR(AB4="",AB43=""),"",IFERROR(AB4*AB43,""))</f>
        <v/>
      </c>
      <c r="AC42" s="20">
        <f>IF(OR(AC4="",AC43=""),"",IFERROR(AC4*AC43,""))</f>
        <v/>
      </c>
    </row>
    <row r="43">
      <c r="A43" s="13" t="inlineStr">
        <is>
          <t>% of Sales</t>
        </is>
      </c>
      <c r="B43" s="10" t="n"/>
      <c r="C43" s="14">
        <f>IF(OR(C42="",C4=""),"",IFERROR(C42/C4,""))</f>
        <v/>
      </c>
      <c r="D43" s="15">
        <f>IF(OR(D42="",D4=""),"",IFERROR(D42/D4,""))</f>
        <v/>
      </c>
      <c r="E43" s="15">
        <f>IF(OR(E42="",E4=""),"",IFERROR(E42/E4,""))</f>
        <v/>
      </c>
      <c r="F43" s="15">
        <f>IF(OR(F42="",F4=""),"",IFERROR(F42/F4,""))</f>
        <v/>
      </c>
      <c r="G43" s="15">
        <f>IF(OR(G42="",G4=""),"",IFERROR(G42/G4,""))</f>
        <v/>
      </c>
      <c r="H43" s="15">
        <f>IF(OR(H42="",H4=""),"",IFERROR(H42/H4,""))</f>
        <v/>
      </c>
      <c r="I43" s="15">
        <f>IF(OR(I42="",I4=""),"",IFERROR(I42/I4,""))</f>
        <v/>
      </c>
      <c r="J43" s="15">
        <f>IF(OR(J42="",J4=""),"",IFERROR(J42/J4,""))</f>
        <v/>
      </c>
      <c r="K43" s="15">
        <f>IF(OR(K42="",K4=""),"",IFERROR(K42/K4,""))</f>
        <v/>
      </c>
      <c r="L43" s="15">
        <f>IF(OR(L42="",L4=""),"",IFERROR(L42/L4,""))</f>
        <v/>
      </c>
      <c r="M43" s="15">
        <f>IF(OR(M42="",M4=""),"",IFERROR(M42/M4,""))</f>
        <v/>
      </c>
      <c r="N43" s="15">
        <f>IF(OR(N42="",N4=""),"",IFERROR(N42/N4,""))</f>
        <v/>
      </c>
      <c r="O43" s="14">
        <f>IF(OR(O42="",O4=""),"",IFERROR(O42/O4,""))</f>
        <v/>
      </c>
      <c r="P43" s="15">
        <f>IF(OR(P42="",P4=""),"",IFERROR(P42/P4,""))</f>
        <v/>
      </c>
      <c r="Q43" s="15">
        <f>IF(OR(Q42="",Q4=""),"",IFERROR(Q42/Q4,""))</f>
        <v/>
      </c>
      <c r="R43" s="15">
        <f>IF(OR(R42="",R4=""),"",IFERROR(R42/R4,""))</f>
        <v/>
      </c>
      <c r="S43" s="15">
        <f>IF(OR(S42="",S4=""),"",IFERROR(S42/S4,""))</f>
        <v/>
      </c>
      <c r="T43" s="15">
        <f>IF(OR(T42="",T4=""),"",IFERROR(T42/T4,""))</f>
        <v/>
      </c>
      <c r="U43" s="15">
        <f>IF(OR(U42="",U4=""),"",IFERROR(U42/U4,""))</f>
        <v/>
      </c>
      <c r="V43" s="15">
        <f>IF(OR(V42="",V4=""),"",IFERROR(V42/V4,""))</f>
        <v/>
      </c>
      <c r="W43" s="15">
        <f>IF(OR(W42="",W4=""),"",IFERROR(W42/W4,""))</f>
        <v/>
      </c>
      <c r="X43" s="15">
        <f>IF(OR(X42="",X4=""),"",IFERROR(X42/X4,""))</f>
        <v/>
      </c>
      <c r="Y43" s="25">
        <f>IFERROR(AVERAGE(V43,W43,X43),"")</f>
        <v/>
      </c>
      <c r="Z43" s="26">
        <f>Y43</f>
        <v/>
      </c>
      <c r="AA43" s="26">
        <f>Z43</f>
        <v/>
      </c>
      <c r="AB43" s="26">
        <f>AA43</f>
        <v/>
      </c>
      <c r="AC43" s="26">
        <f>AB43</f>
        <v/>
      </c>
    </row>
    <row r="44">
      <c r="A44" s="18" t="inlineStr">
        <is>
          <t>영업외비용</t>
        </is>
      </c>
      <c r="B44" s="10" t="n"/>
      <c r="C44" s="19" t="n">
        <v>466</v>
      </c>
      <c r="D44" s="20" t="n">
        <v>615</v>
      </c>
      <c r="E44" s="20" t="n">
        <v>496</v>
      </c>
      <c r="F44" s="20" t="n">
        <v>490</v>
      </c>
      <c r="G44" s="20" t="n">
        <v>508</v>
      </c>
      <c r="H44" s="20" t="n">
        <v>626</v>
      </c>
      <c r="I44" s="20" t="n">
        <v>670</v>
      </c>
      <c r="J44" s="20" t="n">
        <v>679</v>
      </c>
      <c r="K44" s="20" t="n">
        <v>699</v>
      </c>
      <c r="L44" s="20" t="n">
        <v>824</v>
      </c>
      <c r="M44" s="20" t="n">
        <v>829</v>
      </c>
      <c r="N44" s="20" t="n">
        <v>901</v>
      </c>
      <c r="O44" s="19" t="n">
        <v>1661</v>
      </c>
      <c r="P44" s="20" t="n">
        <v>1462</v>
      </c>
      <c r="Q44" s="20" t="n">
        <v>1429</v>
      </c>
      <c r="R44" s="20" t="n">
        <v>1407</v>
      </c>
      <c r="S44" s="20" t="n">
        <v>1506</v>
      </c>
      <c r="T44" s="20" t="n">
        <v>1628</v>
      </c>
      <c r="U44" s="20" t="n">
        <v>1713</v>
      </c>
      <c r="V44" s="20" t="n">
        <v>2003</v>
      </c>
      <c r="W44" s="20" t="n">
        <v>2120</v>
      </c>
      <c r="X44" s="20" t="n">
        <v>2872</v>
      </c>
      <c r="Y44" s="19">
        <f>IF(OR(Y4="",Y45=""),"",IFERROR(Y4*Y45,""))</f>
        <v/>
      </c>
      <c r="Z44" s="20">
        <f>IF(OR(Z4="",Z45=""),"",IFERROR(Z4*Z45,""))</f>
        <v/>
      </c>
      <c r="AA44" s="20">
        <f>IF(OR(AA4="",AA45=""),"",IFERROR(AA4*AA45,""))</f>
        <v/>
      </c>
      <c r="AB44" s="20">
        <f>IF(OR(AB4="",AB45=""),"",IFERROR(AB4*AB45,""))</f>
        <v/>
      </c>
      <c r="AC44" s="20">
        <f>IF(OR(AC4="",AC45=""),"",IFERROR(AC4*AC45,""))</f>
        <v/>
      </c>
    </row>
    <row r="45">
      <c r="A45" s="13" t="inlineStr">
        <is>
          <t>% of Sales</t>
        </is>
      </c>
      <c r="B45" s="10" t="n"/>
      <c r="C45" s="14">
        <f>IF(OR(C44="",C4=""),"",IFERROR(C44/C4,""))</f>
        <v/>
      </c>
      <c r="D45" s="15">
        <f>IF(OR(D44="",D4=""),"",IFERROR(D44/D4,""))</f>
        <v/>
      </c>
      <c r="E45" s="15">
        <f>IF(OR(E44="",E4=""),"",IFERROR(E44/E4,""))</f>
        <v/>
      </c>
      <c r="F45" s="15">
        <f>IF(OR(F44="",F4=""),"",IFERROR(F44/F4,""))</f>
        <v/>
      </c>
      <c r="G45" s="15">
        <f>IF(OR(G44="",G4=""),"",IFERROR(G44/G4,""))</f>
        <v/>
      </c>
      <c r="H45" s="15">
        <f>IF(OR(H44="",H4=""),"",IFERROR(H44/H4,""))</f>
        <v/>
      </c>
      <c r="I45" s="15">
        <f>IF(OR(I44="",I4=""),"",IFERROR(I44/I4,""))</f>
        <v/>
      </c>
      <c r="J45" s="15">
        <f>IF(OR(J44="",J4=""),"",IFERROR(J44/J4,""))</f>
        <v/>
      </c>
      <c r="K45" s="15">
        <f>IF(OR(K44="",K4=""),"",IFERROR(K44/K4,""))</f>
        <v/>
      </c>
      <c r="L45" s="15">
        <f>IF(OR(L44="",L4=""),"",IFERROR(L44/L4,""))</f>
        <v/>
      </c>
      <c r="M45" s="15">
        <f>IF(OR(M44="",M4=""),"",IFERROR(M44/M4,""))</f>
        <v/>
      </c>
      <c r="N45" s="15">
        <f>IF(OR(N44="",N4=""),"",IFERROR(N44/N4,""))</f>
        <v/>
      </c>
      <c r="O45" s="14">
        <f>IF(OR(O44="",O4=""),"",IFERROR(O44/O4,""))</f>
        <v/>
      </c>
      <c r="P45" s="15">
        <f>IF(OR(P44="",P4=""),"",IFERROR(P44/P4,""))</f>
        <v/>
      </c>
      <c r="Q45" s="15">
        <f>IF(OR(Q44="",Q4=""),"",IFERROR(Q44/Q4,""))</f>
        <v/>
      </c>
      <c r="R45" s="15">
        <f>IF(OR(R44="",R4=""),"",IFERROR(R44/R4,""))</f>
        <v/>
      </c>
      <c r="S45" s="15">
        <f>IF(OR(S44="",S4=""),"",IFERROR(S44/S4,""))</f>
        <v/>
      </c>
      <c r="T45" s="15">
        <f>IF(OR(T44="",T4=""),"",IFERROR(T44/T4,""))</f>
        <v/>
      </c>
      <c r="U45" s="15">
        <f>IF(OR(U44="",U4=""),"",IFERROR(U44/U4,""))</f>
        <v/>
      </c>
      <c r="V45" s="15">
        <f>IF(OR(V44="",V4=""),"",IFERROR(V44/V4,""))</f>
        <v/>
      </c>
      <c r="W45" s="15">
        <f>IF(OR(W44="",W4=""),"",IFERROR(W44/W4,""))</f>
        <v/>
      </c>
      <c r="X45" s="15">
        <f>IF(OR(X44="",X4=""),"",IFERROR(X44/X4,""))</f>
        <v/>
      </c>
      <c r="Y45" s="25">
        <f>IFERROR(AVERAGE(V45,W45,X45),"")</f>
        <v/>
      </c>
      <c r="Z45" s="26">
        <f>Y45</f>
        <v/>
      </c>
      <c r="AA45" s="26">
        <f>Z45</f>
        <v/>
      </c>
      <c r="AB45" s="26">
        <f>AA45</f>
        <v/>
      </c>
      <c r="AC45" s="26">
        <f>AB45</f>
        <v/>
      </c>
    </row>
    <row r="46">
      <c r="A46" s="9" t="inlineStr">
        <is>
          <t>법인세비용차감전순이익(손실)</t>
        </is>
      </c>
      <c r="B46" s="10" t="n"/>
      <c r="C46" s="11" t="n">
        <v>1378</v>
      </c>
      <c r="D46" s="12" t="n">
        <v>1271</v>
      </c>
      <c r="E46" s="12" t="n">
        <v>2735</v>
      </c>
      <c r="F46" s="12" t="n">
        <v>1838</v>
      </c>
      <c r="G46" s="12" t="n">
        <v>1936</v>
      </c>
      <c r="H46" s="12" t="n">
        <v>5925</v>
      </c>
      <c r="I46" s="12" t="n">
        <v>3631</v>
      </c>
      <c r="J46" s="12" t="n">
        <v>2962</v>
      </c>
      <c r="K46" s="12" t="n">
        <v>2600</v>
      </c>
      <c r="L46" s="12" t="n">
        <v>6705</v>
      </c>
      <c r="M46" s="12" t="n">
        <v>2863</v>
      </c>
      <c r="N46" s="12" t="n">
        <v>4218</v>
      </c>
      <c r="O46" s="11" t="n">
        <v>6286</v>
      </c>
      <c r="P46" s="12" t="n">
        <v>7802</v>
      </c>
      <c r="Q46" s="12" t="n">
        <v>9700</v>
      </c>
      <c r="R46" s="12" t="n">
        <v>9972</v>
      </c>
      <c r="S46" s="12" t="n">
        <v>10216</v>
      </c>
      <c r="T46" s="12" t="n">
        <v>12544</v>
      </c>
      <c r="U46" s="12" t="n">
        <v>13260</v>
      </c>
      <c r="V46" s="12" t="n">
        <v>12409</v>
      </c>
      <c r="W46" s="12" t="n">
        <v>12434</v>
      </c>
      <c r="X46" s="12" t="n">
        <v>15898</v>
      </c>
      <c r="Y46" s="11">
        <f>IF(OR(Y22=""),"",IFERROR(Y22+N(Y38)-N(Y40)+N(Y42)-N(Y44),""))</f>
        <v/>
      </c>
      <c r="Z46" s="12">
        <f>IF(OR(Z22=""),"",IFERROR(Z22+N(Z38)-N(Z40)+N(Z42)-N(Z44),""))</f>
        <v/>
      </c>
      <c r="AA46" s="12">
        <f>IF(OR(AA22=""),"",IFERROR(AA22+N(AA38)-N(AA40)+N(AA42)-N(AA44),""))</f>
        <v/>
      </c>
      <c r="AB46" s="12">
        <f>IF(OR(AB22=""),"",IFERROR(AB22+N(AB38)-N(AB40)+N(AB42)-N(AB44),""))</f>
        <v/>
      </c>
      <c r="AC46" s="12">
        <f>IF(OR(AC22=""),"",IFERROR(AC22+N(AC38)-N(AC40)+N(AC42)-N(AC44),""))</f>
        <v/>
      </c>
    </row>
    <row r="47">
      <c r="A47" s="13" t="inlineStr">
        <is>
          <t>YoY</t>
        </is>
      </c>
      <c r="B47" s="10" t="n"/>
      <c r="C47" s="14" t="n"/>
      <c r="D47" s="15" t="n"/>
      <c r="E47" s="15" t="n"/>
      <c r="F47" s="15" t="n"/>
      <c r="G47" s="15">
        <f>IF(OR(G46="",C46=""),"",IF(C46&lt;=0,"",IFERROR(G46/C46-1,"")))</f>
        <v/>
      </c>
      <c r="H47" s="15">
        <f>IF(OR(H46="",D46=""),"",IF(D46&lt;=0,"",IFERROR(H46/D46-1,"")))</f>
        <v/>
      </c>
      <c r="I47" s="15">
        <f>IF(OR(I46="",E46=""),"",IF(E46&lt;=0,"",IFERROR(I46/E46-1,"")))</f>
        <v/>
      </c>
      <c r="J47" s="15">
        <f>IF(OR(J46="",F46=""),"",IF(F46&lt;=0,"",IFERROR(J46/F46-1,"")))</f>
        <v/>
      </c>
      <c r="K47" s="15">
        <f>IF(OR(K46="",G46=""),"",IF(G46&lt;=0,"",IFERROR(K46/G46-1,"")))</f>
        <v/>
      </c>
      <c r="L47" s="15">
        <f>IF(OR(L46="",H46=""),"",IF(H46&lt;=0,"",IFERROR(L46/H46-1,"")))</f>
        <v/>
      </c>
      <c r="M47" s="15">
        <f>IF(OR(M46="",I46=""),"",IF(I46&lt;=0,"",IFERROR(M46/I46-1,"")))</f>
        <v/>
      </c>
      <c r="N47" s="15">
        <f>IF(OR(N46="",J46=""),"",IF(J46&lt;=0,"",IFERROR(N46/J46-1,"")))</f>
        <v/>
      </c>
      <c r="O47" s="14" t="n"/>
      <c r="P47" s="15">
        <f>IF(OR(P46="",O46=""),"",IF(O46&lt;=0,"",IFERROR(P46/O46-1,"")))</f>
        <v/>
      </c>
      <c r="Q47" s="15">
        <f>IF(OR(Q46="",P46=""),"",IF(P46&lt;=0,"",IFERROR(Q46/P46-1,"")))</f>
        <v/>
      </c>
      <c r="R47" s="15">
        <f>IF(OR(R46="",Q46=""),"",IF(Q46&lt;=0,"",IFERROR(R46/Q46-1,"")))</f>
        <v/>
      </c>
      <c r="S47" s="15">
        <f>IF(OR(S46="",R46=""),"",IF(R46&lt;=0,"",IFERROR(S46/R46-1,"")))</f>
        <v/>
      </c>
      <c r="T47" s="15">
        <f>IF(OR(T46="",S46=""),"",IF(S46&lt;=0,"",IFERROR(T46/S46-1,"")))</f>
        <v/>
      </c>
      <c r="U47" s="15">
        <f>IF(OR(U46="",T46=""),"",IF(T46&lt;=0,"",IFERROR(U46/T46-1,"")))</f>
        <v/>
      </c>
      <c r="V47" s="15">
        <f>IF(OR(V46="",U46=""),"",IF(U46&lt;=0,"",IFERROR(V46/U46-1,"")))</f>
        <v/>
      </c>
      <c r="W47" s="15">
        <f>IF(OR(W46="",V46=""),"",IF(V46&lt;=0,"",IFERROR(W46/V46-1,"")))</f>
        <v/>
      </c>
      <c r="X47" s="15">
        <f>IF(OR(X46="",W46=""),"",IF(W46&lt;=0,"",IFERROR(X46/W46-1,"")))</f>
        <v/>
      </c>
      <c r="Y47" s="14">
        <f>IF(OR(Y46="",X46=""),"",IF(X46&lt;=0,"",IFERROR(Y46/X46-1,"")))</f>
        <v/>
      </c>
      <c r="Z47" s="15">
        <f>IF(OR(Z46="",Y46=""),"",IF(Y46&lt;=0,"",IFERROR(Z46/Y46-1,"")))</f>
        <v/>
      </c>
      <c r="AA47" s="15">
        <f>IF(OR(AA46="",Z46=""),"",IF(Z46&lt;=0,"",IFERROR(AA46/Z46-1,"")))</f>
        <v/>
      </c>
      <c r="AB47" s="15">
        <f>IF(OR(AB46="",AA46=""),"",IF(AA46&lt;=0,"",IFERROR(AB46/AA46-1,"")))</f>
        <v/>
      </c>
      <c r="AC47" s="15">
        <f>IF(OR(AC46="",AB46=""),"",IF(AB46&lt;=0,"",IFERROR(AC46/AB46-1,"")))</f>
        <v/>
      </c>
    </row>
    <row r="48">
      <c r="A48" s="18" t="inlineStr">
        <is>
          <t>법인세비용(수익)</t>
        </is>
      </c>
      <c r="B48" s="10" t="n"/>
      <c r="C48" s="19" t="n">
        <v>423</v>
      </c>
      <c r="D48" s="20" t="n">
        <v>435</v>
      </c>
      <c r="E48" s="20" t="n">
        <v>642</v>
      </c>
      <c r="F48" s="20" t="n">
        <v>499</v>
      </c>
      <c r="G48" s="20" t="n">
        <v>429</v>
      </c>
      <c r="H48" s="20" t="n">
        <v>1298</v>
      </c>
      <c r="I48" s="20" t="n">
        <v>1372</v>
      </c>
      <c r="J48" s="20" t="n">
        <v>873</v>
      </c>
      <c r="K48" s="20" t="n">
        <v>782</v>
      </c>
      <c r="L48" s="20" t="n">
        <v>1838</v>
      </c>
      <c r="M48" s="20" t="n">
        <v>1244</v>
      </c>
      <c r="N48" s="20" t="n">
        <v>1241</v>
      </c>
      <c r="O48" s="19" t="n">
        <v>1771</v>
      </c>
      <c r="P48" s="20" t="n">
        <v>2514</v>
      </c>
      <c r="Q48" s="20" t="n">
        <v>3526</v>
      </c>
      <c r="R48" s="20" t="n">
        <v>2926</v>
      </c>
      <c r="S48" s="20" t="n">
        <v>3097</v>
      </c>
      <c r="T48" s="20" t="n">
        <v>3839</v>
      </c>
      <c r="U48" s="20" t="n">
        <v>4123</v>
      </c>
      <c r="V48" s="20" t="n">
        <v>3959</v>
      </c>
      <c r="W48" s="20" t="n">
        <v>2868</v>
      </c>
      <c r="X48" s="20" t="n">
        <v>4865</v>
      </c>
      <c r="Y48" s="19">
        <f>IF(OR(Y46="",Y49=""),"",IFERROR(MAX(Y46,0)*Y49,""))</f>
        <v/>
      </c>
      <c r="Z48" s="20">
        <f>IF(OR(Z46="",Z49=""),"",IFERROR(MAX(Z46,0)*Z49,""))</f>
        <v/>
      </c>
      <c r="AA48" s="20">
        <f>IF(OR(AA46="",AA49=""),"",IFERROR(MAX(AA46,0)*AA49,""))</f>
        <v/>
      </c>
      <c r="AB48" s="20">
        <f>IF(OR(AB46="",AB49=""),"",IFERROR(MAX(AB46,0)*AB49,""))</f>
        <v/>
      </c>
      <c r="AC48" s="20">
        <f>IF(OR(AC46="",AC49=""),"",IFERROR(MAX(AC46,0)*AC49,""))</f>
        <v/>
      </c>
    </row>
    <row r="49">
      <c r="A49" s="13" t="inlineStr">
        <is>
          <t>법인세율</t>
        </is>
      </c>
      <c r="B49" s="10" t="inlineStr">
        <is>
          <t>MW 기본 30%</t>
        </is>
      </c>
      <c r="C49" s="14">
        <f>IF(OR(C48="",C46=""),"",IFERROR(C48/C46,""))</f>
        <v/>
      </c>
      <c r="D49" s="15">
        <f>IF(OR(D48="",D46=""),"",IFERROR(D48/D46,""))</f>
        <v/>
      </c>
      <c r="E49" s="15">
        <f>IF(OR(E48="",E46=""),"",IFERROR(E48/E46,""))</f>
        <v/>
      </c>
      <c r="F49" s="15">
        <f>IF(OR(F48="",F46=""),"",IFERROR(F48/F46,""))</f>
        <v/>
      </c>
      <c r="G49" s="15">
        <f>IF(OR(G48="",G46=""),"",IFERROR(G48/G46,""))</f>
        <v/>
      </c>
      <c r="H49" s="15">
        <f>IF(OR(H48="",H46=""),"",IFERROR(H48/H46,""))</f>
        <v/>
      </c>
      <c r="I49" s="15">
        <f>IF(OR(I48="",I46=""),"",IFERROR(I48/I46,""))</f>
        <v/>
      </c>
      <c r="J49" s="15">
        <f>IF(OR(J48="",J46=""),"",IFERROR(J48/J46,""))</f>
        <v/>
      </c>
      <c r="K49" s="15">
        <f>IF(OR(K48="",K46=""),"",IFERROR(K48/K46,""))</f>
        <v/>
      </c>
      <c r="L49" s="15">
        <f>IF(OR(L48="",L46=""),"",IFERROR(L48/L46,""))</f>
        <v/>
      </c>
      <c r="M49" s="15">
        <f>IF(OR(M48="",M46=""),"",IFERROR(M48/M46,""))</f>
        <v/>
      </c>
      <c r="N49" s="15">
        <f>IF(OR(N48="",N46=""),"",IFERROR(N48/N46,""))</f>
        <v/>
      </c>
      <c r="O49" s="14">
        <f>IF(OR(O48="",O46=""),"",IFERROR(O48/O46,""))</f>
        <v/>
      </c>
      <c r="P49" s="15">
        <f>IF(OR(P48="",P46=""),"",IFERROR(P48/P46,""))</f>
        <v/>
      </c>
      <c r="Q49" s="15">
        <f>IF(OR(Q48="",Q46=""),"",IFERROR(Q48/Q46,""))</f>
        <v/>
      </c>
      <c r="R49" s="15">
        <f>IF(OR(R48="",R46=""),"",IFERROR(R48/R46,""))</f>
        <v/>
      </c>
      <c r="S49" s="15">
        <f>IF(OR(S48="",S46=""),"",IFERROR(S48/S46,""))</f>
        <v/>
      </c>
      <c r="T49" s="15">
        <f>IF(OR(T48="",T46=""),"",IFERROR(T48/T46,""))</f>
        <v/>
      </c>
      <c r="U49" s="15">
        <f>IF(OR(U48="",U46=""),"",IFERROR(U48/U46,""))</f>
        <v/>
      </c>
      <c r="V49" s="15">
        <f>IF(OR(V48="",V46=""),"",IFERROR(V48/V46,""))</f>
        <v/>
      </c>
      <c r="W49" s="15">
        <f>IF(OR(W48="",W46=""),"",IFERROR(W48/W46,""))</f>
        <v/>
      </c>
      <c r="X49" s="15">
        <f>IF(OR(X48="",X46=""),"",IFERROR(X48/X46,""))</f>
        <v/>
      </c>
      <c r="Y49" s="25" t="n">
        <v>0.3</v>
      </c>
      <c r="Z49" s="26" t="n">
        <v>0.3</v>
      </c>
      <c r="AA49" s="26" t="n">
        <v>0.3</v>
      </c>
      <c r="AB49" s="26" t="n">
        <v>0.3</v>
      </c>
      <c r="AC49" s="26" t="n">
        <v>0.3</v>
      </c>
    </row>
    <row r="50">
      <c r="A50" s="9" t="inlineStr">
        <is>
          <t>당기순이익(손실)</t>
        </is>
      </c>
      <c r="B50" s="10" t="n"/>
      <c r="C50" s="11" t="n">
        <v>955</v>
      </c>
      <c r="D50" s="12" t="n">
        <v>836</v>
      </c>
      <c r="E50" s="12" t="n">
        <v>2093</v>
      </c>
      <c r="F50" s="12" t="n">
        <v>1338</v>
      </c>
      <c r="G50" s="12" t="n">
        <v>1508</v>
      </c>
      <c r="H50" s="12" t="n">
        <v>4626</v>
      </c>
      <c r="I50" s="12" t="n">
        <v>2258</v>
      </c>
      <c r="J50" s="12" t="n">
        <v>2089</v>
      </c>
      <c r="K50" s="12" t="n">
        <v>1819</v>
      </c>
      <c r="L50" s="12" t="n">
        <v>4866</v>
      </c>
      <c r="M50" s="12" t="n">
        <v>1618</v>
      </c>
      <c r="N50" s="12" t="n">
        <v>2977</v>
      </c>
      <c r="O50" s="11" t="n">
        <v>4514</v>
      </c>
      <c r="P50" s="12" t="n">
        <v>5288</v>
      </c>
      <c r="Q50" s="12" t="n">
        <v>6174</v>
      </c>
      <c r="R50" s="12" t="n">
        <v>7046</v>
      </c>
      <c r="S50" s="12" t="n">
        <v>7118</v>
      </c>
      <c r="T50" s="12" t="n">
        <v>8705</v>
      </c>
      <c r="U50" s="12" t="n">
        <v>9137</v>
      </c>
      <c r="V50" s="12" t="n">
        <v>8450</v>
      </c>
      <c r="W50" s="12" t="n">
        <v>9565</v>
      </c>
      <c r="X50" s="12" t="n">
        <v>11032</v>
      </c>
      <c r="Y50" s="11">
        <f>IF(OR(Y46=""),"",IFERROR(Y46-Y48,""))</f>
        <v/>
      </c>
      <c r="Z50" s="12">
        <f>IF(OR(Z46=""),"",IFERROR(Z46-Z48,""))</f>
        <v/>
      </c>
      <c r="AA50" s="12">
        <f>IF(OR(AA46=""),"",IFERROR(AA46-AA48,""))</f>
        <v/>
      </c>
      <c r="AB50" s="12">
        <f>IF(OR(AB46=""),"",IFERROR(AB46-AB48,""))</f>
        <v/>
      </c>
      <c r="AC50" s="12">
        <f>IF(OR(AC46=""),"",IFERROR(AC46-AC48,""))</f>
        <v/>
      </c>
    </row>
    <row r="51">
      <c r="A51" s="13" t="inlineStr">
        <is>
          <t>YoY</t>
        </is>
      </c>
      <c r="B51" s="10" t="n"/>
      <c r="C51" s="14" t="n"/>
      <c r="D51" s="15" t="n"/>
      <c r="E51" s="15" t="n"/>
      <c r="F51" s="15" t="n"/>
      <c r="G51" s="15">
        <f>IF(OR(G50="",C50=""),"",IF(C50&lt;=0,"",IFERROR(G50/C50-1,"")))</f>
        <v/>
      </c>
      <c r="H51" s="15">
        <f>IF(OR(H50="",D50=""),"",IF(D50&lt;=0,"",IFERROR(H50/D50-1,"")))</f>
        <v/>
      </c>
      <c r="I51" s="15">
        <f>IF(OR(I50="",E50=""),"",IF(E50&lt;=0,"",IFERROR(I50/E50-1,"")))</f>
        <v/>
      </c>
      <c r="J51" s="15">
        <f>IF(OR(J50="",F50=""),"",IF(F50&lt;=0,"",IFERROR(J50/F50-1,"")))</f>
        <v/>
      </c>
      <c r="K51" s="15">
        <f>IF(OR(K50="",G50=""),"",IF(G50&lt;=0,"",IFERROR(K50/G50-1,"")))</f>
        <v/>
      </c>
      <c r="L51" s="15">
        <f>IF(OR(L50="",H50=""),"",IF(H50&lt;=0,"",IFERROR(L50/H50-1,"")))</f>
        <v/>
      </c>
      <c r="M51" s="15">
        <f>IF(OR(M50="",I50=""),"",IF(I50&lt;=0,"",IFERROR(M50/I50-1,"")))</f>
        <v/>
      </c>
      <c r="N51" s="15">
        <f>IF(OR(N50="",J50=""),"",IF(J50&lt;=0,"",IFERROR(N50/J50-1,"")))</f>
        <v/>
      </c>
      <c r="O51" s="14" t="n"/>
      <c r="P51" s="15">
        <f>IF(OR(P50="",O50=""),"",IF(O50&lt;=0,"",IFERROR(P50/O50-1,"")))</f>
        <v/>
      </c>
      <c r="Q51" s="15">
        <f>IF(OR(Q50="",P50=""),"",IF(P50&lt;=0,"",IFERROR(Q50/P50-1,"")))</f>
        <v/>
      </c>
      <c r="R51" s="15">
        <f>IF(OR(R50="",Q50=""),"",IF(Q50&lt;=0,"",IFERROR(R50/Q50-1,"")))</f>
        <v/>
      </c>
      <c r="S51" s="15">
        <f>IF(OR(S50="",R50=""),"",IF(R50&lt;=0,"",IFERROR(S50/R50-1,"")))</f>
        <v/>
      </c>
      <c r="T51" s="15">
        <f>IF(OR(T50="",S50=""),"",IF(S50&lt;=0,"",IFERROR(T50/S50-1,"")))</f>
        <v/>
      </c>
      <c r="U51" s="15">
        <f>IF(OR(U50="",T50=""),"",IF(T50&lt;=0,"",IFERROR(U50/T50-1,"")))</f>
        <v/>
      </c>
      <c r="V51" s="15">
        <f>IF(OR(V50="",U50=""),"",IF(U50&lt;=0,"",IFERROR(V50/U50-1,"")))</f>
        <v/>
      </c>
      <c r="W51" s="15">
        <f>IF(OR(W50="",V50=""),"",IF(V50&lt;=0,"",IFERROR(W50/V50-1,"")))</f>
        <v/>
      </c>
      <c r="X51" s="15">
        <f>IF(OR(X50="",W50=""),"",IF(W50&lt;=0,"",IFERROR(X50/W50-1,"")))</f>
        <v/>
      </c>
      <c r="Y51" s="14">
        <f>IF(OR(Y50="",X50=""),"",IF(X50&lt;=0,"",IFERROR(Y50/X50-1,"")))</f>
        <v/>
      </c>
      <c r="Z51" s="15">
        <f>IF(OR(Z50="",Y50=""),"",IF(Y50&lt;=0,"",IFERROR(Z50/Y50-1,"")))</f>
        <v/>
      </c>
      <c r="AA51" s="15">
        <f>IF(OR(AA50="",Z50=""),"",IF(Z50&lt;=0,"",IFERROR(AA50/Z50-1,"")))</f>
        <v/>
      </c>
      <c r="AB51" s="15">
        <f>IF(OR(AB50="",AA50=""),"",IF(AA50&lt;=0,"",IFERROR(AB50/AA50-1,"")))</f>
        <v/>
      </c>
      <c r="AC51" s="15">
        <f>IF(OR(AC50="",AB50=""),"",IF(AB50&lt;=0,"",IFERROR(AC50/AB50-1,"")))</f>
        <v/>
      </c>
    </row>
    <row r="52">
      <c r="A52" s="9" t="inlineStr">
        <is>
          <t>지배주주 순이익</t>
        </is>
      </c>
      <c r="B52" s="10" t="n"/>
      <c r="C52" s="11" t="n">
        <v>955</v>
      </c>
      <c r="D52" s="12" t="n">
        <v>836</v>
      </c>
      <c r="E52" s="12" t="n">
        <v>2093</v>
      </c>
      <c r="F52" s="12" t="n">
        <v>1338</v>
      </c>
      <c r="G52" s="12" t="n">
        <v>1508</v>
      </c>
      <c r="H52" s="12" t="n">
        <v>4626</v>
      </c>
      <c r="I52" s="12" t="n">
        <v>2258</v>
      </c>
      <c r="J52" s="12" t="n">
        <v>2089</v>
      </c>
      <c r="K52" s="12" t="n">
        <v>1819</v>
      </c>
      <c r="L52" s="12" t="n">
        <v>4866</v>
      </c>
      <c r="M52" s="12" t="n">
        <v>1618</v>
      </c>
      <c r="N52" s="12" t="n">
        <v>2977</v>
      </c>
      <c r="O52" s="11" t="n">
        <v>4514</v>
      </c>
      <c r="P52" s="12" t="n">
        <v>5288</v>
      </c>
      <c r="Q52" s="12" t="n">
        <v>6174</v>
      </c>
      <c r="R52" s="12" t="n">
        <v>7046</v>
      </c>
      <c r="S52" s="12" t="n">
        <v>7118</v>
      </c>
      <c r="T52" s="12" t="n">
        <v>8705</v>
      </c>
      <c r="U52" s="12" t="n">
        <v>9137</v>
      </c>
      <c r="V52" s="12" t="n">
        <v>8450</v>
      </c>
      <c r="W52" s="12" t="n">
        <v>9565</v>
      </c>
      <c r="X52" s="12" t="n">
        <v>11032</v>
      </c>
      <c r="Y52" s="11">
        <f>IF(OR(Y50="",Y53=""),"",IFERROR(Y50*Y53,""))</f>
        <v/>
      </c>
      <c r="Z52" s="12">
        <f>IF(OR(Z50="",Z53=""),"",IFERROR(Z50*Z53,""))</f>
        <v/>
      </c>
      <c r="AA52" s="12">
        <f>IF(OR(AA50="",AA53=""),"",IFERROR(AA50*AA53,""))</f>
        <v/>
      </c>
      <c r="AB52" s="12">
        <f>IF(OR(AB50="",AB53=""),"",IFERROR(AB50*AB53,""))</f>
        <v/>
      </c>
      <c r="AC52" s="12">
        <f>IF(OR(AC50="",AC53=""),"",IFERROR(AC50*AC53,""))</f>
        <v/>
      </c>
    </row>
    <row r="53">
      <c r="A53" s="13" t="inlineStr">
        <is>
          <t>지배주주 순이익률</t>
        </is>
      </c>
      <c r="B53" s="10" t="inlineStr">
        <is>
          <t>MW 기본 100%</t>
        </is>
      </c>
      <c r="C53" s="14">
        <f>IF(OR(C52="",C50=""),"",IFERROR(C52/C50,""))</f>
        <v/>
      </c>
      <c r="D53" s="15">
        <f>IF(OR(D52="",D50=""),"",IFERROR(D52/D50,""))</f>
        <v/>
      </c>
      <c r="E53" s="15">
        <f>IF(OR(E52="",E50=""),"",IFERROR(E52/E50,""))</f>
        <v/>
      </c>
      <c r="F53" s="15">
        <f>IF(OR(F52="",F50=""),"",IFERROR(F52/F50,""))</f>
        <v/>
      </c>
      <c r="G53" s="15">
        <f>IF(OR(G52="",G50=""),"",IFERROR(G52/G50,""))</f>
        <v/>
      </c>
      <c r="H53" s="15">
        <f>IF(OR(H52="",H50=""),"",IFERROR(H52/H50,""))</f>
        <v/>
      </c>
      <c r="I53" s="15">
        <f>IF(OR(I52="",I50=""),"",IFERROR(I52/I50,""))</f>
        <v/>
      </c>
      <c r="J53" s="15">
        <f>IF(OR(J52="",J50=""),"",IFERROR(J52/J50,""))</f>
        <v/>
      </c>
      <c r="K53" s="15">
        <f>IF(OR(K52="",K50=""),"",IFERROR(K52/K50,""))</f>
        <v/>
      </c>
      <c r="L53" s="15">
        <f>IF(OR(L52="",L50=""),"",IFERROR(L52/L50,""))</f>
        <v/>
      </c>
      <c r="M53" s="15">
        <f>IF(OR(M52="",M50=""),"",IFERROR(M52/M50,""))</f>
        <v/>
      </c>
      <c r="N53" s="15">
        <f>IF(OR(N52="",N50=""),"",IFERROR(N52/N50,""))</f>
        <v/>
      </c>
      <c r="O53" s="14">
        <f>IF(OR(O52="",O50=""),"",IFERROR(O52/O50,""))</f>
        <v/>
      </c>
      <c r="P53" s="15">
        <f>IF(OR(P52="",P50=""),"",IFERROR(P52/P50,""))</f>
        <v/>
      </c>
      <c r="Q53" s="15">
        <f>IF(OR(Q52="",Q50=""),"",IFERROR(Q52/Q50,""))</f>
        <v/>
      </c>
      <c r="R53" s="15">
        <f>IF(OR(R52="",R50=""),"",IFERROR(R52/R50,""))</f>
        <v/>
      </c>
      <c r="S53" s="15">
        <f>IF(OR(S52="",S50=""),"",IFERROR(S52/S50,""))</f>
        <v/>
      </c>
      <c r="T53" s="15">
        <f>IF(OR(T52="",T50=""),"",IFERROR(T52/T50,""))</f>
        <v/>
      </c>
      <c r="U53" s="15">
        <f>IF(OR(U52="",U50=""),"",IFERROR(U52/U50,""))</f>
        <v/>
      </c>
      <c r="V53" s="15">
        <f>IF(OR(V52="",V50=""),"",IFERROR(V52/V50,""))</f>
        <v/>
      </c>
      <c r="W53" s="15">
        <f>IF(OR(W52="",W50=""),"",IFERROR(W52/W50,""))</f>
        <v/>
      </c>
      <c r="X53" s="15">
        <f>IF(OR(X52="",X50=""),"",IFERROR(X52/X50,""))</f>
        <v/>
      </c>
      <c r="Y53" s="25" t="n">
        <v>1</v>
      </c>
      <c r="Z53" s="26" t="n">
        <v>1</v>
      </c>
      <c r="AA53" s="26" t="n">
        <v>1</v>
      </c>
      <c r="AB53" s="26" t="n">
        <v>1</v>
      </c>
      <c r="AC53" s="26" t="n">
        <v>1</v>
      </c>
    </row>
    <row r="54">
      <c r="A54" s="13" t="inlineStr">
        <is>
          <t>지배주주 순이익 YoY</t>
        </is>
      </c>
      <c r="B54" s="10" t="n"/>
      <c r="C54" s="14" t="n"/>
      <c r="D54" s="15" t="n"/>
      <c r="E54" s="15" t="n"/>
      <c r="F54" s="15" t="n"/>
      <c r="G54" s="15">
        <f>IF(OR(G52="",C52=""),"",IF(C52&lt;=0,"",IFERROR(G52/C52-1,"")))</f>
        <v/>
      </c>
      <c r="H54" s="15">
        <f>IF(OR(H52="",D52=""),"",IF(D52&lt;=0,"",IFERROR(H52/D52-1,"")))</f>
        <v/>
      </c>
      <c r="I54" s="15">
        <f>IF(OR(I52="",E52=""),"",IF(E52&lt;=0,"",IFERROR(I52/E52-1,"")))</f>
        <v/>
      </c>
      <c r="J54" s="15">
        <f>IF(OR(J52="",F52=""),"",IF(F52&lt;=0,"",IFERROR(J52/F52-1,"")))</f>
        <v/>
      </c>
      <c r="K54" s="15">
        <f>IF(OR(K52="",G52=""),"",IF(G52&lt;=0,"",IFERROR(K52/G52-1,"")))</f>
        <v/>
      </c>
      <c r="L54" s="15">
        <f>IF(OR(L52="",H52=""),"",IF(H52&lt;=0,"",IFERROR(L52/H52-1,"")))</f>
        <v/>
      </c>
      <c r="M54" s="15">
        <f>IF(OR(M52="",I52=""),"",IF(I52&lt;=0,"",IFERROR(M52/I52-1,"")))</f>
        <v/>
      </c>
      <c r="N54" s="15">
        <f>IF(OR(N52="",J52=""),"",IF(J52&lt;=0,"",IFERROR(N52/J52-1,"")))</f>
        <v/>
      </c>
      <c r="O54" s="14" t="n"/>
      <c r="P54" s="15">
        <f>IF(OR(P52="",O52=""),"",IF(O52&lt;=0,"",IFERROR(P52/O52-1,"")))</f>
        <v/>
      </c>
      <c r="Q54" s="15">
        <f>IF(OR(Q52="",P52=""),"",IF(P52&lt;=0,"",IFERROR(Q52/P52-1,"")))</f>
        <v/>
      </c>
      <c r="R54" s="15">
        <f>IF(OR(R52="",Q52=""),"",IF(Q52&lt;=0,"",IFERROR(R52/Q52-1,"")))</f>
        <v/>
      </c>
      <c r="S54" s="15">
        <f>IF(OR(S52="",R52=""),"",IF(R52&lt;=0,"",IFERROR(S52/R52-1,"")))</f>
        <v/>
      </c>
      <c r="T54" s="15">
        <f>IF(OR(T52="",S52=""),"",IF(S52&lt;=0,"",IFERROR(T52/S52-1,"")))</f>
        <v/>
      </c>
      <c r="U54" s="15">
        <f>IF(OR(U52="",T52=""),"",IF(T52&lt;=0,"",IFERROR(U52/T52-1,"")))</f>
        <v/>
      </c>
      <c r="V54" s="15">
        <f>IF(OR(V52="",U52=""),"",IF(U52&lt;=0,"",IFERROR(V52/U52-1,"")))</f>
        <v/>
      </c>
      <c r="W54" s="15">
        <f>IF(OR(W52="",V52=""),"",IF(V52&lt;=0,"",IFERROR(W52/V52-1,"")))</f>
        <v/>
      </c>
      <c r="X54" s="15">
        <f>IF(OR(X52="",W52=""),"",IF(W52&lt;=0,"",IFERROR(X52/W52-1,"")))</f>
        <v/>
      </c>
      <c r="Y54" s="14">
        <f>IF(OR(Y52="",X52=""),"",IF(X52&lt;=0,"",IFERROR(Y52/X52-1,"")))</f>
        <v/>
      </c>
      <c r="Z54" s="15">
        <f>IF(OR(Z52="",Y52=""),"",IF(Y52&lt;=0,"",IFERROR(Z52/Y52-1,"")))</f>
        <v/>
      </c>
      <c r="AA54" s="15">
        <f>IF(OR(AA52="",Z52=""),"",IF(Z52&lt;=0,"",IFERROR(AA52/Z52-1,"")))</f>
        <v/>
      </c>
      <c r="AB54" s="15">
        <f>IF(OR(AB52="",AA52=""),"",IF(AA52&lt;=0,"",IFERROR(AB52/AA52-1,"")))</f>
        <v/>
      </c>
      <c r="AC54" s="15">
        <f>IF(OR(AC52="",AB52=""),"",IF(AB52&lt;=0,"",IFERROR(AC52/AB52-1,"")))</f>
        <v/>
      </c>
    </row>
    <row r="55">
      <c r="A55" s="16" t="inlineStr">
        <is>
          <t>목표주가 산출</t>
        </is>
      </c>
      <c r="B55" s="16" t="n"/>
      <c r="C55" s="17" t="n"/>
      <c r="D55" s="16" t="n"/>
      <c r="E55" s="16" t="n"/>
      <c r="F55" s="16" t="n"/>
      <c r="G55" s="16" t="n"/>
      <c r="H55" s="16" t="n"/>
      <c r="I55" s="16" t="n"/>
      <c r="J55" s="16" t="n"/>
      <c r="K55" s="16" t="n"/>
      <c r="L55" s="16" t="n"/>
      <c r="M55" s="16" t="n"/>
      <c r="N55" s="16" t="n"/>
      <c r="O55" s="17" t="n"/>
      <c r="P55" s="16" t="n"/>
      <c r="Q55" s="16" t="n"/>
      <c r="R55" s="16" t="n"/>
      <c r="S55" s="16" t="n"/>
      <c r="T55" s="16" t="n"/>
      <c r="U55" s="16" t="n"/>
      <c r="V55" s="16" t="n"/>
      <c r="W55" s="16" t="n"/>
      <c r="X55" s="16" t="n"/>
      <c r="Y55" s="17" t="n"/>
      <c r="Z55" s="16" t="n"/>
      <c r="AA55" s="16" t="n"/>
      <c r="AB55" s="16" t="n"/>
      <c r="AC55" s="16" t="n"/>
    </row>
    <row r="56">
      <c r="A56" s="18" t="inlineStr">
        <is>
          <t>현재 주가 ()</t>
        </is>
      </c>
      <c r="B56" s="27" t="n"/>
      <c r="C56" s="28" t="n"/>
      <c r="D56" s="29" t="n"/>
      <c r="E56" s="29" t="n"/>
      <c r="F56" s="29" t="n"/>
      <c r="G56" s="29" t="n"/>
      <c r="H56" s="29" t="n"/>
      <c r="I56" s="29" t="n"/>
      <c r="J56" s="29" t="n"/>
      <c r="K56" s="29" t="n"/>
      <c r="L56" s="29" t="n"/>
      <c r="M56" s="29" t="n"/>
      <c r="N56" s="29" t="n"/>
      <c r="O56" s="28" t="n"/>
      <c r="P56" s="29" t="n"/>
      <c r="Q56" s="29" t="n"/>
      <c r="R56" s="29" t="n"/>
      <c r="S56" s="29" t="n"/>
      <c r="T56" s="29" t="n"/>
      <c r="U56" s="29" t="n"/>
      <c r="V56" s="29" t="n"/>
      <c r="W56" s="29" t="n"/>
      <c r="X56" s="29" t="n"/>
      <c r="Y56" s="28" t="n"/>
      <c r="Z56" s="29" t="n"/>
      <c r="AA56" s="29" t="n"/>
      <c r="AB56" s="29" t="n"/>
      <c r="AC56" s="29" t="n"/>
    </row>
    <row r="57">
      <c r="A57" s="18" t="inlineStr">
        <is>
          <t>발행주식수 (보통주)</t>
        </is>
      </c>
      <c r="B57" s="27" t="n"/>
      <c r="C57" s="28" t="n"/>
      <c r="D57" s="29" t="n"/>
      <c r="E57" s="29" t="n"/>
      <c r="F57" s="29" t="n"/>
      <c r="G57" s="29" t="n"/>
      <c r="H57" s="29" t="n"/>
      <c r="I57" s="29" t="n"/>
      <c r="J57" s="29" t="n"/>
      <c r="K57" s="29" t="n"/>
      <c r="L57" s="29" t="n"/>
      <c r="M57" s="29" t="n"/>
      <c r="N57" s="29" t="n"/>
      <c r="O57" s="28" t="n"/>
      <c r="P57" s="29" t="n"/>
      <c r="Q57" s="29" t="n"/>
      <c r="R57" s="29" t="n"/>
      <c r="S57" s="29" t="n"/>
      <c r="T57" s="29" t="n"/>
      <c r="U57" s="29" t="n"/>
      <c r="V57" s="29" t="n"/>
      <c r="W57" s="29" t="n"/>
      <c r="X57" s="29" t="n"/>
      <c r="Y57" s="28" t="n"/>
      <c r="Z57" s="29" t="n"/>
      <c r="AA57" s="29" t="n"/>
      <c r="AB57" s="29" t="n"/>
      <c r="AC57" s="29" t="n"/>
    </row>
    <row r="58">
      <c r="A58" s="18" t="inlineStr">
        <is>
          <t>시가총액 (백만엔)</t>
        </is>
      </c>
      <c r="B58" s="12">
        <f>IF(OR(B56="",B57=""),"",B56*B57/1000000.0)</f>
        <v/>
      </c>
      <c r="C58" s="19" t="n"/>
      <c r="D58" s="20" t="n"/>
      <c r="E58" s="20" t="n"/>
      <c r="F58" s="20" t="n"/>
      <c r="G58" s="20" t="n"/>
      <c r="H58" s="20" t="n"/>
      <c r="I58" s="20" t="n"/>
      <c r="J58" s="20" t="n"/>
      <c r="K58" s="20" t="n"/>
      <c r="L58" s="20" t="n"/>
      <c r="M58" s="20" t="n"/>
      <c r="N58" s="20" t="n"/>
      <c r="O58" s="19" t="n"/>
      <c r="P58" s="20" t="n"/>
      <c r="Q58" s="20" t="n"/>
      <c r="R58" s="20" t="n"/>
      <c r="S58" s="20" t="n"/>
      <c r="T58" s="20" t="n"/>
      <c r="U58" s="20" t="n"/>
      <c r="V58" s="20" t="n"/>
      <c r="W58" s="20" t="n"/>
      <c r="X58" s="20" t="n"/>
      <c r="Y58" s="19" t="n"/>
      <c r="Z58" s="20" t="n"/>
      <c r="AA58" s="20" t="n"/>
      <c r="AB58" s="20" t="n"/>
      <c r="AC58" s="20" t="n"/>
    </row>
    <row r="59">
      <c r="A59" s="13" t="inlineStr">
        <is>
          <t>OPM</t>
        </is>
      </c>
      <c r="B59" s="10" t="n"/>
      <c r="C59" s="14" t="n"/>
      <c r="D59" s="15" t="n"/>
      <c r="E59" s="15" t="n"/>
      <c r="F59" s="15" t="n"/>
      <c r="G59" s="15" t="n"/>
      <c r="H59" s="15" t="n"/>
      <c r="I59" s="15" t="n"/>
      <c r="J59" s="15" t="n"/>
      <c r="K59" s="15" t="n"/>
      <c r="L59" s="15" t="n"/>
      <c r="M59" s="15" t="n"/>
      <c r="N59" s="15" t="n"/>
      <c r="O59" s="14">
        <f>IF(O23="","",O23)</f>
        <v/>
      </c>
      <c r="P59" s="15">
        <f>IF(P23="","",P23)</f>
        <v/>
      </c>
      <c r="Q59" s="15">
        <f>IF(Q23="","",Q23)</f>
        <v/>
      </c>
      <c r="R59" s="15">
        <f>IF(R23="","",R23)</f>
        <v/>
      </c>
      <c r="S59" s="15">
        <f>IF(S23="","",S23)</f>
        <v/>
      </c>
      <c r="T59" s="15">
        <f>IF(T23="","",T23)</f>
        <v/>
      </c>
      <c r="U59" s="15">
        <f>IF(U23="","",U23)</f>
        <v/>
      </c>
      <c r="V59" s="15">
        <f>IF(V23="","",V23)</f>
        <v/>
      </c>
      <c r="W59" s="15">
        <f>IF(W23="","",W23)</f>
        <v/>
      </c>
      <c r="X59" s="15">
        <f>IF(X23="","",X23)</f>
        <v/>
      </c>
      <c r="Y59" s="14">
        <f>IF(Y23="","",Y23)</f>
        <v/>
      </c>
      <c r="Z59" s="15">
        <f>IF(Z23="","",Z23)</f>
        <v/>
      </c>
      <c r="AA59" s="15">
        <f>IF(AA23="","",AA23)</f>
        <v/>
      </c>
      <c r="AB59" s="15">
        <f>IF(AB23="","",AB23)</f>
        <v/>
      </c>
      <c r="AC59" s="15">
        <f>IF(AC23="","",AC23)</f>
        <v/>
      </c>
    </row>
    <row r="60">
      <c r="A60" s="13" t="inlineStr">
        <is>
          <t>지배주주 순이익 증가율</t>
        </is>
      </c>
      <c r="B60" s="10" t="n"/>
      <c r="C60" s="14" t="n"/>
      <c r="D60" s="15" t="n"/>
      <c r="E60" s="15" t="n"/>
      <c r="F60" s="15" t="n"/>
      <c r="G60" s="15" t="n"/>
      <c r="H60" s="15" t="n"/>
      <c r="I60" s="15" t="n"/>
      <c r="J60" s="15" t="n"/>
      <c r="K60" s="15" t="n"/>
      <c r="L60" s="15" t="n"/>
      <c r="M60" s="15" t="n"/>
      <c r="N60" s="15" t="n"/>
      <c r="O60" s="14" t="n"/>
      <c r="P60" s="15">
        <f>IF(OR(P52="",O52=""),"",IFERROR(P52/O52-1,""))</f>
        <v/>
      </c>
      <c r="Q60" s="15">
        <f>IF(OR(Q52="",P52=""),"",IFERROR(Q52/P52-1,""))</f>
        <v/>
      </c>
      <c r="R60" s="15">
        <f>IF(OR(R52="",Q52=""),"",IFERROR(R52/Q52-1,""))</f>
        <v/>
      </c>
      <c r="S60" s="15">
        <f>IF(OR(S52="",R52=""),"",IFERROR(S52/R52-1,""))</f>
        <v/>
      </c>
      <c r="T60" s="15">
        <f>IF(OR(T52="",S52=""),"",IFERROR(T52/S52-1,""))</f>
        <v/>
      </c>
      <c r="U60" s="15">
        <f>IF(OR(U52="",T52=""),"",IFERROR(U52/T52-1,""))</f>
        <v/>
      </c>
      <c r="V60" s="15">
        <f>IF(OR(V52="",U52=""),"",IFERROR(V52/U52-1,""))</f>
        <v/>
      </c>
      <c r="W60" s="15">
        <f>IF(OR(W52="",V52=""),"",IFERROR(W52/V52-1,""))</f>
        <v/>
      </c>
      <c r="X60" s="15">
        <f>IF(OR(X52="",W52=""),"",IFERROR(X52/W52-1,""))</f>
        <v/>
      </c>
      <c r="Y60" s="14">
        <f>IF(OR(Y52="",X52=""),"",IFERROR(Y52/X52-1,""))</f>
        <v/>
      </c>
      <c r="Z60" s="15">
        <f>IF(OR(Z52="",Y52=""),"",IFERROR(Z52/Y52-1,""))</f>
        <v/>
      </c>
      <c r="AA60" s="15">
        <f>IF(OR(AA52="",Z52=""),"",IFERROR(AA52/Z52-1,""))</f>
        <v/>
      </c>
      <c r="AB60" s="15">
        <f>IF(OR(AB52="",AA52=""),"",IFERROR(AB52/AA52-1,""))</f>
        <v/>
      </c>
      <c r="AC60" s="15">
        <f>IF(OR(AC52="",AB52=""),"",IFERROR(AC52/AB52-1,""))</f>
        <v/>
      </c>
    </row>
    <row r="61">
      <c r="A61" s="18" t="inlineStr">
        <is>
          <t>P/E (현재 주가)</t>
        </is>
      </c>
      <c r="B61" s="10" t="inlineStr">
        <is>
          <t>시총 ÷ 지배순이익</t>
        </is>
      </c>
      <c r="C61" s="30" t="n"/>
      <c r="D61" s="31" t="n"/>
      <c r="E61" s="31" t="n"/>
      <c r="F61" s="31" t="n"/>
      <c r="G61" s="31" t="n"/>
      <c r="H61" s="31" t="n"/>
      <c r="I61" s="31" t="n"/>
      <c r="J61" s="31" t="n"/>
      <c r="K61" s="31" t="n"/>
      <c r="L61" s="31" t="n"/>
      <c r="M61" s="31" t="n"/>
      <c r="N61" s="31" t="n"/>
      <c r="O61" s="30" t="n"/>
      <c r="P61" s="31" t="n"/>
      <c r="Q61" s="31" t="n"/>
      <c r="R61" s="31" t="n"/>
      <c r="S61" s="31" t="n"/>
      <c r="T61" s="31" t="n"/>
      <c r="U61" s="31" t="n"/>
      <c r="V61" s="31" t="n"/>
      <c r="W61" s="31" t="n"/>
      <c r="X61" s="31">
        <f>IF(OR($B$58="",X52=""),"",IFERROR($B$58/X52,""))</f>
        <v/>
      </c>
      <c r="Y61" s="30">
        <f>IF(OR($B$58="",Y52=""),"",IFERROR($B$58/Y52,""))</f>
        <v/>
      </c>
      <c r="Z61" s="31">
        <f>IF(OR($B$58="",Z52=""),"",IFERROR($B$58/Z52,""))</f>
        <v/>
      </c>
      <c r="AA61" s="31">
        <f>IF(OR($B$58="",AA52=""),"",IFERROR($B$58/AA52,""))</f>
        <v/>
      </c>
      <c r="AB61" s="31">
        <f>IF(OR($B$58="",AB52=""),"",IFERROR($B$58/AB52,""))</f>
        <v/>
      </c>
      <c r="AC61" s="31">
        <f>IF(OR($B$58="",AC52=""),"",IFERROR($B$58/AC52,""))</f>
        <v/>
      </c>
    </row>
    <row r="62">
      <c r="A62" s="18" t="inlineStr">
        <is>
          <t>Target P/E</t>
        </is>
      </c>
      <c r="B62" s="10" t="inlineStr">
        <is>
          <t>직접 입력</t>
        </is>
      </c>
      <c r="C62" s="30" t="n"/>
      <c r="D62" s="31" t="n"/>
      <c r="E62" s="31" t="n"/>
      <c r="F62" s="31" t="n"/>
      <c r="G62" s="31" t="n"/>
      <c r="H62" s="31" t="n"/>
      <c r="I62" s="31" t="n"/>
      <c r="J62" s="31" t="n"/>
      <c r="K62" s="31" t="n"/>
      <c r="L62" s="31" t="n"/>
      <c r="M62" s="31" t="n"/>
      <c r="N62" s="31" t="n"/>
      <c r="O62" s="30" t="n"/>
      <c r="P62" s="31" t="n"/>
      <c r="Q62" s="31" t="n"/>
      <c r="R62" s="31" t="n"/>
      <c r="S62" s="31" t="n"/>
      <c r="T62" s="31" t="n"/>
      <c r="U62" s="31" t="n"/>
      <c r="V62" s="31" t="n"/>
      <c r="W62" s="31" t="n"/>
      <c r="X62" s="31" t="n"/>
      <c r="Y62" s="32" t="n"/>
      <c r="Z62" s="33" t="n"/>
      <c r="AA62" s="33" t="n"/>
      <c r="AB62" s="33" t="n"/>
      <c r="AC62" s="33" t="n"/>
    </row>
    <row r="63">
      <c r="A63" s="18" t="inlineStr">
        <is>
          <t>EPS</t>
        </is>
      </c>
      <c r="B63" s="10" t="inlineStr">
        <is>
          <t>지배순이익 ÷ 주식수</t>
        </is>
      </c>
      <c r="C63" s="28" t="n"/>
      <c r="D63" s="29" t="n"/>
      <c r="E63" s="29" t="n"/>
      <c r="F63" s="29" t="n"/>
      <c r="G63" s="29" t="n"/>
      <c r="H63" s="29" t="n"/>
      <c r="I63" s="29" t="n"/>
      <c r="J63" s="29" t="n"/>
      <c r="K63" s="29" t="n"/>
      <c r="L63" s="29" t="n"/>
      <c r="M63" s="29" t="n"/>
      <c r="N63" s="29" t="n"/>
      <c r="O63" s="28">
        <f>IF(OR(O52="",$B$57=""),"",IFERROR(O52*1000000.0/$B$57,""))</f>
        <v/>
      </c>
      <c r="P63" s="29">
        <f>IF(OR(P52="",$B$57=""),"",IFERROR(P52*1000000.0/$B$57,""))</f>
        <v/>
      </c>
      <c r="Q63" s="29">
        <f>IF(OR(Q52="",$B$57=""),"",IFERROR(Q52*1000000.0/$B$57,""))</f>
        <v/>
      </c>
      <c r="R63" s="29">
        <f>IF(OR(R52="",$B$57=""),"",IFERROR(R52*1000000.0/$B$57,""))</f>
        <v/>
      </c>
      <c r="S63" s="29">
        <f>IF(OR(S52="",$B$57=""),"",IFERROR(S52*1000000.0/$B$57,""))</f>
        <v/>
      </c>
      <c r="T63" s="29">
        <f>IF(OR(T52="",$B$57=""),"",IFERROR(T52*1000000.0/$B$57,""))</f>
        <v/>
      </c>
      <c r="U63" s="29">
        <f>IF(OR(U52="",$B$57=""),"",IFERROR(U52*1000000.0/$B$57,""))</f>
        <v/>
      </c>
      <c r="V63" s="29">
        <f>IF(OR(V52="",$B$57=""),"",IFERROR(V52*1000000.0/$B$57,""))</f>
        <v/>
      </c>
      <c r="W63" s="29">
        <f>IF(OR(W52="",$B$57=""),"",IFERROR(W52*1000000.0/$B$57,""))</f>
        <v/>
      </c>
      <c r="X63" s="29">
        <f>IF(OR(X52="",$B$57=""),"",IFERROR(X52*1000000.0/$B$57,""))</f>
        <v/>
      </c>
      <c r="Y63" s="28">
        <f>IF(OR(Y52="",$B$57=""),"",IFERROR(Y52*1000000.0/$B$57,""))</f>
        <v/>
      </c>
      <c r="Z63" s="29">
        <f>IF(OR(Z52="",$B$57=""),"",IFERROR(Z52*1000000.0/$B$57,""))</f>
        <v/>
      </c>
      <c r="AA63" s="29">
        <f>IF(OR(AA52="",$B$57=""),"",IFERROR(AA52*1000000.0/$B$57,""))</f>
        <v/>
      </c>
      <c r="AB63" s="29">
        <f>IF(OR(AB52="",$B$57=""),"",IFERROR(AB52*1000000.0/$B$57,""))</f>
        <v/>
      </c>
      <c r="AC63" s="29">
        <f>IF(OR(AC52="",$B$57=""),"",IFERROR(AC52*1000000.0/$B$57,""))</f>
        <v/>
      </c>
    </row>
    <row r="64">
      <c r="A64" s="9" t="inlineStr">
        <is>
          <t>목표주가</t>
        </is>
      </c>
      <c r="B64" s="10" t="n"/>
      <c r="C64" s="34" t="n"/>
      <c r="D64" s="27" t="n"/>
      <c r="E64" s="27" t="n"/>
      <c r="F64" s="27" t="n"/>
      <c r="G64" s="27" t="n"/>
      <c r="H64" s="27" t="n"/>
      <c r="I64" s="27" t="n"/>
      <c r="J64" s="27" t="n"/>
      <c r="K64" s="27" t="n"/>
      <c r="L64" s="27" t="n"/>
      <c r="M64" s="27" t="n"/>
      <c r="N64" s="27" t="n"/>
      <c r="O64" s="34" t="n"/>
      <c r="P64" s="27" t="n"/>
      <c r="Q64" s="27" t="n"/>
      <c r="R64" s="27" t="n"/>
      <c r="S64" s="27" t="n"/>
      <c r="T64" s="27" t="n"/>
      <c r="U64" s="27" t="n"/>
      <c r="V64" s="27" t="n"/>
      <c r="W64" s="27" t="n"/>
      <c r="X64" s="27" t="n"/>
      <c r="Y64" s="34">
        <f>IF(OR(Y63="",Y62=""),"",IFERROR(Y63*Y62,""))</f>
        <v/>
      </c>
      <c r="Z64" s="27">
        <f>IF(OR(Z63="",Z62=""),"",IFERROR(Z63*Z62,""))</f>
        <v/>
      </c>
      <c r="AA64" s="27">
        <f>IF(OR(AA63="",AA62=""),"",IFERROR(AA63*AA62,""))</f>
        <v/>
      </c>
      <c r="AB64" s="27">
        <f>IF(OR(AB63="",AB62=""),"",IFERROR(AB63*AB62,""))</f>
        <v/>
      </c>
      <c r="AC64" s="27">
        <f>IF(OR(AC63="",AC62=""),"",IFERROR(AC63*AC62,""))</f>
        <v/>
      </c>
    </row>
    <row r="65">
      <c r="A65" s="18" t="inlineStr">
        <is>
          <t>상승여력</t>
        </is>
      </c>
      <c r="B65" s="10" t="n"/>
      <c r="C65" s="35" t="n"/>
      <c r="D65" s="36" t="n"/>
      <c r="E65" s="36" t="n"/>
      <c r="F65" s="36" t="n"/>
      <c r="G65" s="36" t="n"/>
      <c r="H65" s="36" t="n"/>
      <c r="I65" s="36" t="n"/>
      <c r="J65" s="36" t="n"/>
      <c r="K65" s="36" t="n"/>
      <c r="L65" s="36" t="n"/>
      <c r="M65" s="36" t="n"/>
      <c r="N65" s="36" t="n"/>
      <c r="O65" s="35" t="n"/>
      <c r="P65" s="36" t="n"/>
      <c r="Q65" s="36" t="n"/>
      <c r="R65" s="36" t="n"/>
      <c r="S65" s="36" t="n"/>
      <c r="T65" s="36" t="n"/>
      <c r="U65" s="36" t="n"/>
      <c r="V65" s="36" t="n"/>
      <c r="W65" s="36" t="n"/>
      <c r="X65" s="36" t="n"/>
      <c r="Y65" s="37">
        <f>IF(OR(Y64="",$B$56=""),"",IFERROR(Y64/$B$56-1,""))</f>
        <v/>
      </c>
      <c r="Z65" s="38">
        <f>IF(OR(Z64="",$B$56=""),"",IFERROR(Z64/$B$56-1,""))</f>
        <v/>
      </c>
      <c r="AA65" s="38">
        <f>IF(OR(AA64="",$B$56=""),"",IFERROR(AA64/$B$56-1,""))</f>
        <v/>
      </c>
      <c r="AB65" s="38">
        <f>IF(OR(AB64="",$B$56=""),"",IFERROR(AB64/$B$56-1,""))</f>
        <v/>
      </c>
      <c r="AC65" s="38">
        <f>IF(OR(AC64="",$B$56=""),"",IFERROR(AC64/$B$56-1,""))</f>
        <v/>
      </c>
    </row>
    <row r="66">
      <c r="A66" s="16" t="inlineStr">
        <is>
          <t>자산가치 산출</t>
        </is>
      </c>
      <c r="B66" s="16" t="inlineStr">
        <is>
          <t>최신 분기 BS</t>
        </is>
      </c>
      <c r="C66" s="17" t="n"/>
      <c r="D66" s="16" t="n"/>
      <c r="E66" s="16" t="n"/>
      <c r="F66" s="16" t="n"/>
      <c r="G66" s="16" t="n"/>
      <c r="H66" s="16" t="n"/>
      <c r="I66" s="16" t="n"/>
      <c r="J66" s="16" t="n"/>
      <c r="K66" s="16" t="n"/>
      <c r="L66" s="16" t="n"/>
      <c r="M66" s="16" t="n"/>
      <c r="N66" s="16" t="n"/>
      <c r="O66" s="17" t="n"/>
      <c r="P66" s="16" t="n"/>
      <c r="Q66" s="16" t="n"/>
      <c r="R66" s="16" t="n"/>
      <c r="S66" s="16" t="n"/>
      <c r="T66" s="16" t="n"/>
      <c r="U66" s="16" t="n"/>
      <c r="V66" s="16" t="n"/>
      <c r="W66" s="16" t="n"/>
      <c r="X66" s="16" t="n"/>
      <c r="Y66" s="17" t="n"/>
      <c r="Z66" s="16" t="n"/>
      <c r="AA66" s="16" t="n"/>
      <c r="AB66" s="16" t="n"/>
      <c r="AC66" s="16" t="n"/>
    </row>
    <row r="67">
      <c r="A67" s="18" t="inlineStr">
        <is>
          <t>현금및현금성자산</t>
        </is>
      </c>
      <c r="B67" s="10" t="n"/>
      <c r="C67" s="19" t="n"/>
      <c r="D67" s="20" t="n"/>
      <c r="E67" s="20" t="n"/>
      <c r="F67" s="20" t="n"/>
      <c r="G67" s="20" t="n"/>
      <c r="H67" s="20" t="n"/>
      <c r="I67" s="20" t="n"/>
      <c r="J67" s="20" t="n"/>
      <c r="K67" s="20" t="n"/>
      <c r="L67" s="20" t="n"/>
      <c r="M67" s="20" t="n"/>
      <c r="N67" s="20" t="n"/>
      <c r="O67" s="19" t="n"/>
      <c r="P67" s="20" t="n"/>
      <c r="Q67" s="20" t="n"/>
      <c r="R67" s="20" t="n"/>
      <c r="S67" s="20" t="n"/>
      <c r="T67" s="20" t="n"/>
      <c r="U67" s="20" t="n"/>
      <c r="V67" s="20" t="n"/>
      <c r="W67" s="20" t="n"/>
      <c r="X67" s="20">
        <f>'재무상태표'!G6</f>
        <v/>
      </c>
      <c r="Y67" s="19">
        <f>'재무상태표'!G6</f>
        <v/>
      </c>
      <c r="Z67" s="20">
        <f>'재무상태표'!G6</f>
        <v/>
      </c>
      <c r="AA67" s="20">
        <f>'재무상태표'!G6</f>
        <v/>
      </c>
      <c r="AB67" s="20">
        <f>'재무상태표'!G6</f>
        <v/>
      </c>
      <c r="AC67" s="20">
        <f>'재무상태표'!G6</f>
        <v/>
      </c>
    </row>
    <row r="68">
      <c r="A68" s="18" t="inlineStr">
        <is>
          <t>단기금융상품</t>
        </is>
      </c>
      <c r="B68" s="10" t="n"/>
      <c r="C68" s="19" t="n"/>
      <c r="D68" s="20" t="n"/>
      <c r="E68" s="20" t="n"/>
      <c r="F68" s="20" t="n"/>
      <c r="G68" s="20" t="n"/>
      <c r="H68" s="20" t="n"/>
      <c r="I68" s="20" t="n"/>
      <c r="J68" s="20" t="n"/>
      <c r="K68" s="20" t="n"/>
      <c r="L68" s="20" t="n"/>
      <c r="M68" s="20" t="n"/>
      <c r="N68" s="20" t="n"/>
      <c r="O68" s="19" t="n"/>
      <c r="P68" s="20" t="n"/>
      <c r="Q68" s="20" t="n"/>
      <c r="R68" s="20" t="n"/>
      <c r="S68" s="20" t="n"/>
      <c r="T68" s="20" t="n"/>
      <c r="U68" s="20" t="n"/>
      <c r="V68" s="20" t="n"/>
      <c r="W68" s="20" t="n"/>
      <c r="X68" s="20">
        <f>'재무상태표'!G7</f>
        <v/>
      </c>
      <c r="Y68" s="19">
        <f>'재무상태표'!G7</f>
        <v/>
      </c>
      <c r="Z68" s="20">
        <f>'재무상태표'!G7</f>
        <v/>
      </c>
      <c r="AA68" s="20">
        <f>'재무상태표'!G7</f>
        <v/>
      </c>
      <c r="AB68" s="20">
        <f>'재무상태표'!G7</f>
        <v/>
      </c>
      <c r="AC68" s="20">
        <f>'재무상태표'!G7</f>
        <v/>
      </c>
    </row>
    <row r="69">
      <c r="A69" s="18" t="inlineStr">
        <is>
          <t>투자부동산</t>
        </is>
      </c>
      <c r="B69" s="10" t="n"/>
      <c r="C69" s="19" t="n"/>
      <c r="D69" s="20" t="n"/>
      <c r="E69" s="20" t="n"/>
      <c r="F69" s="20" t="n"/>
      <c r="G69" s="20" t="n"/>
      <c r="H69" s="20" t="n"/>
      <c r="I69" s="20" t="n"/>
      <c r="J69" s="20" t="n"/>
      <c r="K69" s="20" t="n"/>
      <c r="L69" s="20" t="n"/>
      <c r="M69" s="20" t="n"/>
      <c r="N69" s="20" t="n"/>
      <c r="O69" s="19" t="n"/>
      <c r="P69" s="20" t="n"/>
      <c r="Q69" s="20" t="n"/>
      <c r="R69" s="20" t="n"/>
      <c r="S69" s="20" t="n"/>
      <c r="T69" s="20" t="n"/>
      <c r="U69" s="20" t="n"/>
      <c r="V69" s="20" t="n"/>
      <c r="W69" s="20" t="n"/>
      <c r="X69" s="20">
        <f>'재무상태표'!G14</f>
        <v/>
      </c>
      <c r="Y69" s="19">
        <f>'재무상태표'!G14</f>
        <v/>
      </c>
      <c r="Z69" s="20">
        <f>'재무상태표'!G14</f>
        <v/>
      </c>
      <c r="AA69" s="20">
        <f>'재무상태표'!G14</f>
        <v/>
      </c>
      <c r="AB69" s="20">
        <f>'재무상태표'!G14</f>
        <v/>
      </c>
      <c r="AC69" s="20">
        <f>'재무상태표'!G14</f>
        <v/>
      </c>
    </row>
    <row r="70">
      <c r="A70" s="18" t="inlineStr">
        <is>
          <t>지배자본</t>
        </is>
      </c>
      <c r="B70" s="10" t="n"/>
      <c r="C70" s="19" t="n"/>
      <c r="D70" s="20" t="n"/>
      <c r="E70" s="20" t="n"/>
      <c r="F70" s="20" t="n"/>
      <c r="G70" s="20" t="n"/>
      <c r="H70" s="20" t="n"/>
      <c r="I70" s="20" t="n"/>
      <c r="J70" s="20" t="n"/>
      <c r="K70" s="20" t="n"/>
      <c r="L70" s="20" t="n"/>
      <c r="M70" s="20" t="n"/>
      <c r="N70" s="20" t="n"/>
      <c r="O70" s="19" t="n"/>
      <c r="P70" s="20" t="n"/>
      <c r="Q70" s="20" t="n"/>
      <c r="R70" s="20" t="n"/>
      <c r="S70" s="20" t="n"/>
      <c r="T70" s="20" t="n"/>
      <c r="U70" s="20" t="n"/>
      <c r="V70" s="20" t="n"/>
      <c r="W70" s="20" t="n"/>
      <c r="X70" s="20">
        <f>'재무상태표'!G31</f>
        <v/>
      </c>
      <c r="Y70" s="19">
        <f>'재무상태표'!G31</f>
        <v/>
      </c>
      <c r="Z70" s="20">
        <f>'재무상태표'!G31</f>
        <v/>
      </c>
      <c r="AA70" s="20">
        <f>'재무상태표'!G31</f>
        <v/>
      </c>
      <c r="AB70" s="20">
        <f>'재무상태표'!G31</f>
        <v/>
      </c>
      <c r="AC70" s="20">
        <f>'재무상태표'!G31</f>
        <v/>
      </c>
    </row>
    <row r="71">
      <c r="A71" s="18" t="inlineStr">
        <is>
          <t>부채</t>
        </is>
      </c>
      <c r="B71" s="10" t="n"/>
      <c r="C71" s="19" t="n"/>
      <c r="D71" s="20" t="n"/>
      <c r="E71" s="20" t="n"/>
      <c r="F71" s="20" t="n"/>
      <c r="G71" s="20" t="n"/>
      <c r="H71" s="20" t="n"/>
      <c r="I71" s="20" t="n"/>
      <c r="J71" s="20" t="n"/>
      <c r="K71" s="20" t="n"/>
      <c r="L71" s="20" t="n"/>
      <c r="M71" s="20" t="n"/>
      <c r="N71" s="20" t="n"/>
      <c r="O71" s="19" t="n"/>
      <c r="P71" s="20" t="n"/>
      <c r="Q71" s="20" t="n"/>
      <c r="R71" s="20" t="n"/>
      <c r="S71" s="20" t="n"/>
      <c r="T71" s="20" t="n"/>
      <c r="U71" s="20" t="n"/>
      <c r="V71" s="20" t="n"/>
      <c r="W71" s="20" t="n"/>
      <c r="X71" s="20">
        <f>'재무상태표'!G27</f>
        <v/>
      </c>
      <c r="Y71" s="19">
        <f>'재무상태표'!G27</f>
        <v/>
      </c>
      <c r="Z71" s="20">
        <f>'재무상태표'!G27</f>
        <v/>
      </c>
      <c r="AA71" s="20">
        <f>'재무상태표'!G27</f>
        <v/>
      </c>
      <c r="AB71" s="20">
        <f>'재무상태표'!G27</f>
        <v/>
      </c>
      <c r="AC71" s="20">
        <f>'재무상태표'!G27</f>
        <v/>
      </c>
    </row>
    <row r="72">
      <c r="A72" s="13" t="inlineStr">
        <is>
          <t>부채비율</t>
        </is>
      </c>
      <c r="B72" s="10" t="n"/>
      <c r="C72" s="14" t="n"/>
      <c r="D72" s="15" t="n"/>
      <c r="E72" s="15" t="n"/>
      <c r="F72" s="15" t="n"/>
      <c r="G72" s="15" t="n"/>
      <c r="H72" s="15" t="n"/>
      <c r="I72" s="15" t="n"/>
      <c r="J72" s="15" t="n"/>
      <c r="K72" s="15" t="n"/>
      <c r="L72" s="15" t="n"/>
      <c r="M72" s="15" t="n"/>
      <c r="N72" s="15" t="n"/>
      <c r="O72" s="14" t="n"/>
      <c r="P72" s="15" t="n"/>
      <c r="Q72" s="15" t="n"/>
      <c r="R72" s="15" t="n"/>
      <c r="S72" s="15" t="n"/>
      <c r="T72" s="15" t="n"/>
      <c r="U72" s="15" t="n"/>
      <c r="V72" s="15" t="n"/>
      <c r="W72" s="15" t="n"/>
      <c r="X72" s="15">
        <f>IF(OR(X71="",X70=""),"",IFERROR(X71/X70,""))</f>
        <v/>
      </c>
      <c r="Y72" s="14">
        <f>IF(OR(Y71="",Y70=""),"",IFERROR(Y71/Y70,""))</f>
        <v/>
      </c>
      <c r="Z72" s="15">
        <f>IF(OR(Z71="",Z70=""),"",IFERROR(Z71/Z70,""))</f>
        <v/>
      </c>
      <c r="AA72" s="15">
        <f>IF(OR(AA71="",AA70=""),"",IFERROR(AA71/AA70,""))</f>
        <v/>
      </c>
      <c r="AB72" s="15">
        <f>IF(OR(AB71="",AB70=""),"",IFERROR(AB71/AB70,""))</f>
        <v/>
      </c>
      <c r="AC72" s="15">
        <f>IF(OR(AC71="",AC70=""),"",IFERROR(AC71/AC70,""))</f>
        <v/>
      </c>
    </row>
    <row r="73">
      <c r="A73" s="9" t="inlineStr">
        <is>
          <t>자산가치</t>
        </is>
      </c>
      <c r="B73" s="10" t="inlineStr">
        <is>
          <t>현금+단기금융+투자부동산</t>
        </is>
      </c>
      <c r="C73" s="11" t="n"/>
      <c r="D73" s="12" t="n"/>
      <c r="E73" s="12" t="n"/>
      <c r="F73" s="12" t="n"/>
      <c r="G73" s="12" t="n"/>
      <c r="H73" s="12" t="n"/>
      <c r="I73" s="12" t="n"/>
      <c r="J73" s="12" t="n"/>
      <c r="K73" s="12" t="n"/>
      <c r="L73" s="12" t="n"/>
      <c r="M73" s="12" t="n"/>
      <c r="N73" s="12" t="n"/>
      <c r="O73" s="11" t="n"/>
      <c r="P73" s="12" t="n"/>
      <c r="Q73" s="12" t="n"/>
      <c r="R73" s="12" t="n"/>
      <c r="S73" s="12" t="n"/>
      <c r="T73" s="12" t="n"/>
      <c r="U73" s="12" t="n"/>
      <c r="V73" s="12" t="n"/>
      <c r="W73" s="12" t="n"/>
      <c r="X73" s="12">
        <f>SUM(X67,X68,X69)</f>
        <v/>
      </c>
      <c r="Y73" s="11">
        <f>SUM(Y67,Y68,Y69)</f>
        <v/>
      </c>
      <c r="Z73" s="12">
        <f>SUM(Z67,Z68,Z69)</f>
        <v/>
      </c>
      <c r="AA73" s="12">
        <f>SUM(AA67,AA68,AA69)</f>
        <v/>
      </c>
      <c r="AB73" s="12">
        <f>SUM(AB67,AB68,AB69)</f>
        <v/>
      </c>
      <c r="AC73" s="12">
        <f>SUM(AC67,AC68,AC69)</f>
        <v/>
      </c>
    </row>
    <row r="74">
      <c r="A74" s="16" t="inlineStr">
        <is>
          <t>기업가치 산출</t>
        </is>
      </c>
      <c r="B74" s="16" t="n"/>
      <c r="C74" s="17" t="n"/>
      <c r="D74" s="16" t="n"/>
      <c r="E74" s="16" t="n"/>
      <c r="F74" s="16" t="n"/>
      <c r="G74" s="16" t="n"/>
      <c r="H74" s="16" t="n"/>
      <c r="I74" s="16" t="n"/>
      <c r="J74" s="16" t="n"/>
      <c r="K74" s="16" t="n"/>
      <c r="L74" s="16" t="n"/>
      <c r="M74" s="16" t="n"/>
      <c r="N74" s="16" t="n"/>
      <c r="O74" s="17" t="n"/>
      <c r="P74" s="16" t="n"/>
      <c r="Q74" s="16" t="n"/>
      <c r="R74" s="16" t="n"/>
      <c r="S74" s="16" t="n"/>
      <c r="T74" s="16" t="n"/>
      <c r="U74" s="16" t="n"/>
      <c r="V74" s="16" t="n"/>
      <c r="W74" s="16" t="n"/>
      <c r="X74" s="16" t="n"/>
      <c r="Y74" s="17" t="n"/>
      <c r="Z74" s="16" t="n"/>
      <c r="AA74" s="16" t="n"/>
      <c r="AB74" s="16" t="n"/>
      <c r="AC74" s="16" t="n"/>
    </row>
    <row r="75">
      <c r="A75" s="18" t="inlineStr">
        <is>
          <t>목표 시가총액 (P/E)</t>
        </is>
      </c>
      <c r="B75" s="10" t="inlineStr">
        <is>
          <t>지배순이익 × Target P/E</t>
        </is>
      </c>
      <c r="C75" s="19" t="n"/>
      <c r="D75" s="20" t="n"/>
      <c r="E75" s="20" t="n"/>
      <c r="F75" s="20" t="n"/>
      <c r="G75" s="20" t="n"/>
      <c r="H75" s="20" t="n"/>
      <c r="I75" s="20" t="n"/>
      <c r="J75" s="20" t="n"/>
      <c r="K75" s="20" t="n"/>
      <c r="L75" s="20" t="n"/>
      <c r="M75" s="20" t="n"/>
      <c r="N75" s="20" t="n"/>
      <c r="O75" s="19" t="n"/>
      <c r="P75" s="20" t="n"/>
      <c r="Q75" s="20" t="n"/>
      <c r="R75" s="20" t="n"/>
      <c r="S75" s="20" t="n"/>
      <c r="T75" s="20" t="n"/>
      <c r="U75" s="20" t="n"/>
      <c r="V75" s="20" t="n"/>
      <c r="W75" s="20" t="n"/>
      <c r="X75" s="20" t="n"/>
      <c r="Y75" s="19">
        <f>IF(OR(Y52="",Y62=""),"",IFERROR(Y52*Y62,""))</f>
        <v/>
      </c>
      <c r="Z75" s="20">
        <f>IF(OR(Z52="",Z62=""),"",IFERROR(Z52*Z62,""))</f>
        <v/>
      </c>
      <c r="AA75" s="20">
        <f>IF(OR(AA52="",AA62=""),"",IFERROR(AA52*AA62,""))</f>
        <v/>
      </c>
      <c r="AB75" s="20">
        <f>IF(OR(AB52="",AB62=""),"",IFERROR(AB52*AB62,""))</f>
        <v/>
      </c>
      <c r="AC75" s="20">
        <f>IF(OR(AC52="",AC62=""),"",IFERROR(AC52*AC62,""))</f>
        <v/>
      </c>
    </row>
    <row r="76">
      <c r="A76" s="9" t="inlineStr">
        <is>
          <t>기업가치</t>
        </is>
      </c>
      <c r="B76" s="10" t="inlineStr">
        <is>
          <t>목표시총 + 자산가치</t>
        </is>
      </c>
      <c r="C76" s="11" t="n"/>
      <c r="D76" s="12" t="n"/>
      <c r="E76" s="12" t="n"/>
      <c r="F76" s="12" t="n"/>
      <c r="G76" s="12" t="n"/>
      <c r="H76" s="12" t="n"/>
      <c r="I76" s="12" t="n"/>
      <c r="J76" s="12" t="n"/>
      <c r="K76" s="12" t="n"/>
      <c r="L76" s="12" t="n"/>
      <c r="M76" s="12" t="n"/>
      <c r="N76" s="12" t="n"/>
      <c r="O76" s="11" t="n"/>
      <c r="P76" s="12" t="n"/>
      <c r="Q76" s="12" t="n"/>
      <c r="R76" s="12" t="n"/>
      <c r="S76" s="12" t="n"/>
      <c r="T76" s="12" t="n"/>
      <c r="U76" s="12" t="n"/>
      <c r="V76" s="12" t="n"/>
      <c r="W76" s="12" t="n"/>
      <c r="X76" s="12" t="n"/>
      <c r="Y76" s="11">
        <f>IF(OR(Y75=""),"",IFERROR(Y75+Y73,""))</f>
        <v/>
      </c>
      <c r="Z76" s="12">
        <f>IF(OR(Z75=""),"",IFERROR(Z75+Z73,""))</f>
        <v/>
      </c>
      <c r="AA76" s="12">
        <f>IF(OR(AA75=""),"",IFERROR(AA75+AA73,""))</f>
        <v/>
      </c>
      <c r="AB76" s="12">
        <f>IF(OR(AB75=""),"",IFERROR(AB75+AB73,""))</f>
        <v/>
      </c>
      <c r="AC76" s="12">
        <f>IF(OR(AC75=""),"",IFERROR(AC75+AC73,""))</f>
        <v/>
      </c>
    </row>
    <row r="77">
      <c r="A77" s="18" t="inlineStr">
        <is>
          <t>현재 시가총액</t>
        </is>
      </c>
      <c r="B77" s="10" t="n"/>
      <c r="C77" s="19" t="n"/>
      <c r="D77" s="20" t="n"/>
      <c r="E77" s="20" t="n"/>
      <c r="F77" s="20" t="n"/>
      <c r="G77" s="20" t="n"/>
      <c r="H77" s="20" t="n"/>
      <c r="I77" s="20" t="n"/>
      <c r="J77" s="20" t="n"/>
      <c r="K77" s="20" t="n"/>
      <c r="L77" s="20" t="n"/>
      <c r="M77" s="20" t="n"/>
      <c r="N77" s="20" t="n"/>
      <c r="O77" s="19" t="n"/>
      <c r="P77" s="20" t="n"/>
      <c r="Q77" s="20" t="n"/>
      <c r="R77" s="20" t="n"/>
      <c r="S77" s="20" t="n"/>
      <c r="T77" s="20" t="n"/>
      <c r="U77" s="20" t="n"/>
      <c r="V77" s="20" t="n"/>
      <c r="W77" s="20" t="n"/>
      <c r="X77" s="20" t="n"/>
      <c r="Y77" s="19">
        <f>$B$58</f>
        <v/>
      </c>
      <c r="Z77" s="20">
        <f>$B$58</f>
        <v/>
      </c>
      <c r="AA77" s="20">
        <f>$B$58</f>
        <v/>
      </c>
      <c r="AB77" s="20">
        <f>$B$58</f>
        <v/>
      </c>
      <c r="AC77" s="20">
        <f>$B$58</f>
        <v/>
      </c>
    </row>
    <row r="78">
      <c r="A78" s="18" t="inlineStr">
        <is>
          <t>상승여력</t>
        </is>
      </c>
      <c r="B78" s="10" t="n"/>
      <c r="C78" s="35" t="n"/>
      <c r="D78" s="36" t="n"/>
      <c r="E78" s="36" t="n"/>
      <c r="F78" s="36" t="n"/>
      <c r="G78" s="36" t="n"/>
      <c r="H78" s="36" t="n"/>
      <c r="I78" s="36" t="n"/>
      <c r="J78" s="36" t="n"/>
      <c r="K78" s="36" t="n"/>
      <c r="L78" s="36" t="n"/>
      <c r="M78" s="36" t="n"/>
      <c r="N78" s="36" t="n"/>
      <c r="O78" s="35" t="n"/>
      <c r="P78" s="36" t="n"/>
      <c r="Q78" s="36" t="n"/>
      <c r="R78" s="36" t="n"/>
      <c r="S78" s="36" t="n"/>
      <c r="T78" s="36" t="n"/>
      <c r="U78" s="36" t="n"/>
      <c r="V78" s="36" t="n"/>
      <c r="W78" s="36" t="n"/>
      <c r="X78" s="36" t="n"/>
      <c r="Y78" s="37">
        <f>IF(OR(Y76="",Y77=""),"",IFERROR(Y76/Y77-1,""))</f>
        <v/>
      </c>
      <c r="Z78" s="38">
        <f>IF(OR(Z76="",Z77=""),"",IFERROR(Z76/Z77-1,""))</f>
        <v/>
      </c>
      <c r="AA78" s="38">
        <f>IF(OR(AA76="",AA77=""),"",IFERROR(AA76/AA77-1,""))</f>
        <v/>
      </c>
      <c r="AB78" s="38">
        <f>IF(OR(AB76="",AB77=""),"",IFERROR(AB76/AB77-1,""))</f>
        <v/>
      </c>
      <c r="AC78" s="38">
        <f>IF(OR(AC76="",AC77=""),"",IFERROR(AC76/AC77-1,""))</f>
        <v/>
      </c>
    </row>
    <row r="79">
      <c r="C79" s="39" t="n"/>
      <c r="O79" s="39" t="n"/>
      <c r="Y79" s="39" t="n"/>
    </row>
    <row r="80">
      <c r="A80" s="40" t="inlineStr">
        <is>
          <t>출처</t>
        </is>
      </c>
      <c r="C80" s="39" t="n"/>
      <c r="O80" s="39" t="n"/>
      <c r="Y80" s="39" t="n"/>
    </row>
    <row r="81">
      <c r="A81" s="41" t="inlineStr">
        <is>
          <t>결산단신 XBRL(TDnet·JPX 보관소) — 쓴 문서는 '출처' 시트</t>
        </is>
      </c>
      <c r="C81" s="39" t="n"/>
      <c r="O81" s="39" t="n"/>
      <c r="Y81" s="39" t="n"/>
    </row>
    <row r="82">
      <c r="A82" s="41" t="inlineStr">
        <is>
          <t>분기 = 누계에서 앞 분기를 뺀 3개월 값</t>
        </is>
      </c>
      <c r="C82" s="39" t="n"/>
      <c r="O82" s="39" t="n"/>
      <c r="Y82" s="39" t="n"/>
    </row>
    <row r="83">
      <c r="A83" s="41" t="inlineStr">
        <is>
          <t>주가: 야후 파이낸스 일봉</t>
        </is>
      </c>
      <c r="C83" s="39" t="n"/>
      <c r="O83" s="39" t="n"/>
      <c r="Y83" s="39" t="n"/>
    </row>
    <row r="85">
      <c r="A85" s="16" t="inlineStr">
        <is>
          <t>손익계산서 · 전 항목</t>
        </is>
      </c>
      <c r="B85" s="42" t="inlineStr">
        <is>
          <t>분기 = 3개월 단독</t>
        </is>
      </c>
      <c r="C85" s="16" t="n"/>
      <c r="D85" s="16" t="n"/>
      <c r="E85" s="16" t="n"/>
      <c r="F85" s="16" t="n"/>
      <c r="G85" s="16" t="n"/>
      <c r="H85" s="16" t="n"/>
      <c r="I85" s="16" t="n"/>
      <c r="J85" s="16" t="n"/>
      <c r="K85" s="16" t="n"/>
      <c r="L85" s="16" t="n"/>
      <c r="M85" s="16" t="n"/>
      <c r="N85" s="16" t="n"/>
      <c r="O85" s="16" t="n"/>
      <c r="P85" s="16" t="n"/>
      <c r="Q85" s="16" t="n"/>
      <c r="R85" s="16" t="n"/>
      <c r="S85" s="16" t="n"/>
      <c r="T85" s="16" t="n"/>
      <c r="U85" s="16" t="n"/>
      <c r="V85" s="16" t="n"/>
      <c r="W85" s="16" t="n"/>
      <c r="X85" s="16" t="n"/>
      <c r="Y85" s="16" t="n"/>
      <c r="Z85" s="16" t="n"/>
      <c r="AA85" s="16" t="n"/>
      <c r="AB85" s="16" t="n"/>
      <c r="AC85" s="16" t="n"/>
    </row>
    <row r="86">
      <c r="A86" s="5" t="inlineStr">
        <is>
          <t>항목</t>
        </is>
      </c>
      <c r="B86" s="5" t="inlineStr">
        <is>
          <t>참고</t>
        </is>
      </c>
      <c r="C86" s="5" t="inlineStr">
        <is>
          <t>2024.3Q</t>
        </is>
      </c>
      <c r="D86" s="5" t="inlineStr">
        <is>
          <t>2024.4Q</t>
        </is>
      </c>
      <c r="E86" s="5" t="inlineStr">
        <is>
          <t>2025.1Q</t>
        </is>
      </c>
      <c r="F86" s="5" t="inlineStr">
        <is>
          <t>2025.2Q</t>
        </is>
      </c>
      <c r="G86" s="5" t="inlineStr">
        <is>
          <t>2025.3Q</t>
        </is>
      </c>
      <c r="H86" s="5" t="inlineStr">
        <is>
          <t>2025.4Q</t>
        </is>
      </c>
      <c r="I86" s="5" t="inlineStr">
        <is>
          <t>2026.1Q</t>
        </is>
      </c>
      <c r="J86" s="5" t="inlineStr">
        <is>
          <t>2026.2Q</t>
        </is>
      </c>
      <c r="K86" s="5" t="inlineStr">
        <is>
          <t>2026.3Q</t>
        </is>
      </c>
      <c r="L86" s="5" t="inlineStr">
        <is>
          <t>2026.4Q</t>
        </is>
      </c>
      <c r="M86" s="5" t="inlineStr">
        <is>
          <t>2027.1Q</t>
        </is>
      </c>
      <c r="N86" s="5" t="inlineStr">
        <is>
          <t>2027.2Q</t>
        </is>
      </c>
      <c r="O86" s="5" t="inlineStr">
        <is>
          <t>2017</t>
        </is>
      </c>
      <c r="P86" s="5" t="inlineStr">
        <is>
          <t>2018</t>
        </is>
      </c>
      <c r="Q86" s="5" t="inlineStr">
        <is>
          <t>2019</t>
        </is>
      </c>
      <c r="R86" s="5" t="inlineStr">
        <is>
          <t>2020</t>
        </is>
      </c>
      <c r="S86" s="5" t="inlineStr">
        <is>
          <t>2021</t>
        </is>
      </c>
      <c r="T86" s="5" t="inlineStr">
        <is>
          <t>2022</t>
        </is>
      </c>
      <c r="U86" s="5" t="inlineStr">
        <is>
          <t>2023</t>
        </is>
      </c>
      <c r="V86" s="5" t="inlineStr">
        <is>
          <t>2024</t>
        </is>
      </c>
      <c r="W86" s="5" t="inlineStr">
        <is>
          <t>2025</t>
        </is>
      </c>
      <c r="X86" s="5" t="inlineStr">
        <is>
          <t>2026</t>
        </is>
      </c>
      <c r="Y86" s="5" t="inlineStr">
        <is>
          <t>2027(MW)</t>
        </is>
      </c>
      <c r="Z86" s="5" t="inlineStr">
        <is>
          <t>2028(MW)</t>
        </is>
      </c>
      <c r="AA86" s="5" t="inlineStr">
        <is>
          <t>2029(MW)</t>
        </is>
      </c>
      <c r="AB86" s="5" t="inlineStr">
        <is>
          <t>2030(MW)</t>
        </is>
      </c>
      <c r="AC86" s="5" t="inlineStr">
        <is>
          <t>2031(MW)</t>
        </is>
      </c>
    </row>
    <row r="87">
      <c r="A87" s="9" t="inlineStr">
        <is>
          <t>매출액</t>
        </is>
      </c>
      <c r="C87" s="12" t="n">
        <v>7524</v>
      </c>
      <c r="D87" s="12" t="n">
        <v>8718</v>
      </c>
      <c r="E87" s="12" t="n">
        <v>10579</v>
      </c>
      <c r="F87" s="12" t="n">
        <v>8182</v>
      </c>
      <c r="G87" s="12" t="n">
        <v>8186</v>
      </c>
      <c r="H87" s="12" t="n">
        <v>15128</v>
      </c>
      <c r="I87" s="12" t="n">
        <v>13123</v>
      </c>
      <c r="J87" s="12" t="n">
        <v>8697</v>
      </c>
      <c r="K87" s="12" t="n">
        <v>10952</v>
      </c>
      <c r="L87" s="12" t="n">
        <v>18083</v>
      </c>
      <c r="M87" s="12" t="n">
        <v>11021</v>
      </c>
      <c r="N87" s="12" t="n">
        <v>15530</v>
      </c>
      <c r="T87" s="12" t="n">
        <v>9432</v>
      </c>
      <c r="U87" s="12" t="n">
        <v>12389</v>
      </c>
      <c r="V87" s="12" t="n">
        <v>8718</v>
      </c>
      <c r="W87" s="12" t="n">
        <v>15128</v>
      </c>
      <c r="X87" s="12" t="n">
        <v>18083</v>
      </c>
    </row>
    <row r="88">
      <c r="A88" s="43" t="inlineStr">
        <is>
          <t>YoY</t>
        </is>
      </c>
      <c r="B88" s="3" t="inlineStr">
        <is>
          <t>전년 같은 분기·전년 대비</t>
        </is>
      </c>
      <c r="G88" s="15">
        <f>IF(OR(G87="",C87=""),"",IF(C87&lt;=0,"",IFERROR(G87/C87-1,"")))</f>
        <v/>
      </c>
      <c r="H88" s="15">
        <f>IF(OR(H87="",D87=""),"",IF(D87&lt;=0,"",IFERROR(H87/D87-1,"")))</f>
        <v/>
      </c>
      <c r="I88" s="15">
        <f>IF(OR(I87="",E87=""),"",IF(E87&lt;=0,"",IFERROR(I87/E87-1,"")))</f>
        <v/>
      </c>
      <c r="J88" s="15">
        <f>IF(OR(J87="",F87=""),"",IF(F87&lt;=0,"",IFERROR(J87/F87-1,"")))</f>
        <v/>
      </c>
      <c r="K88" s="15">
        <f>IF(OR(K87="",G87=""),"",IF(G87&lt;=0,"",IFERROR(K87/G87-1,"")))</f>
        <v/>
      </c>
      <c r="L88" s="15">
        <f>IF(OR(L87="",H87=""),"",IF(H87&lt;=0,"",IFERROR(L87/H87-1,"")))</f>
        <v/>
      </c>
      <c r="M88" s="15">
        <f>IF(OR(M87="",I87=""),"",IF(I87&lt;=0,"",IFERROR(M87/I87-1,"")))</f>
        <v/>
      </c>
      <c r="N88" s="15">
        <f>IF(OR(N87="",J87=""),"",IF(J87&lt;=0,"",IFERROR(N87/J87-1,"")))</f>
        <v/>
      </c>
      <c r="T88" s="15">
        <f>IF(OR(T87="",S87=""),"",IF(S87&lt;=0,"",IFERROR(T87/S87-1,"")))</f>
        <v/>
      </c>
      <c r="U88" s="15">
        <f>IF(OR(U87="",T87=""),"",IF(T87&lt;=0,"",IFERROR(U87/T87-1,"")))</f>
        <v/>
      </c>
      <c r="V88" s="15">
        <f>IF(OR(V87="",U87=""),"",IF(U87&lt;=0,"",IFERROR(V87/U87-1,"")))</f>
        <v/>
      </c>
      <c r="W88" s="15">
        <f>IF(OR(W87="",V87=""),"",IF(V87&lt;=0,"",IFERROR(W87/V87-1,"")))</f>
        <v/>
      </c>
      <c r="X88" s="15">
        <f>IF(OR(X87="",W87=""),"",IF(W87&lt;=0,"",IFERROR(X87/W87-1,"")))</f>
        <v/>
      </c>
    </row>
    <row r="89">
      <c r="A89" s="18" t="inlineStr">
        <is>
          <t>매출원가</t>
        </is>
      </c>
      <c r="C89" s="20" t="n">
        <v>4602</v>
      </c>
      <c r="D89" s="20" t="n">
        <v>4872</v>
      </c>
      <c r="E89" s="20" t="n">
        <v>6286</v>
      </c>
      <c r="F89" s="20" t="n">
        <v>4568</v>
      </c>
      <c r="G89" s="20" t="n">
        <v>4598</v>
      </c>
      <c r="H89" s="20" t="n">
        <v>7576</v>
      </c>
      <c r="I89" s="20" t="n">
        <v>8266</v>
      </c>
      <c r="J89" s="20" t="n">
        <v>4928</v>
      </c>
      <c r="K89" s="20" t="n">
        <v>6545</v>
      </c>
      <c r="L89" s="20" t="n">
        <v>9797</v>
      </c>
      <c r="M89" s="20" t="n">
        <v>6690</v>
      </c>
      <c r="N89" s="20" t="n">
        <v>9243</v>
      </c>
      <c r="T89" s="20" t="n">
        <v>4560</v>
      </c>
      <c r="U89" s="20" t="n">
        <v>6732</v>
      </c>
      <c r="V89" s="20" t="n">
        <v>4872</v>
      </c>
      <c r="W89" s="20" t="n">
        <v>7576</v>
      </c>
      <c r="X89" s="20" t="n">
        <v>9797</v>
      </c>
    </row>
    <row r="90">
      <c r="A90" s="43" t="inlineStr">
        <is>
          <t>YoY</t>
        </is>
      </c>
      <c r="B90" s="3" t="inlineStr">
        <is>
          <t>전년 같은 분기·전년 대비</t>
        </is>
      </c>
      <c r="G90" s="15">
        <f>IF(OR(G89="",C89=""),"",IF(G89*C89&lt;=0,"",IFERROR(G89/C89-1,"")))</f>
        <v/>
      </c>
      <c r="H90" s="15">
        <f>IF(OR(H89="",D89=""),"",IF(H89*D89&lt;=0,"",IFERROR(H89/D89-1,"")))</f>
        <v/>
      </c>
      <c r="I90" s="15">
        <f>IF(OR(I89="",E89=""),"",IF(I89*E89&lt;=0,"",IFERROR(I89/E89-1,"")))</f>
        <v/>
      </c>
      <c r="J90" s="15">
        <f>IF(OR(J89="",F89=""),"",IF(J89*F89&lt;=0,"",IFERROR(J89/F89-1,"")))</f>
        <v/>
      </c>
      <c r="K90" s="15">
        <f>IF(OR(K89="",G89=""),"",IF(K89*G89&lt;=0,"",IFERROR(K89/G89-1,"")))</f>
        <v/>
      </c>
      <c r="L90" s="15">
        <f>IF(OR(L89="",H89=""),"",IF(L89*H89&lt;=0,"",IFERROR(L89/H89-1,"")))</f>
        <v/>
      </c>
      <c r="M90" s="15">
        <f>IF(OR(M89="",I89=""),"",IF(M89*I89&lt;=0,"",IFERROR(M89/I89-1,"")))</f>
        <v/>
      </c>
      <c r="N90" s="15">
        <f>IF(OR(N89="",J89=""),"",IF(N89*J89&lt;=0,"",IFERROR(N89/J89-1,"")))</f>
        <v/>
      </c>
      <c r="T90" s="15">
        <f>IF(OR(T89="",S89=""),"",IF(T89*S89&lt;=0,"",IFERROR(T89/S89-1,"")))</f>
        <v/>
      </c>
      <c r="U90" s="15">
        <f>IF(OR(U89="",T89=""),"",IF(U89*T89&lt;=0,"",IFERROR(U89/T89-1,"")))</f>
        <v/>
      </c>
      <c r="V90" s="15">
        <f>IF(OR(V89="",U89=""),"",IF(V89*U89&lt;=0,"",IFERROR(V89/U89-1,"")))</f>
        <v/>
      </c>
      <c r="W90" s="15">
        <f>IF(OR(W89="",V89=""),"",IF(W89*V89&lt;=0,"",IFERROR(W89/V89-1,"")))</f>
        <v/>
      </c>
      <c r="X90" s="15">
        <f>IF(OR(X89="",W89=""),"",IF(X89*W89&lt;=0,"",IFERROR(X89/W89-1,"")))</f>
        <v/>
      </c>
    </row>
    <row r="91">
      <c r="A91" s="9" t="inlineStr">
        <is>
          <t>매출총이익</t>
        </is>
      </c>
      <c r="C91" s="12" t="n">
        <v>2923</v>
      </c>
      <c r="D91" s="12" t="n">
        <v>3845</v>
      </c>
      <c r="E91" s="12" t="n">
        <v>4292</v>
      </c>
      <c r="F91" s="12" t="n">
        <v>3615</v>
      </c>
      <c r="G91" s="12" t="n">
        <v>3587</v>
      </c>
      <c r="H91" s="12" t="n">
        <v>7552</v>
      </c>
      <c r="I91" s="12" t="n">
        <v>4857</v>
      </c>
      <c r="J91" s="12" t="n">
        <v>3769</v>
      </c>
      <c r="K91" s="12" t="n">
        <v>4406</v>
      </c>
      <c r="L91" s="12" t="n">
        <v>8287</v>
      </c>
      <c r="M91" s="12" t="n">
        <v>4330</v>
      </c>
      <c r="N91" s="12" t="n">
        <v>6287</v>
      </c>
      <c r="T91" s="12" t="n">
        <v>4871</v>
      </c>
      <c r="U91" s="12" t="n">
        <v>5656</v>
      </c>
      <c r="V91" s="12" t="n">
        <v>3845</v>
      </c>
      <c r="W91" s="12" t="n">
        <v>7552</v>
      </c>
      <c r="X91" s="12" t="n">
        <v>8287</v>
      </c>
    </row>
    <row r="92">
      <c r="A92" s="43" t="inlineStr">
        <is>
          <t>YoY</t>
        </is>
      </c>
      <c r="B92" s="3" t="inlineStr">
        <is>
          <t>전년 같은 분기·전년 대비</t>
        </is>
      </c>
      <c r="G92" s="15">
        <f>IF(OR(G91="",C91=""),"",IF(C91&lt;=0,"",IFERROR(G91/C91-1,"")))</f>
        <v/>
      </c>
      <c r="H92" s="15">
        <f>IF(OR(H91="",D91=""),"",IF(D91&lt;=0,"",IFERROR(H91/D91-1,"")))</f>
        <v/>
      </c>
      <c r="I92" s="15">
        <f>IF(OR(I91="",E91=""),"",IF(E91&lt;=0,"",IFERROR(I91/E91-1,"")))</f>
        <v/>
      </c>
      <c r="J92" s="15">
        <f>IF(OR(J91="",F91=""),"",IF(F91&lt;=0,"",IFERROR(J91/F91-1,"")))</f>
        <v/>
      </c>
      <c r="K92" s="15">
        <f>IF(OR(K91="",G91=""),"",IF(G91&lt;=0,"",IFERROR(K91/G91-1,"")))</f>
        <v/>
      </c>
      <c r="L92" s="15">
        <f>IF(OR(L91="",H91=""),"",IF(H91&lt;=0,"",IFERROR(L91/H91-1,"")))</f>
        <v/>
      </c>
      <c r="M92" s="15">
        <f>IF(OR(M91="",I91=""),"",IF(I91&lt;=0,"",IFERROR(M91/I91-1,"")))</f>
        <v/>
      </c>
      <c r="N92" s="15">
        <f>IF(OR(N91="",J91=""),"",IF(J91&lt;=0,"",IFERROR(N91/J91-1,"")))</f>
        <v/>
      </c>
      <c r="T92" s="15">
        <f>IF(OR(T91="",S91=""),"",IF(S91&lt;=0,"",IFERROR(T91/S91-1,"")))</f>
        <v/>
      </c>
      <c r="U92" s="15">
        <f>IF(OR(U91="",T91=""),"",IF(T91&lt;=0,"",IFERROR(U91/T91-1,"")))</f>
        <v/>
      </c>
      <c r="V92" s="15">
        <f>IF(OR(V91="",U91=""),"",IF(U91&lt;=0,"",IFERROR(V91/U91-1,"")))</f>
        <v/>
      </c>
      <c r="W92" s="15">
        <f>IF(OR(W91="",V91=""),"",IF(V91&lt;=0,"",IFERROR(W91/V91-1,"")))</f>
        <v/>
      </c>
      <c r="X92" s="15">
        <f>IF(OR(X91="",W91=""),"",IF(W91&lt;=0,"",IFERROR(X91/W91-1,"")))</f>
        <v/>
      </c>
    </row>
    <row r="93">
      <c r="A93" s="18" t="inlineStr">
        <is>
          <t>판매비와 관리비</t>
        </is>
      </c>
      <c r="C93" s="20" t="n">
        <v>1225</v>
      </c>
      <c r="D93" s="20" t="n">
        <v>1775</v>
      </c>
      <c r="E93" s="20" t="n">
        <v>1331</v>
      </c>
      <c r="F93" s="20" t="n">
        <v>1322</v>
      </c>
      <c r="G93" s="20" t="n">
        <v>1361</v>
      </c>
      <c r="H93" s="20" t="n">
        <v>1836</v>
      </c>
      <c r="I93" s="20" t="n">
        <v>1418</v>
      </c>
      <c r="J93" s="20" t="n">
        <v>1441</v>
      </c>
      <c r="K93" s="20" t="n">
        <v>1514</v>
      </c>
      <c r="L93" s="20" t="n">
        <v>1836</v>
      </c>
      <c r="M93" s="20" t="n">
        <v>1542</v>
      </c>
      <c r="N93" s="20" t="n">
        <v>1671</v>
      </c>
      <c r="T93" s="20" t="n">
        <v>1574</v>
      </c>
      <c r="U93" s="20" t="n">
        <v>1712</v>
      </c>
      <c r="V93" s="20" t="n">
        <v>1775</v>
      </c>
      <c r="W93" s="20" t="n">
        <v>1836</v>
      </c>
      <c r="X93" s="20" t="n">
        <v>1836</v>
      </c>
    </row>
    <row r="94">
      <c r="A94" s="43" t="inlineStr">
        <is>
          <t>YoY</t>
        </is>
      </c>
      <c r="B94" s="3" t="inlineStr">
        <is>
          <t>전년 같은 분기·전년 대비</t>
        </is>
      </c>
      <c r="G94" s="15">
        <f>IF(OR(G93="",C93=""),"",IF(G93*C93&lt;=0,"",IFERROR(G93/C93-1,"")))</f>
        <v/>
      </c>
      <c r="H94" s="15">
        <f>IF(OR(H93="",D93=""),"",IF(H93*D93&lt;=0,"",IFERROR(H93/D93-1,"")))</f>
        <v/>
      </c>
      <c r="I94" s="15">
        <f>IF(OR(I93="",E93=""),"",IF(I93*E93&lt;=0,"",IFERROR(I93/E93-1,"")))</f>
        <v/>
      </c>
      <c r="J94" s="15">
        <f>IF(OR(J93="",F93=""),"",IF(J93*F93&lt;=0,"",IFERROR(J93/F93-1,"")))</f>
        <v/>
      </c>
      <c r="K94" s="15">
        <f>IF(OR(K93="",G93=""),"",IF(K93*G93&lt;=0,"",IFERROR(K93/G93-1,"")))</f>
        <v/>
      </c>
      <c r="L94" s="15">
        <f>IF(OR(L93="",H93=""),"",IF(L93*H93&lt;=0,"",IFERROR(L93/H93-1,"")))</f>
        <v/>
      </c>
      <c r="M94" s="15">
        <f>IF(OR(M93="",I93=""),"",IF(M93*I93&lt;=0,"",IFERROR(M93/I93-1,"")))</f>
        <v/>
      </c>
      <c r="N94" s="15">
        <f>IF(OR(N93="",J93=""),"",IF(N93*J93&lt;=0,"",IFERROR(N93/J93-1,"")))</f>
        <v/>
      </c>
      <c r="T94" s="15">
        <f>IF(OR(T93="",S93=""),"",IF(T93*S93&lt;=0,"",IFERROR(T93/S93-1,"")))</f>
        <v/>
      </c>
      <c r="U94" s="15">
        <f>IF(OR(U93="",T93=""),"",IF(U93*T93&lt;=0,"",IFERROR(U93/T93-1,"")))</f>
        <v/>
      </c>
      <c r="V94" s="15">
        <f>IF(OR(V93="",U93=""),"",IF(V93*U93&lt;=0,"",IFERROR(V93/U93-1,"")))</f>
        <v/>
      </c>
      <c r="W94" s="15">
        <f>IF(OR(W93="",V93=""),"",IF(W93*V93&lt;=0,"",IFERROR(W93/V93-1,"")))</f>
        <v/>
      </c>
      <c r="X94" s="15">
        <f>IF(OR(X93="",W93=""),"",IF(X93*W93&lt;=0,"",IFERROR(X93/W93-1,"")))</f>
        <v/>
      </c>
    </row>
    <row r="95">
      <c r="A95" s="9" t="inlineStr">
        <is>
          <t>영업이익</t>
        </is>
      </c>
      <c r="C95" s="12" t="n">
        <v>1697</v>
      </c>
      <c r="D95" s="12" t="n">
        <v>2071</v>
      </c>
      <c r="E95" s="12" t="n">
        <v>2961</v>
      </c>
      <c r="F95" s="12" t="n">
        <v>2293</v>
      </c>
      <c r="G95" s="12" t="n">
        <v>2225</v>
      </c>
      <c r="H95" s="12" t="n">
        <v>5717</v>
      </c>
      <c r="I95" s="12" t="n">
        <v>3438</v>
      </c>
      <c r="J95" s="12" t="n">
        <v>2328</v>
      </c>
      <c r="K95" s="12" t="n">
        <v>2893</v>
      </c>
      <c r="L95" s="12" t="n">
        <v>6450</v>
      </c>
      <c r="M95" s="12" t="n">
        <v>2787</v>
      </c>
      <c r="N95" s="12" t="n">
        <v>4617</v>
      </c>
      <c r="T95" s="12" t="n">
        <v>3298</v>
      </c>
      <c r="U95" s="12" t="n">
        <v>3944</v>
      </c>
      <c r="V95" s="12" t="n">
        <v>2071</v>
      </c>
      <c r="W95" s="12" t="n">
        <v>5717</v>
      </c>
      <c r="X95" s="12" t="n">
        <v>6450</v>
      </c>
    </row>
    <row r="96">
      <c r="A96" s="43" t="inlineStr">
        <is>
          <t>OPM</t>
        </is>
      </c>
      <c r="B96" s="3" t="inlineStr">
        <is>
          <t>영업이익 ÷ 매출</t>
        </is>
      </c>
      <c r="C96" s="15">
        <f>IF(OR(C95="",C87=""),"",IF(C87&lt;=0,"",IFERROR(C95/C87,"")))</f>
        <v/>
      </c>
      <c r="D96" s="15">
        <f>IF(OR(D95="",D87=""),"",IF(D87&lt;=0,"",IFERROR(D95/D87,"")))</f>
        <v/>
      </c>
      <c r="E96" s="15">
        <f>IF(OR(E95="",E87=""),"",IF(E87&lt;=0,"",IFERROR(E95/E87,"")))</f>
        <v/>
      </c>
      <c r="F96" s="15">
        <f>IF(OR(F95="",F87=""),"",IF(F87&lt;=0,"",IFERROR(F95/F87,"")))</f>
        <v/>
      </c>
      <c r="G96" s="15">
        <f>IF(OR(G95="",G87=""),"",IF(G87&lt;=0,"",IFERROR(G95/G87,"")))</f>
        <v/>
      </c>
      <c r="H96" s="15">
        <f>IF(OR(H95="",H87=""),"",IF(H87&lt;=0,"",IFERROR(H95/H87,"")))</f>
        <v/>
      </c>
      <c r="I96" s="15">
        <f>IF(OR(I95="",I87=""),"",IF(I87&lt;=0,"",IFERROR(I95/I87,"")))</f>
        <v/>
      </c>
      <c r="J96" s="15">
        <f>IF(OR(J95="",J87=""),"",IF(J87&lt;=0,"",IFERROR(J95/J87,"")))</f>
        <v/>
      </c>
      <c r="K96" s="15">
        <f>IF(OR(K95="",K87=""),"",IF(K87&lt;=0,"",IFERROR(K95/K87,"")))</f>
        <v/>
      </c>
      <c r="L96" s="15">
        <f>IF(OR(L95="",L87=""),"",IF(L87&lt;=0,"",IFERROR(L95/L87,"")))</f>
        <v/>
      </c>
      <c r="M96" s="15">
        <f>IF(OR(M95="",M87=""),"",IF(M87&lt;=0,"",IFERROR(M95/M87,"")))</f>
        <v/>
      </c>
      <c r="N96" s="15">
        <f>IF(OR(N95="",N87=""),"",IF(N87&lt;=0,"",IFERROR(N95/N87,"")))</f>
        <v/>
      </c>
      <c r="T96" s="15">
        <f>IF(OR(T95="",T87=""),"",IF(T87&lt;=0,"",IFERROR(T95/T87,"")))</f>
        <v/>
      </c>
      <c r="U96" s="15">
        <f>IF(OR(U95="",U87=""),"",IF(U87&lt;=0,"",IFERROR(U95/U87,"")))</f>
        <v/>
      </c>
      <c r="V96" s="15">
        <f>IF(OR(V95="",V87=""),"",IF(V87&lt;=0,"",IFERROR(V95/V87,"")))</f>
        <v/>
      </c>
      <c r="W96" s="15">
        <f>IF(OR(W95="",W87=""),"",IF(W87&lt;=0,"",IFERROR(W95/W87,"")))</f>
        <v/>
      </c>
      <c r="X96" s="15">
        <f>IF(OR(X95="",X87=""),"",IF(X87&lt;=0,"",IFERROR(X95/X87,"")))</f>
        <v/>
      </c>
    </row>
    <row r="97">
      <c r="A97" s="43" t="inlineStr">
        <is>
          <t>YoY</t>
        </is>
      </c>
      <c r="B97" s="3" t="inlineStr">
        <is>
          <t>전년 같은 분기·전년 대비</t>
        </is>
      </c>
      <c r="G97" s="15">
        <f>IF(OR(G95="",C95=""),"",IF(C95&lt;=0,"",IFERROR(G95/C95-1,"")))</f>
        <v/>
      </c>
      <c r="H97" s="15">
        <f>IF(OR(H95="",D95=""),"",IF(D95&lt;=0,"",IFERROR(H95/D95-1,"")))</f>
        <v/>
      </c>
      <c r="I97" s="15">
        <f>IF(OR(I95="",E95=""),"",IF(E95&lt;=0,"",IFERROR(I95/E95-1,"")))</f>
        <v/>
      </c>
      <c r="J97" s="15">
        <f>IF(OR(J95="",F95=""),"",IF(F95&lt;=0,"",IFERROR(J95/F95-1,"")))</f>
        <v/>
      </c>
      <c r="K97" s="15">
        <f>IF(OR(K95="",G95=""),"",IF(G95&lt;=0,"",IFERROR(K95/G95-1,"")))</f>
        <v/>
      </c>
      <c r="L97" s="15">
        <f>IF(OR(L95="",H95=""),"",IF(H95&lt;=0,"",IFERROR(L95/H95-1,"")))</f>
        <v/>
      </c>
      <c r="M97" s="15">
        <f>IF(OR(M95="",I95=""),"",IF(I95&lt;=0,"",IFERROR(M95/I95-1,"")))</f>
        <v/>
      </c>
      <c r="N97" s="15">
        <f>IF(OR(N95="",J95=""),"",IF(J95&lt;=0,"",IFERROR(N95/J95-1,"")))</f>
        <v/>
      </c>
      <c r="T97" s="15">
        <f>IF(OR(T95="",S95=""),"",IF(S95&lt;=0,"",IFERROR(T95/S95-1,"")))</f>
        <v/>
      </c>
      <c r="U97" s="15">
        <f>IF(OR(U95="",T95=""),"",IF(T95&lt;=0,"",IFERROR(U95/T95-1,"")))</f>
        <v/>
      </c>
      <c r="V97" s="15">
        <f>IF(OR(V95="",U95=""),"",IF(U95&lt;=0,"",IFERROR(V95/U95-1,"")))</f>
        <v/>
      </c>
      <c r="W97" s="15">
        <f>IF(OR(W95="",V95=""),"",IF(V95&lt;=0,"",IFERROR(W95/V95-1,"")))</f>
        <v/>
      </c>
      <c r="X97" s="15">
        <f>IF(OR(X95="",W95=""),"",IF(W95&lt;=0,"",IFERROR(X95/W95-1,"")))</f>
        <v/>
      </c>
    </row>
    <row r="98">
      <c r="A98" s="18" t="inlineStr">
        <is>
          <t>이자수익</t>
        </is>
      </c>
      <c r="C98" s="20" t="n">
        <v>5</v>
      </c>
      <c r="D98" s="20" t="n">
        <v>5</v>
      </c>
      <c r="E98" s="20" t="n">
        <v>3</v>
      </c>
      <c r="F98" s="20" t="n">
        <v>5</v>
      </c>
      <c r="G98" s="20" t="n">
        <v>2</v>
      </c>
      <c r="H98" s="20" t="n">
        <v>8</v>
      </c>
      <c r="I98" s="20" t="n">
        <v>11</v>
      </c>
      <c r="J98" s="20" t="n">
        <v>25</v>
      </c>
      <c r="K98" s="20" t="n">
        <v>18</v>
      </c>
      <c r="L98" s="20" t="n">
        <v>25</v>
      </c>
      <c r="M98" s="20" t="n">
        <v>26</v>
      </c>
      <c r="N98" s="20" t="n">
        <v>54</v>
      </c>
      <c r="T98" s="20" t="n">
        <v>3</v>
      </c>
      <c r="U98" s="20" t="n">
        <v>2</v>
      </c>
      <c r="V98" s="20" t="n">
        <v>5</v>
      </c>
      <c r="W98" s="20" t="n">
        <v>8</v>
      </c>
      <c r="X98" s="20" t="n">
        <v>25</v>
      </c>
    </row>
    <row r="99">
      <c r="A99" s="18" t="inlineStr">
        <is>
          <t>배당금수익</t>
        </is>
      </c>
      <c r="C99" s="20" t="n">
        <v>140</v>
      </c>
      <c r="D99" s="20" t="n">
        <v>18</v>
      </c>
      <c r="E99" s="20" t="n">
        <v>267</v>
      </c>
      <c r="F99" s="20" t="n">
        <v>20</v>
      </c>
      <c r="G99" s="20" t="n">
        <v>216</v>
      </c>
      <c r="H99" s="20" t="n">
        <v>26</v>
      </c>
      <c r="I99" s="20" t="n">
        <v>330</v>
      </c>
      <c r="J99" s="20" t="n">
        <v>34</v>
      </c>
      <c r="K99" s="20" t="n">
        <v>242</v>
      </c>
      <c r="L99" s="20" t="n">
        <v>30</v>
      </c>
      <c r="M99" s="20" t="n">
        <v>378</v>
      </c>
      <c r="N99" s="20" t="n">
        <v>28</v>
      </c>
      <c r="T99" s="20" t="n">
        <v>16</v>
      </c>
      <c r="U99" s="20" t="n">
        <v>44</v>
      </c>
      <c r="V99" s="20" t="n">
        <v>18</v>
      </c>
      <c r="W99" s="20" t="n">
        <v>26</v>
      </c>
      <c r="X99" s="20" t="n">
        <v>30</v>
      </c>
    </row>
    <row r="100">
      <c r="A100" s="18" t="inlineStr">
        <is>
          <t>기타</t>
        </is>
      </c>
      <c r="C100" s="20" t="n">
        <v>2</v>
      </c>
      <c r="E100" s="20" t="n">
        <v>4</v>
      </c>
      <c r="F100" s="20" t="n">
        <v>14</v>
      </c>
      <c r="G100" s="20" t="n">
        <v>2</v>
      </c>
      <c r="I100" s="20" t="n">
        <v>3</v>
      </c>
      <c r="J100" s="20" t="n">
        <v>10</v>
      </c>
      <c r="K100" s="20" t="n">
        <v>2</v>
      </c>
      <c r="M100" s="20" t="n">
        <v>8</v>
      </c>
      <c r="N100" s="20" t="n">
        <v>23</v>
      </c>
    </row>
    <row r="101">
      <c r="A101" s="18" t="inlineStr">
        <is>
          <t>영업외수익 합계</t>
        </is>
      </c>
      <c r="C101" s="20" t="n">
        <v>147</v>
      </c>
      <c r="D101" s="20" t="n">
        <v>54</v>
      </c>
      <c r="E101" s="20" t="n">
        <v>275</v>
      </c>
      <c r="F101" s="20" t="n">
        <v>39</v>
      </c>
      <c r="G101" s="20" t="n">
        <v>220</v>
      </c>
      <c r="H101" s="20" t="n">
        <v>41</v>
      </c>
      <c r="I101" s="20" t="n">
        <v>345</v>
      </c>
      <c r="J101" s="20" t="n">
        <v>69</v>
      </c>
      <c r="K101" s="20" t="n">
        <v>262</v>
      </c>
      <c r="L101" s="20" t="n">
        <v>66</v>
      </c>
      <c r="M101" s="20" t="n">
        <v>413</v>
      </c>
      <c r="N101" s="20" t="n">
        <v>106</v>
      </c>
      <c r="T101" s="20" t="n">
        <v>27</v>
      </c>
      <c r="U101" s="20" t="n">
        <v>52</v>
      </c>
      <c r="V101" s="20" t="n">
        <v>54</v>
      </c>
      <c r="W101" s="20" t="n">
        <v>41</v>
      </c>
      <c r="X101" s="20" t="n">
        <v>66</v>
      </c>
    </row>
    <row r="102">
      <c r="A102" s="43" t="inlineStr">
        <is>
          <t>YoY</t>
        </is>
      </c>
      <c r="B102" s="3" t="inlineStr">
        <is>
          <t>전년 같은 분기·전년 대비</t>
        </is>
      </c>
      <c r="G102" s="15">
        <f>IF(OR(G101="",C101=""),"",IF(G101*C101&lt;=0,"",IFERROR(G101/C101-1,"")))</f>
        <v/>
      </c>
      <c r="H102" s="15">
        <f>IF(OR(H101="",D101=""),"",IF(H101*D101&lt;=0,"",IFERROR(H101/D101-1,"")))</f>
        <v/>
      </c>
      <c r="I102" s="15">
        <f>IF(OR(I101="",E101=""),"",IF(I101*E101&lt;=0,"",IFERROR(I101/E101-1,"")))</f>
        <v/>
      </c>
      <c r="J102" s="15">
        <f>IF(OR(J101="",F101=""),"",IF(J101*F101&lt;=0,"",IFERROR(J101/F101-1,"")))</f>
        <v/>
      </c>
      <c r="K102" s="15">
        <f>IF(OR(K101="",G101=""),"",IF(K101*G101&lt;=0,"",IFERROR(K101/G101-1,"")))</f>
        <v/>
      </c>
      <c r="L102" s="15">
        <f>IF(OR(L101="",H101=""),"",IF(L101*H101&lt;=0,"",IFERROR(L101/H101-1,"")))</f>
        <v/>
      </c>
      <c r="M102" s="15">
        <f>IF(OR(M101="",I101=""),"",IF(M101*I101&lt;=0,"",IFERROR(M101/I101-1,"")))</f>
        <v/>
      </c>
      <c r="N102" s="15">
        <f>IF(OR(N101="",J101=""),"",IF(N101*J101&lt;=0,"",IFERROR(N101/J101-1,"")))</f>
        <v/>
      </c>
      <c r="T102" s="15">
        <f>IF(OR(T101="",S101=""),"",IF(T101*S101&lt;=0,"",IFERROR(T101/S101-1,"")))</f>
        <v/>
      </c>
      <c r="U102" s="15">
        <f>IF(OR(U101="",T101=""),"",IF(U101*T101&lt;=0,"",IFERROR(U101/T101-1,"")))</f>
        <v/>
      </c>
      <c r="V102" s="15">
        <f>IF(OR(V101="",U101=""),"",IF(V101*U101&lt;=0,"",IFERROR(V101/U101-1,"")))</f>
        <v/>
      </c>
      <c r="W102" s="15">
        <f>IF(OR(W101="",V101=""),"",IF(W101*V101&lt;=0,"",IFERROR(W101/V101-1,"")))</f>
        <v/>
      </c>
      <c r="X102" s="15">
        <f>IF(OR(X101="",W101=""),"",IF(X101*W101&lt;=0,"",IFERROR(X101/W101-1,"")))</f>
        <v/>
      </c>
    </row>
    <row r="103">
      <c r="A103" s="18" t="inlineStr">
        <is>
          <t>이자비용</t>
        </is>
      </c>
      <c r="C103" s="20" t="n">
        <v>418</v>
      </c>
      <c r="D103" s="20" t="n">
        <v>428</v>
      </c>
      <c r="E103" s="20" t="n">
        <v>445</v>
      </c>
      <c r="F103" s="20" t="n">
        <v>453</v>
      </c>
      <c r="G103" s="20" t="n">
        <v>471</v>
      </c>
      <c r="H103" s="20" t="n">
        <v>522</v>
      </c>
      <c r="I103" s="20" t="n">
        <v>596</v>
      </c>
      <c r="J103" s="20" t="n">
        <v>607</v>
      </c>
      <c r="K103" s="20" t="n">
        <v>626</v>
      </c>
      <c r="L103" s="20" t="n">
        <v>681</v>
      </c>
      <c r="M103" s="20" t="n">
        <v>757</v>
      </c>
      <c r="N103" s="20" t="n">
        <v>801</v>
      </c>
      <c r="T103" s="20" t="n">
        <v>349</v>
      </c>
      <c r="U103" s="20" t="n">
        <v>388</v>
      </c>
      <c r="V103" s="20" t="n">
        <v>428</v>
      </c>
      <c r="W103" s="20" t="n">
        <v>522</v>
      </c>
      <c r="X103" s="20" t="n">
        <v>681</v>
      </c>
    </row>
    <row r="104">
      <c r="A104" s="18" t="inlineStr">
        <is>
          <t>기타</t>
        </is>
      </c>
      <c r="C104" s="20" t="n">
        <v>48</v>
      </c>
      <c r="E104" s="20" t="n">
        <v>51</v>
      </c>
      <c r="F104" s="20" t="n">
        <v>37</v>
      </c>
      <c r="G104" s="20" t="n">
        <v>36</v>
      </c>
      <c r="I104" s="20" t="n">
        <v>73</v>
      </c>
      <c r="J104" s="20" t="n">
        <v>72</v>
      </c>
      <c r="K104" s="20" t="n">
        <v>73</v>
      </c>
      <c r="M104" s="20" t="n">
        <v>71</v>
      </c>
      <c r="N104" s="20" t="n">
        <v>101</v>
      </c>
    </row>
    <row r="105">
      <c r="A105" s="18" t="inlineStr">
        <is>
          <t>영업외비용 합계</t>
        </is>
      </c>
      <c r="C105" s="20" t="n">
        <v>466</v>
      </c>
      <c r="D105" s="20" t="n">
        <v>615</v>
      </c>
      <c r="E105" s="20" t="n">
        <v>496</v>
      </c>
      <c r="F105" s="20" t="n">
        <v>490</v>
      </c>
      <c r="G105" s="20" t="n">
        <v>508</v>
      </c>
      <c r="H105" s="20" t="n">
        <v>626</v>
      </c>
      <c r="I105" s="20" t="n">
        <v>670</v>
      </c>
      <c r="J105" s="20" t="n">
        <v>679</v>
      </c>
      <c r="K105" s="20" t="n">
        <v>699</v>
      </c>
      <c r="L105" s="20" t="n">
        <v>824</v>
      </c>
      <c r="M105" s="20" t="n">
        <v>829</v>
      </c>
      <c r="N105" s="20" t="n">
        <v>901</v>
      </c>
      <c r="T105" s="20" t="n">
        <v>424</v>
      </c>
      <c r="U105" s="20" t="n">
        <v>459</v>
      </c>
      <c r="V105" s="20" t="n">
        <v>615</v>
      </c>
      <c r="W105" s="20" t="n">
        <v>626</v>
      </c>
      <c r="X105" s="20" t="n">
        <v>824</v>
      </c>
    </row>
    <row r="106">
      <c r="A106" s="43" t="inlineStr">
        <is>
          <t>YoY</t>
        </is>
      </c>
      <c r="B106" s="3" t="inlineStr">
        <is>
          <t>전년 같은 분기·전년 대비</t>
        </is>
      </c>
      <c r="G106" s="15">
        <f>IF(OR(G105="",C105=""),"",IF(G105*C105&lt;=0,"",IFERROR(G105/C105-1,"")))</f>
        <v/>
      </c>
      <c r="H106" s="15">
        <f>IF(OR(H105="",D105=""),"",IF(H105*D105&lt;=0,"",IFERROR(H105/D105-1,"")))</f>
        <v/>
      </c>
      <c r="I106" s="15">
        <f>IF(OR(I105="",E105=""),"",IF(I105*E105&lt;=0,"",IFERROR(I105/E105-1,"")))</f>
        <v/>
      </c>
      <c r="J106" s="15">
        <f>IF(OR(J105="",F105=""),"",IF(J105*F105&lt;=0,"",IFERROR(J105/F105-1,"")))</f>
        <v/>
      </c>
      <c r="K106" s="15">
        <f>IF(OR(K105="",G105=""),"",IF(K105*G105&lt;=0,"",IFERROR(K105/G105-1,"")))</f>
        <v/>
      </c>
      <c r="L106" s="15">
        <f>IF(OR(L105="",H105=""),"",IF(L105*H105&lt;=0,"",IFERROR(L105/H105-1,"")))</f>
        <v/>
      </c>
      <c r="M106" s="15">
        <f>IF(OR(M105="",I105=""),"",IF(M105*I105&lt;=0,"",IFERROR(M105/I105-1,"")))</f>
        <v/>
      </c>
      <c r="N106" s="15">
        <f>IF(OR(N105="",J105=""),"",IF(N105*J105&lt;=0,"",IFERROR(N105/J105-1,"")))</f>
        <v/>
      </c>
      <c r="T106" s="15">
        <f>IF(OR(T105="",S105=""),"",IF(T105*S105&lt;=0,"",IFERROR(T105/S105-1,"")))</f>
        <v/>
      </c>
      <c r="U106" s="15">
        <f>IF(OR(U105="",T105=""),"",IF(U105*T105&lt;=0,"",IFERROR(U105/T105-1,"")))</f>
        <v/>
      </c>
      <c r="V106" s="15">
        <f>IF(OR(V105="",U105=""),"",IF(V105*U105&lt;=0,"",IFERROR(V105/U105-1,"")))</f>
        <v/>
      </c>
      <c r="W106" s="15">
        <f>IF(OR(W105="",V105=""),"",IF(W105*V105&lt;=0,"",IFERROR(W105/V105-1,"")))</f>
        <v/>
      </c>
      <c r="X106" s="15">
        <f>IF(OR(X105="",W105=""),"",IF(X105*W105&lt;=0,"",IFERROR(X105/W105-1,"")))</f>
        <v/>
      </c>
    </row>
    <row r="107">
      <c r="A107" s="9" t="inlineStr">
        <is>
          <t>경상이익</t>
        </is>
      </c>
      <c r="C107" s="12" t="n">
        <v>1379</v>
      </c>
      <c r="D107" s="12" t="n">
        <v>1510</v>
      </c>
      <c r="E107" s="12" t="n">
        <v>2739</v>
      </c>
      <c r="F107" s="12" t="n">
        <v>1842</v>
      </c>
      <c r="G107" s="12" t="n">
        <v>1939</v>
      </c>
      <c r="H107" s="12" t="n">
        <v>5131</v>
      </c>
      <c r="I107" s="12" t="n">
        <v>3114</v>
      </c>
      <c r="J107" s="12" t="n">
        <v>1717</v>
      </c>
      <c r="K107" s="12" t="n">
        <v>2456</v>
      </c>
      <c r="L107" s="12" t="n">
        <v>5693</v>
      </c>
      <c r="M107" s="12" t="n">
        <v>2372</v>
      </c>
      <c r="N107" s="12" t="n">
        <v>3821</v>
      </c>
      <c r="T107" s="12" t="n">
        <v>2901</v>
      </c>
      <c r="U107" s="12" t="n">
        <v>3538</v>
      </c>
      <c r="V107" s="12" t="n">
        <v>1510</v>
      </c>
      <c r="W107" s="12" t="n">
        <v>5131</v>
      </c>
      <c r="X107" s="12" t="n">
        <v>5693</v>
      </c>
    </row>
    <row r="108">
      <c r="A108" s="43" t="inlineStr">
        <is>
          <t>YoY</t>
        </is>
      </c>
      <c r="B108" s="3" t="inlineStr">
        <is>
          <t>전년 같은 분기·전년 대비</t>
        </is>
      </c>
      <c r="G108" s="15">
        <f>IF(OR(G107="",C107=""),"",IF(C107&lt;=0,"",IFERROR(G107/C107-1,"")))</f>
        <v/>
      </c>
      <c r="H108" s="15">
        <f>IF(OR(H107="",D107=""),"",IF(D107&lt;=0,"",IFERROR(H107/D107-1,"")))</f>
        <v/>
      </c>
      <c r="I108" s="15">
        <f>IF(OR(I107="",E107=""),"",IF(E107&lt;=0,"",IFERROR(I107/E107-1,"")))</f>
        <v/>
      </c>
      <c r="J108" s="15">
        <f>IF(OR(J107="",F107=""),"",IF(F107&lt;=0,"",IFERROR(J107/F107-1,"")))</f>
        <v/>
      </c>
      <c r="K108" s="15">
        <f>IF(OR(K107="",G107=""),"",IF(G107&lt;=0,"",IFERROR(K107/G107-1,"")))</f>
        <v/>
      </c>
      <c r="L108" s="15">
        <f>IF(OR(L107="",H107=""),"",IF(H107&lt;=0,"",IFERROR(L107/H107-1,"")))</f>
        <v/>
      </c>
      <c r="M108" s="15">
        <f>IF(OR(M107="",I107=""),"",IF(I107&lt;=0,"",IFERROR(M107/I107-1,"")))</f>
        <v/>
      </c>
      <c r="N108" s="15">
        <f>IF(OR(N107="",J107=""),"",IF(J107&lt;=0,"",IFERROR(N107/J107-1,"")))</f>
        <v/>
      </c>
      <c r="T108" s="15">
        <f>IF(OR(T107="",S107=""),"",IF(S107&lt;=0,"",IFERROR(T107/S107-1,"")))</f>
        <v/>
      </c>
      <c r="U108" s="15">
        <f>IF(OR(U107="",T107=""),"",IF(T107&lt;=0,"",IFERROR(U107/T107-1,"")))</f>
        <v/>
      </c>
      <c r="V108" s="15">
        <f>IF(OR(V107="",U107=""),"",IF(U107&lt;=0,"",IFERROR(V107/U107-1,"")))</f>
        <v/>
      </c>
      <c r="W108" s="15">
        <f>IF(OR(W107="",V107=""),"",IF(V107&lt;=0,"",IFERROR(W107/V107-1,"")))</f>
        <v/>
      </c>
      <c r="X108" s="15">
        <f>IF(OR(X107="",W107=""),"",IF(W107&lt;=0,"",IFERROR(X107/W107-1,"")))</f>
        <v/>
      </c>
    </row>
    <row r="109">
      <c r="A109" s="18" t="inlineStr">
        <is>
          <t>고정자산 매각이익</t>
        </is>
      </c>
      <c r="E109" s="20" t="n">
        <v>0</v>
      </c>
      <c r="F109" s="20" t="n">
        <v>0</v>
      </c>
      <c r="G109" s="20" t="n">
        <v>0</v>
      </c>
      <c r="H109" s="20" t="n">
        <v>0</v>
      </c>
      <c r="I109" s="20" t="n">
        <v>40</v>
      </c>
      <c r="J109" s="20" t="n">
        <v>0</v>
      </c>
      <c r="K109" s="20" t="n">
        <v>0</v>
      </c>
      <c r="L109" s="20" t="n">
        <v>0</v>
      </c>
      <c r="M109" s="20" t="n">
        <v>0</v>
      </c>
      <c r="N109" s="20" t="n">
        <v>0</v>
      </c>
      <c r="T109" s="20" t="n">
        <v>0</v>
      </c>
      <c r="U109" s="20" t="n">
        <v>0</v>
      </c>
      <c r="W109" s="20" t="n">
        <v>0</v>
      </c>
      <c r="X109" s="20" t="n">
        <v>0</v>
      </c>
    </row>
    <row r="110">
      <c r="A110" s="18" t="inlineStr">
        <is>
          <t>투자유가증권 매각이익</t>
        </is>
      </c>
      <c r="C110" s="20" t="n">
        <v>0</v>
      </c>
      <c r="D110" s="20" t="n">
        <v>18</v>
      </c>
      <c r="E110" s="20" t="n">
        <v>0</v>
      </c>
      <c r="F110" s="20" t="n">
        <v>0</v>
      </c>
      <c r="G110" s="20" t="n">
        <v>0</v>
      </c>
      <c r="H110" s="20" t="n">
        <v>799</v>
      </c>
      <c r="I110" s="20" t="n">
        <v>479</v>
      </c>
      <c r="J110" s="20" t="n">
        <v>1245</v>
      </c>
      <c r="K110" s="20" t="n">
        <v>144</v>
      </c>
      <c r="L110" s="20" t="n">
        <v>822</v>
      </c>
      <c r="M110" s="20" t="n">
        <v>494</v>
      </c>
      <c r="N110" s="20" t="n">
        <v>408</v>
      </c>
      <c r="T110" s="20" t="n">
        <v>366</v>
      </c>
      <c r="U110" s="20" t="n">
        <v>1263</v>
      </c>
      <c r="V110" s="20" t="n">
        <v>18</v>
      </c>
      <c r="W110" s="20" t="n">
        <v>799</v>
      </c>
      <c r="X110" s="20" t="n">
        <v>822</v>
      </c>
    </row>
    <row r="111">
      <c r="A111" s="18" t="inlineStr">
        <is>
          <t>보조금 수입</t>
        </is>
      </c>
      <c r="C111" s="20" t="n">
        <v>0</v>
      </c>
      <c r="D111" s="20" t="n">
        <v>2</v>
      </c>
      <c r="H111" s="20" t="n">
        <v>0</v>
      </c>
      <c r="I111" s="20" t="n">
        <v>0</v>
      </c>
      <c r="J111" s="20" t="n">
        <v>0</v>
      </c>
      <c r="K111" s="20" t="n">
        <v>85</v>
      </c>
      <c r="L111" s="20" t="n">
        <v>0</v>
      </c>
      <c r="M111" s="20" t="n">
        <v>20</v>
      </c>
      <c r="N111" s="20" t="n">
        <v>0</v>
      </c>
      <c r="T111" s="20" t="n">
        <v>0</v>
      </c>
      <c r="U111" s="20" t="n">
        <v>0</v>
      </c>
      <c r="V111" s="20" t="n">
        <v>2</v>
      </c>
      <c r="W111" s="20" t="n">
        <v>0</v>
      </c>
      <c r="X111" s="20" t="n">
        <v>0</v>
      </c>
    </row>
    <row r="112">
      <c r="A112" s="18" t="inlineStr">
        <is>
          <t>특별이익 합계</t>
        </is>
      </c>
      <c r="C112" s="20" t="n">
        <v>0</v>
      </c>
      <c r="D112" s="20" t="n">
        <v>21</v>
      </c>
      <c r="E112" s="20" t="n">
        <v>0</v>
      </c>
      <c r="F112" s="20" t="n">
        <v>0</v>
      </c>
      <c r="G112" s="20" t="n">
        <v>0</v>
      </c>
      <c r="H112" s="20" t="n">
        <v>799</v>
      </c>
      <c r="I112" s="20" t="n">
        <v>519</v>
      </c>
      <c r="J112" s="20" t="n">
        <v>1245</v>
      </c>
      <c r="K112" s="20" t="n">
        <v>230</v>
      </c>
      <c r="L112" s="20" t="n">
        <v>1254</v>
      </c>
      <c r="M112" s="20" t="n">
        <v>514</v>
      </c>
      <c r="N112" s="20" t="n">
        <v>408</v>
      </c>
      <c r="T112" s="20" t="n">
        <v>366</v>
      </c>
      <c r="U112" s="20" t="n">
        <v>1503</v>
      </c>
      <c r="V112" s="20" t="n">
        <v>21</v>
      </c>
      <c r="W112" s="20" t="n">
        <v>799</v>
      </c>
      <c r="X112" s="20" t="n">
        <v>1254</v>
      </c>
    </row>
    <row r="113">
      <c r="A113" s="43" t="inlineStr">
        <is>
          <t>YoY</t>
        </is>
      </c>
      <c r="B113" s="3" t="inlineStr">
        <is>
          <t>전년 같은 분기·전년 대비</t>
        </is>
      </c>
      <c r="G113" s="15">
        <f>IF(OR(G112="",C112=""),"",IF(G112*C112&lt;=0,"",IFERROR(G112/C112-1,"")))</f>
        <v/>
      </c>
      <c r="H113" s="15">
        <f>IF(OR(H112="",D112=""),"",IF(H112*D112&lt;=0,"",IFERROR(H112/D112-1,"")))</f>
        <v/>
      </c>
      <c r="I113" s="15">
        <f>IF(OR(I112="",E112=""),"",IF(I112*E112&lt;=0,"",IFERROR(I112/E112-1,"")))</f>
        <v/>
      </c>
      <c r="J113" s="15">
        <f>IF(OR(J112="",F112=""),"",IF(J112*F112&lt;=0,"",IFERROR(J112/F112-1,"")))</f>
        <v/>
      </c>
      <c r="K113" s="15">
        <f>IF(OR(K112="",G112=""),"",IF(K112*G112&lt;=0,"",IFERROR(K112/G112-1,"")))</f>
        <v/>
      </c>
      <c r="L113" s="15">
        <f>IF(OR(L112="",H112=""),"",IF(L112*H112&lt;=0,"",IFERROR(L112/H112-1,"")))</f>
        <v/>
      </c>
      <c r="M113" s="15">
        <f>IF(OR(M112="",I112=""),"",IF(M112*I112&lt;=0,"",IFERROR(M112/I112-1,"")))</f>
        <v/>
      </c>
      <c r="N113" s="15">
        <f>IF(OR(N112="",J112=""),"",IF(N112*J112&lt;=0,"",IFERROR(N112/J112-1,"")))</f>
        <v/>
      </c>
      <c r="T113" s="15">
        <f>IF(OR(T112="",S112=""),"",IF(T112*S112&lt;=0,"",IFERROR(T112/S112-1,"")))</f>
        <v/>
      </c>
      <c r="U113" s="15">
        <f>IF(OR(U112="",T112=""),"",IF(U112*T112&lt;=0,"",IFERROR(U112/T112-1,"")))</f>
        <v/>
      </c>
      <c r="V113" s="15">
        <f>IF(OR(V112="",U112=""),"",IF(V112*U112&lt;=0,"",IFERROR(V112/U112-1,"")))</f>
        <v/>
      </c>
      <c r="W113" s="15">
        <f>IF(OR(W112="",V112=""),"",IF(W112*V112&lt;=0,"",IFERROR(W112/V112-1,"")))</f>
        <v/>
      </c>
      <c r="X113" s="15">
        <f>IF(OR(X112="",W112=""),"",IF(X112*W112&lt;=0,"",IFERROR(X112/W112-1,"")))</f>
        <v/>
      </c>
    </row>
    <row r="114">
      <c r="A114" s="18" t="inlineStr">
        <is>
          <t>고정자산 제각손실</t>
        </is>
      </c>
      <c r="C114" s="20" t="n">
        <v>1</v>
      </c>
      <c r="D114" s="20" t="n">
        <v>8</v>
      </c>
      <c r="E114" s="20" t="n">
        <v>4</v>
      </c>
      <c r="F114" s="20" t="n">
        <v>4</v>
      </c>
      <c r="G114" s="20" t="n">
        <v>3</v>
      </c>
      <c r="H114" s="20" t="n">
        <v>5</v>
      </c>
      <c r="I114" s="20" t="n">
        <v>2</v>
      </c>
      <c r="J114" s="20" t="n">
        <v>0</v>
      </c>
      <c r="K114" s="20" t="n">
        <v>1</v>
      </c>
      <c r="L114" s="20" t="n">
        <v>2</v>
      </c>
      <c r="M114" s="20" t="n">
        <v>5</v>
      </c>
      <c r="N114" s="20" t="n">
        <v>11</v>
      </c>
      <c r="T114" s="20" t="n">
        <v>25</v>
      </c>
      <c r="U114" s="20" t="n">
        <v>14</v>
      </c>
      <c r="V114" s="20" t="n">
        <v>8</v>
      </c>
      <c r="W114" s="20" t="n">
        <v>5</v>
      </c>
      <c r="X114" s="20" t="n">
        <v>2</v>
      </c>
    </row>
    <row r="115">
      <c r="A115" s="18" t="inlineStr">
        <is>
          <t>재건축 관련 손실</t>
        </is>
      </c>
      <c r="T115" s="20" t="n">
        <v>0</v>
      </c>
      <c r="U115" s="20" t="n">
        <v>0</v>
      </c>
    </row>
    <row r="116">
      <c r="A116" s="18" t="inlineStr">
        <is>
          <t>고정자산 압축손실</t>
        </is>
      </c>
      <c r="C116" s="20" t="n">
        <v>0</v>
      </c>
      <c r="D116" s="20" t="n">
        <v>2</v>
      </c>
      <c r="H116" s="20" t="n">
        <v>0</v>
      </c>
      <c r="I116" s="20" t="n">
        <v>0</v>
      </c>
      <c r="J116" s="20" t="n">
        <v>0</v>
      </c>
      <c r="K116" s="20" t="n">
        <v>85</v>
      </c>
      <c r="L116" s="20" t="n">
        <v>60</v>
      </c>
      <c r="M116" s="20" t="n">
        <v>17</v>
      </c>
      <c r="N116" s="20" t="n">
        <v>0</v>
      </c>
      <c r="T116" s="20" t="n">
        <v>0</v>
      </c>
      <c r="U116" s="20" t="n">
        <v>0</v>
      </c>
      <c r="V116" s="20" t="n">
        <v>2</v>
      </c>
      <c r="W116" s="20" t="n">
        <v>0</v>
      </c>
      <c r="X116" s="20" t="n">
        <v>60</v>
      </c>
    </row>
    <row r="117">
      <c r="A117" s="18" t="inlineStr">
        <is>
          <t>특별손실 합계</t>
        </is>
      </c>
      <c r="C117" s="20" t="n">
        <v>1</v>
      </c>
      <c r="D117" s="20" t="n">
        <v>259</v>
      </c>
      <c r="E117" s="20" t="n">
        <v>4</v>
      </c>
      <c r="F117" s="20" t="n">
        <v>4</v>
      </c>
      <c r="G117" s="20" t="n">
        <v>3</v>
      </c>
      <c r="H117" s="20" t="n">
        <v>5</v>
      </c>
      <c r="I117" s="20" t="n">
        <v>2</v>
      </c>
      <c r="J117" s="20" t="n">
        <v>0</v>
      </c>
      <c r="K117" s="20" t="n">
        <v>87</v>
      </c>
      <c r="L117" s="20" t="n">
        <v>241</v>
      </c>
      <c r="M117" s="20" t="n">
        <v>23</v>
      </c>
      <c r="N117" s="20" t="n">
        <v>11</v>
      </c>
      <c r="T117" s="20" t="n">
        <v>27</v>
      </c>
      <c r="U117" s="20" t="n">
        <v>123</v>
      </c>
      <c r="V117" s="20" t="n">
        <v>259</v>
      </c>
      <c r="W117" s="20" t="n">
        <v>5</v>
      </c>
      <c r="X117" s="20" t="n">
        <v>241</v>
      </c>
    </row>
    <row r="118">
      <c r="A118" s="43" t="inlineStr">
        <is>
          <t>YoY</t>
        </is>
      </c>
      <c r="B118" s="3" t="inlineStr">
        <is>
          <t>전년 같은 분기·전년 대비</t>
        </is>
      </c>
      <c r="G118" s="15">
        <f>IF(OR(G117="",C117=""),"",IF(G117*C117&lt;=0,"",IFERROR(G117/C117-1,"")))</f>
        <v/>
      </c>
      <c r="H118" s="15">
        <f>IF(OR(H117="",D117=""),"",IF(H117*D117&lt;=0,"",IFERROR(H117/D117-1,"")))</f>
        <v/>
      </c>
      <c r="I118" s="15">
        <f>IF(OR(I117="",E117=""),"",IF(I117*E117&lt;=0,"",IFERROR(I117/E117-1,"")))</f>
        <v/>
      </c>
      <c r="J118" s="15">
        <f>IF(OR(J117="",F117=""),"",IF(J117*F117&lt;=0,"",IFERROR(J117/F117-1,"")))</f>
        <v/>
      </c>
      <c r="K118" s="15">
        <f>IF(OR(K117="",G117=""),"",IF(K117*G117&lt;=0,"",IFERROR(K117/G117-1,"")))</f>
        <v/>
      </c>
      <c r="L118" s="15">
        <f>IF(OR(L117="",H117=""),"",IF(L117*H117&lt;=0,"",IFERROR(L117/H117-1,"")))</f>
        <v/>
      </c>
      <c r="M118" s="15">
        <f>IF(OR(M117="",I117=""),"",IF(M117*I117&lt;=0,"",IFERROR(M117/I117-1,"")))</f>
        <v/>
      </c>
      <c r="N118" s="15">
        <f>IF(OR(N117="",J117=""),"",IF(N117*J117&lt;=0,"",IFERROR(N117/J117-1,"")))</f>
        <v/>
      </c>
      <c r="T118" s="15">
        <f>IF(OR(T117="",S117=""),"",IF(T117*S117&lt;=0,"",IFERROR(T117/S117-1,"")))</f>
        <v/>
      </c>
      <c r="U118" s="15">
        <f>IF(OR(U117="",T117=""),"",IF(U117*T117&lt;=0,"",IFERROR(U117/T117-1,"")))</f>
        <v/>
      </c>
      <c r="V118" s="15">
        <f>IF(OR(V117="",U117=""),"",IF(V117*U117&lt;=0,"",IFERROR(V117/U117-1,"")))</f>
        <v/>
      </c>
      <c r="W118" s="15">
        <f>IF(OR(W117="",V117=""),"",IF(W117*V117&lt;=0,"",IFERROR(W117/V117-1,"")))</f>
        <v/>
      </c>
      <c r="X118" s="15">
        <f>IF(OR(X117="",W117=""),"",IF(X117*W117&lt;=0,"",IFERROR(X117/W117-1,"")))</f>
        <v/>
      </c>
    </row>
    <row r="119">
      <c r="A119" s="9" t="inlineStr">
        <is>
          <t>법인세차감전 순이익</t>
        </is>
      </c>
      <c r="C119" s="12" t="n">
        <v>1378</v>
      </c>
      <c r="D119" s="12" t="n">
        <v>1271</v>
      </c>
      <c r="E119" s="12" t="n">
        <v>2735</v>
      </c>
      <c r="F119" s="12" t="n">
        <v>1838</v>
      </c>
      <c r="G119" s="12" t="n">
        <v>1936</v>
      </c>
      <c r="H119" s="12" t="n">
        <v>5925</v>
      </c>
      <c r="I119" s="12" t="n">
        <v>3631</v>
      </c>
      <c r="J119" s="12" t="n">
        <v>2962</v>
      </c>
      <c r="K119" s="12" t="n">
        <v>2600</v>
      </c>
      <c r="L119" s="12" t="n">
        <v>6705</v>
      </c>
      <c r="M119" s="12" t="n">
        <v>2863</v>
      </c>
      <c r="N119" s="12" t="n">
        <v>4218</v>
      </c>
      <c r="T119" s="12" t="n">
        <v>3239</v>
      </c>
      <c r="U119" s="12" t="n">
        <v>4918</v>
      </c>
      <c r="V119" s="12" t="n">
        <v>1271</v>
      </c>
      <c r="W119" s="12" t="n">
        <v>5925</v>
      </c>
      <c r="X119" s="12" t="n">
        <v>6705</v>
      </c>
    </row>
    <row r="120">
      <c r="A120" s="43" t="inlineStr">
        <is>
          <t>YoY</t>
        </is>
      </c>
      <c r="B120" s="3" t="inlineStr">
        <is>
          <t>전년 같은 분기·전년 대비</t>
        </is>
      </c>
      <c r="G120" s="15">
        <f>IF(OR(G119="",C119=""),"",IF(C119&lt;=0,"",IFERROR(G119/C119-1,"")))</f>
        <v/>
      </c>
      <c r="H120" s="15">
        <f>IF(OR(H119="",D119=""),"",IF(D119&lt;=0,"",IFERROR(H119/D119-1,"")))</f>
        <v/>
      </c>
      <c r="I120" s="15">
        <f>IF(OR(I119="",E119=""),"",IF(E119&lt;=0,"",IFERROR(I119/E119-1,"")))</f>
        <v/>
      </c>
      <c r="J120" s="15">
        <f>IF(OR(J119="",F119=""),"",IF(F119&lt;=0,"",IFERROR(J119/F119-1,"")))</f>
        <v/>
      </c>
      <c r="K120" s="15">
        <f>IF(OR(K119="",G119=""),"",IF(G119&lt;=0,"",IFERROR(K119/G119-1,"")))</f>
        <v/>
      </c>
      <c r="L120" s="15">
        <f>IF(OR(L119="",H119=""),"",IF(H119&lt;=0,"",IFERROR(L119/H119-1,"")))</f>
        <v/>
      </c>
      <c r="M120" s="15">
        <f>IF(OR(M119="",I119=""),"",IF(I119&lt;=0,"",IFERROR(M119/I119-1,"")))</f>
        <v/>
      </c>
      <c r="N120" s="15">
        <f>IF(OR(N119="",J119=""),"",IF(J119&lt;=0,"",IFERROR(N119/J119-1,"")))</f>
        <v/>
      </c>
      <c r="T120" s="15">
        <f>IF(OR(T119="",S119=""),"",IF(S119&lt;=0,"",IFERROR(T119/S119-1,"")))</f>
        <v/>
      </c>
      <c r="U120" s="15">
        <f>IF(OR(U119="",T119=""),"",IF(T119&lt;=0,"",IFERROR(U119/T119-1,"")))</f>
        <v/>
      </c>
      <c r="V120" s="15">
        <f>IF(OR(V119="",U119=""),"",IF(U119&lt;=0,"",IFERROR(V119/U119-1,"")))</f>
        <v/>
      </c>
      <c r="W120" s="15">
        <f>IF(OR(W119="",V119=""),"",IF(V119&lt;=0,"",IFERROR(W119/V119-1,"")))</f>
        <v/>
      </c>
      <c r="X120" s="15">
        <f>IF(OR(X119="",W119=""),"",IF(W119&lt;=0,"",IFERROR(X119/W119-1,"")))</f>
        <v/>
      </c>
    </row>
    <row r="121">
      <c r="A121" s="18" t="inlineStr">
        <is>
          <t>법인세 등</t>
        </is>
      </c>
      <c r="C121" s="20" t="n">
        <v>423</v>
      </c>
      <c r="D121" s="20" t="n">
        <v>435</v>
      </c>
      <c r="E121" s="20" t="n">
        <v>642</v>
      </c>
      <c r="F121" s="20" t="n">
        <v>499</v>
      </c>
      <c r="G121" s="20" t="n">
        <v>429</v>
      </c>
      <c r="H121" s="20" t="n">
        <v>1298</v>
      </c>
      <c r="I121" s="20" t="n">
        <v>1372</v>
      </c>
      <c r="J121" s="20" t="n">
        <v>873</v>
      </c>
      <c r="K121" s="20" t="n">
        <v>782</v>
      </c>
      <c r="L121" s="20" t="n">
        <v>1838</v>
      </c>
      <c r="M121" s="20" t="n">
        <v>1244</v>
      </c>
      <c r="N121" s="20" t="n">
        <v>1241</v>
      </c>
      <c r="T121" s="20" t="n">
        <v>931</v>
      </c>
      <c r="U121" s="20" t="n">
        <v>1451</v>
      </c>
      <c r="V121" s="20" t="n">
        <v>435</v>
      </c>
      <c r="W121" s="20" t="n">
        <v>1298</v>
      </c>
      <c r="X121" s="20" t="n">
        <v>1838</v>
      </c>
    </row>
    <row r="122">
      <c r="A122" s="43" t="inlineStr">
        <is>
          <t>YoY</t>
        </is>
      </c>
      <c r="B122" s="3" t="inlineStr">
        <is>
          <t>전년 같은 분기·전년 대비</t>
        </is>
      </c>
      <c r="G122" s="15">
        <f>IF(OR(G121="",C121=""),"",IF(G121*C121&lt;=0,"",IFERROR(G121/C121-1,"")))</f>
        <v/>
      </c>
      <c r="H122" s="15">
        <f>IF(OR(H121="",D121=""),"",IF(H121*D121&lt;=0,"",IFERROR(H121/D121-1,"")))</f>
        <v/>
      </c>
      <c r="I122" s="15">
        <f>IF(OR(I121="",E121=""),"",IF(I121*E121&lt;=0,"",IFERROR(I121/E121-1,"")))</f>
        <v/>
      </c>
      <c r="J122" s="15">
        <f>IF(OR(J121="",F121=""),"",IF(J121*F121&lt;=0,"",IFERROR(J121/F121-1,"")))</f>
        <v/>
      </c>
      <c r="K122" s="15">
        <f>IF(OR(K121="",G121=""),"",IF(K121*G121&lt;=0,"",IFERROR(K121/G121-1,"")))</f>
        <v/>
      </c>
      <c r="L122" s="15">
        <f>IF(OR(L121="",H121=""),"",IF(L121*H121&lt;=0,"",IFERROR(L121/H121-1,"")))</f>
        <v/>
      </c>
      <c r="M122" s="15">
        <f>IF(OR(M121="",I121=""),"",IF(M121*I121&lt;=0,"",IFERROR(M121/I121-1,"")))</f>
        <v/>
      </c>
      <c r="N122" s="15">
        <f>IF(OR(N121="",J121=""),"",IF(N121*J121&lt;=0,"",IFERROR(N121/J121-1,"")))</f>
        <v/>
      </c>
      <c r="T122" s="15">
        <f>IF(OR(T121="",S121=""),"",IF(T121*S121&lt;=0,"",IFERROR(T121/S121-1,"")))</f>
        <v/>
      </c>
      <c r="U122" s="15">
        <f>IF(OR(U121="",T121=""),"",IF(U121*T121&lt;=0,"",IFERROR(U121/T121-1,"")))</f>
        <v/>
      </c>
      <c r="V122" s="15">
        <f>IF(OR(V121="",U121=""),"",IF(V121*U121&lt;=0,"",IFERROR(V121/U121-1,"")))</f>
        <v/>
      </c>
      <c r="W122" s="15">
        <f>IF(OR(W121="",V121=""),"",IF(W121*V121&lt;=0,"",IFERROR(W121/V121-1,"")))</f>
        <v/>
      </c>
      <c r="X122" s="15">
        <f>IF(OR(X121="",W121=""),"",IF(X121*W121&lt;=0,"",IFERROR(X121/W121-1,"")))</f>
        <v/>
      </c>
    </row>
    <row r="123">
      <c r="A123" s="9" t="inlineStr">
        <is>
          <t>순이익</t>
        </is>
      </c>
      <c r="C123" s="12" t="n">
        <v>955</v>
      </c>
      <c r="D123" s="12" t="n">
        <v>836</v>
      </c>
      <c r="E123" s="12" t="n">
        <v>2093</v>
      </c>
      <c r="F123" s="12" t="n">
        <v>1338</v>
      </c>
      <c r="G123" s="12" t="n">
        <v>1508</v>
      </c>
      <c r="H123" s="12" t="n">
        <v>4626</v>
      </c>
      <c r="I123" s="12" t="n">
        <v>2258</v>
      </c>
      <c r="J123" s="12" t="n">
        <v>2089</v>
      </c>
      <c r="K123" s="12" t="n">
        <v>1819</v>
      </c>
      <c r="L123" s="12" t="n">
        <v>4866</v>
      </c>
      <c r="M123" s="12" t="n">
        <v>1618</v>
      </c>
      <c r="N123" s="12" t="n">
        <v>2977</v>
      </c>
      <c r="T123" s="12" t="n">
        <v>2309</v>
      </c>
      <c r="U123" s="12" t="n">
        <v>3468</v>
      </c>
      <c r="V123" s="12" t="n">
        <v>836</v>
      </c>
      <c r="W123" s="12" t="n">
        <v>4626</v>
      </c>
      <c r="X123" s="12" t="n">
        <v>4866</v>
      </c>
    </row>
    <row r="124">
      <c r="A124" s="43" t="inlineStr">
        <is>
          <t>YoY</t>
        </is>
      </c>
      <c r="B124" s="3" t="inlineStr">
        <is>
          <t>전년 같은 분기·전년 대비</t>
        </is>
      </c>
      <c r="G124" s="15">
        <f>IF(OR(G123="",C123=""),"",IF(C123&lt;=0,"",IFERROR(G123/C123-1,"")))</f>
        <v/>
      </c>
      <c r="H124" s="15">
        <f>IF(OR(H123="",D123=""),"",IF(D123&lt;=0,"",IFERROR(H123/D123-1,"")))</f>
        <v/>
      </c>
      <c r="I124" s="15">
        <f>IF(OR(I123="",E123=""),"",IF(E123&lt;=0,"",IFERROR(I123/E123-1,"")))</f>
        <v/>
      </c>
      <c r="J124" s="15">
        <f>IF(OR(J123="",F123=""),"",IF(F123&lt;=0,"",IFERROR(J123/F123-1,"")))</f>
        <v/>
      </c>
      <c r="K124" s="15">
        <f>IF(OR(K123="",G123=""),"",IF(G123&lt;=0,"",IFERROR(K123/G123-1,"")))</f>
        <v/>
      </c>
      <c r="L124" s="15">
        <f>IF(OR(L123="",H123=""),"",IF(H123&lt;=0,"",IFERROR(L123/H123-1,"")))</f>
        <v/>
      </c>
      <c r="M124" s="15">
        <f>IF(OR(M123="",I123=""),"",IF(I123&lt;=0,"",IFERROR(M123/I123-1,"")))</f>
        <v/>
      </c>
      <c r="N124" s="15">
        <f>IF(OR(N123="",J123=""),"",IF(J123&lt;=0,"",IFERROR(N123/J123-1,"")))</f>
        <v/>
      </c>
      <c r="T124" s="15">
        <f>IF(OR(T123="",S123=""),"",IF(S123&lt;=0,"",IFERROR(T123/S123-1,"")))</f>
        <v/>
      </c>
      <c r="U124" s="15">
        <f>IF(OR(U123="",T123=""),"",IF(T123&lt;=0,"",IFERROR(U123/T123-1,"")))</f>
        <v/>
      </c>
      <c r="V124" s="15">
        <f>IF(OR(V123="",U123=""),"",IF(U123&lt;=0,"",IFERROR(V123/U123-1,"")))</f>
        <v/>
      </c>
      <c r="W124" s="15">
        <f>IF(OR(W123="",V123=""),"",IF(V123&lt;=0,"",IFERROR(W123/V123-1,"")))</f>
        <v/>
      </c>
      <c r="X124" s="15">
        <f>IF(OR(X123="",W123=""),"",IF(W123&lt;=0,"",IFERROR(X123/W123-1,"")))</f>
        <v/>
      </c>
    </row>
    <row r="125">
      <c r="A125" s="9" t="inlineStr">
        <is>
          <t>지배주주 순이익</t>
        </is>
      </c>
      <c r="C125" s="12" t="n">
        <v>955</v>
      </c>
      <c r="D125" s="12" t="n">
        <v>836</v>
      </c>
      <c r="E125" s="12" t="n">
        <v>2093</v>
      </c>
      <c r="F125" s="12" t="n">
        <v>1338</v>
      </c>
      <c r="G125" s="12" t="n">
        <v>1508</v>
      </c>
      <c r="H125" s="12" t="n">
        <v>4626</v>
      </c>
      <c r="I125" s="12" t="n">
        <v>2258</v>
      </c>
      <c r="J125" s="12" t="n">
        <v>2089</v>
      </c>
      <c r="K125" s="12" t="n">
        <v>1819</v>
      </c>
      <c r="L125" s="12" t="n">
        <v>4866</v>
      </c>
      <c r="M125" s="12" t="n">
        <v>1618</v>
      </c>
      <c r="N125" s="12" t="n">
        <v>2977</v>
      </c>
      <c r="T125" s="12" t="n">
        <v>2309</v>
      </c>
      <c r="U125" s="12" t="n">
        <v>3468</v>
      </c>
      <c r="V125" s="12" t="n">
        <v>836</v>
      </c>
      <c r="W125" s="12" t="n">
        <v>4626</v>
      </c>
      <c r="X125" s="12" t="n">
        <v>4866</v>
      </c>
    </row>
    <row r="126">
      <c r="A126" s="43" t="inlineStr">
        <is>
          <t>YoY</t>
        </is>
      </c>
      <c r="B126" s="3" t="inlineStr">
        <is>
          <t>전년 같은 분기·전년 대비</t>
        </is>
      </c>
      <c r="G126" s="15">
        <f>IF(OR(G125="",C125=""),"",IF(C125&lt;=0,"",IFERROR(G125/C125-1,"")))</f>
        <v/>
      </c>
      <c r="H126" s="15">
        <f>IF(OR(H125="",D125=""),"",IF(D125&lt;=0,"",IFERROR(H125/D125-1,"")))</f>
        <v/>
      </c>
      <c r="I126" s="15">
        <f>IF(OR(I125="",E125=""),"",IF(E125&lt;=0,"",IFERROR(I125/E125-1,"")))</f>
        <v/>
      </c>
      <c r="J126" s="15">
        <f>IF(OR(J125="",F125=""),"",IF(F125&lt;=0,"",IFERROR(J125/F125-1,"")))</f>
        <v/>
      </c>
      <c r="K126" s="15">
        <f>IF(OR(K125="",G125=""),"",IF(G125&lt;=0,"",IFERROR(K125/G125-1,"")))</f>
        <v/>
      </c>
      <c r="L126" s="15">
        <f>IF(OR(L125="",H125=""),"",IF(H125&lt;=0,"",IFERROR(L125/H125-1,"")))</f>
        <v/>
      </c>
      <c r="M126" s="15">
        <f>IF(OR(M125="",I125=""),"",IF(I125&lt;=0,"",IFERROR(M125/I125-1,"")))</f>
        <v/>
      </c>
      <c r="N126" s="15">
        <f>IF(OR(N125="",J125=""),"",IF(J125&lt;=0,"",IFERROR(N125/J125-1,"")))</f>
        <v/>
      </c>
      <c r="T126" s="15">
        <f>IF(OR(T125="",S125=""),"",IF(S125&lt;=0,"",IFERROR(T125/S125-1,"")))</f>
        <v/>
      </c>
      <c r="U126" s="15">
        <f>IF(OR(U125="",T125=""),"",IF(T125&lt;=0,"",IFERROR(U125/T125-1,"")))</f>
        <v/>
      </c>
      <c r="V126" s="15">
        <f>IF(OR(V125="",U125=""),"",IF(U125&lt;=0,"",IFERROR(V125/U125-1,"")))</f>
        <v/>
      </c>
      <c r="W126" s="15">
        <f>IF(OR(W125="",V125=""),"",IF(V125&lt;=0,"",IFERROR(W125/V125-1,"")))</f>
        <v/>
      </c>
      <c r="X126" s="15">
        <f>IF(OR(X125="",W125=""),"",IF(W125&lt;=0,"",IFERROR(X125/W125-1,"")))</f>
        <v/>
      </c>
    </row>
    <row r="128">
      <c r="A128" s="16" t="inlineStr">
        <is>
          <t>포괄손익 · 전 항목</t>
        </is>
      </c>
      <c r="B128" s="42" t="inlineStr">
        <is>
          <t>분기 = 3개월 단독</t>
        </is>
      </c>
      <c r="C128" s="16" t="n"/>
      <c r="D128" s="16" t="n"/>
      <c r="E128" s="16" t="n"/>
      <c r="F128" s="16" t="n"/>
      <c r="G128" s="16" t="n"/>
      <c r="H128" s="16" t="n"/>
      <c r="I128" s="16" t="n"/>
      <c r="J128" s="16" t="n"/>
      <c r="K128" s="16" t="n"/>
      <c r="L128" s="16" t="n"/>
      <c r="M128" s="16" t="n"/>
      <c r="N128" s="16" t="n"/>
      <c r="O128" s="16" t="n"/>
      <c r="P128" s="16" t="n"/>
      <c r="Q128" s="16" t="n"/>
      <c r="R128" s="16" t="n"/>
      <c r="S128" s="16" t="n"/>
      <c r="T128" s="16" t="n"/>
      <c r="U128" s="16" t="n"/>
      <c r="V128" s="16" t="n"/>
      <c r="W128" s="16" t="n"/>
      <c r="X128" s="16" t="n"/>
      <c r="Y128" s="16" t="n"/>
      <c r="Z128" s="16" t="n"/>
      <c r="AA128" s="16" t="n"/>
      <c r="AB128" s="16" t="n"/>
      <c r="AC128" s="16" t="n"/>
    </row>
    <row r="129">
      <c r="A129" s="5" t="inlineStr">
        <is>
          <t>항목</t>
        </is>
      </c>
      <c r="B129" s="5" t="inlineStr">
        <is>
          <t>참고</t>
        </is>
      </c>
      <c r="C129" s="5" t="inlineStr">
        <is>
          <t>2024.3Q</t>
        </is>
      </c>
      <c r="D129" s="5" t="inlineStr">
        <is>
          <t>2024.4Q</t>
        </is>
      </c>
      <c r="E129" s="5" t="inlineStr">
        <is>
          <t>2025.1Q</t>
        </is>
      </c>
      <c r="F129" s="5" t="inlineStr">
        <is>
          <t>2025.2Q</t>
        </is>
      </c>
      <c r="G129" s="5" t="inlineStr">
        <is>
          <t>2025.3Q</t>
        </is>
      </c>
      <c r="H129" s="5" t="inlineStr">
        <is>
          <t>2025.4Q</t>
        </is>
      </c>
      <c r="I129" s="5" t="inlineStr">
        <is>
          <t>2026.1Q</t>
        </is>
      </c>
      <c r="J129" s="5" t="inlineStr">
        <is>
          <t>2026.2Q</t>
        </is>
      </c>
      <c r="K129" s="5" t="inlineStr">
        <is>
          <t>2026.3Q</t>
        </is>
      </c>
      <c r="L129" s="5" t="inlineStr">
        <is>
          <t>2026.4Q</t>
        </is>
      </c>
      <c r="M129" s="5" t="inlineStr">
        <is>
          <t>2027.1Q</t>
        </is>
      </c>
      <c r="N129" s="5" t="inlineStr">
        <is>
          <t>2027.2Q</t>
        </is>
      </c>
      <c r="O129" s="5" t="inlineStr">
        <is>
          <t>2017</t>
        </is>
      </c>
      <c r="P129" s="5" t="inlineStr">
        <is>
          <t>2018</t>
        </is>
      </c>
      <c r="Q129" s="5" t="inlineStr">
        <is>
          <t>2019</t>
        </is>
      </c>
      <c r="R129" s="5" t="inlineStr">
        <is>
          <t>2020</t>
        </is>
      </c>
      <c r="S129" s="5" t="inlineStr">
        <is>
          <t>2021</t>
        </is>
      </c>
      <c r="T129" s="5" t="inlineStr">
        <is>
          <t>2022</t>
        </is>
      </c>
      <c r="U129" s="5" t="inlineStr">
        <is>
          <t>2023</t>
        </is>
      </c>
      <c r="V129" s="5" t="inlineStr">
        <is>
          <t>2024</t>
        </is>
      </c>
      <c r="W129" s="5" t="inlineStr">
        <is>
          <t>2025</t>
        </is>
      </c>
      <c r="X129" s="5" t="inlineStr">
        <is>
          <t>2026</t>
        </is>
      </c>
      <c r="Y129" s="5" t="inlineStr">
        <is>
          <t>2027(MW)</t>
        </is>
      </c>
      <c r="Z129" s="5" t="inlineStr">
        <is>
          <t>2028(MW)</t>
        </is>
      </c>
      <c r="AA129" s="5" t="inlineStr">
        <is>
          <t>2029(MW)</t>
        </is>
      </c>
      <c r="AB129" s="5" t="inlineStr">
        <is>
          <t>2030(MW)</t>
        </is>
      </c>
      <c r="AC129" s="5" t="inlineStr">
        <is>
          <t>2031(MW)</t>
        </is>
      </c>
    </row>
    <row r="130">
      <c r="A130" s="9" t="inlineStr">
        <is>
          <t>순이익</t>
        </is>
      </c>
      <c r="C130" s="12" t="n">
        <v>955</v>
      </c>
      <c r="D130" s="12" t="n">
        <v>836</v>
      </c>
      <c r="E130" s="12" t="n">
        <v>2093</v>
      </c>
      <c r="F130" s="12" t="n">
        <v>1338</v>
      </c>
      <c r="G130" s="12" t="n">
        <v>1508</v>
      </c>
      <c r="H130" s="12" t="n">
        <v>4626</v>
      </c>
      <c r="I130" s="12" t="n">
        <v>2258</v>
      </c>
      <c r="J130" s="12" t="n">
        <v>2089</v>
      </c>
      <c r="K130" s="12" t="n">
        <v>1819</v>
      </c>
      <c r="L130" s="12" t="n">
        <v>4866</v>
      </c>
      <c r="M130" s="12" t="n">
        <v>1618</v>
      </c>
      <c r="N130" s="12" t="n">
        <v>2977</v>
      </c>
      <c r="T130" s="12" t="n">
        <v>2309</v>
      </c>
      <c r="U130" s="12" t="n">
        <v>3468</v>
      </c>
      <c r="V130" s="12" t="n">
        <v>836</v>
      </c>
      <c r="W130" s="12" t="n">
        <v>4626</v>
      </c>
      <c r="X130" s="12" t="n">
        <v>4866</v>
      </c>
    </row>
    <row r="131">
      <c r="A131" s="18" t="inlineStr">
        <is>
          <t>기타유가증권 평가차액</t>
        </is>
      </c>
      <c r="C131" s="20" t="n">
        <v>-932</v>
      </c>
      <c r="D131" s="20" t="n">
        <v>2391</v>
      </c>
      <c r="E131" s="20" t="n">
        <v>46</v>
      </c>
      <c r="F131" s="20" t="n">
        <v>-1294</v>
      </c>
      <c r="G131" s="20" t="n">
        <v>-208</v>
      </c>
      <c r="H131" s="20" t="n">
        <v>-617</v>
      </c>
      <c r="I131" s="20" t="n">
        <v>1808</v>
      </c>
      <c r="J131" s="20" t="n">
        <v>2692</v>
      </c>
      <c r="K131" s="20" t="n">
        <v>2482</v>
      </c>
      <c r="L131" s="20" t="n">
        <v>-1722</v>
      </c>
      <c r="M131" s="20" t="n">
        <v>-573</v>
      </c>
      <c r="N131" s="20" t="n">
        <v>-1205</v>
      </c>
      <c r="T131" s="20" t="n">
        <v>-1725</v>
      </c>
      <c r="U131" s="20" t="n">
        <v>-463</v>
      </c>
      <c r="V131" s="20" t="n">
        <v>2391</v>
      </c>
      <c r="W131" s="20" t="n">
        <v>-617</v>
      </c>
      <c r="X131" s="20" t="n">
        <v>-1722</v>
      </c>
    </row>
    <row r="132">
      <c r="A132" s="18" t="inlineStr">
        <is>
          <t>이연헤지손익</t>
        </is>
      </c>
      <c r="C132" s="20" t="n">
        <v>0</v>
      </c>
      <c r="D132" s="20" t="n">
        <v>-6</v>
      </c>
      <c r="E132" s="20" t="n">
        <v>30</v>
      </c>
      <c r="F132" s="20" t="n">
        <v>-17</v>
      </c>
      <c r="G132" s="20" t="n">
        <v>15</v>
      </c>
      <c r="H132" s="20" t="n">
        <v>32</v>
      </c>
      <c r="I132" s="20" t="n">
        <v>10</v>
      </c>
      <c r="J132" s="20" t="n">
        <v>74</v>
      </c>
      <c r="K132" s="20" t="n">
        <v>99</v>
      </c>
      <c r="L132" s="20" t="n">
        <v>74</v>
      </c>
      <c r="M132" s="20" t="n">
        <v>23</v>
      </c>
      <c r="N132" s="20" t="n">
        <v>67</v>
      </c>
      <c r="V132" s="20" t="n">
        <v>-6</v>
      </c>
      <c r="W132" s="20" t="n">
        <v>32</v>
      </c>
      <c r="X132" s="20" t="n">
        <v>74</v>
      </c>
    </row>
    <row r="133">
      <c r="A133" s="18" t="inlineStr">
        <is>
          <t>기타포괄손익 합계</t>
        </is>
      </c>
      <c r="C133" s="20" t="n">
        <v>-932</v>
      </c>
      <c r="D133" s="20" t="n">
        <v>2384</v>
      </c>
      <c r="E133" s="20" t="n">
        <v>77</v>
      </c>
      <c r="F133" s="20" t="n">
        <v>-1312</v>
      </c>
      <c r="G133" s="20" t="n">
        <v>-193</v>
      </c>
      <c r="H133" s="20" t="n">
        <v>-732</v>
      </c>
      <c r="I133" s="20" t="n">
        <v>1818</v>
      </c>
      <c r="J133" s="20" t="n">
        <v>2767</v>
      </c>
      <c r="K133" s="20" t="n">
        <v>2580</v>
      </c>
      <c r="L133" s="20" t="n">
        <v>-1647</v>
      </c>
      <c r="M133" s="20" t="n">
        <v>-549</v>
      </c>
      <c r="N133" s="20" t="n">
        <v>-1138</v>
      </c>
      <c r="T133" s="20" t="n">
        <v>-1675</v>
      </c>
      <c r="U133" s="20" t="n">
        <v>-463</v>
      </c>
      <c r="V133" s="20" t="n">
        <v>2384</v>
      </c>
      <c r="W133" s="20" t="n">
        <v>-732</v>
      </c>
      <c r="X133" s="20" t="n">
        <v>-1647</v>
      </c>
    </row>
    <row r="134">
      <c r="A134" s="9" t="inlineStr">
        <is>
          <t>포괄이익</t>
        </is>
      </c>
      <c r="C134" s="12" t="n">
        <v>22</v>
      </c>
      <c r="D134" s="12" t="n">
        <v>3222</v>
      </c>
      <c r="E134" s="12" t="n">
        <v>2170</v>
      </c>
      <c r="F134" s="12" t="n">
        <v>26</v>
      </c>
      <c r="G134" s="12" t="n">
        <v>1314</v>
      </c>
      <c r="H134" s="12" t="n">
        <v>3895</v>
      </c>
      <c r="I134" s="12" t="n">
        <v>4077</v>
      </c>
      <c r="J134" s="12" t="n">
        <v>4855</v>
      </c>
      <c r="K134" s="12" t="n">
        <v>4399</v>
      </c>
      <c r="L134" s="12" t="n">
        <v>3220</v>
      </c>
      <c r="M134" s="12" t="n">
        <v>1068</v>
      </c>
      <c r="N134" s="12" t="n">
        <v>1839</v>
      </c>
      <c r="T134" s="12" t="n">
        <v>633</v>
      </c>
      <c r="U134" s="12" t="n">
        <v>3004</v>
      </c>
      <c r="V134" s="12" t="n">
        <v>3222</v>
      </c>
      <c r="W134" s="12" t="n">
        <v>3895</v>
      </c>
      <c r="X134" s="12" t="n">
        <v>3220</v>
      </c>
    </row>
    <row r="135">
      <c r="A135" s="9" t="inlineStr">
        <is>
          <t>지배주주 포괄이익</t>
        </is>
      </c>
      <c r="C135" s="12" t="n">
        <v>22</v>
      </c>
      <c r="D135" s="12" t="n">
        <v>3222</v>
      </c>
      <c r="E135" s="12" t="n">
        <v>2170</v>
      </c>
      <c r="F135" s="12" t="n">
        <v>26</v>
      </c>
      <c r="G135" s="12" t="n">
        <v>1314</v>
      </c>
      <c r="H135" s="12" t="n">
        <v>3895</v>
      </c>
      <c r="I135" s="12" t="n">
        <v>4077</v>
      </c>
      <c r="J135" s="12" t="n">
        <v>4855</v>
      </c>
      <c r="K135" s="12" t="n">
        <v>4399</v>
      </c>
      <c r="L135" s="12" t="n">
        <v>3220</v>
      </c>
      <c r="M135" s="12" t="n">
        <v>1068</v>
      </c>
      <c r="N135" s="12" t="n">
        <v>1839</v>
      </c>
      <c r="T135" s="12" t="n">
        <v>633</v>
      </c>
      <c r="U135" s="12" t="n">
        <v>3004</v>
      </c>
      <c r="V135" s="12" t="n">
        <v>3222</v>
      </c>
      <c r="W135" s="12" t="n">
        <v>3895</v>
      </c>
      <c r="X135" s="12" t="n">
        <v>3220</v>
      </c>
    </row>
    <row r="137">
      <c r="A137" s="16" t="inlineStr">
        <is>
          <t>부문 · 전 항목</t>
        </is>
      </c>
      <c r="B137" s="42" t="inlineStr">
        <is>
          <t>부문 · 항목</t>
        </is>
      </c>
      <c r="C137" s="16" t="n"/>
      <c r="D137" s="16" t="n"/>
      <c r="E137" s="16" t="n"/>
      <c r="F137" s="16" t="n"/>
      <c r="G137" s="16" t="n"/>
      <c r="H137" s="16" t="n"/>
      <c r="I137" s="16" t="n"/>
      <c r="J137" s="16" t="n"/>
      <c r="K137" s="16" t="n"/>
      <c r="L137" s="16" t="n"/>
      <c r="M137" s="16" t="n"/>
      <c r="N137" s="16" t="n"/>
      <c r="O137" s="16" t="n"/>
      <c r="P137" s="16" t="n"/>
      <c r="Q137" s="16" t="n"/>
      <c r="R137" s="16" t="n"/>
      <c r="S137" s="16" t="n"/>
      <c r="T137" s="16" t="n"/>
      <c r="U137" s="16" t="n"/>
      <c r="V137" s="16" t="n"/>
      <c r="W137" s="16" t="n"/>
      <c r="X137" s="16" t="n"/>
      <c r="Y137" s="16" t="n"/>
      <c r="Z137" s="16" t="n"/>
      <c r="AA137" s="16" t="n"/>
      <c r="AB137" s="16" t="n"/>
      <c r="AC137" s="16" t="n"/>
    </row>
    <row r="138">
      <c r="A138" s="5" t="inlineStr">
        <is>
          <t>항목</t>
        </is>
      </c>
      <c r="B138" s="5" t="inlineStr">
        <is>
          <t>참고</t>
        </is>
      </c>
      <c r="C138" s="5" t="inlineStr">
        <is>
          <t>2024.3Q</t>
        </is>
      </c>
      <c r="D138" s="5" t="inlineStr">
        <is>
          <t>2024.4Q</t>
        </is>
      </c>
      <c r="E138" s="5" t="inlineStr">
        <is>
          <t>2025.1Q</t>
        </is>
      </c>
      <c r="F138" s="5" t="inlineStr">
        <is>
          <t>2025.2Q</t>
        </is>
      </c>
      <c r="G138" s="5" t="inlineStr">
        <is>
          <t>2025.3Q</t>
        </is>
      </c>
      <c r="H138" s="5" t="inlineStr">
        <is>
          <t>2025.4Q</t>
        </is>
      </c>
      <c r="I138" s="5" t="inlineStr">
        <is>
          <t>2026.1Q</t>
        </is>
      </c>
      <c r="J138" s="5" t="inlineStr">
        <is>
          <t>2026.2Q</t>
        </is>
      </c>
      <c r="K138" s="5" t="inlineStr">
        <is>
          <t>2026.3Q</t>
        </is>
      </c>
      <c r="L138" s="5" t="inlineStr">
        <is>
          <t>2026.4Q</t>
        </is>
      </c>
      <c r="M138" s="5" t="inlineStr">
        <is>
          <t>2027.1Q</t>
        </is>
      </c>
      <c r="N138" s="5" t="inlineStr">
        <is>
          <t>2027.2Q</t>
        </is>
      </c>
      <c r="O138" s="5" t="inlineStr">
        <is>
          <t>2017</t>
        </is>
      </c>
      <c r="P138" s="5" t="inlineStr">
        <is>
          <t>2018</t>
        </is>
      </c>
      <c r="Q138" s="5" t="inlineStr">
        <is>
          <t>2019</t>
        </is>
      </c>
      <c r="R138" s="5" t="inlineStr">
        <is>
          <t>2020</t>
        </is>
      </c>
      <c r="S138" s="5" t="inlineStr">
        <is>
          <t>2021</t>
        </is>
      </c>
      <c r="T138" s="5" t="inlineStr">
        <is>
          <t>2022</t>
        </is>
      </c>
      <c r="U138" s="5" t="inlineStr">
        <is>
          <t>2023</t>
        </is>
      </c>
      <c r="V138" s="5" t="inlineStr">
        <is>
          <t>2024</t>
        </is>
      </c>
      <c r="W138" s="5" t="inlineStr">
        <is>
          <t>2025</t>
        </is>
      </c>
      <c r="X138" s="5" t="inlineStr">
        <is>
          <t>2026</t>
        </is>
      </c>
      <c r="Y138" s="5" t="inlineStr">
        <is>
          <t>2027(MW)</t>
        </is>
      </c>
      <c r="Z138" s="5" t="inlineStr">
        <is>
          <t>2028(MW)</t>
        </is>
      </c>
      <c r="AA138" s="5" t="inlineStr">
        <is>
          <t>2029(MW)</t>
        </is>
      </c>
      <c r="AB138" s="5" t="inlineStr">
        <is>
          <t>2030(MW)</t>
        </is>
      </c>
      <c r="AC138" s="5" t="inlineStr">
        <is>
          <t>2031(MW)</t>
        </is>
      </c>
    </row>
    <row r="139">
      <c r="A139" s="18" t="inlineStr">
        <is>
          <t>빌딩 사업 · 외부 고객 매출</t>
        </is>
      </c>
      <c r="C139" s="20" t="n">
        <v>6823</v>
      </c>
      <c r="D139" s="20" t="n">
        <v>7346</v>
      </c>
      <c r="E139" s="20" t="n">
        <v>9879</v>
      </c>
      <c r="F139" s="20" t="n">
        <v>7128</v>
      </c>
      <c r="G139" s="20" t="n">
        <v>7434</v>
      </c>
      <c r="H139" s="20" t="n">
        <v>13556</v>
      </c>
      <c r="I139" s="20" t="n">
        <v>12419</v>
      </c>
      <c r="J139" s="20" t="n">
        <v>7314</v>
      </c>
      <c r="K139" s="20" t="n">
        <v>10055</v>
      </c>
      <c r="L139" s="20" t="n">
        <v>16448</v>
      </c>
      <c r="M139" s="20" t="n">
        <v>10156</v>
      </c>
      <c r="N139" s="20" t="n">
        <v>14019</v>
      </c>
      <c r="V139" s="20" t="n">
        <v>7346</v>
      </c>
      <c r="W139" s="20" t="n">
        <v>13556</v>
      </c>
      <c r="X139" s="20" t="n">
        <v>16448</v>
      </c>
    </row>
    <row r="140">
      <c r="A140" s="43" t="inlineStr">
        <is>
          <t>YoY</t>
        </is>
      </c>
      <c r="B140" s="3" t="inlineStr">
        <is>
          <t>전년 같은 분기·전년 대비</t>
        </is>
      </c>
      <c r="G140" s="15">
        <f>IF(OR(G139="",C139=""),"",IF(C139&lt;=0,"",IFERROR(G139/C139-1,"")))</f>
        <v/>
      </c>
      <c r="H140" s="15">
        <f>IF(OR(H139="",D139=""),"",IF(D139&lt;=0,"",IFERROR(H139/D139-1,"")))</f>
        <v/>
      </c>
      <c r="I140" s="15">
        <f>IF(OR(I139="",E139=""),"",IF(E139&lt;=0,"",IFERROR(I139/E139-1,"")))</f>
        <v/>
      </c>
      <c r="J140" s="15">
        <f>IF(OR(J139="",F139=""),"",IF(F139&lt;=0,"",IFERROR(J139/F139-1,"")))</f>
        <v/>
      </c>
      <c r="K140" s="15">
        <f>IF(OR(K139="",G139=""),"",IF(G139&lt;=0,"",IFERROR(K139/G139-1,"")))</f>
        <v/>
      </c>
      <c r="L140" s="15">
        <f>IF(OR(L139="",H139=""),"",IF(H139&lt;=0,"",IFERROR(L139/H139-1,"")))</f>
        <v/>
      </c>
      <c r="M140" s="15">
        <f>IF(OR(M139="",I139=""),"",IF(I139&lt;=0,"",IFERROR(M139/I139-1,"")))</f>
        <v/>
      </c>
      <c r="N140" s="15">
        <f>IF(OR(N139="",J139=""),"",IF(J139&lt;=0,"",IFERROR(N139/J139-1,"")))</f>
        <v/>
      </c>
      <c r="V140" s="15">
        <f>IF(OR(V139="",U139=""),"",IF(U139&lt;=0,"",IFERROR(V139/U139-1,"")))</f>
        <v/>
      </c>
      <c r="W140" s="15">
        <f>IF(OR(W139="",V139=""),"",IF(V139&lt;=0,"",IFERROR(W139/V139-1,"")))</f>
        <v/>
      </c>
      <c r="X140" s="15">
        <f>IF(OR(X139="",W139=""),"",IF(W139&lt;=0,"",IFERROR(X139/W139-1,"")))</f>
        <v/>
      </c>
    </row>
    <row r="141">
      <c r="A141" s="18" t="inlineStr">
        <is>
          <t>자산운용 사업 · 외부 고객 매출</t>
        </is>
      </c>
      <c r="C141" s="20" t="n">
        <v>701</v>
      </c>
      <c r="D141" s="20" t="n">
        <v>1371</v>
      </c>
      <c r="E141" s="20" t="n">
        <v>699</v>
      </c>
      <c r="F141" s="20" t="n">
        <v>1054</v>
      </c>
      <c r="G141" s="20" t="n">
        <v>752</v>
      </c>
      <c r="H141" s="20" t="n">
        <v>1573</v>
      </c>
      <c r="I141" s="20" t="n">
        <v>703</v>
      </c>
      <c r="J141" s="20" t="n">
        <v>1384</v>
      </c>
      <c r="K141" s="20" t="n">
        <v>896</v>
      </c>
      <c r="L141" s="20" t="n">
        <v>1636</v>
      </c>
      <c r="M141" s="20" t="n">
        <v>864</v>
      </c>
      <c r="N141" s="20" t="n">
        <v>1511</v>
      </c>
      <c r="V141" s="20" t="n">
        <v>1371</v>
      </c>
      <c r="W141" s="20" t="n">
        <v>1573</v>
      </c>
      <c r="X141" s="20" t="n">
        <v>1636</v>
      </c>
    </row>
    <row r="142">
      <c r="A142" s="43" t="inlineStr">
        <is>
          <t>YoY</t>
        </is>
      </c>
      <c r="B142" s="3" t="inlineStr">
        <is>
          <t>전년 같은 분기·전년 대비</t>
        </is>
      </c>
      <c r="G142" s="15">
        <f>IF(OR(G141="",C141=""),"",IF(C141&lt;=0,"",IFERROR(G141/C141-1,"")))</f>
        <v/>
      </c>
      <c r="H142" s="15">
        <f>IF(OR(H141="",D141=""),"",IF(D141&lt;=0,"",IFERROR(H141/D141-1,"")))</f>
        <v/>
      </c>
      <c r="I142" s="15">
        <f>IF(OR(I141="",E141=""),"",IF(E141&lt;=0,"",IFERROR(I141/E141-1,"")))</f>
        <v/>
      </c>
      <c r="J142" s="15">
        <f>IF(OR(J141="",F141=""),"",IF(F141&lt;=0,"",IFERROR(J141/F141-1,"")))</f>
        <v/>
      </c>
      <c r="K142" s="15">
        <f>IF(OR(K141="",G141=""),"",IF(G141&lt;=0,"",IFERROR(K141/G141-1,"")))</f>
        <v/>
      </c>
      <c r="L142" s="15">
        <f>IF(OR(L141="",H141=""),"",IF(H141&lt;=0,"",IFERROR(L141/H141-1,"")))</f>
        <v/>
      </c>
      <c r="M142" s="15">
        <f>IF(OR(M141="",I141=""),"",IF(I141&lt;=0,"",IFERROR(M141/I141-1,"")))</f>
        <v/>
      </c>
      <c r="N142" s="15">
        <f>IF(OR(N141="",J141=""),"",IF(J141&lt;=0,"",IFERROR(N141/J141-1,"")))</f>
        <v/>
      </c>
      <c r="V142" s="15">
        <f>IF(OR(V141="",U141=""),"",IF(U141&lt;=0,"",IFERROR(V141/U141-1,"")))</f>
        <v/>
      </c>
      <c r="W142" s="15">
        <f>IF(OR(W141="",V141=""),"",IF(V141&lt;=0,"",IFERROR(W141/V141-1,"")))</f>
        <v/>
      </c>
      <c r="X142" s="15">
        <f>IF(OR(X141="",W141=""),"",IF(W141&lt;=0,"",IFERROR(X141/W141-1,"")))</f>
        <v/>
      </c>
    </row>
    <row r="143">
      <c r="A143" s="18" t="inlineStr">
        <is>
          <t>보고부문 합계 · 외부 고객 매출</t>
        </is>
      </c>
      <c r="C143" s="20" t="n">
        <v>7524</v>
      </c>
      <c r="D143" s="20" t="n">
        <v>8718</v>
      </c>
      <c r="E143" s="20" t="n">
        <v>10579</v>
      </c>
      <c r="F143" s="20" t="n">
        <v>8182</v>
      </c>
      <c r="G143" s="20" t="n">
        <v>8186</v>
      </c>
      <c r="H143" s="20" t="n">
        <v>15128</v>
      </c>
      <c r="I143" s="20" t="n">
        <v>13123</v>
      </c>
      <c r="J143" s="20" t="n">
        <v>8697</v>
      </c>
      <c r="K143" s="20" t="n">
        <v>10952</v>
      </c>
      <c r="L143" s="20" t="n">
        <v>18083</v>
      </c>
      <c r="M143" s="20" t="n">
        <v>11021</v>
      </c>
      <c r="N143" s="20" t="n">
        <v>15530</v>
      </c>
      <c r="V143" s="20" t="n">
        <v>8718</v>
      </c>
      <c r="W143" s="20" t="n">
        <v>15128</v>
      </c>
      <c r="X143" s="20" t="n">
        <v>18083</v>
      </c>
    </row>
    <row r="144">
      <c r="A144" s="43" t="inlineStr">
        <is>
          <t>YoY</t>
        </is>
      </c>
      <c r="B144" s="3" t="inlineStr">
        <is>
          <t>전년 같은 분기·전년 대비</t>
        </is>
      </c>
      <c r="G144" s="15">
        <f>IF(OR(G143="",C143=""),"",IF(C143&lt;=0,"",IFERROR(G143/C143-1,"")))</f>
        <v/>
      </c>
      <c r="H144" s="15">
        <f>IF(OR(H143="",D143=""),"",IF(D143&lt;=0,"",IFERROR(H143/D143-1,"")))</f>
        <v/>
      </c>
      <c r="I144" s="15">
        <f>IF(OR(I143="",E143=""),"",IF(E143&lt;=0,"",IFERROR(I143/E143-1,"")))</f>
        <v/>
      </c>
      <c r="J144" s="15">
        <f>IF(OR(J143="",F143=""),"",IF(F143&lt;=0,"",IFERROR(J143/F143-1,"")))</f>
        <v/>
      </c>
      <c r="K144" s="15">
        <f>IF(OR(K143="",G143=""),"",IF(G143&lt;=0,"",IFERROR(K143/G143-1,"")))</f>
        <v/>
      </c>
      <c r="L144" s="15">
        <f>IF(OR(L143="",H143=""),"",IF(H143&lt;=0,"",IFERROR(L143/H143-1,"")))</f>
        <v/>
      </c>
      <c r="M144" s="15">
        <f>IF(OR(M143="",I143=""),"",IF(I143&lt;=0,"",IFERROR(M143/I143-1,"")))</f>
        <v/>
      </c>
      <c r="N144" s="15">
        <f>IF(OR(N143="",J143=""),"",IF(J143&lt;=0,"",IFERROR(N143/J143-1,"")))</f>
        <v/>
      </c>
      <c r="V144" s="15">
        <f>IF(OR(V143="",U143=""),"",IF(U143&lt;=0,"",IFERROR(V143/U143-1,"")))</f>
        <v/>
      </c>
      <c r="W144" s="15">
        <f>IF(OR(W143="",V143=""),"",IF(V143&lt;=0,"",IFERROR(W143/V143-1,"")))</f>
        <v/>
      </c>
      <c r="X144" s="15">
        <f>IF(OR(X143="",W143=""),"",IF(W143&lt;=0,"",IFERROR(X143/W143-1,"")))</f>
        <v/>
      </c>
    </row>
    <row r="145">
      <c r="A145" s="18" t="inlineStr">
        <is>
          <t>조정액 · 외부 고객 매출</t>
        </is>
      </c>
      <c r="C145" s="20" t="n">
        <v>0</v>
      </c>
      <c r="D145" s="20" t="n">
        <v>0</v>
      </c>
      <c r="E145" s="20" t="n">
        <v>0</v>
      </c>
      <c r="F145" s="20" t="n">
        <v>0</v>
      </c>
      <c r="G145" s="20" t="n">
        <v>0</v>
      </c>
      <c r="H145" s="20" t="n">
        <v>0</v>
      </c>
      <c r="I145" s="20" t="n">
        <v>0</v>
      </c>
      <c r="J145" s="20" t="n">
        <v>0</v>
      </c>
      <c r="K145" s="20" t="n">
        <v>0</v>
      </c>
      <c r="L145" s="20" t="n">
        <v>0</v>
      </c>
      <c r="M145" s="20" t="n">
        <v>0</v>
      </c>
      <c r="N145" s="20" t="n">
        <v>0</v>
      </c>
      <c r="V145" s="20" t="n">
        <v>0</v>
      </c>
      <c r="W145" s="20" t="n">
        <v>0</v>
      </c>
      <c r="X145" s="20" t="n">
        <v>0</v>
      </c>
    </row>
    <row r="146">
      <c r="A146" s="9" t="inlineStr">
        <is>
          <t>외부 고객 매출</t>
        </is>
      </c>
      <c r="C146" s="12" t="n">
        <v>7524</v>
      </c>
      <c r="D146" s="12" t="n">
        <v>8718</v>
      </c>
      <c r="E146" s="12" t="n">
        <v>10579</v>
      </c>
      <c r="F146" s="12" t="n">
        <v>8182</v>
      </c>
      <c r="G146" s="12" t="n">
        <v>8186</v>
      </c>
      <c r="H146" s="12" t="n">
        <v>15128</v>
      </c>
      <c r="I146" s="12" t="n">
        <v>13123</v>
      </c>
      <c r="J146" s="12" t="n">
        <v>8697</v>
      </c>
      <c r="K146" s="12" t="n">
        <v>10952</v>
      </c>
      <c r="L146" s="12" t="n">
        <v>18083</v>
      </c>
      <c r="M146" s="12" t="n">
        <v>11021</v>
      </c>
      <c r="N146" s="12" t="n">
        <v>15530</v>
      </c>
      <c r="V146" s="12" t="n">
        <v>8718</v>
      </c>
      <c r="W146" s="12" t="n">
        <v>15128</v>
      </c>
      <c r="X146" s="12" t="n">
        <v>18083</v>
      </c>
    </row>
    <row r="147">
      <c r="A147" s="43" t="inlineStr">
        <is>
          <t>YoY</t>
        </is>
      </c>
      <c r="B147" s="3" t="inlineStr">
        <is>
          <t>전년 같은 분기·전년 대비</t>
        </is>
      </c>
      <c r="G147" s="15">
        <f>IF(OR(G146="",C146=""),"",IF(C146&lt;=0,"",IFERROR(G146/C146-1,"")))</f>
        <v/>
      </c>
      <c r="H147" s="15">
        <f>IF(OR(H146="",D146=""),"",IF(D146&lt;=0,"",IFERROR(H146/D146-1,"")))</f>
        <v/>
      </c>
      <c r="I147" s="15">
        <f>IF(OR(I146="",E146=""),"",IF(E146&lt;=0,"",IFERROR(I146/E146-1,"")))</f>
        <v/>
      </c>
      <c r="J147" s="15">
        <f>IF(OR(J146="",F146=""),"",IF(F146&lt;=0,"",IFERROR(J146/F146-1,"")))</f>
        <v/>
      </c>
      <c r="K147" s="15">
        <f>IF(OR(K146="",G146=""),"",IF(G146&lt;=0,"",IFERROR(K146/G146-1,"")))</f>
        <v/>
      </c>
      <c r="L147" s="15">
        <f>IF(OR(L146="",H146=""),"",IF(H146&lt;=0,"",IFERROR(L146/H146-1,"")))</f>
        <v/>
      </c>
      <c r="M147" s="15">
        <f>IF(OR(M146="",I146=""),"",IF(I146&lt;=0,"",IFERROR(M146/I146-1,"")))</f>
        <v/>
      </c>
      <c r="N147" s="15">
        <f>IF(OR(N146="",J146=""),"",IF(J146&lt;=0,"",IFERROR(N146/J146-1,"")))</f>
        <v/>
      </c>
      <c r="V147" s="15">
        <f>IF(OR(V146="",U146=""),"",IF(U146&lt;=0,"",IFERROR(V146/U146-1,"")))</f>
        <v/>
      </c>
      <c r="W147" s="15">
        <f>IF(OR(W146="",V146=""),"",IF(V146&lt;=0,"",IFERROR(W146/V146-1,"")))</f>
        <v/>
      </c>
      <c r="X147" s="15">
        <f>IF(OR(X146="",W146=""),"",IF(W146&lt;=0,"",IFERROR(X146/W146-1,"")))</f>
        <v/>
      </c>
    </row>
    <row r="148">
      <c r="A148" s="18" t="inlineStr">
        <is>
          <t>빌딩 사업 · 부문 간 내부매출·대체</t>
        </is>
      </c>
      <c r="C148" s="20" t="n">
        <v>12</v>
      </c>
      <c r="D148" s="20" t="n">
        <v>12</v>
      </c>
      <c r="E148" s="20" t="n">
        <v>11</v>
      </c>
      <c r="F148" s="20" t="n">
        <v>13</v>
      </c>
      <c r="G148" s="20" t="n">
        <v>13</v>
      </c>
      <c r="H148" s="20" t="n">
        <v>12</v>
      </c>
      <c r="I148" s="20" t="n">
        <v>11</v>
      </c>
      <c r="J148" s="20" t="n">
        <v>13</v>
      </c>
      <c r="K148" s="20" t="n">
        <v>13</v>
      </c>
      <c r="L148" s="20" t="n">
        <v>13</v>
      </c>
      <c r="M148" s="20" t="n">
        <v>13</v>
      </c>
      <c r="N148" s="20" t="n">
        <v>13</v>
      </c>
      <c r="V148" s="20" t="n">
        <v>12</v>
      </c>
      <c r="W148" s="20" t="n">
        <v>12</v>
      </c>
      <c r="X148" s="20" t="n">
        <v>13</v>
      </c>
    </row>
    <row r="149">
      <c r="A149" s="18" t="inlineStr">
        <is>
          <t>자산운용 사업 · 부문 간 내부매출·대체</t>
        </is>
      </c>
      <c r="C149" s="20" t="n">
        <v>0</v>
      </c>
      <c r="D149" s="20" t="n">
        <v>0</v>
      </c>
      <c r="E149" s="20" t="n">
        <v>0</v>
      </c>
      <c r="F149" s="20" t="n">
        <v>0</v>
      </c>
      <c r="G149" s="20" t="n">
        <v>0</v>
      </c>
      <c r="H149" s="20" t="n">
        <v>0</v>
      </c>
      <c r="I149" s="20" t="n">
        <v>0</v>
      </c>
      <c r="J149" s="20" t="n">
        <v>0</v>
      </c>
      <c r="K149" s="20" t="n">
        <v>0</v>
      </c>
      <c r="L149" s="20" t="n">
        <v>0</v>
      </c>
      <c r="M149" s="20" t="n">
        <v>0</v>
      </c>
      <c r="N149" s="20" t="n">
        <v>0</v>
      </c>
      <c r="V149" s="20" t="n">
        <v>0</v>
      </c>
      <c r="W149" s="20" t="n">
        <v>0</v>
      </c>
      <c r="X149" s="20" t="n">
        <v>0</v>
      </c>
    </row>
    <row r="150">
      <c r="A150" s="18" t="inlineStr">
        <is>
          <t>보고부문 합계 · 부문 간 내부매출·대체</t>
        </is>
      </c>
      <c r="C150" s="20" t="n">
        <v>12</v>
      </c>
      <c r="D150" s="20" t="n">
        <v>12</v>
      </c>
      <c r="E150" s="20" t="n">
        <v>11</v>
      </c>
      <c r="F150" s="20" t="n">
        <v>13</v>
      </c>
      <c r="G150" s="20" t="n">
        <v>13</v>
      </c>
      <c r="H150" s="20" t="n">
        <v>12</v>
      </c>
      <c r="I150" s="20" t="n">
        <v>11</v>
      </c>
      <c r="J150" s="20" t="n">
        <v>13</v>
      </c>
      <c r="K150" s="20" t="n">
        <v>13</v>
      </c>
      <c r="L150" s="20" t="n">
        <v>13</v>
      </c>
      <c r="M150" s="20" t="n">
        <v>13</v>
      </c>
      <c r="N150" s="20" t="n">
        <v>13</v>
      </c>
      <c r="V150" s="20" t="n">
        <v>12</v>
      </c>
      <c r="W150" s="20" t="n">
        <v>12</v>
      </c>
      <c r="X150" s="20" t="n">
        <v>13</v>
      </c>
    </row>
    <row r="151">
      <c r="A151" s="18" t="inlineStr">
        <is>
          <t>조정액 · 부문 간 내부매출·대체</t>
        </is>
      </c>
      <c r="C151" s="20" t="n">
        <v>-12</v>
      </c>
      <c r="D151" s="20" t="n">
        <v>-12</v>
      </c>
      <c r="E151" s="20" t="n">
        <v>-11</v>
      </c>
      <c r="F151" s="20" t="n">
        <v>-13</v>
      </c>
      <c r="G151" s="20" t="n">
        <v>-13</v>
      </c>
      <c r="H151" s="20" t="n">
        <v>-12</v>
      </c>
      <c r="I151" s="20" t="n">
        <v>-11</v>
      </c>
      <c r="J151" s="20" t="n">
        <v>-13</v>
      </c>
      <c r="K151" s="20" t="n">
        <v>-13</v>
      </c>
      <c r="L151" s="20" t="n">
        <v>-13</v>
      </c>
      <c r="M151" s="20" t="n">
        <v>-13</v>
      </c>
      <c r="N151" s="20" t="n">
        <v>-13</v>
      </c>
      <c r="V151" s="20" t="n">
        <v>-12</v>
      </c>
      <c r="W151" s="20" t="n">
        <v>-12</v>
      </c>
      <c r="X151" s="20" t="n">
        <v>-13</v>
      </c>
    </row>
    <row r="152">
      <c r="A152" s="18" t="inlineStr">
        <is>
          <t>부문 간 내부매출·대체</t>
        </is>
      </c>
      <c r="C152" s="20" t="n">
        <v>0</v>
      </c>
      <c r="D152" s="20" t="n">
        <v>0</v>
      </c>
      <c r="E152" s="20" t="n">
        <v>0</v>
      </c>
      <c r="F152" s="20" t="n">
        <v>0</v>
      </c>
      <c r="G152" s="20" t="n">
        <v>0</v>
      </c>
      <c r="H152" s="20" t="n">
        <v>0</v>
      </c>
      <c r="I152" s="20" t="n">
        <v>0</v>
      </c>
      <c r="J152" s="20" t="n">
        <v>0</v>
      </c>
      <c r="K152" s="20" t="n">
        <v>0</v>
      </c>
      <c r="L152" s="20" t="n">
        <v>0</v>
      </c>
      <c r="M152" s="20" t="n">
        <v>0</v>
      </c>
      <c r="N152" s="20" t="n">
        <v>0</v>
      </c>
      <c r="V152" s="20" t="n">
        <v>0</v>
      </c>
      <c r="W152" s="20" t="n">
        <v>0</v>
      </c>
      <c r="X152" s="20" t="n">
        <v>0</v>
      </c>
    </row>
    <row r="153">
      <c r="A153" s="18" t="inlineStr">
        <is>
          <t>빌딩 사업 · 계</t>
        </is>
      </c>
      <c r="C153" s="20" t="n">
        <v>6835</v>
      </c>
      <c r="D153" s="20" t="n">
        <v>7359</v>
      </c>
      <c r="E153" s="20" t="n">
        <v>9891</v>
      </c>
      <c r="F153" s="20" t="n">
        <v>7141</v>
      </c>
      <c r="G153" s="20" t="n">
        <v>7447</v>
      </c>
      <c r="H153" s="20" t="n">
        <v>13567</v>
      </c>
      <c r="I153" s="20" t="n">
        <v>12431</v>
      </c>
      <c r="J153" s="20" t="n">
        <v>7326</v>
      </c>
      <c r="K153" s="20" t="n">
        <v>10069</v>
      </c>
      <c r="L153" s="20" t="n">
        <v>16460</v>
      </c>
      <c r="M153" s="20" t="n">
        <v>10169</v>
      </c>
      <c r="N153" s="20" t="n">
        <v>14032</v>
      </c>
      <c r="V153" s="20" t="n">
        <v>7359</v>
      </c>
      <c r="W153" s="20" t="n">
        <v>13567</v>
      </c>
      <c r="X153" s="20" t="n">
        <v>16460</v>
      </c>
    </row>
    <row r="154">
      <c r="A154" s="43" t="inlineStr">
        <is>
          <t>YoY</t>
        </is>
      </c>
      <c r="B154" s="3" t="inlineStr">
        <is>
          <t>전년 같은 분기·전년 대비</t>
        </is>
      </c>
      <c r="G154" s="15">
        <f>IF(OR(G153="",C153=""),"",IF(C153&lt;=0,"",IFERROR(G153/C153-1,"")))</f>
        <v/>
      </c>
      <c r="H154" s="15">
        <f>IF(OR(H153="",D153=""),"",IF(D153&lt;=0,"",IFERROR(H153/D153-1,"")))</f>
        <v/>
      </c>
      <c r="I154" s="15">
        <f>IF(OR(I153="",E153=""),"",IF(E153&lt;=0,"",IFERROR(I153/E153-1,"")))</f>
        <v/>
      </c>
      <c r="J154" s="15">
        <f>IF(OR(J153="",F153=""),"",IF(F153&lt;=0,"",IFERROR(J153/F153-1,"")))</f>
        <v/>
      </c>
      <c r="K154" s="15">
        <f>IF(OR(K153="",G153=""),"",IF(G153&lt;=0,"",IFERROR(K153/G153-1,"")))</f>
        <v/>
      </c>
      <c r="L154" s="15">
        <f>IF(OR(L153="",H153=""),"",IF(H153&lt;=0,"",IFERROR(L153/H153-1,"")))</f>
        <v/>
      </c>
      <c r="M154" s="15">
        <f>IF(OR(M153="",I153=""),"",IF(I153&lt;=0,"",IFERROR(M153/I153-1,"")))</f>
        <v/>
      </c>
      <c r="N154" s="15">
        <f>IF(OR(N153="",J153=""),"",IF(J153&lt;=0,"",IFERROR(N153/J153-1,"")))</f>
        <v/>
      </c>
      <c r="V154" s="15">
        <f>IF(OR(V153="",U153=""),"",IF(U153&lt;=0,"",IFERROR(V153/U153-1,"")))</f>
        <v/>
      </c>
      <c r="W154" s="15">
        <f>IF(OR(W153="",V153=""),"",IF(V153&lt;=0,"",IFERROR(W153/V153-1,"")))</f>
        <v/>
      </c>
      <c r="X154" s="15">
        <f>IF(OR(X153="",W153=""),"",IF(W153&lt;=0,"",IFERROR(X153/W153-1,"")))</f>
        <v/>
      </c>
    </row>
    <row r="155">
      <c r="A155" s="18" t="inlineStr">
        <is>
          <t>자산운용 사업 · 계</t>
        </is>
      </c>
      <c r="C155" s="20" t="n">
        <v>701</v>
      </c>
      <c r="D155" s="20" t="n">
        <v>1371</v>
      </c>
      <c r="E155" s="20" t="n">
        <v>699</v>
      </c>
      <c r="F155" s="20" t="n">
        <v>1054</v>
      </c>
      <c r="G155" s="20" t="n">
        <v>752</v>
      </c>
      <c r="H155" s="20" t="n">
        <v>1573</v>
      </c>
      <c r="I155" s="20" t="n">
        <v>703</v>
      </c>
      <c r="J155" s="20" t="n">
        <v>1384</v>
      </c>
      <c r="K155" s="20" t="n">
        <v>896</v>
      </c>
      <c r="L155" s="20" t="n">
        <v>1636</v>
      </c>
      <c r="M155" s="20" t="n">
        <v>864</v>
      </c>
      <c r="N155" s="20" t="n">
        <v>1511</v>
      </c>
      <c r="V155" s="20" t="n">
        <v>1371</v>
      </c>
      <c r="W155" s="20" t="n">
        <v>1573</v>
      </c>
      <c r="X155" s="20" t="n">
        <v>1636</v>
      </c>
    </row>
    <row r="156">
      <c r="A156" s="43" t="inlineStr">
        <is>
          <t>YoY</t>
        </is>
      </c>
      <c r="B156" s="3" t="inlineStr">
        <is>
          <t>전년 같은 분기·전년 대비</t>
        </is>
      </c>
      <c r="G156" s="15">
        <f>IF(OR(G155="",C155=""),"",IF(C155&lt;=0,"",IFERROR(G155/C155-1,"")))</f>
        <v/>
      </c>
      <c r="H156" s="15">
        <f>IF(OR(H155="",D155=""),"",IF(D155&lt;=0,"",IFERROR(H155/D155-1,"")))</f>
        <v/>
      </c>
      <c r="I156" s="15">
        <f>IF(OR(I155="",E155=""),"",IF(E155&lt;=0,"",IFERROR(I155/E155-1,"")))</f>
        <v/>
      </c>
      <c r="J156" s="15">
        <f>IF(OR(J155="",F155=""),"",IF(F155&lt;=0,"",IFERROR(J155/F155-1,"")))</f>
        <v/>
      </c>
      <c r="K156" s="15">
        <f>IF(OR(K155="",G155=""),"",IF(G155&lt;=0,"",IFERROR(K155/G155-1,"")))</f>
        <v/>
      </c>
      <c r="L156" s="15">
        <f>IF(OR(L155="",H155=""),"",IF(H155&lt;=0,"",IFERROR(L155/H155-1,"")))</f>
        <v/>
      </c>
      <c r="M156" s="15">
        <f>IF(OR(M155="",I155=""),"",IF(I155&lt;=0,"",IFERROR(M155/I155-1,"")))</f>
        <v/>
      </c>
      <c r="N156" s="15">
        <f>IF(OR(N155="",J155=""),"",IF(J155&lt;=0,"",IFERROR(N155/J155-1,"")))</f>
        <v/>
      </c>
      <c r="V156" s="15">
        <f>IF(OR(V155="",U155=""),"",IF(U155&lt;=0,"",IFERROR(V155/U155-1,"")))</f>
        <v/>
      </c>
      <c r="W156" s="15">
        <f>IF(OR(W155="",V155=""),"",IF(V155&lt;=0,"",IFERROR(W155/V155-1,"")))</f>
        <v/>
      </c>
      <c r="X156" s="15">
        <f>IF(OR(X155="",W155=""),"",IF(W155&lt;=0,"",IFERROR(X155/W155-1,"")))</f>
        <v/>
      </c>
    </row>
    <row r="157">
      <c r="A157" s="18" t="inlineStr">
        <is>
          <t>보고부문 합계 · 계</t>
        </is>
      </c>
      <c r="C157" s="20" t="n">
        <v>7536</v>
      </c>
      <c r="D157" s="20" t="n">
        <v>8730</v>
      </c>
      <c r="E157" s="20" t="n">
        <v>10591</v>
      </c>
      <c r="F157" s="20" t="n">
        <v>8195</v>
      </c>
      <c r="G157" s="20" t="n">
        <v>8199</v>
      </c>
      <c r="H157" s="20" t="n">
        <v>15139</v>
      </c>
      <c r="I157" s="20" t="n">
        <v>13135</v>
      </c>
      <c r="J157" s="20" t="n">
        <v>8709</v>
      </c>
      <c r="K157" s="20" t="n">
        <v>10966</v>
      </c>
      <c r="L157" s="20" t="n">
        <v>18095</v>
      </c>
      <c r="M157" s="20" t="n">
        <v>11034</v>
      </c>
      <c r="N157" s="20" t="n">
        <v>15543</v>
      </c>
      <c r="V157" s="20" t="n">
        <v>8730</v>
      </c>
      <c r="W157" s="20" t="n">
        <v>15139</v>
      </c>
      <c r="X157" s="20" t="n">
        <v>18095</v>
      </c>
    </row>
    <row r="158">
      <c r="A158" s="43" t="inlineStr">
        <is>
          <t>YoY</t>
        </is>
      </c>
      <c r="B158" s="3" t="inlineStr">
        <is>
          <t>전년 같은 분기·전년 대비</t>
        </is>
      </c>
      <c r="G158" s="15">
        <f>IF(OR(G157="",C157=""),"",IF(C157&lt;=0,"",IFERROR(G157/C157-1,"")))</f>
        <v/>
      </c>
      <c r="H158" s="15">
        <f>IF(OR(H157="",D157=""),"",IF(D157&lt;=0,"",IFERROR(H157/D157-1,"")))</f>
        <v/>
      </c>
      <c r="I158" s="15">
        <f>IF(OR(I157="",E157=""),"",IF(E157&lt;=0,"",IFERROR(I157/E157-1,"")))</f>
        <v/>
      </c>
      <c r="J158" s="15">
        <f>IF(OR(J157="",F157=""),"",IF(F157&lt;=0,"",IFERROR(J157/F157-1,"")))</f>
        <v/>
      </c>
      <c r="K158" s="15">
        <f>IF(OR(K157="",G157=""),"",IF(G157&lt;=0,"",IFERROR(K157/G157-1,"")))</f>
        <v/>
      </c>
      <c r="L158" s="15">
        <f>IF(OR(L157="",H157=""),"",IF(H157&lt;=0,"",IFERROR(L157/H157-1,"")))</f>
        <v/>
      </c>
      <c r="M158" s="15">
        <f>IF(OR(M157="",I157=""),"",IF(I157&lt;=0,"",IFERROR(M157/I157-1,"")))</f>
        <v/>
      </c>
      <c r="N158" s="15">
        <f>IF(OR(N157="",J157=""),"",IF(J157&lt;=0,"",IFERROR(N157/J157-1,"")))</f>
        <v/>
      </c>
      <c r="V158" s="15">
        <f>IF(OR(V157="",U157=""),"",IF(U157&lt;=0,"",IFERROR(V157/U157-1,"")))</f>
        <v/>
      </c>
      <c r="W158" s="15">
        <f>IF(OR(W157="",V157=""),"",IF(V157&lt;=0,"",IFERROR(W157/V157-1,"")))</f>
        <v/>
      </c>
      <c r="X158" s="15">
        <f>IF(OR(X157="",W157=""),"",IF(W157&lt;=0,"",IFERROR(X157/W157-1,"")))</f>
        <v/>
      </c>
    </row>
    <row r="159">
      <c r="A159" s="18" t="inlineStr">
        <is>
          <t>조정액 · 계</t>
        </is>
      </c>
      <c r="C159" s="20" t="n">
        <v>-12</v>
      </c>
      <c r="D159" s="20" t="n">
        <v>-12</v>
      </c>
      <c r="E159" s="20" t="n">
        <v>-11</v>
      </c>
      <c r="F159" s="20" t="n">
        <v>-13</v>
      </c>
      <c r="G159" s="20" t="n">
        <v>-13</v>
      </c>
      <c r="H159" s="20" t="n">
        <v>-12</v>
      </c>
      <c r="I159" s="20" t="n">
        <v>-11</v>
      </c>
      <c r="J159" s="20" t="n">
        <v>-13</v>
      </c>
      <c r="K159" s="20" t="n">
        <v>-13</v>
      </c>
      <c r="L159" s="20" t="n">
        <v>-13</v>
      </c>
      <c r="M159" s="20" t="n">
        <v>-13</v>
      </c>
      <c r="N159" s="20" t="n">
        <v>-13</v>
      </c>
      <c r="V159" s="20" t="n">
        <v>-12</v>
      </c>
      <c r="W159" s="20" t="n">
        <v>-12</v>
      </c>
      <c r="X159" s="20" t="n">
        <v>-13</v>
      </c>
    </row>
    <row r="160">
      <c r="A160" s="9" t="inlineStr">
        <is>
          <t>계</t>
        </is>
      </c>
      <c r="C160" s="12" t="n">
        <v>7524</v>
      </c>
      <c r="D160" s="12" t="n">
        <v>8718</v>
      </c>
      <c r="E160" s="12" t="n">
        <v>10579</v>
      </c>
      <c r="F160" s="12" t="n">
        <v>8182</v>
      </c>
      <c r="G160" s="12" t="n">
        <v>8186</v>
      </c>
      <c r="H160" s="12" t="n">
        <v>15128</v>
      </c>
      <c r="I160" s="12" t="n">
        <v>13123</v>
      </c>
      <c r="J160" s="12" t="n">
        <v>8697</v>
      </c>
      <c r="K160" s="12" t="n">
        <v>10952</v>
      </c>
      <c r="L160" s="12" t="n">
        <v>18083</v>
      </c>
      <c r="M160" s="12" t="n">
        <v>11021</v>
      </c>
      <c r="N160" s="12" t="n">
        <v>15530</v>
      </c>
      <c r="V160" s="12" t="n">
        <v>8718</v>
      </c>
      <c r="W160" s="12" t="n">
        <v>15128</v>
      </c>
      <c r="X160" s="12" t="n">
        <v>18083</v>
      </c>
    </row>
    <row r="161">
      <c r="A161" s="43" t="inlineStr">
        <is>
          <t>YoY</t>
        </is>
      </c>
      <c r="B161" s="3" t="inlineStr">
        <is>
          <t>전년 같은 분기·전년 대비</t>
        </is>
      </c>
      <c r="G161" s="15">
        <f>IF(OR(G160="",C160=""),"",IF(C160&lt;=0,"",IFERROR(G160/C160-1,"")))</f>
        <v/>
      </c>
      <c r="H161" s="15">
        <f>IF(OR(H160="",D160=""),"",IF(D160&lt;=0,"",IFERROR(H160/D160-1,"")))</f>
        <v/>
      </c>
      <c r="I161" s="15">
        <f>IF(OR(I160="",E160=""),"",IF(E160&lt;=0,"",IFERROR(I160/E160-1,"")))</f>
        <v/>
      </c>
      <c r="J161" s="15">
        <f>IF(OR(J160="",F160=""),"",IF(F160&lt;=0,"",IFERROR(J160/F160-1,"")))</f>
        <v/>
      </c>
      <c r="K161" s="15">
        <f>IF(OR(K160="",G160=""),"",IF(G160&lt;=0,"",IFERROR(K160/G160-1,"")))</f>
        <v/>
      </c>
      <c r="L161" s="15">
        <f>IF(OR(L160="",H160=""),"",IF(H160&lt;=0,"",IFERROR(L160/H160-1,"")))</f>
        <v/>
      </c>
      <c r="M161" s="15">
        <f>IF(OR(M160="",I160=""),"",IF(I160&lt;=0,"",IFERROR(M160/I160-1,"")))</f>
        <v/>
      </c>
      <c r="N161" s="15">
        <f>IF(OR(N160="",J160=""),"",IF(J160&lt;=0,"",IFERROR(N160/J160-1,"")))</f>
        <v/>
      </c>
      <c r="V161" s="15">
        <f>IF(OR(V160="",U160=""),"",IF(U160&lt;=0,"",IFERROR(V160/U160-1,"")))</f>
        <v/>
      </c>
      <c r="W161" s="15">
        <f>IF(OR(W160="",V160=""),"",IF(V160&lt;=0,"",IFERROR(W160/V160-1,"")))</f>
        <v/>
      </c>
      <c r="X161" s="15">
        <f>IF(OR(X160="",W160=""),"",IF(W160&lt;=0,"",IFERROR(X160/W160-1,"")))</f>
        <v/>
      </c>
    </row>
    <row r="162">
      <c r="A162" s="18" t="inlineStr">
        <is>
          <t>빌딩 사업 · 부문 이익</t>
        </is>
      </c>
      <c r="C162" s="20" t="n">
        <v>1798</v>
      </c>
      <c r="D162" s="20" t="n">
        <v>1613</v>
      </c>
      <c r="E162" s="20" t="n">
        <v>3159</v>
      </c>
      <c r="F162" s="20" t="n">
        <v>2134</v>
      </c>
      <c r="G162" s="20" t="n">
        <v>2384</v>
      </c>
      <c r="H162" s="20" t="n">
        <v>5333</v>
      </c>
      <c r="I162" s="20" t="n">
        <v>3657</v>
      </c>
      <c r="J162" s="20" t="n">
        <v>1940</v>
      </c>
      <c r="K162" s="20" t="n">
        <v>2952</v>
      </c>
      <c r="L162" s="20" t="n">
        <v>6108</v>
      </c>
      <c r="M162" s="20" t="n">
        <v>2897</v>
      </c>
      <c r="N162" s="20" t="n">
        <v>4280</v>
      </c>
      <c r="V162" s="20" t="n">
        <v>1613</v>
      </c>
      <c r="W162" s="20" t="n">
        <v>5333</v>
      </c>
      <c r="X162" s="20" t="n">
        <v>6108</v>
      </c>
    </row>
    <row r="163">
      <c r="A163" s="43" t="inlineStr">
        <is>
          <t>OPM</t>
        </is>
      </c>
      <c r="B163" s="3" t="inlineStr">
        <is>
          <t>영업이익 ÷ 매출</t>
        </is>
      </c>
      <c r="C163" s="15">
        <f>IF(OR(C162="",C153=""),"",IF(C153&lt;=0,"",IFERROR(C162/C153,"")))</f>
        <v/>
      </c>
      <c r="D163" s="15">
        <f>IF(OR(D162="",D153=""),"",IF(D153&lt;=0,"",IFERROR(D162/D153,"")))</f>
        <v/>
      </c>
      <c r="E163" s="15">
        <f>IF(OR(E162="",E153=""),"",IF(E153&lt;=0,"",IFERROR(E162/E153,"")))</f>
        <v/>
      </c>
      <c r="F163" s="15">
        <f>IF(OR(F162="",F153=""),"",IF(F153&lt;=0,"",IFERROR(F162/F153,"")))</f>
        <v/>
      </c>
      <c r="G163" s="15">
        <f>IF(OR(G162="",G153=""),"",IF(G153&lt;=0,"",IFERROR(G162/G153,"")))</f>
        <v/>
      </c>
      <c r="H163" s="15">
        <f>IF(OR(H162="",H153=""),"",IF(H153&lt;=0,"",IFERROR(H162/H153,"")))</f>
        <v/>
      </c>
      <c r="I163" s="15">
        <f>IF(OR(I162="",I153=""),"",IF(I153&lt;=0,"",IFERROR(I162/I153,"")))</f>
        <v/>
      </c>
      <c r="J163" s="15">
        <f>IF(OR(J162="",J153=""),"",IF(J153&lt;=0,"",IFERROR(J162/J153,"")))</f>
        <v/>
      </c>
      <c r="K163" s="15">
        <f>IF(OR(K162="",K153=""),"",IF(K153&lt;=0,"",IFERROR(K162/K153,"")))</f>
        <v/>
      </c>
      <c r="L163" s="15">
        <f>IF(OR(L162="",L153=""),"",IF(L153&lt;=0,"",IFERROR(L162/L153,"")))</f>
        <v/>
      </c>
      <c r="M163" s="15">
        <f>IF(OR(M162="",M153=""),"",IF(M153&lt;=0,"",IFERROR(M162/M153,"")))</f>
        <v/>
      </c>
      <c r="N163" s="15">
        <f>IF(OR(N162="",N153=""),"",IF(N153&lt;=0,"",IFERROR(N162/N153,"")))</f>
        <v/>
      </c>
      <c r="V163" s="15">
        <f>IF(OR(V162="",V153=""),"",IF(V153&lt;=0,"",IFERROR(V162/V153,"")))</f>
        <v/>
      </c>
      <c r="W163" s="15">
        <f>IF(OR(W162="",W153=""),"",IF(W153&lt;=0,"",IFERROR(W162/W153,"")))</f>
        <v/>
      </c>
      <c r="X163" s="15">
        <f>IF(OR(X162="",X153=""),"",IF(X153&lt;=0,"",IFERROR(X162/X153,"")))</f>
        <v/>
      </c>
    </row>
    <row r="164">
      <c r="A164" s="43" t="inlineStr">
        <is>
          <t>YoY</t>
        </is>
      </c>
      <c r="B164" s="3" t="inlineStr">
        <is>
          <t>전년 같은 분기·전년 대비</t>
        </is>
      </c>
      <c r="G164" s="15">
        <f>IF(OR(G162="",C162=""),"",IF(C162&lt;=0,"",IFERROR(G162/C162-1,"")))</f>
        <v/>
      </c>
      <c r="H164" s="15">
        <f>IF(OR(H162="",D162=""),"",IF(D162&lt;=0,"",IFERROR(H162/D162-1,"")))</f>
        <v/>
      </c>
      <c r="I164" s="15">
        <f>IF(OR(I162="",E162=""),"",IF(E162&lt;=0,"",IFERROR(I162/E162-1,"")))</f>
        <v/>
      </c>
      <c r="J164" s="15">
        <f>IF(OR(J162="",F162=""),"",IF(F162&lt;=0,"",IFERROR(J162/F162-1,"")))</f>
        <v/>
      </c>
      <c r="K164" s="15">
        <f>IF(OR(K162="",G162=""),"",IF(G162&lt;=0,"",IFERROR(K162/G162-1,"")))</f>
        <v/>
      </c>
      <c r="L164" s="15">
        <f>IF(OR(L162="",H162=""),"",IF(H162&lt;=0,"",IFERROR(L162/H162-1,"")))</f>
        <v/>
      </c>
      <c r="M164" s="15">
        <f>IF(OR(M162="",I162=""),"",IF(I162&lt;=0,"",IFERROR(M162/I162-1,"")))</f>
        <v/>
      </c>
      <c r="N164" s="15">
        <f>IF(OR(N162="",J162=""),"",IF(J162&lt;=0,"",IFERROR(N162/J162-1,"")))</f>
        <v/>
      </c>
      <c r="V164" s="15">
        <f>IF(OR(V162="",U162=""),"",IF(U162&lt;=0,"",IFERROR(V162/U162-1,"")))</f>
        <v/>
      </c>
      <c r="W164" s="15">
        <f>IF(OR(W162="",V162=""),"",IF(V162&lt;=0,"",IFERROR(W162/V162-1,"")))</f>
        <v/>
      </c>
      <c r="X164" s="15">
        <f>IF(OR(X162="",W162=""),"",IF(W162&lt;=0,"",IFERROR(X162/W162-1,"")))</f>
        <v/>
      </c>
    </row>
    <row r="165">
      <c r="A165" s="18" t="inlineStr">
        <is>
          <t>자산운용 사업 · 부문 이익</t>
        </is>
      </c>
      <c r="C165" s="20" t="n">
        <v>290</v>
      </c>
      <c r="D165" s="20" t="n">
        <v>880</v>
      </c>
      <c r="E165" s="20" t="n">
        <v>315</v>
      </c>
      <c r="F165" s="20" t="n">
        <v>701</v>
      </c>
      <c r="G165" s="20" t="n">
        <v>330</v>
      </c>
      <c r="H165" s="20" t="n">
        <v>1009</v>
      </c>
      <c r="I165" s="20" t="n">
        <v>318</v>
      </c>
      <c r="J165" s="20" t="n">
        <v>958</v>
      </c>
      <c r="K165" s="20" t="n">
        <v>437</v>
      </c>
      <c r="L165" s="20" t="n">
        <v>1024</v>
      </c>
      <c r="M165" s="20" t="n">
        <v>422</v>
      </c>
      <c r="N165" s="20" t="n">
        <v>1028</v>
      </c>
      <c r="V165" s="20" t="n">
        <v>880</v>
      </c>
      <c r="W165" s="20" t="n">
        <v>1009</v>
      </c>
      <c r="X165" s="20" t="n">
        <v>1024</v>
      </c>
    </row>
    <row r="166">
      <c r="A166" s="43" t="inlineStr">
        <is>
          <t>OPM</t>
        </is>
      </c>
      <c r="B166" s="3" t="inlineStr">
        <is>
          <t>영업이익 ÷ 매출</t>
        </is>
      </c>
      <c r="C166" s="15">
        <f>IF(OR(C165="",C155=""),"",IF(C155&lt;=0,"",IFERROR(C165/C155,"")))</f>
        <v/>
      </c>
      <c r="D166" s="15">
        <f>IF(OR(D165="",D155=""),"",IF(D155&lt;=0,"",IFERROR(D165/D155,"")))</f>
        <v/>
      </c>
      <c r="E166" s="15">
        <f>IF(OR(E165="",E155=""),"",IF(E155&lt;=0,"",IFERROR(E165/E155,"")))</f>
        <v/>
      </c>
      <c r="F166" s="15">
        <f>IF(OR(F165="",F155=""),"",IF(F155&lt;=0,"",IFERROR(F165/F155,"")))</f>
        <v/>
      </c>
      <c r="G166" s="15">
        <f>IF(OR(G165="",G155=""),"",IF(G155&lt;=0,"",IFERROR(G165/G155,"")))</f>
        <v/>
      </c>
      <c r="H166" s="15">
        <f>IF(OR(H165="",H155=""),"",IF(H155&lt;=0,"",IFERROR(H165/H155,"")))</f>
        <v/>
      </c>
      <c r="I166" s="15">
        <f>IF(OR(I165="",I155=""),"",IF(I155&lt;=0,"",IFERROR(I165/I155,"")))</f>
        <v/>
      </c>
      <c r="J166" s="15">
        <f>IF(OR(J165="",J155=""),"",IF(J155&lt;=0,"",IFERROR(J165/J155,"")))</f>
        <v/>
      </c>
      <c r="K166" s="15">
        <f>IF(OR(K165="",K155=""),"",IF(K155&lt;=0,"",IFERROR(K165/K155,"")))</f>
        <v/>
      </c>
      <c r="L166" s="15">
        <f>IF(OR(L165="",L155=""),"",IF(L155&lt;=0,"",IFERROR(L165/L155,"")))</f>
        <v/>
      </c>
      <c r="M166" s="15">
        <f>IF(OR(M165="",M155=""),"",IF(M155&lt;=0,"",IFERROR(M165/M155,"")))</f>
        <v/>
      </c>
      <c r="N166" s="15">
        <f>IF(OR(N165="",N155=""),"",IF(N155&lt;=0,"",IFERROR(N165/N155,"")))</f>
        <v/>
      </c>
      <c r="V166" s="15">
        <f>IF(OR(V165="",V155=""),"",IF(V155&lt;=0,"",IFERROR(V165/V155,"")))</f>
        <v/>
      </c>
      <c r="W166" s="15">
        <f>IF(OR(W165="",W155=""),"",IF(W155&lt;=0,"",IFERROR(W165/W155,"")))</f>
        <v/>
      </c>
      <c r="X166" s="15">
        <f>IF(OR(X165="",X155=""),"",IF(X155&lt;=0,"",IFERROR(X165/X155,"")))</f>
        <v/>
      </c>
    </row>
    <row r="167">
      <c r="A167" s="43" t="inlineStr">
        <is>
          <t>YoY</t>
        </is>
      </c>
      <c r="B167" s="3" t="inlineStr">
        <is>
          <t>전년 같은 분기·전년 대비</t>
        </is>
      </c>
      <c r="G167" s="15">
        <f>IF(OR(G165="",C165=""),"",IF(C165&lt;=0,"",IFERROR(G165/C165-1,"")))</f>
        <v/>
      </c>
      <c r="H167" s="15">
        <f>IF(OR(H165="",D165=""),"",IF(D165&lt;=0,"",IFERROR(H165/D165-1,"")))</f>
        <v/>
      </c>
      <c r="I167" s="15">
        <f>IF(OR(I165="",E165=""),"",IF(E165&lt;=0,"",IFERROR(I165/E165-1,"")))</f>
        <v/>
      </c>
      <c r="J167" s="15">
        <f>IF(OR(J165="",F165=""),"",IF(F165&lt;=0,"",IFERROR(J165/F165-1,"")))</f>
        <v/>
      </c>
      <c r="K167" s="15">
        <f>IF(OR(K165="",G165=""),"",IF(G165&lt;=0,"",IFERROR(K165/G165-1,"")))</f>
        <v/>
      </c>
      <c r="L167" s="15">
        <f>IF(OR(L165="",H165=""),"",IF(H165&lt;=0,"",IFERROR(L165/H165-1,"")))</f>
        <v/>
      </c>
      <c r="M167" s="15">
        <f>IF(OR(M165="",I165=""),"",IF(I165&lt;=0,"",IFERROR(M165/I165-1,"")))</f>
        <v/>
      </c>
      <c r="N167" s="15">
        <f>IF(OR(N165="",J165=""),"",IF(J165&lt;=0,"",IFERROR(N165/J165-1,"")))</f>
        <v/>
      </c>
      <c r="V167" s="15">
        <f>IF(OR(V165="",U165=""),"",IF(U165&lt;=0,"",IFERROR(V165/U165-1,"")))</f>
        <v/>
      </c>
      <c r="W167" s="15">
        <f>IF(OR(W165="",V165=""),"",IF(V165&lt;=0,"",IFERROR(W165/V165-1,"")))</f>
        <v/>
      </c>
      <c r="X167" s="15">
        <f>IF(OR(X165="",W165=""),"",IF(W165&lt;=0,"",IFERROR(X165/W165-1,"")))</f>
        <v/>
      </c>
    </row>
    <row r="168">
      <c r="A168" s="18" t="inlineStr">
        <is>
          <t>보고부문 합계 · 부문 이익</t>
        </is>
      </c>
      <c r="C168" s="20" t="n">
        <v>2087</v>
      </c>
      <c r="D168" s="20" t="n">
        <v>2493</v>
      </c>
      <c r="E168" s="20" t="n">
        <v>3474</v>
      </c>
      <c r="F168" s="20" t="n">
        <v>2836</v>
      </c>
      <c r="G168" s="20" t="n">
        <v>2713</v>
      </c>
      <c r="H168" s="20" t="n">
        <v>6343</v>
      </c>
      <c r="I168" s="20" t="n">
        <v>3976</v>
      </c>
      <c r="J168" s="20" t="n">
        <v>2898</v>
      </c>
      <c r="K168" s="20" t="n">
        <v>3388</v>
      </c>
      <c r="L168" s="20" t="n">
        <v>7132</v>
      </c>
      <c r="M168" s="20" t="n">
        <v>3319</v>
      </c>
      <c r="N168" s="20" t="n">
        <v>5309</v>
      </c>
      <c r="V168" s="20" t="n">
        <v>2493</v>
      </c>
      <c r="W168" s="20" t="n">
        <v>6343</v>
      </c>
      <c r="X168" s="20" t="n">
        <v>7132</v>
      </c>
    </row>
    <row r="169">
      <c r="A169" s="43" t="inlineStr">
        <is>
          <t>OPM</t>
        </is>
      </c>
      <c r="B169" s="3" t="inlineStr">
        <is>
          <t>영업이익 ÷ 매출</t>
        </is>
      </c>
      <c r="C169" s="15">
        <f>IF(OR(C168="",C157=""),"",IF(C157&lt;=0,"",IFERROR(C168/C157,"")))</f>
        <v/>
      </c>
      <c r="D169" s="15">
        <f>IF(OR(D168="",D157=""),"",IF(D157&lt;=0,"",IFERROR(D168/D157,"")))</f>
        <v/>
      </c>
      <c r="E169" s="15">
        <f>IF(OR(E168="",E157=""),"",IF(E157&lt;=0,"",IFERROR(E168/E157,"")))</f>
        <v/>
      </c>
      <c r="F169" s="15">
        <f>IF(OR(F168="",F157=""),"",IF(F157&lt;=0,"",IFERROR(F168/F157,"")))</f>
        <v/>
      </c>
      <c r="G169" s="15">
        <f>IF(OR(G168="",G157=""),"",IF(G157&lt;=0,"",IFERROR(G168/G157,"")))</f>
        <v/>
      </c>
      <c r="H169" s="15">
        <f>IF(OR(H168="",H157=""),"",IF(H157&lt;=0,"",IFERROR(H168/H157,"")))</f>
        <v/>
      </c>
      <c r="I169" s="15">
        <f>IF(OR(I168="",I157=""),"",IF(I157&lt;=0,"",IFERROR(I168/I157,"")))</f>
        <v/>
      </c>
      <c r="J169" s="15">
        <f>IF(OR(J168="",J157=""),"",IF(J157&lt;=0,"",IFERROR(J168/J157,"")))</f>
        <v/>
      </c>
      <c r="K169" s="15">
        <f>IF(OR(K168="",K157=""),"",IF(K157&lt;=0,"",IFERROR(K168/K157,"")))</f>
        <v/>
      </c>
      <c r="L169" s="15">
        <f>IF(OR(L168="",L157=""),"",IF(L157&lt;=0,"",IFERROR(L168/L157,"")))</f>
        <v/>
      </c>
      <c r="M169" s="15">
        <f>IF(OR(M168="",M157=""),"",IF(M157&lt;=0,"",IFERROR(M168/M157,"")))</f>
        <v/>
      </c>
      <c r="N169" s="15">
        <f>IF(OR(N168="",N157=""),"",IF(N157&lt;=0,"",IFERROR(N168/N157,"")))</f>
        <v/>
      </c>
      <c r="V169" s="15">
        <f>IF(OR(V168="",V157=""),"",IF(V157&lt;=0,"",IFERROR(V168/V157,"")))</f>
        <v/>
      </c>
      <c r="W169" s="15">
        <f>IF(OR(W168="",W157=""),"",IF(W157&lt;=0,"",IFERROR(W168/W157,"")))</f>
        <v/>
      </c>
      <c r="X169" s="15">
        <f>IF(OR(X168="",X157=""),"",IF(X157&lt;=0,"",IFERROR(X168/X157,"")))</f>
        <v/>
      </c>
    </row>
    <row r="170">
      <c r="A170" s="43" t="inlineStr">
        <is>
          <t>YoY</t>
        </is>
      </c>
      <c r="B170" s="3" t="inlineStr">
        <is>
          <t>전년 같은 분기·전년 대비</t>
        </is>
      </c>
      <c r="G170" s="15">
        <f>IF(OR(G168="",C168=""),"",IF(C168&lt;=0,"",IFERROR(G168/C168-1,"")))</f>
        <v/>
      </c>
      <c r="H170" s="15">
        <f>IF(OR(H168="",D168=""),"",IF(D168&lt;=0,"",IFERROR(H168/D168-1,"")))</f>
        <v/>
      </c>
      <c r="I170" s="15">
        <f>IF(OR(I168="",E168=""),"",IF(E168&lt;=0,"",IFERROR(I168/E168-1,"")))</f>
        <v/>
      </c>
      <c r="J170" s="15">
        <f>IF(OR(J168="",F168=""),"",IF(F168&lt;=0,"",IFERROR(J168/F168-1,"")))</f>
        <v/>
      </c>
      <c r="K170" s="15">
        <f>IF(OR(K168="",G168=""),"",IF(G168&lt;=0,"",IFERROR(K168/G168-1,"")))</f>
        <v/>
      </c>
      <c r="L170" s="15">
        <f>IF(OR(L168="",H168=""),"",IF(H168&lt;=0,"",IFERROR(L168/H168-1,"")))</f>
        <v/>
      </c>
      <c r="M170" s="15">
        <f>IF(OR(M168="",I168=""),"",IF(I168&lt;=0,"",IFERROR(M168/I168-1,"")))</f>
        <v/>
      </c>
      <c r="N170" s="15">
        <f>IF(OR(N168="",J168=""),"",IF(J168&lt;=0,"",IFERROR(N168/J168-1,"")))</f>
        <v/>
      </c>
      <c r="V170" s="15">
        <f>IF(OR(V168="",U168=""),"",IF(U168&lt;=0,"",IFERROR(V168/U168-1,"")))</f>
        <v/>
      </c>
      <c r="W170" s="15">
        <f>IF(OR(W168="",V168=""),"",IF(V168&lt;=0,"",IFERROR(W168/V168-1,"")))</f>
        <v/>
      </c>
      <c r="X170" s="15">
        <f>IF(OR(X168="",W168=""),"",IF(W168&lt;=0,"",IFERROR(X168/W168-1,"")))</f>
        <v/>
      </c>
    </row>
    <row r="171">
      <c r="A171" s="18" t="inlineStr">
        <is>
          <t>조정액 · 부문 이익</t>
        </is>
      </c>
      <c r="C171" s="20" t="n">
        <v>-390</v>
      </c>
      <c r="D171" s="20" t="n">
        <v>-423</v>
      </c>
      <c r="E171" s="20" t="n">
        <v>-513</v>
      </c>
      <c r="F171" s="20" t="n">
        <v>-543</v>
      </c>
      <c r="G171" s="20" t="n">
        <v>-488</v>
      </c>
      <c r="H171" s="20" t="n">
        <v>-625</v>
      </c>
      <c r="I171" s="20" t="n">
        <v>-537</v>
      </c>
      <c r="J171" s="20" t="n">
        <v>-570</v>
      </c>
      <c r="K171" s="20" t="n">
        <v>-495</v>
      </c>
      <c r="L171" s="20" t="n">
        <v>-682</v>
      </c>
      <c r="M171" s="20" t="n">
        <v>-531</v>
      </c>
      <c r="N171" s="20" t="n">
        <v>-692</v>
      </c>
      <c r="V171" s="20" t="n">
        <v>-423</v>
      </c>
      <c r="W171" s="20" t="n">
        <v>-625</v>
      </c>
      <c r="X171" s="20" t="n">
        <v>-682</v>
      </c>
    </row>
    <row r="172">
      <c r="A172" s="9" t="inlineStr">
        <is>
          <t>부문 이익</t>
        </is>
      </c>
      <c r="C172" s="12" t="n">
        <v>1697</v>
      </c>
      <c r="D172" s="12" t="n">
        <v>2071</v>
      </c>
      <c r="E172" s="12" t="n">
        <v>2961</v>
      </c>
      <c r="F172" s="12" t="n">
        <v>2293</v>
      </c>
      <c r="G172" s="12" t="n">
        <v>2225</v>
      </c>
      <c r="H172" s="12" t="n">
        <v>5717</v>
      </c>
      <c r="I172" s="12" t="n">
        <v>3438</v>
      </c>
      <c r="J172" s="12" t="n">
        <v>2328</v>
      </c>
      <c r="K172" s="12" t="n">
        <v>2893</v>
      </c>
      <c r="L172" s="12" t="n">
        <v>6450</v>
      </c>
      <c r="M172" s="12" t="n">
        <v>2787</v>
      </c>
      <c r="N172" s="12" t="n">
        <v>4617</v>
      </c>
      <c r="V172" s="12" t="n">
        <v>2071</v>
      </c>
      <c r="W172" s="12" t="n">
        <v>5717</v>
      </c>
      <c r="X172" s="12" t="n">
        <v>6450</v>
      </c>
    </row>
    <row r="173">
      <c r="A173" s="43" t="inlineStr">
        <is>
          <t>OPM</t>
        </is>
      </c>
      <c r="B173" s="3" t="inlineStr">
        <is>
          <t>영업이익 ÷ 매출</t>
        </is>
      </c>
      <c r="C173" s="15">
        <f>IF(OR(C172="",C146=""),"",IF(C146&lt;=0,"",IFERROR(C172/C146,"")))</f>
        <v/>
      </c>
      <c r="D173" s="15">
        <f>IF(OR(D172="",D146=""),"",IF(D146&lt;=0,"",IFERROR(D172/D146,"")))</f>
        <v/>
      </c>
      <c r="E173" s="15">
        <f>IF(OR(E172="",E146=""),"",IF(E146&lt;=0,"",IFERROR(E172/E146,"")))</f>
        <v/>
      </c>
      <c r="F173" s="15">
        <f>IF(OR(F172="",F146=""),"",IF(F146&lt;=0,"",IFERROR(F172/F146,"")))</f>
        <v/>
      </c>
      <c r="G173" s="15">
        <f>IF(OR(G172="",G146=""),"",IF(G146&lt;=0,"",IFERROR(G172/G146,"")))</f>
        <v/>
      </c>
      <c r="H173" s="15">
        <f>IF(OR(H172="",H146=""),"",IF(H146&lt;=0,"",IFERROR(H172/H146,"")))</f>
        <v/>
      </c>
      <c r="I173" s="15">
        <f>IF(OR(I172="",I146=""),"",IF(I146&lt;=0,"",IFERROR(I172/I146,"")))</f>
        <v/>
      </c>
      <c r="J173" s="15">
        <f>IF(OR(J172="",J146=""),"",IF(J146&lt;=0,"",IFERROR(J172/J146,"")))</f>
        <v/>
      </c>
      <c r="K173" s="15">
        <f>IF(OR(K172="",K146=""),"",IF(K146&lt;=0,"",IFERROR(K172/K146,"")))</f>
        <v/>
      </c>
      <c r="L173" s="15">
        <f>IF(OR(L172="",L146=""),"",IF(L146&lt;=0,"",IFERROR(L172/L146,"")))</f>
        <v/>
      </c>
      <c r="M173" s="15">
        <f>IF(OR(M172="",M146=""),"",IF(M146&lt;=0,"",IFERROR(M172/M146,"")))</f>
        <v/>
      </c>
      <c r="N173" s="15">
        <f>IF(OR(N172="",N146=""),"",IF(N146&lt;=0,"",IFERROR(N172/N146,"")))</f>
        <v/>
      </c>
      <c r="V173" s="15">
        <f>IF(OR(V172="",V146=""),"",IF(V146&lt;=0,"",IFERROR(V172/V146,"")))</f>
        <v/>
      </c>
      <c r="W173" s="15">
        <f>IF(OR(W172="",W146=""),"",IF(W146&lt;=0,"",IFERROR(W172/W146,"")))</f>
        <v/>
      </c>
      <c r="X173" s="15">
        <f>IF(OR(X172="",X146=""),"",IF(X146&lt;=0,"",IFERROR(X172/X146,"")))</f>
        <v/>
      </c>
    </row>
    <row r="174">
      <c r="A174" s="43" t="inlineStr">
        <is>
          <t>YoY</t>
        </is>
      </c>
      <c r="B174" s="3" t="inlineStr">
        <is>
          <t>전년 같은 분기·전년 대비</t>
        </is>
      </c>
      <c r="G174" s="15">
        <f>IF(OR(G172="",C172=""),"",IF(C172&lt;=0,"",IFERROR(G172/C172-1,"")))</f>
        <v/>
      </c>
      <c r="H174" s="15">
        <f>IF(OR(H172="",D172=""),"",IF(D172&lt;=0,"",IFERROR(H172/D172-1,"")))</f>
        <v/>
      </c>
      <c r="I174" s="15">
        <f>IF(OR(I172="",E172=""),"",IF(E172&lt;=0,"",IFERROR(I172/E172-1,"")))</f>
        <v/>
      </c>
      <c r="J174" s="15">
        <f>IF(OR(J172="",F172=""),"",IF(F172&lt;=0,"",IFERROR(J172/F172-1,"")))</f>
        <v/>
      </c>
      <c r="K174" s="15">
        <f>IF(OR(K172="",G172=""),"",IF(G172&lt;=0,"",IFERROR(K172/G172-1,"")))</f>
        <v/>
      </c>
      <c r="L174" s="15">
        <f>IF(OR(L172="",H172=""),"",IF(H172&lt;=0,"",IFERROR(L172/H172-1,"")))</f>
        <v/>
      </c>
      <c r="M174" s="15">
        <f>IF(OR(M172="",I172=""),"",IF(I172&lt;=0,"",IFERROR(M172/I172-1,"")))</f>
        <v/>
      </c>
      <c r="N174" s="15">
        <f>IF(OR(N172="",J172=""),"",IF(J172&lt;=0,"",IFERROR(N172/J172-1,"")))</f>
        <v/>
      </c>
      <c r="V174" s="15">
        <f>IF(OR(V172="",U172=""),"",IF(U172&lt;=0,"",IFERROR(V172/U172-1,"")))</f>
        <v/>
      </c>
      <c r="W174" s="15">
        <f>IF(OR(W172="",V172=""),"",IF(V172&lt;=0,"",IFERROR(W172/V172-1,"")))</f>
        <v/>
      </c>
      <c r="X174" s="15">
        <f>IF(OR(X172="",W172=""),"",IF(W172&lt;=0,"",IFERROR(X172/W172-1,"")))</f>
        <v/>
      </c>
    </row>
    <row r="176">
      <c r="A176" s="16" t="inlineStr">
        <is>
          <t>현금흐름표 · 전 항목</t>
        </is>
      </c>
      <c r="B176" s="42" t="inlineStr">
        <is>
          <t>분기 = 결산기 첫날부터 누계(공시 그대로)</t>
        </is>
      </c>
      <c r="C176" s="16" t="n"/>
      <c r="D176" s="16" t="n"/>
      <c r="E176" s="16" t="n"/>
      <c r="F176" s="16" t="n"/>
      <c r="G176" s="16" t="n"/>
      <c r="H176" s="16" t="n"/>
      <c r="I176" s="16" t="n"/>
      <c r="J176" s="16" t="n"/>
      <c r="K176" s="16" t="n"/>
      <c r="L176" s="16" t="n"/>
      <c r="M176" s="16" t="n"/>
      <c r="N176" s="16" t="n"/>
      <c r="O176" s="16" t="n"/>
      <c r="P176" s="16" t="n"/>
      <c r="Q176" s="16" t="n"/>
      <c r="R176" s="16" t="n"/>
      <c r="S176" s="16" t="n"/>
      <c r="T176" s="16" t="n"/>
      <c r="U176" s="16" t="n"/>
      <c r="V176" s="16" t="n"/>
      <c r="W176" s="16" t="n"/>
      <c r="X176" s="16" t="n"/>
      <c r="Y176" s="16" t="n"/>
      <c r="Z176" s="16" t="n"/>
      <c r="AA176" s="16" t="n"/>
      <c r="AB176" s="16" t="n"/>
      <c r="AC176" s="16" t="n"/>
    </row>
    <row r="177">
      <c r="A177" s="5" t="inlineStr">
        <is>
          <t>항목</t>
        </is>
      </c>
      <c r="B177" s="5" t="inlineStr">
        <is>
          <t>참고</t>
        </is>
      </c>
      <c r="C177" s="5" t="inlineStr">
        <is>
          <t>2024.3Q</t>
        </is>
      </c>
      <c r="D177" s="5" t="inlineStr">
        <is>
          <t>2024.4Q</t>
        </is>
      </c>
      <c r="E177" s="5" t="inlineStr">
        <is>
          <t>2025.1Q</t>
        </is>
      </c>
      <c r="F177" s="5" t="inlineStr">
        <is>
          <t>2025.2Q</t>
        </is>
      </c>
      <c r="G177" s="5" t="inlineStr">
        <is>
          <t>2025.3Q</t>
        </is>
      </c>
      <c r="H177" s="5" t="inlineStr">
        <is>
          <t>2025.4Q</t>
        </is>
      </c>
      <c r="I177" s="5" t="inlineStr">
        <is>
          <t>2026.1Q</t>
        </is>
      </c>
      <c r="J177" s="5" t="inlineStr">
        <is>
          <t>2026.2Q</t>
        </is>
      </c>
      <c r="K177" s="5" t="inlineStr">
        <is>
          <t>2026.3Q</t>
        </is>
      </c>
      <c r="L177" s="5" t="inlineStr">
        <is>
          <t>2026.4Q</t>
        </is>
      </c>
      <c r="M177" s="5" t="inlineStr">
        <is>
          <t>2027.1Q</t>
        </is>
      </c>
      <c r="N177" s="5" t="inlineStr">
        <is>
          <t>2027.2Q</t>
        </is>
      </c>
      <c r="O177" s="5" t="inlineStr">
        <is>
          <t>2017</t>
        </is>
      </c>
      <c r="P177" s="5" t="inlineStr">
        <is>
          <t>2018</t>
        </is>
      </c>
      <c r="Q177" s="5" t="inlineStr">
        <is>
          <t>2019</t>
        </is>
      </c>
      <c r="R177" s="5" t="inlineStr">
        <is>
          <t>2020</t>
        </is>
      </c>
      <c r="S177" s="5" t="inlineStr">
        <is>
          <t>2021</t>
        </is>
      </c>
      <c r="T177" s="5" t="inlineStr">
        <is>
          <t>2022</t>
        </is>
      </c>
      <c r="U177" s="5" t="inlineStr">
        <is>
          <t>2023</t>
        </is>
      </c>
      <c r="V177" s="5" t="inlineStr">
        <is>
          <t>2024</t>
        </is>
      </c>
      <c r="W177" s="5" t="inlineStr">
        <is>
          <t>2025</t>
        </is>
      </c>
      <c r="X177" s="5" t="inlineStr">
        <is>
          <t>2026</t>
        </is>
      </c>
      <c r="Y177" s="5" t="inlineStr">
        <is>
          <t>2027(MW)</t>
        </is>
      </c>
      <c r="Z177" s="5" t="inlineStr">
        <is>
          <t>2028(MW)</t>
        </is>
      </c>
      <c r="AA177" s="5" t="inlineStr">
        <is>
          <t>2029(MW)</t>
        </is>
      </c>
      <c r="AB177" s="5" t="inlineStr">
        <is>
          <t>2030(MW)</t>
        </is>
      </c>
      <c r="AC177" s="5" t="inlineStr">
        <is>
          <t>2031(MW)</t>
        </is>
      </c>
    </row>
    <row r="178">
      <c r="A178" s="9" t="inlineStr">
        <is>
          <t>법인세차감전 순이익</t>
        </is>
      </c>
      <c r="D178" s="12" t="n">
        <v>12409</v>
      </c>
      <c r="F178" s="12" t="n">
        <v>4573</v>
      </c>
      <c r="H178" s="12" t="n">
        <v>12434</v>
      </c>
      <c r="J178" s="12" t="n">
        <v>6593</v>
      </c>
      <c r="L178" s="12" t="n">
        <v>15898</v>
      </c>
      <c r="N178" s="12" t="n">
        <v>7081</v>
      </c>
      <c r="O178" s="12" t="n">
        <v>6286</v>
      </c>
      <c r="P178" s="12" t="n">
        <v>7802</v>
      </c>
      <c r="Q178" s="12" t="n">
        <v>9700</v>
      </c>
      <c r="R178" s="12" t="n">
        <v>9972</v>
      </c>
      <c r="S178" s="12" t="n">
        <v>10216</v>
      </c>
      <c r="T178" s="12" t="n">
        <v>12544</v>
      </c>
      <c r="U178" s="12" t="n">
        <v>13260</v>
      </c>
      <c r="V178" s="12" t="n">
        <v>12409</v>
      </c>
      <c r="W178" s="12" t="n">
        <v>12434</v>
      </c>
      <c r="X178" s="12" t="n">
        <v>15898</v>
      </c>
    </row>
    <row r="179">
      <c r="A179" s="18" t="inlineStr">
        <is>
          <t>감가상각비</t>
        </is>
      </c>
      <c r="D179" s="20" t="n">
        <v>5778</v>
      </c>
      <c r="F179" s="20" t="n">
        <v>2829</v>
      </c>
      <c r="H179" s="20" t="n">
        <v>5636</v>
      </c>
      <c r="J179" s="20" t="n">
        <v>2782</v>
      </c>
      <c r="L179" s="20" t="n">
        <v>5825</v>
      </c>
      <c r="N179" s="20" t="n">
        <v>2968</v>
      </c>
      <c r="O179" s="20" t="n">
        <v>4878</v>
      </c>
      <c r="P179" s="20" t="n">
        <v>4661</v>
      </c>
      <c r="Q179" s="20" t="n">
        <v>4766</v>
      </c>
      <c r="R179" s="20" t="n">
        <v>4814</v>
      </c>
      <c r="S179" s="20" t="n">
        <v>5077</v>
      </c>
      <c r="T179" s="20" t="n">
        <v>5418</v>
      </c>
      <c r="U179" s="20" t="n">
        <v>5668</v>
      </c>
      <c r="V179" s="20" t="n">
        <v>5778</v>
      </c>
      <c r="W179" s="20" t="n">
        <v>5636</v>
      </c>
      <c r="X179" s="20" t="n">
        <v>5825</v>
      </c>
    </row>
    <row r="180">
      <c r="A180" s="18" t="inlineStr">
        <is>
          <t>고정자산 제각손실</t>
        </is>
      </c>
      <c r="D180" s="20" t="n">
        <v>20</v>
      </c>
      <c r="F180" s="20" t="n">
        <v>8</v>
      </c>
      <c r="H180" s="20" t="n">
        <v>16</v>
      </c>
      <c r="J180" s="20" t="n">
        <v>2</v>
      </c>
      <c r="L180" s="20" t="n">
        <v>5</v>
      </c>
      <c r="N180" s="20" t="n">
        <v>16</v>
      </c>
      <c r="O180" s="20" t="n">
        <v>41</v>
      </c>
      <c r="P180" s="20" t="n">
        <v>12</v>
      </c>
      <c r="Q180" s="20" t="n">
        <v>36</v>
      </c>
      <c r="R180" s="20" t="n">
        <v>18</v>
      </c>
      <c r="S180" s="20" t="n">
        <v>18</v>
      </c>
      <c r="T180" s="20" t="n">
        <v>49</v>
      </c>
      <c r="U180" s="20" t="n">
        <v>61</v>
      </c>
      <c r="V180" s="20" t="n">
        <v>20</v>
      </c>
      <c r="W180" s="20" t="n">
        <v>16</v>
      </c>
      <c r="X180" s="20" t="n">
        <v>5</v>
      </c>
    </row>
    <row r="181">
      <c r="A181" s="18" t="inlineStr">
        <is>
          <t>손상차손</t>
        </is>
      </c>
      <c r="D181" s="20" t="n">
        <v>66</v>
      </c>
      <c r="H181" s="20" t="n">
        <v>0</v>
      </c>
      <c r="O181" s="20" t="n">
        <v>1957</v>
      </c>
      <c r="P181" s="20" t="n">
        <v>249</v>
      </c>
      <c r="Q181" s="20" t="n">
        <v>9</v>
      </c>
      <c r="R181" s="20" t="n">
        <v>8</v>
      </c>
      <c r="S181" s="20" t="n">
        <v>8</v>
      </c>
      <c r="T181" s="20" t="n">
        <v>2</v>
      </c>
      <c r="U181" s="20" t="n">
        <v>108</v>
      </c>
      <c r="V181" s="20" t="n">
        <v>66</v>
      </c>
      <c r="W181" s="20" t="n">
        <v>0</v>
      </c>
    </row>
    <row r="182">
      <c r="A182" s="18" t="inlineStr">
        <is>
          <t>영업권 상각</t>
        </is>
      </c>
      <c r="D182" s="20" t="n">
        <v>7</v>
      </c>
      <c r="F182" s="20" t="n">
        <v>21</v>
      </c>
      <c r="H182" s="20" t="n">
        <v>42</v>
      </c>
      <c r="J182" s="20" t="n">
        <v>21</v>
      </c>
      <c r="L182" s="20" t="n">
        <v>42</v>
      </c>
      <c r="N182" s="20" t="n">
        <v>21</v>
      </c>
      <c r="U182" s="20" t="n">
        <v>0</v>
      </c>
      <c r="V182" s="20" t="n">
        <v>7</v>
      </c>
      <c r="W182" s="20" t="n">
        <v>42</v>
      </c>
      <c r="X182" s="20" t="n">
        <v>42</v>
      </c>
    </row>
    <row r="183">
      <c r="A183" s="18" t="inlineStr">
        <is>
          <t>투자유가증권 평가손익</t>
        </is>
      </c>
      <c r="D183" s="20" t="n">
        <v>181</v>
      </c>
      <c r="H183" s="20" t="n">
        <v>0</v>
      </c>
      <c r="Q183" s="20" t="n">
        <v>0</v>
      </c>
      <c r="R183" s="20" t="n">
        <v>85</v>
      </c>
      <c r="S183" s="20" t="n">
        <v>0</v>
      </c>
      <c r="U183" s="20" t="n">
        <v>0</v>
      </c>
      <c r="V183" s="20" t="n">
        <v>181</v>
      </c>
      <c r="W183" s="20" t="n">
        <v>0</v>
      </c>
    </row>
    <row r="184">
      <c r="A184" s="18" t="inlineStr">
        <is>
          <t>부정 관련 손실</t>
        </is>
      </c>
      <c r="Q184" s="20" t="n">
        <v>0</v>
      </c>
      <c r="R184" s="20" t="n">
        <v>177</v>
      </c>
      <c r="S184" s="20" t="n">
        <v>0</v>
      </c>
    </row>
    <row r="185">
      <c r="A185" s="18" t="inlineStr">
        <is>
          <t>사업양도 손익</t>
        </is>
      </c>
      <c r="D185" s="20" t="n">
        <v>0</v>
      </c>
      <c r="T185" s="20" t="n">
        <v>0</v>
      </c>
      <c r="U185" s="20" t="n">
        <v>-240</v>
      </c>
      <c r="V185" s="20" t="n">
        <v>0</v>
      </c>
    </row>
    <row r="186">
      <c r="A186" s="18" t="inlineStr">
        <is>
          <t>대손충당금 증감</t>
        </is>
      </c>
      <c r="D186" s="20" t="n">
        <v>-24</v>
      </c>
      <c r="F186" s="20" t="n">
        <v>-0</v>
      </c>
      <c r="H186" s="20" t="n">
        <v>0</v>
      </c>
      <c r="J186" s="20" t="n">
        <v>-0</v>
      </c>
      <c r="L186" s="20" t="n">
        <v>0</v>
      </c>
      <c r="N186" s="20" t="n">
        <v>-0</v>
      </c>
      <c r="O186" s="20" t="n">
        <v>0</v>
      </c>
      <c r="P186" s="20" t="n">
        <v>-5</v>
      </c>
      <c r="Q186" s="20" t="n">
        <v>-1</v>
      </c>
      <c r="R186" s="20" t="n">
        <v>-4</v>
      </c>
      <c r="S186" s="20" t="n">
        <v>24</v>
      </c>
      <c r="T186" s="20" t="n">
        <v>-1</v>
      </c>
      <c r="U186" s="20" t="n">
        <v>-0</v>
      </c>
      <c r="V186" s="20" t="n">
        <v>-24</v>
      </c>
      <c r="W186" s="20" t="n">
        <v>0</v>
      </c>
      <c r="X186" s="20" t="n">
        <v>0</v>
      </c>
    </row>
    <row r="187">
      <c r="A187" s="18" t="inlineStr">
        <is>
          <t>상여충당금 증감</t>
        </is>
      </c>
      <c r="D187" s="20" t="n">
        <v>15</v>
      </c>
      <c r="F187" s="20" t="n">
        <v>-68</v>
      </c>
      <c r="H187" s="20" t="n">
        <v>29</v>
      </c>
      <c r="J187" s="20" t="n">
        <v>-60</v>
      </c>
      <c r="L187" s="20" t="n">
        <v>52</v>
      </c>
      <c r="N187" s="20" t="n">
        <v>-70</v>
      </c>
      <c r="O187" s="20" t="n">
        <v>8</v>
      </c>
      <c r="P187" s="20" t="n">
        <v>6</v>
      </c>
      <c r="Q187" s="20" t="n">
        <v>15</v>
      </c>
      <c r="R187" s="20" t="n">
        <v>-3</v>
      </c>
      <c r="S187" s="20" t="n">
        <v>2</v>
      </c>
      <c r="T187" s="20" t="n">
        <v>36</v>
      </c>
      <c r="U187" s="20" t="n">
        <v>6</v>
      </c>
      <c r="V187" s="20" t="n">
        <v>15</v>
      </c>
      <c r="W187" s="20" t="n">
        <v>29</v>
      </c>
      <c r="X187" s="20" t="n">
        <v>52</v>
      </c>
    </row>
    <row r="188">
      <c r="A188" s="18" t="inlineStr">
        <is>
          <t>퇴직급여부채 증감</t>
        </is>
      </c>
      <c r="D188" s="20" t="n">
        <v>-108</v>
      </c>
      <c r="F188" s="20" t="n">
        <v>49</v>
      </c>
      <c r="H188" s="20" t="n">
        <v>54</v>
      </c>
      <c r="J188" s="20" t="n">
        <v>5</v>
      </c>
      <c r="L188" s="20" t="n">
        <v>9</v>
      </c>
      <c r="N188" s="20" t="n">
        <v>25</v>
      </c>
      <c r="O188" s="20" t="n">
        <v>-18</v>
      </c>
      <c r="P188" s="20" t="n">
        <v>-84</v>
      </c>
      <c r="Q188" s="20" t="n">
        <v>-10</v>
      </c>
      <c r="R188" s="20" t="n">
        <v>33</v>
      </c>
      <c r="S188" s="20" t="n">
        <v>-176</v>
      </c>
      <c r="T188" s="20" t="n">
        <v>4</v>
      </c>
      <c r="U188" s="20" t="n">
        <v>114</v>
      </c>
      <c r="V188" s="20" t="n">
        <v>-108</v>
      </c>
      <c r="W188" s="20" t="n">
        <v>54</v>
      </c>
      <c r="X188" s="20" t="n">
        <v>9</v>
      </c>
    </row>
    <row r="189">
      <c r="A189" s="18" t="inlineStr">
        <is>
          <t>이자·배당금 수익</t>
        </is>
      </c>
      <c r="D189" s="20" t="n">
        <v>-400</v>
      </c>
      <c r="F189" s="20" t="n">
        <v>-296</v>
      </c>
      <c r="H189" s="20" t="n">
        <v>-548</v>
      </c>
      <c r="J189" s="20" t="n">
        <v>-400</v>
      </c>
      <c r="L189" s="20" t="n">
        <v>-715</v>
      </c>
      <c r="N189" s="20" t="n">
        <v>-487</v>
      </c>
      <c r="O189" s="20" t="n">
        <v>-368</v>
      </c>
      <c r="P189" s="20" t="n">
        <v>-382</v>
      </c>
      <c r="Q189" s="20" t="n">
        <v>-494</v>
      </c>
      <c r="R189" s="20" t="n">
        <v>-485</v>
      </c>
      <c r="S189" s="20" t="n">
        <v>-456</v>
      </c>
      <c r="T189" s="20" t="n">
        <v>-540</v>
      </c>
      <c r="U189" s="20" t="n">
        <v>-545</v>
      </c>
      <c r="V189" s="20" t="n">
        <v>-400</v>
      </c>
      <c r="W189" s="20" t="n">
        <v>-548</v>
      </c>
      <c r="X189" s="20" t="n">
        <v>-715</v>
      </c>
    </row>
    <row r="190">
      <c r="A190" s="18" t="inlineStr">
        <is>
          <t>이자비용</t>
        </is>
      </c>
      <c r="D190" s="20" t="n">
        <v>1664</v>
      </c>
      <c r="F190" s="20" t="n">
        <v>898</v>
      </c>
      <c r="H190" s="20" t="n">
        <v>1891</v>
      </c>
      <c r="J190" s="20" t="n">
        <v>1203</v>
      </c>
      <c r="L190" s="20" t="n">
        <v>2510</v>
      </c>
      <c r="N190" s="20" t="n">
        <v>1558</v>
      </c>
      <c r="O190" s="20" t="n">
        <v>1443</v>
      </c>
      <c r="P190" s="20" t="n">
        <v>1291</v>
      </c>
      <c r="Q190" s="20" t="n">
        <v>1253</v>
      </c>
      <c r="R190" s="20" t="n">
        <v>1256</v>
      </c>
      <c r="S190" s="20" t="n">
        <v>1331</v>
      </c>
      <c r="T190" s="20" t="n">
        <v>1414</v>
      </c>
      <c r="U190" s="20" t="n">
        <v>1480</v>
      </c>
      <c r="V190" s="20" t="n">
        <v>1664</v>
      </c>
      <c r="W190" s="20" t="n">
        <v>1891</v>
      </c>
      <c r="X190" s="20" t="n">
        <v>2510</v>
      </c>
    </row>
    <row r="191">
      <c r="A191" s="18" t="inlineStr">
        <is>
          <t>사채발행비 상각</t>
        </is>
      </c>
      <c r="D191" s="20" t="n">
        <v>50</v>
      </c>
      <c r="F191" s="20" t="n">
        <v>27</v>
      </c>
      <c r="H191" s="20" t="n">
        <v>52</v>
      </c>
      <c r="J191" s="20" t="n">
        <v>23</v>
      </c>
      <c r="L191" s="20" t="n">
        <v>44</v>
      </c>
      <c r="N191" s="20" t="n">
        <v>29</v>
      </c>
      <c r="O191" s="20" t="n">
        <v>82</v>
      </c>
      <c r="P191" s="20" t="n">
        <v>67</v>
      </c>
      <c r="Q191" s="20" t="n">
        <v>71</v>
      </c>
      <c r="R191" s="20" t="n">
        <v>64</v>
      </c>
      <c r="S191" s="20" t="n">
        <v>54</v>
      </c>
      <c r="T191" s="20" t="n">
        <v>56</v>
      </c>
      <c r="U191" s="20" t="n">
        <v>56</v>
      </c>
      <c r="V191" s="20" t="n">
        <v>50</v>
      </c>
      <c r="W191" s="20" t="n">
        <v>52</v>
      </c>
      <c r="X191" s="20" t="n">
        <v>44</v>
      </c>
    </row>
    <row r="192">
      <c r="A192" s="18" t="inlineStr">
        <is>
          <t>투자유가증권 매각손익</t>
        </is>
      </c>
      <c r="D192" s="20" t="n">
        <v>-1215</v>
      </c>
      <c r="F192" s="20" t="n">
        <v>0</v>
      </c>
      <c r="H192" s="20" t="n">
        <v>-799</v>
      </c>
      <c r="J192" s="20" t="n">
        <v>-1724</v>
      </c>
      <c r="L192" s="20" t="n">
        <v>-2690</v>
      </c>
      <c r="N192" s="20" t="n">
        <v>-902</v>
      </c>
      <c r="O192" s="20" t="n">
        <v>-3</v>
      </c>
      <c r="P192" s="20" t="n">
        <v>-94</v>
      </c>
      <c r="Q192" s="20" t="n">
        <v>0</v>
      </c>
      <c r="S192" s="20" t="n">
        <v>0</v>
      </c>
      <c r="T192" s="20" t="n">
        <v>-761</v>
      </c>
      <c r="U192" s="20" t="n">
        <v>-3543</v>
      </c>
      <c r="V192" s="20" t="n">
        <v>-1215</v>
      </c>
      <c r="W192" s="20" t="n">
        <v>-799</v>
      </c>
      <c r="X192" s="20" t="n">
        <v>-2690</v>
      </c>
    </row>
    <row r="193">
      <c r="A193" s="18" t="inlineStr">
        <is>
          <t>관계회사 주식 매각손익</t>
        </is>
      </c>
      <c r="O193" s="20" t="n">
        <v>159</v>
      </c>
      <c r="P193" s="20" t="n">
        <v>0</v>
      </c>
    </row>
    <row r="194">
      <c r="A194" s="18" t="inlineStr">
        <is>
          <t>고정자산 매각손익</t>
        </is>
      </c>
      <c r="F194" s="20" t="n">
        <v>0</v>
      </c>
      <c r="H194" s="20" t="n">
        <v>0</v>
      </c>
      <c r="J194" s="20" t="n">
        <v>-40</v>
      </c>
      <c r="L194" s="20" t="n">
        <v>-40</v>
      </c>
      <c r="N194" s="20" t="n">
        <v>0</v>
      </c>
      <c r="O194" s="20" t="n">
        <v>-14</v>
      </c>
      <c r="P194" s="20" t="n">
        <v>0</v>
      </c>
      <c r="Q194" s="20" t="n">
        <v>-1315</v>
      </c>
      <c r="R194" s="20" t="n">
        <v>-256</v>
      </c>
      <c r="S194" s="20" t="n">
        <v>1</v>
      </c>
      <c r="T194" s="20" t="n">
        <v>-344</v>
      </c>
      <c r="U194" s="20" t="n">
        <v>0</v>
      </c>
      <c r="W194" s="20" t="n">
        <v>0</v>
      </c>
      <c r="X194" s="20" t="n">
        <v>-40</v>
      </c>
    </row>
    <row r="195">
      <c r="A195" s="18" t="inlineStr">
        <is>
          <t>매출채권 증감</t>
        </is>
      </c>
      <c r="D195" s="20" t="n">
        <v>-147</v>
      </c>
      <c r="F195" s="20" t="n">
        <v>2</v>
      </c>
      <c r="H195" s="20" t="n">
        <v>-176</v>
      </c>
      <c r="J195" s="20" t="n">
        <v>170</v>
      </c>
      <c r="L195" s="20" t="n">
        <v>177</v>
      </c>
      <c r="N195" s="20" t="n">
        <v>263</v>
      </c>
      <c r="O195" s="20" t="n">
        <v>-73</v>
      </c>
      <c r="P195" s="20" t="n">
        <v>274</v>
      </c>
      <c r="Q195" s="20" t="n">
        <v>-108</v>
      </c>
      <c r="R195" s="20" t="n">
        <v>-56</v>
      </c>
      <c r="S195" s="20" t="n">
        <v>-512</v>
      </c>
      <c r="T195" s="20" t="n">
        <v>-175</v>
      </c>
      <c r="U195" s="20" t="n">
        <v>-157</v>
      </c>
      <c r="V195" s="20" t="n">
        <v>-147</v>
      </c>
      <c r="W195" s="20" t="n">
        <v>-176</v>
      </c>
      <c r="X195" s="20" t="n">
        <v>177</v>
      </c>
    </row>
    <row r="196">
      <c r="A196" s="18" t="inlineStr">
        <is>
          <t>재고자산 증감</t>
        </is>
      </c>
      <c r="D196" s="20" t="n">
        <v>6273</v>
      </c>
      <c r="F196" s="20" t="n">
        <v>1955</v>
      </c>
      <c r="H196" s="20" t="n">
        <v>3584</v>
      </c>
      <c r="J196" s="20" t="n">
        <v>413</v>
      </c>
      <c r="L196" s="20" t="n">
        <v>-1115</v>
      </c>
      <c r="N196" s="20" t="n">
        <v>-11707</v>
      </c>
      <c r="O196" s="20" t="n">
        <v>10258</v>
      </c>
      <c r="P196" s="20" t="n">
        <v>2172</v>
      </c>
      <c r="Q196" s="20" t="n">
        <v>-23880</v>
      </c>
      <c r="R196" s="20" t="n">
        <v>12881</v>
      </c>
      <c r="S196" s="20" t="n">
        <v>-410</v>
      </c>
      <c r="T196" s="20" t="n">
        <v>18578</v>
      </c>
      <c r="U196" s="20" t="n">
        <v>11012</v>
      </c>
      <c r="V196" s="20" t="n">
        <v>6273</v>
      </c>
      <c r="W196" s="20" t="n">
        <v>3584</v>
      </c>
      <c r="X196" s="20" t="n">
        <v>-1115</v>
      </c>
    </row>
    <row r="197">
      <c r="A197" s="18" t="inlineStr">
        <is>
          <t>영업 출자 증감(△는 증가)</t>
        </is>
      </c>
      <c r="D197" s="20" t="n">
        <v>475</v>
      </c>
      <c r="F197" s="20" t="n">
        <v>7</v>
      </c>
      <c r="H197" s="20" t="n">
        <v>-621</v>
      </c>
      <c r="J197" s="20" t="n">
        <v>-882</v>
      </c>
      <c r="L197" s="20" t="n">
        <v>-1125</v>
      </c>
      <c r="N197" s="20" t="n">
        <v>35</v>
      </c>
      <c r="O197" s="20" t="n">
        <v>-491</v>
      </c>
      <c r="P197" s="20" t="n">
        <v>335</v>
      </c>
      <c r="Q197" s="20" t="n">
        <v>-73</v>
      </c>
      <c r="R197" s="20" t="n">
        <v>14</v>
      </c>
      <c r="S197" s="20" t="n">
        <v>-1199</v>
      </c>
      <c r="T197" s="20" t="n">
        <v>60</v>
      </c>
      <c r="U197" s="20" t="n">
        <v>597</v>
      </c>
      <c r="V197" s="20" t="n">
        <v>475</v>
      </c>
      <c r="W197" s="20" t="n">
        <v>-621</v>
      </c>
      <c r="X197" s="20" t="n">
        <v>-1125</v>
      </c>
    </row>
    <row r="198">
      <c r="A198" s="18" t="inlineStr">
        <is>
          <t>선급비용 증감</t>
        </is>
      </c>
      <c r="D198" s="20" t="n">
        <v>-10</v>
      </c>
      <c r="F198" s="20" t="n">
        <v>-62</v>
      </c>
      <c r="H198" s="20" t="n">
        <v>20</v>
      </c>
      <c r="J198" s="20" t="n">
        <v>-112</v>
      </c>
      <c r="L198" s="20" t="n">
        <v>-7</v>
      </c>
      <c r="N198" s="20" t="n">
        <v>-109</v>
      </c>
      <c r="O198" s="20" t="n">
        <v>9</v>
      </c>
      <c r="P198" s="20" t="n">
        <v>5</v>
      </c>
      <c r="Q198" s="20" t="n">
        <v>-17</v>
      </c>
      <c r="R198" s="20" t="n">
        <v>0</v>
      </c>
      <c r="S198" s="20" t="n">
        <v>6</v>
      </c>
      <c r="T198" s="20" t="n">
        <v>-25</v>
      </c>
      <c r="U198" s="20" t="n">
        <v>0</v>
      </c>
      <c r="V198" s="20" t="n">
        <v>-10</v>
      </c>
      <c r="W198" s="20" t="n">
        <v>20</v>
      </c>
      <c r="X198" s="20" t="n">
        <v>-7</v>
      </c>
    </row>
    <row r="199">
      <c r="A199" s="18" t="inlineStr">
        <is>
          <t>미수금 증감</t>
        </is>
      </c>
      <c r="D199" s="20" t="n">
        <v>264</v>
      </c>
      <c r="F199" s="20" t="n">
        <v>-370</v>
      </c>
      <c r="H199" s="20" t="n">
        <v>-1020</v>
      </c>
      <c r="J199" s="20" t="n">
        <v>-399</v>
      </c>
      <c r="L199" s="20" t="n">
        <v>-410</v>
      </c>
      <c r="N199" s="20" t="n">
        <v>1368</v>
      </c>
      <c r="O199" s="20" t="n">
        <v>-422</v>
      </c>
      <c r="P199" s="20" t="n">
        <v>565</v>
      </c>
      <c r="Q199" s="20" t="n">
        <v>-347</v>
      </c>
      <c r="R199" s="20" t="n">
        <v>333</v>
      </c>
      <c r="S199" s="20" t="n">
        <v>-758</v>
      </c>
      <c r="T199" s="20" t="n">
        <v>-895</v>
      </c>
      <c r="U199" s="20" t="n">
        <v>1323</v>
      </c>
      <c r="V199" s="20" t="n">
        <v>264</v>
      </c>
      <c r="W199" s="20" t="n">
        <v>-1020</v>
      </c>
      <c r="X199" s="20" t="n">
        <v>-410</v>
      </c>
    </row>
    <row r="200">
      <c r="A200" s="18" t="inlineStr">
        <is>
          <t>매입채무 증감</t>
        </is>
      </c>
      <c r="D200" s="20" t="n">
        <v>-144</v>
      </c>
      <c r="F200" s="20" t="n">
        <v>-551</v>
      </c>
      <c r="H200" s="20" t="n">
        <v>-105</v>
      </c>
      <c r="J200" s="20" t="n">
        <v>-52</v>
      </c>
      <c r="L200" s="20" t="n">
        <v>481</v>
      </c>
      <c r="N200" s="20" t="n">
        <v>-523</v>
      </c>
      <c r="O200" s="20" t="n">
        <v>-138</v>
      </c>
      <c r="P200" s="20" t="n">
        <v>-123</v>
      </c>
      <c r="Q200" s="20" t="n">
        <v>42</v>
      </c>
      <c r="R200" s="20" t="n">
        <v>17</v>
      </c>
      <c r="S200" s="20" t="n">
        <v>-188</v>
      </c>
      <c r="T200" s="20" t="n">
        <v>274</v>
      </c>
      <c r="U200" s="20" t="n">
        <v>-55</v>
      </c>
      <c r="V200" s="20" t="n">
        <v>-144</v>
      </c>
      <c r="W200" s="20" t="n">
        <v>-105</v>
      </c>
      <c r="X200" s="20" t="n">
        <v>481</v>
      </c>
    </row>
    <row r="201">
      <c r="A201" s="18" t="inlineStr">
        <is>
          <t>선수금 증감</t>
        </is>
      </c>
      <c r="D201" s="20" t="n">
        <v>-46</v>
      </c>
      <c r="F201" s="20" t="n">
        <v>1907</v>
      </c>
      <c r="H201" s="20" t="n">
        <v>1394</v>
      </c>
      <c r="J201" s="20" t="n">
        <v>119</v>
      </c>
      <c r="L201" s="20" t="n">
        <v>1050</v>
      </c>
      <c r="N201" s="20" t="n">
        <v>241</v>
      </c>
      <c r="O201" s="20" t="n">
        <v>-82</v>
      </c>
      <c r="P201" s="20" t="n">
        <v>23</v>
      </c>
      <c r="Q201" s="20" t="n">
        <v>15</v>
      </c>
      <c r="R201" s="20" t="n">
        <v>174</v>
      </c>
      <c r="S201" s="20" t="n">
        <v>49</v>
      </c>
      <c r="T201" s="20" t="n">
        <v>-66</v>
      </c>
      <c r="U201" s="20" t="n">
        <v>12</v>
      </c>
      <c r="V201" s="20" t="n">
        <v>-46</v>
      </c>
      <c r="W201" s="20" t="n">
        <v>1394</v>
      </c>
      <c r="X201" s="20" t="n">
        <v>1050</v>
      </c>
    </row>
    <row r="202">
      <c r="A202" s="18" t="inlineStr">
        <is>
          <t>미지급 소비세 증감</t>
        </is>
      </c>
      <c r="D202" s="20" t="n">
        <v>1096</v>
      </c>
      <c r="F202" s="20" t="n">
        <v>-1578</v>
      </c>
      <c r="H202" s="20" t="n">
        <v>-1615</v>
      </c>
      <c r="J202" s="20" t="n">
        <v>-49</v>
      </c>
      <c r="L202" s="20" t="n">
        <v>-19</v>
      </c>
      <c r="N202" s="20" t="n">
        <v>568</v>
      </c>
      <c r="O202" s="20" t="n">
        <v>-717</v>
      </c>
      <c r="P202" s="20" t="n">
        <v>410</v>
      </c>
      <c r="Q202" s="20" t="n">
        <v>-379</v>
      </c>
      <c r="R202" s="20" t="n">
        <v>1323</v>
      </c>
      <c r="S202" s="20" t="n">
        <v>-1320</v>
      </c>
      <c r="T202" s="20" t="n">
        <v>19</v>
      </c>
      <c r="U202" s="20" t="n">
        <v>545</v>
      </c>
      <c r="V202" s="20" t="n">
        <v>1096</v>
      </c>
      <c r="W202" s="20" t="n">
        <v>-1615</v>
      </c>
      <c r="X202" s="20" t="n">
        <v>-19</v>
      </c>
    </row>
    <row r="203">
      <c r="A203" s="18" t="inlineStr">
        <is>
          <t>예수금 증감</t>
        </is>
      </c>
      <c r="D203" s="20" t="n">
        <v>26</v>
      </c>
      <c r="F203" s="20" t="n">
        <v>1</v>
      </c>
      <c r="H203" s="20" t="n">
        <v>117</v>
      </c>
      <c r="J203" s="20" t="n">
        <v>-29</v>
      </c>
      <c r="L203" s="20" t="n">
        <v>27</v>
      </c>
      <c r="N203" s="20" t="n">
        <v>147</v>
      </c>
      <c r="O203" s="20" t="n">
        <v>-112</v>
      </c>
      <c r="P203" s="20" t="n">
        <v>-77</v>
      </c>
      <c r="Q203" s="20" t="n">
        <v>73</v>
      </c>
      <c r="R203" s="20" t="n">
        <v>-124</v>
      </c>
      <c r="S203" s="20" t="n">
        <v>-14</v>
      </c>
      <c r="T203" s="20" t="n">
        <v>633</v>
      </c>
      <c r="U203" s="20" t="n">
        <v>-544</v>
      </c>
      <c r="V203" s="20" t="n">
        <v>26</v>
      </c>
      <c r="W203" s="20" t="n">
        <v>117</v>
      </c>
      <c r="X203" s="20" t="n">
        <v>27</v>
      </c>
    </row>
    <row r="204">
      <c r="A204" s="18" t="inlineStr">
        <is>
          <t>예수 임대보증금 증감(△는 감소)</t>
        </is>
      </c>
      <c r="D204" s="20" t="n">
        <v>-181</v>
      </c>
      <c r="F204" s="20" t="n">
        <v>-398</v>
      </c>
      <c r="H204" s="20" t="n">
        <v>-909</v>
      </c>
      <c r="J204" s="20" t="n">
        <v>435</v>
      </c>
      <c r="L204" s="20" t="n">
        <v>683</v>
      </c>
      <c r="N204" s="20" t="n">
        <v>591</v>
      </c>
      <c r="O204" s="20" t="n">
        <v>-106</v>
      </c>
      <c r="P204" s="20" t="n">
        <v>613</v>
      </c>
      <c r="Q204" s="20" t="n">
        <v>453</v>
      </c>
      <c r="R204" s="20" t="n">
        <v>803</v>
      </c>
      <c r="S204" s="20" t="n">
        <v>609</v>
      </c>
      <c r="T204" s="20" t="n">
        <v>-281</v>
      </c>
      <c r="U204" s="20" t="n">
        <v>1006</v>
      </c>
      <c r="V204" s="20" t="n">
        <v>-181</v>
      </c>
      <c r="W204" s="20" t="n">
        <v>-909</v>
      </c>
      <c r="X204" s="20" t="n">
        <v>683</v>
      </c>
    </row>
    <row r="205">
      <c r="A205" s="18" t="inlineStr">
        <is>
          <t>기타</t>
        </is>
      </c>
      <c r="D205" s="20" t="n">
        <v>-253</v>
      </c>
      <c r="F205" s="20" t="n">
        <v>1088</v>
      </c>
      <c r="H205" s="20" t="n">
        <v>1355</v>
      </c>
      <c r="J205" s="20" t="n">
        <v>246</v>
      </c>
      <c r="L205" s="20" t="n">
        <v>646</v>
      </c>
      <c r="N205" s="20" t="n">
        <v>72</v>
      </c>
      <c r="O205" s="20" t="n">
        <v>304</v>
      </c>
      <c r="P205" s="20" t="n">
        <v>-6</v>
      </c>
      <c r="Q205" s="20" t="n">
        <v>143</v>
      </c>
      <c r="R205" s="20" t="n">
        <v>-291</v>
      </c>
      <c r="S205" s="20" t="n">
        <v>793</v>
      </c>
      <c r="T205" s="20" t="n">
        <v>144</v>
      </c>
      <c r="U205" s="20" t="n">
        <v>35</v>
      </c>
      <c r="V205" s="20" t="n">
        <v>-253</v>
      </c>
      <c r="W205" s="20" t="n">
        <v>1355</v>
      </c>
      <c r="X205" s="20" t="n">
        <v>646</v>
      </c>
    </row>
    <row r="206">
      <c r="A206" s="18" t="inlineStr">
        <is>
          <t>소계</t>
        </is>
      </c>
      <c r="D206" s="20" t="n">
        <v>25798</v>
      </c>
      <c r="F206" s="20" t="n">
        <v>10043</v>
      </c>
      <c r="H206" s="20" t="n">
        <v>20832</v>
      </c>
      <c r="J206" s="20" t="n">
        <v>8264</v>
      </c>
      <c r="L206" s="20" t="n">
        <v>21330</v>
      </c>
      <c r="N206" s="20" t="n">
        <v>1189</v>
      </c>
      <c r="O206" s="20" t="n">
        <v>22878</v>
      </c>
      <c r="P206" s="20" t="n">
        <v>17719</v>
      </c>
      <c r="Q206" s="20" t="n">
        <v>-10049</v>
      </c>
      <c r="R206" s="20" t="n">
        <v>30756</v>
      </c>
      <c r="S206" s="20" t="n">
        <v>13157</v>
      </c>
      <c r="T206" s="20" t="n">
        <v>36144</v>
      </c>
      <c r="U206" s="20" t="n">
        <v>30203</v>
      </c>
      <c r="V206" s="20" t="n">
        <v>25798</v>
      </c>
      <c r="W206" s="20" t="n">
        <v>20832</v>
      </c>
      <c r="X206" s="20" t="n">
        <v>21330</v>
      </c>
    </row>
    <row r="207">
      <c r="A207" s="18" t="inlineStr">
        <is>
          <t>이자·배당금 수취</t>
        </is>
      </c>
      <c r="D207" s="20" t="n">
        <v>422</v>
      </c>
      <c r="F207" s="20" t="n">
        <v>297</v>
      </c>
      <c r="H207" s="20" t="n">
        <v>548</v>
      </c>
      <c r="J207" s="20" t="n">
        <v>402</v>
      </c>
      <c r="L207" s="20" t="n">
        <v>712</v>
      </c>
      <c r="N207" s="20" t="n">
        <v>492</v>
      </c>
      <c r="O207" s="20" t="n">
        <v>366</v>
      </c>
      <c r="P207" s="20" t="n">
        <v>380</v>
      </c>
      <c r="Q207" s="20" t="n">
        <v>490</v>
      </c>
      <c r="R207" s="20" t="n">
        <v>479</v>
      </c>
      <c r="S207" s="20" t="n">
        <v>462</v>
      </c>
      <c r="T207" s="20" t="n">
        <v>540</v>
      </c>
      <c r="U207" s="20" t="n">
        <v>522</v>
      </c>
      <c r="V207" s="20" t="n">
        <v>422</v>
      </c>
      <c r="W207" s="20" t="n">
        <v>548</v>
      </c>
      <c r="X207" s="20" t="n">
        <v>712</v>
      </c>
    </row>
    <row r="208">
      <c r="A208" s="18" t="inlineStr">
        <is>
          <t>이자 지급</t>
        </is>
      </c>
      <c r="D208" s="20" t="n">
        <v>-1650</v>
      </c>
      <c r="F208" s="20" t="n">
        <v>-904</v>
      </c>
      <c r="H208" s="20" t="n">
        <v>-1864</v>
      </c>
      <c r="J208" s="20" t="n">
        <v>-1209</v>
      </c>
      <c r="L208" s="20" t="n">
        <v>-2486</v>
      </c>
      <c r="N208" s="20" t="n">
        <v>-1546</v>
      </c>
      <c r="O208" s="20" t="n">
        <v>-1471</v>
      </c>
      <c r="P208" s="20" t="n">
        <v>-1276</v>
      </c>
      <c r="Q208" s="20" t="n">
        <v>-1244</v>
      </c>
      <c r="R208" s="20" t="n">
        <v>-1261</v>
      </c>
      <c r="S208" s="20" t="n">
        <v>-1320</v>
      </c>
      <c r="T208" s="20" t="n">
        <v>-1407</v>
      </c>
      <c r="U208" s="20" t="n">
        <v>-1457</v>
      </c>
      <c r="V208" s="20" t="n">
        <v>-1650</v>
      </c>
      <c r="W208" s="20" t="n">
        <v>-1864</v>
      </c>
      <c r="X208" s="20" t="n">
        <v>-2486</v>
      </c>
    </row>
    <row r="209">
      <c r="A209" s="18" t="inlineStr">
        <is>
          <t>법인세 납부</t>
        </is>
      </c>
      <c r="D209" s="20" t="n">
        <v>-4984</v>
      </c>
      <c r="F209" s="20" t="n">
        <v>-1558</v>
      </c>
      <c r="H209" s="20" t="n">
        <v>-3467</v>
      </c>
      <c r="J209" s="20" t="n">
        <v>-2489</v>
      </c>
      <c r="L209" s="20" t="n">
        <v>-4703</v>
      </c>
      <c r="N209" s="20" t="n">
        <v>-2571</v>
      </c>
      <c r="O209" s="20" t="n">
        <v>-792</v>
      </c>
      <c r="P209" s="20" t="n">
        <v>-3340</v>
      </c>
      <c r="Q209" s="20" t="n">
        <v>-1976</v>
      </c>
      <c r="R209" s="20" t="n">
        <v>-1293</v>
      </c>
      <c r="S209" s="20" t="n">
        <v>-4006</v>
      </c>
      <c r="T209" s="20" t="n">
        <v>-1088</v>
      </c>
      <c r="U209" s="20" t="n">
        <v>-5315</v>
      </c>
      <c r="V209" s="20" t="n">
        <v>-4984</v>
      </c>
      <c r="W209" s="20" t="n">
        <v>-3467</v>
      </c>
      <c r="X209" s="20" t="n">
        <v>-4703</v>
      </c>
    </row>
    <row r="210">
      <c r="A210" s="9" t="inlineStr">
        <is>
          <t>영업활동 현금흐름</t>
        </is>
      </c>
      <c r="D210" s="12" t="n">
        <v>19584</v>
      </c>
      <c r="F210" s="12" t="n">
        <v>7878</v>
      </c>
      <c r="H210" s="12" t="n">
        <v>16048</v>
      </c>
      <c r="J210" s="12" t="n">
        <v>4968</v>
      </c>
      <c r="L210" s="12" t="n">
        <v>14852</v>
      </c>
      <c r="N210" s="12" t="n">
        <v>-2436</v>
      </c>
      <c r="O210" s="12" t="n">
        <v>20980</v>
      </c>
      <c r="P210" s="12" t="n">
        <v>13482</v>
      </c>
      <c r="Q210" s="12" t="n">
        <v>-12780</v>
      </c>
      <c r="R210" s="12" t="n">
        <v>28680</v>
      </c>
      <c r="S210" s="12" t="n">
        <v>8292</v>
      </c>
      <c r="T210" s="12" t="n">
        <v>34189</v>
      </c>
      <c r="U210" s="12" t="n">
        <v>23952</v>
      </c>
      <c r="V210" s="12" t="n">
        <v>19584</v>
      </c>
      <c r="W210" s="12" t="n">
        <v>16048</v>
      </c>
      <c r="X210" s="12" t="n">
        <v>14852</v>
      </c>
    </row>
    <row r="211">
      <c r="A211" s="18" t="inlineStr">
        <is>
          <t>정기예금 증감</t>
        </is>
      </c>
      <c r="H211" s="20" t="n">
        <v>0</v>
      </c>
      <c r="J211" s="20" t="n">
        <v>0</v>
      </c>
      <c r="L211" s="20" t="n">
        <v>-1400</v>
      </c>
      <c r="N211" s="20" t="n">
        <v>-100</v>
      </c>
      <c r="O211" s="20" t="n">
        <v>10</v>
      </c>
      <c r="P211" s="20" t="n">
        <v>0</v>
      </c>
      <c r="Q211" s="20" t="n">
        <v>0</v>
      </c>
      <c r="R211" s="20" t="n">
        <v>-500</v>
      </c>
      <c r="S211" s="20" t="n">
        <v>500</v>
      </c>
      <c r="T211" s="20" t="n">
        <v>0</v>
      </c>
      <c r="W211" s="20" t="n">
        <v>0</v>
      </c>
      <c r="X211" s="20" t="n">
        <v>-1400</v>
      </c>
    </row>
    <row r="212">
      <c r="A212" s="18" t="inlineStr">
        <is>
          <t>유가증권 취득</t>
        </is>
      </c>
      <c r="D212" s="20" t="n">
        <v>-4000</v>
      </c>
      <c r="F212" s="20" t="n">
        <v>0</v>
      </c>
      <c r="H212" s="20" t="n">
        <v>0</v>
      </c>
      <c r="J212" s="20" t="n">
        <v>-2000</v>
      </c>
      <c r="L212" s="20" t="n">
        <v>-7000</v>
      </c>
      <c r="N212" s="20" t="n">
        <v>-3500</v>
      </c>
      <c r="O212" s="20" t="n">
        <v>0</v>
      </c>
      <c r="P212" s="20" t="n">
        <v>-400</v>
      </c>
      <c r="Q212" s="20" t="n">
        <v>-600</v>
      </c>
      <c r="R212" s="20" t="n">
        <v>0</v>
      </c>
      <c r="S212" s="20" t="n">
        <v>0</v>
      </c>
      <c r="T212" s="20" t="n">
        <v>-2000</v>
      </c>
      <c r="U212" s="20" t="n">
        <v>-3000</v>
      </c>
      <c r="V212" s="20" t="n">
        <v>-4000</v>
      </c>
      <c r="W212" s="20" t="n">
        <v>0</v>
      </c>
      <c r="X212" s="20" t="n">
        <v>-7000</v>
      </c>
    </row>
    <row r="213">
      <c r="A213" s="18" t="inlineStr">
        <is>
          <t>유가증권 매각·상환 수입</t>
        </is>
      </c>
      <c r="D213" s="20" t="n">
        <v>4000</v>
      </c>
      <c r="F213" s="20" t="n">
        <v>2005</v>
      </c>
      <c r="H213" s="20" t="n">
        <v>2005</v>
      </c>
      <c r="J213" s="20" t="n">
        <v>0</v>
      </c>
      <c r="L213" s="20" t="n">
        <v>2000</v>
      </c>
      <c r="N213" s="20" t="n">
        <v>5190</v>
      </c>
      <c r="O213" s="20" t="n">
        <v>0</v>
      </c>
      <c r="P213" s="20" t="n">
        <v>20</v>
      </c>
      <c r="Q213" s="20" t="n">
        <v>10</v>
      </c>
      <c r="R213" s="20" t="n">
        <v>130</v>
      </c>
      <c r="S213" s="20" t="n">
        <v>1003</v>
      </c>
      <c r="T213" s="20" t="n">
        <v>2016</v>
      </c>
      <c r="U213" s="20" t="n">
        <v>1015</v>
      </c>
      <c r="V213" s="20" t="n">
        <v>4000</v>
      </c>
      <c r="W213" s="20" t="n">
        <v>2005</v>
      </c>
      <c r="X213" s="20" t="n">
        <v>2000</v>
      </c>
    </row>
    <row r="214">
      <c r="A214" s="18" t="inlineStr">
        <is>
          <t>투자유가증권 취득</t>
        </is>
      </c>
      <c r="D214" s="20" t="n">
        <v>-1290</v>
      </c>
      <c r="F214" s="20" t="n">
        <v>-769</v>
      </c>
      <c r="H214" s="20" t="n">
        <v>-1908</v>
      </c>
      <c r="J214" s="20" t="n">
        <v>-1892</v>
      </c>
      <c r="L214" s="20" t="n">
        <v>-2207</v>
      </c>
      <c r="N214" s="20" t="n">
        <v>-646</v>
      </c>
      <c r="O214" s="20" t="n">
        <v>-15</v>
      </c>
      <c r="P214" s="20" t="n">
        <v>-207</v>
      </c>
      <c r="Q214" s="20" t="n">
        <v>-15</v>
      </c>
      <c r="R214" s="20" t="n">
        <v>-285</v>
      </c>
      <c r="S214" s="20" t="n">
        <v>-296</v>
      </c>
      <c r="T214" s="20" t="n">
        <v>-1632</v>
      </c>
      <c r="U214" s="20" t="n">
        <v>-313</v>
      </c>
      <c r="V214" s="20" t="n">
        <v>-1290</v>
      </c>
      <c r="W214" s="20" t="n">
        <v>-1908</v>
      </c>
      <c r="X214" s="20" t="n">
        <v>-2207</v>
      </c>
    </row>
    <row r="215">
      <c r="A215" s="18" t="inlineStr">
        <is>
          <t>투자유가증권 매각·상환 수입</t>
        </is>
      </c>
      <c r="D215" s="20" t="n">
        <v>1816</v>
      </c>
      <c r="F215" s="20" t="n">
        <v>11</v>
      </c>
      <c r="H215" s="20" t="n">
        <v>1039</v>
      </c>
      <c r="J215" s="20" t="n">
        <v>2605</v>
      </c>
      <c r="L215" s="20" t="n">
        <v>3756</v>
      </c>
      <c r="N215" s="20" t="n">
        <v>982</v>
      </c>
      <c r="O215" s="20" t="n">
        <v>73</v>
      </c>
      <c r="P215" s="20" t="n">
        <v>266</v>
      </c>
      <c r="Q215" s="20" t="n">
        <v>25</v>
      </c>
      <c r="R215" s="20" t="n">
        <v>78</v>
      </c>
      <c r="S215" s="20" t="n">
        <v>97</v>
      </c>
      <c r="T215" s="20" t="n">
        <v>986</v>
      </c>
      <c r="U215" s="20" t="n">
        <v>4141</v>
      </c>
      <c r="V215" s="20" t="n">
        <v>1816</v>
      </c>
      <c r="W215" s="20" t="n">
        <v>1039</v>
      </c>
      <c r="X215" s="20" t="n">
        <v>3756</v>
      </c>
    </row>
    <row r="216">
      <c r="A216" s="18" t="inlineStr">
        <is>
          <t>연결범위 변경 자회사 주식 매각</t>
        </is>
      </c>
      <c r="O216" s="20" t="n">
        <v>17</v>
      </c>
      <c r="P216" s="20" t="n">
        <v>0</v>
      </c>
    </row>
    <row r="217">
      <c r="A217" s="18" t="inlineStr">
        <is>
          <t>관계회사 대여 지출</t>
        </is>
      </c>
      <c r="P217" s="20" t="n">
        <v>0</v>
      </c>
      <c r="Q217" s="20" t="n">
        <v>-2800</v>
      </c>
      <c r="R217" s="20" t="n">
        <v>0</v>
      </c>
    </row>
    <row r="218">
      <c r="A218" s="18" t="inlineStr">
        <is>
          <t>사업양수 지출</t>
        </is>
      </c>
      <c r="D218" s="20" t="n">
        <v>-1231</v>
      </c>
      <c r="H218" s="20" t="n">
        <v>0</v>
      </c>
      <c r="U218" s="20" t="n">
        <v>0</v>
      </c>
      <c r="V218" s="20" t="n">
        <v>-1231</v>
      </c>
      <c r="W218" s="20" t="n">
        <v>0</v>
      </c>
    </row>
    <row r="219">
      <c r="A219" s="18" t="inlineStr">
        <is>
          <t>사업양도 수입</t>
        </is>
      </c>
      <c r="D219" s="20" t="n">
        <v>0</v>
      </c>
      <c r="T219" s="20" t="n">
        <v>0</v>
      </c>
      <c r="U219" s="20" t="n">
        <v>240</v>
      </c>
      <c r="V219" s="20" t="n">
        <v>0</v>
      </c>
    </row>
    <row r="220">
      <c r="A220" s="18" t="inlineStr">
        <is>
          <t>유형자산 취득(설비투자)</t>
        </is>
      </c>
      <c r="D220" s="20" t="n">
        <v>-18190</v>
      </c>
      <c r="F220" s="20" t="n">
        <v>-5197</v>
      </c>
      <c r="H220" s="20" t="n">
        <v>-23717</v>
      </c>
      <c r="J220" s="20" t="n">
        <v>-11141</v>
      </c>
      <c r="L220" s="20" t="n">
        <v>-20777</v>
      </c>
      <c r="N220" s="20" t="n">
        <v>-4378</v>
      </c>
      <c r="O220" s="20" t="n">
        <v>-16004</v>
      </c>
      <c r="P220" s="20" t="n">
        <v>-3345</v>
      </c>
      <c r="Q220" s="20" t="n">
        <v>-17836</v>
      </c>
      <c r="R220" s="20" t="n">
        <v>-11751</v>
      </c>
      <c r="S220" s="20" t="n">
        <v>-26894</v>
      </c>
      <c r="T220" s="20" t="n">
        <v>-18218</v>
      </c>
      <c r="U220" s="20" t="n">
        <v>-38239</v>
      </c>
      <c r="V220" s="20" t="n">
        <v>-18190</v>
      </c>
      <c r="W220" s="20" t="n">
        <v>-23717</v>
      </c>
      <c r="X220" s="20" t="n">
        <v>-20777</v>
      </c>
    </row>
    <row r="221">
      <c r="A221" s="18" t="inlineStr">
        <is>
          <t>유형자산 매각</t>
        </is>
      </c>
      <c r="F221" s="20" t="n">
        <v>0</v>
      </c>
      <c r="H221" s="20" t="n">
        <v>0</v>
      </c>
      <c r="J221" s="20" t="n">
        <v>46</v>
      </c>
      <c r="L221" s="20" t="n">
        <v>46</v>
      </c>
      <c r="N221" s="20" t="n">
        <v>0</v>
      </c>
      <c r="O221" s="20" t="n">
        <v>2969</v>
      </c>
      <c r="P221" s="20" t="n">
        <v>0</v>
      </c>
      <c r="Q221" s="20" t="n">
        <v>13405</v>
      </c>
      <c r="R221" s="20" t="n">
        <v>590</v>
      </c>
      <c r="S221" s="20" t="n">
        <v>4</v>
      </c>
      <c r="T221" s="20" t="n">
        <v>984</v>
      </c>
      <c r="U221" s="20" t="n">
        <v>0</v>
      </c>
      <c r="W221" s="20" t="n">
        <v>0</v>
      </c>
      <c r="X221" s="20" t="n">
        <v>46</v>
      </c>
    </row>
    <row r="222">
      <c r="A222" s="18" t="inlineStr">
        <is>
          <t>무형자산 취득</t>
        </is>
      </c>
      <c r="D222" s="20" t="n">
        <v>-74</v>
      </c>
      <c r="F222" s="20" t="n">
        <v>-34</v>
      </c>
      <c r="H222" s="20" t="n">
        <v>-900</v>
      </c>
      <c r="J222" s="20" t="n">
        <v>-21</v>
      </c>
      <c r="L222" s="20" t="n">
        <v>-65</v>
      </c>
      <c r="N222" s="20" t="n">
        <v>-23</v>
      </c>
      <c r="O222" s="20" t="n">
        <v>-14</v>
      </c>
      <c r="P222" s="20" t="n">
        <v>-13569</v>
      </c>
      <c r="Q222" s="20" t="n">
        <v>-4295</v>
      </c>
      <c r="R222" s="20" t="n">
        <v>-54</v>
      </c>
      <c r="S222" s="20" t="n">
        <v>-4231</v>
      </c>
      <c r="T222" s="20" t="n">
        <v>-2156</v>
      </c>
      <c r="U222" s="20" t="n">
        <v>-2374</v>
      </c>
      <c r="V222" s="20" t="n">
        <v>-74</v>
      </c>
      <c r="W222" s="20" t="n">
        <v>-900</v>
      </c>
      <c r="X222" s="20" t="n">
        <v>-65</v>
      </c>
    </row>
    <row r="223">
      <c r="A223" s="18" t="inlineStr">
        <is>
          <t>장기선급비용 지출</t>
        </is>
      </c>
      <c r="D223" s="20" t="n">
        <v>-396</v>
      </c>
      <c r="F223" s="20" t="n">
        <v>-40</v>
      </c>
      <c r="H223" s="20" t="n">
        <v>-1408</v>
      </c>
      <c r="J223" s="20" t="n">
        <v>-96</v>
      </c>
      <c r="L223" s="20" t="n">
        <v>-417</v>
      </c>
      <c r="N223" s="20" t="n">
        <v>-80</v>
      </c>
      <c r="O223" s="20" t="n">
        <v>-54</v>
      </c>
      <c r="P223" s="20" t="n">
        <v>-21</v>
      </c>
      <c r="Q223" s="20" t="n">
        <v>-188</v>
      </c>
      <c r="R223" s="20" t="n">
        <v>-16</v>
      </c>
      <c r="S223" s="20" t="n">
        <v>-180</v>
      </c>
      <c r="T223" s="20" t="n">
        <v>-498</v>
      </c>
      <c r="U223" s="20" t="n">
        <v>-1155</v>
      </c>
      <c r="V223" s="20" t="n">
        <v>-396</v>
      </c>
      <c r="W223" s="20" t="n">
        <v>-1408</v>
      </c>
      <c r="X223" s="20" t="n">
        <v>-417</v>
      </c>
    </row>
    <row r="224">
      <c r="A224" s="18" t="inlineStr">
        <is>
          <t>보증금 납입</t>
        </is>
      </c>
      <c r="D224" s="20" t="n">
        <v>-65</v>
      </c>
      <c r="F224" s="20" t="n">
        <v>-183</v>
      </c>
      <c r="H224" s="20" t="n">
        <v>-248</v>
      </c>
      <c r="J224" s="20" t="n">
        <v>-403</v>
      </c>
      <c r="L224" s="20" t="n">
        <v>-632</v>
      </c>
      <c r="N224" s="20" t="n">
        <v>-516</v>
      </c>
      <c r="O224" s="20" t="n">
        <v>-8</v>
      </c>
      <c r="P224" s="20" t="n">
        <v>-115</v>
      </c>
      <c r="Q224" s="20" t="n">
        <v>-608</v>
      </c>
      <c r="R224" s="20" t="n">
        <v>-162</v>
      </c>
      <c r="S224" s="20" t="n">
        <v>-198</v>
      </c>
      <c r="T224" s="20" t="n">
        <v>-237</v>
      </c>
      <c r="U224" s="20" t="n">
        <v>-614</v>
      </c>
      <c r="V224" s="20" t="n">
        <v>-65</v>
      </c>
      <c r="W224" s="20" t="n">
        <v>-248</v>
      </c>
      <c r="X224" s="20" t="n">
        <v>-632</v>
      </c>
    </row>
    <row r="225">
      <c r="A225" s="18" t="inlineStr">
        <is>
          <t>보증금 회수</t>
        </is>
      </c>
      <c r="D225" s="20" t="n">
        <v>73</v>
      </c>
      <c r="F225" s="20" t="n">
        <v>75</v>
      </c>
      <c r="H225" s="20" t="n">
        <v>288</v>
      </c>
      <c r="J225" s="20" t="n">
        <v>207</v>
      </c>
      <c r="L225" s="20" t="n">
        <v>222</v>
      </c>
      <c r="N225" s="20" t="n">
        <v>0</v>
      </c>
      <c r="O225" s="20" t="n">
        <v>5</v>
      </c>
      <c r="P225" s="20" t="n">
        <v>109</v>
      </c>
      <c r="Q225" s="20" t="n">
        <v>52</v>
      </c>
      <c r="R225" s="20" t="n">
        <v>520</v>
      </c>
      <c r="S225" s="20" t="n">
        <v>14</v>
      </c>
      <c r="T225" s="20" t="n">
        <v>42</v>
      </c>
      <c r="U225" s="20" t="n">
        <v>48</v>
      </c>
      <c r="V225" s="20" t="n">
        <v>73</v>
      </c>
      <c r="W225" s="20" t="n">
        <v>288</v>
      </c>
      <c r="X225" s="20" t="n">
        <v>222</v>
      </c>
    </row>
    <row r="226">
      <c r="A226" s="18" t="inlineStr">
        <is>
          <t>자산복구부채 이행 지출</t>
        </is>
      </c>
      <c r="P226" s="20" t="n">
        <v>0</v>
      </c>
      <c r="Q226" s="20" t="n">
        <v>-98</v>
      </c>
      <c r="R226" s="20" t="n">
        <v>-77</v>
      </c>
      <c r="S226" s="20" t="n">
        <v>-20</v>
      </c>
      <c r="T226" s="20" t="n">
        <v>-1</v>
      </c>
      <c r="U226" s="20" t="n">
        <v>0</v>
      </c>
    </row>
    <row r="227">
      <c r="A227" s="18" t="inlineStr">
        <is>
          <t>기타</t>
        </is>
      </c>
      <c r="D227" s="20" t="n">
        <v>1</v>
      </c>
      <c r="F227" s="20" t="n">
        <v>0</v>
      </c>
      <c r="H227" s="20" t="n">
        <v>10</v>
      </c>
      <c r="J227" s="20" t="n">
        <v>2</v>
      </c>
      <c r="L227" s="20" t="n">
        <v>5</v>
      </c>
      <c r="N227" s="20" t="n">
        <v>-9</v>
      </c>
      <c r="O227" s="20" t="n">
        <v>4</v>
      </c>
      <c r="P227" s="20" t="n">
        <v>-0</v>
      </c>
      <c r="Q227" s="20" t="n">
        <v>3</v>
      </c>
      <c r="R227" s="20" t="n">
        <v>100</v>
      </c>
      <c r="S227" s="20" t="n">
        <v>1</v>
      </c>
      <c r="T227" s="20" t="n">
        <v>11</v>
      </c>
      <c r="U227" s="20" t="n">
        <v>2</v>
      </c>
      <c r="V227" s="20" t="n">
        <v>1</v>
      </c>
      <c r="W227" s="20" t="n">
        <v>10</v>
      </c>
      <c r="X227" s="20" t="n">
        <v>5</v>
      </c>
    </row>
    <row r="228">
      <c r="A228" s="9" t="inlineStr">
        <is>
          <t>투자활동 현금흐름</t>
        </is>
      </c>
      <c r="D228" s="12" t="n">
        <v>-19356</v>
      </c>
      <c r="F228" s="12" t="n">
        <v>-4131</v>
      </c>
      <c r="H228" s="12" t="n">
        <v>-24839</v>
      </c>
      <c r="J228" s="12" t="n">
        <v>-12693</v>
      </c>
      <c r="L228" s="12" t="n">
        <v>-26470</v>
      </c>
      <c r="N228" s="12" t="n">
        <v>-3083</v>
      </c>
      <c r="O228" s="12" t="n">
        <v>-13017</v>
      </c>
      <c r="P228" s="12" t="n">
        <v>-17265</v>
      </c>
      <c r="Q228" s="12" t="n">
        <v>-12946</v>
      </c>
      <c r="R228" s="12" t="n">
        <v>-11427</v>
      </c>
      <c r="S228" s="12" t="n">
        <v>-30200</v>
      </c>
      <c r="T228" s="12" t="n">
        <v>-20705</v>
      </c>
      <c r="U228" s="12" t="n">
        <v>-40250</v>
      </c>
      <c r="V228" s="12" t="n">
        <v>-19356</v>
      </c>
      <c r="W228" s="12" t="n">
        <v>-24839</v>
      </c>
      <c r="X228" s="12" t="n">
        <v>-26470</v>
      </c>
    </row>
    <row r="229">
      <c r="A229" s="18" t="inlineStr">
        <is>
          <t>단기차입금 순증감</t>
        </is>
      </c>
      <c r="D229" s="20" t="n">
        <v>-3000</v>
      </c>
      <c r="F229" s="20" t="n">
        <v>900</v>
      </c>
      <c r="H229" s="20" t="n">
        <v>0</v>
      </c>
      <c r="J229" s="20" t="n">
        <v>100</v>
      </c>
      <c r="N229" s="20" t="n">
        <v>2200</v>
      </c>
      <c r="O229" s="20" t="n">
        <v>-3400</v>
      </c>
      <c r="P229" s="20" t="n">
        <v>-2250</v>
      </c>
      <c r="Q229" s="20" t="n">
        <v>9000</v>
      </c>
      <c r="R229" s="20" t="n">
        <v>-5000</v>
      </c>
      <c r="S229" s="20" t="n">
        <v>3000</v>
      </c>
      <c r="T229" s="20" t="n">
        <v>-5450</v>
      </c>
      <c r="U229" s="20" t="n">
        <v>0</v>
      </c>
      <c r="V229" s="20" t="n">
        <v>-3000</v>
      </c>
      <c r="W229" s="20" t="n">
        <v>0</v>
      </c>
    </row>
    <row r="230">
      <c r="A230" s="18" t="inlineStr">
        <is>
          <t>비소구 단기차입금 순증감(△는 감소)</t>
        </is>
      </c>
      <c r="J230" s="20" t="n">
        <v>0</v>
      </c>
      <c r="N230" s="20" t="n">
        <v>44</v>
      </c>
    </row>
    <row r="231">
      <c r="A231" s="18" t="inlineStr">
        <is>
          <t>장기차입</t>
        </is>
      </c>
      <c r="D231" s="20" t="n">
        <v>19827</v>
      </c>
      <c r="F231" s="20" t="n">
        <v>5630</v>
      </c>
      <c r="H231" s="20" t="n">
        <v>43639</v>
      </c>
      <c r="J231" s="20" t="n">
        <v>14650</v>
      </c>
      <c r="L231" s="20" t="n">
        <v>38971</v>
      </c>
      <c r="N231" s="20" t="n">
        <v>9035</v>
      </c>
      <c r="O231" s="20" t="n">
        <v>49800</v>
      </c>
      <c r="P231" s="20" t="n">
        <v>27360</v>
      </c>
      <c r="Q231" s="20" t="n">
        <v>32950</v>
      </c>
      <c r="R231" s="20" t="n">
        <v>22600</v>
      </c>
      <c r="S231" s="20" t="n">
        <v>27150</v>
      </c>
      <c r="T231" s="20" t="n">
        <v>25010</v>
      </c>
      <c r="U231" s="20" t="n">
        <v>29860</v>
      </c>
      <c r="V231" s="20" t="n">
        <v>19827</v>
      </c>
      <c r="W231" s="20" t="n">
        <v>43639</v>
      </c>
      <c r="X231" s="20" t="n">
        <v>38971</v>
      </c>
    </row>
    <row r="232">
      <c r="A232" s="18" t="inlineStr">
        <is>
          <t>장기차입금 상환</t>
        </is>
      </c>
      <c r="D232" s="20" t="n">
        <v>-16050</v>
      </c>
      <c r="F232" s="20" t="n">
        <v>-7005</v>
      </c>
      <c r="H232" s="20" t="n">
        <v>-17008</v>
      </c>
      <c r="J232" s="20" t="n">
        <v>-6953</v>
      </c>
      <c r="L232" s="20" t="n">
        <v>-19053</v>
      </c>
      <c r="N232" s="20" t="n">
        <v>-15019</v>
      </c>
      <c r="O232" s="20" t="n">
        <v>-41727</v>
      </c>
      <c r="P232" s="20" t="n">
        <v>-26534</v>
      </c>
      <c r="Q232" s="20" t="n">
        <v>-18148</v>
      </c>
      <c r="R232" s="20" t="n">
        <v>-14470</v>
      </c>
      <c r="S232" s="20" t="n">
        <v>-6307</v>
      </c>
      <c r="T232" s="20" t="n">
        <v>-27159</v>
      </c>
      <c r="U232" s="20" t="n">
        <v>-13472</v>
      </c>
      <c r="V232" s="20" t="n">
        <v>-16050</v>
      </c>
      <c r="W232" s="20" t="n">
        <v>-17008</v>
      </c>
      <c r="X232" s="20" t="n">
        <v>-19053</v>
      </c>
    </row>
    <row r="233">
      <c r="A233" s="18" t="inlineStr">
        <is>
          <t>사채 발행</t>
        </is>
      </c>
      <c r="D233" s="20" t="n">
        <v>3500</v>
      </c>
      <c r="H233" s="20" t="n">
        <v>0</v>
      </c>
      <c r="O233" s="20" t="n">
        <v>3000</v>
      </c>
      <c r="P233" s="20" t="n">
        <v>1500</v>
      </c>
      <c r="Q233" s="20" t="n">
        <v>6500</v>
      </c>
      <c r="R233" s="20" t="n">
        <v>0</v>
      </c>
      <c r="S233" s="20" t="n">
        <v>7000</v>
      </c>
      <c r="T233" s="20" t="n">
        <v>0</v>
      </c>
      <c r="U233" s="20" t="n">
        <v>7790</v>
      </c>
      <c r="V233" s="20" t="n">
        <v>3500</v>
      </c>
      <c r="W233" s="20" t="n">
        <v>0</v>
      </c>
    </row>
    <row r="234">
      <c r="A234" s="18" t="inlineStr">
        <is>
          <t>비소구 장기차입에 따른 수입</t>
        </is>
      </c>
      <c r="H234" s="20" t="n">
        <v>0</v>
      </c>
      <c r="J234" s="20" t="n">
        <v>0</v>
      </c>
      <c r="L234" s="20" t="n">
        <v>3210</v>
      </c>
      <c r="N234" s="20" t="n">
        <v>3100</v>
      </c>
      <c r="W234" s="20" t="n">
        <v>0</v>
      </c>
      <c r="X234" s="20" t="n">
        <v>3210</v>
      </c>
    </row>
    <row r="235">
      <c r="A235" s="18" t="inlineStr">
        <is>
          <t>사채 상환</t>
        </is>
      </c>
      <c r="D235" s="20" t="n">
        <v>-3648</v>
      </c>
      <c r="F235" s="20" t="n">
        <v>-2099</v>
      </c>
      <c r="H235" s="20" t="n">
        <v>-3624</v>
      </c>
      <c r="J235" s="20" t="n">
        <v>-3324</v>
      </c>
      <c r="L235" s="20" t="n">
        <v>-4259</v>
      </c>
      <c r="N235" s="20" t="n">
        <v>-1017</v>
      </c>
      <c r="O235" s="20" t="n">
        <v>-10753</v>
      </c>
      <c r="P235" s="20" t="n">
        <v>-1340</v>
      </c>
      <c r="Q235" s="20" t="n">
        <v>-1415</v>
      </c>
      <c r="R235" s="20" t="n">
        <v>-4824</v>
      </c>
      <c r="S235" s="20" t="n">
        <v>-2092</v>
      </c>
      <c r="T235" s="20" t="n">
        <v>-1891</v>
      </c>
      <c r="U235" s="20" t="n">
        <v>-4368</v>
      </c>
      <c r="V235" s="20" t="n">
        <v>-3648</v>
      </c>
      <c r="W235" s="20" t="n">
        <v>-3624</v>
      </c>
      <c r="X235" s="20" t="n">
        <v>-4259</v>
      </c>
    </row>
    <row r="236">
      <c r="A236" s="18" t="inlineStr">
        <is>
          <t>장기미지급금 증가에 따른 수입</t>
        </is>
      </c>
      <c r="D236" s="20" t="n">
        <v>3800</v>
      </c>
      <c r="F236" s="20" t="n">
        <v>0</v>
      </c>
      <c r="H236" s="20" t="n">
        <v>0</v>
      </c>
      <c r="Q236" s="20" t="n">
        <v>0</v>
      </c>
      <c r="R236" s="20" t="n">
        <v>4000</v>
      </c>
      <c r="S236" s="20" t="n">
        <v>0</v>
      </c>
      <c r="T236" s="20" t="n">
        <v>0</v>
      </c>
      <c r="U236" s="20" t="n">
        <v>850</v>
      </c>
      <c r="V236" s="20" t="n">
        <v>3800</v>
      </c>
      <c r="W236" s="20" t="n">
        <v>0</v>
      </c>
    </row>
    <row r="237">
      <c r="A237" s="18" t="inlineStr">
        <is>
          <t>장기 미지급금 상환 지출</t>
        </is>
      </c>
      <c r="D237" s="20" t="n">
        <v>0</v>
      </c>
      <c r="F237" s="20" t="n">
        <v>-129</v>
      </c>
      <c r="H237" s="20" t="n">
        <v>-258</v>
      </c>
      <c r="J237" s="20" t="n">
        <v>-129</v>
      </c>
      <c r="L237" s="20" t="n">
        <v>-258</v>
      </c>
      <c r="N237" s="20" t="n">
        <v>-129</v>
      </c>
      <c r="V237" s="20" t="n">
        <v>0</v>
      </c>
      <c r="W237" s="20" t="n">
        <v>-258</v>
      </c>
      <c r="X237" s="20" t="n">
        <v>-258</v>
      </c>
    </row>
    <row r="238">
      <c r="A238" s="18" t="inlineStr">
        <is>
          <t>자기주식 취득</t>
        </is>
      </c>
      <c r="D238" s="20" t="n">
        <v>-14</v>
      </c>
      <c r="F238" s="20" t="n">
        <v>-9053</v>
      </c>
      <c r="H238" s="20" t="n">
        <v>-9058</v>
      </c>
      <c r="J238" s="20" t="n">
        <v>-5</v>
      </c>
      <c r="L238" s="20" t="n">
        <v>-1756</v>
      </c>
      <c r="N238" s="20" t="n">
        <v>-5</v>
      </c>
      <c r="O238" s="20" t="n">
        <v>-4</v>
      </c>
      <c r="P238" s="20" t="n">
        <v>-9</v>
      </c>
      <c r="Q238" s="20" t="n">
        <v>-2614</v>
      </c>
      <c r="R238" s="20" t="n">
        <v>-2105</v>
      </c>
      <c r="S238" s="20" t="n">
        <v>-2015</v>
      </c>
      <c r="T238" s="20" t="n">
        <v>-2820</v>
      </c>
      <c r="U238" s="20" t="n">
        <v>-2704</v>
      </c>
      <c r="V238" s="20" t="n">
        <v>-14</v>
      </c>
      <c r="W238" s="20" t="n">
        <v>-9058</v>
      </c>
      <c r="X238" s="20" t="n">
        <v>-1756</v>
      </c>
    </row>
    <row r="239">
      <c r="A239" s="18" t="inlineStr">
        <is>
          <t>배당금 지급</t>
        </is>
      </c>
      <c r="D239" s="20" t="n">
        <v>-4012</v>
      </c>
      <c r="F239" s="20" t="n">
        <v>-3866</v>
      </c>
      <c r="H239" s="20" t="n">
        <v>-5974</v>
      </c>
      <c r="J239" s="20" t="n">
        <v>-3641</v>
      </c>
      <c r="L239" s="20" t="n">
        <v>-6050</v>
      </c>
      <c r="N239" s="20" t="n">
        <v>-4112</v>
      </c>
      <c r="O239" s="20" t="n">
        <v>-1112</v>
      </c>
      <c r="P239" s="20" t="n">
        <v>-1192</v>
      </c>
      <c r="Q239" s="20" t="n">
        <v>-1566</v>
      </c>
      <c r="R239" s="20" t="n">
        <v>-2027</v>
      </c>
      <c r="S239" s="20" t="n">
        <v>-2366</v>
      </c>
      <c r="T239" s="20" t="n">
        <v>-3176</v>
      </c>
      <c r="U239" s="20" t="n">
        <v>-3761</v>
      </c>
      <c r="V239" s="20" t="n">
        <v>-4012</v>
      </c>
      <c r="W239" s="20" t="n">
        <v>-5974</v>
      </c>
      <c r="X239" s="20" t="n">
        <v>-6050</v>
      </c>
    </row>
    <row r="240">
      <c r="A240" s="18" t="inlineStr">
        <is>
          <t>기타</t>
        </is>
      </c>
      <c r="D240" s="20" t="n">
        <v>-120</v>
      </c>
      <c r="F240" s="20" t="n">
        <v>0</v>
      </c>
      <c r="H240" s="20" t="n">
        <v>-0</v>
      </c>
      <c r="J240" s="20" t="n">
        <v>0</v>
      </c>
      <c r="L240" s="20" t="n">
        <v>-1</v>
      </c>
      <c r="N240" s="20" t="n">
        <v>0</v>
      </c>
      <c r="O240" s="20" t="n">
        <v>-24</v>
      </c>
      <c r="P240" s="20" t="n">
        <v>-32</v>
      </c>
      <c r="Q240" s="20" t="n">
        <v>-52</v>
      </c>
      <c r="R240" s="20" t="n">
        <v>-1</v>
      </c>
      <c r="S240" s="20" t="n">
        <v>-40</v>
      </c>
      <c r="T240" s="20" t="n">
        <v>-2</v>
      </c>
      <c r="U240" s="20" t="n">
        <v>-198</v>
      </c>
      <c r="V240" s="20" t="n">
        <v>-120</v>
      </c>
      <c r="W240" s="20" t="n">
        <v>-0</v>
      </c>
      <c r="X240" s="20" t="n">
        <v>-1</v>
      </c>
    </row>
    <row r="241">
      <c r="A241" s="9" t="inlineStr">
        <is>
          <t>재무활동 현금흐름</t>
        </is>
      </c>
      <c r="D241" s="12" t="n">
        <v>280</v>
      </c>
      <c r="F241" s="12" t="n">
        <v>-15623</v>
      </c>
      <c r="H241" s="12" t="n">
        <v>7716</v>
      </c>
      <c r="J241" s="12" t="n">
        <v>696</v>
      </c>
      <c r="L241" s="12" t="n">
        <v>10802</v>
      </c>
      <c r="N241" s="12" t="n">
        <v>-5903</v>
      </c>
      <c r="O241" s="12" t="n">
        <v>-4222</v>
      </c>
      <c r="P241" s="12" t="n">
        <v>-2499</v>
      </c>
      <c r="Q241" s="12" t="n">
        <v>24652</v>
      </c>
      <c r="R241" s="12" t="n">
        <v>-1829</v>
      </c>
      <c r="S241" s="12" t="n">
        <v>24327</v>
      </c>
      <c r="T241" s="12" t="n">
        <v>-15490</v>
      </c>
      <c r="U241" s="12" t="n">
        <v>13994</v>
      </c>
      <c r="V241" s="12" t="n">
        <v>280</v>
      </c>
      <c r="W241" s="12" t="n">
        <v>7716</v>
      </c>
      <c r="X241" s="12" t="n">
        <v>10802</v>
      </c>
    </row>
    <row r="242">
      <c r="A242" s="18" t="inlineStr">
        <is>
          <t>현금성자산 환산차이</t>
        </is>
      </c>
      <c r="D242" s="20" t="n">
        <v>0</v>
      </c>
      <c r="F242" s="20" t="n">
        <v>0</v>
      </c>
      <c r="H242" s="20" t="n">
        <v>0</v>
      </c>
      <c r="J242" s="20" t="n">
        <v>0</v>
      </c>
      <c r="L242" s="20" t="n">
        <v>0</v>
      </c>
      <c r="N242" s="20" t="n">
        <v>0</v>
      </c>
      <c r="O242" s="20" t="n">
        <v>0</v>
      </c>
      <c r="P242" s="20" t="n">
        <v>0</v>
      </c>
      <c r="Q242" s="20" t="n">
        <v>0</v>
      </c>
      <c r="R242" s="20" t="n">
        <v>0</v>
      </c>
      <c r="S242" s="20" t="n">
        <v>0</v>
      </c>
      <c r="T242" s="20" t="n">
        <v>0</v>
      </c>
      <c r="U242" s="20" t="n">
        <v>0</v>
      </c>
      <c r="V242" s="20" t="n">
        <v>0</v>
      </c>
      <c r="W242" s="20" t="n">
        <v>0</v>
      </c>
      <c r="X242" s="20" t="n">
        <v>0</v>
      </c>
    </row>
    <row r="243">
      <c r="A243" s="18" t="inlineStr">
        <is>
          <t>현금성자산 증감</t>
        </is>
      </c>
      <c r="D243" s="20" t="n">
        <v>508</v>
      </c>
      <c r="F243" s="20" t="n">
        <v>-11876</v>
      </c>
      <c r="H243" s="20" t="n">
        <v>-1074</v>
      </c>
      <c r="J243" s="20" t="n">
        <v>-7027</v>
      </c>
      <c r="L243" s="20" t="n">
        <v>-815</v>
      </c>
      <c r="N243" s="20" t="n">
        <v>-11423</v>
      </c>
      <c r="O243" s="20" t="n">
        <v>3740</v>
      </c>
      <c r="P243" s="20" t="n">
        <v>-6282</v>
      </c>
      <c r="Q243" s="20" t="n">
        <v>-1074</v>
      </c>
      <c r="R243" s="20" t="n">
        <v>15423</v>
      </c>
      <c r="S243" s="20" t="n">
        <v>2419</v>
      </c>
      <c r="T243" s="20" t="n">
        <v>-2006</v>
      </c>
      <c r="U243" s="20" t="n">
        <v>-2303</v>
      </c>
      <c r="V243" s="20" t="n">
        <v>508</v>
      </c>
      <c r="W243" s="20" t="n">
        <v>-1074</v>
      </c>
      <c r="X243" s="20" t="n">
        <v>-815</v>
      </c>
    </row>
    <row r="244">
      <c r="A244" s="18" t="inlineStr">
        <is>
          <t>연결 제외 현금성자산 감소</t>
        </is>
      </c>
      <c r="O244" s="20" t="n">
        <v>0</v>
      </c>
      <c r="P244" s="20" t="n">
        <v>-50</v>
      </c>
      <c r="Q244" s="20" t="n">
        <v>0</v>
      </c>
    </row>
    <row r="245">
      <c r="A245" s="18" t="inlineStr">
        <is>
          <t>비연결 자회사 합병에 따른 현금성자산 증가</t>
        </is>
      </c>
      <c r="Q245" s="20" t="n">
        <v>0</v>
      </c>
      <c r="R245" s="20" t="n">
        <v>32</v>
      </c>
      <c r="S245" s="20" t="n">
        <v>0</v>
      </c>
    </row>
    <row r="246">
      <c r="A246" s="18" t="inlineStr">
        <is>
          <t>연결범위 변경에 따른 현금성자산 증감</t>
        </is>
      </c>
      <c r="S246" s="20" t="n">
        <v>0</v>
      </c>
      <c r="T246" s="20" t="n">
        <v>532</v>
      </c>
      <c r="U246" s="20" t="n">
        <v>0</v>
      </c>
    </row>
  </sheetData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145"/>
  <sheetViews>
    <sheetView showGridLines="0" zoomScale="85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0" customWidth="1" min="2" max="2"/>
    <col outlineLevel="1" width="11" customWidth="1" min="3" max="3"/>
    <col outlineLevel="1" width="11" customWidth="1" min="4" max="4"/>
    <col outlineLevel="1" width="11" customWidth="1" min="5" max="5"/>
    <col outlineLevel="1" width="11" customWidth="1" min="6" max="6"/>
    <col outlineLevel="1"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30" customHeight="1">
      <c r="A1" s="1" t="inlineStr">
        <is>
          <t>8803 재무상태표</t>
        </is>
      </c>
    </row>
    <row r="2">
      <c r="A2" s="44" t="inlineStr">
        <is>
          <t>재무비율은 기말 잔액 기준 · 분기 손익은 최근 4분기 합산(TTM)</t>
        </is>
      </c>
      <c r="B2" s="3" t="inlineStr">
        <is>
          <t>(단위: 백만엔)</t>
        </is>
      </c>
    </row>
    <row r="3">
      <c r="A3" s="5" t="inlineStr">
        <is>
          <t>항목</t>
        </is>
      </c>
      <c r="B3" s="5" t="inlineStr">
        <is>
          <t>참고</t>
        </is>
      </c>
      <c r="C3" s="6" t="inlineStr">
        <is>
          <t>2026.2Q</t>
        </is>
      </c>
      <c r="D3" s="5" t="inlineStr">
        <is>
          <t>2026.3Q</t>
        </is>
      </c>
      <c r="E3" s="5" t="inlineStr">
        <is>
          <t>2026.4Q</t>
        </is>
      </c>
      <c r="F3" s="5" t="inlineStr">
        <is>
          <t>2027.1Q</t>
        </is>
      </c>
      <c r="G3" s="5" t="inlineStr">
        <is>
          <t>2027.2Q</t>
        </is>
      </c>
      <c r="H3" s="6" t="inlineStr">
        <is>
          <t>2022</t>
        </is>
      </c>
      <c r="I3" s="5" t="inlineStr">
        <is>
          <t>2023</t>
        </is>
      </c>
      <c r="J3" s="5" t="inlineStr">
        <is>
          <t>2024</t>
        </is>
      </c>
      <c r="K3" s="5" t="inlineStr">
        <is>
          <t>2025</t>
        </is>
      </c>
      <c r="L3" s="5" t="inlineStr">
        <is>
          <t>2026</t>
        </is>
      </c>
    </row>
    <row r="4">
      <c r="A4" s="16" t="inlineStr">
        <is>
          <t>자산</t>
        </is>
      </c>
      <c r="B4" s="16" t="n"/>
      <c r="C4" s="17" t="n"/>
      <c r="D4" s="16" t="n"/>
      <c r="E4" s="16" t="n"/>
      <c r="F4" s="16" t="n"/>
      <c r="G4" s="16" t="n"/>
      <c r="H4" s="17" t="n"/>
      <c r="I4" s="16" t="n"/>
      <c r="J4" s="16" t="n"/>
      <c r="K4" s="16" t="n"/>
      <c r="L4" s="16" t="n"/>
    </row>
    <row r="5">
      <c r="A5" s="9" t="inlineStr">
        <is>
          <t>유동자산</t>
        </is>
      </c>
      <c r="B5" s="10" t="n"/>
      <c r="C5" s="11" t="n">
        <v>55978</v>
      </c>
      <c r="D5" s="12" t="n">
        <v>71126</v>
      </c>
      <c r="E5" s="12" t="n">
        <v>93373</v>
      </c>
      <c r="F5" s="12" t="n">
        <v>86002</v>
      </c>
      <c r="G5" s="12" t="n">
        <v>90634</v>
      </c>
      <c r="H5" s="11" t="n">
        <v>53548</v>
      </c>
      <c r="I5" s="12" t="n">
        <v>46630</v>
      </c>
      <c r="J5" s="12" t="n">
        <v>53257</v>
      </c>
      <c r="K5" s="12" t="n">
        <v>60036</v>
      </c>
      <c r="L5" s="12" t="n">
        <v>93373</v>
      </c>
    </row>
    <row r="6">
      <c r="A6" s="18" t="inlineStr">
        <is>
          <t>현금및현금성자산</t>
        </is>
      </c>
      <c r="B6" s="10" t="n"/>
      <c r="C6" s="19" t="n">
        <v>18313</v>
      </c>
      <c r="D6" s="20" t="n">
        <v>16710</v>
      </c>
      <c r="E6" s="20" t="n">
        <v>19931</v>
      </c>
      <c r="F6" s="20" t="n">
        <v>17220</v>
      </c>
      <c r="G6" s="20" t="n">
        <v>14602</v>
      </c>
      <c r="H6" s="19" t="n">
        <v>23211</v>
      </c>
      <c r="I6" s="20" t="n">
        <v>20908</v>
      </c>
      <c r="J6" s="20" t="n">
        <v>20416</v>
      </c>
      <c r="K6" s="20" t="n">
        <v>19343</v>
      </c>
      <c r="L6" s="20" t="n">
        <v>19931</v>
      </c>
    </row>
    <row r="7">
      <c r="A7" s="18" t="inlineStr">
        <is>
          <t>단기금융상품</t>
        </is>
      </c>
      <c r="B7" s="10" t="n"/>
      <c r="C7" s="19" t="n">
        <v>2190</v>
      </c>
      <c r="D7" s="20" t="n">
        <v>4689</v>
      </c>
      <c r="E7" s="20" t="n">
        <v>11183</v>
      </c>
      <c r="F7" s="20" t="n">
        <v>6089</v>
      </c>
      <c r="G7" s="20" t="n">
        <v>3500</v>
      </c>
      <c r="H7" s="19" t="n">
        <v>5014</v>
      </c>
      <c r="I7" s="20" t="n">
        <v>6999</v>
      </c>
      <c r="J7" s="20" t="n">
        <v>8005</v>
      </c>
      <c r="K7" s="20" t="n">
        <v>5997</v>
      </c>
      <c r="L7" s="20" t="n">
        <v>11183</v>
      </c>
    </row>
    <row r="8">
      <c r="A8" s="18" t="inlineStr">
        <is>
          <t>매출채권</t>
        </is>
      </c>
      <c r="B8" s="10" t="n"/>
      <c r="C8" s="19" t="n"/>
      <c r="D8" s="20" t="n"/>
      <c r="E8" s="20" t="n"/>
      <c r="F8" s="20" t="n"/>
      <c r="G8" s="20" t="n"/>
      <c r="H8" s="19" t="n"/>
      <c r="I8" s="20" t="n"/>
      <c r="J8" s="20" t="n"/>
      <c r="K8" s="20" t="n"/>
      <c r="L8" s="20" t="n"/>
    </row>
    <row r="9">
      <c r="A9" s="18" t="inlineStr">
        <is>
          <t>재고자산</t>
        </is>
      </c>
      <c r="B9" s="10" t="n"/>
      <c r="C9" s="19" t="n">
        <v>29196</v>
      </c>
      <c r="D9" s="20" t="n">
        <v>42618</v>
      </c>
      <c r="E9" s="20" t="n">
        <v>55822</v>
      </c>
      <c r="F9" s="20" t="n">
        <v>55259</v>
      </c>
      <c r="G9" s="20" t="n">
        <v>67739</v>
      </c>
      <c r="H9" s="19" t="n">
        <v>19623</v>
      </c>
      <c r="I9" s="20" t="n">
        <v>14153</v>
      </c>
      <c r="J9" s="20" t="n">
        <v>20645</v>
      </c>
      <c r="K9" s="20" t="n">
        <v>29821</v>
      </c>
      <c r="L9" s="20" t="n">
        <v>55822</v>
      </c>
    </row>
    <row r="10">
      <c r="A10" s="18" t="inlineStr">
        <is>
          <t>기타유동자산</t>
        </is>
      </c>
      <c r="B10" s="10" t="inlineStr">
        <is>
          <t>총계 − 위 항목</t>
        </is>
      </c>
      <c r="C10" s="19">
        <f>IF(OR(C5=""),"",IFERROR(C5-SUM(C6,C7,C8,C9),""))</f>
        <v/>
      </c>
      <c r="D10" s="20">
        <f>IF(OR(D5=""),"",IFERROR(D5-SUM(D6,D7,D8,D9),""))</f>
        <v/>
      </c>
      <c r="E10" s="20">
        <f>IF(OR(E5=""),"",IFERROR(E5-SUM(E6,E7,E8,E9),""))</f>
        <v/>
      </c>
      <c r="F10" s="20">
        <f>IF(OR(F5=""),"",IFERROR(F5-SUM(F6,F7,F8,F9),""))</f>
        <v/>
      </c>
      <c r="G10" s="20">
        <f>IF(OR(G5=""),"",IFERROR(G5-SUM(G6,G7,G8,G9),""))</f>
        <v/>
      </c>
      <c r="H10" s="19">
        <f>IF(OR(H5=""),"",IFERROR(H5-SUM(H6,H7,H8,H9),""))</f>
        <v/>
      </c>
      <c r="I10" s="20">
        <f>IF(OR(I5=""),"",IFERROR(I5-SUM(I6,I7,I8,I9),""))</f>
        <v/>
      </c>
      <c r="J10" s="20">
        <f>IF(OR(J5=""),"",IFERROR(J5-SUM(J6,J7,J8,J9),""))</f>
        <v/>
      </c>
      <c r="K10" s="20">
        <f>IF(OR(K5=""),"",IFERROR(K5-SUM(K6,K7,K8,K9),""))</f>
        <v/>
      </c>
      <c r="L10" s="20">
        <f>IF(OR(L5=""),"",IFERROR(L5-SUM(L6,L7,L8,L9),""))</f>
        <v/>
      </c>
    </row>
    <row r="11">
      <c r="A11" s="9" t="inlineStr">
        <is>
          <t>비유동자산</t>
        </is>
      </c>
      <c r="B11" s="10" t="n"/>
      <c r="C11" s="11" t="n">
        <v>376097</v>
      </c>
      <c r="D11" s="12" t="n">
        <v>369990</v>
      </c>
      <c r="E11" s="12" t="n">
        <v>358184</v>
      </c>
      <c r="F11" s="12" t="n">
        <v>359863</v>
      </c>
      <c r="G11" s="12" t="n">
        <v>357726</v>
      </c>
      <c r="H11" s="11" t="n">
        <v>322492</v>
      </c>
      <c r="I11" s="12" t="n">
        <v>351388</v>
      </c>
      <c r="J11" s="12" t="n">
        <v>352341</v>
      </c>
      <c r="K11" s="12" t="n">
        <v>359177</v>
      </c>
      <c r="L11" s="12" t="n">
        <v>358184</v>
      </c>
    </row>
    <row r="12">
      <c r="A12" s="18" t="inlineStr">
        <is>
          <t>유형자산</t>
        </is>
      </c>
      <c r="B12" s="10" t="n"/>
      <c r="C12" s="19" t="n">
        <v>291730</v>
      </c>
      <c r="D12" s="20" t="n">
        <v>281840</v>
      </c>
      <c r="E12" s="20" t="n">
        <v>272043</v>
      </c>
      <c r="F12" s="20" t="n">
        <v>273861</v>
      </c>
      <c r="G12" s="20" t="n">
        <v>272995</v>
      </c>
      <c r="H12" s="19" t="n">
        <v>249379</v>
      </c>
      <c r="I12" s="20" t="n">
        <v>279526</v>
      </c>
      <c r="J12" s="20" t="n">
        <v>275522</v>
      </c>
      <c r="K12" s="20" t="n">
        <v>282350</v>
      </c>
      <c r="L12" s="20" t="n">
        <v>272043</v>
      </c>
    </row>
    <row r="13">
      <c r="A13" s="18" t="inlineStr">
        <is>
          <t>무형자산</t>
        </is>
      </c>
      <c r="B13" s="10" t="n"/>
      <c r="C13" s="19" t="n">
        <v>31131</v>
      </c>
      <c r="D13" s="20" t="n">
        <v>31116</v>
      </c>
      <c r="E13" s="20" t="n">
        <v>31113</v>
      </c>
      <c r="F13" s="20" t="n">
        <v>31103</v>
      </c>
      <c r="G13" s="20" t="n">
        <v>31080</v>
      </c>
      <c r="H13" s="19" t="n">
        <v>28811</v>
      </c>
      <c r="I13" s="20" t="n">
        <v>30658</v>
      </c>
      <c r="J13" s="20" t="n">
        <v>31320</v>
      </c>
      <c r="K13" s="20" t="n">
        <v>31164</v>
      </c>
      <c r="L13" s="20" t="n">
        <v>31113</v>
      </c>
    </row>
    <row r="14">
      <c r="A14" s="18" t="inlineStr">
        <is>
          <t>투자부동산</t>
        </is>
      </c>
      <c r="B14" s="10" t="n"/>
      <c r="C14" s="19" t="n"/>
      <c r="D14" s="20" t="n"/>
      <c r="E14" s="20" t="n"/>
      <c r="F14" s="20" t="n"/>
      <c r="G14" s="20" t="n"/>
      <c r="H14" s="19" t="n"/>
      <c r="I14" s="20" t="n"/>
      <c r="J14" s="20" t="n"/>
      <c r="K14" s="20" t="n"/>
      <c r="L14" s="20" t="n"/>
    </row>
    <row r="15">
      <c r="A15" s="18" t="inlineStr">
        <is>
          <t>기타비유동자산</t>
        </is>
      </c>
      <c r="B15" s="10" t="inlineStr">
        <is>
          <t>총계 − 위 항목</t>
        </is>
      </c>
      <c r="C15" s="19">
        <f>IF(OR(C11=""),"",IFERROR(C11-SUM(C12,C13,C14),""))</f>
        <v/>
      </c>
      <c r="D15" s="20">
        <f>IF(OR(D11=""),"",IFERROR(D11-SUM(D12,D13,D14),""))</f>
        <v/>
      </c>
      <c r="E15" s="20">
        <f>IF(OR(E11=""),"",IFERROR(E11-SUM(E12,E13,E14),""))</f>
        <v/>
      </c>
      <c r="F15" s="20">
        <f>IF(OR(F11=""),"",IFERROR(F11-SUM(F12,F13,F14),""))</f>
        <v/>
      </c>
      <c r="G15" s="20">
        <f>IF(OR(G11=""),"",IFERROR(G11-SUM(G12,G13,G14),""))</f>
        <v/>
      </c>
      <c r="H15" s="19">
        <f>IF(OR(H11=""),"",IFERROR(H11-SUM(H12,H13,H14),""))</f>
        <v/>
      </c>
      <c r="I15" s="20">
        <f>IF(OR(I11=""),"",IFERROR(I11-SUM(I12,I13,I14),""))</f>
        <v/>
      </c>
      <c r="J15" s="20">
        <f>IF(OR(J11=""),"",IFERROR(J11-SUM(J12,J13,J14),""))</f>
        <v/>
      </c>
      <c r="K15" s="20">
        <f>IF(OR(K11=""),"",IFERROR(K11-SUM(K12,K13,K14),""))</f>
        <v/>
      </c>
      <c r="L15" s="20">
        <f>IF(OR(L11=""),"",IFERROR(L11-SUM(L12,L13,L14),""))</f>
        <v/>
      </c>
    </row>
    <row r="16">
      <c r="A16" s="9" t="inlineStr">
        <is>
          <t>자산총계</t>
        </is>
      </c>
      <c r="B16" s="10" t="n"/>
      <c r="C16" s="11" t="n">
        <v>432377</v>
      </c>
      <c r="D16" s="12" t="n">
        <v>441409</v>
      </c>
      <c r="E16" s="12" t="n">
        <v>451838</v>
      </c>
      <c r="F16" s="12" t="n">
        <v>446135</v>
      </c>
      <c r="G16" s="12" t="n">
        <v>448610</v>
      </c>
      <c r="H16" s="11" t="n">
        <v>376210</v>
      </c>
      <c r="I16" s="12" t="n">
        <v>398333</v>
      </c>
      <c r="J16" s="12" t="n">
        <v>405979</v>
      </c>
      <c r="K16" s="12" t="n">
        <v>419541</v>
      </c>
      <c r="L16" s="12" t="n">
        <v>451838</v>
      </c>
    </row>
    <row r="17">
      <c r="A17" s="16" t="inlineStr">
        <is>
          <t>부채</t>
        </is>
      </c>
      <c r="B17" s="16" t="n"/>
      <c r="C17" s="17" t="n"/>
      <c r="D17" s="16" t="n"/>
      <c r="E17" s="16" t="n"/>
      <c r="F17" s="16" t="n"/>
      <c r="G17" s="16" t="n"/>
      <c r="H17" s="17" t="n"/>
      <c r="I17" s="16" t="n"/>
      <c r="J17" s="16" t="n"/>
      <c r="K17" s="16" t="n"/>
      <c r="L17" s="16" t="n"/>
    </row>
    <row r="18">
      <c r="A18" s="9" t="inlineStr">
        <is>
          <t>유동부채</t>
        </is>
      </c>
      <c r="B18" s="10" t="n"/>
      <c r="C18" s="11" t="n">
        <v>37118</v>
      </c>
      <c r="D18" s="12" t="n">
        <v>39447</v>
      </c>
      <c r="E18" s="12" t="n">
        <v>41972</v>
      </c>
      <c r="F18" s="12" t="n">
        <v>43453</v>
      </c>
      <c r="G18" s="12" t="n">
        <v>43087</v>
      </c>
      <c r="H18" s="11" t="n">
        <v>30710</v>
      </c>
      <c r="I18" s="12" t="n">
        <v>34543</v>
      </c>
      <c r="J18" s="12" t="n">
        <v>29052</v>
      </c>
      <c r="K18" s="12" t="n">
        <v>32407</v>
      </c>
      <c r="L18" s="12" t="n">
        <v>41972</v>
      </c>
    </row>
    <row r="19">
      <c r="A19" s="18" t="inlineStr">
        <is>
          <t>매입채무</t>
        </is>
      </c>
      <c r="B19" s="10" t="n"/>
      <c r="C19" s="19" t="n"/>
      <c r="D19" s="20" t="n"/>
      <c r="E19" s="20" t="n"/>
      <c r="F19" s="20" t="n"/>
      <c r="G19" s="20" t="n"/>
      <c r="H19" s="19" t="n"/>
      <c r="I19" s="20" t="n"/>
      <c r="J19" s="20" t="n"/>
      <c r="K19" s="20" t="n"/>
      <c r="L19" s="20" t="n"/>
    </row>
    <row r="20">
      <c r="A20" s="18" t="inlineStr">
        <is>
          <t>단기차입금</t>
        </is>
      </c>
      <c r="B20" s="10" t="n"/>
      <c r="C20" s="19" t="n">
        <v>900</v>
      </c>
      <c r="D20" s="20" t="n">
        <v>900</v>
      </c>
      <c r="E20" s="20" t="n">
        <v>800</v>
      </c>
      <c r="F20" s="20" t="n">
        <v>900</v>
      </c>
      <c r="G20" s="20" t="n">
        <v>3000</v>
      </c>
      <c r="H20" s="19" t="n">
        <v>3800</v>
      </c>
      <c r="I20" s="20" t="n">
        <v>3800</v>
      </c>
      <c r="J20" s="20" t="n">
        <v>800</v>
      </c>
      <c r="K20" s="20" t="n">
        <v>800</v>
      </c>
      <c r="L20" s="20" t="n">
        <v>800</v>
      </c>
    </row>
    <row r="21">
      <c r="A21" s="18" t="inlineStr">
        <is>
          <t>유동성장기부채</t>
        </is>
      </c>
      <c r="B21" s="10" t="n"/>
      <c r="C21" s="19" t="n">
        <v>26904</v>
      </c>
      <c r="D21" s="20" t="n">
        <v>29941</v>
      </c>
      <c r="E21" s="20" t="n">
        <v>30983</v>
      </c>
      <c r="F21" s="20" t="n">
        <v>33431</v>
      </c>
      <c r="G21" s="20" t="n">
        <v>30019</v>
      </c>
      <c r="H21" s="19" t="n">
        <v>17404</v>
      </c>
      <c r="I21" s="20" t="n">
        <v>19375</v>
      </c>
      <c r="J21" s="20" t="n">
        <v>20305</v>
      </c>
      <c r="K21" s="20" t="n">
        <v>22954</v>
      </c>
      <c r="L21" s="20" t="n">
        <v>30983</v>
      </c>
    </row>
    <row r="22">
      <c r="A22" s="18" t="inlineStr">
        <is>
          <t>기타유동부채</t>
        </is>
      </c>
      <c r="B22" s="10" t="inlineStr">
        <is>
          <t>총계 − 위 항목</t>
        </is>
      </c>
      <c r="C22" s="19">
        <f>IF(OR(C18=""),"",IFERROR(C18-SUM(C19,C20,C21),""))</f>
        <v/>
      </c>
      <c r="D22" s="20">
        <f>IF(OR(D18=""),"",IFERROR(D18-SUM(D19,D20,D21),""))</f>
        <v/>
      </c>
      <c r="E22" s="20">
        <f>IF(OR(E18=""),"",IFERROR(E18-SUM(E19,E20,E21),""))</f>
        <v/>
      </c>
      <c r="F22" s="20">
        <f>IF(OR(F18=""),"",IFERROR(F18-SUM(F19,F20,F21),""))</f>
        <v/>
      </c>
      <c r="G22" s="20">
        <f>IF(OR(G18=""),"",IFERROR(G18-SUM(G19,G20,G21),""))</f>
        <v/>
      </c>
      <c r="H22" s="19">
        <f>IF(OR(H18=""),"",IFERROR(H18-SUM(H19,H20,H21),""))</f>
        <v/>
      </c>
      <c r="I22" s="20">
        <f>IF(OR(I18=""),"",IFERROR(I18-SUM(I19,I20,I21),""))</f>
        <v/>
      </c>
      <c r="J22" s="20">
        <f>IF(OR(J18=""),"",IFERROR(J18-SUM(J19,J20,J21),""))</f>
        <v/>
      </c>
      <c r="K22" s="20">
        <f>IF(OR(K18=""),"",IFERROR(K18-SUM(K19,K20,K21),""))</f>
        <v/>
      </c>
      <c r="L22" s="20">
        <f>IF(OR(L18=""),"",IFERROR(L18-SUM(L19,L20,L21),""))</f>
        <v/>
      </c>
    </row>
    <row r="23">
      <c r="A23" s="9" t="inlineStr">
        <is>
          <t>비유동부채</t>
        </is>
      </c>
      <c r="B23" s="10" t="n"/>
      <c r="C23" s="11" t="n">
        <v>271945</v>
      </c>
      <c r="D23" s="12" t="n">
        <v>277417</v>
      </c>
      <c r="E23" s="12" t="n">
        <v>283103</v>
      </c>
      <c r="F23" s="12" t="n">
        <v>278983</v>
      </c>
      <c r="G23" s="12" t="n">
        <v>279983</v>
      </c>
      <c r="H23" s="11" t="n">
        <v>226221</v>
      </c>
      <c r="I23" s="12" t="n">
        <v>244466</v>
      </c>
      <c r="J23" s="12" t="n">
        <v>251282</v>
      </c>
      <c r="K23" s="12" t="n">
        <v>269134</v>
      </c>
      <c r="L23" s="12" t="n">
        <v>283103</v>
      </c>
    </row>
    <row r="24">
      <c r="A24" s="18" t="inlineStr">
        <is>
          <t>장기차입금</t>
        </is>
      </c>
      <c r="B24" s="10" t="n"/>
      <c r="C24" s="19" t="n">
        <v>199100</v>
      </c>
      <c r="D24" s="20" t="n">
        <v>200131</v>
      </c>
      <c r="E24" s="20" t="n">
        <v>206665</v>
      </c>
      <c r="F24" s="20" t="n">
        <v>202260</v>
      </c>
      <c r="G24" s="20" t="n">
        <v>201594</v>
      </c>
      <c r="H24" s="19" t="n">
        <v>157143</v>
      </c>
      <c r="I24" s="20" t="n">
        <v>170880</v>
      </c>
      <c r="J24" s="20" t="n">
        <v>173703</v>
      </c>
      <c r="K24" s="20" t="n">
        <v>198320</v>
      </c>
      <c r="L24" s="20" t="n">
        <v>206665</v>
      </c>
    </row>
    <row r="25">
      <c r="A25" s="18" t="inlineStr">
        <is>
          <t>사채</t>
        </is>
      </c>
      <c r="B25" s="10" t="n"/>
      <c r="C25" s="19" t="n">
        <v>23248</v>
      </c>
      <c r="D25" s="20" t="n">
        <v>23094</v>
      </c>
      <c r="E25" s="20" t="n">
        <v>22890</v>
      </c>
      <c r="F25" s="20" t="n">
        <v>22737</v>
      </c>
      <c r="G25" s="20" t="n">
        <v>21923</v>
      </c>
      <c r="H25" s="19" t="n">
        <v>23889</v>
      </c>
      <c r="I25" s="20" t="n">
        <v>27989</v>
      </c>
      <c r="J25" s="20" t="n">
        <v>27864</v>
      </c>
      <c r="K25" s="20" t="n">
        <v>23605</v>
      </c>
      <c r="L25" s="20" t="n">
        <v>22890</v>
      </c>
    </row>
    <row r="26">
      <c r="A26" s="18" t="inlineStr">
        <is>
          <t>기타비유동부채</t>
        </is>
      </c>
      <c r="B26" s="10" t="inlineStr">
        <is>
          <t>총계 − 위 항목</t>
        </is>
      </c>
      <c r="C26" s="19">
        <f>IF(OR(C23=""),"",IFERROR(C23-SUM(C24,C25),""))</f>
        <v/>
      </c>
      <c r="D26" s="20">
        <f>IF(OR(D23=""),"",IFERROR(D23-SUM(D24,D25),""))</f>
        <v/>
      </c>
      <c r="E26" s="20">
        <f>IF(OR(E23=""),"",IFERROR(E23-SUM(E24,E25),""))</f>
        <v/>
      </c>
      <c r="F26" s="20">
        <f>IF(OR(F23=""),"",IFERROR(F23-SUM(F24,F25),""))</f>
        <v/>
      </c>
      <c r="G26" s="20">
        <f>IF(OR(G23=""),"",IFERROR(G23-SUM(G24,G25),""))</f>
        <v/>
      </c>
      <c r="H26" s="19">
        <f>IF(OR(H23=""),"",IFERROR(H23-SUM(H24,H25),""))</f>
        <v/>
      </c>
      <c r="I26" s="20">
        <f>IF(OR(I23=""),"",IFERROR(I23-SUM(I24,I25),""))</f>
        <v/>
      </c>
      <c r="J26" s="20">
        <f>IF(OR(J23=""),"",IFERROR(J23-SUM(J24,J25),""))</f>
        <v/>
      </c>
      <c r="K26" s="20">
        <f>IF(OR(K23=""),"",IFERROR(K23-SUM(K24,K25),""))</f>
        <v/>
      </c>
      <c r="L26" s="20">
        <f>IF(OR(L23=""),"",IFERROR(L23-SUM(L24,L25),""))</f>
        <v/>
      </c>
    </row>
    <row r="27">
      <c r="A27" s="9" t="inlineStr">
        <is>
          <t>부채총계</t>
        </is>
      </c>
      <c r="B27" s="10" t="n"/>
      <c r="C27" s="11" t="n">
        <v>309064</v>
      </c>
      <c r="D27" s="12" t="n">
        <v>316864</v>
      </c>
      <c r="E27" s="12" t="n">
        <v>325075</v>
      </c>
      <c r="F27" s="12" t="n">
        <v>322436</v>
      </c>
      <c r="G27" s="12" t="n">
        <v>323070</v>
      </c>
      <c r="H27" s="11" t="n">
        <v>256931</v>
      </c>
      <c r="I27" s="12" t="n">
        <v>279009</v>
      </c>
      <c r="J27" s="12" t="n">
        <v>280334</v>
      </c>
      <c r="K27" s="12" t="n">
        <v>301541</v>
      </c>
      <c r="L27" s="12" t="n">
        <v>325075</v>
      </c>
    </row>
    <row r="28">
      <c r="A28" s="18" t="inlineStr">
        <is>
          <t>총차입금</t>
        </is>
      </c>
      <c r="B28" s="10" t="inlineStr">
        <is>
          <t>단기+유동성장기+장기+사채</t>
        </is>
      </c>
      <c r="C28" s="19">
        <f>SUM(C20,C21,C24,C25)</f>
        <v/>
      </c>
      <c r="D28" s="20">
        <f>SUM(D20,D21,D24,D25)</f>
        <v/>
      </c>
      <c r="E28" s="20">
        <f>SUM(E20,E21,E24,E25)</f>
        <v/>
      </c>
      <c r="F28" s="20">
        <f>SUM(F20,F21,F24,F25)</f>
        <v/>
      </c>
      <c r="G28" s="20">
        <f>SUM(G20,G21,G24,G25)</f>
        <v/>
      </c>
      <c r="H28" s="19">
        <f>SUM(H20,H21,H24,H25)</f>
        <v/>
      </c>
      <c r="I28" s="20">
        <f>SUM(I20,I21,I24,I25)</f>
        <v/>
      </c>
      <c r="J28" s="20">
        <f>SUM(J20,J21,J24,J25)</f>
        <v/>
      </c>
      <c r="K28" s="20">
        <f>SUM(K20,K21,K24,K25)</f>
        <v/>
      </c>
      <c r="L28" s="20">
        <f>SUM(L20,L21,L24,L25)</f>
        <v/>
      </c>
    </row>
    <row r="29">
      <c r="A29" s="18" t="inlineStr">
        <is>
          <t>순차입금</t>
        </is>
      </c>
      <c r="B29" s="10" t="inlineStr">
        <is>
          <t>음수 = 순현금</t>
        </is>
      </c>
      <c r="C29" s="19">
        <f>C28-C6-N(C7)</f>
        <v/>
      </c>
      <c r="D29" s="20">
        <f>D28-D6-N(D7)</f>
        <v/>
      </c>
      <c r="E29" s="20">
        <f>E28-E6-N(E7)</f>
        <v/>
      </c>
      <c r="F29" s="20">
        <f>F28-F6-N(F7)</f>
        <v/>
      </c>
      <c r="G29" s="20">
        <f>G28-G6-N(G7)</f>
        <v/>
      </c>
      <c r="H29" s="19">
        <f>H28-H6-N(H7)</f>
        <v/>
      </c>
      <c r="I29" s="20">
        <f>I28-I6-N(I7)</f>
        <v/>
      </c>
      <c r="J29" s="20">
        <f>J28-J6-N(J7)</f>
        <v/>
      </c>
      <c r="K29" s="20">
        <f>K28-K6-N(K7)</f>
        <v/>
      </c>
      <c r="L29" s="20">
        <f>L28-L6-N(L7)</f>
        <v/>
      </c>
    </row>
    <row r="30">
      <c r="A30" s="16" t="inlineStr">
        <is>
          <t>자본</t>
        </is>
      </c>
      <c r="B30" s="16" t="n"/>
      <c r="C30" s="17" t="n"/>
      <c r="D30" s="16" t="n"/>
      <c r="E30" s="16" t="n"/>
      <c r="F30" s="16" t="n"/>
      <c r="G30" s="16" t="n"/>
      <c r="H30" s="17" t="n"/>
      <c r="I30" s="16" t="n"/>
      <c r="J30" s="16" t="n"/>
      <c r="K30" s="16" t="n"/>
      <c r="L30" s="16" t="n"/>
    </row>
    <row r="31">
      <c r="A31" s="9" t="inlineStr">
        <is>
          <t>지배주주지분</t>
        </is>
      </c>
      <c r="B31" s="10" t="n"/>
      <c r="C31" s="11" t="n">
        <v>123313</v>
      </c>
      <c r="D31" s="12" t="n">
        <v>124545</v>
      </c>
      <c r="E31" s="12" t="n">
        <v>126763</v>
      </c>
      <c r="F31" s="12" t="n">
        <v>123698</v>
      </c>
      <c r="G31" s="12" t="n">
        <v>125540</v>
      </c>
      <c r="H31" s="11" t="n">
        <v>119278</v>
      </c>
      <c r="I31" s="12" t="n">
        <v>119324</v>
      </c>
      <c r="J31" s="12" t="n">
        <v>125645</v>
      </c>
      <c r="K31" s="12" t="n">
        <v>117999</v>
      </c>
      <c r="L31" s="12" t="n">
        <v>126763</v>
      </c>
    </row>
    <row r="32">
      <c r="A32" s="18" t="inlineStr">
        <is>
          <t>자본금</t>
        </is>
      </c>
      <c r="B32" s="10" t="n"/>
      <c r="C32" s="19" t="n">
        <v>21492</v>
      </c>
      <c r="D32" s="20" t="n">
        <v>21492</v>
      </c>
      <c r="E32" s="20" t="n">
        <v>21492</v>
      </c>
      <c r="F32" s="20" t="n">
        <v>21492</v>
      </c>
      <c r="G32" s="20" t="n">
        <v>21492</v>
      </c>
      <c r="H32" s="19" t="n">
        <v>21492</v>
      </c>
      <c r="I32" s="20" t="n">
        <v>21492</v>
      </c>
      <c r="J32" s="20" t="n">
        <v>21492</v>
      </c>
      <c r="K32" s="20" t="n">
        <v>21492</v>
      </c>
      <c r="L32" s="20" t="n">
        <v>21492</v>
      </c>
    </row>
    <row r="33">
      <c r="A33" s="18" t="inlineStr">
        <is>
          <t>이익잉여금</t>
        </is>
      </c>
      <c r="B33" s="10" t="n"/>
      <c r="C33" s="19" t="n">
        <v>65270</v>
      </c>
      <c r="D33" s="20" t="n">
        <v>64672</v>
      </c>
      <c r="E33" s="20" t="n">
        <v>57720</v>
      </c>
      <c r="F33" s="20" t="n">
        <v>55203</v>
      </c>
      <c r="G33" s="20" t="n">
        <v>58147</v>
      </c>
      <c r="H33" s="19" t="n">
        <v>50258</v>
      </c>
      <c r="I33" s="20" t="n">
        <v>56298</v>
      </c>
      <c r="J33" s="20" t="n">
        <v>61012</v>
      </c>
      <c r="K33" s="20" t="n">
        <v>64580</v>
      </c>
      <c r="L33" s="20" t="n">
        <v>57720</v>
      </c>
    </row>
    <row r="34">
      <c r="A34" s="18" t="inlineStr">
        <is>
          <t>비지배지분</t>
        </is>
      </c>
      <c r="B34" s="10" t="n"/>
      <c r="C34" s="19" t="n"/>
      <c r="D34" s="20" t="n"/>
      <c r="E34" s="20" t="n"/>
      <c r="F34" s="20" t="n"/>
      <c r="G34" s="20" t="n"/>
      <c r="H34" s="19" t="n"/>
      <c r="I34" s="20" t="n"/>
      <c r="J34" s="20" t="n"/>
      <c r="K34" s="20" t="n"/>
      <c r="L34" s="20" t="n"/>
    </row>
    <row r="35">
      <c r="A35" s="9" t="inlineStr">
        <is>
          <t>자본총계</t>
        </is>
      </c>
      <c r="B35" s="10" t="n"/>
      <c r="C35" s="11" t="n">
        <v>123313</v>
      </c>
      <c r="D35" s="12" t="n">
        <v>124545</v>
      </c>
      <c r="E35" s="12" t="n">
        <v>126763</v>
      </c>
      <c r="F35" s="12" t="n">
        <v>123698</v>
      </c>
      <c r="G35" s="12" t="n">
        <v>125540</v>
      </c>
      <c r="H35" s="11" t="n">
        <v>119278</v>
      </c>
      <c r="I35" s="12" t="n">
        <v>119324</v>
      </c>
      <c r="J35" s="12" t="n">
        <v>125645</v>
      </c>
      <c r="K35" s="12" t="n">
        <v>117999</v>
      </c>
      <c r="L35" s="12" t="n">
        <v>126763</v>
      </c>
    </row>
    <row r="36">
      <c r="A36" s="16" t="inlineStr">
        <is>
          <t>현금흐름 요약</t>
        </is>
      </c>
      <c r="B36" s="16" t="inlineStr">
        <is>
          <t>분기 = TTM (있을 때만)</t>
        </is>
      </c>
      <c r="C36" s="17" t="n"/>
      <c r="D36" s="16" t="n"/>
      <c r="E36" s="16" t="n"/>
      <c r="F36" s="16" t="n"/>
      <c r="G36" s="16" t="n"/>
      <c r="H36" s="17" t="n"/>
      <c r="I36" s="16" t="n"/>
      <c r="J36" s="16" t="n"/>
      <c r="K36" s="16" t="n"/>
      <c r="L36" s="16" t="n"/>
    </row>
    <row r="37">
      <c r="A37" s="9" t="inlineStr">
        <is>
          <t>영업활동현금흐름</t>
        </is>
      </c>
      <c r="B37" s="10" t="n"/>
      <c r="C37" s="11" t="n">
        <v>13138</v>
      </c>
      <c r="D37" s="12" t="n"/>
      <c r="E37" s="12" t="n">
        <v>14852</v>
      </c>
      <c r="F37" s="12" t="n"/>
      <c r="G37" s="12" t="n">
        <v>7448</v>
      </c>
      <c r="H37" s="11" t="n">
        <v>34189</v>
      </c>
      <c r="I37" s="12" t="n">
        <v>23952</v>
      </c>
      <c r="J37" s="12" t="n">
        <v>19584</v>
      </c>
      <c r="K37" s="12" t="n">
        <v>16048</v>
      </c>
      <c r="L37" s="12" t="n">
        <v>14852</v>
      </c>
    </row>
    <row r="38">
      <c r="A38" s="18" t="inlineStr">
        <is>
          <t>CAPEX (유·무형 취득)</t>
        </is>
      </c>
      <c r="B38" s="10" t="inlineStr">
        <is>
          <t>양수로 입력</t>
        </is>
      </c>
      <c r="C38" s="19" t="n">
        <v>30548</v>
      </c>
      <c r="D38" s="20" t="n"/>
      <c r="E38" s="20" t="n">
        <v>20842</v>
      </c>
      <c r="F38" s="20" t="n"/>
      <c r="G38" s="20" t="n">
        <v>14081</v>
      </c>
      <c r="H38" s="19" t="n">
        <v>20374</v>
      </c>
      <c r="I38" s="20" t="n">
        <v>40613</v>
      </c>
      <c r="J38" s="20" t="n">
        <v>18264</v>
      </c>
      <c r="K38" s="20" t="n">
        <v>24617</v>
      </c>
      <c r="L38" s="20" t="n">
        <v>20842</v>
      </c>
    </row>
    <row r="39">
      <c r="A39" s="9" t="inlineStr">
        <is>
          <t>FCF</t>
        </is>
      </c>
      <c r="B39" s="10" t="n"/>
      <c r="C39" s="11">
        <f>IF(OR(C37="",C38=""),"",IFERROR(C37-C38,""))</f>
        <v/>
      </c>
      <c r="D39" s="12">
        <f>IF(OR(D37="",D38=""),"",IFERROR(D37-D38,""))</f>
        <v/>
      </c>
      <c r="E39" s="12">
        <f>IF(OR(E37="",E38=""),"",IFERROR(E37-E38,""))</f>
        <v/>
      </c>
      <c r="F39" s="12">
        <f>IF(OR(F37="",F38=""),"",IFERROR(F37-F38,""))</f>
        <v/>
      </c>
      <c r="G39" s="12">
        <f>IF(OR(G37="",G38=""),"",IFERROR(G37-G38,""))</f>
        <v/>
      </c>
      <c r="H39" s="11">
        <f>IF(OR(H37="",H38=""),"",IFERROR(H37-H38,""))</f>
        <v/>
      </c>
      <c r="I39" s="12">
        <f>IF(OR(I37="",I38=""),"",IFERROR(I37-I38,""))</f>
        <v/>
      </c>
      <c r="J39" s="12">
        <f>IF(OR(J37="",J38=""),"",IFERROR(J37-J38,""))</f>
        <v/>
      </c>
      <c r="K39" s="12">
        <f>IF(OR(K37="",K38=""),"",IFERROR(K37-K38,""))</f>
        <v/>
      </c>
      <c r="L39" s="12">
        <f>IF(OR(L37="",L38=""),"",IFERROR(L37-L38,""))</f>
        <v/>
      </c>
    </row>
    <row r="40">
      <c r="A40" s="18" t="inlineStr">
        <is>
          <t>배당금 지급</t>
        </is>
      </c>
      <c r="B40" s="10" t="inlineStr">
        <is>
          <t>양수로 입력</t>
        </is>
      </c>
      <c r="C40" s="19" t="n">
        <v>5749</v>
      </c>
      <c r="D40" s="20" t="n"/>
      <c r="E40" s="20" t="n">
        <v>6050</v>
      </c>
      <c r="F40" s="20" t="n"/>
      <c r="G40" s="20" t="n">
        <v>6521</v>
      </c>
      <c r="H40" s="19" t="n">
        <v>3176</v>
      </c>
      <c r="I40" s="20" t="n">
        <v>3761</v>
      </c>
      <c r="J40" s="20" t="n">
        <v>4012</v>
      </c>
      <c r="K40" s="20" t="n">
        <v>5974</v>
      </c>
      <c r="L40" s="20" t="n">
        <v>6050</v>
      </c>
    </row>
    <row r="41">
      <c r="A41" s="16" t="inlineStr">
        <is>
          <t>주요 재무 비율</t>
        </is>
      </c>
      <c r="B41" s="16" t="inlineStr">
        <is>
          <t>기준 (빨간 글씨 = 미달)</t>
        </is>
      </c>
      <c r="C41" s="17" t="n"/>
      <c r="D41" s="16" t="n"/>
      <c r="E41" s="16" t="n"/>
      <c r="F41" s="16" t="n"/>
      <c r="G41" s="16" t="n"/>
      <c r="H41" s="17" t="n"/>
      <c r="I41" s="16" t="n"/>
      <c r="J41" s="16" t="n"/>
      <c r="K41" s="16" t="n"/>
      <c r="L41" s="16" t="n"/>
    </row>
    <row r="42">
      <c r="A42" s="23" t="inlineStr">
        <is>
          <t>안정성</t>
        </is>
      </c>
      <c r="B42" s="23" t="n"/>
      <c r="C42" s="24" t="n"/>
      <c r="D42" s="23" t="n"/>
      <c r="E42" s="23" t="n"/>
      <c r="F42" s="23" t="n"/>
      <c r="G42" s="23" t="n"/>
      <c r="H42" s="24" t="n"/>
      <c r="I42" s="23" t="n"/>
      <c r="J42" s="23" t="n"/>
      <c r="K42" s="23" t="n"/>
      <c r="L42" s="23" t="n"/>
    </row>
    <row r="43">
      <c r="A43" s="45" t="inlineStr">
        <is>
          <t>부채비율</t>
        </is>
      </c>
      <c r="B43" s="10" t="inlineStr">
        <is>
          <t>100%↓</t>
        </is>
      </c>
      <c r="C43" s="35">
        <f>IF(OR(C27="",C35=""),"",IFERROR(C27/C35,""))</f>
        <v/>
      </c>
      <c r="D43" s="36">
        <f>IF(OR(D27="",D35=""),"",IFERROR(D27/D35,""))</f>
        <v/>
      </c>
      <c r="E43" s="36">
        <f>IF(OR(E27="",E35=""),"",IFERROR(E27/E35,""))</f>
        <v/>
      </c>
      <c r="F43" s="36">
        <f>IF(OR(F27="",F35=""),"",IFERROR(F27/F35,""))</f>
        <v/>
      </c>
      <c r="G43" s="36">
        <f>IF(OR(G27="",G35=""),"",IFERROR(G27/G35,""))</f>
        <v/>
      </c>
      <c r="H43" s="35">
        <f>IF(OR(H27="",H35=""),"",IFERROR(H27/H35,""))</f>
        <v/>
      </c>
      <c r="I43" s="36">
        <f>IF(OR(I27="",I35=""),"",IFERROR(I27/I35,""))</f>
        <v/>
      </c>
      <c r="J43" s="36">
        <f>IF(OR(J27="",J35=""),"",IFERROR(J27/J35,""))</f>
        <v/>
      </c>
      <c r="K43" s="36">
        <f>IF(OR(K27="",K35=""),"",IFERROR(K27/K35,""))</f>
        <v/>
      </c>
      <c r="L43" s="36">
        <f>IF(OR(L27="",L35=""),"",IFERROR(L27/L35,""))</f>
        <v/>
      </c>
    </row>
    <row r="44">
      <c r="A44" s="45" t="inlineStr">
        <is>
          <t>순차입금비율</t>
        </is>
      </c>
      <c r="B44" s="10" t="inlineStr">
        <is>
          <t>0%↓ 순현금</t>
        </is>
      </c>
      <c r="C44" s="35">
        <f>IF(OR(C29="",C35=""),"",IFERROR(C29/C35,""))</f>
        <v/>
      </c>
      <c r="D44" s="36">
        <f>IF(OR(D29="",D35=""),"",IFERROR(D29/D35,""))</f>
        <v/>
      </c>
      <c r="E44" s="36">
        <f>IF(OR(E29="",E35=""),"",IFERROR(E29/E35,""))</f>
        <v/>
      </c>
      <c r="F44" s="36">
        <f>IF(OR(F29="",F35=""),"",IFERROR(F29/F35,""))</f>
        <v/>
      </c>
      <c r="G44" s="36">
        <f>IF(OR(G29="",G35=""),"",IFERROR(G29/G35,""))</f>
        <v/>
      </c>
      <c r="H44" s="35">
        <f>IF(OR(H29="",H35=""),"",IFERROR(H29/H35,""))</f>
        <v/>
      </c>
      <c r="I44" s="36">
        <f>IF(OR(I29="",I35=""),"",IFERROR(I29/I35,""))</f>
        <v/>
      </c>
      <c r="J44" s="36">
        <f>IF(OR(J29="",J35=""),"",IFERROR(J29/J35,""))</f>
        <v/>
      </c>
      <c r="K44" s="36">
        <f>IF(OR(K29="",K35=""),"",IFERROR(K29/K35,""))</f>
        <v/>
      </c>
      <c r="L44" s="36">
        <f>IF(OR(L29="",L35=""),"",IFERROR(L29/L35,""))</f>
        <v/>
      </c>
    </row>
    <row r="45">
      <c r="A45" s="45" t="inlineStr">
        <is>
          <t>자기자본비율</t>
        </is>
      </c>
      <c r="B45" s="10" t="inlineStr">
        <is>
          <t>50%↑</t>
        </is>
      </c>
      <c r="C45" s="35">
        <f>IF(OR(C35="",C16=""),"",IFERROR(C35/C16,""))</f>
        <v/>
      </c>
      <c r="D45" s="36">
        <f>IF(OR(D35="",D16=""),"",IFERROR(D35/D16,""))</f>
        <v/>
      </c>
      <c r="E45" s="36">
        <f>IF(OR(E35="",E16=""),"",IFERROR(E35/E16,""))</f>
        <v/>
      </c>
      <c r="F45" s="36">
        <f>IF(OR(F35="",F16=""),"",IFERROR(F35/F16,""))</f>
        <v/>
      </c>
      <c r="G45" s="36">
        <f>IF(OR(G35="",G16=""),"",IFERROR(G35/G16,""))</f>
        <v/>
      </c>
      <c r="H45" s="35">
        <f>IF(OR(H35="",H16=""),"",IFERROR(H35/H16,""))</f>
        <v/>
      </c>
      <c r="I45" s="36">
        <f>IF(OR(I35="",I16=""),"",IFERROR(I35/I16,""))</f>
        <v/>
      </c>
      <c r="J45" s="36">
        <f>IF(OR(J35="",J16=""),"",IFERROR(J35/J16,""))</f>
        <v/>
      </c>
      <c r="K45" s="36">
        <f>IF(OR(K35="",K16=""),"",IFERROR(K35/K16,""))</f>
        <v/>
      </c>
      <c r="L45" s="36">
        <f>IF(OR(L35="",L16=""),"",IFERROR(L35/L16,""))</f>
        <v/>
      </c>
    </row>
    <row r="46">
      <c r="A46" s="45" t="inlineStr">
        <is>
          <t>유동비율</t>
        </is>
      </c>
      <c r="B46" s="10" t="inlineStr">
        <is>
          <t>150%↑</t>
        </is>
      </c>
      <c r="C46" s="35">
        <f>IF(OR(C5="",C18=""),"",IFERROR(C5/C18,""))</f>
        <v/>
      </c>
      <c r="D46" s="36">
        <f>IF(OR(D5="",D18=""),"",IFERROR(D5/D18,""))</f>
        <v/>
      </c>
      <c r="E46" s="36">
        <f>IF(OR(E5="",E18=""),"",IFERROR(E5/E18,""))</f>
        <v/>
      </c>
      <c r="F46" s="36">
        <f>IF(OR(F5="",F18=""),"",IFERROR(F5/F18,""))</f>
        <v/>
      </c>
      <c r="G46" s="36">
        <f>IF(OR(G5="",G18=""),"",IFERROR(G5/G18,""))</f>
        <v/>
      </c>
      <c r="H46" s="35">
        <f>IF(OR(H5="",H18=""),"",IFERROR(H5/H18,""))</f>
        <v/>
      </c>
      <c r="I46" s="36">
        <f>IF(OR(I5="",I18=""),"",IFERROR(I5/I18,""))</f>
        <v/>
      </c>
      <c r="J46" s="36">
        <f>IF(OR(J5="",J18=""),"",IFERROR(J5/J18,""))</f>
        <v/>
      </c>
      <c r="K46" s="36">
        <f>IF(OR(K5="",K18=""),"",IFERROR(K5/K18,""))</f>
        <v/>
      </c>
      <c r="L46" s="36">
        <f>IF(OR(L5="",L18=""),"",IFERROR(L5/L18,""))</f>
        <v/>
      </c>
    </row>
    <row r="47">
      <c r="A47" s="45" t="inlineStr">
        <is>
          <t>당좌비율</t>
        </is>
      </c>
      <c r="B47" s="10" t="inlineStr">
        <is>
          <t>100%↑</t>
        </is>
      </c>
      <c r="C47" s="35">
        <f>IF(OR(C5="",C18=""),"",IFERROR((C5-N(C9))/C18,""))</f>
        <v/>
      </c>
      <c r="D47" s="36">
        <f>IF(OR(D5="",D18=""),"",IFERROR((D5-N(D9))/D18,""))</f>
        <v/>
      </c>
      <c r="E47" s="36">
        <f>IF(OR(E5="",E18=""),"",IFERROR((E5-N(E9))/E18,""))</f>
        <v/>
      </c>
      <c r="F47" s="36">
        <f>IF(OR(F5="",F18=""),"",IFERROR((F5-N(F9))/F18,""))</f>
        <v/>
      </c>
      <c r="G47" s="36">
        <f>IF(OR(G5="",G18=""),"",IFERROR((G5-N(G9))/G18,""))</f>
        <v/>
      </c>
      <c r="H47" s="35">
        <f>IF(OR(H5="",H18=""),"",IFERROR((H5-N(H9))/H18,""))</f>
        <v/>
      </c>
      <c r="I47" s="36">
        <f>IF(OR(I5="",I18=""),"",IFERROR((I5-N(I9))/I18,""))</f>
        <v/>
      </c>
      <c r="J47" s="36">
        <f>IF(OR(J5="",J18=""),"",IFERROR((J5-N(J9))/J18,""))</f>
        <v/>
      </c>
      <c r="K47" s="36">
        <f>IF(OR(K5="",K18=""),"",IFERROR((K5-N(K9))/K18,""))</f>
        <v/>
      </c>
      <c r="L47" s="36">
        <f>IF(OR(L5="",L18=""),"",IFERROR((L5-N(L9))/L18,""))</f>
        <v/>
      </c>
    </row>
    <row r="48">
      <c r="A48" s="45" t="inlineStr">
        <is>
          <t>이자보상배율</t>
        </is>
      </c>
      <c r="B48" s="10" t="inlineStr">
        <is>
          <t>5x↑ (금융원가 기준)</t>
        </is>
      </c>
      <c r="C48" s="30">
        <f>IFERROR((IF(COUNT('연간'!G22:J22)&lt;4,"",SUM('연간'!G22:J22)))/(IF(COUNT('연간'!G44:J44)&lt;4,"",SUM('연간'!G44:J44))),"")</f>
        <v/>
      </c>
      <c r="D48" s="31">
        <f>IFERROR((IF(COUNT('연간'!H22:K22)&lt;4,"",SUM('연간'!H22:K22)))/(IF(COUNT('연간'!H44:K44)&lt;4,"",SUM('연간'!H44:K44))),"")</f>
        <v/>
      </c>
      <c r="E48" s="31">
        <f>IFERROR((IF(COUNT('연간'!I22:L22)&lt;4,"",SUM('연간'!I22:L22)))/(IF(COUNT('연간'!I44:L44)&lt;4,"",SUM('연간'!I44:L44))),"")</f>
        <v/>
      </c>
      <c r="F48" s="31">
        <f>IFERROR((IF(COUNT('연간'!J22:M22)&lt;4,"",SUM('연간'!J22:M22)))/(IF(COUNT('연간'!J44:M44)&lt;4,"",SUM('연간'!J44:M44))),"")</f>
        <v/>
      </c>
      <c r="G48" s="31">
        <f>IFERROR((IF(COUNT('연간'!K22:N22)&lt;4,"",SUM('연간'!K22:N22)))/(IF(COUNT('연간'!K44:N44)&lt;4,"",SUM('연간'!K44:N44))),"")</f>
        <v/>
      </c>
      <c r="H48" s="30">
        <f>IFERROR(('연간'!T22)/('연간'!T44),"")</f>
        <v/>
      </c>
      <c r="I48" s="31">
        <f>IFERROR(('연간'!U22)/('연간'!U44),"")</f>
        <v/>
      </c>
      <c r="J48" s="31">
        <f>IFERROR(('연간'!V22)/('연간'!V44),"")</f>
        <v/>
      </c>
      <c r="K48" s="31">
        <f>IFERROR(('연간'!W22)/('연간'!W44),"")</f>
        <v/>
      </c>
      <c r="L48" s="31">
        <f>IFERROR(('연간'!X22)/('연간'!X44),"")</f>
        <v/>
      </c>
    </row>
    <row r="49">
      <c r="A49" s="45" t="inlineStr">
        <is>
          <t>차입금 상환연수</t>
        </is>
      </c>
      <c r="B49" s="10" t="inlineStr">
        <is>
          <t>4년↓ (버핏)</t>
        </is>
      </c>
      <c r="C49" s="46">
        <f>IFERROR(IF((IF(COUNT('연간'!G52:J52)&lt;4,"",SUM('연간'!G52:J52)))&lt;=0,"적자",C28/(IF(COUNT('연간'!G52:J52)&lt;4,"",SUM('연간'!G52:J52)))),"")</f>
        <v/>
      </c>
      <c r="D49" s="47">
        <f>IFERROR(IF((IF(COUNT('연간'!H52:K52)&lt;4,"",SUM('연간'!H52:K52)))&lt;=0,"적자",D28/(IF(COUNT('연간'!H52:K52)&lt;4,"",SUM('연간'!H52:K52)))),"")</f>
        <v/>
      </c>
      <c r="E49" s="47">
        <f>IFERROR(IF((IF(COUNT('연간'!I52:L52)&lt;4,"",SUM('연간'!I52:L52)))&lt;=0,"적자",E28/(IF(COUNT('연간'!I52:L52)&lt;4,"",SUM('연간'!I52:L52)))),"")</f>
        <v/>
      </c>
      <c r="F49" s="47">
        <f>IFERROR(IF((IF(COUNT('연간'!J52:M52)&lt;4,"",SUM('연간'!J52:M52)))&lt;=0,"적자",F28/(IF(COUNT('연간'!J52:M52)&lt;4,"",SUM('연간'!J52:M52)))),"")</f>
        <v/>
      </c>
      <c r="G49" s="47">
        <f>IFERROR(IF((IF(COUNT('연간'!K52:N52)&lt;4,"",SUM('연간'!K52:N52)))&lt;=0,"적자",G28/(IF(COUNT('연간'!K52:N52)&lt;4,"",SUM('연간'!K52:N52)))),"")</f>
        <v/>
      </c>
      <c r="H49" s="46">
        <f>IFERROR(IF(('연간'!T52)&lt;=0,"적자",H28/('연간'!T52)),"")</f>
        <v/>
      </c>
      <c r="I49" s="47">
        <f>IFERROR(IF(('연간'!U52)&lt;=0,"적자",I28/('연간'!U52)),"")</f>
        <v/>
      </c>
      <c r="J49" s="47">
        <f>IFERROR(IF(('연간'!V52)&lt;=0,"적자",J28/('연간'!V52)),"")</f>
        <v/>
      </c>
      <c r="K49" s="47">
        <f>IFERROR(IF(('연간'!W52)&lt;=0,"적자",K28/('연간'!W52)),"")</f>
        <v/>
      </c>
      <c r="L49" s="47">
        <f>IFERROR(IF(('연간'!X52)&lt;=0,"적자",L28/('연간'!X52)),"")</f>
        <v/>
      </c>
    </row>
    <row r="50">
      <c r="A50" s="23" t="inlineStr">
        <is>
          <t>수익성</t>
        </is>
      </c>
      <c r="B50" s="23" t="n"/>
      <c r="C50" s="24" t="n"/>
      <c r="D50" s="23" t="n"/>
      <c r="E50" s="23" t="n"/>
      <c r="F50" s="23" t="n"/>
      <c r="G50" s="23" t="n"/>
      <c r="H50" s="24" t="n"/>
      <c r="I50" s="23" t="n"/>
      <c r="J50" s="23" t="n"/>
      <c r="K50" s="23" t="n"/>
      <c r="L50" s="23" t="n"/>
    </row>
    <row r="51">
      <c r="A51" s="45" t="inlineStr">
        <is>
          <t>ROE</t>
        </is>
      </c>
      <c r="B51" s="10" t="inlineStr">
        <is>
          <t>15%↑ (버핏)</t>
        </is>
      </c>
      <c r="C51" s="35">
        <f>IFERROR((IF(COUNT('연간'!G52:J52)&lt;4,"",SUM('연간'!G52:J52)))/C31,"")</f>
        <v/>
      </c>
      <c r="D51" s="36">
        <f>IFERROR((IF(COUNT('연간'!H52:K52)&lt;4,"",SUM('연간'!H52:K52)))/D31,"")</f>
        <v/>
      </c>
      <c r="E51" s="36">
        <f>IFERROR((IF(COUNT('연간'!I52:L52)&lt;4,"",SUM('연간'!I52:L52)))/E31,"")</f>
        <v/>
      </c>
      <c r="F51" s="36">
        <f>IFERROR((IF(COUNT('연간'!J52:M52)&lt;4,"",SUM('연간'!J52:M52)))/F31,"")</f>
        <v/>
      </c>
      <c r="G51" s="36">
        <f>IFERROR((IF(COUNT('연간'!K52:N52)&lt;4,"",SUM('연간'!K52:N52)))/G31,"")</f>
        <v/>
      </c>
      <c r="H51" s="35">
        <f>IFERROR(('연간'!T52)/H31,"")</f>
        <v/>
      </c>
      <c r="I51" s="36">
        <f>IFERROR(('연간'!U52)/I31,"")</f>
        <v/>
      </c>
      <c r="J51" s="36">
        <f>IFERROR(('연간'!V52)/J31,"")</f>
        <v/>
      </c>
      <c r="K51" s="36">
        <f>IFERROR(('연간'!W52)/K31,"")</f>
        <v/>
      </c>
      <c r="L51" s="36">
        <f>IFERROR(('연간'!X52)/L31,"")</f>
        <v/>
      </c>
    </row>
    <row r="52">
      <c r="A52" s="45" t="inlineStr">
        <is>
          <t>ROA</t>
        </is>
      </c>
      <c r="B52" s="10" t="inlineStr">
        <is>
          <t>5%↑</t>
        </is>
      </c>
      <c r="C52" s="35">
        <f>IFERROR((IF(COUNT('연간'!G50:J50)&lt;4,"",SUM('연간'!G50:J50)))/C16,"")</f>
        <v/>
      </c>
      <c r="D52" s="36">
        <f>IFERROR((IF(COUNT('연간'!H50:K50)&lt;4,"",SUM('연간'!H50:K50)))/D16,"")</f>
        <v/>
      </c>
      <c r="E52" s="36">
        <f>IFERROR((IF(COUNT('연간'!I50:L50)&lt;4,"",SUM('연간'!I50:L50)))/E16,"")</f>
        <v/>
      </c>
      <c r="F52" s="36">
        <f>IFERROR((IF(COUNT('연간'!J50:M50)&lt;4,"",SUM('연간'!J50:M50)))/F16,"")</f>
        <v/>
      </c>
      <c r="G52" s="36">
        <f>IFERROR((IF(COUNT('연간'!K50:N50)&lt;4,"",SUM('연간'!K50:N50)))/G16,"")</f>
        <v/>
      </c>
      <c r="H52" s="35">
        <f>IFERROR(('연간'!T50)/H16,"")</f>
        <v/>
      </c>
      <c r="I52" s="36">
        <f>IFERROR(('연간'!U50)/I16,"")</f>
        <v/>
      </c>
      <c r="J52" s="36">
        <f>IFERROR(('연간'!V50)/J16,"")</f>
        <v/>
      </c>
      <c r="K52" s="36">
        <f>IFERROR(('연간'!W50)/K16,"")</f>
        <v/>
      </c>
      <c r="L52" s="36">
        <f>IFERROR(('연간'!X50)/L16,"")</f>
        <v/>
      </c>
    </row>
    <row r="53">
      <c r="A53" s="45" t="inlineStr">
        <is>
          <t>ROIC</t>
        </is>
      </c>
      <c r="B53" s="10" t="inlineStr">
        <is>
          <t>10%↑ (세후영업이익 기준)</t>
        </is>
      </c>
      <c r="C53" s="35">
        <f>IFERROR((IF(COUNT('연간'!G22:J22)&lt;4,"",SUM('연간'!G22:J22)))*(1-0.3)/(C35+C29),"")</f>
        <v/>
      </c>
      <c r="D53" s="36">
        <f>IFERROR((IF(COUNT('연간'!H22:K22)&lt;4,"",SUM('연간'!H22:K22)))*(1-0.3)/(D35+D29),"")</f>
        <v/>
      </c>
      <c r="E53" s="36">
        <f>IFERROR((IF(COUNT('연간'!I22:L22)&lt;4,"",SUM('연간'!I22:L22)))*(1-0.3)/(E35+E29),"")</f>
        <v/>
      </c>
      <c r="F53" s="36">
        <f>IFERROR((IF(COUNT('연간'!J22:M22)&lt;4,"",SUM('연간'!J22:M22)))*(1-0.3)/(F35+F29),"")</f>
        <v/>
      </c>
      <c r="G53" s="36">
        <f>IFERROR((IF(COUNT('연간'!K22:N22)&lt;4,"",SUM('연간'!K22:N22)))*(1-0.3)/(G35+G29),"")</f>
        <v/>
      </c>
      <c r="H53" s="35">
        <f>IFERROR(('연간'!T22)*(1-0.3)/(H35+H29),"")</f>
        <v/>
      </c>
      <c r="I53" s="36">
        <f>IFERROR(('연간'!U22)*(1-0.3)/(I35+I29),"")</f>
        <v/>
      </c>
      <c r="J53" s="36">
        <f>IFERROR(('연간'!V22)*(1-0.3)/(J35+J29),"")</f>
        <v/>
      </c>
      <c r="K53" s="36">
        <f>IFERROR(('연간'!W22)*(1-0.3)/(K35+K29),"")</f>
        <v/>
      </c>
      <c r="L53" s="36">
        <f>IFERROR(('연간'!X22)*(1-0.3)/(L35+L29),"")</f>
        <v/>
      </c>
    </row>
    <row r="54">
      <c r="A54" s="45" t="inlineStr">
        <is>
          <t>매출총이익률 (GPM)</t>
        </is>
      </c>
      <c r="B54" s="10" t="inlineStr">
        <is>
          <t>40%↑ (해자 신호)</t>
        </is>
      </c>
      <c r="C54" s="35">
        <f>IFERROR((IF(COUNT('연간'!G16:J16)&lt;4,"",SUM('연간'!G16:J16)))/(IF(COUNT('연간'!G4:J4)&lt;4,"",SUM('연간'!G4:J4))),"")</f>
        <v/>
      </c>
      <c r="D54" s="36">
        <f>IFERROR((IF(COUNT('연간'!H16:K16)&lt;4,"",SUM('연간'!H16:K16)))/(IF(COUNT('연간'!H4:K4)&lt;4,"",SUM('연간'!H4:K4))),"")</f>
        <v/>
      </c>
      <c r="E54" s="36">
        <f>IFERROR((IF(COUNT('연간'!I16:L16)&lt;4,"",SUM('연간'!I16:L16)))/(IF(COUNT('연간'!I4:L4)&lt;4,"",SUM('연간'!I4:L4))),"")</f>
        <v/>
      </c>
      <c r="F54" s="36">
        <f>IFERROR((IF(COUNT('연간'!J16:M16)&lt;4,"",SUM('연간'!J16:M16)))/(IF(COUNT('연간'!J4:M4)&lt;4,"",SUM('연간'!J4:M4))),"")</f>
        <v/>
      </c>
      <c r="G54" s="36">
        <f>IFERROR((IF(COUNT('연간'!K16:N16)&lt;4,"",SUM('연간'!K16:N16)))/(IF(COUNT('연간'!K4:N4)&lt;4,"",SUM('연간'!K4:N4))),"")</f>
        <v/>
      </c>
      <c r="H54" s="35">
        <f>IFERROR(('연간'!T16)/('연간'!T4),"")</f>
        <v/>
      </c>
      <c r="I54" s="36">
        <f>IFERROR(('연간'!U16)/('연간'!U4),"")</f>
        <v/>
      </c>
      <c r="J54" s="36">
        <f>IFERROR(('연간'!V16)/('연간'!V4),"")</f>
        <v/>
      </c>
      <c r="K54" s="36">
        <f>IFERROR(('연간'!W16)/('연간'!W4),"")</f>
        <v/>
      </c>
      <c r="L54" s="36">
        <f>IFERROR(('연간'!X16)/('연간'!X4),"")</f>
        <v/>
      </c>
    </row>
    <row r="55">
      <c r="A55" s="45" t="inlineStr">
        <is>
          <t>영업이익률 (OPM)</t>
        </is>
      </c>
      <c r="B55" s="10" t="inlineStr">
        <is>
          <t>15%↑</t>
        </is>
      </c>
      <c r="C55" s="35">
        <f>IFERROR((IF(COUNT('연간'!G22:J22)&lt;4,"",SUM('연간'!G22:J22)))/(IF(COUNT('연간'!G4:J4)&lt;4,"",SUM('연간'!G4:J4))),"")</f>
        <v/>
      </c>
      <c r="D55" s="36">
        <f>IFERROR((IF(COUNT('연간'!H22:K22)&lt;4,"",SUM('연간'!H22:K22)))/(IF(COUNT('연간'!H4:K4)&lt;4,"",SUM('연간'!H4:K4))),"")</f>
        <v/>
      </c>
      <c r="E55" s="36">
        <f>IFERROR((IF(COUNT('연간'!I22:L22)&lt;4,"",SUM('연간'!I22:L22)))/(IF(COUNT('연간'!I4:L4)&lt;4,"",SUM('연간'!I4:L4))),"")</f>
        <v/>
      </c>
      <c r="F55" s="36">
        <f>IFERROR((IF(COUNT('연간'!J22:M22)&lt;4,"",SUM('연간'!J22:M22)))/(IF(COUNT('연간'!J4:M4)&lt;4,"",SUM('연간'!J4:M4))),"")</f>
        <v/>
      </c>
      <c r="G55" s="36">
        <f>IFERROR((IF(COUNT('연간'!K22:N22)&lt;4,"",SUM('연간'!K22:N22)))/(IF(COUNT('연간'!K4:N4)&lt;4,"",SUM('연간'!K4:N4))),"")</f>
        <v/>
      </c>
      <c r="H55" s="35">
        <f>IFERROR(('연간'!T22)/('연간'!T4),"")</f>
        <v/>
      </c>
      <c r="I55" s="36">
        <f>IFERROR(('연간'!U22)/('연간'!U4),"")</f>
        <v/>
      </c>
      <c r="J55" s="36">
        <f>IFERROR(('연간'!V22)/('연간'!V4),"")</f>
        <v/>
      </c>
      <c r="K55" s="36">
        <f>IFERROR(('연간'!W22)/('연간'!W4),"")</f>
        <v/>
      </c>
      <c r="L55" s="36">
        <f>IFERROR(('연간'!X22)/('연간'!X4),"")</f>
        <v/>
      </c>
    </row>
    <row r="56">
      <c r="A56" s="45" t="inlineStr">
        <is>
          <t>순이익률</t>
        </is>
      </c>
      <c r="B56" s="10" t="inlineStr">
        <is>
          <t>10%↑</t>
        </is>
      </c>
      <c r="C56" s="35">
        <f>IFERROR((IF(COUNT('연간'!G50:J50)&lt;4,"",SUM('연간'!G50:J50)))/(IF(COUNT('연간'!G4:J4)&lt;4,"",SUM('연간'!G4:J4))),"")</f>
        <v/>
      </c>
      <c r="D56" s="36">
        <f>IFERROR((IF(COUNT('연간'!H50:K50)&lt;4,"",SUM('연간'!H50:K50)))/(IF(COUNT('연간'!H4:K4)&lt;4,"",SUM('연간'!H4:K4))),"")</f>
        <v/>
      </c>
      <c r="E56" s="36">
        <f>IFERROR((IF(COUNT('연간'!I50:L50)&lt;4,"",SUM('연간'!I50:L50)))/(IF(COUNT('연간'!I4:L4)&lt;4,"",SUM('연간'!I4:L4))),"")</f>
        <v/>
      </c>
      <c r="F56" s="36">
        <f>IFERROR((IF(COUNT('연간'!J50:M50)&lt;4,"",SUM('연간'!J50:M50)))/(IF(COUNT('연간'!J4:M4)&lt;4,"",SUM('연간'!J4:M4))),"")</f>
        <v/>
      </c>
      <c r="G56" s="36">
        <f>IFERROR((IF(COUNT('연간'!K50:N50)&lt;4,"",SUM('연간'!K50:N50)))/(IF(COUNT('연간'!K4:N4)&lt;4,"",SUM('연간'!K4:N4))),"")</f>
        <v/>
      </c>
      <c r="H56" s="35">
        <f>IFERROR(('연간'!T50)/('연간'!T4),"")</f>
        <v/>
      </c>
      <c r="I56" s="36">
        <f>IFERROR(('연간'!U50)/('연간'!U4),"")</f>
        <v/>
      </c>
      <c r="J56" s="36">
        <f>IFERROR(('연간'!V50)/('연간'!V4),"")</f>
        <v/>
      </c>
      <c r="K56" s="36">
        <f>IFERROR(('연간'!W50)/('연간'!W4),"")</f>
        <v/>
      </c>
      <c r="L56" s="36">
        <f>IFERROR(('연간'!X50)/('연간'!X4),"")</f>
        <v/>
      </c>
    </row>
    <row r="57">
      <c r="A57" s="23" t="inlineStr">
        <is>
          <t>효율성 (회전율)</t>
        </is>
      </c>
      <c r="B57" s="23" t="n"/>
      <c r="C57" s="24" t="n"/>
      <c r="D57" s="23" t="n"/>
      <c r="E57" s="23" t="n"/>
      <c r="F57" s="23" t="n"/>
      <c r="G57" s="23" t="n"/>
      <c r="H57" s="24" t="n"/>
      <c r="I57" s="23" t="n"/>
      <c r="J57" s="23" t="n"/>
      <c r="K57" s="23" t="n"/>
      <c r="L57" s="23" t="n"/>
    </row>
    <row r="58">
      <c r="A58" s="45" t="inlineStr">
        <is>
          <t>총자산회전율</t>
        </is>
      </c>
      <c r="B58" s="10" t="inlineStr">
        <is>
          <t>높을수록↑</t>
        </is>
      </c>
      <c r="C58" s="30">
        <f>IFERROR((IF(COUNT('연간'!G4:J4)&lt;4,"",SUM('연간'!G4:J4)))/C16,"")</f>
        <v/>
      </c>
      <c r="D58" s="31">
        <f>IFERROR((IF(COUNT('연간'!H4:K4)&lt;4,"",SUM('연간'!H4:K4)))/D16,"")</f>
        <v/>
      </c>
      <c r="E58" s="31">
        <f>IFERROR((IF(COUNT('연간'!I4:L4)&lt;4,"",SUM('연간'!I4:L4)))/E16,"")</f>
        <v/>
      </c>
      <c r="F58" s="31">
        <f>IFERROR((IF(COUNT('연간'!J4:M4)&lt;4,"",SUM('연간'!J4:M4)))/F16,"")</f>
        <v/>
      </c>
      <c r="G58" s="31">
        <f>IFERROR((IF(COUNT('연간'!K4:N4)&lt;4,"",SUM('연간'!K4:N4)))/G16,"")</f>
        <v/>
      </c>
      <c r="H58" s="30">
        <f>IFERROR(('연간'!T4)/H16,"")</f>
        <v/>
      </c>
      <c r="I58" s="31">
        <f>IFERROR(('연간'!U4)/I16,"")</f>
        <v/>
      </c>
      <c r="J58" s="31">
        <f>IFERROR(('연간'!V4)/J16,"")</f>
        <v/>
      </c>
      <c r="K58" s="31">
        <f>IFERROR(('연간'!W4)/K16,"")</f>
        <v/>
      </c>
      <c r="L58" s="31">
        <f>IFERROR(('연간'!X4)/L16,"")</f>
        <v/>
      </c>
    </row>
    <row r="59">
      <c r="A59" s="45" t="inlineStr">
        <is>
          <t>매출채권회전일수</t>
        </is>
      </c>
      <c r="B59" s="10" t="inlineStr">
        <is>
          <t>짧을수록↑</t>
        </is>
      </c>
      <c r="C59" s="48">
        <f>IFERROR(C8/(IF(COUNT('연간'!G4:J4)&lt;4,"",SUM('연간'!G4:J4)))*365,"")</f>
        <v/>
      </c>
      <c r="D59" s="49">
        <f>IFERROR(D8/(IF(COUNT('연간'!H4:K4)&lt;4,"",SUM('연간'!H4:K4)))*365,"")</f>
        <v/>
      </c>
      <c r="E59" s="49">
        <f>IFERROR(E8/(IF(COUNT('연간'!I4:L4)&lt;4,"",SUM('연간'!I4:L4)))*365,"")</f>
        <v/>
      </c>
      <c r="F59" s="49">
        <f>IFERROR(F8/(IF(COUNT('연간'!J4:M4)&lt;4,"",SUM('연간'!J4:M4)))*365,"")</f>
        <v/>
      </c>
      <c r="G59" s="49">
        <f>IFERROR(G8/(IF(COUNT('연간'!K4:N4)&lt;4,"",SUM('연간'!K4:N4)))*365,"")</f>
        <v/>
      </c>
      <c r="H59" s="48">
        <f>IFERROR(H8/('연간'!T4)*365,"")</f>
        <v/>
      </c>
      <c r="I59" s="49">
        <f>IFERROR(I8/('연간'!U4)*365,"")</f>
        <v/>
      </c>
      <c r="J59" s="49">
        <f>IFERROR(J8/('연간'!V4)*365,"")</f>
        <v/>
      </c>
      <c r="K59" s="49">
        <f>IFERROR(K8/('연간'!W4)*365,"")</f>
        <v/>
      </c>
      <c r="L59" s="49">
        <f>IFERROR(L8/('연간'!X4)*365,"")</f>
        <v/>
      </c>
    </row>
    <row r="60">
      <c r="A60" s="45" t="inlineStr">
        <is>
          <t>재고자산회전일수</t>
        </is>
      </c>
      <c r="B60" s="10" t="inlineStr">
        <is>
          <t>짧을수록↑</t>
        </is>
      </c>
      <c r="C60" s="48">
        <f>IFERROR(C9/(IF(COUNT('연간'!G14:J14)&lt;4,"",SUM('연간'!G14:J14)))*365,"")</f>
        <v/>
      </c>
      <c r="D60" s="49">
        <f>IFERROR(D9/(IF(COUNT('연간'!H14:K14)&lt;4,"",SUM('연간'!H14:K14)))*365,"")</f>
        <v/>
      </c>
      <c r="E60" s="49">
        <f>IFERROR(E9/(IF(COUNT('연간'!I14:L14)&lt;4,"",SUM('연간'!I14:L14)))*365,"")</f>
        <v/>
      </c>
      <c r="F60" s="49">
        <f>IFERROR(F9/(IF(COUNT('연간'!J14:M14)&lt;4,"",SUM('연간'!J14:M14)))*365,"")</f>
        <v/>
      </c>
      <c r="G60" s="49">
        <f>IFERROR(G9/(IF(COUNT('연간'!K14:N14)&lt;4,"",SUM('연간'!K14:N14)))*365,"")</f>
        <v/>
      </c>
      <c r="H60" s="48">
        <f>IFERROR(H9/('연간'!T14)*365,"")</f>
        <v/>
      </c>
      <c r="I60" s="49">
        <f>IFERROR(I9/('연간'!U14)*365,"")</f>
        <v/>
      </c>
      <c r="J60" s="49">
        <f>IFERROR(J9/('연간'!V14)*365,"")</f>
        <v/>
      </c>
      <c r="K60" s="49">
        <f>IFERROR(K9/('연간'!W14)*365,"")</f>
        <v/>
      </c>
      <c r="L60" s="49">
        <f>IFERROR(L9/('연간'!X14)*365,"")</f>
        <v/>
      </c>
    </row>
    <row r="61">
      <c r="A61" s="45" t="inlineStr">
        <is>
          <t>매입채무회전일수</t>
        </is>
      </c>
      <c r="B61" s="10" t="inlineStr">
        <is>
          <t>길수록 유리</t>
        </is>
      </c>
      <c r="C61" s="48">
        <f>IFERROR(C19/(IF(COUNT('연간'!G14:J14)&lt;4,"",SUM('연간'!G14:J14)))*365,"")</f>
        <v/>
      </c>
      <c r="D61" s="49">
        <f>IFERROR(D19/(IF(COUNT('연간'!H14:K14)&lt;4,"",SUM('연간'!H14:K14)))*365,"")</f>
        <v/>
      </c>
      <c r="E61" s="49">
        <f>IFERROR(E19/(IF(COUNT('연간'!I14:L14)&lt;4,"",SUM('연간'!I14:L14)))*365,"")</f>
        <v/>
      </c>
      <c r="F61" s="49">
        <f>IFERROR(F19/(IF(COUNT('연간'!J14:M14)&lt;4,"",SUM('연간'!J14:M14)))*365,"")</f>
        <v/>
      </c>
      <c r="G61" s="49">
        <f>IFERROR(G19/(IF(COUNT('연간'!K14:N14)&lt;4,"",SUM('연간'!K14:N14)))*365,"")</f>
        <v/>
      </c>
      <c r="H61" s="48">
        <f>IFERROR(H19/('연간'!T14)*365,"")</f>
        <v/>
      </c>
      <c r="I61" s="49">
        <f>IFERROR(I19/('연간'!U14)*365,"")</f>
        <v/>
      </c>
      <c r="J61" s="49">
        <f>IFERROR(J19/('연간'!V14)*365,"")</f>
        <v/>
      </c>
      <c r="K61" s="49">
        <f>IFERROR(K19/('연간'!W14)*365,"")</f>
        <v/>
      </c>
      <c r="L61" s="49">
        <f>IFERROR(L19/('연간'!X14)*365,"")</f>
        <v/>
      </c>
    </row>
    <row r="62">
      <c r="A62" s="45" t="inlineStr">
        <is>
          <t>현금전환주기 (CCC)</t>
        </is>
      </c>
      <c r="B62" s="10" t="inlineStr">
        <is>
          <t>짧을수록↑</t>
        </is>
      </c>
      <c r="C62" s="48">
        <f>IF(OR(C59="",C60="",C61=""),"",IFERROR(C59+C60-C61,""))</f>
        <v/>
      </c>
      <c r="D62" s="49">
        <f>IF(OR(D59="",D60="",D61=""),"",IFERROR(D59+D60-D61,""))</f>
        <v/>
      </c>
      <c r="E62" s="49">
        <f>IF(OR(E59="",E60="",E61=""),"",IFERROR(E59+E60-E61,""))</f>
        <v/>
      </c>
      <c r="F62" s="49">
        <f>IF(OR(F59="",F60="",F61=""),"",IFERROR(F59+F60-F61,""))</f>
        <v/>
      </c>
      <c r="G62" s="49">
        <f>IF(OR(G59="",G60="",G61=""),"",IFERROR(G59+G60-G61,""))</f>
        <v/>
      </c>
      <c r="H62" s="48">
        <f>IF(OR(H59="",H60="",H61=""),"",IFERROR(H59+H60-H61,""))</f>
        <v/>
      </c>
      <c r="I62" s="49">
        <f>IF(OR(I59="",I60="",I61=""),"",IFERROR(I59+I60-I61,""))</f>
        <v/>
      </c>
      <c r="J62" s="49">
        <f>IF(OR(J59="",J60="",J61=""),"",IFERROR(J59+J60-J61,""))</f>
        <v/>
      </c>
      <c r="K62" s="49">
        <f>IF(OR(K59="",K60="",K61=""),"",IFERROR(K59+K60-K61,""))</f>
        <v/>
      </c>
      <c r="L62" s="49">
        <f>IF(OR(L59="",L60="",L61=""),"",IFERROR(L59+L60-L61,""))</f>
        <v/>
      </c>
    </row>
    <row r="63">
      <c r="A63" s="23" t="inlineStr">
        <is>
          <t>현금흐름</t>
        </is>
      </c>
      <c r="B63" s="23" t="n"/>
      <c r="C63" s="24" t="n"/>
      <c r="D63" s="23" t="n"/>
      <c r="E63" s="23" t="n"/>
      <c r="F63" s="23" t="n"/>
      <c r="G63" s="23" t="n"/>
      <c r="H63" s="24" t="n"/>
      <c r="I63" s="23" t="n"/>
      <c r="J63" s="23" t="n"/>
      <c r="K63" s="23" t="n"/>
      <c r="L63" s="23" t="n"/>
    </row>
    <row r="64">
      <c r="A64" s="45" t="inlineStr">
        <is>
          <t>영업현금흐름 / 순이익</t>
        </is>
      </c>
      <c r="B64" s="10" t="inlineStr">
        <is>
          <t>1x↑ (이익의 질)</t>
        </is>
      </c>
      <c r="C64" s="30">
        <f>IF(C37="","",IFERROR(C37/(IF(COUNT('연간'!G50:J50)&lt;4,"",SUM('연간'!G50:J50))),""))</f>
        <v/>
      </c>
      <c r="D64" s="31">
        <f>IF(D37="","",IFERROR(D37/(IF(COUNT('연간'!H50:K50)&lt;4,"",SUM('연간'!H50:K50))),""))</f>
        <v/>
      </c>
      <c r="E64" s="31">
        <f>IF(E37="","",IFERROR(E37/(IF(COUNT('연간'!I50:L50)&lt;4,"",SUM('연간'!I50:L50))),""))</f>
        <v/>
      </c>
      <c r="F64" s="31">
        <f>IF(F37="","",IFERROR(F37/(IF(COUNT('연간'!J50:M50)&lt;4,"",SUM('연간'!J50:M50))),""))</f>
        <v/>
      </c>
      <c r="G64" s="31">
        <f>IF(G37="","",IFERROR(G37/(IF(COUNT('연간'!K50:N50)&lt;4,"",SUM('연간'!K50:N50))),""))</f>
        <v/>
      </c>
      <c r="H64" s="30">
        <f>IF(H37="","",IFERROR(H37/('연간'!T50),""))</f>
        <v/>
      </c>
      <c r="I64" s="31">
        <f>IF(I37="","",IFERROR(I37/('연간'!U50),""))</f>
        <v/>
      </c>
      <c r="J64" s="31">
        <f>IF(J37="","",IFERROR(J37/('연간'!V50),""))</f>
        <v/>
      </c>
      <c r="K64" s="31">
        <f>IF(K37="","",IFERROR(K37/('연간'!W50),""))</f>
        <v/>
      </c>
      <c r="L64" s="31">
        <f>IF(L37="","",IFERROR(L37/('연간'!X50),""))</f>
        <v/>
      </c>
    </row>
    <row r="65">
      <c r="A65" s="45" t="inlineStr">
        <is>
          <t>FCF 마진</t>
        </is>
      </c>
      <c r="B65" s="10" t="inlineStr">
        <is>
          <t>5%↑</t>
        </is>
      </c>
      <c r="C65" s="35">
        <f>IF(C39="","",IFERROR(C39/(IF(COUNT('연간'!G4:J4)&lt;4,"",SUM('연간'!G4:J4))),""))</f>
        <v/>
      </c>
      <c r="D65" s="36">
        <f>IF(D39="","",IFERROR(D39/(IF(COUNT('연간'!H4:K4)&lt;4,"",SUM('연간'!H4:K4))),""))</f>
        <v/>
      </c>
      <c r="E65" s="36">
        <f>IF(E39="","",IFERROR(E39/(IF(COUNT('연간'!I4:L4)&lt;4,"",SUM('연간'!I4:L4))),""))</f>
        <v/>
      </c>
      <c r="F65" s="36">
        <f>IF(F39="","",IFERROR(F39/(IF(COUNT('연간'!J4:M4)&lt;4,"",SUM('연간'!J4:M4))),""))</f>
        <v/>
      </c>
      <c r="G65" s="36">
        <f>IF(G39="","",IFERROR(G39/(IF(COUNT('연간'!K4:N4)&lt;4,"",SUM('연간'!K4:N4))),""))</f>
        <v/>
      </c>
      <c r="H65" s="35">
        <f>IF(H39="","",IFERROR(H39/('연간'!T4),""))</f>
        <v/>
      </c>
      <c r="I65" s="36">
        <f>IF(I39="","",IFERROR(I39/('연간'!U4),""))</f>
        <v/>
      </c>
      <c r="J65" s="36">
        <f>IF(J39="","",IFERROR(J39/('연간'!V4),""))</f>
        <v/>
      </c>
      <c r="K65" s="36">
        <f>IF(K39="","",IFERROR(K39/('연간'!W4),""))</f>
        <v/>
      </c>
      <c r="L65" s="36">
        <f>IF(L39="","",IFERROR(L39/('연간'!X4),""))</f>
        <v/>
      </c>
    </row>
    <row r="66">
      <c r="A66" s="45" t="inlineStr">
        <is>
          <t>CAPEX / 매출</t>
        </is>
      </c>
      <c r="B66" s="10" t="inlineStr">
        <is>
          <t>낮을수록↑ (자본 가벼움)</t>
        </is>
      </c>
      <c r="C66" s="35">
        <f>IF(C38="","",IFERROR(C38/(IF(COUNT('연간'!G4:J4)&lt;4,"",SUM('연간'!G4:J4))),""))</f>
        <v/>
      </c>
      <c r="D66" s="36">
        <f>IF(D38="","",IFERROR(D38/(IF(COUNT('연간'!H4:K4)&lt;4,"",SUM('연간'!H4:K4))),""))</f>
        <v/>
      </c>
      <c r="E66" s="36">
        <f>IF(E38="","",IFERROR(E38/(IF(COUNT('연간'!I4:L4)&lt;4,"",SUM('연간'!I4:L4))),""))</f>
        <v/>
      </c>
      <c r="F66" s="36">
        <f>IF(F38="","",IFERROR(F38/(IF(COUNT('연간'!J4:M4)&lt;4,"",SUM('연간'!J4:M4))),""))</f>
        <v/>
      </c>
      <c r="G66" s="36">
        <f>IF(G38="","",IFERROR(G38/(IF(COUNT('연간'!K4:N4)&lt;4,"",SUM('연간'!K4:N4))),""))</f>
        <v/>
      </c>
      <c r="H66" s="35">
        <f>IF(H38="","",IFERROR(H38/('연간'!T4),""))</f>
        <v/>
      </c>
      <c r="I66" s="36">
        <f>IF(I38="","",IFERROR(I38/('연간'!U4),""))</f>
        <v/>
      </c>
      <c r="J66" s="36">
        <f>IF(J38="","",IFERROR(J38/('연간'!V4),""))</f>
        <v/>
      </c>
      <c r="K66" s="36">
        <f>IF(K38="","",IFERROR(K38/('연간'!W4),""))</f>
        <v/>
      </c>
      <c r="L66" s="36">
        <f>IF(L38="","",IFERROR(L38/('연간'!X4),""))</f>
        <v/>
      </c>
    </row>
    <row r="67">
      <c r="A67" s="45" t="inlineStr">
        <is>
          <t>배당성향</t>
        </is>
      </c>
      <c r="B67" s="10" t="inlineStr">
        <is>
          <t>참고</t>
        </is>
      </c>
      <c r="C67" s="35">
        <f>IF(C40="","",IFERROR(C40/(IF(COUNT('연간'!G52:J52)&lt;4,"",SUM('연간'!G52:J52))),""))</f>
        <v/>
      </c>
      <c r="D67" s="36">
        <f>IF(D40="","",IFERROR(D40/(IF(COUNT('연간'!H52:K52)&lt;4,"",SUM('연간'!H52:K52))),""))</f>
        <v/>
      </c>
      <c r="E67" s="36">
        <f>IF(E40="","",IFERROR(E40/(IF(COUNT('연간'!I52:L52)&lt;4,"",SUM('연간'!I52:L52))),""))</f>
        <v/>
      </c>
      <c r="F67" s="36">
        <f>IF(F40="","",IFERROR(F40/(IF(COUNT('연간'!J52:M52)&lt;4,"",SUM('연간'!J52:M52))),""))</f>
        <v/>
      </c>
      <c r="G67" s="36">
        <f>IF(G40="","",IFERROR(G40/(IF(COUNT('연간'!K52:N52)&lt;4,"",SUM('연간'!K52:N52))),""))</f>
        <v/>
      </c>
      <c r="H67" s="35">
        <f>IF(H40="","",IFERROR(H40/('연간'!T52),""))</f>
        <v/>
      </c>
      <c r="I67" s="36">
        <f>IF(I40="","",IFERROR(I40/('연간'!U52),""))</f>
        <v/>
      </c>
      <c r="J67" s="36">
        <f>IF(J40="","",IFERROR(J40/('연간'!V52),""))</f>
        <v/>
      </c>
      <c r="K67" s="36">
        <f>IF(K40="","",IFERROR(K40/('연간'!W52),""))</f>
        <v/>
      </c>
      <c r="L67" s="36">
        <f>IF(L40="","",IFERROR(L40/('연간'!X52),""))</f>
        <v/>
      </c>
    </row>
    <row r="69">
      <c r="A69" s="16" t="inlineStr">
        <is>
          <t>재무상태표 · 전 항목</t>
        </is>
      </c>
      <c r="B69" s="42" t="inlineStr">
        <is>
          <t>분기 말 잔액</t>
        </is>
      </c>
      <c r="C69" s="16" t="n"/>
      <c r="D69" s="16" t="n"/>
      <c r="E69" s="16" t="n"/>
      <c r="F69" s="16" t="n"/>
      <c r="G69" s="16" t="n"/>
      <c r="H69" s="16" t="n"/>
      <c r="I69" s="16" t="n"/>
      <c r="J69" s="16" t="n"/>
      <c r="K69" s="16" t="n"/>
      <c r="L69" s="16" t="n"/>
    </row>
    <row r="70">
      <c r="A70" s="5" t="inlineStr">
        <is>
          <t>항목</t>
        </is>
      </c>
      <c r="B70" s="5" t="inlineStr">
        <is>
          <t>참고</t>
        </is>
      </c>
      <c r="C70" s="5" t="inlineStr">
        <is>
          <t>2026.2Q</t>
        </is>
      </c>
      <c r="D70" s="5" t="inlineStr">
        <is>
          <t>2026.3Q</t>
        </is>
      </c>
      <c r="E70" s="5" t="inlineStr">
        <is>
          <t>2026.4Q</t>
        </is>
      </c>
      <c r="F70" s="5" t="inlineStr">
        <is>
          <t>2027.1Q</t>
        </is>
      </c>
      <c r="G70" s="5" t="inlineStr">
        <is>
          <t>2027.2Q</t>
        </is>
      </c>
      <c r="H70" s="5" t="inlineStr">
        <is>
          <t>2022</t>
        </is>
      </c>
      <c r="I70" s="5" t="inlineStr">
        <is>
          <t>2023</t>
        </is>
      </c>
      <c r="J70" s="5" t="inlineStr">
        <is>
          <t>2024</t>
        </is>
      </c>
      <c r="K70" s="5" t="inlineStr">
        <is>
          <t>2025</t>
        </is>
      </c>
      <c r="L70" s="5" t="inlineStr">
        <is>
          <t>2026</t>
        </is>
      </c>
    </row>
    <row r="71">
      <c r="A71" s="18" t="inlineStr">
        <is>
          <t>현금 및 예금</t>
        </is>
      </c>
      <c r="C71" s="20" t="n">
        <v>18313</v>
      </c>
      <c r="D71" s="20" t="n">
        <v>16710</v>
      </c>
      <c r="E71" s="20" t="n">
        <v>19931</v>
      </c>
      <c r="F71" s="20" t="n">
        <v>17220</v>
      </c>
      <c r="G71" s="20" t="n">
        <v>14602</v>
      </c>
      <c r="H71" s="20" t="n">
        <v>23211</v>
      </c>
      <c r="I71" s="20" t="n">
        <v>20908</v>
      </c>
      <c r="J71" s="20" t="n">
        <v>20416</v>
      </c>
      <c r="K71" s="20" t="n">
        <v>19343</v>
      </c>
      <c r="L71" s="20" t="n">
        <v>19931</v>
      </c>
    </row>
    <row r="72">
      <c r="A72" s="18" t="inlineStr">
        <is>
          <t>영업미수금</t>
        </is>
      </c>
      <c r="C72" s="20" t="n">
        <v>2120</v>
      </c>
      <c r="D72" s="20" t="n">
        <v>2743</v>
      </c>
      <c r="E72" s="20" t="n">
        <v>2114</v>
      </c>
      <c r="F72" s="20" t="n">
        <v>2774</v>
      </c>
      <c r="G72" s="20" t="n">
        <v>1851</v>
      </c>
      <c r="H72" s="20" t="n">
        <v>1809</v>
      </c>
      <c r="I72" s="20" t="n">
        <v>1967</v>
      </c>
      <c r="J72" s="20" t="n">
        <v>2114</v>
      </c>
      <c r="K72" s="20" t="n">
        <v>2291</v>
      </c>
      <c r="L72" s="20" t="n">
        <v>2114</v>
      </c>
    </row>
    <row r="73">
      <c r="A73" s="18" t="inlineStr">
        <is>
          <t>유가증권</t>
        </is>
      </c>
      <c r="C73" s="20" t="n">
        <v>2190</v>
      </c>
      <c r="D73" s="20" t="n">
        <v>4689</v>
      </c>
      <c r="E73" s="20" t="n">
        <v>11183</v>
      </c>
      <c r="F73" s="20" t="n">
        <v>6089</v>
      </c>
      <c r="G73" s="20" t="n">
        <v>3500</v>
      </c>
      <c r="H73" s="20" t="n">
        <v>5014</v>
      </c>
      <c r="I73" s="20" t="n">
        <v>6999</v>
      </c>
      <c r="J73" s="20" t="n">
        <v>8005</v>
      </c>
      <c r="K73" s="20" t="n">
        <v>5997</v>
      </c>
      <c r="L73" s="20" t="n">
        <v>11183</v>
      </c>
    </row>
    <row r="74">
      <c r="A74" s="18" t="inlineStr">
        <is>
          <t>판매용 부동산</t>
        </is>
      </c>
      <c r="C74" s="20" t="n">
        <v>29196</v>
      </c>
      <c r="D74" s="20" t="n">
        <v>42618</v>
      </c>
      <c r="E74" s="20" t="n">
        <v>55822</v>
      </c>
      <c r="F74" s="20" t="n">
        <v>55259</v>
      </c>
      <c r="G74" s="20" t="n">
        <v>67739</v>
      </c>
      <c r="H74" s="20" t="n">
        <v>19623</v>
      </c>
      <c r="I74" s="20" t="n">
        <v>14153</v>
      </c>
      <c r="J74" s="20" t="n">
        <v>20645</v>
      </c>
      <c r="K74" s="20" t="n">
        <v>29821</v>
      </c>
      <c r="L74" s="20" t="n">
        <v>55822</v>
      </c>
    </row>
    <row r="75">
      <c r="A75" s="18" t="inlineStr">
        <is>
          <t>개발 중 판매용 부동산</t>
        </is>
      </c>
      <c r="C75" s="20" t="n">
        <v>244</v>
      </c>
      <c r="D75" s="20" t="n">
        <v>352</v>
      </c>
      <c r="E75" s="20" t="n">
        <v>245</v>
      </c>
      <c r="F75" s="20" t="n">
        <v>455</v>
      </c>
      <c r="G75" s="20" t="n">
        <v>37</v>
      </c>
      <c r="H75" s="20" t="n">
        <v>251</v>
      </c>
      <c r="I75" s="20" t="n">
        <v>298</v>
      </c>
      <c r="J75" s="20" t="n">
        <v>567</v>
      </c>
      <c r="K75" s="20" t="n">
        <v>32</v>
      </c>
      <c r="L75" s="20" t="n">
        <v>245</v>
      </c>
    </row>
    <row r="76">
      <c r="A76" s="18" t="inlineStr">
        <is>
          <t>기타 재고자산</t>
        </is>
      </c>
      <c r="H76" s="20" t="n">
        <v>0</v>
      </c>
    </row>
    <row r="77">
      <c r="A77" s="18" t="inlineStr">
        <is>
          <t>영업 출자</t>
        </is>
      </c>
      <c r="C77" s="20" t="n">
        <v>2055</v>
      </c>
      <c r="D77" s="20" t="n">
        <v>2231</v>
      </c>
      <c r="E77" s="20" t="n">
        <v>2299</v>
      </c>
      <c r="F77" s="20" t="n">
        <v>2282</v>
      </c>
      <c r="G77" s="20" t="n">
        <v>2263</v>
      </c>
      <c r="H77" s="20" t="n">
        <v>1624</v>
      </c>
      <c r="I77" s="20" t="n">
        <v>1027</v>
      </c>
      <c r="J77" s="20" t="n">
        <v>551</v>
      </c>
      <c r="K77" s="20" t="n">
        <v>1173</v>
      </c>
      <c r="L77" s="20" t="n">
        <v>2299</v>
      </c>
    </row>
    <row r="78">
      <c r="A78" s="18" t="inlineStr">
        <is>
          <t>기타</t>
        </is>
      </c>
      <c r="C78" s="20" t="n">
        <v>1856</v>
      </c>
      <c r="D78" s="20" t="n">
        <v>1781</v>
      </c>
      <c r="E78" s="20" t="n">
        <v>1776</v>
      </c>
      <c r="F78" s="20" t="n">
        <v>1919</v>
      </c>
      <c r="G78" s="20" t="n">
        <v>640</v>
      </c>
      <c r="H78" s="20" t="n">
        <v>2038</v>
      </c>
      <c r="I78" s="20" t="n">
        <v>1300</v>
      </c>
      <c r="J78" s="20" t="n">
        <v>956</v>
      </c>
      <c r="K78" s="20" t="n">
        <v>1376</v>
      </c>
      <c r="L78" s="20" t="n">
        <v>1776</v>
      </c>
    </row>
    <row r="79">
      <c r="A79" s="18" t="inlineStr">
        <is>
          <t>대손충당금</t>
        </is>
      </c>
      <c r="C79" s="20" t="n">
        <v>-0</v>
      </c>
      <c r="D79" s="20" t="n">
        <v>-0</v>
      </c>
      <c r="E79" s="20" t="n">
        <v>-0</v>
      </c>
      <c r="F79" s="20" t="n">
        <v>-0</v>
      </c>
      <c r="G79" s="20" t="n">
        <v>-0</v>
      </c>
      <c r="H79" s="20" t="n">
        <v>-25</v>
      </c>
      <c r="I79" s="20" t="n">
        <v>-24</v>
      </c>
      <c r="J79" s="20" t="n">
        <v>-0</v>
      </c>
      <c r="K79" s="20" t="n">
        <v>-0</v>
      </c>
      <c r="L79" s="20" t="n">
        <v>-0</v>
      </c>
    </row>
    <row r="80">
      <c r="A80" s="9" t="inlineStr">
        <is>
          <t>유동자산 합계</t>
        </is>
      </c>
      <c r="C80" s="12" t="n">
        <v>55978</v>
      </c>
      <c r="D80" s="12" t="n">
        <v>71126</v>
      </c>
      <c r="E80" s="12" t="n">
        <v>93373</v>
      </c>
      <c r="F80" s="12" t="n">
        <v>86002</v>
      </c>
      <c r="G80" s="12" t="n">
        <v>90634</v>
      </c>
      <c r="H80" s="12" t="n">
        <v>53548</v>
      </c>
      <c r="I80" s="12" t="n">
        <v>46630</v>
      </c>
      <c r="J80" s="12" t="n">
        <v>53257</v>
      </c>
      <c r="K80" s="12" t="n">
        <v>60036</v>
      </c>
      <c r="L80" s="12" t="n">
        <v>93373</v>
      </c>
    </row>
    <row r="81">
      <c r="A81" s="18" t="inlineStr">
        <is>
          <t>건물·구축물</t>
        </is>
      </c>
      <c r="E81" s="20" t="n">
        <v>181899</v>
      </c>
      <c r="H81" s="20" t="n">
        <v>172795</v>
      </c>
      <c r="I81" s="20" t="n">
        <v>179609</v>
      </c>
      <c r="J81" s="20" t="n">
        <v>180769</v>
      </c>
      <c r="K81" s="20" t="n">
        <v>172277</v>
      </c>
      <c r="L81" s="20" t="n">
        <v>181899</v>
      </c>
    </row>
    <row r="82">
      <c r="A82" s="18" t="inlineStr">
        <is>
          <t>감가상각누계액</t>
        </is>
      </c>
      <c r="E82" s="20" t="n">
        <v>-95829</v>
      </c>
      <c r="H82" s="20" t="n">
        <v>-89847</v>
      </c>
      <c r="I82" s="20" t="n">
        <v>-93392</v>
      </c>
      <c r="J82" s="20" t="n">
        <v>-96211</v>
      </c>
      <c r="K82" s="20" t="n">
        <v>-92957</v>
      </c>
      <c r="L82" s="20" t="n">
        <v>-95829</v>
      </c>
    </row>
    <row r="83">
      <c r="A83" s="18" t="inlineStr">
        <is>
          <t>건물·구축물(순액)</t>
        </is>
      </c>
      <c r="C83" s="20" t="n">
        <v>89433</v>
      </c>
      <c r="D83" s="20" t="n">
        <v>87608</v>
      </c>
      <c r="E83" s="20" t="n">
        <v>86069</v>
      </c>
      <c r="F83" s="20" t="n">
        <v>85515</v>
      </c>
      <c r="G83" s="20" t="n">
        <v>84330</v>
      </c>
      <c r="H83" s="20" t="n">
        <v>82947</v>
      </c>
      <c r="I83" s="20" t="n">
        <v>86217</v>
      </c>
      <c r="J83" s="20" t="n">
        <v>84557</v>
      </c>
      <c r="K83" s="20" t="n">
        <v>79319</v>
      </c>
      <c r="L83" s="20" t="n">
        <v>86069</v>
      </c>
    </row>
    <row r="84">
      <c r="A84" s="18" t="inlineStr">
        <is>
          <t>기계장치·운반구</t>
        </is>
      </c>
      <c r="E84" s="20" t="n">
        <v>2104</v>
      </c>
      <c r="H84" s="20" t="n">
        <v>2279</v>
      </c>
      <c r="I84" s="20" t="n">
        <v>2359</v>
      </c>
      <c r="J84" s="20" t="n">
        <v>2259</v>
      </c>
      <c r="K84" s="20" t="n">
        <v>2063</v>
      </c>
      <c r="L84" s="20" t="n">
        <v>2104</v>
      </c>
    </row>
    <row r="85">
      <c r="A85" s="18" t="inlineStr">
        <is>
          <t>감가상각누계액</t>
        </is>
      </c>
      <c r="E85" s="20" t="n">
        <v>-1661</v>
      </c>
      <c r="H85" s="20" t="n">
        <v>-1787</v>
      </c>
      <c r="I85" s="20" t="n">
        <v>-1878</v>
      </c>
      <c r="J85" s="20" t="n">
        <v>-1834</v>
      </c>
      <c r="K85" s="20" t="n">
        <v>-1691</v>
      </c>
      <c r="L85" s="20" t="n">
        <v>-1661</v>
      </c>
    </row>
    <row r="86">
      <c r="A86" s="18" t="inlineStr">
        <is>
          <t>기계장치·운반구(순액)</t>
        </is>
      </c>
      <c r="E86" s="20" t="n">
        <v>443</v>
      </c>
      <c r="H86" s="20" t="n">
        <v>492</v>
      </c>
      <c r="I86" s="20" t="n">
        <v>480</v>
      </c>
      <c r="J86" s="20" t="n">
        <v>425</v>
      </c>
      <c r="K86" s="20" t="n">
        <v>371</v>
      </c>
      <c r="L86" s="20" t="n">
        <v>443</v>
      </c>
    </row>
    <row r="87">
      <c r="A87" s="18" t="inlineStr">
        <is>
          <t>공구·기구·비품</t>
        </is>
      </c>
      <c r="E87" s="20" t="n">
        <v>3617</v>
      </c>
      <c r="H87" s="20" t="n">
        <v>2087</v>
      </c>
      <c r="I87" s="20" t="n">
        <v>2234</v>
      </c>
      <c r="J87" s="20" t="n">
        <v>2669</v>
      </c>
      <c r="K87" s="20" t="n">
        <v>2851</v>
      </c>
      <c r="L87" s="20" t="n">
        <v>3617</v>
      </c>
    </row>
    <row r="88">
      <c r="A88" s="18" t="inlineStr">
        <is>
          <t>감가상각누계액</t>
        </is>
      </c>
      <c r="E88" s="20" t="n">
        <v>-2330</v>
      </c>
      <c r="H88" s="20" t="n">
        <v>-1527</v>
      </c>
      <c r="I88" s="20" t="n">
        <v>-1626</v>
      </c>
      <c r="J88" s="20" t="n">
        <v>-1839</v>
      </c>
      <c r="K88" s="20" t="n">
        <v>-2047</v>
      </c>
      <c r="L88" s="20" t="n">
        <v>-2330</v>
      </c>
    </row>
    <row r="89">
      <c r="A89" s="18" t="inlineStr">
        <is>
          <t>공구·기구·비품(순액)</t>
        </is>
      </c>
      <c r="E89" s="20" t="n">
        <v>1287</v>
      </c>
      <c r="H89" s="20" t="n">
        <v>560</v>
      </c>
      <c r="I89" s="20" t="n">
        <v>607</v>
      </c>
      <c r="J89" s="20" t="n">
        <v>829</v>
      </c>
      <c r="K89" s="20" t="n">
        <v>804</v>
      </c>
      <c r="L89" s="20" t="n">
        <v>1287</v>
      </c>
    </row>
    <row r="90">
      <c r="A90" s="18" t="inlineStr">
        <is>
          <t>토지</t>
        </is>
      </c>
      <c r="C90" s="20" t="n">
        <v>170978</v>
      </c>
      <c r="D90" s="20" t="n">
        <v>161760</v>
      </c>
      <c r="E90" s="20" t="n">
        <v>150627</v>
      </c>
      <c r="F90" s="20" t="n">
        <v>152905</v>
      </c>
      <c r="G90" s="20" t="n">
        <v>152912</v>
      </c>
      <c r="H90" s="20" t="n">
        <v>163624</v>
      </c>
      <c r="I90" s="20" t="n">
        <v>190497</v>
      </c>
      <c r="J90" s="20" t="n">
        <v>184669</v>
      </c>
      <c r="K90" s="20" t="n">
        <v>170597</v>
      </c>
      <c r="L90" s="20" t="n">
        <v>150627</v>
      </c>
    </row>
    <row r="91">
      <c r="A91" s="18" t="inlineStr">
        <is>
          <t>건설중인자산</t>
        </is>
      </c>
      <c r="E91" s="20" t="n">
        <v>33616</v>
      </c>
      <c r="H91" s="20" t="n">
        <v>1754</v>
      </c>
      <c r="I91" s="20" t="n">
        <v>1723</v>
      </c>
      <c r="J91" s="20" t="n">
        <v>5039</v>
      </c>
      <c r="K91" s="20" t="n">
        <v>31257</v>
      </c>
      <c r="L91" s="20" t="n">
        <v>33616</v>
      </c>
    </row>
    <row r="92">
      <c r="A92" s="18" t="inlineStr">
        <is>
          <t>기타(순액)</t>
        </is>
      </c>
      <c r="C92" s="20" t="n">
        <v>31318</v>
      </c>
      <c r="D92" s="20" t="n">
        <v>32471</v>
      </c>
      <c r="E92" s="20" t="n">
        <v>35346</v>
      </c>
      <c r="F92" s="20" t="n">
        <v>35440</v>
      </c>
      <c r="G92" s="20" t="n">
        <v>35752</v>
      </c>
      <c r="H92" s="20" t="n">
        <v>2806</v>
      </c>
      <c r="I92" s="20" t="n">
        <v>2811</v>
      </c>
      <c r="J92" s="20" t="n">
        <v>6294</v>
      </c>
      <c r="K92" s="20" t="n">
        <v>32433</v>
      </c>
      <c r="L92" s="20" t="n">
        <v>35346</v>
      </c>
    </row>
    <row r="93">
      <c r="A93" s="18" t="inlineStr">
        <is>
          <t>유형자산 합계</t>
        </is>
      </c>
      <c r="C93" s="20" t="n">
        <v>291730</v>
      </c>
      <c r="D93" s="20" t="n">
        <v>281840</v>
      </c>
      <c r="E93" s="20" t="n">
        <v>272043</v>
      </c>
      <c r="F93" s="20" t="n">
        <v>273861</v>
      </c>
      <c r="G93" s="20" t="n">
        <v>272995</v>
      </c>
      <c r="H93" s="20" t="n">
        <v>249379</v>
      </c>
      <c r="I93" s="20" t="n">
        <v>279526</v>
      </c>
      <c r="J93" s="20" t="n">
        <v>275522</v>
      </c>
      <c r="K93" s="20" t="n">
        <v>282350</v>
      </c>
      <c r="L93" s="20" t="n">
        <v>272043</v>
      </c>
    </row>
    <row r="94">
      <c r="A94" s="18" t="inlineStr">
        <is>
          <t>차지권</t>
        </is>
      </c>
      <c r="E94" s="20" t="n">
        <v>30374</v>
      </c>
      <c r="H94" s="20" t="n">
        <v>28560</v>
      </c>
      <c r="I94" s="20" t="n">
        <v>30464</v>
      </c>
      <c r="J94" s="20" t="n">
        <v>30492</v>
      </c>
      <c r="K94" s="20" t="n">
        <v>30374</v>
      </c>
      <c r="L94" s="20" t="n">
        <v>30374</v>
      </c>
    </row>
    <row r="95">
      <c r="A95" s="18" t="inlineStr">
        <is>
          <t>영업권</t>
        </is>
      </c>
      <c r="E95" s="20" t="n">
        <v>560</v>
      </c>
      <c r="I95" s="20" t="n">
        <v>0</v>
      </c>
      <c r="J95" s="20" t="n">
        <v>645</v>
      </c>
      <c r="K95" s="20" t="n">
        <v>602</v>
      </c>
      <c r="L95" s="20" t="n">
        <v>560</v>
      </c>
    </row>
    <row r="96">
      <c r="A96" s="18" t="inlineStr">
        <is>
          <t>기타</t>
        </is>
      </c>
      <c r="E96" s="20" t="n">
        <v>179</v>
      </c>
      <c r="H96" s="20" t="n">
        <v>251</v>
      </c>
      <c r="I96" s="20" t="n">
        <v>193</v>
      </c>
      <c r="J96" s="20" t="n">
        <v>181</v>
      </c>
      <c r="K96" s="20" t="n">
        <v>187</v>
      </c>
      <c r="L96" s="20" t="n">
        <v>179</v>
      </c>
    </row>
    <row r="97">
      <c r="A97" s="18" t="inlineStr">
        <is>
          <t>무형자산</t>
        </is>
      </c>
      <c r="C97" s="20" t="n">
        <v>31131</v>
      </c>
      <c r="D97" s="20" t="n">
        <v>31116</v>
      </c>
      <c r="E97" s="20" t="n">
        <v>31113</v>
      </c>
      <c r="F97" s="20" t="n">
        <v>31103</v>
      </c>
      <c r="G97" s="20" t="n">
        <v>31080</v>
      </c>
      <c r="H97" s="20" t="n">
        <v>28811</v>
      </c>
      <c r="I97" s="20" t="n">
        <v>30658</v>
      </c>
      <c r="J97" s="20" t="n">
        <v>31320</v>
      </c>
      <c r="K97" s="20" t="n">
        <v>31164</v>
      </c>
      <c r="L97" s="20" t="n">
        <v>31113</v>
      </c>
    </row>
    <row r="98">
      <c r="A98" s="18" t="inlineStr">
        <is>
          <t>투자유가증권</t>
        </is>
      </c>
      <c r="C98" s="20" t="n">
        <v>44418</v>
      </c>
      <c r="D98" s="20" t="n">
        <v>48056</v>
      </c>
      <c r="E98" s="20" t="n">
        <v>45641</v>
      </c>
      <c r="F98" s="20" t="n">
        <v>44923</v>
      </c>
      <c r="G98" s="20" t="n">
        <v>43602</v>
      </c>
      <c r="H98" s="20" t="n">
        <v>39066</v>
      </c>
      <c r="I98" s="20" t="n">
        <v>34632</v>
      </c>
      <c r="J98" s="20" t="n">
        <v>38072</v>
      </c>
      <c r="K98" s="20" t="n">
        <v>37027</v>
      </c>
      <c r="L98" s="20" t="n">
        <v>45641</v>
      </c>
    </row>
    <row r="99">
      <c r="A99" s="18" t="inlineStr">
        <is>
          <t>종업원 장기대여금</t>
        </is>
      </c>
      <c r="H99" s="20" t="n">
        <v>0</v>
      </c>
    </row>
    <row r="100">
      <c r="A100" s="18" t="inlineStr">
        <is>
          <t>이연법인세자산</t>
        </is>
      </c>
      <c r="E100" s="20" t="n">
        <v>228</v>
      </c>
      <c r="H100" s="20" t="n">
        <v>156</v>
      </c>
      <c r="I100" s="20" t="n">
        <v>226</v>
      </c>
      <c r="J100" s="20" t="n">
        <v>250</v>
      </c>
      <c r="K100" s="20" t="n">
        <v>243</v>
      </c>
      <c r="L100" s="20" t="n">
        <v>228</v>
      </c>
    </row>
    <row r="101">
      <c r="A101" s="18" t="inlineStr">
        <is>
          <t>기타</t>
        </is>
      </c>
      <c r="C101" s="20" t="n">
        <v>8816</v>
      </c>
      <c r="D101" s="20" t="n">
        <v>8977</v>
      </c>
      <c r="E101" s="20" t="n">
        <v>9384</v>
      </c>
      <c r="F101" s="20" t="n">
        <v>9974</v>
      </c>
      <c r="G101" s="20" t="n">
        <v>10047</v>
      </c>
      <c r="H101" s="20" t="n">
        <v>5079</v>
      </c>
      <c r="I101" s="20" t="n">
        <v>6345</v>
      </c>
      <c r="J101" s="20" t="n">
        <v>7175</v>
      </c>
      <c r="K101" s="20" t="n">
        <v>8391</v>
      </c>
      <c r="L101" s="20" t="n">
        <v>9384</v>
      </c>
    </row>
    <row r="102">
      <c r="A102" s="18" t="inlineStr">
        <is>
          <t>대손충당금</t>
        </is>
      </c>
      <c r="H102" s="20" t="n">
        <v>0</v>
      </c>
    </row>
    <row r="103">
      <c r="A103" s="18" t="inlineStr">
        <is>
          <t>투자 및 기타자산 합계</t>
        </is>
      </c>
      <c r="C103" s="20" t="n">
        <v>53235</v>
      </c>
      <c r="D103" s="20" t="n">
        <v>57034</v>
      </c>
      <c r="E103" s="20" t="n">
        <v>55026</v>
      </c>
      <c r="F103" s="20" t="n">
        <v>54898</v>
      </c>
      <c r="G103" s="20" t="n">
        <v>53649</v>
      </c>
      <c r="H103" s="20" t="n">
        <v>44301</v>
      </c>
      <c r="I103" s="20" t="n">
        <v>41204</v>
      </c>
      <c r="J103" s="20" t="n">
        <v>45498</v>
      </c>
      <c r="K103" s="20" t="n">
        <v>45662</v>
      </c>
      <c r="L103" s="20" t="n">
        <v>55026</v>
      </c>
    </row>
    <row r="104">
      <c r="A104" s="9" t="inlineStr">
        <is>
          <t>비유동자산 합계</t>
        </is>
      </c>
      <c r="C104" s="12" t="n">
        <v>376097</v>
      </c>
      <c r="D104" s="12" t="n">
        <v>369990</v>
      </c>
      <c r="E104" s="12" t="n">
        <v>358184</v>
      </c>
      <c r="F104" s="12" t="n">
        <v>359863</v>
      </c>
      <c r="G104" s="12" t="n">
        <v>357726</v>
      </c>
      <c r="H104" s="12" t="n">
        <v>322492</v>
      </c>
      <c r="I104" s="12" t="n">
        <v>351388</v>
      </c>
      <c r="J104" s="12" t="n">
        <v>352341</v>
      </c>
      <c r="K104" s="12" t="n">
        <v>359177</v>
      </c>
      <c r="L104" s="12" t="n">
        <v>358184</v>
      </c>
    </row>
    <row r="105">
      <c r="A105" s="18" t="inlineStr">
        <is>
          <t>사채발행비</t>
        </is>
      </c>
      <c r="E105" s="20" t="n">
        <v>280</v>
      </c>
      <c r="H105" s="20" t="n">
        <v>169</v>
      </c>
      <c r="I105" s="20" t="n">
        <v>314</v>
      </c>
      <c r="J105" s="20" t="n">
        <v>381</v>
      </c>
      <c r="K105" s="20" t="n">
        <v>326</v>
      </c>
      <c r="L105" s="20" t="n">
        <v>280</v>
      </c>
    </row>
    <row r="106">
      <c r="A106" s="18" t="inlineStr">
        <is>
          <t>이연자산</t>
        </is>
      </c>
      <c r="C106" s="20" t="n">
        <v>301</v>
      </c>
      <c r="D106" s="20" t="n">
        <v>292</v>
      </c>
      <c r="E106" s="20" t="n">
        <v>280</v>
      </c>
      <c r="F106" s="20" t="n">
        <v>269</v>
      </c>
      <c r="G106" s="20" t="n">
        <v>249</v>
      </c>
      <c r="H106" s="20" t="n">
        <v>169</v>
      </c>
      <c r="I106" s="20" t="n">
        <v>314</v>
      </c>
      <c r="J106" s="20" t="n">
        <v>381</v>
      </c>
      <c r="K106" s="20" t="n">
        <v>326</v>
      </c>
      <c r="L106" s="20" t="n">
        <v>280</v>
      </c>
    </row>
    <row r="107">
      <c r="A107" s="9" t="inlineStr">
        <is>
          <t>자산 합계</t>
        </is>
      </c>
      <c r="C107" s="12" t="n">
        <v>432377</v>
      </c>
      <c r="D107" s="12" t="n">
        <v>441409</v>
      </c>
      <c r="E107" s="12" t="n">
        <v>451838</v>
      </c>
      <c r="F107" s="12" t="n">
        <v>446135</v>
      </c>
      <c r="G107" s="12" t="n">
        <v>448610</v>
      </c>
      <c r="H107" s="12" t="n">
        <v>376210</v>
      </c>
      <c r="I107" s="12" t="n">
        <v>398333</v>
      </c>
      <c r="J107" s="12" t="n">
        <v>405979</v>
      </c>
      <c r="K107" s="12" t="n">
        <v>419541</v>
      </c>
      <c r="L107" s="12" t="n">
        <v>451838</v>
      </c>
    </row>
    <row r="108">
      <c r="A108" s="18" t="inlineStr">
        <is>
          <t>영업미지급금</t>
        </is>
      </c>
      <c r="C108" s="20" t="n">
        <v>2805</v>
      </c>
      <c r="D108" s="20" t="n">
        <v>1975</v>
      </c>
      <c r="E108" s="20" t="n">
        <v>1871</v>
      </c>
      <c r="F108" s="20" t="n">
        <v>998</v>
      </c>
      <c r="G108" s="20" t="n">
        <v>909</v>
      </c>
      <c r="H108" s="20" t="n">
        <v>3367</v>
      </c>
      <c r="I108" s="20" t="n">
        <v>5727</v>
      </c>
      <c r="J108" s="20" t="n">
        <v>1923</v>
      </c>
      <c r="K108" s="20" t="n">
        <v>1698</v>
      </c>
      <c r="L108" s="20" t="n">
        <v>1871</v>
      </c>
    </row>
    <row r="109">
      <c r="A109" s="18" t="inlineStr">
        <is>
          <t>1년 내 상환 사채</t>
        </is>
      </c>
      <c r="C109" s="20" t="n">
        <v>1292</v>
      </c>
      <c r="D109" s="20" t="n">
        <v>1292</v>
      </c>
      <c r="E109" s="20" t="n">
        <v>714</v>
      </c>
      <c r="F109" s="20" t="n">
        <v>714</v>
      </c>
      <c r="G109" s="20" t="n">
        <v>664</v>
      </c>
      <c r="H109" s="20" t="n">
        <v>4327</v>
      </c>
      <c r="I109" s="20" t="n">
        <v>3648</v>
      </c>
      <c r="J109" s="20" t="n">
        <v>3624</v>
      </c>
      <c r="K109" s="20" t="n">
        <v>4259</v>
      </c>
      <c r="L109" s="20" t="n">
        <v>714</v>
      </c>
    </row>
    <row r="110">
      <c r="A110" s="18" t="inlineStr">
        <is>
          <t>단기차입금</t>
        </is>
      </c>
      <c r="C110" s="20" t="n">
        <v>900</v>
      </c>
      <c r="D110" s="20" t="n">
        <v>900</v>
      </c>
      <c r="E110" s="20" t="n">
        <v>800</v>
      </c>
      <c r="F110" s="20" t="n">
        <v>900</v>
      </c>
      <c r="G110" s="20" t="n">
        <v>3000</v>
      </c>
      <c r="H110" s="20" t="n">
        <v>3800</v>
      </c>
      <c r="I110" s="20" t="n">
        <v>3800</v>
      </c>
      <c r="J110" s="20" t="n">
        <v>800</v>
      </c>
      <c r="K110" s="20" t="n">
        <v>800</v>
      </c>
      <c r="L110" s="20" t="n">
        <v>800</v>
      </c>
    </row>
    <row r="111">
      <c r="A111" s="18" t="inlineStr">
        <is>
          <t>비소구 단기차입금</t>
        </is>
      </c>
      <c r="E111" s="20" t="n">
        <v>0</v>
      </c>
      <c r="G111" s="20" t="n">
        <v>44</v>
      </c>
      <c r="L111" s="20" t="n">
        <v>0</v>
      </c>
    </row>
    <row r="112">
      <c r="A112" s="18" t="inlineStr">
        <is>
          <t>1년 내 상환 장기차입금</t>
        </is>
      </c>
      <c r="C112" s="20" t="n">
        <v>25612</v>
      </c>
      <c r="D112" s="20" t="n">
        <v>28649</v>
      </c>
      <c r="E112" s="20" t="n">
        <v>30269</v>
      </c>
      <c r="F112" s="20" t="n">
        <v>32717</v>
      </c>
      <c r="G112" s="20" t="n">
        <v>29355</v>
      </c>
      <c r="H112" s="20" t="n">
        <v>13077</v>
      </c>
      <c r="I112" s="20" t="n">
        <v>15727</v>
      </c>
      <c r="J112" s="20" t="n">
        <v>16681</v>
      </c>
      <c r="K112" s="20" t="n">
        <v>18695</v>
      </c>
      <c r="L112" s="20" t="n">
        <v>30269</v>
      </c>
    </row>
    <row r="113">
      <c r="A113" s="18" t="inlineStr">
        <is>
          <t>미지급법인세</t>
        </is>
      </c>
      <c r="C113" s="20" t="n">
        <v>2322</v>
      </c>
      <c r="D113" s="20" t="n">
        <v>921</v>
      </c>
      <c r="E113" s="20" t="n">
        <v>2644</v>
      </c>
      <c r="F113" s="20" t="n">
        <v>1356</v>
      </c>
      <c r="G113" s="20" t="n">
        <v>2580</v>
      </c>
      <c r="H113" s="20" t="n">
        <v>3300</v>
      </c>
      <c r="I113" s="20" t="n">
        <v>2618</v>
      </c>
      <c r="J113" s="20" t="n">
        <v>1674</v>
      </c>
      <c r="K113" s="20" t="n">
        <v>2560</v>
      </c>
      <c r="L113" s="20" t="n">
        <v>2644</v>
      </c>
    </row>
    <row r="114">
      <c r="A114" s="18" t="inlineStr">
        <is>
          <t>미지급 소비세</t>
        </is>
      </c>
      <c r="E114" s="20" t="n">
        <v>104</v>
      </c>
      <c r="H114" s="20" t="n">
        <v>96</v>
      </c>
      <c r="I114" s="20" t="n">
        <v>642</v>
      </c>
      <c r="J114" s="20" t="n">
        <v>1738</v>
      </c>
      <c r="K114" s="20" t="n">
        <v>123</v>
      </c>
      <c r="L114" s="20" t="n">
        <v>104</v>
      </c>
    </row>
    <row r="115">
      <c r="A115" s="18" t="inlineStr">
        <is>
          <t>임원 상여충당금</t>
        </is>
      </c>
      <c r="E115" s="20" t="n">
        <v>148</v>
      </c>
      <c r="H115" s="20" t="n">
        <v>118</v>
      </c>
      <c r="I115" s="20" t="n">
        <v>134</v>
      </c>
      <c r="J115" s="20" t="n">
        <v>109</v>
      </c>
      <c r="K115" s="20" t="n">
        <v>126</v>
      </c>
      <c r="L115" s="20" t="n">
        <v>148</v>
      </c>
    </row>
    <row r="116">
      <c r="A116" s="18" t="inlineStr">
        <is>
          <t>상여충당금</t>
        </is>
      </c>
      <c r="E116" s="20" t="n">
        <v>353</v>
      </c>
      <c r="H116" s="20" t="n">
        <v>250</v>
      </c>
      <c r="I116" s="20" t="n">
        <v>256</v>
      </c>
      <c r="J116" s="20" t="n">
        <v>272</v>
      </c>
      <c r="K116" s="20" t="n">
        <v>301</v>
      </c>
      <c r="L116" s="20" t="n">
        <v>353</v>
      </c>
    </row>
    <row r="117">
      <c r="A117" s="18" t="inlineStr">
        <is>
          <t>자산복구부채</t>
        </is>
      </c>
      <c r="E117" s="20" t="n">
        <v>11</v>
      </c>
      <c r="H117" s="20" t="n">
        <v>0</v>
      </c>
      <c r="K117" s="20" t="n">
        <v>0</v>
      </c>
      <c r="L117" s="20" t="n">
        <v>11</v>
      </c>
    </row>
    <row r="118">
      <c r="A118" s="18" t="inlineStr">
        <is>
          <t>충당금</t>
        </is>
      </c>
      <c r="C118" s="20" t="n">
        <v>308</v>
      </c>
      <c r="D118" s="20" t="n">
        <v>243</v>
      </c>
      <c r="E118" s="20" t="n">
        <v>502</v>
      </c>
      <c r="F118" s="20" t="n">
        <v>134</v>
      </c>
      <c r="G118" s="20" t="n">
        <v>351</v>
      </c>
      <c r="H118" s="20" t="n">
        <v>369</v>
      </c>
      <c r="I118" s="20" t="n">
        <v>391</v>
      </c>
      <c r="J118" s="20" t="n">
        <v>381</v>
      </c>
      <c r="K118" s="20" t="n">
        <v>427</v>
      </c>
      <c r="L118" s="20" t="n">
        <v>502</v>
      </c>
    </row>
    <row r="119">
      <c r="A119" s="18" t="inlineStr">
        <is>
          <t>기타</t>
        </is>
      </c>
      <c r="C119" s="20" t="n">
        <v>3877</v>
      </c>
      <c r="D119" s="20" t="n">
        <v>5465</v>
      </c>
      <c r="E119" s="20" t="n">
        <v>5170</v>
      </c>
      <c r="F119" s="20" t="n">
        <v>6631</v>
      </c>
      <c r="G119" s="20" t="n">
        <v>6181</v>
      </c>
      <c r="H119" s="20" t="n">
        <v>2372</v>
      </c>
      <c r="I119" s="20" t="n">
        <v>1988</v>
      </c>
      <c r="J119" s="20" t="n">
        <v>2228</v>
      </c>
      <c r="K119" s="20" t="n">
        <v>3841</v>
      </c>
      <c r="L119" s="20" t="n">
        <v>5170</v>
      </c>
    </row>
    <row r="120">
      <c r="A120" s="9" t="inlineStr">
        <is>
          <t>유동부채 합계</t>
        </is>
      </c>
      <c r="C120" s="12" t="n">
        <v>37118</v>
      </c>
      <c r="D120" s="12" t="n">
        <v>39447</v>
      </c>
      <c r="E120" s="12" t="n">
        <v>41972</v>
      </c>
      <c r="F120" s="12" t="n">
        <v>43453</v>
      </c>
      <c r="G120" s="12" t="n">
        <v>43087</v>
      </c>
      <c r="H120" s="12" t="n">
        <v>30710</v>
      </c>
      <c r="I120" s="12" t="n">
        <v>34543</v>
      </c>
      <c r="J120" s="12" t="n">
        <v>29052</v>
      </c>
      <c r="K120" s="12" t="n">
        <v>32407</v>
      </c>
      <c r="L120" s="12" t="n">
        <v>41972</v>
      </c>
    </row>
    <row r="121">
      <c r="A121" s="18" t="inlineStr">
        <is>
          <t>사채</t>
        </is>
      </c>
      <c r="C121" s="20" t="n">
        <v>23248</v>
      </c>
      <c r="D121" s="20" t="n">
        <v>23094</v>
      </c>
      <c r="E121" s="20" t="n">
        <v>22890</v>
      </c>
      <c r="F121" s="20" t="n">
        <v>22737</v>
      </c>
      <c r="G121" s="20" t="n">
        <v>21923</v>
      </c>
      <c r="H121" s="20" t="n">
        <v>23889</v>
      </c>
      <c r="I121" s="20" t="n">
        <v>27989</v>
      </c>
      <c r="J121" s="20" t="n">
        <v>27864</v>
      </c>
      <c r="K121" s="20" t="n">
        <v>23605</v>
      </c>
      <c r="L121" s="20" t="n">
        <v>22890</v>
      </c>
    </row>
    <row r="122">
      <c r="A122" s="18" t="inlineStr">
        <is>
          <t>장기차입금</t>
        </is>
      </c>
      <c r="C122" s="20" t="n">
        <v>199100</v>
      </c>
      <c r="D122" s="20" t="n">
        <v>200131</v>
      </c>
      <c r="E122" s="20" t="n">
        <v>206665</v>
      </c>
      <c r="F122" s="20" t="n">
        <v>202260</v>
      </c>
      <c r="G122" s="20" t="n">
        <v>201594</v>
      </c>
      <c r="H122" s="20" t="n">
        <v>157143</v>
      </c>
      <c r="I122" s="20" t="n">
        <v>170880</v>
      </c>
      <c r="J122" s="20" t="n">
        <v>173703</v>
      </c>
      <c r="K122" s="20" t="n">
        <v>198320</v>
      </c>
      <c r="L122" s="20" t="n">
        <v>206665</v>
      </c>
    </row>
    <row r="123">
      <c r="A123" s="18" t="inlineStr">
        <is>
          <t>비소구 장기차입금</t>
        </is>
      </c>
      <c r="D123" s="20" t="n">
        <v>3210</v>
      </c>
      <c r="E123" s="20" t="n">
        <v>3210</v>
      </c>
      <c r="F123" s="20" t="n">
        <v>3210</v>
      </c>
      <c r="G123" s="20" t="n">
        <v>6310</v>
      </c>
      <c r="K123" s="20" t="n">
        <v>0</v>
      </c>
      <c r="L123" s="20" t="n">
        <v>3210</v>
      </c>
    </row>
    <row r="124">
      <c r="A124" s="18" t="inlineStr">
        <is>
          <t>장기미지급금</t>
        </is>
      </c>
      <c r="C124" s="20" t="n">
        <v>8004</v>
      </c>
      <c r="D124" s="20" t="n">
        <v>8004</v>
      </c>
      <c r="E124" s="20" t="n">
        <v>7760</v>
      </c>
      <c r="F124" s="20" t="n">
        <v>7760</v>
      </c>
      <c r="G124" s="20" t="n">
        <v>7516</v>
      </c>
      <c r="H124" s="20" t="n">
        <v>4000</v>
      </c>
      <c r="I124" s="20" t="n">
        <v>4850</v>
      </c>
      <c r="J124" s="20" t="n">
        <v>8391</v>
      </c>
      <c r="K124" s="20" t="n">
        <v>8133</v>
      </c>
      <c r="L124" s="20" t="n">
        <v>7760</v>
      </c>
    </row>
    <row r="125">
      <c r="A125" s="18" t="inlineStr">
        <is>
          <t>수입 임대보증금</t>
        </is>
      </c>
      <c r="E125" s="20" t="n">
        <v>23952</v>
      </c>
      <c r="H125" s="20" t="n">
        <v>22514</v>
      </c>
      <c r="I125" s="20" t="n">
        <v>23524</v>
      </c>
      <c r="J125" s="20" t="n">
        <v>23636</v>
      </c>
      <c r="K125" s="20" t="n">
        <v>23206</v>
      </c>
      <c r="L125" s="20" t="n">
        <v>23952</v>
      </c>
    </row>
    <row r="126">
      <c r="A126" s="18" t="inlineStr">
        <is>
          <t>이연법인세부채</t>
        </is>
      </c>
      <c r="E126" s="20" t="n">
        <v>9952</v>
      </c>
      <c r="H126" s="20" t="n">
        <v>10170</v>
      </c>
      <c r="I126" s="20" t="n">
        <v>8849</v>
      </c>
      <c r="J126" s="20" t="n">
        <v>9466</v>
      </c>
      <c r="K126" s="20" t="n">
        <v>7368</v>
      </c>
      <c r="L126" s="20" t="n">
        <v>9952</v>
      </c>
    </row>
    <row r="127">
      <c r="A127" s="18" t="inlineStr">
        <is>
          <t>재평가 관련 이연법인세부채</t>
        </is>
      </c>
      <c r="E127" s="20" t="n">
        <v>7368</v>
      </c>
      <c r="H127" s="20" t="n">
        <v>7613</v>
      </c>
      <c r="I127" s="20" t="n">
        <v>7314</v>
      </c>
      <c r="J127" s="20" t="n">
        <v>7186</v>
      </c>
      <c r="K127" s="20" t="n">
        <v>7333</v>
      </c>
      <c r="L127" s="20" t="n">
        <v>7368</v>
      </c>
    </row>
    <row r="128">
      <c r="A128" s="18" t="inlineStr">
        <is>
          <t>주식급여 충당금</t>
        </is>
      </c>
      <c r="E128" s="20" t="n">
        <v>441</v>
      </c>
      <c r="H128" s="20" t="n">
        <v>101</v>
      </c>
      <c r="I128" s="20" t="n">
        <v>147</v>
      </c>
      <c r="J128" s="20" t="n">
        <v>213</v>
      </c>
      <c r="K128" s="20" t="n">
        <v>310</v>
      </c>
      <c r="L128" s="20" t="n">
        <v>441</v>
      </c>
    </row>
    <row r="129">
      <c r="A129" s="18" t="inlineStr">
        <is>
          <t>충당금</t>
        </is>
      </c>
      <c r="C129" s="20" t="n">
        <v>314</v>
      </c>
      <c r="D129" s="20" t="n">
        <v>369</v>
      </c>
      <c r="E129" s="20" t="n">
        <v>441</v>
      </c>
      <c r="F129" s="20" t="n">
        <v>470</v>
      </c>
      <c r="G129" s="20" t="n">
        <v>505</v>
      </c>
      <c r="H129" s="20" t="n">
        <v>101</v>
      </c>
      <c r="I129" s="20" t="n">
        <v>147</v>
      </c>
      <c r="J129" s="20" t="n">
        <v>213</v>
      </c>
      <c r="K129" s="20" t="n">
        <v>310</v>
      </c>
      <c r="L129" s="20" t="n">
        <v>441</v>
      </c>
    </row>
    <row r="130">
      <c r="A130" s="18" t="inlineStr">
        <is>
          <t>퇴직급여부채</t>
        </is>
      </c>
      <c r="C130" s="20" t="n">
        <v>186</v>
      </c>
      <c r="D130" s="20" t="n">
        <v>179</v>
      </c>
      <c r="E130" s="20" t="n">
        <v>190</v>
      </c>
      <c r="F130" s="20" t="n">
        <v>191</v>
      </c>
      <c r="G130" s="20" t="n">
        <v>215</v>
      </c>
      <c r="H130" s="20" t="n">
        <v>119</v>
      </c>
      <c r="I130" s="20" t="n">
        <v>234</v>
      </c>
      <c r="J130" s="20" t="n">
        <v>126</v>
      </c>
      <c r="K130" s="20" t="n">
        <v>180</v>
      </c>
      <c r="L130" s="20" t="n">
        <v>190</v>
      </c>
    </row>
    <row r="131">
      <c r="A131" s="18" t="inlineStr">
        <is>
          <t>자산복구부채</t>
        </is>
      </c>
      <c r="C131" s="20" t="n">
        <v>679</v>
      </c>
      <c r="D131" s="20" t="n">
        <v>680</v>
      </c>
      <c r="E131" s="20" t="n">
        <v>671</v>
      </c>
      <c r="F131" s="20" t="n">
        <v>673</v>
      </c>
      <c r="G131" s="20" t="n">
        <v>675</v>
      </c>
      <c r="H131" s="20" t="n">
        <v>669</v>
      </c>
      <c r="I131" s="20" t="n">
        <v>676</v>
      </c>
      <c r="J131" s="20" t="n">
        <v>683</v>
      </c>
      <c r="K131" s="20" t="n">
        <v>675</v>
      </c>
      <c r="L131" s="20" t="n">
        <v>671</v>
      </c>
    </row>
    <row r="132">
      <c r="A132" s="18" t="inlineStr">
        <is>
          <t>기타</t>
        </is>
      </c>
      <c r="C132" s="20" t="n">
        <v>40412</v>
      </c>
      <c r="D132" s="20" t="n">
        <v>41745</v>
      </c>
      <c r="E132" s="20" t="n">
        <v>41273</v>
      </c>
      <c r="F132" s="20" t="n">
        <v>41679</v>
      </c>
      <c r="G132" s="20" t="n">
        <v>41242</v>
      </c>
      <c r="H132" s="20" t="n">
        <v>40298</v>
      </c>
      <c r="I132" s="20" t="n">
        <v>0</v>
      </c>
      <c r="J132" s="20" t="n">
        <v>9</v>
      </c>
      <c r="K132" s="20" t="n">
        <v>37908</v>
      </c>
      <c r="L132" s="20" t="n">
        <v>41273</v>
      </c>
    </row>
    <row r="133">
      <c r="A133" s="9" t="inlineStr">
        <is>
          <t>비유동부채 합계</t>
        </is>
      </c>
      <c r="C133" s="12" t="n">
        <v>271945</v>
      </c>
      <c r="D133" s="12" t="n">
        <v>277417</v>
      </c>
      <c r="E133" s="12" t="n">
        <v>283103</v>
      </c>
      <c r="F133" s="12" t="n">
        <v>278983</v>
      </c>
      <c r="G133" s="12" t="n">
        <v>279983</v>
      </c>
      <c r="H133" s="12" t="n">
        <v>226221</v>
      </c>
      <c r="I133" s="12" t="n">
        <v>244466</v>
      </c>
      <c r="J133" s="12" t="n">
        <v>251282</v>
      </c>
      <c r="K133" s="12" t="n">
        <v>269134</v>
      </c>
      <c r="L133" s="12" t="n">
        <v>283103</v>
      </c>
    </row>
    <row r="134">
      <c r="A134" s="9" t="inlineStr">
        <is>
          <t>부채 합계</t>
        </is>
      </c>
      <c r="C134" s="12" t="n">
        <v>309064</v>
      </c>
      <c r="D134" s="12" t="n">
        <v>316864</v>
      </c>
      <c r="E134" s="12" t="n">
        <v>325075</v>
      </c>
      <c r="F134" s="12" t="n">
        <v>322436</v>
      </c>
      <c r="G134" s="12" t="n">
        <v>323070</v>
      </c>
      <c r="H134" s="12" t="n">
        <v>256931</v>
      </c>
      <c r="I134" s="12" t="n">
        <v>279009</v>
      </c>
      <c r="J134" s="12" t="n">
        <v>280334</v>
      </c>
      <c r="K134" s="12" t="n">
        <v>301541</v>
      </c>
      <c r="L134" s="12" t="n">
        <v>325075</v>
      </c>
    </row>
    <row r="135">
      <c r="A135" s="18" t="inlineStr">
        <is>
          <t>자본금</t>
        </is>
      </c>
      <c r="C135" s="20" t="n">
        <v>21492</v>
      </c>
      <c r="D135" s="20" t="n">
        <v>21492</v>
      </c>
      <c r="E135" s="20" t="n">
        <v>21492</v>
      </c>
      <c r="F135" s="20" t="n">
        <v>21492</v>
      </c>
      <c r="G135" s="20" t="n">
        <v>21492</v>
      </c>
      <c r="H135" s="20" t="n">
        <v>21492</v>
      </c>
      <c r="I135" s="20" t="n">
        <v>21492</v>
      </c>
      <c r="J135" s="20" t="n">
        <v>21492</v>
      </c>
      <c r="K135" s="20" t="n">
        <v>21492</v>
      </c>
      <c r="L135" s="20" t="n">
        <v>21492</v>
      </c>
    </row>
    <row r="136">
      <c r="A136" s="18" t="inlineStr">
        <is>
          <t>자본잉여금</t>
        </is>
      </c>
      <c r="C136" s="20" t="n">
        <v>19720</v>
      </c>
      <c r="D136" s="20" t="n">
        <v>19720</v>
      </c>
      <c r="E136" s="20" t="n">
        <v>19720</v>
      </c>
      <c r="F136" s="20" t="n">
        <v>19720</v>
      </c>
      <c r="G136" s="20" t="n">
        <v>19720</v>
      </c>
      <c r="H136" s="20" t="n">
        <v>19720</v>
      </c>
      <c r="I136" s="20" t="n">
        <v>19720</v>
      </c>
      <c r="J136" s="20" t="n">
        <v>19720</v>
      </c>
      <c r="K136" s="20" t="n">
        <v>19720</v>
      </c>
      <c r="L136" s="20" t="n">
        <v>19720</v>
      </c>
    </row>
    <row r="137">
      <c r="A137" s="18" t="inlineStr">
        <is>
          <t>이익잉여금</t>
        </is>
      </c>
      <c r="C137" s="20" t="n">
        <v>65270</v>
      </c>
      <c r="D137" s="20" t="n">
        <v>64672</v>
      </c>
      <c r="E137" s="20" t="n">
        <v>57720</v>
      </c>
      <c r="F137" s="20" t="n">
        <v>55203</v>
      </c>
      <c r="G137" s="20" t="n">
        <v>58147</v>
      </c>
      <c r="H137" s="20" t="n">
        <v>50258</v>
      </c>
      <c r="I137" s="20" t="n">
        <v>56298</v>
      </c>
      <c r="J137" s="20" t="n">
        <v>61012</v>
      </c>
      <c r="K137" s="20" t="n">
        <v>64580</v>
      </c>
      <c r="L137" s="20" t="n">
        <v>57720</v>
      </c>
    </row>
    <row r="138">
      <c r="A138" s="18" t="inlineStr">
        <is>
          <t>자기주식</t>
        </is>
      </c>
      <c r="C138" s="20" t="n">
        <v>-19004</v>
      </c>
      <c r="D138" s="20" t="n">
        <v>-19756</v>
      </c>
      <c r="E138" s="20" t="n">
        <v>-9016</v>
      </c>
      <c r="F138" s="20" t="n">
        <v>-9014</v>
      </c>
      <c r="G138" s="20" t="n">
        <v>-9012</v>
      </c>
      <c r="H138" s="20" t="n">
        <v>-7306</v>
      </c>
      <c r="I138" s="20" t="n">
        <v>-9997</v>
      </c>
      <c r="J138" s="20" t="n">
        <v>-9989</v>
      </c>
      <c r="K138" s="20" t="n">
        <v>-19043</v>
      </c>
      <c r="L138" s="20" t="n">
        <v>-9016</v>
      </c>
    </row>
    <row r="139">
      <c r="A139" s="9" t="inlineStr">
        <is>
          <t>주주자본 합계</t>
        </is>
      </c>
      <c r="C139" s="12" t="n">
        <v>87478</v>
      </c>
      <c r="D139" s="12" t="n">
        <v>86130</v>
      </c>
      <c r="E139" s="12" t="n">
        <v>89916</v>
      </c>
      <c r="F139" s="12" t="n">
        <v>87402</v>
      </c>
      <c r="G139" s="12" t="n">
        <v>90348</v>
      </c>
      <c r="H139" s="12" t="n">
        <v>84165</v>
      </c>
      <c r="I139" s="12" t="n">
        <v>87513</v>
      </c>
      <c r="J139" s="12" t="n">
        <v>92235</v>
      </c>
      <c r="K139" s="12" t="n">
        <v>86749</v>
      </c>
      <c r="L139" s="12" t="n">
        <v>89916</v>
      </c>
    </row>
    <row r="140">
      <c r="A140" s="18" t="inlineStr">
        <is>
          <t>기타유가증권 평가차액</t>
        </is>
      </c>
      <c r="C140" s="20" t="n">
        <v>19766</v>
      </c>
      <c r="D140" s="20" t="n">
        <v>22248</v>
      </c>
      <c r="E140" s="20" t="n">
        <v>20526</v>
      </c>
      <c r="F140" s="20" t="n">
        <v>19953</v>
      </c>
      <c r="G140" s="20" t="n">
        <v>18748</v>
      </c>
      <c r="H140" s="20" t="n">
        <v>18068</v>
      </c>
      <c r="I140" s="20" t="n">
        <v>15443</v>
      </c>
      <c r="J140" s="20" t="n">
        <v>17339</v>
      </c>
      <c r="K140" s="20" t="n">
        <v>15265</v>
      </c>
      <c r="L140" s="20" t="n">
        <v>20526</v>
      </c>
    </row>
    <row r="141">
      <c r="A141" s="18" t="inlineStr">
        <is>
          <t>이연헤지손익</t>
        </is>
      </c>
      <c r="C141" s="20" t="n">
        <v>139</v>
      </c>
      <c r="D141" s="20" t="n">
        <v>238</v>
      </c>
      <c r="E141" s="20" t="n">
        <v>311</v>
      </c>
      <c r="F141" s="20" t="n">
        <v>335</v>
      </c>
      <c r="G141" s="20" t="n">
        <v>401</v>
      </c>
      <c r="I141" s="20" t="n">
        <v>0</v>
      </c>
      <c r="J141" s="20" t="n">
        <v>-6</v>
      </c>
      <c r="K141" s="20" t="n">
        <v>54</v>
      </c>
      <c r="L141" s="20" t="n">
        <v>311</v>
      </c>
    </row>
    <row r="142">
      <c r="A142" s="18" t="inlineStr">
        <is>
          <t>토지재평가차액금</t>
        </is>
      </c>
      <c r="C142" s="20" t="n">
        <v>15928</v>
      </c>
      <c r="D142" s="20" t="n">
        <v>15928</v>
      </c>
      <c r="E142" s="20" t="n">
        <v>16008</v>
      </c>
      <c r="F142" s="20" t="n">
        <v>16008</v>
      </c>
      <c r="G142" s="20" t="n">
        <v>16041</v>
      </c>
      <c r="H142" s="20" t="n">
        <v>17045</v>
      </c>
      <c r="I142" s="20" t="n">
        <v>16366</v>
      </c>
      <c r="J142" s="20" t="n">
        <v>16076</v>
      </c>
      <c r="K142" s="20" t="n">
        <v>15928</v>
      </c>
      <c r="L142" s="20" t="n">
        <v>16008</v>
      </c>
    </row>
    <row r="143">
      <c r="A143" s="18" t="inlineStr">
        <is>
          <t>기타포괄손익누계액 합계</t>
        </is>
      </c>
      <c r="C143" s="20" t="n">
        <v>35834</v>
      </c>
      <c r="D143" s="20" t="n">
        <v>38414</v>
      </c>
      <c r="E143" s="20" t="n">
        <v>36846</v>
      </c>
      <c r="F143" s="20" t="n">
        <v>36296</v>
      </c>
      <c r="G143" s="20" t="n">
        <v>35191</v>
      </c>
      <c r="H143" s="20" t="n">
        <v>35113</v>
      </c>
      <c r="I143" s="20" t="n">
        <v>31810</v>
      </c>
      <c r="J143" s="20" t="n">
        <v>33409</v>
      </c>
      <c r="K143" s="20" t="n">
        <v>31249</v>
      </c>
      <c r="L143" s="20" t="n">
        <v>36846</v>
      </c>
    </row>
    <row r="144">
      <c r="A144" s="9" t="inlineStr">
        <is>
          <t>순자산 합계</t>
        </is>
      </c>
      <c r="C144" s="12" t="n">
        <v>123313</v>
      </c>
      <c r="D144" s="12" t="n">
        <v>124545</v>
      </c>
      <c r="E144" s="12" t="n">
        <v>126763</v>
      </c>
      <c r="F144" s="12" t="n">
        <v>123698</v>
      </c>
      <c r="G144" s="12" t="n">
        <v>125540</v>
      </c>
      <c r="H144" s="12" t="n">
        <v>119278</v>
      </c>
      <c r="I144" s="12" t="n">
        <v>119324</v>
      </c>
      <c r="J144" s="12" t="n">
        <v>125645</v>
      </c>
      <c r="K144" s="12" t="n">
        <v>117999</v>
      </c>
      <c r="L144" s="12" t="n">
        <v>126763</v>
      </c>
    </row>
    <row r="145">
      <c r="A145" s="9" t="inlineStr">
        <is>
          <t>부채·순자산 합계</t>
        </is>
      </c>
      <c r="C145" s="12" t="n">
        <v>432377</v>
      </c>
      <c r="D145" s="12" t="n">
        <v>441409</v>
      </c>
      <c r="E145" s="12" t="n">
        <v>451838</v>
      </c>
      <c r="F145" s="12" t="n">
        <v>446135</v>
      </c>
      <c r="G145" s="12" t="n">
        <v>448610</v>
      </c>
      <c r="H145" s="12" t="n">
        <v>376210</v>
      </c>
      <c r="I145" s="12" t="n">
        <v>398333</v>
      </c>
      <c r="J145" s="12" t="n">
        <v>405979</v>
      </c>
      <c r="K145" s="12" t="n">
        <v>419541</v>
      </c>
      <c r="L145" s="12" t="n">
        <v>451838</v>
      </c>
    </row>
  </sheetData>
  <conditionalFormatting sqref="C43:L43">
    <cfRule type="expression" priority="1" dxfId="0">
      <formula>AND(ISNUMBER(C43),C43&gt;1.0)</formula>
    </cfRule>
  </conditionalFormatting>
  <conditionalFormatting sqref="C44:L44">
    <cfRule type="expression" priority="2" dxfId="0">
      <formula>AND(ISNUMBER(C44),C44&gt;0.5)</formula>
    </cfRule>
  </conditionalFormatting>
  <conditionalFormatting sqref="C45:L45">
    <cfRule type="expression" priority="3" dxfId="0">
      <formula>AND(ISNUMBER(C45),C45&lt;0.5)</formula>
    </cfRule>
  </conditionalFormatting>
  <conditionalFormatting sqref="C46:L46">
    <cfRule type="expression" priority="4" dxfId="0">
      <formula>AND(ISNUMBER(C46),C46&lt;1.5)</formula>
    </cfRule>
  </conditionalFormatting>
  <conditionalFormatting sqref="C47:L47">
    <cfRule type="expression" priority="5" dxfId="0">
      <formula>AND(ISNUMBER(C47),C47&lt;1.0)</formula>
    </cfRule>
  </conditionalFormatting>
  <conditionalFormatting sqref="C48:L48">
    <cfRule type="expression" priority="6" dxfId="0">
      <formula>AND(ISNUMBER(C48),C48&lt;5)</formula>
    </cfRule>
  </conditionalFormatting>
  <conditionalFormatting sqref="C49:L49">
    <cfRule type="expression" priority="7" dxfId="0">
      <formula>AND(ISNUMBER(C49),C49&gt;4)</formula>
    </cfRule>
  </conditionalFormatting>
  <conditionalFormatting sqref="C51:L51">
    <cfRule type="expression" priority="8" dxfId="0">
      <formula>AND(ISNUMBER(C51),C51&lt;0.15)</formula>
    </cfRule>
  </conditionalFormatting>
  <conditionalFormatting sqref="C52:L52">
    <cfRule type="expression" priority="9" dxfId="0">
      <formula>AND(ISNUMBER(C52),C52&lt;0.05)</formula>
    </cfRule>
  </conditionalFormatting>
  <conditionalFormatting sqref="C53:L53">
    <cfRule type="expression" priority="10" dxfId="0">
      <formula>AND(ISNUMBER(C53),C53&lt;0.1)</formula>
    </cfRule>
  </conditionalFormatting>
  <conditionalFormatting sqref="C54:L54">
    <cfRule type="expression" priority="11" dxfId="0">
      <formula>AND(ISNUMBER(C54),C54&lt;0.4)</formula>
    </cfRule>
  </conditionalFormatting>
  <conditionalFormatting sqref="C55:L55">
    <cfRule type="expression" priority="12" dxfId="0">
      <formula>AND(ISNUMBER(C55),C55&lt;0.15)</formula>
    </cfRule>
  </conditionalFormatting>
  <conditionalFormatting sqref="C56:L56">
    <cfRule type="expression" priority="13" dxfId="0">
      <formula>AND(ISNUMBER(C56),C56&lt;0.1)</formula>
    </cfRule>
  </conditionalFormatting>
  <conditionalFormatting sqref="C64:L64">
    <cfRule type="expression" priority="14" dxfId="0">
      <formula>AND(ISNUMBER(C64),C64&lt;1.0)</formula>
    </cfRule>
  </conditionalFormatting>
  <conditionalFormatting sqref="C65:L65">
    <cfRule type="expression" priority="15" dxfId="0">
      <formula>AND(ISNUMBER(C65),C65&lt;0.05)</formula>
    </cfRule>
  </conditionalFormatting>
  <pageMargins left="0.75" right="0.75" top="1" bottom="1" header="0.5" footer="0.5"/>
  <pageSetup orientation="landscape" paperSize="8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2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1" customWidth="1" min="2" max="2"/>
    <col width="44" customWidth="1" min="3" max="3"/>
  </cols>
  <sheetData>
    <row r="1">
      <c r="A1" s="50" t="inlineStr">
        <is>
          <t>8803 섹터·사업 데이터</t>
        </is>
      </c>
    </row>
    <row r="2">
      <c r="A2" s="51" t="inlineStr">
        <is>
          <t>2단계 보고서를 만들 때 모은 자료 · 월차 · 출처는 맨 오른쪽</t>
        </is>
      </c>
    </row>
    <row r="4">
      <c r="A4" s="52" t="inlineStr">
        <is>
          <t>this quarter · 상반기</t>
        </is>
      </c>
      <c r="B4" s="52" t="n"/>
      <c r="C4" s="52" t="n"/>
    </row>
    <row r="5">
      <c r="A5" s="53" t="inlineStr">
        <is>
          <t>항목</t>
        </is>
      </c>
      <c r="B5" s="53" t="inlineStr">
        <is>
          <t>값</t>
        </is>
      </c>
      <c r="C5" s="53" t="inlineStr">
        <is>
          <t>출처</t>
        </is>
      </c>
    </row>
    <row r="6">
      <c r="A6" s="54" t="inlineStr">
        <is>
          <t>매출</t>
        </is>
      </c>
      <c r="B6" s="55" t="n">
        <v>265.5</v>
      </c>
      <c r="C6" s="56" t="inlineStr">
        <is>
          <t>2단계 보고서 자료(회사 설명회 자료·공시)</t>
        </is>
      </c>
    </row>
    <row r="7">
      <c r="A7" s="54" t="inlineStr">
        <is>
          <t>매출 YoY</t>
        </is>
      </c>
      <c r="B7" s="55" t="n">
        <v>21.7</v>
      </c>
    </row>
    <row r="8">
      <c r="A8" s="54" t="inlineStr">
        <is>
          <t>영업이익</t>
        </is>
      </c>
      <c r="B8" s="55" t="n">
        <v>74</v>
      </c>
    </row>
    <row r="9">
      <c r="A9" s="54" t="inlineStr">
        <is>
          <t>영업이익 YoY</t>
        </is>
      </c>
      <c r="B9" s="55" t="n">
        <v>28.4</v>
      </c>
    </row>
    <row r="10">
      <c r="A10" s="54" t="inlineStr">
        <is>
          <t>ordinary</t>
        </is>
      </c>
      <c r="B10" s="55" t="n">
        <v>61.9</v>
      </c>
    </row>
    <row r="11">
      <c r="A11" s="54" t="inlineStr">
        <is>
          <t>ordinary YoY</t>
        </is>
      </c>
      <c r="B11" s="55" t="n">
        <v>28.2</v>
      </c>
    </row>
    <row r="12">
      <c r="A12" s="54" t="inlineStr">
        <is>
          <t>순이익</t>
        </is>
      </c>
      <c r="B12" s="55" t="n">
        <v>46</v>
      </c>
    </row>
    <row r="13">
      <c r="A13" s="54" t="inlineStr">
        <is>
          <t>순이익 YoY</t>
        </is>
      </c>
      <c r="B13" s="55" t="n">
        <v>5.7</v>
      </c>
    </row>
    <row r="14">
      <c r="A14" s="54" t="inlineStr">
        <is>
          <t>EPS</t>
        </is>
      </c>
      <c r="B14" s="55" t="n">
        <v>69.56</v>
      </c>
    </row>
    <row r="15">
      <c r="A15" s="54" t="inlineStr">
        <is>
          <t>EPS ly</t>
        </is>
      </c>
      <c r="B15" s="55" t="n">
        <v>65.09</v>
      </c>
    </row>
    <row r="16">
      <c r="A16" s="54" t="inlineStr">
        <is>
          <t>special gain</t>
        </is>
      </c>
      <c r="B16" s="55" t="n">
        <v>9.199999999999999</v>
      </c>
    </row>
    <row r="17">
      <c r="A17" s="54" t="inlineStr">
        <is>
          <t>special gain ly</t>
        </is>
      </c>
      <c r="B17" s="55" t="n">
        <v>17.6</v>
      </c>
    </row>
    <row r="18">
      <c r="A18" s="54" t="inlineStr">
        <is>
          <t>sga</t>
        </is>
      </c>
      <c r="B18" s="55" t="n">
        <v>32.1</v>
      </c>
    </row>
    <row r="19">
      <c r="A19" s="54" t="inlineStr">
        <is>
          <t>sga ly</t>
        </is>
      </c>
      <c r="B19" s="55" t="n">
        <v>28.6</v>
      </c>
    </row>
    <row r="20">
      <c r="A20" s="54" t="inlineStr">
        <is>
          <t>interest exp</t>
        </is>
      </c>
      <c r="B20" s="55" t="n">
        <v>15.6</v>
      </c>
    </row>
    <row r="21">
      <c r="A21" s="54" t="inlineStr">
        <is>
          <t>interest exp ly</t>
        </is>
      </c>
      <c r="B21" s="55" t="n">
        <v>12</v>
      </c>
    </row>
    <row r="23">
      <c r="A23" s="52" t="inlineStr">
        <is>
          <t>this quarter · 2Q alone</t>
        </is>
      </c>
      <c r="B23" s="52" t="n"/>
      <c r="C23" s="52" t="n"/>
    </row>
    <row r="24">
      <c r="A24" s="53" t="inlineStr">
        <is>
          <t>항목</t>
        </is>
      </c>
      <c r="B24" s="53" t="inlineStr">
        <is>
          <t>값</t>
        </is>
      </c>
      <c r="C24" s="53" t="inlineStr">
        <is>
          <t>출처</t>
        </is>
      </c>
    </row>
    <row r="25">
      <c r="A25" s="54" t="inlineStr">
        <is>
          <t>매출</t>
        </is>
      </c>
      <c r="B25" s="55" t="n">
        <v>155.3</v>
      </c>
      <c r="C25" s="56" t="inlineStr">
        <is>
          <t>2단계 보고서 자료(회사 설명회 자료·공시)</t>
        </is>
      </c>
    </row>
    <row r="26">
      <c r="A26" s="54" t="inlineStr">
        <is>
          <t>매출 ly</t>
        </is>
      </c>
      <c r="B26" s="55" t="n">
        <v>87</v>
      </c>
    </row>
    <row r="27">
      <c r="A27" s="54" t="inlineStr">
        <is>
          <t>영업이익</t>
        </is>
      </c>
      <c r="B27" s="55" t="n">
        <v>46.2</v>
      </c>
    </row>
    <row r="28">
      <c r="A28" s="54" t="inlineStr">
        <is>
          <t>영업이익 ly</t>
        </is>
      </c>
      <c r="B28" s="55" t="n">
        <v>23.3</v>
      </c>
    </row>
    <row r="29">
      <c r="A29" s="54" t="inlineStr">
        <is>
          <t>순이익</t>
        </is>
      </c>
      <c r="B29" s="55" t="n">
        <v>29.8</v>
      </c>
    </row>
    <row r="30">
      <c r="A30" s="54" t="inlineStr">
        <is>
          <t>순이익 ly</t>
        </is>
      </c>
      <c r="B30" s="55" t="n">
        <v>20.9</v>
      </c>
    </row>
    <row r="32">
      <c r="A32" s="52" t="inlineStr">
        <is>
          <t>this quarter · guide FY3 27</t>
        </is>
      </c>
      <c r="B32" s="52" t="n"/>
      <c r="C32" s="52" t="n"/>
    </row>
    <row r="33">
      <c r="A33" s="53" t="inlineStr">
        <is>
          <t>항목</t>
        </is>
      </c>
      <c r="B33" s="53" t="inlineStr">
        <is>
          <t>값</t>
        </is>
      </c>
      <c r="C33" s="53" t="inlineStr">
        <is>
          <t>출처</t>
        </is>
      </c>
    </row>
    <row r="34">
      <c r="A34" s="54" t="inlineStr">
        <is>
          <t>매출</t>
        </is>
      </c>
      <c r="B34" s="57" t="n">
        <v>638</v>
      </c>
      <c r="C34" s="56" t="inlineStr">
        <is>
          <t>2단계 보고서 자료(회사 설명회 자료·공시)</t>
        </is>
      </c>
    </row>
    <row r="35">
      <c r="A35" s="54" t="inlineStr">
        <is>
          <t>영업이익</t>
        </is>
      </c>
      <c r="B35" s="57" t="n">
        <v>158</v>
      </c>
    </row>
    <row r="36">
      <c r="A36" s="54" t="inlineStr">
        <is>
          <t>ordinary</t>
        </is>
      </c>
      <c r="B36" s="57" t="n">
        <v>130</v>
      </c>
    </row>
    <row r="37">
      <c r="A37" s="54" t="inlineStr">
        <is>
          <t>순이익</t>
        </is>
      </c>
      <c r="B37" s="57" t="n">
        <v>115</v>
      </c>
    </row>
    <row r="38">
      <c r="A38" s="54" t="inlineStr">
        <is>
          <t>EPS</t>
        </is>
      </c>
      <c r="B38" s="55" t="n">
        <v>174.05</v>
      </c>
    </row>
    <row r="39">
      <c r="A39" s="54" t="inlineStr">
        <is>
          <t>dps</t>
        </is>
      </c>
      <c r="B39" s="57" t="n">
        <v>103</v>
      </c>
    </row>
    <row r="41">
      <c r="A41" s="52" t="inlineStr">
        <is>
          <t>this quarter · bs 2Q</t>
        </is>
      </c>
      <c r="B41" s="52" t="n"/>
      <c r="C41" s="52" t="n"/>
    </row>
    <row r="42">
      <c r="A42" s="53" t="inlineStr">
        <is>
          <t>항목</t>
        </is>
      </c>
      <c r="B42" s="53" t="inlineStr">
        <is>
          <t>값</t>
        </is>
      </c>
      <c r="C42" s="53" t="inlineStr">
        <is>
          <t>출처</t>
        </is>
      </c>
    </row>
    <row r="43">
      <c r="A43" s="54" t="inlineStr">
        <is>
          <t>합계 assets</t>
        </is>
      </c>
      <c r="B43" s="55" t="n">
        <v>4486.1</v>
      </c>
      <c r="C43" s="56" t="inlineStr">
        <is>
          <t>2단계 보고서 자료(회사 설명회 자료·공시)</t>
        </is>
      </c>
    </row>
    <row r="44">
      <c r="A44" s="54" t="inlineStr">
        <is>
          <t>equity</t>
        </is>
      </c>
      <c r="B44" s="55" t="n">
        <v>1255.4</v>
      </c>
    </row>
    <row r="45">
      <c r="A45" s="54" t="inlineStr">
        <is>
          <t>equity ratio</t>
        </is>
      </c>
      <c r="B45" s="55" t="n">
        <v>28</v>
      </c>
    </row>
    <row r="46">
      <c r="A46" s="54" t="inlineStr">
        <is>
          <t>interest bearing debt</t>
        </is>
      </c>
      <c r="B46" s="55" t="n">
        <v>2709</v>
      </c>
    </row>
    <row r="47">
      <c r="A47" s="54" t="inlineStr">
        <is>
          <t>net de</t>
        </is>
      </c>
      <c r="B47" s="55" t="n">
        <v>2</v>
      </c>
    </row>
    <row r="48">
      <c r="A48" s="54" t="inlineStr">
        <is>
          <t>inventory</t>
        </is>
      </c>
      <c r="B48" s="55" t="n">
        <v>700.5</v>
      </c>
    </row>
    <row r="49">
      <c r="A49" s="54" t="inlineStr">
        <is>
          <t>cash plus sec</t>
        </is>
      </c>
      <c r="B49" s="55" t="n">
        <v>181</v>
      </c>
    </row>
    <row r="50">
      <c r="A50" s="54" t="inlineStr">
        <is>
          <t>ocf 상반기</t>
        </is>
      </c>
      <c r="B50" s="55" t="n">
        <v>-24.4</v>
      </c>
    </row>
    <row r="51">
      <c r="A51" s="54" t="inlineStr">
        <is>
          <t>bps</t>
        </is>
      </c>
      <c r="B51" s="55" t="n">
        <v>1900.03</v>
      </c>
    </row>
    <row r="53">
      <c r="A53" s="52" t="inlineStr">
        <is>
          <t>history ratios · ROE</t>
        </is>
      </c>
      <c r="B53" s="52" t="n"/>
      <c r="C53" s="52" t="n"/>
    </row>
    <row r="54">
      <c r="A54" s="53" t="inlineStr">
        <is>
          <t>항목</t>
        </is>
      </c>
      <c r="B54" s="53" t="inlineStr">
        <is>
          <t>값</t>
        </is>
      </c>
      <c r="C54" s="53" t="inlineStr">
        <is>
          <t>출처</t>
        </is>
      </c>
    </row>
    <row r="55">
      <c r="A55" s="54" t="inlineStr">
        <is>
          <t>14.3</t>
        </is>
      </c>
      <c r="B55" s="55" t="n">
        <v>3.4</v>
      </c>
      <c r="C55" s="56" t="inlineStr">
        <is>
          <t>2단계 보고서 자료(회사 설명회 자료·공시)</t>
        </is>
      </c>
    </row>
    <row r="56">
      <c r="A56" s="54" t="inlineStr">
        <is>
          <t>15.3</t>
        </is>
      </c>
      <c r="B56" s="55" t="n">
        <v>2.8</v>
      </c>
    </row>
    <row r="57">
      <c r="A57" s="54" t="inlineStr">
        <is>
          <t>16.3</t>
        </is>
      </c>
      <c r="B57" s="55" t="n">
        <v>4.7</v>
      </c>
    </row>
    <row r="58">
      <c r="A58" s="54" t="inlineStr">
        <is>
          <t>17.3</t>
        </is>
      </c>
      <c r="B58" s="55" t="n">
        <v>4.7</v>
      </c>
    </row>
    <row r="59">
      <c r="A59" s="54" t="inlineStr">
        <is>
          <t>18.3</t>
        </is>
      </c>
      <c r="B59" s="55" t="n">
        <v>5.2</v>
      </c>
    </row>
    <row r="60">
      <c r="A60" s="54" t="inlineStr">
        <is>
          <t>19.3</t>
        </is>
      </c>
      <c r="B60" s="55" t="n">
        <v>5.8</v>
      </c>
    </row>
    <row r="61">
      <c r="A61" s="54" t="inlineStr">
        <is>
          <t>20.3</t>
        </is>
      </c>
      <c r="B61" s="55" t="n">
        <v>6.5</v>
      </c>
    </row>
    <row r="62">
      <c r="A62" s="54" t="inlineStr">
        <is>
          <t>21.3</t>
        </is>
      </c>
      <c r="B62" s="55" t="n">
        <v>6.3</v>
      </c>
    </row>
    <row r="63">
      <c r="A63" s="54" t="inlineStr">
        <is>
          <t>22.3</t>
        </is>
      </c>
      <c r="B63" s="55" t="n">
        <v>7.3</v>
      </c>
    </row>
    <row r="64">
      <c r="A64" s="54" t="inlineStr">
        <is>
          <t>23.3</t>
        </is>
      </c>
      <c r="B64" s="55" t="n">
        <v>7.7</v>
      </c>
    </row>
    <row r="65">
      <c r="A65" s="54" t="inlineStr">
        <is>
          <t>24.3</t>
        </is>
      </c>
      <c r="B65" s="55" t="n">
        <v>6.9</v>
      </c>
    </row>
    <row r="66">
      <c r="A66" s="54" t="inlineStr">
        <is>
          <t>25.3</t>
        </is>
      </c>
      <c r="B66" s="55" t="n">
        <v>7.9</v>
      </c>
    </row>
    <row r="67">
      <c r="A67" s="54" t="inlineStr">
        <is>
          <t>26.3</t>
        </is>
      </c>
      <c r="B67" s="55" t="n">
        <v>9</v>
      </c>
    </row>
    <row r="69">
      <c r="A69" s="52" t="inlineStr">
        <is>
          <t>history_ratios · EPS(분할 조정)</t>
        </is>
      </c>
      <c r="B69" s="52" t="n"/>
      <c r="C69" s="52" t="n"/>
    </row>
    <row r="70">
      <c r="A70" s="53" t="inlineStr">
        <is>
          <t>항목</t>
        </is>
      </c>
      <c r="B70" s="53" t="inlineStr">
        <is>
          <t>값</t>
        </is>
      </c>
      <c r="C70" s="53" t="inlineStr">
        <is>
          <t>출처</t>
        </is>
      </c>
    </row>
    <row r="71">
      <c r="A71" s="54" t="inlineStr">
        <is>
          <t>14.3</t>
        </is>
      </c>
      <c r="B71" s="55" t="n">
        <v>36.36</v>
      </c>
      <c r="C71" s="56" t="inlineStr">
        <is>
          <t>2단계 보고서 자료(회사 설명회 자료·공시)</t>
        </is>
      </c>
    </row>
    <row r="72">
      <c r="A72" s="54" t="inlineStr">
        <is>
          <t>15.3</t>
        </is>
      </c>
      <c r="B72" s="55" t="n">
        <v>31.27</v>
      </c>
    </row>
    <row r="73">
      <c r="A73" s="54" t="inlineStr">
        <is>
          <t>16.3</t>
        </is>
      </c>
      <c r="B73" s="55" t="n">
        <v>55.25</v>
      </c>
    </row>
    <row r="74">
      <c r="A74" s="54" t="inlineStr">
        <is>
          <t>17.3</t>
        </is>
      </c>
      <c r="B74" s="55" t="n">
        <v>56.59</v>
      </c>
    </row>
    <row r="75">
      <c r="A75" s="54" t="inlineStr">
        <is>
          <t>18.3</t>
        </is>
      </c>
      <c r="B75" s="55" t="n">
        <v>66.29000000000001</v>
      </c>
    </row>
    <row r="76">
      <c r="A76" s="54" t="inlineStr">
        <is>
          <t>19.3</t>
        </is>
      </c>
      <c r="B76" s="55" t="n">
        <v>79.37</v>
      </c>
    </row>
    <row r="77">
      <c r="A77" s="54" t="inlineStr">
        <is>
          <t>20.3</t>
        </is>
      </c>
      <c r="B77" s="55" t="n">
        <v>92.41</v>
      </c>
    </row>
    <row r="78">
      <c r="A78" s="54" t="inlineStr">
        <is>
          <t>21.3</t>
        </is>
      </c>
      <c r="B78" s="55" t="n">
        <v>94.88</v>
      </c>
    </row>
    <row r="79">
      <c r="A79" s="54" t="inlineStr">
        <is>
          <t>22.3</t>
        </is>
      </c>
      <c r="B79" s="55" t="n">
        <v>118.37</v>
      </c>
    </row>
    <row r="80">
      <c r="A80" s="54" t="inlineStr">
        <is>
          <t>23.3</t>
        </is>
      </c>
      <c r="B80" s="55" t="n">
        <v>127.14</v>
      </c>
    </row>
    <row r="81">
      <c r="A81" s="54" t="inlineStr">
        <is>
          <t>24.3</t>
        </is>
      </c>
      <c r="B81" s="55" t="n">
        <v>118.06</v>
      </c>
    </row>
    <row r="82">
      <c r="A82" s="54" t="inlineStr">
        <is>
          <t>25.3</t>
        </is>
      </c>
      <c r="B82" s="55" t="n">
        <v>141.55</v>
      </c>
    </row>
    <row r="83">
      <c r="A83" s="54" t="inlineStr">
        <is>
          <t>26.3</t>
        </is>
      </c>
      <c r="B83" s="55" t="n">
        <v>165.63</v>
      </c>
    </row>
    <row r="85">
      <c r="A85" s="52" t="inlineStr">
        <is>
          <t>market</t>
        </is>
      </c>
      <c r="B85" s="52" t="n"/>
      <c r="C85" s="52" t="n"/>
    </row>
    <row r="86">
      <c r="A86" s="53" t="inlineStr">
        <is>
          <t>항목</t>
        </is>
      </c>
      <c r="B86" s="53" t="inlineStr">
        <is>
          <t>값</t>
        </is>
      </c>
      <c r="C86" s="53" t="inlineStr">
        <is>
          <t>출처</t>
        </is>
      </c>
    </row>
    <row r="87">
      <c r="A87" s="54" t="inlineStr">
        <is>
          <t>가격</t>
        </is>
      </c>
      <c r="B87" s="57" t="n">
        <v>2262</v>
      </c>
      <c r="C87" s="56" t="inlineStr">
        <is>
          <t>2단계 보고서 자료(회사 설명회 자료·공시)</t>
        </is>
      </c>
    </row>
    <row r="88">
      <c r="A88" s="54" t="inlineStr">
        <is>
          <t>shares ex treasury</t>
        </is>
      </c>
      <c r="B88" s="57" t="n">
        <v>66072547</v>
      </c>
    </row>
    <row r="89">
      <c r="A89" s="54" t="inlineStr">
        <is>
          <t>mcap oku</t>
        </is>
      </c>
      <c r="B89" s="55" t="n">
        <v>1494.6</v>
      </c>
    </row>
    <row r="90">
      <c r="A90" s="54" t="inlineStr">
        <is>
          <t>PER guide</t>
        </is>
      </c>
      <c r="B90" s="55" t="n">
        <v>13</v>
      </c>
    </row>
    <row r="91">
      <c r="A91" s="54" t="inlineStr">
        <is>
          <t>PBR</t>
        </is>
      </c>
      <c r="B91" s="55" t="n">
        <v>1.19</v>
      </c>
    </row>
    <row r="92">
      <c r="A92" s="54" t="inlineStr">
        <is>
          <t>div yield</t>
        </is>
      </c>
      <c r="B92" s="55" t="n">
        <v>4.55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60" customWidth="1" min="3" max="3"/>
  </cols>
  <sheetData>
    <row r="1">
      <c r="A1" s="50" t="inlineStr">
        <is>
          <t>출처 · 쓴 결산단신</t>
        </is>
      </c>
    </row>
    <row r="3">
      <c r="A3" s="58" t="inlineStr">
        <is>
          <t>공시일</t>
        </is>
      </c>
      <c r="B3" s="58" t="inlineStr">
        <is>
          <t>문서</t>
        </is>
      </c>
      <c r="C3" s="58" t="inlineStr">
        <is>
          <t>PDF</t>
        </is>
      </c>
    </row>
    <row r="4">
      <c r="A4" t="inlineStr">
        <is>
          <t>2026-10-30</t>
        </is>
      </c>
      <c r="B4" t="inlineStr">
        <is>
          <t>2027년 3월 결산기 ２분기 결산단신</t>
        </is>
      </c>
      <c r="C4" t="inlineStr">
        <is>
          <t>https://www2.jpx.co.jp/disc/88030/140120261030560723.pdf</t>
        </is>
      </c>
    </row>
    <row r="5">
      <c r="A5" t="inlineStr">
        <is>
          <t>2026-07-31</t>
        </is>
      </c>
      <c r="B5" t="inlineStr">
        <is>
          <t>2027년 3월 결산기 １분기 결산단신</t>
        </is>
      </c>
      <c r="C5" t="inlineStr">
        <is>
          <t>https://www2.jpx.co.jp/disc/88030/140120260731504684.pdf</t>
        </is>
      </c>
    </row>
    <row r="6">
      <c r="A6" t="inlineStr">
        <is>
          <t>2026-04-30</t>
        </is>
      </c>
      <c r="B6" t="inlineStr">
        <is>
          <t>2026년 3월 결산기 연간 결산단신</t>
        </is>
      </c>
      <c r="C6" t="inlineStr">
        <is>
          <t>https://www2.jpx.co.jp/disc/88030/140120260430514611.pdf</t>
        </is>
      </c>
    </row>
    <row r="7">
      <c r="A7" t="inlineStr">
        <is>
          <t>2026-01-30</t>
        </is>
      </c>
      <c r="B7" t="inlineStr">
        <is>
          <t>2026년 3월 결산기 ３분기 결산단신</t>
        </is>
      </c>
      <c r="C7" t="inlineStr">
        <is>
          <t>https://www2.jpx.co.jp/disc/88030/140120260130543059.pdf</t>
        </is>
      </c>
    </row>
    <row r="8">
      <c r="A8" t="inlineStr">
        <is>
          <t>2025-10-31</t>
        </is>
      </c>
      <c r="B8" t="inlineStr">
        <is>
          <t>2026년 3월 결산기 ２분기 결산단신</t>
        </is>
      </c>
      <c r="C8" t="inlineStr">
        <is>
          <t>https://www2.jpx.co.jp/disc/88030/140120251031584284.pdf</t>
        </is>
      </c>
    </row>
    <row r="9">
      <c r="A9" t="inlineStr">
        <is>
          <t>2025-07-31</t>
        </is>
      </c>
      <c r="B9" t="inlineStr">
        <is>
          <t>2026년 3월 결산기 １분기 결산단신</t>
        </is>
      </c>
      <c r="C9" t="inlineStr">
        <is>
          <t>https://www2.jpx.co.jp/disc/88030/140120250731524871.pdf</t>
        </is>
      </c>
    </row>
    <row r="10">
      <c r="A10" t="inlineStr">
        <is>
          <t>2025-04-30</t>
        </is>
      </c>
      <c r="B10" t="inlineStr">
        <is>
          <t>2025년 3월 결산기 연간 결산단신</t>
        </is>
      </c>
      <c r="C10" t="inlineStr">
        <is>
          <t>https://www2.jpx.co.jp/disc/88030/140120250430527619.pdf</t>
        </is>
      </c>
    </row>
    <row r="11">
      <c r="A11" t="inlineStr">
        <is>
          <t>2025-01-31</t>
        </is>
      </c>
      <c r="B11" t="inlineStr">
        <is>
          <t>2025년 3월 결산기 ３분기 결산단신</t>
        </is>
      </c>
      <c r="C11" t="inlineStr">
        <is>
          <t>https://www2.jpx.co.jp/disc/88030/140120250131559480.pdf</t>
        </is>
      </c>
    </row>
    <row r="12">
      <c r="A12" t="inlineStr">
        <is>
          <t>2024-10-31</t>
        </is>
      </c>
      <c r="B12" t="inlineStr">
        <is>
          <t>2025년 3월 결산기 ２분기 결산단신</t>
        </is>
      </c>
      <c r="C12" t="inlineStr">
        <is>
          <t>https://www2.jpx.co.jp/disc/88030/140120241031507408.pdf</t>
        </is>
      </c>
    </row>
    <row r="13">
      <c r="A13" t="inlineStr">
        <is>
          <t>2024-07-31</t>
        </is>
      </c>
      <c r="B13" t="inlineStr">
        <is>
          <t>2025년 3월 결산기 １분기 결산단신</t>
        </is>
      </c>
      <c r="C13" t="inlineStr">
        <is>
          <t>https://www2.jpx.co.jp/disc/88030/140120240731559041.pdf</t>
        </is>
      </c>
    </row>
    <row r="14">
      <c r="A14" t="inlineStr">
        <is>
          <t>2024-04-30</t>
        </is>
      </c>
      <c r="B14" t="inlineStr">
        <is>
          <t>2024년 3월 결산기 연간 결산단신</t>
        </is>
      </c>
      <c r="C14" t="inlineStr">
        <is>
          <t>https://www2.jpx.co.jp/disc/88030/140120240430579703.pdf</t>
        </is>
      </c>
    </row>
    <row r="15">
      <c r="A15" t="inlineStr">
        <is>
          <t>2024-01-31</t>
        </is>
      </c>
      <c r="B15" t="inlineStr">
        <is>
          <t>2024년 3월 결산기 ３분기 결산단신</t>
        </is>
      </c>
      <c r="C15" t="inlineStr">
        <is>
          <t>https://www2.jpx.co.jp/disc/88030/140120240131522773.pdf</t>
        </is>
      </c>
    </row>
    <row r="16">
      <c r="A16" t="inlineStr">
        <is>
          <t>2023-10-31</t>
        </is>
      </c>
      <c r="B16" t="inlineStr">
        <is>
          <t>2024년 3월 결산기 ２분기 결산단신</t>
        </is>
      </c>
      <c r="C16" t="inlineStr">
        <is>
          <t>https://www2.jpx.co.jp/disc/88030/140120231031575571.pdf</t>
        </is>
      </c>
    </row>
    <row r="17">
      <c r="A17" t="inlineStr">
        <is>
          <t>2023-07-31</t>
        </is>
      </c>
      <c r="B17" t="inlineStr">
        <is>
          <t>2024년 3월 결산기 １분기 결산단신</t>
        </is>
      </c>
      <c r="C17" t="inlineStr">
        <is>
          <t>https://www2.jpx.co.jp/disc/88030/140120230731530183.pdf</t>
        </is>
      </c>
    </row>
    <row r="18">
      <c r="A18" t="inlineStr">
        <is>
          <t>2023-04-28</t>
        </is>
      </c>
      <c r="B18" t="inlineStr">
        <is>
          <t>2023년 3월 결산기 연간 결산단신</t>
        </is>
      </c>
      <c r="C18" t="inlineStr">
        <is>
          <t>https://www2.jpx.co.jp/disc/88030/140120230428555762.pdf</t>
        </is>
      </c>
    </row>
    <row r="19">
      <c r="A19" t="inlineStr">
        <is>
          <t>2023-01-31</t>
        </is>
      </c>
      <c r="B19" t="inlineStr">
        <is>
          <t>2023년 3월 결산기 ３분기 결산단신</t>
        </is>
      </c>
      <c r="C19" t="inlineStr">
        <is>
          <t>https://www2.jpx.co.jp/disc/88030/140120230131596974.pdf</t>
        </is>
      </c>
    </row>
    <row r="20">
      <c r="A20" t="inlineStr">
        <is>
          <t>2022-04-28</t>
        </is>
      </c>
      <c r="B20" t="inlineStr">
        <is>
          <t>2022년 3월 결산기 연간 결산단신</t>
        </is>
      </c>
      <c r="C20" t="inlineStr">
        <is>
          <t>https://www2.jpx.co.jp/disc/88030/140120220428531572.pdf</t>
        </is>
      </c>
    </row>
    <row r="21">
      <c r="A21" t="inlineStr">
        <is>
          <t>2021-04-30</t>
        </is>
      </c>
      <c r="B21" t="inlineStr">
        <is>
          <t>2021년 3월 결산기 연간 결산단신</t>
        </is>
      </c>
      <c r="C21" t="inlineStr">
        <is>
          <t>https://www2.jpx.co.jp/disc/88030/140120210430404466.pdf</t>
        </is>
      </c>
    </row>
    <row r="22">
      <c r="A22" t="inlineStr">
        <is>
          <t>2020-04-30</t>
        </is>
      </c>
      <c r="B22" t="inlineStr">
        <is>
          <t>2020년 3월 결산기 연간 결산단신</t>
        </is>
      </c>
      <c r="C22" t="inlineStr">
        <is>
          <t>https://www2.jpx.co.jp/disc/88030/140120200430402742.pdf</t>
        </is>
      </c>
    </row>
    <row r="23">
      <c r="A23" t="inlineStr">
        <is>
          <t>2019-04-25</t>
        </is>
      </c>
      <c r="B23" t="inlineStr">
        <is>
          <t>2019년 3월 결산기 연간 결산단신</t>
        </is>
      </c>
      <c r="C23" t="inlineStr">
        <is>
          <t>https://www2.jpx.co.jp/disc/88030/140120190425410465.pdf</t>
        </is>
      </c>
    </row>
    <row r="24">
      <c r="A24" t="inlineStr">
        <is>
          <t>2018-04-26</t>
        </is>
      </c>
      <c r="B24" t="inlineStr">
        <is>
          <t>연간 결산단신</t>
        </is>
      </c>
      <c r="C24" t="inlineStr">
        <is>
          <t>https://www2.jpx.co.jp/disc/88030/140120180426420689.pdf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P25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7.5" customWidth="1" min="2" max="2"/>
    <col width="7.5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7.5" customWidth="1" min="10" max="10"/>
    <col width="7.5" customWidth="1" min="11" max="11"/>
    <col width="7.5" customWidth="1" min="12" max="12"/>
    <col width="7.5" customWidth="1" min="13" max="13"/>
    <col width="7.5" customWidth="1" min="14" max="14"/>
    <col width="7.5" customWidth="1" min="15" max="15"/>
    <col width="7.5" customWidth="1" min="16" max="16"/>
    <col width="7.5" customWidth="1" min="17" max="17"/>
    <col width="7.5" customWidth="1" min="18" max="18"/>
    <col width="7.5" customWidth="1" min="19" max="19"/>
    <col width="7.5" customWidth="1" min="20" max="20"/>
    <col width="7.5" customWidth="1" min="21" max="21"/>
    <col width="7.5" customWidth="1" min="22" max="22"/>
    <col width="7.5" customWidth="1" min="23" max="23"/>
    <col width="7.5" customWidth="1" min="24" max="24"/>
    <col width="7.5" customWidth="1" min="25" max="25"/>
    <col width="7.5" customWidth="1" min="26" max="26"/>
    <col width="7.5" customWidth="1" min="27" max="27"/>
    <col width="7.5" customWidth="1" min="28" max="28"/>
    <col width="7.5" customWidth="1" min="29" max="29"/>
    <col width="7.5" customWidth="1" min="30" max="30"/>
    <col width="7.5" customWidth="1" min="31" max="31"/>
    <col width="7.5" customWidth="1" min="32" max="32"/>
    <col width="7.5" customWidth="1" min="33" max="33"/>
    <col width="7.5" customWidth="1" min="34" max="34"/>
    <col width="7.5" customWidth="1" min="35" max="35"/>
    <col width="7.5" customWidth="1" min="36" max="36"/>
    <col width="7.5" customWidth="1" min="37" max="37"/>
    <col width="7.5" customWidth="1" min="38" max="38"/>
    <col width="7.5" customWidth="1" min="39" max="39"/>
    <col width="7.5" customWidth="1" min="40" max="40"/>
    <col width="7.5" customWidth="1" min="41" max="41"/>
  </cols>
  <sheetData>
    <row r="1">
      <c r="A1" s="59" t="inlineStr">
        <is>
          <t>8803 재무제표 한눈에 보기 — 최근 40개 분기(달력 분기, 3Q26 = 26.7~9) · 단위 억 엔</t>
        </is>
      </c>
    </row>
    <row r="2">
      <c r="A2" s="60" t="inlineStr">
        <is>
          <t>출처: 매출·영업이익 결산단신 XBRL · 재무상태표 등 결산단신 XBRL 36건(2018-01-29~2026-10-30). 부문·지역·수주·수출은 있을 때만(출처는 줄 끝). 총 차입금 = 이자 붙는 부채 전부(단기·장기 차입금, CP, 사채·전환사채, 리스부채)</t>
        </is>
      </c>
    </row>
    <row r="4">
      <c r="A4" s="61" t="inlineStr">
        <is>
          <t>항목</t>
        </is>
      </c>
      <c r="B4" s="62" t="inlineStr">
        <is>
          <t>4Q16</t>
        </is>
      </c>
      <c r="C4" s="62" t="inlineStr">
        <is>
          <t>1Q17</t>
        </is>
      </c>
      <c r="D4" s="62" t="inlineStr">
        <is>
          <t>2Q17</t>
        </is>
      </c>
      <c r="E4" s="62" t="inlineStr">
        <is>
          <t>3Q17</t>
        </is>
      </c>
      <c r="F4" s="62" t="inlineStr">
        <is>
          <t>4Q17</t>
        </is>
      </c>
      <c r="G4" s="62" t="inlineStr">
        <is>
          <t>1Q18</t>
        </is>
      </c>
      <c r="H4" s="62" t="inlineStr">
        <is>
          <t>2Q18</t>
        </is>
      </c>
      <c r="I4" s="62" t="inlineStr">
        <is>
          <t>3Q18</t>
        </is>
      </c>
      <c r="J4" s="62" t="inlineStr">
        <is>
          <t>4Q18</t>
        </is>
      </c>
      <c r="K4" s="62" t="inlineStr">
        <is>
          <t>1Q19</t>
        </is>
      </c>
      <c r="L4" s="62" t="inlineStr">
        <is>
          <t>2Q19</t>
        </is>
      </c>
      <c r="M4" s="62" t="inlineStr">
        <is>
          <t>3Q19</t>
        </is>
      </c>
      <c r="N4" s="62" t="inlineStr">
        <is>
          <t>4Q19</t>
        </is>
      </c>
      <c r="O4" s="62" t="inlineStr">
        <is>
          <t>1Q20</t>
        </is>
      </c>
      <c r="P4" s="62" t="inlineStr">
        <is>
          <t>2Q20</t>
        </is>
      </c>
      <c r="Q4" s="62" t="inlineStr">
        <is>
          <t>3Q20</t>
        </is>
      </c>
      <c r="R4" s="62" t="inlineStr">
        <is>
          <t>4Q20</t>
        </is>
      </c>
      <c r="S4" s="62" t="inlineStr">
        <is>
          <t>1Q21</t>
        </is>
      </c>
      <c r="T4" s="62" t="inlineStr">
        <is>
          <t>2Q21</t>
        </is>
      </c>
      <c r="U4" s="62" t="inlineStr">
        <is>
          <t>3Q21</t>
        </is>
      </c>
      <c r="V4" s="62" t="inlineStr">
        <is>
          <t>4Q21</t>
        </is>
      </c>
      <c r="W4" s="62" t="inlineStr">
        <is>
          <t>1Q22</t>
        </is>
      </c>
      <c r="X4" s="62" t="inlineStr">
        <is>
          <t>2Q22</t>
        </is>
      </c>
      <c r="Y4" s="62" t="inlineStr">
        <is>
          <t>3Q22</t>
        </is>
      </c>
      <c r="Z4" s="62" t="inlineStr">
        <is>
          <t>4Q22</t>
        </is>
      </c>
      <c r="AA4" s="62" t="inlineStr">
        <is>
          <t>1Q23</t>
        </is>
      </c>
      <c r="AB4" s="62" t="inlineStr">
        <is>
          <t>2Q23</t>
        </is>
      </c>
      <c r="AC4" s="62" t="inlineStr">
        <is>
          <t>3Q23</t>
        </is>
      </c>
      <c r="AD4" s="62" t="inlineStr">
        <is>
          <t>4Q23</t>
        </is>
      </c>
      <c r="AE4" s="62" t="inlineStr">
        <is>
          <t>1Q24</t>
        </is>
      </c>
      <c r="AF4" s="62" t="inlineStr">
        <is>
          <t>2Q24</t>
        </is>
      </c>
      <c r="AG4" s="62" t="inlineStr">
        <is>
          <t>3Q24</t>
        </is>
      </c>
      <c r="AH4" s="62" t="inlineStr">
        <is>
          <t>4Q24</t>
        </is>
      </c>
      <c r="AI4" s="62" t="inlineStr">
        <is>
          <t>1Q25</t>
        </is>
      </c>
      <c r="AJ4" s="62" t="inlineStr">
        <is>
          <t>2Q25</t>
        </is>
      </c>
      <c r="AK4" s="62" t="inlineStr">
        <is>
          <t>3Q25</t>
        </is>
      </c>
      <c r="AL4" s="62" t="inlineStr">
        <is>
          <t>4Q25</t>
        </is>
      </c>
      <c r="AM4" s="62" t="inlineStr">
        <is>
          <t>1Q26</t>
        </is>
      </c>
      <c r="AN4" s="62" t="inlineStr">
        <is>
          <t>2Q26</t>
        </is>
      </c>
      <c r="AO4" s="62" t="inlineStr">
        <is>
          <t>3Q26</t>
        </is>
      </c>
      <c r="AP4" s="61" t="inlineStr">
        <is>
          <t>출처</t>
        </is>
      </c>
    </row>
    <row r="5">
      <c r="A5" s="63" t="inlineStr">
        <is>
          <t>매출액</t>
        </is>
      </c>
      <c r="B5" s="64" t="n"/>
      <c r="C5" s="64" t="n">
        <v>189.1</v>
      </c>
      <c r="D5" s="64" t="n">
        <v>66.40000000000001</v>
      </c>
      <c r="E5" s="64" t="n">
        <v>94.59999999999999</v>
      </c>
      <c r="F5" s="64" t="n">
        <v>100.2</v>
      </c>
      <c r="G5" s="64" t="n">
        <v>65.8</v>
      </c>
      <c r="H5" s="64" t="n">
        <v>125.2</v>
      </c>
      <c r="I5" s="64" t="n">
        <v>140.5</v>
      </c>
      <c r="J5" s="64" t="n">
        <v>61.6</v>
      </c>
      <c r="K5" s="64" t="n">
        <v>67.40000000000001</v>
      </c>
      <c r="L5" s="64" t="n">
        <v>116.3</v>
      </c>
      <c r="M5" s="64" t="n">
        <v>192.5</v>
      </c>
      <c r="N5" s="64" t="n">
        <v>66.3</v>
      </c>
      <c r="O5" s="64" t="n">
        <v>91.2</v>
      </c>
      <c r="P5" s="64" t="n">
        <v>63.8</v>
      </c>
      <c r="Q5" s="64" t="n">
        <v>150.3</v>
      </c>
      <c r="R5" s="64" t="n">
        <v>65.5</v>
      </c>
      <c r="S5" s="64" t="n">
        <v>71</v>
      </c>
      <c r="T5" s="64" t="n">
        <v>338.4</v>
      </c>
      <c r="U5" s="64" t="n">
        <v>74.40000000000001</v>
      </c>
      <c r="V5" s="64" t="n">
        <v>71</v>
      </c>
      <c r="W5" s="64" t="n">
        <v>94.3</v>
      </c>
      <c r="X5" s="64" t="n">
        <v>173.8</v>
      </c>
      <c r="Y5" s="64" t="n">
        <v>75.7</v>
      </c>
      <c r="Z5" s="64" t="n">
        <v>71.8</v>
      </c>
      <c r="AA5" s="64" t="n">
        <v>123.9</v>
      </c>
      <c r="AB5" s="64" t="n">
        <v>150.3</v>
      </c>
      <c r="AC5" s="64" t="n">
        <v>131.6</v>
      </c>
      <c r="AD5" s="64" t="n">
        <v>75.2</v>
      </c>
      <c r="AE5" s="64" t="n">
        <v>87.2</v>
      </c>
      <c r="AF5" s="64" t="n">
        <v>105.8</v>
      </c>
      <c r="AG5" s="64" t="n">
        <v>81.8</v>
      </c>
      <c r="AH5" s="64" t="n">
        <v>81.90000000000001</v>
      </c>
      <c r="AI5" s="64" t="n">
        <v>151.3</v>
      </c>
      <c r="AJ5" s="64" t="n">
        <v>131.2</v>
      </c>
      <c r="AK5" s="64" t="n">
        <v>87</v>
      </c>
      <c r="AL5" s="64" t="n">
        <v>109.5</v>
      </c>
      <c r="AM5" s="64" t="n">
        <v>180.8</v>
      </c>
      <c r="AN5" s="64" t="n">
        <v>110.2</v>
      </c>
      <c r="AO5" s="64" t="n">
        <v>155.3</v>
      </c>
    </row>
    <row r="6">
      <c r="A6" s="63" t="inlineStr">
        <is>
          <t>매출액 YoY</t>
        </is>
      </c>
      <c r="B6" s="65" t="n"/>
      <c r="C6" s="65" t="n"/>
      <c r="D6" s="65" t="n"/>
      <c r="E6" s="65" t="n"/>
      <c r="F6" s="65" t="n"/>
      <c r="G6" s="65" t="n">
        <v>-65.2</v>
      </c>
      <c r="H6" s="65" t="n">
        <v>88.59999999999999</v>
      </c>
      <c r="I6" s="65" t="n">
        <v>48.5</v>
      </c>
      <c r="J6" s="65" t="n">
        <v>-38.5</v>
      </c>
      <c r="K6" s="65" t="n">
        <v>2.4</v>
      </c>
      <c r="L6" s="65" t="n">
        <v>-7.1</v>
      </c>
      <c r="M6" s="65" t="n">
        <v>37</v>
      </c>
      <c r="N6" s="65" t="n">
        <v>7.6</v>
      </c>
      <c r="O6" s="65" t="n">
        <v>35.3</v>
      </c>
      <c r="P6" s="65" t="n">
        <v>-45.1</v>
      </c>
      <c r="Q6" s="65" t="n">
        <v>-21.9</v>
      </c>
      <c r="R6" s="65" t="n">
        <v>-1.2</v>
      </c>
      <c r="S6" s="65" t="n">
        <v>-22.1</v>
      </c>
      <c r="T6" s="65" t="n">
        <v>430.4</v>
      </c>
      <c r="U6" s="65" t="n">
        <v>-50.5</v>
      </c>
      <c r="V6" s="65" t="n">
        <v>8.4</v>
      </c>
      <c r="W6" s="65" t="n">
        <v>32.8</v>
      </c>
      <c r="X6" s="65" t="n">
        <v>-48.6</v>
      </c>
      <c r="Y6" s="65" t="n">
        <v>1.7</v>
      </c>
      <c r="Z6" s="65" t="n">
        <v>1.1</v>
      </c>
      <c r="AA6" s="65" t="n">
        <v>31.4</v>
      </c>
      <c r="AB6" s="65" t="n">
        <v>-13.5</v>
      </c>
      <c r="AC6" s="65" t="n">
        <v>73.8</v>
      </c>
      <c r="AD6" s="65" t="n">
        <v>4.7</v>
      </c>
      <c r="AE6" s="65" t="n">
        <v>-29.6</v>
      </c>
      <c r="AF6" s="65" t="n">
        <v>-29.6</v>
      </c>
      <c r="AG6" s="65" t="n">
        <v>-37.8</v>
      </c>
      <c r="AH6" s="65" t="n">
        <v>8.9</v>
      </c>
      <c r="AI6" s="65" t="n">
        <v>73.5</v>
      </c>
      <c r="AJ6" s="65" t="n">
        <v>24</v>
      </c>
      <c r="AK6" s="65" t="n">
        <v>6.4</v>
      </c>
      <c r="AL6" s="65" t="n">
        <v>33.7</v>
      </c>
      <c r="AM6" s="65" t="n">
        <v>19.5</v>
      </c>
      <c r="AN6" s="65" t="n">
        <v>-16</v>
      </c>
      <c r="AO6" s="65" t="n">
        <v>78.5</v>
      </c>
    </row>
    <row r="7">
      <c r="A7" s="63" t="inlineStr">
        <is>
          <t>영업이익</t>
        </is>
      </c>
      <c r="B7" s="64" t="n"/>
      <c r="C7" s="64" t="n">
        <v>34.6</v>
      </c>
      <c r="D7" s="64" t="n">
        <v>19.3</v>
      </c>
      <c r="E7" s="64" t="n">
        <v>31</v>
      </c>
      <c r="F7" s="64" t="n">
        <v>24</v>
      </c>
      <c r="G7" s="64" t="n">
        <v>20</v>
      </c>
      <c r="H7" s="64" t="n">
        <v>29.4</v>
      </c>
      <c r="I7" s="64" t="n">
        <v>26.5</v>
      </c>
      <c r="J7" s="64" t="n">
        <v>16.2</v>
      </c>
      <c r="K7" s="64" t="n">
        <v>21.3</v>
      </c>
      <c r="L7" s="64" t="n">
        <v>25.9</v>
      </c>
      <c r="M7" s="64" t="n">
        <v>32.7</v>
      </c>
      <c r="N7" s="64" t="n">
        <v>22.2</v>
      </c>
      <c r="O7" s="64" t="n">
        <v>28.2</v>
      </c>
      <c r="P7" s="64" t="n">
        <v>19.2</v>
      </c>
      <c r="Q7" s="64" t="n">
        <v>47.8</v>
      </c>
      <c r="R7" s="64" t="n">
        <v>22.2</v>
      </c>
      <c r="S7" s="64" t="n">
        <v>23.1</v>
      </c>
      <c r="T7" s="64" t="n">
        <v>48.6</v>
      </c>
      <c r="U7" s="64" t="n">
        <v>24.4</v>
      </c>
      <c r="V7" s="64" t="n">
        <v>20.2</v>
      </c>
      <c r="W7" s="64" t="n">
        <v>33</v>
      </c>
      <c r="X7" s="64" t="n">
        <v>29.9</v>
      </c>
      <c r="Y7" s="64" t="n">
        <v>20.8</v>
      </c>
      <c r="Z7" s="64" t="n">
        <v>17.7</v>
      </c>
      <c r="AA7" s="64" t="n">
        <v>39.4</v>
      </c>
      <c r="AB7" s="64" t="n">
        <v>64.5</v>
      </c>
      <c r="AC7" s="64" t="n">
        <v>28.1</v>
      </c>
      <c r="AD7" s="64" t="n">
        <v>17</v>
      </c>
      <c r="AE7" s="64" t="n">
        <v>20.7</v>
      </c>
      <c r="AF7" s="64" t="n">
        <v>29.6</v>
      </c>
      <c r="AG7" s="64" t="n">
        <v>22.9</v>
      </c>
      <c r="AH7" s="64" t="n">
        <v>22.2</v>
      </c>
      <c r="AI7" s="64" t="n">
        <v>57.2</v>
      </c>
      <c r="AJ7" s="64" t="n">
        <v>34.4</v>
      </c>
      <c r="AK7" s="64" t="n">
        <v>23.3</v>
      </c>
      <c r="AL7" s="64" t="n">
        <v>28.9</v>
      </c>
      <c r="AM7" s="64" t="n">
        <v>64.5</v>
      </c>
      <c r="AN7" s="64" t="n">
        <v>27.9</v>
      </c>
      <c r="AO7" s="64" t="n">
        <v>46.2</v>
      </c>
    </row>
    <row r="8">
      <c r="A8" s="63" t="inlineStr">
        <is>
          <t>영업이익률</t>
        </is>
      </c>
      <c r="B8" s="65" t="n"/>
      <c r="C8" s="65" t="n">
        <v>18.3</v>
      </c>
      <c r="D8" s="65" t="n">
        <v>29.1</v>
      </c>
      <c r="E8" s="65" t="n">
        <v>32.8</v>
      </c>
      <c r="F8" s="65" t="n">
        <v>24</v>
      </c>
      <c r="G8" s="65" t="n">
        <v>30.4</v>
      </c>
      <c r="H8" s="65" t="n">
        <v>23.5</v>
      </c>
      <c r="I8" s="65" t="n">
        <v>18.9</v>
      </c>
      <c r="J8" s="65" t="n">
        <v>26.3</v>
      </c>
      <c r="K8" s="65" t="n">
        <v>31.6</v>
      </c>
      <c r="L8" s="65" t="n">
        <v>22.3</v>
      </c>
      <c r="M8" s="65" t="n">
        <v>17</v>
      </c>
      <c r="N8" s="65" t="n">
        <v>33.5</v>
      </c>
      <c r="O8" s="65" t="n">
        <v>30.9</v>
      </c>
      <c r="P8" s="65" t="n">
        <v>30.1</v>
      </c>
      <c r="Q8" s="65" t="n">
        <v>31.8</v>
      </c>
      <c r="R8" s="65" t="n">
        <v>33.9</v>
      </c>
      <c r="S8" s="65" t="n">
        <v>32.5</v>
      </c>
      <c r="T8" s="65" t="n">
        <v>14.4</v>
      </c>
      <c r="U8" s="65" t="n">
        <v>32.8</v>
      </c>
      <c r="V8" s="65" t="n">
        <v>28.5</v>
      </c>
      <c r="W8" s="65" t="n">
        <v>35</v>
      </c>
      <c r="X8" s="65" t="n">
        <v>17.2</v>
      </c>
      <c r="Y8" s="65" t="n">
        <v>27.5</v>
      </c>
      <c r="Z8" s="65" t="n">
        <v>24.7</v>
      </c>
      <c r="AA8" s="65" t="n">
        <v>31.8</v>
      </c>
      <c r="AB8" s="65" t="n">
        <v>42.9</v>
      </c>
      <c r="AC8" s="65" t="n">
        <v>21.4</v>
      </c>
      <c r="AD8" s="65" t="n">
        <v>22.6</v>
      </c>
      <c r="AE8" s="65" t="n">
        <v>23.7</v>
      </c>
      <c r="AF8" s="65" t="n">
        <v>28</v>
      </c>
      <c r="AG8" s="65" t="n">
        <v>28</v>
      </c>
      <c r="AH8" s="65" t="n">
        <v>27.1</v>
      </c>
      <c r="AI8" s="65" t="n">
        <v>37.8</v>
      </c>
      <c r="AJ8" s="65" t="n">
        <v>26.2</v>
      </c>
      <c r="AK8" s="65" t="n">
        <v>26.8</v>
      </c>
      <c r="AL8" s="65" t="n">
        <v>26.4</v>
      </c>
      <c r="AM8" s="65" t="n">
        <v>35.7</v>
      </c>
      <c r="AN8" s="65" t="n">
        <v>25.3</v>
      </c>
      <c r="AO8" s="65" t="n">
        <v>29.7</v>
      </c>
    </row>
    <row r="9">
      <c r="A9" s="63" t="inlineStr">
        <is>
          <t>영업이익 YoY</t>
        </is>
      </c>
      <c r="B9" s="65" t="n"/>
      <c r="C9" s="65" t="n"/>
      <c r="D9" s="65" t="n"/>
      <c r="E9" s="65" t="n"/>
      <c r="F9" s="65" t="n"/>
      <c r="G9" s="65" t="n">
        <v>-42.2</v>
      </c>
      <c r="H9" s="65" t="n">
        <v>52.3</v>
      </c>
      <c r="I9" s="65" t="n">
        <v>-14.5</v>
      </c>
      <c r="J9" s="65" t="n">
        <v>-32.5</v>
      </c>
      <c r="K9" s="65" t="n">
        <v>6.5</v>
      </c>
      <c r="L9" s="65" t="n">
        <v>-11.9</v>
      </c>
      <c r="M9" s="65" t="n">
        <v>23.4</v>
      </c>
      <c r="N9" s="65" t="n">
        <v>37</v>
      </c>
      <c r="O9" s="65" t="n">
        <v>32.4</v>
      </c>
      <c r="P9" s="65" t="n">
        <v>-25.9</v>
      </c>
      <c r="Q9" s="65" t="n">
        <v>46.2</v>
      </c>
      <c r="R9" s="65" t="n">
        <v>0</v>
      </c>
      <c r="S9" s="65" t="n">
        <v>-18.1</v>
      </c>
      <c r="T9" s="65" t="n">
        <v>153.1</v>
      </c>
      <c r="U9" s="65" t="n">
        <v>-49</v>
      </c>
      <c r="V9" s="65" t="n">
        <v>-9</v>
      </c>
      <c r="W9" s="65" t="n">
        <v>42.9</v>
      </c>
      <c r="X9" s="65" t="n">
        <v>-38.5</v>
      </c>
      <c r="Y9" s="65" t="n">
        <v>-14.8</v>
      </c>
      <c r="Z9" s="65" t="n">
        <v>-12.4</v>
      </c>
      <c r="AA9" s="65" t="n">
        <v>19.4</v>
      </c>
      <c r="AB9" s="65" t="n">
        <v>115.7</v>
      </c>
      <c r="AC9" s="65" t="n">
        <v>35.1</v>
      </c>
      <c r="AD9" s="65" t="n">
        <v>-4</v>
      </c>
      <c r="AE9" s="65" t="n">
        <v>-47.5</v>
      </c>
      <c r="AF9" s="65" t="n">
        <v>-54.1</v>
      </c>
      <c r="AG9" s="65" t="n">
        <v>-18.5</v>
      </c>
      <c r="AH9" s="65" t="n">
        <v>30.6</v>
      </c>
      <c r="AI9" s="65" t="n">
        <v>176.3</v>
      </c>
      <c r="AJ9" s="65" t="n">
        <v>16.2</v>
      </c>
      <c r="AK9" s="65" t="n">
        <v>1.7</v>
      </c>
      <c r="AL9" s="65" t="n">
        <v>30.2</v>
      </c>
      <c r="AM9" s="65" t="n">
        <v>12.8</v>
      </c>
      <c r="AN9" s="65" t="n">
        <v>-18.9</v>
      </c>
      <c r="AO9" s="65" t="n">
        <v>98.3</v>
      </c>
    </row>
    <row r="10">
      <c r="A10" s="63" t="inlineStr">
        <is>
          <t>유동자산</t>
        </is>
      </c>
      <c r="B10" s="64" t="n"/>
      <c r="C10" s="64" t="n">
        <v>389.3</v>
      </c>
      <c r="D10" s="64" t="n"/>
      <c r="E10" s="64" t="n"/>
      <c r="F10" s="64" t="n">
        <v>306.6</v>
      </c>
      <c r="G10" s="64" t="n">
        <v>294.5</v>
      </c>
      <c r="H10" s="64" t="n">
        <v>396.1</v>
      </c>
      <c r="I10" s="64" t="n">
        <v>583.3</v>
      </c>
      <c r="J10" s="64" t="n">
        <v>651.2</v>
      </c>
      <c r="K10" s="64" t="n">
        <v>562.7</v>
      </c>
      <c r="L10" s="64" t="n">
        <v>542.1</v>
      </c>
      <c r="M10" s="64" t="n">
        <v>515.4</v>
      </c>
      <c r="N10" s="64" t="n">
        <v>546</v>
      </c>
      <c r="O10" s="64" t="n">
        <v>590.1</v>
      </c>
      <c r="P10" s="64" t="n">
        <v>524.8</v>
      </c>
      <c r="Q10" s="64" t="n">
        <v>539.3</v>
      </c>
      <c r="R10" s="64" t="n">
        <v>549</v>
      </c>
      <c r="S10" s="64" t="n">
        <v>679.4</v>
      </c>
      <c r="T10" s="64" t="n">
        <v>498.5</v>
      </c>
      <c r="U10" s="64" t="n">
        <v>494.6</v>
      </c>
      <c r="V10" s="64" t="n">
        <v>409.4</v>
      </c>
      <c r="W10" s="64" t="n">
        <v>535.5</v>
      </c>
      <c r="X10" s="64" t="n">
        <v>448.5</v>
      </c>
      <c r="Y10" s="64" t="n">
        <v>415.2</v>
      </c>
      <c r="Z10" s="64" t="n">
        <v>396.7</v>
      </c>
      <c r="AA10" s="64" t="n">
        <v>466.3</v>
      </c>
      <c r="AB10" s="64" t="n">
        <v>459.6</v>
      </c>
      <c r="AC10" s="64" t="n">
        <v>486.6</v>
      </c>
      <c r="AD10" s="64" t="n">
        <v>410</v>
      </c>
      <c r="AE10" s="64" t="n">
        <v>532.6</v>
      </c>
      <c r="AF10" s="64" t="n">
        <v>398.9</v>
      </c>
      <c r="AG10" s="64" t="n">
        <v>372.1</v>
      </c>
      <c r="AH10" s="64" t="n">
        <v>429.6</v>
      </c>
      <c r="AI10" s="64" t="n">
        <v>600.4</v>
      </c>
      <c r="AJ10" s="64" t="n">
        <v>557</v>
      </c>
      <c r="AK10" s="64" t="n">
        <v>559.8</v>
      </c>
      <c r="AL10" s="64" t="n">
        <v>711.3</v>
      </c>
      <c r="AM10" s="64" t="n">
        <v>933.7</v>
      </c>
      <c r="AN10" s="64" t="n">
        <v>860</v>
      </c>
      <c r="AO10" s="64" t="n">
        <v>906.3</v>
      </c>
    </row>
    <row r="11">
      <c r="A11" s="63" t="inlineStr">
        <is>
          <t>유동부채</t>
        </is>
      </c>
      <c r="B11" s="64" t="n"/>
      <c r="C11" s="64" t="n">
        <v>383.2</v>
      </c>
      <c r="D11" s="64" t="n"/>
      <c r="E11" s="64" t="n"/>
      <c r="F11" s="64" t="n">
        <v>256.4</v>
      </c>
      <c r="G11" s="64" t="n">
        <v>266.5</v>
      </c>
      <c r="H11" s="64" t="n">
        <v>296.1</v>
      </c>
      <c r="I11" s="64" t="n">
        <v>372.6</v>
      </c>
      <c r="J11" s="64" t="n">
        <v>357</v>
      </c>
      <c r="K11" s="64" t="n">
        <v>342.9</v>
      </c>
      <c r="L11" s="64" t="n">
        <v>301.8</v>
      </c>
      <c r="M11" s="64" t="n">
        <v>196.2</v>
      </c>
      <c r="N11" s="64" t="n">
        <v>196.8</v>
      </c>
      <c r="O11" s="64" t="n">
        <v>222.5</v>
      </c>
      <c r="P11" s="64" t="n">
        <v>186.7</v>
      </c>
      <c r="Q11" s="64" t="n">
        <v>352.1</v>
      </c>
      <c r="R11" s="64" t="n">
        <v>375.1</v>
      </c>
      <c r="S11" s="64" t="n">
        <v>423.9</v>
      </c>
      <c r="T11" s="64" t="n">
        <v>265.9</v>
      </c>
      <c r="U11" s="64" t="n">
        <v>303.7</v>
      </c>
      <c r="V11" s="64" t="n">
        <v>332.2</v>
      </c>
      <c r="W11" s="64" t="n">
        <v>307.1</v>
      </c>
      <c r="X11" s="64" t="n">
        <v>234.2</v>
      </c>
      <c r="Y11" s="64" t="n">
        <v>272</v>
      </c>
      <c r="Z11" s="64" t="n">
        <v>247.4</v>
      </c>
      <c r="AA11" s="64" t="n">
        <v>345.4</v>
      </c>
      <c r="AB11" s="64" t="n">
        <v>297</v>
      </c>
      <c r="AC11" s="64" t="n">
        <v>316.2</v>
      </c>
      <c r="AD11" s="64" t="n">
        <v>309.2</v>
      </c>
      <c r="AE11" s="64" t="n">
        <v>290.5</v>
      </c>
      <c r="AF11" s="64" t="n">
        <v>294.9</v>
      </c>
      <c r="AG11" s="64" t="n">
        <v>288.3</v>
      </c>
      <c r="AH11" s="64" t="n">
        <v>270.1</v>
      </c>
      <c r="AI11" s="64" t="n">
        <v>324.1</v>
      </c>
      <c r="AJ11" s="64" t="n">
        <v>383.9</v>
      </c>
      <c r="AK11" s="64" t="n">
        <v>371.2</v>
      </c>
      <c r="AL11" s="64" t="n">
        <v>394.5</v>
      </c>
      <c r="AM11" s="64" t="n">
        <v>419.7</v>
      </c>
      <c r="AN11" s="64" t="n">
        <v>434.5</v>
      </c>
      <c r="AO11" s="64" t="n">
        <v>430.9</v>
      </c>
    </row>
    <row r="12">
      <c r="A12" s="63" t="inlineStr">
        <is>
          <t>부채총계</t>
        </is>
      </c>
      <c r="B12" s="64" t="n"/>
      <c r="C12" s="64" t="n">
        <v>1955</v>
      </c>
      <c r="D12" s="64" t="n"/>
      <c r="E12" s="64" t="n"/>
      <c r="F12" s="64" t="n">
        <v>1970.2</v>
      </c>
      <c r="G12" s="64" t="n">
        <v>1953.4</v>
      </c>
      <c r="H12" s="64" t="n">
        <v>1993.8</v>
      </c>
      <c r="I12" s="64" t="n">
        <v>2169.7</v>
      </c>
      <c r="J12" s="64" t="n">
        <v>2203</v>
      </c>
      <c r="K12" s="64" t="n">
        <v>2265</v>
      </c>
      <c r="L12" s="64" t="n">
        <v>2234.6</v>
      </c>
      <c r="M12" s="64" t="n">
        <v>2278.5</v>
      </c>
      <c r="N12" s="64" t="n">
        <v>2312.5</v>
      </c>
      <c r="O12" s="64" t="n">
        <v>2322.4</v>
      </c>
      <c r="P12" s="64" t="n">
        <v>2374.4</v>
      </c>
      <c r="Q12" s="64" t="n">
        <v>2439.9</v>
      </c>
      <c r="R12" s="64" t="n">
        <v>2519</v>
      </c>
      <c r="S12" s="64" t="n">
        <v>2627.1</v>
      </c>
      <c r="T12" s="64" t="n">
        <v>2479.4</v>
      </c>
      <c r="U12" s="64" t="n">
        <v>2547.6</v>
      </c>
      <c r="V12" s="64" t="n">
        <v>2507.8</v>
      </c>
      <c r="W12" s="64" t="n">
        <v>2569.3</v>
      </c>
      <c r="X12" s="64" t="n">
        <v>2513.9</v>
      </c>
      <c r="Y12" s="64" t="n">
        <v>2552.1</v>
      </c>
      <c r="Z12" s="64" t="n">
        <v>2689.8</v>
      </c>
      <c r="AA12" s="64" t="n">
        <v>2790.1</v>
      </c>
      <c r="AB12" s="64" t="n">
        <v>2784.1</v>
      </c>
      <c r="AC12" s="64" t="n">
        <v>2802.1</v>
      </c>
      <c r="AD12" s="64" t="n">
        <v>2780.4</v>
      </c>
      <c r="AE12" s="64" t="n">
        <v>2803.3</v>
      </c>
      <c r="AF12" s="64" t="n">
        <v>2787.6</v>
      </c>
      <c r="AG12" s="64" t="n">
        <v>2752.3</v>
      </c>
      <c r="AH12" s="64" t="n">
        <v>2882.4</v>
      </c>
      <c r="AI12" s="64" t="n">
        <v>3015.4</v>
      </c>
      <c r="AJ12" s="64" t="n">
        <v>3084</v>
      </c>
      <c r="AK12" s="64" t="n">
        <v>3090.6</v>
      </c>
      <c r="AL12" s="64" t="n">
        <v>3168.6</v>
      </c>
      <c r="AM12" s="64" t="n">
        <v>3250.8</v>
      </c>
      <c r="AN12" s="64" t="n">
        <v>3224.4</v>
      </c>
      <c r="AO12" s="64" t="n">
        <v>3230.7</v>
      </c>
    </row>
    <row r="13">
      <c r="A13" s="63" t="inlineStr">
        <is>
          <t>자기자본</t>
        </is>
      </c>
      <c r="B13" s="65" t="n"/>
      <c r="C13" s="65" t="n">
        <v>975.2</v>
      </c>
      <c r="D13" s="65" t="n"/>
      <c r="E13" s="65" t="n"/>
      <c r="F13" s="65" t="n">
        <v>1036.9</v>
      </c>
      <c r="G13" s="65" t="n">
        <v>1049</v>
      </c>
      <c r="H13" s="65" t="n">
        <v>1054.2</v>
      </c>
      <c r="I13" s="65" t="n">
        <v>1064.3</v>
      </c>
      <c r="J13" s="65" t="n">
        <v>1066.4</v>
      </c>
      <c r="K13" s="65" t="n">
        <v>1090.8</v>
      </c>
      <c r="L13" s="65" t="n">
        <v>1083.5</v>
      </c>
      <c r="M13" s="65" t="n">
        <v>1101</v>
      </c>
      <c r="N13" s="65" t="n">
        <v>1097</v>
      </c>
      <c r="O13" s="65" t="n">
        <v>1073</v>
      </c>
      <c r="P13" s="65" t="n">
        <v>1087.2</v>
      </c>
      <c r="Q13" s="65" t="n">
        <v>1137.8</v>
      </c>
      <c r="R13" s="65" t="n">
        <v>1148.7</v>
      </c>
      <c r="S13" s="65" t="n">
        <v>1186.4</v>
      </c>
      <c r="T13" s="65" t="n">
        <v>1208.5</v>
      </c>
      <c r="U13" s="65" t="n">
        <v>1215</v>
      </c>
      <c r="V13" s="65" t="n">
        <v>1191.5</v>
      </c>
      <c r="W13" s="65" t="n">
        <v>1192.8</v>
      </c>
      <c r="X13" s="65" t="n">
        <v>1167.8</v>
      </c>
      <c r="Y13" s="65" t="n">
        <v>1172.3</v>
      </c>
      <c r="Z13" s="65" t="n">
        <v>1163.2</v>
      </c>
      <c r="AA13" s="65" t="n">
        <v>1193.2</v>
      </c>
      <c r="AB13" s="65" t="n">
        <v>1220.2</v>
      </c>
      <c r="AC13" s="65" t="n">
        <v>1244.9</v>
      </c>
      <c r="AD13" s="65" t="n">
        <v>1224.2</v>
      </c>
      <c r="AE13" s="65" t="n">
        <v>1256.5</v>
      </c>
      <c r="AF13" s="65" t="n">
        <v>1148.8</v>
      </c>
      <c r="AG13" s="65" t="n">
        <v>1149.1</v>
      </c>
      <c r="AH13" s="65" t="n">
        <v>1141.1</v>
      </c>
      <c r="AI13" s="65" t="n">
        <v>1180</v>
      </c>
      <c r="AJ13" s="65" t="n">
        <v>1184.3</v>
      </c>
      <c r="AK13" s="65" t="n">
        <v>1233.1</v>
      </c>
      <c r="AL13" s="65" t="n">
        <v>1245.5</v>
      </c>
      <c r="AM13" s="65" t="n">
        <v>1267.6</v>
      </c>
      <c r="AN13" s="65" t="n">
        <v>1237</v>
      </c>
      <c r="AO13" s="65" t="n">
        <v>1255.4</v>
      </c>
    </row>
    <row r="14">
      <c r="A14" s="63" t="inlineStr">
        <is>
          <t>유동비율</t>
        </is>
      </c>
      <c r="B14" s="65" t="n"/>
      <c r="C14" s="65" t="n">
        <v>101.6</v>
      </c>
      <c r="D14" s="65" t="n"/>
      <c r="E14" s="65" t="n"/>
      <c r="F14" s="65" t="n">
        <v>119.6</v>
      </c>
      <c r="G14" s="65" t="n">
        <v>110.5</v>
      </c>
      <c r="H14" s="65" t="n">
        <v>133.8</v>
      </c>
      <c r="I14" s="65" t="n">
        <v>156.5</v>
      </c>
      <c r="J14" s="65" t="n">
        <v>182.4</v>
      </c>
      <c r="K14" s="65" t="n">
        <v>164.1</v>
      </c>
      <c r="L14" s="65" t="n">
        <v>179.6</v>
      </c>
      <c r="M14" s="65" t="n">
        <v>262.7</v>
      </c>
      <c r="N14" s="65" t="n">
        <v>277.4</v>
      </c>
      <c r="O14" s="65" t="n">
        <v>265.2</v>
      </c>
      <c r="P14" s="65" t="n">
        <v>281.1</v>
      </c>
      <c r="Q14" s="65" t="n">
        <v>153.2</v>
      </c>
      <c r="R14" s="65" t="n">
        <v>146.4</v>
      </c>
      <c r="S14" s="65" t="n">
        <v>160.3</v>
      </c>
      <c r="T14" s="65" t="n">
        <v>187.5</v>
      </c>
      <c r="U14" s="65" t="n">
        <v>162.9</v>
      </c>
      <c r="V14" s="65" t="n">
        <v>123.2</v>
      </c>
      <c r="W14" s="65" t="n">
        <v>174.4</v>
      </c>
      <c r="X14" s="65" t="n">
        <v>191.5</v>
      </c>
      <c r="Y14" s="65" t="n">
        <v>152.6</v>
      </c>
      <c r="Z14" s="65" t="n">
        <v>160.3</v>
      </c>
      <c r="AA14" s="65" t="n">
        <v>135</v>
      </c>
      <c r="AB14" s="65" t="n">
        <v>154.7</v>
      </c>
      <c r="AC14" s="65" t="n">
        <v>153.9</v>
      </c>
      <c r="AD14" s="65" t="n">
        <v>132.6</v>
      </c>
      <c r="AE14" s="65" t="n">
        <v>183.3</v>
      </c>
      <c r="AF14" s="65" t="n">
        <v>135.3</v>
      </c>
      <c r="AG14" s="65" t="n">
        <v>129.1</v>
      </c>
      <c r="AH14" s="65" t="n">
        <v>159.1</v>
      </c>
      <c r="AI14" s="65" t="n">
        <v>185.3</v>
      </c>
      <c r="AJ14" s="65" t="n">
        <v>145.1</v>
      </c>
      <c r="AK14" s="65" t="n">
        <v>150.8</v>
      </c>
      <c r="AL14" s="65" t="n">
        <v>180.3</v>
      </c>
      <c r="AM14" s="65" t="n">
        <v>222.5</v>
      </c>
      <c r="AN14" s="65" t="n">
        <v>197.9</v>
      </c>
      <c r="AO14" s="65" t="n">
        <v>210.3</v>
      </c>
    </row>
    <row r="15">
      <c r="A15" s="63" t="inlineStr">
        <is>
          <t>부채비율</t>
        </is>
      </c>
      <c r="B15" s="65" t="n"/>
      <c r="C15" s="65" t="n">
        <v>200.5</v>
      </c>
      <c r="D15" s="65" t="n"/>
      <c r="E15" s="65" t="n"/>
      <c r="F15" s="65" t="n">
        <v>190</v>
      </c>
      <c r="G15" s="65" t="n">
        <v>186.2</v>
      </c>
      <c r="H15" s="65" t="n">
        <v>189.1</v>
      </c>
      <c r="I15" s="65" t="n">
        <v>203.9</v>
      </c>
      <c r="J15" s="65" t="n">
        <v>206.6</v>
      </c>
      <c r="K15" s="65" t="n">
        <v>207.6</v>
      </c>
      <c r="L15" s="65" t="n">
        <v>206.2</v>
      </c>
      <c r="M15" s="65" t="n">
        <v>206.9</v>
      </c>
      <c r="N15" s="65" t="n">
        <v>210.8</v>
      </c>
      <c r="O15" s="65" t="n">
        <v>216.4</v>
      </c>
      <c r="P15" s="65" t="n">
        <v>218.4</v>
      </c>
      <c r="Q15" s="65" t="n">
        <v>214.4</v>
      </c>
      <c r="R15" s="65" t="n">
        <v>219.3</v>
      </c>
      <c r="S15" s="65" t="n">
        <v>221.4</v>
      </c>
      <c r="T15" s="65" t="n">
        <v>205.2</v>
      </c>
      <c r="U15" s="65" t="n">
        <v>209.7</v>
      </c>
      <c r="V15" s="65" t="n">
        <v>210.5</v>
      </c>
      <c r="W15" s="65" t="n">
        <v>215.4</v>
      </c>
      <c r="X15" s="65" t="n">
        <v>215.3</v>
      </c>
      <c r="Y15" s="65" t="n">
        <v>217.7</v>
      </c>
      <c r="Z15" s="65" t="n">
        <v>231.2</v>
      </c>
      <c r="AA15" s="65" t="n">
        <v>233.8</v>
      </c>
      <c r="AB15" s="65" t="n">
        <v>228.2</v>
      </c>
      <c r="AC15" s="65" t="n">
        <v>225.1</v>
      </c>
      <c r="AD15" s="65" t="n">
        <v>227.1</v>
      </c>
      <c r="AE15" s="65" t="n">
        <v>223.1</v>
      </c>
      <c r="AF15" s="65" t="n">
        <v>242.7</v>
      </c>
      <c r="AG15" s="65" t="n">
        <v>239.5</v>
      </c>
      <c r="AH15" s="65" t="n">
        <v>252.6</v>
      </c>
      <c r="AI15" s="65" t="n">
        <v>255.5</v>
      </c>
      <c r="AJ15" s="65" t="n">
        <v>260.4</v>
      </c>
      <c r="AK15" s="65" t="n">
        <v>250.6</v>
      </c>
      <c r="AL15" s="65" t="n">
        <v>254.4</v>
      </c>
      <c r="AM15" s="65" t="n">
        <v>256.5</v>
      </c>
      <c r="AN15" s="65" t="n">
        <v>260.7</v>
      </c>
      <c r="AO15" s="65" t="n">
        <v>257.3</v>
      </c>
    </row>
    <row r="16">
      <c r="A16" s="63" t="inlineStr">
        <is>
          <t>순차입금/자기자본</t>
        </is>
      </c>
      <c r="B16" s="65" t="n"/>
      <c r="C16" s="65" t="n">
        <v>141.3</v>
      </c>
      <c r="D16" s="65" t="n"/>
      <c r="E16" s="65" t="n"/>
      <c r="F16" s="65" t="n">
        <v>141.5</v>
      </c>
      <c r="G16" s="65" t="n">
        <v>136.2</v>
      </c>
      <c r="H16" s="65" t="n">
        <v>139.1</v>
      </c>
      <c r="I16" s="65" t="n">
        <v>149.8</v>
      </c>
      <c r="J16" s="65" t="n">
        <v>157.6</v>
      </c>
      <c r="K16" s="65" t="n">
        <v>160.3</v>
      </c>
      <c r="L16" s="65" t="n">
        <v>156.6</v>
      </c>
      <c r="M16" s="65" t="n">
        <v>157.2</v>
      </c>
      <c r="N16" s="65" t="n">
        <v>157.4</v>
      </c>
      <c r="O16" s="65" t="n">
        <v>155.8</v>
      </c>
      <c r="P16" s="65" t="n">
        <v>157.3</v>
      </c>
      <c r="Q16" s="65" t="n">
        <v>154.6</v>
      </c>
      <c r="R16" s="65" t="n">
        <v>160.2</v>
      </c>
      <c r="S16" s="65" t="n">
        <v>153.4</v>
      </c>
      <c r="T16" s="65" t="n">
        <v>134.4</v>
      </c>
      <c r="U16" s="65" t="n">
        <v>145.8</v>
      </c>
      <c r="V16" s="65" t="n">
        <v>151.7</v>
      </c>
      <c r="W16" s="65" t="n">
        <v>150.1</v>
      </c>
      <c r="X16" s="65" t="n">
        <v>153</v>
      </c>
      <c r="Y16" s="65" t="n">
        <v>155.2</v>
      </c>
      <c r="Z16" s="65" t="n">
        <v>166.7</v>
      </c>
      <c r="AA16" s="65" t="n">
        <v>168.6</v>
      </c>
      <c r="AB16" s="65" t="n">
        <v>164.8</v>
      </c>
      <c r="AC16" s="65" t="n">
        <v>152.9</v>
      </c>
      <c r="AD16" s="65" t="n">
        <v>165.3</v>
      </c>
      <c r="AE16" s="65" t="n">
        <v>161</v>
      </c>
      <c r="AF16" s="65" t="n">
        <v>181.9</v>
      </c>
      <c r="AG16" s="65" t="n">
        <v>178.9</v>
      </c>
      <c r="AH16" s="65" t="n">
        <v>188.1</v>
      </c>
      <c r="AI16" s="65" t="n">
        <v>191.8</v>
      </c>
      <c r="AJ16" s="65" t="n">
        <v>196.7</v>
      </c>
      <c r="AK16" s="65" t="n">
        <v>188</v>
      </c>
      <c r="AL16" s="65" t="n">
        <v>190.6</v>
      </c>
      <c r="AM16" s="65" t="n">
        <v>190.4</v>
      </c>
      <c r="AN16" s="65" t="n">
        <v>195.7</v>
      </c>
      <c r="AO16" s="65" t="n">
        <v>192.7</v>
      </c>
    </row>
    <row r="17">
      <c r="A17" s="63" t="inlineStr">
        <is>
          <t>재고자산</t>
        </is>
      </c>
      <c r="B17" s="64" t="n"/>
      <c r="C17" s="64" t="n">
        <v>164.3</v>
      </c>
      <c r="D17" s="64" t="n"/>
      <c r="E17" s="64" t="n"/>
      <c r="F17" s="64" t="n">
        <v>140.2</v>
      </c>
      <c r="G17" s="64" t="n">
        <v>142.1</v>
      </c>
      <c r="H17" s="64" t="n">
        <v>225.7</v>
      </c>
      <c r="I17" s="64" t="n">
        <v>348.9</v>
      </c>
      <c r="J17" s="64" t="n">
        <v>347.7</v>
      </c>
      <c r="K17" s="64" t="n">
        <v>377.3</v>
      </c>
      <c r="L17" s="64" t="n">
        <v>355.4</v>
      </c>
      <c r="M17" s="64" t="n">
        <v>250.9</v>
      </c>
      <c r="N17" s="64" t="n">
        <v>250.1</v>
      </c>
      <c r="O17" s="64" t="n">
        <v>246.6</v>
      </c>
      <c r="P17" s="64" t="n">
        <v>245.8</v>
      </c>
      <c r="Q17" s="64" t="n">
        <v>237.3</v>
      </c>
      <c r="R17" s="64" t="n">
        <v>250.8</v>
      </c>
      <c r="S17" s="64" t="n">
        <v>302.6</v>
      </c>
      <c r="T17" s="64" t="n">
        <v>65.09999999999999</v>
      </c>
      <c r="U17" s="64" t="n">
        <v>102.4</v>
      </c>
      <c r="V17" s="64" t="n">
        <v>112.4</v>
      </c>
      <c r="W17" s="64" t="n">
        <v>196.2</v>
      </c>
      <c r="X17" s="64" t="n">
        <v>104.9</v>
      </c>
      <c r="Y17" s="64" t="n">
        <v>104.1</v>
      </c>
      <c r="Z17" s="64" t="n">
        <v>103.4</v>
      </c>
      <c r="AA17" s="64" t="n">
        <v>141.5</v>
      </c>
      <c r="AB17" s="64" t="n">
        <v>110.3</v>
      </c>
      <c r="AC17" s="64" t="n">
        <v>61.8</v>
      </c>
      <c r="AD17" s="64" t="n">
        <v>76.40000000000001</v>
      </c>
      <c r="AE17" s="64" t="n">
        <v>206.4</v>
      </c>
      <c r="AF17" s="64" t="n">
        <v>187.2</v>
      </c>
      <c r="AG17" s="64" t="n">
        <v>186.9</v>
      </c>
      <c r="AH17" s="64" t="n">
        <v>186.6</v>
      </c>
      <c r="AI17" s="64" t="n">
        <v>298.2</v>
      </c>
      <c r="AJ17" s="64" t="n">
        <v>292.9</v>
      </c>
      <c r="AK17" s="64" t="n">
        <v>292</v>
      </c>
      <c r="AL17" s="64" t="n">
        <v>426.2</v>
      </c>
      <c r="AM17" s="64" t="n">
        <v>558.2</v>
      </c>
      <c r="AN17" s="64" t="n">
        <v>552.6</v>
      </c>
      <c r="AO17" s="64" t="n">
        <v>677.4</v>
      </c>
    </row>
    <row r="18">
      <c r="A18" s="63" t="inlineStr">
        <is>
          <t>재고자산 회전일수</t>
        </is>
      </c>
      <c r="B18" s="64" t="n"/>
      <c r="C18" s="64" t="n">
        <v>104</v>
      </c>
      <c r="D18" s="64" t="n"/>
      <c r="E18" s="64" t="n"/>
      <c r="F18" s="64" t="n">
        <v>191</v>
      </c>
      <c r="G18" s="64" t="n">
        <v>371</v>
      </c>
      <c r="H18" s="64" t="n">
        <v>239</v>
      </c>
      <c r="I18" s="64" t="n">
        <v>305</v>
      </c>
      <c r="J18" s="64" t="n">
        <v>950</v>
      </c>
      <c r="K18" s="64" t="n">
        <v>956</v>
      </c>
      <c r="L18" s="64" t="n">
        <v>405</v>
      </c>
      <c r="M18" s="64" t="n">
        <v>153</v>
      </c>
      <c r="N18" s="64" t="n">
        <v>664</v>
      </c>
      <c r="O18" s="64" t="n">
        <v>432</v>
      </c>
      <c r="P18" s="64" t="n">
        <v>660</v>
      </c>
      <c r="Q18" s="64" t="n">
        <v>235</v>
      </c>
      <c r="R18" s="64" t="n">
        <v>675</v>
      </c>
      <c r="S18" s="64" t="n">
        <v>736</v>
      </c>
      <c r="T18" s="64" t="n">
        <v>21</v>
      </c>
      <c r="U18" s="64" t="n">
        <v>243</v>
      </c>
      <c r="V18" s="64" t="n">
        <v>257</v>
      </c>
      <c r="W18" s="64" t="n">
        <v>392</v>
      </c>
      <c r="X18" s="64" t="n">
        <v>73</v>
      </c>
      <c r="Y18" s="64" t="n">
        <v>226</v>
      </c>
      <c r="Z18" s="64" t="n">
        <v>222</v>
      </c>
      <c r="AA18" s="64" t="n">
        <v>191</v>
      </c>
      <c r="AB18" s="64" t="n">
        <v>138</v>
      </c>
      <c r="AC18" s="64" t="n">
        <v>62</v>
      </c>
      <c r="AD18" s="64" t="n">
        <v>151</v>
      </c>
      <c r="AE18" s="64" t="n">
        <v>386</v>
      </c>
      <c r="AF18" s="64" t="n">
        <v>271</v>
      </c>
      <c r="AG18" s="64" t="n">
        <v>372</v>
      </c>
      <c r="AH18" s="64" t="n">
        <v>369</v>
      </c>
      <c r="AI18" s="64" t="n">
        <v>358</v>
      </c>
      <c r="AJ18" s="64" t="n">
        <v>322</v>
      </c>
      <c r="AK18" s="64" t="n">
        <v>539</v>
      </c>
      <c r="AL18" s="64" t="n">
        <v>592</v>
      </c>
      <c r="AM18" s="64" t="n">
        <v>518</v>
      </c>
      <c r="AN18" s="64" t="n">
        <v>752</v>
      </c>
      <c r="AO18" s="64" t="n">
        <v>667</v>
      </c>
    </row>
    <row r="19">
      <c r="A19" s="63" t="inlineStr">
        <is>
          <t>매출채권 회전일수</t>
        </is>
      </c>
      <c r="B19" s="64" t="n"/>
      <c r="C19" s="64" t="n"/>
      <c r="D19" s="64" t="n"/>
      <c r="E19" s="64" t="n"/>
      <c r="F19" s="64" t="n"/>
      <c r="G19" s="64" t="n"/>
      <c r="H19" s="64" t="n"/>
      <c r="I19" s="64" t="n"/>
      <c r="J19" s="64" t="n"/>
      <c r="K19" s="64" t="n"/>
      <c r="L19" s="64" t="n"/>
      <c r="M19" s="64" t="n"/>
      <c r="N19" s="64" t="n"/>
      <c r="O19" s="64" t="n"/>
      <c r="P19" s="64" t="n"/>
      <c r="Q19" s="64" t="n"/>
      <c r="R19" s="64" t="n"/>
      <c r="S19" s="64" t="n"/>
      <c r="T19" s="64" t="n"/>
      <c r="U19" s="64" t="n"/>
      <c r="V19" s="64" t="n"/>
      <c r="W19" s="64" t="n"/>
      <c r="X19" s="64" t="n"/>
      <c r="Y19" s="64" t="n"/>
      <c r="Z19" s="64" t="n"/>
      <c r="AA19" s="64" t="n"/>
      <c r="AB19" s="64" t="n"/>
      <c r="AC19" s="64" t="n"/>
      <c r="AD19" s="64" t="n"/>
      <c r="AE19" s="64" t="n"/>
      <c r="AF19" s="64" t="n"/>
      <c r="AG19" s="64" t="n"/>
      <c r="AH19" s="64" t="n"/>
      <c r="AI19" s="64" t="n"/>
      <c r="AJ19" s="64" t="n"/>
      <c r="AK19" s="64" t="n"/>
      <c r="AL19" s="64" t="n"/>
      <c r="AM19" s="64" t="n"/>
      <c r="AN19" s="64" t="n"/>
      <c r="AO19" s="64" t="n"/>
    </row>
    <row r="20">
      <c r="A20" s="63" t="inlineStr">
        <is>
          <t>매입채무 회전일수</t>
        </is>
      </c>
      <c r="B20" s="64" t="n"/>
      <c r="C20" s="64" t="n"/>
      <c r="D20" s="64" t="n"/>
      <c r="E20" s="64" t="n"/>
      <c r="F20" s="64" t="n"/>
      <c r="G20" s="64" t="n"/>
      <c r="H20" s="64" t="n"/>
      <c r="I20" s="64" t="n"/>
      <c r="J20" s="64" t="n"/>
      <c r="K20" s="64" t="n"/>
      <c r="L20" s="64" t="n"/>
      <c r="M20" s="64" t="n"/>
      <c r="N20" s="64" t="n"/>
      <c r="O20" s="64" t="n"/>
      <c r="P20" s="64" t="n"/>
      <c r="Q20" s="64" t="n"/>
      <c r="R20" s="64" t="n"/>
      <c r="S20" s="64" t="n"/>
      <c r="T20" s="64" t="n"/>
      <c r="U20" s="64" t="n"/>
      <c r="V20" s="64" t="n"/>
      <c r="W20" s="64" t="n"/>
      <c r="X20" s="64" t="n"/>
      <c r="Y20" s="64" t="n"/>
      <c r="Z20" s="64" t="n"/>
      <c r="AA20" s="64" t="n"/>
      <c r="AB20" s="64" t="n"/>
      <c r="AC20" s="64" t="n"/>
      <c r="AD20" s="64" t="n"/>
      <c r="AE20" s="64" t="n"/>
      <c r="AF20" s="64" t="n"/>
      <c r="AG20" s="64" t="n"/>
      <c r="AH20" s="64" t="n"/>
      <c r="AI20" s="64" t="n"/>
      <c r="AJ20" s="64" t="n"/>
      <c r="AK20" s="64" t="n"/>
      <c r="AL20" s="64" t="n"/>
      <c r="AM20" s="64" t="n"/>
      <c r="AN20" s="64" t="n"/>
      <c r="AO20" s="64" t="n"/>
    </row>
    <row r="21">
      <c r="A21" s="63" t="inlineStr">
        <is>
          <t>현금전환주기(CCC)</t>
        </is>
      </c>
      <c r="B21" s="64" t="n"/>
      <c r="C21" s="64" t="n"/>
      <c r="D21" s="64" t="n"/>
      <c r="E21" s="64" t="n"/>
      <c r="F21" s="64" t="n"/>
      <c r="G21" s="64" t="n"/>
      <c r="H21" s="64" t="n"/>
      <c r="I21" s="64" t="n"/>
      <c r="J21" s="64" t="n"/>
      <c r="K21" s="64" t="n"/>
      <c r="L21" s="64" t="n"/>
      <c r="M21" s="64" t="n"/>
      <c r="N21" s="64" t="n"/>
      <c r="O21" s="64" t="n"/>
      <c r="P21" s="64" t="n"/>
      <c r="Q21" s="64" t="n"/>
      <c r="R21" s="64" t="n"/>
      <c r="S21" s="64" t="n"/>
      <c r="T21" s="64" t="n"/>
      <c r="U21" s="64" t="n"/>
      <c r="V21" s="64" t="n"/>
      <c r="W21" s="64" t="n"/>
      <c r="X21" s="64" t="n"/>
      <c r="Y21" s="64" t="n"/>
      <c r="Z21" s="64" t="n"/>
      <c r="AA21" s="64" t="n"/>
      <c r="AB21" s="64" t="n"/>
      <c r="AC21" s="64" t="n"/>
      <c r="AD21" s="64" t="n"/>
      <c r="AE21" s="64" t="n"/>
      <c r="AF21" s="64" t="n"/>
      <c r="AG21" s="64" t="n"/>
      <c r="AH21" s="64" t="n"/>
      <c r="AI21" s="64" t="n"/>
      <c r="AJ21" s="64" t="n"/>
      <c r="AK21" s="64" t="n"/>
      <c r="AL21" s="64" t="n"/>
      <c r="AM21" s="64" t="n"/>
      <c r="AN21" s="64" t="n"/>
      <c r="AO21" s="64" t="n"/>
    </row>
    <row r="22">
      <c r="A22" s="63" t="inlineStr">
        <is>
          <t>총 차입금</t>
        </is>
      </c>
      <c r="B22" s="64" t="n"/>
      <c r="C22" s="64" t="n">
        <v>1570.5</v>
      </c>
      <c r="D22" s="64" t="n"/>
      <c r="E22" s="64" t="n"/>
      <c r="F22" s="64" t="n">
        <v>1570.9</v>
      </c>
      <c r="G22" s="64" t="n">
        <v>1557.9</v>
      </c>
      <c r="H22" s="64" t="n">
        <v>1601.1</v>
      </c>
      <c r="I22" s="64" t="n">
        <v>1771.6</v>
      </c>
      <c r="J22" s="64" t="n">
        <v>1806.7</v>
      </c>
      <c r="K22" s="64" t="n">
        <v>1846.6</v>
      </c>
      <c r="L22" s="64" t="n">
        <v>1809.4</v>
      </c>
      <c r="M22" s="64" t="n">
        <v>1838.8</v>
      </c>
      <c r="N22" s="64" t="n">
        <v>1827.5</v>
      </c>
      <c r="O22" s="64" t="n">
        <v>1829.8</v>
      </c>
      <c r="P22" s="64" t="n">
        <v>1911</v>
      </c>
      <c r="Q22" s="64" t="n">
        <v>1959.1</v>
      </c>
      <c r="R22" s="64" t="n">
        <v>2037.4</v>
      </c>
      <c r="S22" s="64" t="n">
        <v>2117.3</v>
      </c>
      <c r="T22" s="64" t="n">
        <v>1952.4</v>
      </c>
      <c r="U22" s="64" t="n">
        <v>1991.4</v>
      </c>
      <c r="V22" s="64" t="n">
        <v>1976</v>
      </c>
      <c r="W22" s="64" t="n">
        <v>2022.4</v>
      </c>
      <c r="X22" s="64" t="n">
        <v>2007.5</v>
      </c>
      <c r="Y22" s="64" t="n">
        <v>2032</v>
      </c>
      <c r="Z22" s="64" t="n">
        <v>2171.1</v>
      </c>
      <c r="AA22" s="64" t="n">
        <v>2220.5</v>
      </c>
      <c r="AB22" s="64" t="n">
        <v>2246.6</v>
      </c>
      <c r="AC22" s="64" t="n">
        <v>2209</v>
      </c>
      <c r="AD22" s="64" t="n">
        <v>2223.8</v>
      </c>
      <c r="AE22" s="64" t="n">
        <v>2226.6</v>
      </c>
      <c r="AF22" s="64" t="n">
        <v>2230.7</v>
      </c>
      <c r="AG22" s="64" t="n">
        <v>2201</v>
      </c>
      <c r="AH22" s="64" t="n">
        <v>2334.4</v>
      </c>
      <c r="AI22" s="64" t="n">
        <v>2456.8</v>
      </c>
      <c r="AJ22" s="64" t="n">
        <v>2483.3</v>
      </c>
      <c r="AK22" s="64" t="n">
        <v>2501.5</v>
      </c>
      <c r="AL22" s="64" t="n">
        <v>2540.6</v>
      </c>
      <c r="AM22" s="64" t="n">
        <v>2613.4</v>
      </c>
      <c r="AN22" s="64" t="n">
        <v>2593.3</v>
      </c>
      <c r="AO22" s="64" t="n">
        <v>2565.3</v>
      </c>
    </row>
    <row r="23">
      <c r="A23" s="63" t="inlineStr">
        <is>
          <t>현금</t>
        </is>
      </c>
      <c r="B23" s="64" t="n"/>
      <c r="C23" s="64" t="n">
        <v>192.2</v>
      </c>
      <c r="D23" s="64" t="n"/>
      <c r="E23" s="64" t="n"/>
      <c r="F23" s="64" t="n">
        <v>104.2</v>
      </c>
      <c r="G23" s="64" t="n">
        <v>128.8</v>
      </c>
      <c r="H23" s="64" t="n">
        <v>134.4</v>
      </c>
      <c r="I23" s="64" t="n">
        <v>177.5</v>
      </c>
      <c r="J23" s="64" t="n">
        <v>125.6</v>
      </c>
      <c r="K23" s="64" t="n">
        <v>98.09999999999999</v>
      </c>
      <c r="L23" s="64" t="n">
        <v>112.2</v>
      </c>
      <c r="M23" s="64" t="n">
        <v>107.5</v>
      </c>
      <c r="N23" s="64" t="n">
        <v>100.3</v>
      </c>
      <c r="O23" s="64" t="n">
        <v>157.7</v>
      </c>
      <c r="P23" s="64" t="n">
        <v>200.5</v>
      </c>
      <c r="Q23" s="64" t="n">
        <v>200</v>
      </c>
      <c r="R23" s="64" t="n">
        <v>197.4</v>
      </c>
      <c r="S23" s="64" t="n">
        <v>296.9</v>
      </c>
      <c r="T23" s="64" t="n">
        <v>328.5</v>
      </c>
      <c r="U23" s="64" t="n">
        <v>219.7</v>
      </c>
      <c r="V23" s="64" t="n">
        <v>168.1</v>
      </c>
      <c r="W23" s="64" t="n">
        <v>232.1</v>
      </c>
      <c r="X23" s="64" t="n">
        <v>220.3</v>
      </c>
      <c r="Y23" s="64" t="n">
        <v>212.1</v>
      </c>
      <c r="Z23" s="64" t="n">
        <v>232.4</v>
      </c>
      <c r="AA23" s="64" t="n">
        <v>209.1</v>
      </c>
      <c r="AB23" s="64" t="n">
        <v>236.2</v>
      </c>
      <c r="AC23" s="64" t="n">
        <v>305.6</v>
      </c>
      <c r="AD23" s="64" t="n">
        <v>200.8</v>
      </c>
      <c r="AE23" s="64" t="n">
        <v>204.2</v>
      </c>
      <c r="AF23" s="64" t="n">
        <v>140.9</v>
      </c>
      <c r="AG23" s="64" t="n">
        <v>145.4</v>
      </c>
      <c r="AH23" s="64" t="n">
        <v>187.6</v>
      </c>
      <c r="AI23" s="64" t="n">
        <v>193.4</v>
      </c>
      <c r="AJ23" s="64" t="n">
        <v>153.9</v>
      </c>
      <c r="AK23" s="64" t="n">
        <v>183.1</v>
      </c>
      <c r="AL23" s="64" t="n">
        <v>167.1</v>
      </c>
      <c r="AM23" s="64" t="n">
        <v>199.3</v>
      </c>
      <c r="AN23" s="64" t="n">
        <v>172.2</v>
      </c>
      <c r="AO23" s="64" t="n">
        <v>146</v>
      </c>
    </row>
    <row r="24">
      <c r="A24" s="63" t="inlineStr">
        <is>
          <t>부문별 매출 · ビルディング事業、報告セグメント [メンバー]</t>
        </is>
      </c>
      <c r="B24" s="64" t="n"/>
      <c r="C24" s="64" t="n"/>
      <c r="D24" s="64" t="n"/>
      <c r="E24" s="64" t="n"/>
      <c r="F24" s="64" t="n"/>
      <c r="G24" s="64" t="n"/>
      <c r="H24" s="64" t="n"/>
      <c r="I24" s="64" t="n"/>
      <c r="J24" s="64" t="n"/>
      <c r="K24" s="64" t="n"/>
      <c r="L24" s="64" t="n"/>
      <c r="M24" s="64" t="n"/>
      <c r="N24" s="64" t="n"/>
      <c r="O24" s="64" t="n"/>
      <c r="P24" s="64" t="n"/>
      <c r="Q24" s="64" t="n"/>
      <c r="R24" s="64" t="n"/>
      <c r="S24" s="64" t="n"/>
      <c r="T24" s="64" t="n"/>
      <c r="U24" s="64" t="n"/>
      <c r="V24" s="64" t="n"/>
      <c r="W24" s="64" t="n"/>
      <c r="X24" s="64" t="n"/>
      <c r="Y24" s="64" t="n"/>
      <c r="Z24" s="64" t="n"/>
      <c r="AA24" s="64" t="n"/>
      <c r="AB24" s="64" t="n">
        <v>144.1</v>
      </c>
      <c r="AC24" s="64" t="n">
        <v>119.6</v>
      </c>
      <c r="AD24" s="64" t="n">
        <v>68.2</v>
      </c>
      <c r="AE24" s="64" t="n">
        <v>73.5</v>
      </c>
      <c r="AF24" s="64" t="n">
        <v>98.8</v>
      </c>
      <c r="AG24" s="64" t="n">
        <v>71.3</v>
      </c>
      <c r="AH24" s="64" t="n">
        <v>74.3</v>
      </c>
      <c r="AI24" s="64" t="n">
        <v>135.6</v>
      </c>
      <c r="AJ24" s="64" t="n">
        <v>124.2</v>
      </c>
      <c r="AK24" s="64" t="n">
        <v>73.09999999999999</v>
      </c>
      <c r="AL24" s="64" t="n">
        <v>100.5</v>
      </c>
      <c r="AM24" s="64" t="n">
        <v>164.5</v>
      </c>
      <c r="AN24" s="64" t="n">
        <v>101.6</v>
      </c>
      <c r="AO24" s="64" t="n">
        <v>140.2</v>
      </c>
      <c r="AP24" s="60" t="inlineStr">
        <is>
          <t>결산단신 부문 정보(외부 고객 매출)</t>
        </is>
      </c>
    </row>
    <row r="25">
      <c r="A25" s="63" t="inlineStr">
        <is>
          <t>부문별 매출 · アセットマネジメント事業 [メンバー]</t>
        </is>
      </c>
      <c r="B25" s="64" t="n"/>
      <c r="C25" s="64" t="n"/>
      <c r="D25" s="64" t="n"/>
      <c r="E25" s="64" t="n"/>
      <c r="F25" s="64" t="n"/>
      <c r="G25" s="64" t="n"/>
      <c r="H25" s="64" t="n"/>
      <c r="I25" s="64" t="n"/>
      <c r="J25" s="64" t="n"/>
      <c r="K25" s="64" t="n"/>
      <c r="L25" s="64" t="n"/>
      <c r="M25" s="64" t="n"/>
      <c r="N25" s="64" t="n"/>
      <c r="O25" s="64" t="n"/>
      <c r="P25" s="64" t="n"/>
      <c r="Q25" s="64" t="n"/>
      <c r="R25" s="64" t="n"/>
      <c r="S25" s="64" t="n"/>
      <c r="T25" s="64" t="n"/>
      <c r="U25" s="64" t="n"/>
      <c r="V25" s="64" t="n"/>
      <c r="W25" s="64" t="n"/>
      <c r="X25" s="64" t="n"/>
      <c r="Y25" s="64" t="n"/>
      <c r="Z25" s="64" t="n"/>
      <c r="AA25" s="64" t="n"/>
      <c r="AB25" s="64" t="n">
        <v>6.2</v>
      </c>
      <c r="AC25" s="64" t="n">
        <v>12</v>
      </c>
      <c r="AD25" s="64" t="n">
        <v>7</v>
      </c>
      <c r="AE25" s="64" t="n">
        <v>13.7</v>
      </c>
      <c r="AF25" s="64" t="n">
        <v>7</v>
      </c>
      <c r="AG25" s="64" t="n">
        <v>10.5</v>
      </c>
      <c r="AH25" s="64" t="n">
        <v>7.5</v>
      </c>
      <c r="AI25" s="64" t="n">
        <v>15.7</v>
      </c>
      <c r="AJ25" s="64" t="n">
        <v>7</v>
      </c>
      <c r="AK25" s="64" t="n">
        <v>13.8</v>
      </c>
      <c r="AL25" s="64" t="n">
        <v>9</v>
      </c>
      <c r="AM25" s="64" t="n">
        <v>16.4</v>
      </c>
      <c r="AN25" s="64" t="n">
        <v>8.6</v>
      </c>
      <c r="AO25" s="64" t="n">
        <v>15.1</v>
      </c>
      <c r="AP25" s="60" t="inlineStr">
        <is>
          <t>결산단신 부문 정보(외부 고객 매출)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2026-10-30T06:40:35Z</dcterms:created>
  <dcterms:modified xmlns:dcterms="http://purl.org/dc/terms/" xmlns:xsi="http://www.w3.org/2001/XMLSchema-instance" xsi:type="dcterms:W3CDTF">2026-10-30T06:40:55Z</dcterms:modified>
</cp:coreProperties>
</file>