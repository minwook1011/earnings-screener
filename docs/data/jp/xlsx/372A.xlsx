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출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</fonts>
  <fills count="3">
    <fill>
      <patternFill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40" customWidth="1" min="17" max="17"/>
  </cols>
  <sheetData>
    <row r="1">
      <c r="A1" s="1" t="inlineStr">
        <is>
          <t>렌토 손익계산서</t>
        </is>
      </c>
    </row>
    <row r="2">
      <c r="A2" s="2" t="inlineStr">
        <is>
          <t>결산기 기준(27.2Q = 2027년 결산기 2분기) · 5월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23.4Q</t>
        </is>
      </c>
      <c r="D3" s="4" t="inlineStr">
        <is>
          <t>24.4Q</t>
        </is>
      </c>
      <c r="E3" s="4" t="inlineStr">
        <is>
          <t>25.2Q</t>
        </is>
      </c>
      <c r="F3" s="4" t="inlineStr">
        <is>
          <t>25.3Q</t>
        </is>
      </c>
      <c r="G3" s="4" t="inlineStr">
        <is>
          <t>25.4Q</t>
        </is>
      </c>
      <c r="H3" s="4" t="inlineStr">
        <is>
          <t>26.1Q</t>
        </is>
      </c>
      <c r="I3" s="4" t="inlineStr">
        <is>
          <t>26.2Q</t>
        </is>
      </c>
      <c r="J3" s="4" t="inlineStr">
        <is>
          <t>26.3Q</t>
        </is>
      </c>
      <c r="K3" s="4" t="inlineStr">
        <is>
          <t>26.4Q</t>
        </is>
      </c>
      <c r="L3" s="4" t="inlineStr">
        <is>
          <t>27.1Q</t>
        </is>
      </c>
      <c r="M3" s="4" t="inlineStr">
        <is>
          <t>FY23</t>
        </is>
      </c>
      <c r="N3" s="4" t="inlineStr">
        <is>
          <t>FY24</t>
        </is>
      </c>
      <c r="O3" s="4" t="inlineStr">
        <is>
          <t>FY25</t>
        </is>
      </c>
      <c r="P3" s="4" t="inlineStr">
        <is>
          <t>FY26</t>
        </is>
      </c>
      <c r="Q3" s="4" t="inlineStr">
        <is>
          <t>출처</t>
        </is>
      </c>
    </row>
    <row r="4">
      <c r="A4" s="5" t="inlineStr">
        <is>
          <t>매출액</t>
        </is>
      </c>
      <c r="F4" s="6" t="n">
        <v>127.5167</v>
      </c>
      <c r="G4" s="6" t="n">
        <v>117.7599</v>
      </c>
      <c r="H4" s="6" t="n">
        <v>126.6778</v>
      </c>
      <c r="I4" s="6" t="n">
        <v>136.2699</v>
      </c>
      <c r="J4" s="6" t="n">
        <v>136.2632</v>
      </c>
      <c r="K4" s="6" t="n">
        <v>130.2422</v>
      </c>
      <c r="L4" s="6" t="n">
        <v>140.9689</v>
      </c>
      <c r="N4" s="6" t="n">
        <v>436.9</v>
      </c>
      <c r="O4" s="6" t="n">
        <v>490.8845</v>
      </c>
      <c r="P4" s="6" t="n">
        <v>529.453</v>
      </c>
      <c r="Q4" s="7" t="inlineStr">
        <is>
          <t>결산단신 XBRL(거래소 공시, TDnet·JPX 보관소). 쓴 문서: 2026-10-15, 2026-07-15, 2026-04-14, 2026-01-14 외 2건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N5" s="9">
        <f>IF(OR(N4="",M4=""),"",IFERROR(N4/M4-1,""))</f>
        <v/>
      </c>
      <c r="O5" s="9">
        <f>IF(OR(O4="",N4=""),"",IFERROR(O4/N4-1,""))</f>
        <v/>
      </c>
      <c r="P5" s="9">
        <f>IF(OR(P4="",O4=""),"",IFERROR(P4/O4-1,""))</f>
        <v/>
      </c>
    </row>
    <row r="6">
      <c r="A6" s="5" t="inlineStr">
        <is>
          <t>매출원가</t>
        </is>
      </c>
      <c r="F6" s="6" t="n">
        <v>84.795</v>
      </c>
      <c r="G6" s="6" t="n">
        <v>86.3391</v>
      </c>
      <c r="H6" s="6" t="n">
        <v>83.3319</v>
      </c>
      <c r="I6" s="6" t="n">
        <v>87.541</v>
      </c>
      <c r="J6" s="6" t="n">
        <v>88.0976</v>
      </c>
      <c r="K6" s="6" t="n">
        <v>92.6224</v>
      </c>
      <c r="L6" s="6" t="n">
        <v>90.0609</v>
      </c>
      <c r="N6" s="6" t="n">
        <v>299.8304</v>
      </c>
      <c r="O6" s="6" t="n">
        <v>334.1009</v>
      </c>
      <c r="P6" s="6" t="n">
        <v>351.5929</v>
      </c>
    </row>
    <row r="7">
      <c r="A7" s="5" t="inlineStr">
        <is>
          <t>매출총이익</t>
        </is>
      </c>
      <c r="F7" s="6" t="n">
        <v>42.7217</v>
      </c>
      <c r="G7" s="6" t="n">
        <v>31.4207</v>
      </c>
      <c r="H7" s="6" t="n">
        <v>43.3459</v>
      </c>
      <c r="I7" s="6" t="n">
        <v>48.7289</v>
      </c>
      <c r="J7" s="6" t="n">
        <v>48.1655</v>
      </c>
      <c r="K7" s="6" t="n">
        <v>37.6197</v>
      </c>
      <c r="L7" s="6" t="n">
        <v>50.908</v>
      </c>
      <c r="N7" s="6" t="n">
        <v>137.0696</v>
      </c>
      <c r="O7" s="6" t="n">
        <v>156.7836</v>
      </c>
      <c r="P7" s="6" t="n">
        <v>177.8601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</row>
    <row r="9">
      <c r="A9" s="10" t="inlineStr">
        <is>
          <t>대손충당금 전입</t>
        </is>
      </c>
      <c r="F9" s="11" t="n">
        <v>0.2841</v>
      </c>
      <c r="G9" s="11" t="n">
        <v>0.1239</v>
      </c>
      <c r="H9" s="11" t="n">
        <v>0.4462</v>
      </c>
      <c r="I9" s="11" t="n">
        <v>1.0324</v>
      </c>
      <c r="J9" s="11" t="n">
        <v>0.1293</v>
      </c>
      <c r="K9" s="11" t="n">
        <v>0.0682</v>
      </c>
      <c r="L9" s="11" t="n">
        <v>0.3189</v>
      </c>
      <c r="N9" s="11" t="n">
        <v>1.6504</v>
      </c>
      <c r="O9" s="11" t="n">
        <v>1.3302</v>
      </c>
      <c r="P9" s="11" t="n">
        <v>1.6762</v>
      </c>
    </row>
    <row r="10">
      <c r="A10" s="10" t="inlineStr">
        <is>
          <t>급여·수당</t>
        </is>
      </c>
      <c r="F10" s="11" t="n">
        <v>9.6069</v>
      </c>
      <c r="G10" s="11" t="n">
        <v>10.101</v>
      </c>
      <c r="H10" s="11" t="n">
        <v>10.5572</v>
      </c>
      <c r="I10" s="11" t="n">
        <v>10.7216</v>
      </c>
      <c r="J10" s="11" t="n">
        <v>11.0759</v>
      </c>
      <c r="K10" s="11" t="n">
        <v>12.0989</v>
      </c>
      <c r="L10" s="11" t="n">
        <v>11.8949</v>
      </c>
      <c r="N10" s="11" t="n">
        <v>35.0275</v>
      </c>
      <c r="O10" s="11" t="n">
        <v>38.7143</v>
      </c>
      <c r="P10" s="11" t="n">
        <v>44.4536</v>
      </c>
    </row>
    <row r="11">
      <c r="A11" s="10" t="inlineStr">
        <is>
          <t>상여충당금 전입</t>
        </is>
      </c>
      <c r="F11" s="11" t="n">
        <v>-0.9813</v>
      </c>
      <c r="G11" s="11" t="n">
        <v>3.9731</v>
      </c>
      <c r="H11" s="11" t="n">
        <v>3.58</v>
      </c>
      <c r="I11" s="11" t="n">
        <v>2.8032</v>
      </c>
      <c r="J11" s="11" t="n">
        <v>-1.1171</v>
      </c>
      <c r="K11" s="11" t="n">
        <v>3.8556</v>
      </c>
      <c r="L11" s="11" t="n">
        <v>4.0293</v>
      </c>
      <c r="N11" s="11" t="n">
        <v>7.6402</v>
      </c>
      <c r="O11" s="11" t="n">
        <v>8.7254</v>
      </c>
      <c r="P11" s="11" t="n">
        <v>9.1218</v>
      </c>
    </row>
    <row r="12">
      <c r="A12" s="10" t="inlineStr">
        <is>
          <t>퇴직급여비용</t>
        </is>
      </c>
      <c r="F12" s="11" t="n">
        <v>0.518</v>
      </c>
      <c r="G12" s="11" t="n">
        <v>0.6336000000000001</v>
      </c>
      <c r="H12" s="11" t="n">
        <v>0.5349</v>
      </c>
      <c r="I12" s="11" t="n">
        <v>0.5347</v>
      </c>
      <c r="J12" s="11" t="n">
        <v>0.518</v>
      </c>
      <c r="K12" s="11" t="n">
        <v>0.6</v>
      </c>
      <c r="L12" s="11" t="n">
        <v>0.5163</v>
      </c>
      <c r="N12" s="11" t="n">
        <v>2.3166</v>
      </c>
      <c r="O12" s="11" t="n">
        <v>2.1873</v>
      </c>
      <c r="P12" s="11" t="n">
        <v>2.1876</v>
      </c>
    </row>
    <row r="13">
      <c r="A13" s="10" t="inlineStr">
        <is>
          <t>지대·임차료</t>
        </is>
      </c>
      <c r="F13" s="11" t="n">
        <v>4.3676</v>
      </c>
      <c r="G13" s="11" t="n">
        <v>4.0647</v>
      </c>
      <c r="H13" s="11" t="n">
        <v>4.4715</v>
      </c>
      <c r="I13" s="11" t="n">
        <v>4.5466</v>
      </c>
      <c r="J13" s="11" t="n">
        <v>4.8327</v>
      </c>
      <c r="K13" s="11" t="n">
        <v>4.8896</v>
      </c>
      <c r="L13" s="11" t="n">
        <v>4.9403</v>
      </c>
      <c r="N13" s="11" t="n">
        <v>16.3771</v>
      </c>
      <c r="O13" s="11" t="n">
        <v>17.2015</v>
      </c>
      <c r="P13" s="11" t="n">
        <v>18.7404</v>
      </c>
    </row>
    <row r="14">
      <c r="A14" s="10" t="inlineStr">
        <is>
          <t>기타</t>
        </is>
      </c>
      <c r="F14" s="11" t="n">
        <v>15.0907</v>
      </c>
      <c r="G14" s="11" t="n">
        <v>13.0369</v>
      </c>
      <c r="H14" s="11" t="n">
        <v>12.4914</v>
      </c>
      <c r="I14" s="11" t="n">
        <v>12.5177</v>
      </c>
      <c r="J14" s="11" t="n">
        <v>17.6541</v>
      </c>
      <c r="K14" s="11" t="n">
        <v>15.1889</v>
      </c>
      <c r="L14" s="11" t="n">
        <v>13.8264</v>
      </c>
      <c r="N14" s="11" t="n">
        <v>42.2376</v>
      </c>
      <c r="O14" s="11" t="n">
        <v>49.5572</v>
      </c>
      <c r="P14" s="11" t="n">
        <v>57.8522</v>
      </c>
    </row>
    <row r="15">
      <c r="A15" s="10" t="inlineStr">
        <is>
          <t>판매비와 관리비 합계</t>
        </is>
      </c>
      <c r="F15" s="11" t="n">
        <v>28.8861</v>
      </c>
      <c r="G15" s="11" t="n">
        <v>31.9331</v>
      </c>
      <c r="H15" s="11" t="n">
        <v>32.0814</v>
      </c>
      <c r="I15" s="11" t="n">
        <v>32.1562</v>
      </c>
      <c r="J15" s="11" t="n">
        <v>33.093</v>
      </c>
      <c r="K15" s="11" t="n">
        <v>36.7013</v>
      </c>
      <c r="L15" s="11" t="n">
        <v>35.5262</v>
      </c>
      <c r="N15" s="11" t="n">
        <v>105.2492</v>
      </c>
      <c r="O15" s="11" t="n">
        <v>117.7158</v>
      </c>
      <c r="P15" s="11" t="n">
        <v>134.0318</v>
      </c>
    </row>
    <row r="16">
      <c r="A16" s="5" t="inlineStr">
        <is>
          <t>영업이익</t>
        </is>
      </c>
      <c r="F16" s="6" t="n">
        <v>13.8356</v>
      </c>
      <c r="G16" s="6" t="n">
        <v>-0.5123</v>
      </c>
      <c r="H16" s="6" t="n">
        <v>11.2645</v>
      </c>
      <c r="I16" s="6" t="n">
        <v>16.5727</v>
      </c>
      <c r="J16" s="6" t="n">
        <v>15.0726</v>
      </c>
      <c r="K16" s="6" t="n">
        <v>0.9185</v>
      </c>
      <c r="L16" s="6" t="n">
        <v>15.3818</v>
      </c>
      <c r="N16" s="6" t="n">
        <v>31.8204</v>
      </c>
      <c r="O16" s="6" t="n">
        <v>39.0678</v>
      </c>
      <c r="P16" s="6" t="n">
        <v>43.8283</v>
      </c>
    </row>
    <row r="17">
      <c r="A17" s="8" t="inlineStr">
        <is>
          <t>영업이익률</t>
        </is>
      </c>
      <c r="C17" s="9">
        <f>IF(OR(C16="",C4=""),"",IFERROR(C16/C4,""))</f>
        <v/>
      </c>
      <c r="D17" s="9">
        <f>IF(OR(D16="",D4=""),"",IFERROR(D16/D4,""))</f>
        <v/>
      </c>
      <c r="E17" s="9">
        <f>IF(OR(E16="",E4=""),"",IFERROR(E16/E4,""))</f>
        <v/>
      </c>
      <c r="F17" s="9">
        <f>IF(OR(F16="",F4=""),"",IFERROR(F16/F4,""))</f>
        <v/>
      </c>
      <c r="G17" s="9">
        <f>IF(OR(G16="",G4=""),"",IFERROR(G16/G4,""))</f>
        <v/>
      </c>
      <c r="H17" s="9">
        <f>IF(OR(H16="",H4=""),"",IFERROR(H16/H4,""))</f>
        <v/>
      </c>
      <c r="I17" s="9">
        <f>IF(OR(I16="",I4=""),"",IFERROR(I16/I4,""))</f>
        <v/>
      </c>
      <c r="J17" s="9">
        <f>IF(OR(J16="",J4=""),"",IFERROR(J16/J4,""))</f>
        <v/>
      </c>
      <c r="K17" s="9">
        <f>IF(OR(K16="",K4=""),"",IFERROR(K16/K4,""))</f>
        <v/>
      </c>
      <c r="L17" s="9">
        <f>IF(OR(L16="",L4=""),"",IFERROR(L16/L4,""))</f>
        <v/>
      </c>
      <c r="M17" s="9">
        <f>IF(OR(M16="",M4=""),"",IFERROR(M16/M4,""))</f>
        <v/>
      </c>
      <c r="N17" s="9">
        <f>IF(OR(N16="",N4=""),"",IFERROR(N16/N4,""))</f>
        <v/>
      </c>
      <c r="O17" s="9">
        <f>IF(OR(O16="",O4=""),"",IFERROR(O16/O4,""))</f>
        <v/>
      </c>
      <c r="P17" s="9">
        <f>IF(OR(P16="",P4=""),"",IFERROR(P16/P4,""))</f>
        <v/>
      </c>
    </row>
    <row r="18">
      <c r="A18" s="8" t="inlineStr">
        <is>
          <t>YoY</t>
        </is>
      </c>
      <c r="G18" s="9">
        <f>IF(OR(G16="",C16=""),"",IFERROR(G16/C16-1,""))</f>
        <v/>
      </c>
      <c r="H18" s="9">
        <f>IF(OR(H16="",D16=""),"",IFERROR(H16/D16-1,""))</f>
        <v/>
      </c>
      <c r="I18" s="9">
        <f>IF(OR(I16="",E16=""),"",IFERROR(I16/E16-1,""))</f>
        <v/>
      </c>
      <c r="J18" s="9">
        <f>IF(OR(J16="",F16=""),"",IFERROR(J16/F16-1,""))</f>
        <v/>
      </c>
      <c r="K18" s="9">
        <f>IF(OR(K16="",G16=""),"",IFERROR(K16/G16-1,""))</f>
        <v/>
      </c>
      <c r="L18" s="9">
        <f>IF(OR(L16="",H16=""),"",IFERROR(L16/H16-1,""))</f>
        <v/>
      </c>
      <c r="N18" s="9">
        <f>IF(OR(N16="",M16=""),"",IFERROR(N16/M16-1,""))</f>
        <v/>
      </c>
      <c r="O18" s="9">
        <f>IF(OR(O16="",N16=""),"",IFERROR(O16/N16-1,""))</f>
        <v/>
      </c>
      <c r="P18" s="9">
        <f>IF(OR(P16="",O16=""),"",IFERROR(P16/O16-1,""))</f>
        <v/>
      </c>
    </row>
    <row r="19">
      <c r="A19" s="10" t="inlineStr">
        <is>
          <t>이자수익</t>
        </is>
      </c>
      <c r="F19" s="11" t="n">
        <v>0.0377</v>
      </c>
      <c r="G19" s="11" t="n">
        <v>0.0269</v>
      </c>
      <c r="H19" s="11" t="n">
        <v>0.0673</v>
      </c>
      <c r="I19" s="11" t="n">
        <v>0.0211</v>
      </c>
      <c r="J19" s="11" t="n">
        <v>0.0911</v>
      </c>
      <c r="K19" s="11" t="n">
        <v>0.052</v>
      </c>
      <c r="L19" s="11" t="n">
        <v>0.1328</v>
      </c>
      <c r="N19" s="11" t="n">
        <v>0.0532</v>
      </c>
      <c r="O19" s="11" t="n">
        <v>0.1025</v>
      </c>
      <c r="P19" s="11" t="n">
        <v>0.2314</v>
      </c>
    </row>
    <row r="20">
      <c r="A20" s="10" t="inlineStr">
        <is>
          <t>배당금수익</t>
        </is>
      </c>
      <c r="F20" s="11" t="n">
        <v>0.0352</v>
      </c>
      <c r="G20" s="11" t="n">
        <v>0.0018</v>
      </c>
      <c r="H20" s="11" t="n">
        <v>0.06270000000000001</v>
      </c>
      <c r="I20" s="11" t="n">
        <v>0.0032</v>
      </c>
      <c r="J20" s="11" t="n">
        <v>0.0378</v>
      </c>
      <c r="K20" s="11" t="n">
        <v>0.0132</v>
      </c>
      <c r="L20" s="11" t="n">
        <v>0.0756</v>
      </c>
      <c r="N20" s="11" t="n">
        <v>0.083</v>
      </c>
      <c r="O20" s="11" t="n">
        <v>0.101</v>
      </c>
      <c r="P20" s="11" t="n">
        <v>0.1169</v>
      </c>
    </row>
    <row r="21">
      <c r="A21" s="10" t="inlineStr">
        <is>
          <t>보험금 수익</t>
        </is>
      </c>
      <c r="F21" s="11" t="n">
        <v>0.028</v>
      </c>
      <c r="G21" s="11" t="n">
        <v>0.0732</v>
      </c>
      <c r="H21" s="11" t="n">
        <v>0.0293</v>
      </c>
      <c r="I21" s="11" t="n">
        <v>0.0227</v>
      </c>
      <c r="J21" s="11" t="n">
        <v>0.0334</v>
      </c>
      <c r="K21" s="11" t="n">
        <v>0.0483</v>
      </c>
      <c r="L21" s="11" t="n">
        <v>0.0578</v>
      </c>
      <c r="N21" s="11" t="n">
        <v>0.3115</v>
      </c>
      <c r="O21" s="11" t="n">
        <v>0.2023</v>
      </c>
      <c r="P21" s="11" t="n">
        <v>0.1336</v>
      </c>
    </row>
    <row r="22">
      <c r="A22" s="10" t="inlineStr">
        <is>
          <t>임대료 수익</t>
        </is>
      </c>
      <c r="F22" s="11" t="n">
        <v>0.0711</v>
      </c>
      <c r="G22" s="11" t="n">
        <v>0.0711</v>
      </c>
      <c r="H22" s="11" t="n">
        <v>0.0711</v>
      </c>
      <c r="I22" s="11" t="n">
        <v>0.0711</v>
      </c>
      <c r="J22" s="11" t="n">
        <v>0.1389</v>
      </c>
      <c r="K22" s="11" t="n">
        <v>0.0031</v>
      </c>
      <c r="L22" s="11" t="n">
        <v>0.1182</v>
      </c>
      <c r="N22" s="11" t="n">
        <v>0.2791</v>
      </c>
      <c r="O22" s="11" t="n">
        <v>0.284</v>
      </c>
      <c r="P22" s="11" t="n">
        <v>0.2842</v>
      </c>
    </row>
    <row r="23">
      <c r="A23" s="10" t="inlineStr">
        <is>
          <t>외환차익</t>
        </is>
      </c>
      <c r="F23" s="11" t="n">
        <v>0.0114</v>
      </c>
      <c r="G23" s="11" t="n">
        <v>0.0448</v>
      </c>
      <c r="H23" s="11" t="n">
        <v>0.2684</v>
      </c>
      <c r="I23" s="11" t="n">
        <v>0.6251</v>
      </c>
      <c r="J23" s="11" t="n">
        <v>0.3302</v>
      </c>
      <c r="K23" s="11" t="n">
        <v>-0.2347</v>
      </c>
      <c r="L23" s="11" t="n">
        <v>0</v>
      </c>
      <c r="N23" s="11" t="n">
        <v>0.4808</v>
      </c>
      <c r="O23" s="11" t="n">
        <v>0.3673</v>
      </c>
      <c r="P23" s="11" t="n">
        <v>0.989</v>
      </c>
    </row>
    <row r="24">
      <c r="A24" s="10" t="inlineStr">
        <is>
          <t>작업부산물 매각이익</t>
        </is>
      </c>
      <c r="F24" s="11" t="n">
        <v>0.0969</v>
      </c>
      <c r="G24" s="11" t="n">
        <v>0.0873</v>
      </c>
      <c r="H24" s="11" t="n">
        <v>0.08210000000000001</v>
      </c>
      <c r="I24" s="11" t="n">
        <v>0.08359999999999999</v>
      </c>
      <c r="J24" s="11" t="n">
        <v>0.1139</v>
      </c>
      <c r="K24" s="11" t="n">
        <v>0.2289</v>
      </c>
      <c r="L24" s="11" t="n">
        <v>0.1132</v>
      </c>
      <c r="N24" s="11" t="n">
        <v>0.207</v>
      </c>
      <c r="O24" s="11" t="n">
        <v>0.3571</v>
      </c>
      <c r="P24" s="11" t="n">
        <v>0.5085</v>
      </c>
    </row>
    <row r="25">
      <c r="A25" s="10" t="inlineStr">
        <is>
          <t>장려금 수익</t>
        </is>
      </c>
      <c r="N25" s="11" t="n">
        <v>0.07829999999999999</v>
      </c>
      <c r="O25" s="11" t="n">
        <v>0.2655</v>
      </c>
      <c r="P25" s="11" t="n">
        <v>0.09229999999999999</v>
      </c>
    </row>
    <row r="26">
      <c r="A26" s="10" t="inlineStr">
        <is>
          <t>기타</t>
        </is>
      </c>
      <c r="F26" s="11" t="n">
        <v>0.1193</v>
      </c>
      <c r="G26" s="11" t="n">
        <v>-0.146</v>
      </c>
      <c r="H26" s="11" t="n">
        <v>0.1751</v>
      </c>
      <c r="I26" s="11" t="n">
        <v>0.1539</v>
      </c>
      <c r="J26" s="11" t="n">
        <v>0.1543</v>
      </c>
      <c r="K26" s="11" t="n">
        <v>0.225</v>
      </c>
      <c r="L26" s="11" t="n">
        <v>0.2304</v>
      </c>
      <c r="N26" s="11" t="n">
        <v>0.5396</v>
      </c>
      <c r="O26" s="11" t="n">
        <v>0.4665</v>
      </c>
      <c r="P26" s="11" t="n">
        <v>0.7083</v>
      </c>
    </row>
    <row r="27">
      <c r="A27" s="5" t="inlineStr">
        <is>
          <t>영업외수익 합계</t>
        </is>
      </c>
      <c r="F27" s="6" t="n">
        <v>0.3995</v>
      </c>
      <c r="G27" s="6" t="n">
        <v>0.4245</v>
      </c>
      <c r="H27" s="6" t="n">
        <v>0.756</v>
      </c>
      <c r="I27" s="6" t="n">
        <v>0.9806</v>
      </c>
      <c r="J27" s="6" t="n">
        <v>0.8996</v>
      </c>
      <c r="K27" s="6" t="n">
        <v>0.4281</v>
      </c>
      <c r="L27" s="6" t="n">
        <v>0.7279</v>
      </c>
      <c r="N27" s="6" t="n">
        <v>2.0325</v>
      </c>
      <c r="O27" s="6" t="n">
        <v>2.1461</v>
      </c>
      <c r="P27" s="6" t="n">
        <v>3.0643</v>
      </c>
    </row>
    <row r="28">
      <c r="A28" s="10" t="inlineStr">
        <is>
          <t>이자비용</t>
        </is>
      </c>
      <c r="F28" s="11" t="n">
        <v>1.1947</v>
      </c>
      <c r="G28" s="11" t="n">
        <v>1.4128</v>
      </c>
      <c r="H28" s="11" t="n">
        <v>1.378</v>
      </c>
      <c r="I28" s="11" t="n">
        <v>1.4864</v>
      </c>
      <c r="J28" s="11" t="n">
        <v>1.6517</v>
      </c>
      <c r="K28" s="11" t="n">
        <v>1.8772</v>
      </c>
      <c r="L28" s="11" t="n">
        <v>2.0481</v>
      </c>
      <c r="N28" s="11" t="n">
        <v>3.4474</v>
      </c>
      <c r="O28" s="11" t="n">
        <v>4.6575</v>
      </c>
      <c r="P28" s="11" t="n">
        <v>6.3933</v>
      </c>
    </row>
    <row r="29">
      <c r="A29" s="10" t="inlineStr">
        <is>
          <t>지급수수료</t>
        </is>
      </c>
      <c r="F29" s="11" t="n">
        <v>0.0183</v>
      </c>
      <c r="G29" s="11" t="n">
        <v>0.5839</v>
      </c>
      <c r="H29" s="11" t="n">
        <v>0.0723</v>
      </c>
      <c r="I29" s="11" t="n">
        <v>0.0297</v>
      </c>
      <c r="J29" s="11" t="n">
        <v>0.0314</v>
      </c>
      <c r="K29" s="11" t="n">
        <v>0.6691</v>
      </c>
      <c r="L29" s="11" t="n">
        <v>0.0428</v>
      </c>
      <c r="N29" s="11" t="n">
        <v>0.5695</v>
      </c>
      <c r="O29" s="11" t="n">
        <v>0.6863</v>
      </c>
      <c r="P29" s="11" t="n">
        <v>0.8024</v>
      </c>
    </row>
    <row r="30">
      <c r="A30" s="10" t="inlineStr">
        <is>
          <t>지분법손실</t>
        </is>
      </c>
      <c r="F30" s="11" t="n">
        <v>0.0541</v>
      </c>
      <c r="G30" s="11" t="n">
        <v>-0.0648</v>
      </c>
      <c r="H30" s="11" t="n">
        <v>0.6794</v>
      </c>
      <c r="I30" s="11" t="n">
        <v>-0.239</v>
      </c>
      <c r="J30" s="11" t="n">
        <v>-0.1416</v>
      </c>
      <c r="K30" s="11" t="n">
        <v>-0.1875</v>
      </c>
      <c r="L30" s="11" t="n">
        <v>0.2895</v>
      </c>
      <c r="N30" s="11" t="n">
        <v>1.7755</v>
      </c>
      <c r="O30" s="11" t="n">
        <v>0.9668</v>
      </c>
      <c r="P30" s="11" t="n">
        <v>0.1113</v>
      </c>
    </row>
    <row r="31">
      <c r="A31" s="10" t="inlineStr">
        <is>
          <t>외환차손</t>
        </is>
      </c>
      <c r="H31" s="11" t="n">
        <v>0</v>
      </c>
      <c r="L31" s="11" t="n">
        <v>0.1523</v>
      </c>
    </row>
    <row r="32">
      <c r="A32" s="10" t="inlineStr">
        <is>
          <t>기타</t>
        </is>
      </c>
      <c r="F32" s="11" t="n">
        <v>0.0283</v>
      </c>
      <c r="G32" s="11" t="n">
        <v>0.3917</v>
      </c>
      <c r="H32" s="11" t="n">
        <v>0.0273</v>
      </c>
      <c r="I32" s="11" t="n">
        <v>0.0328</v>
      </c>
      <c r="J32" s="11" t="n">
        <v>0.0311</v>
      </c>
      <c r="K32" s="11" t="n">
        <v>0.028</v>
      </c>
      <c r="L32" s="11" t="n">
        <v>0.0399</v>
      </c>
      <c r="N32" s="11" t="n">
        <v>0.1018</v>
      </c>
      <c r="O32" s="11" t="n">
        <v>0.4615</v>
      </c>
      <c r="P32" s="11" t="n">
        <v>0.1192</v>
      </c>
    </row>
    <row r="33">
      <c r="A33" s="10" t="inlineStr">
        <is>
          <t>영업외비용 합계</t>
        </is>
      </c>
      <c r="F33" s="11" t="n">
        <v>1.2954</v>
      </c>
      <c r="G33" s="11" t="n">
        <v>2.3236</v>
      </c>
      <c r="H33" s="11" t="n">
        <v>2.157</v>
      </c>
      <c r="I33" s="11" t="n">
        <v>1.3099</v>
      </c>
      <c r="J33" s="11" t="n">
        <v>1.5725</v>
      </c>
      <c r="K33" s="11" t="n">
        <v>2.3868</v>
      </c>
      <c r="L33" s="11" t="n">
        <v>2.5727</v>
      </c>
      <c r="N33" s="11" t="n">
        <v>5.8942</v>
      </c>
      <c r="O33" s="11" t="n">
        <v>6.7721</v>
      </c>
      <c r="P33" s="11" t="n">
        <v>7.4263</v>
      </c>
    </row>
    <row r="34">
      <c r="A34" s="5" t="inlineStr">
        <is>
          <t>경상이익</t>
        </is>
      </c>
      <c r="F34" s="6" t="n">
        <v>12.9396</v>
      </c>
      <c r="G34" s="6" t="n">
        <v>-2.4114</v>
      </c>
      <c r="H34" s="6" t="n">
        <v>9.8635</v>
      </c>
      <c r="I34" s="6" t="n">
        <v>16.2434</v>
      </c>
      <c r="J34" s="6" t="n">
        <v>14.3997</v>
      </c>
      <c r="K34" s="6" t="n">
        <v>-1.0403</v>
      </c>
      <c r="L34" s="6" t="n">
        <v>13.537</v>
      </c>
      <c r="N34" s="6" t="n">
        <v>27.9587</v>
      </c>
      <c r="O34" s="6" t="n">
        <v>34.4417</v>
      </c>
      <c r="P34" s="6" t="n">
        <v>39.4664</v>
      </c>
    </row>
    <row r="35">
      <c r="A35" s="8" t="inlineStr">
        <is>
          <t>경상이익률</t>
        </is>
      </c>
      <c r="C35" s="9">
        <f>IF(OR(C34="",C4=""),"",IFERROR(C34/C4,""))</f>
        <v/>
      </c>
      <c r="D35" s="9">
        <f>IF(OR(D34="",D4=""),"",IFERROR(D34/D4,""))</f>
        <v/>
      </c>
      <c r="E35" s="9">
        <f>IF(OR(E34="",E4=""),"",IFERROR(E34/E4,""))</f>
        <v/>
      </c>
      <c r="F35" s="9">
        <f>IF(OR(F34="",F4=""),"",IFERROR(F34/F4,""))</f>
        <v/>
      </c>
      <c r="G35" s="9">
        <f>IF(OR(G34="",G4=""),"",IFERROR(G34/G4,""))</f>
        <v/>
      </c>
      <c r="H35" s="9">
        <f>IF(OR(H34="",H4=""),"",IFERROR(H34/H4,""))</f>
        <v/>
      </c>
      <c r="I35" s="9">
        <f>IF(OR(I34="",I4=""),"",IFERROR(I34/I4,""))</f>
        <v/>
      </c>
      <c r="J35" s="9">
        <f>IF(OR(J34="",J4=""),"",IFERROR(J34/J4,""))</f>
        <v/>
      </c>
      <c r="K35" s="9">
        <f>IF(OR(K34="",K4=""),"",IFERROR(K34/K4,""))</f>
        <v/>
      </c>
      <c r="L35" s="9">
        <f>IF(OR(L34="",L4=""),"",IFERROR(L34/L4,""))</f>
        <v/>
      </c>
      <c r="M35" s="9">
        <f>IF(OR(M34="",M4=""),"",IFERROR(M34/M4,""))</f>
        <v/>
      </c>
      <c r="N35" s="9">
        <f>IF(OR(N34="",N4=""),"",IFERROR(N34/N4,""))</f>
        <v/>
      </c>
      <c r="O35" s="9">
        <f>IF(OR(O34="",O4=""),"",IFERROR(O34/O4,""))</f>
        <v/>
      </c>
      <c r="P35" s="9">
        <f>IF(OR(P34="",P4=""),"",IFERROR(P34/P4,""))</f>
        <v/>
      </c>
    </row>
    <row r="36">
      <c r="A36" s="10" t="inlineStr">
        <is>
          <t>고정자산 매각이익</t>
        </is>
      </c>
      <c r="F36" s="11" t="n">
        <v>0.08989999999999999</v>
      </c>
      <c r="G36" s="11" t="n">
        <v>0.0353</v>
      </c>
      <c r="H36" s="11" t="n">
        <v>0.0306</v>
      </c>
      <c r="I36" s="11" t="n">
        <v>0.0231</v>
      </c>
      <c r="J36" s="11" t="n">
        <v>0.0241</v>
      </c>
      <c r="K36" s="11" t="n">
        <v>0.0106</v>
      </c>
      <c r="L36" s="11" t="n">
        <v>0.0092</v>
      </c>
      <c r="N36" s="11" t="n">
        <v>0.0531</v>
      </c>
      <c r="O36" s="11" t="n">
        <v>0.1531</v>
      </c>
      <c r="P36" s="11" t="n">
        <v>0.08840000000000001</v>
      </c>
    </row>
    <row r="37">
      <c r="A37" s="10" t="inlineStr">
        <is>
          <t>단계적 취득 차익</t>
        </is>
      </c>
      <c r="F37" s="11" t="n">
        <v>0</v>
      </c>
      <c r="G37" s="11" t="n">
        <v>0</v>
      </c>
      <c r="J37" s="11" t="n">
        <v>0</v>
      </c>
      <c r="K37" s="11" t="n">
        <v>0</v>
      </c>
      <c r="O37" s="11" t="n">
        <v>0</v>
      </c>
      <c r="P37" s="11" t="n">
        <v>0.3936</v>
      </c>
    </row>
    <row r="38">
      <c r="A38" s="10" t="inlineStr">
        <is>
          <t>특별이익 합계</t>
        </is>
      </c>
      <c r="F38" s="11" t="n">
        <v>0.08989999999999999</v>
      </c>
      <c r="G38" s="11" t="n">
        <v>0.0353</v>
      </c>
      <c r="H38" s="11" t="n">
        <v>0.0306</v>
      </c>
      <c r="I38" s="11" t="n">
        <v>0.4167</v>
      </c>
      <c r="J38" s="11" t="n">
        <v>0.0241</v>
      </c>
      <c r="K38" s="11" t="n">
        <v>0.0106</v>
      </c>
      <c r="L38" s="11" t="n">
        <v>0.0092</v>
      </c>
      <c r="N38" s="11" t="n">
        <v>0.0531</v>
      </c>
      <c r="O38" s="11" t="n">
        <v>0.1531</v>
      </c>
      <c r="P38" s="11" t="n">
        <v>0.4819</v>
      </c>
    </row>
    <row r="39">
      <c r="A39" s="10" t="inlineStr">
        <is>
          <t>고정자산 매각손실</t>
        </is>
      </c>
      <c r="N39" s="11" t="n">
        <v>0.0014</v>
      </c>
      <c r="O39" s="11" t="n">
        <v>0</v>
      </c>
    </row>
    <row r="40">
      <c r="A40" s="10" t="inlineStr">
        <is>
          <t>고정자산 제각손실</t>
        </is>
      </c>
      <c r="F40" s="11" t="n">
        <v>0.0154</v>
      </c>
      <c r="G40" s="11" t="n">
        <v>0.0262</v>
      </c>
      <c r="H40" s="11" t="n">
        <v>0.0036</v>
      </c>
      <c r="I40" s="11" t="n">
        <v>0.0333</v>
      </c>
      <c r="J40" s="11" t="n">
        <v>0.0283</v>
      </c>
      <c r="K40" s="11" t="n">
        <v>0.0614</v>
      </c>
      <c r="L40" s="11" t="n">
        <v>0.1195</v>
      </c>
      <c r="N40" s="11" t="n">
        <v>0.0641</v>
      </c>
      <c r="O40" s="11" t="n">
        <v>0.077</v>
      </c>
      <c r="P40" s="11" t="n">
        <v>0.1266</v>
      </c>
    </row>
    <row r="41">
      <c r="A41" s="10" t="inlineStr">
        <is>
          <t>손상차손</t>
        </is>
      </c>
      <c r="G41" s="11" t="n">
        <v>0</v>
      </c>
      <c r="K41" s="11" t="n">
        <v>0</v>
      </c>
      <c r="O41" s="11" t="n">
        <v>0</v>
      </c>
      <c r="P41" s="11" t="n">
        <v>0.2619</v>
      </c>
    </row>
    <row r="42">
      <c r="A42" s="10" t="inlineStr">
        <is>
          <t>특별손실 합계</t>
        </is>
      </c>
      <c r="F42" s="11" t="n">
        <v>0.0154</v>
      </c>
      <c r="G42" s="11" t="n">
        <v>0.0262</v>
      </c>
      <c r="H42" s="11" t="n">
        <v>0.0036</v>
      </c>
      <c r="I42" s="11" t="n">
        <v>0.0333</v>
      </c>
      <c r="J42" s="11" t="n">
        <v>0.2902</v>
      </c>
      <c r="K42" s="11" t="n">
        <v>0.0614</v>
      </c>
      <c r="L42" s="11" t="n">
        <v>0.1195</v>
      </c>
      <c r="N42" s="11" t="n">
        <v>0.0655</v>
      </c>
      <c r="O42" s="11" t="n">
        <v>0.077</v>
      </c>
      <c r="P42" s="11" t="n">
        <v>0.3884</v>
      </c>
    </row>
    <row r="43">
      <c r="A43" s="10" t="inlineStr">
        <is>
          <t>법인세차감전 순이익</t>
        </is>
      </c>
      <c r="F43" s="11" t="n">
        <v>13.0141</v>
      </c>
      <c r="G43" s="11" t="n">
        <v>-2.4024</v>
      </c>
      <c r="H43" s="11" t="n">
        <v>9.890499999999999</v>
      </c>
      <c r="I43" s="11" t="n">
        <v>16.6268</v>
      </c>
      <c r="J43" s="11" t="n">
        <v>14.1336</v>
      </c>
      <c r="K43" s="11" t="n">
        <v>-1.0911</v>
      </c>
      <c r="L43" s="11" t="n">
        <v>13.4267</v>
      </c>
      <c r="N43" s="11" t="n">
        <v>27.9463</v>
      </c>
      <c r="O43" s="11" t="n">
        <v>34.5179</v>
      </c>
      <c r="P43" s="11" t="n">
        <v>39.5599</v>
      </c>
    </row>
    <row r="44">
      <c r="A44" s="10" t="inlineStr">
        <is>
          <t>법인세·주민세·사업세</t>
        </is>
      </c>
      <c r="F44" s="11" t="n">
        <v>1.8736</v>
      </c>
      <c r="G44" s="11" t="n">
        <v>0.1453</v>
      </c>
      <c r="H44" s="11" t="n">
        <v>2.0789</v>
      </c>
      <c r="I44" s="11" t="n">
        <v>7.7883</v>
      </c>
      <c r="J44" s="11" t="n">
        <v>2.5677</v>
      </c>
      <c r="K44" s="11" t="n">
        <v>0.8092</v>
      </c>
      <c r="L44" s="11" t="n">
        <v>2.4234</v>
      </c>
      <c r="N44" s="11" t="n">
        <v>9.4207</v>
      </c>
      <c r="O44" s="11" t="n">
        <v>10.3905</v>
      </c>
      <c r="P44" s="11" t="n">
        <v>13.2441</v>
      </c>
    </row>
    <row r="45">
      <c r="A45" s="10" t="inlineStr">
        <is>
          <t>법인세 조정액</t>
        </is>
      </c>
      <c r="F45" s="11" t="n">
        <v>2.4492</v>
      </c>
      <c r="G45" s="11" t="n">
        <v>-1.9791</v>
      </c>
      <c r="H45" s="11" t="n">
        <v>1.332</v>
      </c>
      <c r="I45" s="11" t="n">
        <v>-2.2694</v>
      </c>
      <c r="J45" s="11" t="n">
        <v>1.8235</v>
      </c>
      <c r="K45" s="11" t="n">
        <v>-2.7447</v>
      </c>
      <c r="L45" s="11" t="n">
        <v>2.1569</v>
      </c>
      <c r="N45" s="11" t="n">
        <v>-1.8125</v>
      </c>
      <c r="O45" s="11" t="n">
        <v>0.648</v>
      </c>
      <c r="P45" s="11" t="n">
        <v>-1.8586</v>
      </c>
    </row>
    <row r="46">
      <c r="A46" s="10" t="inlineStr">
        <is>
          <t>법인세 등 합계</t>
        </is>
      </c>
      <c r="F46" s="11" t="n">
        <v>4.3228</v>
      </c>
      <c r="G46" s="11" t="n">
        <v>-1.8338</v>
      </c>
      <c r="H46" s="11" t="n">
        <v>3.411</v>
      </c>
      <c r="I46" s="11" t="n">
        <v>5.5188</v>
      </c>
      <c r="J46" s="11" t="n">
        <v>4.3912</v>
      </c>
      <c r="K46" s="11" t="n">
        <v>-1.9355</v>
      </c>
      <c r="L46" s="11" t="n">
        <v>4.5803</v>
      </c>
      <c r="N46" s="11" t="n">
        <v>7.6082</v>
      </c>
      <c r="O46" s="11" t="n">
        <v>11.0384</v>
      </c>
      <c r="P46" s="11" t="n">
        <v>11.3855</v>
      </c>
    </row>
    <row r="47">
      <c r="A47" s="5" t="inlineStr">
        <is>
          <t>순이익</t>
        </is>
      </c>
      <c r="F47" s="6" t="n">
        <v>8.6913</v>
      </c>
      <c r="G47" s="6" t="n">
        <v>-0.5686</v>
      </c>
      <c r="H47" s="6" t="n">
        <v>6.4796</v>
      </c>
      <c r="I47" s="6" t="n">
        <v>11.108</v>
      </c>
      <c r="J47" s="6" t="n">
        <v>9.7424</v>
      </c>
      <c r="K47" s="6" t="n">
        <v>0.8445</v>
      </c>
      <c r="L47" s="6" t="n">
        <v>8.846399999999999</v>
      </c>
      <c r="N47" s="6" t="n">
        <v>20.338</v>
      </c>
      <c r="O47" s="6" t="n">
        <v>23.4794</v>
      </c>
      <c r="P47" s="6" t="n">
        <v>28.1744</v>
      </c>
    </row>
    <row r="48">
      <c r="A48" s="5" t="inlineStr">
        <is>
          <t>비지배주주 당기순손실</t>
        </is>
      </c>
      <c r="F48" s="6" t="n">
        <v>-0.3562</v>
      </c>
      <c r="G48" s="6" t="n">
        <v>-0.4022</v>
      </c>
      <c r="H48" s="6" t="n">
        <v>-0.4235</v>
      </c>
      <c r="I48" s="6" t="n">
        <v>-0.3671</v>
      </c>
      <c r="J48" s="6" t="n">
        <v>-0.0244</v>
      </c>
      <c r="K48" s="6" t="n">
        <v>-0.0213</v>
      </c>
      <c r="L48" s="6" t="n">
        <v>-0.0346</v>
      </c>
      <c r="N48" s="6" t="n">
        <v>-0.4011</v>
      </c>
      <c r="O48" s="6" t="n">
        <v>-1.5096</v>
      </c>
      <c r="P48" s="6" t="n">
        <v>-0.8363</v>
      </c>
    </row>
    <row r="49">
      <c r="A49" s="5" t="inlineStr">
        <is>
          <t>지배주주 순이익</t>
        </is>
      </c>
      <c r="F49" s="6" t="n">
        <v>9.047499999999999</v>
      </c>
      <c r="G49" s="6" t="n">
        <v>-0.1664</v>
      </c>
      <c r="H49" s="6" t="n">
        <v>6.9031</v>
      </c>
      <c r="I49" s="6" t="n">
        <v>11.4751</v>
      </c>
      <c r="J49" s="6" t="n">
        <v>9.7667</v>
      </c>
      <c r="K49" s="6" t="n">
        <v>0.8658</v>
      </c>
      <c r="L49" s="6" t="n">
        <v>8.881</v>
      </c>
      <c r="N49" s="6" t="n">
        <v>20.7391</v>
      </c>
      <c r="O49" s="6" t="n">
        <v>24.9891</v>
      </c>
      <c r="P49" s="6" t="n">
        <v>29.0107</v>
      </c>
    </row>
    <row r="50">
      <c r="A50" s="8" t="inlineStr">
        <is>
          <t>순이익률</t>
        </is>
      </c>
      <c r="C50" s="9">
        <f>IF(OR(C49="",C4=""),"",IFERROR(C49/C4,""))</f>
        <v/>
      </c>
      <c r="D50" s="9">
        <f>IF(OR(D49="",D4=""),"",IFERROR(D49/D4,""))</f>
        <v/>
      </c>
      <c r="E50" s="9">
        <f>IF(OR(E49="",E4=""),"",IFERROR(E49/E4,""))</f>
        <v/>
      </c>
      <c r="F50" s="9">
        <f>IF(OR(F49="",F4=""),"",IFERROR(F49/F4,""))</f>
        <v/>
      </c>
      <c r="G50" s="9">
        <f>IF(OR(G49="",G4=""),"",IFERROR(G49/G4,""))</f>
        <v/>
      </c>
      <c r="H50" s="9">
        <f>IF(OR(H49="",H4=""),"",IFERROR(H49/H4,""))</f>
        <v/>
      </c>
      <c r="I50" s="9">
        <f>IF(OR(I49="",I4=""),"",IFERROR(I49/I4,""))</f>
        <v/>
      </c>
      <c r="J50" s="9">
        <f>IF(OR(J49="",J4=""),"",IFERROR(J49/J4,""))</f>
        <v/>
      </c>
      <c r="K50" s="9">
        <f>IF(OR(K49="",K4=""),"",IFERROR(K49/K4,""))</f>
        <v/>
      </c>
      <c r="L50" s="9">
        <f>IF(OR(L49="",L4=""),"",IFERROR(L49/L4,""))</f>
        <v/>
      </c>
      <c r="M50" s="9">
        <f>IF(OR(M49="",M4=""),"",IFERROR(M49/M4,""))</f>
        <v/>
      </c>
      <c r="N50" s="9">
        <f>IF(OR(N49="",N4=""),"",IFERROR(N49/N4,""))</f>
        <v/>
      </c>
      <c r="O50" s="9">
        <f>IF(OR(O49="",O4=""),"",IFERROR(O49/O4,""))</f>
        <v/>
      </c>
      <c r="P50" s="9">
        <f>IF(OR(P49="",P4=""),"",IFERROR(P49/P4,""))</f>
        <v/>
      </c>
    </row>
    <row r="51">
      <c r="A51" s="8" t="inlineStr">
        <is>
          <t>YoY</t>
        </is>
      </c>
      <c r="G51" s="9">
        <f>IF(OR(G49="",C49=""),"",IFERROR(G49/C49-1,""))</f>
        <v/>
      </c>
      <c r="H51" s="9">
        <f>IF(OR(H49="",D49=""),"",IFERROR(H49/D49-1,""))</f>
        <v/>
      </c>
      <c r="I51" s="9">
        <f>IF(OR(I49="",E49=""),"",IFERROR(I49/E49-1,""))</f>
        <v/>
      </c>
      <c r="J51" s="9">
        <f>IF(OR(J49="",F49=""),"",IFERROR(J49/F49-1,""))</f>
        <v/>
      </c>
      <c r="K51" s="9">
        <f>IF(OR(K49="",G49=""),"",IFERROR(K49/G49-1,""))</f>
        <v/>
      </c>
      <c r="L51" s="9">
        <f>IF(OR(L49="",H49=""),"",IFERROR(L49/H49-1,""))</f>
        <v/>
      </c>
      <c r="N51" s="9">
        <f>IF(OR(N49="",M49=""),"",IFERROR(N49/M49-1,""))</f>
        <v/>
      </c>
      <c r="O51" s="9">
        <f>IF(OR(O49="",N49=""),"",IFERROR(O49/N49-1,""))</f>
        <v/>
      </c>
      <c r="P51" s="9">
        <f>IF(OR(P49="",O49=""),"",IFERROR(P49/O49-1,""))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40" customWidth="1" min="17" max="17"/>
  </cols>
  <sheetData>
    <row r="1">
      <c r="A1" s="1" t="inlineStr">
        <is>
          <t>렌토 포괄손익</t>
        </is>
      </c>
    </row>
    <row r="2">
      <c r="A2" s="2" t="inlineStr">
        <is>
          <t>결산기 기준(27.2Q = 2027년 결산기 2분기) · 5월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23.4Q</t>
        </is>
      </c>
      <c r="D3" s="4" t="inlineStr">
        <is>
          <t>24.4Q</t>
        </is>
      </c>
      <c r="E3" s="4" t="inlineStr">
        <is>
          <t>25.2Q</t>
        </is>
      </c>
      <c r="F3" s="4" t="inlineStr">
        <is>
          <t>25.3Q</t>
        </is>
      </c>
      <c r="G3" s="4" t="inlineStr">
        <is>
          <t>25.4Q</t>
        </is>
      </c>
      <c r="H3" s="4" t="inlineStr">
        <is>
          <t>26.1Q</t>
        </is>
      </c>
      <c r="I3" s="4" t="inlineStr">
        <is>
          <t>26.2Q</t>
        </is>
      </c>
      <c r="J3" s="4" t="inlineStr">
        <is>
          <t>26.3Q</t>
        </is>
      </c>
      <c r="K3" s="4" t="inlineStr">
        <is>
          <t>26.4Q</t>
        </is>
      </c>
      <c r="L3" s="4" t="inlineStr">
        <is>
          <t>27.1Q</t>
        </is>
      </c>
      <c r="M3" s="4" t="inlineStr">
        <is>
          <t>FY23</t>
        </is>
      </c>
      <c r="N3" s="4" t="inlineStr">
        <is>
          <t>FY24</t>
        </is>
      </c>
      <c r="O3" s="4" t="inlineStr">
        <is>
          <t>FY25</t>
        </is>
      </c>
      <c r="P3" s="4" t="inlineStr">
        <is>
          <t>FY26</t>
        </is>
      </c>
      <c r="Q3" s="4" t="inlineStr">
        <is>
          <t>출처</t>
        </is>
      </c>
    </row>
    <row r="4">
      <c r="A4" s="5" t="inlineStr">
        <is>
          <t>순이익</t>
        </is>
      </c>
      <c r="F4" s="6" t="n">
        <v>8.6913</v>
      </c>
      <c r="G4" s="6" t="n">
        <v>-0.5686</v>
      </c>
      <c r="H4" s="6" t="n">
        <v>6.4796</v>
      </c>
      <c r="I4" s="6" t="n">
        <v>11.108</v>
      </c>
      <c r="J4" s="6" t="n">
        <v>9.7424</v>
      </c>
      <c r="K4" s="6" t="n">
        <v>0.8445</v>
      </c>
      <c r="L4" s="6" t="n">
        <v>8.846399999999999</v>
      </c>
      <c r="N4" s="6" t="n">
        <v>20.338</v>
      </c>
      <c r="O4" s="6" t="n">
        <v>23.4794</v>
      </c>
      <c r="P4" s="6" t="n">
        <v>28.1744</v>
      </c>
      <c r="Q4" s="7" t="inlineStr">
        <is>
          <t>결산단신 XBRL(거래소 공시, TDnet·JPX 보관소). 쓴 문서: 2026-10-15, 2026-07-15, 2026-04-14, 2026-01-14 외 2건 — '출처' 시트에 전부</t>
        </is>
      </c>
    </row>
    <row r="5">
      <c r="A5" s="10" t="inlineStr">
        <is>
          <t>기타유가증권 평가차액</t>
        </is>
      </c>
      <c r="F5" s="11" t="n">
        <v>-0.032</v>
      </c>
      <c r="G5" s="11" t="n">
        <v>-0.0607</v>
      </c>
      <c r="H5" s="11" t="n">
        <v>0.3403</v>
      </c>
      <c r="I5" s="11" t="n">
        <v>0.0677</v>
      </c>
      <c r="J5" s="11" t="n">
        <v>0.381</v>
      </c>
      <c r="K5" s="11" t="n">
        <v>-0.0265</v>
      </c>
      <c r="L5" s="11" t="n">
        <v>0.3852</v>
      </c>
      <c r="N5" s="11" t="n">
        <v>0.5653</v>
      </c>
      <c r="O5" s="11" t="n">
        <v>0.0767</v>
      </c>
      <c r="P5" s="11" t="n">
        <v>0.7624</v>
      </c>
    </row>
    <row r="6">
      <c r="A6" s="10" t="inlineStr">
        <is>
          <t>이연헤지손익</t>
        </is>
      </c>
      <c r="F6" s="11" t="n">
        <v>0</v>
      </c>
      <c r="G6" s="11" t="n">
        <v>-0.028</v>
      </c>
      <c r="H6" s="11" t="n">
        <v>0.0201</v>
      </c>
      <c r="I6" s="11" t="n">
        <v>0.0181</v>
      </c>
      <c r="J6" s="11" t="n">
        <v>0.0483</v>
      </c>
      <c r="K6" s="11" t="n">
        <v>0.0008</v>
      </c>
      <c r="L6" s="11" t="n">
        <v>0.0237</v>
      </c>
      <c r="N6" s="11" t="n">
        <v>0</v>
      </c>
      <c r="O6" s="11" t="n">
        <v>-0.028</v>
      </c>
      <c r="P6" s="11" t="n">
        <v>0.0873</v>
      </c>
    </row>
    <row r="7">
      <c r="A7" s="10" t="inlineStr">
        <is>
          <t>해외사업환산조정</t>
        </is>
      </c>
      <c r="F7" s="11" t="n">
        <v>0.1945</v>
      </c>
      <c r="G7" s="11" t="n">
        <v>-0.8062</v>
      </c>
      <c r="H7" s="11" t="n">
        <v>0.0331</v>
      </c>
      <c r="I7" s="11" t="n">
        <v>-0.3863</v>
      </c>
      <c r="J7" s="11" t="n">
        <v>-0.1493</v>
      </c>
      <c r="K7" s="11" t="n">
        <v>0.2108</v>
      </c>
      <c r="L7" s="11" t="n">
        <v>-0.0274</v>
      </c>
      <c r="N7" s="11" t="n">
        <v>-1.7869</v>
      </c>
      <c r="O7" s="11" t="n">
        <v>-0.5278</v>
      </c>
      <c r="P7" s="11" t="n">
        <v>-0.2917</v>
      </c>
    </row>
    <row r="8">
      <c r="A8" s="10" t="inlineStr">
        <is>
          <t>퇴직급여 조정액</t>
        </is>
      </c>
      <c r="F8" s="11" t="n">
        <v>0.0244</v>
      </c>
      <c r="G8" s="11" t="n">
        <v>0.3439</v>
      </c>
      <c r="H8" s="11" t="n">
        <v>0.009599999999999999</v>
      </c>
      <c r="I8" s="11" t="n">
        <v>0.009599999999999999</v>
      </c>
      <c r="J8" s="11" t="n">
        <v>0.009599999999999999</v>
      </c>
      <c r="K8" s="11" t="n">
        <v>0.9957</v>
      </c>
      <c r="L8" s="11" t="n">
        <v>-0.0386</v>
      </c>
      <c r="N8" s="11" t="n">
        <v>0.8849</v>
      </c>
      <c r="O8" s="11" t="n">
        <v>0.4169</v>
      </c>
      <c r="P8" s="11" t="n">
        <v>1.0246</v>
      </c>
    </row>
    <row r="9">
      <c r="A9" s="10" t="inlineStr">
        <is>
          <t>지분법 적용회사 지분 해당액</t>
        </is>
      </c>
      <c r="F9" s="11" t="n">
        <v>0.0321</v>
      </c>
      <c r="G9" s="11" t="n">
        <v>-0.0121</v>
      </c>
      <c r="H9" s="11" t="n">
        <v>-0.0043</v>
      </c>
      <c r="I9" s="11" t="n">
        <v>0.0619</v>
      </c>
      <c r="J9" s="11" t="n">
        <v>0.0028</v>
      </c>
      <c r="K9" s="11" t="n">
        <v>0.008699999999999999</v>
      </c>
      <c r="L9" s="11" t="n">
        <v>-0.0043</v>
      </c>
      <c r="N9" s="11" t="n">
        <v>0.1736</v>
      </c>
      <c r="O9" s="11" t="n">
        <v>-0.0182</v>
      </c>
      <c r="P9" s="11" t="n">
        <v>0.0692</v>
      </c>
    </row>
    <row r="10">
      <c r="A10" s="10" t="inlineStr">
        <is>
          <t>기타포괄손익 합계</t>
        </is>
      </c>
      <c r="F10" s="11" t="n">
        <v>0.2189</v>
      </c>
      <c r="G10" s="11" t="n">
        <v>-0.5632</v>
      </c>
      <c r="H10" s="11" t="n">
        <v>0.3989</v>
      </c>
      <c r="I10" s="11" t="n">
        <v>-0.229</v>
      </c>
      <c r="J10" s="11" t="n">
        <v>0.2924</v>
      </c>
      <c r="K10" s="11" t="n">
        <v>1.1896</v>
      </c>
      <c r="L10" s="11" t="n">
        <v>0.3385</v>
      </c>
      <c r="N10" s="11" t="n">
        <v>-0.1632</v>
      </c>
      <c r="O10" s="11" t="n">
        <v>-0.0803</v>
      </c>
      <c r="P10" s="11" t="n">
        <v>1.6518</v>
      </c>
    </row>
    <row r="11">
      <c r="A11" s="10" t="inlineStr">
        <is>
          <t>포괄이익</t>
        </is>
      </c>
      <c r="F11" s="11" t="n">
        <v>8.910299999999999</v>
      </c>
      <c r="G11" s="11" t="n">
        <v>-1.1318</v>
      </c>
      <c r="H11" s="11" t="n">
        <v>6.8784</v>
      </c>
      <c r="I11" s="11" t="n">
        <v>10.879</v>
      </c>
      <c r="J11" s="11" t="n">
        <v>10.0348</v>
      </c>
      <c r="K11" s="11" t="n">
        <v>2.034</v>
      </c>
      <c r="L11" s="11" t="n">
        <v>9.184900000000001</v>
      </c>
      <c r="N11" s="11" t="n">
        <v>20.1748</v>
      </c>
      <c r="O11" s="11" t="n">
        <v>23.3991</v>
      </c>
      <c r="P11" s="11" t="n">
        <v>29.8262</v>
      </c>
    </row>
    <row r="12">
      <c r="A12" s="10" t="inlineStr">
        <is>
          <t>지배주주 포괄이익</t>
        </is>
      </c>
      <c r="F12" s="11" t="n">
        <v>9.1793</v>
      </c>
      <c r="G12" s="11" t="n">
        <v>-0.556</v>
      </c>
      <c r="H12" s="11" t="n">
        <v>7.3322</v>
      </c>
      <c r="I12" s="11" t="n">
        <v>11.2445</v>
      </c>
      <c r="J12" s="11" t="n">
        <v>10.0514</v>
      </c>
      <c r="K12" s="11" t="n">
        <v>2.0549</v>
      </c>
      <c r="L12" s="11" t="n">
        <v>9.2232</v>
      </c>
      <c r="N12" s="11" t="n">
        <v>21.3853</v>
      </c>
      <c r="O12" s="11" t="n">
        <v>25.0255</v>
      </c>
      <c r="P12" s="11" t="n">
        <v>30.683</v>
      </c>
    </row>
    <row r="13">
      <c r="A13" s="10" t="inlineStr">
        <is>
          <t>비지배주주 포괄이익</t>
        </is>
      </c>
      <c r="F13" s="11" t="n">
        <v>-0.269</v>
      </c>
      <c r="G13" s="11" t="n">
        <v>-0.5758</v>
      </c>
      <c r="H13" s="11" t="n">
        <v>-0.4537</v>
      </c>
      <c r="I13" s="11" t="n">
        <v>-0.3655</v>
      </c>
      <c r="J13" s="11" t="n">
        <v>-0.0166</v>
      </c>
      <c r="K13" s="11" t="n">
        <v>-0.0209</v>
      </c>
      <c r="L13" s="11" t="n">
        <v>-0.0383</v>
      </c>
      <c r="N13" s="11" t="n">
        <v>-1.2105</v>
      </c>
      <c r="O13" s="11" t="n">
        <v>-1.6264</v>
      </c>
      <c r="P13" s="11" t="n">
        <v>-0.8568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40" customWidth="1" min="17" max="17"/>
  </cols>
  <sheetData>
    <row r="1">
      <c r="A1" s="1" t="inlineStr">
        <is>
          <t>렌토 재무상태표</t>
        </is>
      </c>
    </row>
    <row r="2">
      <c r="A2" s="2" t="inlineStr">
        <is>
          <t>결산기 기준(27.2Q = 2027년 결산기 2분기) · 5월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23.4Q</t>
        </is>
      </c>
      <c r="D3" s="4" t="inlineStr">
        <is>
          <t>24.4Q</t>
        </is>
      </c>
      <c r="E3" s="4" t="inlineStr">
        <is>
          <t>25.2Q</t>
        </is>
      </c>
      <c r="F3" s="4" t="inlineStr">
        <is>
          <t>25.3Q</t>
        </is>
      </c>
      <c r="G3" s="4" t="inlineStr">
        <is>
          <t>25.4Q</t>
        </is>
      </c>
      <c r="H3" s="4" t="inlineStr">
        <is>
          <t>26.1Q</t>
        </is>
      </c>
      <c r="I3" s="4" t="inlineStr">
        <is>
          <t>26.2Q</t>
        </is>
      </c>
      <c r="J3" s="4" t="inlineStr">
        <is>
          <t>26.3Q</t>
        </is>
      </c>
      <c r="K3" s="4" t="inlineStr">
        <is>
          <t>26.4Q</t>
        </is>
      </c>
      <c r="L3" s="4" t="inlineStr">
        <is>
          <t>27.1Q</t>
        </is>
      </c>
      <c r="M3" s="4" t="inlineStr">
        <is>
          <t>FY23</t>
        </is>
      </c>
      <c r="N3" s="4" t="inlineStr">
        <is>
          <t>FY24</t>
        </is>
      </c>
      <c r="O3" s="4" t="inlineStr">
        <is>
          <t>FY25</t>
        </is>
      </c>
      <c r="P3" s="4" t="inlineStr">
        <is>
          <t>FY26</t>
        </is>
      </c>
      <c r="Q3" s="4" t="inlineStr">
        <is>
          <t>출처</t>
        </is>
      </c>
    </row>
    <row r="4">
      <c r="A4" s="10" t="inlineStr">
        <is>
          <t>현금 및 예금</t>
        </is>
      </c>
      <c r="D4" s="11" t="n">
        <v>48.9182</v>
      </c>
      <c r="G4" s="11" t="n">
        <v>61.9192</v>
      </c>
      <c r="H4" s="11" t="n">
        <v>63.2659</v>
      </c>
      <c r="I4" s="11" t="n">
        <v>69.7645</v>
      </c>
      <c r="J4" s="11" t="n">
        <v>62.81</v>
      </c>
      <c r="K4" s="11" t="n">
        <v>81.8982</v>
      </c>
      <c r="L4" s="11" t="n">
        <v>59.9627</v>
      </c>
      <c r="N4" s="11" t="n">
        <v>48.9182</v>
      </c>
      <c r="O4" s="11" t="n">
        <v>61.9192</v>
      </c>
      <c r="P4" s="11" t="n">
        <v>81.8982</v>
      </c>
      <c r="Q4" s="7" t="inlineStr">
        <is>
          <t>결산단신 XBRL(거래소 공시, TDnet·JPX 보관소). 쓴 문서: 2026-10-15, 2026-07-15, 2026-04-14, 2026-01-14 외 2건 — '출처' 시트에 전부</t>
        </is>
      </c>
    </row>
    <row r="5">
      <c r="A5" s="10" t="inlineStr">
        <is>
          <t>받을어음·매출채권</t>
        </is>
      </c>
      <c r="D5" s="11" t="n">
        <v>70.6473</v>
      </c>
      <c r="G5" s="11" t="n">
        <v>74.76560000000001</v>
      </c>
      <c r="H5" s="11" t="n">
        <v>80.001</v>
      </c>
      <c r="I5" s="11" t="n">
        <v>87.57170000000001</v>
      </c>
      <c r="J5" s="11" t="n">
        <v>85.4385</v>
      </c>
      <c r="K5" s="11" t="n">
        <v>79.69670000000001</v>
      </c>
      <c r="L5" s="11" t="n">
        <v>83.24460000000001</v>
      </c>
      <c r="N5" s="11" t="n">
        <v>70.6473</v>
      </c>
      <c r="O5" s="11" t="n">
        <v>74.76560000000001</v>
      </c>
      <c r="P5" s="11" t="n">
        <v>79.69670000000001</v>
      </c>
    </row>
    <row r="6">
      <c r="A6" s="10" t="inlineStr">
        <is>
          <t>전자기록채권</t>
        </is>
      </c>
      <c r="D6" s="11" t="n">
        <v>6.9649</v>
      </c>
      <c r="G6" s="11" t="n">
        <v>6.0917</v>
      </c>
      <c r="H6" s="11" t="n">
        <v>6.2749</v>
      </c>
      <c r="I6" s="11" t="n">
        <v>6.9491</v>
      </c>
      <c r="J6" s="11" t="n">
        <v>7.5231</v>
      </c>
      <c r="K6" s="11" t="n">
        <v>7.2112</v>
      </c>
      <c r="L6" s="11" t="n">
        <v>6.9581</v>
      </c>
      <c r="N6" s="11" t="n">
        <v>6.9649</v>
      </c>
      <c r="O6" s="11" t="n">
        <v>6.0917</v>
      </c>
      <c r="P6" s="11" t="n">
        <v>7.2112</v>
      </c>
    </row>
    <row r="7">
      <c r="A7" s="10" t="inlineStr">
        <is>
          <t>상품·제품</t>
        </is>
      </c>
      <c r="D7" s="11" t="n">
        <v>3.8736</v>
      </c>
      <c r="G7" s="11" t="n">
        <v>2.2174</v>
      </c>
      <c r="H7" s="11" t="n">
        <v>2.5365</v>
      </c>
      <c r="I7" s="11" t="n">
        <v>2.4293</v>
      </c>
      <c r="J7" s="11" t="n">
        <v>1.9138</v>
      </c>
      <c r="K7" s="11" t="n">
        <v>1.8278</v>
      </c>
      <c r="L7" s="11" t="n">
        <v>2.2654</v>
      </c>
      <c r="N7" s="11" t="n">
        <v>3.8736</v>
      </c>
      <c r="O7" s="11" t="n">
        <v>2.2174</v>
      </c>
      <c r="P7" s="11" t="n">
        <v>1.8278</v>
      </c>
    </row>
    <row r="8">
      <c r="A8" s="10" t="inlineStr">
        <is>
          <t>원재료·저장품</t>
        </is>
      </c>
      <c r="D8" s="11" t="n">
        <v>2.9598</v>
      </c>
      <c r="G8" s="11" t="n">
        <v>3.6933</v>
      </c>
      <c r="H8" s="11" t="n">
        <v>3.8188</v>
      </c>
      <c r="I8" s="11" t="n">
        <v>4.2368</v>
      </c>
      <c r="J8" s="11" t="n">
        <v>4.1728</v>
      </c>
      <c r="K8" s="11" t="n">
        <v>4.3078</v>
      </c>
      <c r="L8" s="11" t="n">
        <v>4.254</v>
      </c>
      <c r="N8" s="11" t="n">
        <v>2.9598</v>
      </c>
      <c r="O8" s="11" t="n">
        <v>3.6933</v>
      </c>
      <c r="P8" s="11" t="n">
        <v>4.3078</v>
      </c>
    </row>
    <row r="9">
      <c r="A9" s="10" t="inlineStr">
        <is>
          <t>기타</t>
        </is>
      </c>
      <c r="D9" s="11" t="n">
        <v>14.9245</v>
      </c>
      <c r="G9" s="11" t="n">
        <v>15.5361</v>
      </c>
      <c r="H9" s="11" t="n">
        <v>19.5794</v>
      </c>
      <c r="I9" s="11" t="n">
        <v>19.0811</v>
      </c>
      <c r="J9" s="11" t="n">
        <v>18.9941</v>
      </c>
      <c r="K9" s="11" t="n">
        <v>16.9263</v>
      </c>
      <c r="L9" s="11" t="n">
        <v>20.3769</v>
      </c>
      <c r="N9" s="11" t="n">
        <v>14.9245</v>
      </c>
      <c r="O9" s="11" t="n">
        <v>15.5361</v>
      </c>
      <c r="P9" s="11" t="n">
        <v>16.9263</v>
      </c>
    </row>
    <row r="10">
      <c r="A10" s="10" t="inlineStr">
        <is>
          <t>대손충당금</t>
        </is>
      </c>
      <c r="D10" s="11" t="n">
        <v>-2.7274</v>
      </c>
      <c r="G10" s="11" t="n">
        <v>-3.4584</v>
      </c>
      <c r="H10" s="11" t="n">
        <v>-4.082</v>
      </c>
      <c r="I10" s="11" t="n">
        <v>-5.2222</v>
      </c>
      <c r="J10" s="11" t="n">
        <v>-5.3667</v>
      </c>
      <c r="K10" s="11" t="n">
        <v>-5.2301</v>
      </c>
      <c r="L10" s="11" t="n">
        <v>-5.3649</v>
      </c>
      <c r="N10" s="11" t="n">
        <v>-2.7274</v>
      </c>
      <c r="O10" s="11" t="n">
        <v>-3.4584</v>
      </c>
      <c r="P10" s="11" t="n">
        <v>-5.2301</v>
      </c>
    </row>
    <row r="11">
      <c r="A11" s="10" t="inlineStr">
        <is>
          <t>유동자산 합계</t>
        </is>
      </c>
      <c r="D11" s="11" t="n">
        <v>145.561</v>
      </c>
      <c r="G11" s="11" t="n">
        <v>160.7649</v>
      </c>
      <c r="H11" s="11" t="n">
        <v>171.3946</v>
      </c>
      <c r="I11" s="11" t="n">
        <v>184.8103</v>
      </c>
      <c r="J11" s="11" t="n">
        <v>175.4856</v>
      </c>
      <c r="K11" s="11" t="n">
        <v>186.6379</v>
      </c>
      <c r="L11" s="11" t="n">
        <v>171.6967</v>
      </c>
      <c r="N11" s="11" t="n">
        <v>145.561</v>
      </c>
      <c r="O11" s="11" t="n">
        <v>160.7649</v>
      </c>
      <c r="P11" s="11" t="n">
        <v>186.6379</v>
      </c>
    </row>
    <row r="12">
      <c r="A12" s="10" t="inlineStr">
        <is>
          <t>렌털용 자산[자가](순액)</t>
        </is>
      </c>
      <c r="G12" s="11" t="n">
        <v>159.328</v>
      </c>
      <c r="I12" s="11" t="n">
        <v>183.0384</v>
      </c>
      <c r="O12" s="11" t="n">
        <v>159.328</v>
      </c>
    </row>
    <row r="13">
      <c r="A13" s="10" t="inlineStr">
        <is>
          <t>렌털용 자산[리스](순액)</t>
        </is>
      </c>
      <c r="G13" s="11" t="n">
        <v>75.4952</v>
      </c>
      <c r="I13" s="11" t="n">
        <v>79.4821</v>
      </c>
      <c r="O13" s="11" t="n">
        <v>75.4952</v>
      </c>
    </row>
    <row r="14">
      <c r="A14" s="10" t="inlineStr">
        <is>
          <t>렌털용 자산[자가](순액)</t>
        </is>
      </c>
      <c r="D14" s="11" t="n">
        <v>116.9001</v>
      </c>
      <c r="G14" s="11" t="n">
        <v>159.328</v>
      </c>
      <c r="K14" s="11" t="n">
        <v>198.9847</v>
      </c>
      <c r="N14" s="11" t="n">
        <v>116.9001</v>
      </c>
      <c r="O14" s="11" t="n">
        <v>159.328</v>
      </c>
      <c r="P14" s="11" t="n">
        <v>198.9847</v>
      </c>
    </row>
    <row r="15">
      <c r="A15" s="10" t="inlineStr">
        <is>
          <t>렌털용 자산[리스](순액)</t>
        </is>
      </c>
      <c r="D15" s="11" t="n">
        <v>70.6058</v>
      </c>
      <c r="G15" s="11" t="n">
        <v>75.4952</v>
      </c>
      <c r="K15" s="11" t="n">
        <v>81.8006</v>
      </c>
      <c r="N15" s="11" t="n">
        <v>70.6058</v>
      </c>
      <c r="O15" s="11" t="n">
        <v>75.4952</v>
      </c>
      <c r="P15" s="11" t="n">
        <v>81.8006</v>
      </c>
    </row>
    <row r="16">
      <c r="A16" s="10" t="inlineStr">
        <is>
          <t>렌털용 자산[자가](순액)</t>
        </is>
      </c>
      <c r="G16" s="11" t="n">
        <v>159.328</v>
      </c>
      <c r="H16" s="11" t="n">
        <v>164.4589</v>
      </c>
      <c r="J16" s="11" t="n">
        <v>196.5888</v>
      </c>
      <c r="K16" s="11" t="n">
        <v>198.9847</v>
      </c>
      <c r="L16" s="11" t="n">
        <v>213.0975</v>
      </c>
      <c r="O16" s="11" t="n">
        <v>159.328</v>
      </c>
      <c r="P16" s="11" t="n">
        <v>198.9847</v>
      </c>
    </row>
    <row r="17">
      <c r="A17" s="10" t="inlineStr">
        <is>
          <t>렌털용 자산[리스](순액)</t>
        </is>
      </c>
      <c r="G17" s="11" t="n">
        <v>75.4952</v>
      </c>
      <c r="H17" s="11" t="n">
        <v>75.7346</v>
      </c>
      <c r="J17" s="11" t="n">
        <v>84.1717</v>
      </c>
      <c r="K17" s="11" t="n">
        <v>81.8006</v>
      </c>
      <c r="L17" s="11" t="n">
        <v>81.3625</v>
      </c>
      <c r="O17" s="11" t="n">
        <v>75.4952</v>
      </c>
      <c r="P17" s="11" t="n">
        <v>81.8006</v>
      </c>
    </row>
    <row r="18">
      <c r="A18" s="10" t="inlineStr">
        <is>
          <t>건물·구축물(순액)</t>
        </is>
      </c>
      <c r="D18" s="11" t="n">
        <v>47.4776</v>
      </c>
      <c r="G18" s="11" t="n">
        <v>47.2014</v>
      </c>
      <c r="H18" s="11" t="n">
        <v>47.5419</v>
      </c>
      <c r="I18" s="11" t="n">
        <v>47.9293</v>
      </c>
      <c r="J18" s="11" t="n">
        <v>48.3223</v>
      </c>
      <c r="K18" s="11" t="n">
        <v>51.35</v>
      </c>
      <c r="L18" s="11" t="n">
        <v>51.4953</v>
      </c>
      <c r="N18" s="11" t="n">
        <v>47.4776</v>
      </c>
      <c r="O18" s="11" t="n">
        <v>47.2014</v>
      </c>
      <c r="P18" s="11" t="n">
        <v>51.35</v>
      </c>
    </row>
    <row r="19">
      <c r="A19" s="10" t="inlineStr">
        <is>
          <t>기계장치·운반구(순액)</t>
        </is>
      </c>
      <c r="D19" s="11" t="n">
        <v>7.3261</v>
      </c>
      <c r="G19" s="11" t="n">
        <v>8.6158</v>
      </c>
      <c r="H19" s="11" t="n">
        <v>8.794</v>
      </c>
      <c r="I19" s="11" t="n">
        <v>8.5488</v>
      </c>
      <c r="J19" s="11" t="n">
        <v>8.4437</v>
      </c>
      <c r="K19" s="11" t="n">
        <v>8.5868</v>
      </c>
      <c r="L19" s="11" t="n">
        <v>8.833299999999999</v>
      </c>
      <c r="N19" s="11" t="n">
        <v>7.3261</v>
      </c>
      <c r="O19" s="11" t="n">
        <v>8.6158</v>
      </c>
      <c r="P19" s="11" t="n">
        <v>8.5868</v>
      </c>
    </row>
    <row r="20">
      <c r="A20" s="10" t="inlineStr">
        <is>
          <t>토지</t>
        </is>
      </c>
      <c r="D20" s="11" t="n">
        <v>67.76260000000001</v>
      </c>
      <c r="G20" s="11" t="n">
        <v>67.76479999999999</v>
      </c>
      <c r="H20" s="11" t="n">
        <v>67.78879999999999</v>
      </c>
      <c r="I20" s="11" t="n">
        <v>83.6356</v>
      </c>
      <c r="J20" s="11" t="n">
        <v>83.66330000000001</v>
      </c>
      <c r="K20" s="11" t="n">
        <v>83.66549999999999</v>
      </c>
      <c r="L20" s="11" t="n">
        <v>83.6442</v>
      </c>
      <c r="N20" s="11" t="n">
        <v>67.76260000000001</v>
      </c>
      <c r="O20" s="11" t="n">
        <v>67.76479999999999</v>
      </c>
      <c r="P20" s="11" t="n">
        <v>83.66549999999999</v>
      </c>
    </row>
    <row r="21">
      <c r="A21" s="10" t="inlineStr">
        <is>
          <t>리스자산(순액)</t>
        </is>
      </c>
      <c r="D21" s="11" t="n">
        <v>3.899</v>
      </c>
      <c r="G21" s="11" t="n">
        <v>3.6972</v>
      </c>
      <c r="H21" s="11" t="n">
        <v>3.4788</v>
      </c>
      <c r="I21" s="11" t="n">
        <v>3.6547</v>
      </c>
      <c r="J21" s="11" t="n">
        <v>3.4072</v>
      </c>
      <c r="K21" s="11" t="n">
        <v>3.4065</v>
      </c>
      <c r="L21" s="11" t="n">
        <v>2.9712</v>
      </c>
      <c r="N21" s="11" t="n">
        <v>3.899</v>
      </c>
      <c r="O21" s="11" t="n">
        <v>3.6972</v>
      </c>
      <c r="P21" s="11" t="n">
        <v>3.4065</v>
      </c>
    </row>
    <row r="22">
      <c r="A22" s="10" t="inlineStr">
        <is>
          <t>건설중인자산</t>
        </is>
      </c>
      <c r="D22" s="11" t="n">
        <v>1.31</v>
      </c>
      <c r="G22" s="11" t="n">
        <v>2.9789</v>
      </c>
      <c r="K22" s="11" t="n">
        <v>4.7469</v>
      </c>
      <c r="N22" s="11" t="n">
        <v>1.31</v>
      </c>
      <c r="O22" s="11" t="n">
        <v>2.9789</v>
      </c>
      <c r="P22" s="11" t="n">
        <v>4.7469</v>
      </c>
    </row>
    <row r="23">
      <c r="A23" s="10" t="inlineStr">
        <is>
          <t>기타(순액)</t>
        </is>
      </c>
      <c r="D23" s="11" t="n">
        <v>3.2577</v>
      </c>
      <c r="G23" s="11" t="n">
        <v>3.9566</v>
      </c>
      <c r="H23" s="11" t="n">
        <v>7.3734</v>
      </c>
      <c r="I23" s="11" t="n">
        <v>8.757099999999999</v>
      </c>
      <c r="J23" s="11" t="n">
        <v>8.664099999999999</v>
      </c>
      <c r="K23" s="11" t="n">
        <v>9.109299999999999</v>
      </c>
      <c r="L23" s="11" t="n">
        <v>9.9459</v>
      </c>
      <c r="N23" s="11" t="n">
        <v>3.2577</v>
      </c>
      <c r="O23" s="11" t="n">
        <v>3.9566</v>
      </c>
      <c r="P23" s="11" t="n">
        <v>9.109299999999999</v>
      </c>
    </row>
    <row r="24">
      <c r="A24" s="10" t="inlineStr">
        <is>
          <t>유형자산 합계</t>
        </is>
      </c>
      <c r="D24" s="11" t="n">
        <v>318.539</v>
      </c>
      <c r="G24" s="11" t="n">
        <v>369.0379</v>
      </c>
      <c r="H24" s="11" t="n">
        <v>375.1705</v>
      </c>
      <c r="I24" s="11" t="n">
        <v>415.0461</v>
      </c>
      <c r="J24" s="11" t="n">
        <v>433.2612</v>
      </c>
      <c r="K24" s="11" t="n">
        <v>436.9035</v>
      </c>
      <c r="L24" s="11" t="n">
        <v>451.3499</v>
      </c>
      <c r="N24" s="11" t="n">
        <v>318.539</v>
      </c>
      <c r="O24" s="11" t="n">
        <v>369.0379</v>
      </c>
      <c r="P24" s="11" t="n">
        <v>436.9035</v>
      </c>
    </row>
    <row r="25">
      <c r="A25" s="10" t="inlineStr">
        <is>
          <t>영업권</t>
        </is>
      </c>
      <c r="G25" s="11" t="n">
        <v>0.0482</v>
      </c>
      <c r="I25" s="11" t="n">
        <v>5.6097</v>
      </c>
      <c r="J25" s="11" t="n">
        <v>5.5443</v>
      </c>
      <c r="K25" s="11" t="n">
        <v>5.5754</v>
      </c>
      <c r="L25" s="11" t="n">
        <v>5.4522</v>
      </c>
      <c r="O25" s="11" t="n">
        <v>0.0482</v>
      </c>
      <c r="P25" s="11" t="n">
        <v>5.5754</v>
      </c>
    </row>
    <row r="26">
      <c r="A26" s="10" t="inlineStr">
        <is>
          <t>기타</t>
        </is>
      </c>
      <c r="D26" s="11" t="n">
        <v>4.6559</v>
      </c>
      <c r="G26" s="11" t="n">
        <v>3.9985</v>
      </c>
      <c r="H26" s="11" t="n">
        <v>3.8161</v>
      </c>
      <c r="I26" s="11" t="n">
        <v>3.6855</v>
      </c>
      <c r="J26" s="11" t="n">
        <v>3.5308</v>
      </c>
      <c r="K26" s="11" t="n">
        <v>3.2665</v>
      </c>
      <c r="L26" s="11" t="n">
        <v>3.9161</v>
      </c>
      <c r="N26" s="11" t="n">
        <v>4.6559</v>
      </c>
      <c r="O26" s="11" t="n">
        <v>3.9985</v>
      </c>
      <c r="P26" s="11" t="n">
        <v>3.2665</v>
      </c>
    </row>
    <row r="27">
      <c r="A27" s="10" t="inlineStr">
        <is>
          <t>무형자산 합계</t>
        </is>
      </c>
      <c r="D27" s="11" t="n">
        <v>4.6559</v>
      </c>
      <c r="G27" s="11" t="n">
        <v>4.0467</v>
      </c>
      <c r="H27" s="11" t="n">
        <v>3.8161</v>
      </c>
      <c r="I27" s="11" t="n">
        <v>9.295199999999999</v>
      </c>
      <c r="J27" s="11" t="n">
        <v>9.075200000000001</v>
      </c>
      <c r="K27" s="11" t="n">
        <v>8.841900000000001</v>
      </c>
      <c r="L27" s="11" t="n">
        <v>9.3683</v>
      </c>
      <c r="N27" s="11" t="n">
        <v>4.6559</v>
      </c>
      <c r="O27" s="11" t="n">
        <v>4.0467</v>
      </c>
      <c r="P27" s="11" t="n">
        <v>8.841900000000001</v>
      </c>
    </row>
    <row r="28">
      <c r="A28" s="10" t="inlineStr">
        <is>
          <t>투자유가증권</t>
        </is>
      </c>
      <c r="D28" s="11" t="n">
        <v>7.769</v>
      </c>
      <c r="G28" s="11" t="n">
        <v>6.9802</v>
      </c>
      <c r="H28" s="11" t="n">
        <v>7.0044</v>
      </c>
      <c r="I28" s="11" t="n">
        <v>7.6402</v>
      </c>
      <c r="J28" s="11" t="n">
        <v>8.3294</v>
      </c>
      <c r="K28" s="11" t="n">
        <v>8.491</v>
      </c>
      <c r="L28" s="11" t="n">
        <v>8.757300000000001</v>
      </c>
      <c r="N28" s="11" t="n">
        <v>7.769</v>
      </c>
      <c r="O28" s="11" t="n">
        <v>6.9802</v>
      </c>
      <c r="P28" s="11" t="n">
        <v>8.491</v>
      </c>
    </row>
    <row r="29">
      <c r="A29" s="10" t="inlineStr">
        <is>
          <t>이연법인세자산</t>
        </is>
      </c>
      <c r="D29" s="11" t="n">
        <v>17.3217</v>
      </c>
      <c r="G29" s="11" t="n">
        <v>16.4427</v>
      </c>
      <c r="H29" s="11" t="n">
        <v>15.0116</v>
      </c>
      <c r="I29" s="11" t="n">
        <v>17.298</v>
      </c>
      <c r="J29" s="11" t="n">
        <v>15.3294</v>
      </c>
      <c r="K29" s="11" t="n">
        <v>17.5574</v>
      </c>
      <c r="L29" s="11" t="n">
        <v>15.2239</v>
      </c>
      <c r="N29" s="11" t="n">
        <v>17.3217</v>
      </c>
      <c r="O29" s="11" t="n">
        <v>16.4427</v>
      </c>
      <c r="P29" s="11" t="n">
        <v>17.5574</v>
      </c>
    </row>
    <row r="30">
      <c r="A30" s="10" t="inlineStr">
        <is>
          <t>임차보증금·보증금</t>
        </is>
      </c>
      <c r="D30" s="11" t="n">
        <v>15.0592</v>
      </c>
      <c r="G30" s="11" t="n">
        <v>17.0079</v>
      </c>
      <c r="H30" s="11" t="n">
        <v>16.9443</v>
      </c>
      <c r="I30" s="11" t="n">
        <v>18.1119</v>
      </c>
      <c r="J30" s="11" t="n">
        <v>18.166</v>
      </c>
      <c r="K30" s="11" t="n">
        <v>18.1136</v>
      </c>
      <c r="L30" s="11" t="n">
        <v>18.1959</v>
      </c>
      <c r="N30" s="11" t="n">
        <v>15.0592</v>
      </c>
      <c r="O30" s="11" t="n">
        <v>17.0079</v>
      </c>
      <c r="P30" s="11" t="n">
        <v>18.1136</v>
      </c>
    </row>
    <row r="31">
      <c r="A31" s="10" t="inlineStr">
        <is>
          <t>기타</t>
        </is>
      </c>
      <c r="D31" s="11" t="n">
        <v>4.5105</v>
      </c>
      <c r="G31" s="11" t="n">
        <v>5.079</v>
      </c>
      <c r="H31" s="11" t="n">
        <v>5.0265</v>
      </c>
      <c r="I31" s="11" t="n">
        <v>5.4977</v>
      </c>
      <c r="J31" s="11" t="n">
        <v>5.7739</v>
      </c>
      <c r="K31" s="11" t="n">
        <v>5.8055</v>
      </c>
      <c r="L31" s="11" t="n">
        <v>5.7752</v>
      </c>
      <c r="N31" s="11" t="n">
        <v>4.5105</v>
      </c>
      <c r="O31" s="11" t="n">
        <v>5.079</v>
      </c>
      <c r="P31" s="11" t="n">
        <v>5.8055</v>
      </c>
    </row>
    <row r="32">
      <c r="A32" s="10" t="inlineStr">
        <is>
          <t>대손충당금</t>
        </is>
      </c>
      <c r="D32" s="11" t="n">
        <v>-0.4504</v>
      </c>
      <c r="G32" s="11" t="n">
        <v>-0.2556</v>
      </c>
      <c r="H32" s="11" t="n">
        <v>-0.2055</v>
      </c>
      <c r="I32" s="11" t="n">
        <v>-0.2822</v>
      </c>
      <c r="J32" s="11" t="n">
        <v>-0.3245</v>
      </c>
      <c r="K32" s="11" t="n">
        <v>-0.334</v>
      </c>
      <c r="L32" s="11" t="n">
        <v>-0.3728</v>
      </c>
      <c r="N32" s="11" t="n">
        <v>-0.4504</v>
      </c>
      <c r="O32" s="11" t="n">
        <v>-0.2556</v>
      </c>
      <c r="P32" s="11" t="n">
        <v>-0.334</v>
      </c>
    </row>
    <row r="33">
      <c r="A33" s="10" t="inlineStr">
        <is>
          <t>투자 및 기타자산 합계</t>
        </is>
      </c>
      <c r="D33" s="11" t="n">
        <v>44.21</v>
      </c>
      <c r="G33" s="11" t="n">
        <v>45.2542</v>
      </c>
      <c r="H33" s="11" t="n">
        <v>43.7813</v>
      </c>
      <c r="I33" s="11" t="n">
        <v>48.2656</v>
      </c>
      <c r="J33" s="11" t="n">
        <v>47.2743</v>
      </c>
      <c r="K33" s="11" t="n">
        <v>49.6334</v>
      </c>
      <c r="L33" s="11" t="n">
        <v>47.5795</v>
      </c>
      <c r="N33" s="11" t="n">
        <v>44.21</v>
      </c>
      <c r="O33" s="11" t="n">
        <v>45.2542</v>
      </c>
      <c r="P33" s="11" t="n">
        <v>49.6334</v>
      </c>
    </row>
    <row r="34">
      <c r="A34" s="10" t="inlineStr">
        <is>
          <t>비유동자산 합계</t>
        </is>
      </c>
      <c r="D34" s="11" t="n">
        <v>367.4049</v>
      </c>
      <c r="G34" s="11" t="n">
        <v>418.3388</v>
      </c>
      <c r="H34" s="11" t="n">
        <v>422.7679</v>
      </c>
      <c r="I34" s="11" t="n">
        <v>472.607</v>
      </c>
      <c r="J34" s="11" t="n">
        <v>489.6107</v>
      </c>
      <c r="K34" s="11" t="n">
        <v>495.3788</v>
      </c>
      <c r="L34" s="11" t="n">
        <v>508.2977</v>
      </c>
      <c r="N34" s="11" t="n">
        <v>367.4049</v>
      </c>
      <c r="O34" s="11" t="n">
        <v>418.3388</v>
      </c>
      <c r="P34" s="11" t="n">
        <v>495.3788</v>
      </c>
    </row>
    <row r="35">
      <c r="A35" s="10" t="inlineStr">
        <is>
          <t>자산 합계</t>
        </is>
      </c>
      <c r="D35" s="11" t="n">
        <v>512.9659</v>
      </c>
      <c r="G35" s="11" t="n">
        <v>579.1038</v>
      </c>
      <c r="H35" s="11" t="n">
        <v>594.1625</v>
      </c>
      <c r="I35" s="11" t="n">
        <v>657.4173</v>
      </c>
      <c r="J35" s="11" t="n">
        <v>665.0964</v>
      </c>
      <c r="K35" s="11" t="n">
        <v>682.0167</v>
      </c>
      <c r="L35" s="11" t="n">
        <v>679.9944</v>
      </c>
      <c r="N35" s="11" t="n">
        <v>512.9659</v>
      </c>
      <c r="O35" s="11" t="n">
        <v>579.1038</v>
      </c>
      <c r="P35" s="11" t="n">
        <v>682.0167</v>
      </c>
    </row>
    <row r="36">
      <c r="A36" s="10" t="inlineStr">
        <is>
          <t>지급어음·매입채무</t>
        </is>
      </c>
      <c r="D36" s="11" t="n">
        <v>36.2033</v>
      </c>
      <c r="G36" s="11" t="n">
        <v>4.1385</v>
      </c>
      <c r="H36" s="11" t="n">
        <v>4.993</v>
      </c>
      <c r="I36" s="11" t="n">
        <v>4.3074</v>
      </c>
      <c r="J36" s="11" t="n">
        <v>3.9583</v>
      </c>
      <c r="K36" s="11" t="n">
        <v>3.7145</v>
      </c>
      <c r="L36" s="11" t="n">
        <v>3.4562</v>
      </c>
      <c r="N36" s="11" t="n">
        <v>36.2033</v>
      </c>
      <c r="O36" s="11" t="n">
        <v>4.1385</v>
      </c>
      <c r="P36" s="11" t="n">
        <v>3.7145</v>
      </c>
    </row>
    <row r="37">
      <c r="A37" s="10" t="inlineStr">
        <is>
          <t>전자기록채무</t>
        </is>
      </c>
      <c r="D37" s="11" t="n">
        <v>0</v>
      </c>
      <c r="G37" s="11" t="n">
        <v>35.7897</v>
      </c>
      <c r="H37" s="11" t="n">
        <v>34.2334</v>
      </c>
      <c r="I37" s="11" t="n">
        <v>35.7105</v>
      </c>
      <c r="J37" s="11" t="n">
        <v>26.7302</v>
      </c>
      <c r="K37" s="11" t="n">
        <v>4.6852</v>
      </c>
      <c r="L37" s="11" t="n">
        <v>4.3316</v>
      </c>
      <c r="N37" s="11" t="n">
        <v>0</v>
      </c>
      <c r="O37" s="11" t="n">
        <v>35.7897</v>
      </c>
      <c r="P37" s="11" t="n">
        <v>4.6852</v>
      </c>
    </row>
    <row r="38">
      <c r="A38" s="10" t="inlineStr">
        <is>
          <t>단기차입금</t>
        </is>
      </c>
      <c r="D38" s="11" t="n">
        <v>37.1104</v>
      </c>
      <c r="G38" s="11" t="n">
        <v>22.1</v>
      </c>
      <c r="H38" s="11" t="n">
        <v>23.4325</v>
      </c>
      <c r="I38" s="11" t="n">
        <v>45.4042</v>
      </c>
      <c r="J38" s="11" t="n">
        <v>63.18</v>
      </c>
      <c r="K38" s="11" t="n">
        <v>19.294</v>
      </c>
      <c r="L38" s="11" t="n">
        <v>35.878</v>
      </c>
      <c r="N38" s="11" t="n">
        <v>37.1104</v>
      </c>
      <c r="O38" s="11" t="n">
        <v>22.1</v>
      </c>
      <c r="P38" s="11" t="n">
        <v>19.294</v>
      </c>
    </row>
    <row r="39">
      <c r="A39" s="10" t="inlineStr">
        <is>
          <t>1년 내 상환 사채</t>
        </is>
      </c>
      <c r="D39" s="11" t="n">
        <v>0.3</v>
      </c>
      <c r="G39" s="11" t="n">
        <v>0.3</v>
      </c>
      <c r="H39" s="11" t="n">
        <v>0.3</v>
      </c>
      <c r="I39" s="11" t="n">
        <v>0.3</v>
      </c>
      <c r="J39" s="11" t="n">
        <v>0.3</v>
      </c>
      <c r="K39" s="11" t="n">
        <v>0.3</v>
      </c>
      <c r="L39" s="11" t="n">
        <v>0.3</v>
      </c>
      <c r="N39" s="11" t="n">
        <v>0.3</v>
      </c>
      <c r="O39" s="11" t="n">
        <v>0.3</v>
      </c>
      <c r="P39" s="11" t="n">
        <v>0.3</v>
      </c>
    </row>
    <row r="40">
      <c r="A40" s="10" t="inlineStr">
        <is>
          <t>1년 내 상환 장기차입금</t>
        </is>
      </c>
      <c r="D40" s="11" t="n">
        <v>44.629</v>
      </c>
      <c r="G40" s="11" t="n">
        <v>54.6181</v>
      </c>
      <c r="H40" s="11" t="n">
        <v>53.2643</v>
      </c>
      <c r="I40" s="11" t="n">
        <v>51.9944</v>
      </c>
      <c r="J40" s="11" t="n">
        <v>51.7285</v>
      </c>
      <c r="K40" s="11" t="n">
        <v>64.9278</v>
      </c>
      <c r="L40" s="11" t="n">
        <v>61.6034</v>
      </c>
      <c r="N40" s="11" t="n">
        <v>44.629</v>
      </c>
      <c r="O40" s="11" t="n">
        <v>54.6181</v>
      </c>
      <c r="P40" s="11" t="n">
        <v>64.9278</v>
      </c>
    </row>
    <row r="41">
      <c r="A41" s="10" t="inlineStr">
        <is>
          <t>리스부채</t>
        </is>
      </c>
      <c r="D41" s="11" t="n">
        <v>28.5546</v>
      </c>
      <c r="G41" s="11" t="n">
        <v>21.6683</v>
      </c>
      <c r="H41" s="11" t="n">
        <v>21.0873</v>
      </c>
      <c r="I41" s="11" t="n">
        <v>22.867</v>
      </c>
      <c r="J41" s="11" t="n">
        <v>25.5325</v>
      </c>
      <c r="K41" s="11" t="n">
        <v>25.275</v>
      </c>
      <c r="L41" s="11" t="n">
        <v>25.3261</v>
      </c>
      <c r="N41" s="11" t="n">
        <v>28.5546</v>
      </c>
      <c r="O41" s="11" t="n">
        <v>21.6683</v>
      </c>
      <c r="P41" s="11" t="n">
        <v>25.275</v>
      </c>
    </row>
    <row r="42">
      <c r="A42" s="10" t="inlineStr">
        <is>
          <t>미지급금</t>
        </is>
      </c>
      <c r="D42" s="11" t="n">
        <v>24.8522</v>
      </c>
      <c r="G42" s="11" t="n">
        <v>26.1119</v>
      </c>
      <c r="H42" s="11" t="n">
        <v>31.5636</v>
      </c>
      <c r="I42" s="11" t="n">
        <v>32.6819</v>
      </c>
      <c r="J42" s="11" t="n">
        <v>30.6237</v>
      </c>
      <c r="K42" s="11" t="n">
        <v>29.5477</v>
      </c>
      <c r="L42" s="11" t="n">
        <v>33.9029</v>
      </c>
      <c r="N42" s="11" t="n">
        <v>24.8522</v>
      </c>
      <c r="O42" s="11" t="n">
        <v>26.1119</v>
      </c>
      <c r="P42" s="11" t="n">
        <v>29.5477</v>
      </c>
    </row>
    <row r="43">
      <c r="A43" s="10" t="inlineStr">
        <is>
          <t>미지급법인세</t>
        </is>
      </c>
      <c r="D43" s="11" t="n">
        <v>6.4473</v>
      </c>
      <c r="G43" s="11" t="n">
        <v>6.5442</v>
      </c>
      <c r="H43" s="11" t="n">
        <v>2.6148</v>
      </c>
      <c r="I43" s="11" t="n">
        <v>11.1503</v>
      </c>
      <c r="J43" s="11" t="n">
        <v>8.211499999999999</v>
      </c>
      <c r="K43" s="11" t="n">
        <v>9.0875</v>
      </c>
      <c r="L43" s="11" t="n">
        <v>2.6028</v>
      </c>
      <c r="N43" s="11" t="n">
        <v>6.4473</v>
      </c>
      <c r="O43" s="11" t="n">
        <v>6.5442</v>
      </c>
      <c r="P43" s="11" t="n">
        <v>9.0875</v>
      </c>
    </row>
    <row r="44">
      <c r="A44" s="10" t="inlineStr">
        <is>
          <t>상여충당금</t>
        </is>
      </c>
      <c r="D44" s="11" t="n">
        <v>11.1423</v>
      </c>
      <c r="G44" s="11" t="n">
        <v>12.7734</v>
      </c>
      <c r="H44" s="11" t="n">
        <v>8.1496</v>
      </c>
      <c r="I44" s="11" t="n">
        <v>13.4032</v>
      </c>
      <c r="J44" s="11" t="n">
        <v>7.7379</v>
      </c>
      <c r="K44" s="11" t="n">
        <v>13.4304</v>
      </c>
      <c r="L44" s="11" t="n">
        <v>8.933199999999999</v>
      </c>
      <c r="N44" s="11" t="n">
        <v>11.1423</v>
      </c>
      <c r="O44" s="11" t="n">
        <v>12.7734</v>
      </c>
      <c r="P44" s="11" t="n">
        <v>13.4304</v>
      </c>
    </row>
    <row r="45">
      <c r="A45" s="10" t="inlineStr">
        <is>
          <t>기타</t>
        </is>
      </c>
      <c r="D45" s="11" t="n">
        <v>23.2077</v>
      </c>
      <c r="G45" s="11" t="n">
        <v>25.6133</v>
      </c>
      <c r="H45" s="11" t="n">
        <v>27.4446</v>
      </c>
      <c r="I45" s="11" t="n">
        <v>37.9866</v>
      </c>
      <c r="J45" s="11" t="n">
        <v>35.5243</v>
      </c>
      <c r="K45" s="11" t="n">
        <v>29.6885</v>
      </c>
      <c r="L45" s="11" t="n">
        <v>33.2702</v>
      </c>
      <c r="N45" s="11" t="n">
        <v>23.2077</v>
      </c>
      <c r="O45" s="11" t="n">
        <v>25.6133</v>
      </c>
      <c r="P45" s="11" t="n">
        <v>29.6885</v>
      </c>
    </row>
    <row r="46">
      <c r="A46" s="10" t="inlineStr">
        <is>
          <t>유동부채 합계</t>
        </is>
      </c>
      <c r="D46" s="11" t="n">
        <v>212.4468</v>
      </c>
      <c r="G46" s="11" t="n">
        <v>209.6574</v>
      </c>
      <c r="H46" s="11" t="n">
        <v>207.0831</v>
      </c>
      <c r="I46" s="11" t="n">
        <v>255.8056</v>
      </c>
      <c r="J46" s="11" t="n">
        <v>253.5269</v>
      </c>
      <c r="K46" s="11" t="n">
        <v>199.9506</v>
      </c>
      <c r="L46" s="11" t="n">
        <v>209.6045</v>
      </c>
      <c r="N46" s="11" t="n">
        <v>212.4468</v>
      </c>
      <c r="O46" s="11" t="n">
        <v>209.6574</v>
      </c>
      <c r="P46" s="11" t="n">
        <v>199.9506</v>
      </c>
    </row>
    <row r="47">
      <c r="A47" s="10" t="inlineStr">
        <is>
          <t>사채</t>
        </is>
      </c>
      <c r="D47" s="11" t="n">
        <v>1.75</v>
      </c>
      <c r="G47" s="11" t="n">
        <v>1.45</v>
      </c>
      <c r="H47" s="11" t="n">
        <v>1.45</v>
      </c>
      <c r="I47" s="11" t="n">
        <v>1.3</v>
      </c>
      <c r="J47" s="11" t="n">
        <v>1.3</v>
      </c>
      <c r="K47" s="11" t="n">
        <v>1.15</v>
      </c>
      <c r="L47" s="11" t="n">
        <v>1.15</v>
      </c>
      <c r="N47" s="11" t="n">
        <v>1.75</v>
      </c>
      <c r="O47" s="11" t="n">
        <v>1.45</v>
      </c>
      <c r="P47" s="11" t="n">
        <v>1.15</v>
      </c>
    </row>
    <row r="48">
      <c r="A48" s="10" t="inlineStr">
        <is>
          <t>장기차입금</t>
        </is>
      </c>
      <c r="D48" s="11" t="n">
        <v>101.9357</v>
      </c>
      <c r="G48" s="11" t="n">
        <v>131.6339</v>
      </c>
      <c r="H48" s="11" t="n">
        <v>121.7963</v>
      </c>
      <c r="I48" s="11" t="n">
        <v>118.5447</v>
      </c>
      <c r="J48" s="11" t="n">
        <v>116.4226</v>
      </c>
      <c r="K48" s="11" t="n">
        <v>189.4295</v>
      </c>
      <c r="L48" s="11" t="n">
        <v>176.9529</v>
      </c>
      <c r="N48" s="11" t="n">
        <v>101.9357</v>
      </c>
      <c r="O48" s="11" t="n">
        <v>131.6339</v>
      </c>
      <c r="P48" s="11" t="n">
        <v>189.4295</v>
      </c>
    </row>
    <row r="49">
      <c r="A49" s="10" t="inlineStr">
        <is>
          <t>리스부채</t>
        </is>
      </c>
      <c r="D49" s="11" t="n">
        <v>48.0472</v>
      </c>
      <c r="G49" s="11" t="n">
        <v>61.3269</v>
      </c>
      <c r="H49" s="11" t="n">
        <v>62.3735</v>
      </c>
      <c r="I49" s="11" t="n">
        <v>64.6643</v>
      </c>
      <c r="J49" s="11" t="n">
        <v>66.45189999999999</v>
      </c>
      <c r="K49" s="11" t="n">
        <v>64.0795</v>
      </c>
      <c r="L49" s="11" t="n">
        <v>63.2428</v>
      </c>
      <c r="N49" s="11" t="n">
        <v>48.0472</v>
      </c>
      <c r="O49" s="11" t="n">
        <v>61.3269</v>
      </c>
      <c r="P49" s="11" t="n">
        <v>64.0795</v>
      </c>
    </row>
    <row r="50">
      <c r="A50" s="10" t="inlineStr">
        <is>
          <t>이연법인세부채</t>
        </is>
      </c>
      <c r="G50" s="11" t="n">
        <v>0</v>
      </c>
      <c r="I50" s="11" t="n">
        <v>4.747</v>
      </c>
      <c r="J50" s="11" t="n">
        <v>4.7669</v>
      </c>
      <c r="K50" s="11" t="n">
        <v>4.6224</v>
      </c>
      <c r="L50" s="11" t="n">
        <v>4.6391</v>
      </c>
      <c r="O50" s="11" t="n">
        <v>0</v>
      </c>
      <c r="P50" s="11" t="n">
        <v>4.6224</v>
      </c>
    </row>
    <row r="51">
      <c r="A51" s="10" t="inlineStr">
        <is>
          <t>퇴직급여부채</t>
        </is>
      </c>
      <c r="D51" s="11" t="n">
        <v>20.7115</v>
      </c>
      <c r="G51" s="11" t="n">
        <v>20.8379</v>
      </c>
      <c r="H51" s="11" t="n">
        <v>21.1068</v>
      </c>
      <c r="I51" s="11" t="n">
        <v>21.3424</v>
      </c>
      <c r="J51" s="11" t="n">
        <v>21.6256</v>
      </c>
      <c r="K51" s="11" t="n">
        <v>20.3404</v>
      </c>
      <c r="L51" s="11" t="n">
        <v>20.4313</v>
      </c>
      <c r="N51" s="11" t="n">
        <v>20.7115</v>
      </c>
      <c r="O51" s="11" t="n">
        <v>20.8379</v>
      </c>
      <c r="P51" s="11" t="n">
        <v>20.3404</v>
      </c>
    </row>
    <row r="52">
      <c r="A52" s="10" t="inlineStr">
        <is>
          <t>자산복구부채</t>
        </is>
      </c>
      <c r="D52" s="11" t="n">
        <v>0.974</v>
      </c>
      <c r="G52" s="11" t="n">
        <v>0.9581</v>
      </c>
      <c r="H52" s="11" t="n">
        <v>0.9602000000000001</v>
      </c>
      <c r="I52" s="11" t="n">
        <v>0.9623</v>
      </c>
      <c r="J52" s="11" t="n">
        <v>0.9431</v>
      </c>
      <c r="K52" s="11" t="n">
        <v>1.1737</v>
      </c>
      <c r="L52" s="11" t="n">
        <v>1.1783</v>
      </c>
      <c r="N52" s="11" t="n">
        <v>0.974</v>
      </c>
      <c r="O52" s="11" t="n">
        <v>0.9581</v>
      </c>
      <c r="P52" s="11" t="n">
        <v>1.1737</v>
      </c>
    </row>
    <row r="53">
      <c r="A53" s="10" t="inlineStr">
        <is>
          <t>기타</t>
        </is>
      </c>
      <c r="D53" s="11" t="n">
        <v>0.4428</v>
      </c>
      <c r="G53" s="11" t="n">
        <v>0.8837</v>
      </c>
      <c r="H53" s="11" t="n">
        <v>0.9597</v>
      </c>
      <c r="I53" s="11" t="n">
        <v>1.4919</v>
      </c>
      <c r="J53" s="11" t="n">
        <v>1.491</v>
      </c>
      <c r="K53" s="11" t="n">
        <v>0.604</v>
      </c>
      <c r="L53" s="11" t="n">
        <v>0.883</v>
      </c>
      <c r="N53" s="11" t="n">
        <v>0.4428</v>
      </c>
      <c r="O53" s="11" t="n">
        <v>0.8837</v>
      </c>
      <c r="P53" s="11" t="n">
        <v>0.604</v>
      </c>
    </row>
    <row r="54">
      <c r="A54" s="10" t="inlineStr">
        <is>
          <t>비유동부채 합계</t>
        </is>
      </c>
      <c r="D54" s="11" t="n">
        <v>173.8612</v>
      </c>
      <c r="G54" s="11" t="n">
        <v>217.0905</v>
      </c>
      <c r="H54" s="11" t="n">
        <v>208.6466</v>
      </c>
      <c r="I54" s="11" t="n">
        <v>213.0526</v>
      </c>
      <c r="J54" s="11" t="n">
        <v>213.0011</v>
      </c>
      <c r="K54" s="11" t="n">
        <v>281.3996</v>
      </c>
      <c r="L54" s="11" t="n">
        <v>268.4774</v>
      </c>
      <c r="N54" s="11" t="n">
        <v>173.8612</v>
      </c>
      <c r="O54" s="11" t="n">
        <v>217.0905</v>
      </c>
      <c r="P54" s="11" t="n">
        <v>281.3996</v>
      </c>
    </row>
    <row r="55">
      <c r="A55" s="10" t="inlineStr">
        <is>
          <t>부채 합계</t>
        </is>
      </c>
      <c r="D55" s="11" t="n">
        <v>386.3081</v>
      </c>
      <c r="G55" s="11" t="n">
        <v>426.7479</v>
      </c>
      <c r="H55" s="11" t="n">
        <v>415.7298</v>
      </c>
      <c r="I55" s="11" t="n">
        <v>468.8582</v>
      </c>
      <c r="J55" s="11" t="n">
        <v>466.528</v>
      </c>
      <c r="K55" s="11" t="n">
        <v>481.3502</v>
      </c>
      <c r="L55" s="11" t="n">
        <v>478.082</v>
      </c>
      <c r="N55" s="11" t="n">
        <v>386.3081</v>
      </c>
      <c r="O55" s="11" t="n">
        <v>426.7479</v>
      </c>
      <c r="P55" s="11" t="n">
        <v>481.3502</v>
      </c>
    </row>
    <row r="56">
      <c r="A56" s="10" t="inlineStr">
        <is>
          <t>자본금</t>
        </is>
      </c>
      <c r="D56" s="11" t="n">
        <v>14.0112</v>
      </c>
      <c r="G56" s="11" t="n">
        <v>14.0112</v>
      </c>
      <c r="H56" s="11" t="n">
        <v>26.4918</v>
      </c>
      <c r="I56" s="11" t="n">
        <v>26.4918</v>
      </c>
      <c r="J56" s="11" t="n">
        <v>26.4918</v>
      </c>
      <c r="K56" s="11" t="n">
        <v>26.4918</v>
      </c>
      <c r="L56" s="11" t="n">
        <v>26.4918</v>
      </c>
      <c r="N56" s="11" t="n">
        <v>14.0112</v>
      </c>
      <c r="O56" s="11" t="n">
        <v>14.0112</v>
      </c>
      <c r="P56" s="11" t="n">
        <v>26.4918</v>
      </c>
    </row>
    <row r="57">
      <c r="A57" s="10" t="inlineStr">
        <is>
          <t>자본잉여금</t>
        </is>
      </c>
      <c r="D57" s="11" t="n">
        <v>10.1393</v>
      </c>
      <c r="G57" s="11" t="n">
        <v>11.9426</v>
      </c>
      <c r="H57" s="11" t="n">
        <v>24.4232</v>
      </c>
      <c r="I57" s="11" t="n">
        <v>24.2444</v>
      </c>
      <c r="J57" s="11" t="n">
        <v>24.2666</v>
      </c>
      <c r="K57" s="11" t="n">
        <v>24.2666</v>
      </c>
      <c r="L57" s="11" t="n">
        <v>24.5485</v>
      </c>
      <c r="N57" s="11" t="n">
        <v>10.1393</v>
      </c>
      <c r="O57" s="11" t="n">
        <v>11.9426</v>
      </c>
      <c r="P57" s="11" t="n">
        <v>24.2666</v>
      </c>
    </row>
    <row r="58">
      <c r="A58" s="10" t="inlineStr">
        <is>
          <t>이익잉여금</t>
        </is>
      </c>
      <c r="D58" s="11" t="n">
        <v>102.0561</v>
      </c>
      <c r="G58" s="11" t="n">
        <v>124.5802</v>
      </c>
      <c r="H58" s="11" t="n">
        <v>125.7204</v>
      </c>
      <c r="I58" s="11" t="n">
        <v>137.1955</v>
      </c>
      <c r="J58" s="11" t="n">
        <v>146.8981</v>
      </c>
      <c r="K58" s="11" t="n">
        <v>147.828</v>
      </c>
      <c r="L58" s="11" t="n">
        <v>148.2233</v>
      </c>
      <c r="N58" s="11" t="n">
        <v>102.0561</v>
      </c>
      <c r="O58" s="11" t="n">
        <v>124.5802</v>
      </c>
      <c r="P58" s="11" t="n">
        <v>147.828</v>
      </c>
    </row>
    <row r="59">
      <c r="A59" s="10" t="inlineStr">
        <is>
          <t>자기주식</t>
        </is>
      </c>
      <c r="D59" s="11" t="n">
        <v>-4.3839</v>
      </c>
      <c r="G59" s="11" t="n">
        <v>-1.4233</v>
      </c>
      <c r="H59" s="11" t="n">
        <v>-1.4233</v>
      </c>
      <c r="I59" s="11" t="n">
        <v>-0.7268</v>
      </c>
      <c r="J59" s="11" t="n">
        <v>-0.7104</v>
      </c>
      <c r="K59" s="11" t="n">
        <v>-0.7104</v>
      </c>
      <c r="L59" s="11" t="n">
        <v>-0.4455</v>
      </c>
      <c r="N59" s="11" t="n">
        <v>-4.3839</v>
      </c>
      <c r="O59" s="11" t="n">
        <v>-1.4233</v>
      </c>
      <c r="P59" s="11" t="n">
        <v>-0.7104</v>
      </c>
    </row>
    <row r="60">
      <c r="A60" s="10" t="inlineStr">
        <is>
          <t>주주자본 합계</t>
        </is>
      </c>
      <c r="D60" s="11" t="n">
        <v>121.8227</v>
      </c>
      <c r="G60" s="11" t="n">
        <v>149.1107</v>
      </c>
      <c r="H60" s="11" t="n">
        <v>175.2122</v>
      </c>
      <c r="I60" s="11" t="n">
        <v>187.2049</v>
      </c>
      <c r="J60" s="11" t="n">
        <v>196.9462</v>
      </c>
      <c r="K60" s="11" t="n">
        <v>197.876</v>
      </c>
      <c r="L60" s="11" t="n">
        <v>198.8182</v>
      </c>
      <c r="N60" s="11" t="n">
        <v>121.8227</v>
      </c>
      <c r="O60" s="11" t="n">
        <v>149.1107</v>
      </c>
      <c r="P60" s="11" t="n">
        <v>197.876</v>
      </c>
    </row>
    <row r="61">
      <c r="A61" s="10" t="inlineStr">
        <is>
          <t>기타유가증권 평가차액</t>
        </is>
      </c>
      <c r="D61" s="11" t="n">
        <v>1.6753</v>
      </c>
      <c r="G61" s="11" t="n">
        <v>1.7521</v>
      </c>
      <c r="H61" s="11" t="n">
        <v>2.0924</v>
      </c>
      <c r="I61" s="11" t="n">
        <v>2.1601</v>
      </c>
      <c r="J61" s="11" t="n">
        <v>2.541</v>
      </c>
      <c r="K61" s="11" t="n">
        <v>2.5145</v>
      </c>
      <c r="L61" s="11" t="n">
        <v>2.8997</v>
      </c>
      <c r="N61" s="11" t="n">
        <v>1.6753</v>
      </c>
      <c r="O61" s="11" t="n">
        <v>1.7521</v>
      </c>
      <c r="P61" s="11" t="n">
        <v>2.5145</v>
      </c>
    </row>
    <row r="62">
      <c r="A62" s="10" t="inlineStr">
        <is>
          <t>이연헤지손익</t>
        </is>
      </c>
      <c r="D62" s="11" t="n">
        <v>0</v>
      </c>
      <c r="G62" s="11" t="n">
        <v>-0.028</v>
      </c>
      <c r="H62" s="11" t="n">
        <v>-0.007900000000000001</v>
      </c>
      <c r="I62" s="11" t="n">
        <v>0.0102</v>
      </c>
      <c r="J62" s="11" t="n">
        <v>0.0585</v>
      </c>
      <c r="K62" s="11" t="n">
        <v>0.0593</v>
      </c>
      <c r="L62" s="11" t="n">
        <v>0.083</v>
      </c>
      <c r="N62" s="11" t="n">
        <v>0</v>
      </c>
      <c r="O62" s="11" t="n">
        <v>-0.028</v>
      </c>
      <c r="P62" s="11" t="n">
        <v>0.0593</v>
      </c>
    </row>
    <row r="63">
      <c r="A63" s="10" t="inlineStr">
        <is>
          <t>해외사업환산조정</t>
        </is>
      </c>
      <c r="D63" s="11" t="n">
        <v>-1.6882</v>
      </c>
      <c r="G63" s="11" t="n">
        <v>-2.1174</v>
      </c>
      <c r="H63" s="11" t="n">
        <v>-2.0584</v>
      </c>
      <c r="I63" s="11" t="n">
        <v>-2.3844</v>
      </c>
      <c r="J63" s="11" t="n">
        <v>-2.5386</v>
      </c>
      <c r="K63" s="11" t="n">
        <v>-2.3195</v>
      </c>
      <c r="L63" s="11" t="n">
        <v>-2.3476</v>
      </c>
      <c r="N63" s="11" t="n">
        <v>-1.6882</v>
      </c>
      <c r="O63" s="11" t="n">
        <v>-2.1174</v>
      </c>
      <c r="P63" s="11" t="n">
        <v>-2.3195</v>
      </c>
    </row>
    <row r="64">
      <c r="A64" s="10" t="inlineStr">
        <is>
          <t>퇴직급여 조정누계액</t>
        </is>
      </c>
      <c r="D64" s="11" t="n">
        <v>0.4354</v>
      </c>
      <c r="G64" s="11" t="n">
        <v>0.8524</v>
      </c>
      <c r="H64" s="11" t="n">
        <v>0.862</v>
      </c>
      <c r="I64" s="11" t="n">
        <v>0.8716</v>
      </c>
      <c r="J64" s="11" t="n">
        <v>0.8812</v>
      </c>
      <c r="K64" s="11" t="n">
        <v>1.8769</v>
      </c>
      <c r="L64" s="11" t="n">
        <v>1.8383</v>
      </c>
      <c r="N64" s="11" t="n">
        <v>0.4354</v>
      </c>
      <c r="O64" s="11" t="n">
        <v>0.8524</v>
      </c>
      <c r="P64" s="11" t="n">
        <v>1.8769</v>
      </c>
    </row>
    <row r="65">
      <c r="A65" s="10" t="inlineStr">
        <is>
          <t>기타포괄손익누계액 합계</t>
        </is>
      </c>
      <c r="D65" s="11" t="n">
        <v>0.4225</v>
      </c>
      <c r="G65" s="11" t="n">
        <v>0.459</v>
      </c>
      <c r="H65" s="11" t="n">
        <v>0.8881</v>
      </c>
      <c r="I65" s="11" t="n">
        <v>0.6575</v>
      </c>
      <c r="J65" s="11" t="n">
        <v>0.9421</v>
      </c>
      <c r="K65" s="11" t="n">
        <v>2.1313</v>
      </c>
      <c r="L65" s="11" t="n">
        <v>2.4735</v>
      </c>
      <c r="N65" s="11" t="n">
        <v>0.4225</v>
      </c>
      <c r="O65" s="11" t="n">
        <v>0.459</v>
      </c>
      <c r="P65" s="11" t="n">
        <v>2.1313</v>
      </c>
    </row>
    <row r="66">
      <c r="A66" s="10" t="inlineStr">
        <is>
          <t>신주예약권</t>
        </is>
      </c>
      <c r="D66" s="11" t="n">
        <v>0.747</v>
      </c>
      <c r="G66" s="11" t="n">
        <v>0.747</v>
      </c>
      <c r="H66" s="11" t="n">
        <v>0.747</v>
      </c>
      <c r="I66" s="11" t="n">
        <v>0.5092</v>
      </c>
      <c r="J66" s="11" t="n">
        <v>0.5092</v>
      </c>
      <c r="K66" s="11" t="n">
        <v>0.5092</v>
      </c>
      <c r="L66" s="11" t="n">
        <v>0.5092</v>
      </c>
      <c r="N66" s="11" t="n">
        <v>0.747</v>
      </c>
      <c r="O66" s="11" t="n">
        <v>0.747</v>
      </c>
      <c r="P66" s="11" t="n">
        <v>0.5092</v>
      </c>
    </row>
    <row r="67">
      <c r="A67" s="10" t="inlineStr">
        <is>
          <t>비지배지분</t>
        </is>
      </c>
      <c r="D67" s="11" t="n">
        <v>3.6655</v>
      </c>
      <c r="G67" s="11" t="n">
        <v>2.0391</v>
      </c>
      <c r="H67" s="11" t="n">
        <v>1.5854</v>
      </c>
      <c r="I67" s="11" t="n">
        <v>0.1874</v>
      </c>
      <c r="J67" s="11" t="n">
        <v>0.1708</v>
      </c>
      <c r="K67" s="11" t="n">
        <v>0.1499</v>
      </c>
      <c r="L67" s="11" t="n">
        <v>0.1116</v>
      </c>
      <c r="N67" s="11" t="n">
        <v>3.6655</v>
      </c>
      <c r="O67" s="11" t="n">
        <v>2.0391</v>
      </c>
      <c r="P67" s="11" t="n">
        <v>0.1499</v>
      </c>
    </row>
    <row r="68">
      <c r="A68" s="10" t="inlineStr">
        <is>
          <t>순자산 합계</t>
        </is>
      </c>
      <c r="D68" s="11" t="n">
        <v>126.6579</v>
      </c>
      <c r="G68" s="11" t="n">
        <v>152.3559</v>
      </c>
      <c r="H68" s="11" t="n">
        <v>178.4327</v>
      </c>
      <c r="I68" s="11" t="n">
        <v>188.5591</v>
      </c>
      <c r="J68" s="11" t="n">
        <v>198.5683</v>
      </c>
      <c r="K68" s="11" t="n">
        <v>200.6665</v>
      </c>
      <c r="L68" s="11" t="n">
        <v>201.9125</v>
      </c>
      <c r="N68" s="11" t="n">
        <v>126.6579</v>
      </c>
      <c r="O68" s="11" t="n">
        <v>152.3559</v>
      </c>
      <c r="P68" s="11" t="n">
        <v>200.6665</v>
      </c>
    </row>
    <row r="69">
      <c r="A69" s="10" t="inlineStr">
        <is>
          <t>부채·순자산 합계</t>
        </is>
      </c>
      <c r="D69" s="11" t="n">
        <v>512.9659</v>
      </c>
      <c r="G69" s="11" t="n">
        <v>579.1038</v>
      </c>
      <c r="H69" s="11" t="n">
        <v>594.1625</v>
      </c>
      <c r="I69" s="11" t="n">
        <v>657.4173</v>
      </c>
      <c r="J69" s="11" t="n">
        <v>665.0964</v>
      </c>
      <c r="K69" s="11" t="n">
        <v>682.0167</v>
      </c>
      <c r="L69" s="11" t="n">
        <v>679.9944</v>
      </c>
      <c r="N69" s="11" t="n">
        <v>512.9659</v>
      </c>
      <c r="O69" s="11" t="n">
        <v>579.1038</v>
      </c>
      <c r="P69" s="11" t="n">
        <v>682.0167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40" customWidth="1" min="17" max="17"/>
  </cols>
  <sheetData>
    <row r="1">
      <c r="A1" s="1" t="inlineStr">
        <is>
          <t>렌토 현금흐름표</t>
        </is>
      </c>
    </row>
    <row r="2">
      <c r="A2" s="2" t="inlineStr">
        <is>
          <t>결산기 기준(27.2Q = 2027년 결산기 2분기) · 5월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23.4Q</t>
        </is>
      </c>
      <c r="D3" s="4" t="inlineStr">
        <is>
          <t>24.4Q</t>
        </is>
      </c>
      <c r="E3" s="4" t="inlineStr">
        <is>
          <t>25.2Q</t>
        </is>
      </c>
      <c r="F3" s="4" t="inlineStr">
        <is>
          <t>25.3Q</t>
        </is>
      </c>
      <c r="G3" s="4" t="inlineStr">
        <is>
          <t>25.4Q</t>
        </is>
      </c>
      <c r="H3" s="4" t="inlineStr">
        <is>
          <t>26.1Q</t>
        </is>
      </c>
      <c r="I3" s="4" t="inlineStr">
        <is>
          <t>26.2Q</t>
        </is>
      </c>
      <c r="J3" s="4" t="inlineStr">
        <is>
          <t>26.3Q</t>
        </is>
      </c>
      <c r="K3" s="4" t="inlineStr">
        <is>
          <t>26.4Q</t>
        </is>
      </c>
      <c r="L3" s="4" t="inlineStr">
        <is>
          <t>27.1Q</t>
        </is>
      </c>
      <c r="M3" s="4" t="inlineStr">
        <is>
          <t>FY23</t>
        </is>
      </c>
      <c r="N3" s="4" t="inlineStr">
        <is>
          <t>FY24</t>
        </is>
      </c>
      <c r="O3" s="4" t="inlineStr">
        <is>
          <t>FY25</t>
        </is>
      </c>
      <c r="P3" s="4" t="inlineStr">
        <is>
          <t>FY26</t>
        </is>
      </c>
      <c r="Q3" s="4" t="inlineStr">
        <is>
          <t>출처</t>
        </is>
      </c>
    </row>
    <row r="4">
      <c r="A4" s="10" t="inlineStr">
        <is>
          <t>법인세차감전 순이익</t>
        </is>
      </c>
      <c r="D4" s="11" t="n">
        <v>27.9463</v>
      </c>
      <c r="E4" s="11" t="n">
        <v>23.9061</v>
      </c>
      <c r="G4" s="11" t="n">
        <v>34.5179</v>
      </c>
      <c r="I4" s="11" t="n">
        <v>26.5173</v>
      </c>
      <c r="K4" s="11" t="n">
        <v>39.5599</v>
      </c>
      <c r="N4" s="11" t="n">
        <v>27.9463</v>
      </c>
      <c r="O4" s="11" t="n">
        <v>34.5179</v>
      </c>
      <c r="P4" s="11" t="n">
        <v>39.5599</v>
      </c>
      <c r="Q4" s="7" t="inlineStr">
        <is>
          <t>결산단신 XBRL(거래소 공시, TDnet·JPX 보관소). 쓴 문서: 2026-10-15, 2026-07-15, 2026-04-14, 2026-01-14 외 2건 — '출처' 시트에 전부</t>
        </is>
      </c>
    </row>
    <row r="5">
      <c r="A5" s="10" t="inlineStr">
        <is>
          <t>감가상각비</t>
        </is>
      </c>
      <c r="D5" s="11" t="n">
        <v>74.6717</v>
      </c>
      <c r="E5" s="11" t="n">
        <v>37.947</v>
      </c>
      <c r="G5" s="11" t="n">
        <v>78.6463</v>
      </c>
      <c r="I5" s="11" t="n">
        <v>41.7462</v>
      </c>
      <c r="K5" s="11" t="n">
        <v>87.14100000000001</v>
      </c>
      <c r="N5" s="11" t="n">
        <v>74.6717</v>
      </c>
      <c r="O5" s="11" t="n">
        <v>78.6463</v>
      </c>
      <c r="P5" s="11" t="n">
        <v>87.14100000000001</v>
      </c>
    </row>
    <row r="6">
      <c r="A6" s="10" t="inlineStr">
        <is>
          <t>렌털자산 취득</t>
        </is>
      </c>
      <c r="E6" s="11" t="n">
        <v>-34.8913</v>
      </c>
      <c r="I6" s="11" t="n">
        <v>-37.5411</v>
      </c>
    </row>
    <row r="7">
      <c r="A7" s="10" t="inlineStr">
        <is>
          <t>렌털자산 매각 원가대체</t>
        </is>
      </c>
      <c r="E7" s="11" t="n">
        <v>0.0789</v>
      </c>
      <c r="I7" s="11" t="n">
        <v>0.1725</v>
      </c>
    </row>
    <row r="8">
      <c r="A8" s="10" t="inlineStr">
        <is>
          <t>영업권 상각</t>
        </is>
      </c>
      <c r="G8" s="11" t="n">
        <v>0.0413</v>
      </c>
      <c r="K8" s="11" t="n">
        <v>0.3021</v>
      </c>
      <c r="O8" s="11" t="n">
        <v>0.0413</v>
      </c>
      <c r="P8" s="11" t="n">
        <v>0.3021</v>
      </c>
    </row>
    <row r="9">
      <c r="A9" s="10" t="inlineStr">
        <is>
          <t>렌털자산 취득</t>
        </is>
      </c>
      <c r="D9" s="11" t="n">
        <v>-65.84180000000001</v>
      </c>
      <c r="G9" s="11" t="n">
        <v>-92.50060000000001</v>
      </c>
      <c r="K9" s="11" t="n">
        <v>-93.4182</v>
      </c>
      <c r="N9" s="11" t="n">
        <v>-65.84180000000001</v>
      </c>
      <c r="O9" s="11" t="n">
        <v>-92.50060000000001</v>
      </c>
      <c r="P9" s="11" t="n">
        <v>-93.4182</v>
      </c>
    </row>
    <row r="10">
      <c r="A10" s="10" t="inlineStr">
        <is>
          <t>렌털자산 매각 원가대체</t>
        </is>
      </c>
      <c r="D10" s="11" t="n">
        <v>0.265</v>
      </c>
      <c r="G10" s="11" t="n">
        <v>0.2902</v>
      </c>
      <c r="K10" s="11" t="n">
        <v>0.4344</v>
      </c>
      <c r="N10" s="11" t="n">
        <v>0.265</v>
      </c>
      <c r="O10" s="11" t="n">
        <v>0.2902</v>
      </c>
      <c r="P10" s="11" t="n">
        <v>0.4344</v>
      </c>
    </row>
    <row r="11">
      <c r="A11" s="10" t="inlineStr">
        <is>
          <t>대손충당금 증감</t>
        </is>
      </c>
      <c r="D11" s="11" t="n">
        <v>0.7968</v>
      </c>
      <c r="E11" s="11" t="n">
        <v>0.7345</v>
      </c>
      <c r="G11" s="11" t="n">
        <v>0.5541</v>
      </c>
      <c r="I11" s="11" t="n">
        <v>1.3496</v>
      </c>
      <c r="K11" s="11" t="n">
        <v>1.3266</v>
      </c>
      <c r="N11" s="11" t="n">
        <v>0.7968</v>
      </c>
      <c r="O11" s="11" t="n">
        <v>0.5541</v>
      </c>
      <c r="P11" s="11" t="n">
        <v>1.3266</v>
      </c>
    </row>
    <row r="12">
      <c r="A12" s="10" t="inlineStr">
        <is>
          <t>상여충당금 증감</t>
        </is>
      </c>
      <c r="D12" s="11" t="n">
        <v>1.1537</v>
      </c>
      <c r="E12" s="11" t="n">
        <v>0.6637</v>
      </c>
      <c r="G12" s="11" t="n">
        <v>1.6319</v>
      </c>
      <c r="I12" s="11" t="n">
        <v>0.3785</v>
      </c>
      <c r="K12" s="11" t="n">
        <v>0.3859</v>
      </c>
      <c r="N12" s="11" t="n">
        <v>1.1537</v>
      </c>
      <c r="O12" s="11" t="n">
        <v>1.6319</v>
      </c>
      <c r="P12" s="11" t="n">
        <v>0.3859</v>
      </c>
    </row>
    <row r="13">
      <c r="A13" s="10" t="inlineStr">
        <is>
          <t>퇴직급여부채 증감</t>
        </is>
      </c>
      <c r="D13" s="11" t="n">
        <v>0.6417</v>
      </c>
      <c r="E13" s="11" t="n">
        <v>0.1907</v>
      </c>
      <c r="G13" s="11" t="n">
        <v>0.5469000000000001</v>
      </c>
      <c r="I13" s="11" t="n">
        <v>0.1377</v>
      </c>
      <c r="K13" s="11" t="n">
        <v>0.112</v>
      </c>
      <c r="N13" s="11" t="n">
        <v>0.6417</v>
      </c>
      <c r="O13" s="11" t="n">
        <v>0.5469000000000001</v>
      </c>
      <c r="P13" s="11" t="n">
        <v>0.112</v>
      </c>
    </row>
    <row r="14">
      <c r="A14" s="10" t="inlineStr">
        <is>
          <t>주식보상비용</t>
        </is>
      </c>
      <c r="D14" s="11" t="n">
        <v>0.5877</v>
      </c>
      <c r="E14" s="11" t="n">
        <v>0.3537</v>
      </c>
      <c r="G14" s="11" t="n">
        <v>0.7557</v>
      </c>
      <c r="I14" s="11" t="n">
        <v>0.4195</v>
      </c>
      <c r="K14" s="11" t="n">
        <v>0.8835</v>
      </c>
      <c r="N14" s="11" t="n">
        <v>0.5877</v>
      </c>
      <c r="O14" s="11" t="n">
        <v>0.7557</v>
      </c>
      <c r="P14" s="11" t="n">
        <v>0.8835</v>
      </c>
    </row>
    <row r="15">
      <c r="A15" s="10" t="inlineStr">
        <is>
          <t>이자·배당금 수익</t>
        </is>
      </c>
      <c r="D15" s="11" t="n">
        <v>-0.1362</v>
      </c>
      <c r="E15" s="11" t="n">
        <v>-0.102</v>
      </c>
      <c r="G15" s="11" t="n">
        <v>-0.2034</v>
      </c>
      <c r="I15" s="11" t="n">
        <v>-0.1542</v>
      </c>
      <c r="K15" s="11" t="n">
        <v>-0.3484</v>
      </c>
      <c r="N15" s="11" t="n">
        <v>-0.1362</v>
      </c>
      <c r="O15" s="11" t="n">
        <v>-0.2034</v>
      </c>
      <c r="P15" s="11" t="n">
        <v>-0.3484</v>
      </c>
    </row>
    <row r="16">
      <c r="A16" s="10" t="inlineStr">
        <is>
          <t>보험금 수익</t>
        </is>
      </c>
      <c r="D16" s="11" t="n">
        <v>-0.3115</v>
      </c>
      <c r="E16" s="11" t="n">
        <v>-0.1011</v>
      </c>
      <c r="G16" s="11" t="n">
        <v>-0.2023</v>
      </c>
      <c r="I16" s="11" t="n">
        <v>-0.052</v>
      </c>
      <c r="K16" s="11" t="n">
        <v>-0.1336</v>
      </c>
      <c r="N16" s="11" t="n">
        <v>-0.3115</v>
      </c>
      <c r="O16" s="11" t="n">
        <v>-0.2023</v>
      </c>
      <c r="P16" s="11" t="n">
        <v>-0.1336</v>
      </c>
    </row>
    <row r="17">
      <c r="A17" s="10" t="inlineStr">
        <is>
          <t>이자비용</t>
        </is>
      </c>
      <c r="D17" s="11" t="n">
        <v>3.4474</v>
      </c>
      <c r="E17" s="11" t="n">
        <v>2.05</v>
      </c>
      <c r="G17" s="11" t="n">
        <v>4.6482</v>
      </c>
      <c r="I17" s="11" t="n">
        <v>2.8644</v>
      </c>
      <c r="K17" s="11" t="n">
        <v>6.3933</v>
      </c>
      <c r="N17" s="11" t="n">
        <v>3.4474</v>
      </c>
      <c r="O17" s="11" t="n">
        <v>4.6482</v>
      </c>
      <c r="P17" s="11" t="n">
        <v>6.3933</v>
      </c>
    </row>
    <row r="18">
      <c r="A18" s="10" t="inlineStr">
        <is>
          <t>지급수수료</t>
        </is>
      </c>
      <c r="D18" s="11" t="n">
        <v>0.5695</v>
      </c>
      <c r="E18" s="11" t="n">
        <v>0.08409999999999999</v>
      </c>
      <c r="G18" s="11" t="n">
        <v>0.6863</v>
      </c>
      <c r="I18" s="11" t="n">
        <v>0.102</v>
      </c>
      <c r="K18" s="11" t="n">
        <v>0.8024</v>
      </c>
      <c r="N18" s="11" t="n">
        <v>0.5695</v>
      </c>
      <c r="O18" s="11" t="n">
        <v>0.6863</v>
      </c>
      <c r="P18" s="11" t="n">
        <v>0.8024</v>
      </c>
    </row>
    <row r="19">
      <c r="A19" s="10" t="inlineStr">
        <is>
          <t>지분법손익</t>
        </is>
      </c>
      <c r="D19" s="11" t="n">
        <v>1.7755</v>
      </c>
      <c r="E19" s="11" t="n">
        <v>0.9775</v>
      </c>
      <c r="G19" s="11" t="n">
        <v>0.9668</v>
      </c>
      <c r="I19" s="11" t="n">
        <v>0.4404</v>
      </c>
      <c r="K19" s="11" t="n">
        <v>0.1113</v>
      </c>
      <c r="N19" s="11" t="n">
        <v>1.7755</v>
      </c>
      <c r="O19" s="11" t="n">
        <v>0.9668</v>
      </c>
      <c r="P19" s="11" t="n">
        <v>0.1113</v>
      </c>
    </row>
    <row r="20">
      <c r="A20" s="10" t="inlineStr">
        <is>
          <t>고정자산 제각·매각손익</t>
        </is>
      </c>
      <c r="D20" s="11" t="n">
        <v>0.0124</v>
      </c>
      <c r="E20" s="11" t="n">
        <v>0.0075</v>
      </c>
      <c r="G20" s="11" t="n">
        <v>-0.0761</v>
      </c>
      <c r="I20" s="11" t="n">
        <v>-0.0169</v>
      </c>
      <c r="K20" s="11" t="n">
        <v>0.0382</v>
      </c>
      <c r="N20" s="11" t="n">
        <v>0.0124</v>
      </c>
      <c r="O20" s="11" t="n">
        <v>-0.0761</v>
      </c>
      <c r="P20" s="11" t="n">
        <v>0.0382</v>
      </c>
    </row>
    <row r="21">
      <c r="A21" s="10" t="inlineStr">
        <is>
          <t>손상차손</t>
        </is>
      </c>
      <c r="G21" s="11" t="n">
        <v>0</v>
      </c>
      <c r="K21" s="11" t="n">
        <v>0.2619</v>
      </c>
      <c r="O21" s="11" t="n">
        <v>0</v>
      </c>
      <c r="P21" s="11" t="n">
        <v>0.2619</v>
      </c>
    </row>
    <row r="22">
      <c r="A22" s="10" t="inlineStr">
        <is>
          <t>단계적 취득 차손익</t>
        </is>
      </c>
      <c r="E22" s="11" t="n">
        <v>0</v>
      </c>
      <c r="G22" s="11" t="n">
        <v>0</v>
      </c>
      <c r="I22" s="11" t="n">
        <v>-0.3936</v>
      </c>
      <c r="K22" s="11" t="n">
        <v>-0.3936</v>
      </c>
      <c r="O22" s="11" t="n">
        <v>0</v>
      </c>
      <c r="P22" s="11" t="n">
        <v>-0.3936</v>
      </c>
    </row>
    <row r="23">
      <c r="A23" s="10" t="inlineStr">
        <is>
          <t>매출채권 증감</t>
        </is>
      </c>
      <c r="D23" s="11" t="n">
        <v>-6.0445</v>
      </c>
      <c r="E23" s="11" t="n">
        <v>-16.1531</v>
      </c>
      <c r="G23" s="11" t="n">
        <v>-3.2645</v>
      </c>
      <c r="I23" s="11" t="n">
        <v>-10.9219</v>
      </c>
      <c r="K23" s="11" t="n">
        <v>-2.8256</v>
      </c>
      <c r="N23" s="11" t="n">
        <v>-6.0445</v>
      </c>
      <c r="O23" s="11" t="n">
        <v>-3.2645</v>
      </c>
      <c r="P23" s="11" t="n">
        <v>-2.8256</v>
      </c>
    </row>
    <row r="24">
      <c r="A24" s="10" t="inlineStr">
        <is>
          <t>재고자산 증감</t>
        </is>
      </c>
      <c r="D24" s="11" t="n">
        <v>-1.6274</v>
      </c>
      <c r="E24" s="11" t="n">
        <v>0.2499</v>
      </c>
      <c r="G24" s="11" t="n">
        <v>0.7942</v>
      </c>
      <c r="I24" s="11" t="n">
        <v>0.0568</v>
      </c>
      <c r="K24" s="11" t="n">
        <v>0.652</v>
      </c>
      <c r="N24" s="11" t="n">
        <v>-1.6274</v>
      </c>
      <c r="O24" s="11" t="n">
        <v>0.7942</v>
      </c>
      <c r="P24" s="11" t="n">
        <v>0.652</v>
      </c>
    </row>
    <row r="25">
      <c r="A25" s="10" t="inlineStr">
        <is>
          <t>매입채무 증감</t>
        </is>
      </c>
      <c r="D25" s="11" t="n">
        <v>4.4151</v>
      </c>
      <c r="E25" s="11" t="n">
        <v>6.3489</v>
      </c>
      <c r="G25" s="11" t="n">
        <v>2.991</v>
      </c>
      <c r="I25" s="11" t="n">
        <v>-0.0949</v>
      </c>
      <c r="K25" s="11" t="n">
        <v>-31.9529</v>
      </c>
      <c r="N25" s="11" t="n">
        <v>4.4151</v>
      </c>
      <c r="O25" s="11" t="n">
        <v>2.991</v>
      </c>
      <c r="P25" s="11" t="n">
        <v>-31.9529</v>
      </c>
    </row>
    <row r="26">
      <c r="A26" s="10" t="inlineStr">
        <is>
          <t>기타 자산 증감</t>
        </is>
      </c>
      <c r="D26" s="11" t="n">
        <v>-4.5376</v>
      </c>
      <c r="E26" s="11" t="n">
        <v>-0.5097</v>
      </c>
      <c r="G26" s="11" t="n">
        <v>-0.414</v>
      </c>
      <c r="I26" s="11" t="n">
        <v>-0.7833</v>
      </c>
      <c r="K26" s="11" t="n">
        <v>1.8778</v>
      </c>
      <c r="N26" s="11" t="n">
        <v>-4.5376</v>
      </c>
      <c r="O26" s="11" t="n">
        <v>-0.414</v>
      </c>
      <c r="P26" s="11" t="n">
        <v>1.8778</v>
      </c>
    </row>
    <row r="27">
      <c r="A27" s="10" t="inlineStr">
        <is>
          <t>기타 부채 증감</t>
        </is>
      </c>
      <c r="D27" s="11" t="n">
        <v>8.786199999999999</v>
      </c>
      <c r="E27" s="11" t="n">
        <v>3.8122</v>
      </c>
      <c r="G27" s="11" t="n">
        <v>1.1449</v>
      </c>
      <c r="I27" s="11" t="n">
        <v>7.3784</v>
      </c>
      <c r="K27" s="11" t="n">
        <v>5.2778</v>
      </c>
      <c r="N27" s="11" t="n">
        <v>8.786199999999999</v>
      </c>
      <c r="O27" s="11" t="n">
        <v>1.1449</v>
      </c>
      <c r="P27" s="11" t="n">
        <v>5.2778</v>
      </c>
    </row>
    <row r="28">
      <c r="A28" s="10" t="inlineStr">
        <is>
          <t>미지급 소비세 증감</t>
        </is>
      </c>
      <c r="D28" s="11" t="n">
        <v>-0.1549</v>
      </c>
      <c r="E28" s="11" t="n">
        <v>0.8875</v>
      </c>
      <c r="G28" s="11" t="n">
        <v>1.8536</v>
      </c>
      <c r="I28" s="11" t="n">
        <v>2.2845</v>
      </c>
      <c r="K28" s="11" t="n">
        <v>4.25</v>
      </c>
      <c r="N28" s="11" t="n">
        <v>-0.1549</v>
      </c>
      <c r="O28" s="11" t="n">
        <v>1.8536</v>
      </c>
      <c r="P28" s="11" t="n">
        <v>4.25</v>
      </c>
    </row>
    <row r="29">
      <c r="A29" s="10" t="inlineStr">
        <is>
          <t>기타</t>
        </is>
      </c>
      <c r="D29" s="11" t="n">
        <v>-2.1631</v>
      </c>
      <c r="E29" s="11" t="n">
        <v>-0.2003</v>
      </c>
      <c r="G29" s="11" t="n">
        <v>1.4332</v>
      </c>
      <c r="I29" s="11" t="n">
        <v>0.2351</v>
      </c>
      <c r="K29" s="11" t="n">
        <v>1.1783</v>
      </c>
      <c r="N29" s="11" t="n">
        <v>-2.1631</v>
      </c>
      <c r="O29" s="11" t="n">
        <v>1.4332</v>
      </c>
      <c r="P29" s="11" t="n">
        <v>1.1783</v>
      </c>
    </row>
    <row r="30">
      <c r="A30" s="10" t="inlineStr">
        <is>
          <t>소계</t>
        </is>
      </c>
      <c r="D30" s="11" t="n">
        <v>44.252</v>
      </c>
      <c r="E30" s="11" t="n">
        <v>26.3349</v>
      </c>
      <c r="G30" s="11" t="n">
        <v>34.8415</v>
      </c>
      <c r="I30" s="11" t="n">
        <v>34.1251</v>
      </c>
      <c r="K30" s="11" t="n">
        <v>21.9162</v>
      </c>
      <c r="N30" s="11" t="n">
        <v>44.252</v>
      </c>
      <c r="O30" s="11" t="n">
        <v>34.8415</v>
      </c>
      <c r="P30" s="11" t="n">
        <v>21.9162</v>
      </c>
    </row>
    <row r="31">
      <c r="A31" s="10" t="inlineStr">
        <is>
          <t>이자·배당금 수취</t>
        </is>
      </c>
      <c r="D31" s="11" t="n">
        <v>0.1362</v>
      </c>
      <c r="E31" s="11" t="n">
        <v>0.1042</v>
      </c>
      <c r="G31" s="11" t="n">
        <v>0.253</v>
      </c>
      <c r="I31" s="11" t="n">
        <v>0.1069</v>
      </c>
      <c r="K31" s="11" t="n">
        <v>0.2977</v>
      </c>
      <c r="N31" s="11" t="n">
        <v>0.1362</v>
      </c>
      <c r="O31" s="11" t="n">
        <v>0.253</v>
      </c>
      <c r="P31" s="11" t="n">
        <v>0.2977</v>
      </c>
    </row>
    <row r="32">
      <c r="A32" s="10" t="inlineStr">
        <is>
          <t>이자 지급</t>
        </is>
      </c>
      <c r="D32" s="11" t="n">
        <v>-3.5173</v>
      </c>
      <c r="E32" s="11" t="n">
        <v>-2.1051</v>
      </c>
      <c r="G32" s="11" t="n">
        <v>-4.6245</v>
      </c>
      <c r="I32" s="11" t="n">
        <v>-2.8288</v>
      </c>
      <c r="K32" s="11" t="n">
        <v>-6.3156</v>
      </c>
      <c r="N32" s="11" t="n">
        <v>-3.5173</v>
      </c>
      <c r="O32" s="11" t="n">
        <v>-4.6245</v>
      </c>
      <c r="P32" s="11" t="n">
        <v>-6.3156</v>
      </c>
    </row>
    <row r="33">
      <c r="A33" s="10" t="inlineStr">
        <is>
          <t>보험금 수취</t>
        </is>
      </c>
      <c r="D33" s="11" t="n">
        <v>0.3115</v>
      </c>
      <c r="E33" s="11" t="n">
        <v>0.1011</v>
      </c>
      <c r="G33" s="11" t="n">
        <v>0.2023</v>
      </c>
      <c r="I33" s="11" t="n">
        <v>0.052</v>
      </c>
      <c r="K33" s="11" t="n">
        <v>0.1336</v>
      </c>
      <c r="N33" s="11" t="n">
        <v>0.3115</v>
      </c>
      <c r="O33" s="11" t="n">
        <v>0.2023</v>
      </c>
      <c r="P33" s="11" t="n">
        <v>0.1336</v>
      </c>
    </row>
    <row r="34">
      <c r="A34" s="10" t="inlineStr">
        <is>
          <t>법인세 납부·환급</t>
        </is>
      </c>
      <c r="D34" s="11" t="n">
        <v>-9.1515</v>
      </c>
      <c r="E34" s="11" t="n">
        <v>-5.8675</v>
      </c>
      <c r="G34" s="11" t="n">
        <v>-10.7014</v>
      </c>
      <c r="I34" s="11" t="n">
        <v>-5.9349</v>
      </c>
      <c r="K34" s="11" t="n">
        <v>-11.9264</v>
      </c>
      <c r="N34" s="11" t="n">
        <v>-9.1515</v>
      </c>
      <c r="O34" s="11" t="n">
        <v>-10.7014</v>
      </c>
      <c r="P34" s="11" t="n">
        <v>-11.9264</v>
      </c>
    </row>
    <row r="35">
      <c r="A35" s="10" t="inlineStr">
        <is>
          <t>영업활동 현금흐름</t>
        </is>
      </c>
      <c r="D35" s="11" t="n">
        <v>32.031</v>
      </c>
      <c r="E35" s="11" t="n">
        <v>18.5676</v>
      </c>
      <c r="G35" s="11" t="n">
        <v>19.9708</v>
      </c>
      <c r="I35" s="11" t="n">
        <v>25.5202</v>
      </c>
      <c r="K35" s="11" t="n">
        <v>4.1055</v>
      </c>
      <c r="N35" s="11" t="n">
        <v>32.031</v>
      </c>
      <c r="O35" s="11" t="n">
        <v>19.9708</v>
      </c>
      <c r="P35" s="11" t="n">
        <v>4.1055</v>
      </c>
    </row>
    <row r="36">
      <c r="A36" s="10" t="inlineStr">
        <is>
          <t>정기예금 예입</t>
        </is>
      </c>
      <c r="D36" s="11" t="n">
        <v>-0.9604</v>
      </c>
      <c r="E36" s="11" t="n">
        <v>-0.9004</v>
      </c>
      <c r="G36" s="11" t="n">
        <v>-0.9604</v>
      </c>
      <c r="I36" s="11" t="n">
        <v>-0.8913</v>
      </c>
      <c r="K36" s="11" t="n">
        <v>-2.2163</v>
      </c>
      <c r="N36" s="11" t="n">
        <v>-0.9604</v>
      </c>
      <c r="O36" s="11" t="n">
        <v>-0.9604</v>
      </c>
      <c r="P36" s="11" t="n">
        <v>-2.2163</v>
      </c>
    </row>
    <row r="37">
      <c r="A37" s="10" t="inlineStr">
        <is>
          <t>정기예금 인출</t>
        </is>
      </c>
      <c r="D37" s="11" t="n">
        <v>0.8403</v>
      </c>
      <c r="E37" s="11" t="n">
        <v>0.9604</v>
      </c>
      <c r="G37" s="11" t="n">
        <v>0.9604</v>
      </c>
      <c r="I37" s="11" t="n">
        <v>0.9604</v>
      </c>
      <c r="K37" s="11" t="n">
        <v>0.9604</v>
      </c>
      <c r="N37" s="11" t="n">
        <v>0.8403</v>
      </c>
      <c r="O37" s="11" t="n">
        <v>0.9604</v>
      </c>
      <c r="P37" s="11" t="n">
        <v>0.9604</v>
      </c>
    </row>
    <row r="38">
      <c r="A38" s="10" t="inlineStr">
        <is>
          <t>유형자산 취득(설비투자)</t>
        </is>
      </c>
      <c r="D38" s="11" t="n">
        <v>-9.707599999999999</v>
      </c>
      <c r="E38" s="11" t="n">
        <v>-4.5596</v>
      </c>
      <c r="G38" s="11" t="n">
        <v>-10.8294</v>
      </c>
      <c r="I38" s="11" t="n">
        <v>-4.5783</v>
      </c>
      <c r="K38" s="11" t="n">
        <v>-17.0202</v>
      </c>
      <c r="N38" s="11" t="n">
        <v>-9.707599999999999</v>
      </c>
      <c r="O38" s="11" t="n">
        <v>-10.8294</v>
      </c>
      <c r="P38" s="11" t="n">
        <v>-17.0202</v>
      </c>
    </row>
    <row r="39">
      <c r="A39" s="10" t="inlineStr">
        <is>
          <t>유형자산 매각</t>
        </is>
      </c>
      <c r="D39" s="11" t="n">
        <v>0.07580000000000001</v>
      </c>
      <c r="E39" s="11" t="n">
        <v>0.0279</v>
      </c>
      <c r="G39" s="11" t="n">
        <v>0.1542</v>
      </c>
      <c r="I39" s="11" t="n">
        <v>0.0824</v>
      </c>
      <c r="K39" s="11" t="n">
        <v>0.1454</v>
      </c>
      <c r="N39" s="11" t="n">
        <v>0.07580000000000001</v>
      </c>
      <c r="O39" s="11" t="n">
        <v>0.1542</v>
      </c>
      <c r="P39" s="11" t="n">
        <v>0.1454</v>
      </c>
    </row>
    <row r="40">
      <c r="A40" s="10" t="inlineStr">
        <is>
          <t>무형자산 취득</t>
        </is>
      </c>
      <c r="D40" s="11" t="n">
        <v>-0.697</v>
      </c>
      <c r="E40" s="11" t="n">
        <v>-0.4824</v>
      </c>
      <c r="G40" s="11" t="n">
        <v>-1.0069</v>
      </c>
      <c r="I40" s="11" t="n">
        <v>-0.4959</v>
      </c>
      <c r="K40" s="11" t="n">
        <v>-1.0439</v>
      </c>
      <c r="N40" s="11" t="n">
        <v>-0.697</v>
      </c>
      <c r="O40" s="11" t="n">
        <v>-1.0069</v>
      </c>
      <c r="P40" s="11" t="n">
        <v>-1.0439</v>
      </c>
    </row>
    <row r="41">
      <c r="A41" s="10" t="inlineStr">
        <is>
          <t>연결범위 변경 자회사 주식 취득</t>
        </is>
      </c>
      <c r="E41" s="11" t="n">
        <v>0</v>
      </c>
      <c r="G41" s="11" t="n">
        <v>0</v>
      </c>
      <c r="I41" s="11" t="n">
        <v>-11.346</v>
      </c>
      <c r="K41" s="11" t="n">
        <v>-11.346</v>
      </c>
      <c r="O41" s="11" t="n">
        <v>0</v>
      </c>
      <c r="P41" s="11" t="n">
        <v>-11.346</v>
      </c>
    </row>
    <row r="42">
      <c r="A42" s="10" t="inlineStr">
        <is>
          <t>기타</t>
        </is>
      </c>
      <c r="D42" s="11" t="n">
        <v>-0.7415</v>
      </c>
      <c r="E42" s="11" t="n">
        <v>-1.4736</v>
      </c>
      <c r="G42" s="11" t="n">
        <v>-2.0734</v>
      </c>
      <c r="I42" s="11" t="n">
        <v>-1.085</v>
      </c>
      <c r="K42" s="11" t="n">
        <v>-1.1136</v>
      </c>
      <c r="N42" s="11" t="n">
        <v>-0.7415</v>
      </c>
      <c r="O42" s="11" t="n">
        <v>-2.0734</v>
      </c>
      <c r="P42" s="11" t="n">
        <v>-1.1136</v>
      </c>
    </row>
    <row r="43">
      <c r="A43" s="10" t="inlineStr">
        <is>
          <t>투자활동 현금흐름</t>
        </is>
      </c>
      <c r="D43" s="11" t="n">
        <v>-11.1903</v>
      </c>
      <c r="E43" s="11" t="n">
        <v>-6.4277</v>
      </c>
      <c r="G43" s="11" t="n">
        <v>-13.7555</v>
      </c>
      <c r="I43" s="11" t="n">
        <v>-17.3536</v>
      </c>
      <c r="K43" s="11" t="n">
        <v>-31.6341</v>
      </c>
      <c r="N43" s="11" t="n">
        <v>-11.1903</v>
      </c>
      <c r="O43" s="11" t="n">
        <v>-13.7555</v>
      </c>
      <c r="P43" s="11" t="n">
        <v>-31.6341</v>
      </c>
    </row>
    <row r="44">
      <c r="A44" s="10" t="inlineStr">
        <is>
          <t>단기차입금 순증감</t>
        </is>
      </c>
      <c r="D44" s="11" t="n">
        <v>0.5302</v>
      </c>
      <c r="E44" s="11" t="n">
        <v>10.6248</v>
      </c>
      <c r="G44" s="11" t="n">
        <v>-15.1338</v>
      </c>
      <c r="I44" s="11" t="n">
        <v>15.7997</v>
      </c>
      <c r="K44" s="11" t="n">
        <v>-10.7381</v>
      </c>
      <c r="N44" s="11" t="n">
        <v>0.5302</v>
      </c>
      <c r="O44" s="11" t="n">
        <v>-15.1338</v>
      </c>
      <c r="P44" s="11" t="n">
        <v>-10.7381</v>
      </c>
    </row>
    <row r="45">
      <c r="A45" s="10" t="inlineStr">
        <is>
          <t>장기차입</t>
        </is>
      </c>
      <c r="D45" s="11" t="n">
        <v>60.155</v>
      </c>
      <c r="E45" s="11" t="n">
        <v>7.52</v>
      </c>
      <c r="G45" s="11" t="n">
        <v>84.6117</v>
      </c>
      <c r="I45" s="11" t="n">
        <v>2.9046</v>
      </c>
      <c r="K45" s="11" t="n">
        <v>113.2036</v>
      </c>
      <c r="N45" s="11" t="n">
        <v>60.155</v>
      </c>
      <c r="O45" s="11" t="n">
        <v>84.6117</v>
      </c>
      <c r="P45" s="11" t="n">
        <v>113.2036</v>
      </c>
    </row>
    <row r="46">
      <c r="A46" s="10" t="inlineStr">
        <is>
          <t>장기차입금 상환</t>
        </is>
      </c>
      <c r="D46" s="11" t="n">
        <v>-38.9376</v>
      </c>
      <c r="E46" s="11" t="n">
        <v>-21.8674</v>
      </c>
      <c r="G46" s="11" t="n">
        <v>-44.7738</v>
      </c>
      <c r="I46" s="11" t="n">
        <v>-27.127</v>
      </c>
      <c r="K46" s="11" t="n">
        <v>-54.9879</v>
      </c>
      <c r="N46" s="11" t="n">
        <v>-38.9376</v>
      </c>
      <c r="O46" s="11" t="n">
        <v>-44.7738</v>
      </c>
      <c r="P46" s="11" t="n">
        <v>-54.9879</v>
      </c>
    </row>
    <row r="47">
      <c r="A47" s="10" t="inlineStr">
        <is>
          <t>리스부채 상환</t>
        </is>
      </c>
      <c r="D47" s="11" t="n">
        <v>-25.0906</v>
      </c>
      <c r="E47" s="11" t="n">
        <v>-12.7673</v>
      </c>
      <c r="G47" s="11" t="n">
        <v>-18.3835</v>
      </c>
      <c r="I47" s="11" t="n">
        <v>-9.357699999999999</v>
      </c>
      <c r="K47" s="11" t="n">
        <v>-18.1223</v>
      </c>
      <c r="N47" s="11" t="n">
        <v>-25.0906</v>
      </c>
      <c r="O47" s="11" t="n">
        <v>-18.3835</v>
      </c>
      <c r="P47" s="11" t="n">
        <v>-18.1223</v>
      </c>
    </row>
    <row r="48">
      <c r="A48" s="10" t="inlineStr">
        <is>
          <t>사채 상환</t>
        </is>
      </c>
      <c r="D48" s="11" t="n">
        <v>-0.3</v>
      </c>
      <c r="E48" s="11" t="n">
        <v>-0.15</v>
      </c>
      <c r="G48" s="11" t="n">
        <v>-0.3</v>
      </c>
      <c r="I48" s="11" t="n">
        <v>-0.15</v>
      </c>
      <c r="K48" s="11" t="n">
        <v>-0.3</v>
      </c>
      <c r="N48" s="11" t="n">
        <v>-0.3</v>
      </c>
      <c r="O48" s="11" t="n">
        <v>-0.3</v>
      </c>
      <c r="P48" s="11" t="n">
        <v>-0.3</v>
      </c>
    </row>
    <row r="49">
      <c r="A49" s="10" t="inlineStr">
        <is>
          <t>지급수수료 지급</t>
        </is>
      </c>
      <c r="E49" s="11" t="n">
        <v>-0.08409999999999999</v>
      </c>
      <c r="I49" s="11" t="n">
        <v>-0.102</v>
      </c>
    </row>
    <row r="50">
      <c r="A50" s="10" t="inlineStr">
        <is>
          <t>지급수수료 지급</t>
        </is>
      </c>
      <c r="D50" s="11" t="n">
        <v>-0.5695</v>
      </c>
      <c r="G50" s="11" t="n">
        <v>-0.6863</v>
      </c>
      <c r="K50" s="11" t="n">
        <v>-0.8024</v>
      </c>
      <c r="N50" s="11" t="n">
        <v>-0.5695</v>
      </c>
      <c r="O50" s="11" t="n">
        <v>-0.6863</v>
      </c>
      <c r="P50" s="11" t="n">
        <v>-0.8024</v>
      </c>
    </row>
    <row r="51">
      <c r="A51" s="10" t="inlineStr">
        <is>
          <t>연결 자회사 설립 비지배주주 납입</t>
        </is>
      </c>
      <c r="D51" s="11" t="n">
        <v>4.876</v>
      </c>
      <c r="G51" s="11" t="n">
        <v>0</v>
      </c>
      <c r="N51" s="11" t="n">
        <v>4.876</v>
      </c>
      <c r="O51" s="11" t="n">
        <v>0</v>
      </c>
    </row>
    <row r="52">
      <c r="A52" s="10" t="inlineStr">
        <is>
          <t>주식 발행</t>
        </is>
      </c>
      <c r="E52" s="11" t="n">
        <v>0</v>
      </c>
      <c r="G52" s="11" t="n">
        <v>0</v>
      </c>
      <c r="I52" s="11" t="n">
        <v>24.9612</v>
      </c>
      <c r="K52" s="11" t="n">
        <v>24.9612</v>
      </c>
      <c r="O52" s="11" t="n">
        <v>0</v>
      </c>
      <c r="P52" s="11" t="n">
        <v>24.9612</v>
      </c>
    </row>
    <row r="53">
      <c r="A53" s="10" t="inlineStr">
        <is>
          <t>연결범위 변경 없는 자회사 주식 취득</t>
        </is>
      </c>
      <c r="E53" s="11" t="n">
        <v>0</v>
      </c>
      <c r="G53" s="11" t="n">
        <v>0</v>
      </c>
      <c r="I53" s="11" t="n">
        <v>-1.6268</v>
      </c>
      <c r="K53" s="11" t="n">
        <v>-1.6268</v>
      </c>
      <c r="O53" s="11" t="n">
        <v>0</v>
      </c>
      <c r="P53" s="11" t="n">
        <v>-1.6268</v>
      </c>
    </row>
    <row r="54">
      <c r="A54" s="10" t="inlineStr">
        <is>
          <t>자기주식 매각</t>
        </is>
      </c>
      <c r="D54" s="11" t="n">
        <v>0</v>
      </c>
      <c r="G54" s="11" t="n">
        <v>3.96</v>
      </c>
      <c r="K54" s="11" t="n">
        <v>0</v>
      </c>
      <c r="N54" s="11" t="n">
        <v>0</v>
      </c>
      <c r="O54" s="11" t="n">
        <v>3.96</v>
      </c>
      <c r="P54" s="11" t="n">
        <v>0</v>
      </c>
    </row>
    <row r="55">
      <c r="A55" s="10" t="inlineStr">
        <is>
          <t>배당금 지급</t>
        </is>
      </c>
      <c r="D55" s="11" t="n">
        <v>-2.1427</v>
      </c>
      <c r="E55" s="11" t="n">
        <v>-2.465</v>
      </c>
      <c r="G55" s="11" t="n">
        <v>-2.465</v>
      </c>
      <c r="I55" s="11" t="n">
        <v>-5.7628</v>
      </c>
      <c r="K55" s="11" t="n">
        <v>-5.7628</v>
      </c>
      <c r="N55" s="11" t="n">
        <v>-2.1427</v>
      </c>
      <c r="O55" s="11" t="n">
        <v>-2.465</v>
      </c>
      <c r="P55" s="11" t="n">
        <v>-5.7628</v>
      </c>
    </row>
    <row r="56">
      <c r="A56" s="10" t="inlineStr">
        <is>
          <t>기타</t>
        </is>
      </c>
      <c r="E56" s="11" t="n">
        <v>0</v>
      </c>
      <c r="G56" s="11" t="n">
        <v>0</v>
      </c>
      <c r="I56" s="11" t="n">
        <v>0.0001</v>
      </c>
      <c r="K56" s="11" t="n">
        <v>0.0001</v>
      </c>
      <c r="O56" s="11" t="n">
        <v>0</v>
      </c>
      <c r="P56" s="11" t="n">
        <v>0.0001</v>
      </c>
    </row>
    <row r="57">
      <c r="A57" s="10" t="inlineStr">
        <is>
          <t>재무활동 현금흐름</t>
        </is>
      </c>
      <c r="D57" s="11" t="n">
        <v>-1.4792</v>
      </c>
      <c r="E57" s="11" t="n">
        <v>-19.189</v>
      </c>
      <c r="G57" s="11" t="n">
        <v>6.8293</v>
      </c>
      <c r="I57" s="11" t="n">
        <v>-0.4607</v>
      </c>
      <c r="K57" s="11" t="n">
        <v>45.8246</v>
      </c>
      <c r="N57" s="11" t="n">
        <v>-1.4792</v>
      </c>
      <c r="O57" s="11" t="n">
        <v>6.8293</v>
      </c>
      <c r="P57" s="11" t="n">
        <v>45.8246</v>
      </c>
    </row>
    <row r="58">
      <c r="A58" s="10" t="inlineStr">
        <is>
          <t>현금성자산 환산차이</t>
        </is>
      </c>
      <c r="D58" s="11" t="n">
        <v>0.1653</v>
      </c>
      <c r="E58" s="11" t="n">
        <v>0.1726</v>
      </c>
      <c r="G58" s="11" t="n">
        <v>-0.0437</v>
      </c>
      <c r="I58" s="11" t="n">
        <v>0.2085</v>
      </c>
      <c r="K58" s="11" t="n">
        <v>0.3588</v>
      </c>
      <c r="N58" s="11" t="n">
        <v>0.1653</v>
      </c>
      <c r="O58" s="11" t="n">
        <v>-0.0437</v>
      </c>
      <c r="P58" s="11" t="n">
        <v>0.3588</v>
      </c>
    </row>
    <row r="59">
      <c r="A59" s="10" t="inlineStr">
        <is>
          <t>현금성자산 증감</t>
        </is>
      </c>
      <c r="D59" s="11" t="n">
        <v>19.5267</v>
      </c>
      <c r="E59" s="11" t="n">
        <v>-6.8765</v>
      </c>
      <c r="G59" s="11" t="n">
        <v>13.0009</v>
      </c>
      <c r="I59" s="11" t="n">
        <v>7.9144</v>
      </c>
      <c r="K59" s="11" t="n">
        <v>18.6549</v>
      </c>
      <c r="N59" s="11" t="n">
        <v>19.5267</v>
      </c>
      <c r="O59" s="11" t="n">
        <v>13.0009</v>
      </c>
      <c r="P59" s="11" t="n">
        <v>18.6549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2" t="inlineStr">
        <is>
          <t>공시일</t>
        </is>
      </c>
      <c r="B3" s="12" t="inlineStr">
        <is>
          <t>문서</t>
        </is>
      </c>
      <c r="C3" s="12" t="inlineStr">
        <is>
          <t>PDF</t>
        </is>
      </c>
    </row>
    <row r="4">
      <c r="A4" t="inlineStr">
        <is>
          <t>2026-10-15</t>
        </is>
      </c>
      <c r="B4" t="inlineStr">
        <is>
          <t>2027년 5월 결산기 １분기 결산단신</t>
        </is>
      </c>
      <c r="C4" t="inlineStr">
        <is>
          <t>https://www2.jpx.co.jp/disc/372A0/140120261013550025.pdf</t>
        </is>
      </c>
    </row>
    <row r="5">
      <c r="A5" t="inlineStr">
        <is>
          <t>2026-07-15</t>
        </is>
      </c>
      <c r="B5" t="inlineStr">
        <is>
          <t>2026년 5월 결산기 연간 결산단신</t>
        </is>
      </c>
      <c r="C5" t="inlineStr">
        <is>
          <t>https://www2.jpx.co.jp/disc/372A0/140120260713592297.pdf</t>
        </is>
      </c>
    </row>
    <row r="6">
      <c r="A6" t="inlineStr">
        <is>
          <t>2026-04-14</t>
        </is>
      </c>
      <c r="B6" t="inlineStr">
        <is>
          <t>2026년 5월 결산기 ３분기 결산단신</t>
        </is>
      </c>
      <c r="C6" t="inlineStr">
        <is>
          <t>https://www2.jpx.co.jp/disc/372A0/140120260410501521.pdf</t>
        </is>
      </c>
    </row>
    <row r="7">
      <c r="A7" t="inlineStr">
        <is>
          <t>2026-01-14</t>
        </is>
      </c>
      <c r="B7" t="inlineStr">
        <is>
          <t>2026년 5월 결산기 ２분기 결산단신</t>
        </is>
      </c>
      <c r="C7" t="inlineStr">
        <is>
          <t>https://www2.jpx.co.jp/disc/372A0/140120260113532876.pdf</t>
        </is>
      </c>
    </row>
    <row r="8">
      <c r="A8" t="inlineStr">
        <is>
          <t>2025-10-15</t>
        </is>
      </c>
      <c r="B8" t="inlineStr">
        <is>
          <t>2026년 5월 결산기 １분기 결산단신</t>
        </is>
      </c>
      <c r="C8" t="inlineStr">
        <is>
          <t>https://www2.jpx.co.jp/disc/372A0/140120251010571552.pdf</t>
        </is>
      </c>
    </row>
    <row r="9">
      <c r="A9" t="inlineStr">
        <is>
          <t>2025-07-15</t>
        </is>
      </c>
      <c r="B9" t="inlineStr">
        <is>
          <t>2025년 5월 결산기 연간 결산단신</t>
        </is>
      </c>
      <c r="C9" t="inlineStr">
        <is>
          <t>https://www2.jpx.co.jp/disc/372A0/140120250702507265.pdf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2026-10-25T06:58:55Z</dcterms:created>
  <dcterms:modified xmlns:dcterms="http://purl.org/dc/terms/" xmlns:xsi="http://www.w3.org/2001/XMLSchema-instance" xsi:type="dcterms:W3CDTF">2026-10-25T06:58:55Z</dcterms:modified>
</cp:coreProperties>
</file>