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렌토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5월 결산 · 일본 기준 · 2027.1Q = 2027년 5월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/>
      <c r="D4" s="12" t="n"/>
      <c r="E4" s="12" t="n"/>
      <c r="F4" s="12" t="n"/>
      <c r="G4" s="12" t="n"/>
      <c r="H4" s="12" t="n">
        <v>12751.671</v>
      </c>
      <c r="I4" s="12" t="n">
        <v>11775.985</v>
      </c>
      <c r="J4" s="12" t="n">
        <v>12667.779</v>
      </c>
      <c r="K4" s="12" t="n">
        <v>13626.986</v>
      </c>
      <c r="L4" s="12" t="n">
        <v>13626.318</v>
      </c>
      <c r="M4" s="12" t="n">
        <v>13024.218</v>
      </c>
      <c r="N4" s="12" t="n">
        <v>14096.894</v>
      </c>
      <c r="O4" s="11" t="n"/>
      <c r="P4" s="12" t="n"/>
      <c r="Q4" s="12" t="n"/>
      <c r="R4" s="12" t="n"/>
      <c r="S4" s="12" t="n"/>
      <c r="T4" s="12" t="n"/>
      <c r="U4" s="12" t="n"/>
      <c r="V4" s="12" t="n">
        <v>43690.004</v>
      </c>
      <c r="W4" s="12" t="n">
        <v>49088.449</v>
      </c>
      <c r="X4" s="12" t="n">
        <v>52945.301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/>
      <c r="G11" s="22" t="n"/>
      <c r="H11" s="22" t="n">
        <v>8479.502</v>
      </c>
      <c r="I11" s="22" t="n">
        <v>8633.911</v>
      </c>
      <c r="J11" s="22" t="n">
        <v>8333.184999999999</v>
      </c>
      <c r="K11" s="22" t="n">
        <v>8754.097</v>
      </c>
      <c r="L11" s="22" t="n">
        <v>8809.763999999999</v>
      </c>
      <c r="M11" s="22" t="n">
        <v>9262.244000000001</v>
      </c>
      <c r="N11" s="22" t="n">
        <v>9006.092000000001</v>
      </c>
      <c r="O11" s="21" t="n"/>
      <c r="P11" s="22" t="n"/>
      <c r="Q11" s="22" t="n"/>
      <c r="R11" s="22" t="n"/>
      <c r="S11" s="22" t="n"/>
      <c r="T11" s="22" t="n"/>
      <c r="U11" s="22" t="n"/>
      <c r="V11" s="22" t="n">
        <v>29983.04</v>
      </c>
      <c r="W11" s="22" t="n">
        <v>33410.089</v>
      </c>
      <c r="X11" s="22" t="n">
        <v>35159.29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/>
      <c r="D17" s="22" t="n"/>
      <c r="E17" s="22" t="n"/>
      <c r="F17" s="22" t="n"/>
      <c r="G17" s="22" t="n"/>
      <c r="H17" s="22" t="n">
        <v>2888.613</v>
      </c>
      <c r="I17" s="22" t="n">
        <v>3193.307</v>
      </c>
      <c r="J17" s="22" t="n">
        <v>3208.138</v>
      </c>
      <c r="K17" s="22" t="n">
        <v>3215.619</v>
      </c>
      <c r="L17" s="22" t="n">
        <v>3309.297</v>
      </c>
      <c r="M17" s="22" t="n">
        <v>3670.127</v>
      </c>
      <c r="N17" s="22" t="n">
        <v>3552.617</v>
      </c>
      <c r="O17" s="21" t="n"/>
      <c r="P17" s="22" t="n"/>
      <c r="Q17" s="22" t="n"/>
      <c r="R17" s="22" t="n"/>
      <c r="S17" s="22" t="n"/>
      <c r="T17" s="22" t="n"/>
      <c r="U17" s="22" t="n"/>
      <c r="V17" s="22" t="n">
        <v>10524.922</v>
      </c>
      <c r="W17" s="22" t="n">
        <v>11771.583</v>
      </c>
      <c r="X17" s="22" t="n">
        <v>13403.181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/>
      <c r="D19" s="12" t="n"/>
      <c r="E19" s="12" t="n"/>
      <c r="F19" s="12" t="n"/>
      <c r="G19" s="12" t="n"/>
      <c r="H19" s="12" t="n">
        <v>1383.556</v>
      </c>
      <c r="I19" s="12" t="n">
        <v>-51.233</v>
      </c>
      <c r="J19" s="12" t="n">
        <v>1126.454</v>
      </c>
      <c r="K19" s="12" t="n">
        <v>1657.271</v>
      </c>
      <c r="L19" s="12" t="n">
        <v>1507.257</v>
      </c>
      <c r="M19" s="12" t="n">
        <v>91.84699999999999</v>
      </c>
      <c r="N19" s="12" t="n">
        <v>1538.184</v>
      </c>
      <c r="O19" s="11" t="n"/>
      <c r="P19" s="12" t="n"/>
      <c r="Q19" s="12" t="n"/>
      <c r="R19" s="12" t="n"/>
      <c r="S19" s="12" t="n"/>
      <c r="T19" s="12" t="n"/>
      <c r="U19" s="12" t="n"/>
      <c r="V19" s="12" t="n">
        <v>3182.04</v>
      </c>
      <c r="W19" s="12" t="n">
        <v>3906.776</v>
      </c>
      <c r="X19" s="12" t="n">
        <v>4382.829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>
        <v>3502.746</v>
      </c>
      <c r="W24" s="22" t="n">
        <v>3871.426</v>
      </c>
      <c r="X24" s="22" t="n">
        <v>4445.362</v>
      </c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>
        <v>8.991</v>
      </c>
      <c r="I35" s="22" t="n">
        <v>3.527</v>
      </c>
      <c r="J35" s="22" t="n">
        <v>3.061</v>
      </c>
      <c r="K35" s="22" t="n">
        <v>41.665</v>
      </c>
      <c r="L35" s="22" t="n">
        <v>2.408</v>
      </c>
      <c r="M35" s="22" t="n">
        <v>1.06</v>
      </c>
      <c r="N35" s="22" t="n">
        <v>0.917</v>
      </c>
      <c r="O35" s="21" t="n"/>
      <c r="P35" s="22" t="n"/>
      <c r="Q35" s="22" t="n"/>
      <c r="R35" s="22" t="n"/>
      <c r="S35" s="22" t="n"/>
      <c r="T35" s="22" t="n"/>
      <c r="U35" s="22" t="n"/>
      <c r="V35" s="22" t="n">
        <v>5.311</v>
      </c>
      <c r="W35" s="22" t="n">
        <v>15.31</v>
      </c>
      <c r="X35" s="22" t="n">
        <v>48.194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>
        <v>1.535</v>
      </c>
      <c r="I37" s="22" t="n">
        <v>2.621</v>
      </c>
      <c r="J37" s="22" t="n">
        <v>0.359</v>
      </c>
      <c r="K37" s="22" t="n">
        <v>3.326</v>
      </c>
      <c r="L37" s="22" t="n">
        <v>29.017</v>
      </c>
      <c r="M37" s="22" t="n">
        <v>6.141</v>
      </c>
      <c r="N37" s="22" t="n">
        <v>11.954</v>
      </c>
      <c r="O37" s="21" t="n"/>
      <c r="P37" s="22" t="n"/>
      <c r="Q37" s="22" t="n"/>
      <c r="R37" s="22" t="n"/>
      <c r="S37" s="22" t="n"/>
      <c r="T37" s="22" t="n"/>
      <c r="U37" s="22" t="n"/>
      <c r="V37" s="22" t="n">
        <v>6.551</v>
      </c>
      <c r="W37" s="22" t="n">
        <v>7.698</v>
      </c>
      <c r="X37" s="22" t="n">
        <v>38.843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/>
      <c r="D39" s="22" t="n"/>
      <c r="E39" s="22" t="n"/>
      <c r="F39" s="22" t="n"/>
      <c r="G39" s="22" t="n"/>
      <c r="H39" s="22" t="n">
        <v>39.947</v>
      </c>
      <c r="I39" s="22" t="n">
        <v>42.455</v>
      </c>
      <c r="J39" s="22" t="n">
        <v>75.59999999999999</v>
      </c>
      <c r="K39" s="22" t="n">
        <v>98.063</v>
      </c>
      <c r="L39" s="22" t="n">
        <v>89.965</v>
      </c>
      <c r="M39" s="22" t="n">
        <v>42.806</v>
      </c>
      <c r="N39" s="22" t="n">
        <v>72.79000000000001</v>
      </c>
      <c r="O39" s="21" t="n"/>
      <c r="P39" s="22" t="n"/>
      <c r="Q39" s="22" t="n"/>
      <c r="R39" s="22" t="n"/>
      <c r="S39" s="22" t="n"/>
      <c r="T39" s="22" t="n"/>
      <c r="U39" s="22" t="n"/>
      <c r="V39" s="22" t="n">
        <v>203.252</v>
      </c>
      <c r="W39" s="22" t="n">
        <v>214.613</v>
      </c>
      <c r="X39" s="22" t="n">
        <v>306.434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/>
      <c r="D41" s="22" t="n"/>
      <c r="E41" s="22" t="n"/>
      <c r="F41" s="22" t="n"/>
      <c r="G41" s="22" t="n"/>
      <c r="H41" s="22" t="n">
        <v>129.545</v>
      </c>
      <c r="I41" s="22" t="n">
        <v>232.364</v>
      </c>
      <c r="J41" s="22" t="n">
        <v>215.703</v>
      </c>
      <c r="K41" s="22" t="n">
        <v>130.992</v>
      </c>
      <c r="L41" s="22" t="n">
        <v>157.253</v>
      </c>
      <c r="M41" s="22" t="n">
        <v>238.679</v>
      </c>
      <c r="N41" s="22" t="n">
        <v>257.272</v>
      </c>
      <c r="O41" s="21" t="n"/>
      <c r="P41" s="22" t="n"/>
      <c r="Q41" s="22" t="n"/>
      <c r="R41" s="22" t="n"/>
      <c r="S41" s="22" t="n"/>
      <c r="T41" s="22" t="n"/>
      <c r="U41" s="22" t="n"/>
      <c r="V41" s="22" t="n">
        <v>589.424</v>
      </c>
      <c r="W41" s="22" t="n">
        <v>677.2140000000001</v>
      </c>
      <c r="X41" s="22" t="n">
        <v>742.627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/>
      <c r="D43" s="12" t="n"/>
      <c r="E43" s="12" t="n"/>
      <c r="F43" s="12" t="n"/>
      <c r="G43" s="12" t="n"/>
      <c r="H43" s="12" t="n">
        <v>1301.414</v>
      </c>
      <c r="I43" s="12" t="n">
        <v>-240.236</v>
      </c>
      <c r="J43" s="12" t="n">
        <v>989.053</v>
      </c>
      <c r="K43" s="12" t="n">
        <v>1662.681</v>
      </c>
      <c r="L43" s="12" t="n">
        <v>1413.36</v>
      </c>
      <c r="M43" s="12" t="n">
        <v>-109.107</v>
      </c>
      <c r="N43" s="12" t="n">
        <v>1342.666</v>
      </c>
      <c r="O43" s="11" t="n"/>
      <c r="P43" s="12" t="n"/>
      <c r="Q43" s="12" t="n"/>
      <c r="R43" s="12" t="n"/>
      <c r="S43" s="12" t="n"/>
      <c r="T43" s="12" t="n"/>
      <c r="U43" s="12" t="n"/>
      <c r="V43" s="12" t="n">
        <v>2794.627</v>
      </c>
      <c r="W43" s="12" t="n">
        <v>3451.787</v>
      </c>
      <c r="X43" s="12" t="n">
        <v>3955.987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/>
      <c r="D45" s="22" t="n"/>
      <c r="E45" s="22" t="n"/>
      <c r="F45" s="22" t="n"/>
      <c r="G45" s="22" t="n"/>
      <c r="H45" s="22" t="n">
        <v>432.28</v>
      </c>
      <c r="I45" s="22" t="n">
        <v>-183.376</v>
      </c>
      <c r="J45" s="22" t="n">
        <v>341.096</v>
      </c>
      <c r="K45" s="22" t="n">
        <v>551.885</v>
      </c>
      <c r="L45" s="22" t="n">
        <v>439.124</v>
      </c>
      <c r="M45" s="22" t="n">
        <v>-193.554</v>
      </c>
      <c r="N45" s="22" t="n">
        <v>458.026</v>
      </c>
      <c r="O45" s="21" t="n"/>
      <c r="P45" s="22" t="n"/>
      <c r="Q45" s="22" t="n"/>
      <c r="R45" s="22" t="n"/>
      <c r="S45" s="22" t="n"/>
      <c r="T45" s="22" t="n"/>
      <c r="U45" s="22" t="n"/>
      <c r="V45" s="22" t="n">
        <v>760.825</v>
      </c>
      <c r="W45" s="22" t="n">
        <v>1103.842</v>
      </c>
      <c r="X45" s="22" t="n">
        <v>1138.551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/>
      <c r="D47" s="12" t="n"/>
      <c r="E47" s="12" t="n"/>
      <c r="F47" s="12" t="n"/>
      <c r="G47" s="12" t="n"/>
      <c r="H47" s="12" t="n">
        <v>869.135</v>
      </c>
      <c r="I47" s="12" t="n">
        <v>-56.861</v>
      </c>
      <c r="J47" s="12" t="n">
        <v>647.956</v>
      </c>
      <c r="K47" s="12" t="n">
        <v>1110.796</v>
      </c>
      <c r="L47" s="12" t="n">
        <v>974.236</v>
      </c>
      <c r="M47" s="12" t="n">
        <v>84.44799999999999</v>
      </c>
      <c r="N47" s="12" t="n">
        <v>884.639</v>
      </c>
      <c r="O47" s="11" t="n"/>
      <c r="P47" s="12" t="n"/>
      <c r="Q47" s="12" t="n"/>
      <c r="R47" s="12" t="n"/>
      <c r="S47" s="12" t="n"/>
      <c r="T47" s="12" t="n"/>
      <c r="U47" s="12" t="n"/>
      <c r="V47" s="12" t="n">
        <v>2033.802</v>
      </c>
      <c r="W47" s="12" t="n">
        <v>2347.944</v>
      </c>
      <c r="X47" s="12" t="n">
        <v>2817.436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/>
      <c r="D49" s="12" t="n"/>
      <c r="E49" s="12" t="n"/>
      <c r="F49" s="12" t="n"/>
      <c r="G49" s="12" t="n"/>
      <c r="H49" s="12" t="n">
        <v>904.755</v>
      </c>
      <c r="I49" s="12" t="n">
        <v>-16.637</v>
      </c>
      <c r="J49" s="12" t="n">
        <v>690.309</v>
      </c>
      <c r="K49" s="12" t="n">
        <v>1147.51</v>
      </c>
      <c r="L49" s="12" t="n">
        <v>976.674</v>
      </c>
      <c r="M49" s="12" t="n">
        <v>86.57599999999999</v>
      </c>
      <c r="N49" s="12" t="n">
        <v>888.1</v>
      </c>
      <c r="O49" s="11" t="n"/>
      <c r="P49" s="12" t="n"/>
      <c r="Q49" s="12" t="n"/>
      <c r="R49" s="12" t="n"/>
      <c r="S49" s="12" t="n"/>
      <c r="T49" s="12" t="n"/>
      <c r="U49" s="12" t="n"/>
      <c r="V49" s="12" t="n">
        <v>2073.909</v>
      </c>
      <c r="W49" s="12" t="n">
        <v>2498.909</v>
      </c>
      <c r="X49" s="12" t="n">
        <v>2901.069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(2026.10.28)</t>
        </is>
      </c>
      <c r="B53" s="29" t="n">
        <v>6110</v>
      </c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>
        <v>3886000</v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 2026.10.28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H84" s="12" t="n">
        <v>12751.671</v>
      </c>
      <c r="I84" s="12" t="n">
        <v>11775.985</v>
      </c>
      <c r="J84" s="12" t="n">
        <v>12667.779</v>
      </c>
      <c r="K84" s="12" t="n">
        <v>13626.986</v>
      </c>
      <c r="L84" s="12" t="n">
        <v>13626.318</v>
      </c>
      <c r="M84" s="12" t="n">
        <v>13024.218</v>
      </c>
      <c r="N84" s="12" t="n">
        <v>14096.894</v>
      </c>
      <c r="W84" s="12" t="n">
        <v>11775.985</v>
      </c>
      <c r="X84" s="12" t="n">
        <v>13024.218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H86" s="22" t="n">
        <v>8479.502</v>
      </c>
      <c r="I86" s="22" t="n">
        <v>8633.911</v>
      </c>
      <c r="J86" s="22" t="n">
        <v>8333.184999999999</v>
      </c>
      <c r="K86" s="22" t="n">
        <v>8754.097</v>
      </c>
      <c r="L86" s="22" t="n">
        <v>8809.763999999999</v>
      </c>
      <c r="M86" s="22" t="n">
        <v>9262.244000000001</v>
      </c>
      <c r="N86" s="22" t="n">
        <v>9006.092000000001</v>
      </c>
      <c r="W86" s="22" t="n">
        <v>8633.911</v>
      </c>
      <c r="X86" s="22" t="n">
        <v>9262.244000000001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H88" s="12" t="n">
        <v>4272.17</v>
      </c>
      <c r="I88" s="12" t="n">
        <v>3142.073</v>
      </c>
      <c r="J88" s="12" t="n">
        <v>4334.593</v>
      </c>
      <c r="K88" s="12" t="n">
        <v>4872.89</v>
      </c>
      <c r="L88" s="12" t="n">
        <v>4816.553</v>
      </c>
      <c r="M88" s="12" t="n">
        <v>3761.974</v>
      </c>
      <c r="N88" s="12" t="n">
        <v>5090.802</v>
      </c>
      <c r="W88" s="12" t="n">
        <v>3142.073</v>
      </c>
      <c r="X88" s="12" t="n">
        <v>3761.974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대손충당금 전입</t>
        </is>
      </c>
      <c r="H90" s="22" t="n">
        <v>28.414</v>
      </c>
      <c r="I90" s="22" t="n">
        <v>12.387</v>
      </c>
      <c r="J90" s="22" t="n">
        <v>44.623</v>
      </c>
      <c r="K90" s="22" t="n">
        <v>103.242</v>
      </c>
      <c r="L90" s="22" t="n">
        <v>12.934</v>
      </c>
      <c r="M90" s="22" t="n">
        <v>6.817</v>
      </c>
      <c r="N90" s="22" t="n">
        <v>31.893</v>
      </c>
      <c r="W90" s="22" t="n">
        <v>12.387</v>
      </c>
      <c r="X90" s="22" t="n">
        <v>6.817</v>
      </c>
    </row>
    <row r="91">
      <c r="A91" s="20" t="inlineStr">
        <is>
          <t>급여·수당</t>
        </is>
      </c>
      <c r="H91" s="22" t="n">
        <v>960.693</v>
      </c>
      <c r="I91" s="22" t="n">
        <v>1010.099</v>
      </c>
      <c r="J91" s="22" t="n">
        <v>1055.721</v>
      </c>
      <c r="K91" s="22" t="n">
        <v>1072.158</v>
      </c>
      <c r="L91" s="22" t="n">
        <v>1107.592</v>
      </c>
      <c r="M91" s="22" t="n">
        <v>1209.891</v>
      </c>
      <c r="N91" s="22" t="n">
        <v>1189.493</v>
      </c>
      <c r="W91" s="22" t="n">
        <v>1010.099</v>
      </c>
      <c r="X91" s="22" t="n">
        <v>1209.891</v>
      </c>
    </row>
    <row r="92">
      <c r="A92" s="20" t="inlineStr">
        <is>
          <t>상여충당금 전입</t>
        </is>
      </c>
      <c r="H92" s="22" t="n">
        <v>-98.133</v>
      </c>
      <c r="I92" s="22" t="n">
        <v>397.305</v>
      </c>
      <c r="J92" s="22" t="n">
        <v>358.005</v>
      </c>
      <c r="K92" s="22" t="n">
        <v>280.315</v>
      </c>
      <c r="L92" s="22" t="n">
        <v>-111.707</v>
      </c>
      <c r="M92" s="22" t="n">
        <v>385.563</v>
      </c>
      <c r="N92" s="22" t="n">
        <v>402.931</v>
      </c>
      <c r="W92" s="22" t="n">
        <v>397.305</v>
      </c>
      <c r="X92" s="22" t="n">
        <v>385.563</v>
      </c>
    </row>
    <row r="93">
      <c r="A93" s="20" t="inlineStr">
        <is>
          <t>퇴직급여비용</t>
        </is>
      </c>
      <c r="H93" s="22" t="n">
        <v>51.803</v>
      </c>
      <c r="I93" s="22" t="n">
        <v>63.362</v>
      </c>
      <c r="J93" s="22" t="n">
        <v>53.492</v>
      </c>
      <c r="K93" s="22" t="n">
        <v>53.471</v>
      </c>
      <c r="L93" s="22" t="n">
        <v>51.799</v>
      </c>
      <c r="M93" s="22" t="n">
        <v>60</v>
      </c>
      <c r="N93" s="22" t="n">
        <v>51.628</v>
      </c>
      <c r="W93" s="22" t="n">
        <v>63.362</v>
      </c>
      <c r="X93" s="22" t="n">
        <v>60</v>
      </c>
    </row>
    <row r="94">
      <c r="A94" s="20" t="inlineStr">
        <is>
          <t>지대·임차료</t>
        </is>
      </c>
      <c r="H94" s="22" t="n">
        <v>436.763</v>
      </c>
      <c r="I94" s="22" t="n">
        <v>406.465</v>
      </c>
      <c r="J94" s="22" t="n">
        <v>447.154</v>
      </c>
      <c r="K94" s="22" t="n">
        <v>454.656</v>
      </c>
      <c r="L94" s="22" t="n">
        <v>483.267</v>
      </c>
      <c r="M94" s="22" t="n">
        <v>488.962</v>
      </c>
      <c r="N94" s="22" t="n">
        <v>494.032</v>
      </c>
      <c r="W94" s="22" t="n">
        <v>406.465</v>
      </c>
      <c r="X94" s="22" t="n">
        <v>488.962</v>
      </c>
    </row>
    <row r="95">
      <c r="A95" s="20" t="inlineStr">
        <is>
          <t>기타</t>
        </is>
      </c>
      <c r="H95" s="22" t="n">
        <v>1509.074</v>
      </c>
      <c r="I95" s="22" t="n">
        <v>1303.688</v>
      </c>
      <c r="J95" s="22" t="n">
        <v>1249.141</v>
      </c>
      <c r="K95" s="22" t="n">
        <v>1251.775</v>
      </c>
      <c r="L95" s="22" t="n">
        <v>1765.414</v>
      </c>
      <c r="M95" s="22" t="n">
        <v>1518.894</v>
      </c>
      <c r="N95" s="22" t="n">
        <v>1382.638</v>
      </c>
      <c r="W95" s="22" t="n">
        <v>1303.688</v>
      </c>
      <c r="X95" s="22" t="n">
        <v>1518.894</v>
      </c>
    </row>
    <row r="96">
      <c r="A96" s="20" t="inlineStr">
        <is>
          <t>판매비와 관리비 합계</t>
        </is>
      </c>
      <c r="H96" s="22" t="n">
        <v>2888.613</v>
      </c>
      <c r="I96" s="22" t="n">
        <v>3193.307</v>
      </c>
      <c r="J96" s="22" t="n">
        <v>3208.138</v>
      </c>
      <c r="K96" s="22" t="n">
        <v>3215.619</v>
      </c>
      <c r="L96" s="22" t="n">
        <v>3309.297</v>
      </c>
      <c r="M96" s="22" t="n">
        <v>3670.127</v>
      </c>
      <c r="N96" s="22" t="n">
        <v>3552.617</v>
      </c>
      <c r="W96" s="22" t="n">
        <v>3193.307</v>
      </c>
      <c r="X96" s="22" t="n">
        <v>3670.127</v>
      </c>
    </row>
    <row r="97">
      <c r="A97" s="45" t="inlineStr">
        <is>
          <t>YoY</t>
        </is>
      </c>
      <c r="B97" s="3" t="inlineStr">
        <is>
          <t>전년 같은 분기·전년 대비</t>
        </is>
      </c>
      <c r="H97" s="17">
        <f>IF(OR(H96="",D96=""),"",IF(H96*D96&lt;=0,"",IFERROR(H96/D96-1,"")))</f>
        <v/>
      </c>
      <c r="I97" s="17">
        <f>IF(OR(I96="",E96=""),"",IF(I96*E96&lt;=0,"",IFERROR(I96/E96-1,"")))</f>
        <v/>
      </c>
      <c r="J97" s="17">
        <f>IF(OR(J96="",F96=""),"",IF(J96*F96&lt;=0,"",IFERROR(J96/F96-1,"")))</f>
        <v/>
      </c>
      <c r="K97" s="17">
        <f>IF(OR(K96="",G96=""),"",IF(K96*G96&lt;=0,"",IFERROR(K96/G96-1,"")))</f>
        <v/>
      </c>
      <c r="L97" s="17">
        <f>IF(OR(L96="",H96=""),"",IF(L96*H96&lt;=0,"",IFERROR(L96/H96-1,"")))</f>
        <v/>
      </c>
      <c r="M97" s="17">
        <f>IF(OR(M96="",I96=""),"",IF(M96*I96&lt;=0,"",IFERROR(M96/I96-1,"")))</f>
        <v/>
      </c>
      <c r="N97" s="17">
        <f>IF(OR(N96="",J96=""),"",IF(N96*J96&lt;=0,"",IFERROR(N96/J96-1,"")))</f>
        <v/>
      </c>
      <c r="W97" s="17">
        <f>IF(OR(W96="",V96=""),"",IF(W96*V96&lt;=0,"",IFERROR(W96/V96-1,"")))</f>
        <v/>
      </c>
      <c r="X97" s="17">
        <f>IF(OR(X96="",W96=""),"",IF(X96*W96&lt;=0,"",IFERROR(X96/W96-1,"")))</f>
        <v/>
      </c>
    </row>
    <row r="98">
      <c r="A98" s="9" t="inlineStr">
        <is>
          <t>영업이익</t>
        </is>
      </c>
      <c r="H98" s="12" t="n">
        <v>1383.556</v>
      </c>
      <c r="I98" s="12" t="n">
        <v>-51.233</v>
      </c>
      <c r="J98" s="12" t="n">
        <v>1126.454</v>
      </c>
      <c r="K98" s="12" t="n">
        <v>1657.271</v>
      </c>
      <c r="L98" s="12" t="n">
        <v>1507.257</v>
      </c>
      <c r="M98" s="12" t="n">
        <v>91.84699999999999</v>
      </c>
      <c r="N98" s="12" t="n">
        <v>1538.184</v>
      </c>
      <c r="W98" s="12" t="n">
        <v>-51.233</v>
      </c>
      <c r="X98" s="12" t="n">
        <v>91.84699999999999</v>
      </c>
    </row>
    <row r="99">
      <c r="A99" s="45" t="inlineStr">
        <is>
          <t>OPM</t>
        </is>
      </c>
      <c r="B99" s="3" t="inlineStr">
        <is>
          <t>영업이익 ÷ 매출</t>
        </is>
      </c>
      <c r="H99" s="17">
        <f>IF(OR(H98="",H84=""),"",IF(H84&lt;=0,"",IFERROR(H98/H84,"")))</f>
        <v/>
      </c>
      <c r="I99" s="17">
        <f>IF(OR(I98="",I84=""),"",IF(I84&lt;=0,"",IFERROR(I98/I84,"")))</f>
        <v/>
      </c>
      <c r="J99" s="17">
        <f>IF(OR(J98="",J84=""),"",IF(J84&lt;=0,"",IFERROR(J98/J84,"")))</f>
        <v/>
      </c>
      <c r="K99" s="17">
        <f>IF(OR(K98="",K84=""),"",IF(K84&lt;=0,"",IFERROR(K98/K84,"")))</f>
        <v/>
      </c>
      <c r="L99" s="17">
        <f>IF(OR(L98="",L84=""),"",IF(L84&lt;=0,"",IFERROR(L98/L84,"")))</f>
        <v/>
      </c>
      <c r="M99" s="17">
        <f>IF(OR(M98="",M84=""),"",IF(M84&lt;=0,"",IFERROR(M98/M84,"")))</f>
        <v/>
      </c>
      <c r="N99" s="17">
        <f>IF(OR(N98="",N84=""),"",IF(N84&lt;=0,"",IFERROR(N98/N84,"")))</f>
        <v/>
      </c>
      <c r="W99" s="17">
        <f>IF(OR(W98="",W84=""),"",IF(W84&lt;=0,"",IFERROR(W98/W84,"")))</f>
        <v/>
      </c>
      <c r="X99" s="17">
        <f>IF(OR(X98="",X84=""),"",IF(X84&lt;=0,"",IFERROR(X98/X84,"")))</f>
        <v/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H100" s="17">
        <f>IF(OR(H98="",D98=""),"",IF(D98&lt;=0,"",IFERROR(H98/D98-1,"")))</f>
        <v/>
      </c>
      <c r="I100" s="17">
        <f>IF(OR(I98="",E98=""),"",IF(E98&lt;=0,"",IFERROR(I98/E98-1,"")))</f>
        <v/>
      </c>
      <c r="J100" s="17">
        <f>IF(OR(J98="",F98=""),"",IF(F98&lt;=0,"",IFERROR(J98/F98-1,"")))</f>
        <v/>
      </c>
      <c r="K100" s="17">
        <f>IF(OR(K98="",G98=""),"",IF(G98&lt;=0,"",IFERROR(K98/G98-1,"")))</f>
        <v/>
      </c>
      <c r="L100" s="17">
        <f>IF(OR(L98="",H98=""),"",IF(H98&lt;=0,"",IFERROR(L98/H98-1,"")))</f>
        <v/>
      </c>
      <c r="M100" s="17">
        <f>IF(OR(M98="",I98=""),"",IF(I98&lt;=0,"",IFERROR(M98/I98-1,"")))</f>
        <v/>
      </c>
      <c r="N100" s="17">
        <f>IF(OR(N98="",J98=""),"",IF(J98&lt;=0,"",IFERROR(N98/J98-1,"")))</f>
        <v/>
      </c>
      <c r="W100" s="17">
        <f>IF(OR(W98="",V98=""),"",IF(V98&lt;=0,"",IFERROR(W98/V98-1,"")))</f>
        <v/>
      </c>
      <c r="X100" s="17">
        <f>IF(OR(X98="",W98=""),"",IF(W98&lt;=0,"",IFERROR(X98/W98-1,"")))</f>
        <v/>
      </c>
    </row>
    <row r="101">
      <c r="A101" s="20" t="inlineStr">
        <is>
          <t>이자수익</t>
        </is>
      </c>
      <c r="H101" s="22" t="n">
        <v>3.766</v>
      </c>
      <c r="I101" s="22" t="n">
        <v>2.686</v>
      </c>
      <c r="J101" s="22" t="n">
        <v>6.725</v>
      </c>
      <c r="K101" s="22" t="n">
        <v>2.107</v>
      </c>
      <c r="L101" s="22" t="n">
        <v>9.109999999999999</v>
      </c>
      <c r="M101" s="22" t="n">
        <v>5.203</v>
      </c>
      <c r="N101" s="22" t="n">
        <v>13.282</v>
      </c>
      <c r="W101" s="22" t="n">
        <v>2.686</v>
      </c>
      <c r="X101" s="22" t="n">
        <v>5.203</v>
      </c>
    </row>
    <row r="102">
      <c r="A102" s="20" t="inlineStr">
        <is>
          <t>배당금수익</t>
        </is>
      </c>
      <c r="H102" s="22" t="n">
        <v>3.515</v>
      </c>
      <c r="I102" s="22" t="n">
        <v>0.181</v>
      </c>
      <c r="J102" s="22" t="n">
        <v>6.274</v>
      </c>
      <c r="K102" s="22" t="n">
        <v>0.315</v>
      </c>
      <c r="L102" s="22" t="n">
        <v>3.781</v>
      </c>
      <c r="M102" s="22" t="n">
        <v>1.323</v>
      </c>
      <c r="N102" s="22" t="n">
        <v>7.56</v>
      </c>
      <c r="W102" s="22" t="n">
        <v>0.181</v>
      </c>
      <c r="X102" s="22" t="n">
        <v>1.323</v>
      </c>
    </row>
    <row r="103">
      <c r="A103" s="20" t="inlineStr">
        <is>
          <t>보험금 수익</t>
        </is>
      </c>
      <c r="H103" s="22" t="n">
        <v>2.797</v>
      </c>
      <c r="I103" s="22" t="n">
        <v>7.317</v>
      </c>
      <c r="J103" s="22" t="n">
        <v>2.926</v>
      </c>
      <c r="K103" s="22" t="n">
        <v>2.271</v>
      </c>
      <c r="L103" s="22" t="n">
        <v>3.339</v>
      </c>
      <c r="M103" s="22" t="n">
        <v>4.825</v>
      </c>
      <c r="N103" s="22" t="n">
        <v>5.775</v>
      </c>
      <c r="W103" s="22" t="n">
        <v>7.317</v>
      </c>
      <c r="X103" s="22" t="n">
        <v>4.825</v>
      </c>
    </row>
    <row r="104">
      <c r="A104" s="20" t="inlineStr">
        <is>
          <t>임대료 수익</t>
        </is>
      </c>
      <c r="H104" s="22" t="n">
        <v>7.11</v>
      </c>
      <c r="I104" s="22" t="n">
        <v>7.113</v>
      </c>
      <c r="J104" s="22" t="n">
        <v>7.107</v>
      </c>
      <c r="K104" s="22" t="n">
        <v>7.109</v>
      </c>
      <c r="L104" s="22" t="n">
        <v>13.894</v>
      </c>
      <c r="M104" s="22" t="n">
        <v>0.308</v>
      </c>
      <c r="N104" s="22" t="n">
        <v>11.819</v>
      </c>
      <c r="W104" s="22" t="n">
        <v>7.113</v>
      </c>
      <c r="X104" s="22" t="n">
        <v>0.308</v>
      </c>
    </row>
    <row r="105">
      <c r="A105" s="20" t="inlineStr">
        <is>
          <t>외환차익</t>
        </is>
      </c>
      <c r="H105" s="22" t="n">
        <v>1.142</v>
      </c>
      <c r="I105" s="22" t="n">
        <v>4.477</v>
      </c>
      <c r="J105" s="22" t="n">
        <v>26.842</v>
      </c>
      <c r="K105" s="22" t="n">
        <v>62.514</v>
      </c>
      <c r="L105" s="22" t="n">
        <v>33.02</v>
      </c>
      <c r="M105" s="22" t="n">
        <v>-23.474</v>
      </c>
      <c r="N105" s="22" t="n">
        <v>0</v>
      </c>
      <c r="W105" s="22" t="n">
        <v>4.477</v>
      </c>
      <c r="X105" s="22" t="n">
        <v>-23.474</v>
      </c>
    </row>
    <row r="106">
      <c r="A106" s="20" t="inlineStr">
        <is>
          <t>작업부산물 매각이익</t>
        </is>
      </c>
      <c r="H106" s="22" t="n">
        <v>9.689</v>
      </c>
      <c r="I106" s="22" t="n">
        <v>8.731999999999999</v>
      </c>
      <c r="J106" s="22" t="n">
        <v>8.211</v>
      </c>
      <c r="K106" s="22" t="n">
        <v>8.356</v>
      </c>
      <c r="L106" s="22" t="n">
        <v>11.394</v>
      </c>
      <c r="M106" s="22" t="n">
        <v>22.894</v>
      </c>
      <c r="N106" s="22" t="n">
        <v>11.316</v>
      </c>
      <c r="W106" s="22" t="n">
        <v>8.731999999999999</v>
      </c>
      <c r="X106" s="22" t="n">
        <v>22.894</v>
      </c>
    </row>
    <row r="107">
      <c r="A107" s="20" t="inlineStr">
        <is>
          <t>기타</t>
        </is>
      </c>
      <c r="H107" s="22" t="n">
        <v>11.928</v>
      </c>
      <c r="I107" s="22" t="n">
        <v>-14.597</v>
      </c>
      <c r="J107" s="22" t="n">
        <v>17.511</v>
      </c>
      <c r="K107" s="22" t="n">
        <v>15.39</v>
      </c>
      <c r="L107" s="22" t="n">
        <v>15.429</v>
      </c>
      <c r="M107" s="22" t="n">
        <v>22.498</v>
      </c>
      <c r="N107" s="22" t="n">
        <v>23.036</v>
      </c>
      <c r="W107" s="22" t="n">
        <v>-14.597</v>
      </c>
      <c r="X107" s="22" t="n">
        <v>22.498</v>
      </c>
    </row>
    <row r="108">
      <c r="A108" s="20" t="inlineStr">
        <is>
          <t>영업외수익 합계</t>
        </is>
      </c>
      <c r="H108" s="22" t="n">
        <v>39.947</v>
      </c>
      <c r="I108" s="22" t="n">
        <v>42.455</v>
      </c>
      <c r="J108" s="22" t="n">
        <v>75.59999999999999</v>
      </c>
      <c r="K108" s="22" t="n">
        <v>98.063</v>
      </c>
      <c r="L108" s="22" t="n">
        <v>89.965</v>
      </c>
      <c r="M108" s="22" t="n">
        <v>42.806</v>
      </c>
      <c r="N108" s="22" t="n">
        <v>72.79000000000001</v>
      </c>
      <c r="W108" s="22" t="n">
        <v>42.455</v>
      </c>
      <c r="X108" s="22" t="n">
        <v>42.806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H109" s="17">
        <f>IF(OR(H108="",D108=""),"",IF(H108*D108&lt;=0,"",IFERROR(H108/D108-1,"")))</f>
        <v/>
      </c>
      <c r="I109" s="17">
        <f>IF(OR(I108="",E108=""),"",IF(I108*E108&lt;=0,"",IFERROR(I108/E108-1,"")))</f>
        <v/>
      </c>
      <c r="J109" s="17">
        <f>IF(OR(J108="",F108=""),"",IF(J108*F108&lt;=0,"",IFERROR(J108/F108-1,"")))</f>
        <v/>
      </c>
      <c r="K109" s="17">
        <f>IF(OR(K108="",G108=""),"",IF(K108*G108&lt;=0,"",IFERROR(K108/G108-1,"")))</f>
        <v/>
      </c>
      <c r="L109" s="17">
        <f>IF(OR(L108="",H108=""),"",IF(L108*H108&lt;=0,"",IFERROR(L108/H108-1,"")))</f>
        <v/>
      </c>
      <c r="M109" s="17">
        <f>IF(OR(M108="",I108=""),"",IF(M108*I108&lt;=0,"",IFERROR(M108/I108-1,"")))</f>
        <v/>
      </c>
      <c r="N109" s="17">
        <f>IF(OR(N108="",J108=""),"",IF(N108*J108&lt;=0,"",IFERROR(N108/J108-1,"")))</f>
        <v/>
      </c>
      <c r="W109" s="17">
        <f>IF(OR(W108="",V108=""),"",IF(W108*V108&lt;=0,"",IFERROR(W108/V108-1,"")))</f>
        <v/>
      </c>
      <c r="X109" s="17">
        <f>IF(OR(X108="",W108=""),"",IF(X108*W108&lt;=0,"",IFERROR(X108/W108-1,"")))</f>
        <v/>
      </c>
    </row>
    <row r="110">
      <c r="A110" s="20" t="inlineStr">
        <is>
          <t>이자비용</t>
        </is>
      </c>
      <c r="H110" s="22" t="n">
        <v>119.472</v>
      </c>
      <c r="I110" s="22" t="n">
        <v>141.278</v>
      </c>
      <c r="J110" s="22" t="n">
        <v>137.795</v>
      </c>
      <c r="K110" s="22" t="n">
        <v>148.641</v>
      </c>
      <c r="L110" s="22" t="n">
        <v>165.168</v>
      </c>
      <c r="M110" s="22" t="n">
        <v>187.722</v>
      </c>
      <c r="N110" s="22" t="n">
        <v>204.814</v>
      </c>
      <c r="W110" s="22" t="n">
        <v>141.278</v>
      </c>
      <c r="X110" s="22" t="n">
        <v>187.722</v>
      </c>
    </row>
    <row r="111">
      <c r="A111" s="20" t="inlineStr">
        <is>
          <t>지급수수료</t>
        </is>
      </c>
      <c r="H111" s="22" t="n">
        <v>1.831</v>
      </c>
      <c r="I111" s="22" t="n">
        <v>58.39</v>
      </c>
      <c r="J111" s="22" t="n">
        <v>7.23</v>
      </c>
      <c r="K111" s="22" t="n">
        <v>2.971</v>
      </c>
      <c r="L111" s="22" t="n">
        <v>3.136</v>
      </c>
      <c r="M111" s="22" t="n">
        <v>66.90600000000001</v>
      </c>
      <c r="N111" s="22" t="n">
        <v>4.285</v>
      </c>
      <c r="W111" s="22" t="n">
        <v>58.39</v>
      </c>
      <c r="X111" s="22" t="n">
        <v>66.90600000000001</v>
      </c>
    </row>
    <row r="112">
      <c r="A112" s="20" t="inlineStr">
        <is>
          <t>지분법손실</t>
        </is>
      </c>
      <c r="H112" s="22" t="n">
        <v>5.41</v>
      </c>
      <c r="I112" s="22" t="n">
        <v>-6.479</v>
      </c>
      <c r="J112" s="22" t="n">
        <v>67.94</v>
      </c>
      <c r="K112" s="22" t="n">
        <v>-23.899</v>
      </c>
      <c r="L112" s="22" t="n">
        <v>-14.157</v>
      </c>
      <c r="M112" s="22" t="n">
        <v>-18.751</v>
      </c>
      <c r="N112" s="22" t="n">
        <v>28.949</v>
      </c>
      <c r="W112" s="22" t="n">
        <v>-6.479</v>
      </c>
      <c r="X112" s="22" t="n">
        <v>-18.751</v>
      </c>
    </row>
    <row r="113">
      <c r="A113" s="20" t="inlineStr">
        <is>
          <t>외환차손</t>
        </is>
      </c>
      <c r="J113" s="22" t="n">
        <v>0</v>
      </c>
      <c r="N113" s="22" t="n">
        <v>15.231</v>
      </c>
    </row>
    <row r="114">
      <c r="A114" s="20" t="inlineStr">
        <is>
          <t>기타</t>
        </is>
      </c>
      <c r="H114" s="22" t="n">
        <v>2.831</v>
      </c>
      <c r="I114" s="22" t="n">
        <v>39.175</v>
      </c>
      <c r="J114" s="22" t="n">
        <v>2.735</v>
      </c>
      <c r="K114" s="22" t="n">
        <v>3.28</v>
      </c>
      <c r="L114" s="22" t="n">
        <v>3.107</v>
      </c>
      <c r="M114" s="22" t="n">
        <v>2.802</v>
      </c>
      <c r="N114" s="22" t="n">
        <v>3.991</v>
      </c>
      <c r="W114" s="22" t="n">
        <v>39.175</v>
      </c>
      <c r="X114" s="22" t="n">
        <v>2.802</v>
      </c>
    </row>
    <row r="115">
      <c r="A115" s="20" t="inlineStr">
        <is>
          <t>영업외비용 합계</t>
        </is>
      </c>
      <c r="H115" s="22" t="n">
        <v>129.545</v>
      </c>
      <c r="I115" s="22" t="n">
        <v>232.364</v>
      </c>
      <c r="J115" s="22" t="n">
        <v>215.703</v>
      </c>
      <c r="K115" s="22" t="n">
        <v>130.992</v>
      </c>
      <c r="L115" s="22" t="n">
        <v>157.253</v>
      </c>
      <c r="M115" s="22" t="n">
        <v>238.679</v>
      </c>
      <c r="N115" s="22" t="n">
        <v>257.272</v>
      </c>
      <c r="W115" s="22" t="n">
        <v>232.364</v>
      </c>
      <c r="X115" s="22" t="n">
        <v>238.679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H116" s="17">
        <f>IF(OR(H115="",D115=""),"",IF(H115*D115&lt;=0,"",IFERROR(H115/D115-1,"")))</f>
        <v/>
      </c>
      <c r="I116" s="17">
        <f>IF(OR(I115="",E115=""),"",IF(I115*E115&lt;=0,"",IFERROR(I115/E115-1,"")))</f>
        <v/>
      </c>
      <c r="J116" s="17">
        <f>IF(OR(J115="",F115=""),"",IF(J115*F115&lt;=0,"",IFERROR(J115/F115-1,"")))</f>
        <v/>
      </c>
      <c r="K116" s="17">
        <f>IF(OR(K115="",G115=""),"",IF(K115*G115&lt;=0,"",IFERROR(K115/G115-1,"")))</f>
        <v/>
      </c>
      <c r="L116" s="17">
        <f>IF(OR(L115="",H115=""),"",IF(L115*H115&lt;=0,"",IFERROR(L115/H115-1,"")))</f>
        <v/>
      </c>
      <c r="M116" s="17">
        <f>IF(OR(M115="",I115=""),"",IF(M115*I115&lt;=0,"",IFERROR(M115/I115-1,"")))</f>
        <v/>
      </c>
      <c r="N116" s="17">
        <f>IF(OR(N115="",J115=""),"",IF(N115*J115&lt;=0,"",IFERROR(N115/J115-1,"")))</f>
        <v/>
      </c>
      <c r="W116" s="17">
        <f>IF(OR(W115="",V115=""),"",IF(W115*V115&lt;=0,"",IFERROR(W115/V115-1,"")))</f>
        <v/>
      </c>
      <c r="X116" s="17">
        <f>IF(OR(X115="",W115=""),"",IF(X115*W115&lt;=0,"",IFERROR(X115/W115-1,"")))</f>
        <v/>
      </c>
    </row>
    <row r="117">
      <c r="A117" s="9" t="inlineStr">
        <is>
          <t>경상이익</t>
        </is>
      </c>
      <c r="H117" s="12" t="n">
        <v>1293.958</v>
      </c>
      <c r="I117" s="12" t="n">
        <v>-241.142</v>
      </c>
      <c r="J117" s="12" t="n">
        <v>986.351</v>
      </c>
      <c r="K117" s="12" t="n">
        <v>1624.342</v>
      </c>
      <c r="L117" s="12" t="n">
        <v>1439.969</v>
      </c>
      <c r="M117" s="12" t="n">
        <v>-104.026</v>
      </c>
      <c r="N117" s="12" t="n">
        <v>1353.702</v>
      </c>
      <c r="W117" s="12" t="n">
        <v>-241.142</v>
      </c>
      <c r="X117" s="12" t="n">
        <v>-104.026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H118" s="17">
        <f>IF(OR(H117="",D117=""),"",IF(D117&lt;=0,"",IFERROR(H117/D117-1,"")))</f>
        <v/>
      </c>
      <c r="I118" s="17">
        <f>IF(OR(I117="",E117=""),"",IF(E117&lt;=0,"",IFERROR(I117/E117-1,"")))</f>
        <v/>
      </c>
      <c r="J118" s="17">
        <f>IF(OR(J117="",F117=""),"",IF(F117&lt;=0,"",IFERROR(J117/F117-1,"")))</f>
        <v/>
      </c>
      <c r="K118" s="17">
        <f>IF(OR(K117="",G117=""),"",IF(G117&lt;=0,"",IFERROR(K117/G117-1,"")))</f>
        <v/>
      </c>
      <c r="L118" s="17">
        <f>IF(OR(L117="",H117=""),"",IF(H117&lt;=0,"",IFERROR(L117/H117-1,"")))</f>
        <v/>
      </c>
      <c r="M118" s="17">
        <f>IF(OR(M117="",I117=""),"",IF(I117&lt;=0,"",IFERROR(M117/I117-1,"")))</f>
        <v/>
      </c>
      <c r="N118" s="17">
        <f>IF(OR(N117="",J117=""),"",IF(J117&lt;=0,"",IFERROR(N117/J117-1,"")))</f>
        <v/>
      </c>
      <c r="W118" s="17">
        <f>IF(OR(W117="",V117=""),"",IF(V117&lt;=0,"",IFERROR(W117/V117-1,"")))</f>
        <v/>
      </c>
      <c r="X118" s="17">
        <f>IF(OR(X117="",W117=""),"",IF(W117&lt;=0,"",IFERROR(X117/W117-1,"")))</f>
        <v/>
      </c>
    </row>
    <row r="119">
      <c r="A119" s="20" t="inlineStr">
        <is>
          <t>고정자산 매각이익</t>
        </is>
      </c>
      <c r="H119" s="22" t="n">
        <v>8.991</v>
      </c>
      <c r="I119" s="22" t="n">
        <v>3.527</v>
      </c>
      <c r="J119" s="22" t="n">
        <v>3.061</v>
      </c>
      <c r="K119" s="22" t="n">
        <v>2.31</v>
      </c>
      <c r="L119" s="22" t="n">
        <v>2.408</v>
      </c>
      <c r="M119" s="22" t="n">
        <v>1.06</v>
      </c>
      <c r="N119" s="22" t="n">
        <v>0.917</v>
      </c>
      <c r="W119" s="22" t="n">
        <v>3.527</v>
      </c>
      <c r="X119" s="22" t="n">
        <v>1.06</v>
      </c>
    </row>
    <row r="120">
      <c r="A120" s="20" t="inlineStr">
        <is>
          <t>단계적 취득 차익</t>
        </is>
      </c>
      <c r="H120" s="22" t="n">
        <v>0</v>
      </c>
      <c r="I120" s="22" t="n">
        <v>0</v>
      </c>
      <c r="L120" s="22" t="n">
        <v>0</v>
      </c>
      <c r="M120" s="22" t="n">
        <v>0</v>
      </c>
      <c r="W120" s="22" t="n">
        <v>0</v>
      </c>
      <c r="X120" s="22" t="n">
        <v>0</v>
      </c>
    </row>
    <row r="121">
      <c r="A121" s="20" t="inlineStr">
        <is>
          <t>특별이익 합계</t>
        </is>
      </c>
      <c r="H121" s="22" t="n">
        <v>8.991</v>
      </c>
      <c r="I121" s="22" t="n">
        <v>3.527</v>
      </c>
      <c r="J121" s="22" t="n">
        <v>3.061</v>
      </c>
      <c r="K121" s="22" t="n">
        <v>41.665</v>
      </c>
      <c r="L121" s="22" t="n">
        <v>2.408</v>
      </c>
      <c r="M121" s="22" t="n">
        <v>1.06</v>
      </c>
      <c r="N121" s="22" t="n">
        <v>0.917</v>
      </c>
      <c r="W121" s="22" t="n">
        <v>3.527</v>
      </c>
      <c r="X121" s="22" t="n">
        <v>1.06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H122" s="17">
        <f>IF(OR(H121="",D121=""),"",IF(H121*D121&lt;=0,"",IFERROR(H121/D121-1,"")))</f>
        <v/>
      </c>
      <c r="I122" s="17">
        <f>IF(OR(I121="",E121=""),"",IF(I121*E121&lt;=0,"",IFERROR(I121/E121-1,"")))</f>
        <v/>
      </c>
      <c r="J122" s="17">
        <f>IF(OR(J121="",F121=""),"",IF(J121*F121&lt;=0,"",IFERROR(J121/F121-1,"")))</f>
        <v/>
      </c>
      <c r="K122" s="17">
        <f>IF(OR(K121="",G121=""),"",IF(K121*G121&lt;=0,"",IFERROR(K121/G121-1,"")))</f>
        <v/>
      </c>
      <c r="L122" s="17">
        <f>IF(OR(L121="",H121=""),"",IF(L121*H121&lt;=0,"",IFERROR(L121/H121-1,"")))</f>
        <v/>
      </c>
      <c r="M122" s="17">
        <f>IF(OR(M121="",I121=""),"",IF(M121*I121&lt;=0,"",IFERROR(M121/I121-1,"")))</f>
        <v/>
      </c>
      <c r="N122" s="17">
        <f>IF(OR(N121="",J121=""),"",IF(N121*J121&lt;=0,"",IFERROR(N121/J121-1,"")))</f>
        <v/>
      </c>
      <c r="W122" s="17">
        <f>IF(OR(W121="",V121=""),"",IF(W121*V121&lt;=0,"",IFERROR(W121/V121-1,"")))</f>
        <v/>
      </c>
      <c r="X122" s="17">
        <f>IF(OR(X121="",W121=""),"",IF(X121*W121&lt;=0,"",IFERROR(X121/W121-1,"")))</f>
        <v/>
      </c>
    </row>
    <row r="123">
      <c r="A123" s="20" t="inlineStr">
        <is>
          <t>고정자산 제각손실</t>
        </is>
      </c>
      <c r="H123" s="22" t="n">
        <v>1.535</v>
      </c>
      <c r="I123" s="22" t="n">
        <v>2.621</v>
      </c>
      <c r="J123" s="22" t="n">
        <v>0.359</v>
      </c>
      <c r="K123" s="22" t="n">
        <v>3.326</v>
      </c>
      <c r="L123" s="22" t="n">
        <v>2.83</v>
      </c>
      <c r="M123" s="22" t="n">
        <v>6.141</v>
      </c>
      <c r="N123" s="22" t="n">
        <v>11.954</v>
      </c>
      <c r="W123" s="22" t="n">
        <v>2.621</v>
      </c>
      <c r="X123" s="22" t="n">
        <v>6.141</v>
      </c>
    </row>
    <row r="124">
      <c r="A124" s="20" t="inlineStr">
        <is>
          <t>손상차손</t>
        </is>
      </c>
      <c r="I124" s="22" t="n">
        <v>0</v>
      </c>
      <c r="M124" s="22" t="n">
        <v>0</v>
      </c>
      <c r="W124" s="22" t="n">
        <v>0</v>
      </c>
      <c r="X124" s="22" t="n">
        <v>0</v>
      </c>
    </row>
    <row r="125">
      <c r="A125" s="20" t="inlineStr">
        <is>
          <t>특별손실 합계</t>
        </is>
      </c>
      <c r="H125" s="22" t="n">
        <v>1.535</v>
      </c>
      <c r="I125" s="22" t="n">
        <v>2.621</v>
      </c>
      <c r="J125" s="22" t="n">
        <v>0.359</v>
      </c>
      <c r="K125" s="22" t="n">
        <v>3.326</v>
      </c>
      <c r="L125" s="22" t="n">
        <v>29.017</v>
      </c>
      <c r="M125" s="22" t="n">
        <v>6.141</v>
      </c>
      <c r="N125" s="22" t="n">
        <v>11.954</v>
      </c>
      <c r="W125" s="22" t="n">
        <v>2.621</v>
      </c>
      <c r="X125" s="22" t="n">
        <v>6.141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H126" s="17">
        <f>IF(OR(H125="",D125=""),"",IF(H125*D125&lt;=0,"",IFERROR(H125/D125-1,"")))</f>
        <v/>
      </c>
      <c r="I126" s="17">
        <f>IF(OR(I125="",E125=""),"",IF(I125*E125&lt;=0,"",IFERROR(I125/E125-1,"")))</f>
        <v/>
      </c>
      <c r="J126" s="17">
        <f>IF(OR(J125="",F125=""),"",IF(J125*F125&lt;=0,"",IFERROR(J125/F125-1,"")))</f>
        <v/>
      </c>
      <c r="K126" s="17">
        <f>IF(OR(K125="",G125=""),"",IF(K125*G125&lt;=0,"",IFERROR(K125/G125-1,"")))</f>
        <v/>
      </c>
      <c r="L126" s="17">
        <f>IF(OR(L125="",H125=""),"",IF(L125*H125&lt;=0,"",IFERROR(L125/H125-1,"")))</f>
        <v/>
      </c>
      <c r="M126" s="17">
        <f>IF(OR(M125="",I125=""),"",IF(M125*I125&lt;=0,"",IFERROR(M125/I125-1,"")))</f>
        <v/>
      </c>
      <c r="N126" s="17">
        <f>IF(OR(N125="",J125=""),"",IF(N125*J125&lt;=0,"",IFERROR(N125/J125-1,"")))</f>
        <v/>
      </c>
      <c r="W126" s="17">
        <f>IF(OR(W125="",V125=""),"",IF(W125*V125&lt;=0,"",IFERROR(W125/V125-1,"")))</f>
        <v/>
      </c>
      <c r="X126" s="17">
        <f>IF(OR(X125="",W125=""),"",IF(X125*W125&lt;=0,"",IFERROR(X125/W125-1,"")))</f>
        <v/>
      </c>
    </row>
    <row r="127">
      <c r="A127" s="9" t="inlineStr">
        <is>
          <t>법인세차감전 순이익</t>
        </is>
      </c>
      <c r="H127" s="12" t="n">
        <v>1301.414</v>
      </c>
      <c r="I127" s="12" t="n">
        <v>-240.236</v>
      </c>
      <c r="J127" s="12" t="n">
        <v>989.053</v>
      </c>
      <c r="K127" s="12" t="n">
        <v>1662.681</v>
      </c>
      <c r="L127" s="12" t="n">
        <v>1413.36</v>
      </c>
      <c r="M127" s="12" t="n">
        <v>-109.107</v>
      </c>
      <c r="N127" s="12" t="n">
        <v>1342.666</v>
      </c>
      <c r="W127" s="12" t="n">
        <v>-240.236</v>
      </c>
      <c r="X127" s="12" t="n">
        <v>-109.107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H128" s="17">
        <f>IF(OR(H127="",D127=""),"",IF(D127&lt;=0,"",IFERROR(H127/D127-1,"")))</f>
        <v/>
      </c>
      <c r="I128" s="17">
        <f>IF(OR(I127="",E127=""),"",IF(E127&lt;=0,"",IFERROR(I127/E127-1,"")))</f>
        <v/>
      </c>
      <c r="J128" s="17">
        <f>IF(OR(J127="",F127=""),"",IF(F127&lt;=0,"",IFERROR(J127/F127-1,"")))</f>
        <v/>
      </c>
      <c r="K128" s="17">
        <f>IF(OR(K127="",G127=""),"",IF(G127&lt;=0,"",IFERROR(K127/G127-1,"")))</f>
        <v/>
      </c>
      <c r="L128" s="17">
        <f>IF(OR(L127="",H127=""),"",IF(H127&lt;=0,"",IFERROR(L127/H127-1,"")))</f>
        <v/>
      </c>
      <c r="M128" s="17">
        <f>IF(OR(M127="",I127=""),"",IF(I127&lt;=0,"",IFERROR(M127/I127-1,"")))</f>
        <v/>
      </c>
      <c r="N128" s="17">
        <f>IF(OR(N127="",J127=""),"",IF(J127&lt;=0,"",IFERROR(N127/J127-1,"")))</f>
        <v/>
      </c>
      <c r="W128" s="17">
        <f>IF(OR(W127="",V127=""),"",IF(V127&lt;=0,"",IFERROR(W127/V127-1,"")))</f>
        <v/>
      </c>
      <c r="X128" s="17">
        <f>IF(OR(X127="",W127=""),"",IF(W127&lt;=0,"",IFERROR(X127/W127-1,"")))</f>
        <v/>
      </c>
    </row>
    <row r="129">
      <c r="A129" s="20" t="inlineStr">
        <is>
          <t>법인세·주민세·사업세</t>
        </is>
      </c>
      <c r="H129" s="22" t="n">
        <v>187.36</v>
      </c>
      <c r="I129" s="22" t="n">
        <v>14.533</v>
      </c>
      <c r="J129" s="22" t="n">
        <v>207.892</v>
      </c>
      <c r="K129" s="22" t="n">
        <v>778.827</v>
      </c>
      <c r="L129" s="22" t="n">
        <v>256.77</v>
      </c>
      <c r="M129" s="22" t="n">
        <v>80.92</v>
      </c>
      <c r="N129" s="22" t="n">
        <v>242.336</v>
      </c>
      <c r="W129" s="22" t="n">
        <v>14.533</v>
      </c>
      <c r="X129" s="22" t="n">
        <v>80.92</v>
      </c>
    </row>
    <row r="130">
      <c r="A130" s="20" t="inlineStr">
        <is>
          <t>법인세 조정액</t>
        </is>
      </c>
      <c r="H130" s="22" t="n">
        <v>244.92</v>
      </c>
      <c r="I130" s="22" t="n">
        <v>-197.908</v>
      </c>
      <c r="J130" s="22" t="n">
        <v>133.204</v>
      </c>
      <c r="K130" s="22" t="n">
        <v>-226.941</v>
      </c>
      <c r="L130" s="22" t="n">
        <v>182.353</v>
      </c>
      <c r="M130" s="22" t="n">
        <v>-274.473</v>
      </c>
      <c r="N130" s="22" t="n">
        <v>215.69</v>
      </c>
      <c r="W130" s="22" t="n">
        <v>-197.908</v>
      </c>
      <c r="X130" s="22" t="n">
        <v>-274.473</v>
      </c>
    </row>
    <row r="131">
      <c r="A131" s="20" t="inlineStr">
        <is>
          <t>법인세 등 합계</t>
        </is>
      </c>
      <c r="H131" s="22" t="n">
        <v>432.28</v>
      </c>
      <c r="I131" s="22" t="n">
        <v>-183.376</v>
      </c>
      <c r="J131" s="22" t="n">
        <v>341.096</v>
      </c>
      <c r="K131" s="22" t="n">
        <v>551.885</v>
      </c>
      <c r="L131" s="22" t="n">
        <v>439.124</v>
      </c>
      <c r="M131" s="22" t="n">
        <v>-193.554</v>
      </c>
      <c r="N131" s="22" t="n">
        <v>458.026</v>
      </c>
      <c r="W131" s="22" t="n">
        <v>-183.376</v>
      </c>
      <c r="X131" s="22" t="n">
        <v>-193.554</v>
      </c>
    </row>
    <row r="132">
      <c r="A132" s="45" t="inlineStr">
        <is>
          <t>YoY</t>
        </is>
      </c>
      <c r="B132" s="3" t="inlineStr">
        <is>
          <t>전년 같은 분기·전년 대비</t>
        </is>
      </c>
      <c r="H132" s="17">
        <f>IF(OR(H131="",D131=""),"",IF(H131*D131&lt;=0,"",IFERROR(H131/D131-1,"")))</f>
        <v/>
      </c>
      <c r="I132" s="17">
        <f>IF(OR(I131="",E131=""),"",IF(I131*E131&lt;=0,"",IFERROR(I131/E131-1,"")))</f>
        <v/>
      </c>
      <c r="J132" s="17">
        <f>IF(OR(J131="",F131=""),"",IF(J131*F131&lt;=0,"",IFERROR(J131/F131-1,"")))</f>
        <v/>
      </c>
      <c r="K132" s="17">
        <f>IF(OR(K131="",G131=""),"",IF(K131*G131&lt;=0,"",IFERROR(K131/G131-1,"")))</f>
        <v/>
      </c>
      <c r="L132" s="17">
        <f>IF(OR(L131="",H131=""),"",IF(L131*H131&lt;=0,"",IFERROR(L131/H131-1,"")))</f>
        <v/>
      </c>
      <c r="M132" s="17">
        <f>IF(OR(M131="",I131=""),"",IF(M131*I131&lt;=0,"",IFERROR(M131/I131-1,"")))</f>
        <v/>
      </c>
      <c r="N132" s="17">
        <f>IF(OR(N131="",J131=""),"",IF(N131*J131&lt;=0,"",IFERROR(N131/J131-1,"")))</f>
        <v/>
      </c>
      <c r="W132" s="17">
        <f>IF(OR(W131="",V131=""),"",IF(W131*V131&lt;=0,"",IFERROR(W131/V131-1,"")))</f>
        <v/>
      </c>
      <c r="X132" s="17">
        <f>IF(OR(X131="",W131=""),"",IF(X131*W131&lt;=0,"",IFERROR(X131/W131-1,"")))</f>
        <v/>
      </c>
    </row>
    <row r="133">
      <c r="A133" s="9" t="inlineStr">
        <is>
          <t>순이익</t>
        </is>
      </c>
      <c r="H133" s="12" t="n">
        <v>869.135</v>
      </c>
      <c r="I133" s="12" t="n">
        <v>-56.861</v>
      </c>
      <c r="J133" s="12" t="n">
        <v>647.956</v>
      </c>
      <c r="K133" s="12" t="n">
        <v>1110.796</v>
      </c>
      <c r="L133" s="12" t="n">
        <v>974.236</v>
      </c>
      <c r="M133" s="12" t="n">
        <v>84.44799999999999</v>
      </c>
      <c r="N133" s="12" t="n">
        <v>884.639</v>
      </c>
      <c r="W133" s="12" t="n">
        <v>-56.861</v>
      </c>
      <c r="X133" s="12" t="n">
        <v>84.44799999999999</v>
      </c>
    </row>
    <row r="134">
      <c r="A134" s="45" t="inlineStr">
        <is>
          <t>YoY</t>
        </is>
      </c>
      <c r="B134" s="3" t="inlineStr">
        <is>
          <t>전년 같은 분기·전년 대비</t>
        </is>
      </c>
      <c r="H134" s="17">
        <f>IF(OR(H133="",D133=""),"",IF(D133&lt;=0,"",IFERROR(H133/D133-1,"")))</f>
        <v/>
      </c>
      <c r="I134" s="17">
        <f>IF(OR(I133="",E133=""),"",IF(E133&lt;=0,"",IFERROR(I133/E133-1,"")))</f>
        <v/>
      </c>
      <c r="J134" s="17">
        <f>IF(OR(J133="",F133=""),"",IF(F133&lt;=0,"",IFERROR(J133/F133-1,"")))</f>
        <v/>
      </c>
      <c r="K134" s="17">
        <f>IF(OR(K133="",G133=""),"",IF(G133&lt;=0,"",IFERROR(K133/G133-1,"")))</f>
        <v/>
      </c>
      <c r="L134" s="17">
        <f>IF(OR(L133="",H133=""),"",IF(H133&lt;=0,"",IFERROR(L133/H133-1,"")))</f>
        <v/>
      </c>
      <c r="M134" s="17">
        <f>IF(OR(M133="",I133=""),"",IF(I133&lt;=0,"",IFERROR(M133/I133-1,"")))</f>
        <v/>
      </c>
      <c r="N134" s="17">
        <f>IF(OR(N133="",J133=""),"",IF(J133&lt;=0,"",IFERROR(N133/J133-1,"")))</f>
        <v/>
      </c>
      <c r="W134" s="17">
        <f>IF(OR(W133="",V133=""),"",IF(V133&lt;=0,"",IFERROR(W133/V133-1,"")))</f>
        <v/>
      </c>
      <c r="X134" s="17">
        <f>IF(OR(X133="",W133=""),"",IF(W133&lt;=0,"",IFERROR(X133/W133-1,"")))</f>
        <v/>
      </c>
    </row>
    <row r="135">
      <c r="A135" s="9" t="inlineStr">
        <is>
          <t>비지배주주 당기순손실</t>
        </is>
      </c>
      <c r="H135" s="12" t="n">
        <v>-35.62</v>
      </c>
      <c r="I135" s="12" t="n">
        <v>-40.224</v>
      </c>
      <c r="J135" s="12" t="n">
        <v>-42.353</v>
      </c>
      <c r="K135" s="12" t="n">
        <v>-36.713</v>
      </c>
      <c r="L135" s="12" t="n">
        <v>-2.439</v>
      </c>
      <c r="M135" s="12" t="n">
        <v>-2.128</v>
      </c>
      <c r="N135" s="12" t="n">
        <v>-3.461</v>
      </c>
      <c r="W135" s="12" t="n">
        <v>-40.224</v>
      </c>
      <c r="X135" s="12" t="n">
        <v>-2.128</v>
      </c>
    </row>
    <row r="136">
      <c r="A136" s="9" t="inlineStr">
        <is>
          <t>지배주주 순이익</t>
        </is>
      </c>
      <c r="H136" s="12" t="n">
        <v>904.755</v>
      </c>
      <c r="I136" s="12" t="n">
        <v>-16.637</v>
      </c>
      <c r="J136" s="12" t="n">
        <v>690.309</v>
      </c>
      <c r="K136" s="12" t="n">
        <v>1147.51</v>
      </c>
      <c r="L136" s="12" t="n">
        <v>976.674</v>
      </c>
      <c r="M136" s="12" t="n">
        <v>86.57599999999999</v>
      </c>
      <c r="N136" s="12" t="n">
        <v>888.1</v>
      </c>
      <c r="W136" s="12" t="n">
        <v>-16.637</v>
      </c>
      <c r="X136" s="12" t="n">
        <v>86.57599999999999</v>
      </c>
    </row>
    <row r="137">
      <c r="A137" s="45" t="inlineStr">
        <is>
          <t>YoY</t>
        </is>
      </c>
      <c r="B137" s="3" t="inlineStr">
        <is>
          <t>전년 같은 분기·전년 대비</t>
        </is>
      </c>
      <c r="H137" s="17">
        <f>IF(OR(H136="",D136=""),"",IF(D136&lt;=0,"",IFERROR(H136/D136-1,"")))</f>
        <v/>
      </c>
      <c r="I137" s="17">
        <f>IF(OR(I136="",E136=""),"",IF(E136&lt;=0,"",IFERROR(I136/E136-1,"")))</f>
        <v/>
      </c>
      <c r="J137" s="17">
        <f>IF(OR(J136="",F136=""),"",IF(F136&lt;=0,"",IFERROR(J136/F136-1,"")))</f>
        <v/>
      </c>
      <c r="K137" s="17">
        <f>IF(OR(K136="",G136=""),"",IF(G136&lt;=0,"",IFERROR(K136/G136-1,"")))</f>
        <v/>
      </c>
      <c r="L137" s="17">
        <f>IF(OR(L136="",H136=""),"",IF(H136&lt;=0,"",IFERROR(L136/H136-1,"")))</f>
        <v/>
      </c>
      <c r="M137" s="17">
        <f>IF(OR(M136="",I136=""),"",IF(I136&lt;=0,"",IFERROR(M136/I136-1,"")))</f>
        <v/>
      </c>
      <c r="N137" s="17">
        <f>IF(OR(N136="",J136=""),"",IF(J136&lt;=0,"",IFERROR(N136/J136-1,"")))</f>
        <v/>
      </c>
      <c r="W137" s="17">
        <f>IF(OR(W136="",V136=""),"",IF(V136&lt;=0,"",IFERROR(W136/V136-1,"")))</f>
        <v/>
      </c>
      <c r="X137" s="17">
        <f>IF(OR(X136="",W136=""),"",IF(W136&lt;=0,"",IFERROR(X136/W136-1,"")))</f>
        <v/>
      </c>
    </row>
    <row r="139">
      <c r="A139" s="18" t="inlineStr">
        <is>
          <t>포괄손익 · 전 항목</t>
        </is>
      </c>
      <c r="B139" s="44" t="inlineStr">
        <is>
          <t>분기 = 3개월 단독</t>
        </is>
      </c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2024.2Q</t>
        </is>
      </c>
      <c r="D140" s="5" t="inlineStr">
        <is>
          <t>2024.3Q</t>
        </is>
      </c>
      <c r="E140" s="5" t="inlineStr">
        <is>
          <t>2024.4Q</t>
        </is>
      </c>
      <c r="F140" s="5" t="inlineStr">
        <is>
          <t>2025.1Q</t>
        </is>
      </c>
      <c r="G140" s="5" t="inlineStr">
        <is>
          <t>2025.2Q</t>
        </is>
      </c>
      <c r="H140" s="5" t="inlineStr">
        <is>
          <t>2025.3Q</t>
        </is>
      </c>
      <c r="I140" s="5" t="inlineStr">
        <is>
          <t>2025.4Q</t>
        </is>
      </c>
      <c r="J140" s="5" t="inlineStr">
        <is>
          <t>2026.1Q</t>
        </is>
      </c>
      <c r="K140" s="5" t="inlineStr">
        <is>
          <t>2026.2Q</t>
        </is>
      </c>
      <c r="L140" s="5" t="inlineStr">
        <is>
          <t>2026.3Q</t>
        </is>
      </c>
      <c r="M140" s="5" t="inlineStr">
        <is>
          <t>2026.4Q</t>
        </is>
      </c>
      <c r="N140" s="5" t="inlineStr">
        <is>
          <t>2027.1Q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9" t="inlineStr">
        <is>
          <t>순이익</t>
        </is>
      </c>
      <c r="H141" s="12" t="n">
        <v>869.135</v>
      </c>
      <c r="I141" s="12" t="n">
        <v>-56.861</v>
      </c>
      <c r="J141" s="12" t="n">
        <v>647.956</v>
      </c>
      <c r="K141" s="12" t="n">
        <v>1110.796</v>
      </c>
      <c r="L141" s="12" t="n">
        <v>974.236</v>
      </c>
      <c r="M141" s="12" t="n">
        <v>84.44799999999999</v>
      </c>
      <c r="N141" s="12" t="n">
        <v>884.639</v>
      </c>
      <c r="W141" s="12" t="n">
        <v>-56.861</v>
      </c>
      <c r="X141" s="12" t="n">
        <v>84.44799999999999</v>
      </c>
    </row>
    <row r="142">
      <c r="A142" s="20" t="inlineStr">
        <is>
          <t>기타유가증권 평가차액</t>
        </is>
      </c>
      <c r="H142" s="22" t="n">
        <v>-3.196</v>
      </c>
      <c r="I142" s="22" t="n">
        <v>-6.073</v>
      </c>
      <c r="J142" s="22" t="n">
        <v>34.029</v>
      </c>
      <c r="K142" s="22" t="n">
        <v>6.769</v>
      </c>
      <c r="L142" s="22" t="n">
        <v>38.099</v>
      </c>
      <c r="M142" s="22" t="n">
        <v>-2.654</v>
      </c>
      <c r="N142" s="22" t="n">
        <v>38.52</v>
      </c>
      <c r="W142" s="22" t="n">
        <v>-6.073</v>
      </c>
      <c r="X142" s="22" t="n">
        <v>-2.654</v>
      </c>
    </row>
    <row r="143">
      <c r="A143" s="20" t="inlineStr">
        <is>
          <t>이연헤지손익</t>
        </is>
      </c>
      <c r="H143" s="22" t="n">
        <v>0</v>
      </c>
      <c r="I143" s="22" t="n">
        <v>-2.8</v>
      </c>
      <c r="J143" s="22" t="n">
        <v>2.011</v>
      </c>
      <c r="K143" s="22" t="n">
        <v>1.811</v>
      </c>
      <c r="L143" s="22" t="n">
        <v>4.826</v>
      </c>
      <c r="M143" s="22" t="n">
        <v>0.08500000000000001</v>
      </c>
      <c r="N143" s="22" t="n">
        <v>2.37</v>
      </c>
      <c r="W143" s="22" t="n">
        <v>-2.8</v>
      </c>
      <c r="X143" s="22" t="n">
        <v>0.08500000000000001</v>
      </c>
    </row>
    <row r="144">
      <c r="A144" s="20" t="inlineStr">
        <is>
          <t>해외사업환산조정</t>
        </is>
      </c>
      <c r="H144" s="22" t="n">
        <v>19.447</v>
      </c>
      <c r="I144" s="22" t="n">
        <v>-80.622</v>
      </c>
      <c r="J144" s="22" t="n">
        <v>3.313</v>
      </c>
      <c r="K144" s="22" t="n">
        <v>-38.633</v>
      </c>
      <c r="L144" s="22" t="n">
        <v>-14.931</v>
      </c>
      <c r="M144" s="22" t="n">
        <v>21.084</v>
      </c>
      <c r="N144" s="22" t="n">
        <v>-2.743</v>
      </c>
      <c r="W144" s="22" t="n">
        <v>-80.622</v>
      </c>
      <c r="X144" s="22" t="n">
        <v>21.084</v>
      </c>
    </row>
    <row r="145">
      <c r="A145" s="20" t="inlineStr">
        <is>
          <t>퇴직급여 조정액</t>
        </is>
      </c>
      <c r="H145" s="22" t="n">
        <v>2.435</v>
      </c>
      <c r="I145" s="22" t="n">
        <v>34.389</v>
      </c>
      <c r="J145" s="22" t="n">
        <v>0.962</v>
      </c>
      <c r="K145" s="22" t="n">
        <v>0.963</v>
      </c>
      <c r="L145" s="22" t="n">
        <v>0.962</v>
      </c>
      <c r="M145" s="22" t="n">
        <v>99.56999999999999</v>
      </c>
      <c r="N145" s="22" t="n">
        <v>-3.865</v>
      </c>
      <c r="W145" s="22" t="n">
        <v>34.389</v>
      </c>
      <c r="X145" s="22" t="n">
        <v>99.56999999999999</v>
      </c>
    </row>
    <row r="146">
      <c r="A146" s="20" t="inlineStr">
        <is>
          <t>지분법 적용회사 지분 해당액</t>
        </is>
      </c>
      <c r="H146" s="22" t="n">
        <v>3.206</v>
      </c>
      <c r="I146" s="22" t="n">
        <v>-1.211</v>
      </c>
      <c r="J146" s="22" t="n">
        <v>-0.428</v>
      </c>
      <c r="K146" s="22" t="n">
        <v>6.191</v>
      </c>
      <c r="L146" s="22" t="n">
        <v>0.283</v>
      </c>
      <c r="M146" s="22" t="n">
        <v>0.871</v>
      </c>
      <c r="N146" s="22" t="n">
        <v>-0.43</v>
      </c>
      <c r="W146" s="22" t="n">
        <v>-1.211</v>
      </c>
      <c r="X146" s="22" t="n">
        <v>0.871</v>
      </c>
    </row>
    <row r="147">
      <c r="A147" s="20" t="inlineStr">
        <is>
          <t>기타포괄손익 합계</t>
        </is>
      </c>
      <c r="H147" s="22" t="n">
        <v>21.891</v>
      </c>
      <c r="I147" s="22" t="n">
        <v>-56.318</v>
      </c>
      <c r="J147" s="22" t="n">
        <v>39.888</v>
      </c>
      <c r="K147" s="22" t="n">
        <v>-22.899</v>
      </c>
      <c r="L147" s="22" t="n">
        <v>29.24</v>
      </c>
      <c r="M147" s="22" t="n">
        <v>118.955</v>
      </c>
      <c r="N147" s="22" t="n">
        <v>33.849</v>
      </c>
      <c r="W147" s="22" t="n">
        <v>-56.318</v>
      </c>
      <c r="X147" s="22" t="n">
        <v>118.955</v>
      </c>
    </row>
    <row r="148">
      <c r="A148" s="9" t="inlineStr">
        <is>
          <t>포괄이익</t>
        </is>
      </c>
      <c r="H148" s="12" t="n">
        <v>891.026</v>
      </c>
      <c r="I148" s="12" t="n">
        <v>-113.179</v>
      </c>
      <c r="J148" s="12" t="n">
        <v>687.845</v>
      </c>
      <c r="K148" s="12" t="n">
        <v>1087.897</v>
      </c>
      <c r="L148" s="12" t="n">
        <v>1003.476</v>
      </c>
      <c r="M148" s="12" t="n">
        <v>203.402</v>
      </c>
      <c r="N148" s="12" t="n">
        <v>918.4880000000001</v>
      </c>
      <c r="W148" s="12" t="n">
        <v>-113.179</v>
      </c>
      <c r="X148" s="12" t="n">
        <v>203.402</v>
      </c>
    </row>
    <row r="149">
      <c r="A149" s="9" t="inlineStr">
        <is>
          <t>지배주주 포괄이익</t>
        </is>
      </c>
      <c r="H149" s="12" t="n">
        <v>917.929</v>
      </c>
      <c r="I149" s="12" t="n">
        <v>-55.597</v>
      </c>
      <c r="J149" s="12" t="n">
        <v>733.215</v>
      </c>
      <c r="K149" s="12" t="n">
        <v>1124.452</v>
      </c>
      <c r="L149" s="12" t="n">
        <v>1005.141</v>
      </c>
      <c r="M149" s="12" t="n">
        <v>205.493</v>
      </c>
      <c r="N149" s="12" t="n">
        <v>922.317</v>
      </c>
      <c r="W149" s="12" t="n">
        <v>-55.597</v>
      </c>
      <c r="X149" s="12" t="n">
        <v>205.493</v>
      </c>
    </row>
    <row r="150">
      <c r="A150" s="9" t="inlineStr">
        <is>
          <t>비지배주주 포괄이익</t>
        </is>
      </c>
      <c r="H150" s="12" t="n">
        <v>-26.903</v>
      </c>
      <c r="I150" s="12" t="n">
        <v>-57.582</v>
      </c>
      <c r="J150" s="12" t="n">
        <v>-45.37</v>
      </c>
      <c r="K150" s="12" t="n">
        <v>-36.555</v>
      </c>
      <c r="L150" s="12" t="n">
        <v>-1.664</v>
      </c>
      <c r="M150" s="12" t="n">
        <v>-2.091</v>
      </c>
      <c r="N150" s="12" t="n">
        <v>-3.828</v>
      </c>
      <c r="W150" s="12" t="n">
        <v>-57.582</v>
      </c>
      <c r="X150" s="12" t="n">
        <v>-2.091</v>
      </c>
    </row>
    <row r="152">
      <c r="A152" s="18" t="inlineStr">
        <is>
          <t>현금흐름표 · 전 항목</t>
        </is>
      </c>
      <c r="B152" s="44" t="inlineStr">
        <is>
          <t>분기 = 결산기 첫날부터 누계(공시 그대로)</t>
        </is>
      </c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</row>
    <row r="153">
      <c r="A153" s="5" t="inlineStr">
        <is>
          <t>항목</t>
        </is>
      </c>
      <c r="B153" s="5" t="inlineStr">
        <is>
          <t>참고</t>
        </is>
      </c>
      <c r="C153" s="5" t="inlineStr">
        <is>
          <t>2024.2Q</t>
        </is>
      </c>
      <c r="D153" s="5" t="inlineStr">
        <is>
          <t>2024.3Q</t>
        </is>
      </c>
      <c r="E153" s="5" t="inlineStr">
        <is>
          <t>2024.4Q</t>
        </is>
      </c>
      <c r="F153" s="5" t="inlineStr">
        <is>
          <t>2025.1Q</t>
        </is>
      </c>
      <c r="G153" s="5" t="inlineStr">
        <is>
          <t>2025.2Q</t>
        </is>
      </c>
      <c r="H153" s="5" t="inlineStr">
        <is>
          <t>2025.3Q</t>
        </is>
      </c>
      <c r="I153" s="5" t="inlineStr">
        <is>
          <t>2025.4Q</t>
        </is>
      </c>
      <c r="J153" s="5" t="inlineStr">
        <is>
          <t>2026.1Q</t>
        </is>
      </c>
      <c r="K153" s="5" t="inlineStr">
        <is>
          <t>2026.2Q</t>
        </is>
      </c>
      <c r="L153" s="5" t="inlineStr">
        <is>
          <t>2026.3Q</t>
        </is>
      </c>
      <c r="M153" s="5" t="inlineStr">
        <is>
          <t>2026.4Q</t>
        </is>
      </c>
      <c r="N153" s="5" t="inlineStr">
        <is>
          <t>2027.1Q</t>
        </is>
      </c>
      <c r="O153" s="5" t="inlineStr">
        <is>
          <t>2017</t>
        </is>
      </c>
      <c r="P153" s="5" t="inlineStr">
        <is>
          <t>2018</t>
        </is>
      </c>
      <c r="Q153" s="5" t="inlineStr">
        <is>
          <t>2019</t>
        </is>
      </c>
      <c r="R153" s="5" t="inlineStr">
        <is>
          <t>2020</t>
        </is>
      </c>
      <c r="S153" s="5" t="inlineStr">
        <is>
          <t>2021</t>
        </is>
      </c>
      <c r="T153" s="5" t="inlineStr">
        <is>
          <t>2022</t>
        </is>
      </c>
      <c r="U153" s="5" t="inlineStr">
        <is>
          <t>2023</t>
        </is>
      </c>
      <c r="V153" s="5" t="inlineStr">
        <is>
          <t>2024</t>
        </is>
      </c>
      <c r="W153" s="5" t="inlineStr">
        <is>
          <t>2025</t>
        </is>
      </c>
      <c r="X153" s="5" t="inlineStr">
        <is>
          <t>2026</t>
        </is>
      </c>
      <c r="Y153" s="5" t="inlineStr">
        <is>
          <t>2027(MW)</t>
        </is>
      </c>
      <c r="Z153" s="5" t="inlineStr">
        <is>
          <t>2028(MW)</t>
        </is>
      </c>
      <c r="AA153" s="5" t="inlineStr">
        <is>
          <t>2029(MW)</t>
        </is>
      </c>
      <c r="AB153" s="5" t="inlineStr">
        <is>
          <t>2030(MW)</t>
        </is>
      </c>
      <c r="AC153" s="5" t="inlineStr">
        <is>
          <t>2031(MW)</t>
        </is>
      </c>
    </row>
    <row r="154">
      <c r="A154" s="9" t="inlineStr">
        <is>
          <t>법인세차감전 순이익</t>
        </is>
      </c>
      <c r="E154" s="12" t="n">
        <v>2794.627</v>
      </c>
      <c r="G154" s="12" t="n">
        <v>2390.609</v>
      </c>
      <c r="I154" s="12" t="n">
        <v>3451.787</v>
      </c>
      <c r="K154" s="12" t="n">
        <v>2651.734</v>
      </c>
      <c r="M154" s="12" t="n">
        <v>3955.987</v>
      </c>
      <c r="V154" s="12" t="n">
        <v>2794.627</v>
      </c>
      <c r="W154" s="12" t="n">
        <v>3451.787</v>
      </c>
      <c r="X154" s="12" t="n">
        <v>3955.987</v>
      </c>
    </row>
    <row r="155">
      <c r="A155" s="20" t="inlineStr">
        <is>
          <t>감가상각비</t>
        </is>
      </c>
      <c r="E155" s="22" t="n">
        <v>7467.171</v>
      </c>
      <c r="G155" s="22" t="n">
        <v>3794.705</v>
      </c>
      <c r="I155" s="22" t="n">
        <v>7864.63</v>
      </c>
      <c r="K155" s="22" t="n">
        <v>4174.622</v>
      </c>
      <c r="M155" s="22" t="n">
        <v>8714.097</v>
      </c>
      <c r="V155" s="22" t="n">
        <v>7467.171</v>
      </c>
      <c r="W155" s="22" t="n">
        <v>7864.63</v>
      </c>
      <c r="X155" s="22" t="n">
        <v>8714.097</v>
      </c>
    </row>
    <row r="156">
      <c r="A156" s="20" t="inlineStr">
        <is>
          <t>영업권 상각</t>
        </is>
      </c>
      <c r="I156" s="22" t="n">
        <v>4.129</v>
      </c>
      <c r="M156" s="22" t="n">
        <v>30.213</v>
      </c>
      <c r="W156" s="22" t="n">
        <v>4.129</v>
      </c>
      <c r="X156" s="22" t="n">
        <v>30.213</v>
      </c>
    </row>
    <row r="157">
      <c r="A157" s="20" t="inlineStr">
        <is>
          <t>렌털자산 취득</t>
        </is>
      </c>
      <c r="E157" s="22" t="n">
        <v>-6584.18</v>
      </c>
      <c r="G157" s="22" t="n">
        <v>-3489.134</v>
      </c>
      <c r="I157" s="22" t="n">
        <v>-9250.064</v>
      </c>
      <c r="K157" s="22" t="n">
        <v>-3754.107</v>
      </c>
      <c r="M157" s="22" t="n">
        <v>-9341.819</v>
      </c>
      <c r="V157" s="22" t="n">
        <v>-6584.18</v>
      </c>
      <c r="W157" s="22" t="n">
        <v>-9250.064</v>
      </c>
      <c r="X157" s="22" t="n">
        <v>-9341.819</v>
      </c>
    </row>
    <row r="158">
      <c r="A158" s="20" t="inlineStr">
        <is>
          <t>렌털자산 매각 원가대체</t>
        </is>
      </c>
      <c r="E158" s="22" t="n">
        <v>26.504</v>
      </c>
      <c r="G158" s="22" t="n">
        <v>7.894</v>
      </c>
      <c r="I158" s="22" t="n">
        <v>29.019</v>
      </c>
      <c r="K158" s="22" t="n">
        <v>17.249</v>
      </c>
      <c r="M158" s="22" t="n">
        <v>43.435</v>
      </c>
      <c r="V158" s="22" t="n">
        <v>26.504</v>
      </c>
      <c r="W158" s="22" t="n">
        <v>29.019</v>
      </c>
      <c r="X158" s="22" t="n">
        <v>43.435</v>
      </c>
    </row>
    <row r="159">
      <c r="A159" s="20" t="inlineStr">
        <is>
          <t>대손충당금 증감</t>
        </is>
      </c>
      <c r="E159" s="22" t="n">
        <v>79.681</v>
      </c>
      <c r="G159" s="22" t="n">
        <v>73.45099999999999</v>
      </c>
      <c r="I159" s="22" t="n">
        <v>55.414</v>
      </c>
      <c r="K159" s="22" t="n">
        <v>134.958</v>
      </c>
      <c r="M159" s="22" t="n">
        <v>132.662</v>
      </c>
      <c r="V159" s="22" t="n">
        <v>79.681</v>
      </c>
      <c r="W159" s="22" t="n">
        <v>55.414</v>
      </c>
      <c r="X159" s="22" t="n">
        <v>132.662</v>
      </c>
    </row>
    <row r="160">
      <c r="A160" s="20" t="inlineStr">
        <is>
          <t>상여충당금 증감</t>
        </is>
      </c>
      <c r="E160" s="22" t="n">
        <v>115.373</v>
      </c>
      <c r="G160" s="22" t="n">
        <v>66.374</v>
      </c>
      <c r="I160" s="22" t="n">
        <v>163.19</v>
      </c>
      <c r="K160" s="22" t="n">
        <v>37.846</v>
      </c>
      <c r="M160" s="22" t="n">
        <v>38.587</v>
      </c>
      <c r="V160" s="22" t="n">
        <v>115.373</v>
      </c>
      <c r="W160" s="22" t="n">
        <v>163.19</v>
      </c>
      <c r="X160" s="22" t="n">
        <v>38.587</v>
      </c>
    </row>
    <row r="161">
      <c r="A161" s="20" t="inlineStr">
        <is>
          <t>퇴직급여부채 증감</t>
        </is>
      </c>
      <c r="E161" s="22" t="n">
        <v>64.167</v>
      </c>
      <c r="G161" s="22" t="n">
        <v>19.07</v>
      </c>
      <c r="I161" s="22" t="n">
        <v>54.689</v>
      </c>
      <c r="K161" s="22" t="n">
        <v>13.767</v>
      </c>
      <c r="M161" s="22" t="n">
        <v>11.202</v>
      </c>
      <c r="V161" s="22" t="n">
        <v>64.167</v>
      </c>
      <c r="W161" s="22" t="n">
        <v>54.689</v>
      </c>
      <c r="X161" s="22" t="n">
        <v>11.202</v>
      </c>
    </row>
    <row r="162">
      <c r="A162" s="20" t="inlineStr">
        <is>
          <t>주식보상비용</t>
        </is>
      </c>
      <c r="E162" s="22" t="n">
        <v>58.768</v>
      </c>
      <c r="G162" s="22" t="n">
        <v>35.372</v>
      </c>
      <c r="I162" s="22" t="n">
        <v>75.566</v>
      </c>
      <c r="K162" s="22" t="n">
        <v>41.948</v>
      </c>
      <c r="M162" s="22" t="n">
        <v>88.355</v>
      </c>
      <c r="V162" s="22" t="n">
        <v>58.768</v>
      </c>
      <c r="W162" s="22" t="n">
        <v>75.566</v>
      </c>
      <c r="X162" s="22" t="n">
        <v>88.355</v>
      </c>
    </row>
    <row r="163">
      <c r="A163" s="20" t="inlineStr">
        <is>
          <t>이자·배당금 수익</t>
        </is>
      </c>
      <c r="E163" s="22" t="n">
        <v>-13.62</v>
      </c>
      <c r="G163" s="22" t="n">
        <v>-10.197</v>
      </c>
      <c r="I163" s="22" t="n">
        <v>-20.345</v>
      </c>
      <c r="K163" s="22" t="n">
        <v>-15.421</v>
      </c>
      <c r="M163" s="22" t="n">
        <v>-34.839</v>
      </c>
      <c r="V163" s="22" t="n">
        <v>-13.62</v>
      </c>
      <c r="W163" s="22" t="n">
        <v>-20.345</v>
      </c>
      <c r="X163" s="22" t="n">
        <v>-34.839</v>
      </c>
    </row>
    <row r="164">
      <c r="A164" s="20" t="inlineStr">
        <is>
          <t>보험금 수익</t>
        </is>
      </c>
      <c r="E164" s="22" t="n">
        <v>-31.151</v>
      </c>
      <c r="G164" s="22" t="n">
        <v>-10.114</v>
      </c>
      <c r="I164" s="22" t="n">
        <v>-20.228</v>
      </c>
      <c r="K164" s="22" t="n">
        <v>-5.197</v>
      </c>
      <c r="M164" s="22" t="n">
        <v>-13.361</v>
      </c>
      <c r="V164" s="22" t="n">
        <v>-31.151</v>
      </c>
      <c r="W164" s="22" t="n">
        <v>-20.228</v>
      </c>
      <c r="X164" s="22" t="n">
        <v>-13.361</v>
      </c>
    </row>
    <row r="165">
      <c r="A165" s="20" t="inlineStr">
        <is>
          <t>이자비용</t>
        </is>
      </c>
      <c r="E165" s="22" t="n">
        <v>344.736</v>
      </c>
      <c r="G165" s="22" t="n">
        <v>205.004</v>
      </c>
      <c r="I165" s="22" t="n">
        <v>464.823</v>
      </c>
      <c r="K165" s="22" t="n">
        <v>286.436</v>
      </c>
      <c r="M165" s="22" t="n">
        <v>639.326</v>
      </c>
      <c r="V165" s="22" t="n">
        <v>344.736</v>
      </c>
      <c r="W165" s="22" t="n">
        <v>464.823</v>
      </c>
      <c r="X165" s="22" t="n">
        <v>639.326</v>
      </c>
    </row>
    <row r="166">
      <c r="A166" s="20" t="inlineStr">
        <is>
          <t>지급수수료</t>
        </is>
      </c>
      <c r="E166" s="22" t="n">
        <v>56.951</v>
      </c>
      <c r="G166" s="22" t="n">
        <v>8.406000000000001</v>
      </c>
      <c r="I166" s="22" t="n">
        <v>68.627</v>
      </c>
      <c r="K166" s="22" t="n">
        <v>10.201</v>
      </c>
      <c r="M166" s="22" t="n">
        <v>80.24299999999999</v>
      </c>
      <c r="V166" s="22" t="n">
        <v>56.951</v>
      </c>
      <c r="W166" s="22" t="n">
        <v>68.627</v>
      </c>
      <c r="X166" s="22" t="n">
        <v>80.24299999999999</v>
      </c>
    </row>
    <row r="167">
      <c r="A167" s="20" t="inlineStr">
        <is>
          <t>지분법손익</t>
        </is>
      </c>
      <c r="E167" s="22" t="n">
        <v>177.55</v>
      </c>
      <c r="G167" s="22" t="n">
        <v>97.747</v>
      </c>
      <c r="I167" s="22" t="n">
        <v>96.678</v>
      </c>
      <c r="K167" s="22" t="n">
        <v>44.041</v>
      </c>
      <c r="M167" s="22" t="n">
        <v>11.133</v>
      </c>
      <c r="V167" s="22" t="n">
        <v>177.55</v>
      </c>
      <c r="W167" s="22" t="n">
        <v>96.678</v>
      </c>
      <c r="X167" s="22" t="n">
        <v>11.133</v>
      </c>
    </row>
    <row r="168">
      <c r="A168" s="20" t="inlineStr">
        <is>
          <t>고정자산 제각·매각손익</t>
        </is>
      </c>
      <c r="E168" s="22" t="n">
        <v>1.24</v>
      </c>
      <c r="G168" s="22" t="n">
        <v>0.75</v>
      </c>
      <c r="I168" s="22" t="n">
        <v>-7.611</v>
      </c>
      <c r="K168" s="22" t="n">
        <v>-1.685</v>
      </c>
      <c r="M168" s="22" t="n">
        <v>3.816</v>
      </c>
      <c r="V168" s="22" t="n">
        <v>1.24</v>
      </c>
      <c r="W168" s="22" t="n">
        <v>-7.611</v>
      </c>
      <c r="X168" s="22" t="n">
        <v>3.816</v>
      </c>
    </row>
    <row r="169">
      <c r="A169" s="20" t="inlineStr">
        <is>
          <t>손상차손</t>
        </is>
      </c>
      <c r="I169" s="22" t="n">
        <v>0</v>
      </c>
      <c r="M169" s="22" t="n">
        <v>26.187</v>
      </c>
      <c r="W169" s="22" t="n">
        <v>0</v>
      </c>
      <c r="X169" s="22" t="n">
        <v>26.187</v>
      </c>
    </row>
    <row r="170">
      <c r="A170" s="20" t="inlineStr">
        <is>
          <t>단계적 취득 차손익</t>
        </is>
      </c>
      <c r="G170" s="22" t="n">
        <v>0</v>
      </c>
      <c r="I170" s="22" t="n">
        <v>0</v>
      </c>
      <c r="K170" s="22" t="n">
        <v>-39.355</v>
      </c>
      <c r="M170" s="22" t="n">
        <v>-39.355</v>
      </c>
      <c r="W170" s="22" t="n">
        <v>0</v>
      </c>
      <c r="X170" s="22" t="n">
        <v>-39.355</v>
      </c>
    </row>
    <row r="171">
      <c r="A171" s="20" t="inlineStr">
        <is>
          <t>매출채권 증감</t>
        </is>
      </c>
      <c r="E171" s="22" t="n">
        <v>-604.453</v>
      </c>
      <c r="G171" s="22" t="n">
        <v>-1615.306</v>
      </c>
      <c r="I171" s="22" t="n">
        <v>-326.446</v>
      </c>
      <c r="K171" s="22" t="n">
        <v>-1092.193</v>
      </c>
      <c r="M171" s="22" t="n">
        <v>-282.557</v>
      </c>
      <c r="V171" s="22" t="n">
        <v>-604.453</v>
      </c>
      <c r="W171" s="22" t="n">
        <v>-326.446</v>
      </c>
      <c r="X171" s="22" t="n">
        <v>-282.557</v>
      </c>
    </row>
    <row r="172">
      <c r="A172" s="20" t="inlineStr">
        <is>
          <t>재고자산 증감</t>
        </is>
      </c>
      <c r="E172" s="22" t="n">
        <v>-162.74</v>
      </c>
      <c r="G172" s="22" t="n">
        <v>24.99</v>
      </c>
      <c r="I172" s="22" t="n">
        <v>79.416</v>
      </c>
      <c r="K172" s="22" t="n">
        <v>5.68</v>
      </c>
      <c r="M172" s="22" t="n">
        <v>65.197</v>
      </c>
      <c r="V172" s="22" t="n">
        <v>-162.74</v>
      </c>
      <c r="W172" s="22" t="n">
        <v>79.416</v>
      </c>
      <c r="X172" s="22" t="n">
        <v>65.197</v>
      </c>
    </row>
    <row r="173">
      <c r="A173" s="20" t="inlineStr">
        <is>
          <t>매입채무 증감</t>
        </is>
      </c>
      <c r="E173" s="22" t="n">
        <v>441.514</v>
      </c>
      <c r="G173" s="22" t="n">
        <v>634.893</v>
      </c>
      <c r="I173" s="22" t="n">
        <v>299.097</v>
      </c>
      <c r="K173" s="22" t="n">
        <v>-9.484999999999999</v>
      </c>
      <c r="M173" s="22" t="n">
        <v>-3195.288</v>
      </c>
      <c r="V173" s="22" t="n">
        <v>441.514</v>
      </c>
      <c r="W173" s="22" t="n">
        <v>299.097</v>
      </c>
      <c r="X173" s="22" t="n">
        <v>-3195.288</v>
      </c>
    </row>
    <row r="174">
      <c r="A174" s="20" t="inlineStr">
        <is>
          <t>기타 자산 증감</t>
        </is>
      </c>
      <c r="E174" s="22" t="n">
        <v>-453.758</v>
      </c>
      <c r="G174" s="22" t="n">
        <v>-50.97</v>
      </c>
      <c r="I174" s="22" t="n">
        <v>-41.4</v>
      </c>
      <c r="K174" s="22" t="n">
        <v>-78.32899999999999</v>
      </c>
      <c r="M174" s="22" t="n">
        <v>187.779</v>
      </c>
      <c r="V174" s="22" t="n">
        <v>-453.758</v>
      </c>
      <c r="W174" s="22" t="n">
        <v>-41.4</v>
      </c>
      <c r="X174" s="22" t="n">
        <v>187.779</v>
      </c>
    </row>
    <row r="175">
      <c r="A175" s="20" t="inlineStr">
        <is>
          <t>기타 부채 증감</t>
        </is>
      </c>
      <c r="E175" s="22" t="n">
        <v>878.619</v>
      </c>
      <c r="G175" s="22" t="n">
        <v>381.217</v>
      </c>
      <c r="I175" s="22" t="n">
        <v>114.494</v>
      </c>
      <c r="K175" s="22" t="n">
        <v>737.84</v>
      </c>
      <c r="M175" s="22" t="n">
        <v>527.779</v>
      </c>
      <c r="V175" s="22" t="n">
        <v>878.619</v>
      </c>
      <c r="W175" s="22" t="n">
        <v>114.494</v>
      </c>
      <c r="X175" s="22" t="n">
        <v>527.779</v>
      </c>
    </row>
    <row r="176">
      <c r="A176" s="20" t="inlineStr">
        <is>
          <t>미지급 소비세 증감</t>
        </is>
      </c>
      <c r="E176" s="22" t="n">
        <v>-15.494</v>
      </c>
      <c r="G176" s="22" t="n">
        <v>88.751</v>
      </c>
      <c r="I176" s="22" t="n">
        <v>185.355</v>
      </c>
      <c r="K176" s="22" t="n">
        <v>228.445</v>
      </c>
      <c r="M176" s="22" t="n">
        <v>425.005</v>
      </c>
      <c r="V176" s="22" t="n">
        <v>-15.494</v>
      </c>
      <c r="W176" s="22" t="n">
        <v>185.355</v>
      </c>
      <c r="X176" s="22" t="n">
        <v>425.005</v>
      </c>
    </row>
    <row r="177">
      <c r="A177" s="20" t="inlineStr">
        <is>
          <t>기타</t>
        </is>
      </c>
      <c r="E177" s="22" t="n">
        <v>-216.309</v>
      </c>
      <c r="G177" s="22" t="n">
        <v>-20.028</v>
      </c>
      <c r="I177" s="22" t="n">
        <v>143.323</v>
      </c>
      <c r="K177" s="22" t="n">
        <v>23.515</v>
      </c>
      <c r="M177" s="22" t="n">
        <v>117.829</v>
      </c>
      <c r="V177" s="22" t="n">
        <v>-216.309</v>
      </c>
      <c r="W177" s="22" t="n">
        <v>143.323</v>
      </c>
      <c r="X177" s="22" t="n">
        <v>117.829</v>
      </c>
    </row>
    <row r="178">
      <c r="A178" s="20" t="inlineStr">
        <is>
          <t>소계</t>
        </is>
      </c>
      <c r="E178" s="22" t="n">
        <v>4425.198</v>
      </c>
      <c r="G178" s="22" t="n">
        <v>2633.486</v>
      </c>
      <c r="I178" s="22" t="n">
        <v>3484.147</v>
      </c>
      <c r="K178" s="22" t="n">
        <v>3412.511</v>
      </c>
      <c r="M178" s="22" t="n">
        <v>2191.619</v>
      </c>
      <c r="V178" s="22" t="n">
        <v>4425.198</v>
      </c>
      <c r="W178" s="22" t="n">
        <v>3484.147</v>
      </c>
      <c r="X178" s="22" t="n">
        <v>2191.619</v>
      </c>
    </row>
    <row r="179">
      <c r="A179" s="20" t="inlineStr">
        <is>
          <t>이자·배당금 수취</t>
        </is>
      </c>
      <c r="E179" s="22" t="n">
        <v>13.62</v>
      </c>
      <c r="G179" s="22" t="n">
        <v>10.424</v>
      </c>
      <c r="I179" s="22" t="n">
        <v>25.296</v>
      </c>
      <c r="K179" s="22" t="n">
        <v>10.687</v>
      </c>
      <c r="M179" s="22" t="n">
        <v>29.769</v>
      </c>
      <c r="V179" s="22" t="n">
        <v>13.62</v>
      </c>
      <c r="W179" s="22" t="n">
        <v>25.296</v>
      </c>
      <c r="X179" s="22" t="n">
        <v>29.769</v>
      </c>
    </row>
    <row r="180">
      <c r="A180" s="20" t="inlineStr">
        <is>
          <t>이자 지급</t>
        </is>
      </c>
      <c r="E180" s="22" t="n">
        <v>-351.725</v>
      </c>
      <c r="G180" s="22" t="n">
        <v>-210.513</v>
      </c>
      <c r="I180" s="22" t="n">
        <v>-462.446</v>
      </c>
      <c r="K180" s="22" t="n">
        <v>-282.88</v>
      </c>
      <c r="M180" s="22" t="n">
        <v>-631.557</v>
      </c>
      <c r="V180" s="22" t="n">
        <v>-351.725</v>
      </c>
      <c r="W180" s="22" t="n">
        <v>-462.446</v>
      </c>
      <c r="X180" s="22" t="n">
        <v>-631.557</v>
      </c>
    </row>
    <row r="181">
      <c r="A181" s="20" t="inlineStr">
        <is>
          <t>보험금 수취</t>
        </is>
      </c>
      <c r="E181" s="22" t="n">
        <v>31.151</v>
      </c>
      <c r="G181" s="22" t="n">
        <v>10.114</v>
      </c>
      <c r="I181" s="22" t="n">
        <v>20.228</v>
      </c>
      <c r="K181" s="22" t="n">
        <v>5.197</v>
      </c>
      <c r="M181" s="22" t="n">
        <v>13.361</v>
      </c>
      <c r="V181" s="22" t="n">
        <v>31.151</v>
      </c>
      <c r="W181" s="22" t="n">
        <v>20.228</v>
      </c>
      <c r="X181" s="22" t="n">
        <v>13.361</v>
      </c>
    </row>
    <row r="182">
      <c r="A182" s="20" t="inlineStr">
        <is>
          <t>법인세 납부·환급</t>
        </is>
      </c>
      <c r="E182" s="22" t="n">
        <v>-915.145</v>
      </c>
      <c r="G182" s="22" t="n">
        <v>-586.753</v>
      </c>
      <c r="I182" s="22" t="n">
        <v>-1070.14</v>
      </c>
      <c r="K182" s="22" t="n">
        <v>-593.491</v>
      </c>
      <c r="M182" s="22" t="n">
        <v>-1192.639</v>
      </c>
      <c r="V182" s="22" t="n">
        <v>-915.145</v>
      </c>
      <c r="W182" s="22" t="n">
        <v>-1070.14</v>
      </c>
      <c r="X182" s="22" t="n">
        <v>-1192.639</v>
      </c>
    </row>
    <row r="183">
      <c r="A183" s="9" t="inlineStr">
        <is>
          <t>영업활동 현금흐름</t>
        </is>
      </c>
      <c r="E183" s="12" t="n">
        <v>3203.099</v>
      </c>
      <c r="G183" s="12" t="n">
        <v>1856.758</v>
      </c>
      <c r="I183" s="12" t="n">
        <v>1997.084</v>
      </c>
      <c r="K183" s="12" t="n">
        <v>2552.024</v>
      </c>
      <c r="M183" s="12" t="n">
        <v>410.553</v>
      </c>
      <c r="V183" s="12" t="n">
        <v>3203.099</v>
      </c>
      <c r="W183" s="12" t="n">
        <v>1997.084</v>
      </c>
      <c r="X183" s="12" t="n">
        <v>410.553</v>
      </c>
    </row>
    <row r="184">
      <c r="A184" s="20" t="inlineStr">
        <is>
          <t>정기예금 예입</t>
        </is>
      </c>
      <c r="E184" s="22" t="n">
        <v>-96.035</v>
      </c>
      <c r="G184" s="22" t="n">
        <v>-90.03700000000001</v>
      </c>
      <c r="I184" s="22" t="n">
        <v>-96.03700000000001</v>
      </c>
      <c r="K184" s="22" t="n">
        <v>-89.126</v>
      </c>
      <c r="M184" s="22" t="n">
        <v>-221.626</v>
      </c>
      <c r="V184" s="22" t="n">
        <v>-96.035</v>
      </c>
      <c r="W184" s="22" t="n">
        <v>-96.03700000000001</v>
      </c>
      <c r="X184" s="22" t="n">
        <v>-221.626</v>
      </c>
    </row>
    <row r="185">
      <c r="A185" s="20" t="inlineStr">
        <is>
          <t>정기예금 인출</t>
        </is>
      </c>
      <c r="E185" s="22" t="n">
        <v>84.03400000000001</v>
      </c>
      <c r="G185" s="22" t="n">
        <v>96.035</v>
      </c>
      <c r="I185" s="22" t="n">
        <v>96.035</v>
      </c>
      <c r="K185" s="22" t="n">
        <v>96.03700000000001</v>
      </c>
      <c r="M185" s="22" t="n">
        <v>96.03700000000001</v>
      </c>
      <c r="V185" s="22" t="n">
        <v>84.03400000000001</v>
      </c>
      <c r="W185" s="22" t="n">
        <v>96.035</v>
      </c>
      <c r="X185" s="22" t="n">
        <v>96.03700000000001</v>
      </c>
    </row>
    <row r="186">
      <c r="A186" s="20" t="inlineStr">
        <is>
          <t>유형자산 취득(설비투자)</t>
        </is>
      </c>
      <c r="E186" s="22" t="n">
        <v>-970.763</v>
      </c>
      <c r="G186" s="22" t="n">
        <v>-455.959</v>
      </c>
      <c r="I186" s="22" t="n">
        <v>-1082.944</v>
      </c>
      <c r="K186" s="22" t="n">
        <v>-457.826</v>
      </c>
      <c r="M186" s="22" t="n">
        <v>-1702.021</v>
      </c>
      <c r="V186" s="22" t="n">
        <v>-970.763</v>
      </c>
      <c r="W186" s="22" t="n">
        <v>-1082.944</v>
      </c>
      <c r="X186" s="22" t="n">
        <v>-1702.021</v>
      </c>
    </row>
    <row r="187">
      <c r="A187" s="20" t="inlineStr">
        <is>
          <t>유형자산 매각</t>
        </is>
      </c>
      <c r="E187" s="22" t="n">
        <v>7.583</v>
      </c>
      <c r="G187" s="22" t="n">
        <v>2.792</v>
      </c>
      <c r="I187" s="22" t="n">
        <v>15.424</v>
      </c>
      <c r="K187" s="22" t="n">
        <v>8.243</v>
      </c>
      <c r="M187" s="22" t="n">
        <v>14.545</v>
      </c>
      <c r="V187" s="22" t="n">
        <v>7.583</v>
      </c>
      <c r="W187" s="22" t="n">
        <v>15.424</v>
      </c>
      <c r="X187" s="22" t="n">
        <v>14.545</v>
      </c>
    </row>
    <row r="188">
      <c r="A188" s="20" t="inlineStr">
        <is>
          <t>무형자산 취득</t>
        </is>
      </c>
      <c r="E188" s="22" t="n">
        <v>-69.705</v>
      </c>
      <c r="G188" s="22" t="n">
        <v>-48.242</v>
      </c>
      <c r="I188" s="22" t="n">
        <v>-100.685</v>
      </c>
      <c r="K188" s="22" t="n">
        <v>-49.593</v>
      </c>
      <c r="M188" s="22" t="n">
        <v>-104.388</v>
      </c>
      <c r="V188" s="22" t="n">
        <v>-69.705</v>
      </c>
      <c r="W188" s="22" t="n">
        <v>-100.685</v>
      </c>
      <c r="X188" s="22" t="n">
        <v>-104.388</v>
      </c>
    </row>
    <row r="189">
      <c r="A189" s="20" t="inlineStr">
        <is>
          <t>연결범위 변경 자회사 주식 취득</t>
        </is>
      </c>
      <c r="G189" s="22" t="n">
        <v>0</v>
      </c>
      <c r="I189" s="22" t="n">
        <v>0</v>
      </c>
      <c r="K189" s="22" t="n">
        <v>-1134.601</v>
      </c>
      <c r="M189" s="22" t="n">
        <v>-1134.601</v>
      </c>
      <c r="W189" s="22" t="n">
        <v>0</v>
      </c>
      <c r="X189" s="22" t="n">
        <v>-1134.601</v>
      </c>
    </row>
    <row r="190">
      <c r="A190" s="20" t="inlineStr">
        <is>
          <t>기타</t>
        </is>
      </c>
      <c r="E190" s="22" t="n">
        <v>-74.145</v>
      </c>
      <c r="G190" s="22" t="n">
        <v>-147.361</v>
      </c>
      <c r="I190" s="22" t="n">
        <v>-207.341</v>
      </c>
      <c r="K190" s="22" t="n">
        <v>-108.497</v>
      </c>
      <c r="M190" s="22" t="n">
        <v>-111.359</v>
      </c>
      <c r="V190" s="22" t="n">
        <v>-74.145</v>
      </c>
      <c r="W190" s="22" t="n">
        <v>-207.341</v>
      </c>
      <c r="X190" s="22" t="n">
        <v>-111.359</v>
      </c>
    </row>
    <row r="191">
      <c r="A191" s="9" t="inlineStr">
        <is>
          <t>투자활동 현금흐름</t>
        </is>
      </c>
      <c r="E191" s="12" t="n">
        <v>-1119.033</v>
      </c>
      <c r="G191" s="12" t="n">
        <v>-642.772</v>
      </c>
      <c r="I191" s="12" t="n">
        <v>-1375.547</v>
      </c>
      <c r="K191" s="12" t="n">
        <v>-1735.364</v>
      </c>
      <c r="M191" s="12" t="n">
        <v>-3163.414</v>
      </c>
      <c r="V191" s="12" t="n">
        <v>-1119.033</v>
      </c>
      <c r="W191" s="12" t="n">
        <v>-1375.547</v>
      </c>
      <c r="X191" s="12" t="n">
        <v>-3163.414</v>
      </c>
    </row>
    <row r="192">
      <c r="A192" s="20" t="inlineStr">
        <is>
          <t>단기차입금 순증감</t>
        </is>
      </c>
      <c r="E192" s="22" t="n">
        <v>53.02</v>
      </c>
      <c r="G192" s="22" t="n">
        <v>1062.48</v>
      </c>
      <c r="I192" s="22" t="n">
        <v>-1513.38</v>
      </c>
      <c r="K192" s="22" t="n">
        <v>1579.966</v>
      </c>
      <c r="M192" s="22" t="n">
        <v>-1073.808</v>
      </c>
      <c r="V192" s="22" t="n">
        <v>53.02</v>
      </c>
      <c r="W192" s="22" t="n">
        <v>-1513.38</v>
      </c>
      <c r="X192" s="22" t="n">
        <v>-1073.808</v>
      </c>
    </row>
    <row r="193">
      <c r="A193" s="20" t="inlineStr">
        <is>
          <t>장기차입</t>
        </is>
      </c>
      <c r="E193" s="22" t="n">
        <v>6015.5</v>
      </c>
      <c r="G193" s="22" t="n">
        <v>752</v>
      </c>
      <c r="I193" s="22" t="n">
        <v>8461.17</v>
      </c>
      <c r="K193" s="22" t="n">
        <v>290.461</v>
      </c>
      <c r="M193" s="22" t="n">
        <v>11320.361</v>
      </c>
      <c r="V193" s="22" t="n">
        <v>6015.5</v>
      </c>
      <c r="W193" s="22" t="n">
        <v>8461.17</v>
      </c>
      <c r="X193" s="22" t="n">
        <v>11320.361</v>
      </c>
    </row>
    <row r="194">
      <c r="A194" s="20" t="inlineStr">
        <is>
          <t>장기차입금 상환</t>
        </is>
      </c>
      <c r="E194" s="22" t="n">
        <v>-3893.761</v>
      </c>
      <c r="G194" s="22" t="n">
        <v>-2186.738</v>
      </c>
      <c r="I194" s="22" t="n">
        <v>-4477.38</v>
      </c>
      <c r="K194" s="22" t="n">
        <v>-2712.696</v>
      </c>
      <c r="M194" s="22" t="n">
        <v>-5498.79</v>
      </c>
      <c r="V194" s="22" t="n">
        <v>-3893.761</v>
      </c>
      <c r="W194" s="22" t="n">
        <v>-4477.38</v>
      </c>
      <c r="X194" s="22" t="n">
        <v>-5498.79</v>
      </c>
    </row>
    <row r="195">
      <c r="A195" s="20" t="inlineStr">
        <is>
          <t>리스부채 상환</t>
        </is>
      </c>
      <c r="E195" s="22" t="n">
        <v>-2509.06</v>
      </c>
      <c r="G195" s="22" t="n">
        <v>-1276.73</v>
      </c>
      <c r="I195" s="22" t="n">
        <v>-1838.354</v>
      </c>
      <c r="K195" s="22" t="n">
        <v>-935.77</v>
      </c>
      <c r="M195" s="22" t="n">
        <v>-1812.226</v>
      </c>
      <c r="V195" s="22" t="n">
        <v>-2509.06</v>
      </c>
      <c r="W195" s="22" t="n">
        <v>-1838.354</v>
      </c>
      <c r="X195" s="22" t="n">
        <v>-1812.226</v>
      </c>
    </row>
    <row r="196">
      <c r="A196" s="20" t="inlineStr">
        <is>
          <t>사채 상환</t>
        </is>
      </c>
      <c r="E196" s="22" t="n">
        <v>-30</v>
      </c>
      <c r="G196" s="22" t="n">
        <v>-15</v>
      </c>
      <c r="I196" s="22" t="n">
        <v>-30</v>
      </c>
      <c r="K196" s="22" t="n">
        <v>-15</v>
      </c>
      <c r="M196" s="22" t="n">
        <v>-30</v>
      </c>
      <c r="V196" s="22" t="n">
        <v>-30</v>
      </c>
      <c r="W196" s="22" t="n">
        <v>-30</v>
      </c>
      <c r="X196" s="22" t="n">
        <v>-30</v>
      </c>
    </row>
    <row r="197">
      <c r="A197" s="20" t="inlineStr">
        <is>
          <t>지급수수료 지급</t>
        </is>
      </c>
      <c r="E197" s="22" t="n">
        <v>-56.951</v>
      </c>
      <c r="G197" s="22" t="n">
        <v>-8.406000000000001</v>
      </c>
      <c r="I197" s="22" t="n">
        <v>-68.627</v>
      </c>
      <c r="K197" s="22" t="n">
        <v>-10.201</v>
      </c>
      <c r="M197" s="22" t="n">
        <v>-80.24299999999999</v>
      </c>
      <c r="V197" s="22" t="n">
        <v>-56.951</v>
      </c>
      <c r="W197" s="22" t="n">
        <v>-68.627</v>
      </c>
      <c r="X197" s="22" t="n">
        <v>-80.24299999999999</v>
      </c>
    </row>
    <row r="198">
      <c r="A198" s="20" t="inlineStr">
        <is>
          <t>연결 자회사 설립 비지배주주 납입</t>
        </is>
      </c>
      <c r="E198" s="22" t="n">
        <v>487.6</v>
      </c>
      <c r="I198" s="22" t="n">
        <v>0</v>
      </c>
      <c r="V198" s="22" t="n">
        <v>487.6</v>
      </c>
      <c r="W198" s="22" t="n">
        <v>0</v>
      </c>
    </row>
    <row r="199">
      <c r="A199" s="20" t="inlineStr">
        <is>
          <t>주식 발행</t>
        </is>
      </c>
      <c r="G199" s="22" t="n">
        <v>0</v>
      </c>
      <c r="I199" s="22" t="n">
        <v>0</v>
      </c>
      <c r="K199" s="22" t="n">
        <v>2496.123</v>
      </c>
      <c r="M199" s="22" t="n">
        <v>2496.123</v>
      </c>
      <c r="W199" s="22" t="n">
        <v>0</v>
      </c>
      <c r="X199" s="22" t="n">
        <v>2496.123</v>
      </c>
    </row>
    <row r="200">
      <c r="A200" s="20" t="inlineStr">
        <is>
          <t>연결범위 변경 없는 자회사 주식 취득</t>
        </is>
      </c>
      <c r="G200" s="22" t="n">
        <v>0</v>
      </c>
      <c r="I200" s="22" t="n">
        <v>0</v>
      </c>
      <c r="K200" s="22" t="n">
        <v>-162.683</v>
      </c>
      <c r="M200" s="22" t="n">
        <v>-162.683</v>
      </c>
      <c r="W200" s="22" t="n">
        <v>0</v>
      </c>
      <c r="X200" s="22" t="n">
        <v>-162.683</v>
      </c>
    </row>
    <row r="201">
      <c r="A201" s="20" t="inlineStr">
        <is>
          <t>자기주식 매각</t>
        </is>
      </c>
      <c r="E201" s="22" t="n">
        <v>0</v>
      </c>
      <c r="I201" s="22" t="n">
        <v>396</v>
      </c>
      <c r="M201" s="22" t="n">
        <v>0</v>
      </c>
      <c r="V201" s="22" t="n">
        <v>0</v>
      </c>
      <c r="W201" s="22" t="n">
        <v>396</v>
      </c>
      <c r="X201" s="22" t="n">
        <v>0</v>
      </c>
    </row>
    <row r="202">
      <c r="A202" s="20" t="inlineStr">
        <is>
          <t>배당금 지급</t>
        </is>
      </c>
      <c r="E202" s="22" t="n">
        <v>-214.267</v>
      </c>
      <c r="G202" s="22" t="n">
        <v>-246.501</v>
      </c>
      <c r="I202" s="22" t="n">
        <v>-246.501</v>
      </c>
      <c r="K202" s="22" t="n">
        <v>-576.282</v>
      </c>
      <c r="M202" s="22" t="n">
        <v>-576.282</v>
      </c>
      <c r="V202" s="22" t="n">
        <v>-214.267</v>
      </c>
      <c r="W202" s="22" t="n">
        <v>-246.501</v>
      </c>
      <c r="X202" s="22" t="n">
        <v>-576.282</v>
      </c>
    </row>
    <row r="203">
      <c r="A203" s="20" t="inlineStr">
        <is>
          <t>기타</t>
        </is>
      </c>
      <c r="G203" s="22" t="n">
        <v>0</v>
      </c>
      <c r="I203" s="22" t="n">
        <v>0</v>
      </c>
      <c r="K203" s="22" t="n">
        <v>0.014</v>
      </c>
      <c r="M203" s="22" t="n">
        <v>0.014</v>
      </c>
      <c r="W203" s="22" t="n">
        <v>0</v>
      </c>
      <c r="X203" s="22" t="n">
        <v>0.014</v>
      </c>
    </row>
    <row r="204">
      <c r="A204" s="9" t="inlineStr">
        <is>
          <t>재무활동 현금흐름</t>
        </is>
      </c>
      <c r="E204" s="12" t="n">
        <v>-147.921</v>
      </c>
      <c r="G204" s="12" t="n">
        <v>-1918.896</v>
      </c>
      <c r="I204" s="12" t="n">
        <v>682.926</v>
      </c>
      <c r="K204" s="12" t="n">
        <v>-46.068</v>
      </c>
      <c r="M204" s="12" t="n">
        <v>4582.464</v>
      </c>
      <c r="V204" s="12" t="n">
        <v>-147.921</v>
      </c>
      <c r="W204" s="12" t="n">
        <v>682.926</v>
      </c>
      <c r="X204" s="12" t="n">
        <v>4582.464</v>
      </c>
    </row>
    <row r="205">
      <c r="A205" s="20" t="inlineStr">
        <is>
          <t>현금성자산 환산차이</t>
        </is>
      </c>
      <c r="E205" s="22" t="n">
        <v>16.527</v>
      </c>
      <c r="G205" s="22" t="n">
        <v>17.258</v>
      </c>
      <c r="I205" s="22" t="n">
        <v>-4.368</v>
      </c>
      <c r="K205" s="22" t="n">
        <v>20.852</v>
      </c>
      <c r="M205" s="22" t="n">
        <v>35.884</v>
      </c>
      <c r="V205" s="22" t="n">
        <v>16.527</v>
      </c>
      <c r="W205" s="22" t="n">
        <v>-4.368</v>
      </c>
      <c r="X205" s="22" t="n">
        <v>35.884</v>
      </c>
    </row>
    <row r="206">
      <c r="A206" s="20" t="inlineStr">
        <is>
          <t>현금성자산 증감</t>
        </is>
      </c>
      <c r="E206" s="22" t="n">
        <v>1952.672</v>
      </c>
      <c r="G206" s="22" t="n">
        <v>-687.651</v>
      </c>
      <c r="I206" s="22" t="n">
        <v>1300.095</v>
      </c>
      <c r="K206" s="22" t="n">
        <v>791.444</v>
      </c>
      <c r="M206" s="22" t="n">
        <v>1865.488</v>
      </c>
      <c r="V206" s="22" t="n">
        <v>1952.672</v>
      </c>
      <c r="W206" s="22" t="n">
        <v>1300.095</v>
      </c>
      <c r="X206" s="22" t="n">
        <v>1865.488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렌토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2024</t>
        </is>
      </c>
      <c r="I3" s="5" t="inlineStr">
        <is>
          <t>2025</t>
        </is>
      </c>
      <c r="J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</row>
    <row r="5">
      <c r="A5" s="9" t="inlineStr">
        <is>
          <t>유동자산</t>
        </is>
      </c>
      <c r="B5" s="10" t="n"/>
      <c r="C5" s="11" t="n">
        <v>17139.459</v>
      </c>
      <c r="D5" s="12" t="n">
        <v>18481.028</v>
      </c>
      <c r="E5" s="12" t="n">
        <v>17548.563</v>
      </c>
      <c r="F5" s="12" t="n">
        <v>18663.789</v>
      </c>
      <c r="G5" s="12" t="n">
        <v>17169.672</v>
      </c>
      <c r="H5" s="11" t="n">
        <v>14556.098</v>
      </c>
      <c r="I5" s="12" t="n">
        <v>16076.493</v>
      </c>
      <c r="J5" s="12" t="n">
        <v>18663.789</v>
      </c>
    </row>
    <row r="6">
      <c r="A6" s="20" t="inlineStr">
        <is>
          <t>현금및현금성자산</t>
        </is>
      </c>
      <c r="B6" s="10" t="n"/>
      <c r="C6" s="21" t="n">
        <v>6326.593</v>
      </c>
      <c r="D6" s="22" t="n">
        <v>6976.454</v>
      </c>
      <c r="E6" s="22" t="n">
        <v>6281.004</v>
      </c>
      <c r="F6" s="22" t="n">
        <v>8189.818</v>
      </c>
      <c r="G6" s="22" t="n">
        <v>5996.27</v>
      </c>
      <c r="H6" s="21" t="n">
        <v>4891.824</v>
      </c>
      <c r="I6" s="22" t="n">
        <v>6191.921</v>
      </c>
      <c r="J6" s="22" t="n">
        <v>8189.818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</row>
    <row r="8">
      <c r="A8" s="20" t="inlineStr">
        <is>
          <t>매출채권</t>
        </is>
      </c>
      <c r="B8" s="10" t="n"/>
      <c r="C8" s="21" t="n">
        <v>8000.102</v>
      </c>
      <c r="D8" s="22" t="n">
        <v>8757.168</v>
      </c>
      <c r="E8" s="22" t="n">
        <v>8543.853999999999</v>
      </c>
      <c r="F8" s="22" t="n">
        <v>7969.666</v>
      </c>
      <c r="G8" s="22" t="n">
        <v>8324.460999999999</v>
      </c>
      <c r="H8" s="21" t="n">
        <v>7064.734</v>
      </c>
      <c r="I8" s="22" t="n">
        <v>7476.558</v>
      </c>
      <c r="J8" s="22" t="n">
        <v>7969.666</v>
      </c>
    </row>
    <row r="9">
      <c r="A9" s="20" t="inlineStr">
        <is>
          <t>재고자산</t>
        </is>
      </c>
      <c r="B9" s="10" t="n"/>
      <c r="C9" s="21" t="n">
        <v>635.533</v>
      </c>
      <c r="D9" s="22" t="n">
        <v>666.606</v>
      </c>
      <c r="E9" s="22" t="n">
        <v>608.659</v>
      </c>
      <c r="F9" s="22" t="n">
        <v>613.561</v>
      </c>
      <c r="G9" s="22" t="n">
        <v>651.937</v>
      </c>
      <c r="H9" s="21" t="n">
        <v>683.3390000000001</v>
      </c>
      <c r="I9" s="22" t="n">
        <v>591.072</v>
      </c>
      <c r="J9" s="22" t="n">
        <v>613.561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</row>
    <row r="11">
      <c r="A11" s="9" t="inlineStr">
        <is>
          <t>비유동자산</t>
        </is>
      </c>
      <c r="B11" s="10" t="n"/>
      <c r="C11" s="11" t="n">
        <v>42276.788</v>
      </c>
      <c r="D11" s="12" t="n">
        <v>47260.697</v>
      </c>
      <c r="E11" s="12" t="n">
        <v>48961.071</v>
      </c>
      <c r="F11" s="12" t="n">
        <v>49537.88</v>
      </c>
      <c r="G11" s="12" t="n">
        <v>50829.77</v>
      </c>
      <c r="H11" s="11" t="n">
        <v>36740.494</v>
      </c>
      <c r="I11" s="12" t="n">
        <v>41833.883</v>
      </c>
      <c r="J11" s="12" t="n">
        <v>49537.88</v>
      </c>
    </row>
    <row r="12">
      <c r="A12" s="20" t="inlineStr">
        <is>
          <t>유형자산</t>
        </is>
      </c>
      <c r="B12" s="10" t="n"/>
      <c r="C12" s="21" t="n">
        <v>37517.047</v>
      </c>
      <c r="D12" s="22" t="n">
        <v>41504.612</v>
      </c>
      <c r="E12" s="22" t="n">
        <v>43326.122</v>
      </c>
      <c r="F12" s="22" t="n">
        <v>43690.346</v>
      </c>
      <c r="G12" s="22" t="n">
        <v>45134.99</v>
      </c>
      <c r="H12" s="21" t="n">
        <v>31853.902</v>
      </c>
      <c r="I12" s="22" t="n">
        <v>36903.791</v>
      </c>
      <c r="J12" s="22" t="n">
        <v>43690.346</v>
      </c>
    </row>
    <row r="13">
      <c r="A13" s="20" t="inlineStr">
        <is>
          <t>무형자산</t>
        </is>
      </c>
      <c r="B13" s="10" t="n"/>
      <c r="C13" s="21" t="n">
        <v>381.609</v>
      </c>
      <c r="D13" s="22" t="n">
        <v>929.522</v>
      </c>
      <c r="E13" s="22" t="n">
        <v>907.516</v>
      </c>
      <c r="F13" s="22" t="n">
        <v>884.1900000000001</v>
      </c>
      <c r="G13" s="22" t="n">
        <v>936.829</v>
      </c>
      <c r="H13" s="21" t="n">
        <v>465.595</v>
      </c>
      <c r="I13" s="22" t="n">
        <v>404.668</v>
      </c>
      <c r="J13" s="22" t="n">
        <v>884.1900000000001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</row>
    <row r="16">
      <c r="A16" s="9" t="inlineStr">
        <is>
          <t>자산총계</t>
        </is>
      </c>
      <c r="B16" s="10" t="n"/>
      <c r="C16" s="11" t="n">
        <v>59416.248</v>
      </c>
      <c r="D16" s="12" t="n">
        <v>65741.726</v>
      </c>
      <c r="E16" s="12" t="n">
        <v>66509.63499999999</v>
      </c>
      <c r="F16" s="12" t="n">
        <v>68201.67</v>
      </c>
      <c r="G16" s="12" t="n">
        <v>67999.442</v>
      </c>
      <c r="H16" s="11" t="n">
        <v>51296.592</v>
      </c>
      <c r="I16" s="12" t="n">
        <v>57910.376</v>
      </c>
      <c r="J16" s="12" t="n">
        <v>68201.67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</row>
    <row r="18">
      <c r="A18" s="9" t="inlineStr">
        <is>
          <t>유동부채</t>
        </is>
      </c>
      <c r="B18" s="10" t="n"/>
      <c r="C18" s="11" t="n">
        <v>20708.315</v>
      </c>
      <c r="D18" s="12" t="n">
        <v>25580.556</v>
      </c>
      <c r="E18" s="12" t="n">
        <v>25352.692</v>
      </c>
      <c r="F18" s="12" t="n">
        <v>19995.059</v>
      </c>
      <c r="G18" s="12" t="n">
        <v>20960.451</v>
      </c>
      <c r="H18" s="11" t="n">
        <v>21244.683</v>
      </c>
      <c r="I18" s="12" t="n">
        <v>20965.744</v>
      </c>
      <c r="J18" s="12" t="n">
        <v>19995.059</v>
      </c>
    </row>
    <row r="19">
      <c r="A19" s="20" t="inlineStr">
        <is>
          <t>매입채무</t>
        </is>
      </c>
      <c r="B19" s="10" t="n"/>
      <c r="C19" s="21" t="n">
        <v>499.302</v>
      </c>
      <c r="D19" s="22" t="n">
        <v>430.743</v>
      </c>
      <c r="E19" s="22" t="n">
        <v>395.83</v>
      </c>
      <c r="F19" s="22" t="n">
        <v>371.446</v>
      </c>
      <c r="G19" s="22" t="n">
        <v>345.621</v>
      </c>
      <c r="H19" s="21" t="n">
        <v>3620.328</v>
      </c>
      <c r="I19" s="22" t="n">
        <v>413.853</v>
      </c>
      <c r="J19" s="22" t="n">
        <v>371.446</v>
      </c>
    </row>
    <row r="20">
      <c r="A20" s="20" t="inlineStr">
        <is>
          <t>단기차입금</t>
        </is>
      </c>
      <c r="B20" s="10" t="n"/>
      <c r="C20" s="21" t="n">
        <v>2343.25</v>
      </c>
      <c r="D20" s="22" t="n">
        <v>4540.418</v>
      </c>
      <c r="E20" s="22" t="n">
        <v>6318</v>
      </c>
      <c r="F20" s="22" t="n">
        <v>1929.4</v>
      </c>
      <c r="G20" s="22" t="n">
        <v>3587.8</v>
      </c>
      <c r="H20" s="21" t="n">
        <v>3711.04</v>
      </c>
      <c r="I20" s="22" t="n">
        <v>2210</v>
      </c>
      <c r="J20" s="22" t="n">
        <v>1929.4</v>
      </c>
    </row>
    <row r="21">
      <c r="A21" s="20" t="inlineStr">
        <is>
          <t>유동성장기부채</t>
        </is>
      </c>
      <c r="B21" s="10" t="n"/>
      <c r="C21" s="21" t="n">
        <v>5356.427</v>
      </c>
      <c r="D21" s="22" t="n">
        <v>5229.44</v>
      </c>
      <c r="E21" s="22" t="n">
        <v>5202.847</v>
      </c>
      <c r="F21" s="22" t="n">
        <v>6522.78</v>
      </c>
      <c r="G21" s="22" t="n">
        <v>6190.342</v>
      </c>
      <c r="H21" s="21" t="n">
        <v>4492.896</v>
      </c>
      <c r="I21" s="22" t="n">
        <v>5491.81</v>
      </c>
      <c r="J21" s="22" t="n">
        <v>6522.78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</row>
    <row r="23">
      <c r="A23" s="9" t="inlineStr">
        <is>
          <t>비유동부채</t>
        </is>
      </c>
      <c r="B23" s="10" t="n"/>
      <c r="C23" s="11" t="n">
        <v>20864.66</v>
      </c>
      <c r="D23" s="12" t="n">
        <v>21305.263</v>
      </c>
      <c r="E23" s="12" t="n">
        <v>21300.11</v>
      </c>
      <c r="F23" s="12" t="n">
        <v>28139.963</v>
      </c>
      <c r="G23" s="12" t="n">
        <v>26847.744</v>
      </c>
      <c r="H23" s="11" t="n">
        <v>17386.122</v>
      </c>
      <c r="I23" s="12" t="n">
        <v>21709.046</v>
      </c>
      <c r="J23" s="12" t="n">
        <v>28139.963</v>
      </c>
    </row>
    <row r="24">
      <c r="A24" s="20" t="inlineStr">
        <is>
          <t>장기차입금</t>
        </is>
      </c>
      <c r="B24" s="10" t="n"/>
      <c r="C24" s="21" t="n">
        <v>12179.634</v>
      </c>
      <c r="D24" s="22" t="n">
        <v>11854.473</v>
      </c>
      <c r="E24" s="22" t="n">
        <v>11642.258</v>
      </c>
      <c r="F24" s="22" t="n">
        <v>18942.948</v>
      </c>
      <c r="G24" s="22" t="n">
        <v>17695.288</v>
      </c>
      <c r="H24" s="21" t="n">
        <v>10193.566</v>
      </c>
      <c r="I24" s="22" t="n">
        <v>13163.388</v>
      </c>
      <c r="J24" s="22" t="n">
        <v>18942.948</v>
      </c>
    </row>
    <row r="25">
      <c r="A25" s="20" t="inlineStr">
        <is>
          <t>사채</t>
        </is>
      </c>
      <c r="B25" s="10" t="n"/>
      <c r="C25" s="21" t="n">
        <v>145</v>
      </c>
      <c r="D25" s="22" t="n">
        <v>130</v>
      </c>
      <c r="E25" s="22" t="n">
        <v>130</v>
      </c>
      <c r="F25" s="22" t="n">
        <v>115</v>
      </c>
      <c r="G25" s="22" t="n">
        <v>115</v>
      </c>
      <c r="H25" s="21" t="n">
        <v>175</v>
      </c>
      <c r="I25" s="22" t="n">
        <v>145</v>
      </c>
      <c r="J25" s="22" t="n">
        <v>115</v>
      </c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</row>
    <row r="27">
      <c r="A27" s="9" t="inlineStr">
        <is>
          <t>부채총계</t>
        </is>
      </c>
      <c r="B27" s="10" t="n"/>
      <c r="C27" s="11" t="n">
        <v>41572.976</v>
      </c>
      <c r="D27" s="12" t="n">
        <v>46885.819</v>
      </c>
      <c r="E27" s="12" t="n">
        <v>46652.803</v>
      </c>
      <c r="F27" s="12" t="n">
        <v>48135.022</v>
      </c>
      <c r="G27" s="12" t="n">
        <v>47808.195</v>
      </c>
      <c r="H27" s="11" t="n">
        <v>38630.806</v>
      </c>
      <c r="I27" s="12" t="n">
        <v>42674.79</v>
      </c>
      <c r="J27" s="12" t="n">
        <v>48135.022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</row>
    <row r="31">
      <c r="A31" s="9" t="inlineStr">
        <is>
          <t>지배주주지분</t>
        </is>
      </c>
      <c r="B31" s="10" t="n"/>
      <c r="C31" s="11" t="n">
        <v>17610.026</v>
      </c>
      <c r="D31" s="12" t="n">
        <v>18786.242</v>
      </c>
      <c r="E31" s="12" t="n">
        <v>19788.832</v>
      </c>
      <c r="F31" s="12" t="n">
        <v>20000.738</v>
      </c>
      <c r="G31" s="12" t="n">
        <v>20129.166</v>
      </c>
      <c r="H31" s="11" t="n">
        <v>12224.529</v>
      </c>
      <c r="I31" s="12" t="n">
        <v>14956.97</v>
      </c>
      <c r="J31" s="12" t="n">
        <v>20000.738</v>
      </c>
    </row>
    <row r="32">
      <c r="A32" s="20" t="inlineStr">
        <is>
          <t>자본금</t>
        </is>
      </c>
      <c r="B32" s="10" t="n"/>
      <c r="C32" s="21" t="n">
        <v>2649.182</v>
      </c>
      <c r="D32" s="22" t="n">
        <v>2649.182</v>
      </c>
      <c r="E32" s="22" t="n">
        <v>2649.182</v>
      </c>
      <c r="F32" s="22" t="n">
        <v>2649.182</v>
      </c>
      <c r="G32" s="22" t="n">
        <v>2649.182</v>
      </c>
      <c r="H32" s="21" t="n">
        <v>1401.12</v>
      </c>
      <c r="I32" s="22" t="n">
        <v>1401.12</v>
      </c>
      <c r="J32" s="22" t="n">
        <v>2649.182</v>
      </c>
    </row>
    <row r="33">
      <c r="A33" s="20" t="inlineStr">
        <is>
          <t>이익잉여금</t>
        </is>
      </c>
      <c r="B33" s="10" t="n"/>
      <c r="C33" s="21" t="n">
        <v>12572.043</v>
      </c>
      <c r="D33" s="22" t="n">
        <v>13719.552</v>
      </c>
      <c r="E33" s="22" t="n">
        <v>14689.814</v>
      </c>
      <c r="F33" s="22" t="n">
        <v>14782.803</v>
      </c>
      <c r="G33" s="22" t="n">
        <v>14822.333</v>
      </c>
      <c r="H33" s="21" t="n">
        <v>10205.608</v>
      </c>
      <c r="I33" s="22" t="n">
        <v>12458.016</v>
      </c>
      <c r="J33" s="22" t="n">
        <v>14782.803</v>
      </c>
    </row>
    <row r="34">
      <c r="A34" s="20" t="inlineStr">
        <is>
          <t>비지배지분</t>
        </is>
      </c>
      <c r="B34" s="10" t="n"/>
      <c r="C34" s="21" t="n">
        <v>158.541</v>
      </c>
      <c r="D34" s="22" t="n">
        <v>18.742</v>
      </c>
      <c r="E34" s="22" t="n">
        <v>17.078</v>
      </c>
      <c r="F34" s="22" t="n">
        <v>14.987</v>
      </c>
      <c r="G34" s="22" t="n">
        <v>11.159</v>
      </c>
      <c r="H34" s="21" t="n">
        <v>366.553</v>
      </c>
      <c r="I34" s="22" t="n">
        <v>203.911</v>
      </c>
      <c r="J34" s="22" t="n">
        <v>14.987</v>
      </c>
    </row>
    <row r="35">
      <c r="A35" s="9" t="inlineStr">
        <is>
          <t>자본총계</t>
        </is>
      </c>
      <c r="B35" s="10" t="n"/>
      <c r="C35" s="11" t="n">
        <v>17843.271</v>
      </c>
      <c r="D35" s="12" t="n">
        <v>18855.906</v>
      </c>
      <c r="E35" s="12" t="n">
        <v>19856.832</v>
      </c>
      <c r="F35" s="12" t="n">
        <v>20066.647</v>
      </c>
      <c r="G35" s="12" t="n">
        <v>20191.247</v>
      </c>
      <c r="H35" s="11" t="n">
        <v>12665.786</v>
      </c>
      <c r="I35" s="12" t="n">
        <v>15235.585</v>
      </c>
      <c r="J35" s="12" t="n">
        <v>20066.647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</row>
    <row r="37">
      <c r="A37" s="9" t="inlineStr">
        <is>
          <t>영업활동현금흐름</t>
        </is>
      </c>
      <c r="B37" s="10" t="n"/>
      <c r="C37" s="11" t="n"/>
      <c r="D37" s="12" t="n">
        <v>2692.35</v>
      </c>
      <c r="E37" s="12" t="n"/>
      <c r="F37" s="12" t="n">
        <v>410.553</v>
      </c>
      <c r="G37" s="12" t="n"/>
      <c r="H37" s="11" t="n">
        <v>3203.099</v>
      </c>
      <c r="I37" s="12" t="n">
        <v>1997.084</v>
      </c>
      <c r="J37" s="12" t="n">
        <v>410.553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1186.847</v>
      </c>
      <c r="E38" s="22" t="n"/>
      <c r="F38" s="22" t="n">
        <v>1806.409</v>
      </c>
      <c r="G38" s="22" t="n"/>
      <c r="H38" s="21" t="n">
        <v>1040.468</v>
      </c>
      <c r="I38" s="22" t="n">
        <v>1183.629</v>
      </c>
      <c r="J38" s="22" t="n">
        <v>1806.409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576.282</v>
      </c>
      <c r="E40" s="22" t="n"/>
      <c r="F40" s="22" t="n">
        <v>576.282</v>
      </c>
      <c r="G40" s="22" t="n"/>
      <c r="H40" s="21" t="n">
        <v>214.267</v>
      </c>
      <c r="I40" s="22" t="n">
        <v>246.501</v>
      </c>
      <c r="J40" s="22" t="n">
        <v>576.282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IFERROR(('연간'!V19)/('연간'!V41),"")</f>
        <v/>
      </c>
      <c r="I48" s="33">
        <f>IFERROR(('연간'!W19)/('연간'!W41),"")</f>
        <v/>
      </c>
      <c r="J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IFERROR(IF(('연간'!V49)&lt;=0,"적자",H28/('연간'!V49)),"")</f>
        <v/>
      </c>
      <c r="I49" s="49">
        <f>IFERROR(IF(('연간'!W49)&lt;=0,"적자",I28/('연간'!W49)),"")</f>
        <v/>
      </c>
      <c r="J49" s="49">
        <f>IFERROR(IF(('연간'!X49)&lt;=0,"적자",J28/('연간'!X49)),"")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IFERROR(('연간'!V49)/H31,"")</f>
        <v/>
      </c>
      <c r="I51" s="38">
        <f>IFERROR(('연간'!W49)/I31,"")</f>
        <v/>
      </c>
      <c r="J51" s="38">
        <f>IFERROR(('연간'!X49)/J31,"")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IFERROR(('연간'!V47)/H16,"")</f>
        <v/>
      </c>
      <c r="I52" s="38">
        <f>IFERROR(('연간'!W47)/I16,"")</f>
        <v/>
      </c>
      <c r="J52" s="38">
        <f>IFERROR(('연간'!X47)/J16,"")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IFERROR(('연간'!V19)*(1-0.3)/(H35+H29),"")</f>
        <v/>
      </c>
      <c r="I53" s="38">
        <f>IFERROR(('연간'!W19)*(1-0.3)/(I35+I29),"")</f>
        <v/>
      </c>
      <c r="J53" s="38">
        <f>IFERROR(('연간'!X19)*(1-0.3)/(J35+J29),"")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IFERROR(('연간'!V13)/('연간'!V4),"")</f>
        <v/>
      </c>
      <c r="I54" s="38">
        <f>IFERROR(('연간'!W13)/('연간'!W4),"")</f>
        <v/>
      </c>
      <c r="J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IFERROR(('연간'!V19)/('연간'!V4),"")</f>
        <v/>
      </c>
      <c r="I55" s="38">
        <f>IFERROR(('연간'!W19)/('연간'!W4),"")</f>
        <v/>
      </c>
      <c r="J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IFERROR(('연간'!V47)/('연간'!V4),"")</f>
        <v/>
      </c>
      <c r="I56" s="38">
        <f>IFERROR(('연간'!W47)/('연간'!W4),"")</f>
        <v/>
      </c>
      <c r="J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IFERROR(('연간'!V4)/H16,"")</f>
        <v/>
      </c>
      <c r="I58" s="33">
        <f>IFERROR(('연간'!W4)/I16,"")</f>
        <v/>
      </c>
      <c r="J58" s="33">
        <f>IFERROR(('연간'!X4)/J16,"")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IFERROR(H8/('연간'!V4)*365,"")</f>
        <v/>
      </c>
      <c r="I59" s="51">
        <f>IFERROR(I8/('연간'!W4)*365,"")</f>
        <v/>
      </c>
      <c r="J59" s="51">
        <f>IFERROR(J8/('연간'!X4)*365,"")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IFERROR(H9/('연간'!V11)*365,"")</f>
        <v/>
      </c>
      <c r="I60" s="51">
        <f>IFERROR(I9/('연간'!W11)*365,"")</f>
        <v/>
      </c>
      <c r="J60" s="51">
        <f>IFERROR(J9/('연간'!X11)*365,"")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IFERROR(H19/('연간'!V11)*365,"")</f>
        <v/>
      </c>
      <c r="I61" s="51">
        <f>IFERROR(I19/('연간'!W11)*365,"")</f>
        <v/>
      </c>
      <c r="J61" s="51">
        <f>IFERROR(J19/('연간'!X11)*365,"")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IF(H37="","",IFERROR(H37/('연간'!V47),""))</f>
        <v/>
      </c>
      <c r="I64" s="33">
        <f>IF(I37="","",IFERROR(I37/('연간'!W47),""))</f>
        <v/>
      </c>
      <c r="J64" s="33">
        <f>IF(J37="","",IFERROR(J37/('연간'!X47),""))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IF(H39="","",IFERROR(H39/('연간'!V4),""))</f>
        <v/>
      </c>
      <c r="I65" s="38">
        <f>IF(I39="","",IFERROR(I39/('연간'!W4),""))</f>
        <v/>
      </c>
      <c r="J65" s="38">
        <f>IF(J39="","",IFERROR(J39/('연간'!X4),""))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IF(H38="","",IFERROR(H38/('연간'!V4),""))</f>
        <v/>
      </c>
      <c r="I66" s="38">
        <f>IF(I38="","",IFERROR(I38/('연간'!W4),""))</f>
        <v/>
      </c>
      <c r="J66" s="38">
        <f>IF(J38="","",IFERROR(J38/('연간'!X4),""))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IF(H40="","",IFERROR(H40/('연간'!V49),""))</f>
        <v/>
      </c>
      <c r="I67" s="38">
        <f>IF(I40="","",IFERROR(I40/('연간'!W49),""))</f>
        <v/>
      </c>
      <c r="J67" s="38">
        <f>IF(J40="","",IFERROR(J40/('연간'!X49),""))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2024</t>
        </is>
      </c>
      <c r="I70" s="5" t="inlineStr">
        <is>
          <t>2025</t>
        </is>
      </c>
      <c r="J70" s="5" t="inlineStr">
        <is>
          <t>2026</t>
        </is>
      </c>
    </row>
    <row r="71">
      <c r="A71" s="20" t="inlineStr">
        <is>
          <t>현금 및 예금</t>
        </is>
      </c>
      <c r="C71" s="22" t="n">
        <v>6326.593</v>
      </c>
      <c r="D71" s="22" t="n">
        <v>6976.454</v>
      </c>
      <c r="E71" s="22" t="n">
        <v>6281.004</v>
      </c>
      <c r="F71" s="22" t="n">
        <v>8189.818</v>
      </c>
      <c r="G71" s="22" t="n">
        <v>5996.27</v>
      </c>
      <c r="H71" s="22" t="n">
        <v>4891.824</v>
      </c>
      <c r="I71" s="22" t="n">
        <v>6191.921</v>
      </c>
      <c r="J71" s="22" t="n">
        <v>8189.818</v>
      </c>
    </row>
    <row r="72">
      <c r="A72" s="20" t="inlineStr">
        <is>
          <t>받을어음·매출채권</t>
        </is>
      </c>
      <c r="C72" s="22" t="n">
        <v>8000.102</v>
      </c>
      <c r="D72" s="22" t="n">
        <v>8757.168</v>
      </c>
      <c r="E72" s="22" t="n">
        <v>8543.853999999999</v>
      </c>
      <c r="F72" s="22" t="n">
        <v>7969.666</v>
      </c>
      <c r="G72" s="22" t="n">
        <v>8324.460999999999</v>
      </c>
      <c r="H72" s="22" t="n">
        <v>7064.734</v>
      </c>
      <c r="I72" s="22" t="n">
        <v>7476.558</v>
      </c>
      <c r="J72" s="22" t="n">
        <v>7969.666</v>
      </c>
    </row>
    <row r="73">
      <c r="A73" s="20" t="inlineStr">
        <is>
          <t>전자기록채권</t>
        </is>
      </c>
      <c r="C73" s="22" t="n">
        <v>627.486</v>
      </c>
      <c r="D73" s="22" t="n">
        <v>694.909</v>
      </c>
      <c r="E73" s="22" t="n">
        <v>752.307</v>
      </c>
      <c r="F73" s="22" t="n">
        <v>721.12</v>
      </c>
      <c r="G73" s="22" t="n">
        <v>695.806</v>
      </c>
      <c r="H73" s="22" t="n">
        <v>696.494</v>
      </c>
      <c r="I73" s="22" t="n">
        <v>609.169</v>
      </c>
      <c r="J73" s="22" t="n">
        <v>721.12</v>
      </c>
    </row>
    <row r="74">
      <c r="A74" s="20" t="inlineStr">
        <is>
          <t>상품·제품</t>
        </is>
      </c>
      <c r="C74" s="22" t="n">
        <v>253.653</v>
      </c>
      <c r="D74" s="22" t="n">
        <v>242.926</v>
      </c>
      <c r="E74" s="22" t="n">
        <v>191.382</v>
      </c>
      <c r="F74" s="22" t="n">
        <v>182.782</v>
      </c>
      <c r="G74" s="22" t="n">
        <v>226.537</v>
      </c>
      <c r="H74" s="22" t="n">
        <v>387.361</v>
      </c>
      <c r="I74" s="22" t="n">
        <v>221.741</v>
      </c>
      <c r="J74" s="22" t="n">
        <v>182.782</v>
      </c>
    </row>
    <row r="75">
      <c r="A75" s="20" t="inlineStr">
        <is>
          <t>원재료·저장품</t>
        </is>
      </c>
      <c r="C75" s="22" t="n">
        <v>381.88</v>
      </c>
      <c r="D75" s="22" t="n">
        <v>423.68</v>
      </c>
      <c r="E75" s="22" t="n">
        <v>417.277</v>
      </c>
      <c r="F75" s="22" t="n">
        <v>430.779</v>
      </c>
      <c r="G75" s="22" t="n">
        <v>425.4</v>
      </c>
      <c r="H75" s="22" t="n">
        <v>295.978</v>
      </c>
      <c r="I75" s="22" t="n">
        <v>369.331</v>
      </c>
      <c r="J75" s="22" t="n">
        <v>430.779</v>
      </c>
    </row>
    <row r="76">
      <c r="A76" s="20" t="inlineStr">
        <is>
          <t>기타</t>
        </is>
      </c>
      <c r="C76" s="22" t="n">
        <v>1957.942</v>
      </c>
      <c r="D76" s="22" t="n">
        <v>1908.112</v>
      </c>
      <c r="E76" s="22" t="n">
        <v>1899.413</v>
      </c>
      <c r="F76" s="22" t="n">
        <v>1692.635</v>
      </c>
      <c r="G76" s="22" t="n">
        <v>2037.687</v>
      </c>
      <c r="H76" s="22" t="n">
        <v>1492.445</v>
      </c>
      <c r="I76" s="22" t="n">
        <v>1553.607</v>
      </c>
      <c r="J76" s="22" t="n">
        <v>1692.635</v>
      </c>
    </row>
    <row r="77">
      <c r="A77" s="20" t="inlineStr">
        <is>
          <t>대손충당금</t>
        </is>
      </c>
      <c r="C77" s="22" t="n">
        <v>-408.198</v>
      </c>
      <c r="D77" s="22" t="n">
        <v>-522.222</v>
      </c>
      <c r="E77" s="22" t="n">
        <v>-536.675</v>
      </c>
      <c r="F77" s="22" t="n">
        <v>-523.013</v>
      </c>
      <c r="G77" s="22" t="n">
        <v>-536.491</v>
      </c>
      <c r="H77" s="22" t="n">
        <v>-272.739</v>
      </c>
      <c r="I77" s="22" t="n">
        <v>-345.837</v>
      </c>
      <c r="J77" s="22" t="n">
        <v>-523.013</v>
      </c>
    </row>
    <row r="78">
      <c r="A78" s="9" t="inlineStr">
        <is>
          <t>유동자산 합계</t>
        </is>
      </c>
      <c r="C78" s="12" t="n">
        <v>17139.459</v>
      </c>
      <c r="D78" s="12" t="n">
        <v>18481.028</v>
      </c>
      <c r="E78" s="12" t="n">
        <v>17548.563</v>
      </c>
      <c r="F78" s="12" t="n">
        <v>18663.789</v>
      </c>
      <c r="G78" s="12" t="n">
        <v>17169.672</v>
      </c>
      <c r="H78" s="12" t="n">
        <v>14556.098</v>
      </c>
      <c r="I78" s="12" t="n">
        <v>16076.493</v>
      </c>
      <c r="J78" s="12" t="n">
        <v>18663.789</v>
      </c>
    </row>
    <row r="79">
      <c r="A79" s="20" t="inlineStr">
        <is>
          <t>렌털용 자산[자가](순액)</t>
        </is>
      </c>
      <c r="C79" s="22" t="n">
        <v>16445.894</v>
      </c>
      <c r="D79" s="22" t="n">
        <v>18303.841</v>
      </c>
      <c r="E79" s="22" t="n">
        <v>19658.88</v>
      </c>
      <c r="F79" s="22" t="n">
        <v>19898.471</v>
      </c>
      <c r="G79" s="22" t="n">
        <v>21309.752</v>
      </c>
      <c r="H79" s="22" t="n">
        <v>11690.008</v>
      </c>
      <c r="I79" s="22" t="n">
        <v>15932.804</v>
      </c>
      <c r="J79" s="22" t="n">
        <v>19898.471</v>
      </c>
    </row>
    <row r="80">
      <c r="A80" s="20" t="inlineStr">
        <is>
          <t>렌털용 자산[리스](순액)</t>
        </is>
      </c>
      <c r="C80" s="22" t="n">
        <v>7573.457</v>
      </c>
      <c r="D80" s="22" t="n">
        <v>7948.214</v>
      </c>
      <c r="E80" s="22" t="n">
        <v>8417.172</v>
      </c>
      <c r="F80" s="22" t="n">
        <v>8180.057</v>
      </c>
      <c r="G80" s="22" t="n">
        <v>8136.254</v>
      </c>
      <c r="H80" s="22" t="n">
        <v>7060.584</v>
      </c>
      <c r="I80" s="22" t="n">
        <v>7549.522</v>
      </c>
      <c r="J80" s="22" t="n">
        <v>8180.057</v>
      </c>
    </row>
    <row r="81">
      <c r="A81" s="20" t="inlineStr">
        <is>
          <t>건물·구축물(순액)</t>
        </is>
      </c>
      <c r="C81" s="22" t="n">
        <v>4754.195</v>
      </c>
      <c r="D81" s="22" t="n">
        <v>4792.93</v>
      </c>
      <c r="E81" s="22" t="n">
        <v>4832.226</v>
      </c>
      <c r="F81" s="22" t="n">
        <v>5135.001</v>
      </c>
      <c r="G81" s="22" t="n">
        <v>5149.53</v>
      </c>
      <c r="H81" s="22" t="n">
        <v>4747.763</v>
      </c>
      <c r="I81" s="22" t="n">
        <v>4720.144</v>
      </c>
      <c r="J81" s="22" t="n">
        <v>5135.001</v>
      </c>
    </row>
    <row r="82">
      <c r="A82" s="20" t="inlineStr">
        <is>
          <t>기계장치·운반구(순액)</t>
        </is>
      </c>
      <c r="C82" s="22" t="n">
        <v>879.396</v>
      </c>
      <c r="D82" s="22" t="n">
        <v>854.879</v>
      </c>
      <c r="E82" s="22" t="n">
        <v>844.373</v>
      </c>
      <c r="F82" s="22" t="n">
        <v>858.682</v>
      </c>
      <c r="G82" s="22" t="n">
        <v>883.327</v>
      </c>
      <c r="H82" s="22" t="n">
        <v>732.606</v>
      </c>
      <c r="I82" s="22" t="n">
        <v>861.578</v>
      </c>
      <c r="J82" s="22" t="n">
        <v>858.682</v>
      </c>
    </row>
    <row r="83">
      <c r="A83" s="20" t="inlineStr">
        <is>
          <t>토지</t>
        </is>
      </c>
      <c r="C83" s="22" t="n">
        <v>6778.876</v>
      </c>
      <c r="D83" s="22" t="n">
        <v>8363.564</v>
      </c>
      <c r="E83" s="22" t="n">
        <v>8366.333000000001</v>
      </c>
      <c r="F83" s="22" t="n">
        <v>8366.546</v>
      </c>
      <c r="G83" s="22" t="n">
        <v>8364.415999999999</v>
      </c>
      <c r="H83" s="22" t="n">
        <v>6776.263</v>
      </c>
      <c r="I83" s="22" t="n">
        <v>6776.476</v>
      </c>
      <c r="J83" s="22" t="n">
        <v>8366.546</v>
      </c>
    </row>
    <row r="84">
      <c r="A84" s="20" t="inlineStr">
        <is>
          <t>리스자산(순액)</t>
        </is>
      </c>
      <c r="C84" s="22" t="n">
        <v>347.882</v>
      </c>
      <c r="D84" s="22" t="n">
        <v>365.473</v>
      </c>
      <c r="E84" s="22" t="n">
        <v>340.721</v>
      </c>
      <c r="F84" s="22" t="n">
        <v>340.654</v>
      </c>
      <c r="G84" s="22" t="n">
        <v>297.117</v>
      </c>
      <c r="H84" s="22" t="n">
        <v>389.904</v>
      </c>
      <c r="I84" s="22" t="n">
        <v>369.715</v>
      </c>
      <c r="J84" s="22" t="n">
        <v>340.654</v>
      </c>
    </row>
    <row r="85">
      <c r="A85" s="20" t="inlineStr">
        <is>
          <t>건설중인자산</t>
        </is>
      </c>
      <c r="F85" s="22" t="n">
        <v>474.693</v>
      </c>
      <c r="H85" s="22" t="n">
        <v>131.002</v>
      </c>
      <c r="I85" s="22" t="n">
        <v>297.889</v>
      </c>
      <c r="J85" s="22" t="n">
        <v>474.693</v>
      </c>
    </row>
    <row r="86">
      <c r="A86" s="20" t="inlineStr">
        <is>
          <t>기타(순액)</t>
        </is>
      </c>
      <c r="C86" s="22" t="n">
        <v>737.3440000000001</v>
      </c>
      <c r="D86" s="22" t="n">
        <v>875.7089999999999</v>
      </c>
      <c r="E86" s="22" t="n">
        <v>866.413</v>
      </c>
      <c r="F86" s="22" t="n">
        <v>910.932</v>
      </c>
      <c r="G86" s="22" t="n">
        <v>994.59</v>
      </c>
      <c r="H86" s="22" t="n">
        <v>325.766</v>
      </c>
      <c r="I86" s="22" t="n">
        <v>395.658</v>
      </c>
      <c r="J86" s="22" t="n">
        <v>910.932</v>
      </c>
    </row>
    <row r="87">
      <c r="A87" s="20" t="inlineStr">
        <is>
          <t>유형자산 합계</t>
        </is>
      </c>
      <c r="C87" s="22" t="n">
        <v>37517.047</v>
      </c>
      <c r="D87" s="22" t="n">
        <v>41504.612</v>
      </c>
      <c r="E87" s="22" t="n">
        <v>43326.122</v>
      </c>
      <c r="F87" s="22" t="n">
        <v>43690.346</v>
      </c>
      <c r="G87" s="22" t="n">
        <v>45134.99</v>
      </c>
      <c r="H87" s="22" t="n">
        <v>31853.902</v>
      </c>
      <c r="I87" s="22" t="n">
        <v>36903.791</v>
      </c>
      <c r="J87" s="22" t="n">
        <v>43690.346</v>
      </c>
    </row>
    <row r="88">
      <c r="A88" s="20" t="inlineStr">
        <is>
          <t>영업권</t>
        </is>
      </c>
      <c r="D88" s="22" t="n">
        <v>560.972</v>
      </c>
      <c r="E88" s="22" t="n">
        <v>554.434</v>
      </c>
      <c r="F88" s="22" t="n">
        <v>557.538</v>
      </c>
      <c r="G88" s="22" t="n">
        <v>545.222</v>
      </c>
      <c r="I88" s="22" t="n">
        <v>4.817</v>
      </c>
      <c r="J88" s="22" t="n">
        <v>557.538</v>
      </c>
    </row>
    <row r="89">
      <c r="A89" s="20" t="inlineStr">
        <is>
          <t>기타</t>
        </is>
      </c>
      <c r="C89" s="22" t="n">
        <v>381.609</v>
      </c>
      <c r="D89" s="22" t="n">
        <v>368.55</v>
      </c>
      <c r="E89" s="22" t="n">
        <v>353.082</v>
      </c>
      <c r="F89" s="22" t="n">
        <v>326.651</v>
      </c>
      <c r="G89" s="22" t="n">
        <v>391.606</v>
      </c>
      <c r="H89" s="22" t="n">
        <v>465.595</v>
      </c>
      <c r="I89" s="22" t="n">
        <v>399.851</v>
      </c>
      <c r="J89" s="22" t="n">
        <v>326.651</v>
      </c>
    </row>
    <row r="90">
      <c r="A90" s="20" t="inlineStr">
        <is>
          <t>무형자산 합계</t>
        </is>
      </c>
      <c r="C90" s="22" t="n">
        <v>381.609</v>
      </c>
      <c r="D90" s="22" t="n">
        <v>929.522</v>
      </c>
      <c r="E90" s="22" t="n">
        <v>907.516</v>
      </c>
      <c r="F90" s="22" t="n">
        <v>884.1900000000001</v>
      </c>
      <c r="G90" s="22" t="n">
        <v>936.829</v>
      </c>
      <c r="H90" s="22" t="n">
        <v>465.595</v>
      </c>
      <c r="I90" s="22" t="n">
        <v>404.668</v>
      </c>
      <c r="J90" s="22" t="n">
        <v>884.1900000000001</v>
      </c>
    </row>
    <row r="91">
      <c r="A91" s="20" t="inlineStr">
        <is>
          <t>투자유가증권</t>
        </is>
      </c>
      <c r="C91" s="22" t="n">
        <v>700.437</v>
      </c>
      <c r="D91" s="22" t="n">
        <v>764.024</v>
      </c>
      <c r="E91" s="22" t="n">
        <v>832.943</v>
      </c>
      <c r="F91" s="22" t="n">
        <v>849.099</v>
      </c>
      <c r="G91" s="22" t="n">
        <v>875.732</v>
      </c>
      <c r="H91" s="22" t="n">
        <v>776.896</v>
      </c>
      <c r="I91" s="22" t="n">
        <v>698.025</v>
      </c>
      <c r="J91" s="22" t="n">
        <v>849.099</v>
      </c>
    </row>
    <row r="92">
      <c r="A92" s="20" t="inlineStr">
        <is>
          <t>이연법인세자산</t>
        </is>
      </c>
      <c r="C92" s="22" t="n">
        <v>1501.162</v>
      </c>
      <c r="D92" s="22" t="n">
        <v>1729.8</v>
      </c>
      <c r="E92" s="22" t="n">
        <v>1532.94</v>
      </c>
      <c r="F92" s="22" t="n">
        <v>1755.739</v>
      </c>
      <c r="G92" s="22" t="n">
        <v>1522.387</v>
      </c>
      <c r="H92" s="22" t="n">
        <v>1732.167</v>
      </c>
      <c r="I92" s="22" t="n">
        <v>1644.266</v>
      </c>
      <c r="J92" s="22" t="n">
        <v>1755.739</v>
      </c>
    </row>
    <row r="93">
      <c r="A93" s="20" t="inlineStr">
        <is>
          <t>임차보증금·보증금</t>
        </is>
      </c>
      <c r="C93" s="22" t="n">
        <v>1694.434</v>
      </c>
      <c r="D93" s="22" t="n">
        <v>1811.192</v>
      </c>
      <c r="E93" s="22" t="n">
        <v>1816.603</v>
      </c>
      <c r="F93" s="22" t="n">
        <v>1811.359</v>
      </c>
      <c r="G93" s="22" t="n">
        <v>1819.594</v>
      </c>
      <c r="H93" s="22" t="n">
        <v>1505.924</v>
      </c>
      <c r="I93" s="22" t="n">
        <v>1700.793</v>
      </c>
      <c r="J93" s="22" t="n">
        <v>1811.359</v>
      </c>
    </row>
    <row r="94">
      <c r="A94" s="20" t="inlineStr">
        <is>
          <t>기타</t>
        </is>
      </c>
      <c r="C94" s="22" t="n">
        <v>502.648</v>
      </c>
      <c r="D94" s="22" t="n">
        <v>549.765</v>
      </c>
      <c r="E94" s="22" t="n">
        <v>577.394</v>
      </c>
      <c r="F94" s="22" t="n">
        <v>580.545</v>
      </c>
      <c r="G94" s="22" t="n">
        <v>577.521</v>
      </c>
      <c r="H94" s="22" t="n">
        <v>451.046</v>
      </c>
      <c r="I94" s="22" t="n">
        <v>507.898</v>
      </c>
      <c r="J94" s="22" t="n">
        <v>580.545</v>
      </c>
    </row>
    <row r="95">
      <c r="A95" s="20" t="inlineStr">
        <is>
          <t>대손충당금</t>
        </is>
      </c>
      <c r="C95" s="22" t="n">
        <v>-20.55</v>
      </c>
      <c r="D95" s="22" t="n">
        <v>-28.22</v>
      </c>
      <c r="E95" s="22" t="n">
        <v>-32.449</v>
      </c>
      <c r="F95" s="22" t="n">
        <v>-33.4</v>
      </c>
      <c r="G95" s="22" t="n">
        <v>-37.284</v>
      </c>
      <c r="H95" s="22" t="n">
        <v>-45.038</v>
      </c>
      <c r="I95" s="22" t="n">
        <v>-25.56</v>
      </c>
      <c r="J95" s="22" t="n">
        <v>-33.4</v>
      </c>
    </row>
    <row r="96">
      <c r="A96" s="20" t="inlineStr">
        <is>
          <t>투자 및 기타자산 합계</t>
        </is>
      </c>
      <c r="C96" s="22" t="n">
        <v>4378.131</v>
      </c>
      <c r="D96" s="22" t="n">
        <v>4826.562</v>
      </c>
      <c r="E96" s="22" t="n">
        <v>4727.433</v>
      </c>
      <c r="F96" s="22" t="n">
        <v>4963.343</v>
      </c>
      <c r="G96" s="22" t="n">
        <v>4757.95</v>
      </c>
      <c r="H96" s="22" t="n">
        <v>4420.996</v>
      </c>
      <c r="I96" s="22" t="n">
        <v>4525.423</v>
      </c>
      <c r="J96" s="22" t="n">
        <v>4963.343</v>
      </c>
    </row>
    <row r="97">
      <c r="A97" s="9" t="inlineStr">
        <is>
          <t>비유동자산 합계</t>
        </is>
      </c>
      <c r="C97" s="12" t="n">
        <v>42276.788</v>
      </c>
      <c r="D97" s="12" t="n">
        <v>47260.697</v>
      </c>
      <c r="E97" s="12" t="n">
        <v>48961.071</v>
      </c>
      <c r="F97" s="12" t="n">
        <v>49537.88</v>
      </c>
      <c r="G97" s="12" t="n">
        <v>50829.77</v>
      </c>
      <c r="H97" s="12" t="n">
        <v>36740.494</v>
      </c>
      <c r="I97" s="12" t="n">
        <v>41833.883</v>
      </c>
      <c r="J97" s="12" t="n">
        <v>49537.88</v>
      </c>
    </row>
    <row r="98">
      <c r="A98" s="9" t="inlineStr">
        <is>
          <t>자산 합계</t>
        </is>
      </c>
      <c r="C98" s="12" t="n">
        <v>59416.248</v>
      </c>
      <c r="D98" s="12" t="n">
        <v>65741.726</v>
      </c>
      <c r="E98" s="12" t="n">
        <v>66509.63499999999</v>
      </c>
      <c r="F98" s="12" t="n">
        <v>68201.67</v>
      </c>
      <c r="G98" s="12" t="n">
        <v>67999.442</v>
      </c>
      <c r="H98" s="12" t="n">
        <v>51296.592</v>
      </c>
      <c r="I98" s="12" t="n">
        <v>57910.376</v>
      </c>
      <c r="J98" s="12" t="n">
        <v>68201.67</v>
      </c>
    </row>
    <row r="99">
      <c r="A99" s="20" t="inlineStr">
        <is>
          <t>지급어음·매입채무</t>
        </is>
      </c>
      <c r="C99" s="22" t="n">
        <v>499.302</v>
      </c>
      <c r="D99" s="22" t="n">
        <v>430.743</v>
      </c>
      <c r="E99" s="22" t="n">
        <v>395.83</v>
      </c>
      <c r="F99" s="22" t="n">
        <v>371.446</v>
      </c>
      <c r="G99" s="22" t="n">
        <v>345.621</v>
      </c>
      <c r="H99" s="22" t="n">
        <v>3620.328</v>
      </c>
      <c r="I99" s="22" t="n">
        <v>413.853</v>
      </c>
      <c r="J99" s="22" t="n">
        <v>371.446</v>
      </c>
    </row>
    <row r="100">
      <c r="A100" s="20" t="inlineStr">
        <is>
          <t>전자기록채무</t>
        </is>
      </c>
      <c r="C100" s="22" t="n">
        <v>3423.34</v>
      </c>
      <c r="D100" s="22" t="n">
        <v>3571.051</v>
      </c>
      <c r="E100" s="22" t="n">
        <v>2673.024</v>
      </c>
      <c r="F100" s="22" t="n">
        <v>468.523</v>
      </c>
      <c r="G100" s="22" t="n">
        <v>433.159</v>
      </c>
      <c r="H100" s="22" t="n">
        <v>0</v>
      </c>
      <c r="I100" s="22" t="n">
        <v>3578.972</v>
      </c>
      <c r="J100" s="22" t="n">
        <v>468.523</v>
      </c>
    </row>
    <row r="101">
      <c r="A101" s="20" t="inlineStr">
        <is>
          <t>단기차입금</t>
        </is>
      </c>
      <c r="C101" s="22" t="n">
        <v>2343.25</v>
      </c>
      <c r="D101" s="22" t="n">
        <v>4540.418</v>
      </c>
      <c r="E101" s="22" t="n">
        <v>6318</v>
      </c>
      <c r="F101" s="22" t="n">
        <v>1929.4</v>
      </c>
      <c r="G101" s="22" t="n">
        <v>3587.8</v>
      </c>
      <c r="H101" s="22" t="n">
        <v>3711.04</v>
      </c>
      <c r="I101" s="22" t="n">
        <v>2210</v>
      </c>
      <c r="J101" s="22" t="n">
        <v>1929.4</v>
      </c>
    </row>
    <row r="102">
      <c r="A102" s="20" t="inlineStr">
        <is>
          <t>1년 내 상환 사채</t>
        </is>
      </c>
      <c r="C102" s="22" t="n">
        <v>30</v>
      </c>
      <c r="D102" s="22" t="n">
        <v>30</v>
      </c>
      <c r="E102" s="22" t="n">
        <v>30</v>
      </c>
      <c r="F102" s="22" t="n">
        <v>30</v>
      </c>
      <c r="G102" s="22" t="n">
        <v>30</v>
      </c>
      <c r="H102" s="22" t="n">
        <v>30</v>
      </c>
      <c r="I102" s="22" t="n">
        <v>30</v>
      </c>
      <c r="J102" s="22" t="n">
        <v>30</v>
      </c>
    </row>
    <row r="103">
      <c r="A103" s="20" t="inlineStr">
        <is>
          <t>1년 내 상환 장기차입금</t>
        </is>
      </c>
      <c r="C103" s="22" t="n">
        <v>5326.427</v>
      </c>
      <c r="D103" s="22" t="n">
        <v>5199.44</v>
      </c>
      <c r="E103" s="22" t="n">
        <v>5172.847</v>
      </c>
      <c r="F103" s="22" t="n">
        <v>6492.78</v>
      </c>
      <c r="G103" s="22" t="n">
        <v>6160.342</v>
      </c>
      <c r="H103" s="22" t="n">
        <v>4462.896</v>
      </c>
      <c r="I103" s="22" t="n">
        <v>5461.81</v>
      </c>
      <c r="J103" s="22" t="n">
        <v>6492.78</v>
      </c>
    </row>
    <row r="104">
      <c r="A104" s="20" t="inlineStr">
        <is>
          <t>리스부채</t>
        </is>
      </c>
      <c r="C104" s="22" t="n">
        <v>2108.734</v>
      </c>
      <c r="D104" s="22" t="n">
        <v>2286.701</v>
      </c>
      <c r="E104" s="22" t="n">
        <v>2553.249</v>
      </c>
      <c r="F104" s="22" t="n">
        <v>2527.495</v>
      </c>
      <c r="G104" s="22" t="n">
        <v>2532.615</v>
      </c>
      <c r="H104" s="22" t="n">
        <v>2855.464</v>
      </c>
      <c r="I104" s="22" t="n">
        <v>2166.827</v>
      </c>
      <c r="J104" s="22" t="n">
        <v>2527.495</v>
      </c>
    </row>
    <row r="105">
      <c r="A105" s="20" t="inlineStr">
        <is>
          <t>미지급금</t>
        </is>
      </c>
      <c r="C105" s="22" t="n">
        <v>3156.365</v>
      </c>
      <c r="D105" s="22" t="n">
        <v>3268.191</v>
      </c>
      <c r="E105" s="22" t="n">
        <v>3062.368</v>
      </c>
      <c r="F105" s="22" t="n">
        <v>2954.772</v>
      </c>
      <c r="G105" s="22" t="n">
        <v>3390.289</v>
      </c>
      <c r="H105" s="22" t="n">
        <v>2485.22</v>
      </c>
      <c r="I105" s="22" t="n">
        <v>2611.191</v>
      </c>
      <c r="J105" s="22" t="n">
        <v>2954.772</v>
      </c>
    </row>
    <row r="106">
      <c r="A106" s="20" t="inlineStr">
        <is>
          <t>미지급법인세</t>
        </is>
      </c>
      <c r="C106" s="22" t="n">
        <v>261.477</v>
      </c>
      <c r="D106" s="22" t="n">
        <v>1115.03</v>
      </c>
      <c r="E106" s="22" t="n">
        <v>821.152</v>
      </c>
      <c r="F106" s="22" t="n">
        <v>908.749</v>
      </c>
      <c r="G106" s="22" t="n">
        <v>260.281</v>
      </c>
      <c r="H106" s="22" t="n">
        <v>644.728</v>
      </c>
      <c r="I106" s="22" t="n">
        <v>654.4160000000001</v>
      </c>
      <c r="J106" s="22" t="n">
        <v>908.749</v>
      </c>
    </row>
    <row r="107">
      <c r="A107" s="20" t="inlineStr">
        <is>
          <t>상여충당금</t>
        </is>
      </c>
      <c r="C107" s="22" t="n">
        <v>814.957</v>
      </c>
      <c r="D107" s="22" t="n">
        <v>1340.318</v>
      </c>
      <c r="E107" s="22" t="n">
        <v>773.789</v>
      </c>
      <c r="F107" s="22" t="n">
        <v>1343.044</v>
      </c>
      <c r="G107" s="22" t="n">
        <v>893.323</v>
      </c>
      <c r="H107" s="22" t="n">
        <v>1114.23</v>
      </c>
      <c r="I107" s="22" t="n">
        <v>1277.339</v>
      </c>
      <c r="J107" s="22" t="n">
        <v>1343.044</v>
      </c>
    </row>
    <row r="108">
      <c r="A108" s="20" t="inlineStr">
        <is>
          <t>기타</t>
        </is>
      </c>
      <c r="C108" s="22" t="n">
        <v>2744.462</v>
      </c>
      <c r="D108" s="22" t="n">
        <v>3798.659</v>
      </c>
      <c r="E108" s="22" t="n">
        <v>3552.431</v>
      </c>
      <c r="F108" s="22" t="n">
        <v>2968.846</v>
      </c>
      <c r="G108" s="22" t="n">
        <v>3327.017</v>
      </c>
      <c r="H108" s="22" t="n">
        <v>2320.774</v>
      </c>
      <c r="I108" s="22" t="n">
        <v>2561.331</v>
      </c>
      <c r="J108" s="22" t="n">
        <v>2968.846</v>
      </c>
    </row>
    <row r="109">
      <c r="A109" s="9" t="inlineStr">
        <is>
          <t>유동부채 합계</t>
        </is>
      </c>
      <c r="C109" s="12" t="n">
        <v>20708.315</v>
      </c>
      <c r="D109" s="12" t="n">
        <v>25580.556</v>
      </c>
      <c r="E109" s="12" t="n">
        <v>25352.692</v>
      </c>
      <c r="F109" s="12" t="n">
        <v>19995.059</v>
      </c>
      <c r="G109" s="12" t="n">
        <v>20960.451</v>
      </c>
      <c r="H109" s="12" t="n">
        <v>21244.683</v>
      </c>
      <c r="I109" s="12" t="n">
        <v>20965.744</v>
      </c>
      <c r="J109" s="12" t="n">
        <v>19995.059</v>
      </c>
    </row>
    <row r="110">
      <c r="A110" s="20" t="inlineStr">
        <is>
          <t>사채</t>
        </is>
      </c>
      <c r="C110" s="22" t="n">
        <v>145</v>
      </c>
      <c r="D110" s="22" t="n">
        <v>130</v>
      </c>
      <c r="E110" s="22" t="n">
        <v>130</v>
      </c>
      <c r="F110" s="22" t="n">
        <v>115</v>
      </c>
      <c r="G110" s="22" t="n">
        <v>115</v>
      </c>
      <c r="H110" s="22" t="n">
        <v>175</v>
      </c>
      <c r="I110" s="22" t="n">
        <v>145</v>
      </c>
      <c r="J110" s="22" t="n">
        <v>115</v>
      </c>
    </row>
    <row r="111">
      <c r="A111" s="20" t="inlineStr">
        <is>
          <t>장기차입금</t>
        </is>
      </c>
      <c r="C111" s="22" t="n">
        <v>12179.634</v>
      </c>
      <c r="D111" s="22" t="n">
        <v>11854.473</v>
      </c>
      <c r="E111" s="22" t="n">
        <v>11642.258</v>
      </c>
      <c r="F111" s="22" t="n">
        <v>18942.948</v>
      </c>
      <c r="G111" s="22" t="n">
        <v>17695.288</v>
      </c>
      <c r="H111" s="22" t="n">
        <v>10193.566</v>
      </c>
      <c r="I111" s="22" t="n">
        <v>13163.388</v>
      </c>
      <c r="J111" s="22" t="n">
        <v>18942.948</v>
      </c>
    </row>
    <row r="112">
      <c r="A112" s="20" t="inlineStr">
        <is>
          <t>리스부채</t>
        </is>
      </c>
      <c r="C112" s="22" t="n">
        <v>6237.349</v>
      </c>
      <c r="D112" s="22" t="n">
        <v>6466.432</v>
      </c>
      <c r="E112" s="22" t="n">
        <v>6645.195</v>
      </c>
      <c r="F112" s="22" t="n">
        <v>6407.949</v>
      </c>
      <c r="G112" s="22" t="n">
        <v>6324.277</v>
      </c>
      <c r="H112" s="22" t="n">
        <v>4804.721</v>
      </c>
      <c r="I112" s="22" t="n">
        <v>6132.695</v>
      </c>
      <c r="J112" s="22" t="n">
        <v>6407.949</v>
      </c>
    </row>
    <row r="113">
      <c r="A113" s="20" t="inlineStr">
        <is>
          <t>이연법인세부채</t>
        </is>
      </c>
      <c r="D113" s="22" t="n">
        <v>474.7</v>
      </c>
      <c r="E113" s="22" t="n">
        <v>476.69</v>
      </c>
      <c r="F113" s="22" t="n">
        <v>462.244</v>
      </c>
      <c r="G113" s="22" t="n">
        <v>463.915</v>
      </c>
      <c r="I113" s="22" t="n">
        <v>0</v>
      </c>
      <c r="J113" s="22" t="n">
        <v>462.244</v>
      </c>
    </row>
    <row r="114">
      <c r="A114" s="20" t="inlineStr">
        <is>
          <t>퇴직급여부채</t>
        </is>
      </c>
      <c r="C114" s="22" t="n">
        <v>2110.683</v>
      </c>
      <c r="D114" s="22" t="n">
        <v>2134.241</v>
      </c>
      <c r="E114" s="22" t="n">
        <v>2162.56</v>
      </c>
      <c r="F114" s="22" t="n">
        <v>2034.044</v>
      </c>
      <c r="G114" s="22" t="n">
        <v>2043.132</v>
      </c>
      <c r="H114" s="22" t="n">
        <v>2071.155</v>
      </c>
      <c r="I114" s="22" t="n">
        <v>2083.788</v>
      </c>
      <c r="J114" s="22" t="n">
        <v>2034.044</v>
      </c>
    </row>
    <row r="115">
      <c r="A115" s="20" t="inlineStr">
        <is>
          <t>자산복구부채</t>
        </is>
      </c>
      <c r="C115" s="22" t="n">
        <v>96.021</v>
      </c>
      <c r="D115" s="22" t="n">
        <v>96.22799999999999</v>
      </c>
      <c r="E115" s="22" t="n">
        <v>94.306</v>
      </c>
      <c r="F115" s="22" t="n">
        <v>117.374</v>
      </c>
      <c r="G115" s="22" t="n">
        <v>117.83</v>
      </c>
      <c r="H115" s="22" t="n">
        <v>97.40000000000001</v>
      </c>
      <c r="I115" s="22" t="n">
        <v>95.806</v>
      </c>
      <c r="J115" s="22" t="n">
        <v>117.374</v>
      </c>
    </row>
    <row r="116">
      <c r="A116" s="20" t="inlineStr">
        <is>
          <t>기타</t>
        </is>
      </c>
      <c r="C116" s="22" t="n">
        <v>95.971</v>
      </c>
      <c r="D116" s="22" t="n">
        <v>149.187</v>
      </c>
      <c r="E116" s="22" t="n">
        <v>149.099</v>
      </c>
      <c r="F116" s="22" t="n">
        <v>60.402</v>
      </c>
      <c r="G116" s="22" t="n">
        <v>88.29900000000001</v>
      </c>
      <c r="H116" s="22" t="n">
        <v>44.279</v>
      </c>
      <c r="I116" s="22" t="n">
        <v>88.366</v>
      </c>
      <c r="J116" s="22" t="n">
        <v>60.402</v>
      </c>
    </row>
    <row r="117">
      <c r="A117" s="9" t="inlineStr">
        <is>
          <t>비유동부채 합계</t>
        </is>
      </c>
      <c r="C117" s="12" t="n">
        <v>20864.66</v>
      </c>
      <c r="D117" s="12" t="n">
        <v>21305.263</v>
      </c>
      <c r="E117" s="12" t="n">
        <v>21300.11</v>
      </c>
      <c r="F117" s="12" t="n">
        <v>28139.963</v>
      </c>
      <c r="G117" s="12" t="n">
        <v>26847.744</v>
      </c>
      <c r="H117" s="12" t="n">
        <v>17386.122</v>
      </c>
      <c r="I117" s="12" t="n">
        <v>21709.046</v>
      </c>
      <c r="J117" s="12" t="n">
        <v>28139.963</v>
      </c>
    </row>
    <row r="118">
      <c r="A118" s="9" t="inlineStr">
        <is>
          <t>부채 합계</t>
        </is>
      </c>
      <c r="C118" s="12" t="n">
        <v>41572.976</v>
      </c>
      <c r="D118" s="12" t="n">
        <v>46885.819</v>
      </c>
      <c r="E118" s="12" t="n">
        <v>46652.803</v>
      </c>
      <c r="F118" s="12" t="n">
        <v>48135.022</v>
      </c>
      <c r="G118" s="12" t="n">
        <v>47808.195</v>
      </c>
      <c r="H118" s="12" t="n">
        <v>38630.806</v>
      </c>
      <c r="I118" s="12" t="n">
        <v>42674.79</v>
      </c>
      <c r="J118" s="12" t="n">
        <v>48135.022</v>
      </c>
    </row>
    <row r="119">
      <c r="A119" s="20" t="inlineStr">
        <is>
          <t>자본금</t>
        </is>
      </c>
      <c r="C119" s="22" t="n">
        <v>2649.182</v>
      </c>
      <c r="D119" s="22" t="n">
        <v>2649.182</v>
      </c>
      <c r="E119" s="22" t="n">
        <v>2649.182</v>
      </c>
      <c r="F119" s="22" t="n">
        <v>2649.182</v>
      </c>
      <c r="G119" s="22" t="n">
        <v>2649.182</v>
      </c>
      <c r="H119" s="22" t="n">
        <v>1401.12</v>
      </c>
      <c r="I119" s="22" t="n">
        <v>1401.12</v>
      </c>
      <c r="J119" s="22" t="n">
        <v>2649.182</v>
      </c>
    </row>
    <row r="120">
      <c r="A120" s="20" t="inlineStr">
        <is>
          <t>자본잉여금</t>
        </is>
      </c>
      <c r="C120" s="22" t="n">
        <v>2442.323</v>
      </c>
      <c r="D120" s="22" t="n">
        <v>2424.439</v>
      </c>
      <c r="E120" s="22" t="n">
        <v>2426.663</v>
      </c>
      <c r="F120" s="22" t="n">
        <v>2426.663</v>
      </c>
      <c r="G120" s="22" t="n">
        <v>2454.853</v>
      </c>
      <c r="H120" s="22" t="n">
        <v>1013.931</v>
      </c>
      <c r="I120" s="22" t="n">
        <v>1194.261</v>
      </c>
      <c r="J120" s="22" t="n">
        <v>2426.663</v>
      </c>
    </row>
    <row r="121">
      <c r="A121" s="20" t="inlineStr">
        <is>
          <t>이익잉여금</t>
        </is>
      </c>
      <c r="C121" s="22" t="n">
        <v>12572.043</v>
      </c>
      <c r="D121" s="22" t="n">
        <v>13719.552</v>
      </c>
      <c r="E121" s="22" t="n">
        <v>14689.814</v>
      </c>
      <c r="F121" s="22" t="n">
        <v>14782.803</v>
      </c>
      <c r="G121" s="22" t="n">
        <v>14822.333</v>
      </c>
      <c r="H121" s="22" t="n">
        <v>10205.608</v>
      </c>
      <c r="I121" s="22" t="n">
        <v>12458.016</v>
      </c>
      <c r="J121" s="22" t="n">
        <v>14782.803</v>
      </c>
    </row>
    <row r="122">
      <c r="A122" s="20" t="inlineStr">
        <is>
          <t>자기주식</t>
        </is>
      </c>
      <c r="C122" s="22" t="n">
        <v>-142.328</v>
      </c>
      <c r="D122" s="22" t="n">
        <v>-72.682</v>
      </c>
      <c r="E122" s="22" t="n">
        <v>-71.04300000000001</v>
      </c>
      <c r="F122" s="22" t="n">
        <v>-71.04300000000001</v>
      </c>
      <c r="G122" s="22" t="n">
        <v>-44.553</v>
      </c>
      <c r="H122" s="22" t="n">
        <v>-438.386</v>
      </c>
      <c r="I122" s="22" t="n">
        <v>-142.328</v>
      </c>
      <c r="J122" s="22" t="n">
        <v>-71.04300000000001</v>
      </c>
    </row>
    <row r="123">
      <c r="A123" s="9" t="inlineStr">
        <is>
          <t>주주자본 합계</t>
        </is>
      </c>
      <c r="C123" s="12" t="n">
        <v>17521.22</v>
      </c>
      <c r="D123" s="12" t="n">
        <v>18720.491</v>
      </c>
      <c r="E123" s="12" t="n">
        <v>19694.616</v>
      </c>
      <c r="F123" s="12" t="n">
        <v>19787.605</v>
      </c>
      <c r="G123" s="12" t="n">
        <v>19881.816</v>
      </c>
      <c r="H123" s="12" t="n">
        <v>12182.273</v>
      </c>
      <c r="I123" s="12" t="n">
        <v>14911.069</v>
      </c>
      <c r="J123" s="12" t="n">
        <v>19787.605</v>
      </c>
    </row>
    <row r="124">
      <c r="A124" s="20" t="inlineStr">
        <is>
          <t>기타유가증권 평가차액</t>
        </is>
      </c>
      <c r="C124" s="22" t="n">
        <v>209.237</v>
      </c>
      <c r="D124" s="22" t="n">
        <v>216.006</v>
      </c>
      <c r="E124" s="22" t="n">
        <v>254.105</v>
      </c>
      <c r="F124" s="22" t="n">
        <v>251.45</v>
      </c>
      <c r="G124" s="22" t="n">
        <v>289.971</v>
      </c>
      <c r="H124" s="22" t="n">
        <v>167.535</v>
      </c>
      <c r="I124" s="22" t="n">
        <v>175.207</v>
      </c>
      <c r="J124" s="22" t="n">
        <v>251.45</v>
      </c>
    </row>
    <row r="125">
      <c r="A125" s="20" t="inlineStr">
        <is>
          <t>이연헤지손익</t>
        </is>
      </c>
      <c r="C125" s="22" t="n">
        <v>-0.788</v>
      </c>
      <c r="D125" s="22" t="n">
        <v>1.022</v>
      </c>
      <c r="E125" s="22" t="n">
        <v>5.848</v>
      </c>
      <c r="F125" s="22" t="n">
        <v>5.933</v>
      </c>
      <c r="G125" s="22" t="n">
        <v>8.303000000000001</v>
      </c>
      <c r="H125" s="22" t="n">
        <v>0</v>
      </c>
      <c r="I125" s="22" t="n">
        <v>-2.8</v>
      </c>
      <c r="J125" s="22" t="n">
        <v>5.933</v>
      </c>
    </row>
    <row r="126">
      <c r="A126" s="20" t="inlineStr">
        <is>
          <t>해외사업환산조정</t>
        </is>
      </c>
      <c r="C126" s="22" t="n">
        <v>-205.843</v>
      </c>
      <c r="D126" s="22" t="n">
        <v>-238.442</v>
      </c>
      <c r="E126" s="22" t="n">
        <v>-253.864</v>
      </c>
      <c r="F126" s="22" t="n">
        <v>-231.947</v>
      </c>
      <c r="G126" s="22" t="n">
        <v>-234.755</v>
      </c>
      <c r="H126" s="22" t="n">
        <v>-168.824</v>
      </c>
      <c r="I126" s="22" t="n">
        <v>-211.744</v>
      </c>
      <c r="J126" s="22" t="n">
        <v>-231.947</v>
      </c>
    </row>
    <row r="127">
      <c r="A127" s="20" t="inlineStr">
        <is>
          <t>퇴직급여 조정누계액</t>
        </is>
      </c>
      <c r="C127" s="22" t="n">
        <v>86.199</v>
      </c>
      <c r="D127" s="22" t="n">
        <v>87.16200000000001</v>
      </c>
      <c r="E127" s="22" t="n">
        <v>88.125</v>
      </c>
      <c r="F127" s="22" t="n">
        <v>187.694</v>
      </c>
      <c r="G127" s="22" t="n">
        <v>183.828</v>
      </c>
      <c r="H127" s="22" t="n">
        <v>43.544</v>
      </c>
      <c r="I127" s="22" t="n">
        <v>85.23699999999999</v>
      </c>
      <c r="J127" s="22" t="n">
        <v>187.694</v>
      </c>
    </row>
    <row r="128">
      <c r="A128" s="20" t="inlineStr">
        <is>
          <t>기타포괄손익누계액 합계</t>
        </is>
      </c>
      <c r="C128" s="22" t="n">
        <v>88.80500000000001</v>
      </c>
      <c r="D128" s="22" t="n">
        <v>65.748</v>
      </c>
      <c r="E128" s="22" t="n">
        <v>94.214</v>
      </c>
      <c r="F128" s="22" t="n">
        <v>213.131</v>
      </c>
      <c r="G128" s="22" t="n">
        <v>247.347</v>
      </c>
      <c r="H128" s="22" t="n">
        <v>42.255</v>
      </c>
      <c r="I128" s="22" t="n">
        <v>45.9</v>
      </c>
      <c r="J128" s="22" t="n">
        <v>213.131</v>
      </c>
    </row>
    <row r="129">
      <c r="A129" s="20" t="inlineStr">
        <is>
          <t>신주예약권</t>
        </is>
      </c>
      <c r="C129" s="22" t="n">
        <v>74.70399999999999</v>
      </c>
      <c r="D129" s="22" t="n">
        <v>50.922</v>
      </c>
      <c r="E129" s="22" t="n">
        <v>50.922</v>
      </c>
      <c r="F129" s="22" t="n">
        <v>50.922</v>
      </c>
      <c r="G129" s="22" t="n">
        <v>50.922</v>
      </c>
      <c r="H129" s="22" t="n">
        <v>74.70399999999999</v>
      </c>
      <c r="I129" s="22" t="n">
        <v>74.70399999999999</v>
      </c>
      <c r="J129" s="22" t="n">
        <v>50.922</v>
      </c>
    </row>
    <row r="130">
      <c r="A130" s="20" t="inlineStr">
        <is>
          <t>비지배지분</t>
        </is>
      </c>
      <c r="C130" s="22" t="n">
        <v>158.541</v>
      </c>
      <c r="D130" s="22" t="n">
        <v>18.742</v>
      </c>
      <c r="E130" s="22" t="n">
        <v>17.078</v>
      </c>
      <c r="F130" s="22" t="n">
        <v>14.987</v>
      </c>
      <c r="G130" s="22" t="n">
        <v>11.159</v>
      </c>
      <c r="H130" s="22" t="n">
        <v>366.553</v>
      </c>
      <c r="I130" s="22" t="n">
        <v>203.911</v>
      </c>
      <c r="J130" s="22" t="n">
        <v>14.987</v>
      </c>
    </row>
    <row r="131">
      <c r="A131" s="9" t="inlineStr">
        <is>
          <t>순자산 합계</t>
        </is>
      </c>
      <c r="C131" s="12" t="n">
        <v>17843.271</v>
      </c>
      <c r="D131" s="12" t="n">
        <v>18855.906</v>
      </c>
      <c r="E131" s="12" t="n">
        <v>19856.832</v>
      </c>
      <c r="F131" s="12" t="n">
        <v>20066.647</v>
      </c>
      <c r="G131" s="12" t="n">
        <v>20191.247</v>
      </c>
      <c r="H131" s="12" t="n">
        <v>12665.786</v>
      </c>
      <c r="I131" s="12" t="n">
        <v>15235.585</v>
      </c>
      <c r="J131" s="12" t="n">
        <v>20066.647</v>
      </c>
    </row>
    <row r="132">
      <c r="A132" s="9" t="inlineStr">
        <is>
          <t>부채·순자산 합계</t>
        </is>
      </c>
      <c r="C132" s="12" t="n">
        <v>59416.248</v>
      </c>
      <c r="D132" s="12" t="n">
        <v>65741.726</v>
      </c>
      <c r="E132" s="12" t="n">
        <v>66509.63499999999</v>
      </c>
      <c r="F132" s="12" t="n">
        <v>68201.67</v>
      </c>
      <c r="G132" s="12" t="n">
        <v>67999.442</v>
      </c>
      <c r="H132" s="12" t="n">
        <v>51296.592</v>
      </c>
      <c r="I132" s="12" t="n">
        <v>57910.376</v>
      </c>
      <c r="J132" s="12" t="n">
        <v>68201.67</v>
      </c>
    </row>
  </sheetData>
  <conditionalFormatting sqref="C43:J43">
    <cfRule type="expression" priority="1" dxfId="0">
      <formula>AND(ISNUMBER(C43),C43&gt;1.0)</formula>
    </cfRule>
  </conditionalFormatting>
  <conditionalFormatting sqref="C44:J44">
    <cfRule type="expression" priority="2" dxfId="0">
      <formula>AND(ISNUMBER(C44),C44&gt;0.5)</formula>
    </cfRule>
  </conditionalFormatting>
  <conditionalFormatting sqref="C45:J45">
    <cfRule type="expression" priority="3" dxfId="0">
      <formula>AND(ISNUMBER(C45),C45&lt;0.5)</formula>
    </cfRule>
  </conditionalFormatting>
  <conditionalFormatting sqref="C46:J46">
    <cfRule type="expression" priority="4" dxfId="0">
      <formula>AND(ISNUMBER(C46),C46&lt;1.5)</formula>
    </cfRule>
  </conditionalFormatting>
  <conditionalFormatting sqref="C47:J47">
    <cfRule type="expression" priority="5" dxfId="0">
      <formula>AND(ISNUMBER(C47),C47&lt;1.0)</formula>
    </cfRule>
  </conditionalFormatting>
  <conditionalFormatting sqref="C48:J48">
    <cfRule type="expression" priority="6" dxfId="0">
      <formula>AND(ISNUMBER(C48),C48&lt;5)</formula>
    </cfRule>
  </conditionalFormatting>
  <conditionalFormatting sqref="C49:J49">
    <cfRule type="expression" priority="7" dxfId="0">
      <formula>AND(ISNUMBER(C49),C49&gt;4)</formula>
    </cfRule>
  </conditionalFormatting>
  <conditionalFormatting sqref="C51:J51">
    <cfRule type="expression" priority="8" dxfId="0">
      <formula>AND(ISNUMBER(C51),C51&lt;0.15)</formula>
    </cfRule>
  </conditionalFormatting>
  <conditionalFormatting sqref="C52:J52">
    <cfRule type="expression" priority="9" dxfId="0">
      <formula>AND(ISNUMBER(C52),C52&lt;0.05)</formula>
    </cfRule>
  </conditionalFormatting>
  <conditionalFormatting sqref="C53:J53">
    <cfRule type="expression" priority="10" dxfId="0">
      <formula>AND(ISNUMBER(C53),C53&lt;0.1)</formula>
    </cfRule>
  </conditionalFormatting>
  <conditionalFormatting sqref="C54:J54">
    <cfRule type="expression" priority="11" dxfId="0">
      <formula>AND(ISNUMBER(C54),C54&lt;0.4)</formula>
    </cfRule>
  </conditionalFormatting>
  <conditionalFormatting sqref="C55:J55">
    <cfRule type="expression" priority="12" dxfId="0">
      <formula>AND(ISNUMBER(C55),C55&lt;0.15)</formula>
    </cfRule>
  </conditionalFormatting>
  <conditionalFormatting sqref="C56:J56">
    <cfRule type="expression" priority="13" dxfId="0">
      <formula>AND(ISNUMBER(C56),C56&lt;0.1)</formula>
    </cfRule>
  </conditionalFormatting>
  <conditionalFormatting sqref="C64:J64">
    <cfRule type="expression" priority="14" dxfId="0">
      <formula>AND(ISNUMBER(C64),C64&lt;1.0)</formula>
    </cfRule>
  </conditionalFormatting>
  <conditionalFormatting sqref="C65:J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2026-10-15</t>
        </is>
      </c>
      <c r="B4" t="inlineStr">
        <is>
          <t>2027년 5월 결산기 １분기 결산단신</t>
        </is>
      </c>
      <c r="C4" t="inlineStr">
        <is>
          <t>https://www2.jpx.co.jp/disc/372A0/140120261013550025.pdf</t>
        </is>
      </c>
    </row>
    <row r="5">
      <c r="A5" t="inlineStr">
        <is>
          <t>2026-07-15</t>
        </is>
      </c>
      <c r="B5" t="inlineStr">
        <is>
          <t>2026년 5월 결산기 연간 결산단신</t>
        </is>
      </c>
      <c r="C5" t="inlineStr">
        <is>
          <t>https://www2.jpx.co.jp/disc/372A0/140120260713592297.pdf</t>
        </is>
      </c>
    </row>
    <row r="6">
      <c r="A6" t="inlineStr">
        <is>
          <t>2026-04-14</t>
        </is>
      </c>
      <c r="B6" t="inlineStr">
        <is>
          <t>2026년 5월 결산기 ３분기 결산단신</t>
        </is>
      </c>
      <c r="C6" t="inlineStr">
        <is>
          <t>https://www2.jpx.co.jp/disc/372A0/140120260410501521.pdf</t>
        </is>
      </c>
    </row>
    <row r="7">
      <c r="A7" t="inlineStr">
        <is>
          <t>2026-01-14</t>
        </is>
      </c>
      <c r="B7" t="inlineStr">
        <is>
          <t>2026년 5월 결산기 ２분기 결산단신</t>
        </is>
      </c>
      <c r="C7" t="inlineStr">
        <is>
          <t>https://www2.jpx.co.jp/disc/372A0/140120260113532876.pdf</t>
        </is>
      </c>
    </row>
    <row r="8">
      <c r="A8" t="inlineStr">
        <is>
          <t>2025-10-15</t>
        </is>
      </c>
      <c r="B8" t="inlineStr">
        <is>
          <t>2026년 5월 결산기 １분기 결산단신</t>
        </is>
      </c>
      <c r="C8" t="inlineStr">
        <is>
          <t>https://www2.jpx.co.jp/disc/372A0/140120251010571552.pdf</t>
        </is>
      </c>
    </row>
    <row r="9">
      <c r="A9" t="inlineStr">
        <is>
          <t>2025-07-15</t>
        </is>
      </c>
      <c r="B9" t="inlineStr">
        <is>
          <t>2025년 5월 결산기 연간 결산단신</t>
        </is>
      </c>
      <c r="C9" t="inlineStr">
        <is>
          <t>https://www2.jpx.co.jp/disc/372A0/140120250702507265.pdf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2026-10-28T07:02:19Z</dcterms:created>
  <dcterms:modified xmlns:dcterms="http://purl.org/dc/terms/" xmlns:xsi="http://www.w3.org/2001/XMLSchema-instance" xsi:type="dcterms:W3CDTF">2026-10-28T07:02:19Z</dcterms:modified>
</cp:coreProperties>
</file>