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6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에타이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/>
      <c r="D4" s="12" t="n"/>
      <c r="E4" s="12" t="n"/>
      <c r="F4" s="12" t="n"/>
      <c r="G4" s="12" t="n"/>
      <c r="H4" s="12" t="n"/>
      <c r="I4" s="12" t="n">
        <v>772.1</v>
      </c>
      <c r="J4" s="12" t="n">
        <v>756.688</v>
      </c>
      <c r="K4" s="12" t="n">
        <v>843.385</v>
      </c>
      <c r="L4" s="12" t="n">
        <v>808.759</v>
      </c>
      <c r="M4" s="12" t="n">
        <v>944.595</v>
      </c>
      <c r="N4" s="12" t="n">
        <v>843.432</v>
      </c>
      <c r="O4" s="11" t="n"/>
      <c r="P4" s="12" t="n"/>
      <c r="Q4" s="12" t="n"/>
      <c r="R4" s="12" t="n"/>
      <c r="S4" s="12" t="n"/>
      <c r="T4" s="12" t="n"/>
      <c r="U4" s="12" t="n"/>
      <c r="V4" s="12" t="n">
        <v>2376.316</v>
      </c>
      <c r="W4" s="12" t="n">
        <v>2929.212</v>
      </c>
      <c r="X4" s="12" t="n">
        <v>3440.171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/>
      <c r="D11" s="22" t="n"/>
      <c r="E11" s="22" t="n"/>
      <c r="F11" s="22" t="n"/>
      <c r="G11" s="22" t="n"/>
      <c r="H11" s="22" t="n"/>
      <c r="I11" s="22" t="n">
        <v>246.542</v>
      </c>
      <c r="J11" s="22" t="n">
        <v>263.558</v>
      </c>
      <c r="K11" s="22" t="n">
        <v>272.788</v>
      </c>
      <c r="L11" s="22" t="n">
        <v>263.07</v>
      </c>
      <c r="M11" s="22" t="n">
        <v>292.362</v>
      </c>
      <c r="N11" s="22" t="n">
        <v>273.561</v>
      </c>
      <c r="O11" s="21" t="n"/>
      <c r="P11" s="22" t="n"/>
      <c r="Q11" s="22" t="n"/>
      <c r="R11" s="22" t="n"/>
      <c r="S11" s="22" t="n"/>
      <c r="T11" s="22" t="n"/>
      <c r="U11" s="22" t="n"/>
      <c r="V11" s="22" t="n">
        <v>754.799</v>
      </c>
      <c r="W11" s="22" t="n">
        <v>934.272</v>
      </c>
      <c r="X11" s="22" t="n">
        <v>1101.781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/>
      <c r="D17" s="22" t="n"/>
      <c r="E17" s="22" t="n"/>
      <c r="F17" s="22" t="n"/>
      <c r="G17" s="22" t="n"/>
      <c r="H17" s="22" t="n"/>
      <c r="I17" s="22" t="n">
        <v>338.185</v>
      </c>
      <c r="J17" s="22" t="n">
        <v>380.108</v>
      </c>
      <c r="K17" s="22" t="n">
        <v>391.35</v>
      </c>
      <c r="L17" s="22" t="n">
        <v>338.246</v>
      </c>
      <c r="M17" s="22" t="n">
        <v>392.506</v>
      </c>
      <c r="N17" s="22" t="n">
        <v>349.028</v>
      </c>
      <c r="O17" s="21" t="n"/>
      <c r="P17" s="22" t="n"/>
      <c r="Q17" s="22" t="n"/>
      <c r="R17" s="22" t="n"/>
      <c r="S17" s="22" t="n"/>
      <c r="T17" s="22" t="n"/>
      <c r="U17" s="22" t="n"/>
      <c r="V17" s="22" t="n">
        <v>1115.375</v>
      </c>
      <c r="W17" s="22" t="n">
        <v>1281.688</v>
      </c>
      <c r="X17" s="22" t="n">
        <v>1471.13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/>
      <c r="D19" s="12" t="n"/>
      <c r="E19" s="12" t="n"/>
      <c r="F19" s="12" t="n"/>
      <c r="G19" s="12" t="n"/>
      <c r="H19" s="12" t="n"/>
      <c r="I19" s="12" t="n">
        <v>187.374</v>
      </c>
      <c r="J19" s="12" t="n">
        <v>113.02</v>
      </c>
      <c r="K19" s="12" t="n">
        <v>179.245</v>
      </c>
      <c r="L19" s="12" t="n">
        <v>207.444</v>
      </c>
      <c r="M19" s="12" t="n">
        <v>259.726</v>
      </c>
      <c r="N19" s="12" t="n">
        <v>220.843</v>
      </c>
      <c r="O19" s="11" t="n"/>
      <c r="P19" s="12" t="n"/>
      <c r="Q19" s="12" t="n"/>
      <c r="R19" s="12" t="n"/>
      <c r="S19" s="12" t="n"/>
      <c r="T19" s="12" t="n"/>
      <c r="U19" s="12" t="n"/>
      <c r="V19" s="12" t="n">
        <v>506.141</v>
      </c>
      <c r="W19" s="12" t="n">
        <v>713.25</v>
      </c>
      <c r="X19" s="12" t="n">
        <v>867.258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/>
      <c r="F37" s="22" t="n"/>
      <c r="G37" s="22" t="n"/>
      <c r="H37" s="22" t="n"/>
      <c r="I37" s="22" t="n">
        <v>0</v>
      </c>
      <c r="J37" s="22" t="n">
        <v>61.789</v>
      </c>
      <c r="K37" s="22" t="n"/>
      <c r="L37" s="22" t="n"/>
      <c r="M37" s="22" t="n">
        <v>0</v>
      </c>
      <c r="N37" s="22" t="n">
        <v>0</v>
      </c>
      <c r="O37" s="21" t="n"/>
      <c r="P37" s="22" t="n"/>
      <c r="Q37" s="22" t="n"/>
      <c r="R37" s="22" t="n"/>
      <c r="S37" s="22" t="n"/>
      <c r="T37" s="22" t="n"/>
      <c r="U37" s="22" t="n"/>
      <c r="V37" s="22" t="n">
        <v>61.908</v>
      </c>
      <c r="W37" s="22" t="n">
        <v>61.789</v>
      </c>
      <c r="X37" s="22" t="n">
        <v>110.305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/>
      <c r="D39" s="22" t="n"/>
      <c r="E39" s="22" t="n"/>
      <c r="F39" s="22" t="n"/>
      <c r="G39" s="22" t="n"/>
      <c r="H39" s="22" t="n"/>
      <c r="I39" s="22" t="n">
        <v>0.242</v>
      </c>
      <c r="J39" s="22" t="n">
        <v>2.171</v>
      </c>
      <c r="K39" s="22" t="n">
        <v>49.198</v>
      </c>
      <c r="L39" s="22" t="n">
        <v>2.491</v>
      </c>
      <c r="M39" s="22" t="n">
        <v>0.045</v>
      </c>
      <c r="N39" s="22" t="n">
        <v>2.75</v>
      </c>
      <c r="O39" s="21" t="n"/>
      <c r="P39" s="22" t="n"/>
      <c r="Q39" s="22" t="n"/>
      <c r="R39" s="22" t="n"/>
      <c r="S39" s="22" t="n"/>
      <c r="T39" s="22" t="n"/>
      <c r="U39" s="22" t="n"/>
      <c r="V39" s="22" t="n">
        <v>1.503</v>
      </c>
      <c r="W39" s="22" t="n">
        <v>3.589</v>
      </c>
      <c r="X39" s="22" t="n">
        <v>54.484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/>
      <c r="D41" s="22" t="n"/>
      <c r="E41" s="22" t="n"/>
      <c r="F41" s="22" t="n"/>
      <c r="G41" s="22" t="n"/>
      <c r="H41" s="22" t="n"/>
      <c r="I41" s="22" t="n">
        <v>5.25</v>
      </c>
      <c r="J41" s="22" t="n">
        <v>5.732</v>
      </c>
      <c r="K41" s="22" t="n">
        <v>0.003</v>
      </c>
      <c r="L41" s="22" t="n">
        <v>0.002</v>
      </c>
      <c r="M41" s="22" t="n">
        <v>0.019</v>
      </c>
      <c r="N41" s="22" t="n">
        <v>0.079</v>
      </c>
      <c r="O41" s="21" t="n"/>
      <c r="P41" s="22" t="n"/>
      <c r="Q41" s="22" t="n"/>
      <c r="R41" s="22" t="n"/>
      <c r="S41" s="22" t="n"/>
      <c r="T41" s="22" t="n"/>
      <c r="U41" s="22" t="n"/>
      <c r="V41" s="22" t="n">
        <v>0.127</v>
      </c>
      <c r="W41" s="22" t="n">
        <v>11.063</v>
      </c>
      <c r="X41" s="22" t="n">
        <v>0.103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/>
      <c r="D43" s="12" t="n"/>
      <c r="E43" s="12" t="n"/>
      <c r="F43" s="12" t="n"/>
      <c r="G43" s="12" t="n"/>
      <c r="H43" s="12" t="n"/>
      <c r="I43" s="12" t="n">
        <v>182.366</v>
      </c>
      <c r="J43" s="12" t="n">
        <v>47.67</v>
      </c>
      <c r="K43" s="12" t="n">
        <v>228.44</v>
      </c>
      <c r="L43" s="12" t="n">
        <v>99.628</v>
      </c>
      <c r="M43" s="12" t="n">
        <v>259.752</v>
      </c>
      <c r="N43" s="12" t="n">
        <v>223.514</v>
      </c>
      <c r="O43" s="11" t="n"/>
      <c r="P43" s="12" t="n"/>
      <c r="Q43" s="12" t="n"/>
      <c r="R43" s="12" t="n"/>
      <c r="S43" s="12" t="n"/>
      <c r="T43" s="12" t="n"/>
      <c r="U43" s="12" t="n"/>
      <c r="V43" s="12" t="n">
        <v>445.608</v>
      </c>
      <c r="W43" s="12" t="n">
        <v>643.987</v>
      </c>
      <c r="X43" s="12" t="n">
        <v>811.3339999999999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/>
      <c r="D45" s="22" t="n"/>
      <c r="E45" s="22" t="n"/>
      <c r="F45" s="22" t="n"/>
      <c r="G45" s="22" t="n"/>
      <c r="H45" s="22" t="n"/>
      <c r="I45" s="22" t="n">
        <v>55.221</v>
      </c>
      <c r="J45" s="22" t="n">
        <v>6.063</v>
      </c>
      <c r="K45" s="22" t="n">
        <v>66.73399999999999</v>
      </c>
      <c r="L45" s="22" t="n">
        <v>32.374</v>
      </c>
      <c r="M45" s="22" t="n">
        <v>83.277</v>
      </c>
      <c r="N45" s="22" t="n">
        <v>54.055</v>
      </c>
      <c r="O45" s="21" t="n"/>
      <c r="P45" s="22" t="n"/>
      <c r="Q45" s="22" t="n"/>
      <c r="R45" s="22" t="n"/>
      <c r="S45" s="22" t="n"/>
      <c r="T45" s="22" t="n"/>
      <c r="U45" s="22" t="n"/>
      <c r="V45" s="22" t="n">
        <v>148.242</v>
      </c>
      <c r="W45" s="22" t="n">
        <v>186.628</v>
      </c>
      <c r="X45" s="22" t="n">
        <v>236.44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/>
      <c r="D47" s="12" t="n"/>
      <c r="E47" s="12" t="n"/>
      <c r="F47" s="12" t="n"/>
      <c r="G47" s="12" t="n"/>
      <c r="H47" s="12" t="n"/>
      <c r="I47" s="12" t="n">
        <v>127.146</v>
      </c>
      <c r="J47" s="12" t="n">
        <v>41.606</v>
      </c>
      <c r="K47" s="12" t="n">
        <v>161.706</v>
      </c>
      <c r="L47" s="12" t="n">
        <v>67.253</v>
      </c>
      <c r="M47" s="12" t="n">
        <v>176.476</v>
      </c>
      <c r="N47" s="12" t="n">
        <v>169.458</v>
      </c>
      <c r="O47" s="11" t="n"/>
      <c r="P47" s="12" t="n"/>
      <c r="Q47" s="12" t="n"/>
      <c r="R47" s="12" t="n"/>
      <c r="S47" s="12" t="n"/>
      <c r="T47" s="12" t="n"/>
      <c r="U47" s="12" t="n"/>
      <c r="V47" s="12" t="n">
        <v>297.366</v>
      </c>
      <c r="W47" s="12" t="n">
        <v>457.358</v>
      </c>
      <c r="X47" s="12" t="n">
        <v>574.893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/>
      <c r="D49" s="12" t="n"/>
      <c r="E49" s="12" t="n"/>
      <c r="F49" s="12" t="n"/>
      <c r="G49" s="12" t="n"/>
      <c r="H49" s="12" t="n"/>
      <c r="I49" s="12" t="n">
        <v>127.146</v>
      </c>
      <c r="J49" s="12" t="n">
        <v>41.606</v>
      </c>
      <c r="K49" s="12" t="n">
        <v>161.706</v>
      </c>
      <c r="L49" s="12" t="n">
        <v>67.253</v>
      </c>
      <c r="M49" s="12" t="n">
        <v>176.476</v>
      </c>
      <c r="N49" s="12" t="n">
        <v>169.458</v>
      </c>
      <c r="O49" s="11" t="n"/>
      <c r="P49" s="12" t="n"/>
      <c r="Q49" s="12" t="n"/>
      <c r="R49" s="12" t="n"/>
      <c r="S49" s="12" t="n"/>
      <c r="T49" s="12" t="n"/>
      <c r="U49" s="12" t="n"/>
      <c r="V49" s="12" t="n">
        <v>297.366</v>
      </c>
      <c r="W49" s="12" t="n">
        <v>457.358</v>
      </c>
      <c r="X49" s="12" t="n">
        <v>574.893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2024.1Q</t>
        </is>
      </c>
      <c r="D83" s="5" t="inlineStr">
        <is>
          <t>2024.2Q</t>
        </is>
      </c>
      <c r="E83" s="5" t="inlineStr">
        <is>
          <t>2024.3Q</t>
        </is>
      </c>
      <c r="F83" s="5" t="inlineStr">
        <is>
          <t>2024.4Q</t>
        </is>
      </c>
      <c r="G83" s="5" t="inlineStr">
        <is>
          <t>2025.1Q</t>
        </is>
      </c>
      <c r="H83" s="5" t="inlineStr">
        <is>
          <t>2025.2Q</t>
        </is>
      </c>
      <c r="I83" s="5" t="inlineStr">
        <is>
          <t>2025.3Q</t>
        </is>
      </c>
      <c r="J83" s="5" t="inlineStr">
        <is>
          <t>2025.4Q</t>
        </is>
      </c>
      <c r="K83" s="5" t="inlineStr">
        <is>
          <t>2026.1Q</t>
        </is>
      </c>
      <c r="L83" s="5" t="inlineStr">
        <is>
          <t>2026.2Q</t>
        </is>
      </c>
      <c r="M83" s="5" t="inlineStr">
        <is>
          <t>2026.3Q</t>
        </is>
      </c>
      <c r="N83" s="5" t="inlineStr">
        <is>
          <t>2026.4Q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I84" s="12" t="n">
        <v>772.1</v>
      </c>
      <c r="J84" s="12" t="n">
        <v>756.688</v>
      </c>
      <c r="K84" s="12" t="n">
        <v>843.385</v>
      </c>
      <c r="L84" s="12" t="n">
        <v>808.759</v>
      </c>
      <c r="M84" s="12" t="n">
        <v>944.595</v>
      </c>
      <c r="N84" s="12" t="n">
        <v>843.432</v>
      </c>
      <c r="W84" s="12" t="n">
        <v>756.688</v>
      </c>
      <c r="X84" s="12" t="n">
        <v>843.432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I86" s="22" t="n">
        <v>246.542</v>
      </c>
      <c r="J86" s="22" t="n">
        <v>263.558</v>
      </c>
      <c r="K86" s="22" t="n">
        <v>272.788</v>
      </c>
      <c r="L86" s="22" t="n">
        <v>263.07</v>
      </c>
      <c r="M86" s="22" t="n">
        <v>292.362</v>
      </c>
      <c r="N86" s="22" t="n">
        <v>273.561</v>
      </c>
      <c r="W86" s="22" t="n">
        <v>263.558</v>
      </c>
      <c r="X86" s="22" t="n">
        <v>273.561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I88" s="12" t="n">
        <v>525.559</v>
      </c>
      <c r="J88" s="12" t="n">
        <v>493.129</v>
      </c>
      <c r="K88" s="12" t="n">
        <v>570.596</v>
      </c>
      <c r="L88" s="12" t="n">
        <v>545.6900000000001</v>
      </c>
      <c r="M88" s="12" t="n">
        <v>652.232</v>
      </c>
      <c r="N88" s="12" t="n">
        <v>569.871</v>
      </c>
      <c r="W88" s="12" t="n">
        <v>493.129</v>
      </c>
      <c r="X88" s="12" t="n">
        <v>569.871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I90" s="22" t="n">
        <v>338.185</v>
      </c>
      <c r="J90" s="22" t="n">
        <v>380.108</v>
      </c>
      <c r="K90" s="22" t="n">
        <v>391.35</v>
      </c>
      <c r="L90" s="22" t="n">
        <v>338.246</v>
      </c>
      <c r="M90" s="22" t="n">
        <v>392.506</v>
      </c>
      <c r="N90" s="22" t="n">
        <v>349.028</v>
      </c>
      <c r="W90" s="22" t="n">
        <v>380.108</v>
      </c>
      <c r="X90" s="22" t="n">
        <v>349.028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I92" s="12" t="n">
        <v>187.374</v>
      </c>
      <c r="J92" s="12" t="n">
        <v>113.02</v>
      </c>
      <c r="K92" s="12" t="n">
        <v>179.245</v>
      </c>
      <c r="L92" s="12" t="n">
        <v>207.444</v>
      </c>
      <c r="M92" s="12" t="n">
        <v>259.726</v>
      </c>
      <c r="N92" s="12" t="n">
        <v>220.843</v>
      </c>
      <c r="W92" s="12" t="n">
        <v>113.02</v>
      </c>
      <c r="X92" s="12" t="n">
        <v>220.843</v>
      </c>
    </row>
    <row r="93">
      <c r="A93" s="45" t="inlineStr">
        <is>
          <t>OPM</t>
        </is>
      </c>
      <c r="B93" s="3" t="inlineStr">
        <is>
          <t>영업이익 ÷ 매출</t>
        </is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I95" s="22" t="n">
        <v>0</v>
      </c>
      <c r="J95" s="22" t="n">
        <v>1.991</v>
      </c>
      <c r="M95" s="22" t="n">
        <v>0</v>
      </c>
      <c r="N95" s="22" t="n">
        <v>2.694</v>
      </c>
      <c r="W95" s="22" t="n">
        <v>1.991</v>
      </c>
      <c r="X95" s="22" t="n">
        <v>2.694</v>
      </c>
    </row>
    <row r="96">
      <c r="A96" s="20" t="inlineStr">
        <is>
          <t>보조금 수입</t>
        </is>
      </c>
      <c r="I96" s="22" t="n">
        <v>0</v>
      </c>
      <c r="J96" s="22" t="n">
        <v>0.004</v>
      </c>
      <c r="M96" s="22" t="n">
        <v>0</v>
      </c>
      <c r="N96" s="22" t="n">
        <v>0</v>
      </c>
      <c r="W96" s="22" t="n">
        <v>0.004</v>
      </c>
      <c r="X96" s="22" t="n">
        <v>0</v>
      </c>
    </row>
    <row r="97">
      <c r="A97" s="20" t="inlineStr">
        <is>
          <t>환급 가산금</t>
        </is>
      </c>
      <c r="I97" s="22" t="n">
        <v>0</v>
      </c>
      <c r="J97" s="22" t="n">
        <v>0</v>
      </c>
      <c r="K97" s="22" t="n">
        <v>0.001</v>
      </c>
      <c r="L97" s="22" t="n">
        <v>0.082</v>
      </c>
      <c r="M97" s="22" t="n">
        <v>0</v>
      </c>
      <c r="N97" s="22" t="n">
        <v>0</v>
      </c>
      <c r="W97" s="22" t="n">
        <v>0</v>
      </c>
      <c r="X97" s="22" t="n">
        <v>0</v>
      </c>
    </row>
    <row r="98">
      <c r="A98" s="20" t="inlineStr">
        <is>
          <t>대손충당금 환입</t>
        </is>
      </c>
      <c r="I98" s="22" t="n">
        <v>0</v>
      </c>
      <c r="J98" s="22" t="n">
        <v>0</v>
      </c>
      <c r="K98" s="22" t="n">
        <v>30.268</v>
      </c>
      <c r="L98" s="22" t="n">
        <v>0</v>
      </c>
      <c r="M98" s="22" t="n">
        <v>0</v>
      </c>
      <c r="N98" s="22" t="n">
        <v>0</v>
      </c>
      <c r="W98" s="22" t="n">
        <v>0</v>
      </c>
      <c r="X98" s="22" t="n">
        <v>0</v>
      </c>
    </row>
    <row r="99">
      <c r="A99" s="20" t="inlineStr">
        <is>
          <t>화해금 수령</t>
        </is>
      </c>
      <c r="I99" s="22" t="n">
        <v>0</v>
      </c>
      <c r="J99" s="22" t="n">
        <v>0</v>
      </c>
      <c r="K99" s="22" t="n">
        <v>18.527</v>
      </c>
      <c r="L99" s="22" t="n">
        <v>0</v>
      </c>
      <c r="M99" s="22" t="n">
        <v>0</v>
      </c>
      <c r="N99" s="22" t="n">
        <v>0</v>
      </c>
      <c r="W99" s="22" t="n">
        <v>0</v>
      </c>
      <c r="X99" s="22" t="n">
        <v>0</v>
      </c>
    </row>
    <row r="100">
      <c r="A100" s="20" t="inlineStr">
        <is>
          <t>기타</t>
        </is>
      </c>
      <c r="I100" s="22" t="n">
        <v>0.243</v>
      </c>
      <c r="J100" s="22" t="n">
        <v>0.176</v>
      </c>
      <c r="K100" s="22" t="n">
        <v>0.4</v>
      </c>
      <c r="L100" s="22" t="n">
        <v>0.177</v>
      </c>
      <c r="M100" s="22" t="n">
        <v>0.046</v>
      </c>
      <c r="N100" s="22" t="n">
        <v>0.056</v>
      </c>
      <c r="W100" s="22" t="n">
        <v>0.176</v>
      </c>
      <c r="X100" s="22" t="n">
        <v>0.056</v>
      </c>
    </row>
    <row r="101">
      <c r="A101" s="20" t="inlineStr">
        <is>
          <t>영업외수익 합계</t>
        </is>
      </c>
      <c r="I101" s="22" t="n">
        <v>0.242</v>
      </c>
      <c r="J101" s="22" t="n">
        <v>2.171</v>
      </c>
      <c r="K101" s="22" t="n">
        <v>49.198</v>
      </c>
      <c r="L101" s="22" t="n">
        <v>2.491</v>
      </c>
      <c r="M101" s="22" t="n">
        <v>0.045</v>
      </c>
      <c r="N101" s="22" t="n">
        <v>2.75</v>
      </c>
      <c r="W101" s="22" t="n">
        <v>2.171</v>
      </c>
      <c r="X101" s="22" t="n">
        <v>2.75</v>
      </c>
    </row>
    <row r="102">
      <c r="A102" s="45" t="inlineStr">
        <is>
          <t>YoY</t>
        </is>
      </c>
      <c r="B102" s="3" t="inlineStr">
        <is>
          <t>전년 같은 분기·전년 대비</t>
        </is>
      </c>
      <c r="I102" s="17">
        <f>IF(OR(I101="",E101=""),"",IF(I101*E101&lt;=0,"",IFERROR(I101/E101-1,"")))</f>
        <v/>
      </c>
      <c r="J102" s="17">
        <f>IF(OR(J101="",F101=""),"",IF(J101*F101&lt;=0,"",IFERROR(J101/F101-1,"")))</f>
        <v/>
      </c>
      <c r="K102" s="17">
        <f>IF(OR(K101="",G101=""),"",IF(K101*G101&lt;=0,"",IFERROR(K101/G101-1,"")))</f>
        <v/>
      </c>
      <c r="L102" s="17">
        <f>IF(OR(L101="",H101=""),"",IF(L101*H101&lt;=0,"",IFERROR(L101/H101-1,"")))</f>
        <v/>
      </c>
      <c r="M102" s="17">
        <f>IF(OR(M101="",I101=""),"",IF(M101*I101&lt;=0,"",IFERROR(M101/I101-1,"")))</f>
        <v/>
      </c>
      <c r="N102" s="17">
        <f>IF(OR(N101="",J101=""),"",IF(N101*J101&lt;=0,"",IFERROR(N101/J101-1,"")))</f>
        <v/>
      </c>
      <c r="W102" s="17">
        <f>IF(OR(W101="",V101=""),"",IF(W101*V101&lt;=0,"",IFERROR(W101/V101-1,"")))</f>
        <v/>
      </c>
      <c r="X102" s="17">
        <f>IF(OR(X101="",W101=""),"",IF(X101*W101&lt;=0,"",IFERROR(X101/W101-1,"")))</f>
        <v/>
      </c>
    </row>
    <row r="103">
      <c r="A103" s="20" t="inlineStr">
        <is>
          <t>이자비용</t>
        </is>
      </c>
      <c r="I103" s="22" t="n">
        <v>0.002</v>
      </c>
      <c r="J103" s="22" t="n">
        <v>0.003</v>
      </c>
      <c r="K103" s="22" t="n">
        <v>0.002</v>
      </c>
      <c r="L103" s="22" t="n">
        <v>0.002</v>
      </c>
      <c r="M103" s="22" t="n">
        <v>0.019</v>
      </c>
      <c r="N103" s="22" t="n">
        <v>0.019</v>
      </c>
      <c r="W103" s="22" t="n">
        <v>0.003</v>
      </c>
      <c r="X103" s="22" t="n">
        <v>0.019</v>
      </c>
    </row>
    <row r="104">
      <c r="A104" s="20" t="inlineStr">
        <is>
          <t>사채이자</t>
        </is>
      </c>
      <c r="I104" s="22" t="n">
        <v>0</v>
      </c>
      <c r="J104" s="22" t="n">
        <v>0.028</v>
      </c>
      <c r="M104" s="22" t="n">
        <v>0</v>
      </c>
      <c r="N104" s="22" t="n">
        <v>0</v>
      </c>
      <c r="W104" s="22" t="n">
        <v>0.028</v>
      </c>
      <c r="X104" s="22" t="n">
        <v>0</v>
      </c>
    </row>
    <row r="105">
      <c r="A105" s="20" t="inlineStr">
        <is>
          <t>상장 관련 비용</t>
        </is>
      </c>
      <c r="J105" s="22" t="n">
        <v>-0.497</v>
      </c>
      <c r="N105" s="22" t="n">
        <v>0</v>
      </c>
      <c r="W105" s="22" t="n">
        <v>-0.497</v>
      </c>
      <c r="X105" s="22" t="n">
        <v>0</v>
      </c>
    </row>
    <row r="106">
      <c r="A106" s="20" t="inlineStr">
        <is>
          <t>잡손실</t>
        </is>
      </c>
      <c r="I106" s="22" t="n">
        <v>0</v>
      </c>
      <c r="J106" s="22" t="n">
        <v>0</v>
      </c>
      <c r="K106" s="22" t="n">
        <v>0.001</v>
      </c>
      <c r="L106" s="22" t="n">
        <v>0</v>
      </c>
      <c r="M106" s="22" t="n">
        <v>0</v>
      </c>
      <c r="N106" s="22" t="n">
        <v>0.06</v>
      </c>
      <c r="W106" s="22" t="n">
        <v>0</v>
      </c>
      <c r="X106" s="22" t="n">
        <v>0.06</v>
      </c>
    </row>
    <row r="107">
      <c r="A107" s="20" t="inlineStr">
        <is>
          <t>영업외비용 합계</t>
        </is>
      </c>
      <c r="I107" s="22" t="n">
        <v>5.25</v>
      </c>
      <c r="J107" s="22" t="n">
        <v>5.732</v>
      </c>
      <c r="K107" s="22" t="n">
        <v>0.003</v>
      </c>
      <c r="L107" s="22" t="n">
        <v>0.002</v>
      </c>
      <c r="M107" s="22" t="n">
        <v>0.019</v>
      </c>
      <c r="N107" s="22" t="n">
        <v>0.079</v>
      </c>
      <c r="W107" s="22" t="n">
        <v>5.732</v>
      </c>
      <c r="X107" s="22" t="n">
        <v>0.079</v>
      </c>
    </row>
    <row r="108">
      <c r="A108" s="45" t="inlineStr">
        <is>
          <t>YoY</t>
        </is>
      </c>
      <c r="B108" s="3" t="inlineStr">
        <is>
          <t>전년 같은 분기·전년 대비</t>
        </is>
      </c>
      <c r="I108" s="17">
        <f>IF(OR(I107="",E107=""),"",IF(I107*E107&lt;=0,"",IFERROR(I107/E107-1,"")))</f>
        <v/>
      </c>
      <c r="J108" s="17">
        <f>IF(OR(J107="",F107=""),"",IF(J107*F107&lt;=0,"",IFERROR(J107/F107-1,"")))</f>
        <v/>
      </c>
      <c r="K108" s="17">
        <f>IF(OR(K107="",G107=""),"",IF(K107*G107&lt;=0,"",IFERROR(K107/G107-1,"")))</f>
        <v/>
      </c>
      <c r="L108" s="17">
        <f>IF(OR(L107="",H107=""),"",IF(L107*H107&lt;=0,"",IFERROR(L107/H107-1,"")))</f>
        <v/>
      </c>
      <c r="M108" s="17">
        <f>IF(OR(M107="",I107=""),"",IF(M107*I107&lt;=0,"",IFERROR(M107/I107-1,"")))</f>
        <v/>
      </c>
      <c r="N108" s="17">
        <f>IF(OR(N107="",J107=""),"",IF(N107*J107&lt;=0,"",IFERROR(N107/J107-1,"")))</f>
        <v/>
      </c>
      <c r="W108" s="17">
        <f>IF(OR(W107="",V107=""),"",IF(W107*V107&lt;=0,"",IFERROR(W107/V107-1,"")))</f>
        <v/>
      </c>
      <c r="X108" s="17">
        <f>IF(OR(X107="",W107=""),"",IF(X107*W107&lt;=0,"",IFERROR(X107/W107-1,"")))</f>
        <v/>
      </c>
    </row>
    <row r="109">
      <c r="A109" s="9" t="inlineStr">
        <is>
          <t>경상이익</t>
        </is>
      </c>
      <c r="I109" s="12" t="n">
        <v>182.366</v>
      </c>
      <c r="J109" s="12" t="n">
        <v>109.46</v>
      </c>
      <c r="K109" s="12" t="n">
        <v>228.44</v>
      </c>
      <c r="L109" s="12" t="n">
        <v>209.933</v>
      </c>
      <c r="M109" s="12" t="n">
        <v>259.752</v>
      </c>
      <c r="N109" s="12" t="n">
        <v>223.514</v>
      </c>
      <c r="W109" s="12" t="n">
        <v>109.46</v>
      </c>
      <c r="X109" s="12" t="n">
        <v>223.514</v>
      </c>
    </row>
    <row r="110">
      <c r="A110" s="45" t="inlineStr">
        <is>
          <t>YoY</t>
        </is>
      </c>
      <c r="B110" s="3" t="inlineStr">
        <is>
          <t>전년 같은 분기·전년 대비</t>
        </is>
      </c>
      <c r="I110" s="17">
        <f>IF(OR(I109="",E109=""),"",IF(E109&lt;=0,"",IFERROR(I109/E109-1,"")))</f>
        <v/>
      </c>
      <c r="J110" s="17">
        <f>IF(OR(J109="",F109=""),"",IF(F109&lt;=0,"",IFERROR(J109/F109-1,"")))</f>
        <v/>
      </c>
      <c r="K110" s="17">
        <f>IF(OR(K109="",G109=""),"",IF(G109&lt;=0,"",IFERROR(K109/G109-1,"")))</f>
        <v/>
      </c>
      <c r="L110" s="17">
        <f>IF(OR(L109="",H109=""),"",IF(H109&lt;=0,"",IFERROR(L109/H109-1,"")))</f>
        <v/>
      </c>
      <c r="M110" s="17">
        <f>IF(OR(M109="",I109=""),"",IF(I109&lt;=0,"",IFERROR(M109/I109-1,"")))</f>
        <v/>
      </c>
      <c r="N110" s="17">
        <f>IF(OR(N109="",J109=""),"",IF(J109&lt;=0,"",IFERROR(N109/J109-1,"")))</f>
        <v/>
      </c>
      <c r="W110" s="17">
        <f>IF(OR(W109="",V109=""),"",IF(V109&lt;=0,"",IFERROR(W109/V109-1,"")))</f>
        <v/>
      </c>
      <c r="X110" s="17">
        <f>IF(OR(X109="",W109=""),"",IF(W109&lt;=0,"",IFERROR(X109/W109-1,"")))</f>
        <v/>
      </c>
    </row>
    <row r="111">
      <c r="A111" s="20" t="inlineStr">
        <is>
          <t>손상차손</t>
        </is>
      </c>
      <c r="I111" s="22" t="n">
        <v>0</v>
      </c>
      <c r="J111" s="22" t="n">
        <v>61.789</v>
      </c>
      <c r="M111" s="22" t="n">
        <v>0</v>
      </c>
      <c r="N111" s="22" t="n">
        <v>0</v>
      </c>
      <c r="W111" s="22" t="n">
        <v>61.789</v>
      </c>
      <c r="X111" s="22" t="n">
        <v>0</v>
      </c>
    </row>
    <row r="112">
      <c r="A112" s="20" t="inlineStr">
        <is>
          <t>특별손실 합계</t>
        </is>
      </c>
      <c r="I112" s="22" t="n">
        <v>0</v>
      </c>
      <c r="J112" s="22" t="n">
        <v>61.789</v>
      </c>
      <c r="M112" s="22" t="n">
        <v>0</v>
      </c>
      <c r="N112" s="22" t="n">
        <v>0</v>
      </c>
      <c r="W112" s="22" t="n">
        <v>61.789</v>
      </c>
      <c r="X112" s="22" t="n">
        <v>0</v>
      </c>
    </row>
    <row r="113">
      <c r="A113" s="45" t="inlineStr">
        <is>
          <t>YoY</t>
        </is>
      </c>
      <c r="B113" s="3" t="inlineStr">
        <is>
          <t>전년 같은 분기·전년 대비</t>
        </is>
      </c>
      <c r="I113" s="17">
        <f>IF(OR(I112="",E112=""),"",IF(I112*E112&lt;=0,"",IFERROR(I112/E112-1,"")))</f>
        <v/>
      </c>
      <c r="J113" s="17">
        <f>IF(OR(J112="",F112=""),"",IF(J112*F112&lt;=0,"",IFERROR(J112/F112-1,"")))</f>
        <v/>
      </c>
      <c r="M113" s="17">
        <f>IF(OR(M112="",I112=""),"",IF(M112*I112&lt;=0,"",IFERROR(M112/I112-1,"")))</f>
        <v/>
      </c>
      <c r="N113" s="17">
        <f>IF(OR(N112="",J112=""),"",IF(N112*J112&lt;=0,"",IFERROR(N112/J112-1,"")))</f>
        <v/>
      </c>
      <c r="W113" s="17">
        <f>IF(OR(W112="",V112=""),"",IF(W112*V112&lt;=0,"",IFERROR(W112/V112-1,"")))</f>
        <v/>
      </c>
      <c r="X113" s="17">
        <f>IF(OR(X112="",W112=""),"",IF(X112*W112&lt;=0,"",IFERROR(X112/W112-1,"")))</f>
        <v/>
      </c>
    </row>
    <row r="114">
      <c r="A114" s="9" t="inlineStr">
        <is>
          <t>법인세차감전 순이익</t>
        </is>
      </c>
      <c r="I114" s="12" t="n">
        <v>182.366</v>
      </c>
      <c r="J114" s="12" t="n">
        <v>47.67</v>
      </c>
      <c r="K114" s="12" t="n">
        <v>228.44</v>
      </c>
      <c r="L114" s="12" t="n">
        <v>99.628</v>
      </c>
      <c r="M114" s="12" t="n">
        <v>259.752</v>
      </c>
      <c r="N114" s="12" t="n">
        <v>223.514</v>
      </c>
      <c r="W114" s="12" t="n">
        <v>47.67</v>
      </c>
      <c r="X114" s="12" t="n">
        <v>223.514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I115" s="17">
        <f>IF(OR(I114="",E114=""),"",IF(E114&lt;=0,"",IFERROR(I114/E114-1,"")))</f>
        <v/>
      </c>
      <c r="J115" s="17">
        <f>IF(OR(J114="",F114=""),"",IF(F114&lt;=0,"",IFERROR(J114/F114-1,"")))</f>
        <v/>
      </c>
      <c r="K115" s="17">
        <f>IF(OR(K114="",G114=""),"",IF(G114&lt;=0,"",IFERROR(K114/G114-1,"")))</f>
        <v/>
      </c>
      <c r="L115" s="17">
        <f>IF(OR(L114="",H114=""),"",IF(H114&lt;=0,"",IFERROR(L114/H114-1,"")))</f>
        <v/>
      </c>
      <c r="M115" s="17">
        <f>IF(OR(M114="",I114=""),"",IF(I114&lt;=0,"",IFERROR(M114/I114-1,"")))</f>
        <v/>
      </c>
      <c r="N115" s="17">
        <f>IF(OR(N114="",J114=""),"",IF(J114&lt;=0,"",IFERROR(N114/J114-1,"")))</f>
        <v/>
      </c>
      <c r="W115" s="17">
        <f>IF(OR(W114="",V114=""),"",IF(V114&lt;=0,"",IFERROR(W114/V114-1,"")))</f>
        <v/>
      </c>
      <c r="X115" s="17">
        <f>IF(OR(X114="",W114=""),"",IF(W114&lt;=0,"",IFERROR(X114/W114-1,"")))</f>
        <v/>
      </c>
    </row>
    <row r="116">
      <c r="A116" s="20" t="inlineStr">
        <is>
          <t>법인세 등 합계</t>
        </is>
      </c>
      <c r="I116" s="22" t="n">
        <v>55.221</v>
      </c>
      <c r="J116" s="22" t="n">
        <v>6.063</v>
      </c>
      <c r="K116" s="22" t="n">
        <v>66.73399999999999</v>
      </c>
      <c r="L116" s="22" t="n">
        <v>32.374</v>
      </c>
      <c r="M116" s="22" t="n">
        <v>83.277</v>
      </c>
      <c r="N116" s="22" t="n">
        <v>54.055</v>
      </c>
      <c r="W116" s="22" t="n">
        <v>6.063</v>
      </c>
      <c r="X116" s="22" t="n">
        <v>54.055</v>
      </c>
    </row>
    <row r="117">
      <c r="A117" s="45" t="inlineStr">
        <is>
          <t>YoY</t>
        </is>
      </c>
      <c r="B117" s="3" t="inlineStr">
        <is>
          <t>전년 같은 분기·전년 대비</t>
        </is>
      </c>
      <c r="I117" s="17">
        <f>IF(OR(I116="",E116=""),"",IF(I116*E116&lt;=0,"",IFERROR(I116/E116-1,"")))</f>
        <v/>
      </c>
      <c r="J117" s="17">
        <f>IF(OR(J116="",F116=""),"",IF(J116*F116&lt;=0,"",IFERROR(J116/F116-1,"")))</f>
        <v/>
      </c>
      <c r="K117" s="17">
        <f>IF(OR(K116="",G116=""),"",IF(K116*G116&lt;=0,"",IFERROR(K116/G116-1,"")))</f>
        <v/>
      </c>
      <c r="L117" s="17">
        <f>IF(OR(L116="",H116=""),"",IF(L116*H116&lt;=0,"",IFERROR(L116/H116-1,"")))</f>
        <v/>
      </c>
      <c r="M117" s="17">
        <f>IF(OR(M116="",I116=""),"",IF(M116*I116&lt;=0,"",IFERROR(M116/I116-1,"")))</f>
        <v/>
      </c>
      <c r="N117" s="17">
        <f>IF(OR(N116="",J116=""),"",IF(N116*J116&lt;=0,"",IFERROR(N116/J116-1,"")))</f>
        <v/>
      </c>
      <c r="W117" s="17">
        <f>IF(OR(W116="",V116=""),"",IF(W116*V116&lt;=0,"",IFERROR(W116/V116-1,"")))</f>
        <v/>
      </c>
      <c r="X117" s="17">
        <f>IF(OR(X116="",W116=""),"",IF(X116*W116&lt;=0,"",IFERROR(X116/W116-1,"")))</f>
        <v/>
      </c>
    </row>
    <row r="118">
      <c r="A118" s="9" t="inlineStr">
        <is>
          <t>순이익</t>
        </is>
      </c>
      <c r="I118" s="12" t="n">
        <v>127.146</v>
      </c>
      <c r="J118" s="12" t="n">
        <v>41.606</v>
      </c>
      <c r="K118" s="12" t="n">
        <v>161.706</v>
      </c>
      <c r="L118" s="12" t="n">
        <v>67.253</v>
      </c>
      <c r="M118" s="12" t="n">
        <v>176.476</v>
      </c>
      <c r="N118" s="12" t="n">
        <v>169.458</v>
      </c>
      <c r="W118" s="12" t="n">
        <v>41.606</v>
      </c>
      <c r="X118" s="12" t="n">
        <v>169.458</v>
      </c>
    </row>
    <row r="119">
      <c r="A119" s="45" t="inlineStr">
        <is>
          <t>YoY</t>
        </is>
      </c>
      <c r="B119" s="3" t="inlineStr">
        <is>
          <t>전년 같은 분기·전년 대비</t>
        </is>
      </c>
      <c r="I119" s="17">
        <f>IF(OR(I118="",E118=""),"",IF(E118&lt;=0,"",IFERROR(I118/E118-1,"")))</f>
        <v/>
      </c>
      <c r="J119" s="17">
        <f>IF(OR(J118="",F118=""),"",IF(F118&lt;=0,"",IFERROR(J118/F118-1,"")))</f>
        <v/>
      </c>
      <c r="K119" s="17">
        <f>IF(OR(K118="",G118=""),"",IF(G118&lt;=0,"",IFERROR(K118/G118-1,"")))</f>
        <v/>
      </c>
      <c r="L119" s="17">
        <f>IF(OR(L118="",H118=""),"",IF(H118&lt;=0,"",IFERROR(L118/H118-1,"")))</f>
        <v/>
      </c>
      <c r="M119" s="17">
        <f>IF(OR(M118="",I118=""),"",IF(I118&lt;=0,"",IFERROR(M118/I118-1,"")))</f>
        <v/>
      </c>
      <c r="N119" s="17">
        <f>IF(OR(N118="",J118=""),"",IF(J118&lt;=0,"",IFERROR(N118/J118-1,"")))</f>
        <v/>
      </c>
      <c r="W119" s="17">
        <f>IF(OR(W118="",V118=""),"",IF(V118&lt;=0,"",IFERROR(W118/V118-1,"")))</f>
        <v/>
      </c>
      <c r="X119" s="17">
        <f>IF(OR(X118="",W118=""),"",IF(W118&lt;=0,"",IFERROR(X118/W118-1,"")))</f>
        <v/>
      </c>
    </row>
    <row r="121">
      <c r="A121" s="18" t="inlineStr">
        <is>
          <t>현금흐름표 · 전 항목</t>
        </is>
      </c>
      <c r="B121" s="44" t="inlineStr">
        <is>
          <t>분기 = 결산기 첫날부터 누계(공시 그대로)</t>
        </is>
      </c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</row>
    <row r="122">
      <c r="A122" s="5" t="inlineStr">
        <is>
          <t>항목</t>
        </is>
      </c>
      <c r="B122" s="5" t="inlineStr">
        <is>
          <t>참고</t>
        </is>
      </c>
      <c r="C122" s="5" t="inlineStr">
        <is>
          <t>2024.1Q</t>
        </is>
      </c>
      <c r="D122" s="5" t="inlineStr">
        <is>
          <t>2024.2Q</t>
        </is>
      </c>
      <c r="E122" s="5" t="inlineStr">
        <is>
          <t>2024.3Q</t>
        </is>
      </c>
      <c r="F122" s="5" t="inlineStr">
        <is>
          <t>2024.4Q</t>
        </is>
      </c>
      <c r="G122" s="5" t="inlineStr">
        <is>
          <t>2025.1Q</t>
        </is>
      </c>
      <c r="H122" s="5" t="inlineStr">
        <is>
          <t>2025.2Q</t>
        </is>
      </c>
      <c r="I122" s="5" t="inlineStr">
        <is>
          <t>2025.3Q</t>
        </is>
      </c>
      <c r="J122" s="5" t="inlineStr">
        <is>
          <t>2025.4Q</t>
        </is>
      </c>
      <c r="K122" s="5" t="inlineStr">
        <is>
          <t>2026.1Q</t>
        </is>
      </c>
      <c r="L122" s="5" t="inlineStr">
        <is>
          <t>2026.2Q</t>
        </is>
      </c>
      <c r="M122" s="5" t="inlineStr">
        <is>
          <t>2026.3Q</t>
        </is>
      </c>
      <c r="N122" s="5" t="inlineStr">
        <is>
          <t>2026.4Q</t>
        </is>
      </c>
      <c r="O122" s="5" t="inlineStr">
        <is>
          <t>2017</t>
        </is>
      </c>
      <c r="P122" s="5" t="inlineStr">
        <is>
          <t>2018</t>
        </is>
      </c>
      <c r="Q122" s="5" t="inlineStr">
        <is>
          <t>2019</t>
        </is>
      </c>
      <c r="R122" s="5" t="inlineStr">
        <is>
          <t>2020</t>
        </is>
      </c>
      <c r="S122" s="5" t="inlineStr">
        <is>
          <t>2021</t>
        </is>
      </c>
      <c r="T122" s="5" t="inlineStr">
        <is>
          <t>2022</t>
        </is>
      </c>
      <c r="U122" s="5" t="inlineStr">
        <is>
          <t>2023</t>
        </is>
      </c>
      <c r="V122" s="5" t="inlineStr">
        <is>
          <t>2024</t>
        </is>
      </c>
      <c r="W122" s="5" t="inlineStr">
        <is>
          <t>2025</t>
        </is>
      </c>
      <c r="X122" s="5" t="inlineStr">
        <is>
          <t>2026</t>
        </is>
      </c>
      <c r="Y122" s="5" t="inlineStr">
        <is>
          <t>2027(MW)</t>
        </is>
      </c>
      <c r="Z122" s="5" t="inlineStr">
        <is>
          <t>2028(MW)</t>
        </is>
      </c>
      <c r="AA122" s="5" t="inlineStr">
        <is>
          <t>2029(MW)</t>
        </is>
      </c>
      <c r="AB122" s="5" t="inlineStr">
        <is>
          <t>2030(MW)</t>
        </is>
      </c>
      <c r="AC122" s="5" t="inlineStr">
        <is>
          <t>2031(MW)</t>
        </is>
      </c>
    </row>
    <row r="123">
      <c r="A123" s="9" t="inlineStr">
        <is>
          <t>법인세차감전 순이익</t>
        </is>
      </c>
      <c r="F123" s="12" t="n">
        <v>445.608</v>
      </c>
      <c r="H123" s="12" t="n">
        <v>413.951</v>
      </c>
      <c r="J123" s="12" t="n">
        <v>643.987</v>
      </c>
      <c r="L123" s="12" t="n">
        <v>328.068</v>
      </c>
      <c r="N123" s="12" t="n">
        <v>811.3339999999999</v>
      </c>
      <c r="V123" s="12" t="n">
        <v>445.608</v>
      </c>
      <c r="W123" s="12" t="n">
        <v>643.987</v>
      </c>
      <c r="X123" s="12" t="n">
        <v>811.3339999999999</v>
      </c>
    </row>
    <row r="124">
      <c r="A124" s="20" t="inlineStr">
        <is>
          <t>감가상각비</t>
        </is>
      </c>
      <c r="F124" s="22" t="n">
        <v>16.189</v>
      </c>
      <c r="H124" s="22" t="n">
        <v>9.163</v>
      </c>
      <c r="J124" s="22" t="n">
        <v>19.067</v>
      </c>
      <c r="L124" s="22" t="n">
        <v>7.84</v>
      </c>
      <c r="N124" s="22" t="n">
        <v>20.508</v>
      </c>
      <c r="V124" s="22" t="n">
        <v>16.189</v>
      </c>
      <c r="W124" s="22" t="n">
        <v>19.067</v>
      </c>
      <c r="X124" s="22" t="n">
        <v>20.508</v>
      </c>
    </row>
    <row r="125">
      <c r="A125" s="20" t="inlineStr">
        <is>
          <t>장기선급비용 상각액</t>
        </is>
      </c>
      <c r="F125" s="22" t="n">
        <v>232.297</v>
      </c>
      <c r="H125" s="22" t="n">
        <v>138.262</v>
      </c>
      <c r="J125" s="22" t="n">
        <v>308.437</v>
      </c>
      <c r="L125" s="22" t="n">
        <v>197.856</v>
      </c>
      <c r="N125" s="22" t="n">
        <v>424.904</v>
      </c>
      <c r="V125" s="22" t="n">
        <v>232.297</v>
      </c>
      <c r="W125" s="22" t="n">
        <v>308.437</v>
      </c>
      <c r="X125" s="22" t="n">
        <v>424.904</v>
      </c>
    </row>
    <row r="126">
      <c r="A126" s="20" t="inlineStr">
        <is>
          <t>손상차손</t>
        </is>
      </c>
      <c r="F126" s="22" t="n">
        <v>38.058</v>
      </c>
      <c r="H126" s="22" t="n">
        <v>0</v>
      </c>
      <c r="J126" s="22" t="n">
        <v>61.789</v>
      </c>
      <c r="L126" s="22" t="n">
        <v>110.305</v>
      </c>
      <c r="N126" s="22" t="n">
        <v>110.305</v>
      </c>
      <c r="V126" s="22" t="n">
        <v>38.058</v>
      </c>
      <c r="W126" s="22" t="n">
        <v>61.789</v>
      </c>
      <c r="X126" s="22" t="n">
        <v>110.305</v>
      </c>
    </row>
    <row r="127">
      <c r="A127" s="20" t="inlineStr">
        <is>
          <t>대손충당금 증감</t>
        </is>
      </c>
      <c r="H127" s="22" t="n">
        <v>0</v>
      </c>
      <c r="J127" s="22" t="n">
        <v>0</v>
      </c>
      <c r="L127" s="22" t="n">
        <v>-30.268</v>
      </c>
      <c r="N127" s="22" t="n">
        <v>-30.268</v>
      </c>
      <c r="W127" s="22" t="n">
        <v>0</v>
      </c>
      <c r="X127" s="22" t="n">
        <v>-30.268</v>
      </c>
    </row>
    <row r="128">
      <c r="A128" s="20" t="inlineStr">
        <is>
          <t>상여충당금 증감</t>
        </is>
      </c>
      <c r="F128" s="22" t="n">
        <v>109.734</v>
      </c>
      <c r="H128" s="22" t="n">
        <v>-24.79</v>
      </c>
      <c r="J128" s="22" t="n">
        <v>18.375</v>
      </c>
      <c r="L128" s="22" t="n">
        <v>-7.748</v>
      </c>
      <c r="N128" s="22" t="n">
        <v>-26.088</v>
      </c>
      <c r="V128" s="22" t="n">
        <v>109.734</v>
      </c>
      <c r="W128" s="22" t="n">
        <v>18.375</v>
      </c>
      <c r="X128" s="22" t="n">
        <v>-26.088</v>
      </c>
    </row>
    <row r="129">
      <c r="A129" s="20" t="inlineStr">
        <is>
          <t>이전 지원비용 충당금 증감액(△는 감소)</t>
        </is>
      </c>
      <c r="F129" s="22" t="n">
        <v>23.85</v>
      </c>
      <c r="J129" s="22" t="n">
        <v>-3.6</v>
      </c>
      <c r="V129" s="22" t="n">
        <v>23.85</v>
      </c>
      <c r="W129" s="22" t="n">
        <v>-3.6</v>
      </c>
    </row>
    <row r="130">
      <c r="A130" s="20" t="inlineStr">
        <is>
          <t>이전 지원비용 충당금 증감액(△는 감소)</t>
        </is>
      </c>
      <c r="J130" s="22" t="n">
        <v>-3.6</v>
      </c>
      <c r="N130" s="22" t="n">
        <v>-0.25</v>
      </c>
      <c r="W130" s="22" t="n">
        <v>-3.6</v>
      </c>
      <c r="X130" s="22" t="n">
        <v>-0.25</v>
      </c>
    </row>
    <row r="131">
      <c r="A131" s="20" t="inlineStr">
        <is>
          <t>주주우대 충당금 증감</t>
        </is>
      </c>
      <c r="J131" s="22" t="n">
        <v>0</v>
      </c>
      <c r="N131" s="22" t="n">
        <v>8.744999999999999</v>
      </c>
      <c r="W131" s="22" t="n">
        <v>0</v>
      </c>
      <c r="X131" s="22" t="n">
        <v>8.744999999999999</v>
      </c>
    </row>
    <row r="132">
      <c r="A132" s="20" t="inlineStr">
        <is>
          <t>이자수익</t>
        </is>
      </c>
      <c r="F132" s="22" t="n">
        <v>-0.166</v>
      </c>
      <c r="H132" s="22" t="n">
        <v>-0.9399999999999999</v>
      </c>
      <c r="J132" s="22" t="n">
        <v>-2.931</v>
      </c>
      <c r="L132" s="22" t="n">
        <v>-2.228</v>
      </c>
      <c r="N132" s="22" t="n">
        <v>-4.922</v>
      </c>
      <c r="V132" s="22" t="n">
        <v>-0.166</v>
      </c>
      <c r="W132" s="22" t="n">
        <v>-2.931</v>
      </c>
      <c r="X132" s="22" t="n">
        <v>-4.922</v>
      </c>
    </row>
    <row r="133">
      <c r="A133" s="20" t="inlineStr">
        <is>
          <t>이자비용·사채이자</t>
        </is>
      </c>
      <c r="F133" s="22" t="n">
        <v>0.127</v>
      </c>
      <c r="H133" s="22" t="n">
        <v>0.045</v>
      </c>
      <c r="J133" s="22" t="n">
        <v>0.078</v>
      </c>
      <c r="L133" s="22" t="n">
        <v>0.004</v>
      </c>
      <c r="N133" s="22" t="n">
        <v>0.042</v>
      </c>
      <c r="V133" s="22" t="n">
        <v>0.127</v>
      </c>
      <c r="W133" s="22" t="n">
        <v>0.078</v>
      </c>
      <c r="X133" s="22" t="n">
        <v>0.042</v>
      </c>
    </row>
    <row r="134">
      <c r="A134" s="20" t="inlineStr">
        <is>
          <t>화해금 수령</t>
        </is>
      </c>
      <c r="H134" s="22" t="n">
        <v>0</v>
      </c>
      <c r="J134" s="22" t="n">
        <v>0</v>
      </c>
      <c r="L134" s="22" t="n">
        <v>-18.527</v>
      </c>
      <c r="N134" s="22" t="n">
        <v>-18.527</v>
      </c>
      <c r="W134" s="22" t="n">
        <v>0</v>
      </c>
      <c r="X134" s="22" t="n">
        <v>-18.527</v>
      </c>
    </row>
    <row r="135">
      <c r="A135" s="20" t="inlineStr">
        <is>
          <t>보조금 수입</t>
        </is>
      </c>
      <c r="F135" s="22" t="n">
        <v>-0.444</v>
      </c>
      <c r="H135" s="22" t="n">
        <v>0</v>
      </c>
      <c r="J135" s="22" t="n">
        <v>-0.004</v>
      </c>
      <c r="L135" s="22" t="n">
        <v>-0.004</v>
      </c>
      <c r="N135" s="22" t="n">
        <v>-0.004</v>
      </c>
      <c r="V135" s="22" t="n">
        <v>-0.444</v>
      </c>
      <c r="W135" s="22" t="n">
        <v>-0.004</v>
      </c>
      <c r="X135" s="22" t="n">
        <v>-0.004</v>
      </c>
    </row>
    <row r="136">
      <c r="A136" s="20" t="inlineStr">
        <is>
          <t>주식교부비</t>
        </is>
      </c>
      <c r="F136" s="22" t="n">
        <v>0</v>
      </c>
      <c r="J136" s="22" t="n">
        <v>6.199</v>
      </c>
      <c r="N136" s="22" t="n">
        <v>0</v>
      </c>
      <c r="V136" s="22" t="n">
        <v>0</v>
      </c>
      <c r="W136" s="22" t="n">
        <v>6.199</v>
      </c>
      <c r="X136" s="22" t="n">
        <v>0</v>
      </c>
    </row>
    <row r="137">
      <c r="A137" s="20" t="inlineStr">
        <is>
          <t>상장 관련 비용</t>
        </is>
      </c>
      <c r="F137" s="22" t="n">
        <v>0</v>
      </c>
      <c r="J137" s="22" t="n">
        <v>4.75</v>
      </c>
      <c r="N137" s="22" t="n">
        <v>0</v>
      </c>
      <c r="V137" s="22" t="n">
        <v>0</v>
      </c>
      <c r="W137" s="22" t="n">
        <v>4.75</v>
      </c>
      <c r="X137" s="22" t="n">
        <v>0</v>
      </c>
    </row>
    <row r="138">
      <c r="A138" s="20" t="inlineStr">
        <is>
          <t>매출채권 증감</t>
        </is>
      </c>
      <c r="F138" s="22" t="n">
        <v>-5.239</v>
      </c>
      <c r="H138" s="22" t="n">
        <v>3.232</v>
      </c>
      <c r="J138" s="22" t="n">
        <v>9.483000000000001</v>
      </c>
      <c r="L138" s="22" t="n">
        <v>-4.383</v>
      </c>
      <c r="N138" s="22" t="n">
        <v>-9.231999999999999</v>
      </c>
      <c r="V138" s="22" t="n">
        <v>-5.239</v>
      </c>
      <c r="W138" s="22" t="n">
        <v>9.483000000000001</v>
      </c>
      <c r="X138" s="22" t="n">
        <v>-9.231999999999999</v>
      </c>
    </row>
    <row r="139">
      <c r="A139" s="20" t="inlineStr">
        <is>
          <t>매입채무 증감</t>
        </is>
      </c>
      <c r="F139" s="22" t="n">
        <v>-4.334</v>
      </c>
      <c r="H139" s="22" t="n">
        <v>-11.872</v>
      </c>
      <c r="J139" s="22" t="n">
        <v>2.272</v>
      </c>
      <c r="L139" s="22" t="n">
        <v>-0.469</v>
      </c>
      <c r="N139" s="22" t="n">
        <v>0.254</v>
      </c>
      <c r="V139" s="22" t="n">
        <v>-4.334</v>
      </c>
      <c r="W139" s="22" t="n">
        <v>2.272</v>
      </c>
      <c r="X139" s="22" t="n">
        <v>0.254</v>
      </c>
    </row>
    <row r="140">
      <c r="A140" s="20" t="inlineStr">
        <is>
          <t>선급비용 증감</t>
        </is>
      </c>
      <c r="F140" s="22" t="n">
        <v>1.091</v>
      </c>
      <c r="H140" s="22" t="n">
        <v>-9.984</v>
      </c>
      <c r="J140" s="22" t="n">
        <v>-21.349</v>
      </c>
      <c r="L140" s="22" t="n">
        <v>-0.039</v>
      </c>
      <c r="N140" s="22" t="n">
        <v>9.388999999999999</v>
      </c>
      <c r="V140" s="22" t="n">
        <v>1.091</v>
      </c>
      <c r="W140" s="22" t="n">
        <v>-21.349</v>
      </c>
      <c r="X140" s="22" t="n">
        <v>9.388999999999999</v>
      </c>
    </row>
    <row r="141">
      <c r="A141" s="20" t="inlineStr">
        <is>
          <t>미지급금 증감</t>
        </is>
      </c>
      <c r="F141" s="22" t="n">
        <v>44.48</v>
      </c>
      <c r="H141" s="22" t="n">
        <v>-9.867000000000001</v>
      </c>
      <c r="J141" s="22" t="n">
        <v>51.933</v>
      </c>
      <c r="L141" s="22" t="n">
        <v>-11.745</v>
      </c>
      <c r="N141" s="22" t="n">
        <v>-2.286</v>
      </c>
      <c r="V141" s="22" t="n">
        <v>44.48</v>
      </c>
      <c r="W141" s="22" t="n">
        <v>51.933</v>
      </c>
      <c r="X141" s="22" t="n">
        <v>-2.286</v>
      </c>
    </row>
    <row r="142">
      <c r="A142" s="20" t="inlineStr">
        <is>
          <t>미지급비용 증감</t>
        </is>
      </c>
      <c r="F142" s="22" t="n">
        <v>3.81</v>
      </c>
      <c r="H142" s="22" t="n">
        <v>-1.747</v>
      </c>
      <c r="J142" s="22" t="n">
        <v>0.952</v>
      </c>
      <c r="L142" s="22" t="n">
        <v>-0.04</v>
      </c>
      <c r="N142" s="22" t="n">
        <v>4.2</v>
      </c>
      <c r="V142" s="22" t="n">
        <v>3.81</v>
      </c>
      <c r="W142" s="22" t="n">
        <v>0.952</v>
      </c>
      <c r="X142" s="22" t="n">
        <v>4.2</v>
      </c>
    </row>
    <row r="143">
      <c r="A143" s="20" t="inlineStr">
        <is>
          <t>장기 예수금 증감액(△는 감소)</t>
        </is>
      </c>
      <c r="F143" s="22" t="n">
        <v>-3.218</v>
      </c>
      <c r="H143" s="22" t="n">
        <v>-3.402</v>
      </c>
      <c r="J143" s="22" t="n">
        <v>-3.996</v>
      </c>
      <c r="L143" s="22" t="n">
        <v>-1.06</v>
      </c>
      <c r="N143" s="22" t="n">
        <v>-3.111</v>
      </c>
      <c r="V143" s="22" t="n">
        <v>-3.218</v>
      </c>
      <c r="W143" s="22" t="n">
        <v>-3.996</v>
      </c>
      <c r="X143" s="22" t="n">
        <v>-3.111</v>
      </c>
    </row>
    <row r="144">
      <c r="A144" s="20" t="inlineStr">
        <is>
          <t>미지급·미수 소비세 등 증감액</t>
        </is>
      </c>
      <c r="F144" s="22" t="n">
        <v>85.73999999999999</v>
      </c>
      <c r="H144" s="22" t="n">
        <v>-43.504</v>
      </c>
      <c r="J144" s="22" t="n">
        <v>-49.942</v>
      </c>
      <c r="L144" s="22" t="n">
        <v>24.808</v>
      </c>
      <c r="N144" s="22" t="n">
        <v>49.285</v>
      </c>
      <c r="V144" s="22" t="n">
        <v>85.73999999999999</v>
      </c>
      <c r="W144" s="22" t="n">
        <v>-49.942</v>
      </c>
      <c r="X144" s="22" t="n">
        <v>49.285</v>
      </c>
    </row>
    <row r="145">
      <c r="A145" s="20" t="inlineStr">
        <is>
          <t>기타</t>
        </is>
      </c>
      <c r="F145" s="22" t="n">
        <v>-1.78</v>
      </c>
      <c r="H145" s="22" t="n">
        <v>5.853</v>
      </c>
      <c r="J145" s="22" t="n">
        <v>6.16</v>
      </c>
      <c r="L145" s="22" t="n">
        <v>-4.626</v>
      </c>
      <c r="N145" s="22" t="n">
        <v>3.644</v>
      </c>
      <c r="V145" s="22" t="n">
        <v>-1.78</v>
      </c>
      <c r="W145" s="22" t="n">
        <v>6.16</v>
      </c>
      <c r="X145" s="22" t="n">
        <v>3.644</v>
      </c>
    </row>
    <row r="146">
      <c r="A146" s="20" t="inlineStr">
        <is>
          <t>소계</t>
        </is>
      </c>
      <c r="F146" s="22" t="n">
        <v>985.804</v>
      </c>
      <c r="H146" s="22" t="n">
        <v>464.399</v>
      </c>
      <c r="J146" s="22" t="n">
        <v>1051.664</v>
      </c>
      <c r="L146" s="22" t="n">
        <v>587.74</v>
      </c>
      <c r="N146" s="22" t="n">
        <v>1347.923</v>
      </c>
      <c r="V146" s="22" t="n">
        <v>985.804</v>
      </c>
      <c r="W146" s="22" t="n">
        <v>1051.664</v>
      </c>
      <c r="X146" s="22" t="n">
        <v>1347.923</v>
      </c>
    </row>
    <row r="147">
      <c r="A147" s="20" t="inlineStr">
        <is>
          <t>이자 수취</t>
        </is>
      </c>
      <c r="F147" s="22" t="n">
        <v>0.166</v>
      </c>
      <c r="H147" s="22" t="n">
        <v>0.9399999999999999</v>
      </c>
      <c r="J147" s="22" t="n">
        <v>2.931</v>
      </c>
      <c r="L147" s="22" t="n">
        <v>2.228</v>
      </c>
      <c r="N147" s="22" t="n">
        <v>4.922</v>
      </c>
      <c r="V147" s="22" t="n">
        <v>0.166</v>
      </c>
      <c r="W147" s="22" t="n">
        <v>2.931</v>
      </c>
      <c r="X147" s="22" t="n">
        <v>4.922</v>
      </c>
    </row>
    <row r="148">
      <c r="A148" s="20" t="inlineStr">
        <is>
          <t>이자 지급</t>
        </is>
      </c>
      <c r="F148" s="22" t="n">
        <v>-0.127</v>
      </c>
      <c r="H148" s="22" t="n">
        <v>-0.045</v>
      </c>
      <c r="J148" s="22" t="n">
        <v>-0.078</v>
      </c>
      <c r="L148" s="22" t="n">
        <v>-0.004</v>
      </c>
      <c r="N148" s="22" t="n">
        <v>-0.042</v>
      </c>
      <c r="V148" s="22" t="n">
        <v>-0.127</v>
      </c>
      <c r="W148" s="22" t="n">
        <v>-0.078</v>
      </c>
      <c r="X148" s="22" t="n">
        <v>-0.042</v>
      </c>
    </row>
    <row r="149">
      <c r="A149" s="20" t="inlineStr">
        <is>
          <t>화해금 수취액</t>
        </is>
      </c>
      <c r="H149" s="22" t="n">
        <v>0</v>
      </c>
      <c r="J149" s="22" t="n">
        <v>0</v>
      </c>
      <c r="L149" s="22" t="n">
        <v>79.06399999999999</v>
      </c>
      <c r="N149" s="22" t="n">
        <v>79.06399999999999</v>
      </c>
      <c r="W149" s="22" t="n">
        <v>0</v>
      </c>
      <c r="X149" s="22" t="n">
        <v>79.06399999999999</v>
      </c>
    </row>
    <row r="150">
      <c r="A150" s="20" t="inlineStr">
        <is>
          <t>보조금 수취</t>
        </is>
      </c>
      <c r="F150" s="22" t="n">
        <v>0.444</v>
      </c>
      <c r="H150" s="22" t="n">
        <v>0</v>
      </c>
      <c r="J150" s="22" t="n">
        <v>0.004</v>
      </c>
      <c r="L150" s="22" t="n">
        <v>0.004</v>
      </c>
      <c r="N150" s="22" t="n">
        <v>0.004</v>
      </c>
      <c r="V150" s="22" t="n">
        <v>0.444</v>
      </c>
      <c r="W150" s="22" t="n">
        <v>0.004</v>
      </c>
      <c r="X150" s="22" t="n">
        <v>0.004</v>
      </c>
    </row>
    <row r="151">
      <c r="A151" s="20" t="inlineStr">
        <is>
          <t>법인세 납부</t>
        </is>
      </c>
      <c r="F151" s="22" t="n">
        <v>-24.633</v>
      </c>
      <c r="H151" s="22" t="n">
        <v>-184.064</v>
      </c>
      <c r="J151" s="22" t="n">
        <v>-292.097</v>
      </c>
      <c r="L151" s="22" t="n">
        <v>-82.453</v>
      </c>
      <c r="N151" s="22" t="n">
        <v>-178.225</v>
      </c>
      <c r="V151" s="22" t="n">
        <v>-24.633</v>
      </c>
      <c r="W151" s="22" t="n">
        <v>-292.097</v>
      </c>
      <c r="X151" s="22" t="n">
        <v>-178.225</v>
      </c>
    </row>
    <row r="152">
      <c r="A152" s="9" t="inlineStr">
        <is>
          <t>영업활동 현금흐름</t>
        </is>
      </c>
      <c r="F152" s="12" t="n">
        <v>961.654</v>
      </c>
      <c r="H152" s="12" t="n">
        <v>281.229</v>
      </c>
      <c r="J152" s="12" t="n">
        <v>762.423</v>
      </c>
      <c r="L152" s="12" t="n">
        <v>586.58</v>
      </c>
      <c r="N152" s="12" t="n">
        <v>1253.646</v>
      </c>
      <c r="V152" s="12" t="n">
        <v>961.654</v>
      </c>
      <c r="W152" s="12" t="n">
        <v>762.423</v>
      </c>
      <c r="X152" s="12" t="n">
        <v>1253.646</v>
      </c>
    </row>
    <row r="153">
      <c r="A153" s="20" t="inlineStr">
        <is>
          <t>정기예금 예입</t>
        </is>
      </c>
      <c r="H153" s="22" t="n">
        <v>0</v>
      </c>
      <c r="J153" s="22" t="n">
        <v>0</v>
      </c>
      <c r="L153" s="22" t="n">
        <v>-400</v>
      </c>
      <c r="N153" s="22" t="n">
        <v>-400</v>
      </c>
      <c r="W153" s="22" t="n">
        <v>0</v>
      </c>
      <c r="X153" s="22" t="n">
        <v>-400</v>
      </c>
    </row>
    <row r="154">
      <c r="A154" s="20" t="inlineStr">
        <is>
          <t>유형자산 취득(설비투자)</t>
        </is>
      </c>
      <c r="F154" s="22" t="n">
        <v>-21.112</v>
      </c>
      <c r="H154" s="22" t="n">
        <v>-3.816</v>
      </c>
      <c r="J154" s="22" t="n">
        <v>-14.866</v>
      </c>
      <c r="L154" s="22" t="n">
        <v>-11.619</v>
      </c>
      <c r="N154" s="22" t="n">
        <v>-21.912</v>
      </c>
      <c r="V154" s="22" t="n">
        <v>-21.112</v>
      </c>
      <c r="W154" s="22" t="n">
        <v>-14.866</v>
      </c>
      <c r="X154" s="22" t="n">
        <v>-21.912</v>
      </c>
    </row>
    <row r="155">
      <c r="A155" s="20" t="inlineStr">
        <is>
          <t>무형자산 취득</t>
        </is>
      </c>
      <c r="F155" s="22" t="n">
        <v>-3.725</v>
      </c>
      <c r="H155" s="22" t="n">
        <v>-0.275</v>
      </c>
      <c r="J155" s="22" t="n">
        <v>-1.225</v>
      </c>
      <c r="L155" s="22" t="n">
        <v>-2.15</v>
      </c>
      <c r="N155" s="22" t="n">
        <v>-2.9</v>
      </c>
      <c r="V155" s="22" t="n">
        <v>-3.725</v>
      </c>
      <c r="W155" s="22" t="n">
        <v>-1.225</v>
      </c>
      <c r="X155" s="22" t="n">
        <v>-2.9</v>
      </c>
    </row>
    <row r="156">
      <c r="A156" s="20" t="inlineStr">
        <is>
          <t>장기선급비용 지출</t>
        </is>
      </c>
      <c r="F156" s="22" t="n">
        <v>-506.421</v>
      </c>
      <c r="H156" s="22" t="n">
        <v>-318.06</v>
      </c>
      <c r="J156" s="22" t="n">
        <v>-817.062</v>
      </c>
      <c r="L156" s="22" t="n">
        <v>-426.714</v>
      </c>
      <c r="N156" s="22" t="n">
        <v>-809.849</v>
      </c>
      <c r="V156" s="22" t="n">
        <v>-506.421</v>
      </c>
      <c r="W156" s="22" t="n">
        <v>-817.062</v>
      </c>
      <c r="X156" s="22" t="n">
        <v>-809.849</v>
      </c>
    </row>
    <row r="157">
      <c r="A157" s="20" t="inlineStr">
        <is>
          <t>기타</t>
        </is>
      </c>
      <c r="F157" s="22" t="n">
        <v>0</v>
      </c>
      <c r="J157" s="22" t="n">
        <v>9.074999999999999</v>
      </c>
      <c r="N157" s="22" t="n">
        <v>0</v>
      </c>
      <c r="V157" s="22" t="n">
        <v>0</v>
      </c>
      <c r="W157" s="22" t="n">
        <v>9.074999999999999</v>
      </c>
      <c r="X157" s="22" t="n">
        <v>0</v>
      </c>
    </row>
    <row r="158">
      <c r="A158" s="9" t="inlineStr">
        <is>
          <t>투자활동 현금흐름</t>
        </is>
      </c>
      <c r="F158" s="12" t="n">
        <v>-531.259</v>
      </c>
      <c r="H158" s="12" t="n">
        <v>-322.152</v>
      </c>
      <c r="J158" s="12" t="n">
        <v>-824.079</v>
      </c>
      <c r="L158" s="12" t="n">
        <v>-840.484</v>
      </c>
      <c r="N158" s="12" t="n">
        <v>-1234.661</v>
      </c>
      <c r="V158" s="12" t="n">
        <v>-531.259</v>
      </c>
      <c r="W158" s="12" t="n">
        <v>-824.079</v>
      </c>
      <c r="X158" s="12" t="n">
        <v>-1234.661</v>
      </c>
    </row>
    <row r="159">
      <c r="A159" s="20" t="inlineStr">
        <is>
          <t>사채 상환</t>
        </is>
      </c>
      <c r="F159" s="22" t="n">
        <v>-10</v>
      </c>
      <c r="H159" s="22" t="n">
        <v>-5</v>
      </c>
      <c r="J159" s="22" t="n">
        <v>-10</v>
      </c>
      <c r="L159" s="22" t="n">
        <v>0</v>
      </c>
      <c r="N159" s="22" t="n">
        <v>0</v>
      </c>
      <c r="V159" s="22" t="n">
        <v>-10</v>
      </c>
      <c r="W159" s="22" t="n">
        <v>-10</v>
      </c>
      <c r="X159" s="22" t="n">
        <v>0</v>
      </c>
    </row>
    <row r="160">
      <c r="A160" s="20" t="inlineStr">
        <is>
          <t>상장 관련 비용 지출</t>
        </is>
      </c>
      <c r="F160" s="22" t="n">
        <v>0</v>
      </c>
      <c r="J160" s="22" t="n">
        <v>-4.75</v>
      </c>
      <c r="N160" s="22" t="n">
        <v>0</v>
      </c>
      <c r="V160" s="22" t="n">
        <v>0</v>
      </c>
      <c r="W160" s="22" t="n">
        <v>-4.75</v>
      </c>
      <c r="X160" s="22" t="n">
        <v>0</v>
      </c>
    </row>
    <row r="161">
      <c r="A161" s="20" t="inlineStr">
        <is>
          <t>리스부채 상환</t>
        </is>
      </c>
      <c r="F161" s="22" t="n">
        <v>-1.973</v>
      </c>
      <c r="H161" s="22" t="n">
        <v>-0.987</v>
      </c>
      <c r="J161" s="22" t="n">
        <v>-1.976</v>
      </c>
      <c r="L161" s="22" t="n">
        <v>-0.989</v>
      </c>
      <c r="N161" s="22" t="n">
        <v>-2.796</v>
      </c>
      <c r="V161" s="22" t="n">
        <v>-1.973</v>
      </c>
      <c r="W161" s="22" t="n">
        <v>-1.976</v>
      </c>
      <c r="X161" s="22" t="n">
        <v>-2.796</v>
      </c>
    </row>
    <row r="162">
      <c r="A162" s="20" t="inlineStr">
        <is>
          <t>주식 발행</t>
        </is>
      </c>
      <c r="F162" s="22" t="n">
        <v>0</v>
      </c>
      <c r="H162" s="22" t="n">
        <v>0</v>
      </c>
      <c r="J162" s="22" t="n">
        <v>281.986</v>
      </c>
      <c r="L162" s="22" t="n">
        <v>2.006</v>
      </c>
      <c r="N162" s="22" t="n">
        <v>3.012</v>
      </c>
      <c r="V162" s="22" t="n">
        <v>0</v>
      </c>
      <c r="W162" s="22" t="n">
        <v>281.986</v>
      </c>
      <c r="X162" s="22" t="n">
        <v>3.012</v>
      </c>
    </row>
    <row r="163">
      <c r="A163" s="20" t="inlineStr">
        <is>
          <t>배당금 지급</t>
        </is>
      </c>
      <c r="F163" s="22" t="n">
        <v>0</v>
      </c>
      <c r="H163" s="22" t="n">
        <v>-120</v>
      </c>
      <c r="J163" s="22" t="n">
        <v>-120</v>
      </c>
      <c r="L163" s="22" t="n">
        <v>-194.626</v>
      </c>
      <c r="N163" s="22" t="n">
        <v>-309.141</v>
      </c>
      <c r="V163" s="22" t="n">
        <v>0</v>
      </c>
      <c r="W163" s="22" t="n">
        <v>-120</v>
      </c>
      <c r="X163" s="22" t="n">
        <v>-309.141</v>
      </c>
    </row>
    <row r="164">
      <c r="A164" s="9" t="inlineStr">
        <is>
          <t>재무활동 현금흐름</t>
        </is>
      </c>
      <c r="F164" s="12" t="n">
        <v>-11.973</v>
      </c>
      <c r="H164" s="12" t="n">
        <v>-125.987</v>
      </c>
      <c r="J164" s="12" t="n">
        <v>145.26</v>
      </c>
      <c r="L164" s="12" t="n">
        <v>-193.608</v>
      </c>
      <c r="N164" s="12" t="n">
        <v>-308.925</v>
      </c>
      <c r="V164" s="12" t="n">
        <v>-11.973</v>
      </c>
      <c r="W164" s="12" t="n">
        <v>145.26</v>
      </c>
      <c r="X164" s="12" t="n">
        <v>-308.925</v>
      </c>
    </row>
    <row r="165">
      <c r="A165" s="20" t="inlineStr">
        <is>
          <t>현금성자산 증감</t>
        </is>
      </c>
      <c r="F165" s="22" t="n">
        <v>418.42</v>
      </c>
      <c r="H165" s="22" t="n">
        <v>-166.91</v>
      </c>
      <c r="J165" s="22" t="n">
        <v>83.604</v>
      </c>
      <c r="L165" s="22" t="n">
        <v>-447.512</v>
      </c>
      <c r="N165" s="22" t="n">
        <v>-289.94</v>
      </c>
      <c r="V165" s="22" t="n">
        <v>418.42</v>
      </c>
      <c r="W165" s="22" t="n">
        <v>83.604</v>
      </c>
      <c r="X165" s="22" t="n">
        <v>-289.94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1" t="inlineStr">
        <is>
          <t>에타이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2024</t>
        </is>
      </c>
      <c r="I3" s="5" t="inlineStr">
        <is>
          <t>2025</t>
        </is>
      </c>
      <c r="J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</row>
    <row r="5">
      <c r="A5" s="9" t="inlineStr">
        <is>
          <t>유동자산</t>
        </is>
      </c>
      <c r="B5" s="10" t="n"/>
      <c r="C5" s="11" t="n">
        <v>2116.015</v>
      </c>
      <c r="D5" s="12" t="n">
        <v>1977.222</v>
      </c>
      <c r="E5" s="12" t="n">
        <v>2070.343</v>
      </c>
      <c r="F5" s="12" t="n">
        <v>2150.193</v>
      </c>
      <c r="G5" s="12" t="n">
        <v>2216.7</v>
      </c>
      <c r="H5" s="11" t="n">
        <v>2007.647</v>
      </c>
      <c r="I5" s="12" t="n">
        <v>2116.015</v>
      </c>
      <c r="J5" s="12" t="n">
        <v>2216.7</v>
      </c>
    </row>
    <row r="6">
      <c r="A6" s="20" t="inlineStr">
        <is>
          <t>현금및현금성자산</t>
        </is>
      </c>
      <c r="B6" s="10" t="n"/>
      <c r="C6" s="21" t="n">
        <v>2054.56</v>
      </c>
      <c r="D6" s="22" t="n">
        <v>1816.441</v>
      </c>
      <c r="E6" s="22" t="n">
        <v>2007.047</v>
      </c>
      <c r="F6" s="22" t="n">
        <v>2091.68</v>
      </c>
      <c r="G6" s="22" t="n">
        <v>2164.619</v>
      </c>
      <c r="H6" s="21" t="n">
        <v>1970.955</v>
      </c>
      <c r="I6" s="22" t="n">
        <v>2054.56</v>
      </c>
      <c r="J6" s="22" t="n">
        <v>2164.619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</row>
    <row r="8">
      <c r="A8" s="20" t="inlineStr">
        <is>
          <t>매출채권</t>
        </is>
      </c>
      <c r="B8" s="10" t="n"/>
      <c r="C8" s="21" t="n">
        <v>2.953</v>
      </c>
      <c r="D8" s="22" t="n">
        <v>8.369999999999999</v>
      </c>
      <c r="E8" s="22" t="n">
        <v>7.336</v>
      </c>
      <c r="F8" s="22" t="n">
        <v>14.343</v>
      </c>
      <c r="G8" s="22" t="n">
        <v>12.185</v>
      </c>
      <c r="H8" s="21" t="n">
        <v>12.437</v>
      </c>
      <c r="I8" s="22" t="n">
        <v>2.953</v>
      </c>
      <c r="J8" s="22" t="n">
        <v>12.185</v>
      </c>
    </row>
    <row r="9">
      <c r="A9" s="20" t="inlineStr">
        <is>
          <t>재고자산</t>
        </is>
      </c>
      <c r="B9" s="10" t="n"/>
      <c r="C9" s="21" t="n">
        <v>13.692</v>
      </c>
      <c r="D9" s="22" t="n">
        <v>12.121</v>
      </c>
      <c r="E9" s="22" t="n">
        <v>14.588</v>
      </c>
      <c r="F9" s="22" t="n">
        <v>15.992</v>
      </c>
      <c r="G9" s="22" t="n">
        <v>14.853</v>
      </c>
      <c r="H9" s="21" t="n">
        <v>9.907</v>
      </c>
      <c r="I9" s="22" t="n">
        <v>13.692</v>
      </c>
      <c r="J9" s="22" t="n">
        <v>14.853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</row>
    <row r="11">
      <c r="A11" s="9" t="inlineStr">
        <is>
          <t>비유동자산</t>
        </is>
      </c>
      <c r="B11" s="10" t="n"/>
      <c r="C11" s="11" t="n">
        <v>1764.995</v>
      </c>
      <c r="D11" s="12" t="n">
        <v>1908.121</v>
      </c>
      <c r="E11" s="12" t="n">
        <v>1787.095</v>
      </c>
      <c r="F11" s="12" t="n">
        <v>1953.536</v>
      </c>
      <c r="G11" s="12" t="n">
        <v>1996.399</v>
      </c>
      <c r="H11" s="11" t="n">
        <v>1264.67</v>
      </c>
      <c r="I11" s="12" t="n">
        <v>1764.995</v>
      </c>
      <c r="J11" s="12" t="n">
        <v>1996.399</v>
      </c>
    </row>
    <row r="12">
      <c r="A12" s="20" t="inlineStr">
        <is>
          <t>유형자산</t>
        </is>
      </c>
      <c r="B12" s="10" t="n"/>
      <c r="C12" s="21" t="n">
        <v>30.578</v>
      </c>
      <c r="D12" s="22" t="n">
        <v>36.646</v>
      </c>
      <c r="E12" s="22" t="n">
        <v>34.271</v>
      </c>
      <c r="F12" s="22" t="n">
        <v>46.074</v>
      </c>
      <c r="G12" s="22" t="n">
        <v>42.145</v>
      </c>
      <c r="H12" s="21" t="n">
        <v>47.403</v>
      </c>
      <c r="I12" s="22" t="n">
        <v>30.578</v>
      </c>
      <c r="J12" s="22" t="n">
        <v>42.145</v>
      </c>
    </row>
    <row r="13">
      <c r="A13" s="20" t="inlineStr">
        <is>
          <t>무형자산</t>
        </is>
      </c>
      <c r="B13" s="10" t="n"/>
      <c r="C13" s="21" t="n">
        <v>7.283</v>
      </c>
      <c r="D13" s="22" t="n">
        <v>7.077</v>
      </c>
      <c r="E13" s="22" t="n">
        <v>7.593</v>
      </c>
      <c r="F13" s="22" t="n">
        <v>7.948</v>
      </c>
      <c r="G13" s="22" t="n">
        <v>7.478</v>
      </c>
      <c r="H13" s="21" t="n">
        <v>11.539</v>
      </c>
      <c r="I13" s="22" t="n">
        <v>7.283</v>
      </c>
      <c r="J13" s="22" t="n">
        <v>7.478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</row>
    <row r="16">
      <c r="A16" s="9" t="inlineStr">
        <is>
          <t>자산총계</t>
        </is>
      </c>
      <c r="B16" s="10" t="n"/>
      <c r="C16" s="11" t="n">
        <v>3881.011</v>
      </c>
      <c r="D16" s="12" t="n">
        <v>3885.343</v>
      </c>
      <c r="E16" s="12" t="n">
        <v>3857.439</v>
      </c>
      <c r="F16" s="12" t="n">
        <v>4103.729</v>
      </c>
      <c r="G16" s="12" t="n">
        <v>4213.1</v>
      </c>
      <c r="H16" s="11" t="n">
        <v>3272.318</v>
      </c>
      <c r="I16" s="12" t="n">
        <v>3881.011</v>
      </c>
      <c r="J16" s="12" t="n">
        <v>4213.1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</row>
    <row r="18">
      <c r="A18" s="9" t="inlineStr">
        <is>
          <t>유동부채</t>
        </is>
      </c>
      <c r="B18" s="10" t="n"/>
      <c r="C18" s="11" t="n">
        <v>588.364</v>
      </c>
      <c r="D18" s="12" t="n">
        <v>626.752</v>
      </c>
      <c r="E18" s="12" t="n">
        <v>529.5119999999999</v>
      </c>
      <c r="F18" s="12" t="n">
        <v>702.915</v>
      </c>
      <c r="G18" s="12" t="n">
        <v>647.562</v>
      </c>
      <c r="H18" s="11" t="n">
        <v>599.24</v>
      </c>
      <c r="I18" s="12" t="n">
        <v>588.364</v>
      </c>
      <c r="J18" s="12" t="n">
        <v>647.562</v>
      </c>
    </row>
    <row r="19">
      <c r="A19" s="20" t="inlineStr">
        <is>
          <t>매입채무</t>
        </is>
      </c>
      <c r="B19" s="10" t="n"/>
      <c r="C19" s="21" t="n">
        <v>82.613</v>
      </c>
      <c r="D19" s="22" t="n">
        <v>52.121</v>
      </c>
      <c r="E19" s="22" t="n">
        <v>13.261</v>
      </c>
      <c r="F19" s="22" t="n">
        <v>119.555</v>
      </c>
      <c r="G19" s="22" t="n">
        <v>10.514</v>
      </c>
      <c r="H19" s="21" t="n">
        <v>11.789</v>
      </c>
      <c r="I19" s="22" t="n">
        <v>82.613</v>
      </c>
      <c r="J19" s="22" t="n">
        <v>10.514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</row>
    <row r="21">
      <c r="A21" s="20" t="inlineStr">
        <is>
          <t>유동성장기부채</t>
        </is>
      </c>
      <c r="B21" s="10" t="n"/>
      <c r="C21" s="21" t="n">
        <v>0</v>
      </c>
      <c r="D21" s="22" t="n"/>
      <c r="E21" s="22" t="n"/>
      <c r="F21" s="22" t="n"/>
      <c r="G21" s="22" t="n"/>
      <c r="H21" s="21" t="n">
        <v>10</v>
      </c>
      <c r="I21" s="22" t="n">
        <v>0</v>
      </c>
      <c r="J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</row>
    <row r="23">
      <c r="A23" s="9" t="inlineStr">
        <is>
          <t>비유동부채</t>
        </is>
      </c>
      <c r="B23" s="10" t="n"/>
      <c r="C23" s="11" t="n">
        <v>130.594</v>
      </c>
      <c r="D23" s="12" t="n">
        <v>129.192</v>
      </c>
      <c r="E23" s="12" t="n">
        <v>129.533</v>
      </c>
      <c r="F23" s="12" t="n">
        <v>140.169</v>
      </c>
      <c r="G23" s="12" t="n">
        <v>134.72</v>
      </c>
      <c r="H23" s="11" t="n">
        <v>136.569</v>
      </c>
      <c r="I23" s="12" t="n">
        <v>130.594</v>
      </c>
      <c r="J23" s="12" t="n">
        <v>134.72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</row>
    <row r="27">
      <c r="A27" s="9" t="inlineStr">
        <is>
          <t>부채총계</t>
        </is>
      </c>
      <c r="B27" s="10" t="n"/>
      <c r="C27" s="11" t="n">
        <v>718.958</v>
      </c>
      <c r="D27" s="12" t="n">
        <v>755.944</v>
      </c>
      <c r="E27" s="12" t="n">
        <v>659.046</v>
      </c>
      <c r="F27" s="12" t="n">
        <v>843.0839999999999</v>
      </c>
      <c r="G27" s="12" t="n">
        <v>782.282</v>
      </c>
      <c r="H27" s="11" t="n">
        <v>735.809</v>
      </c>
      <c r="I27" s="12" t="n">
        <v>718.958</v>
      </c>
      <c r="J27" s="12" t="n">
        <v>782.282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</row>
    <row r="31">
      <c r="A31" s="9" t="inlineStr">
        <is>
          <t>지배주주지분</t>
        </is>
      </c>
      <c r="B31" s="10" t="n"/>
      <c r="C31" s="11" t="n">
        <v>3162.052</v>
      </c>
      <c r="D31" s="12" t="n">
        <v>3129.399</v>
      </c>
      <c r="E31" s="12" t="n">
        <v>3198.392</v>
      </c>
      <c r="F31" s="12" t="n">
        <v>3260.644</v>
      </c>
      <c r="G31" s="12" t="n">
        <v>3430.817</v>
      </c>
      <c r="H31" s="11" t="n">
        <v>2536.508</v>
      </c>
      <c r="I31" s="12" t="n">
        <v>3162.052</v>
      </c>
      <c r="J31" s="12" t="n">
        <v>3430.817</v>
      </c>
    </row>
    <row r="32">
      <c r="A32" s="20" t="inlineStr">
        <is>
          <t>자본금</t>
        </is>
      </c>
      <c r="B32" s="10" t="n"/>
      <c r="C32" s="21" t="n">
        <v>164.092</v>
      </c>
      <c r="D32" s="22" t="n">
        <v>164.225</v>
      </c>
      <c r="E32" s="22" t="n">
        <v>165.096</v>
      </c>
      <c r="F32" s="22" t="n">
        <v>165.241</v>
      </c>
      <c r="G32" s="22" t="n">
        <v>165.598</v>
      </c>
      <c r="H32" s="21" t="n">
        <v>20</v>
      </c>
      <c r="I32" s="22" t="n">
        <v>164.092</v>
      </c>
      <c r="J32" s="22" t="n">
        <v>165.598</v>
      </c>
    </row>
    <row r="33">
      <c r="A33" s="20" t="inlineStr">
        <is>
          <t>이익잉여금</t>
        </is>
      </c>
      <c r="B33" s="10" t="n"/>
      <c r="C33" s="21" t="n">
        <v>2853.867</v>
      </c>
      <c r="D33" s="22" t="n">
        <v>2820.947</v>
      </c>
      <c r="E33" s="22" t="n">
        <v>2888.2</v>
      </c>
      <c r="F33" s="22" t="n">
        <v>2950.161</v>
      </c>
      <c r="G33" s="22" t="n">
        <v>3119.619</v>
      </c>
      <c r="H33" s="21" t="n">
        <v>2516.508</v>
      </c>
      <c r="I33" s="22" t="n">
        <v>2853.867</v>
      </c>
      <c r="J33" s="22" t="n">
        <v>3119.619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</row>
    <row r="35">
      <c r="A35" s="9" t="inlineStr">
        <is>
          <t>자본총계</t>
        </is>
      </c>
      <c r="B35" s="10" t="n"/>
      <c r="C35" s="11" t="n">
        <v>3162.052</v>
      </c>
      <c r="D35" s="12" t="n">
        <v>3129.399</v>
      </c>
      <c r="E35" s="12" t="n">
        <v>3198.392</v>
      </c>
      <c r="F35" s="12" t="n">
        <v>3260.644</v>
      </c>
      <c r="G35" s="12" t="n">
        <v>3430.817</v>
      </c>
      <c r="H35" s="11" t="n">
        <v>2536.508</v>
      </c>
      <c r="I35" s="12" t="n">
        <v>3162.052</v>
      </c>
      <c r="J35" s="12" t="n">
        <v>3430.817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</row>
    <row r="37">
      <c r="A37" s="9" t="inlineStr">
        <is>
          <t>영업활동현금흐름</t>
        </is>
      </c>
      <c r="B37" s="10" t="n"/>
      <c r="C37" s="11" t="n">
        <v>762.423</v>
      </c>
      <c r="D37" s="12" t="n"/>
      <c r="E37" s="12" t="n">
        <v>1067.774</v>
      </c>
      <c r="F37" s="12" t="n"/>
      <c r="G37" s="12" t="n">
        <v>1253.646</v>
      </c>
      <c r="H37" s="11" t="n">
        <v>961.654</v>
      </c>
      <c r="I37" s="12" t="n">
        <v>762.423</v>
      </c>
      <c r="J37" s="12" t="n">
        <v>1253.646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16.091</v>
      </c>
      <c r="D38" s="22" t="n"/>
      <c r="E38" s="22" t="n">
        <v>25.769</v>
      </c>
      <c r="F38" s="22" t="n"/>
      <c r="G38" s="22" t="n">
        <v>24.812</v>
      </c>
      <c r="H38" s="21" t="n">
        <v>24.837</v>
      </c>
      <c r="I38" s="22" t="n">
        <v>16.091</v>
      </c>
      <c r="J38" s="22" t="n">
        <v>24.812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120</v>
      </c>
      <c r="D40" s="22" t="n"/>
      <c r="E40" s="22" t="n">
        <v>194.626</v>
      </c>
      <c r="F40" s="22" t="n"/>
      <c r="G40" s="22" t="n">
        <v>309.141</v>
      </c>
      <c r="H40" s="21" t="n">
        <v>0</v>
      </c>
      <c r="I40" s="22" t="n">
        <v>120</v>
      </c>
      <c r="J40" s="22" t="n">
        <v>309.141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IFERROR(('연간'!V19)/('연간'!V41),"")</f>
        <v/>
      </c>
      <c r="I48" s="33">
        <f>IFERROR(('연간'!W19)/('연간'!W41),"")</f>
        <v/>
      </c>
      <c r="J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IFERROR(IF(('연간'!V49)&lt;=0,"적자",H28/('연간'!V49)),"")</f>
        <v/>
      </c>
      <c r="I49" s="49">
        <f>IFERROR(IF(('연간'!W49)&lt;=0,"적자",I28/('연간'!W49)),"")</f>
        <v/>
      </c>
      <c r="J49" s="49">
        <f>IFERROR(IF(('연간'!X49)&lt;=0,"적자",J28/('연간'!X49)),"")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IFERROR(('연간'!V49)/H31,"")</f>
        <v/>
      </c>
      <c r="I51" s="38">
        <f>IFERROR(('연간'!W49)/I31,"")</f>
        <v/>
      </c>
      <c r="J51" s="38">
        <f>IFERROR(('연간'!X49)/J31,"")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IFERROR(('연간'!V47)/H16,"")</f>
        <v/>
      </c>
      <c r="I52" s="38">
        <f>IFERROR(('연간'!W47)/I16,"")</f>
        <v/>
      </c>
      <c r="J52" s="38">
        <f>IFERROR(('연간'!X47)/J16,"")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IFERROR(('연간'!V19)*(1-0.3)/(H35+H29),"")</f>
        <v/>
      </c>
      <c r="I53" s="38">
        <f>IFERROR(('연간'!W19)*(1-0.3)/(I35+I29),"")</f>
        <v/>
      </c>
      <c r="J53" s="38">
        <f>IFERROR(('연간'!X19)*(1-0.3)/(J35+J29),"")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IFERROR(('연간'!V13)/('연간'!V4),"")</f>
        <v/>
      </c>
      <c r="I54" s="38">
        <f>IFERROR(('연간'!W13)/('연간'!W4),"")</f>
        <v/>
      </c>
      <c r="J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IFERROR(('연간'!V19)/('연간'!V4),"")</f>
        <v/>
      </c>
      <c r="I55" s="38">
        <f>IFERROR(('연간'!W19)/('연간'!W4),"")</f>
        <v/>
      </c>
      <c r="J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IFERROR(('연간'!V47)/('연간'!V4),"")</f>
        <v/>
      </c>
      <c r="I56" s="38">
        <f>IFERROR(('연간'!W47)/('연간'!W4),"")</f>
        <v/>
      </c>
      <c r="J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IFERROR(('연간'!V4)/H16,"")</f>
        <v/>
      </c>
      <c r="I58" s="33">
        <f>IFERROR(('연간'!W4)/I16,"")</f>
        <v/>
      </c>
      <c r="J58" s="33">
        <f>IFERROR(('연간'!X4)/J16,"")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IFERROR(H8/('연간'!V4)*365,"")</f>
        <v/>
      </c>
      <c r="I59" s="51">
        <f>IFERROR(I8/('연간'!W4)*365,"")</f>
        <v/>
      </c>
      <c r="J59" s="51">
        <f>IFERROR(J8/('연간'!X4)*365,"")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IFERROR(H9/('연간'!V11)*365,"")</f>
        <v/>
      </c>
      <c r="I60" s="51">
        <f>IFERROR(I9/('연간'!W11)*365,"")</f>
        <v/>
      </c>
      <c r="J60" s="51">
        <f>IFERROR(J9/('연간'!X11)*365,"")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IFERROR(H19/('연간'!V11)*365,"")</f>
        <v/>
      </c>
      <c r="I61" s="51">
        <f>IFERROR(I19/('연간'!W11)*365,"")</f>
        <v/>
      </c>
      <c r="J61" s="51">
        <f>IFERROR(J19/('연간'!X11)*365,"")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IF(H37="","",IFERROR(H37/('연간'!V47),""))</f>
        <v/>
      </c>
      <c r="I64" s="33">
        <f>IF(I37="","",IFERROR(I37/('연간'!W47),""))</f>
        <v/>
      </c>
      <c r="J64" s="33">
        <f>IF(J37="","",IFERROR(J37/('연간'!X47),""))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IF(H39="","",IFERROR(H39/('연간'!V4),""))</f>
        <v/>
      </c>
      <c r="I65" s="38">
        <f>IF(I39="","",IFERROR(I39/('연간'!W4),""))</f>
        <v/>
      </c>
      <c r="J65" s="38">
        <f>IF(J39="","",IFERROR(J39/('연간'!X4),""))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IF(H38="","",IFERROR(H38/('연간'!V4),""))</f>
        <v/>
      </c>
      <c r="I66" s="38">
        <f>IF(I38="","",IFERROR(I38/('연간'!W4),""))</f>
        <v/>
      </c>
      <c r="J66" s="38">
        <f>IF(J38="","",IFERROR(J38/('연간'!X4),""))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IF(H40="","",IFERROR(H40/('연간'!V49),""))</f>
        <v/>
      </c>
      <c r="I67" s="38">
        <f>IF(I40="","",IFERROR(I40/('연간'!W49),""))</f>
        <v/>
      </c>
      <c r="J67" s="38">
        <f>IF(J40="","",IFERROR(J40/('연간'!X49),""))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2024</t>
        </is>
      </c>
      <c r="I70" s="5" t="inlineStr">
        <is>
          <t>2025</t>
        </is>
      </c>
      <c r="J70" s="5" t="inlineStr">
        <is>
          <t>2026</t>
        </is>
      </c>
    </row>
    <row r="71">
      <c r="A71" s="20" t="inlineStr">
        <is>
          <t>현금 및 예금</t>
        </is>
      </c>
      <c r="C71" s="22" t="n">
        <v>2054.56</v>
      </c>
      <c r="D71" s="22" t="n">
        <v>1816.441</v>
      </c>
      <c r="E71" s="22" t="n">
        <v>2007.047</v>
      </c>
      <c r="F71" s="22" t="n">
        <v>2091.68</v>
      </c>
      <c r="G71" s="22" t="n">
        <v>2164.619</v>
      </c>
      <c r="H71" s="22" t="n">
        <v>1970.955</v>
      </c>
      <c r="I71" s="22" t="n">
        <v>2054.56</v>
      </c>
      <c r="J71" s="22" t="n">
        <v>2164.619</v>
      </c>
    </row>
    <row r="72">
      <c r="A72" s="20" t="inlineStr">
        <is>
          <t>매출채권</t>
        </is>
      </c>
      <c r="C72" s="22" t="n">
        <v>2.953</v>
      </c>
      <c r="D72" s="22" t="n">
        <v>8.369999999999999</v>
      </c>
      <c r="E72" s="22" t="n">
        <v>7.336</v>
      </c>
      <c r="F72" s="22" t="n">
        <v>14.343</v>
      </c>
      <c r="G72" s="22" t="n">
        <v>12.185</v>
      </c>
      <c r="H72" s="22" t="n">
        <v>12.437</v>
      </c>
      <c r="I72" s="22" t="n">
        <v>2.953</v>
      </c>
      <c r="J72" s="22" t="n">
        <v>12.185</v>
      </c>
    </row>
    <row r="73">
      <c r="A73" s="20" t="inlineStr">
        <is>
          <t>저장품</t>
        </is>
      </c>
      <c r="C73" s="22" t="n">
        <v>13.692</v>
      </c>
      <c r="D73" s="22" t="n">
        <v>12.121</v>
      </c>
      <c r="E73" s="22" t="n">
        <v>14.588</v>
      </c>
      <c r="F73" s="22" t="n">
        <v>15.992</v>
      </c>
      <c r="G73" s="22" t="n">
        <v>14.853</v>
      </c>
      <c r="H73" s="22" t="n">
        <v>9.907</v>
      </c>
      <c r="I73" s="22" t="n">
        <v>13.692</v>
      </c>
      <c r="J73" s="22" t="n">
        <v>14.853</v>
      </c>
    </row>
    <row r="74">
      <c r="A74" s="20" t="inlineStr">
        <is>
          <t>선급비용</t>
        </is>
      </c>
      <c r="C74" s="22" t="n">
        <v>34.207</v>
      </c>
      <c r="G74" s="22" t="n">
        <v>24.818</v>
      </c>
      <c r="H74" s="22" t="n">
        <v>12.858</v>
      </c>
      <c r="I74" s="22" t="n">
        <v>34.207</v>
      </c>
      <c r="J74" s="22" t="n">
        <v>24.818</v>
      </c>
    </row>
    <row r="75">
      <c r="A75" s="20" t="inlineStr">
        <is>
          <t>기타</t>
        </is>
      </c>
      <c r="C75" s="22" t="n">
        <v>10.602</v>
      </c>
      <c r="D75" s="22" t="n">
        <v>140.289</v>
      </c>
      <c r="E75" s="22" t="n">
        <v>41.371</v>
      </c>
      <c r="F75" s="22" t="n">
        <v>28.176</v>
      </c>
      <c r="G75" s="22" t="n">
        <v>0.223</v>
      </c>
      <c r="H75" s="22" t="n">
        <v>1.488</v>
      </c>
      <c r="I75" s="22" t="n">
        <v>10.602</v>
      </c>
      <c r="J75" s="22" t="n">
        <v>0.223</v>
      </c>
    </row>
    <row r="76">
      <c r="A76" s="9" t="inlineStr">
        <is>
          <t>유동자산 합계</t>
        </is>
      </c>
      <c r="C76" s="12" t="n">
        <v>2116.015</v>
      </c>
      <c r="D76" s="12" t="n">
        <v>1977.222</v>
      </c>
      <c r="E76" s="12" t="n">
        <v>2070.343</v>
      </c>
      <c r="F76" s="12" t="n">
        <v>2150.193</v>
      </c>
      <c r="G76" s="12" t="n">
        <v>2216.7</v>
      </c>
      <c r="H76" s="12" t="n">
        <v>2007.647</v>
      </c>
      <c r="I76" s="12" t="n">
        <v>2116.015</v>
      </c>
      <c r="J76" s="12" t="n">
        <v>2216.7</v>
      </c>
    </row>
    <row r="77">
      <c r="A77" s="20" t="inlineStr">
        <is>
          <t>건물</t>
        </is>
      </c>
      <c r="C77" s="22" t="n">
        <v>41.653</v>
      </c>
      <c r="G77" s="22" t="n">
        <v>51.02</v>
      </c>
      <c r="H77" s="22" t="n">
        <v>31.532</v>
      </c>
      <c r="I77" s="22" t="n">
        <v>41.653</v>
      </c>
      <c r="J77" s="22" t="n">
        <v>51.02</v>
      </c>
    </row>
    <row r="78">
      <c r="A78" s="20" t="inlineStr">
        <is>
          <t>감가상각누계액</t>
        </is>
      </c>
      <c r="C78" s="22" t="n">
        <v>-25.317</v>
      </c>
      <c r="G78" s="22" t="n">
        <v>-33.45</v>
      </c>
      <c r="H78" s="22" t="n">
        <v>-18.906</v>
      </c>
      <c r="I78" s="22" t="n">
        <v>-25.317</v>
      </c>
      <c r="J78" s="22" t="n">
        <v>-33.45</v>
      </c>
    </row>
    <row r="79">
      <c r="A79" s="20" t="inlineStr">
        <is>
          <t>건물(순액)</t>
        </is>
      </c>
      <c r="C79" s="22" t="n">
        <v>16.336</v>
      </c>
      <c r="G79" s="22" t="n">
        <v>17.57</v>
      </c>
      <c r="H79" s="22" t="n">
        <v>12.626</v>
      </c>
      <c r="I79" s="22" t="n">
        <v>16.336</v>
      </c>
      <c r="J79" s="22" t="n">
        <v>17.57</v>
      </c>
    </row>
    <row r="80">
      <c r="A80" s="20" t="inlineStr">
        <is>
          <t>구축물</t>
        </is>
      </c>
      <c r="C80" s="22" t="n">
        <v>0.076</v>
      </c>
      <c r="G80" s="22" t="n">
        <v>0.426</v>
      </c>
      <c r="H80" s="22" t="n">
        <v>0.076</v>
      </c>
      <c r="I80" s="22" t="n">
        <v>0.076</v>
      </c>
      <c r="J80" s="22" t="n">
        <v>0.426</v>
      </c>
    </row>
    <row r="81">
      <c r="A81" s="20" t="inlineStr">
        <is>
          <t>감가상각누계액</t>
        </is>
      </c>
      <c r="C81" s="22" t="n">
        <v>-0.076</v>
      </c>
      <c r="G81" s="22" t="n">
        <v>-0.093</v>
      </c>
      <c r="H81" s="22" t="n">
        <v>-0.076</v>
      </c>
      <c r="I81" s="22" t="n">
        <v>-0.076</v>
      </c>
      <c r="J81" s="22" t="n">
        <v>-0.093</v>
      </c>
    </row>
    <row r="82">
      <c r="A82" s="20" t="inlineStr">
        <is>
          <t>구축물(순액)</t>
        </is>
      </c>
      <c r="C82" s="22" t="n">
        <v>0</v>
      </c>
      <c r="G82" s="22" t="n">
        <v>0.332</v>
      </c>
      <c r="H82" s="22" t="n">
        <v>0</v>
      </c>
      <c r="I82" s="22" t="n">
        <v>0</v>
      </c>
      <c r="J82" s="22" t="n">
        <v>0.332</v>
      </c>
    </row>
    <row r="83">
      <c r="A83" s="20" t="inlineStr">
        <is>
          <t>기계장치·운반구</t>
        </is>
      </c>
      <c r="C83" s="22" t="n">
        <v>1</v>
      </c>
      <c r="G83" s="22" t="n">
        <v>1</v>
      </c>
      <c r="H83" s="22" t="n">
        <v>0</v>
      </c>
      <c r="I83" s="22" t="n">
        <v>1</v>
      </c>
      <c r="J83" s="22" t="n">
        <v>1</v>
      </c>
    </row>
    <row r="84">
      <c r="A84" s="20" t="inlineStr">
        <is>
          <t>감가상각누계액</t>
        </is>
      </c>
      <c r="C84" s="22" t="n">
        <v>-0.037</v>
      </c>
      <c r="G84" s="22" t="n">
        <v>-0.25</v>
      </c>
      <c r="H84" s="22" t="n">
        <v>0</v>
      </c>
      <c r="I84" s="22" t="n">
        <v>-0.037</v>
      </c>
      <c r="J84" s="22" t="n">
        <v>-0.25</v>
      </c>
    </row>
    <row r="85">
      <c r="A85" s="20" t="inlineStr">
        <is>
          <t>기계장치·운반구(순액)</t>
        </is>
      </c>
      <c r="C85" s="22" t="n">
        <v>0.963</v>
      </c>
      <c r="G85" s="22" t="n">
        <v>0.749</v>
      </c>
      <c r="H85" s="22" t="n">
        <v>0</v>
      </c>
      <c r="I85" s="22" t="n">
        <v>0.963</v>
      </c>
      <c r="J85" s="22" t="n">
        <v>0.749</v>
      </c>
    </row>
    <row r="86">
      <c r="A86" s="20" t="inlineStr">
        <is>
          <t>공구·기구·비품</t>
        </is>
      </c>
      <c r="C86" s="22" t="n">
        <v>43.168</v>
      </c>
      <c r="G86" s="22" t="n">
        <v>51.914</v>
      </c>
      <c r="H86" s="22" t="n">
        <v>39.662</v>
      </c>
      <c r="I86" s="22" t="n">
        <v>43.168</v>
      </c>
      <c r="J86" s="22" t="n">
        <v>51.914</v>
      </c>
    </row>
    <row r="87">
      <c r="A87" s="20" t="inlineStr">
        <is>
          <t>감가상각누계액</t>
        </is>
      </c>
      <c r="C87" s="22" t="n">
        <v>-33.76</v>
      </c>
      <c r="G87" s="22" t="n">
        <v>-40.423</v>
      </c>
      <c r="H87" s="22" t="n">
        <v>-27.874</v>
      </c>
      <c r="I87" s="22" t="n">
        <v>-33.76</v>
      </c>
      <c r="J87" s="22" t="n">
        <v>-40.423</v>
      </c>
    </row>
    <row r="88">
      <c r="A88" s="20" t="inlineStr">
        <is>
          <t>공구·기구·비품(순액)</t>
        </is>
      </c>
      <c r="C88" s="22" t="n">
        <v>9.407</v>
      </c>
      <c r="G88" s="22" t="n">
        <v>11.49</v>
      </c>
      <c r="H88" s="22" t="n">
        <v>11.787</v>
      </c>
      <c r="I88" s="22" t="n">
        <v>9.407</v>
      </c>
      <c r="J88" s="22" t="n">
        <v>11.49</v>
      </c>
    </row>
    <row r="89">
      <c r="A89" s="20" t="inlineStr">
        <is>
          <t>리스자산</t>
        </is>
      </c>
      <c r="C89" s="22" t="n">
        <v>5.807</v>
      </c>
      <c r="G89" s="22" t="n">
        <v>16.425</v>
      </c>
      <c r="H89" s="22" t="n">
        <v>5.807</v>
      </c>
      <c r="I89" s="22" t="n">
        <v>5.807</v>
      </c>
      <c r="J89" s="22" t="n">
        <v>16.425</v>
      </c>
    </row>
    <row r="90">
      <c r="A90" s="20" t="inlineStr">
        <is>
          <t>감가상각누계액</t>
        </is>
      </c>
      <c r="C90" s="22" t="n">
        <v>-1.935</v>
      </c>
      <c r="G90" s="22" t="n">
        <v>-4.421</v>
      </c>
      <c r="H90" s="22" t="n">
        <v>-0.967</v>
      </c>
      <c r="I90" s="22" t="n">
        <v>-1.935</v>
      </c>
      <c r="J90" s="22" t="n">
        <v>-4.421</v>
      </c>
    </row>
    <row r="91">
      <c r="A91" s="20" t="inlineStr">
        <is>
          <t>리스자산(순액)</t>
        </is>
      </c>
      <c r="C91" s="22" t="n">
        <v>3.871</v>
      </c>
      <c r="G91" s="22" t="n">
        <v>12.003</v>
      </c>
      <c r="H91" s="22" t="n">
        <v>4.839</v>
      </c>
      <c r="I91" s="22" t="n">
        <v>3.871</v>
      </c>
      <c r="J91" s="22" t="n">
        <v>12.003</v>
      </c>
    </row>
    <row r="92">
      <c r="A92" s="20" t="inlineStr">
        <is>
          <t>건설중인자산</t>
        </is>
      </c>
      <c r="C92" s="22" t="n">
        <v>0</v>
      </c>
      <c r="H92" s="22" t="n">
        <v>18.15</v>
      </c>
      <c r="I92" s="22" t="n">
        <v>0</v>
      </c>
    </row>
    <row r="93">
      <c r="A93" s="20" t="inlineStr">
        <is>
          <t>유형자산 합계</t>
        </is>
      </c>
      <c r="C93" s="22" t="n">
        <v>30.578</v>
      </c>
      <c r="D93" s="22" t="n">
        <v>36.646</v>
      </c>
      <c r="E93" s="22" t="n">
        <v>34.271</v>
      </c>
      <c r="F93" s="22" t="n">
        <v>46.074</v>
      </c>
      <c r="G93" s="22" t="n">
        <v>42.145</v>
      </c>
      <c r="H93" s="22" t="n">
        <v>47.403</v>
      </c>
      <c r="I93" s="22" t="n">
        <v>30.578</v>
      </c>
      <c r="J93" s="22" t="n">
        <v>42.145</v>
      </c>
    </row>
    <row r="94">
      <c r="A94" s="20" t="inlineStr">
        <is>
          <t>소프트웨어</t>
        </is>
      </c>
      <c r="C94" s="22" t="n">
        <v>4.794</v>
      </c>
      <c r="G94" s="22" t="n">
        <v>2.629</v>
      </c>
      <c r="H94" s="22" t="n">
        <v>7.943</v>
      </c>
      <c r="I94" s="22" t="n">
        <v>4.794</v>
      </c>
      <c r="J94" s="22" t="n">
        <v>2.629</v>
      </c>
    </row>
    <row r="95">
      <c r="A95" s="20" t="inlineStr">
        <is>
          <t>개발 중 소프트웨어</t>
        </is>
      </c>
      <c r="C95" s="22" t="n">
        <v>0.55</v>
      </c>
      <c r="G95" s="22" t="n">
        <v>3.74</v>
      </c>
      <c r="H95" s="22" t="n">
        <v>0.825</v>
      </c>
      <c r="I95" s="22" t="n">
        <v>0.55</v>
      </c>
      <c r="J95" s="22" t="n">
        <v>3.74</v>
      </c>
    </row>
    <row r="96">
      <c r="A96" s="20" t="inlineStr">
        <is>
          <t>리스자산</t>
        </is>
      </c>
      <c r="C96" s="22" t="n">
        <v>1.939</v>
      </c>
      <c r="G96" s="22" t="n">
        <v>1.108</v>
      </c>
      <c r="H96" s="22" t="n">
        <v>2.77</v>
      </c>
      <c r="I96" s="22" t="n">
        <v>1.939</v>
      </c>
      <c r="J96" s="22" t="n">
        <v>1.108</v>
      </c>
    </row>
    <row r="97">
      <c r="A97" s="20" t="inlineStr">
        <is>
          <t>무형자산 합계</t>
        </is>
      </c>
      <c r="C97" s="22" t="n">
        <v>7.283</v>
      </c>
      <c r="D97" s="22" t="n">
        <v>7.077</v>
      </c>
      <c r="E97" s="22" t="n">
        <v>7.593</v>
      </c>
      <c r="F97" s="22" t="n">
        <v>7.948</v>
      </c>
      <c r="G97" s="22" t="n">
        <v>7.478</v>
      </c>
      <c r="H97" s="22" t="n">
        <v>11.539</v>
      </c>
      <c r="I97" s="22" t="n">
        <v>7.283</v>
      </c>
      <c r="J97" s="22" t="n">
        <v>7.478</v>
      </c>
    </row>
    <row r="98">
      <c r="A98" s="20" t="inlineStr">
        <is>
          <t>장기선급비용</t>
        </is>
      </c>
      <c r="C98" s="22" t="n">
        <v>1438.652</v>
      </c>
      <c r="D98" s="22" t="n">
        <v>1608.953</v>
      </c>
      <c r="E98" s="22" t="n">
        <v>1490.081</v>
      </c>
      <c r="F98" s="22" t="n">
        <v>1643.935</v>
      </c>
      <c r="G98" s="22" t="n">
        <v>1642.696</v>
      </c>
      <c r="H98" s="22" t="n">
        <v>922.604</v>
      </c>
      <c r="I98" s="22" t="n">
        <v>1438.652</v>
      </c>
      <c r="J98" s="22" t="n">
        <v>1642.696</v>
      </c>
    </row>
    <row r="99">
      <c r="A99" s="20" t="inlineStr">
        <is>
          <t>이연법인세자산</t>
        </is>
      </c>
      <c r="C99" s="22" t="n">
        <v>139.912</v>
      </c>
      <c r="G99" s="22" t="n">
        <v>189.601</v>
      </c>
      <c r="H99" s="22" t="n">
        <v>129.984</v>
      </c>
      <c r="I99" s="22" t="n">
        <v>139.912</v>
      </c>
      <c r="J99" s="22" t="n">
        <v>189.601</v>
      </c>
    </row>
    <row r="100">
      <c r="A100" s="20" t="inlineStr">
        <is>
          <t>기타</t>
        </is>
      </c>
      <c r="C100" s="22" t="n">
        <v>178.836</v>
      </c>
      <c r="D100" s="22" t="n">
        <v>255.443</v>
      </c>
      <c r="E100" s="22" t="n">
        <v>255.149</v>
      </c>
      <c r="F100" s="22" t="n">
        <v>255.577</v>
      </c>
      <c r="G100" s="22" t="n">
        <v>114.478</v>
      </c>
      <c r="H100" s="22" t="n">
        <v>183.406</v>
      </c>
      <c r="I100" s="22" t="n">
        <v>178.836</v>
      </c>
      <c r="J100" s="22" t="n">
        <v>114.478</v>
      </c>
    </row>
    <row r="101">
      <c r="A101" s="20" t="inlineStr">
        <is>
          <t>대손충당금</t>
        </is>
      </c>
      <c r="C101" s="22" t="n">
        <v>-30.268</v>
      </c>
      <c r="D101" s="22" t="n">
        <v>0</v>
      </c>
      <c r="E101" s="22" t="n">
        <v>0</v>
      </c>
      <c r="F101" s="22" t="n">
        <v>0</v>
      </c>
      <c r="G101" s="22" t="n">
        <v>0</v>
      </c>
      <c r="H101" s="22" t="n">
        <v>-30.268</v>
      </c>
      <c r="I101" s="22" t="n">
        <v>-30.268</v>
      </c>
      <c r="J101" s="22" t="n">
        <v>0</v>
      </c>
    </row>
    <row r="102">
      <c r="A102" s="20" t="inlineStr">
        <is>
          <t>투자 및 기타자산 합계</t>
        </is>
      </c>
      <c r="C102" s="22" t="n">
        <v>1727.133</v>
      </c>
      <c r="D102" s="22" t="n">
        <v>1864.397</v>
      </c>
      <c r="E102" s="22" t="n">
        <v>1745.23</v>
      </c>
      <c r="F102" s="22" t="n">
        <v>1899.513</v>
      </c>
      <c r="G102" s="22" t="n">
        <v>1946.775</v>
      </c>
      <c r="H102" s="22" t="n">
        <v>1205.727</v>
      </c>
      <c r="I102" s="22" t="n">
        <v>1727.133</v>
      </c>
      <c r="J102" s="22" t="n">
        <v>1946.775</v>
      </c>
    </row>
    <row r="103">
      <c r="A103" s="9" t="inlineStr">
        <is>
          <t>비유동자산 합계</t>
        </is>
      </c>
      <c r="C103" s="12" t="n">
        <v>1764.995</v>
      </c>
      <c r="D103" s="12" t="n">
        <v>1908.121</v>
      </c>
      <c r="E103" s="12" t="n">
        <v>1787.095</v>
      </c>
      <c r="F103" s="12" t="n">
        <v>1953.536</v>
      </c>
      <c r="G103" s="12" t="n">
        <v>1996.399</v>
      </c>
      <c r="H103" s="12" t="n">
        <v>1264.67</v>
      </c>
      <c r="I103" s="12" t="n">
        <v>1764.995</v>
      </c>
      <c r="J103" s="12" t="n">
        <v>1996.399</v>
      </c>
    </row>
    <row r="104">
      <c r="A104" s="9" t="inlineStr">
        <is>
          <t>자산 합계</t>
        </is>
      </c>
      <c r="C104" s="12" t="n">
        <v>3881.011</v>
      </c>
      <c r="D104" s="12" t="n">
        <v>3885.343</v>
      </c>
      <c r="E104" s="12" t="n">
        <v>3857.439</v>
      </c>
      <c r="F104" s="12" t="n">
        <v>4103.729</v>
      </c>
      <c r="G104" s="12" t="n">
        <v>4213.1</v>
      </c>
      <c r="H104" s="12" t="n">
        <v>3272.318</v>
      </c>
      <c r="I104" s="12" t="n">
        <v>3881.011</v>
      </c>
      <c r="J104" s="12" t="n">
        <v>4213.1</v>
      </c>
    </row>
    <row r="105">
      <c r="A105" s="20" t="inlineStr">
        <is>
          <t>매입채무</t>
        </is>
      </c>
      <c r="C105" s="22" t="n">
        <v>82.613</v>
      </c>
      <c r="D105" s="22" t="n">
        <v>52.121</v>
      </c>
      <c r="E105" s="22" t="n">
        <v>13.261</v>
      </c>
      <c r="F105" s="22" t="n">
        <v>119.555</v>
      </c>
      <c r="G105" s="22" t="n">
        <v>10.514</v>
      </c>
      <c r="H105" s="22" t="n">
        <v>11.789</v>
      </c>
      <c r="I105" s="22" t="n">
        <v>82.613</v>
      </c>
      <c r="J105" s="22" t="n">
        <v>10.514</v>
      </c>
    </row>
    <row r="106">
      <c r="A106" s="20" t="inlineStr">
        <is>
          <t>1년 내 상환 사채</t>
        </is>
      </c>
      <c r="C106" s="22" t="n">
        <v>0</v>
      </c>
      <c r="H106" s="22" t="n">
        <v>10</v>
      </c>
      <c r="I106" s="22" t="n">
        <v>0</v>
      </c>
    </row>
    <row r="107">
      <c r="A107" s="20" t="inlineStr">
        <is>
          <t>리스부채</t>
        </is>
      </c>
      <c r="C107" s="22" t="n">
        <v>1.979</v>
      </c>
      <c r="G107" s="22" t="n">
        <v>3.624</v>
      </c>
      <c r="H107" s="22" t="n">
        <v>1.976</v>
      </c>
      <c r="I107" s="22" t="n">
        <v>1.979</v>
      </c>
      <c r="J107" s="22" t="n">
        <v>3.624</v>
      </c>
    </row>
    <row r="108">
      <c r="A108" s="20" t="inlineStr">
        <is>
          <t>미지급금</t>
        </is>
      </c>
      <c r="C108" s="22" t="n">
        <v>176.917</v>
      </c>
      <c r="D108" s="22" t="n">
        <v>234.084</v>
      </c>
      <c r="E108" s="22" t="n">
        <v>170.184</v>
      </c>
      <c r="F108" s="22" t="n">
        <v>204.309</v>
      </c>
      <c r="G108" s="22" t="n">
        <v>175.62</v>
      </c>
      <c r="H108" s="22" t="n">
        <v>139.21</v>
      </c>
      <c r="I108" s="22" t="n">
        <v>176.917</v>
      </c>
      <c r="J108" s="22" t="n">
        <v>175.62</v>
      </c>
    </row>
    <row r="109">
      <c r="A109" s="20" t="inlineStr">
        <is>
          <t>미지급비용</t>
        </is>
      </c>
      <c r="C109" s="22" t="n">
        <v>26.609</v>
      </c>
      <c r="G109" s="22" t="n">
        <v>30.81</v>
      </c>
      <c r="H109" s="22" t="n">
        <v>25.657</v>
      </c>
      <c r="I109" s="22" t="n">
        <v>26.609</v>
      </c>
      <c r="J109" s="22" t="n">
        <v>30.81</v>
      </c>
    </row>
    <row r="110">
      <c r="A110" s="20" t="inlineStr">
        <is>
          <t>미지급법인세</t>
        </is>
      </c>
      <c r="C110" s="22" t="n">
        <v>103.479</v>
      </c>
      <c r="D110" s="22" t="n">
        <v>62.218</v>
      </c>
      <c r="E110" s="22" t="n">
        <v>114.739</v>
      </c>
      <c r="F110" s="22" t="n">
        <v>99.547</v>
      </c>
      <c r="G110" s="22" t="n">
        <v>208.703</v>
      </c>
      <c r="H110" s="22" t="n">
        <v>184.064</v>
      </c>
      <c r="I110" s="22" t="n">
        <v>103.479</v>
      </c>
      <c r="J110" s="22" t="n">
        <v>208.703</v>
      </c>
    </row>
    <row r="111">
      <c r="A111" s="20" t="inlineStr">
        <is>
          <t>미지급 소비세</t>
        </is>
      </c>
      <c r="C111" s="22" t="n">
        <v>16.972</v>
      </c>
      <c r="D111" s="22" t="n">
        <v>21.636</v>
      </c>
      <c r="E111" s="22" t="n">
        <v>41.78</v>
      </c>
      <c r="F111" s="22" t="n">
        <v>50.883</v>
      </c>
      <c r="G111" s="22" t="n">
        <v>66.258</v>
      </c>
      <c r="H111" s="22" t="n">
        <v>66.914</v>
      </c>
      <c r="I111" s="22" t="n">
        <v>16.972</v>
      </c>
      <c r="J111" s="22" t="n">
        <v>66.258</v>
      </c>
    </row>
    <row r="112">
      <c r="A112" s="20" t="inlineStr">
        <is>
          <t>선수금</t>
        </is>
      </c>
      <c r="C112" s="22" t="n">
        <v>11.783</v>
      </c>
      <c r="G112" s="22" t="n">
        <v>0</v>
      </c>
      <c r="H112" s="22" t="n">
        <v>7.627</v>
      </c>
      <c r="I112" s="22" t="n">
        <v>11.783</v>
      </c>
      <c r="J112" s="22" t="n">
        <v>0</v>
      </c>
    </row>
    <row r="113">
      <c r="A113" s="20" t="inlineStr">
        <is>
          <t>상여충당금</t>
        </is>
      </c>
      <c r="C113" s="22" t="n">
        <v>142.917</v>
      </c>
      <c r="D113" s="22" t="n">
        <v>174.126</v>
      </c>
      <c r="E113" s="22" t="n">
        <v>135.169</v>
      </c>
      <c r="F113" s="22" t="n">
        <v>168.092</v>
      </c>
      <c r="G113" s="22" t="n">
        <v>116.829</v>
      </c>
      <c r="H113" s="22" t="n">
        <v>124.542</v>
      </c>
      <c r="I113" s="22" t="n">
        <v>142.917</v>
      </c>
      <c r="J113" s="22" t="n">
        <v>116.829</v>
      </c>
    </row>
    <row r="114">
      <c r="A114" s="20" t="inlineStr">
        <is>
          <t>이전 지원비용 충당금</t>
        </is>
      </c>
      <c r="C114" s="22" t="n">
        <v>20.25</v>
      </c>
      <c r="D114" s="22" t="n">
        <v>20.25</v>
      </c>
      <c r="H114" s="22" t="n">
        <v>23.85</v>
      </c>
      <c r="I114" s="22" t="n">
        <v>20.25</v>
      </c>
    </row>
    <row r="115">
      <c r="A115" s="20" t="inlineStr">
        <is>
          <t>이전 지원비용 충당금</t>
        </is>
      </c>
      <c r="C115" s="22" t="n">
        <v>20.25</v>
      </c>
      <c r="E115" s="22" t="n">
        <v>20.25</v>
      </c>
      <c r="F115" s="22" t="n">
        <v>20.25</v>
      </c>
      <c r="G115" s="22" t="n">
        <v>20</v>
      </c>
      <c r="I115" s="22" t="n">
        <v>20.25</v>
      </c>
      <c r="J115" s="22" t="n">
        <v>20</v>
      </c>
    </row>
    <row r="116">
      <c r="A116" s="20" t="inlineStr">
        <is>
          <t>주주우대 충당금</t>
        </is>
      </c>
      <c r="C116" s="22" t="n">
        <v>0</v>
      </c>
      <c r="G116" s="22" t="n">
        <v>8.744999999999999</v>
      </c>
      <c r="I116" s="22" t="n">
        <v>0</v>
      </c>
      <c r="J116" s="22" t="n">
        <v>8.744999999999999</v>
      </c>
    </row>
    <row r="117">
      <c r="A117" s="20" t="inlineStr">
        <is>
          <t>기타</t>
        </is>
      </c>
      <c r="C117" s="22" t="n">
        <v>4.84</v>
      </c>
      <c r="D117" s="22" t="n">
        <v>62.314</v>
      </c>
      <c r="E117" s="22" t="n">
        <v>34.127</v>
      </c>
      <c r="F117" s="22" t="n">
        <v>40.277</v>
      </c>
      <c r="G117" s="22" t="n">
        <v>6.457</v>
      </c>
      <c r="H117" s="22" t="n">
        <v>3.608</v>
      </c>
      <c r="I117" s="22" t="n">
        <v>4.84</v>
      </c>
      <c r="J117" s="22" t="n">
        <v>6.457</v>
      </c>
    </row>
    <row r="118">
      <c r="A118" s="9" t="inlineStr">
        <is>
          <t>유동부채 합계</t>
        </is>
      </c>
      <c r="C118" s="12" t="n">
        <v>588.364</v>
      </c>
      <c r="D118" s="12" t="n">
        <v>626.752</v>
      </c>
      <c r="E118" s="12" t="n">
        <v>529.5119999999999</v>
      </c>
      <c r="F118" s="12" t="n">
        <v>702.915</v>
      </c>
      <c r="G118" s="12" t="n">
        <v>647.562</v>
      </c>
      <c r="H118" s="12" t="n">
        <v>599.24</v>
      </c>
      <c r="I118" s="12" t="n">
        <v>588.364</v>
      </c>
      <c r="J118" s="12" t="n">
        <v>647.562</v>
      </c>
    </row>
    <row r="119">
      <c r="A119" s="20" t="inlineStr">
        <is>
          <t>리스부채</t>
        </is>
      </c>
      <c r="C119" s="22" t="n">
        <v>4.422</v>
      </c>
      <c r="G119" s="22" t="n">
        <v>11.66</v>
      </c>
      <c r="H119" s="22" t="n">
        <v>6.401</v>
      </c>
      <c r="I119" s="22" t="n">
        <v>4.422</v>
      </c>
      <c r="J119" s="22" t="n">
        <v>11.66</v>
      </c>
    </row>
    <row r="120">
      <c r="A120" s="20" t="inlineStr">
        <is>
          <t>장기선수수익</t>
        </is>
      </c>
      <c r="C120" s="22" t="n">
        <v>9.058</v>
      </c>
      <c r="G120" s="22" t="n">
        <v>9.058</v>
      </c>
      <c r="H120" s="22" t="n">
        <v>9.058</v>
      </c>
      <c r="I120" s="22" t="n">
        <v>9.058</v>
      </c>
      <c r="J120" s="22" t="n">
        <v>9.058</v>
      </c>
    </row>
    <row r="121">
      <c r="A121" s="20" t="inlineStr">
        <is>
          <t>장기 예수금</t>
        </is>
      </c>
      <c r="C121" s="22" t="n">
        <v>104.606</v>
      </c>
      <c r="G121" s="22" t="n">
        <v>101.494</v>
      </c>
      <c r="H121" s="22" t="n">
        <v>108.602</v>
      </c>
      <c r="I121" s="22" t="n">
        <v>104.606</v>
      </c>
      <c r="J121" s="22" t="n">
        <v>101.494</v>
      </c>
    </row>
    <row r="122">
      <c r="A122" s="20" t="inlineStr">
        <is>
          <t>임원 퇴직위로 충당금</t>
        </is>
      </c>
      <c r="C122" s="22" t="n">
        <v>12.506</v>
      </c>
      <c r="D122" s="22" t="n">
        <v>12.506</v>
      </c>
      <c r="E122" s="22" t="n">
        <v>12.506</v>
      </c>
      <c r="F122" s="22" t="n">
        <v>12.506</v>
      </c>
      <c r="G122" s="22" t="n">
        <v>12.506</v>
      </c>
      <c r="H122" s="22" t="n">
        <v>12.506</v>
      </c>
      <c r="I122" s="22" t="n">
        <v>12.506</v>
      </c>
      <c r="J122" s="22" t="n">
        <v>12.506</v>
      </c>
    </row>
    <row r="123">
      <c r="A123" s="20" t="inlineStr">
        <is>
          <t>기타</t>
        </is>
      </c>
      <c r="C123" s="22" t="n">
        <v>118.087</v>
      </c>
      <c r="D123" s="22" t="n">
        <v>116.685</v>
      </c>
      <c r="E123" s="22" t="n">
        <v>117.027</v>
      </c>
      <c r="F123" s="22" t="n">
        <v>127.662</v>
      </c>
      <c r="H123" s="22" t="n">
        <v>124.062</v>
      </c>
      <c r="I123" s="22" t="n">
        <v>118.087</v>
      </c>
    </row>
    <row r="124">
      <c r="A124" s="9" t="inlineStr">
        <is>
          <t>비유동부채 합계</t>
        </is>
      </c>
      <c r="C124" s="12" t="n">
        <v>130.594</v>
      </c>
      <c r="D124" s="12" t="n">
        <v>129.192</v>
      </c>
      <c r="E124" s="12" t="n">
        <v>129.533</v>
      </c>
      <c r="F124" s="12" t="n">
        <v>140.169</v>
      </c>
      <c r="G124" s="12" t="n">
        <v>134.72</v>
      </c>
      <c r="H124" s="12" t="n">
        <v>136.569</v>
      </c>
      <c r="I124" s="12" t="n">
        <v>130.594</v>
      </c>
      <c r="J124" s="12" t="n">
        <v>134.72</v>
      </c>
    </row>
    <row r="125">
      <c r="A125" s="9" t="inlineStr">
        <is>
          <t>부채 합계</t>
        </is>
      </c>
      <c r="C125" s="12" t="n">
        <v>718.958</v>
      </c>
      <c r="D125" s="12" t="n">
        <v>755.944</v>
      </c>
      <c r="E125" s="12" t="n">
        <v>659.046</v>
      </c>
      <c r="F125" s="12" t="n">
        <v>843.0839999999999</v>
      </c>
      <c r="G125" s="12" t="n">
        <v>782.282</v>
      </c>
      <c r="H125" s="12" t="n">
        <v>735.809</v>
      </c>
      <c r="I125" s="12" t="n">
        <v>718.958</v>
      </c>
      <c r="J125" s="12" t="n">
        <v>782.282</v>
      </c>
    </row>
    <row r="126">
      <c r="A126" s="20" t="inlineStr">
        <is>
          <t>자본금</t>
        </is>
      </c>
      <c r="C126" s="22" t="n">
        <v>164.092</v>
      </c>
      <c r="D126" s="22" t="n">
        <v>164.225</v>
      </c>
      <c r="E126" s="22" t="n">
        <v>165.096</v>
      </c>
      <c r="F126" s="22" t="n">
        <v>165.241</v>
      </c>
      <c r="G126" s="22" t="n">
        <v>165.598</v>
      </c>
      <c r="H126" s="22" t="n">
        <v>20</v>
      </c>
      <c r="I126" s="22" t="n">
        <v>164.092</v>
      </c>
      <c r="J126" s="22" t="n">
        <v>165.598</v>
      </c>
    </row>
    <row r="127">
      <c r="A127" s="20" t="inlineStr">
        <is>
          <t>자본준비금</t>
        </is>
      </c>
      <c r="C127" s="22" t="n">
        <v>144.092</v>
      </c>
      <c r="G127" s="22" t="n">
        <v>145.598</v>
      </c>
      <c r="H127" s="22" t="n">
        <v>0</v>
      </c>
      <c r="I127" s="22" t="n">
        <v>144.092</v>
      </c>
      <c r="J127" s="22" t="n">
        <v>145.598</v>
      </c>
    </row>
    <row r="128">
      <c r="A128" s="20" t="inlineStr">
        <is>
          <t>자본잉여금 합계</t>
        </is>
      </c>
      <c r="C128" s="22" t="n">
        <v>144.092</v>
      </c>
      <c r="D128" s="22" t="n">
        <v>144.225</v>
      </c>
      <c r="E128" s="22" t="n">
        <v>145.096</v>
      </c>
      <c r="F128" s="22" t="n">
        <v>145.241</v>
      </c>
      <c r="G128" s="22" t="n">
        <v>145.598</v>
      </c>
      <c r="H128" s="22" t="n">
        <v>0</v>
      </c>
      <c r="I128" s="22" t="n">
        <v>144.092</v>
      </c>
      <c r="J128" s="22" t="n">
        <v>145.598</v>
      </c>
    </row>
    <row r="129">
      <c r="A129" s="20" t="inlineStr">
        <is>
          <t>이익준비금</t>
        </is>
      </c>
      <c r="C129" s="22" t="n">
        <v>5</v>
      </c>
      <c r="G129" s="22" t="n">
        <v>5</v>
      </c>
      <c r="H129" s="22" t="n">
        <v>0</v>
      </c>
      <c r="I129" s="22" t="n">
        <v>5</v>
      </c>
      <c r="J129" s="22" t="n">
        <v>5</v>
      </c>
    </row>
    <row r="130">
      <c r="A130" s="20" t="inlineStr">
        <is>
          <t>이월이익잉여금</t>
        </is>
      </c>
      <c r="C130" s="22" t="n">
        <v>2848.867</v>
      </c>
      <c r="G130" s="22" t="n">
        <v>3114.619</v>
      </c>
      <c r="H130" s="22" t="n">
        <v>2516.508</v>
      </c>
      <c r="I130" s="22" t="n">
        <v>2848.867</v>
      </c>
      <c r="J130" s="22" t="n">
        <v>3114.619</v>
      </c>
    </row>
    <row r="131">
      <c r="A131" s="20" t="inlineStr">
        <is>
          <t>이익잉여금 합계</t>
        </is>
      </c>
      <c r="C131" s="22" t="n">
        <v>2853.867</v>
      </c>
      <c r="D131" s="22" t="n">
        <v>2820.947</v>
      </c>
      <c r="E131" s="22" t="n">
        <v>2888.2</v>
      </c>
      <c r="F131" s="22" t="n">
        <v>2950.161</v>
      </c>
      <c r="G131" s="22" t="n">
        <v>3119.619</v>
      </c>
      <c r="H131" s="22" t="n">
        <v>2516.508</v>
      </c>
      <c r="I131" s="22" t="n">
        <v>2853.867</v>
      </c>
      <c r="J131" s="22" t="n">
        <v>3119.619</v>
      </c>
    </row>
    <row r="132">
      <c r="A132" s="9" t="inlineStr">
        <is>
          <t>주주자본 합계</t>
        </is>
      </c>
      <c r="C132" s="12" t="n">
        <v>3162.052</v>
      </c>
      <c r="D132" s="12" t="n">
        <v>3129.399</v>
      </c>
      <c r="E132" s="12" t="n">
        <v>3198.392</v>
      </c>
      <c r="F132" s="12" t="n">
        <v>3260.644</v>
      </c>
      <c r="G132" s="12" t="n">
        <v>3430.817</v>
      </c>
      <c r="H132" s="12" t="n">
        <v>2536.508</v>
      </c>
      <c r="I132" s="12" t="n">
        <v>3162.052</v>
      </c>
      <c r="J132" s="12" t="n">
        <v>3430.817</v>
      </c>
    </row>
    <row r="133">
      <c r="A133" s="9" t="inlineStr">
        <is>
          <t>순자산 합계</t>
        </is>
      </c>
      <c r="C133" s="12" t="n">
        <v>3162.052</v>
      </c>
      <c r="D133" s="12" t="n">
        <v>3129.399</v>
      </c>
      <c r="E133" s="12" t="n">
        <v>3198.392</v>
      </c>
      <c r="F133" s="12" t="n">
        <v>3260.644</v>
      </c>
      <c r="G133" s="12" t="n">
        <v>3430.817</v>
      </c>
      <c r="H133" s="12" t="n">
        <v>2536.508</v>
      </c>
      <c r="I133" s="12" t="n">
        <v>3162.052</v>
      </c>
      <c r="J133" s="12" t="n">
        <v>3430.817</v>
      </c>
    </row>
    <row r="134">
      <c r="A134" s="9" t="inlineStr">
        <is>
          <t>부채·순자산 합계</t>
        </is>
      </c>
      <c r="C134" s="12" t="n">
        <v>3881.011</v>
      </c>
      <c r="D134" s="12" t="n">
        <v>3885.343</v>
      </c>
      <c r="E134" s="12" t="n">
        <v>3857.439</v>
      </c>
      <c r="F134" s="12" t="n">
        <v>4103.729</v>
      </c>
      <c r="G134" s="12" t="n">
        <v>4213.1</v>
      </c>
      <c r="H134" s="12" t="n">
        <v>3272.318</v>
      </c>
      <c r="I134" s="12" t="n">
        <v>3881.011</v>
      </c>
      <c r="J134" s="12" t="n">
        <v>4213.1</v>
      </c>
    </row>
  </sheetData>
  <conditionalFormatting sqref="C43:J43">
    <cfRule type="expression" priority="1" dxfId="0">
      <formula>AND(ISNUMBER(C43),C43&gt;1.0)</formula>
    </cfRule>
  </conditionalFormatting>
  <conditionalFormatting sqref="C44:J44">
    <cfRule type="expression" priority="2" dxfId="0">
      <formula>AND(ISNUMBER(C44),C44&gt;0.5)</formula>
    </cfRule>
  </conditionalFormatting>
  <conditionalFormatting sqref="C45:J45">
    <cfRule type="expression" priority="3" dxfId="0">
      <formula>AND(ISNUMBER(C45),C45&lt;0.5)</formula>
    </cfRule>
  </conditionalFormatting>
  <conditionalFormatting sqref="C46:J46">
    <cfRule type="expression" priority="4" dxfId="0">
      <formula>AND(ISNUMBER(C46),C46&lt;1.5)</formula>
    </cfRule>
  </conditionalFormatting>
  <conditionalFormatting sqref="C47:J47">
    <cfRule type="expression" priority="5" dxfId="0">
      <formula>AND(ISNUMBER(C47),C47&lt;1.0)</formula>
    </cfRule>
  </conditionalFormatting>
  <conditionalFormatting sqref="C48:J48">
    <cfRule type="expression" priority="6" dxfId="0">
      <formula>AND(ISNUMBER(C48),C48&lt;5)</formula>
    </cfRule>
  </conditionalFormatting>
  <conditionalFormatting sqref="C49:J49">
    <cfRule type="expression" priority="7" dxfId="0">
      <formula>AND(ISNUMBER(C49),C49&gt;4)</formula>
    </cfRule>
  </conditionalFormatting>
  <conditionalFormatting sqref="C51:J51">
    <cfRule type="expression" priority="8" dxfId="0">
      <formula>AND(ISNUMBER(C51),C51&lt;0.15)</formula>
    </cfRule>
  </conditionalFormatting>
  <conditionalFormatting sqref="C52:J52">
    <cfRule type="expression" priority="9" dxfId="0">
      <formula>AND(ISNUMBER(C52),C52&lt;0.05)</formula>
    </cfRule>
  </conditionalFormatting>
  <conditionalFormatting sqref="C53:J53">
    <cfRule type="expression" priority="10" dxfId="0">
      <formula>AND(ISNUMBER(C53),C53&lt;0.1)</formula>
    </cfRule>
  </conditionalFormatting>
  <conditionalFormatting sqref="C54:J54">
    <cfRule type="expression" priority="11" dxfId="0">
      <formula>AND(ISNUMBER(C54),C54&lt;0.4)</formula>
    </cfRule>
  </conditionalFormatting>
  <conditionalFormatting sqref="C55:J55">
    <cfRule type="expression" priority="12" dxfId="0">
      <formula>AND(ISNUMBER(C55),C55&lt;0.15)</formula>
    </cfRule>
  </conditionalFormatting>
  <conditionalFormatting sqref="C56:J56">
    <cfRule type="expression" priority="13" dxfId="0">
      <formula>AND(ISNUMBER(C56),C56&lt;0.1)</formula>
    </cfRule>
  </conditionalFormatting>
  <conditionalFormatting sqref="C64:J64">
    <cfRule type="expression" priority="14" dxfId="0">
      <formula>AND(ISNUMBER(C64),C64&lt;1.0)</formula>
    </cfRule>
  </conditionalFormatting>
  <conditionalFormatting sqref="C65:J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44" customWidth="1" min="18" max="18"/>
  </cols>
  <sheetData>
    <row r="1">
      <c r="A1" s="52" t="inlineStr">
        <is>
          <t>에타이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results · 4Q single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</row>
    <row r="5">
      <c r="A5" s="55" t="inlineStr">
        <is>
          <t>항목</t>
        </is>
      </c>
      <c r="B5" s="55" t="inlineStr">
        <is>
          <t>값</t>
        </is>
      </c>
      <c r="R5" s="55" t="inlineStr">
        <is>
          <t>출처</t>
        </is>
      </c>
    </row>
    <row r="6">
      <c r="A6" s="56" t="inlineStr">
        <is>
          <t>매출</t>
        </is>
      </c>
      <c r="B6" s="57" t="n">
        <v>8.44</v>
      </c>
      <c r="R6" s="58" t="inlineStr">
        <is>
          <t>2단계 보고서 자료(회사 설명회 자료·공시)</t>
        </is>
      </c>
    </row>
    <row r="7">
      <c r="A7" s="56" t="inlineStr">
        <is>
          <t>영업이익</t>
        </is>
      </c>
      <c r="B7" s="57" t="n">
        <v>2.21</v>
      </c>
    </row>
    <row r="8">
      <c r="A8" s="56" t="inlineStr">
        <is>
          <t>ordinary</t>
        </is>
      </c>
      <c r="B8" s="57" t="n">
        <v>2.23</v>
      </c>
    </row>
    <row r="9">
      <c r="A9" s="56" t="inlineStr">
        <is>
          <t>순이익</t>
        </is>
      </c>
      <c r="B9" s="57" t="n">
        <v>1.69</v>
      </c>
    </row>
    <row r="10">
      <c r="A10" s="56" t="inlineStr">
        <is>
          <t>매출 YoY %</t>
        </is>
      </c>
      <c r="B10" s="57" t="n">
        <v>11.5</v>
      </c>
    </row>
    <row r="11">
      <c r="A11" s="56" t="inlineStr">
        <is>
          <t>영업이익 YoY %</t>
        </is>
      </c>
      <c r="B11" s="57" t="n">
        <v>95.40000000000001</v>
      </c>
    </row>
    <row r="13">
      <c r="A13" s="54" t="inlineStr">
        <is>
          <t>this results · fy26</t>
        </is>
      </c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</row>
    <row r="14">
      <c r="A14" s="55" t="inlineStr">
        <is>
          <t>항목</t>
        </is>
      </c>
      <c r="B14" s="55" t="inlineStr">
        <is>
          <t>값</t>
        </is>
      </c>
      <c r="R14" s="55" t="inlineStr">
        <is>
          <t>출처</t>
        </is>
      </c>
    </row>
    <row r="15">
      <c r="A15" s="56" t="inlineStr">
        <is>
          <t>매출</t>
        </is>
      </c>
      <c r="B15" s="57" t="n">
        <v>34.4</v>
      </c>
      <c r="R15" s="58" t="inlineStr">
        <is>
          <t>2단계 보고서 자료(회사 설명회 자료·공시)</t>
        </is>
      </c>
    </row>
    <row r="16">
      <c r="A16" s="56" t="inlineStr">
        <is>
          <t>영업이익</t>
        </is>
      </c>
      <c r="B16" s="57" t="n">
        <v>8.67</v>
      </c>
    </row>
    <row r="17">
      <c r="A17" s="56" t="inlineStr">
        <is>
          <t>ordinary</t>
        </is>
      </c>
      <c r="B17" s="57" t="n">
        <v>9.210000000000001</v>
      </c>
    </row>
    <row r="18">
      <c r="A18" s="56" t="inlineStr">
        <is>
          <t>순이익</t>
        </is>
      </c>
      <c r="B18" s="57" t="n">
        <v>5.75</v>
      </c>
    </row>
    <row r="19">
      <c r="A19" s="56" t="inlineStr">
        <is>
          <t>EPS</t>
        </is>
      </c>
      <c r="B19" s="57" t="n">
        <v>135.6</v>
      </c>
    </row>
    <row r="20">
      <c r="A20" s="56" t="inlineStr">
        <is>
          <t>dps</t>
        </is>
      </c>
      <c r="B20" s="59" t="n">
        <v>67</v>
      </c>
    </row>
    <row r="21">
      <c r="A21" s="56" t="inlineStr">
        <is>
          <t>매출 YoY</t>
        </is>
      </c>
      <c r="B21" s="57" t="n">
        <v>17.4</v>
      </c>
    </row>
    <row r="22">
      <c r="A22" s="56" t="inlineStr">
        <is>
          <t>영업이익 YoY</t>
        </is>
      </c>
      <c r="B22" s="57" t="n">
        <v>21.6</v>
      </c>
    </row>
    <row r="24">
      <c r="A24" s="54" t="inlineStr">
        <is>
          <t>this results · fy26 initial 가이던스</t>
        </is>
      </c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  <c r="R24" s="54" t="n"/>
    </row>
    <row r="25">
      <c r="A25" s="55" t="inlineStr">
        <is>
          <t>항목</t>
        </is>
      </c>
      <c r="B25" s="55" t="inlineStr">
        <is>
          <t>값</t>
        </is>
      </c>
      <c r="R25" s="55" t="inlineStr">
        <is>
          <t>출처</t>
        </is>
      </c>
    </row>
    <row r="26">
      <c r="A26" s="56" t="inlineStr">
        <is>
          <t>매출</t>
        </is>
      </c>
      <c r="B26" s="57" t="n">
        <v>34.15</v>
      </c>
      <c r="R26" s="58" t="inlineStr">
        <is>
          <t>2단계 보고서 자료(회사 설명회 자료·공시)</t>
        </is>
      </c>
    </row>
    <row r="27">
      <c r="A27" s="56" t="inlineStr">
        <is>
          <t>영업이익</t>
        </is>
      </c>
      <c r="B27" s="57" t="n">
        <v>8.59</v>
      </c>
    </row>
    <row r="28">
      <c r="A28" s="56" t="inlineStr">
        <is>
          <t>ordinary</t>
        </is>
      </c>
      <c r="B28" s="57" t="n">
        <v>8.56</v>
      </c>
    </row>
    <row r="29">
      <c r="A29" s="56" t="inlineStr">
        <is>
          <t>순이익</t>
        </is>
      </c>
      <c r="B29" s="57" t="n">
        <v>5.69</v>
      </c>
    </row>
    <row r="30">
      <c r="A30" s="56" t="inlineStr">
        <is>
          <t>EPS</t>
        </is>
      </c>
      <c r="B30" s="57" t="n">
        <v>134.49</v>
      </c>
    </row>
    <row r="31">
      <c r="A31" s="56" t="inlineStr">
        <is>
          <t>dps</t>
        </is>
      </c>
      <c r="B31" s="59" t="n">
        <v>54</v>
      </c>
    </row>
    <row r="33">
      <c r="A33" s="54" t="inlineStr">
        <is>
          <t>this results · fy27 가이던스</t>
        </is>
      </c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  <c r="R33" s="54" t="n"/>
    </row>
    <row r="34">
      <c r="A34" s="55" t="inlineStr">
        <is>
          <t>항목</t>
        </is>
      </c>
      <c r="B34" s="55" t="inlineStr">
        <is>
          <t>값</t>
        </is>
      </c>
      <c r="R34" s="55" t="inlineStr">
        <is>
          <t>출처</t>
        </is>
      </c>
    </row>
    <row r="35">
      <c r="A35" s="56" t="inlineStr">
        <is>
          <t>매출</t>
        </is>
      </c>
      <c r="B35" s="57" t="n">
        <v>40</v>
      </c>
      <c r="R35" s="58" t="inlineStr">
        <is>
          <t>2단계 보고서 자료(회사 설명회 자료·공시)</t>
        </is>
      </c>
    </row>
    <row r="36">
      <c r="A36" s="56" t="inlineStr">
        <is>
          <t>영업이익</t>
        </is>
      </c>
      <c r="B36" s="57" t="n">
        <v>10</v>
      </c>
    </row>
    <row r="37">
      <c r="A37" s="56" t="inlineStr">
        <is>
          <t>ordinary</t>
        </is>
      </c>
      <c r="B37" s="57" t="n">
        <v>10.04</v>
      </c>
    </row>
    <row r="38">
      <c r="A38" s="56" t="inlineStr">
        <is>
          <t>순이익</t>
        </is>
      </c>
      <c r="B38" s="57" t="n">
        <v>6.34</v>
      </c>
    </row>
    <row r="39">
      <c r="A39" s="56" t="inlineStr">
        <is>
          <t>EPS</t>
        </is>
      </c>
      <c r="B39" s="57" t="n">
        <v>149.38</v>
      </c>
    </row>
    <row r="40">
      <c r="A40" s="56" t="inlineStr">
        <is>
          <t>dps</t>
        </is>
      </c>
      <c r="B40" s="59" t="n">
        <v>75</v>
      </c>
    </row>
    <row r="41">
      <c r="A41" s="56" t="inlineStr">
        <is>
          <t>상반기 매출</t>
        </is>
      </c>
      <c r="B41" s="57" t="n">
        <v>18.92</v>
      </c>
    </row>
    <row r="42">
      <c r="A42" s="56" t="inlineStr">
        <is>
          <t>상반기 영업이익</t>
        </is>
      </c>
      <c r="B42" s="57" t="n">
        <v>4.77</v>
      </c>
    </row>
    <row r="43">
      <c r="A43" s="56" t="inlineStr">
        <is>
          <t>상반기 순이익</t>
        </is>
      </c>
      <c r="B43" s="57" t="n">
        <v>3.22</v>
      </c>
    </row>
    <row r="45">
      <c r="A45" s="54" t="inlineStr">
        <is>
          <t>quarterly single</t>
        </is>
      </c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  <c r="O45" s="54" t="n"/>
      <c r="P45" s="54" t="n"/>
      <c r="Q45" s="54" t="n"/>
      <c r="R45" s="54" t="n"/>
    </row>
    <row r="46">
      <c r="A46" s="55" t="inlineStr">
        <is>
          <t>항목</t>
        </is>
      </c>
      <c r="B46" s="55" t="inlineStr">
        <is>
          <t>FY23 1Q</t>
        </is>
      </c>
      <c r="C46" s="55" t="inlineStr">
        <is>
          <t>FY23 2Q</t>
        </is>
      </c>
      <c r="D46" s="55" t="inlineStr">
        <is>
          <t>FY23 3Q</t>
        </is>
      </c>
      <c r="E46" s="55" t="inlineStr">
        <is>
          <t>FY23 4Q</t>
        </is>
      </c>
      <c r="F46" s="55" t="inlineStr">
        <is>
          <t>FY24 1Q</t>
        </is>
      </c>
      <c r="G46" s="55" t="inlineStr">
        <is>
          <t>FY24 2Q</t>
        </is>
      </c>
      <c r="H46" s="55" t="inlineStr">
        <is>
          <t>FY24 3Q</t>
        </is>
      </c>
      <c r="I46" s="55" t="inlineStr">
        <is>
          <t>FY24 4Q</t>
        </is>
      </c>
      <c r="J46" s="55" t="inlineStr">
        <is>
          <t>FY25 1Q</t>
        </is>
      </c>
      <c r="K46" s="55" t="inlineStr">
        <is>
          <t>FY25 2Q</t>
        </is>
      </c>
      <c r="L46" s="55" t="inlineStr">
        <is>
          <t>FY25 3Q</t>
        </is>
      </c>
      <c r="M46" s="55" t="inlineStr">
        <is>
          <t>FY25 4Q</t>
        </is>
      </c>
      <c r="N46" s="55" t="inlineStr">
        <is>
          <t>FY26 1Q</t>
        </is>
      </c>
      <c r="O46" s="55" t="inlineStr">
        <is>
          <t>FY26 2Q</t>
        </is>
      </c>
      <c r="P46" s="55" t="inlineStr">
        <is>
          <t>FY26 3Q</t>
        </is>
      </c>
      <c r="Q46" s="55" t="inlineStr">
        <is>
          <t>FY26 4Q</t>
        </is>
      </c>
      <c r="R46" s="55" t="inlineStr">
        <is>
          <t>출처</t>
        </is>
      </c>
    </row>
    <row r="47">
      <c r="A47" s="56" t="inlineStr">
        <is>
          <t>매출</t>
        </is>
      </c>
      <c r="B47" s="57" t="n">
        <v>5.33</v>
      </c>
      <c r="C47" s="57" t="n">
        <v>4.12</v>
      </c>
      <c r="D47" s="57" t="n">
        <v>5.37</v>
      </c>
      <c r="E47" s="57" t="n">
        <v>4.46</v>
      </c>
      <c r="F47" s="57" t="n">
        <v>5.56</v>
      </c>
      <c r="G47" s="57" t="n">
        <v>5.03</v>
      </c>
      <c r="H47" s="57" t="n">
        <v>6.71</v>
      </c>
      <c r="I47" s="57" t="n">
        <v>6.44</v>
      </c>
      <c r="J47" s="57" t="n">
        <v>7.06</v>
      </c>
      <c r="K47" s="57" t="n">
        <v>6.93</v>
      </c>
      <c r="L47" s="57" t="n">
        <v>7.72</v>
      </c>
      <c r="M47" s="57" t="n">
        <v>7.57</v>
      </c>
      <c r="N47" s="57" t="n">
        <v>8.43</v>
      </c>
      <c r="O47" s="57" t="n">
        <v>8.09</v>
      </c>
      <c r="P47" s="57" t="n">
        <v>9.44</v>
      </c>
      <c r="Q47" s="57" t="n">
        <v>8.44</v>
      </c>
      <c r="R47" s="58" t="inlineStr">
        <is>
          <t>FY23~FY25는 설명자료 그래프 값(백만 엔→억 엔), FY25 3Q부터 XBRL 차분</t>
        </is>
      </c>
    </row>
    <row r="48">
      <c r="A48" s="56" t="inlineStr">
        <is>
          <t>영업이익</t>
        </is>
      </c>
      <c r="B48" s="57" t="n">
        <v>1.71</v>
      </c>
      <c r="C48" s="57" t="n">
        <v>0.53</v>
      </c>
      <c r="D48" s="57" t="n">
        <v>1.27</v>
      </c>
      <c r="E48" s="57" t="n">
        <v>0.54</v>
      </c>
      <c r="F48" s="57" t="n">
        <v>1.35</v>
      </c>
      <c r="G48" s="57" t="n">
        <v>0.87</v>
      </c>
      <c r="H48" s="57" t="n">
        <v>2.29</v>
      </c>
      <c r="I48" s="57" t="n">
        <v>0.53</v>
      </c>
      <c r="J48" s="57" t="n">
        <v>2.04</v>
      </c>
      <c r="K48" s="57" t="n">
        <v>2.07</v>
      </c>
      <c r="L48" s="57" t="n">
        <v>1.87</v>
      </c>
      <c r="M48" s="57" t="n">
        <v>1.13</v>
      </c>
      <c r="N48" s="57" t="n">
        <v>1.79</v>
      </c>
      <c r="O48" s="57" t="n">
        <v>2.07</v>
      </c>
      <c r="P48" s="57" t="n">
        <v>2.6</v>
      </c>
      <c r="Q48" s="57" t="n">
        <v>2.21</v>
      </c>
    </row>
    <row r="50">
      <c r="A50" s="54" t="inlineStr">
        <is>
          <t>컨센서스</t>
        </is>
      </c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  <c r="K50" s="54" t="n"/>
      <c r="L50" s="54" t="n"/>
      <c r="M50" s="54" t="n"/>
      <c r="N50" s="54" t="n"/>
      <c r="O50" s="54" t="n"/>
      <c r="P50" s="54" t="n"/>
      <c r="Q50" s="54" t="n"/>
      <c r="R50" s="54" t="n"/>
    </row>
    <row r="51">
      <c r="A51" s="55" t="inlineStr">
        <is>
          <t>항목</t>
        </is>
      </c>
      <c r="B51" s="55" t="inlineStr">
        <is>
          <t>값</t>
        </is>
      </c>
      <c r="R51" s="55" t="inlineStr">
        <is>
          <t>출처</t>
        </is>
      </c>
    </row>
    <row r="52">
      <c r="A52" s="56" t="inlineStr">
        <is>
          <t>FY27 1Q rev</t>
        </is>
      </c>
      <c r="B52" s="57" t="n">
        <v>9.6</v>
      </c>
      <c r="R52" s="58" t="inlineStr">
        <is>
          <t>야후 jp_consensus 2026-10-28, 애널리스트 1명(컨센이라 부르지 말 것), 목표주가 없음</t>
        </is>
      </c>
    </row>
    <row r="53">
      <c r="A53" s="56" t="inlineStr">
        <is>
          <t>FY27 2Q rev</t>
        </is>
      </c>
      <c r="B53" s="57" t="n">
        <v>9.199999999999999</v>
      </c>
    </row>
    <row r="55">
      <c r="A55" s="54" t="inlineStr">
        <is>
          <t>컨센서스 · FY27</t>
        </is>
      </c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  <c r="L55" s="54" t="n"/>
      <c r="M55" s="54" t="n"/>
      <c r="N55" s="54" t="n"/>
      <c r="O55" s="54" t="n"/>
      <c r="P55" s="54" t="n"/>
      <c r="Q55" s="54" t="n"/>
      <c r="R55" s="54" t="n"/>
    </row>
    <row r="56">
      <c r="A56" s="55" t="inlineStr">
        <is>
          <t>항목</t>
        </is>
      </c>
      <c r="B56" s="55" t="inlineStr">
        <is>
          <t>값</t>
        </is>
      </c>
      <c r="R56" s="55" t="inlineStr">
        <is>
          <t>출처</t>
        </is>
      </c>
    </row>
    <row r="57">
      <c r="A57" s="56" t="inlineStr">
        <is>
          <t>매출</t>
        </is>
      </c>
      <c r="B57" s="57" t="n">
        <v>40</v>
      </c>
      <c r="R57" s="58" t="inlineStr">
        <is>
          <t>야후 jp_consensus 2026-10-28, 애널리스트 1명(컨센이라 부르지 말 것), 목표주가 없음</t>
        </is>
      </c>
    </row>
    <row r="58">
      <c r="A58" s="56" t="inlineStr">
        <is>
          <t>EPS</t>
        </is>
      </c>
      <c r="B58" s="57" t="n">
        <v>153.1</v>
      </c>
    </row>
    <row r="60">
      <c r="A60" s="54" t="inlineStr">
        <is>
          <t>컨센서스 · FY28</t>
        </is>
      </c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</row>
    <row r="61">
      <c r="A61" s="55" t="inlineStr">
        <is>
          <t>항목</t>
        </is>
      </c>
      <c r="B61" s="55" t="inlineStr">
        <is>
          <t>값</t>
        </is>
      </c>
      <c r="R61" s="55" t="inlineStr">
        <is>
          <t>출처</t>
        </is>
      </c>
    </row>
    <row r="62">
      <c r="A62" s="56" t="inlineStr">
        <is>
          <t>매출</t>
        </is>
      </c>
      <c r="B62" s="57" t="n">
        <v>46.5</v>
      </c>
      <c r="R62" s="58" t="inlineStr">
        <is>
          <t>야후 jp_consensus 2026-10-28, 애널리스트 1명(컨센이라 부르지 말 것), 목표주가 없음</t>
        </is>
      </c>
    </row>
    <row r="63">
      <c r="A63" s="56" t="inlineStr">
        <is>
          <t>EPS</t>
        </is>
      </c>
      <c r="B63" s="57" t="n">
        <v>176.6</v>
      </c>
    </row>
    <row r="65">
      <c r="A65" s="54" t="inlineStr">
        <is>
          <t>shares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  <c r="M65" s="54" t="n"/>
      <c r="N65" s="54" t="n"/>
      <c r="O65" s="54" t="n"/>
      <c r="P65" s="54" t="n"/>
      <c r="Q65" s="54" t="n"/>
      <c r="R65" s="54" t="n"/>
    </row>
    <row r="66">
      <c r="A66" s="55" t="inlineStr">
        <is>
          <t>항목</t>
        </is>
      </c>
      <c r="B66" s="55" t="inlineStr">
        <is>
          <t>값</t>
        </is>
      </c>
      <c r="R66" s="55" t="inlineStr">
        <is>
          <t>출처</t>
        </is>
      </c>
    </row>
    <row r="67">
      <c r="A67" s="56" t="inlineStr">
        <is>
          <t>issued 2026 08</t>
        </is>
      </c>
      <c r="B67" s="59" t="n">
        <v>4246500</v>
      </c>
      <c r="R67" s="58" t="inlineStr">
        <is>
          <t>2단계 보고서 자료(회사 설명회 자료·공시)</t>
        </is>
      </c>
    </row>
    <row r="68">
      <c r="A68" s="56" t="inlineStr">
        <is>
          <t>treasury</t>
        </is>
      </c>
      <c r="B68" s="59" t="n">
        <v>0</v>
      </c>
    </row>
    <row r="69">
      <c r="A69" s="56" t="inlineStr">
        <is>
          <t>avg fy26</t>
        </is>
      </c>
      <c r="B69" s="59" t="n">
        <v>4239512</v>
      </c>
    </row>
    <row r="71">
      <c r="A71" s="54" t="inlineStr">
        <is>
          <t>bs annual</t>
        </is>
      </c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54" t="n"/>
      <c r="M71" s="54" t="n"/>
      <c r="N71" s="54" t="n"/>
      <c r="O71" s="54" t="n"/>
      <c r="P71" s="54" t="n"/>
      <c r="Q71" s="54" t="n"/>
      <c r="R71" s="54" t="n"/>
    </row>
    <row r="72">
      <c r="A72" s="55" t="inlineStr">
        <is>
          <t>항목</t>
        </is>
      </c>
      <c r="B72" s="55" t="inlineStr">
        <is>
          <t>2024</t>
        </is>
      </c>
      <c r="C72" s="55" t="inlineStr">
        <is>
          <t>2025</t>
        </is>
      </c>
      <c r="D72" s="55" t="inlineStr">
        <is>
          <t>2026</t>
        </is>
      </c>
      <c r="R72" s="55" t="inlineStr">
        <is>
          <t>출처</t>
        </is>
      </c>
    </row>
    <row r="73">
      <c r="A73" s="56" t="inlineStr">
        <is>
          <t>labels</t>
        </is>
      </c>
      <c r="B73" s="59" t="n">
        <v>2024</v>
      </c>
      <c r="C73" s="59" t="n">
        <v>2025</v>
      </c>
      <c r="D73" s="59" t="n">
        <v>2026</v>
      </c>
      <c r="R73" s="58" t="inlineStr">
        <is>
          <t>2단계 보고서 자료(회사 설명회 자료·공시)</t>
        </is>
      </c>
    </row>
    <row r="74">
      <c r="A74" s="56" t="inlineStr">
        <is>
          <t>current assets</t>
        </is>
      </c>
      <c r="B74" s="57" t="n">
        <v>20.1</v>
      </c>
      <c r="C74" s="57" t="n">
        <v>21.2</v>
      </c>
      <c r="D74" s="57" t="n">
        <v>22.2</v>
      </c>
    </row>
    <row r="75">
      <c r="A75" s="56" t="inlineStr">
        <is>
          <t>cash</t>
        </is>
      </c>
      <c r="B75" s="57" t="n">
        <v>19.7</v>
      </c>
      <c r="C75" s="57" t="n">
        <v>20.5</v>
      </c>
      <c r="D75" s="57" t="n">
        <v>21.6</v>
      </c>
    </row>
    <row r="76">
      <c r="A76" s="56" t="inlineStr">
        <is>
          <t>st fin</t>
        </is>
      </c>
      <c r="B76" s="60" t="n"/>
      <c r="C76" s="60" t="n"/>
      <c r="D76" s="60" t="n"/>
    </row>
    <row r="77">
      <c r="A77" s="56" t="inlineStr">
        <is>
          <t>receivables</t>
        </is>
      </c>
      <c r="B77" s="57" t="n">
        <v>0.1</v>
      </c>
      <c r="C77" s="57" t="n">
        <v>0</v>
      </c>
      <c r="D77" s="57" t="n">
        <v>0.1</v>
      </c>
    </row>
    <row r="78">
      <c r="A78" s="56" t="inlineStr">
        <is>
          <t>inventory</t>
        </is>
      </c>
      <c r="B78" s="57" t="n">
        <v>0.1</v>
      </c>
      <c r="C78" s="57" t="n">
        <v>0.1</v>
      </c>
      <c r="D78" s="57" t="n">
        <v>0.1</v>
      </c>
    </row>
    <row r="79">
      <c r="A79" s="56" t="inlineStr">
        <is>
          <t>noncurrent assets</t>
        </is>
      </c>
      <c r="B79" s="57" t="n">
        <v>12.6</v>
      </c>
      <c r="C79" s="57" t="n">
        <v>17.6</v>
      </c>
      <c r="D79" s="57" t="n">
        <v>20</v>
      </c>
    </row>
    <row r="80">
      <c r="A80" s="56" t="inlineStr">
        <is>
          <t>ppe</t>
        </is>
      </c>
      <c r="B80" s="57" t="n">
        <v>0.5</v>
      </c>
      <c r="C80" s="57" t="n">
        <v>0.3</v>
      </c>
      <c r="D80" s="57" t="n">
        <v>0.4</v>
      </c>
    </row>
    <row r="81">
      <c r="A81" s="56" t="inlineStr">
        <is>
          <t>intangibles</t>
        </is>
      </c>
      <c r="B81" s="57" t="n">
        <v>0.1</v>
      </c>
      <c r="C81" s="57" t="n">
        <v>0.1</v>
      </c>
      <c r="D81" s="57" t="n">
        <v>0.1</v>
      </c>
    </row>
    <row r="82">
      <c r="A82" s="56" t="inlineStr">
        <is>
          <t>inv property</t>
        </is>
      </c>
      <c r="B82" s="60" t="n"/>
      <c r="C82" s="60" t="n"/>
      <c r="D82" s="60" t="n"/>
    </row>
    <row r="83">
      <c r="A83" s="56" t="inlineStr">
        <is>
          <t>합계 assets</t>
        </is>
      </c>
      <c r="B83" s="57" t="n">
        <v>32.7</v>
      </c>
      <c r="C83" s="57" t="n">
        <v>38.8</v>
      </c>
      <c r="D83" s="57" t="n">
        <v>42.1</v>
      </c>
    </row>
    <row r="84">
      <c r="A84" s="56" t="inlineStr">
        <is>
          <t>current liab</t>
        </is>
      </c>
      <c r="B84" s="57" t="n">
        <v>6</v>
      </c>
      <c r="C84" s="57" t="n">
        <v>5.9</v>
      </c>
      <c r="D84" s="57" t="n">
        <v>6.5</v>
      </c>
    </row>
    <row r="85">
      <c r="A85" s="56" t="inlineStr">
        <is>
          <t>payables</t>
        </is>
      </c>
      <c r="B85" s="57" t="n">
        <v>0.1</v>
      </c>
      <c r="C85" s="57" t="n">
        <v>0.8</v>
      </c>
      <c r="D85" s="57" t="n">
        <v>0.1</v>
      </c>
    </row>
    <row r="86">
      <c r="A86" s="56" t="inlineStr">
        <is>
          <t>st debt</t>
        </is>
      </c>
      <c r="B86" s="60" t="n"/>
      <c r="C86" s="60" t="n"/>
      <c r="D86" s="60" t="n"/>
    </row>
    <row r="87">
      <c r="A87" s="56" t="inlineStr">
        <is>
          <t>noncurrent liab</t>
        </is>
      </c>
      <c r="B87" s="57" t="n">
        <v>1.4</v>
      </c>
      <c r="C87" s="57" t="n">
        <v>1.3</v>
      </c>
      <c r="D87" s="57" t="n">
        <v>1.3</v>
      </c>
    </row>
    <row r="88">
      <c r="A88" s="56" t="inlineStr">
        <is>
          <t>lt debt</t>
        </is>
      </c>
      <c r="B88" s="60" t="n"/>
      <c r="C88" s="60" t="n"/>
      <c r="D88" s="60" t="n"/>
    </row>
    <row r="89">
      <c r="A89" s="56" t="inlineStr">
        <is>
          <t>bonds</t>
        </is>
      </c>
      <c r="B89" s="60" t="n"/>
      <c r="C89" s="60" t="n"/>
      <c r="D89" s="60" t="n"/>
    </row>
    <row r="90">
      <c r="A90" s="56" t="inlineStr">
        <is>
          <t>합계 liab</t>
        </is>
      </c>
      <c r="B90" s="57" t="n">
        <v>7.4</v>
      </c>
      <c r="C90" s="57" t="n">
        <v>7.2</v>
      </c>
      <c r="D90" s="57" t="n">
        <v>7.8</v>
      </c>
    </row>
    <row r="91">
      <c r="A91" s="56" t="inlineStr">
        <is>
          <t>capital stock</t>
        </is>
      </c>
      <c r="B91" s="57" t="n">
        <v>0.2</v>
      </c>
      <c r="C91" s="57" t="n">
        <v>1.6</v>
      </c>
      <c r="D91" s="57" t="n">
        <v>1.7</v>
      </c>
    </row>
    <row r="92">
      <c r="A92" s="56" t="inlineStr">
        <is>
          <t>retained</t>
        </is>
      </c>
      <c r="B92" s="57" t="n">
        <v>25.2</v>
      </c>
      <c r="C92" s="57" t="n">
        <v>28.5</v>
      </c>
      <c r="D92" s="57" t="n">
        <v>31.2</v>
      </c>
    </row>
    <row r="93">
      <c r="A93" s="56" t="inlineStr">
        <is>
          <t>nci</t>
        </is>
      </c>
      <c r="B93" s="60" t="n"/>
      <c r="C93" s="60" t="n"/>
      <c r="D93" s="60" t="n"/>
    </row>
    <row r="94">
      <c r="A94" s="56" t="inlineStr">
        <is>
          <t>합계 equity</t>
        </is>
      </c>
      <c r="B94" s="57" t="n">
        <v>25.4</v>
      </c>
      <c r="C94" s="57" t="n">
        <v>31.6</v>
      </c>
      <c r="D94" s="57" t="n">
        <v>34.3</v>
      </c>
    </row>
    <row r="95">
      <c r="A95" s="56" t="inlineStr">
        <is>
          <t>current ltd</t>
        </is>
      </c>
      <c r="B95" s="57" t="n">
        <v>0.1</v>
      </c>
      <c r="C95" s="57" t="n">
        <v>0</v>
      </c>
      <c r="D95" s="60" t="n"/>
    </row>
    <row r="96">
      <c r="A96" s="56" t="inlineStr">
        <is>
          <t>equity owner</t>
        </is>
      </c>
      <c r="B96" s="57" t="n">
        <v>25.4</v>
      </c>
      <c r="C96" s="57" t="n">
        <v>31.6</v>
      </c>
      <c r="D96" s="57" t="n">
        <v>34.3</v>
      </c>
    </row>
    <row r="98">
      <c r="A98" s="54" t="inlineStr">
        <is>
          <t>cf annual</t>
        </is>
      </c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54" t="n"/>
      <c r="M98" s="54" t="n"/>
      <c r="N98" s="54" t="n"/>
      <c r="O98" s="54" t="n"/>
      <c r="P98" s="54" t="n"/>
      <c r="Q98" s="54" t="n"/>
      <c r="R98" s="54" t="n"/>
    </row>
    <row r="99">
      <c r="A99" s="55" t="inlineStr">
        <is>
          <t>항목</t>
        </is>
      </c>
      <c r="B99" s="55" t="inlineStr">
        <is>
          <t>2024</t>
        </is>
      </c>
      <c r="C99" s="55" t="inlineStr">
        <is>
          <t>2025</t>
        </is>
      </c>
      <c r="D99" s="55" t="inlineStr">
        <is>
          <t>2026</t>
        </is>
      </c>
      <c r="R99" s="55" t="inlineStr">
        <is>
          <t>출처</t>
        </is>
      </c>
    </row>
    <row r="100">
      <c r="A100" s="56" t="inlineStr">
        <is>
          <t>labels</t>
        </is>
      </c>
      <c r="B100" s="59" t="n">
        <v>2024</v>
      </c>
      <c r="C100" s="59" t="n">
        <v>2025</v>
      </c>
      <c r="D100" s="59" t="n">
        <v>2026</v>
      </c>
      <c r="R100" s="58" t="inlineStr">
        <is>
          <t>2단계 보고서 자료(회사 설명회 자료·공시)</t>
        </is>
      </c>
    </row>
    <row r="101">
      <c r="A101" s="56" t="inlineStr">
        <is>
          <t>ocf</t>
        </is>
      </c>
      <c r="B101" s="57" t="n">
        <v>9.6</v>
      </c>
      <c r="C101" s="57" t="n">
        <v>7.6</v>
      </c>
      <c r="D101" s="57" t="n">
        <v>12.5</v>
      </c>
    </row>
    <row r="102">
      <c r="A102" s="56" t="inlineStr">
        <is>
          <t>설비투자</t>
        </is>
      </c>
      <c r="B102" s="57" t="n">
        <v>0.2</v>
      </c>
      <c r="C102" s="57" t="n">
        <v>0.2</v>
      </c>
      <c r="D102" s="57" t="n">
        <v>0.2</v>
      </c>
    </row>
    <row r="103">
      <c r="A103" s="56" t="inlineStr">
        <is>
          <t>dividends</t>
        </is>
      </c>
      <c r="B103" s="57" t="n">
        <v>0</v>
      </c>
      <c r="C103" s="57" t="n">
        <v>1.2</v>
      </c>
      <c r="D103" s="57" t="n">
        <v>3.1</v>
      </c>
    </row>
    <row r="105">
      <c r="A105" s="54" t="inlineStr">
        <is>
          <t>filings</t>
        </is>
      </c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  <c r="N105" s="54" t="n"/>
      <c r="O105" s="54" t="n"/>
      <c r="P105" s="54" t="n"/>
      <c r="Q105" s="54" t="n"/>
      <c r="R105" s="54" t="n"/>
    </row>
    <row r="106">
      <c r="A106" s="55" t="inlineStr">
        <is>
          <t>항목</t>
        </is>
      </c>
      <c r="B106" s="55" t="inlineStr">
        <is>
          <t>title</t>
        </is>
      </c>
      <c r="C106" s="55" t="inlineStr">
        <is>
          <t>doc</t>
        </is>
      </c>
      <c r="R106" s="55" t="inlineStr">
        <is>
          <t>출처</t>
        </is>
      </c>
    </row>
    <row r="107">
      <c r="A107" s="56" t="inlineStr">
        <is>
          <t>2026-10-15</t>
        </is>
      </c>
      <c r="B107" s="60" t="inlineStr">
        <is>
          <t>2026年８月期決算短信〔日本基準〕(非連結)</t>
        </is>
      </c>
      <c r="C107" s="60" t="inlineStr">
        <is>
          <t>140120261015551313</t>
        </is>
      </c>
      <c r="R107" s="58" t="inlineStr">
        <is>
          <t>2단계 보고서 자료(회사 설명회 자료·공시)</t>
        </is>
      </c>
    </row>
    <row r="108">
      <c r="A108" s="56" t="inlineStr">
        <is>
          <t>2026-07-15</t>
        </is>
      </c>
      <c r="B108" s="60" t="inlineStr">
        <is>
          <t>2026年８月期第３四半期決算短信〔日本基準〕(非連結)</t>
        </is>
      </c>
      <c r="C108" s="60" t="inlineStr">
        <is>
          <t>140120260714593643</t>
        </is>
      </c>
    </row>
    <row r="109">
      <c r="A109" s="56" t="inlineStr">
        <is>
          <t>2026-04-14</t>
        </is>
      </c>
      <c r="B109" s="60" t="inlineStr">
        <is>
          <t>2026年８月期第２四半期（中間期）決算短信〔日本基準〕(非連結)</t>
        </is>
      </c>
      <c r="C109" s="60" t="inlineStr">
        <is>
          <t>140120260413503064</t>
        </is>
      </c>
    </row>
    <row r="110">
      <c r="A110" s="56" t="inlineStr">
        <is>
          <t>2026-01-13</t>
        </is>
      </c>
      <c r="B110" s="60" t="inlineStr">
        <is>
          <t>2026年８月期 第１四半期決算短信〔日本基準〕（非連結）</t>
        </is>
      </c>
      <c r="C110" s="60" t="inlineStr">
        <is>
          <t>140120260109531835</t>
        </is>
      </c>
    </row>
    <row r="111">
      <c r="A111" s="56" t="inlineStr">
        <is>
          <t>2025-10-15</t>
        </is>
      </c>
      <c r="B111" s="60" t="inlineStr">
        <is>
          <t>2025年８月期 決算短信〔日本基準〕（非連結）</t>
        </is>
      </c>
      <c r="C111" s="60" t="inlineStr">
        <is>
          <t>140120251015573629</t>
        </is>
      </c>
    </row>
    <row r="112">
      <c r="A112" s="56" t="inlineStr">
        <is>
          <t>2025-07-15</t>
        </is>
      </c>
      <c r="B112" s="60" t="inlineStr">
        <is>
          <t>2025年８月期  第３四半期決算短信〔日本基準〕（非連結）</t>
        </is>
      </c>
      <c r="C112" s="60" t="inlineStr">
        <is>
          <t>140120250714514234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2026-10-15</t>
        </is>
      </c>
      <c r="B4" t="inlineStr">
        <is>
          <t>2026년 8월 결산기 연간 결산단신</t>
        </is>
      </c>
      <c r="C4" t="inlineStr">
        <is>
          <t>https://www2.jpx.co.jp/disc/369A0/140120261015551313.pdf</t>
        </is>
      </c>
    </row>
    <row r="5">
      <c r="A5" t="inlineStr">
        <is>
          <t>2026-07-15</t>
        </is>
      </c>
      <c r="B5" t="inlineStr">
        <is>
          <t>2026년 8월 결산기 ３분기 결산단신</t>
        </is>
      </c>
      <c r="C5" t="inlineStr">
        <is>
          <t>https://www2.jpx.co.jp/disc/369A0/140120260714593643.pdf</t>
        </is>
      </c>
    </row>
    <row r="6">
      <c r="A6" t="inlineStr">
        <is>
          <t>2026-04-14</t>
        </is>
      </c>
      <c r="B6" t="inlineStr">
        <is>
          <t>2026년 8월 결산기 ２분기 결산단신</t>
        </is>
      </c>
      <c r="C6" t="inlineStr">
        <is>
          <t>https://www2.jpx.co.jp/disc/369A0/140120260413503064.pdf</t>
        </is>
      </c>
    </row>
    <row r="7">
      <c r="A7" t="inlineStr">
        <is>
          <t>2026-01-13</t>
        </is>
      </c>
      <c r="B7" t="inlineStr">
        <is>
          <t>2026년 8월 결산기 １분기 결산단신</t>
        </is>
      </c>
      <c r="C7" t="inlineStr">
        <is>
          <t>https://www2.jpx.co.jp/disc/369A0/140120260109531835.pdf</t>
        </is>
      </c>
    </row>
    <row r="8">
      <c r="A8" t="inlineStr">
        <is>
          <t>2025-10-15</t>
        </is>
      </c>
      <c r="B8" t="inlineStr">
        <is>
          <t>2025년 8월 결산기 연간 결산단신</t>
        </is>
      </c>
      <c r="C8" t="inlineStr">
        <is>
          <t>https://www2.jpx.co.jp/disc/369A0/140120251015573629.pdf</t>
        </is>
      </c>
    </row>
    <row r="9">
      <c r="A9" t="inlineStr">
        <is>
          <t>2025-07-15</t>
        </is>
      </c>
      <c r="B9" t="inlineStr">
        <is>
          <t>2025년 8월 결산기 ３분기 결산단신</t>
        </is>
      </c>
      <c r="C9" t="inlineStr">
        <is>
          <t>https://www2.jpx.co.jp/disc/369A0/140120250714514234.pdf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2026-10-28T08:41:12Z</dcterms:created>
  <dcterms:modified xmlns:dcterms="http://purl.org/dc/terms/" xmlns:xsi="http://www.w3.org/2001/XMLSchema-instance" xsi:type="dcterms:W3CDTF">2026-10-28T08:41:12Z</dcterms:modified>
</cp:coreProperties>
</file>