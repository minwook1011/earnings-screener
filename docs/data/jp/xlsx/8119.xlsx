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28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47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8119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9107.228999999999</v>
      </c>
      <c r="D4" s="12" t="n">
        <v>10532.733</v>
      </c>
      <c r="E4" s="12" t="n">
        <v>11198.698</v>
      </c>
      <c r="F4" s="12" t="n">
        <v>9701.548000000001</v>
      </c>
      <c r="G4" s="12" t="n">
        <v>9076.302</v>
      </c>
      <c r="H4" s="12" t="n">
        <v>9885.174999999999</v>
      </c>
      <c r="I4" s="12" t="n">
        <v>9153.302</v>
      </c>
      <c r="J4" s="12" t="n">
        <v>8502.152</v>
      </c>
      <c r="K4" s="12" t="n">
        <v>9090.587</v>
      </c>
      <c r="L4" s="12" t="n">
        <v>9586.148999999999</v>
      </c>
      <c r="M4" s="12" t="n">
        <v>8838.105</v>
      </c>
      <c r="N4" s="12" t="n">
        <v>9510.495999999999</v>
      </c>
      <c r="O4" s="11" t="n">
        <v>49785.571</v>
      </c>
      <c r="P4" s="12" t="n">
        <v>44692.792</v>
      </c>
      <c r="Q4" s="12" t="n">
        <v>42513.022</v>
      </c>
      <c r="R4" s="12" t="n">
        <v>41217.555</v>
      </c>
      <c r="S4" s="12" t="n">
        <v>33050.887</v>
      </c>
      <c r="T4" s="12" t="n">
        <v>33976.075</v>
      </c>
      <c r="U4" s="12" t="n">
        <v>38654.214</v>
      </c>
      <c r="V4" s="12" t="n">
        <v>36688.565</v>
      </c>
      <c r="W4" s="12" t="n">
        <v>39861.723</v>
      </c>
      <c r="X4" s="12" t="n">
        <v>36332.19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Furniture And Houseware Reportable Segments</t>
        </is>
      </c>
      <c r="B7" s="10" t="n"/>
      <c r="C7" s="19" t="n">
        <v>4226.593</v>
      </c>
      <c r="D7" s="20" t="n">
        <v>5227.979</v>
      </c>
      <c r="E7" s="20" t="n">
        <v>4966.799</v>
      </c>
      <c r="F7" s="20" t="n">
        <v>4477.572</v>
      </c>
      <c r="G7" s="20" t="n">
        <v>4373.794</v>
      </c>
      <c r="H7" s="20" t="n">
        <v>4766.109</v>
      </c>
      <c r="I7" s="20" t="n">
        <v>4716.126</v>
      </c>
      <c r="J7" s="20" t="n">
        <v>4252.025</v>
      </c>
      <c r="K7" s="20" t="n">
        <v>4990.217</v>
      </c>
      <c r="L7" s="20" t="n">
        <v>5254.328</v>
      </c>
      <c r="M7" s="20" t="n">
        <v>4858.469</v>
      </c>
      <c r="N7" s="20" t="n">
        <v>5328.634</v>
      </c>
      <c r="O7" s="19" t="n"/>
      <c r="P7" s="20" t="n"/>
      <c r="Q7" s="20" t="n"/>
      <c r="R7" s="20" t="n"/>
      <c r="S7" s="20" t="n"/>
      <c r="T7" s="20" t="n"/>
      <c r="U7" s="20" t="n"/>
      <c r="V7" s="20" t="n">
        <v>17299.539</v>
      </c>
      <c r="W7" s="20" t="n">
        <v>18584.274</v>
      </c>
      <c r="X7" s="20" t="n">
        <v>19212.696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Fashion Accessories Reportable Segments</t>
        </is>
      </c>
      <c r="B10" s="10" t="n"/>
      <c r="C10" s="19" t="n">
        <v>3563.039</v>
      </c>
      <c r="D10" s="20" t="n">
        <v>3980.75</v>
      </c>
      <c r="E10" s="20" t="n">
        <v>4823.013</v>
      </c>
      <c r="F10" s="20" t="n">
        <v>4079.453</v>
      </c>
      <c r="G10" s="20" t="n">
        <v>3486.212</v>
      </c>
      <c r="H10" s="20" t="n">
        <v>3847.768</v>
      </c>
      <c r="I10" s="20" t="n">
        <v>3366.596</v>
      </c>
      <c r="J10" s="20" t="n">
        <v>3044.007</v>
      </c>
      <c r="K10" s="20" t="n">
        <v>2499.108</v>
      </c>
      <c r="L10" s="20" t="n">
        <v>2988.335</v>
      </c>
      <c r="M10" s="20" t="n">
        <v>2897.406</v>
      </c>
      <c r="N10" s="20" t="n">
        <v>2933.144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14039.835</v>
      </c>
      <c r="W10" s="20" t="n">
        <v>16236.446</v>
      </c>
      <c r="X10" s="20" t="n">
        <v>11898.046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Home Appliance Reportable Segments</t>
        </is>
      </c>
      <c r="B13" s="10" t="n"/>
      <c r="C13" s="19" t="n">
        <v>915.1900000000001</v>
      </c>
      <c r="D13" s="20" t="n">
        <v>933.799</v>
      </c>
      <c r="E13" s="20" t="n">
        <v>924.212</v>
      </c>
      <c r="F13" s="20" t="n">
        <v>722.133</v>
      </c>
      <c r="G13" s="20" t="n">
        <v>782.538</v>
      </c>
      <c r="H13" s="20" t="n">
        <v>771.045</v>
      </c>
      <c r="I13" s="20" t="n">
        <v>629.622</v>
      </c>
      <c r="J13" s="20" t="n">
        <v>727.509</v>
      </c>
      <c r="K13" s="20" t="n">
        <v>947.96</v>
      </c>
      <c r="L13" s="20" t="n">
        <v>719.213</v>
      </c>
      <c r="M13" s="20" t="n">
        <v>491.244</v>
      </c>
      <c r="N13" s="20" t="n">
        <v>554.522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3685.349</v>
      </c>
      <c r="W13" s="20" t="n">
        <v>3199.928</v>
      </c>
      <c r="X13" s="20" t="n">
        <v>3024.304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402.406</v>
      </c>
      <c r="D16" s="20" t="n">
        <v>390.206</v>
      </c>
      <c r="E16" s="20" t="n">
        <v>484.673</v>
      </c>
      <c r="F16" s="20" t="n">
        <v>422.39</v>
      </c>
      <c r="G16" s="20" t="n">
        <v>433.759</v>
      </c>
      <c r="H16" s="20" t="n">
        <v>500.252</v>
      </c>
      <c r="I16" s="20" t="n">
        <v>440.957</v>
      </c>
      <c r="J16" s="20" t="n">
        <v>478.61</v>
      </c>
      <c r="K16" s="20" t="n">
        <v>653.302</v>
      </c>
      <c r="L16" s="20" t="n">
        <v>624.274</v>
      </c>
      <c r="M16" s="20" t="n">
        <v>590.984</v>
      </c>
      <c r="N16" s="20" t="n">
        <v>694.1950000000001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1663.841</v>
      </c>
      <c r="W16" s="20" t="n">
        <v>1841.074</v>
      </c>
      <c r="X16" s="20" t="n">
        <v>2197.143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6547.287</v>
      </c>
      <c r="D20" s="20" t="n">
        <v>8000.072</v>
      </c>
      <c r="E20" s="20" t="n">
        <v>8421.891</v>
      </c>
      <c r="F20" s="20" t="n">
        <v>7092.245</v>
      </c>
      <c r="G20" s="20" t="n">
        <v>6543.732</v>
      </c>
      <c r="H20" s="20" t="n">
        <v>7507.394</v>
      </c>
      <c r="I20" s="20" t="n">
        <v>6836.491</v>
      </c>
      <c r="J20" s="20" t="n">
        <v>6269.181</v>
      </c>
      <c r="K20" s="20" t="n">
        <v>6996.255</v>
      </c>
      <c r="L20" s="20" t="n">
        <v>7557.121</v>
      </c>
      <c r="M20" s="20" t="n">
        <v>6880.558</v>
      </c>
      <c r="N20" s="20" t="n">
        <v>7345.251</v>
      </c>
      <c r="O20" s="19" t="n">
        <v>35826.291</v>
      </c>
      <c r="P20" s="20" t="n">
        <v>31809.115</v>
      </c>
      <c r="Q20" s="20" t="n">
        <v>30384.559</v>
      </c>
      <c r="R20" s="20" t="n">
        <v>28973.543</v>
      </c>
      <c r="S20" s="20" t="n">
        <v>24069.214</v>
      </c>
      <c r="T20" s="20" t="n">
        <v>25734.406</v>
      </c>
      <c r="U20" s="20" t="n">
        <v>29228.255</v>
      </c>
      <c r="V20" s="20" t="n">
        <v>26941.78</v>
      </c>
      <c r="W20" s="20" t="n">
        <v>29565.262</v>
      </c>
      <c r="X20" s="20" t="n">
        <v>27659.048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18" t="inlineStr">
        <is>
          <t>매출총이익</t>
        </is>
      </c>
      <c r="B22" s="10" t="n"/>
      <c r="C22" s="19">
        <f>IF(OR(C4="",C20=""),"",IFERROR(C4-C20,""))</f>
        <v/>
      </c>
      <c r="D22" s="20">
        <f>IF(OR(D4="",D20=""),"",IFERROR(D4-D20,""))</f>
        <v/>
      </c>
      <c r="E22" s="20">
        <f>IF(OR(E4="",E20=""),"",IFERROR(E4-E20,""))</f>
        <v/>
      </c>
      <c r="F22" s="20">
        <f>IF(OR(F4="",F20=""),"",IFERROR(F4-F20,""))</f>
        <v/>
      </c>
      <c r="G22" s="20">
        <f>IF(OR(G4="",G20=""),"",IFERROR(G4-G20,""))</f>
        <v/>
      </c>
      <c r="H22" s="20">
        <f>IF(OR(H4="",H20=""),"",IFERROR(H4-H20,""))</f>
        <v/>
      </c>
      <c r="I22" s="20">
        <f>IF(OR(I4="",I20=""),"",IFERROR(I4-I20,""))</f>
        <v/>
      </c>
      <c r="J22" s="20">
        <f>IF(OR(J4="",J20=""),"",IFERROR(J4-J20,""))</f>
        <v/>
      </c>
      <c r="K22" s="20">
        <f>IF(OR(K4="",K20=""),"",IFERROR(K4-K20,""))</f>
        <v/>
      </c>
      <c r="L22" s="20">
        <f>IF(OR(L4="",L20=""),"",IFERROR(L4-L20,""))</f>
        <v/>
      </c>
      <c r="M22" s="20">
        <f>IF(OR(M4="",M20=""),"",IFERROR(M4-M20,""))</f>
        <v/>
      </c>
      <c r="N22" s="20">
        <f>IF(OR(N4="",N20=""),"",IFERROR(N4-N20,""))</f>
        <v/>
      </c>
      <c r="O22" s="19">
        <f>IF(OR(O4="",O20=""),"",IFERROR(O4-O20,""))</f>
        <v/>
      </c>
      <c r="P22" s="20">
        <f>IF(OR(P4="",P20=""),"",IFERROR(P4-P20,""))</f>
        <v/>
      </c>
      <c r="Q22" s="20">
        <f>IF(OR(Q4="",Q20=""),"",IFERROR(Q4-Q20,""))</f>
        <v/>
      </c>
      <c r="R22" s="20">
        <f>IF(OR(R4="",R20=""),"",IFERROR(R4-R20,""))</f>
        <v/>
      </c>
      <c r="S22" s="20">
        <f>IF(OR(S4="",S20=""),"",IFERROR(S4-S20,""))</f>
        <v/>
      </c>
      <c r="T22" s="20">
        <f>IF(OR(T4="",T20=""),"",IFERROR(T4-T20,""))</f>
        <v/>
      </c>
      <c r="U22" s="20">
        <f>IF(OR(U4="",U20=""),"",IFERROR(U4-U20,""))</f>
        <v/>
      </c>
      <c r="V22" s="20">
        <f>IF(OR(V4="",V20=""),"",IFERROR(V4-V20,""))</f>
        <v/>
      </c>
      <c r="W22" s="20">
        <f>IF(OR(W4="",W20=""),"",IFERROR(W4-W20,""))</f>
        <v/>
      </c>
      <c r="X22" s="20">
        <f>IF(OR(X4="",X20=""),"",IFERROR(X4-X20,""))</f>
        <v/>
      </c>
      <c r="Y22" s="19" t="n"/>
      <c r="Z22" s="20" t="n"/>
      <c r="AA22" s="20" t="n"/>
      <c r="AB22" s="20" t="n"/>
      <c r="AC22" s="20" t="n"/>
    </row>
    <row r="23">
      <c r="A23" s="13" t="inlineStr">
        <is>
          <t>GPM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IF(OR(G22="",C22=""),"",IF(C22&lt;=0,"",IFERROR(G22/C22-1,"")))</f>
        <v/>
      </c>
      <c r="H24" s="15">
        <f>IF(OR(H22="",D22=""),"",IF(D22&lt;=0,"",IFERROR(H22/D22-1,"")))</f>
        <v/>
      </c>
      <c r="I24" s="15">
        <f>IF(OR(I22="",E22=""),"",IF(E22&lt;=0,"",IFERROR(I22/E22-1,"")))</f>
        <v/>
      </c>
      <c r="J24" s="15">
        <f>IF(OR(J22="",F22=""),"",IF(F22&lt;=0,"",IFERROR(J22/F22-1,"")))</f>
        <v/>
      </c>
      <c r="K24" s="15">
        <f>IF(OR(K22="",G22=""),"",IF(G22&lt;=0,"",IFERROR(K22/G22-1,"")))</f>
        <v/>
      </c>
      <c r="L24" s="15">
        <f>IF(OR(L22="",H22=""),"",IF(H22&lt;=0,"",IFERROR(L22/H22-1,"")))</f>
        <v/>
      </c>
      <c r="M24" s="15">
        <f>IF(OR(M22="",I22=""),"",IF(I22&lt;=0,"",IFERROR(M22/I22-1,"")))</f>
        <v/>
      </c>
      <c r="N24" s="15">
        <f>IF(OR(N22="",J22=""),"",IF(J22&lt;=0,"",IFERROR(N22/J22-1,"")))</f>
        <v/>
      </c>
      <c r="O24" s="14" t="n"/>
      <c r="P24" s="15">
        <f>IF(OR(P22="",O22=""),"",IF(O22&lt;=0,"",IFERROR(P22/O22-1,"")))</f>
        <v/>
      </c>
      <c r="Q24" s="15">
        <f>IF(OR(Q22="",P22=""),"",IF(P22&lt;=0,"",IFERROR(Q22/P22-1,"")))</f>
        <v/>
      </c>
      <c r="R24" s="15">
        <f>IF(OR(R22="",Q22=""),"",IF(Q22&lt;=0,"",IFERROR(R22/Q22-1,"")))</f>
        <v/>
      </c>
      <c r="S24" s="15">
        <f>IF(OR(S22="",R22=""),"",IF(R22&lt;=0,"",IFERROR(S22/R22-1,"")))</f>
        <v/>
      </c>
      <c r="T24" s="15">
        <f>IF(OR(T22="",S22=""),"",IF(S22&lt;=0,"",IFERROR(T22/S22-1,"")))</f>
        <v/>
      </c>
      <c r="U24" s="15">
        <f>IF(OR(U22="",T22=""),"",IF(T22&lt;=0,"",IFERROR(U22/T22-1,"")))</f>
        <v/>
      </c>
      <c r="V24" s="15">
        <f>IF(OR(V22="",U22=""),"",IF(U22&lt;=0,"",IFERROR(V22/U22-1,"")))</f>
        <v/>
      </c>
      <c r="W24" s="15">
        <f>IF(OR(W22="",V22=""),"",IF(V22&lt;=0,"",IFERROR(W22/V22-1,"")))</f>
        <v/>
      </c>
      <c r="X24" s="15">
        <f>IF(OR(X22="",W22=""),"",IF(W22&lt;=0,"",IFERROR(X22/W22-1,"")))</f>
        <v/>
      </c>
      <c r="Y24" s="14">
        <f>IF(OR(Y22="",X22=""),"",IF(X22&lt;=0,"",IFERROR(Y22/X22-1,"")))</f>
        <v/>
      </c>
      <c r="Z24" s="15">
        <f>IF(OR(Z22="",Y22=""),"",IF(Y22&lt;=0,"",IFERROR(Z22/Y22-1,"")))</f>
        <v/>
      </c>
      <c r="AA24" s="15">
        <f>IF(OR(AA22="",Z22=""),"",IF(Z22&lt;=0,"",IFERROR(AA22/Z22-1,"")))</f>
        <v/>
      </c>
      <c r="AB24" s="15">
        <f>IF(OR(AB22="",AA22=""),"",IF(AA22&lt;=0,"",IFERROR(AB22/AA22-1,"")))</f>
        <v/>
      </c>
      <c r="AC24" s="15">
        <f>IF(OR(AC22="",AB22=""),"",IF(AB22&lt;=0,"",IFERROR(AC22/AB22-1,"")))</f>
        <v/>
      </c>
    </row>
    <row r="25">
      <c r="A25" s="23" t="inlineStr">
        <is>
          <t>판매관리비</t>
        </is>
      </c>
      <c r="B25" s="23" t="n"/>
      <c r="C25" s="24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  <c r="Z25" s="23" t="n"/>
      <c r="AA25" s="23" t="n"/>
      <c r="AB25" s="23" t="n"/>
      <c r="AC25" s="23" t="n"/>
    </row>
    <row r="26">
      <c r="A26" s="18" t="inlineStr">
        <is>
          <t>전체 판관비</t>
        </is>
      </c>
      <c r="B26" s="10" t="n"/>
      <c r="C26" s="19" t="n">
        <v>2269.064</v>
      </c>
      <c r="D26" s="20" t="n">
        <v>2119.003</v>
      </c>
      <c r="E26" s="20" t="n">
        <v>2006.966</v>
      </c>
      <c r="F26" s="20" t="n">
        <v>2050.193</v>
      </c>
      <c r="G26" s="20" t="n">
        <v>2001.264</v>
      </c>
      <c r="H26" s="20" t="n">
        <v>2141.176</v>
      </c>
      <c r="I26" s="20" t="n">
        <v>1849.043</v>
      </c>
      <c r="J26" s="20" t="n">
        <v>1935.627</v>
      </c>
      <c r="K26" s="20" t="n">
        <v>1949.654</v>
      </c>
      <c r="L26" s="20" t="n">
        <v>1911.91</v>
      </c>
      <c r="M26" s="20" t="n">
        <v>1864.133</v>
      </c>
      <c r="N26" s="20" t="n">
        <v>1786.071</v>
      </c>
      <c r="O26" s="19" t="n">
        <v>11254.322</v>
      </c>
      <c r="P26" s="20" t="n">
        <v>11199.88</v>
      </c>
      <c r="Q26" s="20" t="n">
        <v>11376.323</v>
      </c>
      <c r="R26" s="20" t="n">
        <v>10928.504</v>
      </c>
      <c r="S26" s="20" t="n">
        <v>9691.290000000001</v>
      </c>
      <c r="T26" s="20" t="n">
        <v>9153.978999999999</v>
      </c>
      <c r="U26" s="20" t="n">
        <v>9187.867</v>
      </c>
      <c r="V26" s="20" t="n">
        <v>8583.123</v>
      </c>
      <c r="W26" s="20" t="n">
        <v>8199.599</v>
      </c>
      <c r="X26" s="20" t="n">
        <v>7646.234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290.879</v>
      </c>
      <c r="D28" s="12" t="n">
        <v>413.658</v>
      </c>
      <c r="E28" s="12" t="n">
        <v>769.841</v>
      </c>
      <c r="F28" s="12" t="n">
        <v>559.109</v>
      </c>
      <c r="G28" s="12" t="n">
        <v>531.307</v>
      </c>
      <c r="H28" s="12" t="n">
        <v>236.604</v>
      </c>
      <c r="I28" s="12" t="n">
        <v>467.766</v>
      </c>
      <c r="J28" s="12" t="n">
        <v>297.345</v>
      </c>
      <c r="K28" s="12" t="n">
        <v>144.678</v>
      </c>
      <c r="L28" s="12" t="n">
        <v>117.118</v>
      </c>
      <c r="M28" s="12" t="n">
        <v>93.413</v>
      </c>
      <c r="N28" s="12" t="n">
        <v>379.174</v>
      </c>
      <c r="O28" s="11" t="n">
        <v>2704.957</v>
      </c>
      <c r="P28" s="12" t="n">
        <v>1683.796</v>
      </c>
      <c r="Q28" s="12" t="n">
        <v>752.14</v>
      </c>
      <c r="R28" s="12" t="n">
        <v>1315.506</v>
      </c>
      <c r="S28" s="12" t="n">
        <v>-709.617</v>
      </c>
      <c r="T28" s="12" t="n">
        <v>-912.309</v>
      </c>
      <c r="U28" s="12" t="n">
        <v>238.091</v>
      </c>
      <c r="V28" s="12" t="n">
        <v>1163.661</v>
      </c>
      <c r="W28" s="12" t="n">
        <v>2096.861</v>
      </c>
      <c r="X28" s="12" t="n">
        <v>1026.907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IF(O26="","",O26)</f>
        <v/>
      </c>
      <c r="P32" s="12">
        <f>IF(P26="","",P26)</f>
        <v/>
      </c>
      <c r="Q32" s="12">
        <f>IF(Q26="","",Q26)</f>
        <v/>
      </c>
      <c r="R32" s="12">
        <f>IF(R26="","",R26)</f>
        <v/>
      </c>
      <c r="S32" s="12">
        <f>IF(S26="","",S26)</f>
        <v/>
      </c>
      <c r="T32" s="12">
        <f>IF(T26="","",T26)</f>
        <v/>
      </c>
      <c r="U32" s="12">
        <f>IF(U26="","",U26)</f>
        <v/>
      </c>
      <c r="V32" s="12">
        <f>IF(V26="","",V26)</f>
        <v/>
      </c>
      <c r="W32" s="12">
        <f>IF(W26="","",W26)</f>
        <v/>
      </c>
      <c r="X32" s="12">
        <f>IF(X26="","",X26)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0.353</v>
      </c>
      <c r="D44" s="20" t="n">
        <v>0.007</v>
      </c>
      <c r="E44" s="20" t="n">
        <v>0</v>
      </c>
      <c r="F44" s="20" t="n">
        <v>0.015</v>
      </c>
      <c r="G44" s="20" t="n">
        <v>0.008</v>
      </c>
      <c r="H44" s="20" t="n">
        <v>0</v>
      </c>
      <c r="I44" s="20" t="n">
        <v>9.516999999999999</v>
      </c>
      <c r="J44" s="20" t="n">
        <v>-0.264</v>
      </c>
      <c r="K44" s="20" t="n">
        <v>10.543</v>
      </c>
      <c r="L44" s="20" t="n">
        <v>1020.445</v>
      </c>
      <c r="M44" s="20" t="n">
        <v>36.382</v>
      </c>
      <c r="N44" s="20" t="n">
        <v>3.989</v>
      </c>
      <c r="O44" s="19" t="n">
        <v>37.92</v>
      </c>
      <c r="P44" s="20" t="n">
        <v>5.408</v>
      </c>
      <c r="Q44" s="20" t="n">
        <v>4.048</v>
      </c>
      <c r="R44" s="20" t="n">
        <v>13.68</v>
      </c>
      <c r="S44" s="20" t="n">
        <v>285.943</v>
      </c>
      <c r="T44" s="20" t="n">
        <v>17.529</v>
      </c>
      <c r="U44" s="20" t="n">
        <v>35.07</v>
      </c>
      <c r="V44" s="20" t="n">
        <v>6.789</v>
      </c>
      <c r="W44" s="20" t="n">
        <v>0.023</v>
      </c>
      <c r="X44" s="20" t="n">
        <v>1040.241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107.563</v>
      </c>
      <c r="D46" s="20" t="n">
        <v>150.829</v>
      </c>
      <c r="E46" s="20" t="n">
        <v>54.277</v>
      </c>
      <c r="F46" s="20" t="n">
        <v>-5.044</v>
      </c>
      <c r="G46" s="20" t="n">
        <v>311.46</v>
      </c>
      <c r="H46" s="20" t="n">
        <v>137.864</v>
      </c>
      <c r="I46" s="20" t="n">
        <v>1.891</v>
      </c>
      <c r="J46" s="20" t="n">
        <v>0.172</v>
      </c>
      <c r="K46" s="20" t="n">
        <v>70.021</v>
      </c>
      <c r="L46" s="20" t="n">
        <v>747.64</v>
      </c>
      <c r="M46" s="20" t="n">
        <v>6.655</v>
      </c>
      <c r="N46" s="20" t="n">
        <v>2.05</v>
      </c>
      <c r="O46" s="19" t="n">
        <v>212.664</v>
      </c>
      <c r="P46" s="20" t="n">
        <v>171.414</v>
      </c>
      <c r="Q46" s="20" t="n">
        <v>46.935</v>
      </c>
      <c r="R46" s="20" t="n">
        <v>289.753</v>
      </c>
      <c r="S46" s="20" t="n">
        <v>134.417</v>
      </c>
      <c r="T46" s="20" t="n">
        <v>83.059</v>
      </c>
      <c r="U46" s="20" t="n">
        <v>173.266</v>
      </c>
      <c r="V46" s="20" t="n">
        <v>319.41</v>
      </c>
      <c r="W46" s="20" t="n">
        <v>498.557</v>
      </c>
      <c r="X46" s="20" t="n">
        <v>819.724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-21.555</v>
      </c>
      <c r="D48" s="20" t="n">
        <v>24.08</v>
      </c>
      <c r="E48" s="20" t="n">
        <v>72.749</v>
      </c>
      <c r="F48" s="20" t="n">
        <v>-15.667</v>
      </c>
      <c r="G48" s="20" t="n">
        <v>61.228</v>
      </c>
      <c r="H48" s="20" t="n">
        <v>28.465</v>
      </c>
      <c r="I48" s="20" t="n">
        <v>62.498</v>
      </c>
      <c r="J48" s="20" t="n">
        <v>33.995</v>
      </c>
      <c r="K48" s="20" t="n">
        <v>70.744</v>
      </c>
      <c r="L48" s="20" t="n">
        <v>23.06</v>
      </c>
      <c r="M48" s="20" t="n">
        <v>67.08799999999999</v>
      </c>
      <c r="N48" s="20" t="n">
        <v>32.873</v>
      </c>
      <c r="O48" s="19" t="n">
        <v>78.825</v>
      </c>
      <c r="P48" s="20" t="n">
        <v>182.884</v>
      </c>
      <c r="Q48" s="20" t="n">
        <v>126.892</v>
      </c>
      <c r="R48" s="20" t="n">
        <v>99.247</v>
      </c>
      <c r="S48" s="20" t="n">
        <v>301.79</v>
      </c>
      <c r="T48" s="20" t="n">
        <v>297.471</v>
      </c>
      <c r="U48" s="20" t="n">
        <v>133.062</v>
      </c>
      <c r="V48" s="20" t="n">
        <v>119.183</v>
      </c>
      <c r="W48" s="20" t="n">
        <v>146.775</v>
      </c>
      <c r="X48" s="20" t="n">
        <v>190.297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13.087</v>
      </c>
      <c r="D50" s="20" t="n">
        <v>6.051</v>
      </c>
      <c r="E50" s="20" t="n">
        <v>7.256</v>
      </c>
      <c r="F50" s="20" t="n">
        <v>161.086</v>
      </c>
      <c r="G50" s="20" t="n">
        <v>-142.074</v>
      </c>
      <c r="H50" s="20" t="n">
        <v>68.339</v>
      </c>
      <c r="I50" s="20" t="n">
        <v>18.768</v>
      </c>
      <c r="J50" s="20" t="n">
        <v>34.135</v>
      </c>
      <c r="K50" s="20" t="n">
        <v>-9.349</v>
      </c>
      <c r="L50" s="20" t="n">
        <v>17.485</v>
      </c>
      <c r="M50" s="20" t="n">
        <v>30.426</v>
      </c>
      <c r="N50" s="20" t="n">
        <v>55.821</v>
      </c>
      <c r="O50" s="19" t="n">
        <v>347.744</v>
      </c>
      <c r="P50" s="20" t="n">
        <v>34.146</v>
      </c>
      <c r="Q50" s="20" t="n">
        <v>51.703</v>
      </c>
      <c r="R50" s="20" t="n">
        <v>72.43000000000001</v>
      </c>
      <c r="S50" s="20" t="n">
        <v>38.932</v>
      </c>
      <c r="T50" s="20" t="n">
        <v>42.731</v>
      </c>
      <c r="U50" s="20" t="n">
        <v>112.329</v>
      </c>
      <c r="V50" s="20" t="n">
        <v>34.755</v>
      </c>
      <c r="W50" s="20" t="n">
        <v>94.607</v>
      </c>
      <c r="X50" s="20" t="n">
        <v>61.039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149.027</v>
      </c>
      <c r="D52" s="12" t="n">
        <v>280.863</v>
      </c>
      <c r="E52" s="12" t="n">
        <v>781.056</v>
      </c>
      <c r="F52" s="12" t="n">
        <v>387.416</v>
      </c>
      <c r="G52" s="12" t="n">
        <v>423.157</v>
      </c>
      <c r="H52" s="12" t="n">
        <v>58.865</v>
      </c>
      <c r="I52" s="12" t="n">
        <v>519.123</v>
      </c>
      <c r="J52" s="12" t="n">
        <v>296.767</v>
      </c>
      <c r="K52" s="12" t="n">
        <v>165.294</v>
      </c>
      <c r="L52" s="12" t="n">
        <v>395.497</v>
      </c>
      <c r="M52" s="12" t="n">
        <v>159.802</v>
      </c>
      <c r="N52" s="12" t="n">
        <v>358.164</v>
      </c>
      <c r="O52" s="11" t="n">
        <v>2261.294</v>
      </c>
      <c r="P52" s="12" t="n">
        <v>1666.527</v>
      </c>
      <c r="Q52" s="12" t="n">
        <v>784.442</v>
      </c>
      <c r="R52" s="12" t="n">
        <v>1066.25</v>
      </c>
      <c r="S52" s="12" t="n">
        <v>-295.232</v>
      </c>
      <c r="T52" s="12" t="n">
        <v>-723.099</v>
      </c>
      <c r="U52" s="12" t="n">
        <v>120.627</v>
      </c>
      <c r="V52" s="12" t="n">
        <v>935.467</v>
      </c>
      <c r="W52" s="12" t="n">
        <v>1650.494</v>
      </c>
      <c r="X52" s="12" t="n">
        <v>1376.681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3" t="inlineStr">
        <is>
          <t>YoY</t>
        </is>
      </c>
      <c r="B53" s="10" t="n"/>
      <c r="C53" s="14" t="n"/>
      <c r="D53" s="15" t="n"/>
      <c r="E53" s="15" t="n"/>
      <c r="F53" s="15" t="n"/>
      <c r="G53" s="15">
        <f>IF(OR(G52="",C52=""),"",IF(C52&lt;=0,"",IFERROR(G52/C52-1,"")))</f>
        <v/>
      </c>
      <c r="H53" s="15">
        <f>IF(OR(H52="",D52=""),"",IF(D52&lt;=0,"",IFERROR(H52/D52-1,"")))</f>
        <v/>
      </c>
      <c r="I53" s="15">
        <f>IF(OR(I52="",E52=""),"",IF(E52&lt;=0,"",IFERROR(I52/E52-1,"")))</f>
        <v/>
      </c>
      <c r="J53" s="15">
        <f>IF(OR(J52="",F52=""),"",IF(F52&lt;=0,"",IFERROR(J52/F52-1,"")))</f>
        <v/>
      </c>
      <c r="K53" s="15">
        <f>IF(OR(K52="",G52=""),"",IF(G52&lt;=0,"",IFERROR(K52/G52-1,"")))</f>
        <v/>
      </c>
      <c r="L53" s="15">
        <f>IF(OR(L52="",H52=""),"",IF(H52&lt;=0,"",IFERROR(L52/H52-1,"")))</f>
        <v/>
      </c>
      <c r="M53" s="15">
        <f>IF(OR(M52="",I52=""),"",IF(I52&lt;=0,"",IFERROR(M52/I52-1,"")))</f>
        <v/>
      </c>
      <c r="N53" s="15">
        <f>IF(OR(N52="",J52=""),"",IF(J52&lt;=0,"",IFERROR(N52/J52-1,"")))</f>
        <v/>
      </c>
      <c r="O53" s="14" t="n"/>
      <c r="P53" s="15">
        <f>IF(OR(P52="",O52=""),"",IF(O52&lt;=0,"",IFERROR(P52/O52-1,"")))</f>
        <v/>
      </c>
      <c r="Q53" s="15">
        <f>IF(OR(Q52="",P52=""),"",IF(P52&lt;=0,"",IFERROR(Q52/P52-1,"")))</f>
        <v/>
      </c>
      <c r="R53" s="15">
        <f>IF(OR(R52="",Q52=""),"",IF(Q52&lt;=0,"",IFERROR(R52/Q52-1,"")))</f>
        <v/>
      </c>
      <c r="S53" s="15">
        <f>IF(OR(S52="",R52=""),"",IF(R52&lt;=0,"",IFERROR(S52/R52-1,"")))</f>
        <v/>
      </c>
      <c r="T53" s="15">
        <f>IF(OR(T52="",S52=""),"",IF(S52&lt;=0,"",IFERROR(T52/S52-1,"")))</f>
        <v/>
      </c>
      <c r="U53" s="15">
        <f>IF(OR(U52="",T52=""),"",IF(T52&lt;=0,"",IFERROR(U52/T52-1,"")))</f>
        <v/>
      </c>
      <c r="V53" s="15">
        <f>IF(OR(V52="",U52=""),"",IF(U52&lt;=0,"",IFERROR(V52/U52-1,"")))</f>
        <v/>
      </c>
      <c r="W53" s="15">
        <f>IF(OR(W52="",V52=""),"",IF(V52&lt;=0,"",IFERROR(W52/V52-1,"")))</f>
        <v/>
      </c>
      <c r="X53" s="15">
        <f>IF(OR(X52="",W52=""),"",IF(W52&lt;=0,"",IFERROR(X52/W52-1,"")))</f>
        <v/>
      </c>
      <c r="Y53" s="14">
        <f>IF(OR(Y52="",X52=""),"",IF(X52&lt;=0,"",IFERROR(Y52/X52-1,"")))</f>
        <v/>
      </c>
      <c r="Z53" s="15">
        <f>IF(OR(Z52="",Y52=""),"",IF(Y52&lt;=0,"",IFERROR(Z52/Y52-1,"")))</f>
        <v/>
      </c>
      <c r="AA53" s="15">
        <f>IF(OR(AA52="",Z52=""),"",IF(Z52&lt;=0,"",IFERROR(AA52/Z52-1,"")))</f>
        <v/>
      </c>
      <c r="AB53" s="15">
        <f>IF(OR(AB52="",AA52=""),"",IF(AA52&lt;=0,"",IFERROR(AB52/AA52-1,"")))</f>
        <v/>
      </c>
      <c r="AC53" s="15">
        <f>IF(OR(AC52="",AB52=""),"",IF(AB52&lt;=0,"",IFERROR(AC52/AB52-1,"")))</f>
        <v/>
      </c>
    </row>
    <row r="54">
      <c r="A54" s="18" t="inlineStr">
        <is>
          <t>법인세비용(수익)</t>
        </is>
      </c>
      <c r="B54" s="10" t="n"/>
      <c r="C54" s="19" t="n">
        <v>215.061</v>
      </c>
      <c r="D54" s="20" t="n">
        <v>186.821</v>
      </c>
      <c r="E54" s="20" t="n">
        <v>-60.187</v>
      </c>
      <c r="F54" s="20" t="n">
        <v>206.132</v>
      </c>
      <c r="G54" s="20" t="n">
        <v>291.051</v>
      </c>
      <c r="H54" s="20" t="n">
        <v>235.457</v>
      </c>
      <c r="I54" s="20" t="n">
        <v>173.44</v>
      </c>
      <c r="J54" s="20" t="n">
        <v>182.259</v>
      </c>
      <c r="K54" s="20" t="n">
        <v>70.648</v>
      </c>
      <c r="L54" s="20" t="n">
        <v>378.148</v>
      </c>
      <c r="M54" s="20" t="n">
        <v>139.495</v>
      </c>
      <c r="N54" s="20" t="n">
        <v>-307.94</v>
      </c>
      <c r="O54" s="19" t="n">
        <v>830.183</v>
      </c>
      <c r="P54" s="20" t="n">
        <v>830.38</v>
      </c>
      <c r="Q54" s="20" t="n">
        <v>584.5890000000001</v>
      </c>
      <c r="R54" s="20" t="n">
        <v>870.551</v>
      </c>
      <c r="S54" s="20" t="n">
        <v>417.644</v>
      </c>
      <c r="T54" s="20" t="n">
        <v>218.317</v>
      </c>
      <c r="U54" s="20" t="n">
        <v>275.339</v>
      </c>
      <c r="V54" s="20" t="n">
        <v>393.873</v>
      </c>
      <c r="W54" s="20" t="n">
        <v>672.453</v>
      </c>
      <c r="X54" s="20" t="n">
        <v>804.495</v>
      </c>
      <c r="Y54" s="19">
        <f>IF(OR(Y52="",Y55=""),"",IFERROR(MAX(Y52,0)*Y55,""))</f>
        <v/>
      </c>
      <c r="Z54" s="20">
        <f>IF(OR(Z52="",Z55=""),"",IFERROR(MAX(Z52,0)*Z55,""))</f>
        <v/>
      </c>
      <c r="AA54" s="20">
        <f>IF(OR(AA52="",AA55=""),"",IFERROR(MAX(AA52,0)*AA55,""))</f>
        <v/>
      </c>
      <c r="AB54" s="20">
        <f>IF(OR(AB52="",AB55=""),"",IFERROR(MAX(AB52,0)*AB55,""))</f>
        <v/>
      </c>
      <c r="AC54" s="20">
        <f>IF(OR(AC52="",AC55=""),"",IFERROR(MAX(AC52,0)*AC55,""))</f>
        <v/>
      </c>
    </row>
    <row r="55">
      <c r="A55" s="13" t="inlineStr">
        <is>
          <t>법인세율</t>
        </is>
      </c>
      <c r="B55" s="10" t="inlineStr">
        <is>
          <t>MW 기본 30%</t>
        </is>
      </c>
      <c r="C55" s="14">
        <f>IF(OR(C54="",C52=""),"",IFERROR(C54/C52,""))</f>
        <v/>
      </c>
      <c r="D55" s="15">
        <f>IF(OR(D54="",D52=""),"",IFERROR(D54/D52,""))</f>
        <v/>
      </c>
      <c r="E55" s="15">
        <f>IF(OR(E54="",E52=""),"",IFERROR(E54/E52,""))</f>
        <v/>
      </c>
      <c r="F55" s="15">
        <f>IF(OR(F54="",F52=""),"",IFERROR(F54/F52,""))</f>
        <v/>
      </c>
      <c r="G55" s="15">
        <f>IF(OR(G54="",G52=""),"",IFERROR(G54/G52,""))</f>
        <v/>
      </c>
      <c r="H55" s="15">
        <f>IF(OR(H54="",H52=""),"",IFERROR(H54/H52,""))</f>
        <v/>
      </c>
      <c r="I55" s="15">
        <f>IF(OR(I54="",I52=""),"",IFERROR(I54/I52,""))</f>
        <v/>
      </c>
      <c r="J55" s="15">
        <f>IF(OR(J54="",J52=""),"",IFERROR(J54/J52,""))</f>
        <v/>
      </c>
      <c r="K55" s="15">
        <f>IF(OR(K54="",K52=""),"",IFERROR(K54/K52,""))</f>
        <v/>
      </c>
      <c r="L55" s="15">
        <f>IF(OR(L54="",L52=""),"",IFERROR(L54/L52,""))</f>
        <v/>
      </c>
      <c r="M55" s="15">
        <f>IF(OR(M54="",M52=""),"",IFERROR(M54/M52,""))</f>
        <v/>
      </c>
      <c r="N55" s="15">
        <f>IF(OR(N54="",N52=""),"",IFERROR(N54/N52,""))</f>
        <v/>
      </c>
      <c r="O55" s="14">
        <f>IF(OR(O54="",O52=""),"",IFERROR(O54/O52,""))</f>
        <v/>
      </c>
      <c r="P55" s="15">
        <f>IF(OR(P54="",P52=""),"",IFERROR(P54/P52,""))</f>
        <v/>
      </c>
      <c r="Q55" s="15">
        <f>IF(OR(Q54="",Q52=""),"",IFERROR(Q54/Q52,""))</f>
        <v/>
      </c>
      <c r="R55" s="15">
        <f>IF(OR(R54="",R52=""),"",IFERROR(R54/R52,""))</f>
        <v/>
      </c>
      <c r="S55" s="15">
        <f>IF(OR(S54="",S52=""),"",IFERROR(S54/S52,""))</f>
        <v/>
      </c>
      <c r="T55" s="15">
        <f>IF(OR(T54="",T52=""),"",IFERROR(T54/T52,""))</f>
        <v/>
      </c>
      <c r="U55" s="15">
        <f>IF(OR(U54="",U52=""),"",IFERROR(U54/U52,""))</f>
        <v/>
      </c>
      <c r="V55" s="15">
        <f>IF(OR(V54="",V52=""),"",IFERROR(V54/V52,""))</f>
        <v/>
      </c>
      <c r="W55" s="15">
        <f>IF(OR(W54="",W52=""),"",IFERROR(W54/W52,""))</f>
        <v/>
      </c>
      <c r="X55" s="15">
        <f>IF(OR(X54="",X52=""),"",IFERROR(X54/X52,""))</f>
        <v/>
      </c>
      <c r="Y55" s="25" t="n">
        <v>0.3</v>
      </c>
      <c r="Z55" s="26" t="n">
        <v>0.3</v>
      </c>
      <c r="AA55" s="26" t="n">
        <v>0.3</v>
      </c>
      <c r="AB55" s="26" t="n">
        <v>0.3</v>
      </c>
      <c r="AC55" s="26" t="n">
        <v>0.3</v>
      </c>
    </row>
    <row r="56">
      <c r="A56" s="9" t="inlineStr">
        <is>
          <t>당기순이익(손실)</t>
        </is>
      </c>
      <c r="B56" s="10" t="n"/>
      <c r="C56" s="11" t="n">
        <v>-66.035</v>
      </c>
      <c r="D56" s="12" t="n">
        <v>94.04300000000001</v>
      </c>
      <c r="E56" s="12" t="n">
        <v>841.244</v>
      </c>
      <c r="F56" s="12" t="n">
        <v>181.283</v>
      </c>
      <c r="G56" s="12" t="n">
        <v>132.105</v>
      </c>
      <c r="H56" s="12" t="n">
        <v>-176.592</v>
      </c>
      <c r="I56" s="12" t="n">
        <v>345.683</v>
      </c>
      <c r="J56" s="12" t="n">
        <v>114.508</v>
      </c>
      <c r="K56" s="12" t="n">
        <v>94.645</v>
      </c>
      <c r="L56" s="12" t="n">
        <v>17.35</v>
      </c>
      <c r="M56" s="12" t="n">
        <v>20.306</v>
      </c>
      <c r="N56" s="12" t="n">
        <v>666.106</v>
      </c>
      <c r="O56" s="11" t="n">
        <v>1431.111</v>
      </c>
      <c r="P56" s="12" t="n">
        <v>836.147</v>
      </c>
      <c r="Q56" s="12" t="n">
        <v>199.852</v>
      </c>
      <c r="R56" s="12" t="n">
        <v>195.699</v>
      </c>
      <c r="S56" s="12" t="n">
        <v>-712.876</v>
      </c>
      <c r="T56" s="12" t="n">
        <v>-941.417</v>
      </c>
      <c r="U56" s="12" t="n">
        <v>-154.711</v>
      </c>
      <c r="V56" s="12" t="n">
        <v>541.5940000000001</v>
      </c>
      <c r="W56" s="12" t="n">
        <v>978.04</v>
      </c>
      <c r="X56" s="12" t="n">
        <v>572.186</v>
      </c>
      <c r="Y56" s="11">
        <f>IF(OR(Y52=""),"",IFERROR(Y52-Y54,""))</f>
        <v/>
      </c>
      <c r="Z56" s="12">
        <f>IF(OR(Z52=""),"",IFERROR(Z52-Z54,""))</f>
        <v/>
      </c>
      <c r="AA56" s="12">
        <f>IF(OR(AA52=""),"",IFERROR(AA52-AA54,""))</f>
        <v/>
      </c>
      <c r="AB56" s="12">
        <f>IF(OR(AB52=""),"",IFERROR(AB52-AB54,""))</f>
        <v/>
      </c>
      <c r="AC56" s="12">
        <f>IF(OR(AC52=""),"",IFERROR(AC52-AC54,""))</f>
        <v/>
      </c>
    </row>
    <row r="57">
      <c r="A57" s="13" t="inlineStr">
        <is>
          <t>YoY</t>
        </is>
      </c>
      <c r="B57" s="10" t="n"/>
      <c r="C57" s="14" t="n"/>
      <c r="D57" s="15" t="n"/>
      <c r="E57" s="15" t="n"/>
      <c r="F57" s="15" t="n"/>
      <c r="G57" s="15">
        <f>IF(OR(G56="",C56=""),"",IF(C56&lt;=0,"",IFERROR(G56/C56-1,"")))</f>
        <v/>
      </c>
      <c r="H57" s="15">
        <f>IF(OR(H56="",D56=""),"",IF(D56&lt;=0,"",IFERROR(H56/D56-1,"")))</f>
        <v/>
      </c>
      <c r="I57" s="15">
        <f>IF(OR(I56="",E56=""),"",IF(E56&lt;=0,"",IFERROR(I56/E56-1,"")))</f>
        <v/>
      </c>
      <c r="J57" s="15">
        <f>IF(OR(J56="",F56=""),"",IF(F56&lt;=0,"",IFERROR(J56/F56-1,"")))</f>
        <v/>
      </c>
      <c r="K57" s="15">
        <f>IF(OR(K56="",G56=""),"",IF(G56&lt;=0,"",IFERROR(K56/G56-1,"")))</f>
        <v/>
      </c>
      <c r="L57" s="15">
        <f>IF(OR(L56="",H56=""),"",IF(H56&lt;=0,"",IFERROR(L56/H56-1,"")))</f>
        <v/>
      </c>
      <c r="M57" s="15">
        <f>IF(OR(M56="",I56=""),"",IF(I56&lt;=0,"",IFERROR(M56/I56-1,"")))</f>
        <v/>
      </c>
      <c r="N57" s="15">
        <f>IF(OR(N56="",J56=""),"",IF(J56&lt;=0,"",IFERROR(N56/J56-1,"")))</f>
        <v/>
      </c>
      <c r="O57" s="14" t="n"/>
      <c r="P57" s="15">
        <f>IF(OR(P56="",O56=""),"",IF(O56&lt;=0,"",IFERROR(P56/O56-1,"")))</f>
        <v/>
      </c>
      <c r="Q57" s="15">
        <f>IF(OR(Q56="",P56=""),"",IF(P56&lt;=0,"",IFERROR(Q56/P56-1,"")))</f>
        <v/>
      </c>
      <c r="R57" s="15">
        <f>IF(OR(R56="",Q56=""),"",IF(Q56&lt;=0,"",IFERROR(R56/Q56-1,"")))</f>
        <v/>
      </c>
      <c r="S57" s="15">
        <f>IF(OR(S56="",R56=""),"",IF(R56&lt;=0,"",IFERROR(S56/R56-1,"")))</f>
        <v/>
      </c>
      <c r="T57" s="15">
        <f>IF(OR(T56="",S56=""),"",IF(S56&lt;=0,"",IFERROR(T56/S56-1,"")))</f>
        <v/>
      </c>
      <c r="U57" s="15">
        <f>IF(OR(U56="",T56=""),"",IF(T56&lt;=0,"",IFERROR(U56/T56-1,"")))</f>
        <v/>
      </c>
      <c r="V57" s="15">
        <f>IF(OR(V56="",U56=""),"",IF(U56&lt;=0,"",IFERROR(V56/U56-1,"")))</f>
        <v/>
      </c>
      <c r="W57" s="15">
        <f>IF(OR(W56="",V56=""),"",IF(V56&lt;=0,"",IFERROR(W56/V56-1,"")))</f>
        <v/>
      </c>
      <c r="X57" s="15">
        <f>IF(OR(X56="",W56=""),"",IF(W56&lt;=0,"",IFERROR(X56/W56-1,"")))</f>
        <v/>
      </c>
      <c r="Y57" s="14">
        <f>IF(OR(Y56="",X56=""),"",IF(X56&lt;=0,"",IFERROR(Y56/X56-1,"")))</f>
        <v/>
      </c>
      <c r="Z57" s="15">
        <f>IF(OR(Z56="",Y56=""),"",IF(Y56&lt;=0,"",IFERROR(Z56/Y56-1,"")))</f>
        <v/>
      </c>
      <c r="AA57" s="15">
        <f>IF(OR(AA56="",Z56=""),"",IF(Z56&lt;=0,"",IFERROR(AA56/Z56-1,"")))</f>
        <v/>
      </c>
      <c r="AB57" s="15">
        <f>IF(OR(AB56="",AA56=""),"",IF(AA56&lt;=0,"",IFERROR(AB56/AA56-1,"")))</f>
        <v/>
      </c>
      <c r="AC57" s="15">
        <f>IF(OR(AC56="",AB56=""),"",IF(AB56&lt;=0,"",IFERROR(AC56/AB56-1,"")))</f>
        <v/>
      </c>
    </row>
    <row r="58">
      <c r="A58" s="9" t="inlineStr">
        <is>
          <t>지배주주 순이익</t>
        </is>
      </c>
      <c r="B58" s="10" t="n"/>
      <c r="C58" s="11" t="n">
        <v>-66.33199999999999</v>
      </c>
      <c r="D58" s="12" t="n">
        <v>94.384</v>
      </c>
      <c r="E58" s="12" t="n">
        <v>840.229</v>
      </c>
      <c r="F58" s="12" t="n">
        <v>178.313</v>
      </c>
      <c r="G58" s="12" t="n">
        <v>131.864</v>
      </c>
      <c r="H58" s="12" t="n">
        <v>-175.923</v>
      </c>
      <c r="I58" s="12" t="n">
        <v>344.961</v>
      </c>
      <c r="J58" s="12" t="n">
        <v>111.75</v>
      </c>
      <c r="K58" s="12" t="n">
        <v>93.84699999999999</v>
      </c>
      <c r="L58" s="12" t="n">
        <v>17.854</v>
      </c>
      <c r="M58" s="12" t="n">
        <v>19.287</v>
      </c>
      <c r="N58" s="12" t="n">
        <v>666.106</v>
      </c>
      <c r="O58" s="11" t="n">
        <v>1428.019</v>
      </c>
      <c r="P58" s="12" t="n">
        <v>832.809</v>
      </c>
      <c r="Q58" s="12" t="n">
        <v>195.806</v>
      </c>
      <c r="R58" s="12" t="n">
        <v>191.947</v>
      </c>
      <c r="S58" s="12" t="n">
        <v>-717.448</v>
      </c>
      <c r="T58" s="12" t="n">
        <v>-945.3390000000001</v>
      </c>
      <c r="U58" s="12" t="n">
        <v>-158.056</v>
      </c>
      <c r="V58" s="12" t="n">
        <v>538.1369999999999</v>
      </c>
      <c r="W58" s="12" t="n">
        <v>974.4829999999999</v>
      </c>
      <c r="X58" s="12" t="n">
        <v>568.412</v>
      </c>
      <c r="Y58" s="11">
        <f>IF(OR(Y56="",Y59=""),"",IFERROR(Y56*Y59,""))</f>
        <v/>
      </c>
      <c r="Z58" s="12">
        <f>IF(OR(Z56="",Z59=""),"",IFERROR(Z56*Z59,""))</f>
        <v/>
      </c>
      <c r="AA58" s="12">
        <f>IF(OR(AA56="",AA59=""),"",IFERROR(AA56*AA59,""))</f>
        <v/>
      </c>
      <c r="AB58" s="12">
        <f>IF(OR(AB56="",AB59=""),"",IFERROR(AB56*AB59,""))</f>
        <v/>
      </c>
      <c r="AC58" s="12">
        <f>IF(OR(AC56="",AC59=""),"",IFERROR(AC56*AC59,""))</f>
        <v/>
      </c>
    </row>
    <row r="59">
      <c r="A59" s="13" t="inlineStr">
        <is>
          <t>지배주주 순이익률</t>
        </is>
      </c>
      <c r="B59" s="10" t="inlineStr">
        <is>
          <t>MW 기본 100%</t>
        </is>
      </c>
      <c r="C59" s="14">
        <f>IF(OR(C58="",C56=""),"",IFERROR(C58/C56,""))</f>
        <v/>
      </c>
      <c r="D59" s="15">
        <f>IF(OR(D58="",D56=""),"",IFERROR(D58/D56,""))</f>
        <v/>
      </c>
      <c r="E59" s="15">
        <f>IF(OR(E58="",E56=""),"",IFERROR(E58/E56,""))</f>
        <v/>
      </c>
      <c r="F59" s="15">
        <f>IF(OR(F58="",F56=""),"",IFERROR(F58/F56,""))</f>
        <v/>
      </c>
      <c r="G59" s="15">
        <f>IF(OR(G58="",G56=""),"",IFERROR(G58/G56,""))</f>
        <v/>
      </c>
      <c r="H59" s="15">
        <f>IF(OR(H58="",H56=""),"",IFERROR(H58/H56,""))</f>
        <v/>
      </c>
      <c r="I59" s="15">
        <f>IF(OR(I58="",I56=""),"",IFERROR(I58/I56,""))</f>
        <v/>
      </c>
      <c r="J59" s="15">
        <f>IF(OR(J58="",J56=""),"",IFERROR(J58/J56,""))</f>
        <v/>
      </c>
      <c r="K59" s="15">
        <f>IF(OR(K58="",K56=""),"",IFERROR(K58/K56,""))</f>
        <v/>
      </c>
      <c r="L59" s="15">
        <f>IF(OR(L58="",L56=""),"",IFERROR(L58/L56,""))</f>
        <v/>
      </c>
      <c r="M59" s="15">
        <f>IF(OR(M58="",M56=""),"",IFERROR(M58/M56,""))</f>
        <v/>
      </c>
      <c r="N59" s="15">
        <f>IF(OR(N58="",N56=""),"",IFERROR(N58/N56,""))</f>
        <v/>
      </c>
      <c r="O59" s="14">
        <f>IF(OR(O58="",O56=""),"",IFERROR(O58/O56,""))</f>
        <v/>
      </c>
      <c r="P59" s="15">
        <f>IF(OR(P58="",P56=""),"",IFERROR(P58/P56,""))</f>
        <v/>
      </c>
      <c r="Q59" s="15">
        <f>IF(OR(Q58="",Q56=""),"",IFERROR(Q58/Q56,""))</f>
        <v/>
      </c>
      <c r="R59" s="15">
        <f>IF(OR(R58="",R56=""),"",IFERROR(R58/R56,""))</f>
        <v/>
      </c>
      <c r="S59" s="15">
        <f>IF(OR(S58="",S56=""),"",IFERROR(S58/S56,""))</f>
        <v/>
      </c>
      <c r="T59" s="15">
        <f>IF(OR(T58="",T56=""),"",IFERROR(T58/T56,""))</f>
        <v/>
      </c>
      <c r="U59" s="15">
        <f>IF(OR(U58="",U56=""),"",IFERROR(U58/U56,""))</f>
        <v/>
      </c>
      <c r="V59" s="15">
        <f>IF(OR(V58="",V56=""),"",IFERROR(V58/V56,""))</f>
        <v/>
      </c>
      <c r="W59" s="15">
        <f>IF(OR(W58="",W56=""),"",IFERROR(W58/W56,""))</f>
        <v/>
      </c>
      <c r="X59" s="15">
        <f>IF(OR(X58="",X56=""),"",IFERROR(X58/X56,""))</f>
        <v/>
      </c>
      <c r="Y59" s="25" t="n">
        <v>1</v>
      </c>
      <c r="Z59" s="26" t="n">
        <v>1</v>
      </c>
      <c r="AA59" s="26" t="n">
        <v>1</v>
      </c>
      <c r="AB59" s="26" t="n">
        <v>1</v>
      </c>
      <c r="AC59" s="26" t="n">
        <v>1</v>
      </c>
    </row>
    <row r="60">
      <c r="A60" s="13" t="inlineStr">
        <is>
          <t>지배주주 순이익 YoY</t>
        </is>
      </c>
      <c r="B60" s="10" t="n"/>
      <c r="C60" s="14" t="n"/>
      <c r="D60" s="15" t="n"/>
      <c r="E60" s="15" t="n"/>
      <c r="F60" s="15" t="n"/>
      <c r="G60" s="15">
        <f>IF(OR(G58="",C58=""),"",IF(C58&lt;=0,"",IFERROR(G58/C58-1,"")))</f>
        <v/>
      </c>
      <c r="H60" s="15">
        <f>IF(OR(H58="",D58=""),"",IF(D58&lt;=0,"",IFERROR(H58/D58-1,"")))</f>
        <v/>
      </c>
      <c r="I60" s="15">
        <f>IF(OR(I58="",E58=""),"",IF(E58&lt;=0,"",IFERROR(I58/E58-1,"")))</f>
        <v/>
      </c>
      <c r="J60" s="15">
        <f>IF(OR(J58="",F58=""),"",IF(F58&lt;=0,"",IFERROR(J58/F58-1,"")))</f>
        <v/>
      </c>
      <c r="K60" s="15">
        <f>IF(OR(K58="",G58=""),"",IF(G58&lt;=0,"",IFERROR(K58/G58-1,"")))</f>
        <v/>
      </c>
      <c r="L60" s="15">
        <f>IF(OR(L58="",H58=""),"",IF(H58&lt;=0,"",IFERROR(L58/H58-1,"")))</f>
        <v/>
      </c>
      <c r="M60" s="15">
        <f>IF(OR(M58="",I58=""),"",IF(I58&lt;=0,"",IFERROR(M58/I58-1,"")))</f>
        <v/>
      </c>
      <c r="N60" s="15">
        <f>IF(OR(N58="",J58=""),"",IF(J58&lt;=0,"",IFERROR(N58/J58-1,"")))</f>
        <v/>
      </c>
      <c r="O60" s="14" t="n"/>
      <c r="P60" s="15">
        <f>IF(OR(P58="",O58=""),"",IF(O58&lt;=0,"",IFERROR(P58/O58-1,"")))</f>
        <v/>
      </c>
      <c r="Q60" s="15">
        <f>IF(OR(Q58="",P58=""),"",IF(P58&lt;=0,"",IFERROR(Q58/P58-1,"")))</f>
        <v/>
      </c>
      <c r="R60" s="15">
        <f>IF(OR(R58="",Q58=""),"",IF(Q58&lt;=0,"",IFERROR(R58/Q58-1,"")))</f>
        <v/>
      </c>
      <c r="S60" s="15">
        <f>IF(OR(S58="",R58=""),"",IF(R58&lt;=0,"",IFERROR(S58/R58-1,"")))</f>
        <v/>
      </c>
      <c r="T60" s="15">
        <f>IF(OR(T58="",S58=""),"",IF(S58&lt;=0,"",IFERROR(T58/S58-1,"")))</f>
        <v/>
      </c>
      <c r="U60" s="15">
        <f>IF(OR(U58="",T58=""),"",IF(T58&lt;=0,"",IFERROR(U58/T58-1,"")))</f>
        <v/>
      </c>
      <c r="V60" s="15">
        <f>IF(OR(V58="",U58=""),"",IF(U58&lt;=0,"",IFERROR(V58/U58-1,"")))</f>
        <v/>
      </c>
      <c r="W60" s="15">
        <f>IF(OR(W58="",V58=""),"",IF(V58&lt;=0,"",IFERROR(W58/V58-1,"")))</f>
        <v/>
      </c>
      <c r="X60" s="15">
        <f>IF(OR(X58="",W58=""),"",IF(W58&lt;=0,"",IFERROR(X58/W58-1,"")))</f>
        <v/>
      </c>
      <c r="Y60" s="14">
        <f>IF(OR(Y58="",X58=""),"",IF(X58&lt;=0,"",IFERROR(Y58/X58-1,"")))</f>
        <v/>
      </c>
      <c r="Z60" s="15">
        <f>IF(OR(Z58="",Y58=""),"",IF(Y58&lt;=0,"",IFERROR(Z58/Y58-1,"")))</f>
        <v/>
      </c>
      <c r="AA60" s="15">
        <f>IF(OR(AA58="",Z58=""),"",IF(Z58&lt;=0,"",IFERROR(AA58/Z58-1,"")))</f>
        <v/>
      </c>
      <c r="AB60" s="15">
        <f>IF(OR(AB58="",AA58=""),"",IF(AA58&lt;=0,"",IFERROR(AB58/AA58-1,"")))</f>
        <v/>
      </c>
      <c r="AC60" s="15">
        <f>IF(OR(AC58="",AB58=""),"",IF(AB58&lt;=0,"",IFERROR(AC58/AB58-1,"")))</f>
        <v/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()</t>
        </is>
      </c>
      <c r="B62" s="27" t="n"/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/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IF(O29="","",O29)</f>
        <v/>
      </c>
      <c r="P65" s="15">
        <f>IF(P29="","",P29)</f>
        <v/>
      </c>
      <c r="Q65" s="15">
        <f>IF(Q29="","",Q29)</f>
        <v/>
      </c>
      <c r="R65" s="15">
        <f>IF(R29="","",R29)</f>
        <v/>
      </c>
      <c r="S65" s="15">
        <f>IF(S29="","",S29)</f>
        <v/>
      </c>
      <c r="T65" s="15">
        <f>IF(T29="","",T29)</f>
        <v/>
      </c>
      <c r="U65" s="15">
        <f>IF(U29="","",U29)</f>
        <v/>
      </c>
      <c r="V65" s="15">
        <f>IF(V29="","",V29)</f>
        <v/>
      </c>
      <c r="W65" s="15">
        <f>IF(W29="","",W29)</f>
        <v/>
      </c>
      <c r="X65" s="15">
        <f>IF(X29="","",X29)</f>
        <v/>
      </c>
      <c r="Y65" s="14">
        <f>IF(Y29="","",Y29)</f>
        <v/>
      </c>
      <c r="Z65" s="15">
        <f>IF(Z29="","",Z29)</f>
        <v/>
      </c>
      <c r="AA65" s="15">
        <f>IF(AA29="","",AA29)</f>
        <v/>
      </c>
      <c r="AB65" s="15">
        <f>IF(AB29="","",AB29)</f>
        <v/>
      </c>
      <c r="AC65" s="15">
        <f>IF(AC29="","",AC29)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IF(OR(P58="",O58=""),"",IFERROR(P58/O58-1,""))</f>
        <v/>
      </c>
      <c r="Q66" s="15">
        <f>IF(OR(Q58="",P58=""),"",IFERROR(Q58/P58-1,""))</f>
        <v/>
      </c>
      <c r="R66" s="15">
        <f>IF(OR(R58="",Q58=""),"",IFERROR(R58/Q58-1,""))</f>
        <v/>
      </c>
      <c r="S66" s="15">
        <f>IF(OR(S58="",R58=""),"",IFERROR(S58/R58-1,""))</f>
        <v/>
      </c>
      <c r="T66" s="15">
        <f>IF(OR(T58="",S58=""),"",IFERROR(T58/S58-1,""))</f>
        <v/>
      </c>
      <c r="U66" s="15">
        <f>IF(OR(U58="",T58=""),"",IFERROR(U58/T58-1,""))</f>
        <v/>
      </c>
      <c r="V66" s="15">
        <f>IF(OR(V58="",U58=""),"",IFERROR(V58/U58-1,""))</f>
        <v/>
      </c>
      <c r="W66" s="15">
        <f>IF(OR(W58="",V58=""),"",IFERROR(W58/V58-1,""))</f>
        <v/>
      </c>
      <c r="X66" s="15">
        <f>IF(OR(X58="",W58=""),"",IFERROR(X58/W58-1,""))</f>
        <v/>
      </c>
      <c r="Y66" s="14">
        <f>IF(OR(Y58="",X58=""),"",IFERROR(Y58/X58-1,""))</f>
        <v/>
      </c>
      <c r="Z66" s="15">
        <f>IF(OR(Z58="",Y58=""),"",IFERROR(Z58/Y58-1,""))</f>
        <v/>
      </c>
      <c r="AA66" s="15">
        <f>IF(OR(AA58="",Z58=""),"",IFERROR(AA58/Z58-1,""))</f>
        <v/>
      </c>
      <c r="AB66" s="15">
        <f>IF(OR(AB58="",AA58=""),"",IFERROR(AB58/AA58-1,""))</f>
        <v/>
      </c>
      <c r="AC66" s="15">
        <f>IF(OR(AC58="",AB58=""),"",IFERROR(AC58/AB58-1,""))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IF(OR($B$64="",X58=""),"",IFERROR($B$64/X58,""))</f>
        <v/>
      </c>
      <c r="Y67" s="30">
        <f>IF(OR($B$64="",Y58=""),"",IFERROR($B$64/Y58,""))</f>
        <v/>
      </c>
      <c r="Z67" s="31">
        <f>IF(OR($B$64="",Z58=""),"",IFERROR($B$64/Z58,""))</f>
        <v/>
      </c>
      <c r="AA67" s="31">
        <f>IF(OR($B$64="",AA58=""),"",IFERROR($B$64/AA58,""))</f>
        <v/>
      </c>
      <c r="AB67" s="31">
        <f>IF(OR($B$64="",AB58=""),"",IFERROR($B$64/AB58,""))</f>
        <v/>
      </c>
      <c r="AC67" s="31">
        <f>IF(OR($B$64="",AC58=""),"",IFERROR($B$64/AC58,""))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IF(OR(O58="",$B$63=""),"",IFERROR(O58*1000000.0/$B$63,""))</f>
        <v/>
      </c>
      <c r="P69" s="29">
        <f>IF(OR(P58="",$B$63=""),"",IFERROR(P58*1000000.0/$B$63,""))</f>
        <v/>
      </c>
      <c r="Q69" s="29">
        <f>IF(OR(Q58="",$B$63=""),"",IFERROR(Q58*1000000.0/$B$63,""))</f>
        <v/>
      </c>
      <c r="R69" s="29">
        <f>IF(OR(R58="",$B$63=""),"",IFERROR(R58*1000000.0/$B$63,""))</f>
        <v/>
      </c>
      <c r="S69" s="29">
        <f>IF(OR(S58="",$B$63=""),"",IFERROR(S58*1000000.0/$B$63,""))</f>
        <v/>
      </c>
      <c r="T69" s="29">
        <f>IF(OR(T58="",$B$63=""),"",IFERROR(T58*1000000.0/$B$63,""))</f>
        <v/>
      </c>
      <c r="U69" s="29">
        <f>IF(OR(U58="",$B$63=""),"",IFERROR(U58*1000000.0/$B$63,""))</f>
        <v/>
      </c>
      <c r="V69" s="29">
        <f>IF(OR(V58="",$B$63=""),"",IFERROR(V58*1000000.0/$B$63,""))</f>
        <v/>
      </c>
      <c r="W69" s="29">
        <f>IF(OR(W58="",$B$63=""),"",IFERROR(W58*1000000.0/$B$63,""))</f>
        <v/>
      </c>
      <c r="X69" s="29">
        <f>IF(OR(X58="",$B$63=""),"",IFERROR(X58*1000000.0/$B$63,""))</f>
        <v/>
      </c>
      <c r="Y69" s="28">
        <f>IF(OR(Y58="",$B$63=""),"",IFERROR(Y58*1000000.0/$B$63,""))</f>
        <v/>
      </c>
      <c r="Z69" s="29">
        <f>IF(OR(Z58="",$B$63=""),"",IFERROR(Z58*1000000.0/$B$63,""))</f>
        <v/>
      </c>
      <c r="AA69" s="29">
        <f>IF(OR(AA58="",$B$63=""),"",IFERROR(AA58*1000000.0/$B$63,""))</f>
        <v/>
      </c>
      <c r="AB69" s="29">
        <f>IF(OR(AB58="",$B$63=""),"",IFERROR(AB58*1000000.0/$B$63,""))</f>
        <v/>
      </c>
      <c r="AC69" s="29">
        <f>IF(OR(AC58="",$B$63=""),"",IFERROR(AC58*1000000.0/$B$63,""))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IF(OR(Y58="",Y68=""),"",IFERROR(Y58*Y68,""))</f>
        <v/>
      </c>
      <c r="Z81" s="20">
        <f>IF(OR(Z58="",Z68=""),"",IFERROR(Z58*Z68,""))</f>
        <v/>
      </c>
      <c r="AA81" s="20">
        <f>IF(OR(AA58="",AA68=""),"",IFERROR(AA58*AA68,""))</f>
        <v/>
      </c>
      <c r="AB81" s="20">
        <f>IF(OR(AB58="",AB68=""),"",IFERROR(AB58*AB68,""))</f>
        <v/>
      </c>
      <c r="AC81" s="20">
        <f>IF(OR(AC58="",AC68=""),"",IFERROR(AC58*AC68,""))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2024.3Q</t>
        </is>
      </c>
      <c r="D92" s="5" t="inlineStr">
        <is>
          <t>2024.4Q</t>
        </is>
      </c>
      <c r="E92" s="5" t="inlineStr">
        <is>
          <t>2025.1Q</t>
        </is>
      </c>
      <c r="F92" s="5" t="inlineStr">
        <is>
          <t>2025.2Q</t>
        </is>
      </c>
      <c r="G92" s="5" t="inlineStr">
        <is>
          <t>2025.3Q</t>
        </is>
      </c>
      <c r="H92" s="5" t="inlineStr">
        <is>
          <t>2025.4Q</t>
        </is>
      </c>
      <c r="I92" s="5" t="inlineStr">
        <is>
          <t>2026.1Q</t>
        </is>
      </c>
      <c r="J92" s="5" t="inlineStr">
        <is>
          <t>2026.2Q</t>
        </is>
      </c>
      <c r="K92" s="5" t="inlineStr">
        <is>
          <t>2026.3Q</t>
        </is>
      </c>
      <c r="L92" s="5" t="inlineStr">
        <is>
          <t>2026.4Q</t>
        </is>
      </c>
      <c r="M92" s="5" t="inlineStr">
        <is>
          <t>2027.1Q</t>
        </is>
      </c>
      <c r="N92" s="5" t="inlineStr">
        <is>
          <t>2027.2Q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9107.228999999999</v>
      </c>
      <c r="D93" s="12" t="n">
        <v>10532.733</v>
      </c>
      <c r="E93" s="12" t="n">
        <v>11198.698</v>
      </c>
      <c r="F93" s="12" t="n">
        <v>9701.548000000001</v>
      </c>
      <c r="G93" s="12" t="n">
        <v>9076.302</v>
      </c>
      <c r="H93" s="12" t="n">
        <v>9885.174999999999</v>
      </c>
      <c r="I93" s="12" t="n">
        <v>9153.302</v>
      </c>
      <c r="J93" s="12" t="n">
        <v>8502.152</v>
      </c>
      <c r="K93" s="12" t="n">
        <v>9090.587</v>
      </c>
      <c r="L93" s="12" t="n">
        <v>9586.148999999999</v>
      </c>
      <c r="M93" s="12" t="n">
        <v>8838.105</v>
      </c>
      <c r="N93" s="12" t="n">
        <v>9510.495999999999</v>
      </c>
      <c r="T93" s="12" t="n">
        <v>9654.754000000001</v>
      </c>
      <c r="U93" s="12" t="n">
        <v>9955.093999999999</v>
      </c>
      <c r="V93" s="12" t="n">
        <v>10532.733</v>
      </c>
      <c r="W93" s="12" t="n">
        <v>9885.174999999999</v>
      </c>
      <c r="X93" s="12" t="n">
        <v>9586.148999999999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6547.287</v>
      </c>
      <c r="D95" s="20" t="n">
        <v>8000.072</v>
      </c>
      <c r="E95" s="20" t="n">
        <v>8421.891</v>
      </c>
      <c r="F95" s="20" t="n">
        <v>7092.245</v>
      </c>
      <c r="G95" s="20" t="n">
        <v>6543.732</v>
      </c>
      <c r="H95" s="20" t="n">
        <v>7507.394</v>
      </c>
      <c r="I95" s="20" t="n">
        <v>6836.491</v>
      </c>
      <c r="J95" s="20" t="n">
        <v>6269.181</v>
      </c>
      <c r="K95" s="20" t="n">
        <v>6996.255</v>
      </c>
      <c r="L95" s="20" t="n">
        <v>7557.121</v>
      </c>
      <c r="M95" s="20" t="n">
        <v>6880.558</v>
      </c>
      <c r="N95" s="20" t="n">
        <v>7345.251</v>
      </c>
      <c r="T95" s="20" t="n">
        <v>7613.843</v>
      </c>
      <c r="U95" s="20" t="n">
        <v>7359.734</v>
      </c>
      <c r="V95" s="20" t="n">
        <v>8000.072</v>
      </c>
      <c r="W95" s="20" t="n">
        <v>7507.394</v>
      </c>
      <c r="X95" s="20" t="n">
        <v>7557.121</v>
      </c>
    </row>
    <row r="96">
      <c r="A96" s="43" t="inlineStr">
        <is>
          <t>YoY</t>
        </is>
      </c>
      <c r="B96" s="3" t="inlineStr">
        <is>
          <t>전년 같은 분기·전년 대비</t>
        </is>
      </c>
      <c r="G96" s="15">
        <f>IF(OR(G95="",C95=""),"",IF(G95*C95&lt;=0,"",IFERROR(G95/C95-1,"")))</f>
        <v/>
      </c>
      <c r="H96" s="15">
        <f>IF(OR(H95="",D95=""),"",IF(H95*D95&lt;=0,"",IFERROR(H95/D95-1,"")))</f>
        <v/>
      </c>
      <c r="I96" s="15">
        <f>IF(OR(I95="",E95=""),"",IF(I95*E95&lt;=0,"",IFERROR(I95/E95-1,"")))</f>
        <v/>
      </c>
      <c r="J96" s="15">
        <f>IF(OR(J95="",F95=""),"",IF(J95*F95&lt;=0,"",IFERROR(J95/F95-1,"")))</f>
        <v/>
      </c>
      <c r="K96" s="15">
        <f>IF(OR(K95="",G95=""),"",IF(K95*G95&lt;=0,"",IFERROR(K95/G95-1,"")))</f>
        <v/>
      </c>
      <c r="L96" s="15">
        <f>IF(OR(L95="",H95=""),"",IF(L95*H95&lt;=0,"",IFERROR(L95/H95-1,"")))</f>
        <v/>
      </c>
      <c r="M96" s="15">
        <f>IF(OR(M95="",I95=""),"",IF(M95*I95&lt;=0,"",IFERROR(M95/I95-1,"")))</f>
        <v/>
      </c>
      <c r="N96" s="15">
        <f>IF(OR(N95="",J95=""),"",IF(N95*J95&lt;=0,"",IFERROR(N95/J95-1,"")))</f>
        <v/>
      </c>
      <c r="T96" s="15">
        <f>IF(OR(T95="",S95=""),"",IF(T95*S95&lt;=0,"",IFERROR(T95/S95-1,"")))</f>
        <v/>
      </c>
      <c r="U96" s="15">
        <f>IF(OR(U95="",T95=""),"",IF(U95*T95&lt;=0,"",IFERROR(U95/T95-1,"")))</f>
        <v/>
      </c>
      <c r="V96" s="15">
        <f>IF(OR(V95="",U95=""),"",IF(V95*U95&lt;=0,"",IFERROR(V95/U95-1,"")))</f>
        <v/>
      </c>
      <c r="W96" s="15">
        <f>IF(OR(W95="",V95=""),"",IF(W95*V95&lt;=0,"",IFERROR(W95/V95-1,"")))</f>
        <v/>
      </c>
      <c r="X96" s="15">
        <f>IF(OR(X95="",W95=""),"",IF(X95*W95&lt;=0,"",IFERROR(X95/W95-1,"")))</f>
        <v/>
      </c>
    </row>
    <row r="97">
      <c r="A97" s="9" t="inlineStr">
        <is>
          <t>매출총이익</t>
        </is>
      </c>
      <c r="C97" s="12" t="n">
        <v>2559.943</v>
      </c>
      <c r="D97" s="12" t="n">
        <v>2532.661</v>
      </c>
      <c r="E97" s="12" t="n">
        <v>2776.807</v>
      </c>
      <c r="F97" s="12" t="n">
        <v>2609.303</v>
      </c>
      <c r="G97" s="12" t="n">
        <v>2532.57</v>
      </c>
      <c r="H97" s="12" t="n">
        <v>2377.781</v>
      </c>
      <c r="I97" s="12" t="n">
        <v>2316.81</v>
      </c>
      <c r="J97" s="12" t="n">
        <v>2232.971</v>
      </c>
      <c r="K97" s="12" t="n">
        <v>2094.333</v>
      </c>
      <c r="L97" s="12" t="n">
        <v>2029.027</v>
      </c>
      <c r="M97" s="12" t="n">
        <v>1957.546</v>
      </c>
      <c r="N97" s="12" t="n">
        <v>2165.245</v>
      </c>
      <c r="T97" s="12" t="n">
        <v>2040.912</v>
      </c>
      <c r="U97" s="12" t="n">
        <v>2595.359</v>
      </c>
      <c r="V97" s="12" t="n">
        <v>2532.661</v>
      </c>
      <c r="W97" s="12" t="n">
        <v>2377.781</v>
      </c>
      <c r="X97" s="12" t="n">
        <v>2029.027</v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IF(OR(G97="",C97=""),"",IF(C97&lt;=0,"",IFERROR(G97/C97-1,"")))</f>
        <v/>
      </c>
      <c r="H98" s="15">
        <f>IF(OR(H97="",D97=""),"",IF(D97&lt;=0,"",IFERROR(H97/D97-1,"")))</f>
        <v/>
      </c>
      <c r="I98" s="15">
        <f>IF(OR(I97="",E97=""),"",IF(E97&lt;=0,"",IFERROR(I97/E97-1,"")))</f>
        <v/>
      </c>
      <c r="J98" s="15">
        <f>IF(OR(J97="",F97=""),"",IF(F97&lt;=0,"",IFERROR(J97/F97-1,"")))</f>
        <v/>
      </c>
      <c r="K98" s="15">
        <f>IF(OR(K97="",G97=""),"",IF(G97&lt;=0,"",IFERROR(K97/G97-1,"")))</f>
        <v/>
      </c>
      <c r="L98" s="15">
        <f>IF(OR(L97="",H97=""),"",IF(H97&lt;=0,"",IFERROR(L97/H97-1,"")))</f>
        <v/>
      </c>
      <c r="M98" s="15">
        <f>IF(OR(M97="",I97=""),"",IF(I97&lt;=0,"",IFERROR(M97/I97-1,"")))</f>
        <v/>
      </c>
      <c r="N98" s="15">
        <f>IF(OR(N97="",J97=""),"",IF(J97&lt;=0,"",IFERROR(N97/J97-1,"")))</f>
        <v/>
      </c>
      <c r="T98" s="15">
        <f>IF(OR(T97="",S97=""),"",IF(S97&lt;=0,"",IFERROR(T97/S97-1,"")))</f>
        <v/>
      </c>
      <c r="U98" s="15">
        <f>IF(OR(U97="",T97=""),"",IF(T97&lt;=0,"",IFERROR(U97/T97-1,"")))</f>
        <v/>
      </c>
      <c r="V98" s="15">
        <f>IF(OR(V97="",U97=""),"",IF(U97&lt;=0,"",IFERROR(V97/U97-1,"")))</f>
        <v/>
      </c>
      <c r="W98" s="15">
        <f>IF(OR(W97="",V97=""),"",IF(V97&lt;=0,"",IFERROR(W97/V97-1,"")))</f>
        <v/>
      </c>
      <c r="X98" s="15">
        <f>IF(OR(X97="",W97=""),"",IF(W97&lt;=0,"",IFERROR(X97/W97-1,"")))</f>
        <v/>
      </c>
    </row>
    <row r="99">
      <c r="A99" s="18" t="inlineStr">
        <is>
          <t>판매비</t>
        </is>
      </c>
      <c r="C99" s="20" t="n">
        <v>542.7569999999999</v>
      </c>
      <c r="D99" s="20" t="n">
        <v>487.322</v>
      </c>
      <c r="E99" s="20" t="n">
        <v>507.835</v>
      </c>
      <c r="F99" s="20" t="n">
        <v>498.05</v>
      </c>
      <c r="G99" s="20" t="n">
        <v>529.879</v>
      </c>
      <c r="H99" s="20" t="n">
        <v>530.581</v>
      </c>
      <c r="I99" s="20" t="n">
        <v>482.273</v>
      </c>
      <c r="J99" s="20" t="n">
        <v>475.569</v>
      </c>
      <c r="K99" s="20" t="n">
        <v>556.7569999999999</v>
      </c>
      <c r="L99" s="20" t="n">
        <v>545.051</v>
      </c>
      <c r="M99" s="20" t="n">
        <v>521.035</v>
      </c>
      <c r="N99" s="20" t="n">
        <v>489.164</v>
      </c>
      <c r="T99" s="20" t="n">
        <v>541.929</v>
      </c>
      <c r="U99" s="20" t="n">
        <v>496.213</v>
      </c>
      <c r="V99" s="20" t="n">
        <v>487.322</v>
      </c>
      <c r="W99" s="20" t="n">
        <v>530.581</v>
      </c>
      <c r="X99" s="20" t="n">
        <v>545.051</v>
      </c>
    </row>
    <row r="100">
      <c r="A100" s="18" t="inlineStr">
        <is>
          <t>General And Administrative Expenses SGA</t>
        </is>
      </c>
      <c r="C100" s="20" t="n">
        <v>1726.306</v>
      </c>
      <c r="D100" s="20" t="n">
        <v>1631.681</v>
      </c>
      <c r="E100" s="20" t="n">
        <v>1499.13</v>
      </c>
      <c r="F100" s="20" t="n">
        <v>1552.143</v>
      </c>
      <c r="G100" s="20" t="n">
        <v>1471.385</v>
      </c>
      <c r="H100" s="20" t="n">
        <v>1610.596</v>
      </c>
      <c r="I100" s="20" t="n">
        <v>1366.77</v>
      </c>
      <c r="J100" s="20" t="n">
        <v>1460.057</v>
      </c>
      <c r="K100" s="20" t="n">
        <v>1392.898</v>
      </c>
      <c r="L100" s="20" t="n">
        <v>1366.858</v>
      </c>
      <c r="M100" s="20" t="n">
        <v>1343.097</v>
      </c>
      <c r="N100" s="20" t="n">
        <v>1296.908</v>
      </c>
      <c r="T100" s="20" t="n">
        <v>1730.964</v>
      </c>
      <c r="U100" s="20" t="n">
        <v>1733.289</v>
      </c>
      <c r="V100" s="20" t="n">
        <v>1631.681</v>
      </c>
      <c r="W100" s="20" t="n">
        <v>1610.596</v>
      </c>
      <c r="X100" s="20" t="n">
        <v>1366.858</v>
      </c>
    </row>
    <row r="101">
      <c r="A101" s="18" t="inlineStr">
        <is>
          <t>판매비와 관리비 합계</t>
        </is>
      </c>
      <c r="C101" s="20" t="n">
        <v>2269.064</v>
      </c>
      <c r="D101" s="20" t="n">
        <v>2119.003</v>
      </c>
      <c r="E101" s="20" t="n">
        <v>2006.966</v>
      </c>
      <c r="F101" s="20" t="n">
        <v>2050.193</v>
      </c>
      <c r="G101" s="20" t="n">
        <v>2001.264</v>
      </c>
      <c r="H101" s="20" t="n">
        <v>2141.176</v>
      </c>
      <c r="I101" s="20" t="n">
        <v>1849.043</v>
      </c>
      <c r="J101" s="20" t="n">
        <v>1935.627</v>
      </c>
      <c r="K101" s="20" t="n">
        <v>1949.654</v>
      </c>
      <c r="L101" s="20" t="n">
        <v>1911.91</v>
      </c>
      <c r="M101" s="20" t="n">
        <v>1864.133</v>
      </c>
      <c r="N101" s="20" t="n">
        <v>1786.071</v>
      </c>
      <c r="T101" s="20" t="n">
        <v>2272.893</v>
      </c>
      <c r="U101" s="20" t="n">
        <v>2229.501</v>
      </c>
      <c r="V101" s="20" t="n">
        <v>2119.003</v>
      </c>
      <c r="W101" s="20" t="n">
        <v>2141.176</v>
      </c>
      <c r="X101" s="20" t="n">
        <v>1911.91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M102" s="15">
        <f>IF(OR(M101="",I101=""),"",IF(M101*I101&lt;=0,"",IFERROR(M101/I101-1,"")))</f>
        <v/>
      </c>
      <c r="N102" s="15">
        <f>IF(OR(N101="",J101=""),"",IF(N101*J101&lt;=0,"",IFERROR(N101/J101-1,"")))</f>
        <v/>
      </c>
      <c r="T102" s="15">
        <f>IF(OR(T101="",S101=""),"",IF(T101*S101&lt;=0,"",IFERROR(T101/S101-1,"")))</f>
        <v/>
      </c>
      <c r="U102" s="15">
        <f>IF(OR(U101="",T101=""),"",IF(U101*T101&lt;=0,"",IFERROR(U101/T101-1,"")))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  <c r="X102" s="15">
        <f>IF(OR(X101="",W101=""),"",IF(X101*W101&lt;=0,"",IFERROR(X101/W101-1,"")))</f>
        <v/>
      </c>
    </row>
    <row r="103">
      <c r="A103" s="9" t="inlineStr">
        <is>
          <t>영업이익</t>
        </is>
      </c>
      <c r="C103" s="12" t="n">
        <v>290.879</v>
      </c>
      <c r="D103" s="12" t="n">
        <v>413.658</v>
      </c>
      <c r="E103" s="12" t="n">
        <v>769.841</v>
      </c>
      <c r="F103" s="12" t="n">
        <v>559.109</v>
      </c>
      <c r="G103" s="12" t="n">
        <v>531.307</v>
      </c>
      <c r="H103" s="12" t="n">
        <v>236.604</v>
      </c>
      <c r="I103" s="12" t="n">
        <v>467.766</v>
      </c>
      <c r="J103" s="12" t="n">
        <v>297.345</v>
      </c>
      <c r="K103" s="12" t="n">
        <v>144.678</v>
      </c>
      <c r="L103" s="12" t="n">
        <v>117.118</v>
      </c>
      <c r="M103" s="12" t="n">
        <v>93.413</v>
      </c>
      <c r="N103" s="12" t="n">
        <v>379.174</v>
      </c>
      <c r="T103" s="12" t="n">
        <v>-231.981</v>
      </c>
      <c r="U103" s="12" t="n">
        <v>365.858</v>
      </c>
      <c r="V103" s="12" t="n">
        <v>413.658</v>
      </c>
      <c r="W103" s="12" t="n">
        <v>236.604</v>
      </c>
      <c r="X103" s="12" t="n">
        <v>117.118</v>
      </c>
    </row>
    <row r="104">
      <c r="A104" s="43" t="inlineStr">
        <is>
          <t>OPM</t>
        </is>
      </c>
      <c r="B104" s="3" t="inlineStr">
        <is>
          <t>영업이익 ÷ 매출</t>
        </is>
      </c>
      <c r="C104" s="15">
        <f>IF(OR(C103="",C93=""),"",IF(C93&lt;=0,"",IFERROR(C103/C93,"")))</f>
        <v/>
      </c>
      <c r="D104" s="15">
        <f>IF(OR(D103="",D93=""),"",IF(D93&lt;=0,"",IFERROR(D103/D93,"")))</f>
        <v/>
      </c>
      <c r="E104" s="15">
        <f>IF(OR(E103="",E93=""),"",IF(E93&lt;=0,"",IFERROR(E103/E93,"")))</f>
        <v/>
      </c>
      <c r="F104" s="15">
        <f>IF(OR(F103="",F93=""),"",IF(F93&lt;=0,"",IFERROR(F103/F93,"")))</f>
        <v/>
      </c>
      <c r="G104" s="15">
        <f>IF(OR(G103="",G93=""),"",IF(G93&lt;=0,"",IFERROR(G103/G93,"")))</f>
        <v/>
      </c>
      <c r="H104" s="15">
        <f>IF(OR(H103="",H93=""),"",IF(H93&lt;=0,"",IFERROR(H103/H93,"")))</f>
        <v/>
      </c>
      <c r="I104" s="15">
        <f>IF(OR(I103="",I93=""),"",IF(I93&lt;=0,"",IFERROR(I103/I93,"")))</f>
        <v/>
      </c>
      <c r="J104" s="15">
        <f>IF(OR(J103="",J93=""),"",IF(J93&lt;=0,"",IFERROR(J103/J93,"")))</f>
        <v/>
      </c>
      <c r="K104" s="15">
        <f>IF(OR(K103="",K93=""),"",IF(K93&lt;=0,"",IFERROR(K103/K93,"")))</f>
        <v/>
      </c>
      <c r="L104" s="15">
        <f>IF(OR(L103="",L93=""),"",IF(L93&lt;=0,"",IFERROR(L103/L93,"")))</f>
        <v/>
      </c>
      <c r="M104" s="15">
        <f>IF(OR(M103="",M93=""),"",IF(M93&lt;=0,"",IFERROR(M103/M93,"")))</f>
        <v/>
      </c>
      <c r="N104" s="15">
        <f>IF(OR(N103="",N93=""),"",IF(N93&lt;=0,"",IFERROR(N103/N93,"")))</f>
        <v/>
      </c>
      <c r="T104" s="15">
        <f>IF(OR(T103="",T93=""),"",IF(T93&lt;=0,"",IFERROR(T103/T93,"")))</f>
        <v/>
      </c>
      <c r="U104" s="15">
        <f>IF(OR(U103="",U93=""),"",IF(U93&lt;=0,"",IFERROR(U103/U93,"")))</f>
        <v/>
      </c>
      <c r="V104" s="15">
        <f>IF(OR(V103="",V93=""),"",IF(V93&lt;=0,"",IFERROR(V103/V93,"")))</f>
        <v/>
      </c>
      <c r="W104" s="15">
        <f>IF(OR(W103="",W93=""),"",IF(W93&lt;=0,"",IFERROR(W103/W93,"")))</f>
        <v/>
      </c>
      <c r="X104" s="15">
        <f>IF(OR(X103="",X93=""),"",IF(X93&lt;=0,"",IFERROR(X103/X93,"")))</f>
        <v/>
      </c>
    </row>
    <row r="105">
      <c r="A105" s="43" t="inlineStr">
        <is>
          <t>YoY</t>
        </is>
      </c>
      <c r="B105" s="3" t="inlineStr">
        <is>
          <t>전년 같은 분기·전년 대비</t>
        </is>
      </c>
      <c r="G105" s="15">
        <f>IF(OR(G103="",C103=""),"",IF(C103&lt;=0,"",IFERROR(G103/C103-1,"")))</f>
        <v/>
      </c>
      <c r="H105" s="15">
        <f>IF(OR(H103="",D103=""),"",IF(D103&lt;=0,"",IFERROR(H103/D103-1,"")))</f>
        <v/>
      </c>
      <c r="I105" s="15">
        <f>IF(OR(I103="",E103=""),"",IF(E103&lt;=0,"",IFERROR(I103/E103-1,"")))</f>
        <v/>
      </c>
      <c r="J105" s="15">
        <f>IF(OR(J103="",F103=""),"",IF(F103&lt;=0,"",IFERROR(J103/F103-1,"")))</f>
        <v/>
      </c>
      <c r="K105" s="15">
        <f>IF(OR(K103="",G103=""),"",IF(G103&lt;=0,"",IFERROR(K103/G103-1,"")))</f>
        <v/>
      </c>
      <c r="L105" s="15">
        <f>IF(OR(L103="",H103=""),"",IF(H103&lt;=0,"",IFERROR(L103/H103-1,"")))</f>
        <v/>
      </c>
      <c r="M105" s="15">
        <f>IF(OR(M103="",I103=""),"",IF(I103&lt;=0,"",IFERROR(M103/I103-1,"")))</f>
        <v/>
      </c>
      <c r="N105" s="15">
        <f>IF(OR(N103="",J103=""),"",IF(J103&lt;=0,"",IFERROR(N103/J103-1,"")))</f>
        <v/>
      </c>
      <c r="T105" s="15">
        <f>IF(OR(T103="",S103=""),"",IF(S103&lt;=0,"",IFERROR(T103/S103-1,"")))</f>
        <v/>
      </c>
      <c r="U105" s="15">
        <f>IF(OR(U103="",T103=""),"",IF(T103&lt;=0,"",IFERROR(U103/T103-1,"")))</f>
        <v/>
      </c>
      <c r="V105" s="15">
        <f>IF(OR(V103="",U103=""),"",IF(U103&lt;=0,"",IFERROR(V103/U103-1,"")))</f>
        <v/>
      </c>
      <c r="W105" s="15">
        <f>IF(OR(W103="",V103=""),"",IF(V103&lt;=0,"",IFERROR(W103/V103-1,"")))</f>
        <v/>
      </c>
      <c r="X105" s="15">
        <f>IF(OR(X103="",W103=""),"",IF(W103&lt;=0,"",IFERROR(X103/W103-1,"")))</f>
        <v/>
      </c>
    </row>
    <row r="106">
      <c r="A106" s="18" t="inlineStr">
        <is>
          <t>이자수익</t>
        </is>
      </c>
      <c r="C106" s="20" t="n">
        <v>11.376</v>
      </c>
      <c r="D106" s="20" t="n">
        <v>9.81</v>
      </c>
      <c r="E106" s="20" t="n">
        <v>10.084</v>
      </c>
      <c r="F106" s="20" t="n">
        <v>11.512</v>
      </c>
      <c r="G106" s="20" t="n">
        <v>14.675</v>
      </c>
      <c r="H106" s="20" t="n">
        <v>14.422</v>
      </c>
      <c r="I106" s="20" t="n">
        <v>13.698</v>
      </c>
      <c r="J106" s="20" t="n">
        <v>11.654</v>
      </c>
      <c r="K106" s="20" t="n">
        <v>9.381</v>
      </c>
      <c r="L106" s="20" t="n">
        <v>9.962</v>
      </c>
      <c r="M106" s="20" t="n">
        <v>9.885</v>
      </c>
      <c r="N106" s="20" t="n">
        <v>9.738</v>
      </c>
      <c r="T106" s="20" t="n">
        <v>3.504</v>
      </c>
      <c r="U106" s="20" t="n">
        <v>7.269</v>
      </c>
      <c r="V106" s="20" t="n">
        <v>9.81</v>
      </c>
      <c r="W106" s="20" t="n">
        <v>14.422</v>
      </c>
      <c r="X106" s="20" t="n">
        <v>9.962</v>
      </c>
    </row>
    <row r="107">
      <c r="A107" s="18" t="inlineStr">
        <is>
          <t>배당금수익</t>
        </is>
      </c>
      <c r="C107" s="20" t="n">
        <v>23.025</v>
      </c>
      <c r="D107" s="20" t="n">
        <v>1.757</v>
      </c>
      <c r="E107" s="20" t="n">
        <v>25.365</v>
      </c>
      <c r="F107" s="20" t="n">
        <v>1.677</v>
      </c>
      <c r="G107" s="20" t="n">
        <v>25.727</v>
      </c>
      <c r="H107" s="20" t="n">
        <v>1.997</v>
      </c>
      <c r="I107" s="20" t="n">
        <v>30.957</v>
      </c>
      <c r="J107" s="20" t="n">
        <v>3.161</v>
      </c>
      <c r="K107" s="20" t="n">
        <v>36.373</v>
      </c>
      <c r="L107" s="20" t="n">
        <v>2.076</v>
      </c>
      <c r="M107" s="20" t="n">
        <v>43.377</v>
      </c>
      <c r="N107" s="20" t="n">
        <v>2.276</v>
      </c>
      <c r="T107" s="20" t="n">
        <v>6.513</v>
      </c>
      <c r="U107" s="20" t="n">
        <v>1.478</v>
      </c>
      <c r="V107" s="20" t="n">
        <v>1.757</v>
      </c>
      <c r="W107" s="20" t="n">
        <v>1.997</v>
      </c>
      <c r="X107" s="20" t="n">
        <v>2.076</v>
      </c>
    </row>
    <row r="108">
      <c r="A108" s="18" t="inlineStr">
        <is>
          <t>외환차익</t>
        </is>
      </c>
      <c r="E108" s="20" t="n">
        <v>31.937</v>
      </c>
      <c r="F108" s="20" t="n">
        <v>-31.937</v>
      </c>
      <c r="G108" s="20" t="n">
        <v>0</v>
      </c>
      <c r="H108" s="20" t="n">
        <v>0</v>
      </c>
      <c r="I108" s="20" t="n">
        <v>0</v>
      </c>
      <c r="L108" s="20" t="n">
        <v>6.385</v>
      </c>
      <c r="M108" s="20" t="n">
        <v>6.854</v>
      </c>
      <c r="T108" s="20" t="n">
        <v>42.985</v>
      </c>
      <c r="U108" s="20" t="n">
        <v>0</v>
      </c>
      <c r="W108" s="20" t="n">
        <v>0</v>
      </c>
      <c r="X108" s="20" t="n">
        <v>6.385</v>
      </c>
    </row>
    <row r="109">
      <c r="A109" s="18" t="inlineStr">
        <is>
          <t>보조금 수입</t>
        </is>
      </c>
      <c r="C109" s="20" t="n">
        <v>0.063</v>
      </c>
      <c r="D109" s="20" t="n">
        <v>0.08500000000000001</v>
      </c>
      <c r="E109" s="20" t="n">
        <v>0</v>
      </c>
      <c r="F109" s="20" t="n">
        <v>0</v>
      </c>
      <c r="G109" s="20" t="n">
        <v>15.944</v>
      </c>
      <c r="H109" s="20" t="n">
        <v>0</v>
      </c>
      <c r="I109" s="20" t="n">
        <v>8.044</v>
      </c>
      <c r="J109" s="20" t="n">
        <v>16.505</v>
      </c>
      <c r="K109" s="20" t="n">
        <v>-0.047</v>
      </c>
      <c r="L109" s="20" t="n">
        <v>0.273</v>
      </c>
      <c r="M109" s="20" t="n">
        <v>0</v>
      </c>
      <c r="N109" s="20" t="n">
        <v>13.013</v>
      </c>
      <c r="T109" s="20" t="n">
        <v>10.73</v>
      </c>
      <c r="U109" s="20" t="n">
        <v>0.839</v>
      </c>
      <c r="V109" s="20" t="n">
        <v>0.08500000000000001</v>
      </c>
      <c r="W109" s="20" t="n">
        <v>0</v>
      </c>
      <c r="X109" s="20" t="n">
        <v>0.273</v>
      </c>
    </row>
    <row r="110">
      <c r="A110" s="18" t="inlineStr">
        <is>
          <t>기타</t>
        </is>
      </c>
      <c r="C110" s="20" t="n">
        <v>1.722</v>
      </c>
      <c r="D110" s="20" t="n">
        <v>8.244</v>
      </c>
      <c r="E110" s="20" t="n">
        <v>5.362</v>
      </c>
      <c r="F110" s="20" t="n">
        <v>3.081</v>
      </c>
      <c r="G110" s="20" t="n">
        <v>4.881</v>
      </c>
      <c r="H110" s="20" t="n">
        <v>12.046</v>
      </c>
      <c r="I110" s="20" t="n">
        <v>9.797000000000001</v>
      </c>
      <c r="J110" s="20" t="n">
        <v>2.675</v>
      </c>
      <c r="K110" s="20" t="n">
        <v>7.445</v>
      </c>
      <c r="L110" s="20" t="n">
        <v>4.364</v>
      </c>
      <c r="M110" s="20" t="n">
        <v>6.971</v>
      </c>
      <c r="N110" s="20" t="n">
        <v>14.699</v>
      </c>
      <c r="T110" s="20" t="n">
        <v>19.514</v>
      </c>
      <c r="U110" s="20" t="n">
        <v>23.857</v>
      </c>
      <c r="V110" s="20" t="n">
        <v>8.244</v>
      </c>
      <c r="W110" s="20" t="n">
        <v>12.046</v>
      </c>
      <c r="X110" s="20" t="n">
        <v>4.364</v>
      </c>
    </row>
    <row r="111">
      <c r="A111" s="18" t="inlineStr">
        <is>
          <t>영업외수익 합계</t>
        </is>
      </c>
      <c r="C111" s="20" t="n">
        <v>-21.555</v>
      </c>
      <c r="D111" s="20" t="n">
        <v>24.08</v>
      </c>
      <c r="E111" s="20" t="n">
        <v>72.749</v>
      </c>
      <c r="F111" s="20" t="n">
        <v>-15.667</v>
      </c>
      <c r="G111" s="20" t="n">
        <v>61.228</v>
      </c>
      <c r="H111" s="20" t="n">
        <v>28.465</v>
      </c>
      <c r="I111" s="20" t="n">
        <v>62.498</v>
      </c>
      <c r="J111" s="20" t="n">
        <v>33.995</v>
      </c>
      <c r="K111" s="20" t="n">
        <v>70.744</v>
      </c>
      <c r="L111" s="20" t="n">
        <v>23.06</v>
      </c>
      <c r="M111" s="20" t="n">
        <v>67.08799999999999</v>
      </c>
      <c r="N111" s="20" t="n">
        <v>32.873</v>
      </c>
      <c r="T111" s="20" t="n">
        <v>83.229</v>
      </c>
      <c r="U111" s="20" t="n">
        <v>33.442</v>
      </c>
      <c r="V111" s="20" t="n">
        <v>24.08</v>
      </c>
      <c r="W111" s="20" t="n">
        <v>28.465</v>
      </c>
      <c r="X111" s="20" t="n">
        <v>23.06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T112" s="15">
        <f>IF(OR(T111="",S111=""),"",IF(T111*S111&lt;=0,"",IFERROR(T111/S111-1,"")))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18" t="inlineStr">
        <is>
          <t>이자비용</t>
        </is>
      </c>
      <c r="C113" s="20" t="n">
        <v>8.045999999999999</v>
      </c>
      <c r="D113" s="20" t="n">
        <v>7.803</v>
      </c>
      <c r="E113" s="20" t="n">
        <v>5.881</v>
      </c>
      <c r="F113" s="20" t="n">
        <v>6.799</v>
      </c>
      <c r="G113" s="20" t="n">
        <v>5.244</v>
      </c>
      <c r="H113" s="20" t="n">
        <v>5.91</v>
      </c>
      <c r="I113" s="20" t="n">
        <v>10.582</v>
      </c>
      <c r="J113" s="20" t="n">
        <v>15.356</v>
      </c>
      <c r="K113" s="20" t="n">
        <v>15.228</v>
      </c>
      <c r="L113" s="20" t="n">
        <v>14.891</v>
      </c>
      <c r="M113" s="20" t="n">
        <v>30.065</v>
      </c>
      <c r="N113" s="20" t="n">
        <v>10.953</v>
      </c>
      <c r="T113" s="20" t="n">
        <v>12.462</v>
      </c>
      <c r="U113" s="20" t="n">
        <v>9.287000000000001</v>
      </c>
      <c r="V113" s="20" t="n">
        <v>7.803</v>
      </c>
      <c r="W113" s="20" t="n">
        <v>5.91</v>
      </c>
      <c r="X113" s="20" t="n">
        <v>14.891</v>
      </c>
    </row>
    <row r="114">
      <c r="A114" s="18" t="inlineStr">
        <is>
          <t>외환차손</t>
        </is>
      </c>
      <c r="C114" s="20" t="n">
        <v>3.45</v>
      </c>
      <c r="D114" s="20" t="n">
        <v>-3.45</v>
      </c>
      <c r="E114" s="20" t="n">
        <v>0</v>
      </c>
      <c r="F114" s="20" t="n">
        <v>153.564</v>
      </c>
      <c r="G114" s="20" t="n">
        <v>-150.552</v>
      </c>
      <c r="H114" s="20" t="n">
        <v>60.064</v>
      </c>
      <c r="I114" s="20" t="n">
        <v>7.892</v>
      </c>
      <c r="J114" s="20" t="n">
        <v>18.061</v>
      </c>
      <c r="K114" s="20" t="n">
        <v>-25.953</v>
      </c>
      <c r="L114" s="20" t="n">
        <v>0</v>
      </c>
      <c r="M114" s="20" t="n">
        <v>0</v>
      </c>
      <c r="N114" s="20" t="n">
        <v>44.257</v>
      </c>
      <c r="T114" s="20" t="n">
        <v>0</v>
      </c>
      <c r="U114" s="20" t="n">
        <v>42.821</v>
      </c>
      <c r="V114" s="20" t="n">
        <v>-3.45</v>
      </c>
      <c r="W114" s="20" t="n">
        <v>60.064</v>
      </c>
      <c r="X114" s="20" t="n">
        <v>0</v>
      </c>
    </row>
    <row r="115">
      <c r="A115" s="18" t="inlineStr">
        <is>
          <t>파생상품 평가손실</t>
        </is>
      </c>
      <c r="T115" s="20" t="n">
        <v>0.038</v>
      </c>
      <c r="U115" s="20" t="n">
        <v>0</v>
      </c>
    </row>
    <row r="116">
      <c r="A116" s="18" t="inlineStr">
        <is>
          <t>기타</t>
        </is>
      </c>
      <c r="C116" s="20" t="n">
        <v>1.591</v>
      </c>
      <c r="D116" s="20" t="n">
        <v>1.698</v>
      </c>
      <c r="E116" s="20" t="n">
        <v>1.375</v>
      </c>
      <c r="F116" s="20" t="n">
        <v>0.722</v>
      </c>
      <c r="G116" s="20" t="n">
        <v>3.233</v>
      </c>
      <c r="H116" s="20" t="n">
        <v>2.366</v>
      </c>
      <c r="I116" s="20" t="n">
        <v>0.293</v>
      </c>
      <c r="J116" s="20" t="n">
        <v>0.718</v>
      </c>
      <c r="K116" s="20" t="n">
        <v>1.376</v>
      </c>
      <c r="L116" s="20" t="n">
        <v>2.595</v>
      </c>
      <c r="M116" s="20" t="n">
        <v>0.361</v>
      </c>
      <c r="N116" s="20" t="n">
        <v>0.611</v>
      </c>
      <c r="T116" s="20" t="n">
        <v>0.486</v>
      </c>
      <c r="U116" s="20" t="n">
        <v>-0.213</v>
      </c>
      <c r="V116" s="20" t="n">
        <v>1.698</v>
      </c>
      <c r="W116" s="20" t="n">
        <v>2.366</v>
      </c>
      <c r="X116" s="20" t="n">
        <v>2.595</v>
      </c>
    </row>
    <row r="117">
      <c r="A117" s="18" t="inlineStr">
        <is>
          <t>영업외비용 합계</t>
        </is>
      </c>
      <c r="C117" s="20" t="n">
        <v>13.087</v>
      </c>
      <c r="D117" s="20" t="n">
        <v>6.051</v>
      </c>
      <c r="E117" s="20" t="n">
        <v>7.256</v>
      </c>
      <c r="F117" s="20" t="n">
        <v>161.086</v>
      </c>
      <c r="G117" s="20" t="n">
        <v>-142.074</v>
      </c>
      <c r="H117" s="20" t="n">
        <v>68.339</v>
      </c>
      <c r="I117" s="20" t="n">
        <v>18.768</v>
      </c>
      <c r="J117" s="20" t="n">
        <v>34.135</v>
      </c>
      <c r="K117" s="20" t="n">
        <v>-9.349</v>
      </c>
      <c r="L117" s="20" t="n">
        <v>17.485</v>
      </c>
      <c r="M117" s="20" t="n">
        <v>30.426</v>
      </c>
      <c r="N117" s="20" t="n">
        <v>55.821</v>
      </c>
      <c r="T117" s="20" t="n">
        <v>12.987</v>
      </c>
      <c r="U117" s="20" t="n">
        <v>51.894</v>
      </c>
      <c r="V117" s="20" t="n">
        <v>6.051</v>
      </c>
      <c r="W117" s="20" t="n">
        <v>68.339</v>
      </c>
      <c r="X117" s="20" t="n">
        <v>17.485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9" t="inlineStr">
        <is>
          <t>경상이익</t>
        </is>
      </c>
      <c r="C119" s="12" t="n">
        <v>256.238</v>
      </c>
      <c r="D119" s="12" t="n">
        <v>431.686</v>
      </c>
      <c r="E119" s="12" t="n">
        <v>835.3339999999999</v>
      </c>
      <c r="F119" s="12" t="n">
        <v>382.356</v>
      </c>
      <c r="G119" s="12" t="n">
        <v>734.609</v>
      </c>
      <c r="H119" s="12" t="n">
        <v>196.729</v>
      </c>
      <c r="I119" s="12" t="n">
        <v>511.497</v>
      </c>
      <c r="J119" s="12" t="n">
        <v>297.204</v>
      </c>
      <c r="K119" s="12" t="n">
        <v>224.771</v>
      </c>
      <c r="L119" s="12" t="n">
        <v>122.693</v>
      </c>
      <c r="M119" s="12" t="n">
        <v>130.075</v>
      </c>
      <c r="N119" s="12" t="n">
        <v>356.225</v>
      </c>
      <c r="T119" s="12" t="n">
        <v>-161.738</v>
      </c>
      <c r="U119" s="12" t="n">
        <v>347.405</v>
      </c>
      <c r="V119" s="12" t="n">
        <v>431.686</v>
      </c>
      <c r="W119" s="12" t="n">
        <v>196.729</v>
      </c>
      <c r="X119" s="12" t="n">
        <v>122.693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IF(OR(G119="",C119=""),"",IF(C119&lt;=0,"",IFERROR(G119/C119-1,"")))</f>
        <v/>
      </c>
      <c r="H120" s="15">
        <f>IF(OR(H119="",D119=""),"",IF(D119&lt;=0,"",IFERROR(H119/D119-1,"")))</f>
        <v/>
      </c>
      <c r="I120" s="15">
        <f>IF(OR(I119="",E119=""),"",IF(E119&lt;=0,"",IFERROR(I119/E119-1,"")))</f>
        <v/>
      </c>
      <c r="J120" s="15">
        <f>IF(OR(J119="",F119=""),"",IF(F119&lt;=0,"",IFERROR(J119/F119-1,"")))</f>
        <v/>
      </c>
      <c r="K120" s="15">
        <f>IF(OR(K119="",G119=""),"",IF(G119&lt;=0,"",IFERROR(K119/G119-1,"")))</f>
        <v/>
      </c>
      <c r="L120" s="15">
        <f>IF(OR(L119="",H119=""),"",IF(H119&lt;=0,"",IFERROR(L119/H119-1,"")))</f>
        <v/>
      </c>
      <c r="M120" s="15">
        <f>IF(OR(M119="",I119=""),"",IF(I119&lt;=0,"",IFERROR(M119/I119-1,"")))</f>
        <v/>
      </c>
      <c r="N120" s="15">
        <f>IF(OR(N119="",J119=""),"",IF(J119&lt;=0,"",IFERROR(N119/J119-1,"")))</f>
        <v/>
      </c>
      <c r="T120" s="15">
        <f>IF(OR(T119="",S119=""),"",IF(S119&lt;=0,"",IFERROR(T119/S119-1,"")))</f>
        <v/>
      </c>
      <c r="U120" s="15">
        <f>IF(OR(U119="",T119=""),"",IF(T119&lt;=0,"",IFERROR(U119/T119-1,"")))</f>
        <v/>
      </c>
      <c r="V120" s="15">
        <f>IF(OR(V119="",U119=""),"",IF(U119&lt;=0,"",IFERROR(V119/U119-1,"")))</f>
        <v/>
      </c>
      <c r="W120" s="15">
        <f>IF(OR(W119="",V119=""),"",IF(V119&lt;=0,"",IFERROR(W119/V119-1,"")))</f>
        <v/>
      </c>
      <c r="X120" s="15">
        <f>IF(OR(X119="",W119=""),"",IF(W119&lt;=0,"",IFERROR(X119/W119-1,"")))</f>
        <v/>
      </c>
    </row>
    <row r="121">
      <c r="A121" s="18" t="inlineStr">
        <is>
          <t>고정자산 매각이익</t>
        </is>
      </c>
      <c r="C121" s="20" t="n">
        <v>0.353</v>
      </c>
      <c r="D121" s="20" t="n">
        <v>0.007</v>
      </c>
      <c r="E121" s="20" t="n">
        <v>0</v>
      </c>
      <c r="F121" s="20" t="n">
        <v>0.015</v>
      </c>
      <c r="G121" s="20" t="n">
        <v>0.008</v>
      </c>
      <c r="H121" s="20" t="n">
        <v>0</v>
      </c>
      <c r="I121" s="20" t="n">
        <v>0</v>
      </c>
      <c r="J121" s="20" t="n">
        <v>0</v>
      </c>
      <c r="K121" s="20" t="n">
        <v>9.692</v>
      </c>
      <c r="L121" s="20" t="n">
        <v>0.159</v>
      </c>
      <c r="M121" s="20" t="n">
        <v>36.382</v>
      </c>
      <c r="N121" s="20" t="n">
        <v>3.989</v>
      </c>
      <c r="T121" s="20" t="n">
        <v>0.007</v>
      </c>
      <c r="U121" s="20" t="n">
        <v>0.801</v>
      </c>
      <c r="V121" s="20" t="n">
        <v>0.007</v>
      </c>
      <c r="W121" s="20" t="n">
        <v>0</v>
      </c>
      <c r="X121" s="20" t="n">
        <v>0.159</v>
      </c>
    </row>
    <row r="122">
      <c r="A122" s="18" t="inlineStr">
        <is>
          <t>투자유가증권 매각이익</t>
        </is>
      </c>
      <c r="C122" s="20" t="n">
        <v>0</v>
      </c>
      <c r="D122" s="20" t="n">
        <v>0</v>
      </c>
      <c r="T122" s="20" t="n">
        <v>8.397</v>
      </c>
      <c r="U122" s="20" t="n">
        <v>0</v>
      </c>
      <c r="V122" s="20" t="n">
        <v>0</v>
      </c>
    </row>
    <row r="123">
      <c r="A123" s="18" t="inlineStr">
        <is>
          <t>Gain On Refund Of Deposits Of Golfclub Membership EI</t>
        </is>
      </c>
      <c r="E123" s="20" t="n">
        <v>0</v>
      </c>
      <c r="F123" s="20" t="n">
        <v>0</v>
      </c>
      <c r="G123" s="20" t="n">
        <v>0</v>
      </c>
      <c r="H123" s="20" t="n">
        <v>0</v>
      </c>
      <c r="I123" s="20" t="n">
        <v>9.516999999999999</v>
      </c>
      <c r="J123" s="20" t="n">
        <v>-0.264</v>
      </c>
      <c r="K123" s="20" t="n">
        <v>-0.077</v>
      </c>
      <c r="L123" s="20" t="n">
        <v>-0.117</v>
      </c>
      <c r="M123" s="20" t="n">
        <v>0</v>
      </c>
      <c r="N123" s="20" t="n">
        <v>0</v>
      </c>
      <c r="W123" s="20" t="n">
        <v>0</v>
      </c>
      <c r="X123" s="20" t="n">
        <v>-0.117</v>
      </c>
    </row>
    <row r="124">
      <c r="A124" s="18" t="inlineStr">
        <is>
          <t>기타</t>
        </is>
      </c>
      <c r="H124" s="20" t="n">
        <v>0</v>
      </c>
      <c r="K124" s="20" t="n">
        <v>0.927</v>
      </c>
      <c r="L124" s="20" t="n">
        <v>-0.732</v>
      </c>
      <c r="W124" s="20" t="n">
        <v>0</v>
      </c>
      <c r="X124" s="20" t="n">
        <v>-0.732</v>
      </c>
    </row>
    <row r="125">
      <c r="A125" s="18" t="inlineStr">
        <is>
          <t>특별이익 합계</t>
        </is>
      </c>
      <c r="C125" s="20" t="n">
        <v>0.353</v>
      </c>
      <c r="D125" s="20" t="n">
        <v>0.007</v>
      </c>
      <c r="E125" s="20" t="n">
        <v>0</v>
      </c>
      <c r="F125" s="20" t="n">
        <v>0.015</v>
      </c>
      <c r="G125" s="20" t="n">
        <v>0.008</v>
      </c>
      <c r="H125" s="20" t="n">
        <v>0</v>
      </c>
      <c r="I125" s="20" t="n">
        <v>9.516999999999999</v>
      </c>
      <c r="J125" s="20" t="n">
        <v>-0.264</v>
      </c>
      <c r="K125" s="20" t="n">
        <v>10.543</v>
      </c>
      <c r="L125" s="20" t="n">
        <v>1020.445</v>
      </c>
      <c r="M125" s="20" t="n">
        <v>36.382</v>
      </c>
      <c r="N125" s="20" t="n">
        <v>3.989</v>
      </c>
      <c r="T125" s="20" t="n">
        <v>12.804</v>
      </c>
      <c r="U125" s="20" t="n">
        <v>0.801</v>
      </c>
      <c r="V125" s="20" t="n">
        <v>0.007</v>
      </c>
      <c r="W125" s="20" t="n">
        <v>0</v>
      </c>
      <c r="X125" s="20" t="n">
        <v>1020.445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IF(OR(G125="",C125=""),"",IF(G125*C125&lt;=0,"",IFERROR(G125/C125-1,"")))</f>
        <v/>
      </c>
      <c r="H126" s="15">
        <f>IF(OR(H125="",D125=""),"",IF(H125*D125&lt;=0,"",IFERROR(H125/D125-1,"")))</f>
        <v/>
      </c>
      <c r="I126" s="15">
        <f>IF(OR(I125="",E125=""),"",IF(I125*E125&lt;=0,"",IFERROR(I125/E125-1,"")))</f>
        <v/>
      </c>
      <c r="J126" s="15">
        <f>IF(OR(J125="",F125=""),"",IF(J125*F125&lt;=0,"",IFERROR(J125/F125-1,"")))</f>
        <v/>
      </c>
      <c r="K126" s="15">
        <f>IF(OR(K125="",G125=""),"",IF(K125*G125&lt;=0,"",IFERROR(K125/G125-1,"")))</f>
        <v/>
      </c>
      <c r="L126" s="15">
        <f>IF(OR(L125="",H125=""),"",IF(L125*H125&lt;=0,"",IFERROR(L125/H125-1,"")))</f>
        <v/>
      </c>
      <c r="M126" s="15">
        <f>IF(OR(M125="",I125=""),"",IF(M125*I125&lt;=0,"",IFERROR(M125/I125-1,"")))</f>
        <v/>
      </c>
      <c r="N126" s="15">
        <f>IF(OR(N125="",J125=""),"",IF(N125*J125&lt;=0,"",IFERROR(N125/J125-1,"")))</f>
        <v/>
      </c>
      <c r="T126" s="15">
        <f>IF(OR(T125="",S125=""),"",IF(T125*S125&lt;=0,"",IFERROR(T125/S125-1,"")))</f>
        <v/>
      </c>
      <c r="U126" s="15">
        <f>IF(OR(U125="",T125=""),"",IF(U125*T125&lt;=0,"",IFERROR(U125/T125-1,"")))</f>
        <v/>
      </c>
      <c r="V126" s="15">
        <f>IF(OR(V125="",U125=""),"",IF(V125*U125&lt;=0,"",IFERROR(V125/U125-1,"")))</f>
        <v/>
      </c>
      <c r="W126" s="15">
        <f>IF(OR(W125="",V125=""),"",IF(W125*V125&lt;=0,"",IFERROR(W125/V125-1,"")))</f>
        <v/>
      </c>
      <c r="X126" s="15">
        <f>IF(OR(X125="",W125=""),"",IF(X125*W125&lt;=0,"",IFERROR(X125/W125-1,"")))</f>
        <v/>
      </c>
    </row>
    <row r="127">
      <c r="A127" s="18" t="inlineStr">
        <is>
          <t>고정자산 매각손실</t>
        </is>
      </c>
      <c r="D127" s="20" t="n">
        <v>0</v>
      </c>
      <c r="T127" s="20" t="n">
        <v>0.07099999999999999</v>
      </c>
      <c r="U127" s="20" t="n">
        <v>-0.037</v>
      </c>
      <c r="V127" s="20" t="n">
        <v>0</v>
      </c>
    </row>
    <row r="128">
      <c r="A128" s="18" t="inlineStr">
        <is>
          <t>고정자산 제각손실</t>
        </is>
      </c>
      <c r="C128" s="20" t="n">
        <v>3.599</v>
      </c>
      <c r="D128" s="20" t="n">
        <v>7.082</v>
      </c>
      <c r="E128" s="20" t="n">
        <v>0.102</v>
      </c>
      <c r="F128" s="20" t="n">
        <v>0.008</v>
      </c>
      <c r="G128" s="20" t="n">
        <v>0.401</v>
      </c>
      <c r="H128" s="20" t="n">
        <v>0.127</v>
      </c>
      <c r="I128" s="20" t="n">
        <v>0</v>
      </c>
      <c r="J128" s="20" t="n">
        <v>0.182</v>
      </c>
      <c r="K128" s="20" t="n">
        <v>0.013</v>
      </c>
      <c r="L128" s="20" t="n">
        <v>0.613</v>
      </c>
      <c r="M128" s="20" t="n">
        <v>0.045</v>
      </c>
      <c r="N128" s="20" t="n">
        <v>0.951</v>
      </c>
      <c r="T128" s="20" t="n">
        <v>1.492</v>
      </c>
      <c r="U128" s="20" t="n">
        <v>0.121</v>
      </c>
      <c r="V128" s="20" t="n">
        <v>7.082</v>
      </c>
      <c r="W128" s="20" t="n">
        <v>0.127</v>
      </c>
      <c r="X128" s="20" t="n">
        <v>0.613</v>
      </c>
    </row>
    <row r="129">
      <c r="A129" s="18" t="inlineStr">
        <is>
          <t>투자유가증권 매각손실</t>
        </is>
      </c>
      <c r="T129" s="20" t="n">
        <v>0.581</v>
      </c>
      <c r="U129" s="20" t="n">
        <v>0</v>
      </c>
    </row>
    <row r="130">
      <c r="A130" s="18" t="inlineStr">
        <is>
          <t>손상차손</t>
        </is>
      </c>
      <c r="C130" s="20" t="n">
        <v>61.465</v>
      </c>
      <c r="D130" s="20" t="n">
        <v>59.43</v>
      </c>
      <c r="E130" s="20" t="n">
        <v>45.142</v>
      </c>
      <c r="F130" s="20" t="n">
        <v>-5.052</v>
      </c>
      <c r="G130" s="20" t="n">
        <v>246.067</v>
      </c>
      <c r="H130" s="20" t="n">
        <v>42.216</v>
      </c>
      <c r="I130" s="20" t="n">
        <v>0.366</v>
      </c>
      <c r="J130" s="20" t="n">
        <v>-0.008999999999999999</v>
      </c>
      <c r="K130" s="20" t="n">
        <v>-0.001</v>
      </c>
      <c r="L130" s="20" t="n">
        <v>13.919</v>
      </c>
      <c r="M130" s="20" t="n">
        <v>0</v>
      </c>
      <c r="N130" s="20" t="n">
        <v>0</v>
      </c>
      <c r="U130" s="20" t="n">
        <v>171.007</v>
      </c>
      <c r="V130" s="20" t="n">
        <v>59.43</v>
      </c>
      <c r="W130" s="20" t="n">
        <v>42.216</v>
      </c>
      <c r="X130" s="20" t="n">
        <v>13.919</v>
      </c>
    </row>
    <row r="131">
      <c r="A131" s="18" t="inlineStr">
        <is>
          <t>특별퇴직금</t>
        </is>
      </c>
      <c r="D131" s="20" t="n">
        <v>0</v>
      </c>
      <c r="H131" s="20" t="n">
        <v>0</v>
      </c>
      <c r="L131" s="20" t="n">
        <v>0</v>
      </c>
      <c r="V131" s="20" t="n">
        <v>0</v>
      </c>
      <c r="W131" s="20" t="n">
        <v>0</v>
      </c>
      <c r="X131" s="20" t="n">
        <v>0</v>
      </c>
    </row>
    <row r="132">
      <c r="A132" s="18" t="inlineStr">
        <is>
          <t>사업정리 손실</t>
        </is>
      </c>
      <c r="H132" s="20" t="n">
        <v>95.52200000000001</v>
      </c>
      <c r="L132" s="20" t="n">
        <v>-66.86</v>
      </c>
      <c r="W132" s="20" t="n">
        <v>95.52200000000001</v>
      </c>
      <c r="X132" s="20" t="n">
        <v>-66.86</v>
      </c>
    </row>
    <row r="133">
      <c r="A133" s="18" t="inlineStr">
        <is>
          <t>Loss On Cancellation Of Contract2EL</t>
        </is>
      </c>
      <c r="D133" s="20" t="n">
        <v>0</v>
      </c>
      <c r="H133" s="20" t="n">
        <v>0</v>
      </c>
      <c r="L133" s="20" t="n">
        <v>0</v>
      </c>
      <c r="V133" s="20" t="n">
        <v>0</v>
      </c>
      <c r="W133" s="20" t="n">
        <v>0</v>
      </c>
      <c r="X133" s="20" t="n">
        <v>0</v>
      </c>
    </row>
    <row r="134">
      <c r="A134" s="18" t="inlineStr">
        <is>
          <t>관계회사 정리손실</t>
        </is>
      </c>
      <c r="C134" s="20" t="n">
        <v>42.498</v>
      </c>
      <c r="D134" s="20" t="n">
        <v>84.274</v>
      </c>
      <c r="E134" s="20" t="n">
        <v>2.804</v>
      </c>
      <c r="F134" s="20" t="n">
        <v>0</v>
      </c>
      <c r="G134" s="20" t="n">
        <v>0</v>
      </c>
      <c r="H134" s="20" t="n">
        <v>0</v>
      </c>
      <c r="I134" s="20" t="n">
        <v>0</v>
      </c>
      <c r="J134" s="20" t="n">
        <v>0</v>
      </c>
      <c r="K134" s="20" t="n">
        <v>0</v>
      </c>
      <c r="L134" s="20" t="n">
        <v>801.4930000000001</v>
      </c>
      <c r="M134" s="20" t="n">
        <v>6.609</v>
      </c>
      <c r="N134" s="20" t="n">
        <v>1.1</v>
      </c>
      <c r="U134" s="20" t="n">
        <v>0</v>
      </c>
      <c r="V134" s="20" t="n">
        <v>84.274</v>
      </c>
      <c r="W134" s="20" t="n">
        <v>0</v>
      </c>
      <c r="X134" s="20" t="n">
        <v>801.4930000000001</v>
      </c>
    </row>
    <row r="135">
      <c r="A135" s="18" t="inlineStr">
        <is>
          <t>임대차계약 해약손실</t>
        </is>
      </c>
      <c r="C135" s="20" t="n">
        <v>0</v>
      </c>
      <c r="D135" s="20" t="n">
        <v>0.044</v>
      </c>
      <c r="E135" s="20" t="n">
        <v>6.228</v>
      </c>
      <c r="F135" s="20" t="n">
        <v>-0.001</v>
      </c>
      <c r="G135" s="20" t="n">
        <v>0.083</v>
      </c>
      <c r="H135" s="20" t="n">
        <v>0</v>
      </c>
      <c r="I135" s="20" t="n">
        <v>1.524</v>
      </c>
      <c r="J135" s="20" t="n">
        <v>0</v>
      </c>
      <c r="K135" s="20" t="n">
        <v>0</v>
      </c>
      <c r="L135" s="20" t="n">
        <v>1.623</v>
      </c>
      <c r="M135" s="20" t="n">
        <v>0</v>
      </c>
      <c r="N135" s="20" t="n">
        <v>0</v>
      </c>
      <c r="U135" s="20" t="n">
        <v>0</v>
      </c>
      <c r="V135" s="20" t="n">
        <v>0.044</v>
      </c>
      <c r="W135" s="20" t="n">
        <v>0</v>
      </c>
      <c r="X135" s="20" t="n">
        <v>1.623</v>
      </c>
    </row>
    <row r="136">
      <c r="A136" s="18" t="inlineStr">
        <is>
          <t>특별손실 합계</t>
        </is>
      </c>
      <c r="C136" s="20" t="n">
        <v>107.563</v>
      </c>
      <c r="D136" s="20" t="n">
        <v>150.829</v>
      </c>
      <c r="E136" s="20" t="n">
        <v>54.277</v>
      </c>
      <c r="F136" s="20" t="n">
        <v>-5.044</v>
      </c>
      <c r="G136" s="20" t="n">
        <v>311.46</v>
      </c>
      <c r="H136" s="20" t="n">
        <v>137.864</v>
      </c>
      <c r="I136" s="20" t="n">
        <v>1.891</v>
      </c>
      <c r="J136" s="20" t="n">
        <v>0.172</v>
      </c>
      <c r="K136" s="20" t="n">
        <v>70.021</v>
      </c>
      <c r="L136" s="20" t="n">
        <v>747.64</v>
      </c>
      <c r="M136" s="20" t="n">
        <v>6.655</v>
      </c>
      <c r="N136" s="20" t="n">
        <v>2.05</v>
      </c>
      <c r="T136" s="20" t="n">
        <v>74.39400000000001</v>
      </c>
      <c r="U136" s="20" t="n">
        <v>171.092</v>
      </c>
      <c r="V136" s="20" t="n">
        <v>150.829</v>
      </c>
      <c r="W136" s="20" t="n">
        <v>137.864</v>
      </c>
      <c r="X136" s="20" t="n">
        <v>747.64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IF(OR(G136="",C136=""),"",IF(G136*C136&lt;=0,"",IFERROR(G136/C136-1,"")))</f>
        <v/>
      </c>
      <c r="H137" s="15">
        <f>IF(OR(H136="",D136=""),"",IF(H136*D136&lt;=0,"",IFERROR(H136/D136-1,"")))</f>
        <v/>
      </c>
      <c r="I137" s="15">
        <f>IF(OR(I136="",E136=""),"",IF(I136*E136&lt;=0,"",IFERROR(I136/E136-1,"")))</f>
        <v/>
      </c>
      <c r="J137" s="15">
        <f>IF(OR(J136="",F136=""),"",IF(J136*F136&lt;=0,"",IFERROR(J136/F136-1,"")))</f>
        <v/>
      </c>
      <c r="K137" s="15">
        <f>IF(OR(K136="",G136=""),"",IF(K136*G136&lt;=0,"",IFERROR(K136/G136-1,"")))</f>
        <v/>
      </c>
      <c r="L137" s="15">
        <f>IF(OR(L136="",H136=""),"",IF(L136*H136&lt;=0,"",IFERROR(L136/H136-1,"")))</f>
        <v/>
      </c>
      <c r="M137" s="15">
        <f>IF(OR(M136="",I136=""),"",IF(M136*I136&lt;=0,"",IFERROR(M136/I136-1,"")))</f>
        <v/>
      </c>
      <c r="N137" s="15">
        <f>IF(OR(N136="",J136=""),"",IF(N136*J136&lt;=0,"",IFERROR(N136/J136-1,"")))</f>
        <v/>
      </c>
      <c r="T137" s="15">
        <f>IF(OR(T136="",S136=""),"",IF(T136*S136&lt;=0,"",IFERROR(T136/S136-1,"")))</f>
        <v/>
      </c>
      <c r="U137" s="15">
        <f>IF(OR(U136="",T136=""),"",IF(U136*T136&lt;=0,"",IFERROR(U136/T136-1,"")))</f>
        <v/>
      </c>
      <c r="V137" s="15">
        <f>IF(OR(V136="",U136=""),"",IF(V136*U136&lt;=0,"",IFERROR(V136/U136-1,"")))</f>
        <v/>
      </c>
      <c r="W137" s="15">
        <f>IF(OR(W136="",V136=""),"",IF(W136*V136&lt;=0,"",IFERROR(W136/V136-1,"")))</f>
        <v/>
      </c>
      <c r="X137" s="15">
        <f>IF(OR(X136="",W136=""),"",IF(X136*W136&lt;=0,"",IFERROR(X136/W136-1,"")))</f>
        <v/>
      </c>
    </row>
    <row r="138">
      <c r="A138" s="9" t="inlineStr">
        <is>
          <t>법인세차감전 순이익</t>
        </is>
      </c>
      <c r="C138" s="12" t="n">
        <v>149.027</v>
      </c>
      <c r="D138" s="12" t="n">
        <v>280.863</v>
      </c>
      <c r="E138" s="12" t="n">
        <v>781.056</v>
      </c>
      <c r="F138" s="12" t="n">
        <v>387.416</v>
      </c>
      <c r="G138" s="12" t="n">
        <v>423.157</v>
      </c>
      <c r="H138" s="12" t="n">
        <v>58.865</v>
      </c>
      <c r="I138" s="12" t="n">
        <v>519.123</v>
      </c>
      <c r="J138" s="12" t="n">
        <v>296.767</v>
      </c>
      <c r="K138" s="12" t="n">
        <v>165.294</v>
      </c>
      <c r="L138" s="12" t="n">
        <v>395.497</v>
      </c>
      <c r="M138" s="12" t="n">
        <v>159.802</v>
      </c>
      <c r="N138" s="12" t="n">
        <v>358.164</v>
      </c>
      <c r="T138" s="12" t="n">
        <v>-223.328</v>
      </c>
      <c r="U138" s="12" t="n">
        <v>177.114</v>
      </c>
      <c r="V138" s="12" t="n">
        <v>280.863</v>
      </c>
      <c r="W138" s="12" t="n">
        <v>58.865</v>
      </c>
      <c r="X138" s="12" t="n">
        <v>395.497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IF(OR(G138="",C138=""),"",IF(C138&lt;=0,"",IFERROR(G138/C138-1,"")))</f>
        <v/>
      </c>
      <c r="H139" s="15">
        <f>IF(OR(H138="",D138=""),"",IF(D138&lt;=0,"",IFERROR(H138/D138-1,"")))</f>
        <v/>
      </c>
      <c r="I139" s="15">
        <f>IF(OR(I138="",E138=""),"",IF(E138&lt;=0,"",IFERROR(I138/E138-1,"")))</f>
        <v/>
      </c>
      <c r="J139" s="15">
        <f>IF(OR(J138="",F138=""),"",IF(F138&lt;=0,"",IFERROR(J138/F138-1,"")))</f>
        <v/>
      </c>
      <c r="K139" s="15">
        <f>IF(OR(K138="",G138=""),"",IF(G138&lt;=0,"",IFERROR(K138/G138-1,"")))</f>
        <v/>
      </c>
      <c r="L139" s="15">
        <f>IF(OR(L138="",H138=""),"",IF(H138&lt;=0,"",IFERROR(L138/H138-1,"")))</f>
        <v/>
      </c>
      <c r="M139" s="15">
        <f>IF(OR(M138="",I138=""),"",IF(I138&lt;=0,"",IFERROR(M138/I138-1,"")))</f>
        <v/>
      </c>
      <c r="N139" s="15">
        <f>IF(OR(N138="",J138=""),"",IF(J138&lt;=0,"",IFERROR(N138/J138-1,"")))</f>
        <v/>
      </c>
      <c r="T139" s="15">
        <f>IF(OR(T138="",S138=""),"",IF(S138&lt;=0,"",IFERROR(T138/S138-1,"")))</f>
        <v/>
      </c>
      <c r="U139" s="15">
        <f>IF(OR(U138="",T138=""),"",IF(T138&lt;=0,"",IFERROR(U138/T138-1,"")))</f>
        <v/>
      </c>
      <c r="V139" s="15">
        <f>IF(OR(V138="",U138=""),"",IF(U138&lt;=0,"",IFERROR(V138/U138-1,"")))</f>
        <v/>
      </c>
      <c r="W139" s="15">
        <f>IF(OR(W138="",V138=""),"",IF(V138&lt;=0,"",IFERROR(W138/V138-1,"")))</f>
        <v/>
      </c>
      <c r="X139" s="15">
        <f>IF(OR(X138="",W138=""),"",IF(W138&lt;=0,"",IFERROR(X138/W138-1,"")))</f>
        <v/>
      </c>
    </row>
    <row r="140">
      <c r="A140" s="18" t="inlineStr">
        <is>
          <t>법인세·주민세·사업세</t>
        </is>
      </c>
      <c r="C140" s="20" t="n">
        <v>155.422</v>
      </c>
      <c r="D140" s="20" t="n">
        <v>183.998</v>
      </c>
      <c r="E140" s="20" t="n">
        <v>193.518</v>
      </c>
      <c r="F140" s="20" t="n">
        <v>161.406</v>
      </c>
      <c r="G140" s="20" t="n">
        <v>200.164</v>
      </c>
      <c r="H140" s="20" t="n">
        <v>237.41</v>
      </c>
      <c r="I140" s="20" t="n">
        <v>132.542</v>
      </c>
      <c r="J140" s="20" t="n">
        <v>147.86</v>
      </c>
      <c r="K140" s="20" t="n">
        <v>52.689</v>
      </c>
      <c r="L140" s="20" t="n">
        <v>334.213</v>
      </c>
      <c r="M140" s="20" t="n">
        <v>78.82299999999999</v>
      </c>
      <c r="N140" s="20" t="n">
        <v>91.60599999999999</v>
      </c>
      <c r="T140" s="20" t="n">
        <v>87.901</v>
      </c>
      <c r="U140" s="20" t="n">
        <v>154.539</v>
      </c>
      <c r="V140" s="20" t="n">
        <v>183.998</v>
      </c>
      <c r="W140" s="20" t="n">
        <v>237.41</v>
      </c>
      <c r="X140" s="20" t="n">
        <v>334.213</v>
      </c>
    </row>
    <row r="141">
      <c r="A141" s="18" t="inlineStr">
        <is>
          <t>법인세 조정액</t>
        </is>
      </c>
      <c r="C141" s="20" t="n">
        <v>59.64</v>
      </c>
      <c r="D141" s="20" t="n">
        <v>2.824</v>
      </c>
      <c r="E141" s="20" t="n">
        <v>-253.706</v>
      </c>
      <c r="F141" s="20" t="n">
        <v>44.727</v>
      </c>
      <c r="G141" s="20" t="n">
        <v>90.88800000000001</v>
      </c>
      <c r="H141" s="20" t="n">
        <v>-1.953</v>
      </c>
      <c r="I141" s="20" t="n">
        <v>40.897</v>
      </c>
      <c r="J141" s="20" t="n">
        <v>34.399</v>
      </c>
      <c r="K141" s="20" t="n">
        <v>17.96</v>
      </c>
      <c r="L141" s="20" t="n">
        <v>43.934</v>
      </c>
      <c r="M141" s="20" t="n">
        <v>60.672</v>
      </c>
      <c r="N141" s="20" t="n">
        <v>-399.546</v>
      </c>
      <c r="T141" s="20" t="n">
        <v>-16.024</v>
      </c>
      <c r="U141" s="20" t="n">
        <v>8.702</v>
      </c>
      <c r="V141" s="20" t="n">
        <v>2.824</v>
      </c>
      <c r="W141" s="20" t="n">
        <v>-1.953</v>
      </c>
      <c r="X141" s="20" t="n">
        <v>43.934</v>
      </c>
    </row>
    <row r="142">
      <c r="A142" s="18" t="inlineStr">
        <is>
          <t>법인세 등 합계</t>
        </is>
      </c>
      <c r="C142" s="20" t="n">
        <v>215.061</v>
      </c>
      <c r="D142" s="20" t="n">
        <v>186.821</v>
      </c>
      <c r="E142" s="20" t="n">
        <v>-60.187</v>
      </c>
      <c r="F142" s="20" t="n">
        <v>206.132</v>
      </c>
      <c r="G142" s="20" t="n">
        <v>291.051</v>
      </c>
      <c r="H142" s="20" t="n">
        <v>235.457</v>
      </c>
      <c r="I142" s="20" t="n">
        <v>173.44</v>
      </c>
      <c r="J142" s="20" t="n">
        <v>182.259</v>
      </c>
      <c r="K142" s="20" t="n">
        <v>70.648</v>
      </c>
      <c r="L142" s="20" t="n">
        <v>378.148</v>
      </c>
      <c r="M142" s="20" t="n">
        <v>139.495</v>
      </c>
      <c r="N142" s="20" t="n">
        <v>-307.94</v>
      </c>
      <c r="T142" s="20" t="n">
        <v>71.877</v>
      </c>
      <c r="U142" s="20" t="n">
        <v>163.241</v>
      </c>
      <c r="V142" s="20" t="n">
        <v>186.821</v>
      </c>
      <c r="W142" s="20" t="n">
        <v>235.457</v>
      </c>
      <c r="X142" s="20" t="n">
        <v>378.148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IF(OR(G142="",C142=""),"",IF(G142*C142&lt;=0,"",IFERROR(G142/C142-1,"")))</f>
        <v/>
      </c>
      <c r="H143" s="15">
        <f>IF(OR(H142="",D142=""),"",IF(H142*D142&lt;=0,"",IFERROR(H142/D142-1,"")))</f>
        <v/>
      </c>
      <c r="I143" s="15">
        <f>IF(OR(I142="",E142=""),"",IF(I142*E142&lt;=0,"",IFERROR(I142/E142-1,"")))</f>
        <v/>
      </c>
      <c r="J143" s="15">
        <f>IF(OR(J142="",F142=""),"",IF(J142*F142&lt;=0,"",IFERROR(J142/F142-1,"")))</f>
        <v/>
      </c>
      <c r="K143" s="15">
        <f>IF(OR(K142="",G142=""),"",IF(K142*G142&lt;=0,"",IFERROR(K142/G142-1,"")))</f>
        <v/>
      </c>
      <c r="L143" s="15">
        <f>IF(OR(L142="",H142=""),"",IF(L142*H142&lt;=0,"",IFERROR(L142/H142-1,"")))</f>
        <v/>
      </c>
      <c r="M143" s="15">
        <f>IF(OR(M142="",I142=""),"",IF(M142*I142&lt;=0,"",IFERROR(M142/I142-1,"")))</f>
        <v/>
      </c>
      <c r="N143" s="15">
        <f>IF(OR(N142="",J142=""),"",IF(N142*J142&lt;=0,"",IFERROR(N142/J142-1,"")))</f>
        <v/>
      </c>
      <c r="T143" s="15">
        <f>IF(OR(T142="",S142=""),"",IF(T142*S142&lt;=0,"",IFERROR(T142/S142-1,"")))</f>
        <v/>
      </c>
      <c r="U143" s="15">
        <f>IF(OR(U142="",T142=""),"",IF(U142*T142&lt;=0,"",IFERROR(U142/T142-1,"")))</f>
        <v/>
      </c>
      <c r="V143" s="15">
        <f>IF(OR(V142="",U142=""),"",IF(V142*U142&lt;=0,"",IFERROR(V142/U142-1,"")))</f>
        <v/>
      </c>
      <c r="W143" s="15">
        <f>IF(OR(W142="",V142=""),"",IF(W142*V142&lt;=0,"",IFERROR(W142/V142-1,"")))</f>
        <v/>
      </c>
      <c r="X143" s="15">
        <f>IF(OR(X142="",W142=""),"",IF(X142*W142&lt;=0,"",IFERROR(X142/W142-1,"")))</f>
        <v/>
      </c>
    </row>
    <row r="144">
      <c r="A144" s="9" t="inlineStr">
        <is>
          <t>순이익</t>
        </is>
      </c>
      <c r="C144" s="12" t="n">
        <v>-66.035</v>
      </c>
      <c r="D144" s="12" t="n">
        <v>94.04300000000001</v>
      </c>
      <c r="E144" s="12" t="n">
        <v>841.244</v>
      </c>
      <c r="F144" s="12" t="n">
        <v>181.283</v>
      </c>
      <c r="G144" s="12" t="n">
        <v>132.105</v>
      </c>
      <c r="H144" s="12" t="n">
        <v>-176.592</v>
      </c>
      <c r="I144" s="12" t="n">
        <v>345.683</v>
      </c>
      <c r="J144" s="12" t="n">
        <v>114.508</v>
      </c>
      <c r="K144" s="12" t="n">
        <v>94.645</v>
      </c>
      <c r="L144" s="12" t="n">
        <v>17.35</v>
      </c>
      <c r="M144" s="12" t="n">
        <v>20.306</v>
      </c>
      <c r="N144" s="12" t="n">
        <v>666.106</v>
      </c>
      <c r="T144" s="12" t="n">
        <v>-295.205</v>
      </c>
      <c r="U144" s="12" t="n">
        <v>13.875</v>
      </c>
      <c r="V144" s="12" t="n">
        <v>94.04300000000001</v>
      </c>
      <c r="W144" s="12" t="n">
        <v>-176.592</v>
      </c>
      <c r="X144" s="12" t="n">
        <v>17.35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T145" s="15">
        <f>IF(OR(T144="",S144=""),"",IF(S144&lt;=0,"",IFERROR(T144/S144-1,"")))</f>
        <v/>
      </c>
      <c r="U145" s="15">
        <f>IF(OR(U144="",T144=""),"",IF(T144&lt;=0,"",IFERROR(U144/T144-1,"")))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6">
      <c r="A146" s="9" t="inlineStr">
        <is>
          <t>비지배주주 순이익</t>
        </is>
      </c>
      <c r="C146" s="12" t="n">
        <v>0.297</v>
      </c>
      <c r="D146" s="12" t="n">
        <v>-0.342</v>
      </c>
      <c r="E146" s="12" t="n">
        <v>1.015</v>
      </c>
      <c r="F146" s="12" t="n">
        <v>2.97</v>
      </c>
      <c r="G146" s="12" t="n">
        <v>0.241</v>
      </c>
      <c r="H146" s="12" t="n">
        <v>-0.669</v>
      </c>
      <c r="I146" s="12" t="n">
        <v>0.721</v>
      </c>
      <c r="J146" s="12" t="n">
        <v>2.759</v>
      </c>
      <c r="K146" s="12" t="n">
        <v>0.798</v>
      </c>
      <c r="L146" s="12" t="n">
        <v>-0.504</v>
      </c>
      <c r="M146" s="12" t="n">
        <v>1.019</v>
      </c>
      <c r="N146" s="12" t="n">
        <v>0</v>
      </c>
      <c r="T146" s="12" t="n">
        <v>0.774</v>
      </c>
      <c r="U146" s="12" t="n">
        <v>-0.614</v>
      </c>
      <c r="V146" s="12" t="n">
        <v>-0.342</v>
      </c>
      <c r="W146" s="12" t="n">
        <v>-0.669</v>
      </c>
      <c r="X146" s="12" t="n">
        <v>-0.504</v>
      </c>
    </row>
    <row r="147">
      <c r="A147" s="9" t="inlineStr">
        <is>
          <t>지배주주 순이익</t>
        </is>
      </c>
      <c r="C147" s="12" t="n">
        <v>-66.33199999999999</v>
      </c>
      <c r="D147" s="12" t="n">
        <v>94.384</v>
      </c>
      <c r="E147" s="12" t="n">
        <v>840.229</v>
      </c>
      <c r="F147" s="12" t="n">
        <v>178.313</v>
      </c>
      <c r="G147" s="12" t="n">
        <v>131.864</v>
      </c>
      <c r="H147" s="12" t="n">
        <v>-175.923</v>
      </c>
      <c r="I147" s="12" t="n">
        <v>344.961</v>
      </c>
      <c r="J147" s="12" t="n">
        <v>111.75</v>
      </c>
      <c r="K147" s="12" t="n">
        <v>93.84699999999999</v>
      </c>
      <c r="L147" s="12" t="n">
        <v>17.854</v>
      </c>
      <c r="M147" s="12" t="n">
        <v>19.287</v>
      </c>
      <c r="N147" s="12" t="n">
        <v>666.106</v>
      </c>
      <c r="T147" s="12" t="n">
        <v>-295.98</v>
      </c>
      <c r="U147" s="12" t="n">
        <v>14.488</v>
      </c>
      <c r="V147" s="12" t="n">
        <v>94.384</v>
      </c>
      <c r="W147" s="12" t="n">
        <v>-175.923</v>
      </c>
      <c r="X147" s="12" t="n">
        <v>17.854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IF(OR(G147="",C147=""),"",IF(C147&lt;=0,"",IFERROR(G147/C147-1,"")))</f>
        <v/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J148" s="15">
        <f>IF(OR(J147="",F147=""),"",IF(F147&lt;=0,"",IFERROR(J147/F147-1,"")))</f>
        <v/>
      </c>
      <c r="K148" s="15">
        <f>IF(OR(K147="",G147=""),"",IF(G147&lt;=0,"",IFERROR(K147/G147-1,"")))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N148" s="15">
        <f>IF(OR(N147="",J147=""),"",IF(J147&lt;=0,"",IFERROR(N147/J147-1,"")))</f>
        <v/>
      </c>
      <c r="T148" s="15">
        <f>IF(OR(T147="",S147=""),"",IF(S147&lt;=0,"",IFERROR(T147/S147-1,"")))</f>
        <v/>
      </c>
      <c r="U148" s="15">
        <f>IF(OR(U147="",T147=""),"",IF(T147&lt;=0,"",IFERROR(U147/T147-1,"")))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50">
      <c r="A150" s="16" t="inlineStr">
        <is>
          <t>포괄손익 · 전 항목</t>
        </is>
      </c>
      <c r="B150" s="42" t="inlineStr">
        <is>
          <t>분기 = 3개월 단독</t>
        </is>
      </c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</row>
    <row r="151">
      <c r="A151" s="5" t="inlineStr">
        <is>
          <t>항목</t>
        </is>
      </c>
      <c r="B151" s="5" t="inlineStr">
        <is>
          <t>참고</t>
        </is>
      </c>
      <c r="C151" s="5" t="inlineStr">
        <is>
          <t>2024.3Q</t>
        </is>
      </c>
      <c r="D151" s="5" t="inlineStr">
        <is>
          <t>2024.4Q</t>
        </is>
      </c>
      <c r="E151" s="5" t="inlineStr">
        <is>
          <t>2025.1Q</t>
        </is>
      </c>
      <c r="F151" s="5" t="inlineStr">
        <is>
          <t>2025.2Q</t>
        </is>
      </c>
      <c r="G151" s="5" t="inlineStr">
        <is>
          <t>2025.3Q</t>
        </is>
      </c>
      <c r="H151" s="5" t="inlineStr">
        <is>
          <t>2025.4Q</t>
        </is>
      </c>
      <c r="I151" s="5" t="inlineStr">
        <is>
          <t>2026.1Q</t>
        </is>
      </c>
      <c r="J151" s="5" t="inlineStr">
        <is>
          <t>2026.2Q</t>
        </is>
      </c>
      <c r="K151" s="5" t="inlineStr">
        <is>
          <t>2026.3Q</t>
        </is>
      </c>
      <c r="L151" s="5" t="inlineStr">
        <is>
          <t>2026.4Q</t>
        </is>
      </c>
      <c r="M151" s="5" t="inlineStr">
        <is>
          <t>2027.1Q</t>
        </is>
      </c>
      <c r="N151" s="5" t="inlineStr">
        <is>
          <t>2027.2Q</t>
        </is>
      </c>
      <c r="O151" s="5" t="inlineStr">
        <is>
          <t>2017</t>
        </is>
      </c>
      <c r="P151" s="5" t="inlineStr">
        <is>
          <t>2018</t>
        </is>
      </c>
      <c r="Q151" s="5" t="inlineStr">
        <is>
          <t>2019</t>
        </is>
      </c>
      <c r="R151" s="5" t="inlineStr">
        <is>
          <t>2020</t>
        </is>
      </c>
      <c r="S151" s="5" t="inlineStr">
        <is>
          <t>2021</t>
        </is>
      </c>
      <c r="T151" s="5" t="inlineStr">
        <is>
          <t>2022</t>
        </is>
      </c>
      <c r="U151" s="5" t="inlineStr">
        <is>
          <t>2023</t>
        </is>
      </c>
      <c r="V151" s="5" t="inlineStr">
        <is>
          <t>2024</t>
        </is>
      </c>
      <c r="W151" s="5" t="inlineStr">
        <is>
          <t>2025</t>
        </is>
      </c>
      <c r="X151" s="5" t="inlineStr">
        <is>
          <t>2026</t>
        </is>
      </c>
      <c r="Y151" s="5" t="inlineStr">
        <is>
          <t>2027(MW)</t>
        </is>
      </c>
      <c r="Z151" s="5" t="inlineStr">
        <is>
          <t>2028(MW)</t>
        </is>
      </c>
      <c r="AA151" s="5" t="inlineStr">
        <is>
          <t>2029(MW)</t>
        </is>
      </c>
      <c r="AB151" s="5" t="inlineStr">
        <is>
          <t>2030(MW)</t>
        </is>
      </c>
      <c r="AC151" s="5" t="inlineStr">
        <is>
          <t>2031(MW)</t>
        </is>
      </c>
    </row>
    <row r="152">
      <c r="A152" s="9" t="inlineStr">
        <is>
          <t>순이익</t>
        </is>
      </c>
      <c r="C152" s="12" t="n">
        <v>-66.035</v>
      </c>
      <c r="D152" s="12" t="n">
        <v>94.04300000000001</v>
      </c>
      <c r="E152" s="12" t="n">
        <v>841.244</v>
      </c>
      <c r="F152" s="12" t="n">
        <v>181.283</v>
      </c>
      <c r="G152" s="12" t="n">
        <v>132.105</v>
      </c>
      <c r="H152" s="12" t="n">
        <v>-176.592</v>
      </c>
      <c r="I152" s="12" t="n">
        <v>345.683</v>
      </c>
      <c r="J152" s="12" t="n">
        <v>114.508</v>
      </c>
      <c r="K152" s="12" t="n">
        <v>94.645</v>
      </c>
      <c r="L152" s="12" t="n">
        <v>17.35</v>
      </c>
      <c r="M152" s="12" t="n">
        <v>20.306</v>
      </c>
      <c r="N152" s="12" t="n">
        <v>666.106</v>
      </c>
      <c r="T152" s="12" t="n">
        <v>-295.205</v>
      </c>
      <c r="U152" s="12" t="n">
        <v>13.875</v>
      </c>
      <c r="V152" s="12" t="n">
        <v>94.04300000000001</v>
      </c>
      <c r="W152" s="12" t="n">
        <v>-176.592</v>
      </c>
      <c r="X152" s="12" t="n">
        <v>17.35</v>
      </c>
    </row>
    <row r="153">
      <c r="A153" s="18" t="inlineStr">
        <is>
          <t>기타유가증권 평가차액</t>
        </is>
      </c>
      <c r="C153" s="20" t="n">
        <v>240.315</v>
      </c>
      <c r="D153" s="20" t="n">
        <v>198.969</v>
      </c>
      <c r="E153" s="20" t="n">
        <v>130.388</v>
      </c>
      <c r="F153" s="20" t="n">
        <v>-86.36</v>
      </c>
      <c r="G153" s="20" t="n">
        <v>607.907</v>
      </c>
      <c r="H153" s="20" t="n">
        <v>253.18</v>
      </c>
      <c r="I153" s="20" t="n">
        <v>1558.623</v>
      </c>
      <c r="J153" s="20" t="n">
        <v>-482.801</v>
      </c>
      <c r="K153" s="20" t="n">
        <v>-137.86</v>
      </c>
      <c r="L153" s="20" t="n">
        <v>-6.725</v>
      </c>
      <c r="M153" s="20" t="n">
        <v>338.715</v>
      </c>
      <c r="N153" s="20" t="n">
        <v>719.39</v>
      </c>
      <c r="T153" s="20" t="n">
        <v>-155.062</v>
      </c>
      <c r="U153" s="20" t="n">
        <v>-23.769</v>
      </c>
      <c r="V153" s="20" t="n">
        <v>198.969</v>
      </c>
      <c r="W153" s="20" t="n">
        <v>253.18</v>
      </c>
      <c r="X153" s="20" t="n">
        <v>-6.725</v>
      </c>
    </row>
    <row r="154">
      <c r="A154" s="18" t="inlineStr">
        <is>
          <t>이연헤지손익</t>
        </is>
      </c>
      <c r="C154" s="20" t="n">
        <v>-125.48</v>
      </c>
      <c r="D154" s="20" t="n">
        <v>68.89100000000001</v>
      </c>
      <c r="E154" s="20" t="n">
        <v>34.076</v>
      </c>
      <c r="F154" s="20" t="n">
        <v>-62.215</v>
      </c>
      <c r="G154" s="20" t="n">
        <v>61.489</v>
      </c>
      <c r="H154" s="20" t="n">
        <v>-44.976</v>
      </c>
      <c r="I154" s="20" t="n">
        <v>-13.623</v>
      </c>
      <c r="J154" s="20" t="n">
        <v>12.208</v>
      </c>
      <c r="K154" s="20" t="n">
        <v>15.477</v>
      </c>
      <c r="L154" s="20" t="n">
        <v>16.971</v>
      </c>
      <c r="M154" s="20" t="n">
        <v>-9.69</v>
      </c>
      <c r="N154" s="20" t="n">
        <v>-25.261</v>
      </c>
      <c r="T154" s="20" t="n">
        <v>39.984</v>
      </c>
      <c r="U154" s="20" t="n">
        <v>15.451</v>
      </c>
      <c r="V154" s="20" t="n">
        <v>68.89100000000001</v>
      </c>
      <c r="W154" s="20" t="n">
        <v>-44.976</v>
      </c>
      <c r="X154" s="20" t="n">
        <v>16.971</v>
      </c>
    </row>
    <row r="155">
      <c r="A155" s="18" t="inlineStr">
        <is>
          <t>해외사업환산조정</t>
        </is>
      </c>
      <c r="C155" s="20" t="n">
        <v>94.94</v>
      </c>
      <c r="D155" s="20" t="n">
        <v>-121.755</v>
      </c>
      <c r="E155" s="20" t="n">
        <v>157.948</v>
      </c>
      <c r="F155" s="20" t="n">
        <v>260.241</v>
      </c>
      <c r="G155" s="20" t="n">
        <v>-363.676</v>
      </c>
      <c r="H155" s="20" t="n">
        <v>262.124</v>
      </c>
      <c r="I155" s="20" t="n">
        <v>-258.575</v>
      </c>
      <c r="J155" s="20" t="n">
        <v>-52.492</v>
      </c>
      <c r="K155" s="20" t="n">
        <v>130.031</v>
      </c>
      <c r="L155" s="20" t="n">
        <v>280.474</v>
      </c>
      <c r="M155" s="20" t="n">
        <v>45.402</v>
      </c>
      <c r="N155" s="20" t="n">
        <v>96.794</v>
      </c>
      <c r="T155" s="20" t="n">
        <v>122.067</v>
      </c>
      <c r="U155" s="20" t="n">
        <v>-270.705</v>
      </c>
      <c r="V155" s="20" t="n">
        <v>-121.755</v>
      </c>
      <c r="W155" s="20" t="n">
        <v>262.124</v>
      </c>
      <c r="X155" s="20" t="n">
        <v>280.474</v>
      </c>
    </row>
    <row r="156">
      <c r="A156" s="18" t="inlineStr">
        <is>
          <t>기타포괄손익 합계</t>
        </is>
      </c>
      <c r="C156" s="20" t="n">
        <v>209.777</v>
      </c>
      <c r="D156" s="20" t="n">
        <v>146.104</v>
      </c>
      <c r="E156" s="20" t="n">
        <v>322.413</v>
      </c>
      <c r="F156" s="20" t="n">
        <v>111.666</v>
      </c>
      <c r="G156" s="20" t="n">
        <v>305.72</v>
      </c>
      <c r="H156" s="20" t="n">
        <v>468.888</v>
      </c>
      <c r="I156" s="20" t="n">
        <v>1286.423</v>
      </c>
      <c r="J156" s="20" t="n">
        <v>-523.0839999999999</v>
      </c>
      <c r="K156" s="20" t="n">
        <v>7.648</v>
      </c>
      <c r="L156" s="20" t="n">
        <v>290.723</v>
      </c>
      <c r="M156" s="20" t="n">
        <v>374.426</v>
      </c>
      <c r="N156" s="20" t="n">
        <v>790.923</v>
      </c>
      <c r="T156" s="20" t="n">
        <v>6.987</v>
      </c>
      <c r="U156" s="20" t="n">
        <v>-279.024</v>
      </c>
      <c r="V156" s="20" t="n">
        <v>146.104</v>
      </c>
      <c r="W156" s="20" t="n">
        <v>468.888</v>
      </c>
      <c r="X156" s="20" t="n">
        <v>290.723</v>
      </c>
    </row>
    <row r="157">
      <c r="A157" s="9" t="inlineStr">
        <is>
          <t>포괄이익</t>
        </is>
      </c>
      <c r="C157" s="12" t="n">
        <v>143.741</v>
      </c>
      <c r="D157" s="12" t="n">
        <v>240.147</v>
      </c>
      <c r="E157" s="12" t="n">
        <v>1163.658</v>
      </c>
      <c r="F157" s="12" t="n">
        <v>292.948</v>
      </c>
      <c r="G157" s="12" t="n">
        <v>437.825</v>
      </c>
      <c r="H157" s="12" t="n">
        <v>292.296</v>
      </c>
      <c r="I157" s="12" t="n">
        <v>1632.106</v>
      </c>
      <c r="J157" s="12" t="n">
        <v>-408.575</v>
      </c>
      <c r="K157" s="12" t="n">
        <v>102.293</v>
      </c>
      <c r="L157" s="12" t="n">
        <v>308.073</v>
      </c>
      <c r="M157" s="12" t="n">
        <v>394.733</v>
      </c>
      <c r="N157" s="12" t="n">
        <v>1457.029</v>
      </c>
      <c r="T157" s="12" t="n">
        <v>-288.217</v>
      </c>
      <c r="U157" s="12" t="n">
        <v>-265.15</v>
      </c>
      <c r="V157" s="12" t="n">
        <v>240.147</v>
      </c>
      <c r="W157" s="12" t="n">
        <v>292.296</v>
      </c>
      <c r="X157" s="12" t="n">
        <v>308.073</v>
      </c>
    </row>
    <row r="158">
      <c r="A158" s="9" t="inlineStr">
        <is>
          <t>지배주주 포괄이익</t>
        </is>
      </c>
      <c r="C158" s="12" t="n">
        <v>143.444</v>
      </c>
      <c r="D158" s="12" t="n">
        <v>240.489</v>
      </c>
      <c r="E158" s="12" t="n">
        <v>1162.642</v>
      </c>
      <c r="F158" s="12" t="n">
        <v>289.979</v>
      </c>
      <c r="G158" s="12" t="n">
        <v>437.584</v>
      </c>
      <c r="H158" s="12" t="n">
        <v>292.965</v>
      </c>
      <c r="I158" s="12" t="n">
        <v>1631.385</v>
      </c>
      <c r="J158" s="12" t="n">
        <v>-411.335</v>
      </c>
      <c r="K158" s="12" t="n">
        <v>101.496</v>
      </c>
      <c r="L158" s="12" t="n">
        <v>308.577</v>
      </c>
      <c r="M158" s="12" t="n">
        <v>393.714</v>
      </c>
      <c r="N158" s="12" t="n">
        <v>1457.029</v>
      </c>
      <c r="T158" s="12" t="n">
        <v>-288.992</v>
      </c>
      <c r="U158" s="12" t="n">
        <v>-264.536</v>
      </c>
      <c r="V158" s="12" t="n">
        <v>240.489</v>
      </c>
      <c r="W158" s="12" t="n">
        <v>292.965</v>
      </c>
      <c r="X158" s="12" t="n">
        <v>308.577</v>
      </c>
    </row>
    <row r="159">
      <c r="A159" s="9" t="inlineStr">
        <is>
          <t>비지배주주 포괄이익</t>
        </is>
      </c>
      <c r="C159" s="12" t="n">
        <v>0.297</v>
      </c>
      <c r="D159" s="12" t="n">
        <v>-0.342</v>
      </c>
      <c r="E159" s="12" t="n">
        <v>1.015</v>
      </c>
      <c r="F159" s="12" t="n">
        <v>2.97</v>
      </c>
      <c r="G159" s="12" t="n">
        <v>0.241</v>
      </c>
      <c r="H159" s="12" t="n">
        <v>-0.669</v>
      </c>
      <c r="I159" s="12" t="n">
        <v>0.721</v>
      </c>
      <c r="J159" s="12" t="n">
        <v>2.759</v>
      </c>
      <c r="K159" s="12" t="n">
        <v>0.798</v>
      </c>
      <c r="L159" s="12" t="n">
        <v>-0.504</v>
      </c>
      <c r="M159" s="12" t="n">
        <v>1.019</v>
      </c>
      <c r="N159" s="12" t="n">
        <v>0</v>
      </c>
      <c r="T159" s="12" t="n">
        <v>0.774</v>
      </c>
      <c r="U159" s="12" t="n">
        <v>-0.614</v>
      </c>
      <c r="V159" s="12" t="n">
        <v>-0.342</v>
      </c>
      <c r="W159" s="12" t="n">
        <v>-0.669</v>
      </c>
      <c r="X159" s="12" t="n">
        <v>-0.504</v>
      </c>
    </row>
    <row r="161">
      <c r="A161" s="16" t="inlineStr">
        <is>
          <t>부문 · 전 항목</t>
        </is>
      </c>
      <c r="B161" s="42" t="inlineStr">
        <is>
          <t>부문 · 항목</t>
        </is>
      </c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</row>
    <row r="162">
      <c r="A162" s="5" t="inlineStr">
        <is>
          <t>항목</t>
        </is>
      </c>
      <c r="B162" s="5" t="inlineStr">
        <is>
          <t>참고</t>
        </is>
      </c>
      <c r="C162" s="5" t="inlineStr">
        <is>
          <t>2024.3Q</t>
        </is>
      </c>
      <c r="D162" s="5" t="inlineStr">
        <is>
          <t>2024.4Q</t>
        </is>
      </c>
      <c r="E162" s="5" t="inlineStr">
        <is>
          <t>2025.1Q</t>
        </is>
      </c>
      <c r="F162" s="5" t="inlineStr">
        <is>
          <t>2025.2Q</t>
        </is>
      </c>
      <c r="G162" s="5" t="inlineStr">
        <is>
          <t>2025.3Q</t>
        </is>
      </c>
      <c r="H162" s="5" t="inlineStr">
        <is>
          <t>2025.4Q</t>
        </is>
      </c>
      <c r="I162" s="5" t="inlineStr">
        <is>
          <t>2026.1Q</t>
        </is>
      </c>
      <c r="J162" s="5" t="inlineStr">
        <is>
          <t>2026.2Q</t>
        </is>
      </c>
      <c r="K162" s="5" t="inlineStr">
        <is>
          <t>2026.3Q</t>
        </is>
      </c>
      <c r="L162" s="5" t="inlineStr">
        <is>
          <t>2026.4Q</t>
        </is>
      </c>
      <c r="M162" s="5" t="inlineStr">
        <is>
          <t>2027.1Q</t>
        </is>
      </c>
      <c r="N162" s="5" t="inlineStr">
        <is>
          <t>2027.2Q</t>
        </is>
      </c>
      <c r="O162" s="5" t="inlineStr">
        <is>
          <t>2017</t>
        </is>
      </c>
      <c r="P162" s="5" t="inlineStr">
        <is>
          <t>2018</t>
        </is>
      </c>
      <c r="Q162" s="5" t="inlineStr">
        <is>
          <t>2019</t>
        </is>
      </c>
      <c r="R162" s="5" t="inlineStr">
        <is>
          <t>2020</t>
        </is>
      </c>
      <c r="S162" s="5" t="inlineStr">
        <is>
          <t>2021</t>
        </is>
      </c>
      <c r="T162" s="5" t="inlineStr">
        <is>
          <t>2022</t>
        </is>
      </c>
      <c r="U162" s="5" t="inlineStr">
        <is>
          <t>2023</t>
        </is>
      </c>
      <c r="V162" s="5" t="inlineStr">
        <is>
          <t>2024</t>
        </is>
      </c>
      <c r="W162" s="5" t="inlineStr">
        <is>
          <t>2025</t>
        </is>
      </c>
      <c r="X162" s="5" t="inlineStr">
        <is>
          <t>2026</t>
        </is>
      </c>
      <c r="Y162" s="5" t="inlineStr">
        <is>
          <t>2027(MW)</t>
        </is>
      </c>
      <c r="Z162" s="5" t="inlineStr">
        <is>
          <t>2028(MW)</t>
        </is>
      </c>
      <c r="AA162" s="5" t="inlineStr">
        <is>
          <t>2029(MW)</t>
        </is>
      </c>
      <c r="AB162" s="5" t="inlineStr">
        <is>
          <t>2030(MW)</t>
        </is>
      </c>
      <c r="AC162" s="5" t="inlineStr">
        <is>
          <t>2031(MW)</t>
        </is>
      </c>
    </row>
    <row r="163">
      <c r="A163" s="18" t="inlineStr">
        <is>
          <t>부문 · 외부 고객 매출</t>
        </is>
      </c>
      <c r="C163" s="20" t="n">
        <v>4226.593</v>
      </c>
      <c r="D163" s="20" t="n">
        <v>5227.979</v>
      </c>
      <c r="E163" s="20" t="n">
        <v>4966.799</v>
      </c>
      <c r="F163" s="20" t="n">
        <v>4477.572</v>
      </c>
      <c r="G163" s="20" t="n">
        <v>4373.794</v>
      </c>
      <c r="H163" s="20" t="n">
        <v>4766.109</v>
      </c>
      <c r="I163" s="20" t="n">
        <v>4716.126</v>
      </c>
      <c r="J163" s="20" t="n">
        <v>4252.025</v>
      </c>
      <c r="K163" s="20" t="n">
        <v>4990.217</v>
      </c>
      <c r="L163" s="20" t="n">
        <v>5254.328</v>
      </c>
      <c r="M163" s="20" t="n">
        <v>4858.469</v>
      </c>
      <c r="N163" s="20" t="n">
        <v>5328.634</v>
      </c>
      <c r="V163" s="20" t="n">
        <v>5227.979</v>
      </c>
      <c r="W163" s="20" t="n">
        <v>4766.109</v>
      </c>
      <c r="X163" s="20" t="n">
        <v>5254.328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부문 · 외부 고객 매출</t>
        </is>
      </c>
      <c r="C165" s="20" t="n">
        <v>3563.039</v>
      </c>
      <c r="D165" s="20" t="n">
        <v>3980.75</v>
      </c>
      <c r="E165" s="20" t="n">
        <v>4823.013</v>
      </c>
      <c r="F165" s="20" t="n">
        <v>4079.453</v>
      </c>
      <c r="G165" s="20" t="n">
        <v>3486.212</v>
      </c>
      <c r="H165" s="20" t="n">
        <v>3847.768</v>
      </c>
      <c r="I165" s="20" t="n">
        <v>3366.596</v>
      </c>
      <c r="J165" s="20" t="n">
        <v>3044.007</v>
      </c>
      <c r="K165" s="20" t="n">
        <v>2499.108</v>
      </c>
      <c r="L165" s="20" t="n">
        <v>2988.335</v>
      </c>
      <c r="M165" s="20" t="n">
        <v>2897.406</v>
      </c>
      <c r="N165" s="20" t="n">
        <v>2933.144</v>
      </c>
      <c r="V165" s="20" t="n">
        <v>3980.75</v>
      </c>
      <c r="W165" s="20" t="n">
        <v>3847.768</v>
      </c>
      <c r="X165" s="20" t="n">
        <v>2988.335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부문 · 외부 고객 매출</t>
        </is>
      </c>
      <c r="C167" s="20" t="n">
        <v>915.1900000000001</v>
      </c>
      <c r="D167" s="20" t="n">
        <v>933.799</v>
      </c>
      <c r="E167" s="20" t="n">
        <v>924.212</v>
      </c>
      <c r="F167" s="20" t="n">
        <v>722.133</v>
      </c>
      <c r="G167" s="20" t="n">
        <v>782.538</v>
      </c>
      <c r="H167" s="20" t="n">
        <v>771.045</v>
      </c>
      <c r="I167" s="20" t="n">
        <v>629.622</v>
      </c>
      <c r="J167" s="20" t="n">
        <v>727.509</v>
      </c>
      <c r="K167" s="20" t="n">
        <v>947.96</v>
      </c>
      <c r="L167" s="20" t="n">
        <v>719.213</v>
      </c>
      <c r="M167" s="20" t="n">
        <v>491.244</v>
      </c>
      <c r="N167" s="20" t="n">
        <v>554.522</v>
      </c>
      <c r="V167" s="20" t="n">
        <v>933.799</v>
      </c>
      <c r="W167" s="20" t="n">
        <v>771.045</v>
      </c>
      <c r="X167" s="20" t="n">
        <v>719.213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보고부문 합계 · 외부 고객 매출</t>
        </is>
      </c>
      <c r="C169" s="20" t="n">
        <v>8704.823</v>
      </c>
      <c r="D169" s="20" t="n">
        <v>10142.527</v>
      </c>
      <c r="E169" s="20" t="n">
        <v>10714.025</v>
      </c>
      <c r="F169" s="20" t="n">
        <v>9279.157999999999</v>
      </c>
      <c r="G169" s="20" t="n">
        <v>8642.543</v>
      </c>
      <c r="H169" s="20" t="n">
        <v>9384.923000000001</v>
      </c>
      <c r="I169" s="20" t="n">
        <v>8712.343999999999</v>
      </c>
      <c r="J169" s="20" t="n">
        <v>8023.542</v>
      </c>
      <c r="K169" s="20" t="n">
        <v>8437.286</v>
      </c>
      <c r="L169" s="20" t="n">
        <v>8961.875</v>
      </c>
      <c r="M169" s="20" t="n">
        <v>8247.120000000001</v>
      </c>
      <c r="N169" s="20" t="n">
        <v>8816.300999999999</v>
      </c>
      <c r="V169" s="20" t="n">
        <v>10142.527</v>
      </c>
      <c r="W169" s="20" t="n">
        <v>9384.923000000001</v>
      </c>
      <c r="X169" s="20" t="n">
        <v>8961.875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기타 · 외부 고객 매출</t>
        </is>
      </c>
      <c r="C171" s="20" t="n">
        <v>402.406</v>
      </c>
      <c r="D171" s="20" t="n">
        <v>390.206</v>
      </c>
      <c r="E171" s="20" t="n">
        <v>484.673</v>
      </c>
      <c r="F171" s="20" t="n">
        <v>422.39</v>
      </c>
      <c r="G171" s="20" t="n">
        <v>433.759</v>
      </c>
      <c r="H171" s="20" t="n">
        <v>500.252</v>
      </c>
      <c r="I171" s="20" t="n">
        <v>440.957</v>
      </c>
      <c r="J171" s="20" t="n">
        <v>478.61</v>
      </c>
      <c r="K171" s="20" t="n">
        <v>653.302</v>
      </c>
      <c r="L171" s="20" t="n">
        <v>624.274</v>
      </c>
      <c r="M171" s="20" t="n">
        <v>590.984</v>
      </c>
      <c r="N171" s="20" t="n">
        <v>694.1950000000001</v>
      </c>
      <c r="V171" s="20" t="n">
        <v>390.206</v>
      </c>
      <c r="W171" s="20" t="n">
        <v>500.252</v>
      </c>
      <c r="X171" s="20" t="n">
        <v>624.274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합계 · 외부 고객 매출</t>
        </is>
      </c>
      <c r="C173" s="20" t="n">
        <v>9107.228999999999</v>
      </c>
      <c r="D173" s="20" t="n">
        <v>10532.733</v>
      </c>
      <c r="E173" s="20" t="n">
        <v>11198.698</v>
      </c>
      <c r="F173" s="20" t="n">
        <v>9701.548000000001</v>
      </c>
      <c r="G173" s="20" t="n">
        <v>9076.302</v>
      </c>
      <c r="H173" s="20" t="n">
        <v>9885.174999999999</v>
      </c>
      <c r="I173" s="20" t="n">
        <v>9153.302</v>
      </c>
      <c r="J173" s="20" t="n">
        <v>8502.152</v>
      </c>
      <c r="K173" s="20" t="n">
        <v>9090.587</v>
      </c>
      <c r="L173" s="20" t="n">
        <v>9586.148999999999</v>
      </c>
      <c r="M173" s="20" t="n">
        <v>8838.105</v>
      </c>
      <c r="N173" s="20" t="n">
        <v>9510.495999999999</v>
      </c>
      <c r="V173" s="20" t="n">
        <v>10532.733</v>
      </c>
      <c r="W173" s="20" t="n">
        <v>9885.174999999999</v>
      </c>
      <c r="X173" s="20" t="n">
        <v>9586.148999999999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H174" s="15">
        <f>IF(OR(H173="",D173=""),"",IF(D173&lt;=0,"",IFERROR(H173/D173-1,"")))</f>
        <v/>
      </c>
      <c r="I174" s="15">
        <f>IF(OR(I173="",E173=""),"",IF(E173&lt;=0,"",IFERROR(I173/E173-1,"")))</f>
        <v/>
      </c>
      <c r="J174" s="15">
        <f>IF(OR(J173="",F173=""),"",IF(F173&lt;=0,"",IFERROR(J173/F173-1,"")))</f>
        <v/>
      </c>
      <c r="K174" s="15">
        <f>IF(OR(K173="",G173=""),"",IF(G173&lt;=0,"",IFERROR(K173/G173-1,"")))</f>
        <v/>
      </c>
      <c r="L174" s="15">
        <f>IF(OR(L173="",H173=""),"",IF(H173&lt;=0,"",IFERROR(L173/H173-1,"")))</f>
        <v/>
      </c>
      <c r="M174" s="15">
        <f>IF(OR(M173="",I173=""),"",IF(I173&lt;=0,"",IFERROR(M173/I173-1,"")))</f>
        <v/>
      </c>
      <c r="N174" s="15">
        <f>IF(OR(N173="",J173=""),"",IF(J173&lt;=0,"",IFERROR(N173/J173-1,"")))</f>
        <v/>
      </c>
      <c r="V174" s="15">
        <f>IF(OR(V173="",U173=""),"",IF(U173&lt;=0,"",IFERROR(V173/U173-1,"")))</f>
        <v/>
      </c>
      <c r="W174" s="15">
        <f>IF(OR(W173="",V173=""),"",IF(V173&lt;=0,"",IFERROR(W173/V173-1,"")))</f>
        <v/>
      </c>
      <c r="X174" s="15">
        <f>IF(OR(X173="",W173=""),"",IF(W173&lt;=0,"",IFERROR(X173/W173-1,"")))</f>
        <v/>
      </c>
    </row>
    <row r="175">
      <c r="A175" s="18" t="inlineStr">
        <is>
          <t>조정액 · 외부 고객 매출</t>
        </is>
      </c>
      <c r="C175" s="20" t="n">
        <v>0</v>
      </c>
      <c r="D175" s="20" t="n">
        <v>0</v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0" t="n">
        <v>0</v>
      </c>
      <c r="V175" s="20" t="n">
        <v>0</v>
      </c>
      <c r="W175" s="20" t="n">
        <v>0</v>
      </c>
      <c r="X175" s="20" t="n">
        <v>0</v>
      </c>
    </row>
    <row r="176">
      <c r="A176" s="9" t="inlineStr">
        <is>
          <t>외부 고객 매출</t>
        </is>
      </c>
      <c r="C176" s="12" t="n">
        <v>9107.228999999999</v>
      </c>
      <c r="D176" s="12" t="n">
        <v>10532.733</v>
      </c>
      <c r="E176" s="12" t="n">
        <v>11198.698</v>
      </c>
      <c r="F176" s="12" t="n">
        <v>9701.548000000001</v>
      </c>
      <c r="G176" s="12" t="n">
        <v>9076.302</v>
      </c>
      <c r="H176" s="12" t="n">
        <v>9885.174999999999</v>
      </c>
      <c r="I176" s="12" t="n">
        <v>9153.302</v>
      </c>
      <c r="J176" s="12" t="n">
        <v>8502.152</v>
      </c>
      <c r="K176" s="12" t="n">
        <v>9090.587</v>
      </c>
      <c r="L176" s="12" t="n">
        <v>9586.148999999999</v>
      </c>
      <c r="M176" s="12" t="n">
        <v>8838.105</v>
      </c>
      <c r="N176" s="12" t="n">
        <v>9510.495999999999</v>
      </c>
      <c r="V176" s="12" t="n">
        <v>10532.733</v>
      </c>
      <c r="W176" s="12" t="n">
        <v>9885.174999999999</v>
      </c>
      <c r="X176" s="12" t="n">
        <v>9586.148999999999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J177" s="15">
        <f>IF(OR(J176="",F176=""),"",IF(F176&lt;=0,"",IFERROR(J176/F176-1,"")))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M177" s="15">
        <f>IF(OR(M176="",I176=""),"",IF(I176&lt;=0,"",IFERROR(M176/I176-1,"")))</f>
        <v/>
      </c>
      <c r="N177" s="15">
        <f>IF(OR(N176="",J176=""),"",IF(J176&lt;=0,"",IFERROR(N176/J176-1,"")))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  <c r="X177" s="15">
        <f>IF(OR(X176="",W176=""),"",IF(W176&lt;=0,"",IFERROR(X176/W176-1,"")))</f>
        <v/>
      </c>
    </row>
    <row r="178">
      <c r="A178" s="18" t="inlineStr">
        <is>
          <t>부문 · 부문 간 내부매출·대체</t>
        </is>
      </c>
      <c r="C178" s="20" t="n">
        <v>5.597</v>
      </c>
      <c r="D178" s="20" t="n">
        <v>0.127</v>
      </c>
      <c r="E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0</v>
      </c>
      <c r="K178" s="20" t="n">
        <v>0</v>
      </c>
      <c r="L178" s="20" t="n">
        <v>0</v>
      </c>
      <c r="M178" s="20" t="n">
        <v>0</v>
      </c>
      <c r="N178" s="20" t="n">
        <v>0</v>
      </c>
      <c r="V178" s="20" t="n">
        <v>0.127</v>
      </c>
      <c r="W178" s="20" t="n">
        <v>0</v>
      </c>
      <c r="X178" s="20" t="n">
        <v>0</v>
      </c>
    </row>
    <row r="179">
      <c r="A179" s="18" t="inlineStr">
        <is>
          <t>부문 · 부문 간 내부매출·대체</t>
        </is>
      </c>
      <c r="C179" s="20" t="n">
        <v>0.901</v>
      </c>
      <c r="D179" s="20" t="n">
        <v>0.9429999999999999</v>
      </c>
      <c r="E179" s="20" t="n">
        <v>3.07</v>
      </c>
      <c r="F179" s="20" t="n">
        <v>0.026</v>
      </c>
      <c r="G179" s="20" t="n">
        <v>3.247</v>
      </c>
      <c r="H179" s="20" t="n">
        <v>6.072</v>
      </c>
      <c r="I179" s="20" t="n">
        <v>5.263</v>
      </c>
      <c r="J179" s="20" t="n">
        <v>0.996</v>
      </c>
      <c r="K179" s="20" t="n">
        <v>2.965</v>
      </c>
      <c r="L179" s="20" t="n">
        <v>-0.5679999999999999</v>
      </c>
      <c r="M179" s="20" t="n">
        <v>13.3</v>
      </c>
      <c r="N179" s="20" t="n">
        <v>0</v>
      </c>
      <c r="V179" s="20" t="n">
        <v>0.9429999999999999</v>
      </c>
      <c r="W179" s="20" t="n">
        <v>6.072</v>
      </c>
      <c r="X179" s="20" t="n">
        <v>-0.5679999999999999</v>
      </c>
    </row>
    <row r="180">
      <c r="A180" s="18" t="inlineStr">
        <is>
          <t>부문 · 부문 간 내부매출·대체</t>
        </is>
      </c>
      <c r="C180" s="20" t="n">
        <v>1.733</v>
      </c>
      <c r="D180" s="20" t="n">
        <v>1.808</v>
      </c>
      <c r="E180" s="20" t="n">
        <v>0</v>
      </c>
      <c r="F180" s="20" t="n">
        <v>0</v>
      </c>
      <c r="G180" s="20" t="n">
        <v>5.107</v>
      </c>
      <c r="H180" s="20" t="n">
        <v>1.625</v>
      </c>
      <c r="I180" s="20" t="n">
        <v>1.436</v>
      </c>
      <c r="J180" s="20" t="n">
        <v>1.407</v>
      </c>
      <c r="K180" s="20" t="n">
        <v>1.364</v>
      </c>
      <c r="L180" s="20" t="n">
        <v>1.123</v>
      </c>
      <c r="M180" s="20" t="n">
        <v>0.921</v>
      </c>
      <c r="N180" s="20" t="n">
        <v>2.34</v>
      </c>
      <c r="V180" s="20" t="n">
        <v>1.808</v>
      </c>
      <c r="W180" s="20" t="n">
        <v>1.625</v>
      </c>
      <c r="X180" s="20" t="n">
        <v>1.123</v>
      </c>
    </row>
    <row r="181">
      <c r="A181" s="18" t="inlineStr">
        <is>
          <t>보고부문 합계 · 부문 간 내부매출·대체</t>
        </is>
      </c>
      <c r="C181" s="20" t="n">
        <v>8.231999999999999</v>
      </c>
      <c r="D181" s="20" t="n">
        <v>2.878</v>
      </c>
      <c r="E181" s="20" t="n">
        <v>3.07</v>
      </c>
      <c r="F181" s="20" t="n">
        <v>0.026</v>
      </c>
      <c r="G181" s="20" t="n">
        <v>8.355</v>
      </c>
      <c r="H181" s="20" t="n">
        <v>7.697</v>
      </c>
      <c r="I181" s="20" t="n">
        <v>6.7</v>
      </c>
      <c r="J181" s="20" t="n">
        <v>2.403</v>
      </c>
      <c r="K181" s="20" t="n">
        <v>4.328</v>
      </c>
      <c r="L181" s="20" t="n">
        <v>0.555</v>
      </c>
      <c r="M181" s="20" t="n">
        <v>14.221</v>
      </c>
      <c r="N181" s="20" t="n">
        <v>2.34</v>
      </c>
      <c r="V181" s="20" t="n">
        <v>2.878</v>
      </c>
      <c r="W181" s="20" t="n">
        <v>7.697</v>
      </c>
      <c r="X181" s="20" t="n">
        <v>0.555</v>
      </c>
    </row>
    <row r="182">
      <c r="A182" s="18" t="inlineStr">
        <is>
          <t>기타 · 부문 간 내부매출·대체</t>
        </is>
      </c>
      <c r="C182" s="20" t="n">
        <v>10.725</v>
      </c>
      <c r="D182" s="20" t="n">
        <v>10.833</v>
      </c>
      <c r="E182" s="20" t="n">
        <v>12.015</v>
      </c>
      <c r="F182" s="20" t="n">
        <v>12.118</v>
      </c>
      <c r="G182" s="20" t="n">
        <v>12.234</v>
      </c>
      <c r="H182" s="20" t="n">
        <v>-35.378</v>
      </c>
      <c r="I182" s="20" t="n">
        <v>0.202</v>
      </c>
      <c r="J182" s="20" t="n">
        <v>0.222</v>
      </c>
      <c r="K182" s="20" t="n">
        <v>0.227</v>
      </c>
      <c r="L182" s="20" t="n">
        <v>0.319</v>
      </c>
      <c r="M182" s="20" t="n">
        <v>0.218</v>
      </c>
      <c r="N182" s="20" t="n">
        <v>0.447</v>
      </c>
      <c r="V182" s="20" t="n">
        <v>10.833</v>
      </c>
      <c r="W182" s="20" t="n">
        <v>-35.378</v>
      </c>
      <c r="X182" s="20" t="n">
        <v>0.319</v>
      </c>
    </row>
    <row r="183">
      <c r="A183" s="18" t="inlineStr">
        <is>
          <t>합계 · 부문 간 내부매출·대체</t>
        </is>
      </c>
      <c r="C183" s="20" t="n">
        <v>18.957</v>
      </c>
      <c r="D183" s="20" t="n">
        <v>13.71</v>
      </c>
      <c r="E183" s="20" t="n">
        <v>15.086</v>
      </c>
      <c r="F183" s="20" t="n">
        <v>12.143</v>
      </c>
      <c r="G183" s="20" t="n">
        <v>20.59</v>
      </c>
      <c r="H183" s="20" t="n">
        <v>-27.682</v>
      </c>
      <c r="I183" s="20" t="n">
        <v>6.902</v>
      </c>
      <c r="J183" s="20" t="n">
        <v>2.625</v>
      </c>
      <c r="K183" s="20" t="n">
        <v>4.555</v>
      </c>
      <c r="L183" s="20" t="n">
        <v>0.874</v>
      </c>
      <c r="M183" s="20" t="n">
        <v>14.439</v>
      </c>
      <c r="N183" s="20" t="n">
        <v>2.788</v>
      </c>
      <c r="V183" s="20" t="n">
        <v>13.71</v>
      </c>
      <c r="W183" s="20" t="n">
        <v>-27.682</v>
      </c>
      <c r="X183" s="20" t="n">
        <v>0.874</v>
      </c>
    </row>
    <row r="184">
      <c r="A184" s="18" t="inlineStr">
        <is>
          <t>조정액 · 부문 간 내부매출·대체</t>
        </is>
      </c>
      <c r="C184" s="20" t="n">
        <v>-18.957</v>
      </c>
      <c r="D184" s="20" t="n">
        <v>-13.71</v>
      </c>
      <c r="E184" s="20" t="n">
        <v>-15.086</v>
      </c>
      <c r="F184" s="20" t="n">
        <v>-12.143</v>
      </c>
      <c r="G184" s="20" t="n">
        <v>-20.59</v>
      </c>
      <c r="H184" s="20" t="n">
        <v>27.682</v>
      </c>
      <c r="I184" s="20" t="n">
        <v>-6.902</v>
      </c>
      <c r="J184" s="20" t="n">
        <v>-2.625</v>
      </c>
      <c r="K184" s="20" t="n">
        <v>-4.555</v>
      </c>
      <c r="L184" s="20" t="n">
        <v>-0.874</v>
      </c>
      <c r="M184" s="20" t="n">
        <v>-14.439</v>
      </c>
      <c r="N184" s="20" t="n">
        <v>-2.788</v>
      </c>
      <c r="V184" s="20" t="n">
        <v>-13.71</v>
      </c>
      <c r="W184" s="20" t="n">
        <v>27.682</v>
      </c>
      <c r="X184" s="20" t="n">
        <v>-0.874</v>
      </c>
    </row>
    <row r="185">
      <c r="A185" s="18" t="inlineStr">
        <is>
          <t>부문 간 내부매출·대체</t>
        </is>
      </c>
      <c r="C185" s="20" t="n">
        <v>0</v>
      </c>
      <c r="D185" s="20" t="n">
        <v>0</v>
      </c>
      <c r="E185" s="20" t="n">
        <v>0</v>
      </c>
      <c r="F185" s="20" t="n">
        <v>0</v>
      </c>
      <c r="G185" s="20" t="n">
        <v>0</v>
      </c>
      <c r="H185" s="20" t="n">
        <v>0</v>
      </c>
      <c r="I185" s="20" t="n">
        <v>0</v>
      </c>
      <c r="J185" s="20" t="n">
        <v>0</v>
      </c>
      <c r="K185" s="20" t="n">
        <v>0</v>
      </c>
      <c r="L185" s="20" t="n">
        <v>0</v>
      </c>
      <c r="M185" s="20" t="n">
        <v>0</v>
      </c>
      <c r="N185" s="20" t="n">
        <v>0</v>
      </c>
      <c r="V185" s="20" t="n">
        <v>0</v>
      </c>
      <c r="W185" s="20" t="n">
        <v>0</v>
      </c>
      <c r="X185" s="20" t="n">
        <v>0</v>
      </c>
    </row>
    <row r="186">
      <c r="A186" s="18" t="inlineStr">
        <is>
          <t>부문 · 계</t>
        </is>
      </c>
      <c r="C186" s="20" t="n">
        <v>4232.19</v>
      </c>
      <c r="D186" s="20" t="n">
        <v>5228.107</v>
      </c>
      <c r="E186" s="20" t="n">
        <v>4966.799</v>
      </c>
      <c r="F186" s="20" t="n">
        <v>4477.572</v>
      </c>
      <c r="G186" s="20" t="n">
        <v>4373.794</v>
      </c>
      <c r="H186" s="20" t="n">
        <v>4766.11</v>
      </c>
      <c r="I186" s="20" t="n">
        <v>4716.126</v>
      </c>
      <c r="J186" s="20" t="n">
        <v>4252.025</v>
      </c>
      <c r="K186" s="20" t="n">
        <v>4990.217</v>
      </c>
      <c r="L186" s="20" t="n">
        <v>5254.328</v>
      </c>
      <c r="M186" s="20" t="n">
        <v>4858.469</v>
      </c>
      <c r="N186" s="20" t="n">
        <v>5328.634</v>
      </c>
      <c r="V186" s="20" t="n">
        <v>5228.107</v>
      </c>
      <c r="W186" s="20" t="n">
        <v>4766.11</v>
      </c>
      <c r="X186" s="20" t="n">
        <v>5254.328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K187" s="15">
        <f>IF(OR(K186="",G186=""),"",IF(G186&lt;=0,"",IFERROR(K186/G186-1,"")))</f>
        <v/>
      </c>
      <c r="L187" s="15">
        <f>IF(OR(L186="",H186=""),"",IF(H186&lt;=0,"",IFERROR(L186/H186-1,"")))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부문 · 계</t>
        </is>
      </c>
      <c r="C188" s="20" t="n">
        <v>3563.941</v>
      </c>
      <c r="D188" s="20" t="n">
        <v>3981.692</v>
      </c>
      <c r="E188" s="20" t="n">
        <v>4826.083</v>
      </c>
      <c r="F188" s="20" t="n">
        <v>4079.48</v>
      </c>
      <c r="G188" s="20" t="n">
        <v>3489.459</v>
      </c>
      <c r="H188" s="20" t="n">
        <v>3853.84</v>
      </c>
      <c r="I188" s="20" t="n">
        <v>3371.859</v>
      </c>
      <c r="J188" s="20" t="n">
        <v>3045.003</v>
      </c>
      <c r="K188" s="20" t="n">
        <v>2502.074</v>
      </c>
      <c r="L188" s="20" t="n">
        <v>2987.766</v>
      </c>
      <c r="M188" s="20" t="n">
        <v>2910.706</v>
      </c>
      <c r="N188" s="20" t="n">
        <v>2933.144</v>
      </c>
      <c r="V188" s="20" t="n">
        <v>3981.692</v>
      </c>
      <c r="W188" s="20" t="n">
        <v>3853.84</v>
      </c>
      <c r="X188" s="20" t="n">
        <v>2987.766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IF(OR(G188="",C188=""),"",IF(C188&lt;=0,"",IFERROR(G188/C188-1,"")))</f>
        <v/>
      </c>
      <c r="H189" s="15">
        <f>IF(OR(H188="",D188=""),"",IF(D188&lt;=0,"",IFERROR(H188/D188-1,"")))</f>
        <v/>
      </c>
      <c r="I189" s="15">
        <f>IF(OR(I188="",E188=""),"",IF(E188&lt;=0,"",IFERROR(I188/E188-1,"")))</f>
        <v/>
      </c>
      <c r="J189" s="15">
        <f>IF(OR(J188="",F188=""),"",IF(F188&lt;=0,"",IFERROR(J188/F188-1,"")))</f>
        <v/>
      </c>
      <c r="K189" s="15">
        <f>IF(OR(K188="",G188=""),"",IF(G188&lt;=0,"",IFERROR(K188/G188-1,"")))</f>
        <v/>
      </c>
      <c r="L189" s="15">
        <f>IF(OR(L188="",H188=""),"",IF(H188&lt;=0,"",IFERROR(L188/H188-1,"")))</f>
        <v/>
      </c>
      <c r="M189" s="15">
        <f>IF(OR(M188="",I188=""),"",IF(I188&lt;=0,"",IFERROR(M188/I188-1,"")))</f>
        <v/>
      </c>
      <c r="N189" s="15">
        <f>IF(OR(N188="",J188=""),"",IF(J188&lt;=0,"",IFERROR(N188/J188-1,"")))</f>
        <v/>
      </c>
      <c r="V189" s="15">
        <f>IF(OR(V188="",U188=""),"",IF(U188&lt;=0,"",IFERROR(V188/U188-1,"")))</f>
        <v/>
      </c>
      <c r="W189" s="15">
        <f>IF(OR(W188="",V188=""),"",IF(V188&lt;=0,"",IFERROR(W188/V188-1,"")))</f>
        <v/>
      </c>
      <c r="X189" s="15">
        <f>IF(OR(X188="",W188=""),"",IF(W188&lt;=0,"",IFERROR(X188/W188-1,"")))</f>
        <v/>
      </c>
    </row>
    <row r="190">
      <c r="A190" s="18" t="inlineStr">
        <is>
          <t>부문 · 계</t>
        </is>
      </c>
      <c r="C190" s="20" t="n">
        <v>916.923</v>
      </c>
      <c r="D190" s="20" t="n">
        <v>935.606</v>
      </c>
      <c r="E190" s="20" t="n">
        <v>924.212</v>
      </c>
      <c r="F190" s="20" t="n">
        <v>722.133</v>
      </c>
      <c r="G190" s="20" t="n">
        <v>787.645</v>
      </c>
      <c r="H190" s="20" t="n">
        <v>772.67</v>
      </c>
      <c r="I190" s="20" t="n">
        <v>631.059</v>
      </c>
      <c r="J190" s="20" t="n">
        <v>728.9160000000001</v>
      </c>
      <c r="K190" s="20" t="n">
        <v>949.324</v>
      </c>
      <c r="L190" s="20" t="n">
        <v>720.335</v>
      </c>
      <c r="M190" s="20" t="n">
        <v>492.165</v>
      </c>
      <c r="N190" s="20" t="n">
        <v>556.862</v>
      </c>
      <c r="V190" s="20" t="n">
        <v>935.606</v>
      </c>
      <c r="W190" s="20" t="n">
        <v>772.67</v>
      </c>
      <c r="X190" s="20" t="n">
        <v>720.335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보고부문 합계 · 계</t>
        </is>
      </c>
      <c r="C192" s="20" t="n">
        <v>8713.055</v>
      </c>
      <c r="D192" s="20" t="n">
        <v>10145.404</v>
      </c>
      <c r="E192" s="20" t="n">
        <v>10717.095</v>
      </c>
      <c r="F192" s="20" t="n">
        <v>9279.183999999999</v>
      </c>
      <c r="G192" s="20" t="n">
        <v>8650.897999999999</v>
      </c>
      <c r="H192" s="20" t="n">
        <v>9392.620000000001</v>
      </c>
      <c r="I192" s="20" t="n">
        <v>8719.045</v>
      </c>
      <c r="J192" s="20" t="n">
        <v>8025.944</v>
      </c>
      <c r="K192" s="20" t="n">
        <v>8441.615</v>
      </c>
      <c r="L192" s="20" t="n">
        <v>8962.43</v>
      </c>
      <c r="M192" s="20" t="n">
        <v>8261.341</v>
      </c>
      <c r="N192" s="20" t="n">
        <v>8818.641</v>
      </c>
      <c r="V192" s="20" t="n">
        <v>10145.404</v>
      </c>
      <c r="W192" s="20" t="n">
        <v>9392.620000000001</v>
      </c>
      <c r="X192" s="20" t="n">
        <v>8962.43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IF(OR(G192="",C192=""),"",IF(C192&lt;=0,"",IFERROR(G192/C192-1,"")))</f>
        <v/>
      </c>
      <c r="H193" s="15">
        <f>IF(OR(H192="",D192=""),"",IF(D192&lt;=0,"",IFERROR(H192/D192-1,"")))</f>
        <v/>
      </c>
      <c r="I193" s="15">
        <f>IF(OR(I192="",E192=""),"",IF(E192&lt;=0,"",IFERROR(I192/E192-1,"")))</f>
        <v/>
      </c>
      <c r="J193" s="15">
        <f>IF(OR(J192="",F192=""),"",IF(F192&lt;=0,"",IFERROR(J192/F192-1,"")))</f>
        <v/>
      </c>
      <c r="K193" s="15">
        <f>IF(OR(K192="",G192=""),"",IF(G192&lt;=0,"",IFERROR(K192/G192-1,"")))</f>
        <v/>
      </c>
      <c r="L193" s="15">
        <f>IF(OR(L192="",H192=""),"",IF(H192&lt;=0,"",IFERROR(L192/H192-1,"")))</f>
        <v/>
      </c>
      <c r="M193" s="15">
        <f>IF(OR(M192="",I192=""),"",IF(I192&lt;=0,"",IFERROR(M192/I192-1,"")))</f>
        <v/>
      </c>
      <c r="N193" s="15">
        <f>IF(OR(N192="",J192=""),"",IF(J192&lt;=0,"",IFERROR(N192/J192-1,"")))</f>
        <v/>
      </c>
      <c r="V193" s="15">
        <f>IF(OR(V192="",U192=""),"",IF(U192&lt;=0,"",IFERROR(V192/U192-1,"")))</f>
        <v/>
      </c>
      <c r="W193" s="15">
        <f>IF(OR(W192="",V192=""),"",IF(V192&lt;=0,"",IFERROR(W192/V192-1,"")))</f>
        <v/>
      </c>
      <c r="X193" s="15">
        <f>IF(OR(X192="",W192=""),"",IF(W192&lt;=0,"",IFERROR(X192/W192-1,"")))</f>
        <v/>
      </c>
    </row>
    <row r="194">
      <c r="A194" s="18" t="inlineStr">
        <is>
          <t>기타 · 계</t>
        </is>
      </c>
      <c r="C194" s="20" t="n">
        <v>413.131</v>
      </c>
      <c r="D194" s="20" t="n">
        <v>401.038</v>
      </c>
      <c r="E194" s="20" t="n">
        <v>496.689</v>
      </c>
      <c r="F194" s="20" t="n">
        <v>434.507</v>
      </c>
      <c r="G194" s="20" t="n">
        <v>445.994</v>
      </c>
      <c r="H194" s="20" t="n">
        <v>464.873</v>
      </c>
      <c r="I194" s="20" t="n">
        <v>441.159</v>
      </c>
      <c r="J194" s="20" t="n">
        <v>478.832</v>
      </c>
      <c r="K194" s="20" t="n">
        <v>653.529</v>
      </c>
      <c r="L194" s="20" t="n">
        <v>624.593</v>
      </c>
      <c r="M194" s="20" t="n">
        <v>591.202</v>
      </c>
      <c r="N194" s="20" t="n">
        <v>694.643</v>
      </c>
      <c r="V194" s="20" t="n">
        <v>401.038</v>
      </c>
      <c r="W194" s="20" t="n">
        <v>464.873</v>
      </c>
      <c r="X194" s="20" t="n">
        <v>624.593</v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G195" s="15">
        <f>IF(OR(G194="",C194=""),"",IF(C194&lt;=0,"",IFERROR(G194/C194-1,"")))</f>
        <v/>
      </c>
      <c r="H195" s="15">
        <f>IF(OR(H194="",D194=""),"",IF(D194&lt;=0,"",IFERROR(H194/D194-1,"")))</f>
        <v/>
      </c>
      <c r="I195" s="15">
        <f>IF(OR(I194="",E194=""),"",IF(E194&lt;=0,"",IFERROR(I194/E194-1,"")))</f>
        <v/>
      </c>
      <c r="J195" s="15">
        <f>IF(OR(J194="",F194=""),"",IF(F194&lt;=0,"",IFERROR(J194/F194-1,"")))</f>
        <v/>
      </c>
      <c r="K195" s="15">
        <f>IF(OR(K194="",G194=""),"",IF(G194&lt;=0,"",IFERROR(K194/G194-1,"")))</f>
        <v/>
      </c>
      <c r="L195" s="15">
        <f>IF(OR(L194="",H194=""),"",IF(H194&lt;=0,"",IFERROR(L194/H194-1,"")))</f>
        <v/>
      </c>
      <c r="M195" s="15">
        <f>IF(OR(M194="",I194=""),"",IF(I194&lt;=0,"",IFERROR(M194/I194-1,"")))</f>
        <v/>
      </c>
      <c r="N195" s="15">
        <f>IF(OR(N194="",J194=""),"",IF(J194&lt;=0,"",IFERROR(N194/J194-1,"")))</f>
        <v/>
      </c>
      <c r="V195" s="15">
        <f>IF(OR(V194="",U194=""),"",IF(U194&lt;=0,"",IFERROR(V194/U194-1,"")))</f>
        <v/>
      </c>
      <c r="W195" s="15">
        <f>IF(OR(W194="",V194=""),"",IF(V194&lt;=0,"",IFERROR(W194/V194-1,"")))</f>
        <v/>
      </c>
      <c r="X195" s="15">
        <f>IF(OR(X194="",W194=""),"",IF(W194&lt;=0,"",IFERROR(X194/W194-1,"")))</f>
        <v/>
      </c>
    </row>
    <row r="196">
      <c r="A196" s="18" t="inlineStr">
        <is>
          <t>합계 · 계</t>
        </is>
      </c>
      <c r="C196" s="20" t="n">
        <v>9126.186</v>
      </c>
      <c r="D196" s="20" t="n">
        <v>10546.442</v>
      </c>
      <c r="E196" s="20" t="n">
        <v>11213.784</v>
      </c>
      <c r="F196" s="20" t="n">
        <v>9713.691999999999</v>
      </c>
      <c r="G196" s="20" t="n">
        <v>9096.892</v>
      </c>
      <c r="H196" s="20" t="n">
        <v>9857.493</v>
      </c>
      <c r="I196" s="20" t="n">
        <v>9160.204</v>
      </c>
      <c r="J196" s="20" t="n">
        <v>8504.777</v>
      </c>
      <c r="K196" s="20" t="n">
        <v>9095.143</v>
      </c>
      <c r="L196" s="20" t="n">
        <v>9587.022999999999</v>
      </c>
      <c r="M196" s="20" t="n">
        <v>8852.544</v>
      </c>
      <c r="N196" s="20" t="n">
        <v>9513.284</v>
      </c>
      <c r="V196" s="20" t="n">
        <v>10546.442</v>
      </c>
      <c r="W196" s="20" t="n">
        <v>9857.493</v>
      </c>
      <c r="X196" s="20" t="n">
        <v>9587.022999999999</v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IF(OR(G196="",C196=""),"",IF(C196&lt;=0,"",IFERROR(G196/C196-1,"")))</f>
        <v/>
      </c>
      <c r="H197" s="15">
        <f>IF(OR(H196="",D196=""),"",IF(D196&lt;=0,"",IFERROR(H196/D196-1,"")))</f>
        <v/>
      </c>
      <c r="I197" s="15">
        <f>IF(OR(I196="",E196=""),"",IF(E196&lt;=0,"",IFERROR(I196/E196-1,"")))</f>
        <v/>
      </c>
      <c r="J197" s="15">
        <f>IF(OR(J196="",F196=""),"",IF(F196&lt;=0,"",IFERROR(J196/F196-1,"")))</f>
        <v/>
      </c>
      <c r="K197" s="15">
        <f>IF(OR(K196="",G196=""),"",IF(G196&lt;=0,"",IFERROR(K196/G196-1,"")))</f>
        <v/>
      </c>
      <c r="L197" s="15">
        <f>IF(OR(L196="",H196=""),"",IF(H196&lt;=0,"",IFERROR(L196/H196-1,"")))</f>
        <v/>
      </c>
      <c r="M197" s="15">
        <f>IF(OR(M196="",I196=""),"",IF(I196&lt;=0,"",IFERROR(M196/I196-1,"")))</f>
        <v/>
      </c>
      <c r="N197" s="15">
        <f>IF(OR(N196="",J196=""),"",IF(J196&lt;=0,"",IFERROR(N196/J196-1,"")))</f>
        <v/>
      </c>
      <c r="V197" s="15">
        <f>IF(OR(V196="",U196=""),"",IF(U196&lt;=0,"",IFERROR(V196/U196-1,"")))</f>
        <v/>
      </c>
      <c r="W197" s="15">
        <f>IF(OR(W196="",V196=""),"",IF(V196&lt;=0,"",IFERROR(W196/V196-1,"")))</f>
        <v/>
      </c>
      <c r="X197" s="15">
        <f>IF(OR(X196="",W196=""),"",IF(W196&lt;=0,"",IFERROR(X196/W196-1,"")))</f>
        <v/>
      </c>
    </row>
    <row r="198">
      <c r="A198" s="18" t="inlineStr">
        <is>
          <t>조정액 · 계</t>
        </is>
      </c>
      <c r="C198" s="20" t="n">
        <v>-18.957</v>
      </c>
      <c r="D198" s="20" t="n">
        <v>-13.71</v>
      </c>
      <c r="E198" s="20" t="n">
        <v>-15.086</v>
      </c>
      <c r="F198" s="20" t="n">
        <v>-12.143</v>
      </c>
      <c r="G198" s="20" t="n">
        <v>-20.59</v>
      </c>
      <c r="H198" s="20" t="n">
        <v>27.682</v>
      </c>
      <c r="I198" s="20" t="n">
        <v>-6.902</v>
      </c>
      <c r="J198" s="20" t="n">
        <v>-2.625</v>
      </c>
      <c r="K198" s="20" t="n">
        <v>-4.555</v>
      </c>
      <c r="L198" s="20" t="n">
        <v>-0.874</v>
      </c>
      <c r="M198" s="20" t="n">
        <v>-14.439</v>
      </c>
      <c r="N198" s="20" t="n">
        <v>-2.788</v>
      </c>
      <c r="V198" s="20" t="n">
        <v>-13.71</v>
      </c>
      <c r="W198" s="20" t="n">
        <v>27.682</v>
      </c>
      <c r="X198" s="20" t="n">
        <v>-0.874</v>
      </c>
    </row>
    <row r="199">
      <c r="A199" s="9" t="inlineStr">
        <is>
          <t>계</t>
        </is>
      </c>
      <c r="C199" s="12" t="n">
        <v>9107.228999999999</v>
      </c>
      <c r="D199" s="12" t="n">
        <v>10532.733</v>
      </c>
      <c r="E199" s="12" t="n">
        <v>11198.698</v>
      </c>
      <c r="F199" s="12" t="n">
        <v>9701.548000000001</v>
      </c>
      <c r="G199" s="12" t="n">
        <v>9076.302</v>
      </c>
      <c r="H199" s="12" t="n">
        <v>9885.174999999999</v>
      </c>
      <c r="I199" s="12" t="n">
        <v>9153.302</v>
      </c>
      <c r="J199" s="12" t="n">
        <v>8502.152</v>
      </c>
      <c r="K199" s="12" t="n">
        <v>9090.587</v>
      </c>
      <c r="L199" s="12" t="n">
        <v>9586.148999999999</v>
      </c>
      <c r="M199" s="12" t="n">
        <v>8838.105</v>
      </c>
      <c r="N199" s="12" t="n">
        <v>9510.495999999999</v>
      </c>
      <c r="V199" s="12" t="n">
        <v>10532.733</v>
      </c>
      <c r="W199" s="12" t="n">
        <v>9885.174999999999</v>
      </c>
      <c r="X199" s="12" t="n">
        <v>9586.148999999999</v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IF(OR(G199="",C199=""),"",IF(C199&lt;=0,"",IFERROR(G199/C199-1,"")))</f>
        <v/>
      </c>
      <c r="H200" s="15">
        <f>IF(OR(H199="",D199=""),"",IF(D199&lt;=0,"",IFERROR(H199/D199-1,"")))</f>
        <v/>
      </c>
      <c r="I200" s="15">
        <f>IF(OR(I199="",E199=""),"",IF(E199&lt;=0,"",IFERROR(I199/E199-1,"")))</f>
        <v/>
      </c>
      <c r="J200" s="15">
        <f>IF(OR(J199="",F199=""),"",IF(F199&lt;=0,"",IFERROR(J199/F199-1,"")))</f>
        <v/>
      </c>
      <c r="K200" s="15">
        <f>IF(OR(K199="",G199=""),"",IF(G199&lt;=0,"",IFERROR(K199/G199-1,"")))</f>
        <v/>
      </c>
      <c r="L200" s="15">
        <f>IF(OR(L199="",H199=""),"",IF(H199&lt;=0,"",IFERROR(L199/H199-1,"")))</f>
        <v/>
      </c>
      <c r="M200" s="15">
        <f>IF(OR(M199="",I199=""),"",IF(I199&lt;=0,"",IFERROR(M199/I199-1,"")))</f>
        <v/>
      </c>
      <c r="N200" s="15">
        <f>IF(OR(N199="",J199=""),"",IF(J199&lt;=0,"",IFERROR(N199/J199-1,"")))</f>
        <v/>
      </c>
      <c r="V200" s="15">
        <f>IF(OR(V199="",U199=""),"",IF(U199&lt;=0,"",IFERROR(V199/U199-1,"")))</f>
        <v/>
      </c>
      <c r="W200" s="15">
        <f>IF(OR(W199="",V199=""),"",IF(V199&lt;=0,"",IFERROR(W199/V199-1,"")))</f>
        <v/>
      </c>
      <c r="X200" s="15">
        <f>IF(OR(X199="",W199=""),"",IF(W199&lt;=0,"",IFERROR(X199/W199-1,"")))</f>
        <v/>
      </c>
    </row>
    <row r="201">
      <c r="A201" s="18" t="inlineStr">
        <is>
          <t>부문 · 부문 이익(손실)</t>
        </is>
      </c>
      <c r="C201" s="20" t="n">
        <v>167.322</v>
      </c>
      <c r="D201" s="20" t="n">
        <v>285.51</v>
      </c>
      <c r="E201" s="20" t="n">
        <v>390.105</v>
      </c>
      <c r="F201" s="20" t="n">
        <v>277.067</v>
      </c>
      <c r="G201" s="20" t="n">
        <v>256.3</v>
      </c>
      <c r="H201" s="20" t="n">
        <v>280.54</v>
      </c>
      <c r="I201" s="20" t="n">
        <v>350.081</v>
      </c>
      <c r="J201" s="20" t="n">
        <v>182.754</v>
      </c>
      <c r="K201" s="20" t="n">
        <v>271.42</v>
      </c>
      <c r="L201" s="20" t="n">
        <v>344.715</v>
      </c>
      <c r="M201" s="20" t="n">
        <v>312.274</v>
      </c>
      <c r="N201" s="20" t="n">
        <v>337.959</v>
      </c>
      <c r="V201" s="20" t="n">
        <v>285.51</v>
      </c>
      <c r="W201" s="20" t="n">
        <v>280.54</v>
      </c>
      <c r="X201" s="20" t="n">
        <v>344.715</v>
      </c>
    </row>
    <row r="202">
      <c r="A202" s="43" t="inlineStr">
        <is>
          <t>OPM</t>
        </is>
      </c>
      <c r="B202" s="3" t="inlineStr">
        <is>
          <t>영업이익 ÷ 매출</t>
        </is>
      </c>
      <c r="C202" s="15">
        <f>IF(OR(C201="",C186=""),"",IF(C186&lt;=0,"",IFERROR(C201/C186,"")))</f>
        <v/>
      </c>
      <c r="D202" s="15">
        <f>IF(OR(D201="",D186=""),"",IF(D186&lt;=0,"",IFERROR(D201/D186,"")))</f>
        <v/>
      </c>
      <c r="E202" s="15">
        <f>IF(OR(E201="",E186=""),"",IF(E186&lt;=0,"",IFERROR(E201/E186,"")))</f>
        <v/>
      </c>
      <c r="F202" s="15">
        <f>IF(OR(F201="",F186=""),"",IF(F186&lt;=0,"",IFERROR(F201/F186,"")))</f>
        <v/>
      </c>
      <c r="G202" s="15">
        <f>IF(OR(G201="",G186=""),"",IF(G186&lt;=0,"",IFERROR(G201/G186,"")))</f>
        <v/>
      </c>
      <c r="H202" s="15">
        <f>IF(OR(H201="",H186=""),"",IF(H186&lt;=0,"",IFERROR(H201/H186,"")))</f>
        <v/>
      </c>
      <c r="I202" s="15">
        <f>IF(OR(I201="",I186=""),"",IF(I186&lt;=0,"",IFERROR(I201/I186,"")))</f>
        <v/>
      </c>
      <c r="J202" s="15">
        <f>IF(OR(J201="",J186=""),"",IF(J186&lt;=0,"",IFERROR(J201/J186,"")))</f>
        <v/>
      </c>
      <c r="K202" s="15">
        <f>IF(OR(K201="",K186=""),"",IF(K186&lt;=0,"",IFERROR(K201/K186,"")))</f>
        <v/>
      </c>
      <c r="L202" s="15">
        <f>IF(OR(L201="",L186=""),"",IF(L186&lt;=0,"",IFERROR(L201/L186,"")))</f>
        <v/>
      </c>
      <c r="M202" s="15">
        <f>IF(OR(M201="",M186=""),"",IF(M186&lt;=0,"",IFERROR(M201/M186,"")))</f>
        <v/>
      </c>
      <c r="N202" s="15">
        <f>IF(OR(N201="",N186=""),"",IF(N186&lt;=0,"",IFERROR(N201/N186,"")))</f>
        <v/>
      </c>
      <c r="V202" s="15">
        <f>IF(OR(V201="",V186=""),"",IF(V186&lt;=0,"",IFERROR(V201/V186,"")))</f>
        <v/>
      </c>
      <c r="W202" s="15">
        <f>IF(OR(W201="",W186=""),"",IF(W186&lt;=0,"",IFERROR(W201/W186,"")))</f>
        <v/>
      </c>
      <c r="X202" s="15">
        <f>IF(OR(X201="",X186=""),"",IF(X186&lt;=0,"",IFERROR(X201/X186,"")))</f>
        <v/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IF(OR(G201="",C201=""),"",IF(C201&lt;=0,"",IFERROR(G201/C201-1,"")))</f>
        <v/>
      </c>
      <c r="H203" s="15">
        <f>IF(OR(H201="",D201=""),"",IF(D201&lt;=0,"",IFERROR(H201/D201-1,"")))</f>
        <v/>
      </c>
      <c r="I203" s="15">
        <f>IF(OR(I201="",E201=""),"",IF(E201&lt;=0,"",IFERROR(I201/E201-1,"")))</f>
        <v/>
      </c>
      <c r="J203" s="15">
        <f>IF(OR(J201="",F201=""),"",IF(F201&lt;=0,"",IFERROR(J201/F201-1,"")))</f>
        <v/>
      </c>
      <c r="K203" s="15">
        <f>IF(OR(K201="",G201=""),"",IF(G201&lt;=0,"",IFERROR(K201/G201-1,"")))</f>
        <v/>
      </c>
      <c r="L203" s="15">
        <f>IF(OR(L201="",H201=""),"",IF(H201&lt;=0,"",IFERROR(L201/H201-1,"")))</f>
        <v/>
      </c>
      <c r="M203" s="15">
        <f>IF(OR(M201="",I201=""),"",IF(I201&lt;=0,"",IFERROR(M201/I201-1,"")))</f>
        <v/>
      </c>
      <c r="N203" s="15">
        <f>IF(OR(N201="",J201=""),"",IF(J201&lt;=0,"",IFERROR(N201/J201-1,"")))</f>
        <v/>
      </c>
      <c r="V203" s="15">
        <f>IF(OR(V201="",U201=""),"",IF(U201&lt;=0,"",IFERROR(V201/U201-1,"")))</f>
        <v/>
      </c>
      <c r="W203" s="15">
        <f>IF(OR(W201="",V201=""),"",IF(V201&lt;=0,"",IFERROR(W201/V201-1,"")))</f>
        <v/>
      </c>
      <c r="X203" s="15">
        <f>IF(OR(X201="",W201=""),"",IF(W201&lt;=0,"",IFERROR(X201/W201-1,"")))</f>
        <v/>
      </c>
    </row>
    <row r="204">
      <c r="A204" s="18" t="inlineStr">
        <is>
          <t>부문 · 부문 이익(손실)</t>
        </is>
      </c>
      <c r="C204" s="20" t="n">
        <v>426.928</v>
      </c>
      <c r="D204" s="20" t="n">
        <v>380.409</v>
      </c>
      <c r="E204" s="20" t="n">
        <v>564.032</v>
      </c>
      <c r="F204" s="20" t="n">
        <v>498.676</v>
      </c>
      <c r="G204" s="20" t="n">
        <v>513.649</v>
      </c>
      <c r="H204" s="20" t="n">
        <v>390.103</v>
      </c>
      <c r="I204" s="20" t="n">
        <v>332.382</v>
      </c>
      <c r="J204" s="20" t="n">
        <v>393.365</v>
      </c>
      <c r="K204" s="20" t="n">
        <v>67.73999999999999</v>
      </c>
      <c r="L204" s="20" t="n">
        <v>68.929</v>
      </c>
      <c r="M204" s="20" t="n">
        <v>94.727</v>
      </c>
      <c r="N204" s="20" t="n">
        <v>342.805</v>
      </c>
      <c r="V204" s="20" t="n">
        <v>380.409</v>
      </c>
      <c r="W204" s="20" t="n">
        <v>390.103</v>
      </c>
      <c r="X204" s="20" t="n">
        <v>68.929</v>
      </c>
    </row>
    <row r="205">
      <c r="A205" s="43" t="inlineStr">
        <is>
          <t>OPM</t>
        </is>
      </c>
      <c r="B205" s="3" t="inlineStr">
        <is>
          <t>영업이익 ÷ 매출</t>
        </is>
      </c>
      <c r="C205" s="15">
        <f>IF(OR(C204="",C188=""),"",IF(C188&lt;=0,"",IFERROR(C204/C188,"")))</f>
        <v/>
      </c>
      <c r="D205" s="15">
        <f>IF(OR(D204="",D188=""),"",IF(D188&lt;=0,"",IFERROR(D204/D188,"")))</f>
        <v/>
      </c>
      <c r="E205" s="15">
        <f>IF(OR(E204="",E188=""),"",IF(E188&lt;=0,"",IFERROR(E204/E188,"")))</f>
        <v/>
      </c>
      <c r="F205" s="15">
        <f>IF(OR(F204="",F188=""),"",IF(F188&lt;=0,"",IFERROR(F204/F188,"")))</f>
        <v/>
      </c>
      <c r="G205" s="15">
        <f>IF(OR(G204="",G188=""),"",IF(G188&lt;=0,"",IFERROR(G204/G188,"")))</f>
        <v/>
      </c>
      <c r="H205" s="15">
        <f>IF(OR(H204="",H188=""),"",IF(H188&lt;=0,"",IFERROR(H204/H188,"")))</f>
        <v/>
      </c>
      <c r="I205" s="15">
        <f>IF(OR(I204="",I188=""),"",IF(I188&lt;=0,"",IFERROR(I204/I188,"")))</f>
        <v/>
      </c>
      <c r="J205" s="15">
        <f>IF(OR(J204="",J188=""),"",IF(J188&lt;=0,"",IFERROR(J204/J188,"")))</f>
        <v/>
      </c>
      <c r="K205" s="15">
        <f>IF(OR(K204="",K188=""),"",IF(K188&lt;=0,"",IFERROR(K204/K188,"")))</f>
        <v/>
      </c>
      <c r="L205" s="15">
        <f>IF(OR(L204="",L188=""),"",IF(L188&lt;=0,"",IFERROR(L204/L188,"")))</f>
        <v/>
      </c>
      <c r="M205" s="15">
        <f>IF(OR(M204="",M188=""),"",IF(M188&lt;=0,"",IFERROR(M204/M188,"")))</f>
        <v/>
      </c>
      <c r="N205" s="15">
        <f>IF(OR(N204="",N188=""),"",IF(N188&lt;=0,"",IFERROR(N204/N188,"")))</f>
        <v/>
      </c>
      <c r="V205" s="15">
        <f>IF(OR(V204="",V188=""),"",IF(V188&lt;=0,"",IFERROR(V204/V188,"")))</f>
        <v/>
      </c>
      <c r="W205" s="15">
        <f>IF(OR(W204="",W188=""),"",IF(W188&lt;=0,"",IFERROR(W204/W188,"")))</f>
        <v/>
      </c>
      <c r="X205" s="15">
        <f>IF(OR(X204="",X188=""),"",IF(X188&lt;=0,"",IFERROR(X204/X188,"")))</f>
        <v/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IF(OR(G204="",C204=""),"",IF(C204&lt;=0,"",IFERROR(G204/C204-1,"")))</f>
        <v/>
      </c>
      <c r="H206" s="15">
        <f>IF(OR(H204="",D204=""),"",IF(D204&lt;=0,"",IFERROR(H204/D204-1,"")))</f>
        <v/>
      </c>
      <c r="I206" s="15">
        <f>IF(OR(I204="",E204=""),"",IF(E204&lt;=0,"",IFERROR(I204/E204-1,"")))</f>
        <v/>
      </c>
      <c r="J206" s="15">
        <f>IF(OR(J204="",F204=""),"",IF(F204&lt;=0,"",IFERROR(J204/F204-1,"")))</f>
        <v/>
      </c>
      <c r="K206" s="15">
        <f>IF(OR(K204="",G204=""),"",IF(G204&lt;=0,"",IFERROR(K204/G204-1,"")))</f>
        <v/>
      </c>
      <c r="L206" s="15">
        <f>IF(OR(L204="",H204=""),"",IF(H204&lt;=0,"",IFERROR(L204/H204-1,"")))</f>
        <v/>
      </c>
      <c r="M206" s="15">
        <f>IF(OR(M204="",I204=""),"",IF(I204&lt;=0,"",IFERROR(M204/I204-1,"")))</f>
        <v/>
      </c>
      <c r="N206" s="15">
        <f>IF(OR(N204="",J204=""),"",IF(J204&lt;=0,"",IFERROR(N204/J204-1,"")))</f>
        <v/>
      </c>
      <c r="V206" s="15">
        <f>IF(OR(V204="",U204=""),"",IF(U204&lt;=0,"",IFERROR(V204/U204-1,"")))</f>
        <v/>
      </c>
      <c r="W206" s="15">
        <f>IF(OR(W204="",V204=""),"",IF(V204&lt;=0,"",IFERROR(W204/V204-1,"")))</f>
        <v/>
      </c>
      <c r="X206" s="15">
        <f>IF(OR(X204="",W204=""),"",IF(W204&lt;=0,"",IFERROR(X204/W204-1,"")))</f>
        <v/>
      </c>
    </row>
    <row r="207">
      <c r="A207" s="18" t="inlineStr">
        <is>
          <t>부문 · 부문 이익(손실)</t>
        </is>
      </c>
      <c r="C207" s="20" t="n">
        <v>-157.11</v>
      </c>
      <c r="D207" s="20" t="n">
        <v>-29.439</v>
      </c>
      <c r="E207" s="20" t="n">
        <v>-54.343</v>
      </c>
      <c r="F207" s="20" t="n">
        <v>-85.105</v>
      </c>
      <c r="G207" s="20" t="n">
        <v>-83.001</v>
      </c>
      <c r="H207" s="20" t="n">
        <v>-238.451</v>
      </c>
      <c r="I207" s="20" t="n">
        <v>-104.034</v>
      </c>
      <c r="J207" s="20" t="n">
        <v>-53.486</v>
      </c>
      <c r="K207" s="20" t="n">
        <v>-9.627000000000001</v>
      </c>
      <c r="L207" s="20" t="n">
        <v>-94.681</v>
      </c>
      <c r="M207" s="20" t="n">
        <v>-162.501</v>
      </c>
      <c r="N207" s="20" t="n">
        <v>-140.165</v>
      </c>
      <c r="V207" s="20" t="n">
        <v>-29.439</v>
      </c>
      <c r="W207" s="20" t="n">
        <v>-238.451</v>
      </c>
      <c r="X207" s="20" t="n">
        <v>-94.681</v>
      </c>
    </row>
    <row r="208">
      <c r="A208" s="43" t="inlineStr">
        <is>
          <t>OPM</t>
        </is>
      </c>
      <c r="B208" s="3" t="inlineStr">
        <is>
          <t>영업이익 ÷ 매출</t>
        </is>
      </c>
      <c r="C208" s="15">
        <f>IF(OR(C207="",C190=""),"",IF(C190&lt;=0,"",IFERROR(C207/C190,"")))</f>
        <v/>
      </c>
      <c r="D208" s="15">
        <f>IF(OR(D207="",D190=""),"",IF(D190&lt;=0,"",IFERROR(D207/D190,"")))</f>
        <v/>
      </c>
      <c r="E208" s="15">
        <f>IF(OR(E207="",E190=""),"",IF(E190&lt;=0,"",IFERROR(E207/E190,"")))</f>
        <v/>
      </c>
      <c r="F208" s="15">
        <f>IF(OR(F207="",F190=""),"",IF(F190&lt;=0,"",IFERROR(F207/F190,"")))</f>
        <v/>
      </c>
      <c r="G208" s="15">
        <f>IF(OR(G207="",G190=""),"",IF(G190&lt;=0,"",IFERROR(G207/G190,"")))</f>
        <v/>
      </c>
      <c r="H208" s="15">
        <f>IF(OR(H207="",H190=""),"",IF(H190&lt;=0,"",IFERROR(H207/H190,"")))</f>
        <v/>
      </c>
      <c r="I208" s="15">
        <f>IF(OR(I207="",I190=""),"",IF(I190&lt;=0,"",IFERROR(I207/I190,"")))</f>
        <v/>
      </c>
      <c r="J208" s="15">
        <f>IF(OR(J207="",J190=""),"",IF(J190&lt;=0,"",IFERROR(J207/J190,"")))</f>
        <v/>
      </c>
      <c r="K208" s="15">
        <f>IF(OR(K207="",K190=""),"",IF(K190&lt;=0,"",IFERROR(K207/K190,"")))</f>
        <v/>
      </c>
      <c r="L208" s="15">
        <f>IF(OR(L207="",L190=""),"",IF(L190&lt;=0,"",IFERROR(L207/L190,"")))</f>
        <v/>
      </c>
      <c r="M208" s="15">
        <f>IF(OR(M207="",M190=""),"",IF(M190&lt;=0,"",IFERROR(M207/M190,"")))</f>
        <v/>
      </c>
      <c r="N208" s="15">
        <f>IF(OR(N207="",N190=""),"",IF(N190&lt;=0,"",IFERROR(N207/N190,"")))</f>
        <v/>
      </c>
      <c r="V208" s="15">
        <f>IF(OR(V207="",V190=""),"",IF(V190&lt;=0,"",IFERROR(V207/V190,"")))</f>
        <v/>
      </c>
      <c r="W208" s="15">
        <f>IF(OR(W207="",W190=""),"",IF(W190&lt;=0,"",IFERROR(W207/W190,"")))</f>
        <v/>
      </c>
      <c r="X208" s="15">
        <f>IF(OR(X207="",X190=""),"",IF(X190&lt;=0,"",IFERROR(X207/X190,"")))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G209" s="15">
        <f>IF(OR(G207="",C207=""),"",IF(C207&lt;=0,"",IFERROR(G207/C207-1,"")))</f>
        <v/>
      </c>
      <c r="H209" s="15">
        <f>IF(OR(H207="",D207=""),"",IF(D207&lt;=0,"",IFERROR(H207/D207-1,"")))</f>
        <v/>
      </c>
      <c r="I209" s="15">
        <f>IF(OR(I207="",E207=""),"",IF(E207&lt;=0,"",IFERROR(I207/E207-1,"")))</f>
        <v/>
      </c>
      <c r="J209" s="15">
        <f>IF(OR(J207="",F207=""),"",IF(F207&lt;=0,"",IFERROR(J207/F207-1,"")))</f>
        <v/>
      </c>
      <c r="K209" s="15">
        <f>IF(OR(K207="",G207=""),"",IF(G207&lt;=0,"",IFERROR(K207/G207-1,"")))</f>
        <v/>
      </c>
      <c r="L209" s="15">
        <f>IF(OR(L207="",H207=""),"",IF(H207&lt;=0,"",IFERROR(L207/H207-1,"")))</f>
        <v/>
      </c>
      <c r="M209" s="15">
        <f>IF(OR(M207="",I207=""),"",IF(I207&lt;=0,"",IFERROR(M207/I207-1,"")))</f>
        <v/>
      </c>
      <c r="N209" s="15">
        <f>IF(OR(N207="",J207=""),"",IF(J207&lt;=0,"",IFERROR(N207/J207-1,"")))</f>
        <v/>
      </c>
      <c r="V209" s="15">
        <f>IF(OR(V207="",U207=""),"",IF(U207&lt;=0,"",IFERROR(V207/U207-1,"")))</f>
        <v/>
      </c>
      <c r="W209" s="15">
        <f>IF(OR(W207="",V207=""),"",IF(V207&lt;=0,"",IFERROR(W207/V207-1,"")))</f>
        <v/>
      </c>
      <c r="X209" s="15">
        <f>IF(OR(X207="",W207=""),"",IF(W207&lt;=0,"",IFERROR(X207/W207-1,"")))</f>
        <v/>
      </c>
    </row>
    <row r="210">
      <c r="A210" s="18" t="inlineStr">
        <is>
          <t>보고부문 합계 · 부문 이익(손실)</t>
        </is>
      </c>
      <c r="C210" s="20" t="n">
        <v>437.14</v>
      </c>
      <c r="D210" s="20" t="n">
        <v>636.48</v>
      </c>
      <c r="E210" s="20" t="n">
        <v>899.794</v>
      </c>
      <c r="F210" s="20" t="n">
        <v>690.6369999999999</v>
      </c>
      <c r="G210" s="20" t="n">
        <v>686.949</v>
      </c>
      <c r="H210" s="20" t="n">
        <v>432.193</v>
      </c>
      <c r="I210" s="20" t="n">
        <v>578.429</v>
      </c>
      <c r="J210" s="20" t="n">
        <v>522.633</v>
      </c>
      <c r="K210" s="20" t="n">
        <v>329.533</v>
      </c>
      <c r="L210" s="20" t="n">
        <v>318.963</v>
      </c>
      <c r="M210" s="20" t="n">
        <v>244.5</v>
      </c>
      <c r="N210" s="20" t="n">
        <v>540.599</v>
      </c>
      <c r="V210" s="20" t="n">
        <v>636.48</v>
      </c>
      <c r="W210" s="20" t="n">
        <v>432.193</v>
      </c>
      <c r="X210" s="20" t="n">
        <v>318.963</v>
      </c>
    </row>
    <row r="211">
      <c r="A211" s="43" t="inlineStr">
        <is>
          <t>OPM</t>
        </is>
      </c>
      <c r="B211" s="3" t="inlineStr">
        <is>
          <t>영업이익 ÷ 매출</t>
        </is>
      </c>
      <c r="C211" s="15">
        <f>IF(OR(C210="",C192=""),"",IF(C192&lt;=0,"",IFERROR(C210/C192,"")))</f>
        <v/>
      </c>
      <c r="D211" s="15">
        <f>IF(OR(D210="",D192=""),"",IF(D192&lt;=0,"",IFERROR(D210/D192,"")))</f>
        <v/>
      </c>
      <c r="E211" s="15">
        <f>IF(OR(E210="",E192=""),"",IF(E192&lt;=0,"",IFERROR(E210/E192,"")))</f>
        <v/>
      </c>
      <c r="F211" s="15">
        <f>IF(OR(F210="",F192=""),"",IF(F192&lt;=0,"",IFERROR(F210/F192,"")))</f>
        <v/>
      </c>
      <c r="G211" s="15">
        <f>IF(OR(G210="",G192=""),"",IF(G192&lt;=0,"",IFERROR(G210/G192,"")))</f>
        <v/>
      </c>
      <c r="H211" s="15">
        <f>IF(OR(H210="",H192=""),"",IF(H192&lt;=0,"",IFERROR(H210/H192,"")))</f>
        <v/>
      </c>
      <c r="I211" s="15">
        <f>IF(OR(I210="",I192=""),"",IF(I192&lt;=0,"",IFERROR(I210/I192,"")))</f>
        <v/>
      </c>
      <c r="J211" s="15">
        <f>IF(OR(J210="",J192=""),"",IF(J192&lt;=0,"",IFERROR(J210/J192,"")))</f>
        <v/>
      </c>
      <c r="K211" s="15">
        <f>IF(OR(K210="",K192=""),"",IF(K192&lt;=0,"",IFERROR(K210/K192,"")))</f>
        <v/>
      </c>
      <c r="L211" s="15">
        <f>IF(OR(L210="",L192=""),"",IF(L192&lt;=0,"",IFERROR(L210/L192,"")))</f>
        <v/>
      </c>
      <c r="M211" s="15">
        <f>IF(OR(M210="",M192=""),"",IF(M192&lt;=0,"",IFERROR(M210/M192,"")))</f>
        <v/>
      </c>
      <c r="N211" s="15">
        <f>IF(OR(N210="",N192=""),"",IF(N192&lt;=0,"",IFERROR(N210/N192,"")))</f>
        <v/>
      </c>
      <c r="V211" s="15">
        <f>IF(OR(V210="",V192=""),"",IF(V192&lt;=0,"",IFERROR(V210/V192,"")))</f>
        <v/>
      </c>
      <c r="W211" s="15">
        <f>IF(OR(W210="",W192=""),"",IF(W192&lt;=0,"",IFERROR(W210/W192,"")))</f>
        <v/>
      </c>
      <c r="X211" s="15">
        <f>IF(OR(X210="",X192=""),"",IF(X192&lt;=0,"",IFERROR(X210/X192,"")))</f>
        <v/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G212" s="15">
        <f>IF(OR(G210="",C210=""),"",IF(C210&lt;=0,"",IFERROR(G210/C210-1,"")))</f>
        <v/>
      </c>
      <c r="H212" s="15">
        <f>IF(OR(H210="",D210=""),"",IF(D210&lt;=0,"",IFERROR(H210/D210-1,"")))</f>
        <v/>
      </c>
      <c r="I212" s="15">
        <f>IF(OR(I210="",E210=""),"",IF(E210&lt;=0,"",IFERROR(I210/E210-1,"")))</f>
        <v/>
      </c>
      <c r="J212" s="15">
        <f>IF(OR(J210="",F210=""),"",IF(F210&lt;=0,"",IFERROR(J210/F210-1,"")))</f>
        <v/>
      </c>
      <c r="K212" s="15">
        <f>IF(OR(K210="",G210=""),"",IF(G210&lt;=0,"",IFERROR(K210/G210-1,"")))</f>
        <v/>
      </c>
      <c r="L212" s="15">
        <f>IF(OR(L210="",H210=""),"",IF(H210&lt;=0,"",IFERROR(L210/H210-1,"")))</f>
        <v/>
      </c>
      <c r="M212" s="15">
        <f>IF(OR(M210="",I210=""),"",IF(I210&lt;=0,"",IFERROR(M210/I210-1,"")))</f>
        <v/>
      </c>
      <c r="N212" s="15">
        <f>IF(OR(N210="",J210=""),"",IF(J210&lt;=0,"",IFERROR(N210/J210-1,"")))</f>
        <v/>
      </c>
      <c r="V212" s="15">
        <f>IF(OR(V210="",U210=""),"",IF(U210&lt;=0,"",IFERROR(V210/U210-1,"")))</f>
        <v/>
      </c>
      <c r="W212" s="15">
        <f>IF(OR(W210="",V210=""),"",IF(V210&lt;=0,"",IFERROR(W210/V210-1,"")))</f>
        <v/>
      </c>
      <c r="X212" s="15">
        <f>IF(OR(X210="",W210=""),"",IF(W210&lt;=0,"",IFERROR(X210/W210-1,"")))</f>
        <v/>
      </c>
    </row>
    <row r="213">
      <c r="A213" s="18" t="inlineStr">
        <is>
          <t>기타 · 부문 이익(손실)</t>
        </is>
      </c>
      <c r="C213" s="20" t="n">
        <v>26.952</v>
      </c>
      <c r="D213" s="20" t="n">
        <v>27.974</v>
      </c>
      <c r="E213" s="20" t="n">
        <v>43.073</v>
      </c>
      <c r="F213" s="20" t="n">
        <v>22.182</v>
      </c>
      <c r="G213" s="20" t="n">
        <v>36.955</v>
      </c>
      <c r="H213" s="20" t="n">
        <v>54.833</v>
      </c>
      <c r="I213" s="20" t="n">
        <v>39.738</v>
      </c>
      <c r="J213" s="20" t="n">
        <v>31.758</v>
      </c>
      <c r="K213" s="20" t="n">
        <v>5.262</v>
      </c>
      <c r="L213" s="20" t="n">
        <v>-12.961</v>
      </c>
      <c r="M213" s="20" t="n">
        <v>-9.763999999999999</v>
      </c>
      <c r="N213" s="20" t="n">
        <v>6.181</v>
      </c>
      <c r="V213" s="20" t="n">
        <v>27.974</v>
      </c>
      <c r="W213" s="20" t="n">
        <v>54.833</v>
      </c>
      <c r="X213" s="20" t="n">
        <v>-12.961</v>
      </c>
    </row>
    <row r="214">
      <c r="A214" s="43" t="inlineStr">
        <is>
          <t>OPM</t>
        </is>
      </c>
      <c r="B214" s="3" t="inlineStr">
        <is>
          <t>영업이익 ÷ 매출</t>
        </is>
      </c>
      <c r="C214" s="15">
        <f>IF(OR(C213="",C194=""),"",IF(C194&lt;=0,"",IFERROR(C213/C194,"")))</f>
        <v/>
      </c>
      <c r="D214" s="15">
        <f>IF(OR(D213="",D194=""),"",IF(D194&lt;=0,"",IFERROR(D213/D194,"")))</f>
        <v/>
      </c>
      <c r="E214" s="15">
        <f>IF(OR(E213="",E194=""),"",IF(E194&lt;=0,"",IFERROR(E213/E194,"")))</f>
        <v/>
      </c>
      <c r="F214" s="15">
        <f>IF(OR(F213="",F194=""),"",IF(F194&lt;=0,"",IFERROR(F213/F194,"")))</f>
        <v/>
      </c>
      <c r="G214" s="15">
        <f>IF(OR(G213="",G194=""),"",IF(G194&lt;=0,"",IFERROR(G213/G194,"")))</f>
        <v/>
      </c>
      <c r="H214" s="15">
        <f>IF(OR(H213="",H194=""),"",IF(H194&lt;=0,"",IFERROR(H213/H194,"")))</f>
        <v/>
      </c>
      <c r="I214" s="15">
        <f>IF(OR(I213="",I194=""),"",IF(I194&lt;=0,"",IFERROR(I213/I194,"")))</f>
        <v/>
      </c>
      <c r="J214" s="15">
        <f>IF(OR(J213="",J194=""),"",IF(J194&lt;=0,"",IFERROR(J213/J194,"")))</f>
        <v/>
      </c>
      <c r="K214" s="15">
        <f>IF(OR(K213="",K194=""),"",IF(K194&lt;=0,"",IFERROR(K213/K194,"")))</f>
        <v/>
      </c>
      <c r="L214" s="15">
        <f>IF(OR(L213="",L194=""),"",IF(L194&lt;=0,"",IFERROR(L213/L194,"")))</f>
        <v/>
      </c>
      <c r="M214" s="15">
        <f>IF(OR(M213="",M194=""),"",IF(M194&lt;=0,"",IFERROR(M213/M194,"")))</f>
        <v/>
      </c>
      <c r="N214" s="15">
        <f>IF(OR(N213="",N194=""),"",IF(N194&lt;=0,"",IFERROR(N213/N194,"")))</f>
        <v/>
      </c>
      <c r="V214" s="15">
        <f>IF(OR(V213="",V194=""),"",IF(V194&lt;=0,"",IFERROR(V213/V194,"")))</f>
        <v/>
      </c>
      <c r="W214" s="15">
        <f>IF(OR(W213="",W194=""),"",IF(W194&lt;=0,"",IFERROR(W213/W194,"")))</f>
        <v/>
      </c>
      <c r="X214" s="15">
        <f>IF(OR(X213="",X194=""),"",IF(X194&lt;=0,"",IFERROR(X213/X194,"")))</f>
        <v/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G215" s="15">
        <f>IF(OR(G213="",C213=""),"",IF(C213&lt;=0,"",IFERROR(G213/C213-1,"")))</f>
        <v/>
      </c>
      <c r="H215" s="15">
        <f>IF(OR(H213="",D213=""),"",IF(D213&lt;=0,"",IFERROR(H213/D213-1,"")))</f>
        <v/>
      </c>
      <c r="I215" s="15">
        <f>IF(OR(I213="",E213=""),"",IF(E213&lt;=0,"",IFERROR(I213/E213-1,"")))</f>
        <v/>
      </c>
      <c r="J215" s="15">
        <f>IF(OR(J213="",F213=""),"",IF(F213&lt;=0,"",IFERROR(J213/F213-1,"")))</f>
        <v/>
      </c>
      <c r="K215" s="15">
        <f>IF(OR(K213="",G213=""),"",IF(G213&lt;=0,"",IFERROR(K213/G213-1,"")))</f>
        <v/>
      </c>
      <c r="L215" s="15">
        <f>IF(OR(L213="",H213=""),"",IF(H213&lt;=0,"",IFERROR(L213/H213-1,"")))</f>
        <v/>
      </c>
      <c r="M215" s="15">
        <f>IF(OR(M213="",I213=""),"",IF(I213&lt;=0,"",IFERROR(M213/I213-1,"")))</f>
        <v/>
      </c>
      <c r="N215" s="15">
        <f>IF(OR(N213="",J213=""),"",IF(J213&lt;=0,"",IFERROR(N213/J213-1,"")))</f>
        <v/>
      </c>
      <c r="V215" s="15">
        <f>IF(OR(V213="",U213=""),"",IF(U213&lt;=0,"",IFERROR(V213/U213-1,"")))</f>
        <v/>
      </c>
      <c r="W215" s="15">
        <f>IF(OR(W213="",V213=""),"",IF(V213&lt;=0,"",IFERROR(W213/V213-1,"")))</f>
        <v/>
      </c>
      <c r="X215" s="15">
        <f>IF(OR(X213="",W213=""),"",IF(W213&lt;=0,"",IFERROR(X213/W213-1,"")))</f>
        <v/>
      </c>
    </row>
    <row r="216">
      <c r="A216" s="18" t="inlineStr">
        <is>
          <t>합계 · 부문 이익(손실)</t>
        </is>
      </c>
      <c r="C216" s="20" t="n">
        <v>464.092</v>
      </c>
      <c r="D216" s="20" t="n">
        <v>664.453</v>
      </c>
      <c r="E216" s="20" t="n">
        <v>942.867</v>
      </c>
      <c r="F216" s="20" t="n">
        <v>712.8200000000001</v>
      </c>
      <c r="G216" s="20" t="n">
        <v>723.904</v>
      </c>
      <c r="H216" s="20" t="n">
        <v>487.025</v>
      </c>
      <c r="I216" s="20" t="n">
        <v>618.167</v>
      </c>
      <c r="J216" s="20" t="n">
        <v>554.3920000000001</v>
      </c>
      <c r="K216" s="20" t="n">
        <v>334.795</v>
      </c>
      <c r="L216" s="20" t="n">
        <v>306.001</v>
      </c>
      <c r="M216" s="20" t="n">
        <v>234.736</v>
      </c>
      <c r="N216" s="20" t="n">
        <v>546.78</v>
      </c>
      <c r="V216" s="20" t="n">
        <v>664.453</v>
      </c>
      <c r="W216" s="20" t="n">
        <v>487.025</v>
      </c>
      <c r="X216" s="20" t="n">
        <v>306.001</v>
      </c>
    </row>
    <row r="217">
      <c r="A217" s="43" t="inlineStr">
        <is>
          <t>OPM</t>
        </is>
      </c>
      <c r="B217" s="3" t="inlineStr">
        <is>
          <t>영업이익 ÷ 매출</t>
        </is>
      </c>
      <c r="C217" s="15">
        <f>IF(OR(C216="",C196=""),"",IF(C196&lt;=0,"",IFERROR(C216/C196,"")))</f>
        <v/>
      </c>
      <c r="D217" s="15">
        <f>IF(OR(D216="",D196=""),"",IF(D196&lt;=0,"",IFERROR(D216/D196,"")))</f>
        <v/>
      </c>
      <c r="E217" s="15">
        <f>IF(OR(E216="",E196=""),"",IF(E196&lt;=0,"",IFERROR(E216/E196,"")))</f>
        <v/>
      </c>
      <c r="F217" s="15">
        <f>IF(OR(F216="",F196=""),"",IF(F196&lt;=0,"",IFERROR(F216/F196,"")))</f>
        <v/>
      </c>
      <c r="G217" s="15">
        <f>IF(OR(G216="",G196=""),"",IF(G196&lt;=0,"",IFERROR(G216/G196,"")))</f>
        <v/>
      </c>
      <c r="H217" s="15">
        <f>IF(OR(H216="",H196=""),"",IF(H196&lt;=0,"",IFERROR(H216/H196,"")))</f>
        <v/>
      </c>
      <c r="I217" s="15">
        <f>IF(OR(I216="",I196=""),"",IF(I196&lt;=0,"",IFERROR(I216/I196,"")))</f>
        <v/>
      </c>
      <c r="J217" s="15">
        <f>IF(OR(J216="",J196=""),"",IF(J196&lt;=0,"",IFERROR(J216/J196,"")))</f>
        <v/>
      </c>
      <c r="K217" s="15">
        <f>IF(OR(K216="",K196=""),"",IF(K196&lt;=0,"",IFERROR(K216/K196,"")))</f>
        <v/>
      </c>
      <c r="L217" s="15">
        <f>IF(OR(L216="",L196=""),"",IF(L196&lt;=0,"",IFERROR(L216/L196,"")))</f>
        <v/>
      </c>
      <c r="M217" s="15">
        <f>IF(OR(M216="",M196=""),"",IF(M196&lt;=0,"",IFERROR(M216/M196,"")))</f>
        <v/>
      </c>
      <c r="N217" s="15">
        <f>IF(OR(N216="",N196=""),"",IF(N196&lt;=0,"",IFERROR(N216/N196,"")))</f>
        <v/>
      </c>
      <c r="V217" s="15">
        <f>IF(OR(V216="",V196=""),"",IF(V196&lt;=0,"",IFERROR(V216/V196,"")))</f>
        <v/>
      </c>
      <c r="W217" s="15">
        <f>IF(OR(W216="",W196=""),"",IF(W196&lt;=0,"",IFERROR(W216/W196,"")))</f>
        <v/>
      </c>
      <c r="X217" s="15">
        <f>IF(OR(X216="",X196=""),"",IF(X196&lt;=0,"",IFERROR(X216/X196,"")))</f>
        <v/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G218" s="15">
        <f>IF(OR(G216="",C216=""),"",IF(C216&lt;=0,"",IFERROR(G216/C216-1,"")))</f>
        <v/>
      </c>
      <c r="H218" s="15">
        <f>IF(OR(H216="",D216=""),"",IF(D216&lt;=0,"",IFERROR(H216/D216-1,"")))</f>
        <v/>
      </c>
      <c r="I218" s="15">
        <f>IF(OR(I216="",E216=""),"",IF(E216&lt;=0,"",IFERROR(I216/E216-1,"")))</f>
        <v/>
      </c>
      <c r="J218" s="15">
        <f>IF(OR(J216="",F216=""),"",IF(F216&lt;=0,"",IFERROR(J216/F216-1,"")))</f>
        <v/>
      </c>
      <c r="K218" s="15">
        <f>IF(OR(K216="",G216=""),"",IF(G216&lt;=0,"",IFERROR(K216/G216-1,"")))</f>
        <v/>
      </c>
      <c r="L218" s="15">
        <f>IF(OR(L216="",H216=""),"",IF(H216&lt;=0,"",IFERROR(L216/H216-1,"")))</f>
        <v/>
      </c>
      <c r="M218" s="15">
        <f>IF(OR(M216="",I216=""),"",IF(I216&lt;=0,"",IFERROR(M216/I216-1,"")))</f>
        <v/>
      </c>
      <c r="N218" s="15">
        <f>IF(OR(N216="",J216=""),"",IF(J216&lt;=0,"",IFERROR(N216/J216-1,"")))</f>
        <v/>
      </c>
      <c r="V218" s="15">
        <f>IF(OR(V216="",U216=""),"",IF(U216&lt;=0,"",IFERROR(V216/U216-1,"")))</f>
        <v/>
      </c>
      <c r="W218" s="15">
        <f>IF(OR(W216="",V216=""),"",IF(V216&lt;=0,"",IFERROR(W216/V216-1,"")))</f>
        <v/>
      </c>
      <c r="X218" s="15">
        <f>IF(OR(X216="",W216=""),"",IF(W216&lt;=0,"",IFERROR(X216/W216-1,"")))</f>
        <v/>
      </c>
    </row>
    <row r="219">
      <c r="A219" s="18" t="inlineStr">
        <is>
          <t>조정액 · 부문 이익(손실)</t>
        </is>
      </c>
      <c r="C219" s="20" t="n">
        <v>-173.213</v>
      </c>
      <c r="D219" s="20" t="n">
        <v>-250.796</v>
      </c>
      <c r="E219" s="20" t="n">
        <v>-173.026</v>
      </c>
      <c r="F219" s="20" t="n">
        <v>-153.71</v>
      </c>
      <c r="G219" s="20" t="n">
        <v>-192.598</v>
      </c>
      <c r="H219" s="20" t="n">
        <v>-250.42</v>
      </c>
      <c r="I219" s="20" t="n">
        <v>-150.4</v>
      </c>
      <c r="J219" s="20" t="n">
        <v>-257.048</v>
      </c>
      <c r="K219" s="20" t="n">
        <v>-190.116</v>
      </c>
      <c r="L219" s="20" t="n">
        <v>-188.883</v>
      </c>
      <c r="M219" s="20" t="n">
        <v>-141.322</v>
      </c>
      <c r="N219" s="20" t="n">
        <v>-167.607</v>
      </c>
      <c r="V219" s="20" t="n">
        <v>-250.796</v>
      </c>
      <c r="W219" s="20" t="n">
        <v>-250.42</v>
      </c>
      <c r="X219" s="20" t="n">
        <v>-188.883</v>
      </c>
    </row>
    <row r="220">
      <c r="A220" s="9" t="inlineStr">
        <is>
          <t>부문 이익(손실)</t>
        </is>
      </c>
      <c r="C220" s="12" t="n">
        <v>290.879</v>
      </c>
      <c r="D220" s="12" t="n">
        <v>413.658</v>
      </c>
      <c r="E220" s="12" t="n">
        <v>769.841</v>
      </c>
      <c r="F220" s="12" t="n">
        <v>559.109</v>
      </c>
      <c r="G220" s="12" t="n">
        <v>531.307</v>
      </c>
      <c r="H220" s="12" t="n">
        <v>236.604</v>
      </c>
      <c r="I220" s="12" t="n">
        <v>467.766</v>
      </c>
      <c r="J220" s="12" t="n">
        <v>297.345</v>
      </c>
      <c r="K220" s="12" t="n">
        <v>144.678</v>
      </c>
      <c r="L220" s="12" t="n">
        <v>117.118</v>
      </c>
      <c r="M220" s="12" t="n">
        <v>93.413</v>
      </c>
      <c r="N220" s="12" t="n">
        <v>379.174</v>
      </c>
      <c r="V220" s="12" t="n">
        <v>413.658</v>
      </c>
      <c r="W220" s="12" t="n">
        <v>236.604</v>
      </c>
      <c r="X220" s="12" t="n">
        <v>117.118</v>
      </c>
    </row>
    <row r="221">
      <c r="A221" s="43" t="inlineStr">
        <is>
          <t>OPM</t>
        </is>
      </c>
      <c r="B221" s="3" t="inlineStr">
        <is>
          <t>영업이익 ÷ 매출</t>
        </is>
      </c>
      <c r="C221" s="15">
        <f>IF(OR(C220="",C176=""),"",IF(C176&lt;=0,"",IFERROR(C220/C176,"")))</f>
        <v/>
      </c>
      <c r="D221" s="15">
        <f>IF(OR(D220="",D176=""),"",IF(D176&lt;=0,"",IFERROR(D220/D176,"")))</f>
        <v/>
      </c>
      <c r="E221" s="15">
        <f>IF(OR(E220="",E176=""),"",IF(E176&lt;=0,"",IFERROR(E220/E176,"")))</f>
        <v/>
      </c>
      <c r="F221" s="15">
        <f>IF(OR(F220="",F176=""),"",IF(F176&lt;=0,"",IFERROR(F220/F176,"")))</f>
        <v/>
      </c>
      <c r="G221" s="15">
        <f>IF(OR(G220="",G176=""),"",IF(G176&lt;=0,"",IFERROR(G220/G176,"")))</f>
        <v/>
      </c>
      <c r="H221" s="15">
        <f>IF(OR(H220="",H176=""),"",IF(H176&lt;=0,"",IFERROR(H220/H176,"")))</f>
        <v/>
      </c>
      <c r="I221" s="15">
        <f>IF(OR(I220="",I176=""),"",IF(I176&lt;=0,"",IFERROR(I220/I176,"")))</f>
        <v/>
      </c>
      <c r="J221" s="15">
        <f>IF(OR(J220="",J176=""),"",IF(J176&lt;=0,"",IFERROR(J220/J176,"")))</f>
        <v/>
      </c>
      <c r="K221" s="15">
        <f>IF(OR(K220="",K176=""),"",IF(K176&lt;=0,"",IFERROR(K220/K176,"")))</f>
        <v/>
      </c>
      <c r="L221" s="15">
        <f>IF(OR(L220="",L176=""),"",IF(L176&lt;=0,"",IFERROR(L220/L176,"")))</f>
        <v/>
      </c>
      <c r="M221" s="15">
        <f>IF(OR(M220="",M176=""),"",IF(M176&lt;=0,"",IFERROR(M220/M176,"")))</f>
        <v/>
      </c>
      <c r="N221" s="15">
        <f>IF(OR(N220="",N176=""),"",IF(N176&lt;=0,"",IFERROR(N220/N176,"")))</f>
        <v/>
      </c>
      <c r="V221" s="15">
        <f>IF(OR(V220="",V176=""),"",IF(V176&lt;=0,"",IFERROR(V220/V176,"")))</f>
        <v/>
      </c>
      <c r="W221" s="15">
        <f>IF(OR(W220="",W176=""),"",IF(W176&lt;=0,"",IFERROR(W220/W176,"")))</f>
        <v/>
      </c>
      <c r="X221" s="15">
        <f>IF(OR(X220="",X176=""),"",IF(X176&lt;=0,"",IFERROR(X220/X176,"")))</f>
        <v/>
      </c>
    </row>
    <row r="222">
      <c r="A222" s="43" t="inlineStr">
        <is>
          <t>YoY</t>
        </is>
      </c>
      <c r="B222" s="3" t="inlineStr">
        <is>
          <t>전년 같은 분기·전년 대비</t>
        </is>
      </c>
      <c r="G222" s="15">
        <f>IF(OR(G220="",C220=""),"",IF(C220&lt;=0,"",IFERROR(G220/C220-1,"")))</f>
        <v/>
      </c>
      <c r="H222" s="15">
        <f>IF(OR(H220="",D220=""),"",IF(D220&lt;=0,"",IFERROR(H220/D220-1,"")))</f>
        <v/>
      </c>
      <c r="I222" s="15">
        <f>IF(OR(I220="",E220=""),"",IF(E220&lt;=0,"",IFERROR(I220/E220-1,"")))</f>
        <v/>
      </c>
      <c r="J222" s="15">
        <f>IF(OR(J220="",F220=""),"",IF(F220&lt;=0,"",IFERROR(J220/F220-1,"")))</f>
        <v/>
      </c>
      <c r="K222" s="15">
        <f>IF(OR(K220="",G220=""),"",IF(G220&lt;=0,"",IFERROR(K220/G220-1,"")))</f>
        <v/>
      </c>
      <c r="L222" s="15">
        <f>IF(OR(L220="",H220=""),"",IF(H220&lt;=0,"",IFERROR(L220/H220-1,"")))</f>
        <v/>
      </c>
      <c r="M222" s="15">
        <f>IF(OR(M220="",I220=""),"",IF(I220&lt;=0,"",IFERROR(M220/I220-1,"")))</f>
        <v/>
      </c>
      <c r="N222" s="15">
        <f>IF(OR(N220="",J220=""),"",IF(J220&lt;=0,"",IFERROR(N220/J220-1,"")))</f>
        <v/>
      </c>
      <c r="V222" s="15">
        <f>IF(OR(V220="",U220=""),"",IF(U220&lt;=0,"",IFERROR(V220/U220-1,"")))</f>
        <v/>
      </c>
      <c r="W222" s="15">
        <f>IF(OR(W220="",V220=""),"",IF(V220&lt;=0,"",IFERROR(W220/V220-1,"")))</f>
        <v/>
      </c>
      <c r="X222" s="15">
        <f>IF(OR(X220="",W220=""),"",IF(W220&lt;=0,"",IFERROR(X220/W220-1,"")))</f>
        <v/>
      </c>
    </row>
    <row r="224">
      <c r="A224" s="16" t="inlineStr">
        <is>
          <t>현금흐름표 · 전 항목</t>
        </is>
      </c>
      <c r="B224" s="42" t="inlineStr">
        <is>
          <t>분기 = 결산기 첫날부터 누계(공시 그대로)</t>
        </is>
      </c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</row>
    <row r="225">
      <c r="A225" s="5" t="inlineStr">
        <is>
          <t>항목</t>
        </is>
      </c>
      <c r="B225" s="5" t="inlineStr">
        <is>
          <t>참고</t>
        </is>
      </c>
      <c r="C225" s="5" t="inlineStr">
        <is>
          <t>2024.3Q</t>
        </is>
      </c>
      <c r="D225" s="5" t="inlineStr">
        <is>
          <t>2024.4Q</t>
        </is>
      </c>
      <c r="E225" s="5" t="inlineStr">
        <is>
          <t>2025.1Q</t>
        </is>
      </c>
      <c r="F225" s="5" t="inlineStr">
        <is>
          <t>2025.2Q</t>
        </is>
      </c>
      <c r="G225" s="5" t="inlineStr">
        <is>
          <t>2025.3Q</t>
        </is>
      </c>
      <c r="H225" s="5" t="inlineStr">
        <is>
          <t>2025.4Q</t>
        </is>
      </c>
      <c r="I225" s="5" t="inlineStr">
        <is>
          <t>2026.1Q</t>
        </is>
      </c>
      <c r="J225" s="5" t="inlineStr">
        <is>
          <t>2026.2Q</t>
        </is>
      </c>
      <c r="K225" s="5" t="inlineStr">
        <is>
          <t>2026.3Q</t>
        </is>
      </c>
      <c r="L225" s="5" t="inlineStr">
        <is>
          <t>2026.4Q</t>
        </is>
      </c>
      <c r="M225" s="5" t="inlineStr">
        <is>
          <t>2027.1Q</t>
        </is>
      </c>
      <c r="N225" s="5" t="inlineStr">
        <is>
          <t>2027.2Q</t>
        </is>
      </c>
      <c r="O225" s="5" t="inlineStr">
        <is>
          <t>2017</t>
        </is>
      </c>
      <c r="P225" s="5" t="inlineStr">
        <is>
          <t>2018</t>
        </is>
      </c>
      <c r="Q225" s="5" t="inlineStr">
        <is>
          <t>2019</t>
        </is>
      </c>
      <c r="R225" s="5" t="inlineStr">
        <is>
          <t>2020</t>
        </is>
      </c>
      <c r="S225" s="5" t="inlineStr">
        <is>
          <t>2021</t>
        </is>
      </c>
      <c r="T225" s="5" t="inlineStr">
        <is>
          <t>2022</t>
        </is>
      </c>
      <c r="U225" s="5" t="inlineStr">
        <is>
          <t>2023</t>
        </is>
      </c>
      <c r="V225" s="5" t="inlineStr">
        <is>
          <t>2024</t>
        </is>
      </c>
      <c r="W225" s="5" t="inlineStr">
        <is>
          <t>2025</t>
        </is>
      </c>
      <c r="X225" s="5" t="inlineStr">
        <is>
          <t>2026</t>
        </is>
      </c>
      <c r="Y225" s="5" t="inlineStr">
        <is>
          <t>2027(MW)</t>
        </is>
      </c>
      <c r="Z225" s="5" t="inlineStr">
        <is>
          <t>2028(MW)</t>
        </is>
      </c>
      <c r="AA225" s="5" t="inlineStr">
        <is>
          <t>2029(MW)</t>
        </is>
      </c>
      <c r="AB225" s="5" t="inlineStr">
        <is>
          <t>2030(MW)</t>
        </is>
      </c>
      <c r="AC225" s="5" t="inlineStr">
        <is>
          <t>2031(MW)</t>
        </is>
      </c>
    </row>
    <row r="226">
      <c r="A226" s="9" t="inlineStr">
        <is>
          <t>법인세차감전 순이익</t>
        </is>
      </c>
      <c r="D226" s="12" t="n">
        <v>935.467</v>
      </c>
      <c r="F226" s="12" t="n">
        <v>1168.472</v>
      </c>
      <c r="H226" s="12" t="n">
        <v>1650.494</v>
      </c>
      <c r="J226" s="12" t="n">
        <v>815.89</v>
      </c>
      <c r="L226" s="12" t="n">
        <v>1376.681</v>
      </c>
      <c r="N226" s="12" t="n">
        <v>517.966</v>
      </c>
      <c r="O226" s="12" t="n">
        <v>2261.294</v>
      </c>
      <c r="P226" s="12" t="n">
        <v>1666.527</v>
      </c>
      <c r="Q226" s="12" t="n">
        <v>784.442</v>
      </c>
      <c r="R226" s="12" t="n">
        <v>1066.25</v>
      </c>
      <c r="S226" s="12" t="n">
        <v>-295.232</v>
      </c>
      <c r="T226" s="12" t="n">
        <v>-723.099</v>
      </c>
      <c r="U226" s="12" t="n">
        <v>120.627</v>
      </c>
      <c r="V226" s="12" t="n">
        <v>935.467</v>
      </c>
      <c r="W226" s="12" t="n">
        <v>1650.494</v>
      </c>
      <c r="X226" s="12" t="n">
        <v>1376.681</v>
      </c>
    </row>
    <row r="227">
      <c r="A227" s="18" t="inlineStr">
        <is>
          <t>감가상각비</t>
        </is>
      </c>
      <c r="D227" s="20" t="n">
        <v>349.745</v>
      </c>
      <c r="F227" s="20" t="n">
        <v>114.516</v>
      </c>
      <c r="H227" s="20" t="n">
        <v>243.128</v>
      </c>
      <c r="J227" s="20" t="n">
        <v>90.68300000000001</v>
      </c>
      <c r="L227" s="20" t="n">
        <v>193.07</v>
      </c>
      <c r="N227" s="20" t="n">
        <v>103.885</v>
      </c>
      <c r="O227" s="20" t="n">
        <v>386.642</v>
      </c>
      <c r="P227" s="20" t="n">
        <v>387.057</v>
      </c>
      <c r="Q227" s="20" t="n">
        <v>487.29</v>
      </c>
      <c r="R227" s="20" t="n">
        <v>569.6180000000001</v>
      </c>
      <c r="S227" s="20" t="n">
        <v>559.105</v>
      </c>
      <c r="T227" s="20" t="n">
        <v>506.437</v>
      </c>
      <c r="U227" s="20" t="n">
        <v>467.955</v>
      </c>
      <c r="V227" s="20" t="n">
        <v>349.745</v>
      </c>
      <c r="W227" s="20" t="n">
        <v>243.128</v>
      </c>
      <c r="X227" s="20" t="n">
        <v>193.07</v>
      </c>
    </row>
    <row r="228">
      <c r="A228" s="18" t="inlineStr">
        <is>
          <t>손상차손</t>
        </is>
      </c>
      <c r="D228" s="20" t="n">
        <v>161.324</v>
      </c>
      <c r="F228" s="20" t="n">
        <v>40.09</v>
      </c>
      <c r="H228" s="20" t="n">
        <v>328.373</v>
      </c>
      <c r="J228" s="20" t="n">
        <v>0.357</v>
      </c>
      <c r="L228" s="20" t="n">
        <v>14.275</v>
      </c>
      <c r="N228" s="20" t="n">
        <v>0</v>
      </c>
      <c r="O228" s="20" t="n">
        <v>25.119</v>
      </c>
      <c r="P228" s="20" t="n">
        <v>149.276</v>
      </c>
      <c r="Q228" s="20" t="n">
        <v>8.65</v>
      </c>
      <c r="R228" s="20" t="n">
        <v>215.943</v>
      </c>
      <c r="S228" s="20" t="n">
        <v>105.286</v>
      </c>
      <c r="T228" s="20" t="n">
        <v>64.846</v>
      </c>
      <c r="U228" s="20" t="n">
        <v>171.007</v>
      </c>
      <c r="V228" s="20" t="n">
        <v>161.324</v>
      </c>
      <c r="W228" s="20" t="n">
        <v>328.373</v>
      </c>
      <c r="X228" s="20" t="n">
        <v>14.275</v>
      </c>
    </row>
    <row r="229">
      <c r="A229" s="18" t="inlineStr">
        <is>
          <t>대손충당금 증감</t>
        </is>
      </c>
      <c r="D229" s="20" t="n">
        <v>-4.611</v>
      </c>
      <c r="F229" s="20" t="n">
        <v>-2.877</v>
      </c>
      <c r="H229" s="20" t="n">
        <v>-3.389</v>
      </c>
      <c r="J229" s="20" t="n">
        <v>3.474</v>
      </c>
      <c r="L229" s="20" t="n">
        <v>-26.717</v>
      </c>
      <c r="N229" s="20" t="n">
        <v>-21.047</v>
      </c>
      <c r="O229" s="20" t="n">
        <v>-1.354</v>
      </c>
      <c r="P229" s="20" t="n">
        <v>-2.318</v>
      </c>
      <c r="Q229" s="20" t="n">
        <v>-1.657</v>
      </c>
      <c r="R229" s="20" t="n">
        <v>-2.458</v>
      </c>
      <c r="S229" s="20" t="n">
        <v>6.676</v>
      </c>
      <c r="T229" s="20" t="n">
        <v>-0.18</v>
      </c>
      <c r="U229" s="20" t="n">
        <v>-3.437</v>
      </c>
      <c r="V229" s="20" t="n">
        <v>-4.611</v>
      </c>
      <c r="W229" s="20" t="n">
        <v>-3.389</v>
      </c>
      <c r="X229" s="20" t="n">
        <v>-26.717</v>
      </c>
    </row>
    <row r="230">
      <c r="A230" s="18" t="inlineStr">
        <is>
          <t>상여충당금 증감</t>
        </is>
      </c>
      <c r="D230" s="20" t="n">
        <v>9.265000000000001</v>
      </c>
      <c r="F230" s="20" t="n">
        <v>-75.381</v>
      </c>
      <c r="H230" s="20" t="n">
        <v>26.336</v>
      </c>
      <c r="J230" s="20" t="n">
        <v>-123.798</v>
      </c>
      <c r="L230" s="20" t="n">
        <v>-68.209</v>
      </c>
      <c r="N230" s="20" t="n">
        <v>-61.67</v>
      </c>
      <c r="O230" s="20" t="n">
        <v>-39.825</v>
      </c>
      <c r="P230" s="20" t="n">
        <v>-25.659</v>
      </c>
      <c r="Q230" s="20" t="n">
        <v>-31.991</v>
      </c>
      <c r="R230" s="20" t="n">
        <v>-0.411</v>
      </c>
      <c r="S230" s="20" t="n">
        <v>-91.65000000000001</v>
      </c>
      <c r="T230" s="20" t="n">
        <v>-61.719</v>
      </c>
      <c r="U230" s="20" t="n">
        <v>39.511</v>
      </c>
      <c r="V230" s="20" t="n">
        <v>9.265000000000001</v>
      </c>
      <c r="W230" s="20" t="n">
        <v>26.336</v>
      </c>
      <c r="X230" s="20" t="n">
        <v>-68.209</v>
      </c>
    </row>
    <row r="231">
      <c r="A231" s="18" t="inlineStr">
        <is>
          <t>퇴직급여부채 증감</t>
        </is>
      </c>
      <c r="D231" s="20" t="n">
        <v>114.108</v>
      </c>
      <c r="F231" s="20" t="n">
        <v>-14.801</v>
      </c>
      <c r="H231" s="20" t="n">
        <v>88.35899999999999</v>
      </c>
      <c r="J231" s="20" t="n">
        <v>-1.219</v>
      </c>
      <c r="L231" s="20" t="n">
        <v>-134.216</v>
      </c>
      <c r="N231" s="20" t="n">
        <v>-207.567</v>
      </c>
      <c r="O231" s="20" t="n">
        <v>15.381</v>
      </c>
      <c r="P231" s="20" t="n">
        <v>0.502</v>
      </c>
      <c r="Q231" s="20" t="n">
        <v>4.65</v>
      </c>
      <c r="R231" s="20" t="n">
        <v>44.429</v>
      </c>
      <c r="S231" s="20" t="n">
        <v>-10.316</v>
      </c>
      <c r="T231" s="20" t="n">
        <v>68.57299999999999</v>
      </c>
      <c r="U231" s="20" t="n">
        <v>4.967</v>
      </c>
      <c r="V231" s="20" t="n">
        <v>114.108</v>
      </c>
      <c r="W231" s="20" t="n">
        <v>88.35899999999999</v>
      </c>
      <c r="X231" s="20" t="n">
        <v>-134.216</v>
      </c>
    </row>
    <row r="232">
      <c r="A232" s="18" t="inlineStr">
        <is>
          <t>이자·배당금 수익</t>
        </is>
      </c>
      <c r="D232" s="20" t="n">
        <v>-90.98</v>
      </c>
      <c r="F232" s="20" t="n">
        <v>-48.639</v>
      </c>
      <c r="H232" s="20" t="n">
        <v>-105.459</v>
      </c>
      <c r="J232" s="20" t="n">
        <v>-59.471</v>
      </c>
      <c r="L232" s="20" t="n">
        <v>-117.263</v>
      </c>
      <c r="N232" s="20" t="n">
        <v>-65.277</v>
      </c>
      <c r="O232" s="20" t="n">
        <v>-47.764</v>
      </c>
      <c r="P232" s="20" t="n">
        <v>-61.438</v>
      </c>
      <c r="Q232" s="20" t="n">
        <v>-59.725</v>
      </c>
      <c r="R232" s="20" t="n">
        <v>-71.78100000000001</v>
      </c>
      <c r="S232" s="20" t="n">
        <v>-93.625</v>
      </c>
      <c r="T232" s="20" t="n">
        <v>-71.28100000000001</v>
      </c>
      <c r="U232" s="20" t="n">
        <v>-69.7</v>
      </c>
      <c r="V232" s="20" t="n">
        <v>-90.98</v>
      </c>
      <c r="W232" s="20" t="n">
        <v>-105.459</v>
      </c>
      <c r="X232" s="20" t="n">
        <v>-117.263</v>
      </c>
    </row>
    <row r="233">
      <c r="A233" s="18" t="inlineStr">
        <is>
          <t>이자비용</t>
        </is>
      </c>
      <c r="D233" s="20" t="n">
        <v>30.255</v>
      </c>
      <c r="F233" s="20" t="n">
        <v>12.68</v>
      </c>
      <c r="H233" s="20" t="n">
        <v>23.834</v>
      </c>
      <c r="J233" s="20" t="n">
        <v>25.938</v>
      </c>
      <c r="L233" s="20" t="n">
        <v>56.057</v>
      </c>
      <c r="N233" s="20" t="n">
        <v>41.018</v>
      </c>
      <c r="O233" s="20" t="n">
        <v>41.144</v>
      </c>
      <c r="P233" s="20" t="n">
        <v>31.328</v>
      </c>
      <c r="Q233" s="20" t="n">
        <v>38.77</v>
      </c>
      <c r="R233" s="20" t="n">
        <v>41.297</v>
      </c>
      <c r="S233" s="20" t="n">
        <v>34.054</v>
      </c>
      <c r="T233" s="20" t="n">
        <v>39.954</v>
      </c>
      <c r="U233" s="20" t="n">
        <v>37.188</v>
      </c>
      <c r="V233" s="20" t="n">
        <v>30.255</v>
      </c>
      <c r="W233" s="20" t="n">
        <v>23.834</v>
      </c>
      <c r="X233" s="20" t="n">
        <v>56.057</v>
      </c>
    </row>
    <row r="234">
      <c r="A234" s="18" t="inlineStr">
        <is>
          <t>임대차계약 해약손실</t>
        </is>
      </c>
      <c r="F234" s="20" t="n">
        <v>0</v>
      </c>
      <c r="H234" s="20" t="n">
        <v>0</v>
      </c>
      <c r="J234" s="20" t="n">
        <v>1.524</v>
      </c>
      <c r="L234" s="20" t="n">
        <v>3.147</v>
      </c>
      <c r="N234" s="20" t="n">
        <v>0</v>
      </c>
      <c r="R234" s="20" t="n">
        <v>0</v>
      </c>
      <c r="S234" s="20" t="n">
        <v>12.779</v>
      </c>
      <c r="T234" s="20" t="n">
        <v>4.509</v>
      </c>
      <c r="U234" s="20" t="n">
        <v>0</v>
      </c>
      <c r="W234" s="20" t="n">
        <v>0</v>
      </c>
      <c r="X234" s="20" t="n">
        <v>3.147</v>
      </c>
    </row>
    <row r="235">
      <c r="A235" s="18" t="inlineStr">
        <is>
          <t>고정자산 제각손실</t>
        </is>
      </c>
      <c r="D235" s="20" t="n">
        <v>14.853</v>
      </c>
      <c r="F235" s="20" t="n">
        <v>0.11</v>
      </c>
      <c r="H235" s="20" t="n">
        <v>0.638</v>
      </c>
      <c r="J235" s="20" t="n">
        <v>0.182</v>
      </c>
      <c r="L235" s="20" t="n">
        <v>0.8080000000000001</v>
      </c>
      <c r="N235" s="20" t="n">
        <v>0.996</v>
      </c>
      <c r="O235" s="20" t="n">
        <v>14.023</v>
      </c>
      <c r="P235" s="20" t="n">
        <v>16.086</v>
      </c>
      <c r="Q235" s="20" t="n">
        <v>16.6</v>
      </c>
      <c r="R235" s="20" t="n">
        <v>13.804</v>
      </c>
      <c r="S235" s="20" t="n">
        <v>15.963</v>
      </c>
      <c r="T235" s="20" t="n">
        <v>2.959</v>
      </c>
      <c r="U235" s="20" t="n">
        <v>1.821</v>
      </c>
      <c r="V235" s="20" t="n">
        <v>14.853</v>
      </c>
      <c r="W235" s="20" t="n">
        <v>0.638</v>
      </c>
      <c r="X235" s="20" t="n">
        <v>0.8080000000000001</v>
      </c>
    </row>
    <row r="236">
      <c r="A236" s="18" t="inlineStr">
        <is>
          <t>Gain On Refund Of Deposits Of Golfclub Membership Ope CF</t>
        </is>
      </c>
      <c r="F236" s="20" t="n">
        <v>0</v>
      </c>
      <c r="H236" s="20" t="n">
        <v>0</v>
      </c>
      <c r="J236" s="20" t="n">
        <v>-9.253</v>
      </c>
      <c r="L236" s="20" t="n">
        <v>-9.058999999999999</v>
      </c>
      <c r="N236" s="20" t="n">
        <v>0</v>
      </c>
      <c r="W236" s="20" t="n">
        <v>0</v>
      </c>
      <c r="X236" s="20" t="n">
        <v>-9.058999999999999</v>
      </c>
    </row>
    <row r="237">
      <c r="A237" s="18" t="inlineStr">
        <is>
          <t>고정자산 매각손익</t>
        </is>
      </c>
      <c r="D237" s="20" t="n">
        <v>-6.789</v>
      </c>
      <c r="F237" s="20" t="n">
        <v>-0.015</v>
      </c>
      <c r="H237" s="20" t="n">
        <v>-0.023</v>
      </c>
      <c r="J237" s="20" t="n">
        <v>0</v>
      </c>
      <c r="L237" s="20" t="n">
        <v>-9.851000000000001</v>
      </c>
      <c r="N237" s="20" t="n">
        <v>-40.371</v>
      </c>
      <c r="O237" s="20" t="n">
        <v>10.986</v>
      </c>
      <c r="P237" s="20" t="n">
        <v>-0.199</v>
      </c>
      <c r="Q237" s="20" t="n">
        <v>-4.048</v>
      </c>
      <c r="R237" s="20" t="n">
        <v>-3.619</v>
      </c>
      <c r="S237" s="20" t="n">
        <v>-283.296</v>
      </c>
      <c r="T237" s="20" t="n">
        <v>4.359</v>
      </c>
      <c r="U237" s="20" t="n">
        <v>-1.63</v>
      </c>
      <c r="V237" s="20" t="n">
        <v>-6.789</v>
      </c>
      <c r="W237" s="20" t="n">
        <v>-0.023</v>
      </c>
      <c r="X237" s="20" t="n">
        <v>-9.851000000000001</v>
      </c>
    </row>
    <row r="238">
      <c r="A238" s="18" t="inlineStr">
        <is>
          <t>유가증권 매각손익</t>
        </is>
      </c>
      <c r="Q238" s="20" t="n">
        <v>0</v>
      </c>
      <c r="R238" s="20" t="n">
        <v>1.85</v>
      </c>
      <c r="S238" s="20" t="n">
        <v>0</v>
      </c>
    </row>
    <row r="239">
      <c r="A239" s="18" t="inlineStr">
        <is>
          <t>투자유가증권 매각손익</t>
        </is>
      </c>
      <c r="D239" s="20" t="n">
        <v>0</v>
      </c>
      <c r="H239" s="20" t="n">
        <v>0</v>
      </c>
      <c r="L239" s="20" t="n">
        <v>-1021.134</v>
      </c>
      <c r="O239" s="20" t="n">
        <v>-28.055</v>
      </c>
      <c r="P239" s="20" t="n">
        <v>-4.541</v>
      </c>
      <c r="Q239" s="20" t="n">
        <v>0</v>
      </c>
      <c r="R239" s="20" t="n">
        <v>-9.621</v>
      </c>
      <c r="S239" s="20" t="n">
        <v>-2.646</v>
      </c>
      <c r="T239" s="20" t="n">
        <v>-9.638</v>
      </c>
      <c r="U239" s="20" t="n">
        <v>-33.003</v>
      </c>
      <c r="V239" s="20" t="n">
        <v>0</v>
      </c>
      <c r="W239" s="20" t="n">
        <v>0</v>
      </c>
      <c r="X239" s="20" t="n">
        <v>-1021.134</v>
      </c>
    </row>
    <row r="240">
      <c r="A240" s="18" t="inlineStr">
        <is>
          <t>투자유가증권 평가손익</t>
        </is>
      </c>
      <c r="Q240" s="20" t="n">
        <v>0</v>
      </c>
      <c r="R240" s="20" t="n">
        <v>18.77</v>
      </c>
      <c r="S240" s="20" t="n">
        <v>0</v>
      </c>
      <c r="T240" s="20" t="n">
        <v>2.893</v>
      </c>
      <c r="U240" s="20" t="n">
        <v>0</v>
      </c>
    </row>
    <row r="241">
      <c r="A241" s="18" t="inlineStr">
        <is>
          <t>Provision For Loss On Voluntary Recall Affairs Ope CF</t>
        </is>
      </c>
      <c r="O241" s="20" t="n">
        <v>80</v>
      </c>
      <c r="P241" s="20" t="n">
        <v>0</v>
      </c>
      <c r="Q241" s="20" t="n">
        <v>0</v>
      </c>
      <c r="R241" s="20" t="n">
        <v>40.229</v>
      </c>
      <c r="S241" s="20" t="n">
        <v>0</v>
      </c>
    </row>
    <row r="242">
      <c r="A242" s="18" t="inlineStr">
        <is>
          <t>매출채권 증감</t>
        </is>
      </c>
      <c r="D242" s="20" t="n">
        <v>-1989.417</v>
      </c>
      <c r="F242" s="20" t="n">
        <v>2537.108</v>
      </c>
      <c r="H242" s="20" t="n">
        <v>2315.987</v>
      </c>
      <c r="J242" s="20" t="n">
        <v>171.027</v>
      </c>
      <c r="L242" s="20" t="n">
        <v>125.453</v>
      </c>
      <c r="N242" s="20" t="n">
        <v>-102.607</v>
      </c>
      <c r="O242" s="20" t="n">
        <v>307.925</v>
      </c>
      <c r="P242" s="20" t="n">
        <v>-827.09</v>
      </c>
      <c r="Q242" s="20" t="n">
        <v>822.753</v>
      </c>
      <c r="R242" s="20" t="n">
        <v>1799.397</v>
      </c>
      <c r="S242" s="20" t="n">
        <v>181.698</v>
      </c>
      <c r="T242" s="20" t="n">
        <v>8.003</v>
      </c>
      <c r="U242" s="20" t="n">
        <v>-334.42</v>
      </c>
      <c r="V242" s="20" t="n">
        <v>-1989.417</v>
      </c>
      <c r="W242" s="20" t="n">
        <v>2315.987</v>
      </c>
      <c r="X242" s="20" t="n">
        <v>125.453</v>
      </c>
    </row>
    <row r="243">
      <c r="A243" s="18" t="inlineStr">
        <is>
          <t>재고자산 증감</t>
        </is>
      </c>
      <c r="D243" s="20" t="n">
        <v>1181.688</v>
      </c>
      <c r="F243" s="20" t="n">
        <v>57.243</v>
      </c>
      <c r="H243" s="20" t="n">
        <v>-7.896</v>
      </c>
      <c r="J243" s="20" t="n">
        <v>354.298</v>
      </c>
      <c r="L243" s="20" t="n">
        <v>1368.91</v>
      </c>
      <c r="N243" s="20" t="n">
        <v>273.014</v>
      </c>
      <c r="O243" s="20" t="n">
        <v>-344.738</v>
      </c>
      <c r="P243" s="20" t="n">
        <v>364.885</v>
      </c>
      <c r="Q243" s="20" t="n">
        <v>-715.564</v>
      </c>
      <c r="R243" s="20" t="n">
        <v>-120.631</v>
      </c>
      <c r="S243" s="20" t="n">
        <v>-188.882</v>
      </c>
      <c r="T243" s="20" t="n">
        <v>717.8630000000001</v>
      </c>
      <c r="U243" s="20" t="n">
        <v>791.027</v>
      </c>
      <c r="V243" s="20" t="n">
        <v>1181.688</v>
      </c>
      <c r="W243" s="20" t="n">
        <v>-7.896</v>
      </c>
      <c r="X243" s="20" t="n">
        <v>1368.91</v>
      </c>
    </row>
    <row r="244">
      <c r="A244" s="18" t="inlineStr">
        <is>
          <t>매입채무 증감</t>
        </is>
      </c>
      <c r="D244" s="20" t="n">
        <v>163.162</v>
      </c>
      <c r="F244" s="20" t="n">
        <v>405.142</v>
      </c>
      <c r="H244" s="20" t="n">
        <v>74.001</v>
      </c>
      <c r="J244" s="20" t="n">
        <v>-149.01</v>
      </c>
      <c r="L244" s="20" t="n">
        <v>-123.18</v>
      </c>
      <c r="N244" s="20" t="n">
        <v>9.773999999999999</v>
      </c>
      <c r="O244" s="20" t="n">
        <v>-10.075</v>
      </c>
      <c r="P244" s="20" t="n">
        <v>-134.441</v>
      </c>
      <c r="Q244" s="20" t="n">
        <v>-32.799</v>
      </c>
      <c r="R244" s="20" t="n">
        <v>181.186</v>
      </c>
      <c r="S244" s="20" t="n">
        <v>-40.408</v>
      </c>
      <c r="T244" s="20" t="n">
        <v>-574.807</v>
      </c>
      <c r="U244" s="20" t="n">
        <v>21.597</v>
      </c>
      <c r="V244" s="20" t="n">
        <v>163.162</v>
      </c>
      <c r="W244" s="20" t="n">
        <v>74.001</v>
      </c>
      <c r="X244" s="20" t="n">
        <v>-123.18</v>
      </c>
    </row>
    <row r="245">
      <c r="A245" s="18" t="inlineStr">
        <is>
          <t>미지급금 증감</t>
        </is>
      </c>
      <c r="J245" s="20" t="n">
        <v>-141.626</v>
      </c>
      <c r="N245" s="20" t="n">
        <v>-351.943</v>
      </c>
    </row>
    <row r="246">
      <c r="A246" s="18" t="inlineStr">
        <is>
          <t>미지급 소비세 증감</t>
        </is>
      </c>
      <c r="D246" s="20" t="n">
        <v>-60.673</v>
      </c>
      <c r="F246" s="20" t="n">
        <v>-80.20999999999999</v>
      </c>
      <c r="H246" s="20" t="n">
        <v>-140.58</v>
      </c>
      <c r="J246" s="20" t="n">
        <v>133.411</v>
      </c>
      <c r="L246" s="20" t="n">
        <v>52.517</v>
      </c>
      <c r="N246" s="20" t="n">
        <v>20.046</v>
      </c>
      <c r="O246" s="20" t="n">
        <v>-160.396</v>
      </c>
      <c r="P246" s="20" t="n">
        <v>83.048</v>
      </c>
      <c r="Q246" s="20" t="n">
        <v>-7.286</v>
      </c>
      <c r="R246" s="20" t="n">
        <v>-64.038</v>
      </c>
      <c r="S246" s="20" t="n">
        <v>35.94</v>
      </c>
      <c r="T246" s="20" t="n">
        <v>116.857</v>
      </c>
      <c r="U246" s="20" t="n">
        <v>31.006</v>
      </c>
      <c r="V246" s="20" t="n">
        <v>-60.673</v>
      </c>
      <c r="W246" s="20" t="n">
        <v>-140.58</v>
      </c>
      <c r="X246" s="20" t="n">
        <v>52.517</v>
      </c>
    </row>
    <row r="247">
      <c r="A247" s="18" t="inlineStr">
        <is>
          <t>Provision For Loss On Fire Disaster Affairs Ope CF</t>
        </is>
      </c>
      <c r="O247" s="20" t="n">
        <v>65.00700000000001</v>
      </c>
      <c r="P247" s="20" t="n">
        <v>0</v>
      </c>
    </row>
    <row r="248">
      <c r="A248" s="18" t="inlineStr">
        <is>
          <t>영업권 상각</t>
        </is>
      </c>
      <c r="H248" s="20" t="n">
        <v>0</v>
      </c>
      <c r="J248" s="20" t="n">
        <v>0</v>
      </c>
      <c r="L248" s="20" t="n">
        <v>41.965</v>
      </c>
      <c r="N248" s="20" t="n">
        <v>41.965</v>
      </c>
      <c r="O248" s="20" t="n">
        <v>2.502</v>
      </c>
      <c r="P248" s="20" t="n">
        <v>0</v>
      </c>
      <c r="W248" s="20" t="n">
        <v>0</v>
      </c>
      <c r="X248" s="20" t="n">
        <v>41.965</v>
      </c>
    </row>
    <row r="249">
      <c r="A249" s="18" t="inlineStr">
        <is>
          <t>기타</t>
        </is>
      </c>
      <c r="D249" s="20" t="n">
        <v>26.253</v>
      </c>
      <c r="F249" s="20" t="n">
        <v>-309.812</v>
      </c>
      <c r="H249" s="20" t="n">
        <v>-287.946</v>
      </c>
      <c r="J249" s="20" t="n">
        <v>-5.839</v>
      </c>
      <c r="L249" s="20" t="n">
        <v>192.309</v>
      </c>
      <c r="N249" s="20" t="n">
        <v>-121.098</v>
      </c>
      <c r="O249" s="20" t="n">
        <v>-348.523</v>
      </c>
      <c r="P249" s="20" t="n">
        <v>23.316</v>
      </c>
      <c r="Q249" s="20" t="n">
        <v>-132.485</v>
      </c>
      <c r="R249" s="20" t="n">
        <v>-178.035</v>
      </c>
      <c r="S249" s="20" t="n">
        <v>-188.346</v>
      </c>
      <c r="T249" s="20" t="n">
        <v>-381.001</v>
      </c>
      <c r="U249" s="20" t="n">
        <v>-87.004</v>
      </c>
      <c r="V249" s="20" t="n">
        <v>26.253</v>
      </c>
      <c r="W249" s="20" t="n">
        <v>-287.946</v>
      </c>
      <c r="X249" s="20" t="n">
        <v>192.309</v>
      </c>
    </row>
    <row r="250">
      <c r="A250" s="18" t="inlineStr">
        <is>
          <t>소계</t>
        </is>
      </c>
      <c r="D250" s="20" t="n">
        <v>833.653</v>
      </c>
      <c r="F250" s="20" t="n">
        <v>3803.628</v>
      </c>
      <c r="H250" s="20" t="n">
        <v>4205.857</v>
      </c>
      <c r="J250" s="20" t="n">
        <v>1106.569</v>
      </c>
      <c r="L250" s="20" t="n">
        <v>1915.565</v>
      </c>
      <c r="N250" s="20" t="n">
        <v>37.084</v>
      </c>
      <c r="O250" s="20" t="n">
        <v>2229.296</v>
      </c>
      <c r="P250" s="20" t="n">
        <v>1666.34</v>
      </c>
      <c r="Q250" s="20" t="n">
        <v>1177.599</v>
      </c>
      <c r="R250" s="20" t="n">
        <v>3542.181</v>
      </c>
      <c r="S250" s="20" t="n">
        <v>-242.901</v>
      </c>
      <c r="T250" s="20" t="n">
        <v>-284.469</v>
      </c>
      <c r="U250" s="20" t="n">
        <v>1157.513</v>
      </c>
      <c r="V250" s="20" t="n">
        <v>833.653</v>
      </c>
      <c r="W250" s="20" t="n">
        <v>4205.857</v>
      </c>
      <c r="X250" s="20" t="n">
        <v>1915.565</v>
      </c>
    </row>
    <row r="251">
      <c r="A251" s="18" t="inlineStr">
        <is>
          <t>이자·배당금 수취</t>
        </is>
      </c>
      <c r="D251" s="20" t="n">
        <v>90.98</v>
      </c>
      <c r="F251" s="20" t="n">
        <v>48.639</v>
      </c>
      <c r="H251" s="20" t="n">
        <v>105.459</v>
      </c>
      <c r="J251" s="20" t="n">
        <v>59.471</v>
      </c>
      <c r="L251" s="20" t="n">
        <v>117.263</v>
      </c>
      <c r="N251" s="20" t="n">
        <v>65.277</v>
      </c>
      <c r="O251" s="20" t="n">
        <v>47.764</v>
      </c>
      <c r="P251" s="20" t="n">
        <v>61.438</v>
      </c>
      <c r="Q251" s="20" t="n">
        <v>59.725</v>
      </c>
      <c r="R251" s="20" t="n">
        <v>71.78100000000001</v>
      </c>
      <c r="S251" s="20" t="n">
        <v>93.625</v>
      </c>
      <c r="T251" s="20" t="n">
        <v>71.28100000000001</v>
      </c>
      <c r="U251" s="20" t="n">
        <v>69.7</v>
      </c>
      <c r="V251" s="20" t="n">
        <v>90.98</v>
      </c>
      <c r="W251" s="20" t="n">
        <v>105.459</v>
      </c>
      <c r="X251" s="20" t="n">
        <v>117.263</v>
      </c>
    </row>
    <row r="252">
      <c r="A252" s="18" t="inlineStr">
        <is>
          <t>이자 지급</t>
        </is>
      </c>
      <c r="D252" s="20" t="n">
        <v>-29.788</v>
      </c>
      <c r="F252" s="20" t="n">
        <v>-14.092</v>
      </c>
      <c r="H252" s="20" t="n">
        <v>-24.289</v>
      </c>
      <c r="J252" s="20" t="n">
        <v>-26.327</v>
      </c>
      <c r="L252" s="20" t="n">
        <v>-52.521</v>
      </c>
      <c r="N252" s="20" t="n">
        <v>-41.009</v>
      </c>
      <c r="O252" s="20" t="n">
        <v>-40.773</v>
      </c>
      <c r="P252" s="20" t="n">
        <v>-31.152</v>
      </c>
      <c r="Q252" s="20" t="n">
        <v>-38.594</v>
      </c>
      <c r="R252" s="20" t="n">
        <v>-41.046</v>
      </c>
      <c r="S252" s="20" t="n">
        <v>-34.049</v>
      </c>
      <c r="T252" s="20" t="n">
        <v>-39.793</v>
      </c>
      <c r="U252" s="20" t="n">
        <v>-37.222</v>
      </c>
      <c r="V252" s="20" t="n">
        <v>-29.788</v>
      </c>
      <c r="W252" s="20" t="n">
        <v>-24.289</v>
      </c>
      <c r="X252" s="20" t="n">
        <v>-52.521</v>
      </c>
    </row>
    <row r="253">
      <c r="A253" s="18" t="inlineStr">
        <is>
          <t>법인세 납부</t>
        </is>
      </c>
      <c r="D253" s="20" t="n">
        <v>-365.159</v>
      </c>
      <c r="F253" s="20" t="n">
        <v>-249.106</v>
      </c>
      <c r="H253" s="20" t="n">
        <v>-511.237</v>
      </c>
      <c r="J253" s="20" t="n">
        <v>-396.477</v>
      </c>
      <c r="L253" s="20" t="n">
        <v>-1093.532</v>
      </c>
      <c r="N253" s="20" t="n">
        <v>-308.741</v>
      </c>
      <c r="O253" s="20" t="n">
        <v>-814.978</v>
      </c>
      <c r="P253" s="20" t="n">
        <v>-803.799</v>
      </c>
      <c r="Q253" s="20" t="n">
        <v>-621.795</v>
      </c>
      <c r="R253" s="20" t="n">
        <v>-649.727</v>
      </c>
      <c r="S253" s="20" t="n">
        <v>-579.883</v>
      </c>
      <c r="T253" s="20" t="n">
        <v>-502.449</v>
      </c>
      <c r="U253" s="20" t="n">
        <v>-216.531</v>
      </c>
      <c r="V253" s="20" t="n">
        <v>-365.159</v>
      </c>
      <c r="W253" s="20" t="n">
        <v>-511.237</v>
      </c>
      <c r="X253" s="20" t="n">
        <v>-1093.532</v>
      </c>
    </row>
    <row r="254">
      <c r="A254" s="9" t="inlineStr">
        <is>
          <t>영업활동 현금흐름</t>
        </is>
      </c>
      <c r="D254" s="12" t="n">
        <v>529.6849999999999</v>
      </c>
      <c r="F254" s="12" t="n">
        <v>3589.067</v>
      </c>
      <c r="H254" s="12" t="n">
        <v>3775.79</v>
      </c>
      <c r="J254" s="12" t="n">
        <v>743.236</v>
      </c>
      <c r="L254" s="12" t="n">
        <v>886.774</v>
      </c>
      <c r="N254" s="12" t="n">
        <v>-247.388</v>
      </c>
      <c r="O254" s="12" t="n">
        <v>1421.309</v>
      </c>
      <c r="P254" s="12" t="n">
        <v>892.826</v>
      </c>
      <c r="Q254" s="12" t="n">
        <v>576.9349999999999</v>
      </c>
      <c r="R254" s="12" t="n">
        <v>2923.188</v>
      </c>
      <c r="S254" s="12" t="n">
        <v>-763.207</v>
      </c>
      <c r="T254" s="12" t="n">
        <v>-755.432</v>
      </c>
      <c r="U254" s="12" t="n">
        <v>973.4589999999999</v>
      </c>
      <c r="V254" s="12" t="n">
        <v>529.6849999999999</v>
      </c>
      <c r="W254" s="12" t="n">
        <v>3775.79</v>
      </c>
      <c r="X254" s="12" t="n">
        <v>886.774</v>
      </c>
    </row>
    <row r="255">
      <c r="A255" s="18" t="inlineStr">
        <is>
          <t>유형자산 취득(설비투자)</t>
        </is>
      </c>
      <c r="D255" s="20" t="n">
        <v>-323.564</v>
      </c>
      <c r="F255" s="20" t="n">
        <v>-114.238</v>
      </c>
      <c r="H255" s="20" t="n">
        <v>-153.396</v>
      </c>
      <c r="J255" s="20" t="n">
        <v>-99.404</v>
      </c>
      <c r="L255" s="20" t="n">
        <v>-146.788</v>
      </c>
      <c r="N255" s="20" t="n">
        <v>-9.529</v>
      </c>
      <c r="O255" s="20" t="n">
        <v>-466.841</v>
      </c>
      <c r="P255" s="20" t="n">
        <v>-341.026</v>
      </c>
      <c r="Q255" s="20" t="n">
        <v>-414.135</v>
      </c>
      <c r="R255" s="20" t="n">
        <v>-479.111</v>
      </c>
      <c r="S255" s="20" t="n">
        <v>-251.588</v>
      </c>
      <c r="T255" s="20" t="n">
        <v>-133.768</v>
      </c>
      <c r="U255" s="20" t="n">
        <v>-153.642</v>
      </c>
      <c r="V255" s="20" t="n">
        <v>-323.564</v>
      </c>
      <c r="W255" s="20" t="n">
        <v>-153.396</v>
      </c>
      <c r="X255" s="20" t="n">
        <v>-146.788</v>
      </c>
    </row>
    <row r="256">
      <c r="A256" s="18" t="inlineStr">
        <is>
          <t>유형자산 매각</t>
        </is>
      </c>
      <c r="D256" s="20" t="n">
        <v>68.955</v>
      </c>
      <c r="F256" s="20" t="n">
        <v>0.015</v>
      </c>
      <c r="H256" s="20" t="n">
        <v>0.023</v>
      </c>
      <c r="J256" s="20" t="n">
        <v>0</v>
      </c>
      <c r="L256" s="20" t="n">
        <v>6.425</v>
      </c>
      <c r="N256" s="20" t="n">
        <v>39.421</v>
      </c>
      <c r="O256" s="20" t="n">
        <v>15.4</v>
      </c>
      <c r="P256" s="20" t="n">
        <v>0.2</v>
      </c>
      <c r="Q256" s="20" t="n">
        <v>4.048</v>
      </c>
      <c r="R256" s="20" t="n">
        <v>5.424</v>
      </c>
      <c r="S256" s="20" t="n">
        <v>399.647</v>
      </c>
      <c r="T256" s="20" t="n">
        <v>4.49</v>
      </c>
      <c r="U256" s="20" t="n">
        <v>7.393</v>
      </c>
      <c r="V256" s="20" t="n">
        <v>68.955</v>
      </c>
      <c r="W256" s="20" t="n">
        <v>0.023</v>
      </c>
      <c r="X256" s="20" t="n">
        <v>6.425</v>
      </c>
    </row>
    <row r="257">
      <c r="A257" s="18" t="inlineStr">
        <is>
          <t>무형자산 취득</t>
        </is>
      </c>
      <c r="D257" s="20" t="n">
        <v>-12.797</v>
      </c>
      <c r="F257" s="20" t="n">
        <v>-9.699999999999999</v>
      </c>
      <c r="H257" s="20" t="n">
        <v>-11.322</v>
      </c>
      <c r="J257" s="20" t="n">
        <v>-2.313</v>
      </c>
      <c r="L257" s="20" t="n">
        <v>-6.573</v>
      </c>
      <c r="N257" s="20" t="n">
        <v>-8.752000000000001</v>
      </c>
      <c r="O257" s="20" t="n">
        <v>-45.088</v>
      </c>
      <c r="P257" s="20" t="n">
        <v>-536.37</v>
      </c>
      <c r="Q257" s="20" t="n">
        <v>-189.146</v>
      </c>
      <c r="R257" s="20" t="n">
        <v>-158.289</v>
      </c>
      <c r="S257" s="20" t="n">
        <v>-84.051</v>
      </c>
      <c r="T257" s="20" t="n">
        <v>-30.015</v>
      </c>
      <c r="U257" s="20" t="n">
        <v>-11.842</v>
      </c>
      <c r="V257" s="20" t="n">
        <v>-12.797</v>
      </c>
      <c r="W257" s="20" t="n">
        <v>-11.322</v>
      </c>
      <c r="X257" s="20" t="n">
        <v>-6.573</v>
      </c>
    </row>
    <row r="258">
      <c r="A258" s="18" t="inlineStr">
        <is>
          <t>무형자산 매각 수입</t>
        </is>
      </c>
      <c r="O258" s="20" t="n">
        <v>0</v>
      </c>
      <c r="P258" s="20" t="n">
        <v>6.354</v>
      </c>
      <c r="Q258" s="20" t="n">
        <v>0</v>
      </c>
    </row>
    <row r="259">
      <c r="A259" s="18" t="inlineStr">
        <is>
          <t>유가증권 매각</t>
        </is>
      </c>
      <c r="Q259" s="20" t="n">
        <v>0</v>
      </c>
      <c r="R259" s="20" t="n">
        <v>58.076</v>
      </c>
      <c r="S259" s="20" t="n">
        <v>0</v>
      </c>
    </row>
    <row r="260">
      <c r="A260" s="18" t="inlineStr">
        <is>
          <t>투자유가증권 취득</t>
        </is>
      </c>
      <c r="D260" s="20" t="n">
        <v>-19.616</v>
      </c>
      <c r="F260" s="20" t="n">
        <v>-9.968</v>
      </c>
      <c r="H260" s="20" t="n">
        <v>-19.967</v>
      </c>
      <c r="J260" s="20" t="n">
        <v>-21.478</v>
      </c>
      <c r="L260" s="20" t="n">
        <v>-33.209</v>
      </c>
      <c r="N260" s="20" t="n">
        <v>-22.662</v>
      </c>
      <c r="O260" s="20" t="n">
        <v>-57.058</v>
      </c>
      <c r="P260" s="20" t="n">
        <v>-36.577</v>
      </c>
      <c r="Q260" s="20" t="n">
        <v>-14.598</v>
      </c>
      <c r="R260" s="20" t="n">
        <v>-18.149</v>
      </c>
      <c r="S260" s="20" t="n">
        <v>-15.705</v>
      </c>
      <c r="T260" s="20" t="n">
        <v>-18.827</v>
      </c>
      <c r="U260" s="20" t="n">
        <v>-19.18</v>
      </c>
      <c r="V260" s="20" t="n">
        <v>-19.616</v>
      </c>
      <c r="W260" s="20" t="n">
        <v>-19.967</v>
      </c>
      <c r="X260" s="20" t="n">
        <v>-33.209</v>
      </c>
    </row>
    <row r="261">
      <c r="A261" s="18" t="inlineStr">
        <is>
          <t>자회사 주식 취득</t>
        </is>
      </c>
      <c r="F261" s="20" t="n">
        <v>0</v>
      </c>
      <c r="H261" s="20" t="n">
        <v>0</v>
      </c>
      <c r="J261" s="20" t="n">
        <v>-704.751</v>
      </c>
      <c r="L261" s="20" t="n">
        <v>-704.751</v>
      </c>
      <c r="N261" s="20" t="n">
        <v>0</v>
      </c>
      <c r="W261" s="20" t="n">
        <v>0</v>
      </c>
      <c r="X261" s="20" t="n">
        <v>-704.751</v>
      </c>
    </row>
    <row r="262">
      <c r="A262" s="18" t="inlineStr">
        <is>
          <t>투자유가증권 매각</t>
        </is>
      </c>
      <c r="D262" s="20" t="n">
        <v>0</v>
      </c>
      <c r="H262" s="20" t="n">
        <v>0</v>
      </c>
      <c r="L262" s="20" t="n">
        <v>1116.692</v>
      </c>
      <c r="O262" s="20" t="n">
        <v>102.717</v>
      </c>
      <c r="P262" s="20" t="n">
        <v>57.062</v>
      </c>
      <c r="Q262" s="20" t="n">
        <v>0</v>
      </c>
      <c r="R262" s="20" t="n">
        <v>17.233</v>
      </c>
      <c r="S262" s="20" t="n">
        <v>7.756</v>
      </c>
      <c r="T262" s="20" t="n">
        <v>100.262</v>
      </c>
      <c r="U262" s="20" t="n">
        <v>42.75</v>
      </c>
      <c r="V262" s="20" t="n">
        <v>0</v>
      </c>
      <c r="W262" s="20" t="n">
        <v>0</v>
      </c>
      <c r="X262" s="20" t="n">
        <v>1116.692</v>
      </c>
    </row>
    <row r="263">
      <c r="A263" s="18" t="inlineStr">
        <is>
          <t>대여</t>
        </is>
      </c>
      <c r="O263" s="20" t="n">
        <v>-0.148</v>
      </c>
      <c r="P263" s="20" t="n">
        <v>-4.8</v>
      </c>
      <c r="Q263" s="20" t="n">
        <v>0</v>
      </c>
    </row>
    <row r="264">
      <c r="A264" s="18" t="inlineStr">
        <is>
          <t>투자유가증권 청산 수입</t>
        </is>
      </c>
      <c r="S264" s="20" t="n">
        <v>30.473</v>
      </c>
      <c r="T264" s="20" t="n">
        <v>0</v>
      </c>
    </row>
    <row r="265">
      <c r="A265" s="18" t="inlineStr">
        <is>
          <t>대여금 회수</t>
        </is>
      </c>
      <c r="D265" s="20" t="n">
        <v>9.378</v>
      </c>
      <c r="F265" s="20" t="n">
        <v>0</v>
      </c>
      <c r="H265" s="20" t="n">
        <v>0.062</v>
      </c>
      <c r="L265" s="20" t="n">
        <v>0</v>
      </c>
      <c r="O265" s="20" t="n">
        <v>2.016</v>
      </c>
      <c r="P265" s="20" t="n">
        <v>1.054</v>
      </c>
      <c r="Q265" s="20" t="n">
        <v>2.624</v>
      </c>
      <c r="R265" s="20" t="n">
        <v>2.46</v>
      </c>
      <c r="S265" s="20" t="n">
        <v>1.66</v>
      </c>
      <c r="T265" s="20" t="n">
        <v>0.66</v>
      </c>
      <c r="U265" s="20" t="n">
        <v>0.863</v>
      </c>
      <c r="V265" s="20" t="n">
        <v>9.378</v>
      </c>
      <c r="W265" s="20" t="n">
        <v>0.062</v>
      </c>
      <c r="X265" s="20" t="n">
        <v>0</v>
      </c>
    </row>
    <row r="266">
      <c r="A266" s="18" t="inlineStr">
        <is>
          <t>기타</t>
        </is>
      </c>
      <c r="D266" s="20" t="n">
        <v>159.088</v>
      </c>
      <c r="F266" s="20" t="n">
        <v>31.467</v>
      </c>
      <c r="H266" s="20" t="n">
        <v>102.192</v>
      </c>
      <c r="J266" s="20" t="n">
        <v>28.824</v>
      </c>
      <c r="L266" s="20" t="n">
        <v>36.145</v>
      </c>
      <c r="N266" s="20" t="n">
        <v>-69.07599999999999</v>
      </c>
      <c r="O266" s="20" t="n">
        <v>-43.459</v>
      </c>
      <c r="P266" s="20" t="n">
        <v>21.057</v>
      </c>
      <c r="Q266" s="20" t="n">
        <v>-27.334</v>
      </c>
      <c r="R266" s="20" t="n">
        <v>-27.701</v>
      </c>
      <c r="S266" s="20" t="n">
        <v>98.816</v>
      </c>
      <c r="T266" s="20" t="n">
        <v>-6.271</v>
      </c>
      <c r="U266" s="20" t="n">
        <v>17.969</v>
      </c>
      <c r="V266" s="20" t="n">
        <v>159.088</v>
      </c>
      <c r="W266" s="20" t="n">
        <v>102.192</v>
      </c>
      <c r="X266" s="20" t="n">
        <v>36.145</v>
      </c>
    </row>
    <row r="267">
      <c r="A267" s="9" t="inlineStr">
        <is>
          <t>투자활동 현금흐름</t>
        </is>
      </c>
      <c r="D267" s="12" t="n">
        <v>-118.556</v>
      </c>
      <c r="F267" s="12" t="n">
        <v>-102.424</v>
      </c>
      <c r="H267" s="12" t="n">
        <v>-82.407</v>
      </c>
      <c r="J267" s="12" t="n">
        <v>-799.124</v>
      </c>
      <c r="L267" s="12" t="n">
        <v>267.941</v>
      </c>
      <c r="N267" s="12" t="n">
        <v>-70.598</v>
      </c>
      <c r="O267" s="12" t="n">
        <v>-492.46</v>
      </c>
      <c r="P267" s="12" t="n">
        <v>-833.045</v>
      </c>
      <c r="Q267" s="12" t="n">
        <v>-638.5410000000001</v>
      </c>
      <c r="R267" s="12" t="n">
        <v>-600.057</v>
      </c>
      <c r="S267" s="12" t="n">
        <v>187.01</v>
      </c>
      <c r="T267" s="12" t="n">
        <v>-83.46899999999999</v>
      </c>
      <c r="U267" s="12" t="n">
        <v>-115.689</v>
      </c>
      <c r="V267" s="12" t="n">
        <v>-118.556</v>
      </c>
      <c r="W267" s="12" t="n">
        <v>-82.407</v>
      </c>
      <c r="X267" s="12" t="n">
        <v>267.941</v>
      </c>
    </row>
    <row r="268">
      <c r="A268" s="18" t="inlineStr">
        <is>
          <t>단기차입금 순증감</t>
        </is>
      </c>
      <c r="D268" s="20" t="n">
        <v>-393.897</v>
      </c>
      <c r="F268" s="20" t="n">
        <v>-155.755</v>
      </c>
      <c r="H268" s="20" t="n">
        <v>2265.297</v>
      </c>
      <c r="J268" s="20" t="n">
        <v>500.171</v>
      </c>
      <c r="L268" s="20" t="n">
        <v>-1130.428</v>
      </c>
      <c r="N268" s="20" t="n">
        <v>-513.769</v>
      </c>
      <c r="O268" s="20" t="n">
        <v>-1100</v>
      </c>
      <c r="P268" s="20" t="n">
        <v>2100</v>
      </c>
      <c r="Q268" s="20" t="n">
        <v>910.05</v>
      </c>
      <c r="R268" s="20" t="n">
        <v>-3601.22</v>
      </c>
      <c r="S268" s="20" t="n">
        <v>1991.17</v>
      </c>
      <c r="T268" s="20" t="n">
        <v>-1034.355</v>
      </c>
      <c r="U268" s="20" t="n">
        <v>-1140.925</v>
      </c>
      <c r="V268" s="20" t="n">
        <v>-393.897</v>
      </c>
      <c r="W268" s="20" t="n">
        <v>2265.297</v>
      </c>
      <c r="X268" s="20" t="n">
        <v>-1130.428</v>
      </c>
    </row>
    <row r="269">
      <c r="A269" s="18" t="inlineStr">
        <is>
          <t>자기주식 취득</t>
        </is>
      </c>
      <c r="D269" s="20" t="n">
        <v>-189.165</v>
      </c>
      <c r="F269" s="20" t="n">
        <v>-0.654</v>
      </c>
      <c r="H269" s="20" t="n">
        <v>-0.654</v>
      </c>
      <c r="J269" s="20" t="n">
        <v>0</v>
      </c>
      <c r="L269" s="20" t="n">
        <v>0</v>
      </c>
      <c r="O269" s="20" t="n">
        <v>-0.418</v>
      </c>
      <c r="P269" s="20" t="n">
        <v>-0.399</v>
      </c>
      <c r="Q269" s="20" t="n">
        <v>-205.473</v>
      </c>
      <c r="R269" s="20" t="n">
        <v>-0.711</v>
      </c>
      <c r="S269" s="20" t="n">
        <v>-0.139</v>
      </c>
      <c r="T269" s="20" t="n">
        <v>-0.255</v>
      </c>
      <c r="U269" s="20" t="n">
        <v>-0.014</v>
      </c>
      <c r="V269" s="20" t="n">
        <v>-189.165</v>
      </c>
      <c r="W269" s="20" t="n">
        <v>-0.654</v>
      </c>
      <c r="X269" s="20" t="n">
        <v>0</v>
      </c>
    </row>
    <row r="270">
      <c r="A270" s="18" t="inlineStr">
        <is>
          <t>자기주식 매각</t>
        </is>
      </c>
      <c r="D270" s="20" t="n">
        <v>0.011</v>
      </c>
      <c r="F270" s="20" t="n">
        <v>0.026</v>
      </c>
      <c r="H270" s="20" t="n">
        <v>0.026</v>
      </c>
      <c r="J270" s="20" t="n">
        <v>0</v>
      </c>
      <c r="L270" s="20" t="n">
        <v>0</v>
      </c>
      <c r="O270" s="20" t="n">
        <v>0.012</v>
      </c>
      <c r="P270" s="20" t="n">
        <v>0.002</v>
      </c>
      <c r="Q270" s="20" t="n">
        <v>0</v>
      </c>
      <c r="R270" s="20" t="n">
        <v>0.008</v>
      </c>
      <c r="S270" s="20" t="n">
        <v>0.143</v>
      </c>
      <c r="T270" s="20" t="n">
        <v>0</v>
      </c>
      <c r="U270" s="20" t="n">
        <v>0</v>
      </c>
      <c r="V270" s="20" t="n">
        <v>0.011</v>
      </c>
      <c r="W270" s="20" t="n">
        <v>0.026</v>
      </c>
      <c r="X270" s="20" t="n">
        <v>0</v>
      </c>
    </row>
    <row r="271">
      <c r="A271" s="18" t="inlineStr">
        <is>
          <t>Decrease Increase In Deposits For Treasury Shares Fin CF</t>
        </is>
      </c>
      <c r="F271" s="20" t="n">
        <v>0</v>
      </c>
    </row>
    <row r="272">
      <c r="A272" s="18" t="inlineStr">
        <is>
          <t>장기차입</t>
        </is>
      </c>
      <c r="D272" s="20" t="n">
        <v>0</v>
      </c>
      <c r="F272" s="20" t="n">
        <v>450</v>
      </c>
      <c r="H272" s="20" t="n">
        <v>450</v>
      </c>
      <c r="J272" s="20" t="n">
        <v>0</v>
      </c>
      <c r="L272" s="20" t="n">
        <v>0</v>
      </c>
      <c r="O272" s="20" t="n">
        <v>200</v>
      </c>
      <c r="P272" s="20" t="n">
        <v>50</v>
      </c>
      <c r="Q272" s="20" t="n">
        <v>0</v>
      </c>
      <c r="R272" s="20" t="n">
        <v>1000</v>
      </c>
      <c r="S272" s="20" t="n">
        <v>0</v>
      </c>
      <c r="T272" s="20" t="n">
        <v>200</v>
      </c>
      <c r="U272" s="20" t="n">
        <v>0</v>
      </c>
      <c r="V272" s="20" t="n">
        <v>0</v>
      </c>
      <c r="W272" s="20" t="n">
        <v>450</v>
      </c>
      <c r="X272" s="20" t="n">
        <v>0</v>
      </c>
    </row>
    <row r="273">
      <c r="A273" s="18" t="inlineStr">
        <is>
          <t>장기차입금 상환</t>
        </is>
      </c>
      <c r="D273" s="20" t="n">
        <v>0</v>
      </c>
      <c r="F273" s="20" t="n">
        <v>-450</v>
      </c>
      <c r="H273" s="20" t="n">
        <v>-1150</v>
      </c>
      <c r="J273" s="20" t="n">
        <v>0</v>
      </c>
      <c r="L273" s="20" t="n">
        <v>-14</v>
      </c>
      <c r="N273" s="20" t="n">
        <v>-50</v>
      </c>
      <c r="O273" s="20" t="n">
        <v>-200</v>
      </c>
      <c r="P273" s="20" t="n">
        <v>-50</v>
      </c>
      <c r="Q273" s="20" t="n">
        <v>0</v>
      </c>
      <c r="R273" s="20" t="n">
        <v>-950</v>
      </c>
      <c r="S273" s="20" t="n">
        <v>0</v>
      </c>
      <c r="T273" s="20" t="n">
        <v>-200</v>
      </c>
      <c r="U273" s="20" t="n">
        <v>-50</v>
      </c>
      <c r="V273" s="20" t="n">
        <v>0</v>
      </c>
      <c r="W273" s="20" t="n">
        <v>-1150</v>
      </c>
      <c r="X273" s="20" t="n">
        <v>-14</v>
      </c>
    </row>
    <row r="274">
      <c r="A274" s="18" t="inlineStr">
        <is>
          <t>사채 발행</t>
        </is>
      </c>
      <c r="H274" s="20" t="n">
        <v>0</v>
      </c>
      <c r="L274" s="20" t="n">
        <v>700</v>
      </c>
      <c r="Q274" s="20" t="n">
        <v>0</v>
      </c>
      <c r="R274" s="20" t="n">
        <v>1950</v>
      </c>
      <c r="S274" s="20" t="n">
        <v>0</v>
      </c>
      <c r="W274" s="20" t="n">
        <v>0</v>
      </c>
      <c r="X274" s="20" t="n">
        <v>700</v>
      </c>
    </row>
    <row r="275">
      <c r="A275" s="18" t="inlineStr">
        <is>
          <t>사채 상환</t>
        </is>
      </c>
      <c r="D275" s="20" t="n">
        <v>0</v>
      </c>
      <c r="F275" s="20" t="n">
        <v>-650</v>
      </c>
      <c r="H275" s="20" t="n">
        <v>-1950</v>
      </c>
      <c r="J275" s="20" t="n">
        <v>0</v>
      </c>
      <c r="L275" s="20" t="n">
        <v>0</v>
      </c>
      <c r="V275" s="20" t="n">
        <v>0</v>
      </c>
      <c r="W275" s="20" t="n">
        <v>-1950</v>
      </c>
      <c r="X275" s="20" t="n">
        <v>0</v>
      </c>
    </row>
    <row r="276">
      <c r="A276" s="18" t="inlineStr">
        <is>
          <t>배당금 지급</t>
        </is>
      </c>
      <c r="D276" s="20" t="n">
        <v>-47.94</v>
      </c>
      <c r="F276" s="20" t="n">
        <v>-163.386</v>
      </c>
      <c r="H276" s="20" t="n">
        <v>-258.168</v>
      </c>
      <c r="J276" s="20" t="n">
        <v>-199.009</v>
      </c>
      <c r="L276" s="20" t="n">
        <v>-346.345</v>
      </c>
      <c r="N276" s="20" t="n">
        <v>-147.333</v>
      </c>
      <c r="O276" s="20" t="n">
        <v>-404.516</v>
      </c>
      <c r="P276" s="20" t="n">
        <v>-382.154</v>
      </c>
      <c r="Q276" s="20" t="n">
        <v>-379.695</v>
      </c>
      <c r="R276" s="20" t="n">
        <v>-376.035</v>
      </c>
      <c r="S276" s="20" t="n">
        <v>-141.644</v>
      </c>
      <c r="T276" s="20" t="n">
        <v>-47.453</v>
      </c>
      <c r="U276" s="20" t="n">
        <v>-47.674</v>
      </c>
      <c r="V276" s="20" t="n">
        <v>-47.94</v>
      </c>
      <c r="W276" s="20" t="n">
        <v>-258.168</v>
      </c>
      <c r="X276" s="20" t="n">
        <v>-346.345</v>
      </c>
    </row>
    <row r="277">
      <c r="A277" s="18" t="inlineStr">
        <is>
          <t>연결범위 변경 없는 자회사 주식 취득</t>
        </is>
      </c>
      <c r="J277" s="20" t="n">
        <v>0</v>
      </c>
      <c r="N277" s="20" t="n">
        <v>-41.599</v>
      </c>
    </row>
    <row r="278">
      <c r="A278" s="18" t="inlineStr">
        <is>
          <t>기타</t>
        </is>
      </c>
      <c r="D278" s="20" t="n">
        <v>-45.059</v>
      </c>
      <c r="F278" s="20" t="n">
        <v>-21.544</v>
      </c>
      <c r="H278" s="20" t="n">
        <v>-45.937</v>
      </c>
      <c r="J278" s="20" t="n">
        <v>-31.917</v>
      </c>
      <c r="L278" s="20" t="n">
        <v>-63.164</v>
      </c>
      <c r="N278" s="20" t="n">
        <v>-36.884</v>
      </c>
      <c r="O278" s="20" t="n">
        <v>-8.442</v>
      </c>
      <c r="P278" s="20" t="n">
        <v>-9.401</v>
      </c>
      <c r="Q278" s="20" t="n">
        <v>-9.196</v>
      </c>
      <c r="R278" s="20" t="n">
        <v>-2.708</v>
      </c>
      <c r="S278" s="20" t="n">
        <v>-2.708</v>
      </c>
      <c r="T278" s="20" t="n">
        <v>-2.708</v>
      </c>
      <c r="U278" s="20" t="n">
        <v>-1.749</v>
      </c>
      <c r="V278" s="20" t="n">
        <v>-45.059</v>
      </c>
      <c r="W278" s="20" t="n">
        <v>-45.937</v>
      </c>
      <c r="X278" s="20" t="n">
        <v>-63.164</v>
      </c>
    </row>
    <row r="279">
      <c r="A279" s="9" t="inlineStr">
        <is>
          <t>재무활동 현금흐름</t>
        </is>
      </c>
      <c r="D279" s="12" t="n">
        <v>-676.051</v>
      </c>
      <c r="F279" s="12" t="n">
        <v>-991.313</v>
      </c>
      <c r="H279" s="12" t="n">
        <v>-689.436</v>
      </c>
      <c r="J279" s="12" t="n">
        <v>269.244</v>
      </c>
      <c r="L279" s="12" t="n">
        <v>-853.938</v>
      </c>
      <c r="N279" s="12" t="n">
        <v>-789.586</v>
      </c>
      <c r="O279" s="12" t="n">
        <v>-1513.364</v>
      </c>
      <c r="P279" s="12" t="n">
        <v>1708.048</v>
      </c>
      <c r="Q279" s="12" t="n">
        <v>315.684</v>
      </c>
      <c r="R279" s="12" t="n">
        <v>-1980.667</v>
      </c>
      <c r="S279" s="12" t="n">
        <v>1846.82</v>
      </c>
      <c r="T279" s="12" t="n">
        <v>-1084.773</v>
      </c>
      <c r="U279" s="12" t="n">
        <v>-1240.364</v>
      </c>
      <c r="V279" s="12" t="n">
        <v>-676.051</v>
      </c>
      <c r="W279" s="12" t="n">
        <v>-689.436</v>
      </c>
      <c r="X279" s="12" t="n">
        <v>-853.938</v>
      </c>
    </row>
    <row r="280">
      <c r="A280" s="18" t="inlineStr">
        <is>
          <t>현금성자산 환산차이</t>
        </is>
      </c>
      <c r="D280" s="20" t="n">
        <v>158.684</v>
      </c>
      <c r="F280" s="20" t="n">
        <v>384.19</v>
      </c>
      <c r="H280" s="20" t="n">
        <v>275.06</v>
      </c>
      <c r="J280" s="20" t="n">
        <v>-288.253</v>
      </c>
      <c r="L280" s="20" t="n">
        <v>70.45399999999999</v>
      </c>
      <c r="N280" s="20" t="n">
        <v>112.393</v>
      </c>
      <c r="O280" s="20" t="n">
        <v>-23.27</v>
      </c>
      <c r="P280" s="20" t="n">
        <v>3.621</v>
      </c>
      <c r="Q280" s="20" t="n">
        <v>-111.155</v>
      </c>
      <c r="R280" s="20" t="n">
        <v>-40.548</v>
      </c>
      <c r="S280" s="20" t="n">
        <v>-99.623</v>
      </c>
      <c r="T280" s="20" t="n">
        <v>277.108</v>
      </c>
      <c r="U280" s="20" t="n">
        <v>227.71</v>
      </c>
      <c r="V280" s="20" t="n">
        <v>158.684</v>
      </c>
      <c r="W280" s="20" t="n">
        <v>275.06</v>
      </c>
      <c r="X280" s="20" t="n">
        <v>70.45399999999999</v>
      </c>
    </row>
    <row r="281">
      <c r="A281" s="18" t="inlineStr">
        <is>
          <t>현금성자산 증감</t>
        </is>
      </c>
      <c r="D281" s="20" t="n">
        <v>-106.237</v>
      </c>
      <c r="F281" s="20" t="n">
        <v>2879.519</v>
      </c>
      <c r="H281" s="20" t="n">
        <v>3279.006</v>
      </c>
      <c r="J281" s="20" t="n">
        <v>-74.89700000000001</v>
      </c>
      <c r="L281" s="20" t="n">
        <v>371.231</v>
      </c>
      <c r="N281" s="20" t="n">
        <v>-995.1799999999999</v>
      </c>
      <c r="O281" s="20" t="n">
        <v>-607.787</v>
      </c>
      <c r="P281" s="20" t="n">
        <v>1771.45</v>
      </c>
      <c r="Q281" s="20" t="n">
        <v>142.922</v>
      </c>
      <c r="R281" s="20" t="n">
        <v>301.914</v>
      </c>
      <c r="S281" s="20" t="n">
        <v>1170.998</v>
      </c>
      <c r="T281" s="20" t="n">
        <v>-1646.567</v>
      </c>
      <c r="U281" s="20" t="n">
        <v>-154.883</v>
      </c>
      <c r="V281" s="20" t="n">
        <v>-106.237</v>
      </c>
      <c r="W281" s="20" t="n">
        <v>3279.006</v>
      </c>
      <c r="X281" s="20" t="n">
        <v>371.231</v>
      </c>
    </row>
    <row r="282">
      <c r="A282" s="18" t="inlineStr">
        <is>
          <t>Increase Decrease In Cash And Cash Equivalents Resulting From Merger Of Subsidiaries CCE</t>
        </is>
      </c>
      <c r="D282" s="20" t="n">
        <v>103.417</v>
      </c>
      <c r="F282" s="20" t="n">
        <v>0</v>
      </c>
      <c r="H282" s="20" t="n">
        <v>0</v>
      </c>
      <c r="U282" s="20" t="n">
        <v>0</v>
      </c>
      <c r="V282" s="20" t="n">
        <v>103.417</v>
      </c>
      <c r="W282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8119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16535.001</v>
      </c>
      <c r="D5" s="12" t="n">
        <v>15915.813</v>
      </c>
      <c r="E5" s="12" t="n">
        <v>16368.213</v>
      </c>
      <c r="F5" s="12" t="n">
        <v>14202.806</v>
      </c>
      <c r="G5" s="12" t="n">
        <v>15330.594</v>
      </c>
      <c r="H5" s="11" t="n">
        <v>15707.171</v>
      </c>
      <c r="I5" s="12" t="n">
        <v>15001.18</v>
      </c>
      <c r="J5" s="12" t="n">
        <v>15819.99</v>
      </c>
      <c r="K5" s="12" t="n">
        <v>17204.84</v>
      </c>
      <c r="L5" s="12" t="n">
        <v>16368.213</v>
      </c>
    </row>
    <row r="6">
      <c r="A6" s="18" t="inlineStr">
        <is>
          <t>현금및현금성자산</t>
        </is>
      </c>
      <c r="B6" s="10" t="n"/>
      <c r="C6" s="19" t="n">
        <v>7646.268</v>
      </c>
      <c r="D6" s="20" t="n">
        <v>5254.504</v>
      </c>
      <c r="E6" s="20" t="n">
        <v>8092.398</v>
      </c>
      <c r="F6" s="20" t="n">
        <v>6169.035</v>
      </c>
      <c r="G6" s="20" t="n">
        <v>7218.117</v>
      </c>
      <c r="H6" s="19" t="n">
        <v>4599.863</v>
      </c>
      <c r="I6" s="20" t="n">
        <v>4481.38</v>
      </c>
      <c r="J6" s="20" t="n">
        <v>4442.159</v>
      </c>
      <c r="K6" s="20" t="n">
        <v>7721.166</v>
      </c>
      <c r="L6" s="20" t="n">
        <v>8092.398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3892.026</v>
      </c>
      <c r="D8" s="20" t="n">
        <v>5273.481</v>
      </c>
      <c r="E8" s="20" t="n">
        <v>4151.11</v>
      </c>
      <c r="F8" s="20" t="n">
        <v>4047.866</v>
      </c>
      <c r="G8" s="20" t="n">
        <v>4323.907</v>
      </c>
      <c r="H8" s="19" t="n">
        <v>3859.489</v>
      </c>
      <c r="I8" s="20" t="n">
        <v>4318.432</v>
      </c>
      <c r="J8" s="20" t="n">
        <v>6308.168</v>
      </c>
      <c r="K8" s="20" t="n">
        <v>4173.244</v>
      </c>
      <c r="L8" s="20" t="n">
        <v>4151.11</v>
      </c>
    </row>
    <row r="9">
      <c r="A9" s="18" t="inlineStr">
        <is>
          <t>재고자산</t>
        </is>
      </c>
      <c r="B9" s="10" t="n"/>
      <c r="C9" s="19" t="n">
        <v>4616.294</v>
      </c>
      <c r="D9" s="20" t="n">
        <v>4793.024</v>
      </c>
      <c r="E9" s="20" t="n">
        <v>3628.765</v>
      </c>
      <c r="F9" s="20" t="n">
        <v>3498.185</v>
      </c>
      <c r="G9" s="20" t="n">
        <v>3363.665</v>
      </c>
      <c r="H9" s="19" t="n">
        <v>6533.437</v>
      </c>
      <c r="I9" s="20" t="n">
        <v>5767.433</v>
      </c>
      <c r="J9" s="20" t="n">
        <v>4648.949</v>
      </c>
      <c r="K9" s="20" t="n">
        <v>4689.892</v>
      </c>
      <c r="L9" s="20" t="n">
        <v>3628.765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8647.266</v>
      </c>
      <c r="D11" s="12" t="n">
        <v>8405.205</v>
      </c>
      <c r="E11" s="12" t="n">
        <v>8279.656999999999</v>
      </c>
      <c r="F11" s="12" t="n">
        <v>8695.954</v>
      </c>
      <c r="G11" s="12" t="n">
        <v>9633.495000000001</v>
      </c>
      <c r="H11" s="11" t="n">
        <v>5075.409</v>
      </c>
      <c r="I11" s="12" t="n">
        <v>4651.144</v>
      </c>
      <c r="J11" s="12" t="n">
        <v>5407.66</v>
      </c>
      <c r="K11" s="12" t="n">
        <v>6503.127</v>
      </c>
      <c r="L11" s="12" t="n">
        <v>8279.656999999999</v>
      </c>
    </row>
    <row r="12">
      <c r="A12" s="18" t="inlineStr">
        <is>
          <t>유형자산</t>
        </is>
      </c>
      <c r="B12" s="10" t="n"/>
      <c r="C12" s="19" t="n">
        <v>1544.484</v>
      </c>
      <c r="D12" s="20" t="n">
        <v>1518.693</v>
      </c>
      <c r="E12" s="20" t="n">
        <v>1497.773</v>
      </c>
      <c r="F12" s="20" t="n">
        <v>1469.675</v>
      </c>
      <c r="G12" s="20" t="n">
        <v>1412.692</v>
      </c>
      <c r="H12" s="19" t="n">
        <v>2041.31</v>
      </c>
      <c r="I12" s="20" t="n">
        <v>1776.332</v>
      </c>
      <c r="J12" s="20" t="n">
        <v>1693.625</v>
      </c>
      <c r="K12" s="20" t="n">
        <v>1551.285</v>
      </c>
      <c r="L12" s="20" t="n">
        <v>1497.773</v>
      </c>
    </row>
    <row r="13">
      <c r="A13" s="18" t="inlineStr">
        <is>
          <t>무형자산</t>
        </is>
      </c>
      <c r="B13" s="10" t="n"/>
      <c r="C13" s="19" t="n">
        <v>809.46</v>
      </c>
      <c r="D13" s="20" t="n">
        <v>790.26</v>
      </c>
      <c r="E13" s="20" t="n">
        <v>767.3099999999999</v>
      </c>
      <c r="F13" s="20" t="n">
        <v>751.05</v>
      </c>
      <c r="G13" s="20" t="n">
        <v>732.508</v>
      </c>
      <c r="H13" s="19" t="n">
        <v>546.712</v>
      </c>
      <c r="I13" s="20" t="n">
        <v>362.171</v>
      </c>
      <c r="J13" s="20" t="n">
        <v>254.078</v>
      </c>
      <c r="K13" s="20" t="n">
        <v>222.17</v>
      </c>
      <c r="L13" s="20" t="n">
        <v>767.3099999999999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25182.268</v>
      </c>
      <c r="D16" s="12" t="n">
        <v>24321.018</v>
      </c>
      <c r="E16" s="12" t="n">
        <v>24647.871</v>
      </c>
      <c r="F16" s="12" t="n">
        <v>22898.761</v>
      </c>
      <c r="G16" s="12" t="n">
        <v>24964.09</v>
      </c>
      <c r="H16" s="11" t="n">
        <v>20782.581</v>
      </c>
      <c r="I16" s="12" t="n">
        <v>19652.324</v>
      </c>
      <c r="J16" s="12" t="n">
        <v>21227.651</v>
      </c>
      <c r="K16" s="12" t="n">
        <v>23707.967</v>
      </c>
      <c r="L16" s="12" t="n">
        <v>24647.871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8046.801</v>
      </c>
      <c r="D18" s="12" t="n">
        <v>6604.341</v>
      </c>
      <c r="E18" s="12" t="n">
        <v>6720.595</v>
      </c>
      <c r="F18" s="12" t="n">
        <v>4677.405</v>
      </c>
      <c r="G18" s="12" t="n">
        <v>5460.596</v>
      </c>
      <c r="H18" s="11" t="n">
        <v>6686.18</v>
      </c>
      <c r="I18" s="12" t="n">
        <v>5540.662</v>
      </c>
      <c r="J18" s="12" t="n">
        <v>8512.004999999999</v>
      </c>
      <c r="K18" s="12" t="n">
        <v>8108.227</v>
      </c>
      <c r="L18" s="12" t="n">
        <v>6720.595</v>
      </c>
    </row>
    <row r="19">
      <c r="A19" s="18" t="inlineStr">
        <is>
          <t>매입채무</t>
        </is>
      </c>
      <c r="B19" s="10" t="n"/>
      <c r="C19" s="19" t="n">
        <v>1984.736</v>
      </c>
      <c r="D19" s="20" t="n">
        <v>1839.238</v>
      </c>
      <c r="E19" s="20" t="n">
        <v>2109.259</v>
      </c>
      <c r="F19" s="20" t="n">
        <v>1745.767</v>
      </c>
      <c r="G19" s="20" t="n">
        <v>2137.18</v>
      </c>
      <c r="H19" s="19" t="n">
        <v>1761.81</v>
      </c>
      <c r="I19" s="20" t="n">
        <v>1817.025</v>
      </c>
      <c r="J19" s="20" t="n">
        <v>2005.695</v>
      </c>
      <c r="K19" s="20" t="n">
        <v>2210.19</v>
      </c>
      <c r="L19" s="20" t="n">
        <v>2109.259</v>
      </c>
    </row>
    <row r="20">
      <c r="A20" s="18" t="inlineStr">
        <is>
          <t>단기차입금</t>
        </is>
      </c>
      <c r="B20" s="10" t="n"/>
      <c r="C20" s="19" t="n">
        <v>4138.626</v>
      </c>
      <c r="D20" s="20" t="n">
        <v>2999.592</v>
      </c>
      <c r="E20" s="20" t="n">
        <v>2508.748</v>
      </c>
      <c r="F20" s="20" t="n">
        <v>1405.063</v>
      </c>
      <c r="G20" s="20" t="n">
        <v>1994.996</v>
      </c>
      <c r="H20" s="19" t="n">
        <v>2873.339</v>
      </c>
      <c r="I20" s="20" t="n">
        <v>1742.069</v>
      </c>
      <c r="J20" s="20" t="n">
        <v>1355.755</v>
      </c>
      <c r="K20" s="20" t="n">
        <v>3621.413</v>
      </c>
      <c r="L20" s="20" t="n">
        <v>2508.748</v>
      </c>
    </row>
    <row r="21">
      <c r="A21" s="18" t="inlineStr">
        <is>
          <t>유동성장기부채</t>
        </is>
      </c>
      <c r="B21" s="10" t="n"/>
      <c r="C21" s="19" t="n">
        <v>62</v>
      </c>
      <c r="D21" s="20" t="n">
        <v>50</v>
      </c>
      <c r="E21" s="20" t="n">
        <v>50</v>
      </c>
      <c r="F21" s="20" t="n">
        <v>50</v>
      </c>
      <c r="G21" s="20" t="n">
        <v>0</v>
      </c>
      <c r="H21" s="19" t="n">
        <v>50</v>
      </c>
      <c r="I21" s="20" t="n">
        <v>0</v>
      </c>
      <c r="J21" s="20" t="n">
        <v>3100</v>
      </c>
      <c r="K21" s="20" t="n">
        <v>0</v>
      </c>
      <c r="L21" s="20" t="n">
        <v>50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2656.655</v>
      </c>
      <c r="D23" s="12" t="n">
        <v>3282.908</v>
      </c>
      <c r="E23" s="12" t="n">
        <v>3185.434</v>
      </c>
      <c r="F23" s="12" t="n">
        <v>3185.927</v>
      </c>
      <c r="G23" s="12" t="n">
        <v>3034.187</v>
      </c>
      <c r="H23" s="11" t="n">
        <v>3992.086</v>
      </c>
      <c r="I23" s="12" t="n">
        <v>3914.026</v>
      </c>
      <c r="J23" s="12" t="n">
        <v>1220.128</v>
      </c>
      <c r="K23" s="12" t="n">
        <v>2169.863</v>
      </c>
      <c r="L23" s="12" t="n">
        <v>3185.434</v>
      </c>
    </row>
    <row r="24">
      <c r="A24" s="18" t="inlineStr">
        <is>
          <t>장기차입금</t>
        </is>
      </c>
      <c r="B24" s="10" t="n"/>
      <c r="C24" s="19" t="n">
        <v>452</v>
      </c>
      <c r="D24" s="20" t="n">
        <v>450</v>
      </c>
      <c r="E24" s="20" t="n">
        <v>450</v>
      </c>
      <c r="F24" s="20" t="n">
        <v>450</v>
      </c>
      <c r="G24" s="20" t="n">
        <v>450</v>
      </c>
      <c r="H24" s="19" t="n">
        <v>1200</v>
      </c>
      <c r="I24" s="20" t="n">
        <v>1200</v>
      </c>
      <c r="J24" s="20" t="n">
        <v>50</v>
      </c>
      <c r="K24" s="20" t="n">
        <v>500</v>
      </c>
      <c r="L24" s="20" t="n">
        <v>450</v>
      </c>
    </row>
    <row r="25">
      <c r="A25" s="18" t="inlineStr">
        <is>
          <t>사채</t>
        </is>
      </c>
      <c r="B25" s="10" t="n"/>
      <c r="C25" s="19" t="n"/>
      <c r="D25" s="20" t="n">
        <v>700</v>
      </c>
      <c r="E25" s="20" t="n">
        <v>700</v>
      </c>
      <c r="F25" s="20" t="n">
        <v>700</v>
      </c>
      <c r="G25" s="20" t="n">
        <v>700</v>
      </c>
      <c r="H25" s="19" t="n">
        <v>1950</v>
      </c>
      <c r="I25" s="20" t="n">
        <v>1950</v>
      </c>
      <c r="J25" s="20" t="n">
        <v>0</v>
      </c>
      <c r="K25" s="20" t="n">
        <v>0</v>
      </c>
      <c r="L25" s="20" t="n">
        <v>700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10703.457</v>
      </c>
      <c r="D27" s="12" t="n">
        <v>9887.25</v>
      </c>
      <c r="E27" s="12" t="n">
        <v>9906.030000000001</v>
      </c>
      <c r="F27" s="12" t="n">
        <v>7863.332</v>
      </c>
      <c r="G27" s="12" t="n">
        <v>8494.784</v>
      </c>
      <c r="H27" s="11" t="n">
        <v>10678.267</v>
      </c>
      <c r="I27" s="12" t="n">
        <v>9454.689</v>
      </c>
      <c r="J27" s="12" t="n">
        <v>9732.133</v>
      </c>
      <c r="K27" s="12" t="n">
        <v>10278.09</v>
      </c>
      <c r="L27" s="12" t="n">
        <v>9906.030000000001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14424.115</v>
      </c>
      <c r="D31" s="12" t="n">
        <v>14378.274</v>
      </c>
      <c r="E31" s="12" t="n">
        <v>14686.85</v>
      </c>
      <c r="F31" s="12" t="n">
        <v>14979.419</v>
      </c>
      <c r="G31" s="12" t="n">
        <v>16467.932</v>
      </c>
      <c r="H31" s="11" t="n">
        <v>9991.124</v>
      </c>
      <c r="I31" s="12" t="n">
        <v>10082.505</v>
      </c>
      <c r="J31" s="12" t="n">
        <v>11401.487</v>
      </c>
      <c r="K31" s="12" t="n">
        <v>13378.66</v>
      </c>
      <c r="L31" s="12" t="n">
        <v>14686.85</v>
      </c>
    </row>
    <row r="32">
      <c r="A32" s="18" t="inlineStr">
        <is>
          <t>자본금</t>
        </is>
      </c>
      <c r="B32" s="10" t="n"/>
      <c r="C32" s="19" t="n">
        <v>1000.914</v>
      </c>
      <c r="D32" s="20" t="n">
        <v>1000.914</v>
      </c>
      <c r="E32" s="20" t="n">
        <v>1000.914</v>
      </c>
      <c r="F32" s="20" t="n">
        <v>1000.914</v>
      </c>
      <c r="G32" s="20" t="n">
        <v>1000.914</v>
      </c>
      <c r="H32" s="19" t="n">
        <v>1000.914</v>
      </c>
      <c r="I32" s="20" t="n">
        <v>1000.914</v>
      </c>
      <c r="J32" s="20" t="n">
        <v>1000.914</v>
      </c>
      <c r="K32" s="20" t="n">
        <v>1000.914</v>
      </c>
      <c r="L32" s="20" t="n">
        <v>1000.914</v>
      </c>
    </row>
    <row r="33">
      <c r="A33" s="18" t="inlineStr">
        <is>
          <t>이익잉여금</t>
        </is>
      </c>
      <c r="B33" s="10" t="n"/>
      <c r="C33" s="19" t="n">
        <v>8929.049000000001</v>
      </c>
      <c r="D33" s="20" t="n">
        <v>8875.559999999999</v>
      </c>
      <c r="E33" s="20" t="n">
        <v>8893.414000000001</v>
      </c>
      <c r="F33" s="20" t="n">
        <v>8765.369000000001</v>
      </c>
      <c r="G33" s="20" t="n">
        <v>9431.474</v>
      </c>
      <c r="H33" s="19" t="n">
        <v>7747.107</v>
      </c>
      <c r="I33" s="20" t="n">
        <v>7541.376</v>
      </c>
      <c r="J33" s="20" t="n">
        <v>7973.032</v>
      </c>
      <c r="K33" s="20" t="n">
        <v>8671.347</v>
      </c>
      <c r="L33" s="20" t="n">
        <v>8893.414000000001</v>
      </c>
    </row>
    <row r="34">
      <c r="A34" s="18" t="inlineStr">
        <is>
          <t>비지배지분</t>
        </is>
      </c>
      <c r="B34" s="10" t="n"/>
      <c r="C34" s="19" t="n">
        <v>53.323</v>
      </c>
      <c r="D34" s="20" t="n">
        <v>54.121</v>
      </c>
      <c r="E34" s="20" t="n">
        <v>53.617</v>
      </c>
      <c r="F34" s="20" t="n">
        <v>54.636</v>
      </c>
      <c r="G34" s="20" t="n">
        <v>0</v>
      </c>
      <c r="H34" s="19" t="n">
        <v>39.484</v>
      </c>
      <c r="I34" s="20" t="n">
        <v>42.829</v>
      </c>
      <c r="J34" s="20" t="n">
        <v>46.285</v>
      </c>
      <c r="K34" s="20" t="n">
        <v>49.843</v>
      </c>
      <c r="L34" s="20" t="n">
        <v>53.617</v>
      </c>
    </row>
    <row r="35">
      <c r="A35" s="9" t="inlineStr">
        <is>
          <t>자본총계</t>
        </is>
      </c>
      <c r="B35" s="10" t="n"/>
      <c r="C35" s="11" t="n">
        <v>14478.811</v>
      </c>
      <c r="D35" s="12" t="n">
        <v>14433.768</v>
      </c>
      <c r="E35" s="12" t="n">
        <v>14741.84</v>
      </c>
      <c r="F35" s="12" t="n">
        <v>15035.428</v>
      </c>
      <c r="G35" s="12" t="n">
        <v>16469.305</v>
      </c>
      <c r="H35" s="11" t="n">
        <v>10104.313</v>
      </c>
      <c r="I35" s="12" t="n">
        <v>10197.635</v>
      </c>
      <c r="J35" s="12" t="n">
        <v>11495.517</v>
      </c>
      <c r="K35" s="12" t="n">
        <v>13429.876</v>
      </c>
      <c r="L35" s="12" t="n">
        <v>14741.84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929.9589999999999</v>
      </c>
      <c r="D37" s="12" t="n"/>
      <c r="E37" s="12" t="n">
        <v>886.774</v>
      </c>
      <c r="F37" s="12" t="n"/>
      <c r="G37" s="12" t="n">
        <v>-103.85</v>
      </c>
      <c r="H37" s="11" t="n">
        <v>-755.432</v>
      </c>
      <c r="I37" s="12" t="n">
        <v>973.4589999999999</v>
      </c>
      <c r="J37" s="12" t="n">
        <v>529.6849999999999</v>
      </c>
      <c r="K37" s="12" t="n">
        <v>3775.79</v>
      </c>
      <c r="L37" s="12" t="n">
        <v>886.774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142.497</v>
      </c>
      <c r="D38" s="20" t="n"/>
      <c r="E38" s="20" t="n">
        <v>153.361</v>
      </c>
      <c r="F38" s="20" t="n"/>
      <c r="G38" s="20" t="n">
        <v>69.925</v>
      </c>
      <c r="H38" s="19" t="n">
        <v>163.783</v>
      </c>
      <c r="I38" s="20" t="n">
        <v>165.484</v>
      </c>
      <c r="J38" s="20" t="n">
        <v>336.361</v>
      </c>
      <c r="K38" s="20" t="n">
        <v>164.718</v>
      </c>
      <c r="L38" s="20" t="n">
        <v>153.361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293.791</v>
      </c>
      <c r="D40" s="20" t="n"/>
      <c r="E40" s="20" t="n">
        <v>346.345</v>
      </c>
      <c r="F40" s="20" t="n"/>
      <c r="G40" s="20" t="n">
        <v>294.669</v>
      </c>
      <c r="H40" s="19" t="n">
        <v>47.453</v>
      </c>
      <c r="I40" s="20" t="n">
        <v>47.674</v>
      </c>
      <c r="J40" s="20" t="n">
        <v>47.94</v>
      </c>
      <c r="K40" s="20" t="n">
        <v>258.168</v>
      </c>
      <c r="L40" s="20" t="n">
        <v>346.345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IFERROR(IF((IF(COUNT('연간'!G58:J58)&lt;4,"",SUM('연간'!G58:J58)))&lt;=0,"적자",C28/(IF(COUNT('연간'!G58:J58)&lt;4,"",SUM('연간'!G58:J58)))),"")</f>
        <v/>
      </c>
      <c r="D49" s="47">
        <f>IFERROR(IF((IF(COUNT('연간'!H58:K58)&lt;4,"",SUM('연간'!H58:K58)))&lt;=0,"적자",D28/(IF(COUNT('연간'!H58:K58)&lt;4,"",SUM('연간'!H58:K58)))),"")</f>
        <v/>
      </c>
      <c r="E49" s="47">
        <f>IFERROR(IF((IF(COUNT('연간'!I58:L58)&lt;4,"",SUM('연간'!I58:L58)))&lt;=0,"적자",E28/(IF(COUNT('연간'!I58:L58)&lt;4,"",SUM('연간'!I58:L58)))),"")</f>
        <v/>
      </c>
      <c r="F49" s="47">
        <f>IFERROR(IF((IF(COUNT('연간'!J58:M58)&lt;4,"",SUM('연간'!J58:M58)))&lt;=0,"적자",F28/(IF(COUNT('연간'!J58:M58)&lt;4,"",SUM('연간'!J58:M58)))),"")</f>
        <v/>
      </c>
      <c r="G49" s="47">
        <f>IFERROR(IF((IF(COUNT('연간'!K58:N58)&lt;4,"",SUM('연간'!K58:N58)))&lt;=0,"적자",G28/(IF(COUNT('연간'!K58:N58)&lt;4,"",SUM('연간'!K58:N58)))),"")</f>
        <v/>
      </c>
      <c r="H49" s="46">
        <f>IFERROR(IF(('연간'!T58)&lt;=0,"적자",H28/('연간'!T58)),"")</f>
        <v/>
      </c>
      <c r="I49" s="47">
        <f>IFERROR(IF(('연간'!U58)&lt;=0,"적자",I28/('연간'!U58)),"")</f>
        <v/>
      </c>
      <c r="J49" s="47">
        <f>IFERROR(IF(('연간'!V58)&lt;=0,"적자",J28/('연간'!V58)),"")</f>
        <v/>
      </c>
      <c r="K49" s="47">
        <f>IFERROR(IF(('연간'!W58)&lt;=0,"적자",K28/('연간'!W58)),"")</f>
        <v/>
      </c>
      <c r="L49" s="47">
        <f>IFERROR(IF(('연간'!X58)&lt;=0,"적자",L28/('연간'!X58)),"")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IFERROR((IF(COUNT('연간'!G58:J58)&lt;4,"",SUM('연간'!G58:J58)))/C31,"")</f>
        <v/>
      </c>
      <c r="D51" s="36">
        <f>IFERROR((IF(COUNT('연간'!H58:K58)&lt;4,"",SUM('연간'!H58:K58)))/D31,"")</f>
        <v/>
      </c>
      <c r="E51" s="36">
        <f>IFERROR((IF(COUNT('연간'!I58:L58)&lt;4,"",SUM('연간'!I58:L58)))/E31,"")</f>
        <v/>
      </c>
      <c r="F51" s="36">
        <f>IFERROR((IF(COUNT('연간'!J58:M58)&lt;4,"",SUM('연간'!J58:M58)))/F31,"")</f>
        <v/>
      </c>
      <c r="G51" s="36">
        <f>IFERROR((IF(COUNT('연간'!K58:N58)&lt;4,"",SUM('연간'!K58:N58)))/G31,"")</f>
        <v/>
      </c>
      <c r="H51" s="35">
        <f>IFERROR(('연간'!T58)/H31,"")</f>
        <v/>
      </c>
      <c r="I51" s="36">
        <f>IFERROR(('연간'!U58)/I31,"")</f>
        <v/>
      </c>
      <c r="J51" s="36">
        <f>IFERROR(('연간'!V58)/J31,"")</f>
        <v/>
      </c>
      <c r="K51" s="36">
        <f>IFERROR(('연간'!W58)/K31,"")</f>
        <v/>
      </c>
      <c r="L51" s="36">
        <f>IFERROR(('연간'!X58)/L31,"")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IFERROR((IF(COUNT('연간'!G56:J56)&lt;4,"",SUM('연간'!G56:J56)))/C16,"")</f>
        <v/>
      </c>
      <c r="D52" s="36">
        <f>IFERROR((IF(COUNT('연간'!H56:K56)&lt;4,"",SUM('연간'!H56:K56)))/D16,"")</f>
        <v/>
      </c>
      <c r="E52" s="36">
        <f>IFERROR((IF(COUNT('연간'!I56:L56)&lt;4,"",SUM('연간'!I56:L56)))/E16,"")</f>
        <v/>
      </c>
      <c r="F52" s="36">
        <f>IFERROR((IF(COUNT('연간'!J56:M56)&lt;4,"",SUM('연간'!J56:M56)))/F16,"")</f>
        <v/>
      </c>
      <c r="G52" s="36">
        <f>IFERROR((IF(COUNT('연간'!K56:N56)&lt;4,"",SUM('연간'!K56:N56)))/G16,"")</f>
        <v/>
      </c>
      <c r="H52" s="35">
        <f>IFERROR(('연간'!T56)/H16,"")</f>
        <v/>
      </c>
      <c r="I52" s="36">
        <f>IFERROR(('연간'!U56)/I16,"")</f>
        <v/>
      </c>
      <c r="J52" s="36">
        <f>IFERROR(('연간'!V56)/J16,"")</f>
        <v/>
      </c>
      <c r="K52" s="36">
        <f>IFERROR(('연간'!W56)/K16,"")</f>
        <v/>
      </c>
      <c r="L52" s="36">
        <f>IFERROR(('연간'!X56)/L16,"")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IFERROR((IF(COUNT('연간'!G22:J22)&lt;4,"",SUM('연간'!G22:J22)))/(IF(COUNT('연간'!G4:J4)&lt;4,"",SUM('연간'!G4:J4))),"")</f>
        <v/>
      </c>
      <c r="D54" s="36">
        <f>IFERROR((IF(COUNT('연간'!H22:K22)&lt;4,"",SUM('연간'!H22:K22)))/(IF(COUNT('연간'!H4:K4)&lt;4,"",SUM('연간'!H4:K4))),"")</f>
        <v/>
      </c>
      <c r="E54" s="36">
        <f>IFERROR((IF(COUNT('연간'!I22:L22)&lt;4,"",SUM('연간'!I22:L22)))/(IF(COUNT('연간'!I4:L4)&lt;4,"",SUM('연간'!I4:L4))),"")</f>
        <v/>
      </c>
      <c r="F54" s="36">
        <f>IFERROR((IF(COUNT('연간'!J22:M22)&lt;4,"",SUM('연간'!J22:M22)))/(IF(COUNT('연간'!J4:M4)&lt;4,"",SUM('연간'!J4:M4))),"")</f>
        <v/>
      </c>
      <c r="G54" s="36">
        <f>IFERROR((IF(COUNT('연간'!K22:N22)&lt;4,"",SUM('연간'!K22:N22)))/(IF(COUNT('연간'!K4:N4)&lt;4,"",SUM('연간'!K4:N4))),"")</f>
        <v/>
      </c>
      <c r="H54" s="35">
        <f>IFERROR(('연간'!T22)/('연간'!T4),"")</f>
        <v/>
      </c>
      <c r="I54" s="36">
        <f>IFERROR(('연간'!U22)/('연간'!U4),"")</f>
        <v/>
      </c>
      <c r="J54" s="36">
        <f>IFERROR(('연간'!V22)/('연간'!V4),"")</f>
        <v/>
      </c>
      <c r="K54" s="36">
        <f>IFERROR(('연간'!W22)/('연간'!W4),"")</f>
        <v/>
      </c>
      <c r="L54" s="36">
        <f>IFERROR(('연간'!X22)/('연간'!X4),"")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IFERROR((IF(COUNT('연간'!G56:J56)&lt;4,"",SUM('연간'!G56:J56)))/(IF(COUNT('연간'!G4:J4)&lt;4,"",SUM('연간'!G4:J4))),"")</f>
        <v/>
      </c>
      <c r="D56" s="36">
        <f>IFERROR((IF(COUNT('연간'!H56:K56)&lt;4,"",SUM('연간'!H56:K56)))/(IF(COUNT('연간'!H4:K4)&lt;4,"",SUM('연간'!H4:K4))),"")</f>
        <v/>
      </c>
      <c r="E56" s="36">
        <f>IFERROR((IF(COUNT('연간'!I56:L56)&lt;4,"",SUM('연간'!I56:L56)))/(IF(COUNT('연간'!I4:L4)&lt;4,"",SUM('연간'!I4:L4))),"")</f>
        <v/>
      </c>
      <c r="F56" s="36">
        <f>IFERROR((IF(COUNT('연간'!J56:M56)&lt;4,"",SUM('연간'!J56:M56)))/(IF(COUNT('연간'!J4:M4)&lt;4,"",SUM('연간'!J4:M4))),"")</f>
        <v/>
      </c>
      <c r="G56" s="36">
        <f>IFERROR((IF(COUNT('연간'!K56:N56)&lt;4,"",SUM('연간'!K56:N56)))/(IF(COUNT('연간'!K4:N4)&lt;4,"",SUM('연간'!K4:N4))),"")</f>
        <v/>
      </c>
      <c r="H56" s="35">
        <f>IFERROR(('연간'!T56)/('연간'!T4),"")</f>
        <v/>
      </c>
      <c r="I56" s="36">
        <f>IFERROR(('연간'!U56)/('연간'!U4),"")</f>
        <v/>
      </c>
      <c r="J56" s="36">
        <f>IFERROR(('연간'!V56)/('연간'!V4),"")</f>
        <v/>
      </c>
      <c r="K56" s="36">
        <f>IFERROR(('연간'!W56)/('연간'!W4),"")</f>
        <v/>
      </c>
      <c r="L56" s="36">
        <f>IFERROR(('연간'!X56)/('연간'!X4),"")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IFERROR(C9/(IF(COUNT('연간'!G20:J20)&lt;4,"",SUM('연간'!G20:J20)))*365,"")</f>
        <v/>
      </c>
      <c r="D60" s="49">
        <f>IFERROR(D9/(IF(COUNT('연간'!H20:K20)&lt;4,"",SUM('연간'!H20:K20)))*365,"")</f>
        <v/>
      </c>
      <c r="E60" s="49">
        <f>IFERROR(E9/(IF(COUNT('연간'!I20:L20)&lt;4,"",SUM('연간'!I20:L20)))*365,"")</f>
        <v/>
      </c>
      <c r="F60" s="49">
        <f>IFERROR(F9/(IF(COUNT('연간'!J20:M20)&lt;4,"",SUM('연간'!J20:M20)))*365,"")</f>
        <v/>
      </c>
      <c r="G60" s="49">
        <f>IFERROR(G9/(IF(COUNT('연간'!K20:N20)&lt;4,"",SUM('연간'!K20:N20)))*365,"")</f>
        <v/>
      </c>
      <c r="H60" s="48">
        <f>IFERROR(H9/('연간'!T20)*365,"")</f>
        <v/>
      </c>
      <c r="I60" s="49">
        <f>IFERROR(I9/('연간'!U20)*365,"")</f>
        <v/>
      </c>
      <c r="J60" s="49">
        <f>IFERROR(J9/('연간'!V20)*365,"")</f>
        <v/>
      </c>
      <c r="K60" s="49">
        <f>IFERROR(K9/('연간'!W20)*365,"")</f>
        <v/>
      </c>
      <c r="L60" s="49">
        <f>IFERROR(L9/('연간'!X20)*365,"")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IFERROR(C19/(IF(COUNT('연간'!G20:J20)&lt;4,"",SUM('연간'!G20:J20)))*365,"")</f>
        <v/>
      </c>
      <c r="D61" s="49">
        <f>IFERROR(D19/(IF(COUNT('연간'!H20:K20)&lt;4,"",SUM('연간'!H20:K20)))*365,"")</f>
        <v/>
      </c>
      <c r="E61" s="49">
        <f>IFERROR(E19/(IF(COUNT('연간'!I20:L20)&lt;4,"",SUM('연간'!I20:L20)))*365,"")</f>
        <v/>
      </c>
      <c r="F61" s="49">
        <f>IFERROR(F19/(IF(COUNT('연간'!J20:M20)&lt;4,"",SUM('연간'!J20:M20)))*365,"")</f>
        <v/>
      </c>
      <c r="G61" s="49">
        <f>IFERROR(G19/(IF(COUNT('연간'!K20:N20)&lt;4,"",SUM('연간'!K20:N20)))*365,"")</f>
        <v/>
      </c>
      <c r="H61" s="48">
        <f>IFERROR(H19/('연간'!T20)*365,"")</f>
        <v/>
      </c>
      <c r="I61" s="49">
        <f>IFERROR(I19/('연간'!U20)*365,"")</f>
        <v/>
      </c>
      <c r="J61" s="49">
        <f>IFERROR(J19/('연간'!V20)*365,"")</f>
        <v/>
      </c>
      <c r="K61" s="49">
        <f>IFERROR(K19/('연간'!W20)*365,"")</f>
        <v/>
      </c>
      <c r="L61" s="49">
        <f>IFERROR(L19/('연간'!X20)*365,"")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IF(C37="","",IFERROR(C37/(IF(COUNT('연간'!G56:J56)&lt;4,"",SUM('연간'!G56:J56))),""))</f>
        <v/>
      </c>
      <c r="D64" s="31">
        <f>IF(D37="","",IFERROR(D37/(IF(COUNT('연간'!H56:K56)&lt;4,"",SUM('연간'!H56:K56))),""))</f>
        <v/>
      </c>
      <c r="E64" s="31">
        <f>IF(E37="","",IFERROR(E37/(IF(COUNT('연간'!I56:L56)&lt;4,"",SUM('연간'!I56:L56))),""))</f>
        <v/>
      </c>
      <c r="F64" s="31">
        <f>IF(F37="","",IFERROR(F37/(IF(COUNT('연간'!J56:M56)&lt;4,"",SUM('연간'!J56:M56))),""))</f>
        <v/>
      </c>
      <c r="G64" s="31">
        <f>IF(G37="","",IFERROR(G37/(IF(COUNT('연간'!K56:N56)&lt;4,"",SUM('연간'!K56:N56))),""))</f>
        <v/>
      </c>
      <c r="H64" s="30">
        <f>IF(H37="","",IFERROR(H37/('연간'!T56),""))</f>
        <v/>
      </c>
      <c r="I64" s="31">
        <f>IF(I37="","",IFERROR(I37/('연간'!U56),""))</f>
        <v/>
      </c>
      <c r="J64" s="31">
        <f>IF(J37="","",IFERROR(J37/('연간'!V56),""))</f>
        <v/>
      </c>
      <c r="K64" s="31">
        <f>IF(K37="","",IFERROR(K37/('연간'!W56),""))</f>
        <v/>
      </c>
      <c r="L64" s="31">
        <f>IF(L37="","",IFERROR(L37/('연간'!X56),""))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IF(C40="","",IFERROR(C40/(IF(COUNT('연간'!G58:J58)&lt;4,"",SUM('연간'!G58:J58))),""))</f>
        <v/>
      </c>
      <c r="D67" s="36">
        <f>IF(D40="","",IFERROR(D40/(IF(COUNT('연간'!H58:K58)&lt;4,"",SUM('연간'!H58:K58))),""))</f>
        <v/>
      </c>
      <c r="E67" s="36">
        <f>IF(E40="","",IFERROR(E40/(IF(COUNT('연간'!I58:L58)&lt;4,"",SUM('연간'!I58:L58))),""))</f>
        <v/>
      </c>
      <c r="F67" s="36">
        <f>IF(F40="","",IFERROR(F40/(IF(COUNT('연간'!J58:M58)&lt;4,"",SUM('연간'!J58:M58))),""))</f>
        <v/>
      </c>
      <c r="G67" s="36">
        <f>IF(G40="","",IFERROR(G40/(IF(COUNT('연간'!K58:N58)&lt;4,"",SUM('연간'!K58:N58))),""))</f>
        <v/>
      </c>
      <c r="H67" s="35">
        <f>IF(H40="","",IFERROR(H40/('연간'!T58),""))</f>
        <v/>
      </c>
      <c r="I67" s="36">
        <f>IF(I40="","",IFERROR(I40/('연간'!U58),""))</f>
        <v/>
      </c>
      <c r="J67" s="36">
        <f>IF(J40="","",IFERROR(J40/('연간'!V58),""))</f>
        <v/>
      </c>
      <c r="K67" s="36">
        <f>IF(K40="","",IFERROR(K40/('연간'!W58),""))</f>
        <v/>
      </c>
      <c r="L67" s="36">
        <f>IF(L40="","",IFERROR(L40/('연간'!X58),""))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7646.268</v>
      </c>
      <c r="D71" s="20" t="n">
        <v>5254.504</v>
      </c>
      <c r="E71" s="20" t="n">
        <v>8092.398</v>
      </c>
      <c r="F71" s="20" t="n">
        <v>6169.035</v>
      </c>
      <c r="G71" s="20" t="n">
        <v>7218.117</v>
      </c>
      <c r="H71" s="20" t="n">
        <v>4599.863</v>
      </c>
      <c r="I71" s="20" t="n">
        <v>4481.38</v>
      </c>
      <c r="J71" s="20" t="n">
        <v>4442.159</v>
      </c>
      <c r="K71" s="20" t="n">
        <v>7721.166</v>
      </c>
      <c r="L71" s="20" t="n">
        <v>8092.398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</t>
        </is>
      </c>
      <c r="C73" s="20" t="n">
        <v>30.611</v>
      </c>
      <c r="D73" s="20" t="n">
        <v>39.617</v>
      </c>
      <c r="E73" s="20" t="n">
        <v>20.355</v>
      </c>
      <c r="F73" s="20" t="n">
        <v>29.218</v>
      </c>
      <c r="G73" s="20" t="n">
        <v>20.139</v>
      </c>
      <c r="H73" s="20" t="n">
        <v>26.574</v>
      </c>
      <c r="I73" s="20" t="n">
        <v>36.519</v>
      </c>
      <c r="J73" s="20" t="n">
        <v>24.938</v>
      </c>
      <c r="K73" s="20" t="n">
        <v>20.138</v>
      </c>
      <c r="L73" s="20" t="n">
        <v>20.355</v>
      </c>
    </row>
    <row r="74">
      <c r="A74" s="18" t="inlineStr">
        <is>
          <t>매출채권</t>
        </is>
      </c>
      <c r="C74" s="20" t="n">
        <v>3892.026</v>
      </c>
      <c r="D74" s="20" t="n">
        <v>5273.481</v>
      </c>
      <c r="E74" s="20" t="n">
        <v>4151.11</v>
      </c>
      <c r="F74" s="20" t="n">
        <v>4047.866</v>
      </c>
      <c r="G74" s="20" t="n">
        <v>4323.907</v>
      </c>
      <c r="H74" s="20" t="n">
        <v>3859.489</v>
      </c>
      <c r="I74" s="20" t="n">
        <v>4318.432</v>
      </c>
      <c r="J74" s="20" t="n">
        <v>6308.168</v>
      </c>
      <c r="K74" s="20" t="n">
        <v>4173.244</v>
      </c>
      <c r="L74" s="20" t="n">
        <v>4151.11</v>
      </c>
    </row>
    <row r="75">
      <c r="A75" s="18" t="inlineStr">
        <is>
          <t>계약자산</t>
        </is>
      </c>
      <c r="C75" s="20" t="n">
        <v>1.037</v>
      </c>
      <c r="D75" s="20" t="n">
        <v>1.473</v>
      </c>
      <c r="E75" s="20" t="n">
        <v>1.511</v>
      </c>
      <c r="F75" s="20" t="n">
        <v>0.769</v>
      </c>
      <c r="G75" s="20" t="n">
        <v>0.702</v>
      </c>
      <c r="H75" s="20" t="n">
        <v>0.333</v>
      </c>
      <c r="I75" s="20" t="n">
        <v>3.788</v>
      </c>
      <c r="J75" s="20" t="n">
        <v>1.993</v>
      </c>
      <c r="K75" s="20" t="n">
        <v>1.534</v>
      </c>
      <c r="L75" s="20" t="n">
        <v>1.511</v>
      </c>
    </row>
    <row r="76">
      <c r="A76" s="18" t="inlineStr">
        <is>
          <t>상품·제품</t>
        </is>
      </c>
      <c r="C76" s="20" t="n">
        <v>4370.729</v>
      </c>
      <c r="D76" s="20" t="n">
        <v>4554.912</v>
      </c>
      <c r="E76" s="20" t="n">
        <v>3525.23</v>
      </c>
      <c r="F76" s="20" t="n">
        <v>3392.324</v>
      </c>
      <c r="G76" s="20" t="n">
        <v>3244.744</v>
      </c>
      <c r="H76" s="20" t="n">
        <v>6319.136</v>
      </c>
      <c r="I76" s="20" t="n">
        <v>5568.378</v>
      </c>
      <c r="J76" s="20" t="n">
        <v>4432.537</v>
      </c>
      <c r="K76" s="20" t="n">
        <v>4357.436</v>
      </c>
      <c r="L76" s="20" t="n">
        <v>3525.23</v>
      </c>
    </row>
    <row r="77">
      <c r="A77" s="18" t="inlineStr">
        <is>
          <t>재공품</t>
        </is>
      </c>
      <c r="C77" s="20" t="n">
        <v>59.031</v>
      </c>
      <c r="D77" s="20" t="n">
        <v>44.192</v>
      </c>
      <c r="E77" s="20" t="n">
        <v>0.722</v>
      </c>
      <c r="F77" s="20" t="n">
        <v>2.254</v>
      </c>
      <c r="G77" s="20" t="n">
        <v>10.561</v>
      </c>
      <c r="H77" s="20" t="n">
        <v>36.223</v>
      </c>
      <c r="I77" s="20" t="n">
        <v>33.371</v>
      </c>
      <c r="J77" s="20" t="n">
        <v>33.042</v>
      </c>
      <c r="K77" s="20" t="n">
        <v>60.372</v>
      </c>
      <c r="L77" s="20" t="n">
        <v>0.722</v>
      </c>
    </row>
    <row r="78">
      <c r="A78" s="18" t="inlineStr">
        <is>
          <t>원재료·저장품</t>
        </is>
      </c>
      <c r="C78" s="20" t="n">
        <v>186.534</v>
      </c>
      <c r="D78" s="20" t="n">
        <v>193.92</v>
      </c>
      <c r="E78" s="20" t="n">
        <v>102.813</v>
      </c>
      <c r="F78" s="20" t="n">
        <v>103.607</v>
      </c>
      <c r="G78" s="20" t="n">
        <v>108.36</v>
      </c>
      <c r="H78" s="20" t="n">
        <v>178.078</v>
      </c>
      <c r="I78" s="20" t="n">
        <v>165.684</v>
      </c>
      <c r="J78" s="20" t="n">
        <v>183.37</v>
      </c>
      <c r="K78" s="20" t="n">
        <v>272.084</v>
      </c>
      <c r="L78" s="20" t="n">
        <v>102.813</v>
      </c>
    </row>
    <row r="79">
      <c r="A79" s="18" t="inlineStr">
        <is>
          <t>선급금</t>
        </is>
      </c>
      <c r="C79" s="20" t="n">
        <v>61.635</v>
      </c>
      <c r="D79" s="20" t="n">
        <v>116.233</v>
      </c>
      <c r="E79" s="20" t="n">
        <v>66.955</v>
      </c>
      <c r="F79" s="20" t="n">
        <v>53.69</v>
      </c>
      <c r="G79" s="20" t="n">
        <v>58.704</v>
      </c>
      <c r="H79" s="20" t="n">
        <v>159.371</v>
      </c>
      <c r="I79" s="20" t="n">
        <v>84.32299999999999</v>
      </c>
      <c r="J79" s="20" t="n">
        <v>65.949</v>
      </c>
      <c r="K79" s="20" t="n">
        <v>36.959</v>
      </c>
      <c r="L79" s="20" t="n">
        <v>66.955</v>
      </c>
    </row>
    <row r="80">
      <c r="A80" s="18" t="inlineStr">
        <is>
          <t>선급비용</t>
        </is>
      </c>
      <c r="C80" s="20" t="n">
        <v>116.329</v>
      </c>
      <c r="D80" s="20" t="n">
        <v>130.848</v>
      </c>
      <c r="E80" s="20" t="n">
        <v>121.612</v>
      </c>
      <c r="F80" s="20" t="n">
        <v>95.648</v>
      </c>
      <c r="G80" s="20" t="n">
        <v>93.527</v>
      </c>
      <c r="H80" s="20" t="n">
        <v>158.599</v>
      </c>
      <c r="I80" s="20" t="n">
        <v>156.664</v>
      </c>
      <c r="J80" s="20" t="n">
        <v>146.215</v>
      </c>
      <c r="K80" s="20" t="n">
        <v>133.315</v>
      </c>
      <c r="L80" s="20" t="n">
        <v>121.612</v>
      </c>
    </row>
    <row r="81">
      <c r="A81" s="18" t="inlineStr">
        <is>
          <t>미수 환급법인세</t>
        </is>
      </c>
      <c r="D81" s="20" t="n">
        <v>116.447</v>
      </c>
      <c r="E81" s="20" t="n">
        <v>59.697</v>
      </c>
      <c r="F81" s="20" t="n">
        <v>0</v>
      </c>
      <c r="G81" s="20" t="n">
        <v>0</v>
      </c>
      <c r="K81" s="20" t="n">
        <v>0</v>
      </c>
      <c r="L81" s="20" t="n">
        <v>59.697</v>
      </c>
    </row>
    <row r="82">
      <c r="A82" s="18" t="inlineStr">
        <is>
          <t>기타</t>
        </is>
      </c>
      <c r="C82" s="20" t="n">
        <v>179.855</v>
      </c>
      <c r="D82" s="20" t="n">
        <v>203.724</v>
      </c>
      <c r="E82" s="20" t="n">
        <v>234.97</v>
      </c>
      <c r="F82" s="20" t="n">
        <v>314.24</v>
      </c>
      <c r="G82" s="20" t="n">
        <v>261.898</v>
      </c>
      <c r="H82" s="20" t="n">
        <v>376.437</v>
      </c>
      <c r="I82" s="20" t="n">
        <v>159.192</v>
      </c>
      <c r="J82" s="20" t="n">
        <v>190.158</v>
      </c>
      <c r="K82" s="20" t="n">
        <v>436.916</v>
      </c>
      <c r="L82" s="20" t="n">
        <v>234.97</v>
      </c>
    </row>
    <row r="83">
      <c r="A83" s="18" t="inlineStr">
        <is>
          <t>대손충당금</t>
        </is>
      </c>
      <c r="C83" s="20" t="n">
        <v>-9.058999999999999</v>
      </c>
      <c r="D83" s="20" t="n">
        <v>-13.541</v>
      </c>
      <c r="E83" s="20" t="n">
        <v>-9.164</v>
      </c>
      <c r="F83" s="20" t="n">
        <v>-5.85</v>
      </c>
      <c r="G83" s="20" t="n">
        <v>-10.07</v>
      </c>
      <c r="H83" s="20" t="n">
        <v>-6.936</v>
      </c>
      <c r="I83" s="20" t="n">
        <v>-6.554</v>
      </c>
      <c r="J83" s="20" t="n">
        <v>-8.542999999999999</v>
      </c>
      <c r="K83" s="20" t="n">
        <v>-8.327999999999999</v>
      </c>
      <c r="L83" s="20" t="n">
        <v>-9.164</v>
      </c>
    </row>
    <row r="84">
      <c r="A84" s="9" t="inlineStr">
        <is>
          <t>유동자산 합계</t>
        </is>
      </c>
      <c r="C84" s="12" t="n">
        <v>16535.001</v>
      </c>
      <c r="D84" s="12" t="n">
        <v>15915.813</v>
      </c>
      <c r="E84" s="12" t="n">
        <v>16368.213</v>
      </c>
      <c r="F84" s="12" t="n">
        <v>14202.806</v>
      </c>
      <c r="G84" s="12" t="n">
        <v>15330.594</v>
      </c>
      <c r="H84" s="12" t="n">
        <v>15707.171</v>
      </c>
      <c r="I84" s="12" t="n">
        <v>15001.18</v>
      </c>
      <c r="J84" s="12" t="n">
        <v>15819.99</v>
      </c>
      <c r="K84" s="12" t="n">
        <v>17204.84</v>
      </c>
      <c r="L84" s="12" t="n">
        <v>16368.213</v>
      </c>
    </row>
    <row r="85">
      <c r="A85" s="18" t="inlineStr">
        <is>
          <t>건물·구축물(순액)</t>
        </is>
      </c>
      <c r="C85" s="20" t="n">
        <v>716.244</v>
      </c>
      <c r="D85" s="20" t="n">
        <v>706.915</v>
      </c>
      <c r="E85" s="20" t="n">
        <v>697.116</v>
      </c>
      <c r="F85" s="20" t="n">
        <v>685.572</v>
      </c>
      <c r="G85" s="20" t="n">
        <v>673.171</v>
      </c>
      <c r="H85" s="20" t="n">
        <v>1074.68</v>
      </c>
      <c r="I85" s="20" t="n">
        <v>961.571</v>
      </c>
      <c r="J85" s="20" t="n">
        <v>868.919</v>
      </c>
      <c r="K85" s="20" t="n">
        <v>692.393</v>
      </c>
      <c r="L85" s="20" t="n">
        <v>697.116</v>
      </c>
    </row>
    <row r="86">
      <c r="A86" s="18" t="inlineStr">
        <is>
          <t>기계장치·운반구(순액)</t>
        </is>
      </c>
      <c r="C86" s="20" t="n">
        <v>72.815</v>
      </c>
      <c r="D86" s="20" t="n">
        <v>52.997</v>
      </c>
      <c r="E86" s="20" t="n">
        <v>50.788</v>
      </c>
      <c r="F86" s="20" t="n">
        <v>45.394</v>
      </c>
      <c r="G86" s="20" t="n">
        <v>41.771</v>
      </c>
      <c r="H86" s="20" t="n">
        <v>126.561</v>
      </c>
      <c r="I86" s="20" t="n">
        <v>80.746</v>
      </c>
      <c r="J86" s="20" t="n">
        <v>104.757</v>
      </c>
      <c r="K86" s="20" t="n">
        <v>89.953</v>
      </c>
      <c r="L86" s="20" t="n">
        <v>50.788</v>
      </c>
    </row>
    <row r="87">
      <c r="A87" s="18" t="inlineStr">
        <is>
          <t>공구·기구·비품(순액)</t>
        </is>
      </c>
      <c r="C87" s="20" t="n">
        <v>55.942</v>
      </c>
      <c r="D87" s="20" t="n">
        <v>64.723</v>
      </c>
      <c r="E87" s="20" t="n">
        <v>83.726</v>
      </c>
      <c r="F87" s="20" t="n">
        <v>75.846</v>
      </c>
      <c r="G87" s="20" t="n">
        <v>64.502</v>
      </c>
      <c r="H87" s="20" t="n">
        <v>148.578</v>
      </c>
      <c r="I87" s="20" t="n">
        <v>102.317</v>
      </c>
      <c r="J87" s="20" t="n">
        <v>92.479</v>
      </c>
      <c r="K87" s="20" t="n">
        <v>50.639</v>
      </c>
      <c r="L87" s="20" t="n">
        <v>83.726</v>
      </c>
    </row>
    <row r="88">
      <c r="A88" s="18" t="inlineStr">
        <is>
          <t>토지</t>
        </is>
      </c>
      <c r="C88" s="20" t="n">
        <v>559.518</v>
      </c>
      <c r="D88" s="20" t="n">
        <v>559.518</v>
      </c>
      <c r="E88" s="20" t="n">
        <v>559.518</v>
      </c>
      <c r="F88" s="20" t="n">
        <v>559.518</v>
      </c>
      <c r="G88" s="20" t="n">
        <v>559.518</v>
      </c>
      <c r="H88" s="20" t="n">
        <v>561.367</v>
      </c>
      <c r="I88" s="20" t="n">
        <v>561.367</v>
      </c>
      <c r="J88" s="20" t="n">
        <v>559.518</v>
      </c>
      <c r="K88" s="20" t="n">
        <v>559.518</v>
      </c>
      <c r="L88" s="20" t="n">
        <v>559.518</v>
      </c>
    </row>
    <row r="89">
      <c r="A89" s="18" t="inlineStr">
        <is>
          <t>리스자산(순액)</t>
        </is>
      </c>
      <c r="C89" s="20" t="n">
        <v>0.097</v>
      </c>
      <c r="D89" s="20" t="n">
        <v>0</v>
      </c>
      <c r="E89" s="20" t="n">
        <v>5.382</v>
      </c>
      <c r="F89" s="20" t="n">
        <v>5.053</v>
      </c>
      <c r="G89" s="20" t="n">
        <v>22.693</v>
      </c>
      <c r="H89" s="20" t="n">
        <v>16.851</v>
      </c>
      <c r="I89" s="20" t="n">
        <v>7.16</v>
      </c>
      <c r="J89" s="20" t="n">
        <v>0.916</v>
      </c>
      <c r="K89" s="20" t="n">
        <v>0.537</v>
      </c>
      <c r="L89" s="20" t="n">
        <v>5.382</v>
      </c>
    </row>
    <row r="90">
      <c r="A90" s="18" t="inlineStr">
        <is>
          <t>건설중인자산</t>
        </is>
      </c>
      <c r="C90" s="20" t="n">
        <v>29.043</v>
      </c>
      <c r="D90" s="20" t="n">
        <v>34.051</v>
      </c>
      <c r="E90" s="20" t="n">
        <v>0</v>
      </c>
      <c r="F90" s="20" t="n">
        <v>14.825</v>
      </c>
      <c r="G90" s="20" t="n">
        <v>0</v>
      </c>
      <c r="H90" s="20" t="n">
        <v>31.374</v>
      </c>
      <c r="I90" s="20" t="n">
        <v>10.742</v>
      </c>
      <c r="J90" s="20" t="n">
        <v>0</v>
      </c>
      <c r="K90" s="20" t="n">
        <v>0</v>
      </c>
      <c r="L90" s="20" t="n">
        <v>0</v>
      </c>
    </row>
    <row r="91">
      <c r="A91" s="18" t="inlineStr">
        <is>
          <t>기타</t>
        </is>
      </c>
      <c r="C91" s="20" t="n">
        <v>110.823</v>
      </c>
      <c r="D91" s="20" t="n">
        <v>100.486</v>
      </c>
      <c r="E91" s="20" t="n">
        <v>101.24</v>
      </c>
      <c r="F91" s="20" t="n">
        <v>83.465</v>
      </c>
      <c r="G91" s="20" t="n">
        <v>51.035</v>
      </c>
      <c r="H91" s="20" t="n">
        <v>81.895</v>
      </c>
      <c r="I91" s="20" t="n">
        <v>52.426</v>
      </c>
      <c r="J91" s="20" t="n">
        <v>67.033</v>
      </c>
      <c r="K91" s="20" t="n">
        <v>158.243</v>
      </c>
      <c r="L91" s="20" t="n">
        <v>101.24</v>
      </c>
    </row>
    <row r="92">
      <c r="A92" s="18" t="inlineStr">
        <is>
          <t>유형자산 합계</t>
        </is>
      </c>
      <c r="C92" s="20" t="n">
        <v>1544.484</v>
      </c>
      <c r="D92" s="20" t="n">
        <v>1518.693</v>
      </c>
      <c r="E92" s="20" t="n">
        <v>1497.773</v>
      </c>
      <c r="F92" s="20" t="n">
        <v>1469.675</v>
      </c>
      <c r="G92" s="20" t="n">
        <v>1412.692</v>
      </c>
      <c r="H92" s="20" t="n">
        <v>2041.31</v>
      </c>
      <c r="I92" s="20" t="n">
        <v>1776.332</v>
      </c>
      <c r="J92" s="20" t="n">
        <v>1693.625</v>
      </c>
      <c r="K92" s="20" t="n">
        <v>1551.285</v>
      </c>
      <c r="L92" s="20" t="n">
        <v>1497.773</v>
      </c>
    </row>
    <row r="93">
      <c r="A93" s="18" t="inlineStr">
        <is>
          <t>영업권</t>
        </is>
      </c>
      <c r="C93" s="20" t="n">
        <v>587.522</v>
      </c>
      <c r="D93" s="20" t="n">
        <v>566.539</v>
      </c>
      <c r="E93" s="20" t="n">
        <v>545.556</v>
      </c>
      <c r="F93" s="20" t="n">
        <v>524.573</v>
      </c>
      <c r="G93" s="20" t="n">
        <v>503.59</v>
      </c>
      <c r="K93" s="20" t="n">
        <v>0</v>
      </c>
      <c r="L93" s="20" t="n">
        <v>545.556</v>
      </c>
    </row>
    <row r="94">
      <c r="A94" s="18" t="inlineStr">
        <is>
          <t>기타</t>
        </is>
      </c>
      <c r="C94" s="20" t="n">
        <v>221.937</v>
      </c>
      <c r="D94" s="20" t="n">
        <v>223.721</v>
      </c>
      <c r="E94" s="20" t="n">
        <v>221.754</v>
      </c>
      <c r="F94" s="20" t="n">
        <v>226.476</v>
      </c>
      <c r="G94" s="20" t="n">
        <v>228.917</v>
      </c>
      <c r="K94" s="20" t="n">
        <v>222.17</v>
      </c>
      <c r="L94" s="20" t="n">
        <v>221.754</v>
      </c>
    </row>
    <row r="95">
      <c r="A95" s="18" t="inlineStr">
        <is>
          <t>무형자산 합계</t>
        </is>
      </c>
      <c r="C95" s="20" t="n">
        <v>809.46</v>
      </c>
      <c r="D95" s="20" t="n">
        <v>790.26</v>
      </c>
      <c r="E95" s="20" t="n">
        <v>767.3099999999999</v>
      </c>
      <c r="F95" s="20" t="n">
        <v>751.05</v>
      </c>
      <c r="G95" s="20" t="n">
        <v>732.508</v>
      </c>
      <c r="H95" s="20" t="n">
        <v>546.712</v>
      </c>
      <c r="I95" s="20" t="n">
        <v>362.171</v>
      </c>
      <c r="J95" s="20" t="n">
        <v>254.078</v>
      </c>
      <c r="K95" s="20" t="n">
        <v>222.17</v>
      </c>
      <c r="L95" s="20" t="n">
        <v>767.3099999999999</v>
      </c>
    </row>
    <row r="96">
      <c r="A96" s="18" t="inlineStr">
        <is>
          <t>투자유가증권</t>
        </is>
      </c>
      <c r="C96" s="20" t="n">
        <v>5962.956</v>
      </c>
      <c r="D96" s="20" t="n">
        <v>5770.428</v>
      </c>
      <c r="E96" s="20" t="n">
        <v>5667.995</v>
      </c>
      <c r="F96" s="20" t="n">
        <v>6172.303</v>
      </c>
      <c r="G96" s="20" t="n">
        <v>7235.787</v>
      </c>
      <c r="H96" s="20" t="n">
        <v>1726.108</v>
      </c>
      <c r="I96" s="20" t="n">
        <v>1850.314</v>
      </c>
      <c r="J96" s="20" t="n">
        <v>3000.178</v>
      </c>
      <c r="K96" s="20" t="n">
        <v>4370.475</v>
      </c>
      <c r="L96" s="20" t="n">
        <v>5667.995</v>
      </c>
    </row>
    <row r="97">
      <c r="A97" s="18" t="inlineStr">
        <is>
          <t>장기대여금</t>
        </is>
      </c>
      <c r="H97" s="20" t="n">
        <v>10.303</v>
      </c>
      <c r="I97" s="20" t="n">
        <v>9.44</v>
      </c>
      <c r="J97" s="20" t="n">
        <v>0.062</v>
      </c>
      <c r="K97" s="20" t="n">
        <v>0</v>
      </c>
    </row>
    <row r="98">
      <c r="A98" s="18" t="inlineStr">
        <is>
          <t>이연법인세자산</t>
        </is>
      </c>
      <c r="C98" s="20" t="n">
        <v>21.924</v>
      </c>
      <c r="D98" s="20" t="n">
        <v>18.18</v>
      </c>
      <c r="E98" s="20" t="n">
        <v>51.866</v>
      </c>
      <c r="F98" s="20" t="n">
        <v>52.395</v>
      </c>
      <c r="G98" s="20" t="n">
        <v>53.886</v>
      </c>
      <c r="H98" s="20" t="n">
        <v>53.611</v>
      </c>
      <c r="I98" s="20" t="n">
        <v>63.518</v>
      </c>
      <c r="J98" s="20" t="n">
        <v>23.731</v>
      </c>
      <c r="K98" s="20" t="n">
        <v>18.06</v>
      </c>
      <c r="L98" s="20" t="n">
        <v>51.866</v>
      </c>
    </row>
    <row r="99">
      <c r="A99" s="18" t="inlineStr">
        <is>
          <t>기타</t>
        </is>
      </c>
      <c r="C99" s="20" t="n">
        <v>345.107</v>
      </c>
      <c r="D99" s="20" t="n">
        <v>346.904</v>
      </c>
      <c r="E99" s="20" t="n">
        <v>335.794</v>
      </c>
      <c r="F99" s="20" t="n">
        <v>292.315</v>
      </c>
      <c r="G99" s="20" t="n">
        <v>239.807</v>
      </c>
      <c r="H99" s="20" t="n">
        <v>741.9160000000001</v>
      </c>
      <c r="I99" s="20" t="n">
        <v>632.34</v>
      </c>
      <c r="J99" s="20" t="n">
        <v>472.92</v>
      </c>
      <c r="K99" s="20" t="n">
        <v>376.333</v>
      </c>
      <c r="L99" s="20" t="n">
        <v>335.794</v>
      </c>
    </row>
    <row r="100">
      <c r="A100" s="18" t="inlineStr">
        <is>
          <t>대손충당금</t>
        </is>
      </c>
      <c r="C100" s="20" t="n">
        <v>-36.666</v>
      </c>
      <c r="D100" s="20" t="n">
        <v>-39.262</v>
      </c>
      <c r="E100" s="20" t="n">
        <v>-41.082</v>
      </c>
      <c r="F100" s="20" t="n">
        <v>-41.786</v>
      </c>
      <c r="G100" s="20" t="n">
        <v>-41.187</v>
      </c>
      <c r="H100" s="20" t="n">
        <v>-44.553</v>
      </c>
      <c r="I100" s="20" t="n">
        <v>-42.973</v>
      </c>
      <c r="J100" s="20" t="n">
        <v>-36.936</v>
      </c>
      <c r="K100" s="20" t="n">
        <v>-35.198</v>
      </c>
      <c r="L100" s="20" t="n">
        <v>-41.082</v>
      </c>
    </row>
    <row r="101">
      <c r="A101" s="18" t="inlineStr">
        <is>
          <t>투자 및 기타자산 합계</t>
        </is>
      </c>
      <c r="C101" s="20" t="n">
        <v>6293.322</v>
      </c>
      <c r="D101" s="20" t="n">
        <v>6096.251</v>
      </c>
      <c r="E101" s="20" t="n">
        <v>6014.574</v>
      </c>
      <c r="F101" s="20" t="n">
        <v>6475.228</v>
      </c>
      <c r="G101" s="20" t="n">
        <v>7488.294</v>
      </c>
      <c r="H101" s="20" t="n">
        <v>2487.387</v>
      </c>
      <c r="I101" s="20" t="n">
        <v>2512.64</v>
      </c>
      <c r="J101" s="20" t="n">
        <v>3459.956</v>
      </c>
      <c r="K101" s="20" t="n">
        <v>4729.671</v>
      </c>
      <c r="L101" s="20" t="n">
        <v>6014.574</v>
      </c>
    </row>
    <row r="102">
      <c r="A102" s="9" t="inlineStr">
        <is>
          <t>비유동자산 합계</t>
        </is>
      </c>
      <c r="C102" s="12" t="n">
        <v>8647.266</v>
      </c>
      <c r="D102" s="12" t="n">
        <v>8405.205</v>
      </c>
      <c r="E102" s="12" t="n">
        <v>8279.656999999999</v>
      </c>
      <c r="F102" s="12" t="n">
        <v>8695.954</v>
      </c>
      <c r="G102" s="12" t="n">
        <v>9633.495000000001</v>
      </c>
      <c r="H102" s="12" t="n">
        <v>5075.409</v>
      </c>
      <c r="I102" s="12" t="n">
        <v>4651.144</v>
      </c>
      <c r="J102" s="12" t="n">
        <v>5407.66</v>
      </c>
      <c r="K102" s="12" t="n">
        <v>6503.127</v>
      </c>
      <c r="L102" s="12" t="n">
        <v>8279.656999999999</v>
      </c>
    </row>
    <row r="103">
      <c r="A103" s="9" t="inlineStr">
        <is>
          <t>자산 합계</t>
        </is>
      </c>
      <c r="C103" s="12" t="n">
        <v>25182.268</v>
      </c>
      <c r="D103" s="12" t="n">
        <v>24321.018</v>
      </c>
      <c r="E103" s="12" t="n">
        <v>24647.871</v>
      </c>
      <c r="F103" s="12" t="n">
        <v>22898.761</v>
      </c>
      <c r="G103" s="12" t="n">
        <v>24964.09</v>
      </c>
      <c r="H103" s="12" t="n">
        <v>20782.581</v>
      </c>
      <c r="I103" s="12" t="n">
        <v>19652.324</v>
      </c>
      <c r="J103" s="12" t="n">
        <v>21227.651</v>
      </c>
      <c r="K103" s="12" t="n">
        <v>23707.967</v>
      </c>
      <c r="L103" s="12" t="n">
        <v>24647.871</v>
      </c>
    </row>
    <row r="104">
      <c r="A104" s="18" t="inlineStr">
        <is>
          <t>지급어음·매입채무</t>
        </is>
      </c>
      <c r="C104" s="20" t="n">
        <v>1984.736</v>
      </c>
      <c r="D104" s="20" t="n">
        <v>1839.238</v>
      </c>
      <c r="E104" s="20" t="n">
        <v>2109.259</v>
      </c>
      <c r="F104" s="20" t="n">
        <v>1745.767</v>
      </c>
      <c r="G104" s="20" t="n">
        <v>2137.18</v>
      </c>
      <c r="H104" s="20" t="n">
        <v>1761.81</v>
      </c>
      <c r="I104" s="20" t="n">
        <v>1817.025</v>
      </c>
      <c r="J104" s="20" t="n">
        <v>2005.695</v>
      </c>
      <c r="K104" s="20" t="n">
        <v>2210.19</v>
      </c>
      <c r="L104" s="20" t="n">
        <v>2109.259</v>
      </c>
    </row>
    <row r="105">
      <c r="A105" s="18" t="inlineStr">
        <is>
          <t>단기차입금</t>
        </is>
      </c>
      <c r="C105" s="20" t="n">
        <v>4138.626</v>
      </c>
      <c r="D105" s="20" t="n">
        <v>2999.592</v>
      </c>
      <c r="E105" s="20" t="n">
        <v>2508.748</v>
      </c>
      <c r="F105" s="20" t="n">
        <v>1405.063</v>
      </c>
      <c r="G105" s="20" t="n">
        <v>1994.996</v>
      </c>
      <c r="H105" s="20" t="n">
        <v>2873.339</v>
      </c>
      <c r="I105" s="20" t="n">
        <v>1742.069</v>
      </c>
      <c r="J105" s="20" t="n">
        <v>1355.755</v>
      </c>
      <c r="K105" s="20" t="n">
        <v>3621.413</v>
      </c>
      <c r="L105" s="20" t="n">
        <v>2508.748</v>
      </c>
    </row>
    <row r="106">
      <c r="A106" s="18" t="inlineStr">
        <is>
          <t>1년 내 상환 사채</t>
        </is>
      </c>
      <c r="I106" s="20" t="n">
        <v>0</v>
      </c>
      <c r="J106" s="20" t="n">
        <v>1950</v>
      </c>
      <c r="K106" s="20" t="n">
        <v>0</v>
      </c>
    </row>
    <row r="107">
      <c r="A107" s="18" t="inlineStr">
        <is>
          <t>1년 내 상환 장기차입금</t>
        </is>
      </c>
      <c r="C107" s="20" t="n">
        <v>62</v>
      </c>
      <c r="D107" s="20" t="n">
        <v>50</v>
      </c>
      <c r="E107" s="20" t="n">
        <v>50</v>
      </c>
      <c r="F107" s="20" t="n">
        <v>50</v>
      </c>
      <c r="G107" s="20" t="n">
        <v>0</v>
      </c>
      <c r="H107" s="20" t="n">
        <v>50</v>
      </c>
      <c r="I107" s="20" t="n">
        <v>0</v>
      </c>
      <c r="J107" s="20" t="n">
        <v>1150</v>
      </c>
      <c r="K107" s="20" t="n">
        <v>0</v>
      </c>
      <c r="L107" s="20" t="n">
        <v>50</v>
      </c>
    </row>
    <row r="108">
      <c r="A108" s="18" t="inlineStr">
        <is>
          <t>리스부채</t>
        </is>
      </c>
      <c r="C108" s="20" t="n">
        <v>29.94</v>
      </c>
      <c r="D108" s="20" t="n">
        <v>61.272</v>
      </c>
      <c r="E108" s="20" t="n">
        <v>67.571</v>
      </c>
      <c r="F108" s="20" t="n">
        <v>49.827</v>
      </c>
      <c r="G108" s="20" t="n">
        <v>32.154</v>
      </c>
      <c r="H108" s="20" t="n">
        <v>46.326</v>
      </c>
      <c r="I108" s="20" t="n">
        <v>39.2</v>
      </c>
      <c r="J108" s="20" t="n">
        <v>36.292</v>
      </c>
      <c r="K108" s="20" t="n">
        <v>66.536</v>
      </c>
      <c r="L108" s="20" t="n">
        <v>67.571</v>
      </c>
    </row>
    <row r="109">
      <c r="A109" s="18" t="inlineStr">
        <is>
          <t>미지급법인세</t>
        </is>
      </c>
      <c r="C109" s="20" t="n">
        <v>527.3920000000001</v>
      </c>
      <c r="D109" s="20" t="n">
        <v>313.593</v>
      </c>
      <c r="E109" s="20" t="n">
        <v>286.342</v>
      </c>
      <c r="F109" s="20" t="n">
        <v>33.98</v>
      </c>
      <c r="G109" s="20" t="n">
        <v>89.625</v>
      </c>
      <c r="H109" s="20" t="n">
        <v>55.572</v>
      </c>
      <c r="I109" s="20" t="n">
        <v>136.628</v>
      </c>
      <c r="J109" s="20" t="n">
        <v>212.008</v>
      </c>
      <c r="K109" s="20" t="n">
        <v>505.499</v>
      </c>
      <c r="L109" s="20" t="n">
        <v>286.342</v>
      </c>
    </row>
    <row r="110">
      <c r="A110" s="18" t="inlineStr">
        <is>
          <t>계약부채</t>
        </is>
      </c>
      <c r="C110" s="20" t="n">
        <v>43.649</v>
      </c>
      <c r="D110" s="20" t="n">
        <v>52.784</v>
      </c>
      <c r="E110" s="20" t="n">
        <v>58.694</v>
      </c>
      <c r="F110" s="20" t="n">
        <v>47.043</v>
      </c>
      <c r="G110" s="20" t="n">
        <v>28.488</v>
      </c>
      <c r="H110" s="20" t="n">
        <v>66.432</v>
      </c>
      <c r="I110" s="20" t="n">
        <v>75.458</v>
      </c>
      <c r="J110" s="20" t="n">
        <v>85.54600000000001</v>
      </c>
      <c r="K110" s="20" t="n">
        <v>53.334</v>
      </c>
      <c r="L110" s="20" t="n">
        <v>58.694</v>
      </c>
    </row>
    <row r="111">
      <c r="A111" s="18" t="inlineStr">
        <is>
          <t>상여충당금</t>
        </is>
      </c>
      <c r="C111" s="20" t="n">
        <v>187.496</v>
      </c>
      <c r="D111" s="20" t="n">
        <v>216.849</v>
      </c>
      <c r="E111" s="20" t="n">
        <v>246.871</v>
      </c>
      <c r="F111" s="20" t="n">
        <v>140.13</v>
      </c>
      <c r="G111" s="20" t="n">
        <v>186.494</v>
      </c>
      <c r="H111" s="20" t="n">
        <v>215.129</v>
      </c>
      <c r="I111" s="20" t="n">
        <v>260.983</v>
      </c>
      <c r="J111" s="20" t="n">
        <v>281.734</v>
      </c>
      <c r="K111" s="20" t="n">
        <v>313.259</v>
      </c>
      <c r="L111" s="20" t="n">
        <v>246.871</v>
      </c>
    </row>
    <row r="112">
      <c r="A112" s="18" t="inlineStr">
        <is>
          <t>임원 상여충당금</t>
        </is>
      </c>
      <c r="C112" s="20" t="n">
        <v>8.359999999999999</v>
      </c>
      <c r="D112" s="20" t="n">
        <v>12.49</v>
      </c>
      <c r="E112" s="20" t="n">
        <v>13.35</v>
      </c>
      <c r="F112" s="20" t="n">
        <v>7.625</v>
      </c>
      <c r="G112" s="20" t="n">
        <v>9.35</v>
      </c>
      <c r="H112" s="20" t="n">
        <v>0.266</v>
      </c>
      <c r="I112" s="20" t="n">
        <v>8.327</v>
      </c>
      <c r="J112" s="20" t="n">
        <v>21.6</v>
      </c>
      <c r="K112" s="20" t="n">
        <v>25.54</v>
      </c>
      <c r="L112" s="20" t="n">
        <v>13.35</v>
      </c>
    </row>
    <row r="113">
      <c r="A113" s="18" t="inlineStr">
        <is>
          <t>미지급금</t>
        </is>
      </c>
      <c r="C113" s="20" t="n">
        <v>626.985</v>
      </c>
      <c r="D113" s="20" t="n">
        <v>696.8390000000001</v>
      </c>
      <c r="E113" s="20" t="n">
        <v>952.84</v>
      </c>
      <c r="F113" s="20" t="n">
        <v>731.645</v>
      </c>
      <c r="G113" s="20" t="n">
        <v>606.831</v>
      </c>
      <c r="H113" s="20" t="n">
        <v>842.7190000000001</v>
      </c>
      <c r="I113" s="20" t="n">
        <v>768.721</v>
      </c>
      <c r="J113" s="20" t="n">
        <v>784.194</v>
      </c>
      <c r="K113" s="20" t="n">
        <v>812.1660000000001</v>
      </c>
      <c r="L113" s="20" t="n">
        <v>952.84</v>
      </c>
    </row>
    <row r="114">
      <c r="A114" s="18" t="inlineStr">
        <is>
          <t>미지급비용</t>
        </is>
      </c>
      <c r="C114" s="20" t="n">
        <v>211.254</v>
      </c>
      <c r="D114" s="20" t="n">
        <v>228.67</v>
      </c>
      <c r="E114" s="20" t="n">
        <v>253.263</v>
      </c>
      <c r="F114" s="20" t="n">
        <v>263.752</v>
      </c>
      <c r="G114" s="20" t="n">
        <v>177.841</v>
      </c>
      <c r="H114" s="20" t="n">
        <v>398.89</v>
      </c>
      <c r="I114" s="20" t="n">
        <v>326.727</v>
      </c>
      <c r="J114" s="20" t="n">
        <v>313.567</v>
      </c>
      <c r="K114" s="20" t="n">
        <v>254.263</v>
      </c>
      <c r="L114" s="20" t="n">
        <v>253.263</v>
      </c>
    </row>
    <row r="115">
      <c r="A115" s="18" t="inlineStr">
        <is>
          <t>미지급 소비세</t>
        </is>
      </c>
      <c r="C115" s="20" t="n">
        <v>119.229</v>
      </c>
      <c r="D115" s="20" t="n">
        <v>39.168</v>
      </c>
      <c r="E115" s="20" t="n">
        <v>56.147</v>
      </c>
      <c r="F115" s="20" t="n">
        <v>37.484</v>
      </c>
      <c r="G115" s="20" t="n">
        <v>46.964</v>
      </c>
      <c r="H115" s="20" t="n">
        <v>146.659</v>
      </c>
      <c r="I115" s="20" t="n">
        <v>150.991</v>
      </c>
      <c r="J115" s="20" t="n">
        <v>77.499</v>
      </c>
      <c r="K115" s="20" t="n">
        <v>55.607</v>
      </c>
      <c r="L115" s="20" t="n">
        <v>56.147</v>
      </c>
    </row>
    <row r="116">
      <c r="A116" s="18" t="inlineStr">
        <is>
          <t>기타</t>
        </is>
      </c>
      <c r="C116" s="20" t="n">
        <v>107.13</v>
      </c>
      <c r="D116" s="20" t="n">
        <v>93.843</v>
      </c>
      <c r="E116" s="20" t="n">
        <v>117.506</v>
      </c>
      <c r="F116" s="20" t="n">
        <v>165.084</v>
      </c>
      <c r="G116" s="20" t="n">
        <v>150.667</v>
      </c>
      <c r="H116" s="20" t="n">
        <v>229.035</v>
      </c>
      <c r="I116" s="20" t="n">
        <v>214.53</v>
      </c>
      <c r="J116" s="20" t="n">
        <v>238.11</v>
      </c>
      <c r="K116" s="20" t="n">
        <v>190.417</v>
      </c>
      <c r="L116" s="20" t="n">
        <v>117.506</v>
      </c>
    </row>
    <row r="117">
      <c r="A117" s="9" t="inlineStr">
        <is>
          <t>유동부채 합계</t>
        </is>
      </c>
      <c r="C117" s="12" t="n">
        <v>8046.801</v>
      </c>
      <c r="D117" s="12" t="n">
        <v>6604.341</v>
      </c>
      <c r="E117" s="12" t="n">
        <v>6720.595</v>
      </c>
      <c r="F117" s="12" t="n">
        <v>4677.405</v>
      </c>
      <c r="G117" s="12" t="n">
        <v>5460.596</v>
      </c>
      <c r="H117" s="12" t="n">
        <v>6686.18</v>
      </c>
      <c r="I117" s="12" t="n">
        <v>5540.662</v>
      </c>
      <c r="J117" s="12" t="n">
        <v>8512.004999999999</v>
      </c>
      <c r="K117" s="12" t="n">
        <v>8108.227</v>
      </c>
      <c r="L117" s="12" t="n">
        <v>6720.595</v>
      </c>
    </row>
    <row r="118">
      <c r="A118" s="18" t="inlineStr">
        <is>
          <t>장기차입금</t>
        </is>
      </c>
      <c r="C118" s="20" t="n">
        <v>452</v>
      </c>
      <c r="D118" s="20" t="n">
        <v>450</v>
      </c>
      <c r="E118" s="20" t="n">
        <v>450</v>
      </c>
      <c r="F118" s="20" t="n">
        <v>450</v>
      </c>
      <c r="G118" s="20" t="n">
        <v>450</v>
      </c>
      <c r="H118" s="20" t="n">
        <v>1200</v>
      </c>
      <c r="I118" s="20" t="n">
        <v>1200</v>
      </c>
      <c r="J118" s="20" t="n">
        <v>50</v>
      </c>
      <c r="K118" s="20" t="n">
        <v>500</v>
      </c>
      <c r="L118" s="20" t="n">
        <v>450</v>
      </c>
    </row>
    <row r="119">
      <c r="A119" s="18" t="inlineStr">
        <is>
          <t>리스부채</t>
        </is>
      </c>
      <c r="C119" s="20" t="n">
        <v>77.624</v>
      </c>
      <c r="D119" s="20" t="n">
        <v>36.585</v>
      </c>
      <c r="E119" s="20" t="n">
        <v>37.707</v>
      </c>
      <c r="F119" s="20" t="n">
        <v>37.754</v>
      </c>
      <c r="G119" s="20" t="n">
        <v>40.884</v>
      </c>
      <c r="H119" s="20" t="n">
        <v>48.106</v>
      </c>
      <c r="I119" s="20" t="n">
        <v>17.512</v>
      </c>
      <c r="J119" s="20" t="n">
        <v>30.333</v>
      </c>
      <c r="K119" s="20" t="n">
        <v>85.791</v>
      </c>
      <c r="L119" s="20" t="n">
        <v>37.707</v>
      </c>
    </row>
    <row r="120">
      <c r="A120" s="18" t="inlineStr">
        <is>
          <t>사채</t>
        </is>
      </c>
      <c r="D120" s="20" t="n">
        <v>700</v>
      </c>
      <c r="E120" s="20" t="n">
        <v>700</v>
      </c>
      <c r="F120" s="20" t="n">
        <v>700</v>
      </c>
      <c r="G120" s="20" t="n">
        <v>700</v>
      </c>
      <c r="H120" s="20" t="n">
        <v>1950</v>
      </c>
      <c r="I120" s="20" t="n">
        <v>1950</v>
      </c>
      <c r="J120" s="20" t="n">
        <v>0</v>
      </c>
      <c r="K120" s="20" t="n">
        <v>0</v>
      </c>
      <c r="L120" s="20" t="n">
        <v>700</v>
      </c>
    </row>
    <row r="121">
      <c r="A121" s="18" t="inlineStr">
        <is>
          <t>이연법인세부채</t>
        </is>
      </c>
      <c r="C121" s="20" t="n">
        <v>1369.089</v>
      </c>
      <c r="D121" s="20" t="n">
        <v>1328.045</v>
      </c>
      <c r="E121" s="20" t="n">
        <v>1410.898</v>
      </c>
      <c r="F121" s="20" t="n">
        <v>1623.505</v>
      </c>
      <c r="G121" s="20" t="n">
        <v>1537.377</v>
      </c>
      <c r="H121" s="20" t="n">
        <v>210.474</v>
      </c>
      <c r="I121" s="20" t="n">
        <v>183.003</v>
      </c>
      <c r="J121" s="20" t="n">
        <v>480.887</v>
      </c>
      <c r="K121" s="20" t="n">
        <v>803.106</v>
      </c>
      <c r="L121" s="20" t="n">
        <v>1410.898</v>
      </c>
    </row>
    <row r="122">
      <c r="A122" s="18" t="inlineStr">
        <is>
          <t>재평가 관련 이연법인세부채</t>
        </is>
      </c>
      <c r="C122" s="20" t="n">
        <v>50.403</v>
      </c>
      <c r="D122" s="20" t="n">
        <v>50.403</v>
      </c>
      <c r="E122" s="20" t="n">
        <v>50.403</v>
      </c>
      <c r="F122" s="20" t="n">
        <v>50.403</v>
      </c>
      <c r="G122" s="20" t="n">
        <v>50.403</v>
      </c>
      <c r="H122" s="20" t="n">
        <v>48.964</v>
      </c>
      <c r="I122" s="20" t="n">
        <v>48.964</v>
      </c>
      <c r="J122" s="20" t="n">
        <v>48.964</v>
      </c>
      <c r="K122" s="20" t="n">
        <v>50.403</v>
      </c>
      <c r="L122" s="20" t="n">
        <v>50.403</v>
      </c>
    </row>
    <row r="123">
      <c r="A123" s="18" t="inlineStr">
        <is>
          <t>퇴직급여부채</t>
        </is>
      </c>
      <c r="C123" s="20" t="n">
        <v>496.67</v>
      </c>
      <c r="D123" s="20" t="n">
        <v>514.6799999999999</v>
      </c>
      <c r="E123" s="20" t="n">
        <v>383.075</v>
      </c>
      <c r="F123" s="20" t="n">
        <v>197.009</v>
      </c>
      <c r="G123" s="20" t="n">
        <v>187.233</v>
      </c>
      <c r="H123" s="20" t="n">
        <v>251.476</v>
      </c>
      <c r="I123" s="20" t="n">
        <v>261.394</v>
      </c>
      <c r="J123" s="20" t="n">
        <v>386.52</v>
      </c>
      <c r="K123" s="20" t="n">
        <v>509.394</v>
      </c>
      <c r="L123" s="20" t="n">
        <v>383.075</v>
      </c>
    </row>
    <row r="124">
      <c r="A124" s="18" t="inlineStr">
        <is>
          <t>임원 퇴직위로 충당금</t>
        </is>
      </c>
      <c r="C124" s="20" t="n">
        <v>15.915</v>
      </c>
      <c r="D124" s="20" t="n">
        <v>15.915</v>
      </c>
      <c r="E124" s="20" t="n">
        <v>15.915</v>
      </c>
      <c r="F124" s="20" t="n">
        <v>14.015</v>
      </c>
      <c r="G124" s="20" t="n">
        <v>9.765000000000001</v>
      </c>
      <c r="H124" s="20" t="n">
        <v>61.652</v>
      </c>
      <c r="I124" s="20" t="n">
        <v>61.57</v>
      </c>
      <c r="J124" s="20" t="n">
        <v>34.834</v>
      </c>
      <c r="K124" s="20" t="n">
        <v>15.915</v>
      </c>
      <c r="L124" s="20" t="n">
        <v>15.915</v>
      </c>
    </row>
    <row r="125">
      <c r="A125" s="18" t="inlineStr">
        <is>
          <t>자산복구부채</t>
        </is>
      </c>
      <c r="C125" s="20" t="n">
        <v>163.011</v>
      </c>
      <c r="D125" s="20" t="n">
        <v>155.47</v>
      </c>
      <c r="E125" s="20" t="n">
        <v>126.326</v>
      </c>
      <c r="F125" s="20" t="n">
        <v>102.13</v>
      </c>
      <c r="G125" s="20" t="n">
        <v>47.414</v>
      </c>
      <c r="H125" s="20" t="n">
        <v>206.005</v>
      </c>
      <c r="I125" s="20" t="n">
        <v>176.173</v>
      </c>
      <c r="J125" s="20" t="n">
        <v>150.763</v>
      </c>
      <c r="K125" s="20" t="n">
        <v>172.944</v>
      </c>
      <c r="L125" s="20" t="n">
        <v>126.326</v>
      </c>
    </row>
    <row r="126">
      <c r="A126" s="18" t="inlineStr">
        <is>
          <t>기타</t>
        </is>
      </c>
      <c r="C126" s="20" t="n">
        <v>31.94</v>
      </c>
      <c r="D126" s="20" t="n">
        <v>31.806</v>
      </c>
      <c r="E126" s="20" t="n">
        <v>11.107</v>
      </c>
      <c r="F126" s="20" t="n">
        <v>11.107</v>
      </c>
      <c r="G126" s="20" t="n">
        <v>11.107</v>
      </c>
      <c r="H126" s="20" t="n">
        <v>15.407</v>
      </c>
      <c r="I126" s="20" t="n">
        <v>15.407</v>
      </c>
      <c r="J126" s="20" t="n">
        <v>37.823</v>
      </c>
      <c r="K126" s="20" t="n">
        <v>32.307</v>
      </c>
      <c r="L126" s="20" t="n">
        <v>11.107</v>
      </c>
    </row>
    <row r="127">
      <c r="A127" s="9" t="inlineStr">
        <is>
          <t>비유동부채 합계</t>
        </is>
      </c>
      <c r="C127" s="12" t="n">
        <v>2656.655</v>
      </c>
      <c r="D127" s="12" t="n">
        <v>3282.908</v>
      </c>
      <c r="E127" s="12" t="n">
        <v>3185.434</v>
      </c>
      <c r="F127" s="12" t="n">
        <v>3185.927</v>
      </c>
      <c r="G127" s="12" t="n">
        <v>3034.187</v>
      </c>
      <c r="H127" s="12" t="n">
        <v>3992.086</v>
      </c>
      <c r="I127" s="12" t="n">
        <v>3914.026</v>
      </c>
      <c r="J127" s="12" t="n">
        <v>1220.128</v>
      </c>
      <c r="K127" s="12" t="n">
        <v>2169.863</v>
      </c>
      <c r="L127" s="12" t="n">
        <v>3185.434</v>
      </c>
    </row>
    <row r="128">
      <c r="A128" s="9" t="inlineStr">
        <is>
          <t>부채 합계</t>
        </is>
      </c>
      <c r="C128" s="12" t="n">
        <v>10703.457</v>
      </c>
      <c r="D128" s="12" t="n">
        <v>9887.25</v>
      </c>
      <c r="E128" s="12" t="n">
        <v>9906.030000000001</v>
      </c>
      <c r="F128" s="12" t="n">
        <v>7863.332</v>
      </c>
      <c r="G128" s="12" t="n">
        <v>8494.784</v>
      </c>
      <c r="H128" s="12" t="n">
        <v>10678.267</v>
      </c>
      <c r="I128" s="12" t="n">
        <v>9454.689</v>
      </c>
      <c r="J128" s="12" t="n">
        <v>9732.133</v>
      </c>
      <c r="K128" s="12" t="n">
        <v>10278.09</v>
      </c>
      <c r="L128" s="12" t="n">
        <v>9906.030000000001</v>
      </c>
    </row>
    <row r="129">
      <c r="A129" s="18" t="inlineStr">
        <is>
          <t>자본금</t>
        </is>
      </c>
      <c r="C129" s="20" t="n">
        <v>1000.914</v>
      </c>
      <c r="D129" s="20" t="n">
        <v>1000.914</v>
      </c>
      <c r="E129" s="20" t="n">
        <v>1000.914</v>
      </c>
      <c r="F129" s="20" t="n">
        <v>1000.914</v>
      </c>
      <c r="G129" s="20" t="n">
        <v>1000.914</v>
      </c>
      <c r="H129" s="20" t="n">
        <v>1000.914</v>
      </c>
      <c r="I129" s="20" t="n">
        <v>1000.914</v>
      </c>
      <c r="J129" s="20" t="n">
        <v>1000.914</v>
      </c>
      <c r="K129" s="20" t="n">
        <v>1000.914</v>
      </c>
      <c r="L129" s="20" t="n">
        <v>1000.914</v>
      </c>
    </row>
    <row r="130">
      <c r="A130" s="18" t="inlineStr">
        <is>
          <t>자본잉여금</t>
        </is>
      </c>
      <c r="C130" s="20" t="n">
        <v>692.051</v>
      </c>
      <c r="D130" s="20" t="n">
        <v>692.051</v>
      </c>
      <c r="E130" s="20" t="n">
        <v>692.051</v>
      </c>
      <c r="F130" s="20" t="n">
        <v>710.616</v>
      </c>
      <c r="G130" s="20" t="n">
        <v>729.116</v>
      </c>
      <c r="H130" s="20" t="n">
        <v>697.438</v>
      </c>
      <c r="I130" s="20" t="n">
        <v>692.17</v>
      </c>
      <c r="J130" s="20" t="n">
        <v>687.929</v>
      </c>
      <c r="K130" s="20" t="n">
        <v>682.956</v>
      </c>
      <c r="L130" s="20" t="n">
        <v>692.051</v>
      </c>
    </row>
    <row r="131">
      <c r="A131" s="18" t="inlineStr">
        <is>
          <t>이익잉여금</t>
        </is>
      </c>
      <c r="C131" s="20" t="n">
        <v>8929.049000000001</v>
      </c>
      <c r="D131" s="20" t="n">
        <v>8875.559999999999</v>
      </c>
      <c r="E131" s="20" t="n">
        <v>8893.414000000001</v>
      </c>
      <c r="F131" s="20" t="n">
        <v>8765.369000000001</v>
      </c>
      <c r="G131" s="20" t="n">
        <v>9431.474</v>
      </c>
      <c r="H131" s="20" t="n">
        <v>7747.107</v>
      </c>
      <c r="I131" s="20" t="n">
        <v>7541.376</v>
      </c>
      <c r="J131" s="20" t="n">
        <v>7973.032</v>
      </c>
      <c r="K131" s="20" t="n">
        <v>8671.347</v>
      </c>
      <c r="L131" s="20" t="n">
        <v>8893.414000000001</v>
      </c>
    </row>
    <row r="132">
      <c r="A132" s="18" t="inlineStr">
        <is>
          <t>자기주식</t>
        </is>
      </c>
      <c r="C132" s="20" t="n">
        <v>-374.139</v>
      </c>
      <c r="D132" s="20" t="n">
        <v>-374.139</v>
      </c>
      <c r="E132" s="20" t="n">
        <v>-374.139</v>
      </c>
      <c r="F132" s="20" t="n">
        <v>-346.516</v>
      </c>
      <c r="G132" s="20" t="n">
        <v>-333.531</v>
      </c>
      <c r="H132" s="20" t="n">
        <v>-348.468</v>
      </c>
      <c r="I132" s="20" t="n">
        <v>-322.082</v>
      </c>
      <c r="J132" s="20" t="n">
        <v>-464.6</v>
      </c>
      <c r="K132" s="20" t="n">
        <v>-389.456</v>
      </c>
      <c r="L132" s="20" t="n">
        <v>-374.139</v>
      </c>
    </row>
    <row r="133">
      <c r="A133" s="9" t="inlineStr">
        <is>
          <t>주주자본 합계</t>
        </is>
      </c>
      <c r="C133" s="12" t="n">
        <v>10247.876</v>
      </c>
      <c r="D133" s="12" t="n">
        <v>10194.387</v>
      </c>
      <c r="E133" s="12" t="n">
        <v>10212.241</v>
      </c>
      <c r="F133" s="12" t="n">
        <v>10130.383</v>
      </c>
      <c r="G133" s="12" t="n">
        <v>10827.973</v>
      </c>
      <c r="H133" s="12" t="n">
        <v>9096.992</v>
      </c>
      <c r="I133" s="12" t="n">
        <v>8912.378000000001</v>
      </c>
      <c r="J133" s="12" t="n">
        <v>9197.276</v>
      </c>
      <c r="K133" s="12" t="n">
        <v>9965.762000000001</v>
      </c>
      <c r="L133" s="12" t="n">
        <v>10212.241</v>
      </c>
    </row>
    <row r="134">
      <c r="A134" s="18" t="inlineStr">
        <is>
          <t>기타유가증권 평가차액</t>
        </is>
      </c>
      <c r="C134" s="20" t="n">
        <v>3491.143</v>
      </c>
      <c r="D134" s="20" t="n">
        <v>3353.283</v>
      </c>
      <c r="E134" s="20" t="n">
        <v>3346.559</v>
      </c>
      <c r="F134" s="20" t="n">
        <v>3685.274</v>
      </c>
      <c r="G134" s="20" t="n">
        <v>4404.664</v>
      </c>
      <c r="H134" s="20" t="n">
        <v>646.41</v>
      </c>
      <c r="I134" s="20" t="n">
        <v>726.039</v>
      </c>
      <c r="J134" s="20" t="n">
        <v>1510.205</v>
      </c>
      <c r="K134" s="20" t="n">
        <v>2415.321</v>
      </c>
      <c r="L134" s="20" t="n">
        <v>3346.559</v>
      </c>
    </row>
    <row r="135">
      <c r="A135" s="18" t="inlineStr">
        <is>
          <t>이연헤지손익</t>
        </is>
      </c>
      <c r="C135" s="20" t="n">
        <v>-9.417</v>
      </c>
      <c r="D135" s="20" t="n">
        <v>6.06</v>
      </c>
      <c r="E135" s="20" t="n">
        <v>23.031</v>
      </c>
      <c r="F135" s="20" t="n">
        <v>13.341</v>
      </c>
      <c r="G135" s="20" t="n">
        <v>-11.919</v>
      </c>
      <c r="H135" s="20" t="n">
        <v>42.778</v>
      </c>
      <c r="I135" s="20" t="n">
        <v>-67.16</v>
      </c>
      <c r="J135" s="20" t="n">
        <v>3.624</v>
      </c>
      <c r="K135" s="20" t="n">
        <v>-8.002000000000001</v>
      </c>
      <c r="L135" s="20" t="n">
        <v>23.031</v>
      </c>
    </row>
    <row r="136">
      <c r="A136" s="18" t="inlineStr">
        <is>
          <t>토지재평가차액금</t>
        </is>
      </c>
      <c r="C136" s="20" t="n">
        <v>109.506</v>
      </c>
      <c r="D136" s="20" t="n">
        <v>109.506</v>
      </c>
      <c r="E136" s="20" t="n">
        <v>109.506</v>
      </c>
      <c r="F136" s="20" t="n">
        <v>109.506</v>
      </c>
      <c r="G136" s="20" t="n">
        <v>109.506</v>
      </c>
      <c r="H136" s="20" t="n">
        <v>110.945</v>
      </c>
      <c r="I136" s="20" t="n">
        <v>110.945</v>
      </c>
      <c r="J136" s="20" t="n">
        <v>110.945</v>
      </c>
      <c r="K136" s="20" t="n">
        <v>109.506</v>
      </c>
      <c r="L136" s="20" t="n">
        <v>109.506</v>
      </c>
    </row>
    <row r="137">
      <c r="A137" s="18" t="inlineStr">
        <is>
          <t>해외사업환산조정</t>
        </is>
      </c>
      <c r="C137" s="20" t="n">
        <v>585.005</v>
      </c>
      <c r="D137" s="20" t="n">
        <v>715.035</v>
      </c>
      <c r="E137" s="20" t="n">
        <v>995.51</v>
      </c>
      <c r="F137" s="20" t="n">
        <v>1040.913</v>
      </c>
      <c r="G137" s="20" t="n">
        <v>1137.707</v>
      </c>
      <c r="H137" s="20" t="n">
        <v>93.995</v>
      </c>
      <c r="I137" s="20" t="n">
        <v>400.3</v>
      </c>
      <c r="J137" s="20" t="n">
        <v>579.4349999999999</v>
      </c>
      <c r="K137" s="20" t="n">
        <v>896.072</v>
      </c>
      <c r="L137" s="20" t="n">
        <v>995.51</v>
      </c>
    </row>
    <row r="138">
      <c r="A138" s="18" t="inlineStr">
        <is>
          <t>기타포괄손익누계액 합계</t>
        </is>
      </c>
      <c r="C138" s="20" t="n">
        <v>4176.237</v>
      </c>
      <c r="D138" s="20" t="n">
        <v>4183.885</v>
      </c>
      <c r="E138" s="20" t="n">
        <v>4474.608</v>
      </c>
      <c r="F138" s="20" t="n">
        <v>4849.035</v>
      </c>
      <c r="G138" s="20" t="n">
        <v>5639.958</v>
      </c>
      <c r="H138" s="20" t="n">
        <v>894.13</v>
      </c>
      <c r="I138" s="20" t="n">
        <v>1170.125</v>
      </c>
      <c r="J138" s="20" t="n">
        <v>2204.21</v>
      </c>
      <c r="K138" s="20" t="n">
        <v>3412.897</v>
      </c>
      <c r="L138" s="20" t="n">
        <v>4474.608</v>
      </c>
    </row>
    <row r="139">
      <c r="A139" s="18" t="inlineStr">
        <is>
          <t>신주예약권</t>
        </is>
      </c>
      <c r="C139" s="20" t="n">
        <v>1.373</v>
      </c>
      <c r="D139" s="20" t="n">
        <v>1.373</v>
      </c>
      <c r="E139" s="20" t="n">
        <v>1.373</v>
      </c>
      <c r="F139" s="20" t="n">
        <v>1.373</v>
      </c>
      <c r="G139" s="20" t="n">
        <v>1.373</v>
      </c>
      <c r="H139" s="20" t="n">
        <v>73.705</v>
      </c>
      <c r="I139" s="20" t="n">
        <v>72.301</v>
      </c>
      <c r="J139" s="20" t="n">
        <v>47.745</v>
      </c>
      <c r="K139" s="20" t="n">
        <v>1.373</v>
      </c>
      <c r="L139" s="20" t="n">
        <v>1.373</v>
      </c>
    </row>
    <row r="140">
      <c r="A140" s="18" t="inlineStr">
        <is>
          <t>비지배지분</t>
        </is>
      </c>
      <c r="C140" s="20" t="n">
        <v>53.323</v>
      </c>
      <c r="D140" s="20" t="n">
        <v>54.121</v>
      </c>
      <c r="E140" s="20" t="n">
        <v>53.617</v>
      </c>
      <c r="F140" s="20" t="n">
        <v>54.636</v>
      </c>
      <c r="G140" s="20" t="n">
        <v>0</v>
      </c>
      <c r="H140" s="20" t="n">
        <v>39.484</v>
      </c>
      <c r="I140" s="20" t="n">
        <v>42.829</v>
      </c>
      <c r="J140" s="20" t="n">
        <v>46.285</v>
      </c>
      <c r="K140" s="20" t="n">
        <v>49.843</v>
      </c>
      <c r="L140" s="20" t="n">
        <v>53.617</v>
      </c>
    </row>
    <row r="141">
      <c r="A141" s="9" t="inlineStr">
        <is>
          <t>순자산 합계</t>
        </is>
      </c>
      <c r="C141" s="12" t="n">
        <v>14478.811</v>
      </c>
      <c r="D141" s="12" t="n">
        <v>14433.768</v>
      </c>
      <c r="E141" s="12" t="n">
        <v>14741.84</v>
      </c>
      <c r="F141" s="12" t="n">
        <v>15035.428</v>
      </c>
      <c r="G141" s="12" t="n">
        <v>16469.305</v>
      </c>
      <c r="H141" s="12" t="n">
        <v>10104.313</v>
      </c>
      <c r="I141" s="12" t="n">
        <v>10197.635</v>
      </c>
      <c r="J141" s="12" t="n">
        <v>11495.517</v>
      </c>
      <c r="K141" s="12" t="n">
        <v>13429.876</v>
      </c>
      <c r="L141" s="12" t="n">
        <v>14741.84</v>
      </c>
    </row>
    <row r="142">
      <c r="A142" s="9" t="inlineStr">
        <is>
          <t>부채·순자산 합계</t>
        </is>
      </c>
      <c r="C142" s="12" t="n">
        <v>25182.268</v>
      </c>
      <c r="D142" s="12" t="n">
        <v>24321.018</v>
      </c>
      <c r="E142" s="12" t="n">
        <v>24647.871</v>
      </c>
      <c r="F142" s="12" t="n">
        <v>22898.761</v>
      </c>
      <c r="G142" s="12" t="n">
        <v>24964.09</v>
      </c>
      <c r="H142" s="12" t="n">
        <v>20782.581</v>
      </c>
      <c r="I142" s="12" t="n">
        <v>19652.324</v>
      </c>
      <c r="J142" s="12" t="n">
        <v>21227.651</v>
      </c>
      <c r="K142" s="12" t="n">
        <v>23707.967</v>
      </c>
      <c r="L142" s="12" t="n">
        <v>24647.871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8119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bs annual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2022</t>
        </is>
      </c>
      <c r="C5" s="53" t="inlineStr">
        <is>
          <t>2023</t>
        </is>
      </c>
      <c r="D5" s="53" t="inlineStr">
        <is>
          <t>2024</t>
        </is>
      </c>
      <c r="E5" s="53" t="inlineStr">
        <is>
          <t>2025</t>
        </is>
      </c>
      <c r="F5" s="53" t="inlineStr">
        <is>
          <t>2026</t>
        </is>
      </c>
      <c r="G5" s="53" t="inlineStr">
        <is>
          <t>출처</t>
        </is>
      </c>
    </row>
    <row r="6">
      <c r="A6" s="54" t="inlineStr">
        <is>
          <t>labels</t>
        </is>
      </c>
      <c r="B6" s="55" t="n">
        <v>2022</v>
      </c>
      <c r="C6" s="55" t="n">
        <v>2023</v>
      </c>
      <c r="D6" s="55" t="n">
        <v>2024</v>
      </c>
      <c r="E6" s="55" t="n">
        <v>2025</v>
      </c>
      <c r="F6" s="55" t="n">
        <v>2026</v>
      </c>
      <c r="G6" s="56" t="inlineStr">
        <is>
          <t>2단계 보고서 자료(회사 설명회 자료·공시)</t>
        </is>
      </c>
    </row>
    <row r="7">
      <c r="A7" s="54" t="inlineStr">
        <is>
          <t>current assets</t>
        </is>
      </c>
      <c r="B7" s="57" t="n">
        <v>157.1</v>
      </c>
      <c r="C7" s="57" t="n">
        <v>150</v>
      </c>
      <c r="D7" s="57" t="n">
        <v>158.2</v>
      </c>
      <c r="E7" s="57" t="n">
        <v>172</v>
      </c>
      <c r="F7" s="57" t="n">
        <v>163.7</v>
      </c>
    </row>
    <row r="8">
      <c r="A8" s="54" t="inlineStr">
        <is>
          <t>cash</t>
        </is>
      </c>
      <c r="B8" s="57" t="n">
        <v>46</v>
      </c>
      <c r="C8" s="57" t="n">
        <v>44.8</v>
      </c>
      <c r="D8" s="57" t="n">
        <v>44.4</v>
      </c>
      <c r="E8" s="57" t="n">
        <v>77.2</v>
      </c>
      <c r="F8" s="57" t="n">
        <v>80.90000000000001</v>
      </c>
    </row>
    <row r="9">
      <c r="A9" s="54" t="inlineStr">
        <is>
          <t>st fin</t>
        </is>
      </c>
      <c r="B9" s="58" t="n"/>
      <c r="C9" s="58" t="n"/>
      <c r="D9" s="58" t="n"/>
      <c r="E9" s="58" t="n"/>
      <c r="F9" s="58" t="n"/>
    </row>
    <row r="10">
      <c r="A10" s="54" t="inlineStr">
        <is>
          <t>receivables</t>
        </is>
      </c>
      <c r="B10" s="57" t="n">
        <v>38.6</v>
      </c>
      <c r="C10" s="57" t="n">
        <v>43.2</v>
      </c>
      <c r="D10" s="57" t="n">
        <v>63.1</v>
      </c>
      <c r="E10" s="57" t="n">
        <v>41.7</v>
      </c>
      <c r="F10" s="57" t="n">
        <v>41.5</v>
      </c>
    </row>
    <row r="11">
      <c r="A11" s="54" t="inlineStr">
        <is>
          <t>inventory</t>
        </is>
      </c>
      <c r="B11" s="57" t="n">
        <v>65.3</v>
      </c>
      <c r="C11" s="57" t="n">
        <v>57.7</v>
      </c>
      <c r="D11" s="57" t="n">
        <v>46.5</v>
      </c>
      <c r="E11" s="57" t="n">
        <v>46.9</v>
      </c>
      <c r="F11" s="57" t="n">
        <v>36.3</v>
      </c>
    </row>
    <row r="12">
      <c r="A12" s="54" t="inlineStr">
        <is>
          <t>noncurrent assets</t>
        </is>
      </c>
      <c r="B12" s="57" t="n">
        <v>50.8</v>
      </c>
      <c r="C12" s="57" t="n">
        <v>46.5</v>
      </c>
      <c r="D12" s="57" t="n">
        <v>54.1</v>
      </c>
      <c r="E12" s="57" t="n">
        <v>65</v>
      </c>
      <c r="F12" s="57" t="n">
        <v>82.8</v>
      </c>
    </row>
    <row r="13">
      <c r="A13" s="54" t="inlineStr">
        <is>
          <t>ppe</t>
        </is>
      </c>
      <c r="B13" s="57" t="n">
        <v>20.4</v>
      </c>
      <c r="C13" s="57" t="n">
        <v>17.8</v>
      </c>
      <c r="D13" s="57" t="n">
        <v>16.9</v>
      </c>
      <c r="E13" s="57" t="n">
        <v>15.5</v>
      </c>
      <c r="F13" s="57" t="n">
        <v>15</v>
      </c>
    </row>
    <row r="14">
      <c r="A14" s="54" t="inlineStr">
        <is>
          <t>intangibles</t>
        </is>
      </c>
      <c r="B14" s="57" t="n">
        <v>5.5</v>
      </c>
      <c r="C14" s="57" t="n">
        <v>3.6</v>
      </c>
      <c r="D14" s="57" t="n">
        <v>2.5</v>
      </c>
      <c r="E14" s="57" t="n">
        <v>2.2</v>
      </c>
      <c r="F14" s="57" t="n">
        <v>7.7</v>
      </c>
    </row>
    <row r="15">
      <c r="A15" s="54" t="inlineStr">
        <is>
          <t>inv property</t>
        </is>
      </c>
      <c r="B15" s="58" t="n"/>
      <c r="C15" s="58" t="n"/>
      <c r="D15" s="58" t="n"/>
      <c r="E15" s="58" t="n"/>
      <c r="F15" s="58" t="n"/>
    </row>
    <row r="16">
      <c r="A16" s="54" t="inlineStr">
        <is>
          <t>합계 assets</t>
        </is>
      </c>
      <c r="B16" s="57" t="n">
        <v>207.8</v>
      </c>
      <c r="C16" s="57" t="n">
        <v>196.5</v>
      </c>
      <c r="D16" s="57" t="n">
        <v>212.3</v>
      </c>
      <c r="E16" s="57" t="n">
        <v>237.1</v>
      </c>
      <c r="F16" s="57" t="n">
        <v>246.5</v>
      </c>
    </row>
    <row r="17">
      <c r="A17" s="54" t="inlineStr">
        <is>
          <t>current liab</t>
        </is>
      </c>
      <c r="B17" s="57" t="n">
        <v>66.90000000000001</v>
      </c>
      <c r="C17" s="57" t="n">
        <v>55.4</v>
      </c>
      <c r="D17" s="57" t="n">
        <v>85.09999999999999</v>
      </c>
      <c r="E17" s="57" t="n">
        <v>81.09999999999999</v>
      </c>
      <c r="F17" s="57" t="n">
        <v>67.2</v>
      </c>
    </row>
    <row r="18">
      <c r="A18" s="54" t="inlineStr">
        <is>
          <t>payables</t>
        </is>
      </c>
      <c r="B18" s="57" t="n">
        <v>17.6</v>
      </c>
      <c r="C18" s="57" t="n">
        <v>18.2</v>
      </c>
      <c r="D18" s="57" t="n">
        <v>20.1</v>
      </c>
      <c r="E18" s="57" t="n">
        <v>22.1</v>
      </c>
      <c r="F18" s="57" t="n">
        <v>21.1</v>
      </c>
    </row>
    <row r="19">
      <c r="A19" s="54" t="inlineStr">
        <is>
          <t>st debt</t>
        </is>
      </c>
      <c r="B19" s="57" t="n">
        <v>28.7</v>
      </c>
      <c r="C19" s="57" t="n">
        <v>17.4</v>
      </c>
      <c r="D19" s="57" t="n">
        <v>13.6</v>
      </c>
      <c r="E19" s="57" t="n">
        <v>36.2</v>
      </c>
      <c r="F19" s="57" t="n">
        <v>25.1</v>
      </c>
    </row>
    <row r="20">
      <c r="A20" s="54" t="inlineStr">
        <is>
          <t>noncurrent liab</t>
        </is>
      </c>
      <c r="B20" s="57" t="n">
        <v>39.9</v>
      </c>
      <c r="C20" s="57" t="n">
        <v>39.1</v>
      </c>
      <c r="D20" s="57" t="n">
        <v>12.2</v>
      </c>
      <c r="E20" s="57" t="n">
        <v>21.7</v>
      </c>
      <c r="F20" s="57" t="n">
        <v>31.9</v>
      </c>
    </row>
    <row r="21">
      <c r="A21" s="54" t="inlineStr">
        <is>
          <t>lt debt</t>
        </is>
      </c>
      <c r="B21" s="57" t="n">
        <v>12</v>
      </c>
      <c r="C21" s="57" t="n">
        <v>12</v>
      </c>
      <c r="D21" s="57" t="n">
        <v>0.5</v>
      </c>
      <c r="E21" s="57" t="n">
        <v>5</v>
      </c>
      <c r="F21" s="57" t="n">
        <v>4.5</v>
      </c>
    </row>
    <row r="22">
      <c r="A22" s="54" t="inlineStr">
        <is>
          <t>bonds</t>
        </is>
      </c>
      <c r="B22" s="57" t="n">
        <v>19.5</v>
      </c>
      <c r="C22" s="57" t="n">
        <v>19.5</v>
      </c>
      <c r="D22" s="57" t="n">
        <v>0</v>
      </c>
      <c r="E22" s="57" t="n">
        <v>0</v>
      </c>
      <c r="F22" s="57" t="n">
        <v>7</v>
      </c>
    </row>
    <row r="23">
      <c r="A23" s="54" t="inlineStr">
        <is>
          <t>합계 liab</t>
        </is>
      </c>
      <c r="B23" s="57" t="n">
        <v>106.8</v>
      </c>
      <c r="C23" s="57" t="n">
        <v>94.5</v>
      </c>
      <c r="D23" s="57" t="n">
        <v>97.3</v>
      </c>
      <c r="E23" s="57" t="n">
        <v>102.8</v>
      </c>
      <c r="F23" s="57" t="n">
        <v>99.09999999999999</v>
      </c>
    </row>
    <row r="24">
      <c r="A24" s="54" t="inlineStr">
        <is>
          <t>capital stock</t>
        </is>
      </c>
      <c r="B24" s="57" t="n">
        <v>10</v>
      </c>
      <c r="C24" s="57" t="n">
        <v>10</v>
      </c>
      <c r="D24" s="57" t="n">
        <v>10</v>
      </c>
      <c r="E24" s="57" t="n">
        <v>10</v>
      </c>
      <c r="F24" s="57" t="n">
        <v>10</v>
      </c>
    </row>
    <row r="25">
      <c r="A25" s="54" t="inlineStr">
        <is>
          <t>retained</t>
        </is>
      </c>
      <c r="B25" s="57" t="n">
        <v>77.5</v>
      </c>
      <c r="C25" s="57" t="n">
        <v>75.40000000000001</v>
      </c>
      <c r="D25" s="57" t="n">
        <v>79.7</v>
      </c>
      <c r="E25" s="57" t="n">
        <v>86.7</v>
      </c>
      <c r="F25" s="57" t="n">
        <v>88.90000000000001</v>
      </c>
    </row>
    <row r="26">
      <c r="A26" s="54" t="inlineStr">
        <is>
          <t>nci</t>
        </is>
      </c>
      <c r="B26" s="57" t="n">
        <v>0.4</v>
      </c>
      <c r="C26" s="57" t="n">
        <v>0.4</v>
      </c>
      <c r="D26" s="57" t="n">
        <v>0.5</v>
      </c>
      <c r="E26" s="57" t="n">
        <v>0.5</v>
      </c>
      <c r="F26" s="57" t="n">
        <v>0.5</v>
      </c>
    </row>
    <row r="27">
      <c r="A27" s="54" t="inlineStr">
        <is>
          <t>합계 equity</t>
        </is>
      </c>
      <c r="B27" s="57" t="n">
        <v>101</v>
      </c>
      <c r="C27" s="57" t="n">
        <v>102</v>
      </c>
      <c r="D27" s="57" t="n">
        <v>115</v>
      </c>
      <c r="E27" s="57" t="n">
        <v>134.3</v>
      </c>
      <c r="F27" s="57" t="n">
        <v>147.4</v>
      </c>
    </row>
    <row r="28">
      <c r="A28" s="54" t="inlineStr">
        <is>
          <t>current ltd</t>
        </is>
      </c>
      <c r="B28" s="57" t="n">
        <v>0.5</v>
      </c>
      <c r="C28" s="57" t="n">
        <v>0</v>
      </c>
      <c r="D28" s="57" t="n">
        <v>31</v>
      </c>
      <c r="E28" s="57" t="n">
        <v>0</v>
      </c>
      <c r="F28" s="57" t="n">
        <v>0.5</v>
      </c>
    </row>
    <row r="29">
      <c r="A29" s="54" t="inlineStr">
        <is>
          <t>equity owner</t>
        </is>
      </c>
      <c r="B29" s="57" t="n">
        <v>99.90000000000001</v>
      </c>
      <c r="C29" s="57" t="n">
        <v>100.8</v>
      </c>
      <c r="D29" s="57" t="n">
        <v>114</v>
      </c>
      <c r="E29" s="57" t="n">
        <v>133.8</v>
      </c>
      <c r="F29" s="57" t="n">
        <v>146.9</v>
      </c>
    </row>
    <row r="31">
      <c r="A31" s="52" t="inlineStr">
        <is>
          <t>cf annual</t>
        </is>
      </c>
      <c r="B31" s="52" t="n"/>
      <c r="C31" s="52" t="n"/>
      <c r="D31" s="52" t="n"/>
      <c r="E31" s="52" t="n"/>
      <c r="F31" s="52" t="n"/>
      <c r="G31" s="52" t="n"/>
    </row>
    <row r="32">
      <c r="A32" s="53" t="inlineStr">
        <is>
          <t>항목</t>
        </is>
      </c>
      <c r="B32" s="53" t="inlineStr">
        <is>
          <t>2022</t>
        </is>
      </c>
      <c r="C32" s="53" t="inlineStr">
        <is>
          <t>2023</t>
        </is>
      </c>
      <c r="D32" s="53" t="inlineStr">
        <is>
          <t>2024</t>
        </is>
      </c>
      <c r="E32" s="53" t="inlineStr">
        <is>
          <t>2025</t>
        </is>
      </c>
      <c r="F32" s="53" t="inlineStr">
        <is>
          <t>2026</t>
        </is>
      </c>
      <c r="G32" s="53" t="inlineStr">
        <is>
          <t>출처</t>
        </is>
      </c>
    </row>
    <row r="33">
      <c r="A33" s="54" t="inlineStr">
        <is>
          <t>labels</t>
        </is>
      </c>
      <c r="B33" s="55" t="n">
        <v>2022</v>
      </c>
      <c r="C33" s="55" t="n">
        <v>2023</v>
      </c>
      <c r="D33" s="55" t="n">
        <v>2024</v>
      </c>
      <c r="E33" s="55" t="n">
        <v>2025</v>
      </c>
      <c r="F33" s="55" t="n">
        <v>2026</v>
      </c>
      <c r="G33" s="56" t="inlineStr">
        <is>
          <t>2단계 보고서 자료(회사 설명회 자료·공시)</t>
        </is>
      </c>
    </row>
    <row r="34">
      <c r="A34" s="54" t="inlineStr">
        <is>
          <t>ocf</t>
        </is>
      </c>
      <c r="B34" s="57" t="n">
        <v>-7.6</v>
      </c>
      <c r="C34" s="57" t="n">
        <v>9.699999999999999</v>
      </c>
      <c r="D34" s="57" t="n">
        <v>5.3</v>
      </c>
      <c r="E34" s="57" t="n">
        <v>37.8</v>
      </c>
      <c r="F34" s="57" t="n">
        <v>8.9</v>
      </c>
    </row>
    <row r="35">
      <c r="A35" s="54" t="inlineStr">
        <is>
          <t>설비투자</t>
        </is>
      </c>
      <c r="B35" s="57" t="n">
        <v>1.6</v>
      </c>
      <c r="C35" s="57" t="n">
        <v>1.7</v>
      </c>
      <c r="D35" s="57" t="n">
        <v>3.4</v>
      </c>
      <c r="E35" s="57" t="n">
        <v>1.6</v>
      </c>
      <c r="F35" s="57" t="n">
        <v>1.5</v>
      </c>
    </row>
    <row r="36">
      <c r="A36" s="54" t="inlineStr">
        <is>
          <t>dividends</t>
        </is>
      </c>
      <c r="B36" s="57" t="n">
        <v>0.5</v>
      </c>
      <c r="C36" s="57" t="n">
        <v>0.5</v>
      </c>
      <c r="D36" s="57" t="n">
        <v>0.5</v>
      </c>
      <c r="E36" s="57" t="n">
        <v>2.6</v>
      </c>
      <c r="F36" s="57" t="n">
        <v>3.5</v>
      </c>
    </row>
    <row r="38">
      <c r="A38" s="52" t="inlineStr">
        <is>
          <t>current_quarter_facts · 1H_cum_백만엔</t>
        </is>
      </c>
      <c r="B38" s="52" t="n"/>
      <c r="C38" s="52" t="n"/>
      <c r="D38" s="52" t="n"/>
      <c r="E38" s="52" t="n"/>
      <c r="F38" s="52" t="n"/>
      <c r="G38" s="52" t="n"/>
    </row>
    <row r="39">
      <c r="A39" s="53" t="inlineStr">
        <is>
          <t>항목</t>
        </is>
      </c>
      <c r="B39" s="53" t="inlineStr">
        <is>
          <t>값</t>
        </is>
      </c>
      <c r="G39" s="53" t="inlineStr">
        <is>
          <t>출처</t>
        </is>
      </c>
    </row>
    <row r="40">
      <c r="A40" s="54" t="inlineStr">
        <is>
          <t>매출</t>
        </is>
      </c>
      <c r="B40" s="55" t="n">
        <v>18348</v>
      </c>
      <c r="G40" s="56" t="inlineStr">
        <is>
          <t>2단계 보고서 자료(회사 설명회 자료·공시)</t>
        </is>
      </c>
    </row>
    <row r="41">
      <c r="A41" s="54" t="inlineStr">
        <is>
          <t>매출 YoY</t>
        </is>
      </c>
      <c r="B41" s="57" t="n">
        <v>3.9</v>
      </c>
    </row>
    <row r="42">
      <c r="A42" s="54" t="inlineStr">
        <is>
          <t>영업이익</t>
        </is>
      </c>
      <c r="B42" s="55" t="n">
        <v>472</v>
      </c>
    </row>
    <row r="43">
      <c r="A43" s="54" t="inlineStr">
        <is>
          <t>영업이익 YoY</t>
        </is>
      </c>
      <c r="B43" s="57" t="n">
        <v>-38.2</v>
      </c>
    </row>
    <row r="44">
      <c r="A44" s="54" t="inlineStr">
        <is>
          <t>ordinary</t>
        </is>
      </c>
      <c r="B44" s="55" t="n">
        <v>486</v>
      </c>
    </row>
    <row r="45">
      <c r="A45" s="54" t="inlineStr">
        <is>
          <t>순이익</t>
        </is>
      </c>
      <c r="B45" s="55" t="n">
        <v>685</v>
      </c>
    </row>
    <row r="46">
      <c r="A46" s="54" t="inlineStr">
        <is>
          <t>순이익 YoY</t>
        </is>
      </c>
      <c r="B46" s="57" t="n">
        <v>50.1</v>
      </c>
    </row>
    <row r="47">
      <c r="A47" s="54" t="inlineStr">
        <is>
          <t>EPS</t>
        </is>
      </c>
      <c r="B47" s="57" t="n">
        <v>71.62</v>
      </c>
    </row>
    <row r="48">
      <c r="A48" s="54" t="inlineStr">
        <is>
          <t>gp</t>
        </is>
      </c>
      <c r="B48" s="55" t="n">
        <v>4122</v>
      </c>
    </row>
    <row r="49">
      <c r="A49" s="54" t="inlineStr">
        <is>
          <t>sga</t>
        </is>
      </c>
      <c r="B49" s="55" t="n">
        <v>3650</v>
      </c>
    </row>
    <row r="50">
      <c r="A50" s="54" t="inlineStr">
        <is>
          <t>sga selling</t>
        </is>
      </c>
      <c r="B50" s="55" t="n">
        <v>1010</v>
      </c>
    </row>
    <row r="51">
      <c r="A51" s="54" t="inlineStr">
        <is>
          <t>sga admin</t>
        </is>
      </c>
      <c r="B51" s="55" t="n">
        <v>2640</v>
      </c>
    </row>
    <row r="53">
      <c r="A53" s="52" t="inlineStr">
        <is>
          <t>current_quarter_facts · 1H_prior_백만엔</t>
        </is>
      </c>
      <c r="B53" s="52" t="n"/>
      <c r="C53" s="52" t="n"/>
      <c r="D53" s="52" t="n"/>
      <c r="E53" s="52" t="n"/>
      <c r="F53" s="52" t="n"/>
      <c r="G53" s="52" t="n"/>
    </row>
    <row r="54">
      <c r="A54" s="53" t="inlineStr">
        <is>
          <t>항목</t>
        </is>
      </c>
      <c r="B54" s="53" t="inlineStr">
        <is>
          <t>값</t>
        </is>
      </c>
      <c r="G54" s="53" t="inlineStr">
        <is>
          <t>출처</t>
        </is>
      </c>
    </row>
    <row r="55">
      <c r="A55" s="54" t="inlineStr">
        <is>
          <t>매출</t>
        </is>
      </c>
      <c r="B55" s="55" t="n">
        <v>17655</v>
      </c>
      <c r="G55" s="56" t="inlineStr">
        <is>
          <t>2단계 보고서 자료(회사 설명회 자료·공시)</t>
        </is>
      </c>
    </row>
    <row r="56">
      <c r="A56" s="54" t="inlineStr">
        <is>
          <t>영업이익</t>
        </is>
      </c>
      <c r="B56" s="55" t="n">
        <v>765</v>
      </c>
    </row>
    <row r="57">
      <c r="A57" s="54" t="inlineStr">
        <is>
          <t>ordinary</t>
        </is>
      </c>
      <c r="B57" s="55" t="n">
        <v>808</v>
      </c>
    </row>
    <row r="58">
      <c r="A58" s="54" t="inlineStr">
        <is>
          <t>순이익</t>
        </is>
      </c>
      <c r="B58" s="55" t="n">
        <v>456</v>
      </c>
    </row>
    <row r="59">
      <c r="A59" s="54" t="inlineStr">
        <is>
          <t>gp</t>
        </is>
      </c>
      <c r="B59" s="55" t="n">
        <v>4549</v>
      </c>
    </row>
    <row r="60">
      <c r="A60" s="54" t="inlineStr">
        <is>
          <t>sga</t>
        </is>
      </c>
      <c r="B60" s="55" t="n">
        <v>3784</v>
      </c>
    </row>
    <row r="61">
      <c r="A61" s="54" t="inlineStr">
        <is>
          <t>sga selling</t>
        </is>
      </c>
      <c r="B61" s="55" t="n">
        <v>958</v>
      </c>
    </row>
    <row r="62">
      <c r="A62" s="54" t="inlineStr">
        <is>
          <t>sga admin</t>
        </is>
      </c>
      <c r="B62" s="55" t="n">
        <v>2827</v>
      </c>
    </row>
    <row r="64">
      <c r="A64" s="52" t="inlineStr">
        <is>
          <t>current quarter facts · FY26 실적</t>
        </is>
      </c>
      <c r="B64" s="52" t="n"/>
      <c r="C64" s="52" t="n"/>
      <c r="D64" s="52" t="n"/>
      <c r="E64" s="52" t="n"/>
      <c r="F64" s="52" t="n"/>
      <c r="G64" s="52" t="n"/>
    </row>
    <row r="65">
      <c r="A65" s="53" t="inlineStr">
        <is>
          <t>항목</t>
        </is>
      </c>
      <c r="B65" s="53" t="inlineStr">
        <is>
          <t>값</t>
        </is>
      </c>
      <c r="G65" s="53" t="inlineStr">
        <is>
          <t>출처</t>
        </is>
      </c>
    </row>
    <row r="66">
      <c r="A66" s="54" t="inlineStr">
        <is>
          <t>매출</t>
        </is>
      </c>
      <c r="B66" s="55" t="n">
        <v>36332</v>
      </c>
      <c r="G66" s="56" t="inlineStr">
        <is>
          <t>2단계 보고서 자료(회사 설명회 자료·공시)</t>
        </is>
      </c>
    </row>
    <row r="67">
      <c r="A67" s="54" t="inlineStr">
        <is>
          <t>영업이익</t>
        </is>
      </c>
      <c r="B67" s="55" t="n">
        <v>1026</v>
      </c>
    </row>
    <row r="68">
      <c r="A68" s="54" t="inlineStr">
        <is>
          <t>ordinary</t>
        </is>
      </c>
      <c r="B68" s="55" t="n">
        <v>1156</v>
      </c>
    </row>
    <row r="69">
      <c r="A69" s="54" t="inlineStr">
        <is>
          <t>순이익</t>
        </is>
      </c>
      <c r="B69" s="55" t="n">
        <v>568</v>
      </c>
    </row>
    <row r="70">
      <c r="A70" s="54" t="inlineStr">
        <is>
          <t>EPS</t>
        </is>
      </c>
      <c r="B70" s="57" t="n">
        <v>59.83</v>
      </c>
    </row>
    <row r="72">
      <c r="A72" s="52" t="inlineStr">
        <is>
          <t>current_quarter_facts · bs_2026_09_백만엔</t>
        </is>
      </c>
      <c r="B72" s="52" t="n"/>
      <c r="C72" s="52" t="n"/>
      <c r="D72" s="52" t="n"/>
      <c r="E72" s="52" t="n"/>
      <c r="F72" s="52" t="n"/>
      <c r="G72" s="52" t="n"/>
    </row>
    <row r="73">
      <c r="A73" s="53" t="inlineStr">
        <is>
          <t>항목</t>
        </is>
      </c>
      <c r="B73" s="53" t="inlineStr">
        <is>
          <t>값</t>
        </is>
      </c>
      <c r="G73" s="53" t="inlineStr">
        <is>
          <t>출처</t>
        </is>
      </c>
    </row>
    <row r="74">
      <c r="A74" s="54" t="inlineStr">
        <is>
          <t>cash</t>
        </is>
      </c>
      <c r="B74" s="55" t="n">
        <v>7218</v>
      </c>
      <c r="G74" s="56" t="inlineStr">
        <is>
          <t>2단계 보고서 자료(회사 설명회 자료·공시)</t>
        </is>
      </c>
    </row>
    <row r="75">
      <c r="A75" s="54" t="inlineStr">
        <is>
          <t>inventory</t>
        </is>
      </c>
      <c r="B75" s="55" t="n">
        <v>3245</v>
      </c>
    </row>
    <row r="76">
      <c r="A76" s="54" t="inlineStr">
        <is>
          <t>invest securities</t>
        </is>
      </c>
      <c r="B76" s="55" t="n">
        <v>7236</v>
      </c>
    </row>
    <row r="77">
      <c r="A77" s="54" t="inlineStr">
        <is>
          <t>합계 assets</t>
        </is>
      </c>
      <c r="B77" s="55" t="n">
        <v>24964</v>
      </c>
    </row>
    <row r="78">
      <c r="A78" s="54" t="inlineStr">
        <is>
          <t>equity</t>
        </is>
      </c>
      <c r="B78" s="55" t="n">
        <v>16467</v>
      </c>
    </row>
    <row r="79">
      <c r="A79" s="54" t="inlineStr">
        <is>
          <t>equity ratio</t>
        </is>
      </c>
      <c r="B79" s="57" t="n">
        <v>66</v>
      </c>
    </row>
    <row r="80">
      <c r="A80" s="54" t="inlineStr">
        <is>
          <t>bps</t>
        </is>
      </c>
      <c r="B80" s="57" t="n">
        <v>1718.64</v>
      </c>
    </row>
    <row r="81">
      <c r="A81" s="54" t="inlineStr">
        <is>
          <t>st debt</t>
        </is>
      </c>
      <c r="B81" s="55" t="n">
        <v>1995</v>
      </c>
    </row>
    <row r="82">
      <c r="A82" s="54" t="inlineStr">
        <is>
          <t>lt debt</t>
        </is>
      </c>
      <c r="B82" s="55" t="n">
        <v>450</v>
      </c>
    </row>
    <row r="83">
      <c r="A83" s="54" t="inlineStr">
        <is>
          <t>bonds</t>
        </is>
      </c>
      <c r="B83" s="55" t="n">
        <v>700</v>
      </c>
    </row>
    <row r="84">
      <c r="A84" s="54" t="inlineStr">
        <is>
          <t>goodwill</t>
        </is>
      </c>
      <c r="B84" s="55" t="n">
        <v>504</v>
      </c>
    </row>
    <row r="86">
      <c r="A86" s="52" t="inlineStr">
        <is>
          <t>current quarter facts · cf 1H</t>
        </is>
      </c>
      <c r="B86" s="52" t="n"/>
      <c r="C86" s="52" t="n"/>
      <c r="D86" s="52" t="n"/>
      <c r="E86" s="52" t="n"/>
      <c r="F86" s="52" t="n"/>
      <c r="G86" s="52" t="n"/>
    </row>
    <row r="87">
      <c r="A87" s="53" t="inlineStr">
        <is>
          <t>항목</t>
        </is>
      </c>
      <c r="B87" s="53" t="inlineStr">
        <is>
          <t>값</t>
        </is>
      </c>
      <c r="G87" s="53" t="inlineStr">
        <is>
          <t>출처</t>
        </is>
      </c>
    </row>
    <row r="88">
      <c r="A88" s="54" t="inlineStr">
        <is>
          <t>ocf</t>
        </is>
      </c>
      <c r="B88" s="55" t="n">
        <v>-247</v>
      </c>
      <c r="G88" s="56" t="inlineStr">
        <is>
          <t>2단계 보고서 자료(회사 설명회 자료·공시)</t>
        </is>
      </c>
    </row>
    <row r="89">
      <c r="A89" s="54" t="inlineStr">
        <is>
          <t>ocf prior</t>
        </is>
      </c>
      <c r="B89" s="55" t="n">
        <v>743</v>
      </c>
    </row>
    <row r="91">
      <c r="A91" s="52" t="inlineStr">
        <is>
          <t>current quarter facts · shares</t>
        </is>
      </c>
      <c r="B91" s="52" t="n"/>
      <c r="C91" s="52" t="n"/>
      <c r="D91" s="52" t="n"/>
      <c r="E91" s="52" t="n"/>
      <c r="F91" s="52" t="n"/>
      <c r="G91" s="52" t="n"/>
    </row>
    <row r="92">
      <c r="A92" s="53" t="inlineStr">
        <is>
          <t>항목</t>
        </is>
      </c>
      <c r="B92" s="53" t="inlineStr">
        <is>
          <t>값</t>
        </is>
      </c>
      <c r="G92" s="53" t="inlineStr">
        <is>
          <t>출처</t>
        </is>
      </c>
    </row>
    <row r="93">
      <c r="A93" s="54" t="inlineStr">
        <is>
          <t>issued</t>
        </is>
      </c>
      <c r="B93" s="55" t="n">
        <v>10211784</v>
      </c>
      <c r="G93" s="56" t="inlineStr">
        <is>
          <t>2단계 보고서 자료(회사 설명회 자료·공시)</t>
        </is>
      </c>
    </row>
    <row r="94">
      <c r="A94" s="54" t="inlineStr">
        <is>
          <t>treasury</t>
        </is>
      </c>
      <c r="B94" s="55" t="n">
        <v>629806</v>
      </c>
    </row>
    <row r="95">
      <c r="A95" s="54" t="inlineStr">
        <is>
          <t>outstanding</t>
        </is>
      </c>
      <c r="B95" s="55" t="n">
        <v>9581978</v>
      </c>
    </row>
    <row r="97">
      <c r="A97" s="52" t="inlineStr">
        <is>
          <t>current quarter facts · dividend</t>
        </is>
      </c>
      <c r="B97" s="52" t="n"/>
      <c r="C97" s="52" t="n"/>
      <c r="D97" s="52" t="n"/>
      <c r="E97" s="52" t="n"/>
      <c r="F97" s="52" t="n"/>
      <c r="G97" s="52" t="n"/>
    </row>
    <row r="98">
      <c r="A98" s="53" t="inlineStr">
        <is>
          <t>항목</t>
        </is>
      </c>
      <c r="B98" s="53" t="inlineStr">
        <is>
          <t>값</t>
        </is>
      </c>
      <c r="G98" s="53" t="inlineStr">
        <is>
          <t>출처</t>
        </is>
      </c>
    </row>
    <row r="99">
      <c r="A99" s="54" t="inlineStr">
        <is>
          <t>FY26</t>
        </is>
      </c>
      <c r="B99" s="57" t="n">
        <v>31</v>
      </c>
      <c r="G99" s="56" t="inlineStr">
        <is>
          <t>2단계 보고서 자료(회사 설명회 자료·공시)</t>
        </is>
      </c>
    </row>
    <row r="100">
      <c r="A100" s="54" t="inlineStr">
        <is>
          <t>FY27 계획</t>
        </is>
      </c>
      <c r="B100" s="57" t="n">
        <v>31</v>
      </c>
    </row>
    <row r="101">
      <c r="A101" s="54" t="inlineStr">
        <is>
          <t>interim</t>
        </is>
      </c>
      <c r="B101" s="57" t="n">
        <v>15.5</v>
      </c>
    </row>
    <row r="103">
      <c r="A103" s="52" t="inlineStr">
        <is>
          <t>dps history</t>
        </is>
      </c>
      <c r="B103" s="52" t="n"/>
      <c r="C103" s="52" t="n"/>
      <c r="D103" s="52" t="n"/>
      <c r="E103" s="52" t="n"/>
      <c r="F103" s="52" t="n"/>
      <c r="G103" s="52" t="n"/>
    </row>
    <row r="104">
      <c r="A104" s="53" t="inlineStr">
        <is>
          <t>항목</t>
        </is>
      </c>
      <c r="B104" s="53" t="inlineStr">
        <is>
          <t>값</t>
        </is>
      </c>
      <c r="G104" s="53" t="inlineStr">
        <is>
          <t>출처</t>
        </is>
      </c>
    </row>
    <row r="105">
      <c r="A105" s="54" t="inlineStr">
        <is>
          <t>FY26</t>
        </is>
      </c>
      <c r="B105" s="55" t="n">
        <v>31</v>
      </c>
      <c r="G105" s="56" t="inlineStr">
        <is>
          <t>2단계 보고서 자료(회사 설명회 자료·공시)</t>
        </is>
      </c>
    </row>
    <row r="106">
      <c r="A106" s="54" t="inlineStr">
        <is>
          <t>FY27E</t>
        </is>
      </c>
      <c r="B106" s="55" t="n">
        <v>31</v>
      </c>
    </row>
    <row r="108">
      <c r="A108" s="52" t="inlineStr">
        <is>
          <t>market</t>
        </is>
      </c>
      <c r="B108" s="52" t="n"/>
      <c r="C108" s="52" t="n"/>
      <c r="D108" s="52" t="n"/>
      <c r="E108" s="52" t="n"/>
      <c r="F108" s="52" t="n"/>
      <c r="G108" s="52" t="n"/>
    </row>
    <row r="109">
      <c r="A109" s="53" t="inlineStr">
        <is>
          <t>항목</t>
        </is>
      </c>
      <c r="B109" s="53" t="inlineStr">
        <is>
          <t>값</t>
        </is>
      </c>
      <c r="G109" s="53" t="inlineStr">
        <is>
          <t>출처</t>
        </is>
      </c>
    </row>
    <row r="110">
      <c r="A110" s="54" t="inlineStr">
        <is>
          <t>가격</t>
        </is>
      </c>
      <c r="B110" s="55" t="n">
        <v>766</v>
      </c>
      <c r="G110" s="56" t="inlineStr">
        <is>
          <t>2단계 보고서 자료(회사 설명회 자료·공시)</t>
        </is>
      </c>
    </row>
    <row r="111">
      <c r="A111" s="54" t="inlineStr">
        <is>
          <t>shares out</t>
        </is>
      </c>
      <c r="B111" s="55" t="n">
        <v>9581978</v>
      </c>
    </row>
    <row r="112">
      <c r="A112" s="54" t="inlineStr">
        <is>
          <t>mcap_억엔</t>
        </is>
      </c>
      <c r="B112" s="57" t="n">
        <v>73.40000000000001</v>
      </c>
    </row>
    <row r="113">
      <c r="A113" s="54" t="inlineStr">
        <is>
          <t>PER 가이던스</t>
        </is>
      </c>
      <c r="B113" s="57" t="n">
        <v>8.199999999999999</v>
      </c>
    </row>
    <row r="114">
      <c r="A114" s="54" t="inlineStr">
        <is>
          <t>PBR</t>
        </is>
      </c>
      <c r="B114" s="57" t="n">
        <v>0.45</v>
      </c>
    </row>
    <row r="115">
      <c r="A115" s="54" t="inlineStr">
        <is>
          <t>div yield %</t>
        </is>
      </c>
      <c r="B115" s="57" t="n">
        <v>4.05</v>
      </c>
    </row>
    <row r="117">
      <c r="A117" s="52" t="inlineStr">
        <is>
          <t>reactions</t>
        </is>
      </c>
      <c r="B117" s="52" t="n"/>
      <c r="C117" s="52" t="n"/>
      <c r="D117" s="52" t="n"/>
      <c r="E117" s="52" t="n"/>
      <c r="F117" s="52" t="n"/>
      <c r="G117" s="52" t="n"/>
    </row>
    <row r="118">
      <c r="A118" s="53" t="inlineStr">
        <is>
          <t>항목</t>
        </is>
      </c>
      <c r="B118" s="53" t="inlineStr">
        <is>
          <t>기준일</t>
        </is>
      </c>
      <c r="C118" s="53" t="inlineStr">
        <is>
          <t>다음날</t>
        </is>
      </c>
      <c r="D118" s="53" t="inlineStr">
        <is>
          <t>등락%</t>
        </is>
      </c>
      <c r="G118" s="53" t="inlineStr">
        <is>
          <t>출처</t>
        </is>
      </c>
    </row>
    <row r="119">
      <c r="A119" s="54" t="inlineStr">
        <is>
          <t>2025-02-07</t>
        </is>
      </c>
      <c r="B119" s="58" t="inlineStr">
        <is>
          <t>2025-02-07</t>
        </is>
      </c>
      <c r="C119" s="58" t="inlineStr">
        <is>
          <t>2025-02-10</t>
        </is>
      </c>
      <c r="D119" s="57" t="n">
        <v>-4.7</v>
      </c>
      <c r="G119" s="56" t="inlineStr">
        <is>
          <t>2단계 보고서 자료(회사 설명회 자료·공시)</t>
        </is>
      </c>
    </row>
    <row r="120">
      <c r="A120" s="54" t="inlineStr">
        <is>
          <t>2025-05-14</t>
        </is>
      </c>
      <c r="B120" s="58" t="inlineStr">
        <is>
          <t>2025-05-14</t>
        </is>
      </c>
      <c r="C120" s="58" t="inlineStr">
        <is>
          <t>2025-05-15</t>
        </is>
      </c>
      <c r="D120" s="57" t="n">
        <v>0.9</v>
      </c>
    </row>
    <row r="121">
      <c r="A121" s="54" t="inlineStr">
        <is>
          <t>2025-07-31</t>
        </is>
      </c>
      <c r="B121" s="58" t="inlineStr">
        <is>
          <t>2025-07-31</t>
        </is>
      </c>
      <c r="C121" s="58" t="inlineStr">
        <is>
          <t>2025-08-01</t>
        </is>
      </c>
      <c r="D121" s="57" t="n">
        <v>-0.7</v>
      </c>
    </row>
    <row r="122">
      <c r="A122" s="54" t="inlineStr">
        <is>
          <t>2025-10-31</t>
        </is>
      </c>
      <c r="B122" s="58" t="inlineStr">
        <is>
          <t>2025-10-31</t>
        </is>
      </c>
      <c r="C122" s="58" t="inlineStr">
        <is>
          <t>2025-11-04</t>
        </is>
      </c>
      <c r="D122" s="57" t="n">
        <v>0</v>
      </c>
    </row>
    <row r="123">
      <c r="A123" s="54" t="inlineStr">
        <is>
          <t>2026-02-06</t>
        </is>
      </c>
      <c r="B123" s="58" t="inlineStr">
        <is>
          <t>2026-02-06</t>
        </is>
      </c>
      <c r="C123" s="58" t="inlineStr">
        <is>
          <t>2026-02-09</t>
        </is>
      </c>
      <c r="D123" s="57" t="n">
        <v>-0.6</v>
      </c>
    </row>
    <row r="124">
      <c r="A124" s="54" t="inlineStr">
        <is>
          <t>2026-05-14</t>
        </is>
      </c>
      <c r="B124" s="58" t="inlineStr">
        <is>
          <t>2026-05-14</t>
        </is>
      </c>
      <c r="C124" s="58" t="inlineStr">
        <is>
          <t>2026-05-15</t>
        </is>
      </c>
      <c r="D124" s="57" t="n">
        <v>-2.8</v>
      </c>
    </row>
    <row r="125">
      <c r="A125" s="54" t="inlineStr">
        <is>
          <t>2026-07-31</t>
        </is>
      </c>
      <c r="B125" s="58" t="inlineStr">
        <is>
          <t>2026-07-31</t>
        </is>
      </c>
      <c r="C125" s="58" t="inlineStr">
        <is>
          <t>2026-08-03</t>
        </is>
      </c>
      <c r="D125" s="57" t="n">
        <v>-0.6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2분기 결산단신</t>
        </is>
      </c>
      <c r="C4" t="inlineStr">
        <is>
          <t>https://www2.jpx.co.jp/disc/81190/140120261029559945.pdf</t>
        </is>
      </c>
    </row>
    <row r="5">
      <c r="A5" t="inlineStr">
        <is>
          <t>2026-07-31</t>
        </is>
      </c>
      <c r="B5" t="inlineStr">
        <is>
          <t>2027년 3월 결산기 1분기 결산단신</t>
        </is>
      </c>
      <c r="C5" t="inlineStr">
        <is>
          <t>https://www2.jpx.co.jp/disc/81190/140120260730503486.pdf</t>
        </is>
      </c>
    </row>
    <row r="6">
      <c r="A6" t="inlineStr">
        <is>
          <t>2026-05-14</t>
        </is>
      </c>
      <c r="B6" t="inlineStr">
        <is>
          <t>2026년 3월 결산기 연간 결산단신</t>
        </is>
      </c>
      <c r="C6" t="inlineStr">
        <is>
          <t>https://www2.jpx.co.jp/disc/81190/140120260513531514.pdf</t>
        </is>
      </c>
    </row>
    <row r="7">
      <c r="A7" t="inlineStr">
        <is>
          <t>2026-02-06</t>
        </is>
      </c>
      <c r="B7" t="inlineStr">
        <is>
          <t>2026년 3월 결산기 3분기 결산단신</t>
        </is>
      </c>
      <c r="C7" t="inlineStr">
        <is>
          <t>https://www2.jpx.co.jp/disc/81190/140120260205549265.pdf</t>
        </is>
      </c>
    </row>
    <row r="8">
      <c r="A8" t="inlineStr">
        <is>
          <t>2025-10-31</t>
        </is>
      </c>
      <c r="B8" t="inlineStr">
        <is>
          <t>2026년 3월 결산기 2분기 결산단신</t>
        </is>
      </c>
      <c r="C8" t="inlineStr">
        <is>
          <t>https://www2.jpx.co.jp/disc/81190/140120251031584541.pdf</t>
        </is>
      </c>
    </row>
    <row r="9">
      <c r="A9" t="inlineStr">
        <is>
          <t>2025-07-31</t>
        </is>
      </c>
      <c r="B9" t="inlineStr">
        <is>
          <t>2026년 3월 결산기 1분기 결산단신</t>
        </is>
      </c>
      <c r="C9" t="inlineStr">
        <is>
          <t>https://www2.jpx.co.jp/disc/81190/140120250722517651.pdf</t>
        </is>
      </c>
    </row>
    <row r="10">
      <c r="A10" t="inlineStr">
        <is>
          <t>2025-05-14</t>
        </is>
      </c>
      <c r="B10" t="inlineStr">
        <is>
          <t>2025년 3월 결산기 연간 결산단신</t>
        </is>
      </c>
      <c r="C10" t="inlineStr">
        <is>
          <t>https://www2.jpx.co.jp/disc/81190/140120250513546881.pdf</t>
        </is>
      </c>
    </row>
    <row r="11">
      <c r="A11" t="inlineStr">
        <is>
          <t>2025-02-07</t>
        </is>
      </c>
      <c r="B11" t="inlineStr">
        <is>
          <t>2025년 3월 결산기 3분기 결산단신</t>
        </is>
      </c>
      <c r="C11" t="inlineStr">
        <is>
          <t>https://www2.jpx.co.jp/disc/81190/140120250206564776.pdf</t>
        </is>
      </c>
    </row>
    <row r="12">
      <c r="A12" t="inlineStr">
        <is>
          <t>2024-10-31</t>
        </is>
      </c>
      <c r="B12" t="inlineStr">
        <is>
          <t>2025년 3월 결산기 2분기 결산단신</t>
        </is>
      </c>
      <c r="C12" t="inlineStr">
        <is>
          <t>https://www2.jpx.co.jp/disc/81190/140120241030505727.pdf</t>
        </is>
      </c>
    </row>
    <row r="13">
      <c r="A13" t="inlineStr">
        <is>
          <t>2024-07-31</t>
        </is>
      </c>
      <c r="B13" t="inlineStr">
        <is>
          <t>2025년 3월 결산기 1분기 결산단신</t>
        </is>
      </c>
      <c r="C13" t="inlineStr">
        <is>
          <t>https://www2.jpx.co.jp/disc/81190/140120240730557398.pdf</t>
        </is>
      </c>
    </row>
    <row r="14">
      <c r="A14" t="inlineStr">
        <is>
          <t>2024-05-14</t>
        </is>
      </c>
      <c r="B14" t="inlineStr">
        <is>
          <t>2024년 3월 결산기 연간 결산단신</t>
        </is>
      </c>
      <c r="C14" t="inlineStr">
        <is>
          <t>https://www2.jpx.co.jp/disc/81190/140120240510589581.pdf</t>
        </is>
      </c>
    </row>
    <row r="15">
      <c r="A15" t="inlineStr">
        <is>
          <t>2024-02-02</t>
        </is>
      </c>
      <c r="B15" t="inlineStr">
        <is>
          <t>2024년 3월 결산기 3분기 결산단신</t>
        </is>
      </c>
      <c r="C15" t="inlineStr">
        <is>
          <t>https://www2.jpx.co.jp/disc/81190/140120240201524651.pdf</t>
        </is>
      </c>
    </row>
    <row r="16">
      <c r="A16" t="inlineStr">
        <is>
          <t>2023-10-31</t>
        </is>
      </c>
      <c r="B16" t="inlineStr">
        <is>
          <t>2024년 3월 결산기 2분기 결산단신</t>
        </is>
      </c>
      <c r="C16" t="inlineStr">
        <is>
          <t>https://www2.jpx.co.jp/disc/81190/140120231030574033.pdf</t>
        </is>
      </c>
    </row>
    <row r="17">
      <c r="A17" t="inlineStr">
        <is>
          <t>2023-07-28</t>
        </is>
      </c>
      <c r="B17" t="inlineStr">
        <is>
          <t>2024년 3월 결산기 1분기 결산단신</t>
        </is>
      </c>
      <c r="C17" t="inlineStr">
        <is>
          <t>https://www2.jpx.co.jp/disc/81190/140120230727528383.pdf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https://www2.jpx.co.jp/disc/81190/140120230511564793.pdf</t>
        </is>
      </c>
    </row>
    <row r="19">
      <c r="A19" t="inlineStr">
        <is>
          <t>2023-02-03</t>
        </is>
      </c>
      <c r="B19" t="inlineStr">
        <is>
          <t>2023년 3월 결산기 3분기 결산단신</t>
        </is>
      </c>
      <c r="C19" t="inlineStr">
        <is>
          <t>https://www2.jpx.co.jp/disc/81190/140120230202598877.pdf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https://www2.jpx.co.jp/disc/81190/140120220513545807.pdf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https://www2.jpx.co.jp/disc/81190/140120210513416346.pdf</t>
        </is>
      </c>
    </row>
    <row r="22">
      <c r="A22" t="inlineStr">
        <is>
          <t>2020-06-19</t>
        </is>
      </c>
      <c r="B22" t="inlineStr">
        <is>
          <t>2020년 3월 결산기 연간 결산단신</t>
        </is>
      </c>
      <c r="C22" t="inlineStr">
        <is>
          <t>https://www2.jpx.co.jp/disc/81190/140120200618446783.pdf</t>
        </is>
      </c>
    </row>
    <row r="23">
      <c r="A23" t="inlineStr">
        <is>
          <t>2019-05-15</t>
        </is>
      </c>
      <c r="B23" t="inlineStr">
        <is>
          <t>2019년 3월 결산기 연간 결산단신</t>
        </is>
      </c>
      <c r="C23" t="inlineStr">
        <is>
          <t>https://www2.jpx.co.jp/disc/81190/140120190508416672.pdf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https://www2.jpx.co.jp/disc/81190/140120180510434063.pdf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8119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36건(2018-02-06~2026-10-30).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120.3</v>
      </c>
      <c r="D5" s="65" t="n">
        <v>104</v>
      </c>
      <c r="E5" s="65" t="n">
        <v>113.7</v>
      </c>
      <c r="F5" s="65" t="n">
        <v>122</v>
      </c>
      <c r="G5" s="65" t="n">
        <v>107.2</v>
      </c>
      <c r="H5" s="65" t="n">
        <v>99.2</v>
      </c>
      <c r="I5" s="65" t="n">
        <v>109.3</v>
      </c>
      <c r="J5" s="65" t="n">
        <v>112</v>
      </c>
      <c r="K5" s="65" t="n">
        <v>104.7</v>
      </c>
      <c r="L5" s="65" t="n">
        <v>99</v>
      </c>
      <c r="M5" s="65" t="n">
        <v>110.4</v>
      </c>
      <c r="N5" s="65" t="n">
        <v>107.7</v>
      </c>
      <c r="O5" s="65" t="n">
        <v>95.09999999999999</v>
      </c>
      <c r="P5" s="65" t="n">
        <v>66.3</v>
      </c>
      <c r="Q5" s="65" t="n">
        <v>76.5</v>
      </c>
      <c r="R5" s="65" t="n">
        <v>93.7</v>
      </c>
      <c r="S5" s="65" t="n">
        <v>94.09999999999999</v>
      </c>
      <c r="T5" s="65" t="n">
        <v>79.7</v>
      </c>
      <c r="U5" s="65" t="n">
        <v>83.09999999999999</v>
      </c>
      <c r="V5" s="65" t="n">
        <v>80.40000000000001</v>
      </c>
      <c r="W5" s="65" t="n">
        <v>96.5</v>
      </c>
      <c r="X5" s="65" t="n">
        <v>88.3</v>
      </c>
      <c r="Y5" s="65" t="n">
        <v>93.8</v>
      </c>
      <c r="Z5" s="65" t="n">
        <v>105</v>
      </c>
      <c r="AA5" s="65" t="n">
        <v>99.59999999999999</v>
      </c>
      <c r="AB5" s="65" t="n">
        <v>83.3</v>
      </c>
      <c r="AC5" s="65" t="n">
        <v>87.09999999999999</v>
      </c>
      <c r="AD5" s="65" t="n">
        <v>91.09999999999999</v>
      </c>
      <c r="AE5" s="65" t="n">
        <v>105.3</v>
      </c>
      <c r="AF5" s="65" t="n">
        <v>112</v>
      </c>
      <c r="AG5" s="65" t="n">
        <v>97</v>
      </c>
      <c r="AH5" s="65" t="n">
        <v>90.8</v>
      </c>
      <c r="AI5" s="65" t="n">
        <v>98.90000000000001</v>
      </c>
      <c r="AJ5" s="65" t="n">
        <v>91.5</v>
      </c>
      <c r="AK5" s="65" t="n">
        <v>85</v>
      </c>
      <c r="AL5" s="65" t="n">
        <v>90.90000000000001</v>
      </c>
      <c r="AM5" s="65" t="n">
        <v>95.90000000000001</v>
      </c>
      <c r="AN5" s="65" t="n">
        <v>88.40000000000001</v>
      </c>
      <c r="AO5" s="65" t="n">
        <v>95.09999999999999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-10.9</v>
      </c>
      <c r="H6" s="66" t="n">
        <v>-4.6</v>
      </c>
      <c r="I6" s="66" t="n">
        <v>-3.9</v>
      </c>
      <c r="J6" s="66" t="n">
        <v>-8.199999999999999</v>
      </c>
      <c r="K6" s="66" t="n">
        <v>-2.3</v>
      </c>
      <c r="L6" s="66" t="n">
        <v>-0.2</v>
      </c>
      <c r="M6" s="66" t="n">
        <v>1</v>
      </c>
      <c r="N6" s="66" t="n">
        <v>-3.8</v>
      </c>
      <c r="O6" s="66" t="n">
        <v>-9.199999999999999</v>
      </c>
      <c r="P6" s="66" t="n">
        <v>-33</v>
      </c>
      <c r="Q6" s="66" t="n">
        <v>-30.7</v>
      </c>
      <c r="R6" s="66" t="n">
        <v>-13</v>
      </c>
      <c r="S6" s="66" t="n">
        <v>-1.1</v>
      </c>
      <c r="T6" s="66" t="n">
        <v>20.2</v>
      </c>
      <c r="U6" s="66" t="n">
        <v>8.6</v>
      </c>
      <c r="V6" s="66" t="n">
        <v>-14.2</v>
      </c>
      <c r="W6" s="66" t="n">
        <v>2.6</v>
      </c>
      <c r="X6" s="66" t="n">
        <v>10.8</v>
      </c>
      <c r="Y6" s="66" t="n">
        <v>12.9</v>
      </c>
      <c r="Z6" s="66" t="n">
        <v>30.6</v>
      </c>
      <c r="AA6" s="66" t="n">
        <v>3.2</v>
      </c>
      <c r="AB6" s="66" t="n">
        <v>-5.7</v>
      </c>
      <c r="AC6" s="66" t="n">
        <v>-7.1</v>
      </c>
      <c r="AD6" s="66" t="n">
        <v>-13.2</v>
      </c>
      <c r="AE6" s="66" t="n">
        <v>5.7</v>
      </c>
      <c r="AF6" s="66" t="n">
        <v>34.5</v>
      </c>
      <c r="AG6" s="66" t="n">
        <v>11.4</v>
      </c>
      <c r="AH6" s="66" t="n">
        <v>-0.3</v>
      </c>
      <c r="AI6" s="66" t="n">
        <v>-6.1</v>
      </c>
      <c r="AJ6" s="66" t="n">
        <v>-18.3</v>
      </c>
      <c r="AK6" s="66" t="n">
        <v>-12.4</v>
      </c>
      <c r="AL6" s="66" t="n">
        <v>0.1</v>
      </c>
      <c r="AM6" s="66" t="n">
        <v>-3</v>
      </c>
      <c r="AN6" s="66" t="n">
        <v>-3.4</v>
      </c>
      <c r="AO6" s="66" t="n">
        <v>11.9</v>
      </c>
    </row>
    <row r="7">
      <c r="A7" s="64" t="inlineStr">
        <is>
          <t>영업이익</t>
        </is>
      </c>
      <c r="B7" s="65" t="n"/>
      <c r="C7" s="65" t="n">
        <v>4.5</v>
      </c>
      <c r="D7" s="65" t="n">
        <v>2.4</v>
      </c>
      <c r="E7" s="65" t="n">
        <v>5.5</v>
      </c>
      <c r="F7" s="65" t="n">
        <v>7.8</v>
      </c>
      <c r="G7" s="65" t="n">
        <v>1.2</v>
      </c>
      <c r="H7" s="65" t="n">
        <v>-1.7</v>
      </c>
      <c r="I7" s="65" t="n">
        <v>2</v>
      </c>
      <c r="J7" s="65" t="n">
        <v>3.8</v>
      </c>
      <c r="K7" s="65" t="n">
        <v>3.4</v>
      </c>
      <c r="L7" s="65" t="n">
        <v>0.8</v>
      </c>
      <c r="M7" s="65" t="n">
        <v>5.4</v>
      </c>
      <c r="N7" s="65" t="n">
        <v>5.6</v>
      </c>
      <c r="O7" s="65" t="n">
        <v>1.3</v>
      </c>
      <c r="P7" s="65" t="n">
        <v>-4.8</v>
      </c>
      <c r="Q7" s="65" t="n">
        <v>-3.3</v>
      </c>
      <c r="R7" s="65" t="n">
        <v>1.8</v>
      </c>
      <c r="S7" s="65" t="n">
        <v>-0.8</v>
      </c>
      <c r="T7" s="65" t="n">
        <v>-2.6</v>
      </c>
      <c r="U7" s="65" t="n">
        <v>-1</v>
      </c>
      <c r="V7" s="65" t="n">
        <v>-3.2</v>
      </c>
      <c r="W7" s="65" t="n">
        <v>-2.3</v>
      </c>
      <c r="X7" s="65" t="n">
        <v>-2.4</v>
      </c>
      <c r="Y7" s="65" t="n">
        <v>-0.4</v>
      </c>
      <c r="Z7" s="65" t="n">
        <v>1.6</v>
      </c>
      <c r="AA7" s="65" t="n">
        <v>3.7</v>
      </c>
      <c r="AB7" s="65" t="n">
        <v>-0</v>
      </c>
      <c r="AC7" s="65" t="n">
        <v>4.6</v>
      </c>
      <c r="AD7" s="65" t="n">
        <v>2.9</v>
      </c>
      <c r="AE7" s="65" t="n">
        <v>4.1</v>
      </c>
      <c r="AF7" s="65" t="n">
        <v>7.7</v>
      </c>
      <c r="AG7" s="65" t="n">
        <v>5.6</v>
      </c>
      <c r="AH7" s="65" t="n">
        <v>5.3</v>
      </c>
      <c r="AI7" s="65" t="n">
        <v>2.4</v>
      </c>
      <c r="AJ7" s="65" t="n">
        <v>4.7</v>
      </c>
      <c r="AK7" s="65" t="n">
        <v>3</v>
      </c>
      <c r="AL7" s="65" t="n">
        <v>1.4</v>
      </c>
      <c r="AM7" s="65" t="n">
        <v>1.2</v>
      </c>
      <c r="AN7" s="65" t="n">
        <v>0.9</v>
      </c>
      <c r="AO7" s="65" t="n">
        <v>3.8</v>
      </c>
    </row>
    <row r="8">
      <c r="A8" s="64" t="inlineStr">
        <is>
          <t>영업이익률</t>
        </is>
      </c>
      <c r="B8" s="66" t="n"/>
      <c r="C8" s="66" t="n">
        <v>3.7</v>
      </c>
      <c r="D8" s="66" t="n">
        <v>2.3</v>
      </c>
      <c r="E8" s="66" t="n">
        <v>4.8</v>
      </c>
      <c r="F8" s="66" t="n">
        <v>6.4</v>
      </c>
      <c r="G8" s="66" t="n">
        <v>1.1</v>
      </c>
      <c r="H8" s="66" t="n">
        <v>-1.7</v>
      </c>
      <c r="I8" s="66" t="n">
        <v>1.8</v>
      </c>
      <c r="J8" s="66" t="n">
        <v>3.4</v>
      </c>
      <c r="K8" s="66" t="n">
        <v>3.2</v>
      </c>
      <c r="L8" s="66" t="n">
        <v>0.8</v>
      </c>
      <c r="M8" s="66" t="n">
        <v>4.9</v>
      </c>
      <c r="N8" s="66" t="n">
        <v>5.2</v>
      </c>
      <c r="O8" s="66" t="n">
        <v>1.4</v>
      </c>
      <c r="P8" s="66" t="n">
        <v>-7.2</v>
      </c>
      <c r="Q8" s="66" t="n">
        <v>-4.3</v>
      </c>
      <c r="R8" s="66" t="n">
        <v>1.9</v>
      </c>
      <c r="S8" s="66" t="n">
        <v>-0.9</v>
      </c>
      <c r="T8" s="66" t="n">
        <v>-3.3</v>
      </c>
      <c r="U8" s="66" t="n">
        <v>-1.2</v>
      </c>
      <c r="V8" s="66" t="n">
        <v>-4</v>
      </c>
      <c r="W8" s="66" t="n">
        <v>-2.4</v>
      </c>
      <c r="X8" s="66" t="n">
        <v>-2.7</v>
      </c>
      <c r="Y8" s="66" t="n">
        <v>-0.4</v>
      </c>
      <c r="Z8" s="66" t="n">
        <v>1.5</v>
      </c>
      <c r="AA8" s="66" t="n">
        <v>3.7</v>
      </c>
      <c r="AB8" s="66" t="n">
        <v>-0</v>
      </c>
      <c r="AC8" s="66" t="n">
        <v>5.3</v>
      </c>
      <c r="AD8" s="66" t="n">
        <v>3.2</v>
      </c>
      <c r="AE8" s="66" t="n">
        <v>3.9</v>
      </c>
      <c r="AF8" s="66" t="n">
        <v>6.9</v>
      </c>
      <c r="AG8" s="66" t="n">
        <v>5.8</v>
      </c>
      <c r="AH8" s="66" t="n">
        <v>5.8</v>
      </c>
      <c r="AI8" s="66" t="n">
        <v>2.4</v>
      </c>
      <c r="AJ8" s="66" t="n">
        <v>5.1</v>
      </c>
      <c r="AK8" s="66" t="n">
        <v>3.5</v>
      </c>
      <c r="AL8" s="66" t="n">
        <v>1.5</v>
      </c>
      <c r="AM8" s="66" t="n">
        <v>1.3</v>
      </c>
      <c r="AN8" s="66" t="n">
        <v>1</v>
      </c>
      <c r="AO8" s="66" t="n">
        <v>4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-73.3</v>
      </c>
      <c r="H9" s="66" t="n">
        <v>-170.8</v>
      </c>
      <c r="I9" s="66" t="n">
        <v>-63.6</v>
      </c>
      <c r="J9" s="66" t="n">
        <v>-51.3</v>
      </c>
      <c r="K9" s="66" t="n">
        <v>183.3</v>
      </c>
      <c r="L9" s="66" t="n"/>
      <c r="M9" s="66" t="n">
        <v>170</v>
      </c>
      <c r="N9" s="66" t="n">
        <v>47.4</v>
      </c>
      <c r="O9" s="66" t="n">
        <v>-61.8</v>
      </c>
      <c r="P9" s="66" t="n">
        <v>-700</v>
      </c>
      <c r="Q9" s="66" t="n">
        <v>-161.1</v>
      </c>
      <c r="R9" s="66" t="n">
        <v>-67.90000000000001</v>
      </c>
      <c r="S9" s="66" t="n">
        <v>-161.5</v>
      </c>
      <c r="T9" s="66" t="n"/>
      <c r="U9" s="66" t="n"/>
      <c r="V9" s="66" t="n">
        <v>-277.8</v>
      </c>
      <c r="W9" s="66" t="n"/>
      <c r="X9" s="66" t="n"/>
      <c r="Y9" s="66" t="n"/>
      <c r="Z9" s="66" t="n"/>
      <c r="AA9" s="66" t="n"/>
      <c r="AB9" s="66" t="n"/>
      <c r="AC9" s="66" t="n"/>
      <c r="AD9" s="66" t="n">
        <v>81.2</v>
      </c>
      <c r="AE9" s="66" t="n">
        <v>10.8</v>
      </c>
      <c r="AF9" s="66" t="n"/>
      <c r="AG9" s="66" t="n">
        <v>21.7</v>
      </c>
      <c r="AH9" s="66" t="n">
        <v>82.8</v>
      </c>
      <c r="AI9" s="66" t="n">
        <v>-41.5</v>
      </c>
      <c r="AJ9" s="66" t="n">
        <v>-39</v>
      </c>
      <c r="AK9" s="66" t="n">
        <v>-46.4</v>
      </c>
      <c r="AL9" s="66" t="n">
        <v>-73.59999999999999</v>
      </c>
      <c r="AM9" s="66" t="n">
        <v>-50</v>
      </c>
      <c r="AN9" s="66" t="n">
        <v>-80.90000000000001</v>
      </c>
      <c r="AO9" s="66" t="n">
        <v>26.7</v>
      </c>
    </row>
    <row r="10">
      <c r="A10" s="64" t="inlineStr">
        <is>
          <t>유동자산</t>
        </is>
      </c>
      <c r="B10" s="65" t="n"/>
      <c r="C10" s="65" t="n">
        <v>168.4</v>
      </c>
      <c r="D10" s="65" t="n"/>
      <c r="E10" s="65" t="n"/>
      <c r="F10" s="65" t="n">
        <v>163.2</v>
      </c>
      <c r="G10" s="65" t="n">
        <v>182.8</v>
      </c>
      <c r="H10" s="65" t="n">
        <v>156.7</v>
      </c>
      <c r="I10" s="65" t="n">
        <v>154.8</v>
      </c>
      <c r="J10" s="65" t="n">
        <v>165.9</v>
      </c>
      <c r="K10" s="65" t="n">
        <v>183.4</v>
      </c>
      <c r="L10" s="65" t="n">
        <v>167.1</v>
      </c>
      <c r="M10" s="65" t="n">
        <v>151.7</v>
      </c>
      <c r="N10" s="65" t="n">
        <v>173.1</v>
      </c>
      <c r="O10" s="65" t="n">
        <v>165.6</v>
      </c>
      <c r="P10" s="65" t="n">
        <v>147.1</v>
      </c>
      <c r="Q10" s="65" t="n">
        <v>147</v>
      </c>
      <c r="R10" s="65" t="n">
        <v>168.9</v>
      </c>
      <c r="S10" s="65" t="n">
        <v>177.1</v>
      </c>
      <c r="T10" s="65" t="n">
        <v>153.2</v>
      </c>
      <c r="U10" s="65" t="n">
        <v>151</v>
      </c>
      <c r="V10" s="65" t="n">
        <v>152.8</v>
      </c>
      <c r="W10" s="65" t="n">
        <v>157.1</v>
      </c>
      <c r="X10" s="65" t="n">
        <v>149.6</v>
      </c>
      <c r="Y10" s="65" t="n">
        <v>145.5</v>
      </c>
      <c r="Z10" s="65" t="n">
        <v>153</v>
      </c>
      <c r="AA10" s="65" t="n">
        <v>150</v>
      </c>
      <c r="AB10" s="65" t="n">
        <v>138.6</v>
      </c>
      <c r="AC10" s="65" t="n">
        <v>145.4</v>
      </c>
      <c r="AD10" s="65" t="n">
        <v>148.9</v>
      </c>
      <c r="AE10" s="65" t="n">
        <v>158.2</v>
      </c>
      <c r="AF10" s="65" t="n">
        <v>168</v>
      </c>
      <c r="AG10" s="65" t="n">
        <v>163.5</v>
      </c>
      <c r="AH10" s="65" t="n">
        <v>157.4</v>
      </c>
      <c r="AI10" s="65" t="n">
        <v>172</v>
      </c>
      <c r="AJ10" s="65" t="n">
        <v>146.4</v>
      </c>
      <c r="AK10" s="65" t="n">
        <v>165.4</v>
      </c>
      <c r="AL10" s="65" t="n">
        <v>159.2</v>
      </c>
      <c r="AM10" s="65" t="n">
        <v>163.7</v>
      </c>
      <c r="AN10" s="65" t="n">
        <v>142</v>
      </c>
      <c r="AO10" s="65" t="n">
        <v>153.3</v>
      </c>
    </row>
    <row r="11">
      <c r="A11" s="64" t="inlineStr">
        <is>
          <t>유동부채</t>
        </is>
      </c>
      <c r="B11" s="65" t="n"/>
      <c r="C11" s="65" t="n">
        <v>82.3</v>
      </c>
      <c r="D11" s="65" t="n"/>
      <c r="E11" s="65" t="n"/>
      <c r="F11" s="65" t="n">
        <v>77.2</v>
      </c>
      <c r="G11" s="65" t="n">
        <v>100.7</v>
      </c>
      <c r="H11" s="65" t="n">
        <v>89.90000000000001</v>
      </c>
      <c r="I11" s="65" t="n">
        <v>87.7</v>
      </c>
      <c r="J11" s="65" t="n">
        <v>98.7</v>
      </c>
      <c r="K11" s="65" t="n">
        <v>116.6</v>
      </c>
      <c r="L11" s="65" t="n">
        <v>93.7</v>
      </c>
      <c r="M11" s="65" t="n">
        <v>75.90000000000001</v>
      </c>
      <c r="N11" s="65" t="n">
        <v>95.40000000000001</v>
      </c>
      <c r="O11" s="65" t="n">
        <v>69.09999999999999</v>
      </c>
      <c r="P11" s="65" t="n">
        <v>56</v>
      </c>
      <c r="Q11" s="65" t="n">
        <v>61.2</v>
      </c>
      <c r="R11" s="65" t="n">
        <v>81.90000000000001</v>
      </c>
      <c r="S11" s="65" t="n">
        <v>86.40000000000001</v>
      </c>
      <c r="T11" s="65" t="n">
        <v>63.6</v>
      </c>
      <c r="U11" s="65" t="n">
        <v>59.4</v>
      </c>
      <c r="V11" s="65" t="n">
        <v>62.7</v>
      </c>
      <c r="W11" s="65" t="n">
        <v>66.90000000000001</v>
      </c>
      <c r="X11" s="65" t="n">
        <v>58.4</v>
      </c>
      <c r="Y11" s="65" t="n">
        <v>50.9</v>
      </c>
      <c r="Z11" s="65" t="n">
        <v>58.3</v>
      </c>
      <c r="AA11" s="65" t="n">
        <v>55.4</v>
      </c>
      <c r="AB11" s="65" t="n">
        <v>41.6</v>
      </c>
      <c r="AC11" s="65" t="n">
        <v>41.5</v>
      </c>
      <c r="AD11" s="65" t="n">
        <v>56</v>
      </c>
      <c r="AE11" s="65" t="n">
        <v>85.09999999999999</v>
      </c>
      <c r="AF11" s="65" t="n">
        <v>88.2</v>
      </c>
      <c r="AG11" s="65" t="n">
        <v>75.40000000000001</v>
      </c>
      <c r="AH11" s="65" t="n">
        <v>68.09999999999999</v>
      </c>
      <c r="AI11" s="65" t="n">
        <v>81.09999999999999</v>
      </c>
      <c r="AJ11" s="65" t="n">
        <v>56.3</v>
      </c>
      <c r="AK11" s="65" t="n">
        <v>80.5</v>
      </c>
      <c r="AL11" s="65" t="n">
        <v>66</v>
      </c>
      <c r="AM11" s="65" t="n">
        <v>67.2</v>
      </c>
      <c r="AN11" s="65" t="n">
        <v>46.8</v>
      </c>
      <c r="AO11" s="65" t="n">
        <v>54.6</v>
      </c>
    </row>
    <row r="12">
      <c r="A12" s="64" t="inlineStr">
        <is>
          <t>부채총계</t>
        </is>
      </c>
      <c r="B12" s="65" t="n"/>
      <c r="C12" s="65" t="n">
        <v>102.5</v>
      </c>
      <c r="D12" s="65" t="n"/>
      <c r="E12" s="65" t="n"/>
      <c r="F12" s="65" t="n">
        <v>100.5</v>
      </c>
      <c r="G12" s="65" t="n">
        <v>122.8</v>
      </c>
      <c r="H12" s="65" t="n">
        <v>104.2</v>
      </c>
      <c r="I12" s="65" t="n">
        <v>100.4</v>
      </c>
      <c r="J12" s="65" t="n">
        <v>109.5</v>
      </c>
      <c r="K12" s="65" t="n">
        <v>127.6</v>
      </c>
      <c r="L12" s="65" t="n">
        <v>112.6</v>
      </c>
      <c r="M12" s="65" t="n">
        <v>95</v>
      </c>
      <c r="N12" s="65" t="n">
        <v>116</v>
      </c>
      <c r="O12" s="65" t="n">
        <v>107.8</v>
      </c>
      <c r="P12" s="65" t="n">
        <v>96.2</v>
      </c>
      <c r="Q12" s="65" t="n">
        <v>99.8</v>
      </c>
      <c r="R12" s="65" t="n">
        <v>120.4</v>
      </c>
      <c r="S12" s="65" t="n">
        <v>127</v>
      </c>
      <c r="T12" s="65" t="n">
        <v>103.1</v>
      </c>
      <c r="U12" s="65" t="n">
        <v>101</v>
      </c>
      <c r="V12" s="65" t="n">
        <v>102.6</v>
      </c>
      <c r="W12" s="65" t="n">
        <v>106.8</v>
      </c>
      <c r="X12" s="65" t="n">
        <v>98.90000000000001</v>
      </c>
      <c r="Y12" s="65" t="n">
        <v>90.5</v>
      </c>
      <c r="Z12" s="65" t="n">
        <v>97.90000000000001</v>
      </c>
      <c r="AA12" s="65" t="n">
        <v>94.5</v>
      </c>
      <c r="AB12" s="65" t="n">
        <v>79.09999999999999</v>
      </c>
      <c r="AC12" s="65" t="n">
        <v>81.2</v>
      </c>
      <c r="AD12" s="65" t="n">
        <v>87</v>
      </c>
      <c r="AE12" s="65" t="n">
        <v>97.3</v>
      </c>
      <c r="AF12" s="65" t="n">
        <v>98.59999999999999</v>
      </c>
      <c r="AG12" s="65" t="n">
        <v>89.7</v>
      </c>
      <c r="AH12" s="65" t="n">
        <v>86.40000000000001</v>
      </c>
      <c r="AI12" s="65" t="n">
        <v>102.8</v>
      </c>
      <c r="AJ12" s="65" t="n">
        <v>85.3</v>
      </c>
      <c r="AK12" s="65" t="n">
        <v>107</v>
      </c>
      <c r="AL12" s="65" t="n">
        <v>98.90000000000001</v>
      </c>
      <c r="AM12" s="65" t="n">
        <v>99.09999999999999</v>
      </c>
      <c r="AN12" s="65" t="n">
        <v>78.59999999999999</v>
      </c>
      <c r="AO12" s="65" t="n">
        <v>84.90000000000001</v>
      </c>
    </row>
    <row r="13">
      <c r="A13" s="64" t="inlineStr">
        <is>
          <t>자기자본</t>
        </is>
      </c>
      <c r="B13" s="66" t="n"/>
      <c r="C13" s="66" t="n">
        <v>128.1</v>
      </c>
      <c r="D13" s="66" t="n"/>
      <c r="E13" s="66" t="n"/>
      <c r="F13" s="66" t="n">
        <v>138</v>
      </c>
      <c r="G13" s="66" t="n">
        <v>134.4</v>
      </c>
      <c r="H13" s="66" t="n">
        <v>131.1</v>
      </c>
      <c r="I13" s="66" t="n">
        <v>127.9</v>
      </c>
      <c r="J13" s="66" t="n">
        <v>124.6</v>
      </c>
      <c r="K13" s="66" t="n">
        <v>124.7</v>
      </c>
      <c r="L13" s="66" t="n">
        <v>118.5</v>
      </c>
      <c r="M13" s="66" t="n">
        <v>119.5</v>
      </c>
      <c r="N13" s="66" t="n">
        <v>123.3</v>
      </c>
      <c r="O13" s="66" t="n">
        <v>114.2</v>
      </c>
      <c r="P13" s="66" t="n">
        <v>110.2</v>
      </c>
      <c r="Q13" s="66" t="n">
        <v>107.4</v>
      </c>
      <c r="R13" s="66" t="n">
        <v>109.9</v>
      </c>
      <c r="S13" s="66" t="n">
        <v>113.5</v>
      </c>
      <c r="T13" s="66" t="n">
        <v>110.7</v>
      </c>
      <c r="U13" s="66" t="n">
        <v>110.9</v>
      </c>
      <c r="V13" s="66" t="n">
        <v>103.9</v>
      </c>
      <c r="W13" s="66" t="n">
        <v>101</v>
      </c>
      <c r="X13" s="66" t="n">
        <v>100.4</v>
      </c>
      <c r="Y13" s="66" t="n">
        <v>102.3</v>
      </c>
      <c r="Z13" s="66" t="n">
        <v>104.6</v>
      </c>
      <c r="AA13" s="66" t="n">
        <v>102</v>
      </c>
      <c r="AB13" s="66" t="n">
        <v>104.5</v>
      </c>
      <c r="AC13" s="66" t="n">
        <v>113</v>
      </c>
      <c r="AD13" s="66" t="n">
        <v>113</v>
      </c>
      <c r="AE13" s="66" t="n">
        <v>115</v>
      </c>
      <c r="AF13" s="66" t="n">
        <v>124.8</v>
      </c>
      <c r="AG13" s="66" t="n">
        <v>127.9</v>
      </c>
      <c r="AH13" s="66" t="n">
        <v>131.4</v>
      </c>
      <c r="AI13" s="66" t="n">
        <v>134.3</v>
      </c>
      <c r="AJ13" s="66" t="n">
        <v>148.7</v>
      </c>
      <c r="AK13" s="66" t="n">
        <v>144.8</v>
      </c>
      <c r="AL13" s="66" t="n">
        <v>144.3</v>
      </c>
      <c r="AM13" s="66" t="n">
        <v>147.4</v>
      </c>
      <c r="AN13" s="66" t="n">
        <v>150.4</v>
      </c>
      <c r="AO13" s="66" t="n">
        <v>164.7</v>
      </c>
    </row>
    <row r="14">
      <c r="A14" s="64" t="inlineStr">
        <is>
          <t>유동비율</t>
        </is>
      </c>
      <c r="B14" s="66" t="n"/>
      <c r="C14" s="66" t="n">
        <v>204.6</v>
      </c>
      <c r="D14" s="66" t="n"/>
      <c r="E14" s="66" t="n"/>
      <c r="F14" s="66" t="n">
        <v>211.4</v>
      </c>
      <c r="G14" s="66" t="n">
        <v>181.5</v>
      </c>
      <c r="H14" s="66" t="n">
        <v>174.3</v>
      </c>
      <c r="I14" s="66" t="n">
        <v>176.5</v>
      </c>
      <c r="J14" s="66" t="n">
        <v>168.1</v>
      </c>
      <c r="K14" s="66" t="n">
        <v>157.3</v>
      </c>
      <c r="L14" s="66" t="n">
        <v>178.3</v>
      </c>
      <c r="M14" s="66" t="n">
        <v>199.9</v>
      </c>
      <c r="N14" s="66" t="n">
        <v>181.4</v>
      </c>
      <c r="O14" s="66" t="n">
        <v>239.7</v>
      </c>
      <c r="P14" s="66" t="n">
        <v>262.7</v>
      </c>
      <c r="Q14" s="66" t="n">
        <v>240.2</v>
      </c>
      <c r="R14" s="66" t="n">
        <v>206.2</v>
      </c>
      <c r="S14" s="66" t="n">
        <v>205</v>
      </c>
      <c r="T14" s="66" t="n">
        <v>240.9</v>
      </c>
      <c r="U14" s="66" t="n">
        <v>254.2</v>
      </c>
      <c r="V14" s="66" t="n">
        <v>243.7</v>
      </c>
      <c r="W14" s="66" t="n">
        <v>234.8</v>
      </c>
      <c r="X14" s="66" t="n">
        <v>256.2</v>
      </c>
      <c r="Y14" s="66" t="n">
        <v>285.9</v>
      </c>
      <c r="Z14" s="66" t="n">
        <v>262.4</v>
      </c>
      <c r="AA14" s="66" t="n">
        <v>270.8</v>
      </c>
      <c r="AB14" s="66" t="n">
        <v>333.2</v>
      </c>
      <c r="AC14" s="66" t="n">
        <v>350.4</v>
      </c>
      <c r="AD14" s="66" t="n">
        <v>265.9</v>
      </c>
      <c r="AE14" s="66" t="n">
        <v>185.9</v>
      </c>
      <c r="AF14" s="66" t="n">
        <v>190.5</v>
      </c>
      <c r="AG14" s="66" t="n">
        <v>216.8</v>
      </c>
      <c r="AH14" s="66" t="n">
        <v>231.1</v>
      </c>
      <c r="AI14" s="66" t="n">
        <v>212.1</v>
      </c>
      <c r="AJ14" s="66" t="n">
        <v>260</v>
      </c>
      <c r="AK14" s="66" t="n">
        <v>205.5</v>
      </c>
      <c r="AL14" s="66" t="n">
        <v>241.2</v>
      </c>
      <c r="AM14" s="66" t="n">
        <v>243.6</v>
      </c>
      <c r="AN14" s="66" t="n">
        <v>303.4</v>
      </c>
      <c r="AO14" s="66" t="n">
        <v>280.8</v>
      </c>
    </row>
    <row r="15">
      <c r="A15" s="64" t="inlineStr">
        <is>
          <t>부채비율</t>
        </is>
      </c>
      <c r="B15" s="66" t="n"/>
      <c r="C15" s="66" t="n">
        <v>80</v>
      </c>
      <c r="D15" s="66" t="n"/>
      <c r="E15" s="66" t="n"/>
      <c r="F15" s="66" t="n">
        <v>72.8</v>
      </c>
      <c r="G15" s="66" t="n">
        <v>91.40000000000001</v>
      </c>
      <c r="H15" s="66" t="n">
        <v>79.5</v>
      </c>
      <c r="I15" s="66" t="n">
        <v>78.5</v>
      </c>
      <c r="J15" s="66" t="n">
        <v>87.90000000000001</v>
      </c>
      <c r="K15" s="66" t="n">
        <v>102.3</v>
      </c>
      <c r="L15" s="66" t="n">
        <v>95</v>
      </c>
      <c r="M15" s="66" t="n">
        <v>79.5</v>
      </c>
      <c r="N15" s="66" t="n">
        <v>94.09999999999999</v>
      </c>
      <c r="O15" s="66" t="n">
        <v>94.40000000000001</v>
      </c>
      <c r="P15" s="66" t="n">
        <v>87.3</v>
      </c>
      <c r="Q15" s="66" t="n">
        <v>92.90000000000001</v>
      </c>
      <c r="R15" s="66" t="n">
        <v>109.6</v>
      </c>
      <c r="S15" s="66" t="n">
        <v>111.9</v>
      </c>
      <c r="T15" s="66" t="n">
        <v>93.09999999999999</v>
      </c>
      <c r="U15" s="66" t="n">
        <v>91.09999999999999</v>
      </c>
      <c r="V15" s="66" t="n">
        <v>98.7</v>
      </c>
      <c r="W15" s="66" t="n">
        <v>105.7</v>
      </c>
      <c r="X15" s="66" t="n">
        <v>98.5</v>
      </c>
      <c r="Y15" s="66" t="n">
        <v>88.5</v>
      </c>
      <c r="Z15" s="66" t="n">
        <v>93.59999999999999</v>
      </c>
      <c r="AA15" s="66" t="n">
        <v>92.59999999999999</v>
      </c>
      <c r="AB15" s="66" t="n">
        <v>75.7</v>
      </c>
      <c r="AC15" s="66" t="n">
        <v>71.90000000000001</v>
      </c>
      <c r="AD15" s="66" t="n">
        <v>77</v>
      </c>
      <c r="AE15" s="66" t="n">
        <v>84.59999999999999</v>
      </c>
      <c r="AF15" s="66" t="n">
        <v>79</v>
      </c>
      <c r="AG15" s="66" t="n">
        <v>70.09999999999999</v>
      </c>
      <c r="AH15" s="66" t="n">
        <v>65.8</v>
      </c>
      <c r="AI15" s="66" t="n">
        <v>76.5</v>
      </c>
      <c r="AJ15" s="66" t="n">
        <v>57.4</v>
      </c>
      <c r="AK15" s="66" t="n">
        <v>73.90000000000001</v>
      </c>
      <c r="AL15" s="66" t="n">
        <v>68.5</v>
      </c>
      <c r="AM15" s="66" t="n">
        <v>67.2</v>
      </c>
      <c r="AN15" s="66" t="n">
        <v>52.3</v>
      </c>
      <c r="AO15" s="66" t="n">
        <v>51.5</v>
      </c>
    </row>
    <row r="16">
      <c r="A16" s="64" t="inlineStr">
        <is>
          <t>순차입금/자기자본</t>
        </is>
      </c>
      <c r="B16" s="66" t="n"/>
      <c r="C16" s="66" t="n">
        <v>6.7</v>
      </c>
      <c r="D16" s="66" t="n"/>
      <c r="E16" s="66" t="n"/>
      <c r="F16" s="66" t="n">
        <v>12.8</v>
      </c>
      <c r="G16" s="66" t="n">
        <v>8.800000000000001</v>
      </c>
      <c r="H16" s="66" t="n">
        <v>25.9</v>
      </c>
      <c r="I16" s="66" t="n">
        <v>20.3</v>
      </c>
      <c r="J16" s="66" t="n">
        <v>19.5</v>
      </c>
      <c r="K16" s="66" t="n">
        <v>15.6</v>
      </c>
      <c r="L16" s="66" t="n">
        <v>23.5</v>
      </c>
      <c r="M16" s="66" t="n">
        <v>13.1</v>
      </c>
      <c r="N16" s="66" t="n">
        <v>17.4</v>
      </c>
      <c r="O16" s="66" t="n">
        <v>1.1</v>
      </c>
      <c r="P16" s="66" t="n">
        <v>14.8</v>
      </c>
      <c r="Q16" s="66" t="n">
        <v>27.7</v>
      </c>
      <c r="R16" s="66" t="n">
        <v>30.3</v>
      </c>
      <c r="S16" s="66" t="n">
        <v>8.300000000000001</v>
      </c>
      <c r="T16" s="66" t="n">
        <v>17.7</v>
      </c>
      <c r="U16" s="66" t="n">
        <v>14.8</v>
      </c>
      <c r="V16" s="66" t="n">
        <v>24.2</v>
      </c>
      <c r="W16" s="66" t="n">
        <v>15.5</v>
      </c>
      <c r="X16" s="66" t="n">
        <v>22.1</v>
      </c>
      <c r="Y16" s="66" t="n">
        <v>19</v>
      </c>
      <c r="Z16" s="66" t="n">
        <v>19</v>
      </c>
      <c r="AA16" s="66" t="n">
        <v>4.6</v>
      </c>
      <c r="AB16" s="66" t="n">
        <v>1.1</v>
      </c>
      <c r="AC16" s="66" t="n">
        <v>1</v>
      </c>
      <c r="AD16" s="66" t="n">
        <v>-6.5</v>
      </c>
      <c r="AE16" s="66" t="n">
        <v>1.2</v>
      </c>
      <c r="AF16" s="66" t="n">
        <v>2.1</v>
      </c>
      <c r="AG16" s="66" t="n">
        <v>-27.8</v>
      </c>
      <c r="AH16" s="66" t="n">
        <v>-12.3</v>
      </c>
      <c r="AI16" s="66" t="n">
        <v>-25.6</v>
      </c>
      <c r="AJ16" s="66" t="n">
        <v>-19.5</v>
      </c>
      <c r="AK16" s="66" t="n">
        <v>-20</v>
      </c>
      <c r="AL16" s="66" t="n">
        <v>-6.6</v>
      </c>
      <c r="AM16" s="66" t="n">
        <v>-29</v>
      </c>
      <c r="AN16" s="66" t="n">
        <v>-23.1</v>
      </c>
      <c r="AO16" s="66" t="n">
        <v>-24.3</v>
      </c>
    </row>
    <row r="17">
      <c r="A17" s="64" t="inlineStr">
        <is>
          <t>재고자산</t>
        </is>
      </c>
      <c r="B17" s="65" t="n"/>
      <c r="C17" s="65" t="n">
        <v>65.7</v>
      </c>
      <c r="D17" s="65" t="n"/>
      <c r="E17" s="65" t="n"/>
      <c r="F17" s="65" t="n">
        <v>64.7</v>
      </c>
      <c r="G17" s="65" t="n">
        <v>62</v>
      </c>
      <c r="H17" s="65" t="n">
        <v>73.2</v>
      </c>
      <c r="I17" s="65" t="n">
        <v>68</v>
      </c>
      <c r="J17" s="65" t="n">
        <v>73.40000000000001</v>
      </c>
      <c r="K17" s="65" t="n">
        <v>69.09999999999999</v>
      </c>
      <c r="L17" s="65" t="n">
        <v>78.90000000000001</v>
      </c>
      <c r="M17" s="65" t="n">
        <v>72</v>
      </c>
      <c r="N17" s="65" t="n">
        <v>71.8</v>
      </c>
      <c r="O17" s="65" t="n">
        <v>70.2</v>
      </c>
      <c r="P17" s="65" t="n">
        <v>76.59999999999999</v>
      </c>
      <c r="Q17" s="65" t="n">
        <v>79.8</v>
      </c>
      <c r="R17" s="65" t="n">
        <v>79.09999999999999</v>
      </c>
      <c r="S17" s="65" t="n">
        <v>72.2</v>
      </c>
      <c r="T17" s="65" t="n">
        <v>74.7</v>
      </c>
      <c r="U17" s="65" t="n">
        <v>70.3</v>
      </c>
      <c r="V17" s="65" t="n">
        <v>72.59999999999999</v>
      </c>
      <c r="W17" s="65" t="n">
        <v>65.40000000000001</v>
      </c>
      <c r="X17" s="65" t="n">
        <v>73.40000000000001</v>
      </c>
      <c r="Y17" s="65" t="n">
        <v>68.8</v>
      </c>
      <c r="Z17" s="65" t="n">
        <v>66.7</v>
      </c>
      <c r="AA17" s="65" t="n">
        <v>57.7</v>
      </c>
      <c r="AB17" s="65" t="n">
        <v>57.2</v>
      </c>
      <c r="AC17" s="65" t="n">
        <v>53.4</v>
      </c>
      <c r="AD17" s="65" t="n">
        <v>49.8</v>
      </c>
      <c r="AE17" s="65" t="n">
        <v>46.4</v>
      </c>
      <c r="AF17" s="65" t="n">
        <v>47.5</v>
      </c>
      <c r="AG17" s="65" t="n">
        <v>46.3</v>
      </c>
      <c r="AH17" s="65" t="n">
        <v>47.8</v>
      </c>
      <c r="AI17" s="65" t="n">
        <v>46.9</v>
      </c>
      <c r="AJ17" s="65" t="n">
        <v>47</v>
      </c>
      <c r="AK17" s="65" t="n">
        <v>46.2</v>
      </c>
      <c r="AL17" s="65" t="n">
        <v>47.8</v>
      </c>
      <c r="AM17" s="65" t="n">
        <v>36.3</v>
      </c>
      <c r="AN17" s="65" t="n">
        <v>34.9</v>
      </c>
      <c r="AO17" s="65" t="n">
        <v>33.6</v>
      </c>
    </row>
    <row r="18">
      <c r="A18" s="64" t="inlineStr">
        <is>
          <t>재고자산 회전일수</t>
        </is>
      </c>
      <c r="B18" s="65" t="n"/>
      <c r="C18" s="65" t="n">
        <v>69</v>
      </c>
      <c r="D18" s="65" t="n"/>
      <c r="E18" s="65" t="n"/>
      <c r="F18" s="65" t="n">
        <v>69</v>
      </c>
      <c r="G18" s="65" t="n">
        <v>72</v>
      </c>
      <c r="H18" s="65" t="n">
        <v>91</v>
      </c>
      <c r="I18" s="65" t="n">
        <v>79</v>
      </c>
      <c r="J18" s="65" t="n">
        <v>85</v>
      </c>
      <c r="K18" s="65" t="n">
        <v>85</v>
      </c>
      <c r="L18" s="65" t="n">
        <v>101</v>
      </c>
      <c r="M18" s="65" t="n">
        <v>84</v>
      </c>
      <c r="N18" s="65" t="n">
        <v>88</v>
      </c>
      <c r="O18" s="65" t="n">
        <v>96</v>
      </c>
      <c r="P18" s="65" t="n">
        <v>150</v>
      </c>
      <c r="Q18" s="65" t="n">
        <v>129</v>
      </c>
      <c r="R18" s="65" t="n">
        <v>109</v>
      </c>
      <c r="S18" s="65" t="n">
        <v>92</v>
      </c>
      <c r="T18" s="65" t="n">
        <v>114</v>
      </c>
      <c r="U18" s="65" t="n">
        <v>104</v>
      </c>
      <c r="V18" s="65" t="n">
        <v>110</v>
      </c>
      <c r="W18" s="65" t="n">
        <v>78</v>
      </c>
      <c r="X18" s="65" t="n">
        <v>97</v>
      </c>
      <c r="Y18" s="65" t="n">
        <v>89</v>
      </c>
      <c r="Z18" s="65" t="n">
        <v>76</v>
      </c>
      <c r="AA18" s="65" t="n">
        <v>71</v>
      </c>
      <c r="AB18" s="65" t="n">
        <v>84</v>
      </c>
      <c r="AC18" s="65" t="n">
        <v>79</v>
      </c>
      <c r="AD18" s="65" t="n">
        <v>69</v>
      </c>
      <c r="AE18" s="65" t="n">
        <v>53</v>
      </c>
      <c r="AF18" s="65" t="n">
        <v>51</v>
      </c>
      <c r="AG18" s="65" t="n">
        <v>59</v>
      </c>
      <c r="AH18" s="65" t="n">
        <v>67</v>
      </c>
      <c r="AI18" s="65" t="n">
        <v>57</v>
      </c>
      <c r="AJ18" s="65" t="n">
        <v>63</v>
      </c>
      <c r="AK18" s="65" t="n">
        <v>67</v>
      </c>
      <c r="AL18" s="65" t="n">
        <v>62</v>
      </c>
      <c r="AM18" s="65" t="n">
        <v>44</v>
      </c>
      <c r="AN18" s="65" t="n">
        <v>46</v>
      </c>
      <c r="AO18" s="65" t="n">
        <v>42</v>
      </c>
    </row>
    <row r="19">
      <c r="A19" s="64" t="inlineStr">
        <is>
          <t>매출채권 회전일수</t>
        </is>
      </c>
      <c r="B19" s="65" t="n"/>
      <c r="C19" s="65" t="n">
        <v>46</v>
      </c>
      <c r="D19" s="65" t="n"/>
      <c r="E19" s="65" t="n"/>
      <c r="F19" s="65" t="n">
        <v>48</v>
      </c>
      <c r="G19" s="65" t="n">
        <v>56</v>
      </c>
      <c r="H19" s="65" t="n">
        <v>54</v>
      </c>
      <c r="I19" s="65" t="n">
        <v>48</v>
      </c>
      <c r="J19" s="65" t="n">
        <v>46</v>
      </c>
      <c r="K19" s="65" t="n">
        <v>50</v>
      </c>
      <c r="L19" s="65" t="n">
        <v>48</v>
      </c>
      <c r="M19" s="65" t="n">
        <v>37</v>
      </c>
      <c r="N19" s="65" t="n">
        <v>47</v>
      </c>
      <c r="O19" s="65" t="n">
        <v>37</v>
      </c>
      <c r="P19" s="65" t="n">
        <v>34</v>
      </c>
      <c r="Q19" s="65" t="n">
        <v>42</v>
      </c>
      <c r="R19" s="65" t="n">
        <v>47</v>
      </c>
      <c r="S19" s="65" t="n">
        <v>0</v>
      </c>
      <c r="T19" s="65" t="n">
        <v>0</v>
      </c>
      <c r="U19" s="65" t="n">
        <v>0</v>
      </c>
      <c r="V19" s="65" t="n">
        <v>0</v>
      </c>
      <c r="W19" s="65" t="n">
        <v>36</v>
      </c>
      <c r="X19" s="65" t="n">
        <v>36</v>
      </c>
      <c r="Y19" s="65" t="n">
        <v>39</v>
      </c>
      <c r="Z19" s="65" t="n">
        <v>40</v>
      </c>
      <c r="AA19" s="65" t="n">
        <v>39</v>
      </c>
      <c r="AB19" s="65" t="n">
        <v>39</v>
      </c>
      <c r="AC19" s="65" t="n">
        <v>47</v>
      </c>
      <c r="AD19" s="65" t="n">
        <v>44</v>
      </c>
      <c r="AE19" s="65" t="n">
        <v>55</v>
      </c>
      <c r="AF19" s="65" t="n">
        <v>55</v>
      </c>
      <c r="AG19" s="65" t="n">
        <v>37</v>
      </c>
      <c r="AH19" s="65" t="n">
        <v>53</v>
      </c>
      <c r="AI19" s="65" t="n">
        <v>38</v>
      </c>
      <c r="AJ19" s="65" t="n">
        <v>36</v>
      </c>
      <c r="AK19" s="65" t="n">
        <v>42</v>
      </c>
      <c r="AL19" s="65" t="n">
        <v>53</v>
      </c>
      <c r="AM19" s="65" t="n">
        <v>39</v>
      </c>
      <c r="AN19" s="65" t="n">
        <v>42</v>
      </c>
      <c r="AO19" s="65" t="n">
        <v>41</v>
      </c>
    </row>
    <row r="20">
      <c r="A20" s="64" t="inlineStr">
        <is>
          <t>매입채무 회전일수</t>
        </is>
      </c>
      <c r="B20" s="65" t="n"/>
      <c r="C20" s="65" t="n">
        <v>26</v>
      </c>
      <c r="D20" s="65" t="n"/>
      <c r="E20" s="65" t="n"/>
      <c r="F20" s="65" t="n">
        <v>20</v>
      </c>
      <c r="G20" s="65" t="n">
        <v>26</v>
      </c>
      <c r="H20" s="65" t="n">
        <v>20</v>
      </c>
      <c r="I20" s="65" t="n">
        <v>22</v>
      </c>
      <c r="J20" s="65" t="n">
        <v>24</v>
      </c>
      <c r="K20" s="65" t="n">
        <v>28</v>
      </c>
      <c r="L20" s="65" t="n">
        <v>28</v>
      </c>
      <c r="M20" s="65" t="n">
        <v>21</v>
      </c>
      <c r="N20" s="65" t="n">
        <v>23</v>
      </c>
      <c r="O20" s="65" t="n">
        <v>30</v>
      </c>
      <c r="P20" s="65" t="n">
        <v>18</v>
      </c>
      <c r="Q20" s="65" t="n">
        <v>24</v>
      </c>
      <c r="R20" s="65" t="n">
        <v>28</v>
      </c>
      <c r="S20" s="65" t="n">
        <v>27</v>
      </c>
      <c r="T20" s="65" t="n">
        <v>23</v>
      </c>
      <c r="U20" s="65" t="n">
        <v>21</v>
      </c>
      <c r="V20" s="65" t="n">
        <v>22</v>
      </c>
      <c r="W20" s="65" t="n">
        <v>21</v>
      </c>
      <c r="X20" s="65" t="n">
        <v>23</v>
      </c>
      <c r="Y20" s="65" t="n">
        <v>22</v>
      </c>
      <c r="Z20" s="65" t="n">
        <v>20</v>
      </c>
      <c r="AA20" s="65" t="n">
        <v>23</v>
      </c>
      <c r="AB20" s="65" t="n">
        <v>21</v>
      </c>
      <c r="AC20" s="65" t="n">
        <v>25</v>
      </c>
      <c r="AD20" s="65" t="n">
        <v>24</v>
      </c>
      <c r="AE20" s="65" t="n">
        <v>23</v>
      </c>
      <c r="AF20" s="65" t="n">
        <v>24</v>
      </c>
      <c r="AG20" s="65" t="n">
        <v>34</v>
      </c>
      <c r="AH20" s="65" t="n">
        <v>28</v>
      </c>
      <c r="AI20" s="65" t="n">
        <v>27</v>
      </c>
      <c r="AJ20" s="65" t="n">
        <v>21</v>
      </c>
      <c r="AK20" s="65" t="n">
        <v>29</v>
      </c>
      <c r="AL20" s="65" t="n">
        <v>24</v>
      </c>
      <c r="AM20" s="65" t="n">
        <v>25</v>
      </c>
      <c r="AN20" s="65" t="n">
        <v>23</v>
      </c>
      <c r="AO20" s="65" t="n">
        <v>26</v>
      </c>
    </row>
    <row r="21">
      <c r="A21" s="64" t="inlineStr">
        <is>
          <t>현금전환주기(CCC)</t>
        </is>
      </c>
      <c r="B21" s="65" t="n"/>
      <c r="C21" s="65" t="n">
        <v>89</v>
      </c>
      <c r="D21" s="65" t="n"/>
      <c r="E21" s="65" t="n"/>
      <c r="F21" s="65" t="n">
        <v>97</v>
      </c>
      <c r="G21" s="65" t="n">
        <v>102</v>
      </c>
      <c r="H21" s="65" t="n">
        <v>125</v>
      </c>
      <c r="I21" s="65" t="n">
        <v>105</v>
      </c>
      <c r="J21" s="65" t="n">
        <v>107</v>
      </c>
      <c r="K21" s="65" t="n">
        <v>107</v>
      </c>
      <c r="L21" s="65" t="n">
        <v>121</v>
      </c>
      <c r="M21" s="65" t="n">
        <v>100</v>
      </c>
      <c r="N21" s="65" t="n">
        <v>112</v>
      </c>
      <c r="O21" s="65" t="n">
        <v>103</v>
      </c>
      <c r="P21" s="65" t="n">
        <v>166</v>
      </c>
      <c r="Q21" s="65" t="n">
        <v>147</v>
      </c>
      <c r="R21" s="65" t="n">
        <v>128</v>
      </c>
      <c r="S21" s="65" t="n">
        <v>65</v>
      </c>
      <c r="T21" s="65" t="n">
        <v>91</v>
      </c>
      <c r="U21" s="65" t="n">
        <v>83</v>
      </c>
      <c r="V21" s="65" t="n">
        <v>88</v>
      </c>
      <c r="W21" s="65" t="n">
        <v>93</v>
      </c>
      <c r="X21" s="65" t="n">
        <v>110</v>
      </c>
      <c r="Y21" s="65" t="n">
        <v>106</v>
      </c>
      <c r="Z21" s="65" t="n">
        <v>96</v>
      </c>
      <c r="AA21" s="65" t="n">
        <v>87</v>
      </c>
      <c r="AB21" s="65" t="n">
        <v>102</v>
      </c>
      <c r="AC21" s="65" t="n">
        <v>101</v>
      </c>
      <c r="AD21" s="65" t="n">
        <v>89</v>
      </c>
      <c r="AE21" s="65" t="n">
        <v>85</v>
      </c>
      <c r="AF21" s="65" t="n">
        <v>82</v>
      </c>
      <c r="AG21" s="65" t="n">
        <v>62</v>
      </c>
      <c r="AH21" s="65" t="n">
        <v>92</v>
      </c>
      <c r="AI21" s="65" t="n">
        <v>68</v>
      </c>
      <c r="AJ21" s="65" t="n">
        <v>78</v>
      </c>
      <c r="AK21" s="65" t="n">
        <v>80</v>
      </c>
      <c r="AL21" s="65" t="n">
        <v>91</v>
      </c>
      <c r="AM21" s="65" t="n">
        <v>58</v>
      </c>
      <c r="AN21" s="65" t="n">
        <v>65</v>
      </c>
      <c r="AO21" s="65" t="n">
        <v>57</v>
      </c>
    </row>
    <row r="22">
      <c r="A22" s="64" t="inlineStr">
        <is>
          <t>총 차입금</t>
        </is>
      </c>
      <c r="B22" s="65" t="n"/>
      <c r="C22" s="65" t="n">
        <v>37.2</v>
      </c>
      <c r="D22" s="65" t="n"/>
      <c r="E22" s="65" t="n"/>
      <c r="F22" s="65" t="n">
        <v>40.1</v>
      </c>
      <c r="G22" s="65" t="n">
        <v>58.1</v>
      </c>
      <c r="H22" s="65" t="n">
        <v>50.2</v>
      </c>
      <c r="I22" s="65" t="n">
        <v>47</v>
      </c>
      <c r="J22" s="65" t="n">
        <v>53.1</v>
      </c>
      <c r="K22" s="65" t="n">
        <v>67.2</v>
      </c>
      <c r="L22" s="65" t="n">
        <v>57.1</v>
      </c>
      <c r="M22" s="65" t="n">
        <v>44.1</v>
      </c>
      <c r="N22" s="65" t="n">
        <v>61.4</v>
      </c>
      <c r="O22" s="65" t="n">
        <v>52</v>
      </c>
      <c r="P22" s="65" t="n">
        <v>56.3</v>
      </c>
      <c r="Q22" s="65" t="n">
        <v>55.9</v>
      </c>
      <c r="R22" s="65" t="n">
        <v>68.8</v>
      </c>
      <c r="S22" s="65" t="n">
        <v>71.90000000000001</v>
      </c>
      <c r="T22" s="65" t="n">
        <v>61.5</v>
      </c>
      <c r="U22" s="65" t="n">
        <v>59.5</v>
      </c>
      <c r="V22" s="65" t="n">
        <v>63.1</v>
      </c>
      <c r="W22" s="65" t="n">
        <v>61.7</v>
      </c>
      <c r="X22" s="65" t="n">
        <v>56.7</v>
      </c>
      <c r="Y22" s="65" t="n">
        <v>49.4</v>
      </c>
      <c r="Z22" s="65" t="n">
        <v>54.8</v>
      </c>
      <c r="AA22" s="65" t="n">
        <v>49.5</v>
      </c>
      <c r="AB22" s="65" t="n">
        <v>42.2</v>
      </c>
      <c r="AC22" s="65" t="n">
        <v>42</v>
      </c>
      <c r="AD22" s="65" t="n">
        <v>41.8</v>
      </c>
      <c r="AE22" s="65" t="n">
        <v>45.8</v>
      </c>
      <c r="AF22" s="65" t="n">
        <v>50.8</v>
      </c>
      <c r="AG22" s="65" t="n">
        <v>37.6</v>
      </c>
      <c r="AH22" s="65" t="n">
        <v>35.6</v>
      </c>
      <c r="AI22" s="65" t="n">
        <v>42.8</v>
      </c>
      <c r="AJ22" s="65" t="n">
        <v>30.4</v>
      </c>
      <c r="AK22" s="65" t="n">
        <v>47.6</v>
      </c>
      <c r="AL22" s="65" t="n">
        <v>43</v>
      </c>
      <c r="AM22" s="65" t="n">
        <v>38.2</v>
      </c>
      <c r="AN22" s="65" t="n">
        <v>27</v>
      </c>
      <c r="AO22" s="65" t="n">
        <v>32.1</v>
      </c>
    </row>
    <row r="23">
      <c r="A23" s="64" t="inlineStr">
        <is>
          <t>현금</t>
        </is>
      </c>
      <c r="B23" s="65" t="n"/>
      <c r="C23" s="65" t="n">
        <v>28.6</v>
      </c>
      <c r="D23" s="65" t="n"/>
      <c r="E23" s="65" t="n"/>
      <c r="F23" s="65" t="n">
        <v>22.5</v>
      </c>
      <c r="G23" s="65" t="n">
        <v>46.3</v>
      </c>
      <c r="H23" s="65" t="n">
        <v>16.2</v>
      </c>
      <c r="I23" s="65" t="n">
        <v>21</v>
      </c>
      <c r="J23" s="65" t="n">
        <v>28.8</v>
      </c>
      <c r="K23" s="65" t="n">
        <v>47.7</v>
      </c>
      <c r="L23" s="65" t="n">
        <v>29.2</v>
      </c>
      <c r="M23" s="65" t="n">
        <v>28.5</v>
      </c>
      <c r="N23" s="65" t="n">
        <v>39.9</v>
      </c>
      <c r="O23" s="65" t="n">
        <v>50.8</v>
      </c>
      <c r="P23" s="65" t="n">
        <v>40</v>
      </c>
      <c r="Q23" s="65" t="n">
        <v>26.2</v>
      </c>
      <c r="R23" s="65" t="n">
        <v>35.5</v>
      </c>
      <c r="S23" s="65" t="n">
        <v>62.5</v>
      </c>
      <c r="T23" s="65" t="n">
        <v>41.9</v>
      </c>
      <c r="U23" s="65" t="n">
        <v>43.1</v>
      </c>
      <c r="V23" s="65" t="n">
        <v>38</v>
      </c>
      <c r="W23" s="65" t="n">
        <v>46</v>
      </c>
      <c r="X23" s="65" t="n">
        <v>34.5</v>
      </c>
      <c r="Y23" s="65" t="n">
        <v>30</v>
      </c>
      <c r="Z23" s="65" t="n">
        <v>34.9</v>
      </c>
      <c r="AA23" s="65" t="n">
        <v>44.8</v>
      </c>
      <c r="AB23" s="65" t="n">
        <v>41</v>
      </c>
      <c r="AC23" s="65" t="n">
        <v>40.9</v>
      </c>
      <c r="AD23" s="65" t="n">
        <v>49.2</v>
      </c>
      <c r="AE23" s="65" t="n">
        <v>44.4</v>
      </c>
      <c r="AF23" s="65" t="n">
        <v>48.2</v>
      </c>
      <c r="AG23" s="65" t="n">
        <v>73.2</v>
      </c>
      <c r="AH23" s="65" t="n">
        <v>51.8</v>
      </c>
      <c r="AI23" s="65" t="n">
        <v>77.2</v>
      </c>
      <c r="AJ23" s="65" t="n">
        <v>59.4</v>
      </c>
      <c r="AK23" s="65" t="n">
        <v>76.5</v>
      </c>
      <c r="AL23" s="65" t="n">
        <v>52.5</v>
      </c>
      <c r="AM23" s="65" t="n">
        <v>80.90000000000001</v>
      </c>
      <c r="AN23" s="65" t="n">
        <v>61.7</v>
      </c>
      <c r="AO23" s="65" t="n">
        <v>72.2</v>
      </c>
    </row>
    <row r="24">
      <c r="A24" s="64" t="inlineStr">
        <is>
          <t>부문별 매출 · 家具・家庭用品事業、報告セグメント [メンバー]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39.8</v>
      </c>
      <c r="AC24" s="65" t="n">
        <v>38.7</v>
      </c>
      <c r="AD24" s="65" t="n">
        <v>42.3</v>
      </c>
      <c r="AE24" s="65" t="n">
        <v>52.3</v>
      </c>
      <c r="AF24" s="65" t="n">
        <v>49.7</v>
      </c>
      <c r="AG24" s="65" t="n">
        <v>44.8</v>
      </c>
      <c r="AH24" s="65" t="n">
        <v>43.7</v>
      </c>
      <c r="AI24" s="65" t="n">
        <v>47.7</v>
      </c>
      <c r="AJ24" s="65" t="n">
        <v>47.2</v>
      </c>
      <c r="AK24" s="65" t="n">
        <v>42.5</v>
      </c>
      <c r="AL24" s="65" t="n">
        <v>49.9</v>
      </c>
      <c r="AM24" s="65" t="n">
        <v>52.5</v>
      </c>
      <c r="AN24" s="65" t="n">
        <v>48.6</v>
      </c>
      <c r="AO24" s="65" t="n">
        <v>53.3</v>
      </c>
      <c r="AP24" s="61" t="inlineStr">
        <is>
          <t>결산단신 부문 정보(외부 고객 매출)</t>
        </is>
      </c>
    </row>
    <row r="25">
      <c r="A25" s="64" t="inlineStr">
        <is>
          <t>부문별 매출 · 服飾雑貨事業、報告セグメント [メンバー]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>
        <v>29.9</v>
      </c>
      <c r="AC25" s="65" t="n">
        <v>35.1</v>
      </c>
      <c r="AD25" s="65" t="n">
        <v>35.6</v>
      </c>
      <c r="AE25" s="65" t="n">
        <v>39.8</v>
      </c>
      <c r="AF25" s="65" t="n">
        <v>48.2</v>
      </c>
      <c r="AG25" s="65" t="n">
        <v>40.8</v>
      </c>
      <c r="AH25" s="65" t="n">
        <v>34.9</v>
      </c>
      <c r="AI25" s="65" t="n">
        <v>38.5</v>
      </c>
      <c r="AJ25" s="65" t="n">
        <v>33.7</v>
      </c>
      <c r="AK25" s="65" t="n">
        <v>30.4</v>
      </c>
      <c r="AL25" s="65" t="n">
        <v>25</v>
      </c>
      <c r="AM25" s="65" t="n">
        <v>29.9</v>
      </c>
      <c r="AN25" s="65" t="n">
        <v>29</v>
      </c>
      <c r="AO25" s="65" t="n">
        <v>29.3</v>
      </c>
      <c r="AP25" s="61" t="inlineStr">
        <is>
          <t>결산단신 부문 정보(외부 고객 매출)</t>
        </is>
      </c>
    </row>
    <row r="26">
      <c r="A26" s="64" t="inlineStr">
        <is>
          <t>부문별 매출 · 家電事業、報告セグメント [メンバー]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>
        <v>8.9</v>
      </c>
      <c r="AC26" s="65" t="n">
        <v>9.5</v>
      </c>
      <c r="AD26" s="65" t="n">
        <v>9.199999999999999</v>
      </c>
      <c r="AE26" s="65" t="n">
        <v>9.300000000000001</v>
      </c>
      <c r="AF26" s="65" t="n">
        <v>9.199999999999999</v>
      </c>
      <c r="AG26" s="65" t="n">
        <v>7.2</v>
      </c>
      <c r="AH26" s="65" t="n">
        <v>7.8</v>
      </c>
      <c r="AI26" s="65" t="n">
        <v>7.7</v>
      </c>
      <c r="AJ26" s="65" t="n">
        <v>6.3</v>
      </c>
      <c r="AK26" s="65" t="n">
        <v>7.3</v>
      </c>
      <c r="AL26" s="65" t="n">
        <v>9.5</v>
      </c>
      <c r="AM26" s="65" t="n">
        <v>7.2</v>
      </c>
      <c r="AN26" s="65" t="n">
        <v>4.9</v>
      </c>
      <c r="AO26" s="65" t="n">
        <v>5.5</v>
      </c>
      <c r="AP26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2026-10-30T10:23:03Z</dcterms:created>
  <dcterms:modified xmlns:dcterms="http://purl.org/dc/terms/" xmlns:xsi="http://www.w3.org/2001/XMLSchema-instance" xsi:type="dcterms:W3CDTF">2026-10-30T10:24:13Z</dcterms:modified>
</cp:coreProperties>
</file>