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브롱코빌리 손익계산서</t>
        </is>
      </c>
    </row>
    <row r="2">
      <c r="A2" s="2" t="inlineStr">
        <is>
          <t>결산기 기준(27.2Q = 2027년 결산기 2분기) · 12월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22.1Q</t>
        </is>
      </c>
      <c r="E3" s="4" t="inlineStr">
        <is>
          <t>22.2Q</t>
        </is>
      </c>
      <c r="F3" s="4" t="inlineStr">
        <is>
          <t>22.3Q</t>
        </is>
      </c>
      <c r="G3" s="4" t="inlineStr">
        <is>
          <t>22.4Q</t>
        </is>
      </c>
      <c r="H3" s="4" t="inlineStr">
        <is>
          <t>23.1Q</t>
        </is>
      </c>
      <c r="I3" s="4" t="inlineStr">
        <is>
          <t>23.2Q</t>
        </is>
      </c>
      <c r="J3" s="4" t="inlineStr">
        <is>
          <t>23.3Q</t>
        </is>
      </c>
      <c r="K3" s="4" t="inlineStr">
        <is>
          <t>23.4Q</t>
        </is>
      </c>
      <c r="L3" s="4" t="inlineStr">
        <is>
          <t>24.1Q</t>
        </is>
      </c>
      <c r="M3" s="4" t="inlineStr">
        <is>
          <t>24.2Q</t>
        </is>
      </c>
      <c r="N3" s="4" t="inlineStr">
        <is>
          <t>24.3Q</t>
        </is>
      </c>
      <c r="O3" s="4" t="inlineStr">
        <is>
          <t>24.4Q</t>
        </is>
      </c>
      <c r="P3" s="4" t="inlineStr">
        <is>
          <t>25.1Q</t>
        </is>
      </c>
      <c r="Q3" s="4" t="inlineStr">
        <is>
          <t>25.2Q</t>
        </is>
      </c>
      <c r="R3" s="4" t="inlineStr">
        <is>
          <t>25.3Q</t>
        </is>
      </c>
      <c r="S3" s="4" t="inlineStr">
        <is>
          <t>25.4Q</t>
        </is>
      </c>
      <c r="T3" s="4" t="inlineStr">
        <is>
          <t>26.1Q</t>
        </is>
      </c>
      <c r="U3" s="4" t="inlineStr">
        <is>
          <t>26.2Q</t>
        </is>
      </c>
      <c r="V3" s="4" t="inlineStr">
        <is>
          <t>26.3Q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47.1195</v>
      </c>
      <c r="D4" s="6" t="n">
        <v>44.5103</v>
      </c>
      <c r="E4" s="6" t="n">
        <v>48.2512</v>
      </c>
      <c r="F4" s="6" t="n">
        <v>51.707</v>
      </c>
      <c r="G4" s="6" t="n">
        <v>50.6119</v>
      </c>
      <c r="H4" s="6" t="n">
        <v>56.4313</v>
      </c>
      <c r="I4" s="6" t="n">
        <v>57.3914</v>
      </c>
      <c r="J4" s="6" t="n">
        <v>61.4327</v>
      </c>
      <c r="K4" s="6" t="n">
        <v>58.5212</v>
      </c>
      <c r="L4" s="6" t="n">
        <v>65.27</v>
      </c>
      <c r="M4" s="6" t="n">
        <v>61.57</v>
      </c>
      <c r="N4" s="6" t="n">
        <v>72.68000000000001</v>
      </c>
      <c r="O4" s="6" t="n">
        <v>66.65000000000001</v>
      </c>
      <c r="P4" s="6" t="n">
        <v>72.84</v>
      </c>
      <c r="Q4" s="6" t="n">
        <v>73.06</v>
      </c>
      <c r="R4" s="6" t="n">
        <v>78.79000000000001</v>
      </c>
      <c r="S4" s="6" t="n">
        <v>77.5</v>
      </c>
      <c r="T4" s="6" t="n">
        <v>82.41</v>
      </c>
      <c r="U4" s="6" t="n">
        <v>82.33</v>
      </c>
      <c r="V4" s="6" t="n">
        <v>88.77</v>
      </c>
      <c r="W4" s="6" t="n">
        <v>224.3214</v>
      </c>
      <c r="X4" s="6" t="n">
        <v>223.2432</v>
      </c>
      <c r="Y4" s="6" t="n">
        <v>172.7289</v>
      </c>
      <c r="Z4" s="6" t="n">
        <v>157.7373</v>
      </c>
      <c r="AA4" s="6" t="n">
        <v>195.0803</v>
      </c>
      <c r="AB4" s="6" t="n">
        <v>233.7765</v>
      </c>
      <c r="AC4" s="6" t="n">
        <v>266.17</v>
      </c>
      <c r="AD4" s="6" t="n">
        <v>302.19</v>
      </c>
      <c r="AE4" s="7" t="inlineStr">
        <is>
          <t>결산단신 XBRL(거래소 공시, TDnet·JPX 보관소). 쓴 문서: 2026-10-22, 2026-07-22, 2026-04-21, 2026-01-20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10" t="inlineStr">
        <is>
          <t>기초 상품·제품 재고</t>
        </is>
      </c>
      <c r="W6" s="11" t="n">
        <v>0.9919</v>
      </c>
      <c r="X6" s="11" t="n">
        <v>1.1318</v>
      </c>
      <c r="Y6" s="11" t="n">
        <v>1.0717</v>
      </c>
      <c r="Z6" s="11" t="n">
        <v>0.832</v>
      </c>
      <c r="AA6" s="11" t="n">
        <v>0.9818</v>
      </c>
    </row>
    <row r="7">
      <c r="A7" s="10" t="inlineStr">
        <is>
          <t>제품 제조원가</t>
        </is>
      </c>
      <c r="W7" s="11" t="n">
        <v>34.2084</v>
      </c>
      <c r="X7" s="11" t="n">
        <v>35.2011</v>
      </c>
      <c r="Y7" s="11" t="n">
        <v>28.5941</v>
      </c>
      <c r="Z7" s="11" t="n">
        <v>28.4564</v>
      </c>
      <c r="AA7" s="11" t="n">
        <v>37.4665</v>
      </c>
    </row>
    <row r="8">
      <c r="A8" s="10" t="inlineStr">
        <is>
          <t>상품 매입액</t>
        </is>
      </c>
      <c r="W8" s="11" t="n">
        <v>28.4102</v>
      </c>
      <c r="X8" s="11" t="n">
        <v>26.9356</v>
      </c>
      <c r="Y8" s="11" t="n">
        <v>20.0246</v>
      </c>
      <c r="Z8" s="11" t="n">
        <v>20.4123</v>
      </c>
      <c r="AA8" s="11" t="n">
        <v>27.3397</v>
      </c>
    </row>
    <row r="9">
      <c r="A9" s="5" t="inlineStr">
        <is>
          <t>합계</t>
        </is>
      </c>
      <c r="W9" s="6" t="n">
        <v>63.6106</v>
      </c>
      <c r="X9" s="6" t="n">
        <v>63.2685</v>
      </c>
      <c r="Y9" s="6" t="n">
        <v>49.6904</v>
      </c>
      <c r="Z9" s="6" t="n">
        <v>49.7007</v>
      </c>
      <c r="AA9" s="6" t="n">
        <v>65.788</v>
      </c>
    </row>
    <row r="10">
      <c r="A10" s="10" t="inlineStr">
        <is>
          <t>타계정 대체</t>
        </is>
      </c>
      <c r="W10" s="11" t="n">
        <v>1.2348</v>
      </c>
      <c r="X10" s="11" t="n">
        <v>1.1492</v>
      </c>
      <c r="Y10" s="11" t="n">
        <v>1.0221</v>
      </c>
      <c r="Z10" s="11" t="n">
        <v>0.7665999999999999</v>
      </c>
      <c r="AA10" s="11" t="n">
        <v>1.0415</v>
      </c>
    </row>
    <row r="11">
      <c r="A11" s="10" t="inlineStr">
        <is>
          <t>기말 상품·제품 재고</t>
        </is>
      </c>
      <c r="W11" s="11" t="n">
        <v>1.1318</v>
      </c>
      <c r="X11" s="11" t="n">
        <v>1.0717</v>
      </c>
      <c r="Y11" s="11" t="n">
        <v>0.832</v>
      </c>
      <c r="Z11" s="11" t="n">
        <v>0.9818</v>
      </c>
      <c r="AA11" s="11" t="n">
        <v>0.9965000000000001</v>
      </c>
    </row>
    <row r="12">
      <c r="A12" s="5" t="inlineStr">
        <is>
          <t>매출원가</t>
        </is>
      </c>
      <c r="C12" s="6" t="n">
        <v>14.2728</v>
      </c>
      <c r="D12" s="6" t="n">
        <v>14.3993</v>
      </c>
      <c r="E12" s="6" t="n">
        <v>15.1859</v>
      </c>
      <c r="F12" s="6" t="n">
        <v>17.1289</v>
      </c>
      <c r="G12" s="6" t="n">
        <v>17.0359</v>
      </c>
      <c r="H12" s="6" t="n">
        <v>20.2035</v>
      </c>
      <c r="I12" s="6" t="n">
        <v>20.0898</v>
      </c>
      <c r="J12" s="6" t="n">
        <v>20.8866</v>
      </c>
      <c r="K12" s="6" t="n">
        <v>19.5184</v>
      </c>
      <c r="L12" s="6" t="n">
        <v>21.41</v>
      </c>
      <c r="M12" s="6" t="n">
        <v>20.31</v>
      </c>
      <c r="N12" s="6" t="n">
        <v>23.34</v>
      </c>
      <c r="O12" s="6" t="n">
        <v>21.09</v>
      </c>
      <c r="P12" s="6" t="n">
        <v>24.96</v>
      </c>
      <c r="Q12" s="6" t="n">
        <v>23.95</v>
      </c>
      <c r="R12" s="6" t="n">
        <v>25.52</v>
      </c>
      <c r="S12" s="6" t="n">
        <v>24.71</v>
      </c>
      <c r="T12" s="6" t="n">
        <v>26.66</v>
      </c>
      <c r="U12" s="6" t="n">
        <v>25.72</v>
      </c>
      <c r="V12" s="6" t="n">
        <v>29.36</v>
      </c>
      <c r="W12" s="6" t="n">
        <v>61.244</v>
      </c>
      <c r="X12" s="6" t="n">
        <v>61.0475</v>
      </c>
      <c r="Y12" s="6" t="n">
        <v>47.8363</v>
      </c>
      <c r="Z12" s="6" t="n">
        <v>47.9523</v>
      </c>
      <c r="AA12" s="6" t="n">
        <v>63.75</v>
      </c>
      <c r="AB12" s="6" t="n">
        <v>80.6983</v>
      </c>
      <c r="AC12" s="6" t="n">
        <v>86.15000000000001</v>
      </c>
      <c r="AD12" s="6" t="n">
        <v>99.14</v>
      </c>
    </row>
    <row r="13">
      <c r="A13" s="5" t="inlineStr">
        <is>
          <t>매출총이익</t>
        </is>
      </c>
      <c r="C13" s="6" t="n">
        <v>32.8467</v>
      </c>
      <c r="D13" s="6" t="n">
        <v>30.111</v>
      </c>
      <c r="E13" s="6" t="n">
        <v>33.0653</v>
      </c>
      <c r="F13" s="6" t="n">
        <v>34.5781</v>
      </c>
      <c r="G13" s="6" t="n">
        <v>33.576</v>
      </c>
      <c r="H13" s="6" t="n">
        <v>36.2278</v>
      </c>
      <c r="I13" s="6" t="n">
        <v>37.3016</v>
      </c>
      <c r="J13" s="6" t="n">
        <v>40.5461</v>
      </c>
      <c r="K13" s="6" t="n">
        <v>39.0028</v>
      </c>
      <c r="L13" s="6" t="n">
        <v>43.85</v>
      </c>
      <c r="M13" s="6" t="n">
        <v>41.27</v>
      </c>
      <c r="N13" s="6" t="n">
        <v>49.34</v>
      </c>
      <c r="O13" s="6" t="n">
        <v>45.55</v>
      </c>
      <c r="P13" s="6" t="n">
        <v>47.88</v>
      </c>
      <c r="Q13" s="6" t="n">
        <v>49.11</v>
      </c>
      <c r="R13" s="6" t="n">
        <v>53.27</v>
      </c>
      <c r="S13" s="6" t="n">
        <v>52.78</v>
      </c>
      <c r="T13" s="6" t="n">
        <v>55.75</v>
      </c>
      <c r="U13" s="6" t="n">
        <v>56.61</v>
      </c>
      <c r="V13" s="6" t="n">
        <v>59.4</v>
      </c>
      <c r="W13" s="6" t="n">
        <v>163.0774</v>
      </c>
      <c r="X13" s="6" t="n">
        <v>162.1957</v>
      </c>
      <c r="Y13" s="6" t="n">
        <v>124.8926</v>
      </c>
      <c r="Z13" s="6" t="n">
        <v>109.785</v>
      </c>
      <c r="AA13" s="6" t="n">
        <v>131.3304</v>
      </c>
      <c r="AB13" s="6" t="n">
        <v>153.0782</v>
      </c>
      <c r="AC13" s="6" t="n">
        <v>180.01</v>
      </c>
      <c r="AD13" s="6" t="n">
        <v>203.04</v>
      </c>
    </row>
    <row r="14">
      <c r="A14" s="8" t="inlineStr">
        <is>
          <t>매출총이익률</t>
        </is>
      </c>
      <c r="C14" s="9">
        <f>IF(OR(C13="",C4=""),"",IFERROR(C13/C4,""))</f>
        <v/>
      </c>
      <c r="D14" s="9">
        <f>IF(OR(D13="",D4=""),"",IFERROR(D13/D4,""))</f>
        <v/>
      </c>
      <c r="E14" s="9">
        <f>IF(OR(E13="",E4=""),"",IFERROR(E13/E4,""))</f>
        <v/>
      </c>
      <c r="F14" s="9">
        <f>IF(OR(F13="",F4=""),"",IFERROR(F13/F4,""))</f>
        <v/>
      </c>
      <c r="G14" s="9">
        <f>IF(OR(G13="",G4=""),"",IFERROR(G13/G4,""))</f>
        <v/>
      </c>
      <c r="H14" s="9">
        <f>IF(OR(H13="",H4=""),"",IFERROR(H13/H4,""))</f>
        <v/>
      </c>
      <c r="I14" s="9">
        <f>IF(OR(I13="",I4=""),"",IFERROR(I13/I4,""))</f>
        <v/>
      </c>
      <c r="J14" s="9">
        <f>IF(OR(J13="",J4=""),"",IFERROR(J13/J4,""))</f>
        <v/>
      </c>
      <c r="K14" s="9">
        <f>IF(OR(K13="",K4=""),"",IFERROR(K13/K4,""))</f>
        <v/>
      </c>
      <c r="L14" s="9">
        <f>IF(OR(L13="",L4=""),"",IFERROR(L13/L4,""))</f>
        <v/>
      </c>
      <c r="M14" s="9">
        <f>IF(OR(M13="",M4=""),"",IFERROR(M13/M4,""))</f>
        <v/>
      </c>
      <c r="N14" s="9">
        <f>IF(OR(N13="",N4=""),"",IFERROR(N13/N4,""))</f>
        <v/>
      </c>
      <c r="O14" s="9">
        <f>IF(OR(O13="",O4=""),"",IFERROR(O13/O4,""))</f>
        <v/>
      </c>
      <c r="P14" s="9">
        <f>IF(OR(P13="",P4=""),"",IFERROR(P13/P4,""))</f>
        <v/>
      </c>
      <c r="Q14" s="9">
        <f>IF(OR(Q13="",Q4=""),"",IFERROR(Q13/Q4,""))</f>
        <v/>
      </c>
      <c r="R14" s="9">
        <f>IF(OR(R13="",R4=""),"",IFERROR(R13/R4,""))</f>
        <v/>
      </c>
      <c r="S14" s="9">
        <f>IF(OR(S13="",S4=""),"",IFERROR(S13/S4,""))</f>
        <v/>
      </c>
      <c r="T14" s="9">
        <f>IF(OR(T13="",T4=""),"",IFERROR(T13/T4,""))</f>
        <v/>
      </c>
      <c r="U14" s="9">
        <f>IF(OR(U13="",U4=""),"",IFERROR(U13/U4,""))</f>
        <v/>
      </c>
      <c r="V14" s="9">
        <f>IF(OR(V13="",V4=""),"",IFERROR(V13/V4,""))</f>
        <v/>
      </c>
      <c r="W14" s="9">
        <f>IF(OR(W13="",W4=""),"",IFERROR(W13/W4,""))</f>
        <v/>
      </c>
      <c r="X14" s="9">
        <f>IF(OR(X13="",X4=""),"",IFERROR(X13/X4,""))</f>
        <v/>
      </c>
      <c r="Y14" s="9">
        <f>IF(OR(Y13="",Y4=""),"",IFERROR(Y13/Y4,""))</f>
        <v/>
      </c>
      <c r="Z14" s="9">
        <f>IF(OR(Z13="",Z4=""),"",IFERROR(Z13/Z4,""))</f>
        <v/>
      </c>
      <c r="AA14" s="9">
        <f>IF(OR(AA13="",AA4=""),"",IFERROR(AA13/AA4,""))</f>
        <v/>
      </c>
      <c r="AB14" s="9">
        <f>IF(OR(AB13="",AB4=""),"",IFERROR(AB13/AB4,""))</f>
        <v/>
      </c>
      <c r="AC14" s="9">
        <f>IF(OR(AC13="",AC4=""),"",IFERROR(AC13/AC4,""))</f>
        <v/>
      </c>
      <c r="AD14" s="9">
        <f>IF(OR(AD13="",AD4=""),"",IFERROR(AD13/AD4,""))</f>
        <v/>
      </c>
    </row>
    <row r="15">
      <c r="A15" s="10" t="inlineStr">
        <is>
          <t>판매비와 관리비</t>
        </is>
      </c>
      <c r="C15" s="11" t="n">
        <v>29.5781</v>
      </c>
      <c r="D15" s="11" t="n">
        <v>29.0062</v>
      </c>
      <c r="E15" s="11" t="n">
        <v>30.6851</v>
      </c>
      <c r="F15" s="11" t="n">
        <v>32.5195</v>
      </c>
      <c r="G15" s="11" t="n">
        <v>31.6572</v>
      </c>
      <c r="H15" s="11" t="n">
        <v>33.2564</v>
      </c>
      <c r="I15" s="11" t="n">
        <v>34.5755</v>
      </c>
      <c r="J15" s="11" t="n">
        <v>34.3361</v>
      </c>
      <c r="K15" s="11" t="n">
        <v>34.4676</v>
      </c>
      <c r="L15" s="11" t="n">
        <v>36.07</v>
      </c>
      <c r="M15" s="11" t="n">
        <v>36.83</v>
      </c>
      <c r="N15" s="11" t="n">
        <v>41.41</v>
      </c>
      <c r="O15" s="11" t="n">
        <v>40.39</v>
      </c>
      <c r="P15" s="11" t="n">
        <v>42.55</v>
      </c>
      <c r="Q15" s="11" t="n">
        <v>42.19</v>
      </c>
      <c r="R15" s="11" t="n">
        <v>44.93</v>
      </c>
      <c r="S15" s="11" t="n">
        <v>44.07</v>
      </c>
      <c r="T15" s="11" t="n">
        <v>45.44</v>
      </c>
      <c r="U15" s="11" t="n">
        <v>47.63</v>
      </c>
      <c r="V15" s="11" t="n">
        <v>48.15</v>
      </c>
      <c r="W15" s="11" t="n">
        <v>137.106</v>
      </c>
      <c r="X15" s="11" t="n">
        <v>138.2442</v>
      </c>
      <c r="Y15" s="11" t="n">
        <v>123.2699</v>
      </c>
      <c r="Z15" s="11" t="n">
        <v>110.2688</v>
      </c>
      <c r="AA15" s="11" t="n">
        <v>123.868</v>
      </c>
      <c r="AB15" s="11" t="n">
        <v>136.6356</v>
      </c>
      <c r="AC15" s="11" t="n">
        <v>154.7</v>
      </c>
      <c r="AD15" s="11" t="n">
        <v>173.74</v>
      </c>
    </row>
    <row r="16">
      <c r="A16" s="5" t="inlineStr">
        <is>
          <t>영업이익</t>
        </is>
      </c>
      <c r="C16" s="6" t="n">
        <v>3.2686</v>
      </c>
      <c r="D16" s="6" t="n">
        <v>1.1048</v>
      </c>
      <c r="E16" s="6" t="n">
        <v>2.3802</v>
      </c>
      <c r="F16" s="6" t="n">
        <v>2.0586</v>
      </c>
      <c r="G16" s="6" t="n">
        <v>1.9188</v>
      </c>
      <c r="H16" s="6" t="n">
        <v>2.9713</v>
      </c>
      <c r="I16" s="6" t="n">
        <v>2.7261</v>
      </c>
      <c r="J16" s="6" t="n">
        <v>6.21</v>
      </c>
      <c r="K16" s="6" t="n">
        <v>4.5352</v>
      </c>
      <c r="L16" s="6" t="n">
        <v>7.77</v>
      </c>
      <c r="M16" s="6" t="n">
        <v>4.44</v>
      </c>
      <c r="N16" s="6" t="n">
        <v>7.94</v>
      </c>
      <c r="O16" s="6" t="n">
        <v>5.16</v>
      </c>
      <c r="P16" s="6" t="n">
        <v>5.32</v>
      </c>
      <c r="Q16" s="6" t="n">
        <v>6.92</v>
      </c>
      <c r="R16" s="6" t="n">
        <v>8.34</v>
      </c>
      <c r="S16" s="6" t="n">
        <v>8.720000000000001</v>
      </c>
      <c r="T16" s="6" t="n">
        <v>10.31</v>
      </c>
      <c r="U16" s="6" t="n">
        <v>8.98</v>
      </c>
      <c r="V16" s="6" t="n">
        <v>11.25</v>
      </c>
      <c r="W16" s="6" t="n">
        <v>25.9714</v>
      </c>
      <c r="X16" s="6" t="n">
        <v>23.9515</v>
      </c>
      <c r="Y16" s="6" t="n">
        <v>1.6227</v>
      </c>
      <c r="Z16" s="6" t="n">
        <v>-0.4838</v>
      </c>
      <c r="AA16" s="6" t="n">
        <v>7.4624</v>
      </c>
      <c r="AB16" s="6" t="n">
        <v>16.4426</v>
      </c>
      <c r="AC16" s="6" t="n">
        <v>25.31</v>
      </c>
      <c r="AD16" s="6" t="n">
        <v>29.3</v>
      </c>
    </row>
    <row r="17">
      <c r="A17" s="8" t="inlineStr">
        <is>
          <t>영업이익률</t>
        </is>
      </c>
      <c r="C17" s="9">
        <f>IF(OR(C16="",C4=""),"",IFERROR(C16/C4,""))</f>
        <v/>
      </c>
      <c r="D17" s="9">
        <f>IF(OR(D16="",D4=""),"",IFERROR(D16/D4,""))</f>
        <v/>
      </c>
      <c r="E17" s="9">
        <f>IF(OR(E16="",E4=""),"",IFERROR(E16/E4,""))</f>
        <v/>
      </c>
      <c r="F17" s="9">
        <f>IF(OR(F16="",F4=""),"",IFERROR(F16/F4,""))</f>
        <v/>
      </c>
      <c r="G17" s="9">
        <f>IF(OR(G16="",G4=""),"",IFERROR(G16/G4,""))</f>
        <v/>
      </c>
      <c r="H17" s="9">
        <f>IF(OR(H16="",H4=""),"",IFERROR(H16/H4,""))</f>
        <v/>
      </c>
      <c r="I17" s="9">
        <f>IF(OR(I16="",I4=""),"",IFERROR(I16/I4,""))</f>
        <v/>
      </c>
      <c r="J17" s="9">
        <f>IF(OR(J16="",J4=""),"",IFERROR(J16/J4,""))</f>
        <v/>
      </c>
      <c r="K17" s="9">
        <f>IF(OR(K16="",K4=""),"",IFERROR(K16/K4,""))</f>
        <v/>
      </c>
      <c r="L17" s="9">
        <f>IF(OR(L16="",L4=""),"",IFERROR(L16/L4,""))</f>
        <v/>
      </c>
      <c r="M17" s="9">
        <f>IF(OR(M16="",M4=""),"",IFERROR(M16/M4,""))</f>
        <v/>
      </c>
      <c r="N17" s="9">
        <f>IF(OR(N16="",N4=""),"",IFERROR(N16/N4,""))</f>
        <v/>
      </c>
      <c r="O17" s="9">
        <f>IF(OR(O16="",O4=""),"",IFERROR(O16/O4,""))</f>
        <v/>
      </c>
      <c r="P17" s="9">
        <f>IF(OR(P16="",P4=""),"",IFERROR(P16/P4,""))</f>
        <v/>
      </c>
      <c r="Q17" s="9">
        <f>IF(OR(Q16="",Q4=""),"",IFERROR(Q16/Q4,""))</f>
        <v/>
      </c>
      <c r="R17" s="9">
        <f>IF(OR(R16="",R4=""),"",IFERROR(R16/R4,""))</f>
        <v/>
      </c>
      <c r="S17" s="9">
        <f>IF(OR(S16="",S4=""),"",IFERROR(S16/S4,""))</f>
        <v/>
      </c>
      <c r="T17" s="9">
        <f>IF(OR(T16="",T4=""),"",IFERROR(T16/T4,""))</f>
        <v/>
      </c>
      <c r="U17" s="9">
        <f>IF(OR(U16="",U4=""),"",IFERROR(U16/U4,""))</f>
        <v/>
      </c>
      <c r="V17" s="9">
        <f>IF(OR(V16="",V4=""),"",IFERROR(V16/V4,""))</f>
        <v/>
      </c>
      <c r="W17" s="9">
        <f>IF(OR(W16="",W4=""),"",IFERROR(W16/W4,""))</f>
        <v/>
      </c>
      <c r="X17" s="9">
        <f>IF(OR(X16="",X4=""),"",IFERROR(X16/X4,""))</f>
        <v/>
      </c>
      <c r="Y17" s="9">
        <f>IF(OR(Y16="",Y4=""),"",IFERROR(Y16/Y4,""))</f>
        <v/>
      </c>
      <c r="Z17" s="9">
        <f>IF(OR(Z16="",Z4=""),"",IFERROR(Z16/Z4,""))</f>
        <v/>
      </c>
      <c r="AA17" s="9">
        <f>IF(OR(AA16="",AA4=""),"",IFERROR(AA16/AA4,""))</f>
        <v/>
      </c>
      <c r="AB17" s="9">
        <f>IF(OR(AB16="",AB4=""),"",IFERROR(AB16/AB4,""))</f>
        <v/>
      </c>
      <c r="AC17" s="9">
        <f>IF(OR(AC16="",AC4=""),"",IFERROR(AC16/AC4,""))</f>
        <v/>
      </c>
      <c r="AD17" s="9">
        <f>IF(OR(AD16="",AD4=""),"",IFERROR(AD16/AD4,""))</f>
        <v/>
      </c>
    </row>
    <row r="18">
      <c r="A18" s="8" t="inlineStr">
        <is>
          <t>YoY</t>
        </is>
      </c>
      <c r="G18" s="9">
        <f>IF(OR(G16="",C16=""),"",IFERROR(G16/C16-1,""))</f>
        <v/>
      </c>
      <c r="H18" s="9">
        <f>IF(OR(H16="",D16=""),"",IFERROR(H16/D16-1,""))</f>
        <v/>
      </c>
      <c r="I18" s="9">
        <f>IF(OR(I16="",E16=""),"",IFERROR(I16/E16-1,""))</f>
        <v/>
      </c>
      <c r="J18" s="9">
        <f>IF(OR(J16="",F16=""),"",IFERROR(J16/F16-1,""))</f>
        <v/>
      </c>
      <c r="K18" s="9">
        <f>IF(OR(K16="",G16=""),"",IFERROR(K16/G16-1,""))</f>
        <v/>
      </c>
      <c r="L18" s="9">
        <f>IF(OR(L16="",H16=""),"",IFERROR(L16/H16-1,""))</f>
        <v/>
      </c>
      <c r="M18" s="9">
        <f>IF(OR(M16="",I16=""),"",IFERROR(M16/I16-1,""))</f>
        <v/>
      </c>
      <c r="N18" s="9">
        <f>IF(OR(N16="",J16=""),"",IFERROR(N16/J16-1,""))</f>
        <v/>
      </c>
      <c r="O18" s="9">
        <f>IF(OR(O16="",K16=""),"",IFERROR(O16/K16-1,""))</f>
        <v/>
      </c>
      <c r="P18" s="9">
        <f>IF(OR(P16="",L16=""),"",IFERROR(P16/L16-1,""))</f>
        <v/>
      </c>
      <c r="Q18" s="9">
        <f>IF(OR(Q16="",M16=""),"",IFERROR(Q16/M16-1,""))</f>
        <v/>
      </c>
      <c r="R18" s="9">
        <f>IF(OR(R16="",N16=""),"",IFERROR(R16/N16-1,""))</f>
        <v/>
      </c>
      <c r="S18" s="9">
        <f>IF(OR(S16="",O16=""),"",IFERROR(S16/O16-1,""))</f>
        <v/>
      </c>
      <c r="T18" s="9">
        <f>IF(OR(T16="",P16=""),"",IFERROR(T16/P16-1,""))</f>
        <v/>
      </c>
      <c r="U18" s="9">
        <f>IF(OR(U16="",Q16=""),"",IFERROR(U16/Q16-1,""))</f>
        <v/>
      </c>
      <c r="V18" s="9">
        <f>IF(OR(V16="",R16=""),"",IFERROR(V16/R16-1,""))</f>
        <v/>
      </c>
      <c r="X18" s="9">
        <f>IF(OR(X16="",W16=""),"",IFERROR(X16/W16-1,""))</f>
        <v/>
      </c>
      <c r="Y18" s="9">
        <f>IF(OR(Y16="",X16=""),"",IFERROR(Y16/X16-1,""))</f>
        <v/>
      </c>
      <c r="Z18" s="9">
        <f>IF(OR(Z16="",Y16=""),"",IFERROR(Z16/Y16-1,""))</f>
        <v/>
      </c>
      <c r="AA18" s="9">
        <f>IF(OR(AA16="",Z16=""),"",IFERROR(AA16/Z16-1,""))</f>
        <v/>
      </c>
      <c r="AB18" s="9">
        <f>IF(OR(AB16="",AA16=""),"",IFERROR(AB16/AA16-1,""))</f>
        <v/>
      </c>
      <c r="AC18" s="9">
        <f>IF(OR(AC16="",AB16=""),"",IFERROR(AC16/AB16-1,""))</f>
        <v/>
      </c>
      <c r="AD18" s="9">
        <f>IF(OR(AD16="",AC16=""),"",IFERROR(AD16/AC16-1,""))</f>
        <v/>
      </c>
    </row>
    <row r="19">
      <c r="A19" s="10" t="inlineStr">
        <is>
          <t>이자수익</t>
        </is>
      </c>
      <c r="C19" s="11" t="n">
        <v>0.0061</v>
      </c>
      <c r="D19" s="11" t="n">
        <v>0.0157</v>
      </c>
      <c r="E19" s="11" t="n">
        <v>0.0058</v>
      </c>
      <c r="F19" s="11" t="n">
        <v>0.0189</v>
      </c>
      <c r="G19" s="11" t="n">
        <v>0.0083</v>
      </c>
      <c r="H19" s="11" t="n">
        <v>0.0163</v>
      </c>
      <c r="I19" s="11" t="n">
        <v>0.0069</v>
      </c>
      <c r="J19" s="11" t="n">
        <v>0.0161</v>
      </c>
      <c r="K19" s="11" t="n">
        <v>0.0061</v>
      </c>
      <c r="L19" s="11" t="n">
        <v>0.01</v>
      </c>
      <c r="M19" s="11" t="n">
        <v>0.01</v>
      </c>
      <c r="N19" s="11" t="n">
        <v>0.02</v>
      </c>
      <c r="O19" s="11" t="n">
        <v>0.03</v>
      </c>
      <c r="P19" s="11" t="n">
        <v>0.02</v>
      </c>
      <c r="Q19" s="11" t="n">
        <v>0.03</v>
      </c>
      <c r="R19" s="11" t="n">
        <v>0.03</v>
      </c>
      <c r="S19" s="11" t="n">
        <v>0.04</v>
      </c>
      <c r="T19" s="11" t="n">
        <v>0.02</v>
      </c>
      <c r="U19" s="11" t="n">
        <v>0.04</v>
      </c>
      <c r="V19" s="11" t="n">
        <v>0.05</v>
      </c>
      <c r="W19" s="11" t="n">
        <v>0.0305</v>
      </c>
      <c r="X19" s="11" t="n">
        <v>0.0398</v>
      </c>
      <c r="Y19" s="11" t="n">
        <v>0.0476</v>
      </c>
      <c r="Z19" s="11" t="n">
        <v>0.0453</v>
      </c>
      <c r="AA19" s="11" t="n">
        <v>0.0488</v>
      </c>
      <c r="AB19" s="11" t="n">
        <v>0.0454</v>
      </c>
      <c r="AC19" s="11" t="n">
        <v>0.07000000000000001</v>
      </c>
      <c r="AD19" s="11" t="n">
        <v>0.12</v>
      </c>
    </row>
    <row r="20">
      <c r="A20" s="10" t="inlineStr">
        <is>
          <t>배당금수익</t>
        </is>
      </c>
      <c r="C20" s="11" t="n">
        <v>0.008699999999999999</v>
      </c>
      <c r="D20" s="11" t="n">
        <v>0.005</v>
      </c>
      <c r="E20" s="11" t="n">
        <v>0.0129</v>
      </c>
      <c r="F20" s="11" t="n">
        <v>0.0056</v>
      </c>
      <c r="G20" s="11" t="n">
        <v>0.0106</v>
      </c>
      <c r="H20" s="11" t="n">
        <v>0.0066</v>
      </c>
      <c r="I20" s="11" t="n">
        <v>0.008999999999999999</v>
      </c>
      <c r="J20" s="11" t="n">
        <v>0.0072</v>
      </c>
      <c r="K20" s="11" t="n">
        <v>0.0091</v>
      </c>
      <c r="L20" s="11" t="n">
        <v>0</v>
      </c>
      <c r="M20" s="11" t="n">
        <v>0.02</v>
      </c>
      <c r="N20" s="11" t="n">
        <v>0</v>
      </c>
      <c r="O20" s="11" t="n">
        <v>0.02</v>
      </c>
      <c r="P20" s="11" t="n">
        <v>0</v>
      </c>
      <c r="Q20" s="11" t="n">
        <v>0.01</v>
      </c>
      <c r="R20" s="11" t="n">
        <v>0.02</v>
      </c>
      <c r="S20" s="11" t="n">
        <v>0.01</v>
      </c>
      <c r="T20" s="11" t="n">
        <v>0.01</v>
      </c>
      <c r="U20" s="11" t="n">
        <v>0.01</v>
      </c>
      <c r="V20" s="11" t="n">
        <v>0.02</v>
      </c>
      <c r="W20" s="11" t="n">
        <v>0.0226</v>
      </c>
      <c r="X20" s="11" t="n">
        <v>0.0179</v>
      </c>
      <c r="Y20" s="11" t="n">
        <v>0.0267</v>
      </c>
      <c r="Z20" s="11" t="n">
        <v>0.0267</v>
      </c>
      <c r="AA20" s="11" t="n">
        <v>0.0341</v>
      </c>
      <c r="AB20" s="11" t="n">
        <v>0.0318</v>
      </c>
      <c r="AC20" s="11" t="n">
        <v>0.04</v>
      </c>
      <c r="AD20" s="11" t="n">
        <v>0.04</v>
      </c>
    </row>
    <row r="21">
      <c r="A21" s="10" t="inlineStr">
        <is>
          <t>임대료 수익</t>
        </is>
      </c>
      <c r="C21" s="11" t="n">
        <v>0.0989</v>
      </c>
      <c r="D21" s="11" t="n">
        <v>0.1021</v>
      </c>
      <c r="E21" s="11" t="n">
        <v>0.0978</v>
      </c>
      <c r="F21" s="11" t="n">
        <v>0.1017</v>
      </c>
      <c r="G21" s="11" t="n">
        <v>0.0983</v>
      </c>
      <c r="H21" s="11" t="n">
        <v>0.1021</v>
      </c>
      <c r="I21" s="11" t="n">
        <v>0.0984</v>
      </c>
      <c r="J21" s="11" t="n">
        <v>0.0998</v>
      </c>
      <c r="K21" s="11" t="n">
        <v>0.0951</v>
      </c>
      <c r="L21" s="11" t="n">
        <v>0.08</v>
      </c>
      <c r="M21" s="11" t="n">
        <v>0.08</v>
      </c>
      <c r="N21" s="11" t="n">
        <v>0.08</v>
      </c>
      <c r="O21" s="11" t="n">
        <v>0.06</v>
      </c>
      <c r="P21" s="11" t="n">
        <v>0.07000000000000001</v>
      </c>
      <c r="Q21" s="11" t="n">
        <v>0.05</v>
      </c>
      <c r="R21" s="11" t="n">
        <v>0.06</v>
      </c>
      <c r="S21" s="11" t="n">
        <v>0.06</v>
      </c>
      <c r="T21" s="11" t="n">
        <v>0.06</v>
      </c>
      <c r="U21" s="11" t="n">
        <v>0.06</v>
      </c>
      <c r="V21" s="11" t="n">
        <v>0.06</v>
      </c>
      <c r="W21" s="11" t="n">
        <v>0.3489</v>
      </c>
      <c r="X21" s="11" t="n">
        <v>0.2079</v>
      </c>
      <c r="Y21" s="11" t="n">
        <v>0.2813</v>
      </c>
      <c r="Z21" s="11" t="n">
        <v>0.4053</v>
      </c>
      <c r="AA21" s="11" t="n">
        <v>0.3998</v>
      </c>
      <c r="AB21" s="11" t="n">
        <v>0.3954</v>
      </c>
      <c r="AC21" s="11" t="n">
        <v>0.3</v>
      </c>
      <c r="AD21" s="11" t="n">
        <v>0.24</v>
      </c>
    </row>
    <row r="22">
      <c r="A22" s="10" t="inlineStr">
        <is>
          <t>보험금 수익</t>
        </is>
      </c>
      <c r="W22" s="11" t="n">
        <v>0.07530000000000001</v>
      </c>
      <c r="X22" s="11" t="n">
        <v>0.0617</v>
      </c>
      <c r="Y22" s="11" t="n">
        <v>0.0332</v>
      </c>
      <c r="Z22" s="11" t="n">
        <v>0.0577</v>
      </c>
      <c r="AA22" s="11" t="n">
        <v>0.0343</v>
      </c>
    </row>
    <row r="23">
      <c r="A23" s="10" t="inlineStr">
        <is>
          <t>협찬금 수입</t>
        </is>
      </c>
      <c r="C23" s="11" t="n">
        <v>0.06900000000000001</v>
      </c>
      <c r="H23" s="11" t="n">
        <v>0.07729999999999999</v>
      </c>
      <c r="I23" s="11" t="n">
        <v>0.0467</v>
      </c>
      <c r="J23" s="11" t="n">
        <v>0.0658</v>
      </c>
      <c r="K23" s="11" t="n">
        <v>0.1361</v>
      </c>
      <c r="L23" s="11" t="n">
        <v>0.1</v>
      </c>
      <c r="M23" s="11" t="n">
        <v>0.07000000000000001</v>
      </c>
      <c r="N23" s="11" t="n">
        <v>0.1</v>
      </c>
      <c r="O23" s="11" t="n">
        <v>0.07000000000000001</v>
      </c>
      <c r="P23" s="11" t="n">
        <v>0.08</v>
      </c>
      <c r="Q23" s="11" t="n">
        <v>0.09</v>
      </c>
      <c r="R23" s="11" t="n">
        <v>0.09</v>
      </c>
      <c r="S23" s="11" t="n">
        <v>0.14</v>
      </c>
      <c r="T23" s="11" t="n">
        <v>0</v>
      </c>
      <c r="U23" s="11" t="n">
        <v>0</v>
      </c>
      <c r="V23" s="11" t="n">
        <v>0</v>
      </c>
      <c r="W23" s="11" t="n">
        <v>0.6508</v>
      </c>
      <c r="X23" s="11" t="n">
        <v>0.6363</v>
      </c>
      <c r="Y23" s="11" t="n">
        <v>0.606</v>
      </c>
      <c r="Z23" s="11" t="n">
        <v>0.357</v>
      </c>
      <c r="AA23" s="11" t="n">
        <v>0.2552</v>
      </c>
      <c r="AB23" s="11" t="n">
        <v>0.3259</v>
      </c>
      <c r="AC23" s="11" t="n">
        <v>0.34</v>
      </c>
      <c r="AD23" s="11" t="n">
        <v>0.4</v>
      </c>
    </row>
    <row r="24">
      <c r="A24" s="10" t="inlineStr">
        <is>
          <t>보조금 수입</t>
        </is>
      </c>
      <c r="C24" s="11" t="n">
        <v>0.219</v>
      </c>
      <c r="D24" s="11" t="n">
        <v>2.5469</v>
      </c>
      <c r="E24" s="11" t="n">
        <v>-0.1866</v>
      </c>
      <c r="F24" s="11" t="n">
        <v>0.0104</v>
      </c>
      <c r="G24" s="11" t="n">
        <v>0.005</v>
      </c>
      <c r="X24" s="11" t="n">
        <v>0</v>
      </c>
      <c r="Y24" s="11" t="n">
        <v>0.145</v>
      </c>
      <c r="Z24" s="11" t="n">
        <v>15.3886</v>
      </c>
      <c r="AA24" s="11" t="n">
        <v>2.3757</v>
      </c>
      <c r="AB24" s="11" t="n">
        <v>0.0861</v>
      </c>
      <c r="AC24" s="11" t="n">
        <v>0.11</v>
      </c>
      <c r="AD24" s="11" t="n">
        <v>0</v>
      </c>
    </row>
    <row r="25">
      <c r="A25" s="10" t="inlineStr">
        <is>
          <t>투자유가증권 매각이익</t>
        </is>
      </c>
      <c r="O25" s="11" t="n">
        <v>0</v>
      </c>
      <c r="S25" s="11" t="n">
        <v>0</v>
      </c>
      <c r="AC25" s="11" t="n">
        <v>0</v>
      </c>
      <c r="AD25" s="11" t="n">
        <v>0.24</v>
      </c>
    </row>
    <row r="26">
      <c r="A26" s="10" t="inlineStr">
        <is>
          <t>기타</t>
        </is>
      </c>
      <c r="C26" s="11" t="n">
        <v>-0.3025</v>
      </c>
      <c r="D26" s="11" t="n">
        <v>0.0083</v>
      </c>
      <c r="E26" s="11" t="n">
        <v>0.1193</v>
      </c>
      <c r="F26" s="11" t="n">
        <v>0.09030000000000001</v>
      </c>
      <c r="G26" s="11" t="n">
        <v>-0.1625</v>
      </c>
      <c r="H26" s="11" t="n">
        <v>0.0487</v>
      </c>
      <c r="I26" s="11" t="n">
        <v>0.0333</v>
      </c>
      <c r="J26" s="11" t="n">
        <v>0.0353</v>
      </c>
      <c r="K26" s="11" t="n">
        <v>-0.0067</v>
      </c>
      <c r="L26" s="11" t="n">
        <v>0.03</v>
      </c>
      <c r="M26" s="11" t="n">
        <v>0.02</v>
      </c>
      <c r="N26" s="11" t="n">
        <v>0.07000000000000001</v>
      </c>
      <c r="O26" s="11" t="n">
        <v>0.04</v>
      </c>
      <c r="P26" s="11" t="n">
        <v>0.08</v>
      </c>
      <c r="Q26" s="11" t="n">
        <v>0.02</v>
      </c>
      <c r="R26" s="11" t="n">
        <v>0.03</v>
      </c>
      <c r="S26" s="11" t="n">
        <v>0.09</v>
      </c>
      <c r="T26" s="11" t="n">
        <v>0.04</v>
      </c>
      <c r="U26" s="11" t="n">
        <v>0.03</v>
      </c>
      <c r="V26" s="11" t="n">
        <v>0.04</v>
      </c>
      <c r="W26" s="11" t="n">
        <v>0.0513</v>
      </c>
      <c r="X26" s="11" t="n">
        <v>0.057</v>
      </c>
      <c r="Y26" s="11" t="n">
        <v>0.0927</v>
      </c>
      <c r="Z26" s="11" t="n">
        <v>0.0949</v>
      </c>
      <c r="AA26" s="11" t="n">
        <v>0.0555</v>
      </c>
      <c r="AB26" s="11" t="n">
        <v>0.1106</v>
      </c>
      <c r="AC26" s="11" t="n">
        <v>0.16</v>
      </c>
      <c r="AD26" s="11" t="n">
        <v>0.22</v>
      </c>
    </row>
    <row r="27">
      <c r="A27" s="5" t="inlineStr">
        <is>
          <t>영업외수익 합계</t>
        </is>
      </c>
      <c r="C27" s="6" t="n">
        <v>0.445</v>
      </c>
      <c r="D27" s="6" t="n">
        <v>2.678</v>
      </c>
      <c r="E27" s="6" t="n">
        <v>0.0493</v>
      </c>
      <c r="F27" s="6" t="n">
        <v>0.2269</v>
      </c>
      <c r="G27" s="6" t="n">
        <v>0.2492</v>
      </c>
      <c r="H27" s="6" t="n">
        <v>0.2511</v>
      </c>
      <c r="I27" s="6" t="n">
        <v>0.1943</v>
      </c>
      <c r="J27" s="6" t="n">
        <v>0.2242</v>
      </c>
      <c r="K27" s="6" t="n">
        <v>0.3256</v>
      </c>
      <c r="L27" s="6" t="n">
        <v>0.24</v>
      </c>
      <c r="M27" s="6" t="n">
        <v>0.2</v>
      </c>
      <c r="N27" s="6" t="n">
        <v>0.26</v>
      </c>
      <c r="O27" s="6" t="n">
        <v>0.33</v>
      </c>
      <c r="P27" s="6" t="n">
        <v>0.28</v>
      </c>
      <c r="Q27" s="6" t="n">
        <v>0.19</v>
      </c>
      <c r="R27" s="6" t="n">
        <v>0.48</v>
      </c>
      <c r="S27" s="6" t="n">
        <v>0.33</v>
      </c>
      <c r="T27" s="6" t="n">
        <v>0.15</v>
      </c>
      <c r="U27" s="6" t="n">
        <v>0.14</v>
      </c>
      <c r="V27" s="6" t="n">
        <v>0.17</v>
      </c>
      <c r="W27" s="6" t="n">
        <v>1.1793</v>
      </c>
      <c r="X27" s="6" t="n">
        <v>1.0207</v>
      </c>
      <c r="Y27" s="6" t="n">
        <v>1.2326</v>
      </c>
      <c r="Z27" s="6" t="n">
        <v>16.3756</v>
      </c>
      <c r="AA27" s="6" t="n">
        <v>3.2034</v>
      </c>
      <c r="AB27" s="6" t="n">
        <v>0.9952</v>
      </c>
      <c r="AC27" s="6" t="n">
        <v>1.03</v>
      </c>
      <c r="AD27" s="6" t="n">
        <v>1.28</v>
      </c>
    </row>
    <row r="28">
      <c r="A28" s="10" t="inlineStr">
        <is>
          <t>이자비용</t>
        </is>
      </c>
      <c r="C28" s="11" t="n">
        <v>0.0255</v>
      </c>
      <c r="D28" s="11" t="n">
        <v>0.0245</v>
      </c>
      <c r="E28" s="11" t="n">
        <v>0.008200000000000001</v>
      </c>
      <c r="F28" s="11" t="n">
        <v>0.0033</v>
      </c>
      <c r="G28" s="11" t="n">
        <v>0.003</v>
      </c>
      <c r="H28" s="11" t="n">
        <v>0.0022</v>
      </c>
      <c r="I28" s="11" t="n">
        <v>0.0021</v>
      </c>
      <c r="J28" s="11" t="n">
        <v>0.0016</v>
      </c>
      <c r="K28" s="11" t="n">
        <v>0.0013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  <c r="V28" s="11" t="n">
        <v>0</v>
      </c>
      <c r="W28" s="11" t="n">
        <v>0.004</v>
      </c>
      <c r="X28" s="11" t="n">
        <v>0.0047</v>
      </c>
      <c r="Y28" s="11" t="n">
        <v>0.06270000000000001</v>
      </c>
      <c r="Z28" s="11" t="n">
        <v>0.1012</v>
      </c>
      <c r="AA28" s="11" t="n">
        <v>0.039</v>
      </c>
      <c r="AB28" s="11" t="n">
        <v>0.0074</v>
      </c>
      <c r="AC28" s="11" t="n">
        <v>0</v>
      </c>
      <c r="AD28" s="11" t="n">
        <v>0</v>
      </c>
    </row>
    <row r="29">
      <c r="A29" s="10" t="inlineStr">
        <is>
          <t>임대비용</t>
        </is>
      </c>
      <c r="C29" s="11" t="n">
        <v>0.0599</v>
      </c>
      <c r="D29" s="11" t="n">
        <v>0.0615</v>
      </c>
      <c r="E29" s="11" t="n">
        <v>0.0591</v>
      </c>
      <c r="F29" s="11" t="n">
        <v>0.0605</v>
      </c>
      <c r="G29" s="11" t="n">
        <v>0.0597</v>
      </c>
      <c r="H29" s="11" t="n">
        <v>0.06</v>
      </c>
      <c r="I29" s="11" t="n">
        <v>0.0587</v>
      </c>
      <c r="J29" s="11" t="n">
        <v>0.0594</v>
      </c>
      <c r="K29" s="11" t="n">
        <v>0.0595</v>
      </c>
      <c r="L29" s="11" t="n">
        <v>0.05</v>
      </c>
      <c r="M29" s="11" t="n">
        <v>0.06</v>
      </c>
      <c r="N29" s="11" t="n">
        <v>0.05</v>
      </c>
      <c r="O29" s="11" t="n">
        <v>0.06</v>
      </c>
      <c r="P29" s="11" t="n">
        <v>0.05</v>
      </c>
      <c r="Q29" s="11" t="n">
        <v>0.04</v>
      </c>
      <c r="R29" s="11" t="n">
        <v>0.05</v>
      </c>
      <c r="S29" s="11" t="n">
        <v>0.06</v>
      </c>
      <c r="T29" s="11" t="n">
        <v>0.05</v>
      </c>
      <c r="U29" s="11" t="n">
        <v>0.05</v>
      </c>
      <c r="V29" s="11" t="n">
        <v>0.05</v>
      </c>
      <c r="W29" s="11" t="n">
        <v>0.3096</v>
      </c>
      <c r="X29" s="11" t="n">
        <v>0.2467</v>
      </c>
      <c r="Y29" s="11" t="n">
        <v>0.2492</v>
      </c>
      <c r="Z29" s="11" t="n">
        <v>0.2405</v>
      </c>
      <c r="AA29" s="11" t="n">
        <v>0.2408</v>
      </c>
      <c r="AB29" s="11" t="n">
        <v>0.2377</v>
      </c>
      <c r="AC29" s="11" t="n">
        <v>0.22</v>
      </c>
      <c r="AD29" s="11" t="n">
        <v>0.2</v>
      </c>
    </row>
    <row r="30">
      <c r="A30" s="10" t="inlineStr">
        <is>
          <t>기타</t>
        </is>
      </c>
      <c r="C30" s="11" t="n">
        <v>0.007900000000000001</v>
      </c>
      <c r="D30" s="11" t="n">
        <v>0.0649</v>
      </c>
      <c r="E30" s="11" t="n">
        <v>0.0649</v>
      </c>
      <c r="F30" s="11" t="n">
        <v>0.0328</v>
      </c>
      <c r="G30" s="11" t="n">
        <v>0.0205</v>
      </c>
      <c r="H30" s="11" t="n">
        <v>0.0207</v>
      </c>
      <c r="I30" s="11" t="n">
        <v>0.0275</v>
      </c>
      <c r="J30" s="11" t="n">
        <v>0.0366</v>
      </c>
      <c r="K30" s="11" t="n">
        <v>0.0199</v>
      </c>
      <c r="L30" s="11" t="n">
        <v>0.03</v>
      </c>
      <c r="M30" s="11" t="n">
        <v>0.01</v>
      </c>
      <c r="N30" s="11" t="n">
        <v>0.05</v>
      </c>
      <c r="O30" s="11" t="n">
        <v>0.03</v>
      </c>
      <c r="P30" s="11" t="n">
        <v>0.02</v>
      </c>
      <c r="Q30" s="11" t="n">
        <v>0.01</v>
      </c>
      <c r="R30" s="11" t="n">
        <v>0.03</v>
      </c>
      <c r="S30" s="11" t="n">
        <v>0.06</v>
      </c>
      <c r="T30" s="11" t="n">
        <v>0.04</v>
      </c>
      <c r="U30" s="11" t="n">
        <v>0.02</v>
      </c>
      <c r="V30" s="11" t="n">
        <v>0.03</v>
      </c>
      <c r="W30" s="11" t="n">
        <v>0.1428</v>
      </c>
      <c r="X30" s="11" t="n">
        <v>0.1338</v>
      </c>
      <c r="Y30" s="11" t="n">
        <v>0.0361</v>
      </c>
      <c r="Z30" s="11" t="n">
        <v>0.0594</v>
      </c>
      <c r="AA30" s="11" t="n">
        <v>0.1832</v>
      </c>
      <c r="AB30" s="11" t="n">
        <v>0.1048</v>
      </c>
      <c r="AC30" s="11" t="n">
        <v>0.12</v>
      </c>
      <c r="AD30" s="11" t="n">
        <v>0.12</v>
      </c>
    </row>
    <row r="31">
      <c r="A31" s="10" t="inlineStr">
        <is>
          <t>영업외비용 합계</t>
        </is>
      </c>
      <c r="C31" s="11" t="n">
        <v>0.0934</v>
      </c>
      <c r="D31" s="11" t="n">
        <v>0.1509</v>
      </c>
      <c r="E31" s="11" t="n">
        <v>0.1323</v>
      </c>
      <c r="F31" s="11" t="n">
        <v>0.09660000000000001</v>
      </c>
      <c r="G31" s="11" t="n">
        <v>0.0832</v>
      </c>
      <c r="H31" s="11" t="n">
        <v>0.083</v>
      </c>
      <c r="I31" s="11" t="n">
        <v>0.0883</v>
      </c>
      <c r="J31" s="11" t="n">
        <v>0.0977</v>
      </c>
      <c r="K31" s="11" t="n">
        <v>0.0808</v>
      </c>
      <c r="L31" s="11" t="n">
        <v>0.09</v>
      </c>
      <c r="M31" s="11" t="n">
        <v>0.07000000000000001</v>
      </c>
      <c r="N31" s="11" t="n">
        <v>0.11</v>
      </c>
      <c r="O31" s="11" t="n">
        <v>0.07000000000000001</v>
      </c>
      <c r="P31" s="11" t="n">
        <v>0.07000000000000001</v>
      </c>
      <c r="Q31" s="11" t="n">
        <v>0.07000000000000001</v>
      </c>
      <c r="R31" s="11" t="n">
        <v>0.07000000000000001</v>
      </c>
      <c r="S31" s="11" t="n">
        <v>0.12</v>
      </c>
      <c r="T31" s="11" t="n">
        <v>0.09</v>
      </c>
      <c r="U31" s="11" t="n">
        <v>0.07000000000000001</v>
      </c>
      <c r="V31" s="11" t="n">
        <v>0.1</v>
      </c>
      <c r="W31" s="11" t="n">
        <v>0.4564</v>
      </c>
      <c r="X31" s="11" t="n">
        <v>0.3852</v>
      </c>
      <c r="Y31" s="11" t="n">
        <v>0.3481</v>
      </c>
      <c r="Z31" s="11" t="n">
        <v>0.4011</v>
      </c>
      <c r="AA31" s="11" t="n">
        <v>0.463</v>
      </c>
      <c r="AB31" s="11" t="n">
        <v>0.3499</v>
      </c>
      <c r="AC31" s="11" t="n">
        <v>0.34</v>
      </c>
      <c r="AD31" s="11" t="n">
        <v>0.33</v>
      </c>
    </row>
    <row r="32">
      <c r="A32" s="5" t="inlineStr">
        <is>
          <t>경상이익</t>
        </is>
      </c>
      <c r="C32" s="6" t="n">
        <v>3.6203</v>
      </c>
      <c r="D32" s="6" t="n">
        <v>3.6318</v>
      </c>
      <c r="E32" s="6" t="n">
        <v>2.2973</v>
      </c>
      <c r="F32" s="6" t="n">
        <v>2.1889</v>
      </c>
      <c r="G32" s="6" t="n">
        <v>2.0849</v>
      </c>
      <c r="H32" s="6" t="n">
        <v>3.1394</v>
      </c>
      <c r="I32" s="6" t="n">
        <v>2.832</v>
      </c>
      <c r="J32" s="6" t="n">
        <v>6.3365</v>
      </c>
      <c r="K32" s="6" t="n">
        <v>4.7801</v>
      </c>
      <c r="L32" s="6" t="n">
        <v>7.93</v>
      </c>
      <c r="M32" s="6" t="n">
        <v>4.55</v>
      </c>
      <c r="N32" s="6" t="n">
        <v>8.1</v>
      </c>
      <c r="O32" s="6" t="n">
        <v>5.42</v>
      </c>
      <c r="P32" s="6" t="n">
        <v>5.53</v>
      </c>
      <c r="Q32" s="6" t="n">
        <v>7.05</v>
      </c>
      <c r="R32" s="6" t="n">
        <v>8.74</v>
      </c>
      <c r="S32" s="6" t="n">
        <v>8.93</v>
      </c>
      <c r="T32" s="6" t="n">
        <v>10.37</v>
      </c>
      <c r="U32" s="6" t="n">
        <v>9.039999999999999</v>
      </c>
      <c r="V32" s="6" t="n">
        <v>11.32</v>
      </c>
      <c r="W32" s="6" t="n">
        <v>26.6943</v>
      </c>
      <c r="X32" s="6" t="n">
        <v>24.5869</v>
      </c>
      <c r="Y32" s="6" t="n">
        <v>2.5072</v>
      </c>
      <c r="Z32" s="6" t="n">
        <v>15.4906</v>
      </c>
      <c r="AA32" s="6" t="n">
        <v>10.2028</v>
      </c>
      <c r="AB32" s="6" t="n">
        <v>17.0879</v>
      </c>
      <c r="AC32" s="6" t="n">
        <v>26</v>
      </c>
      <c r="AD32" s="6" t="n">
        <v>30.25</v>
      </c>
    </row>
    <row r="33">
      <c r="A33" s="8" t="inlineStr">
        <is>
          <t>경상이익률</t>
        </is>
      </c>
      <c r="C33" s="9">
        <f>IF(OR(C32="",C4=""),"",IFERROR(C32/C4,""))</f>
        <v/>
      </c>
      <c r="D33" s="9">
        <f>IF(OR(D32="",D4=""),"",IFERROR(D32/D4,""))</f>
        <v/>
      </c>
      <c r="E33" s="9">
        <f>IF(OR(E32="",E4=""),"",IFERROR(E32/E4,""))</f>
        <v/>
      </c>
      <c r="F33" s="9">
        <f>IF(OR(F32="",F4=""),"",IFERROR(F32/F4,""))</f>
        <v/>
      </c>
      <c r="G33" s="9">
        <f>IF(OR(G32="",G4=""),"",IFERROR(G32/G4,""))</f>
        <v/>
      </c>
      <c r="H33" s="9">
        <f>IF(OR(H32="",H4=""),"",IFERROR(H32/H4,""))</f>
        <v/>
      </c>
      <c r="I33" s="9">
        <f>IF(OR(I32="",I4=""),"",IFERROR(I32/I4,""))</f>
        <v/>
      </c>
      <c r="J33" s="9">
        <f>IF(OR(J32="",J4=""),"",IFERROR(J32/J4,""))</f>
        <v/>
      </c>
      <c r="K33" s="9">
        <f>IF(OR(K32="",K4=""),"",IFERROR(K32/K4,""))</f>
        <v/>
      </c>
      <c r="L33" s="9">
        <f>IF(OR(L32="",L4=""),"",IFERROR(L32/L4,""))</f>
        <v/>
      </c>
      <c r="M33" s="9">
        <f>IF(OR(M32="",M4=""),"",IFERROR(M32/M4,""))</f>
        <v/>
      </c>
      <c r="N33" s="9">
        <f>IF(OR(N32="",N4=""),"",IFERROR(N32/N4,""))</f>
        <v/>
      </c>
      <c r="O33" s="9">
        <f>IF(OR(O32="",O4=""),"",IFERROR(O32/O4,""))</f>
        <v/>
      </c>
      <c r="P33" s="9">
        <f>IF(OR(P32="",P4=""),"",IFERROR(P32/P4,""))</f>
        <v/>
      </c>
      <c r="Q33" s="9">
        <f>IF(OR(Q32="",Q4=""),"",IFERROR(Q32/Q4,""))</f>
        <v/>
      </c>
      <c r="R33" s="9">
        <f>IF(OR(R32="",R4=""),"",IFERROR(R32/R4,""))</f>
        <v/>
      </c>
      <c r="S33" s="9">
        <f>IF(OR(S32="",S4=""),"",IFERROR(S32/S4,""))</f>
        <v/>
      </c>
      <c r="T33" s="9">
        <f>IF(OR(T32="",T4=""),"",IFERROR(T32/T4,""))</f>
        <v/>
      </c>
      <c r="U33" s="9">
        <f>IF(OR(U32="",U4=""),"",IFERROR(U32/U4,""))</f>
        <v/>
      </c>
      <c r="V33" s="9">
        <f>IF(OR(V32="",V4=""),"",IFERROR(V32/V4,""))</f>
        <v/>
      </c>
      <c r="W33" s="9">
        <f>IF(OR(W32="",W4=""),"",IFERROR(W32/W4,""))</f>
        <v/>
      </c>
      <c r="X33" s="9">
        <f>IF(OR(X32="",X4=""),"",IFERROR(X32/X4,""))</f>
        <v/>
      </c>
      <c r="Y33" s="9">
        <f>IF(OR(Y32="",Y4=""),"",IFERROR(Y32/Y4,""))</f>
        <v/>
      </c>
      <c r="Z33" s="9">
        <f>IF(OR(Z32="",Z4=""),"",IFERROR(Z32/Z4,""))</f>
        <v/>
      </c>
      <c r="AA33" s="9">
        <f>IF(OR(AA32="",AA4=""),"",IFERROR(AA32/AA4,""))</f>
        <v/>
      </c>
      <c r="AB33" s="9">
        <f>IF(OR(AB32="",AB4=""),"",IFERROR(AB32/AB4,""))</f>
        <v/>
      </c>
      <c r="AC33" s="9">
        <f>IF(OR(AC32="",AC4=""),"",IFERROR(AC32/AC4,""))</f>
        <v/>
      </c>
      <c r="AD33" s="9">
        <f>IF(OR(AD32="",AD4=""),"",IFERROR(AD32/AD4,""))</f>
        <v/>
      </c>
    </row>
    <row r="34">
      <c r="A34" s="10" t="inlineStr">
        <is>
          <t>보험금 수익</t>
        </is>
      </c>
      <c r="C34" s="11" t="n">
        <v>0</v>
      </c>
      <c r="D34" s="11" t="n">
        <v>0.7337</v>
      </c>
      <c r="E34" s="11" t="n">
        <v>0.1277</v>
      </c>
      <c r="F34" s="11" t="n">
        <v>0</v>
      </c>
      <c r="G34" s="11" t="n">
        <v>0</v>
      </c>
      <c r="Z34" s="11" t="n">
        <v>0</v>
      </c>
      <c r="AA34" s="11" t="n">
        <v>0.8614000000000001</v>
      </c>
    </row>
    <row r="35">
      <c r="A35" s="10" t="inlineStr">
        <is>
          <t>고정자산 매각이익</t>
        </is>
      </c>
      <c r="C35" s="11" t="n">
        <v>0</v>
      </c>
      <c r="F35" s="11" t="n">
        <v>0</v>
      </c>
      <c r="G35" s="11" t="n">
        <v>0.0008</v>
      </c>
      <c r="R35" s="11" t="n">
        <v>0</v>
      </c>
      <c r="S35" s="11" t="n">
        <v>0</v>
      </c>
      <c r="V35" s="11" t="n">
        <v>0</v>
      </c>
      <c r="W35" s="11" t="n">
        <v>0</v>
      </c>
      <c r="X35" s="11" t="n">
        <v>0.0027</v>
      </c>
      <c r="Y35" s="11" t="n">
        <v>0.0143</v>
      </c>
      <c r="Z35" s="11" t="n">
        <v>0</v>
      </c>
      <c r="AA35" s="11" t="n">
        <v>0.0078</v>
      </c>
      <c r="AB35" s="11" t="n">
        <v>0.0019</v>
      </c>
      <c r="AC35" s="11" t="n">
        <v>0.01</v>
      </c>
      <c r="AD35" s="11" t="n">
        <v>0</v>
      </c>
    </row>
    <row r="36">
      <c r="A36" s="10" t="inlineStr">
        <is>
          <t>보조금 수입</t>
        </is>
      </c>
      <c r="C36" s="11" t="n">
        <v>-0.06279999999999999</v>
      </c>
      <c r="D36" s="11" t="n">
        <v>0</v>
      </c>
      <c r="E36" s="11" t="n">
        <v>0</v>
      </c>
      <c r="F36" s="11" t="n">
        <v>0</v>
      </c>
      <c r="G36" s="11" t="n">
        <v>0</v>
      </c>
      <c r="X36" s="11" t="n">
        <v>0</v>
      </c>
      <c r="Y36" s="11" t="n">
        <v>1.1581</v>
      </c>
      <c r="Z36" s="11" t="n">
        <v>0.2193</v>
      </c>
      <c r="AA36" s="11" t="n">
        <v>0</v>
      </c>
    </row>
    <row r="37">
      <c r="A37" s="10" t="inlineStr">
        <is>
          <t>투자유가증권 매각이익</t>
        </is>
      </c>
      <c r="Z37" s="11" t="n">
        <v>0</v>
      </c>
      <c r="AA37" s="11" t="n">
        <v>0.0356</v>
      </c>
    </row>
    <row r="38">
      <c r="A38" s="10" t="inlineStr">
        <is>
          <t>특별이익 합계</t>
        </is>
      </c>
      <c r="C38" s="11" t="n">
        <v>-0.06279999999999999</v>
      </c>
      <c r="D38" s="11" t="n">
        <v>0.7337</v>
      </c>
      <c r="E38" s="11" t="n">
        <v>0.1347</v>
      </c>
      <c r="F38" s="11" t="n">
        <v>0</v>
      </c>
      <c r="G38" s="11" t="n">
        <v>0.0364</v>
      </c>
      <c r="R38" s="11" t="n">
        <v>0</v>
      </c>
      <c r="S38" s="11" t="n">
        <v>0</v>
      </c>
      <c r="V38" s="11" t="n">
        <v>0</v>
      </c>
      <c r="W38" s="11" t="n">
        <v>0</v>
      </c>
      <c r="X38" s="11" t="n">
        <v>0.0027</v>
      </c>
      <c r="Y38" s="11" t="n">
        <v>1.1725</v>
      </c>
      <c r="Z38" s="11" t="n">
        <v>0.2193</v>
      </c>
      <c r="AA38" s="11" t="n">
        <v>0.9048</v>
      </c>
      <c r="AB38" s="11" t="n">
        <v>0.0019</v>
      </c>
      <c r="AC38" s="11" t="n">
        <v>0.01</v>
      </c>
      <c r="AD38" s="11" t="n">
        <v>0</v>
      </c>
    </row>
    <row r="39">
      <c r="A39" s="10" t="inlineStr">
        <is>
          <t>고정자산 제각·매각손실</t>
        </is>
      </c>
      <c r="C39" s="11" t="n">
        <v>0.0052</v>
      </c>
      <c r="D39" s="11" t="n">
        <v>0.0001</v>
      </c>
      <c r="E39" s="11" t="n">
        <v>0.0159</v>
      </c>
      <c r="F39" s="11" t="n">
        <v>0.1484</v>
      </c>
      <c r="G39" s="11" t="n">
        <v>0.0056</v>
      </c>
      <c r="H39" s="11" t="n">
        <v>0.0129</v>
      </c>
      <c r="I39" s="11" t="n">
        <v>0.0066</v>
      </c>
      <c r="J39" s="11" t="n">
        <v>0.2549</v>
      </c>
      <c r="K39" s="11" t="n">
        <v>0.0142</v>
      </c>
      <c r="L39" s="11" t="n">
        <v>0</v>
      </c>
      <c r="M39" s="11" t="n">
        <v>0.01</v>
      </c>
      <c r="N39" s="11" t="n">
        <v>0</v>
      </c>
      <c r="O39" s="11" t="n">
        <v>0.02</v>
      </c>
      <c r="P39" s="11" t="n">
        <v>0</v>
      </c>
      <c r="Q39" s="11" t="n">
        <v>0</v>
      </c>
      <c r="R39" s="11" t="n">
        <v>0.02</v>
      </c>
      <c r="S39" s="11" t="n">
        <v>0.01</v>
      </c>
      <c r="T39" s="11" t="n">
        <v>0.01</v>
      </c>
      <c r="U39" s="11" t="n">
        <v>0.01</v>
      </c>
      <c r="V39" s="11" t="n">
        <v>0.01</v>
      </c>
      <c r="W39" s="11" t="n">
        <v>0.1436</v>
      </c>
      <c r="X39" s="11" t="n">
        <v>0.0636</v>
      </c>
      <c r="Y39" s="11" t="n">
        <v>0.08840000000000001</v>
      </c>
      <c r="Z39" s="11" t="n">
        <v>0.0426</v>
      </c>
      <c r="AA39" s="11" t="n">
        <v>0.1701</v>
      </c>
      <c r="AB39" s="11" t="n">
        <v>0.2886</v>
      </c>
      <c r="AC39" s="11" t="n">
        <v>0.03</v>
      </c>
      <c r="AD39" s="11" t="n">
        <v>0.03</v>
      </c>
    </row>
    <row r="40">
      <c r="A40" s="10" t="inlineStr">
        <is>
          <t>투자유가증권 평가손실</t>
        </is>
      </c>
      <c r="C40" s="11" t="n">
        <v>0</v>
      </c>
      <c r="W40" s="11" t="n">
        <v>0</v>
      </c>
      <c r="X40" s="11" t="n">
        <v>0.081</v>
      </c>
      <c r="Y40" s="11" t="n">
        <v>0.1281</v>
      </c>
      <c r="Z40" s="11" t="n">
        <v>0</v>
      </c>
    </row>
    <row r="41">
      <c r="A41" s="10" t="inlineStr">
        <is>
          <t>점포 휴업손실</t>
        </is>
      </c>
      <c r="X41" s="11" t="n">
        <v>0</v>
      </c>
      <c r="Y41" s="11" t="n">
        <v>2.5194</v>
      </c>
    </row>
    <row r="42">
      <c r="A42" s="10" t="inlineStr">
        <is>
          <t>점포 휴업손실</t>
        </is>
      </c>
      <c r="D42" s="11" t="n">
        <v>0.0242</v>
      </c>
      <c r="E42" s="11" t="n">
        <v>0</v>
      </c>
    </row>
    <row r="43">
      <c r="A43" s="10" t="inlineStr">
        <is>
          <t>점포 휴업손실</t>
        </is>
      </c>
      <c r="Y43" s="11" t="n">
        <v>2.5194</v>
      </c>
      <c r="Z43" s="11" t="n">
        <v>0.3104</v>
      </c>
      <c r="AA43" s="11" t="n">
        <v>0.0242</v>
      </c>
    </row>
    <row r="44">
      <c r="A44" s="10" t="inlineStr">
        <is>
          <t>화재손실</t>
        </is>
      </c>
      <c r="Y44" s="11" t="n">
        <v>0</v>
      </c>
      <c r="Z44" s="11" t="n">
        <v>0.4033</v>
      </c>
      <c r="AA44" s="11" t="n">
        <v>0</v>
      </c>
    </row>
    <row r="45">
      <c r="A45" s="10" t="inlineStr">
        <is>
          <t>손상차손</t>
        </is>
      </c>
      <c r="C45" s="11" t="n">
        <v>0.5834</v>
      </c>
      <c r="G45" s="11" t="n">
        <v>0.5729</v>
      </c>
      <c r="J45" s="11" t="n">
        <v>0</v>
      </c>
      <c r="K45" s="11" t="n">
        <v>2.0065</v>
      </c>
      <c r="N45" s="11" t="n">
        <v>0</v>
      </c>
      <c r="O45" s="11" t="n">
        <v>1.76</v>
      </c>
      <c r="S45" s="11" t="n">
        <v>2.49</v>
      </c>
      <c r="W45" s="11" t="n">
        <v>0.7604</v>
      </c>
      <c r="X45" s="11" t="n">
        <v>1.1862</v>
      </c>
      <c r="Y45" s="11" t="n">
        <v>5.0804</v>
      </c>
      <c r="Z45" s="11" t="n">
        <v>0.7022</v>
      </c>
      <c r="AA45" s="11" t="n">
        <v>0.5729</v>
      </c>
      <c r="AB45" s="11" t="n">
        <v>2.2746</v>
      </c>
      <c r="AC45" s="11" t="n">
        <v>1.76</v>
      </c>
      <c r="AD45" s="11" t="n">
        <v>2.61</v>
      </c>
    </row>
    <row r="46">
      <c r="A46" s="10" t="inlineStr">
        <is>
          <t>기타</t>
        </is>
      </c>
      <c r="J46" s="11" t="n">
        <v>0</v>
      </c>
      <c r="K46" s="11" t="n">
        <v>0</v>
      </c>
      <c r="N46" s="11" t="n">
        <v>0</v>
      </c>
      <c r="O46" s="11" t="n">
        <v>0.07000000000000001</v>
      </c>
      <c r="AB46" s="11" t="n">
        <v>0.0314</v>
      </c>
      <c r="AC46" s="11" t="n">
        <v>0.07000000000000001</v>
      </c>
      <c r="AD46" s="11" t="n">
        <v>0</v>
      </c>
    </row>
    <row r="47">
      <c r="A47" s="10" t="inlineStr">
        <is>
          <t>특별손실 합계</t>
        </is>
      </c>
      <c r="C47" s="11" t="n">
        <v>0.8592</v>
      </c>
      <c r="D47" s="11" t="n">
        <v>0.0244</v>
      </c>
      <c r="E47" s="11" t="n">
        <v>0.0159</v>
      </c>
      <c r="F47" s="11" t="n">
        <v>0.1484</v>
      </c>
      <c r="G47" s="11" t="n">
        <v>0.5785</v>
      </c>
      <c r="H47" s="11" t="n">
        <v>0.0129</v>
      </c>
      <c r="I47" s="11" t="n">
        <v>0.3061</v>
      </c>
      <c r="J47" s="11" t="n">
        <v>0.2549</v>
      </c>
      <c r="K47" s="11" t="n">
        <v>2.0207</v>
      </c>
      <c r="L47" s="11" t="n">
        <v>0</v>
      </c>
      <c r="M47" s="11" t="n">
        <v>0.01</v>
      </c>
      <c r="N47" s="11" t="n">
        <v>0</v>
      </c>
      <c r="O47" s="11" t="n">
        <v>1.85</v>
      </c>
      <c r="P47" s="11" t="n">
        <v>0</v>
      </c>
      <c r="Q47" s="11" t="n">
        <v>0</v>
      </c>
      <c r="R47" s="11" t="n">
        <v>0.14</v>
      </c>
      <c r="S47" s="11" t="n">
        <v>2.5</v>
      </c>
      <c r="T47" s="11" t="n">
        <v>0.01</v>
      </c>
      <c r="U47" s="11" t="n">
        <v>0.01</v>
      </c>
      <c r="V47" s="11" t="n">
        <v>0.01</v>
      </c>
      <c r="W47" s="11" t="n">
        <v>0.904</v>
      </c>
      <c r="X47" s="11" t="n">
        <v>1.3308</v>
      </c>
      <c r="Y47" s="11" t="n">
        <v>7.8163</v>
      </c>
      <c r="Z47" s="11" t="n">
        <v>1.4586</v>
      </c>
      <c r="AA47" s="11" t="n">
        <v>0.7672</v>
      </c>
      <c r="AB47" s="11" t="n">
        <v>2.5946</v>
      </c>
      <c r="AC47" s="11" t="n">
        <v>1.86</v>
      </c>
      <c r="AD47" s="11" t="n">
        <v>2.64</v>
      </c>
    </row>
    <row r="48">
      <c r="A48" s="10" t="inlineStr">
        <is>
          <t>법인세차감전 순이익</t>
        </is>
      </c>
      <c r="C48" s="11" t="n">
        <v>2.6983</v>
      </c>
      <c r="D48" s="11" t="n">
        <v>4.3411</v>
      </c>
      <c r="E48" s="11" t="n">
        <v>2.4161</v>
      </c>
      <c r="F48" s="11" t="n">
        <v>2.0404</v>
      </c>
      <c r="G48" s="11" t="n">
        <v>1.5427</v>
      </c>
      <c r="H48" s="11" t="n">
        <v>3.1265</v>
      </c>
      <c r="I48" s="11" t="n">
        <v>2.5259</v>
      </c>
      <c r="J48" s="11" t="n">
        <v>6.0816</v>
      </c>
      <c r="K48" s="11" t="n">
        <v>2.7612</v>
      </c>
      <c r="L48" s="11" t="n">
        <v>7.93</v>
      </c>
      <c r="M48" s="11" t="n">
        <v>4.54</v>
      </c>
      <c r="N48" s="11" t="n">
        <v>8.1</v>
      </c>
      <c r="O48" s="11" t="n">
        <v>3.58</v>
      </c>
      <c r="P48" s="11" t="n">
        <v>5.52</v>
      </c>
      <c r="Q48" s="11" t="n">
        <v>7.05</v>
      </c>
      <c r="R48" s="11" t="n">
        <v>8.6</v>
      </c>
      <c r="S48" s="11" t="n">
        <v>6.43</v>
      </c>
      <c r="T48" s="11" t="n">
        <v>10.35</v>
      </c>
      <c r="U48" s="11" t="n">
        <v>9.039999999999999</v>
      </c>
      <c r="V48" s="11" t="n">
        <v>11.31</v>
      </c>
      <c r="W48" s="11" t="n">
        <v>25.7903</v>
      </c>
      <c r="X48" s="11" t="n">
        <v>23.2588</v>
      </c>
      <c r="Y48" s="11" t="n">
        <v>-4.1366</v>
      </c>
      <c r="Z48" s="11" t="n">
        <v>14.2514</v>
      </c>
      <c r="AA48" s="11" t="n">
        <v>10.3404</v>
      </c>
      <c r="AB48" s="11" t="n">
        <v>14.4952</v>
      </c>
      <c r="AC48" s="11" t="n">
        <v>24.15</v>
      </c>
      <c r="AD48" s="11" t="n">
        <v>27.6</v>
      </c>
    </row>
    <row r="49">
      <c r="A49" s="10" t="inlineStr">
        <is>
          <t>법인세·주민세·사업세</t>
        </is>
      </c>
      <c r="C49" s="11" t="n">
        <v>1.1348</v>
      </c>
      <c r="D49" s="11" t="n">
        <v>1.4986</v>
      </c>
      <c r="E49" s="11" t="n">
        <v>0.5986</v>
      </c>
      <c r="F49" s="11" t="n">
        <v>1.1455</v>
      </c>
      <c r="G49" s="11" t="n">
        <v>0.039</v>
      </c>
      <c r="H49" s="11" t="n">
        <v>1.5506</v>
      </c>
      <c r="I49" s="11" t="n">
        <v>0.8421</v>
      </c>
      <c r="J49" s="11" t="n">
        <v>2.5552</v>
      </c>
      <c r="K49" s="11" t="n">
        <v>0.5006</v>
      </c>
      <c r="L49" s="11" t="n">
        <v>2.99</v>
      </c>
      <c r="M49" s="11" t="n">
        <v>0.98</v>
      </c>
      <c r="N49" s="11" t="n">
        <v>3.32</v>
      </c>
      <c r="O49" s="11" t="n">
        <v>0.25</v>
      </c>
      <c r="P49" s="11" t="n">
        <v>2.21</v>
      </c>
      <c r="Q49" s="11" t="n">
        <v>1.8</v>
      </c>
      <c r="R49" s="11" t="n">
        <v>3.51</v>
      </c>
      <c r="S49" s="11" t="n">
        <v>1.36</v>
      </c>
      <c r="T49" s="11" t="n">
        <v>3.64</v>
      </c>
      <c r="U49" s="11" t="n">
        <v>2.85</v>
      </c>
      <c r="V49" s="11" t="n">
        <v>4.4</v>
      </c>
      <c r="W49" s="11" t="n">
        <v>8.5077</v>
      </c>
      <c r="X49" s="11" t="n">
        <v>7.8364</v>
      </c>
      <c r="Y49" s="11" t="n">
        <v>0.6076</v>
      </c>
      <c r="Z49" s="11" t="n">
        <v>5.0532</v>
      </c>
      <c r="AA49" s="11" t="n">
        <v>3.2816</v>
      </c>
      <c r="AB49" s="11" t="n">
        <v>5.4484</v>
      </c>
      <c r="AC49" s="11" t="n">
        <v>7.54</v>
      </c>
      <c r="AD49" s="11" t="n">
        <v>8.880000000000001</v>
      </c>
    </row>
    <row r="50">
      <c r="A50" s="10" t="inlineStr">
        <is>
          <t>법인세 조정액</t>
        </is>
      </c>
      <c r="C50" s="11" t="n">
        <v>-0.1931</v>
      </c>
      <c r="D50" s="11" t="n">
        <v>0.023</v>
      </c>
      <c r="E50" s="11" t="n">
        <v>0.3442</v>
      </c>
      <c r="F50" s="11" t="n">
        <v>-0.293</v>
      </c>
      <c r="G50" s="11" t="n">
        <v>0.1132</v>
      </c>
      <c r="H50" s="11" t="n">
        <v>-0.3051</v>
      </c>
      <c r="I50" s="11" t="n">
        <v>0.2239</v>
      </c>
      <c r="J50" s="11" t="n">
        <v>-0.5119</v>
      </c>
      <c r="K50" s="11" t="n">
        <v>-0.3919</v>
      </c>
      <c r="L50" s="11" t="n">
        <v>-0.33</v>
      </c>
      <c r="M50" s="11" t="n">
        <v>0.59</v>
      </c>
      <c r="N50" s="11" t="n">
        <v>-0.67</v>
      </c>
      <c r="O50" s="11" t="n">
        <v>-0.13</v>
      </c>
      <c r="P50" s="11" t="n">
        <v>-0.41</v>
      </c>
      <c r="Q50" s="11" t="n">
        <v>0.5600000000000001</v>
      </c>
      <c r="R50" s="11" t="n">
        <v>-0.6899999999999999</v>
      </c>
      <c r="S50" s="11" t="n">
        <v>-0.43</v>
      </c>
      <c r="T50" s="11" t="n">
        <v>-0.22</v>
      </c>
      <c r="U50" s="11" t="n">
        <v>0.22</v>
      </c>
      <c r="V50" s="11" t="n">
        <v>-0.67</v>
      </c>
      <c r="W50" s="11" t="n">
        <v>-0.5899</v>
      </c>
      <c r="X50" s="11" t="n">
        <v>-0.0239</v>
      </c>
      <c r="Y50" s="11" t="n">
        <v>1.1373</v>
      </c>
      <c r="Z50" s="11" t="n">
        <v>-0.3537</v>
      </c>
      <c r="AA50" s="11" t="n">
        <v>0.1874</v>
      </c>
      <c r="AB50" s="11" t="n">
        <v>-0.985</v>
      </c>
      <c r="AC50" s="11" t="n">
        <v>-0.54</v>
      </c>
      <c r="AD50" s="11" t="n">
        <v>-0.97</v>
      </c>
    </row>
    <row r="51">
      <c r="A51" s="10" t="inlineStr">
        <is>
          <t>법인세 등 합계</t>
        </is>
      </c>
      <c r="C51" s="11" t="n">
        <v>0.9416</v>
      </c>
      <c r="D51" s="11" t="n">
        <v>1.5215</v>
      </c>
      <c r="E51" s="11" t="n">
        <v>0.9428</v>
      </c>
      <c r="F51" s="11" t="n">
        <v>0.8525</v>
      </c>
      <c r="G51" s="11" t="n">
        <v>0.1522</v>
      </c>
      <c r="H51" s="11" t="n">
        <v>1.2455</v>
      </c>
      <c r="I51" s="11" t="n">
        <v>1.066</v>
      </c>
      <c r="J51" s="11" t="n">
        <v>2.0434</v>
      </c>
      <c r="K51" s="11" t="n">
        <v>0.1086</v>
      </c>
      <c r="L51" s="11" t="n">
        <v>2.65</v>
      </c>
      <c r="M51" s="11" t="n">
        <v>1.58</v>
      </c>
      <c r="N51" s="11" t="n">
        <v>2.64</v>
      </c>
      <c r="O51" s="11" t="n">
        <v>0.12</v>
      </c>
      <c r="P51" s="11" t="n">
        <v>1.79</v>
      </c>
      <c r="Q51" s="11" t="n">
        <v>2.37</v>
      </c>
      <c r="R51" s="11" t="n">
        <v>2.82</v>
      </c>
      <c r="S51" s="11" t="n">
        <v>0.93</v>
      </c>
      <c r="T51" s="11" t="n">
        <v>3.41</v>
      </c>
      <c r="U51" s="11" t="n">
        <v>3.08</v>
      </c>
      <c r="V51" s="11" t="n">
        <v>3.72</v>
      </c>
      <c r="W51" s="11" t="n">
        <v>7.9178</v>
      </c>
      <c r="X51" s="11" t="n">
        <v>7.8125</v>
      </c>
      <c r="Y51" s="11" t="n">
        <v>1.7448</v>
      </c>
      <c r="Z51" s="11" t="n">
        <v>4.6994</v>
      </c>
      <c r="AA51" s="11" t="n">
        <v>3.469</v>
      </c>
      <c r="AB51" s="11" t="n">
        <v>4.4634</v>
      </c>
      <c r="AC51" s="11" t="n">
        <v>6.99</v>
      </c>
      <c r="AD51" s="11" t="n">
        <v>7.91</v>
      </c>
    </row>
    <row r="52">
      <c r="A52" s="5" t="inlineStr">
        <is>
          <t>순이익</t>
        </is>
      </c>
      <c r="C52" s="6" t="n">
        <v>1.7567</v>
      </c>
      <c r="D52" s="6" t="n">
        <v>2.8196</v>
      </c>
      <c r="E52" s="6" t="n">
        <v>1.4733</v>
      </c>
      <c r="F52" s="6" t="n">
        <v>1.188</v>
      </c>
      <c r="G52" s="6" t="n">
        <v>1.3905</v>
      </c>
      <c r="H52" s="6" t="n">
        <v>1.8811</v>
      </c>
      <c r="I52" s="6" t="n">
        <v>1.4599</v>
      </c>
      <c r="J52" s="6" t="n">
        <v>4.0382</v>
      </c>
      <c r="K52" s="6" t="n">
        <v>2.6526</v>
      </c>
      <c r="L52" s="6" t="n">
        <v>5.27</v>
      </c>
      <c r="M52" s="6" t="n">
        <v>2.96</v>
      </c>
      <c r="N52" s="6" t="n">
        <v>5.46</v>
      </c>
      <c r="O52" s="6" t="n">
        <v>3.46</v>
      </c>
      <c r="P52" s="6" t="n">
        <v>3.73</v>
      </c>
      <c r="Q52" s="6" t="n">
        <v>4.68</v>
      </c>
      <c r="R52" s="6" t="n">
        <v>5.78</v>
      </c>
      <c r="S52" s="6" t="n">
        <v>5.5</v>
      </c>
      <c r="T52" s="6" t="n">
        <v>6.93</v>
      </c>
      <c r="U52" s="6" t="n">
        <v>5.96</v>
      </c>
      <c r="V52" s="6" t="n">
        <v>7.6</v>
      </c>
      <c r="W52" s="6" t="n">
        <v>17.8725</v>
      </c>
      <c r="X52" s="6" t="n">
        <v>15.4464</v>
      </c>
      <c r="Y52" s="6" t="n">
        <v>-5.8814</v>
      </c>
      <c r="Z52" s="6" t="n">
        <v>9.5519</v>
      </c>
      <c r="AA52" s="6" t="n">
        <v>6.8714</v>
      </c>
      <c r="AB52" s="6" t="n">
        <v>10.0318</v>
      </c>
      <c r="AC52" s="6" t="n">
        <v>17.15</v>
      </c>
      <c r="AD52" s="6" t="n">
        <v>19.69</v>
      </c>
    </row>
    <row r="53">
      <c r="A53" s="5" t="inlineStr">
        <is>
          <t>지배주주 순이익</t>
        </is>
      </c>
      <c r="H53" s="6" t="n">
        <v>1.8811</v>
      </c>
      <c r="I53" s="6" t="n">
        <v>1.4599</v>
      </c>
      <c r="J53" s="6" t="n">
        <v>4.0382</v>
      </c>
      <c r="K53" s="6" t="n">
        <v>2.6526</v>
      </c>
      <c r="L53" s="6" t="n">
        <v>5.27</v>
      </c>
      <c r="M53" s="6" t="n">
        <v>2.96</v>
      </c>
      <c r="N53" s="6" t="n">
        <v>5.46</v>
      </c>
      <c r="O53" s="6" t="n">
        <v>3.46</v>
      </c>
      <c r="P53" s="6" t="n">
        <v>3.73</v>
      </c>
      <c r="Q53" s="6" t="n">
        <v>4.68</v>
      </c>
      <c r="R53" s="6" t="n">
        <v>5.78</v>
      </c>
      <c r="S53" s="6" t="n">
        <v>5.5</v>
      </c>
      <c r="T53" s="6" t="n">
        <v>6.93</v>
      </c>
      <c r="U53" s="6" t="n">
        <v>5.96</v>
      </c>
      <c r="V53" s="6" t="n">
        <v>7.6</v>
      </c>
      <c r="AB53" s="6" t="n">
        <v>10.0318</v>
      </c>
      <c r="AC53" s="6" t="n">
        <v>17.15</v>
      </c>
      <c r="AD53" s="6" t="n">
        <v>19.69</v>
      </c>
    </row>
    <row r="54">
      <c r="A54" s="8" t="inlineStr">
        <is>
          <t>순이익률</t>
        </is>
      </c>
      <c r="C54" s="9">
        <f>IF(OR(C53="",C4=""),"",IFERROR(C53/C4,""))</f>
        <v/>
      </c>
      <c r="D54" s="9">
        <f>IF(OR(D53="",D4=""),"",IFERROR(D53/D4,""))</f>
        <v/>
      </c>
      <c r="E54" s="9">
        <f>IF(OR(E53="",E4=""),"",IFERROR(E53/E4,""))</f>
        <v/>
      </c>
      <c r="F54" s="9">
        <f>IF(OR(F53="",F4=""),"",IFERROR(F53/F4,""))</f>
        <v/>
      </c>
      <c r="G54" s="9">
        <f>IF(OR(G53="",G4=""),"",IFERROR(G53/G4,""))</f>
        <v/>
      </c>
      <c r="H54" s="9">
        <f>IF(OR(H53="",H4=""),"",IFERROR(H53/H4,""))</f>
        <v/>
      </c>
      <c r="I54" s="9">
        <f>IF(OR(I53="",I4=""),"",IFERROR(I53/I4,""))</f>
        <v/>
      </c>
      <c r="J54" s="9">
        <f>IF(OR(J53="",J4=""),"",IFERROR(J53/J4,""))</f>
        <v/>
      </c>
      <c r="K54" s="9">
        <f>IF(OR(K53="",K4=""),"",IFERROR(K53/K4,""))</f>
        <v/>
      </c>
      <c r="L54" s="9">
        <f>IF(OR(L53="",L4=""),"",IFERROR(L53/L4,""))</f>
        <v/>
      </c>
      <c r="M54" s="9">
        <f>IF(OR(M53="",M4=""),"",IFERROR(M53/M4,""))</f>
        <v/>
      </c>
      <c r="N54" s="9">
        <f>IF(OR(N53="",N4=""),"",IFERROR(N53/N4,""))</f>
        <v/>
      </c>
      <c r="O54" s="9">
        <f>IF(OR(O53="",O4=""),"",IFERROR(O53/O4,""))</f>
        <v/>
      </c>
      <c r="P54" s="9">
        <f>IF(OR(P53="",P4=""),"",IFERROR(P53/P4,""))</f>
        <v/>
      </c>
      <c r="Q54" s="9">
        <f>IF(OR(Q53="",Q4=""),"",IFERROR(Q53/Q4,""))</f>
        <v/>
      </c>
      <c r="R54" s="9">
        <f>IF(OR(R53="",R4=""),"",IFERROR(R53/R4,""))</f>
        <v/>
      </c>
      <c r="S54" s="9">
        <f>IF(OR(S53="",S4=""),"",IFERROR(S53/S4,""))</f>
        <v/>
      </c>
      <c r="T54" s="9">
        <f>IF(OR(T53="",T4=""),"",IFERROR(T53/T4,""))</f>
        <v/>
      </c>
      <c r="U54" s="9">
        <f>IF(OR(U53="",U4=""),"",IFERROR(U53/U4,""))</f>
        <v/>
      </c>
      <c r="V54" s="9">
        <f>IF(OR(V53="",V4=""),"",IFERROR(V53/V4,""))</f>
        <v/>
      </c>
      <c r="W54" s="9">
        <f>IF(OR(W53="",W4=""),"",IFERROR(W53/W4,""))</f>
        <v/>
      </c>
      <c r="X54" s="9">
        <f>IF(OR(X53="",X4=""),"",IFERROR(X53/X4,""))</f>
        <v/>
      </c>
      <c r="Y54" s="9">
        <f>IF(OR(Y53="",Y4=""),"",IFERROR(Y53/Y4,""))</f>
        <v/>
      </c>
      <c r="Z54" s="9">
        <f>IF(OR(Z53="",Z4=""),"",IFERROR(Z53/Z4,""))</f>
        <v/>
      </c>
      <c r="AA54" s="9">
        <f>IF(OR(AA53="",AA4=""),"",IFERROR(AA53/AA4,""))</f>
        <v/>
      </c>
      <c r="AB54" s="9">
        <f>IF(OR(AB53="",AB4=""),"",IFERROR(AB53/AB4,""))</f>
        <v/>
      </c>
      <c r="AC54" s="9">
        <f>IF(OR(AC53="",AC4=""),"",IFERROR(AC53/AC4,""))</f>
        <v/>
      </c>
      <c r="AD54" s="9">
        <f>IF(OR(AD53="",AD4=""),"",IFERROR(AD53/AD4,""))</f>
        <v/>
      </c>
    </row>
    <row r="55">
      <c r="A55" s="8" t="inlineStr">
        <is>
          <t>YoY</t>
        </is>
      </c>
      <c r="G55" s="9">
        <f>IF(OR(G53="",C53=""),"",IFERROR(G53/C53-1,""))</f>
        <v/>
      </c>
      <c r="H55" s="9">
        <f>IF(OR(H53="",D53=""),"",IFERROR(H53/D53-1,""))</f>
        <v/>
      </c>
      <c r="I55" s="9">
        <f>IF(OR(I53="",E53=""),"",IFERROR(I53/E53-1,""))</f>
        <v/>
      </c>
      <c r="J55" s="9">
        <f>IF(OR(J53="",F53=""),"",IFERROR(J53/F53-1,""))</f>
        <v/>
      </c>
      <c r="K55" s="9">
        <f>IF(OR(K53="",G53=""),"",IFERROR(K53/G53-1,""))</f>
        <v/>
      </c>
      <c r="L55" s="9">
        <f>IF(OR(L53="",H53=""),"",IFERROR(L53/H53-1,""))</f>
        <v/>
      </c>
      <c r="M55" s="9">
        <f>IF(OR(M53="",I53=""),"",IFERROR(M53/I53-1,""))</f>
        <v/>
      </c>
      <c r="N55" s="9">
        <f>IF(OR(N53="",J53=""),"",IFERROR(N53/J53-1,""))</f>
        <v/>
      </c>
      <c r="O55" s="9">
        <f>IF(OR(O53="",K53=""),"",IFERROR(O53/K53-1,""))</f>
        <v/>
      </c>
      <c r="P55" s="9">
        <f>IF(OR(P53="",L53=""),"",IFERROR(P53/L53-1,""))</f>
        <v/>
      </c>
      <c r="Q55" s="9">
        <f>IF(OR(Q53="",M53=""),"",IFERROR(Q53/M53-1,""))</f>
        <v/>
      </c>
      <c r="R55" s="9">
        <f>IF(OR(R53="",N53=""),"",IFERROR(R53/N53-1,""))</f>
        <v/>
      </c>
      <c r="S55" s="9">
        <f>IF(OR(S53="",O53=""),"",IFERROR(S53/O53-1,""))</f>
        <v/>
      </c>
      <c r="T55" s="9">
        <f>IF(OR(T53="",P53=""),"",IFERROR(T53/P53-1,""))</f>
        <v/>
      </c>
      <c r="U55" s="9">
        <f>IF(OR(U53="",Q53=""),"",IFERROR(U53/Q53-1,""))</f>
        <v/>
      </c>
      <c r="V55" s="9">
        <f>IF(OR(V53="",R53=""),"",IFERROR(V53/R53-1,""))</f>
        <v/>
      </c>
      <c r="X55" s="9">
        <f>IF(OR(X53="",W53=""),"",IFERROR(X53/W53-1,""))</f>
        <v/>
      </c>
      <c r="Y55" s="9">
        <f>IF(OR(Y53="",X53=""),"",IFERROR(Y53/X53-1,""))</f>
        <v/>
      </c>
      <c r="Z55" s="9">
        <f>IF(OR(Z53="",Y53=""),"",IFERROR(Z53/Y53-1,""))</f>
        <v/>
      </c>
      <c r="AA55" s="9">
        <f>IF(OR(AA53="",Z53=""),"",IFERROR(AA53/Z53-1,""))</f>
        <v/>
      </c>
      <c r="AB55" s="9">
        <f>IF(OR(AB53="",AA53=""),"",IFERROR(AB53/AA53-1,""))</f>
        <v/>
      </c>
      <c r="AC55" s="9">
        <f>IF(OR(AC53="",AB53=""),"",IFERROR(AC53/AB53-1,""))</f>
        <v/>
      </c>
      <c r="AD55" s="9">
        <f>IF(OR(AD53="",AC53=""),"",IFERROR(AD53/AC53-1,""))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브롱코빌리 포괄손익</t>
        </is>
      </c>
    </row>
    <row r="2">
      <c r="A2" s="2" t="inlineStr">
        <is>
          <t>결산기 기준(27.2Q = 2027년 결산기 2분기) · 12월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22.1Q</t>
        </is>
      </c>
      <c r="E3" s="4" t="inlineStr">
        <is>
          <t>22.2Q</t>
        </is>
      </c>
      <c r="F3" s="4" t="inlineStr">
        <is>
          <t>22.3Q</t>
        </is>
      </c>
      <c r="G3" s="4" t="inlineStr">
        <is>
          <t>22.4Q</t>
        </is>
      </c>
      <c r="H3" s="4" t="inlineStr">
        <is>
          <t>23.1Q</t>
        </is>
      </c>
      <c r="I3" s="4" t="inlineStr">
        <is>
          <t>23.2Q</t>
        </is>
      </c>
      <c r="J3" s="4" t="inlineStr">
        <is>
          <t>23.3Q</t>
        </is>
      </c>
      <c r="K3" s="4" t="inlineStr">
        <is>
          <t>23.4Q</t>
        </is>
      </c>
      <c r="L3" s="4" t="inlineStr">
        <is>
          <t>24.1Q</t>
        </is>
      </c>
      <c r="M3" s="4" t="inlineStr">
        <is>
          <t>24.2Q</t>
        </is>
      </c>
      <c r="N3" s="4" t="inlineStr">
        <is>
          <t>24.3Q</t>
        </is>
      </c>
      <c r="O3" s="4" t="inlineStr">
        <is>
          <t>24.4Q</t>
        </is>
      </c>
      <c r="P3" s="4" t="inlineStr">
        <is>
          <t>25.1Q</t>
        </is>
      </c>
      <c r="Q3" s="4" t="inlineStr">
        <is>
          <t>25.2Q</t>
        </is>
      </c>
      <c r="R3" s="4" t="inlineStr">
        <is>
          <t>25.3Q</t>
        </is>
      </c>
      <c r="S3" s="4" t="inlineStr">
        <is>
          <t>25.4Q</t>
        </is>
      </c>
      <c r="T3" s="4" t="inlineStr">
        <is>
          <t>26.1Q</t>
        </is>
      </c>
      <c r="U3" s="4" t="inlineStr">
        <is>
          <t>26.2Q</t>
        </is>
      </c>
      <c r="V3" s="4" t="inlineStr">
        <is>
          <t>26.3Q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출처</t>
        </is>
      </c>
    </row>
    <row r="4">
      <c r="A4" s="5" t="inlineStr">
        <is>
          <t>순이익</t>
        </is>
      </c>
      <c r="H4" s="6" t="n">
        <v>1.8811</v>
      </c>
      <c r="I4" s="6" t="n">
        <v>1.4599</v>
      </c>
      <c r="J4" s="6" t="n">
        <v>4.0382</v>
      </c>
      <c r="K4" s="6" t="n">
        <v>2.6526</v>
      </c>
      <c r="L4" s="6" t="n">
        <v>5.27</v>
      </c>
      <c r="M4" s="6" t="n">
        <v>2.96</v>
      </c>
      <c r="N4" s="6" t="n">
        <v>5.46</v>
      </c>
      <c r="O4" s="6" t="n">
        <v>3.46</v>
      </c>
      <c r="P4" s="6" t="n">
        <v>3.73</v>
      </c>
      <c r="Q4" s="6" t="n">
        <v>4.68</v>
      </c>
      <c r="R4" s="6" t="n">
        <v>5.78</v>
      </c>
      <c r="S4" s="6" t="n">
        <v>5.5</v>
      </c>
      <c r="T4" s="6" t="n">
        <v>6.93</v>
      </c>
      <c r="U4" s="6" t="n">
        <v>5.96</v>
      </c>
      <c r="V4" s="6" t="n">
        <v>7.6</v>
      </c>
      <c r="AB4" s="6" t="n">
        <v>10.0318</v>
      </c>
      <c r="AC4" s="6" t="n">
        <v>17.15</v>
      </c>
      <c r="AD4" s="6" t="n">
        <v>19.69</v>
      </c>
      <c r="AE4" s="7" t="inlineStr">
        <is>
          <t>결산단신 XBRL(거래소 공시, TDnet·JPX 보관소). 쓴 문서: 2026-10-22, 2026-07-22, 2026-04-21, 2026-01-20 외 26건 — '출처' 시트에 전부</t>
        </is>
      </c>
    </row>
    <row r="5">
      <c r="A5" s="10" t="inlineStr">
        <is>
          <t>기타유가증권 평가차액</t>
        </is>
      </c>
      <c r="H5" s="11" t="n">
        <v>0.0172</v>
      </c>
      <c r="I5" s="11" t="n">
        <v>0.0397</v>
      </c>
      <c r="J5" s="11" t="n">
        <v>0.0436</v>
      </c>
      <c r="K5" s="11" t="n">
        <v>0.0101</v>
      </c>
      <c r="L5" s="11" t="n">
        <v>0.09</v>
      </c>
      <c r="M5" s="11" t="n">
        <v>0.07000000000000001</v>
      </c>
      <c r="N5" s="11" t="n">
        <v>-0.04</v>
      </c>
      <c r="O5" s="11" t="n">
        <v>0.01</v>
      </c>
      <c r="P5" s="11" t="n">
        <v>0.26</v>
      </c>
      <c r="Q5" s="11" t="n">
        <v>-0.26</v>
      </c>
      <c r="R5" s="11" t="n">
        <v>0.06</v>
      </c>
      <c r="S5" s="11" t="n">
        <v>0.09</v>
      </c>
      <c r="T5" s="11" t="n">
        <v>0.19</v>
      </c>
      <c r="U5" s="11" t="n">
        <v>0.02</v>
      </c>
      <c r="V5" s="11" t="n">
        <v>0.18</v>
      </c>
      <c r="AB5" s="11" t="n">
        <v>0.1106</v>
      </c>
      <c r="AC5" s="11" t="n">
        <v>0.13</v>
      </c>
      <c r="AD5" s="11" t="n">
        <v>0.15</v>
      </c>
    </row>
    <row r="6">
      <c r="A6" s="10" t="inlineStr">
        <is>
          <t>기타포괄손익 합계</t>
        </is>
      </c>
      <c r="H6" s="11" t="n">
        <v>0.0172</v>
      </c>
      <c r="I6" s="11" t="n">
        <v>0.0397</v>
      </c>
      <c r="J6" s="11" t="n">
        <v>0.0436</v>
      </c>
      <c r="K6" s="11" t="n">
        <v>0.0101</v>
      </c>
      <c r="L6" s="11" t="n">
        <v>0.09</v>
      </c>
      <c r="M6" s="11" t="n">
        <v>0.07000000000000001</v>
      </c>
      <c r="N6" s="11" t="n">
        <v>-0.04</v>
      </c>
      <c r="O6" s="11" t="n">
        <v>0.01</v>
      </c>
      <c r="P6" s="11" t="n">
        <v>0.26</v>
      </c>
      <c r="Q6" s="11" t="n">
        <v>-0.26</v>
      </c>
      <c r="R6" s="11" t="n">
        <v>0.06</v>
      </c>
      <c r="S6" s="11" t="n">
        <v>0.09</v>
      </c>
      <c r="T6" s="11" t="n">
        <v>0.19</v>
      </c>
      <c r="U6" s="11" t="n">
        <v>0.02</v>
      </c>
      <c r="V6" s="11" t="n">
        <v>0.18</v>
      </c>
      <c r="AB6" s="11" t="n">
        <v>0.1106</v>
      </c>
      <c r="AC6" s="11" t="n">
        <v>0.13</v>
      </c>
      <c r="AD6" s="11" t="n">
        <v>0.15</v>
      </c>
    </row>
    <row r="7">
      <c r="A7" s="10" t="inlineStr">
        <is>
          <t>포괄이익</t>
        </is>
      </c>
      <c r="H7" s="11" t="n">
        <v>1.8983</v>
      </c>
      <c r="I7" s="11" t="n">
        <v>1.4996</v>
      </c>
      <c r="J7" s="11" t="n">
        <v>4.0819</v>
      </c>
      <c r="K7" s="11" t="n">
        <v>2.6627</v>
      </c>
      <c r="L7" s="11" t="n">
        <v>5.36</v>
      </c>
      <c r="M7" s="11" t="n">
        <v>3.03</v>
      </c>
      <c r="N7" s="11" t="n">
        <v>5.42</v>
      </c>
      <c r="O7" s="11" t="n">
        <v>3.48</v>
      </c>
      <c r="P7" s="11" t="n">
        <v>3.99</v>
      </c>
      <c r="Q7" s="11" t="n">
        <v>4.42</v>
      </c>
      <c r="R7" s="11" t="n">
        <v>5.85</v>
      </c>
      <c r="S7" s="11" t="n">
        <v>5.59</v>
      </c>
      <c r="T7" s="11" t="n">
        <v>7.13</v>
      </c>
      <c r="U7" s="11" t="n">
        <v>5.97</v>
      </c>
      <c r="V7" s="11" t="n">
        <v>7.78</v>
      </c>
      <c r="AB7" s="11" t="n">
        <v>10.1425</v>
      </c>
      <c r="AC7" s="11" t="n">
        <v>17.29</v>
      </c>
      <c r="AD7" s="11" t="n">
        <v>19.85</v>
      </c>
    </row>
    <row r="8">
      <c r="A8" s="10" t="inlineStr">
        <is>
          <t>지배주주 포괄이익</t>
        </is>
      </c>
      <c r="H8" s="11" t="n">
        <v>1.8983</v>
      </c>
      <c r="I8" s="11" t="n">
        <v>1.4996</v>
      </c>
      <c r="J8" s="11" t="n">
        <v>4.0819</v>
      </c>
      <c r="K8" s="11" t="n">
        <v>2.6627</v>
      </c>
      <c r="L8" s="11" t="n">
        <v>5.36</v>
      </c>
      <c r="M8" s="11" t="n">
        <v>3.03</v>
      </c>
      <c r="N8" s="11" t="n">
        <v>5.42</v>
      </c>
      <c r="O8" s="11" t="n">
        <v>3.48</v>
      </c>
      <c r="P8" s="11" t="n">
        <v>3.99</v>
      </c>
      <c r="Q8" s="11" t="n">
        <v>4.42</v>
      </c>
      <c r="R8" s="11" t="n">
        <v>5.85</v>
      </c>
      <c r="S8" s="11" t="n">
        <v>5.59</v>
      </c>
      <c r="T8" s="11" t="n">
        <v>7.13</v>
      </c>
      <c r="U8" s="11" t="n">
        <v>5.97</v>
      </c>
      <c r="V8" s="11" t="n">
        <v>7.78</v>
      </c>
      <c r="AB8" s="11" t="n">
        <v>10.1425</v>
      </c>
      <c r="AC8" s="11" t="n">
        <v>17.29</v>
      </c>
      <c r="AD8" s="11" t="n">
        <v>19.85</v>
      </c>
    </row>
    <row r="9">
      <c r="A9" s="10" t="inlineStr">
        <is>
          <t>비지배주주 포괄이익</t>
        </is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R9" s="11" t="n">
        <v>0</v>
      </c>
      <c r="S9" s="11" t="n">
        <v>0</v>
      </c>
      <c r="V9" s="11" t="n">
        <v>0</v>
      </c>
      <c r="AB9" s="11" t="n">
        <v>0</v>
      </c>
      <c r="AC9" s="11" t="n">
        <v>0</v>
      </c>
      <c r="AD9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브롱코빌리 재무상태표</t>
        </is>
      </c>
    </row>
    <row r="2">
      <c r="A2" s="2" t="inlineStr">
        <is>
          <t>결산기 기준(27.2Q = 2027년 결산기 2분기) · 12월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22.1Q</t>
        </is>
      </c>
      <c r="E3" s="4" t="inlineStr">
        <is>
          <t>22.2Q</t>
        </is>
      </c>
      <c r="F3" s="4" t="inlineStr">
        <is>
          <t>22.3Q</t>
        </is>
      </c>
      <c r="G3" s="4" t="inlineStr">
        <is>
          <t>22.4Q</t>
        </is>
      </c>
      <c r="H3" s="4" t="inlineStr">
        <is>
          <t>23.1Q</t>
        </is>
      </c>
      <c r="I3" s="4" t="inlineStr">
        <is>
          <t>23.2Q</t>
        </is>
      </c>
      <c r="J3" s="4" t="inlineStr">
        <is>
          <t>23.3Q</t>
        </is>
      </c>
      <c r="K3" s="4" t="inlineStr">
        <is>
          <t>23.4Q</t>
        </is>
      </c>
      <c r="L3" s="4" t="inlineStr">
        <is>
          <t>24.1Q</t>
        </is>
      </c>
      <c r="M3" s="4" t="inlineStr">
        <is>
          <t>24.2Q</t>
        </is>
      </c>
      <c r="N3" s="4" t="inlineStr">
        <is>
          <t>24.3Q</t>
        </is>
      </c>
      <c r="O3" s="4" t="inlineStr">
        <is>
          <t>24.4Q</t>
        </is>
      </c>
      <c r="P3" s="4" t="inlineStr">
        <is>
          <t>25.1Q</t>
        </is>
      </c>
      <c r="Q3" s="4" t="inlineStr">
        <is>
          <t>25.2Q</t>
        </is>
      </c>
      <c r="R3" s="4" t="inlineStr">
        <is>
          <t>25.3Q</t>
        </is>
      </c>
      <c r="S3" s="4" t="inlineStr">
        <is>
          <t>25.4Q</t>
        </is>
      </c>
      <c r="T3" s="4" t="inlineStr">
        <is>
          <t>26.1Q</t>
        </is>
      </c>
      <c r="U3" s="4" t="inlineStr">
        <is>
          <t>26.2Q</t>
        </is>
      </c>
      <c r="V3" s="4" t="inlineStr">
        <is>
          <t>26.3Q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126.1986</v>
      </c>
      <c r="D4" s="11" t="n">
        <v>114.8143</v>
      </c>
      <c r="E4" s="11" t="n">
        <v>73.764</v>
      </c>
      <c r="F4" s="11" t="n">
        <v>68.50109999999999</v>
      </c>
      <c r="G4" s="11" t="n">
        <v>66.83499999999999</v>
      </c>
      <c r="H4" s="11" t="n">
        <v>68.6279</v>
      </c>
      <c r="I4" s="11" t="n">
        <v>71.1909</v>
      </c>
      <c r="J4" s="11" t="n">
        <v>75.88509999999999</v>
      </c>
      <c r="K4" s="11" t="n">
        <v>76.49590000000001</v>
      </c>
      <c r="L4" s="11" t="n">
        <v>77.6352</v>
      </c>
      <c r="M4" s="11" t="n">
        <v>70.13330000000001</v>
      </c>
      <c r="N4" s="11" t="n">
        <v>68.62139999999999</v>
      </c>
      <c r="O4" s="11" t="n">
        <v>73.88</v>
      </c>
      <c r="P4" s="11" t="n">
        <v>75.13</v>
      </c>
      <c r="Q4" s="11" t="n">
        <v>82.76000000000001</v>
      </c>
      <c r="R4" s="11" t="n">
        <v>81.98</v>
      </c>
      <c r="S4" s="11" t="n">
        <v>89.14</v>
      </c>
      <c r="T4" s="11" t="n">
        <v>94.05</v>
      </c>
      <c r="U4" s="11" t="n">
        <v>104.18</v>
      </c>
      <c r="V4" s="11" t="n">
        <v>104.57</v>
      </c>
      <c r="W4" s="11" t="n">
        <v>69.1172</v>
      </c>
      <c r="X4" s="11" t="n">
        <v>71.59690000000001</v>
      </c>
      <c r="Y4" s="11" t="n">
        <v>115.2098</v>
      </c>
      <c r="Z4" s="11" t="n">
        <v>126.1986</v>
      </c>
      <c r="AA4" s="11" t="n">
        <v>66.83499999999999</v>
      </c>
      <c r="AB4" s="11" t="n">
        <v>76.49590000000001</v>
      </c>
      <c r="AC4" s="11" t="n">
        <v>73.88</v>
      </c>
      <c r="AD4" s="11" t="n">
        <v>89.14</v>
      </c>
      <c r="AE4" s="7" t="inlineStr">
        <is>
          <t>결산단신 XBRL(거래소 공시, TDnet·JPX 보관소). 쓴 문서: 2026-10-22, 2026-07-22, 2026-04-21, 2026-01-20 외 26건 — '출처' 시트에 전부</t>
        </is>
      </c>
    </row>
    <row r="5">
      <c r="A5" s="10" t="inlineStr">
        <is>
          <t>매출채권</t>
        </is>
      </c>
      <c r="C5" s="11" t="n">
        <v>7.2925</v>
      </c>
      <c r="D5" s="11" t="n">
        <v>7.2004</v>
      </c>
      <c r="E5" s="11" t="n">
        <v>5.3879</v>
      </c>
      <c r="F5" s="11" t="n">
        <v>6.5829</v>
      </c>
      <c r="G5" s="11" t="n">
        <v>7.4406</v>
      </c>
      <c r="H5" s="11" t="n">
        <v>9.268000000000001</v>
      </c>
      <c r="I5" s="11" t="n">
        <v>7.3341</v>
      </c>
      <c r="J5" s="11" t="n">
        <v>8.2721</v>
      </c>
      <c r="K5" s="11" t="n">
        <v>9.3117</v>
      </c>
      <c r="L5" s="11" t="n">
        <v>11.0291</v>
      </c>
      <c r="M5" s="11" t="n">
        <v>9.424899999999999</v>
      </c>
      <c r="N5" s="11" t="n">
        <v>10.3768</v>
      </c>
      <c r="O5" s="11" t="n">
        <v>10.47</v>
      </c>
      <c r="P5" s="11" t="n">
        <v>13.2</v>
      </c>
      <c r="Q5" s="11" t="n">
        <v>10.41</v>
      </c>
      <c r="R5" s="11" t="n">
        <v>11.35</v>
      </c>
      <c r="S5" s="11" t="n">
        <v>13.75</v>
      </c>
      <c r="T5" s="11" t="n">
        <v>14.38</v>
      </c>
      <c r="U5" s="11" t="n">
        <v>13.71</v>
      </c>
      <c r="V5" s="11" t="n">
        <v>14.52</v>
      </c>
      <c r="W5" s="11" t="n">
        <v>2.5946</v>
      </c>
      <c r="X5" s="11" t="n">
        <v>3.4729</v>
      </c>
      <c r="Y5" s="11" t="n">
        <v>4.8348</v>
      </c>
      <c r="Z5" s="11" t="n">
        <v>7.2925</v>
      </c>
      <c r="AA5" s="11" t="n">
        <v>7.4406</v>
      </c>
      <c r="AB5" s="11" t="n">
        <v>9.3117</v>
      </c>
      <c r="AC5" s="11" t="n">
        <v>10.47</v>
      </c>
      <c r="AD5" s="11" t="n">
        <v>13.75</v>
      </c>
    </row>
    <row r="6">
      <c r="A6" s="10" t="inlineStr">
        <is>
          <t>상품·제품</t>
        </is>
      </c>
      <c r="C6" s="11" t="n">
        <v>0.9818</v>
      </c>
      <c r="D6" s="11" t="n">
        <v>0.8667</v>
      </c>
      <c r="E6" s="11" t="n">
        <v>0.8250999999999999</v>
      </c>
      <c r="F6" s="11" t="n">
        <v>0.8374</v>
      </c>
      <c r="G6" s="11" t="n">
        <v>0.9965000000000001</v>
      </c>
      <c r="H6" s="11" t="n">
        <v>1.3538</v>
      </c>
      <c r="I6" s="11" t="n">
        <v>1.3244</v>
      </c>
      <c r="J6" s="11" t="n">
        <v>1.4988</v>
      </c>
      <c r="K6" s="11" t="n">
        <v>1.8753</v>
      </c>
      <c r="L6" s="11" t="n">
        <v>1.354</v>
      </c>
      <c r="M6" s="11" t="n">
        <v>1.3991</v>
      </c>
      <c r="N6" s="11" t="n">
        <v>1.4353</v>
      </c>
      <c r="O6" s="11" t="n">
        <v>2.24</v>
      </c>
      <c r="P6" s="11" t="n">
        <v>1.48</v>
      </c>
      <c r="Q6" s="11" t="n">
        <v>1.52</v>
      </c>
      <c r="R6" s="11" t="n">
        <v>1.45</v>
      </c>
      <c r="S6" s="11" t="n">
        <v>2.4</v>
      </c>
      <c r="T6" s="11" t="n">
        <v>1.72</v>
      </c>
      <c r="U6" s="11" t="n">
        <v>2.26</v>
      </c>
      <c r="V6" s="11" t="n">
        <v>2.21</v>
      </c>
      <c r="W6" s="11" t="n">
        <v>1.1318</v>
      </c>
      <c r="X6" s="11" t="n">
        <v>1.0717</v>
      </c>
      <c r="Y6" s="11" t="n">
        <v>0.832</v>
      </c>
      <c r="Z6" s="11" t="n">
        <v>0.9818</v>
      </c>
      <c r="AA6" s="11" t="n">
        <v>0.9965000000000001</v>
      </c>
      <c r="AB6" s="11" t="n">
        <v>1.8753</v>
      </c>
      <c r="AC6" s="11" t="n">
        <v>2.24</v>
      </c>
      <c r="AD6" s="11" t="n">
        <v>2.4</v>
      </c>
    </row>
    <row r="7">
      <c r="A7" s="10" t="inlineStr">
        <is>
          <t>원재료·저장품</t>
        </is>
      </c>
      <c r="C7" s="11" t="n">
        <v>3.0931</v>
      </c>
      <c r="D7" s="11" t="n">
        <v>2.8852</v>
      </c>
      <c r="E7" s="11" t="n">
        <v>4.2135</v>
      </c>
      <c r="F7" s="11" t="n">
        <v>3.7032</v>
      </c>
      <c r="G7" s="11" t="n">
        <v>5.519</v>
      </c>
      <c r="H7" s="11" t="n">
        <v>4.627</v>
      </c>
      <c r="I7" s="11" t="n">
        <v>3.5097</v>
      </c>
      <c r="J7" s="11" t="n">
        <v>4.0271</v>
      </c>
      <c r="K7" s="11" t="n">
        <v>6.5401</v>
      </c>
      <c r="L7" s="11" t="n">
        <v>7.2009</v>
      </c>
      <c r="M7" s="11" t="n">
        <v>9.5335</v>
      </c>
      <c r="N7" s="11" t="n">
        <v>10.0701</v>
      </c>
      <c r="O7" s="11" t="n">
        <v>9.390000000000001</v>
      </c>
      <c r="P7" s="11" t="n">
        <v>5.27</v>
      </c>
      <c r="Q7" s="11" t="n">
        <v>5.03</v>
      </c>
      <c r="R7" s="11" t="n">
        <v>5.64</v>
      </c>
      <c r="S7" s="11" t="n">
        <v>6.93</v>
      </c>
      <c r="T7" s="11" t="n">
        <v>5.78</v>
      </c>
      <c r="U7" s="11" t="n">
        <v>6.89</v>
      </c>
      <c r="V7" s="11" t="n">
        <v>8.09</v>
      </c>
      <c r="W7" s="11" t="n">
        <v>5.2724</v>
      </c>
      <c r="X7" s="11" t="n">
        <v>5.8547</v>
      </c>
      <c r="Y7" s="11" t="n">
        <v>3.0818</v>
      </c>
      <c r="Z7" s="11" t="n">
        <v>3.0931</v>
      </c>
      <c r="AA7" s="11" t="n">
        <v>5.519</v>
      </c>
      <c r="AB7" s="11" t="n">
        <v>6.5401</v>
      </c>
      <c r="AC7" s="11" t="n">
        <v>9.390000000000001</v>
      </c>
      <c r="AD7" s="11" t="n">
        <v>6.93</v>
      </c>
    </row>
    <row r="8">
      <c r="A8" s="10" t="inlineStr">
        <is>
          <t>미수 환급법인세</t>
        </is>
      </c>
      <c r="C8" s="11" t="n">
        <v>0</v>
      </c>
      <c r="X8" s="11" t="n">
        <v>0</v>
      </c>
      <c r="Y8" s="11" t="n">
        <v>3.4126</v>
      </c>
      <c r="Z8" s="11" t="n">
        <v>0</v>
      </c>
    </row>
    <row r="9">
      <c r="A9" s="10" t="inlineStr">
        <is>
          <t>선급비용</t>
        </is>
      </c>
      <c r="C9" s="11" t="n">
        <v>1.7512</v>
      </c>
      <c r="G9" s="11" t="n">
        <v>1.9132</v>
      </c>
      <c r="H9" s="11" t="n">
        <v>1.9986</v>
      </c>
      <c r="I9" s="11" t="n">
        <v>2.7111</v>
      </c>
      <c r="J9" s="11" t="n">
        <v>2.4884</v>
      </c>
      <c r="K9" s="11" t="n">
        <v>2.18</v>
      </c>
      <c r="L9" s="11" t="n">
        <v>2.0864</v>
      </c>
      <c r="M9" s="11" t="n">
        <v>3.1504</v>
      </c>
      <c r="N9" s="11" t="n">
        <v>2.5309</v>
      </c>
      <c r="O9" s="11" t="n">
        <v>2.31</v>
      </c>
      <c r="P9" s="11" t="n">
        <v>2.34</v>
      </c>
      <c r="Q9" s="11" t="n">
        <v>3.41</v>
      </c>
      <c r="R9" s="11" t="n">
        <v>2.62</v>
      </c>
      <c r="S9" s="11" t="n">
        <v>2.63</v>
      </c>
      <c r="T9" s="11" t="n">
        <v>2.61</v>
      </c>
      <c r="U9" s="11" t="n">
        <v>3.77</v>
      </c>
      <c r="V9" s="11" t="n">
        <v>3.16</v>
      </c>
      <c r="W9" s="11" t="n">
        <v>1.8631</v>
      </c>
      <c r="X9" s="11" t="n">
        <v>1.792</v>
      </c>
      <c r="Y9" s="11" t="n">
        <v>1.7381</v>
      </c>
      <c r="Z9" s="11" t="n">
        <v>1.7512</v>
      </c>
      <c r="AA9" s="11" t="n">
        <v>1.9132</v>
      </c>
      <c r="AB9" s="11" t="n">
        <v>2.18</v>
      </c>
      <c r="AC9" s="11" t="n">
        <v>2.31</v>
      </c>
      <c r="AD9" s="11" t="n">
        <v>2.63</v>
      </c>
    </row>
    <row r="10">
      <c r="A10" s="10" t="inlineStr">
        <is>
          <t>기타</t>
        </is>
      </c>
      <c r="C10" s="11" t="n">
        <v>3.3708</v>
      </c>
      <c r="D10" s="11" t="n">
        <v>4.8344</v>
      </c>
      <c r="E10" s="11" t="n">
        <v>3.9321</v>
      </c>
      <c r="F10" s="11" t="n">
        <v>3.0588</v>
      </c>
      <c r="G10" s="11" t="n">
        <v>0.4837</v>
      </c>
      <c r="H10" s="11" t="n">
        <v>0.7734</v>
      </c>
      <c r="I10" s="11" t="n">
        <v>0.4802</v>
      </c>
      <c r="J10" s="11" t="n">
        <v>0.5705</v>
      </c>
      <c r="K10" s="11" t="n">
        <v>0.6728</v>
      </c>
      <c r="L10" s="11" t="n">
        <v>0.7096</v>
      </c>
      <c r="M10" s="11" t="n">
        <v>0.3414</v>
      </c>
      <c r="N10" s="11" t="n">
        <v>0.6207</v>
      </c>
      <c r="O10" s="11" t="n">
        <v>0.62</v>
      </c>
      <c r="P10" s="11" t="n">
        <v>0.68</v>
      </c>
      <c r="Q10" s="11" t="n">
        <v>0.41</v>
      </c>
      <c r="R10" s="11" t="n">
        <v>0.52</v>
      </c>
      <c r="S10" s="11" t="n">
        <v>0.68</v>
      </c>
      <c r="T10" s="11" t="n">
        <v>1.15</v>
      </c>
      <c r="U10" s="11" t="n">
        <v>0.79</v>
      </c>
      <c r="V10" s="11" t="n">
        <v>1.1</v>
      </c>
      <c r="W10" s="11" t="n">
        <v>0.4104</v>
      </c>
      <c r="X10" s="11" t="n">
        <v>0.4223</v>
      </c>
      <c r="Y10" s="11" t="n">
        <v>0.442</v>
      </c>
      <c r="Z10" s="11" t="n">
        <v>3.3708</v>
      </c>
      <c r="AA10" s="11" t="n">
        <v>0.4837</v>
      </c>
      <c r="AB10" s="11" t="n">
        <v>0.6728</v>
      </c>
      <c r="AC10" s="11" t="n">
        <v>0.62</v>
      </c>
      <c r="AD10" s="11" t="n">
        <v>0.68</v>
      </c>
    </row>
    <row r="11">
      <c r="A11" s="10" t="inlineStr">
        <is>
          <t>대손충당금</t>
        </is>
      </c>
      <c r="O11" s="11" t="n">
        <v>-0</v>
      </c>
      <c r="Q11" s="11" t="n">
        <v>-0</v>
      </c>
      <c r="R11" s="11" t="n">
        <v>-0</v>
      </c>
      <c r="S11" s="11" t="n">
        <v>-0</v>
      </c>
      <c r="U11" s="11" t="n">
        <v>-0</v>
      </c>
      <c r="V11" s="11" t="n">
        <v>-0</v>
      </c>
      <c r="AC11" s="11" t="n">
        <v>-0</v>
      </c>
      <c r="AD11" s="11" t="n">
        <v>-0</v>
      </c>
    </row>
    <row r="12">
      <c r="A12" s="10" t="inlineStr">
        <is>
          <t>유동자산 합계</t>
        </is>
      </c>
      <c r="C12" s="11" t="n">
        <v>142.6879</v>
      </c>
      <c r="D12" s="11" t="n">
        <v>130.601</v>
      </c>
      <c r="E12" s="11" t="n">
        <v>88.12260000000001</v>
      </c>
      <c r="F12" s="11" t="n">
        <v>82.6835</v>
      </c>
      <c r="G12" s="11" t="n">
        <v>83.18819999999999</v>
      </c>
      <c r="H12" s="11" t="n">
        <v>86.64870000000001</v>
      </c>
      <c r="I12" s="11" t="n">
        <v>86.5504</v>
      </c>
      <c r="J12" s="11" t="n">
        <v>92.74209999999999</v>
      </c>
      <c r="K12" s="11" t="n">
        <v>97.0759</v>
      </c>
      <c r="L12" s="11" t="n">
        <v>100.0153</v>
      </c>
      <c r="M12" s="11" t="n">
        <v>93.98260000000001</v>
      </c>
      <c r="N12" s="11" t="n">
        <v>93.65519999999999</v>
      </c>
      <c r="O12" s="11" t="n">
        <v>98.93000000000001</v>
      </c>
      <c r="P12" s="11" t="n">
        <v>98.12</v>
      </c>
      <c r="Q12" s="11" t="n">
        <v>103.57</v>
      </c>
      <c r="R12" s="11" t="n">
        <v>103.58</v>
      </c>
      <c r="S12" s="11" t="n">
        <v>115.56</v>
      </c>
      <c r="T12" s="11" t="n">
        <v>119.72</v>
      </c>
      <c r="U12" s="11" t="n">
        <v>131.63</v>
      </c>
      <c r="V12" s="11" t="n">
        <v>133.66</v>
      </c>
      <c r="W12" s="11" t="n">
        <v>80.3895</v>
      </c>
      <c r="X12" s="11" t="n">
        <v>84.2105</v>
      </c>
      <c r="Y12" s="11" t="n">
        <v>129.5512</v>
      </c>
      <c r="Z12" s="11" t="n">
        <v>142.6879</v>
      </c>
      <c r="AA12" s="11" t="n">
        <v>83.18819999999999</v>
      </c>
      <c r="AB12" s="11" t="n">
        <v>97.0759</v>
      </c>
      <c r="AC12" s="11" t="n">
        <v>98.93000000000001</v>
      </c>
      <c r="AD12" s="11" t="n">
        <v>115.56</v>
      </c>
    </row>
    <row r="13">
      <c r="A13" s="10" t="inlineStr">
        <is>
          <t>건물</t>
        </is>
      </c>
      <c r="C13" s="11" t="n">
        <v>111.4655</v>
      </c>
      <c r="G13" s="11" t="n">
        <v>114.1864</v>
      </c>
      <c r="W13" s="11" t="n">
        <v>111.5744</v>
      </c>
      <c r="X13" s="11" t="n">
        <v>114.0037</v>
      </c>
      <c r="Y13" s="11" t="n">
        <v>108.9929</v>
      </c>
      <c r="Z13" s="11" t="n">
        <v>111.4655</v>
      </c>
      <c r="AA13" s="11" t="n">
        <v>114.1864</v>
      </c>
    </row>
    <row r="14">
      <c r="A14" s="10" t="inlineStr">
        <is>
          <t>감가상각누계액</t>
        </is>
      </c>
      <c r="C14" s="11" t="n">
        <v>-52.7702</v>
      </c>
      <c r="G14" s="11" t="n">
        <v>-54.6139</v>
      </c>
      <c r="W14" s="11" t="n">
        <v>-44.3576</v>
      </c>
      <c r="X14" s="11" t="n">
        <v>-46.9699</v>
      </c>
      <c r="Y14" s="11" t="n">
        <v>-50.3504</v>
      </c>
      <c r="Z14" s="11" t="n">
        <v>-52.7702</v>
      </c>
      <c r="AA14" s="11" t="n">
        <v>-54.6139</v>
      </c>
    </row>
    <row r="15">
      <c r="A15" s="10" t="inlineStr">
        <is>
          <t>건물(순액)</t>
        </is>
      </c>
      <c r="C15" s="11" t="n">
        <v>58.6953</v>
      </c>
      <c r="D15" s="11" t="n">
        <v>57.6166</v>
      </c>
      <c r="E15" s="11" t="n">
        <v>58.2041</v>
      </c>
      <c r="F15" s="11" t="n">
        <v>59.4926</v>
      </c>
      <c r="G15" s="11" t="n">
        <v>59.5725</v>
      </c>
      <c r="W15" s="11" t="n">
        <v>67.21680000000001</v>
      </c>
      <c r="X15" s="11" t="n">
        <v>67.0339</v>
      </c>
      <c r="Y15" s="11" t="n">
        <v>58.6425</v>
      </c>
      <c r="Z15" s="11" t="n">
        <v>58.6953</v>
      </c>
      <c r="AA15" s="11" t="n">
        <v>59.5725</v>
      </c>
    </row>
    <row r="16">
      <c r="A16" s="10" t="inlineStr">
        <is>
          <t>구축물</t>
        </is>
      </c>
      <c r="C16" s="11" t="n">
        <v>14.904</v>
      </c>
      <c r="G16" s="11" t="n">
        <v>15.6886</v>
      </c>
      <c r="W16" s="11" t="n">
        <v>14.9674</v>
      </c>
      <c r="X16" s="11" t="n">
        <v>14.9586</v>
      </c>
      <c r="Y16" s="11" t="n">
        <v>14.5284</v>
      </c>
      <c r="Z16" s="11" t="n">
        <v>14.904</v>
      </c>
      <c r="AA16" s="11" t="n">
        <v>15.6886</v>
      </c>
    </row>
    <row r="17">
      <c r="A17" s="10" t="inlineStr">
        <is>
          <t>감가상각누계액</t>
        </is>
      </c>
      <c r="C17" s="11" t="n">
        <v>-8.3935</v>
      </c>
      <c r="G17" s="11" t="n">
        <v>-8.6351</v>
      </c>
      <c r="W17" s="11" t="n">
        <v>-7.5456</v>
      </c>
      <c r="X17" s="11" t="n">
        <v>-7.6976</v>
      </c>
      <c r="Y17" s="11" t="n">
        <v>-8.138400000000001</v>
      </c>
      <c r="Z17" s="11" t="n">
        <v>-8.3935</v>
      </c>
      <c r="AA17" s="11" t="n">
        <v>-8.6351</v>
      </c>
    </row>
    <row r="18">
      <c r="A18" s="10" t="inlineStr">
        <is>
          <t>구축물(순액)</t>
        </is>
      </c>
      <c r="C18" s="11" t="n">
        <v>6.5104</v>
      </c>
      <c r="D18" s="11" t="n">
        <v>6.3811</v>
      </c>
      <c r="E18" s="11" t="n">
        <v>6.4983</v>
      </c>
      <c r="F18" s="11" t="n">
        <v>6.8475</v>
      </c>
      <c r="G18" s="11" t="n">
        <v>7.0535</v>
      </c>
      <c r="W18" s="11" t="n">
        <v>7.4218</v>
      </c>
      <c r="X18" s="11" t="n">
        <v>7.261</v>
      </c>
      <c r="Y18" s="11" t="n">
        <v>6.39</v>
      </c>
      <c r="Z18" s="11" t="n">
        <v>6.5104</v>
      </c>
      <c r="AA18" s="11" t="n">
        <v>7.0535</v>
      </c>
    </row>
    <row r="19">
      <c r="A19" s="10" t="inlineStr">
        <is>
          <t>기계장치</t>
        </is>
      </c>
      <c r="C19" s="11" t="n">
        <v>4.3603</v>
      </c>
      <c r="G19" s="11" t="n">
        <v>4.289</v>
      </c>
      <c r="W19" s="11" t="n">
        <v>4.4016</v>
      </c>
      <c r="X19" s="11" t="n">
        <v>4.6405</v>
      </c>
      <c r="Y19" s="11" t="n">
        <v>4.4065</v>
      </c>
      <c r="Z19" s="11" t="n">
        <v>4.3603</v>
      </c>
      <c r="AA19" s="11" t="n">
        <v>4.289</v>
      </c>
    </row>
    <row r="20">
      <c r="A20" s="10" t="inlineStr">
        <is>
          <t>감가상각누계액</t>
        </is>
      </c>
      <c r="C20" s="11" t="n">
        <v>-3.4575</v>
      </c>
      <c r="G20" s="11" t="n">
        <v>-3.3981</v>
      </c>
      <c r="W20" s="11" t="n">
        <v>-2.6986</v>
      </c>
      <c r="X20" s="11" t="n">
        <v>-3.1026</v>
      </c>
      <c r="Y20" s="11" t="n">
        <v>-3.2045</v>
      </c>
      <c r="Z20" s="11" t="n">
        <v>-3.4575</v>
      </c>
      <c r="AA20" s="11" t="n">
        <v>-3.3981</v>
      </c>
    </row>
    <row r="21">
      <c r="A21" s="10" t="inlineStr">
        <is>
          <t>기계장치(순액)</t>
        </is>
      </c>
      <c r="C21" s="11" t="n">
        <v>0.9028</v>
      </c>
      <c r="G21" s="11" t="n">
        <v>0.8909</v>
      </c>
      <c r="W21" s="11" t="n">
        <v>1.703</v>
      </c>
      <c r="X21" s="11" t="n">
        <v>1.5379</v>
      </c>
      <c r="Y21" s="11" t="n">
        <v>1.202</v>
      </c>
      <c r="Z21" s="11" t="n">
        <v>0.9028</v>
      </c>
      <c r="AA21" s="11" t="n">
        <v>0.8909</v>
      </c>
    </row>
    <row r="22">
      <c r="A22" s="10" t="inlineStr">
        <is>
          <t>차량운반구</t>
        </is>
      </c>
      <c r="C22" s="11" t="n">
        <v>0.0242</v>
      </c>
      <c r="G22" s="11" t="n">
        <v>0.0242</v>
      </c>
      <c r="W22" s="11" t="n">
        <v>0.1139</v>
      </c>
      <c r="X22" s="11" t="n">
        <v>0.1139</v>
      </c>
      <c r="Y22" s="11" t="n">
        <v>0.0242</v>
      </c>
      <c r="Z22" s="11" t="n">
        <v>0.0242</v>
      </c>
      <c r="AA22" s="11" t="n">
        <v>0.0242</v>
      </c>
    </row>
    <row r="23">
      <c r="A23" s="10" t="inlineStr">
        <is>
          <t>감가상각누계액</t>
        </is>
      </c>
      <c r="C23" s="11" t="n">
        <v>-0.0242</v>
      </c>
      <c r="G23" s="11" t="n">
        <v>-0.0242</v>
      </c>
      <c r="W23" s="11" t="n">
        <v>-0.09470000000000001</v>
      </c>
      <c r="X23" s="11" t="n">
        <v>-0.1011</v>
      </c>
      <c r="Y23" s="11" t="n">
        <v>-0.0242</v>
      </c>
      <c r="Z23" s="11" t="n">
        <v>-0.0242</v>
      </c>
      <c r="AA23" s="11" t="n">
        <v>-0.0242</v>
      </c>
    </row>
    <row r="24">
      <c r="A24" s="10" t="inlineStr">
        <is>
          <t>차량운반구(순액)</t>
        </is>
      </c>
      <c r="C24" s="11" t="n">
        <v>0</v>
      </c>
      <c r="G24" s="11" t="n">
        <v>0</v>
      </c>
      <c r="W24" s="11" t="n">
        <v>0.0192</v>
      </c>
      <c r="X24" s="11" t="n">
        <v>0.0128</v>
      </c>
      <c r="Y24" s="11" t="n">
        <v>0</v>
      </c>
      <c r="Z24" s="11" t="n">
        <v>0</v>
      </c>
      <c r="AA24" s="11" t="n">
        <v>0</v>
      </c>
    </row>
    <row r="25">
      <c r="A25" s="10" t="inlineStr">
        <is>
          <t>건물·구축물</t>
        </is>
      </c>
      <c r="K25" s="11" t="n">
        <v>139.1008</v>
      </c>
      <c r="O25" s="11" t="n">
        <v>151.5</v>
      </c>
      <c r="S25" s="11" t="n">
        <v>161.51</v>
      </c>
      <c r="AB25" s="11" t="n">
        <v>139.1008</v>
      </c>
      <c r="AC25" s="11" t="n">
        <v>151.5</v>
      </c>
      <c r="AD25" s="11" t="n">
        <v>161.51</v>
      </c>
    </row>
    <row r="26">
      <c r="A26" s="10" t="inlineStr">
        <is>
          <t>감가상각누계액</t>
        </is>
      </c>
      <c r="K26" s="11" t="n">
        <v>-71.53440000000001</v>
      </c>
      <c r="O26" s="11" t="n">
        <v>-80.95</v>
      </c>
      <c r="S26" s="11" t="n">
        <v>-86.67</v>
      </c>
      <c r="AB26" s="11" t="n">
        <v>-71.53440000000001</v>
      </c>
      <c r="AC26" s="11" t="n">
        <v>-80.95</v>
      </c>
      <c r="AD26" s="11" t="n">
        <v>-86.67</v>
      </c>
    </row>
    <row r="27">
      <c r="A27" s="10" t="inlineStr">
        <is>
          <t>건물·구축물(순액)</t>
        </is>
      </c>
      <c r="H27" s="11" t="n">
        <v>67.0117</v>
      </c>
      <c r="I27" s="11" t="n">
        <v>68.9203</v>
      </c>
      <c r="J27" s="11" t="n">
        <v>67.6692</v>
      </c>
      <c r="K27" s="11" t="n">
        <v>67.5664</v>
      </c>
      <c r="L27" s="11" t="n">
        <v>66.2946</v>
      </c>
      <c r="M27" s="11" t="n">
        <v>68.5883</v>
      </c>
      <c r="N27" s="11" t="n">
        <v>71.1576</v>
      </c>
      <c r="O27" s="11" t="n">
        <v>70.55</v>
      </c>
      <c r="P27" s="11" t="n">
        <v>71.06</v>
      </c>
      <c r="Q27" s="11" t="n">
        <v>72.93000000000001</v>
      </c>
      <c r="R27" s="11" t="n">
        <v>75.29000000000001</v>
      </c>
      <c r="S27" s="11" t="n">
        <v>74.84</v>
      </c>
      <c r="T27" s="11" t="n">
        <v>75.06</v>
      </c>
      <c r="U27" s="11" t="n">
        <v>76.45</v>
      </c>
      <c r="V27" s="11" t="n">
        <v>75.26000000000001</v>
      </c>
      <c r="AB27" s="11" t="n">
        <v>67.5664</v>
      </c>
      <c r="AC27" s="11" t="n">
        <v>70.55</v>
      </c>
      <c r="AD27" s="11" t="n">
        <v>74.84</v>
      </c>
    </row>
    <row r="28">
      <c r="A28" s="10" t="inlineStr">
        <is>
          <t>기계장치·운반구</t>
        </is>
      </c>
      <c r="K28" s="11" t="n">
        <v>7.2389</v>
      </c>
      <c r="O28" s="11" t="n">
        <v>7.22</v>
      </c>
      <c r="S28" s="11" t="n">
        <v>7.26</v>
      </c>
      <c r="AB28" s="11" t="n">
        <v>7.2389</v>
      </c>
      <c r="AC28" s="11" t="n">
        <v>7.22</v>
      </c>
      <c r="AD28" s="11" t="n">
        <v>7.26</v>
      </c>
    </row>
    <row r="29">
      <c r="A29" s="10" t="inlineStr">
        <is>
          <t>감가상각누계액</t>
        </is>
      </c>
      <c r="K29" s="11" t="n">
        <v>-5.7108</v>
      </c>
      <c r="O29" s="11" t="n">
        <v>-5.91</v>
      </c>
      <c r="S29" s="11" t="n">
        <v>-6.17</v>
      </c>
      <c r="AB29" s="11" t="n">
        <v>-5.7108</v>
      </c>
      <c r="AC29" s="11" t="n">
        <v>-5.91</v>
      </c>
      <c r="AD29" s="11" t="n">
        <v>-6.17</v>
      </c>
    </row>
    <row r="30">
      <c r="A30" s="10" t="inlineStr">
        <is>
          <t>기계장치·운반구(순액)</t>
        </is>
      </c>
      <c r="H30" s="11" t="n">
        <v>1.1901</v>
      </c>
      <c r="I30" s="11" t="n">
        <v>1.6117</v>
      </c>
      <c r="J30" s="11" t="n">
        <v>1.6878</v>
      </c>
      <c r="K30" s="11" t="n">
        <v>1.528</v>
      </c>
      <c r="L30" s="11" t="n">
        <v>1.4781</v>
      </c>
      <c r="M30" s="11" t="n">
        <v>1.3972</v>
      </c>
      <c r="N30" s="11" t="n">
        <v>1.3344</v>
      </c>
      <c r="O30" s="11" t="n">
        <v>1.3</v>
      </c>
      <c r="P30" s="11" t="n">
        <v>1.26</v>
      </c>
      <c r="Q30" s="11" t="n">
        <v>1.21</v>
      </c>
      <c r="R30" s="11" t="n">
        <v>1.13</v>
      </c>
      <c r="S30" s="11" t="n">
        <v>1.09</v>
      </c>
      <c r="T30" s="11" t="n">
        <v>1.04</v>
      </c>
      <c r="U30" s="11" t="n">
        <v>1.2</v>
      </c>
      <c r="V30" s="11" t="n">
        <v>1.3</v>
      </c>
      <c r="AB30" s="11" t="n">
        <v>1.528</v>
      </c>
      <c r="AC30" s="11" t="n">
        <v>1.3</v>
      </c>
      <c r="AD30" s="11" t="n">
        <v>1.09</v>
      </c>
    </row>
    <row r="31">
      <c r="A31" s="10" t="inlineStr">
        <is>
          <t>공구·기구·비품</t>
        </is>
      </c>
      <c r="C31" s="11" t="n">
        <v>23.8243</v>
      </c>
      <c r="G31" s="11" t="n">
        <v>25.7698</v>
      </c>
      <c r="K31" s="11" t="n">
        <v>27.0776</v>
      </c>
      <c r="O31" s="11" t="n">
        <v>28.74</v>
      </c>
      <c r="S31" s="11" t="n">
        <v>30.12</v>
      </c>
      <c r="W31" s="11" t="n">
        <v>25.7725</v>
      </c>
      <c r="X31" s="11" t="n">
        <v>24.2394</v>
      </c>
      <c r="Y31" s="11" t="n">
        <v>22.5862</v>
      </c>
      <c r="Z31" s="11" t="n">
        <v>23.8243</v>
      </c>
      <c r="AA31" s="11" t="n">
        <v>25.7698</v>
      </c>
      <c r="AB31" s="11" t="n">
        <v>27.0776</v>
      </c>
      <c r="AC31" s="11" t="n">
        <v>28.74</v>
      </c>
      <c r="AD31" s="11" t="n">
        <v>30.12</v>
      </c>
    </row>
    <row r="32">
      <c r="A32" s="10" t="inlineStr">
        <is>
          <t>감가상각누계액</t>
        </is>
      </c>
      <c r="C32" s="11" t="n">
        <v>-18.2621</v>
      </c>
      <c r="G32" s="11" t="n">
        <v>-19.5618</v>
      </c>
      <c r="K32" s="11" t="n">
        <v>-21.3392</v>
      </c>
      <c r="O32" s="11" t="n">
        <v>-22.97</v>
      </c>
      <c r="S32" s="11" t="n">
        <v>-24.33</v>
      </c>
      <c r="W32" s="11" t="n">
        <v>-17.7974</v>
      </c>
      <c r="X32" s="11" t="n">
        <v>-17.6181</v>
      </c>
      <c r="Y32" s="11" t="n">
        <v>-17.4737</v>
      </c>
      <c r="Z32" s="11" t="n">
        <v>-18.2621</v>
      </c>
      <c r="AA32" s="11" t="n">
        <v>-19.5618</v>
      </c>
      <c r="AB32" s="11" t="n">
        <v>-21.3392</v>
      </c>
      <c r="AC32" s="11" t="n">
        <v>-22.97</v>
      </c>
      <c r="AD32" s="11" t="n">
        <v>-24.33</v>
      </c>
    </row>
    <row r="33">
      <c r="A33" s="10" t="inlineStr">
        <is>
          <t>공구·기구·비품(순액)</t>
        </is>
      </c>
      <c r="C33" s="11" t="n">
        <v>5.5622</v>
      </c>
      <c r="D33" s="11" t="n">
        <v>5.2625</v>
      </c>
      <c r="E33" s="11" t="n">
        <v>5.6814</v>
      </c>
      <c r="F33" s="11" t="n">
        <v>5.9701</v>
      </c>
      <c r="G33" s="11" t="n">
        <v>6.2079</v>
      </c>
      <c r="H33" s="11" t="n">
        <v>5.959</v>
      </c>
      <c r="I33" s="11" t="n">
        <v>6.2683</v>
      </c>
      <c r="J33" s="11" t="n">
        <v>5.8534</v>
      </c>
      <c r="K33" s="11" t="n">
        <v>5.7384</v>
      </c>
      <c r="L33" s="11" t="n">
        <v>5.413</v>
      </c>
      <c r="M33" s="11" t="n">
        <v>5.5726</v>
      </c>
      <c r="N33" s="11" t="n">
        <v>5.8192</v>
      </c>
      <c r="O33" s="11" t="n">
        <v>5.76</v>
      </c>
      <c r="P33" s="11" t="n">
        <v>5.86</v>
      </c>
      <c r="Q33" s="11" t="n">
        <v>5.94</v>
      </c>
      <c r="R33" s="11" t="n">
        <v>6.04</v>
      </c>
      <c r="S33" s="11" t="n">
        <v>5.78</v>
      </c>
      <c r="T33" s="11" t="n">
        <v>5.78</v>
      </c>
      <c r="U33" s="11" t="n">
        <v>6.37</v>
      </c>
      <c r="V33" s="11" t="n">
        <v>6.26</v>
      </c>
      <c r="W33" s="11" t="n">
        <v>7.9751</v>
      </c>
      <c r="X33" s="11" t="n">
        <v>6.6213</v>
      </c>
      <c r="Y33" s="11" t="n">
        <v>5.1125</v>
      </c>
      <c r="Z33" s="11" t="n">
        <v>5.5622</v>
      </c>
      <c r="AA33" s="11" t="n">
        <v>6.2079</v>
      </c>
      <c r="AB33" s="11" t="n">
        <v>5.7384</v>
      </c>
      <c r="AC33" s="11" t="n">
        <v>5.76</v>
      </c>
      <c r="AD33" s="11" t="n">
        <v>5.78</v>
      </c>
    </row>
    <row r="34">
      <c r="A34" s="10" t="inlineStr">
        <is>
          <t>토지</t>
        </is>
      </c>
      <c r="C34" s="11" t="n">
        <v>27.2446</v>
      </c>
      <c r="D34" s="11" t="n">
        <v>27.2446</v>
      </c>
      <c r="E34" s="11" t="n">
        <v>27.2446</v>
      </c>
      <c r="F34" s="11" t="n">
        <v>27.2446</v>
      </c>
      <c r="G34" s="11" t="n">
        <v>27.2446</v>
      </c>
      <c r="H34" s="11" t="n">
        <v>27.2446</v>
      </c>
      <c r="I34" s="11" t="n">
        <v>27.2446</v>
      </c>
      <c r="J34" s="11" t="n">
        <v>27.2446</v>
      </c>
      <c r="K34" s="11" t="n">
        <v>27.2446</v>
      </c>
      <c r="L34" s="11" t="n">
        <v>27.2446</v>
      </c>
      <c r="M34" s="11" t="n">
        <v>28.6245</v>
      </c>
      <c r="N34" s="11" t="n">
        <v>28.6245</v>
      </c>
      <c r="O34" s="11" t="n">
        <v>27.84</v>
      </c>
      <c r="P34" s="11" t="n">
        <v>27.84</v>
      </c>
      <c r="Q34" s="11" t="n">
        <v>27.84</v>
      </c>
      <c r="R34" s="11" t="n">
        <v>27.84</v>
      </c>
      <c r="S34" s="11" t="n">
        <v>27.84</v>
      </c>
      <c r="T34" s="11" t="n">
        <v>27.84</v>
      </c>
      <c r="U34" s="11" t="n">
        <v>28.31</v>
      </c>
      <c r="V34" s="11" t="n">
        <v>28.31</v>
      </c>
      <c r="W34" s="11" t="n">
        <v>16.2735</v>
      </c>
      <c r="X34" s="11" t="n">
        <v>16.8386</v>
      </c>
      <c r="Y34" s="11" t="n">
        <v>16.8386</v>
      </c>
      <c r="Z34" s="11" t="n">
        <v>27.2446</v>
      </c>
      <c r="AA34" s="11" t="n">
        <v>27.2446</v>
      </c>
      <c r="AB34" s="11" t="n">
        <v>27.2446</v>
      </c>
      <c r="AC34" s="11" t="n">
        <v>27.84</v>
      </c>
      <c r="AD34" s="11" t="n">
        <v>27.84</v>
      </c>
    </row>
    <row r="35">
      <c r="A35" s="10" t="inlineStr">
        <is>
          <t>건설중인자산</t>
        </is>
      </c>
      <c r="C35" s="11" t="n">
        <v>0.1005</v>
      </c>
      <c r="G35" s="11" t="n">
        <v>0.5041</v>
      </c>
      <c r="W35" s="11" t="n">
        <v>1.1784</v>
      </c>
      <c r="X35" s="11" t="n">
        <v>0.1076</v>
      </c>
      <c r="Y35" s="11" t="n">
        <v>1.412</v>
      </c>
      <c r="Z35" s="11" t="n">
        <v>0.1005</v>
      </c>
      <c r="AA35" s="11" t="n">
        <v>0.5041</v>
      </c>
    </row>
    <row r="36">
      <c r="A36" s="10" t="inlineStr">
        <is>
          <t>기타(순액)</t>
        </is>
      </c>
      <c r="C36" s="11" t="n">
        <v>1.0033</v>
      </c>
      <c r="D36" s="11" t="n">
        <v>1.3709</v>
      </c>
      <c r="E36" s="11" t="n">
        <v>2.4267</v>
      </c>
      <c r="F36" s="11" t="n">
        <v>1.5426</v>
      </c>
      <c r="H36" s="11" t="n">
        <v>2.0531</v>
      </c>
      <c r="I36" s="11" t="n">
        <v>0.4961</v>
      </c>
      <c r="J36" s="11" t="n">
        <v>1.1117</v>
      </c>
      <c r="W36" s="11" t="n">
        <v>2.9007</v>
      </c>
      <c r="X36" s="11" t="n">
        <v>1.6583</v>
      </c>
      <c r="Y36" s="11" t="n">
        <v>2.614</v>
      </c>
      <c r="Z36" s="11" t="n">
        <v>1.0033</v>
      </c>
    </row>
    <row r="37">
      <c r="A37" s="10" t="inlineStr">
        <is>
          <t>기타</t>
        </is>
      </c>
      <c r="K37" s="11" t="n">
        <v>0.1651</v>
      </c>
      <c r="L37" s="11" t="n">
        <v>0.5517</v>
      </c>
      <c r="M37" s="11" t="n">
        <v>1.7262</v>
      </c>
      <c r="N37" s="11" t="n">
        <v>0.4868</v>
      </c>
      <c r="O37" s="11" t="n">
        <v>0.96</v>
      </c>
      <c r="P37" s="11" t="n">
        <v>1.32</v>
      </c>
      <c r="Q37" s="11" t="n">
        <v>2.43</v>
      </c>
      <c r="R37" s="11" t="n">
        <v>0.89</v>
      </c>
      <c r="S37" s="11" t="n">
        <v>1.55</v>
      </c>
      <c r="T37" s="11" t="n">
        <v>0.83</v>
      </c>
      <c r="U37" s="11" t="n">
        <v>0.28</v>
      </c>
      <c r="V37" s="11" t="n">
        <v>1.96</v>
      </c>
      <c r="AB37" s="11" t="n">
        <v>0.1651</v>
      </c>
      <c r="AC37" s="11" t="n">
        <v>0.96</v>
      </c>
      <c r="AD37" s="11" t="n">
        <v>1.55</v>
      </c>
    </row>
    <row r="38">
      <c r="A38" s="10" t="inlineStr">
        <is>
          <t>유형자산 합계</t>
        </is>
      </c>
      <c r="C38" s="11" t="n">
        <v>99.0158</v>
      </c>
      <c r="D38" s="11" t="n">
        <v>97.87569999999999</v>
      </c>
      <c r="E38" s="11" t="n">
        <v>100.0551</v>
      </c>
      <c r="F38" s="11" t="n">
        <v>101.0973</v>
      </c>
      <c r="G38" s="11" t="n">
        <v>101.4735</v>
      </c>
      <c r="H38" s="11" t="n">
        <v>103.4585</v>
      </c>
      <c r="I38" s="11" t="n">
        <v>104.5409</v>
      </c>
      <c r="J38" s="11" t="n">
        <v>103.5667</v>
      </c>
      <c r="K38" s="11" t="n">
        <v>102.2425</v>
      </c>
      <c r="L38" s="11" t="n">
        <v>100.9819</v>
      </c>
      <c r="M38" s="11" t="n">
        <v>105.9088</v>
      </c>
      <c r="N38" s="11" t="n">
        <v>107.4225</v>
      </c>
      <c r="O38" s="11" t="n">
        <v>106.42</v>
      </c>
      <c r="P38" s="11" t="n">
        <v>107.36</v>
      </c>
      <c r="Q38" s="11" t="n">
        <v>110.37</v>
      </c>
      <c r="R38" s="11" t="n">
        <v>111.2</v>
      </c>
      <c r="S38" s="11" t="n">
        <v>111.12</v>
      </c>
      <c r="T38" s="11" t="n">
        <v>110.56</v>
      </c>
      <c r="U38" s="11" t="n">
        <v>112.65</v>
      </c>
      <c r="V38" s="11" t="n">
        <v>113.11</v>
      </c>
      <c r="W38" s="11" t="n">
        <v>101.7879</v>
      </c>
      <c r="X38" s="11" t="n">
        <v>99.4131</v>
      </c>
      <c r="Y38" s="11" t="n">
        <v>89.5977</v>
      </c>
      <c r="Z38" s="11" t="n">
        <v>99.0158</v>
      </c>
      <c r="AA38" s="11" t="n">
        <v>101.4735</v>
      </c>
      <c r="AB38" s="11" t="n">
        <v>102.2425</v>
      </c>
      <c r="AC38" s="11" t="n">
        <v>106.42</v>
      </c>
      <c r="AD38" s="11" t="n">
        <v>111.12</v>
      </c>
    </row>
    <row r="39">
      <c r="A39" s="10" t="inlineStr">
        <is>
          <t>차지권</t>
        </is>
      </c>
      <c r="C39" s="11" t="n">
        <v>0.9156</v>
      </c>
      <c r="G39" s="11" t="n">
        <v>0.8736</v>
      </c>
      <c r="K39" s="11" t="n">
        <v>0.8717</v>
      </c>
      <c r="O39" s="11" t="n">
        <v>0.82</v>
      </c>
      <c r="S39" s="11" t="n">
        <v>0.82</v>
      </c>
      <c r="W39" s="11" t="n">
        <v>1.0489</v>
      </c>
      <c r="X39" s="11" t="n">
        <v>1.0741</v>
      </c>
      <c r="Y39" s="11" t="n">
        <v>0.9848</v>
      </c>
      <c r="Z39" s="11" t="n">
        <v>0.9156</v>
      </c>
      <c r="AA39" s="11" t="n">
        <v>0.8736</v>
      </c>
      <c r="AB39" s="11" t="n">
        <v>0.8717</v>
      </c>
      <c r="AC39" s="11" t="n">
        <v>0.82</v>
      </c>
      <c r="AD39" s="11" t="n">
        <v>0.82</v>
      </c>
    </row>
    <row r="40">
      <c r="A40" s="10" t="inlineStr">
        <is>
          <t>상표권</t>
        </is>
      </c>
      <c r="C40" s="11" t="n">
        <v>0.0118</v>
      </c>
      <c r="G40" s="11" t="n">
        <v>0.0111</v>
      </c>
      <c r="W40" s="11" t="n">
        <v>0.0148</v>
      </c>
      <c r="X40" s="11" t="n">
        <v>0.0133</v>
      </c>
      <c r="Y40" s="11" t="n">
        <v>0.0118</v>
      </c>
      <c r="Z40" s="11" t="n">
        <v>0.0118</v>
      </c>
      <c r="AA40" s="11" t="n">
        <v>0.0111</v>
      </c>
    </row>
    <row r="41">
      <c r="A41" s="10" t="inlineStr">
        <is>
          <t>소프트웨어</t>
        </is>
      </c>
      <c r="C41" s="11" t="n">
        <v>1.7653</v>
      </c>
      <c r="G41" s="11" t="n">
        <v>1.4851</v>
      </c>
      <c r="K41" s="11" t="n">
        <v>1.1374</v>
      </c>
      <c r="O41" s="11" t="n">
        <v>1.22</v>
      </c>
      <c r="S41" s="11" t="n">
        <v>0.75</v>
      </c>
      <c r="W41" s="11" t="n">
        <v>0.2193</v>
      </c>
      <c r="X41" s="11" t="n">
        <v>0.3491</v>
      </c>
      <c r="Y41" s="11" t="n">
        <v>0.3327</v>
      </c>
      <c r="Z41" s="11" t="n">
        <v>1.7653</v>
      </c>
      <c r="AA41" s="11" t="n">
        <v>1.4851</v>
      </c>
      <c r="AB41" s="11" t="n">
        <v>1.1374</v>
      </c>
      <c r="AC41" s="11" t="n">
        <v>1.22</v>
      </c>
      <c r="AD41" s="11" t="n">
        <v>0.75</v>
      </c>
    </row>
    <row r="42">
      <c r="A42" s="10" t="inlineStr">
        <is>
          <t>영업권</t>
        </is>
      </c>
      <c r="K42" s="11" t="n">
        <v>0.2182</v>
      </c>
      <c r="O42" s="11" t="n">
        <v>0.16</v>
      </c>
      <c r="S42" s="11" t="n">
        <v>0.11</v>
      </c>
      <c r="AB42" s="11" t="n">
        <v>0.2182</v>
      </c>
      <c r="AC42" s="11" t="n">
        <v>0.16</v>
      </c>
      <c r="AD42" s="11" t="n">
        <v>0.11</v>
      </c>
    </row>
    <row r="43">
      <c r="A43" s="10" t="inlineStr">
        <is>
          <t>기타</t>
        </is>
      </c>
      <c r="C43" s="11" t="n">
        <v>0.2195</v>
      </c>
      <c r="G43" s="11" t="n">
        <v>0.2105</v>
      </c>
      <c r="K43" s="11" t="n">
        <v>0.2256</v>
      </c>
      <c r="O43" s="11" t="n">
        <v>0.25</v>
      </c>
      <c r="S43" s="11" t="n">
        <v>0.2</v>
      </c>
      <c r="W43" s="11" t="n">
        <v>0.2509</v>
      </c>
      <c r="X43" s="11" t="n">
        <v>0.2463</v>
      </c>
      <c r="Y43" s="11" t="n">
        <v>0.7938</v>
      </c>
      <c r="Z43" s="11" t="n">
        <v>0.2195</v>
      </c>
      <c r="AA43" s="11" t="n">
        <v>0.2105</v>
      </c>
      <c r="AB43" s="11" t="n">
        <v>0.2256</v>
      </c>
      <c r="AC43" s="11" t="n">
        <v>0.25</v>
      </c>
      <c r="AD43" s="11" t="n">
        <v>0.2</v>
      </c>
    </row>
    <row r="44">
      <c r="A44" s="10" t="inlineStr">
        <is>
          <t>무형자산</t>
        </is>
      </c>
      <c r="C44" s="11" t="n">
        <v>2.9122</v>
      </c>
      <c r="D44" s="11" t="n">
        <v>2.8443</v>
      </c>
      <c r="E44" s="11" t="n">
        <v>2.6886</v>
      </c>
      <c r="F44" s="11" t="n">
        <v>2.6192</v>
      </c>
      <c r="G44" s="11" t="n">
        <v>2.5802</v>
      </c>
      <c r="H44" s="11" t="n">
        <v>2.803</v>
      </c>
      <c r="I44" s="11" t="n">
        <v>2.683</v>
      </c>
      <c r="J44" s="11" t="n">
        <v>2.7742</v>
      </c>
      <c r="K44" s="11" t="n">
        <v>2.453</v>
      </c>
      <c r="L44" s="11" t="n">
        <v>2.6912</v>
      </c>
      <c r="M44" s="11" t="n">
        <v>2.7593</v>
      </c>
      <c r="N44" s="11" t="n">
        <v>2.6021</v>
      </c>
      <c r="O44" s="11" t="n">
        <v>2.48</v>
      </c>
      <c r="P44" s="11" t="n">
        <v>2.37</v>
      </c>
      <c r="Q44" s="11" t="n">
        <v>2.21</v>
      </c>
      <c r="R44" s="11" t="n">
        <v>2.06</v>
      </c>
      <c r="S44" s="11" t="n">
        <v>1.9</v>
      </c>
      <c r="T44" s="11" t="n">
        <v>1.75</v>
      </c>
      <c r="U44" s="11" t="n">
        <v>1.99</v>
      </c>
      <c r="V44" s="11" t="n">
        <v>1.94</v>
      </c>
      <c r="W44" s="11" t="n">
        <v>1.5339</v>
      </c>
      <c r="X44" s="11" t="n">
        <v>1.6828</v>
      </c>
      <c r="Y44" s="11" t="n">
        <v>2.1232</v>
      </c>
      <c r="Z44" s="11" t="n">
        <v>2.9122</v>
      </c>
      <c r="AA44" s="11" t="n">
        <v>2.5802</v>
      </c>
      <c r="AB44" s="11" t="n">
        <v>2.453</v>
      </c>
      <c r="AC44" s="11" t="n">
        <v>2.48</v>
      </c>
      <c r="AD44" s="11" t="n">
        <v>1.9</v>
      </c>
    </row>
    <row r="45">
      <c r="A45" s="10" t="inlineStr">
        <is>
          <t>투자유가증권</t>
        </is>
      </c>
      <c r="C45" s="11" t="n">
        <v>1.1728</v>
      </c>
      <c r="G45" s="11" t="n">
        <v>0.9996</v>
      </c>
      <c r="H45" s="11" t="n">
        <v>1.3145</v>
      </c>
      <c r="I45" s="11" t="n">
        <v>1.3758</v>
      </c>
      <c r="J45" s="11" t="n">
        <v>1.4429</v>
      </c>
      <c r="K45" s="11" t="n">
        <v>1.456</v>
      </c>
      <c r="L45" s="11" t="n">
        <v>1.5934</v>
      </c>
      <c r="M45" s="11" t="n">
        <v>1.7029</v>
      </c>
      <c r="N45" s="11" t="n">
        <v>1.6564</v>
      </c>
      <c r="O45" s="11" t="n">
        <v>1.68</v>
      </c>
      <c r="P45" s="11" t="n">
        <v>2.06</v>
      </c>
      <c r="Q45" s="11" t="n">
        <v>1.7</v>
      </c>
      <c r="R45" s="11" t="n">
        <v>1.78</v>
      </c>
      <c r="S45" s="11" t="n">
        <v>1.92</v>
      </c>
      <c r="T45" s="11" t="n">
        <v>2.14</v>
      </c>
      <c r="U45" s="11" t="n">
        <v>2.61</v>
      </c>
      <c r="V45" s="11" t="n">
        <v>2.89</v>
      </c>
      <c r="W45" s="11" t="n">
        <v>0.9472</v>
      </c>
      <c r="X45" s="11" t="n">
        <v>1.1366</v>
      </c>
      <c r="Y45" s="11" t="n">
        <v>1.0527</v>
      </c>
      <c r="Z45" s="11" t="n">
        <v>1.1728</v>
      </c>
      <c r="AA45" s="11" t="n">
        <v>0.9996</v>
      </c>
      <c r="AB45" s="11" t="n">
        <v>1.456</v>
      </c>
      <c r="AC45" s="11" t="n">
        <v>1.68</v>
      </c>
      <c r="AD45" s="11" t="n">
        <v>1.92</v>
      </c>
    </row>
    <row r="46">
      <c r="A46" s="10" t="inlineStr">
        <is>
          <t>관계회사 주식</t>
        </is>
      </c>
      <c r="C46" s="11" t="n">
        <v>0</v>
      </c>
      <c r="F46" s="11" t="n">
        <v>1.2116</v>
      </c>
      <c r="G46" s="11" t="n">
        <v>1.2116</v>
      </c>
      <c r="Z46" s="11" t="n">
        <v>0</v>
      </c>
      <c r="AA46" s="11" t="n">
        <v>1.2116</v>
      </c>
    </row>
    <row r="47">
      <c r="A47" s="10" t="inlineStr">
        <is>
          <t>출자금</t>
        </is>
      </c>
      <c r="C47" s="11" t="n">
        <v>0.0002</v>
      </c>
      <c r="G47" s="11" t="n">
        <v>0.0002</v>
      </c>
      <c r="W47" s="11" t="n">
        <v>0.0004</v>
      </c>
      <c r="X47" s="11" t="n">
        <v>0.0004</v>
      </c>
      <c r="Y47" s="11" t="n">
        <v>0.0004</v>
      </c>
      <c r="Z47" s="11" t="n">
        <v>0.0002</v>
      </c>
      <c r="AA47" s="11" t="n">
        <v>0.0002</v>
      </c>
    </row>
    <row r="48">
      <c r="A48" s="10" t="inlineStr">
        <is>
          <t>관계회사 장기대여금</t>
        </is>
      </c>
      <c r="C48" s="11" t="n">
        <v>0</v>
      </c>
      <c r="F48" s="11" t="n">
        <v>2.416</v>
      </c>
      <c r="G48" s="11" t="n">
        <v>2.29</v>
      </c>
      <c r="Z48" s="11" t="n">
        <v>0</v>
      </c>
      <c r="AA48" s="11" t="n">
        <v>2.29</v>
      </c>
    </row>
    <row r="49">
      <c r="A49" s="10" t="inlineStr">
        <is>
          <t>장기선급비용</t>
        </is>
      </c>
      <c r="C49" s="11" t="n">
        <v>0.6705</v>
      </c>
      <c r="G49" s="11" t="n">
        <v>0.5802</v>
      </c>
      <c r="K49" s="11" t="n">
        <v>0.7338</v>
      </c>
      <c r="O49" s="11" t="n">
        <v>0.58</v>
      </c>
      <c r="S49" s="11" t="n">
        <v>0.45</v>
      </c>
      <c r="W49" s="11" t="n">
        <v>0.5865</v>
      </c>
      <c r="X49" s="11" t="n">
        <v>0.4496</v>
      </c>
      <c r="Y49" s="11" t="n">
        <v>0.7637</v>
      </c>
      <c r="Z49" s="11" t="n">
        <v>0.6705</v>
      </c>
      <c r="AA49" s="11" t="n">
        <v>0.5802</v>
      </c>
      <c r="AB49" s="11" t="n">
        <v>0.7338</v>
      </c>
      <c r="AC49" s="11" t="n">
        <v>0.58</v>
      </c>
      <c r="AD49" s="11" t="n">
        <v>0.45</v>
      </c>
    </row>
    <row r="50">
      <c r="A50" s="10" t="inlineStr">
        <is>
          <t>장기예금</t>
        </is>
      </c>
      <c r="C50" s="11" t="n">
        <v>10</v>
      </c>
      <c r="D50" s="11" t="n">
        <v>10</v>
      </c>
      <c r="E50" s="11" t="n">
        <v>10</v>
      </c>
      <c r="F50" s="11" t="n">
        <v>10</v>
      </c>
      <c r="G50" s="11" t="n">
        <v>10</v>
      </c>
      <c r="H50" s="11" t="n">
        <v>10</v>
      </c>
      <c r="I50" s="11" t="n">
        <v>10</v>
      </c>
      <c r="J50" s="11" t="n">
        <v>10</v>
      </c>
      <c r="K50" s="11" t="n">
        <v>10</v>
      </c>
      <c r="L50" s="11" t="n">
        <v>10</v>
      </c>
      <c r="M50" s="11" t="n">
        <v>20</v>
      </c>
      <c r="N50" s="11" t="n">
        <v>20</v>
      </c>
      <c r="O50" s="11" t="n">
        <v>20</v>
      </c>
      <c r="P50" s="11" t="n">
        <v>20</v>
      </c>
      <c r="Q50" s="11" t="n">
        <v>20</v>
      </c>
      <c r="R50" s="11" t="n">
        <v>20</v>
      </c>
      <c r="S50" s="11" t="n">
        <v>20</v>
      </c>
      <c r="T50" s="11" t="n">
        <v>20</v>
      </c>
      <c r="U50" s="11" t="n">
        <v>20</v>
      </c>
      <c r="V50" s="11" t="n">
        <v>20</v>
      </c>
      <c r="W50" s="11" t="n">
        <v>0</v>
      </c>
      <c r="X50" s="11" t="n">
        <v>10</v>
      </c>
      <c r="Y50" s="11" t="n">
        <v>10</v>
      </c>
      <c r="Z50" s="11" t="n">
        <v>10</v>
      </c>
      <c r="AA50" s="11" t="n">
        <v>10</v>
      </c>
      <c r="AB50" s="11" t="n">
        <v>10</v>
      </c>
      <c r="AC50" s="11" t="n">
        <v>20</v>
      </c>
      <c r="AD50" s="11" t="n">
        <v>20</v>
      </c>
    </row>
    <row r="51">
      <c r="A51" s="10" t="inlineStr">
        <is>
          <t>보증금</t>
        </is>
      </c>
      <c r="C51" s="11" t="n">
        <v>10.2645</v>
      </c>
      <c r="D51" s="11" t="n">
        <v>10.3191</v>
      </c>
      <c r="E51" s="11" t="n">
        <v>10.6013</v>
      </c>
      <c r="F51" s="11" t="n">
        <v>10.6392</v>
      </c>
      <c r="G51" s="11" t="n">
        <v>10.6023</v>
      </c>
      <c r="H51" s="11" t="n">
        <v>10.8223</v>
      </c>
      <c r="I51" s="11" t="n">
        <v>10.8239</v>
      </c>
      <c r="J51" s="11" t="n">
        <v>10.7813</v>
      </c>
      <c r="K51" s="11" t="n">
        <v>10.7451</v>
      </c>
      <c r="L51" s="11" t="n">
        <v>10.781</v>
      </c>
      <c r="M51" s="11" t="n">
        <v>11.134</v>
      </c>
      <c r="N51" s="11" t="n">
        <v>11.2537</v>
      </c>
      <c r="O51" s="11" t="n">
        <v>11.37</v>
      </c>
      <c r="P51" s="11" t="n">
        <v>11.42</v>
      </c>
      <c r="Q51" s="11" t="n">
        <v>11.45</v>
      </c>
      <c r="R51" s="11" t="n">
        <v>11.43</v>
      </c>
      <c r="S51" s="11" t="n">
        <v>11.54</v>
      </c>
      <c r="T51" s="11" t="n">
        <v>11.59</v>
      </c>
      <c r="U51" s="11" t="n">
        <v>11.74</v>
      </c>
      <c r="V51" s="11" t="n">
        <v>11.89</v>
      </c>
      <c r="W51" s="11" t="n">
        <v>10.7147</v>
      </c>
      <c r="X51" s="11" t="n">
        <v>10.7774</v>
      </c>
      <c r="Y51" s="11" t="n">
        <v>10.2292</v>
      </c>
      <c r="Z51" s="11" t="n">
        <v>10.2645</v>
      </c>
      <c r="AA51" s="11" t="n">
        <v>10.6023</v>
      </c>
      <c r="AB51" s="11" t="n">
        <v>10.7451</v>
      </c>
      <c r="AC51" s="11" t="n">
        <v>11.37</v>
      </c>
      <c r="AD51" s="11" t="n">
        <v>11.54</v>
      </c>
    </row>
    <row r="52">
      <c r="A52" s="10" t="inlineStr">
        <is>
          <t>이연법인세자산</t>
        </is>
      </c>
      <c r="W52" s="11" t="n">
        <v>2.3611</v>
      </c>
      <c r="X52" s="11" t="n">
        <v>2.3026</v>
      </c>
    </row>
    <row r="53">
      <c r="A53" s="10" t="inlineStr">
        <is>
          <t>이연법인세자산</t>
        </is>
      </c>
      <c r="C53" s="11" t="n">
        <v>1.4688</v>
      </c>
      <c r="G53" s="11" t="n">
        <v>1.297</v>
      </c>
      <c r="K53" s="11" t="n">
        <v>2.2426</v>
      </c>
      <c r="O53" s="11" t="n">
        <v>3.01</v>
      </c>
      <c r="S53" s="11" t="n">
        <v>3.9</v>
      </c>
      <c r="X53" s="11" t="n">
        <v>2.3026</v>
      </c>
      <c r="Y53" s="11" t="n">
        <v>1.1518</v>
      </c>
      <c r="Z53" s="11" t="n">
        <v>1.4688</v>
      </c>
      <c r="AA53" s="11" t="n">
        <v>1.297</v>
      </c>
      <c r="AB53" s="11" t="n">
        <v>2.2426</v>
      </c>
      <c r="AC53" s="11" t="n">
        <v>3.01</v>
      </c>
      <c r="AD53" s="11" t="n">
        <v>3.9</v>
      </c>
    </row>
    <row r="54">
      <c r="A54" s="10" t="inlineStr">
        <is>
          <t>기타</t>
        </is>
      </c>
      <c r="C54" s="11" t="n">
        <v>0.5185999999999999</v>
      </c>
      <c r="D54" s="11" t="n">
        <v>3.7256</v>
      </c>
      <c r="E54" s="11" t="n">
        <v>3.3684</v>
      </c>
      <c r="F54" s="11" t="n">
        <v>3.6571</v>
      </c>
      <c r="G54" s="11" t="n">
        <v>0.5552</v>
      </c>
      <c r="H54" s="11" t="n">
        <v>2.8526</v>
      </c>
      <c r="I54" s="11" t="n">
        <v>2.5907</v>
      </c>
      <c r="J54" s="11" t="n">
        <v>3.0491</v>
      </c>
      <c r="K54" s="11" t="n">
        <v>0.6647</v>
      </c>
      <c r="L54" s="11" t="n">
        <v>3.8962</v>
      </c>
      <c r="M54" s="11" t="n">
        <v>3.6087</v>
      </c>
      <c r="N54" s="11" t="n">
        <v>4.2801</v>
      </c>
      <c r="O54" s="11" t="n">
        <v>0.7</v>
      </c>
      <c r="P54" s="11" t="n">
        <v>4.55</v>
      </c>
      <c r="Q54" s="11" t="n">
        <v>4.04</v>
      </c>
      <c r="R54" s="11" t="n">
        <v>4.66</v>
      </c>
      <c r="S54" s="11" t="n">
        <v>5.1</v>
      </c>
      <c r="T54" s="11" t="n">
        <v>5.28</v>
      </c>
      <c r="U54" s="11" t="n">
        <v>5.01</v>
      </c>
      <c r="V54" s="11" t="n">
        <v>5.6</v>
      </c>
      <c r="W54" s="11" t="n">
        <v>0.4091</v>
      </c>
      <c r="X54" s="11" t="n">
        <v>0.4456</v>
      </c>
      <c r="Y54" s="11" t="n">
        <v>0.4821</v>
      </c>
      <c r="Z54" s="11" t="n">
        <v>0.5185999999999999</v>
      </c>
      <c r="AA54" s="11" t="n">
        <v>0.5552</v>
      </c>
      <c r="AB54" s="11" t="n">
        <v>0.6647</v>
      </c>
      <c r="AC54" s="11" t="n">
        <v>0.7</v>
      </c>
      <c r="AD54" s="11" t="n">
        <v>5.1</v>
      </c>
    </row>
    <row r="55">
      <c r="A55" s="10" t="inlineStr">
        <is>
          <t>투자 및 기타자산 합계</t>
        </is>
      </c>
      <c r="C55" s="11" t="n">
        <v>24.0955</v>
      </c>
      <c r="D55" s="11" t="n">
        <v>24.0447</v>
      </c>
      <c r="E55" s="11" t="n">
        <v>23.9697</v>
      </c>
      <c r="F55" s="11" t="n">
        <v>27.9239</v>
      </c>
      <c r="G55" s="11" t="n">
        <v>27.5361</v>
      </c>
      <c r="H55" s="11" t="n">
        <v>24.9894</v>
      </c>
      <c r="I55" s="11" t="n">
        <v>24.7903</v>
      </c>
      <c r="J55" s="11" t="n">
        <v>25.2733</v>
      </c>
      <c r="K55" s="11" t="n">
        <v>25.8422</v>
      </c>
      <c r="L55" s="11" t="n">
        <v>26.2706</v>
      </c>
      <c r="M55" s="11" t="n">
        <v>36.4456</v>
      </c>
      <c r="N55" s="11" t="n">
        <v>37.1901</v>
      </c>
      <c r="O55" s="11" t="n">
        <v>37.36</v>
      </c>
      <c r="P55" s="11" t="n">
        <v>38.04</v>
      </c>
      <c r="Q55" s="11" t="n">
        <v>37.2</v>
      </c>
      <c r="R55" s="11" t="n">
        <v>37.89</v>
      </c>
      <c r="S55" s="11" t="n">
        <v>38.57</v>
      </c>
      <c r="T55" s="11" t="n">
        <v>39.03</v>
      </c>
      <c r="U55" s="11" t="n">
        <v>39.37</v>
      </c>
      <c r="V55" s="11" t="n">
        <v>40.39</v>
      </c>
      <c r="W55" s="11" t="n">
        <v>15.0191</v>
      </c>
      <c r="X55" s="11" t="n">
        <v>25.1123</v>
      </c>
      <c r="Y55" s="11" t="n">
        <v>23.6799</v>
      </c>
      <c r="Z55" s="11" t="n">
        <v>24.0955</v>
      </c>
      <c r="AA55" s="11" t="n">
        <v>27.5361</v>
      </c>
      <c r="AB55" s="11" t="n">
        <v>25.8422</v>
      </c>
      <c r="AC55" s="11" t="n">
        <v>37.36</v>
      </c>
      <c r="AD55" s="11" t="n">
        <v>38.57</v>
      </c>
    </row>
    <row r="56">
      <c r="A56" s="10" t="inlineStr">
        <is>
          <t>비유동자산 합계</t>
        </is>
      </c>
      <c r="C56" s="11" t="n">
        <v>126.0235</v>
      </c>
      <c r="D56" s="11" t="n">
        <v>124.7647</v>
      </c>
      <c r="E56" s="11" t="n">
        <v>126.7134</v>
      </c>
      <c r="F56" s="11" t="n">
        <v>131.6404</v>
      </c>
      <c r="G56" s="11" t="n">
        <v>131.5898</v>
      </c>
      <c r="H56" s="11" t="n">
        <v>131.251</v>
      </c>
      <c r="I56" s="11" t="n">
        <v>132.0143</v>
      </c>
      <c r="J56" s="11" t="n">
        <v>131.6142</v>
      </c>
      <c r="K56" s="11" t="n">
        <v>130.5377</v>
      </c>
      <c r="L56" s="11" t="n">
        <v>129.9437</v>
      </c>
      <c r="M56" s="11" t="n">
        <v>145.1137</v>
      </c>
      <c r="N56" s="11" t="n">
        <v>147.2148</v>
      </c>
      <c r="O56" s="11" t="n">
        <v>146.27</v>
      </c>
      <c r="P56" s="11" t="n">
        <v>147.78</v>
      </c>
      <c r="Q56" s="11" t="n">
        <v>149.79</v>
      </c>
      <c r="R56" s="11" t="n">
        <v>151.17</v>
      </c>
      <c r="S56" s="11" t="n">
        <v>151.59</v>
      </c>
      <c r="T56" s="11" t="n">
        <v>151.36</v>
      </c>
      <c r="U56" s="11" t="n">
        <v>154.01</v>
      </c>
      <c r="V56" s="11" t="n">
        <v>155.44</v>
      </c>
      <c r="W56" s="11" t="n">
        <v>118.3408</v>
      </c>
      <c r="X56" s="11" t="n">
        <v>126.2083</v>
      </c>
      <c r="Y56" s="11" t="n">
        <v>115.4007</v>
      </c>
      <c r="Z56" s="11" t="n">
        <v>126.0235</v>
      </c>
      <c r="AA56" s="11" t="n">
        <v>131.5898</v>
      </c>
      <c r="AB56" s="11" t="n">
        <v>130.5377</v>
      </c>
      <c r="AC56" s="11" t="n">
        <v>146.27</v>
      </c>
      <c r="AD56" s="11" t="n">
        <v>151.59</v>
      </c>
    </row>
    <row r="57">
      <c r="A57" s="10" t="inlineStr">
        <is>
          <t>자산 합계</t>
        </is>
      </c>
      <c r="C57" s="11" t="n">
        <v>268.7115</v>
      </c>
      <c r="D57" s="11" t="n">
        <v>255.3657</v>
      </c>
      <c r="E57" s="11" t="n">
        <v>214.836</v>
      </c>
      <c r="F57" s="11" t="n">
        <v>214.3239</v>
      </c>
      <c r="G57" s="11" t="n">
        <v>214.778</v>
      </c>
      <c r="H57" s="11" t="n">
        <v>217.8996</v>
      </c>
      <c r="I57" s="11" t="n">
        <v>218.5647</v>
      </c>
      <c r="J57" s="11" t="n">
        <v>224.3563</v>
      </c>
      <c r="K57" s="11" t="n">
        <v>227.6136</v>
      </c>
      <c r="L57" s="11" t="n">
        <v>229.959</v>
      </c>
      <c r="M57" s="11" t="n">
        <v>239.0963</v>
      </c>
      <c r="N57" s="11" t="n">
        <v>240.87</v>
      </c>
      <c r="O57" s="11" t="n">
        <v>245.2</v>
      </c>
      <c r="P57" s="11" t="n">
        <v>245.9</v>
      </c>
      <c r="Q57" s="11" t="n">
        <v>253.37</v>
      </c>
      <c r="R57" s="11" t="n">
        <v>254.75</v>
      </c>
      <c r="S57" s="11" t="n">
        <v>267.15</v>
      </c>
      <c r="T57" s="11" t="n">
        <v>271.08</v>
      </c>
      <c r="U57" s="11" t="n">
        <v>285.65</v>
      </c>
      <c r="V57" s="11" t="n">
        <v>289.1</v>
      </c>
      <c r="W57" s="11" t="n">
        <v>198.7303</v>
      </c>
      <c r="X57" s="11" t="n">
        <v>210.4187</v>
      </c>
      <c r="Y57" s="11" t="n">
        <v>244.952</v>
      </c>
      <c r="Z57" s="11" t="n">
        <v>268.7115</v>
      </c>
      <c r="AA57" s="11" t="n">
        <v>214.778</v>
      </c>
      <c r="AB57" s="11" t="n">
        <v>227.6136</v>
      </c>
      <c r="AC57" s="11" t="n">
        <v>245.2</v>
      </c>
      <c r="AD57" s="11" t="n">
        <v>267.15</v>
      </c>
    </row>
    <row r="58">
      <c r="A58" s="10" t="inlineStr">
        <is>
          <t>매입채무</t>
        </is>
      </c>
      <c r="C58" s="11" t="n">
        <v>5.3099</v>
      </c>
      <c r="D58" s="11" t="n">
        <v>5.7661</v>
      </c>
      <c r="E58" s="11" t="n">
        <v>5.5986</v>
      </c>
      <c r="F58" s="11" t="n">
        <v>5.6879</v>
      </c>
      <c r="G58" s="11" t="n">
        <v>7.2533</v>
      </c>
      <c r="H58" s="11" t="n">
        <v>7.0706</v>
      </c>
      <c r="I58" s="11" t="n">
        <v>5.932</v>
      </c>
      <c r="J58" s="11" t="n">
        <v>7.5129</v>
      </c>
      <c r="K58" s="11" t="n">
        <v>8.864699999999999</v>
      </c>
      <c r="L58" s="11" t="n">
        <v>8.6198</v>
      </c>
      <c r="M58" s="11" t="n">
        <v>8.832700000000001</v>
      </c>
      <c r="N58" s="11" t="n">
        <v>7.7168</v>
      </c>
      <c r="O58" s="11" t="n">
        <v>7.89</v>
      </c>
      <c r="P58" s="11" t="n">
        <v>7.24</v>
      </c>
      <c r="Q58" s="11" t="n">
        <v>7.66</v>
      </c>
      <c r="R58" s="11" t="n">
        <v>7.98</v>
      </c>
      <c r="S58" s="11" t="n">
        <v>8.94</v>
      </c>
      <c r="T58" s="11" t="n">
        <v>9.109999999999999</v>
      </c>
      <c r="U58" s="11" t="n">
        <v>9.119999999999999</v>
      </c>
      <c r="V58" s="11" t="n">
        <v>10.09</v>
      </c>
      <c r="W58" s="11" t="n">
        <v>5.9942</v>
      </c>
      <c r="X58" s="11" t="n">
        <v>5.3678</v>
      </c>
      <c r="Y58" s="11" t="n">
        <v>4.0548</v>
      </c>
      <c r="Z58" s="11" t="n">
        <v>5.3099</v>
      </c>
      <c r="AA58" s="11" t="n">
        <v>7.2533</v>
      </c>
      <c r="AB58" s="11" t="n">
        <v>8.864699999999999</v>
      </c>
      <c r="AC58" s="11" t="n">
        <v>7.89</v>
      </c>
      <c r="AD58" s="11" t="n">
        <v>8.94</v>
      </c>
    </row>
    <row r="59">
      <c r="A59" s="10" t="inlineStr">
        <is>
          <t>단기차입금</t>
        </is>
      </c>
      <c r="C59" s="11" t="n">
        <v>0.4734</v>
      </c>
      <c r="D59" s="11" t="n">
        <v>1.6667</v>
      </c>
      <c r="E59" s="11" t="n">
        <v>0.667</v>
      </c>
      <c r="F59" s="11" t="n">
        <v>1.6667</v>
      </c>
      <c r="G59" s="11" t="n">
        <v>0.767</v>
      </c>
      <c r="H59" s="11" t="n">
        <v>1.4584</v>
      </c>
      <c r="I59" s="11" t="n">
        <v>0.5836</v>
      </c>
      <c r="J59" s="11" t="n">
        <v>1.4584</v>
      </c>
      <c r="K59" s="11" t="n">
        <v>0.5836</v>
      </c>
      <c r="L59" s="11" t="n">
        <v>1.375</v>
      </c>
      <c r="M59" s="11" t="n">
        <v>0.55</v>
      </c>
      <c r="N59" s="11" t="n">
        <v>1.375</v>
      </c>
      <c r="O59" s="11" t="n">
        <v>0.55</v>
      </c>
      <c r="P59" s="11" t="n">
        <v>1.37</v>
      </c>
      <c r="Q59" s="11" t="n">
        <v>0.55</v>
      </c>
      <c r="R59" s="11" t="n">
        <v>1.37</v>
      </c>
      <c r="S59" s="11" t="n">
        <v>0.55</v>
      </c>
      <c r="T59" s="11" t="n">
        <v>1.47</v>
      </c>
      <c r="U59" s="11" t="n">
        <v>0.55</v>
      </c>
      <c r="V59" s="11" t="n">
        <v>1.37</v>
      </c>
      <c r="W59" s="11" t="n">
        <v>1.0315</v>
      </c>
      <c r="X59" s="11" t="n">
        <v>1.1014</v>
      </c>
      <c r="Y59" s="11" t="n">
        <v>0.6694</v>
      </c>
      <c r="Z59" s="11" t="n">
        <v>0.4734</v>
      </c>
      <c r="AA59" s="11" t="n">
        <v>0.767</v>
      </c>
      <c r="AB59" s="11" t="n">
        <v>0.5836</v>
      </c>
      <c r="AC59" s="11" t="n">
        <v>0.55</v>
      </c>
      <c r="AD59" s="11" t="n">
        <v>0.55</v>
      </c>
    </row>
    <row r="60">
      <c r="A60" s="10" t="inlineStr">
        <is>
          <t>1년 내 상환 장기차입금</t>
        </is>
      </c>
      <c r="C60" s="11" t="n">
        <v>51.9999</v>
      </c>
      <c r="D60" s="11" t="n">
        <v>50</v>
      </c>
      <c r="E60" s="11" t="n">
        <v>3.48</v>
      </c>
      <c r="F60" s="11" t="n">
        <v>3.48</v>
      </c>
      <c r="G60" s="11" t="n">
        <v>3.48</v>
      </c>
      <c r="H60" s="11" t="n">
        <v>3.48</v>
      </c>
      <c r="I60" s="11" t="n">
        <v>2.94</v>
      </c>
      <c r="J60" s="11" t="n">
        <v>2.07</v>
      </c>
      <c r="K60" s="11" t="n">
        <v>1.2</v>
      </c>
      <c r="L60" s="11" t="n">
        <v>0.33</v>
      </c>
      <c r="M60" s="11" t="n">
        <v>0.3808</v>
      </c>
      <c r="N60" s="11" t="n">
        <v>0.3204</v>
      </c>
      <c r="O60" s="11" t="n">
        <v>0</v>
      </c>
      <c r="S60" s="11" t="n">
        <v>0</v>
      </c>
      <c r="U60" s="11" t="n">
        <v>0.27</v>
      </c>
      <c r="V60" s="11" t="n">
        <v>0.27</v>
      </c>
      <c r="Y60" s="11" t="n">
        <v>0</v>
      </c>
      <c r="Z60" s="11" t="n">
        <v>51.9999</v>
      </c>
      <c r="AA60" s="11" t="n">
        <v>3.48</v>
      </c>
      <c r="AB60" s="11" t="n">
        <v>1.2</v>
      </c>
      <c r="AC60" s="11" t="n">
        <v>0</v>
      </c>
      <c r="AD60" s="11" t="n">
        <v>0</v>
      </c>
    </row>
    <row r="61">
      <c r="A61" s="10" t="inlineStr">
        <is>
          <t>리스부채</t>
        </is>
      </c>
      <c r="C61" s="11" t="n">
        <v>0.1875</v>
      </c>
      <c r="D61" s="11" t="n">
        <v>0.1875</v>
      </c>
      <c r="E61" s="11" t="n">
        <v>0.1935</v>
      </c>
      <c r="F61" s="11" t="n">
        <v>0.2115</v>
      </c>
      <c r="G61" s="11" t="n">
        <v>0.2115</v>
      </c>
      <c r="H61" s="11" t="n">
        <v>0.2111</v>
      </c>
      <c r="I61" s="11" t="n">
        <v>0.2111</v>
      </c>
      <c r="J61" s="11" t="n">
        <v>0.2111</v>
      </c>
      <c r="K61" s="11" t="n">
        <v>0.2172</v>
      </c>
      <c r="L61" s="11" t="n">
        <v>0.2172</v>
      </c>
      <c r="M61" s="11" t="n">
        <v>0.2925</v>
      </c>
      <c r="N61" s="11" t="n">
        <v>0.2861</v>
      </c>
      <c r="O61" s="11" t="n">
        <v>0.28</v>
      </c>
      <c r="P61" s="11" t="n">
        <v>0.28</v>
      </c>
      <c r="Q61" s="11" t="n">
        <v>0.27</v>
      </c>
      <c r="R61" s="11" t="n">
        <v>0.27</v>
      </c>
      <c r="S61" s="11" t="n">
        <v>0.28</v>
      </c>
      <c r="T61" s="11" t="n">
        <v>0.28</v>
      </c>
      <c r="U61" s="11" t="n">
        <v>0.28</v>
      </c>
      <c r="V61" s="11" t="n">
        <v>0.29</v>
      </c>
      <c r="W61" s="11" t="n">
        <v>0.1515</v>
      </c>
      <c r="X61" s="11" t="n">
        <v>0.1695</v>
      </c>
      <c r="Y61" s="11" t="n">
        <v>0.1695</v>
      </c>
      <c r="Z61" s="11" t="n">
        <v>0.1875</v>
      </c>
      <c r="AA61" s="11" t="n">
        <v>0.2115</v>
      </c>
      <c r="AB61" s="11" t="n">
        <v>0.2172</v>
      </c>
      <c r="AC61" s="11" t="n">
        <v>0.28</v>
      </c>
      <c r="AD61" s="11" t="n">
        <v>0.28</v>
      </c>
    </row>
    <row r="62">
      <c r="A62" s="10" t="inlineStr">
        <is>
          <t>미지급금</t>
        </is>
      </c>
      <c r="C62" s="11" t="n">
        <v>9.382</v>
      </c>
      <c r="D62" s="11" t="n">
        <v>7.9816</v>
      </c>
      <c r="E62" s="11" t="n">
        <v>11.1066</v>
      </c>
      <c r="F62" s="11" t="n">
        <v>9.351900000000001</v>
      </c>
      <c r="G62" s="11" t="n">
        <v>9.376899999999999</v>
      </c>
      <c r="H62" s="11" t="n">
        <v>10.6728</v>
      </c>
      <c r="I62" s="11" t="n">
        <v>12.6172</v>
      </c>
      <c r="J62" s="11" t="n">
        <v>10.8278</v>
      </c>
      <c r="K62" s="11" t="n">
        <v>10.5084</v>
      </c>
      <c r="L62" s="11" t="n">
        <v>9.999700000000001</v>
      </c>
      <c r="M62" s="11" t="n">
        <v>15.5107</v>
      </c>
      <c r="N62" s="11" t="n">
        <v>10.4856</v>
      </c>
      <c r="O62" s="11" t="n">
        <v>12.91</v>
      </c>
      <c r="P62" s="11" t="n">
        <v>12.8</v>
      </c>
      <c r="Q62" s="11" t="n">
        <v>16.26</v>
      </c>
      <c r="R62" s="11" t="n">
        <v>10.51</v>
      </c>
      <c r="S62" s="11" t="n">
        <v>16.27</v>
      </c>
      <c r="T62" s="11" t="n">
        <v>13</v>
      </c>
      <c r="U62" s="11" t="n">
        <v>18.87</v>
      </c>
      <c r="V62" s="11" t="n">
        <v>12.68</v>
      </c>
      <c r="W62" s="11" t="n">
        <v>8.969799999999999</v>
      </c>
      <c r="X62" s="11" t="n">
        <v>8.8209</v>
      </c>
      <c r="Y62" s="11" t="n">
        <v>8.1805</v>
      </c>
      <c r="Z62" s="11" t="n">
        <v>9.382</v>
      </c>
      <c r="AA62" s="11" t="n">
        <v>9.376899999999999</v>
      </c>
      <c r="AB62" s="11" t="n">
        <v>10.5084</v>
      </c>
      <c r="AC62" s="11" t="n">
        <v>12.91</v>
      </c>
      <c r="AD62" s="11" t="n">
        <v>16.27</v>
      </c>
    </row>
    <row r="63">
      <c r="A63" s="10" t="inlineStr">
        <is>
          <t>미지급비용</t>
        </is>
      </c>
      <c r="C63" s="11" t="n">
        <v>1.027</v>
      </c>
      <c r="G63" s="11" t="n">
        <v>0.8742</v>
      </c>
      <c r="W63" s="11" t="n">
        <v>0.7637</v>
      </c>
      <c r="X63" s="11" t="n">
        <v>0.8018</v>
      </c>
      <c r="Y63" s="11" t="n">
        <v>0.7503</v>
      </c>
      <c r="Z63" s="11" t="n">
        <v>1.027</v>
      </c>
      <c r="AA63" s="11" t="n">
        <v>0.8742</v>
      </c>
    </row>
    <row r="64">
      <c r="A64" s="10" t="inlineStr">
        <is>
          <t>미지급법인세</t>
        </is>
      </c>
      <c r="C64" s="11" t="n">
        <v>5.7667</v>
      </c>
      <c r="D64" s="11" t="n">
        <v>1.8153</v>
      </c>
      <c r="E64" s="11" t="n">
        <v>2.6922</v>
      </c>
      <c r="F64" s="11" t="n">
        <v>1.0182</v>
      </c>
      <c r="G64" s="11" t="n">
        <v>1.2924</v>
      </c>
      <c r="H64" s="11" t="n">
        <v>1.8621</v>
      </c>
      <c r="I64" s="11" t="n">
        <v>3.0103</v>
      </c>
      <c r="J64" s="11" t="n">
        <v>3.7094</v>
      </c>
      <c r="K64" s="11" t="n">
        <v>4.5776</v>
      </c>
      <c r="L64" s="11" t="n">
        <v>3.3878</v>
      </c>
      <c r="M64" s="11" t="n">
        <v>4.6944</v>
      </c>
      <c r="N64" s="11" t="n">
        <v>5.0936</v>
      </c>
      <c r="O64" s="11" t="n">
        <v>5.64</v>
      </c>
      <c r="P64" s="11" t="n">
        <v>2.6</v>
      </c>
      <c r="Q64" s="11" t="n">
        <v>4.77</v>
      </c>
      <c r="R64" s="11" t="n">
        <v>4.2</v>
      </c>
      <c r="S64" s="11" t="n">
        <v>5.9</v>
      </c>
      <c r="T64" s="11" t="n">
        <v>4.2</v>
      </c>
      <c r="U64" s="11" t="n">
        <v>7.53</v>
      </c>
      <c r="V64" s="11" t="n">
        <v>7.24</v>
      </c>
      <c r="W64" s="11" t="n">
        <v>5.3175</v>
      </c>
      <c r="X64" s="11" t="n">
        <v>4.4053</v>
      </c>
      <c r="Y64" s="11" t="n">
        <v>0.5359</v>
      </c>
      <c r="Z64" s="11" t="n">
        <v>5.7667</v>
      </c>
      <c r="AA64" s="11" t="n">
        <v>1.2924</v>
      </c>
      <c r="AB64" s="11" t="n">
        <v>4.5776</v>
      </c>
      <c r="AC64" s="11" t="n">
        <v>5.64</v>
      </c>
      <c r="AD64" s="11" t="n">
        <v>5.9</v>
      </c>
    </row>
    <row r="65">
      <c r="A65" s="10" t="inlineStr">
        <is>
          <t>계약부채</t>
        </is>
      </c>
      <c r="C65" s="11" t="n">
        <v>0.587</v>
      </c>
      <c r="D65" s="11" t="n">
        <v>0.4326</v>
      </c>
      <c r="Y65" s="11" t="n">
        <v>0</v>
      </c>
      <c r="Z65" s="11" t="n">
        <v>0.587</v>
      </c>
    </row>
    <row r="66">
      <c r="A66" s="10" t="inlineStr">
        <is>
          <t>계약부채</t>
        </is>
      </c>
      <c r="C66" s="11" t="n">
        <v>0.587</v>
      </c>
      <c r="E66" s="11" t="n">
        <v>0.5704</v>
      </c>
      <c r="F66" s="11" t="n">
        <v>0.7852</v>
      </c>
      <c r="Y66" s="11" t="n">
        <v>0</v>
      </c>
      <c r="Z66" s="11" t="n">
        <v>0.587</v>
      </c>
    </row>
    <row r="67">
      <c r="A67" s="10" t="inlineStr">
        <is>
          <t>미지급 소비세</t>
        </is>
      </c>
      <c r="C67" s="11" t="n">
        <v>0</v>
      </c>
      <c r="G67" s="11" t="n">
        <v>2.3297</v>
      </c>
      <c r="W67" s="11" t="n">
        <v>1.4234</v>
      </c>
      <c r="X67" s="11" t="n">
        <v>2.2657</v>
      </c>
      <c r="Y67" s="11" t="n">
        <v>0.502</v>
      </c>
      <c r="Z67" s="11" t="n">
        <v>0</v>
      </c>
      <c r="AA67" s="11" t="n">
        <v>2.3297</v>
      </c>
    </row>
    <row r="68">
      <c r="A68" s="10" t="inlineStr">
        <is>
          <t>계약부채</t>
        </is>
      </c>
      <c r="C68" s="11" t="n">
        <v>0.587</v>
      </c>
      <c r="G68" s="11" t="n">
        <v>0.8576</v>
      </c>
      <c r="H68" s="11" t="n">
        <v>0.9602000000000001</v>
      </c>
      <c r="I68" s="11" t="n">
        <v>0.9621</v>
      </c>
      <c r="J68" s="11" t="n">
        <v>1.0477</v>
      </c>
      <c r="K68" s="11" t="n">
        <v>1.2385</v>
      </c>
      <c r="L68" s="11" t="n">
        <v>1.6</v>
      </c>
      <c r="M68" s="11" t="n">
        <v>1.7106</v>
      </c>
      <c r="N68" s="11" t="n">
        <v>1.9348</v>
      </c>
      <c r="O68" s="11" t="n">
        <v>1.73</v>
      </c>
      <c r="P68" s="11" t="n">
        <v>2.22</v>
      </c>
      <c r="Q68" s="11" t="n">
        <v>2.09</v>
      </c>
      <c r="R68" s="11" t="n">
        <v>2.13</v>
      </c>
      <c r="S68" s="11" t="n">
        <v>2.88</v>
      </c>
      <c r="T68" s="11" t="n">
        <v>3.17</v>
      </c>
      <c r="U68" s="11" t="n">
        <v>3.91</v>
      </c>
      <c r="V68" s="11" t="n">
        <v>4.19</v>
      </c>
      <c r="Y68" s="11" t="n">
        <v>0</v>
      </c>
      <c r="Z68" s="11" t="n">
        <v>0.587</v>
      </c>
      <c r="AA68" s="11" t="n">
        <v>0.8576</v>
      </c>
      <c r="AB68" s="11" t="n">
        <v>1.2385</v>
      </c>
      <c r="AC68" s="11" t="n">
        <v>1.73</v>
      </c>
      <c r="AD68" s="11" t="n">
        <v>2.88</v>
      </c>
    </row>
    <row r="69">
      <c r="A69" s="10" t="inlineStr">
        <is>
          <t>예수금</t>
        </is>
      </c>
      <c r="C69" s="11" t="n">
        <v>1.0691</v>
      </c>
      <c r="G69" s="11" t="n">
        <v>0.7789</v>
      </c>
      <c r="W69" s="11" t="n">
        <v>0.8146</v>
      </c>
      <c r="X69" s="11" t="n">
        <v>0.8023</v>
      </c>
      <c r="Y69" s="11" t="n">
        <v>0.7583</v>
      </c>
      <c r="Z69" s="11" t="n">
        <v>1.0691</v>
      </c>
      <c r="AA69" s="11" t="n">
        <v>0.7789</v>
      </c>
    </row>
    <row r="70">
      <c r="A70" s="5" t="inlineStr">
        <is>
          <t>선수수익</t>
        </is>
      </c>
      <c r="C70" s="6" t="n">
        <v>0.0257</v>
      </c>
      <c r="G70" s="6" t="n">
        <v>0.0247</v>
      </c>
      <c r="W70" s="6" t="n">
        <v>0.1661</v>
      </c>
      <c r="X70" s="6" t="n">
        <v>0.1764</v>
      </c>
      <c r="Y70" s="6" t="n">
        <v>0.1752</v>
      </c>
      <c r="Z70" s="6" t="n">
        <v>0.0257</v>
      </c>
      <c r="AA70" s="6" t="n">
        <v>0.0247</v>
      </c>
    </row>
    <row r="71">
      <c r="A71" s="10" t="inlineStr">
        <is>
          <t>상여충당금</t>
        </is>
      </c>
      <c r="C71" s="11" t="n">
        <v>0.4329</v>
      </c>
      <c r="D71" s="11" t="n">
        <v>1.6704</v>
      </c>
      <c r="E71" s="11" t="n">
        <v>0.449</v>
      </c>
      <c r="F71" s="11" t="n">
        <v>1.7383</v>
      </c>
      <c r="G71" s="11" t="n">
        <v>0.4587</v>
      </c>
      <c r="H71" s="11" t="n">
        <v>1.8776</v>
      </c>
      <c r="I71" s="11" t="n">
        <v>0.5532</v>
      </c>
      <c r="J71" s="11" t="n">
        <v>1.9981</v>
      </c>
      <c r="K71" s="11" t="n">
        <v>0.5501</v>
      </c>
      <c r="L71" s="11" t="n">
        <v>2.2897</v>
      </c>
      <c r="M71" s="11" t="n">
        <v>0.7827</v>
      </c>
      <c r="N71" s="11" t="n">
        <v>2.8077</v>
      </c>
      <c r="O71" s="11" t="n">
        <v>0.76</v>
      </c>
      <c r="P71" s="11" t="n">
        <v>2.92</v>
      </c>
      <c r="Q71" s="11" t="n">
        <v>0.93</v>
      </c>
      <c r="R71" s="11" t="n">
        <v>3.1</v>
      </c>
      <c r="S71" s="11" t="n">
        <v>0.84</v>
      </c>
      <c r="T71" s="11" t="n">
        <v>3.11</v>
      </c>
      <c r="U71" s="11" t="n">
        <v>1.05</v>
      </c>
      <c r="V71" s="11" t="n">
        <v>3.24</v>
      </c>
      <c r="W71" s="11" t="n">
        <v>0.4166</v>
      </c>
      <c r="X71" s="11" t="n">
        <v>0.4269</v>
      </c>
      <c r="Y71" s="11" t="n">
        <v>0.4175</v>
      </c>
      <c r="Z71" s="11" t="n">
        <v>0.4329</v>
      </c>
      <c r="AA71" s="11" t="n">
        <v>0.4587</v>
      </c>
      <c r="AB71" s="11" t="n">
        <v>0.5501</v>
      </c>
      <c r="AC71" s="11" t="n">
        <v>0.76</v>
      </c>
      <c r="AD71" s="11" t="n">
        <v>0.84</v>
      </c>
    </row>
    <row r="72">
      <c r="A72" s="10" t="inlineStr">
        <is>
          <t>판매촉진 충당금</t>
        </is>
      </c>
      <c r="C72" s="11" t="n">
        <v>0.7911</v>
      </c>
      <c r="D72" s="11" t="n">
        <v>0.8072</v>
      </c>
      <c r="E72" s="11" t="n">
        <v>0.6966</v>
      </c>
      <c r="F72" s="11" t="n">
        <v>0.6927</v>
      </c>
      <c r="G72" s="11" t="n">
        <v>0.7444</v>
      </c>
      <c r="H72" s="11" t="n">
        <v>0.7471</v>
      </c>
      <c r="I72" s="11" t="n">
        <v>0.7631</v>
      </c>
      <c r="J72" s="11" t="n">
        <v>0.8649</v>
      </c>
      <c r="K72" s="11" t="n">
        <v>0.9603</v>
      </c>
      <c r="L72" s="11" t="n">
        <v>0.9774</v>
      </c>
      <c r="M72" s="11" t="n">
        <v>1.0032</v>
      </c>
      <c r="N72" s="11" t="n">
        <v>1.155</v>
      </c>
      <c r="O72" s="11" t="n">
        <v>1.29</v>
      </c>
      <c r="P72" s="11" t="n">
        <v>1.29</v>
      </c>
      <c r="Q72" s="11" t="n">
        <v>1.32</v>
      </c>
      <c r="R72" s="11" t="n">
        <v>1.52</v>
      </c>
      <c r="S72" s="11" t="n">
        <v>1.7</v>
      </c>
      <c r="T72" s="11" t="n">
        <v>1.71</v>
      </c>
      <c r="U72" s="11" t="n">
        <v>1.72</v>
      </c>
      <c r="V72" s="11" t="n">
        <v>1.95</v>
      </c>
      <c r="W72" s="11" t="n">
        <v>0.2051</v>
      </c>
      <c r="X72" s="11" t="n">
        <v>0.2059</v>
      </c>
      <c r="Y72" s="11" t="n">
        <v>0.639</v>
      </c>
      <c r="Z72" s="11" t="n">
        <v>0.7911</v>
      </c>
      <c r="AA72" s="11" t="n">
        <v>0.7444</v>
      </c>
      <c r="AB72" s="11" t="n">
        <v>0.9603</v>
      </c>
      <c r="AC72" s="11" t="n">
        <v>1.29</v>
      </c>
      <c r="AD72" s="11" t="n">
        <v>1.7</v>
      </c>
    </row>
    <row r="73">
      <c r="A73" s="10" t="inlineStr">
        <is>
          <t>자산복구부채</t>
        </is>
      </c>
      <c r="C73" s="11" t="n">
        <v>0.0722</v>
      </c>
      <c r="G73" s="11" t="n">
        <v>0</v>
      </c>
      <c r="W73" s="11" t="n">
        <v>0.09080000000000001</v>
      </c>
      <c r="X73" s="11" t="n">
        <v>0.025</v>
      </c>
      <c r="Y73" s="11" t="n">
        <v>0.0689</v>
      </c>
      <c r="Z73" s="11" t="n">
        <v>0.0722</v>
      </c>
      <c r="AA73" s="11" t="n">
        <v>0</v>
      </c>
    </row>
    <row r="74">
      <c r="A74" s="10" t="inlineStr">
        <is>
          <t>주주우대 충당금</t>
        </is>
      </c>
      <c r="K74" s="11" t="n">
        <v>0</v>
      </c>
      <c r="O74" s="11" t="n">
        <v>0.41</v>
      </c>
      <c r="P74" s="11" t="n">
        <v>0.22</v>
      </c>
      <c r="Q74" s="11" t="n">
        <v>0.4</v>
      </c>
      <c r="R74" s="11" t="n">
        <v>0.28</v>
      </c>
      <c r="S74" s="11" t="n">
        <v>0.4</v>
      </c>
      <c r="T74" s="11" t="n">
        <v>0.29</v>
      </c>
      <c r="U74" s="11" t="n">
        <v>0.37</v>
      </c>
      <c r="V74" s="11" t="n">
        <v>0.26</v>
      </c>
      <c r="AB74" s="11" t="n">
        <v>0</v>
      </c>
      <c r="AC74" s="11" t="n">
        <v>0.41</v>
      </c>
      <c r="AD74" s="11" t="n">
        <v>0.4</v>
      </c>
    </row>
    <row r="75">
      <c r="A75" s="10" t="inlineStr">
        <is>
          <t>기타</t>
        </is>
      </c>
      <c r="C75" s="11" t="n">
        <v>0.0102</v>
      </c>
      <c r="D75" s="11" t="n">
        <v>3.4349</v>
      </c>
      <c r="E75" s="11" t="n">
        <v>3.0439</v>
      </c>
      <c r="F75" s="11" t="n">
        <v>3.8948</v>
      </c>
      <c r="G75" s="11" t="n">
        <v>0.0103</v>
      </c>
      <c r="H75" s="11" t="n">
        <v>3.4598</v>
      </c>
      <c r="I75" s="11" t="n">
        <v>3.5252</v>
      </c>
      <c r="J75" s="11" t="n">
        <v>4.3418</v>
      </c>
      <c r="K75" s="11" t="n">
        <v>5.7655</v>
      </c>
      <c r="L75" s="11" t="n">
        <v>4.2815</v>
      </c>
      <c r="M75" s="11" t="n">
        <v>4.1234</v>
      </c>
      <c r="N75" s="11" t="n">
        <v>4.7433</v>
      </c>
      <c r="O75" s="11" t="n">
        <v>5.85</v>
      </c>
      <c r="P75" s="11" t="n">
        <v>5</v>
      </c>
      <c r="Q75" s="11" t="n">
        <v>4.46</v>
      </c>
      <c r="R75" s="11" t="n">
        <v>4.87</v>
      </c>
      <c r="S75" s="11" t="n">
        <v>4.97</v>
      </c>
      <c r="T75" s="11" t="n">
        <v>5.48</v>
      </c>
      <c r="U75" s="11" t="n">
        <v>5.23</v>
      </c>
      <c r="V75" s="11" t="n">
        <v>6.05</v>
      </c>
      <c r="W75" s="11" t="n">
        <v>0.0102</v>
      </c>
      <c r="X75" s="11" t="n">
        <v>0.0102</v>
      </c>
      <c r="Y75" s="11" t="n">
        <v>0.0102</v>
      </c>
      <c r="Z75" s="11" t="n">
        <v>0.0102</v>
      </c>
      <c r="AA75" s="11" t="n">
        <v>0.0103</v>
      </c>
      <c r="AB75" s="11" t="n">
        <v>5.7655</v>
      </c>
      <c r="AC75" s="11" t="n">
        <v>5.85</v>
      </c>
      <c r="AD75" s="11" t="n">
        <v>4.97</v>
      </c>
    </row>
    <row r="76">
      <c r="A76" s="10" t="inlineStr">
        <is>
          <t>유동부채 합계</t>
        </is>
      </c>
      <c r="C76" s="11" t="n">
        <v>77.13460000000001</v>
      </c>
      <c r="D76" s="11" t="n">
        <v>73.7623</v>
      </c>
      <c r="E76" s="11" t="n">
        <v>28.4978</v>
      </c>
      <c r="F76" s="11" t="n">
        <v>28.5273</v>
      </c>
      <c r="G76" s="11" t="n">
        <v>28.4595</v>
      </c>
      <c r="H76" s="11" t="n">
        <v>31.7998</v>
      </c>
      <c r="I76" s="11" t="n">
        <v>31.098</v>
      </c>
      <c r="J76" s="11" t="n">
        <v>34.0422</v>
      </c>
      <c r="K76" s="11" t="n">
        <v>34.4659</v>
      </c>
      <c r="L76" s="11" t="n">
        <v>33.0782</v>
      </c>
      <c r="M76" s="11" t="n">
        <v>37.881</v>
      </c>
      <c r="N76" s="11" t="n">
        <v>35.9183</v>
      </c>
      <c r="O76" s="11" t="n">
        <v>37.35</v>
      </c>
      <c r="P76" s="11" t="n">
        <v>35.98</v>
      </c>
      <c r="Q76" s="11" t="n">
        <v>38.76</v>
      </c>
      <c r="R76" s="11" t="n">
        <v>36.26</v>
      </c>
      <c r="S76" s="11" t="n">
        <v>42.77</v>
      </c>
      <c r="T76" s="11" t="n">
        <v>41.85</v>
      </c>
      <c r="U76" s="11" t="n">
        <v>48.95</v>
      </c>
      <c r="V76" s="11" t="n">
        <v>47.68</v>
      </c>
      <c r="W76" s="11" t="n">
        <v>25.355</v>
      </c>
      <c r="X76" s="11" t="n">
        <v>24.5792</v>
      </c>
      <c r="Y76" s="11" t="n">
        <v>16.9314</v>
      </c>
      <c r="Z76" s="11" t="n">
        <v>77.13460000000001</v>
      </c>
      <c r="AA76" s="11" t="n">
        <v>28.4595</v>
      </c>
      <c r="AB76" s="11" t="n">
        <v>34.4659</v>
      </c>
      <c r="AC76" s="11" t="n">
        <v>37.35</v>
      </c>
      <c r="AD76" s="11" t="n">
        <v>42.77</v>
      </c>
    </row>
    <row r="77">
      <c r="A77" s="10" t="inlineStr">
        <is>
          <t>장기차입금</t>
        </is>
      </c>
      <c r="C77" s="11" t="n">
        <v>6.0002</v>
      </c>
      <c r="D77" s="11" t="n">
        <v>0</v>
      </c>
      <c r="E77" s="11" t="n">
        <v>2.94</v>
      </c>
      <c r="F77" s="11" t="n">
        <v>2.07</v>
      </c>
      <c r="G77" s="11" t="n">
        <v>1.2</v>
      </c>
      <c r="H77" s="11" t="n">
        <v>0.33</v>
      </c>
      <c r="K77" s="11" t="n">
        <v>0</v>
      </c>
      <c r="M77" s="11" t="n">
        <v>0.4443</v>
      </c>
      <c r="N77" s="11" t="n">
        <v>0.4191</v>
      </c>
      <c r="S77" s="11" t="n">
        <v>0</v>
      </c>
      <c r="U77" s="11" t="n">
        <v>0.89</v>
      </c>
      <c r="V77" s="11" t="n">
        <v>0.82</v>
      </c>
      <c r="X77" s="11" t="n">
        <v>0</v>
      </c>
      <c r="Y77" s="11" t="n">
        <v>50</v>
      </c>
      <c r="Z77" s="11" t="n">
        <v>6.0002</v>
      </c>
      <c r="AA77" s="11" t="n">
        <v>1.2</v>
      </c>
      <c r="AB77" s="11" t="n">
        <v>0</v>
      </c>
      <c r="AD77" s="11" t="n">
        <v>0</v>
      </c>
    </row>
    <row r="78">
      <c r="A78" s="10" t="inlineStr">
        <is>
          <t>리스부채</t>
        </is>
      </c>
      <c r="C78" s="11" t="n">
        <v>2.2559</v>
      </c>
      <c r="D78" s="11" t="n">
        <v>2.209</v>
      </c>
      <c r="E78" s="11" t="n">
        <v>2.2752</v>
      </c>
      <c r="F78" s="11" t="n">
        <v>2.5658</v>
      </c>
      <c r="G78" s="11" t="n">
        <v>2.5129</v>
      </c>
      <c r="H78" s="11" t="n">
        <v>2.4641</v>
      </c>
      <c r="I78" s="11" t="n">
        <v>2.4103</v>
      </c>
      <c r="J78" s="11" t="n">
        <v>2.3565</v>
      </c>
      <c r="K78" s="11" t="n">
        <v>2.4582</v>
      </c>
      <c r="L78" s="11" t="n">
        <v>2.4029</v>
      </c>
      <c r="M78" s="11" t="n">
        <v>2.5504</v>
      </c>
      <c r="N78" s="11" t="n">
        <v>2.5718</v>
      </c>
      <c r="O78" s="11" t="n">
        <v>2.49</v>
      </c>
      <c r="P78" s="11" t="n">
        <v>2.42</v>
      </c>
      <c r="Q78" s="11" t="n">
        <v>2.35</v>
      </c>
      <c r="R78" s="11" t="n">
        <v>2.28</v>
      </c>
      <c r="S78" s="11" t="n">
        <v>2.43</v>
      </c>
      <c r="T78" s="11" t="n">
        <v>2.36</v>
      </c>
      <c r="U78" s="11" t="n">
        <v>2.29</v>
      </c>
      <c r="V78" s="11" t="n">
        <v>2.28</v>
      </c>
      <c r="W78" s="11" t="n">
        <v>2.0849</v>
      </c>
      <c r="X78" s="11" t="n">
        <v>2.2709</v>
      </c>
      <c r="Y78" s="11" t="n">
        <v>2.1014</v>
      </c>
      <c r="Z78" s="11" t="n">
        <v>2.2559</v>
      </c>
      <c r="AA78" s="11" t="n">
        <v>2.5129</v>
      </c>
      <c r="AB78" s="11" t="n">
        <v>2.4582</v>
      </c>
      <c r="AC78" s="11" t="n">
        <v>2.49</v>
      </c>
      <c r="AD78" s="11" t="n">
        <v>2.43</v>
      </c>
    </row>
    <row r="79">
      <c r="A79" s="10" t="inlineStr">
        <is>
          <t>자산복구부채</t>
        </is>
      </c>
      <c r="C79" s="11" t="n">
        <v>3.5633</v>
      </c>
      <c r="D79" s="11" t="n">
        <v>3.5692</v>
      </c>
      <c r="E79" s="11" t="n">
        <v>3.6214</v>
      </c>
      <c r="F79" s="11" t="n">
        <v>3.6725</v>
      </c>
      <c r="G79" s="11" t="n">
        <v>3.7229</v>
      </c>
      <c r="H79" s="11" t="n">
        <v>3.9611</v>
      </c>
      <c r="I79" s="11" t="n">
        <v>4.0169</v>
      </c>
      <c r="J79" s="11" t="n">
        <v>4.0239</v>
      </c>
      <c r="K79" s="11" t="n">
        <v>4.0976</v>
      </c>
      <c r="L79" s="11" t="n">
        <v>4.0549</v>
      </c>
      <c r="M79" s="11" t="n">
        <v>4.4537</v>
      </c>
      <c r="N79" s="11" t="n">
        <v>4.5501</v>
      </c>
      <c r="O79" s="11" t="n">
        <v>4.55</v>
      </c>
      <c r="P79" s="11" t="n">
        <v>4.58</v>
      </c>
      <c r="Q79" s="11" t="n">
        <v>4.63</v>
      </c>
      <c r="R79" s="11" t="n">
        <v>4.66</v>
      </c>
      <c r="S79" s="11" t="n">
        <v>4.71</v>
      </c>
      <c r="T79" s="11" t="n">
        <v>4.73</v>
      </c>
      <c r="U79" s="11" t="n">
        <v>4.78</v>
      </c>
      <c r="V79" s="11" t="n">
        <v>4.79</v>
      </c>
      <c r="W79" s="11" t="n">
        <v>3.5835</v>
      </c>
      <c r="X79" s="11" t="n">
        <v>3.6701</v>
      </c>
      <c r="Y79" s="11" t="n">
        <v>3.5273</v>
      </c>
      <c r="Z79" s="11" t="n">
        <v>3.5633</v>
      </c>
      <c r="AA79" s="11" t="n">
        <v>3.7229</v>
      </c>
      <c r="AB79" s="11" t="n">
        <v>4.0976</v>
      </c>
      <c r="AC79" s="11" t="n">
        <v>4.55</v>
      </c>
      <c r="AD79" s="11" t="n">
        <v>4.71</v>
      </c>
    </row>
    <row r="80">
      <c r="A80" s="10" t="inlineStr">
        <is>
          <t>기타</t>
        </is>
      </c>
      <c r="C80" s="11" t="n">
        <v>0.1304</v>
      </c>
      <c r="D80" s="11" t="n">
        <v>0.1304</v>
      </c>
      <c r="E80" s="11" t="n">
        <v>0.1304</v>
      </c>
      <c r="F80" s="11" t="n">
        <v>0.1304</v>
      </c>
      <c r="G80" s="11" t="n">
        <v>0.1304</v>
      </c>
      <c r="H80" s="11" t="n">
        <v>0.1445</v>
      </c>
      <c r="I80" s="11" t="n">
        <v>0.1287</v>
      </c>
      <c r="J80" s="11" t="n">
        <v>0.1301</v>
      </c>
      <c r="K80" s="11" t="n">
        <v>0.1256</v>
      </c>
      <c r="L80" s="11" t="n">
        <v>0.079</v>
      </c>
      <c r="M80" s="11" t="n">
        <v>0.1286</v>
      </c>
      <c r="N80" s="11" t="n">
        <v>0.1389</v>
      </c>
      <c r="O80" s="11" t="n">
        <v>0.05</v>
      </c>
      <c r="P80" s="11" t="n">
        <v>0.05</v>
      </c>
      <c r="Q80" s="11" t="n">
        <v>0.05</v>
      </c>
      <c r="R80" s="11" t="n">
        <v>0.05</v>
      </c>
      <c r="S80" s="11" t="n">
        <v>0.05</v>
      </c>
      <c r="T80" s="11" t="n">
        <v>0.05</v>
      </c>
      <c r="U80" s="11" t="n">
        <v>0.11</v>
      </c>
      <c r="V80" s="11" t="n">
        <v>0.11</v>
      </c>
      <c r="W80" s="11" t="n">
        <v>0.0878</v>
      </c>
      <c r="X80" s="11" t="n">
        <v>0.1343</v>
      </c>
      <c r="Y80" s="11" t="n">
        <v>0.131</v>
      </c>
      <c r="Z80" s="11" t="n">
        <v>0.1304</v>
      </c>
      <c r="AA80" s="11" t="n">
        <v>0.1304</v>
      </c>
      <c r="AB80" s="11" t="n">
        <v>0.1256</v>
      </c>
      <c r="AC80" s="11" t="n">
        <v>0.05</v>
      </c>
      <c r="AD80" s="11" t="n">
        <v>0.05</v>
      </c>
    </row>
    <row r="81">
      <c r="A81" s="10" t="inlineStr">
        <is>
          <t>비유동부채 합계</t>
        </is>
      </c>
      <c r="C81" s="11" t="n">
        <v>11.9498</v>
      </c>
      <c r="D81" s="11" t="n">
        <v>5.9086</v>
      </c>
      <c r="E81" s="11" t="n">
        <v>8.967000000000001</v>
      </c>
      <c r="F81" s="11" t="n">
        <v>8.438700000000001</v>
      </c>
      <c r="G81" s="11" t="n">
        <v>7.5662</v>
      </c>
      <c r="H81" s="11" t="n">
        <v>6.8997</v>
      </c>
      <c r="I81" s="11" t="n">
        <v>6.5558</v>
      </c>
      <c r="J81" s="11" t="n">
        <v>6.5105</v>
      </c>
      <c r="K81" s="11" t="n">
        <v>6.6814</v>
      </c>
      <c r="L81" s="11" t="n">
        <v>6.5368</v>
      </c>
      <c r="M81" s="11" t="n">
        <v>7.5771</v>
      </c>
      <c r="N81" s="11" t="n">
        <v>7.6799</v>
      </c>
      <c r="O81" s="11" t="n">
        <v>7.1</v>
      </c>
      <c r="P81" s="11" t="n">
        <v>7.06</v>
      </c>
      <c r="Q81" s="11" t="n">
        <v>7.03</v>
      </c>
      <c r="R81" s="11" t="n">
        <v>7</v>
      </c>
      <c r="S81" s="11" t="n">
        <v>7.2</v>
      </c>
      <c r="T81" s="11" t="n">
        <v>7.15</v>
      </c>
      <c r="U81" s="11" t="n">
        <v>8.07</v>
      </c>
      <c r="V81" s="11" t="n">
        <v>8</v>
      </c>
      <c r="W81" s="11" t="n">
        <v>5.7562</v>
      </c>
      <c r="X81" s="11" t="n">
        <v>6.0753</v>
      </c>
      <c r="Y81" s="11" t="n">
        <v>55.7597</v>
      </c>
      <c r="Z81" s="11" t="n">
        <v>11.9498</v>
      </c>
      <c r="AA81" s="11" t="n">
        <v>7.5662</v>
      </c>
      <c r="AB81" s="11" t="n">
        <v>6.6814</v>
      </c>
      <c r="AC81" s="11" t="n">
        <v>7.1</v>
      </c>
      <c r="AD81" s="11" t="n">
        <v>7.2</v>
      </c>
    </row>
    <row r="82">
      <c r="A82" s="10" t="inlineStr">
        <is>
          <t>부채 합계</t>
        </is>
      </c>
      <c r="C82" s="11" t="n">
        <v>89.08450000000001</v>
      </c>
      <c r="D82" s="11" t="n">
        <v>79.6709</v>
      </c>
      <c r="E82" s="11" t="n">
        <v>37.4648</v>
      </c>
      <c r="F82" s="11" t="n">
        <v>36.9661</v>
      </c>
      <c r="G82" s="11" t="n">
        <v>36.0258</v>
      </c>
      <c r="H82" s="11" t="n">
        <v>38.6995</v>
      </c>
      <c r="I82" s="11" t="n">
        <v>37.6538</v>
      </c>
      <c r="J82" s="11" t="n">
        <v>40.5527</v>
      </c>
      <c r="K82" s="11" t="n">
        <v>41.1473</v>
      </c>
      <c r="L82" s="11" t="n">
        <v>39.615</v>
      </c>
      <c r="M82" s="11" t="n">
        <v>45.458</v>
      </c>
      <c r="N82" s="11" t="n">
        <v>43.5981</v>
      </c>
      <c r="O82" s="11" t="n">
        <v>44.46</v>
      </c>
      <c r="P82" s="11" t="n">
        <v>43.05</v>
      </c>
      <c r="Q82" s="11" t="n">
        <v>45.8</v>
      </c>
      <c r="R82" s="11" t="n">
        <v>43.27</v>
      </c>
      <c r="S82" s="11" t="n">
        <v>49.97</v>
      </c>
      <c r="T82" s="11" t="n">
        <v>49.01</v>
      </c>
      <c r="U82" s="11" t="n">
        <v>57.03</v>
      </c>
      <c r="V82" s="11" t="n">
        <v>55.69</v>
      </c>
      <c r="W82" s="11" t="n">
        <v>31.1112</v>
      </c>
      <c r="X82" s="11" t="n">
        <v>30.6545</v>
      </c>
      <c r="Y82" s="11" t="n">
        <v>72.69119999999999</v>
      </c>
      <c r="Z82" s="11" t="n">
        <v>89.08450000000001</v>
      </c>
      <c r="AA82" s="11" t="n">
        <v>36.0258</v>
      </c>
      <c r="AB82" s="11" t="n">
        <v>41.1473</v>
      </c>
      <c r="AC82" s="11" t="n">
        <v>44.46</v>
      </c>
      <c r="AD82" s="11" t="n">
        <v>49.97</v>
      </c>
    </row>
    <row r="83">
      <c r="A83" s="10" t="inlineStr">
        <is>
          <t>자본금</t>
        </is>
      </c>
      <c r="C83" s="11" t="n">
        <v>22.1067</v>
      </c>
      <c r="D83" s="11" t="n">
        <v>22.1067</v>
      </c>
      <c r="E83" s="11" t="n">
        <v>22.1067</v>
      </c>
      <c r="F83" s="11" t="n">
        <v>22.1067</v>
      </c>
      <c r="G83" s="11" t="n">
        <v>22.1067</v>
      </c>
      <c r="H83" s="11" t="n">
        <v>22.1067</v>
      </c>
      <c r="I83" s="11" t="n">
        <v>22.1067</v>
      </c>
      <c r="J83" s="11" t="n">
        <v>22.1067</v>
      </c>
      <c r="K83" s="11" t="n">
        <v>22.1067</v>
      </c>
      <c r="L83" s="11" t="n">
        <v>22.1067</v>
      </c>
      <c r="M83" s="11" t="n">
        <v>22.1067</v>
      </c>
      <c r="N83" s="11" t="n">
        <v>22.1067</v>
      </c>
      <c r="O83" s="11" t="n">
        <v>22.1</v>
      </c>
      <c r="P83" s="11" t="n">
        <v>22.1</v>
      </c>
      <c r="Q83" s="11" t="n">
        <v>22.1</v>
      </c>
      <c r="R83" s="11" t="n">
        <v>22.1</v>
      </c>
      <c r="S83" s="11" t="n">
        <v>22.1</v>
      </c>
      <c r="T83" s="11" t="n">
        <v>22.1</v>
      </c>
      <c r="U83" s="11" t="n">
        <v>22.1</v>
      </c>
      <c r="V83" s="11" t="n">
        <v>22.1</v>
      </c>
      <c r="W83" s="11" t="n">
        <v>21.9921</v>
      </c>
      <c r="X83" s="11" t="n">
        <v>22.1067</v>
      </c>
      <c r="Y83" s="11" t="n">
        <v>22.1067</v>
      </c>
      <c r="Z83" s="11" t="n">
        <v>22.1067</v>
      </c>
      <c r="AA83" s="11" t="n">
        <v>22.1067</v>
      </c>
      <c r="AB83" s="11" t="n">
        <v>22.1067</v>
      </c>
      <c r="AC83" s="11" t="n">
        <v>22.1</v>
      </c>
      <c r="AD83" s="11" t="n">
        <v>22.1</v>
      </c>
    </row>
    <row r="84">
      <c r="A84" s="10" t="inlineStr">
        <is>
          <t>자본준비금</t>
        </is>
      </c>
      <c r="C84" s="11" t="n">
        <v>21.2066</v>
      </c>
      <c r="G84" s="11" t="n">
        <v>21.2066</v>
      </c>
      <c r="W84" s="11" t="n">
        <v>21.0921</v>
      </c>
      <c r="X84" s="11" t="n">
        <v>21.2066</v>
      </c>
      <c r="Y84" s="11" t="n">
        <v>21.2066</v>
      </c>
      <c r="Z84" s="11" t="n">
        <v>21.2066</v>
      </c>
      <c r="AA84" s="11" t="n">
        <v>21.2066</v>
      </c>
    </row>
    <row r="85">
      <c r="A85" s="10" t="inlineStr">
        <is>
          <t>자본잉여금</t>
        </is>
      </c>
      <c r="C85" s="11" t="n">
        <v>21.2066</v>
      </c>
      <c r="D85" s="11" t="n">
        <v>21.2066</v>
      </c>
      <c r="E85" s="11" t="n">
        <v>21.2066</v>
      </c>
      <c r="F85" s="11" t="n">
        <v>21.206</v>
      </c>
      <c r="G85" s="11" t="n">
        <v>21.2066</v>
      </c>
      <c r="H85" s="11" t="n">
        <v>21.2066</v>
      </c>
      <c r="I85" s="11" t="n">
        <v>21.2238</v>
      </c>
      <c r="J85" s="11" t="n">
        <v>21.2238</v>
      </c>
      <c r="K85" s="11" t="n">
        <v>21.2238</v>
      </c>
      <c r="L85" s="11" t="n">
        <v>21.2238</v>
      </c>
      <c r="M85" s="11" t="n">
        <v>21.3261</v>
      </c>
      <c r="N85" s="11" t="n">
        <v>21.3261</v>
      </c>
      <c r="O85" s="11" t="n">
        <v>21.32</v>
      </c>
      <c r="P85" s="11" t="n">
        <v>21.32</v>
      </c>
      <c r="Q85" s="11" t="n">
        <v>21.44</v>
      </c>
      <c r="R85" s="11" t="n">
        <v>21.44</v>
      </c>
      <c r="S85" s="11" t="n">
        <v>21.44</v>
      </c>
      <c r="T85" s="11" t="n">
        <v>21.44</v>
      </c>
      <c r="U85" s="11" t="n">
        <v>21.71</v>
      </c>
      <c r="V85" s="11" t="n">
        <v>21.71</v>
      </c>
      <c r="W85" s="11" t="n">
        <v>21.0921</v>
      </c>
      <c r="X85" s="11" t="n">
        <v>21.2066</v>
      </c>
      <c r="Y85" s="11" t="n">
        <v>21.2066</v>
      </c>
      <c r="Z85" s="11" t="n">
        <v>21.2066</v>
      </c>
      <c r="AA85" s="11" t="n">
        <v>21.2066</v>
      </c>
      <c r="AB85" s="11" t="n">
        <v>21.2238</v>
      </c>
      <c r="AC85" s="11" t="n">
        <v>21.32</v>
      </c>
      <c r="AD85" s="11" t="n">
        <v>21.44</v>
      </c>
    </row>
    <row r="86">
      <c r="A86" s="10" t="inlineStr">
        <is>
          <t>이익준비금</t>
        </is>
      </c>
      <c r="C86" s="11" t="n">
        <v>0.5889</v>
      </c>
      <c r="G86" s="11" t="n">
        <v>0.5889</v>
      </c>
      <c r="W86" s="11" t="n">
        <v>0.5889</v>
      </c>
      <c r="X86" s="11" t="n">
        <v>0.5889</v>
      </c>
      <c r="Y86" s="11" t="n">
        <v>0.5889</v>
      </c>
      <c r="Z86" s="11" t="n">
        <v>0.5889</v>
      </c>
      <c r="AA86" s="11" t="n">
        <v>0.5889</v>
      </c>
    </row>
    <row r="87">
      <c r="A87" s="10" t="inlineStr">
        <is>
          <t>고정자산 압축적립금</t>
        </is>
      </c>
      <c r="C87" s="11" t="n">
        <v>0.0808</v>
      </c>
      <c r="G87" s="11" t="n">
        <v>0.0717</v>
      </c>
      <c r="W87" s="11" t="n">
        <v>0.1121</v>
      </c>
      <c r="X87" s="11" t="n">
        <v>0.0993</v>
      </c>
      <c r="Y87" s="11" t="n">
        <v>0.08989999999999999</v>
      </c>
      <c r="Z87" s="11" t="n">
        <v>0.0808</v>
      </c>
      <c r="AA87" s="11" t="n">
        <v>0.0717</v>
      </c>
    </row>
    <row r="88">
      <c r="A88" s="10" t="inlineStr">
        <is>
          <t>별도적립금</t>
        </is>
      </c>
      <c r="C88" s="11" t="n">
        <v>10</v>
      </c>
      <c r="G88" s="11" t="n">
        <v>10</v>
      </c>
      <c r="W88" s="11" t="n">
        <v>10</v>
      </c>
      <c r="X88" s="11" t="n">
        <v>10</v>
      </c>
      <c r="Y88" s="11" t="n">
        <v>10</v>
      </c>
      <c r="Z88" s="11" t="n">
        <v>10</v>
      </c>
      <c r="AA88" s="11" t="n">
        <v>10</v>
      </c>
    </row>
    <row r="89">
      <c r="A89" s="10" t="inlineStr">
        <is>
          <t>이월이익잉여금</t>
        </is>
      </c>
      <c r="C89" s="11" t="n">
        <v>124.5974</v>
      </c>
      <c r="G89" s="11" t="n">
        <v>128.7809</v>
      </c>
      <c r="W89" s="11" t="n">
        <v>113.2958</v>
      </c>
      <c r="X89" s="11" t="n">
        <v>125.1372</v>
      </c>
      <c r="Y89" s="11" t="n">
        <v>117.4558</v>
      </c>
      <c r="Z89" s="11" t="n">
        <v>124.5974</v>
      </c>
      <c r="AA89" s="11" t="n">
        <v>128.7809</v>
      </c>
    </row>
    <row r="90">
      <c r="A90" s="10" t="inlineStr">
        <is>
          <t>이익잉여금</t>
        </is>
      </c>
      <c r="C90" s="11" t="n">
        <v>135.2671</v>
      </c>
      <c r="D90" s="11" t="n">
        <v>136.5789</v>
      </c>
      <c r="E90" s="11" t="n">
        <v>138.0515</v>
      </c>
      <c r="F90" s="11" t="n">
        <v>138.0517</v>
      </c>
      <c r="G90" s="11" t="n">
        <v>139.4415</v>
      </c>
      <c r="H90" s="11" t="n">
        <v>139.8722</v>
      </c>
      <c r="I90" s="11" t="n">
        <v>141.3287</v>
      </c>
      <c r="J90" s="11" t="n">
        <v>144.1777</v>
      </c>
      <c r="K90" s="11" t="n">
        <v>146.8303</v>
      </c>
      <c r="L90" s="11" t="n">
        <v>150.6169</v>
      </c>
      <c r="M90" s="11" t="n">
        <v>153.5828</v>
      </c>
      <c r="N90" s="11" t="n">
        <v>157.2529</v>
      </c>
      <c r="O90" s="11" t="n">
        <v>160.71</v>
      </c>
      <c r="P90" s="11" t="n">
        <v>162.55</v>
      </c>
      <c r="Q90" s="11" t="n">
        <v>167.24</v>
      </c>
      <c r="R90" s="11" t="n">
        <v>171.09</v>
      </c>
      <c r="S90" s="11" t="n">
        <v>176.69</v>
      </c>
      <c r="T90" s="11" t="n">
        <v>181.39</v>
      </c>
      <c r="U90" s="11" t="n">
        <v>187.35</v>
      </c>
      <c r="V90" s="11" t="n">
        <v>191.96</v>
      </c>
      <c r="W90" s="11" t="n">
        <v>123.9968</v>
      </c>
      <c r="X90" s="11" t="n">
        <v>135.8254</v>
      </c>
      <c r="Y90" s="11" t="n">
        <v>128.1346</v>
      </c>
      <c r="Z90" s="11" t="n">
        <v>135.2671</v>
      </c>
      <c r="AA90" s="11" t="n">
        <v>139.4415</v>
      </c>
      <c r="AB90" s="11" t="n">
        <v>146.8303</v>
      </c>
      <c r="AC90" s="11" t="n">
        <v>160.71</v>
      </c>
      <c r="AD90" s="11" t="n">
        <v>176.69</v>
      </c>
    </row>
    <row r="91">
      <c r="A91" s="10" t="inlineStr">
        <is>
          <t>자기주식</t>
        </is>
      </c>
      <c r="C91" s="11" t="n">
        <v>-0.018</v>
      </c>
      <c r="D91" s="11" t="n">
        <v>-5.2597</v>
      </c>
      <c r="E91" s="11" t="n">
        <v>-5.0675</v>
      </c>
      <c r="F91" s="11" t="n">
        <v>-5.0675</v>
      </c>
      <c r="G91" s="11" t="n">
        <v>-5.0675</v>
      </c>
      <c r="H91" s="11" t="n">
        <v>-5.0675</v>
      </c>
      <c r="I91" s="11" t="n">
        <v>-4.8701</v>
      </c>
      <c r="J91" s="11" t="n">
        <v>-4.8701</v>
      </c>
      <c r="K91" s="11" t="n">
        <v>-4.8701</v>
      </c>
      <c r="L91" s="11" t="n">
        <v>-4.8701</v>
      </c>
      <c r="M91" s="11" t="n">
        <v>-4.635</v>
      </c>
      <c r="N91" s="11" t="n">
        <v>-4.6351</v>
      </c>
      <c r="O91" s="11" t="n">
        <v>-4.63</v>
      </c>
      <c r="P91" s="11" t="n">
        <v>-4.63</v>
      </c>
      <c r="Q91" s="11" t="n">
        <v>-4.36</v>
      </c>
      <c r="R91" s="11" t="n">
        <v>-4.36</v>
      </c>
      <c r="S91" s="11" t="n">
        <v>-4.36</v>
      </c>
      <c r="T91" s="11" t="n">
        <v>-4.36</v>
      </c>
      <c r="U91" s="11" t="n">
        <v>-4.07</v>
      </c>
      <c r="V91" s="11" t="n">
        <v>-4.07</v>
      </c>
      <c r="W91" s="11" t="n">
        <v>-0.0144</v>
      </c>
      <c r="X91" s="11" t="n">
        <v>-0.0161</v>
      </c>
      <c r="Y91" s="11" t="n">
        <v>-0.018</v>
      </c>
      <c r="Z91" s="11" t="n">
        <v>-0.018</v>
      </c>
      <c r="AA91" s="11" t="n">
        <v>-5.0675</v>
      </c>
      <c r="AB91" s="11" t="n">
        <v>-4.8701</v>
      </c>
      <c r="AC91" s="11" t="n">
        <v>-4.63</v>
      </c>
      <c r="AD91" s="11" t="n">
        <v>-4.36</v>
      </c>
    </row>
    <row r="92">
      <c r="A92" s="10" t="inlineStr">
        <is>
          <t>주주자본 합계</t>
        </is>
      </c>
      <c r="C92" s="11" t="n">
        <v>178.5624</v>
      </c>
      <c r="D92" s="11" t="n">
        <v>174.6325</v>
      </c>
      <c r="E92" s="11" t="n">
        <v>176.2973</v>
      </c>
      <c r="F92" s="11" t="n">
        <v>176.2968</v>
      </c>
      <c r="G92" s="11" t="n">
        <v>177.6873</v>
      </c>
      <c r="H92" s="11" t="n">
        <v>178.118</v>
      </c>
      <c r="I92" s="11" t="n">
        <v>179.7891</v>
      </c>
      <c r="J92" s="11" t="n">
        <v>182.6381</v>
      </c>
      <c r="K92" s="11" t="n">
        <v>185.2907</v>
      </c>
      <c r="L92" s="11" t="n">
        <v>189.0773</v>
      </c>
      <c r="M92" s="11" t="n">
        <v>192.3805</v>
      </c>
      <c r="N92" s="11" t="n">
        <v>196.0505</v>
      </c>
      <c r="O92" s="11" t="n">
        <v>199.51</v>
      </c>
      <c r="P92" s="11" t="n">
        <v>201.35</v>
      </c>
      <c r="Q92" s="11" t="n">
        <v>206.42</v>
      </c>
      <c r="R92" s="11" t="n">
        <v>210.27</v>
      </c>
      <c r="S92" s="11" t="n">
        <v>215.87</v>
      </c>
      <c r="T92" s="11" t="n">
        <v>220.57</v>
      </c>
      <c r="U92" s="11" t="n">
        <v>227.09</v>
      </c>
      <c r="V92" s="11" t="n">
        <v>231.71</v>
      </c>
      <c r="W92" s="11" t="n">
        <v>167.0665</v>
      </c>
      <c r="X92" s="11" t="n">
        <v>179.1226</v>
      </c>
      <c r="Y92" s="11" t="n">
        <v>171.4299</v>
      </c>
      <c r="Z92" s="11" t="n">
        <v>178.5624</v>
      </c>
      <c r="AA92" s="11" t="n">
        <v>177.6873</v>
      </c>
      <c r="AB92" s="11" t="n">
        <v>185.2907</v>
      </c>
      <c r="AC92" s="11" t="n">
        <v>199.51</v>
      </c>
      <c r="AD92" s="11" t="n">
        <v>215.87</v>
      </c>
    </row>
    <row r="93">
      <c r="A93" s="10" t="inlineStr">
        <is>
          <t>기타유가증권 평가차액</t>
        </is>
      </c>
      <c r="C93" s="11" t="n">
        <v>0.2518</v>
      </c>
      <c r="D93" s="11" t="n">
        <v>0.2139</v>
      </c>
      <c r="E93" s="11" t="n">
        <v>0.2255</v>
      </c>
      <c r="F93" s="11" t="n">
        <v>0.2127</v>
      </c>
      <c r="G93" s="11" t="n">
        <v>0.2166</v>
      </c>
      <c r="H93" s="11" t="n">
        <v>0.2338</v>
      </c>
      <c r="I93" s="11" t="n">
        <v>0.2735</v>
      </c>
      <c r="J93" s="11" t="n">
        <v>0.3171</v>
      </c>
      <c r="K93" s="11" t="n">
        <v>0.3273</v>
      </c>
      <c r="L93" s="11" t="n">
        <v>0.4183</v>
      </c>
      <c r="M93" s="11" t="n">
        <v>0.4874</v>
      </c>
      <c r="N93" s="11" t="n">
        <v>0.451</v>
      </c>
      <c r="O93" s="11" t="n">
        <v>0.46</v>
      </c>
      <c r="P93" s="11" t="n">
        <v>0.72</v>
      </c>
      <c r="Q93" s="11" t="n">
        <v>0.46</v>
      </c>
      <c r="R93" s="11" t="n">
        <v>0.53</v>
      </c>
      <c r="S93" s="11" t="n">
        <v>0.62</v>
      </c>
      <c r="T93" s="11" t="n">
        <v>0.82</v>
      </c>
      <c r="U93" s="11" t="n">
        <v>0.84</v>
      </c>
      <c r="V93" s="11" t="n">
        <v>1.02</v>
      </c>
      <c r="W93" s="11" t="n">
        <v>-0.0491</v>
      </c>
      <c r="X93" s="11" t="n">
        <v>0.1378</v>
      </c>
      <c r="Y93" s="11" t="n">
        <v>0.1684</v>
      </c>
      <c r="Z93" s="11" t="n">
        <v>0.2518</v>
      </c>
      <c r="AA93" s="11" t="n">
        <v>0.2166</v>
      </c>
      <c r="AB93" s="11" t="n">
        <v>0.3273</v>
      </c>
      <c r="AC93" s="11" t="n">
        <v>0.46</v>
      </c>
      <c r="AD93" s="11" t="n">
        <v>0.62</v>
      </c>
    </row>
    <row r="94">
      <c r="A94" s="10" t="inlineStr">
        <is>
          <t>기타포괄손익누계액 합계</t>
        </is>
      </c>
      <c r="C94" s="11" t="n">
        <v>0.2518</v>
      </c>
      <c r="D94" s="11" t="n">
        <v>0.2139</v>
      </c>
      <c r="E94" s="11" t="n">
        <v>0.2255</v>
      </c>
      <c r="F94" s="11" t="n">
        <v>0.2127</v>
      </c>
      <c r="G94" s="11" t="n">
        <v>0.2166</v>
      </c>
      <c r="H94" s="11" t="n">
        <v>0.2338</v>
      </c>
      <c r="I94" s="11" t="n">
        <v>0.2735</v>
      </c>
      <c r="J94" s="11" t="n">
        <v>0.3171</v>
      </c>
      <c r="K94" s="11" t="n">
        <v>0.3273</v>
      </c>
      <c r="L94" s="11" t="n">
        <v>0.4183</v>
      </c>
      <c r="M94" s="11" t="n">
        <v>0.4874</v>
      </c>
      <c r="N94" s="11" t="n">
        <v>0.451</v>
      </c>
      <c r="O94" s="11" t="n">
        <v>0.46</v>
      </c>
      <c r="P94" s="11" t="n">
        <v>0.72</v>
      </c>
      <c r="Q94" s="11" t="n">
        <v>0.46</v>
      </c>
      <c r="R94" s="11" t="n">
        <v>0.53</v>
      </c>
      <c r="S94" s="11" t="n">
        <v>0.62</v>
      </c>
      <c r="T94" s="11" t="n">
        <v>0.82</v>
      </c>
      <c r="U94" s="11" t="n">
        <v>0.84</v>
      </c>
      <c r="V94" s="11" t="n">
        <v>1.02</v>
      </c>
      <c r="W94" s="11" t="n">
        <v>-0.0491</v>
      </c>
      <c r="X94" s="11" t="n">
        <v>0.1378</v>
      </c>
      <c r="Y94" s="11" t="n">
        <v>0.1684</v>
      </c>
      <c r="Z94" s="11" t="n">
        <v>0.2518</v>
      </c>
      <c r="AA94" s="11" t="n">
        <v>0.2166</v>
      </c>
      <c r="AB94" s="11" t="n">
        <v>0.3273</v>
      </c>
      <c r="AC94" s="11" t="n">
        <v>0.46</v>
      </c>
      <c r="AD94" s="11" t="n">
        <v>0.62</v>
      </c>
    </row>
    <row r="95">
      <c r="A95" s="10" t="inlineStr">
        <is>
          <t>신주예약권</t>
        </is>
      </c>
      <c r="C95" s="11" t="n">
        <v>0.8128</v>
      </c>
      <c r="D95" s="11" t="n">
        <v>0.8483000000000001</v>
      </c>
      <c r="E95" s="11" t="n">
        <v>0.8483000000000001</v>
      </c>
      <c r="F95" s="11" t="n">
        <v>0.8483000000000001</v>
      </c>
      <c r="G95" s="11" t="n">
        <v>0.8483000000000001</v>
      </c>
      <c r="H95" s="11" t="n">
        <v>0.8483000000000001</v>
      </c>
      <c r="I95" s="11" t="n">
        <v>0.8483000000000001</v>
      </c>
      <c r="J95" s="11" t="n">
        <v>0.8483000000000001</v>
      </c>
      <c r="K95" s="11" t="n">
        <v>0.8483000000000001</v>
      </c>
      <c r="L95" s="11" t="n">
        <v>0.8483000000000001</v>
      </c>
      <c r="M95" s="11" t="n">
        <v>0.7703</v>
      </c>
      <c r="N95" s="11" t="n">
        <v>0.7703</v>
      </c>
      <c r="O95" s="11" t="n">
        <v>0.77</v>
      </c>
      <c r="P95" s="11" t="n">
        <v>0.77</v>
      </c>
      <c r="Q95" s="11" t="n">
        <v>0.67</v>
      </c>
      <c r="R95" s="11" t="n">
        <v>0.67</v>
      </c>
      <c r="S95" s="11" t="n">
        <v>0.67</v>
      </c>
      <c r="T95" s="11" t="n">
        <v>0.67</v>
      </c>
      <c r="U95" s="11" t="n">
        <v>0.67</v>
      </c>
      <c r="V95" s="11" t="n">
        <v>0.67</v>
      </c>
      <c r="W95" s="11" t="n">
        <v>0.6016</v>
      </c>
      <c r="X95" s="11" t="n">
        <v>0.5038</v>
      </c>
      <c r="Y95" s="11" t="n">
        <v>0.6625</v>
      </c>
      <c r="Z95" s="11" t="n">
        <v>0.8128</v>
      </c>
      <c r="AA95" s="11" t="n">
        <v>0.8483000000000001</v>
      </c>
      <c r="AB95" s="11" t="n">
        <v>0.8483000000000001</v>
      </c>
      <c r="AC95" s="11" t="n">
        <v>0.77</v>
      </c>
      <c r="AD95" s="11" t="n">
        <v>0.67</v>
      </c>
    </row>
    <row r="96">
      <c r="A96" s="10" t="inlineStr">
        <is>
          <t>순자산 합계</t>
        </is>
      </c>
      <c r="C96" s="11" t="n">
        <v>179.627</v>
      </c>
      <c r="D96" s="11" t="n">
        <v>175.6947</v>
      </c>
      <c r="E96" s="11" t="n">
        <v>177.3712</v>
      </c>
      <c r="F96" s="11" t="n">
        <v>177.3578</v>
      </c>
      <c r="G96" s="11" t="n">
        <v>178.7522</v>
      </c>
      <c r="H96" s="11" t="n">
        <v>179.2001</v>
      </c>
      <c r="I96" s="11" t="n">
        <v>180.9109</v>
      </c>
      <c r="J96" s="11" t="n">
        <v>183.8036</v>
      </c>
      <c r="K96" s="11" t="n">
        <v>186.4663</v>
      </c>
      <c r="L96" s="11" t="n">
        <v>190.344</v>
      </c>
      <c r="M96" s="11" t="n">
        <v>193.6382</v>
      </c>
      <c r="N96" s="11" t="n">
        <v>197.2719</v>
      </c>
      <c r="O96" s="11" t="n">
        <v>200.74</v>
      </c>
      <c r="P96" s="11" t="n">
        <v>202.85</v>
      </c>
      <c r="Q96" s="11" t="n">
        <v>207.56</v>
      </c>
      <c r="R96" s="11" t="n">
        <v>211.48</v>
      </c>
      <c r="S96" s="11" t="n">
        <v>217.17</v>
      </c>
      <c r="T96" s="11" t="n">
        <v>222.07</v>
      </c>
      <c r="U96" s="11" t="n">
        <v>228.61</v>
      </c>
      <c r="V96" s="11" t="n">
        <v>233.41</v>
      </c>
      <c r="W96" s="11" t="n">
        <v>167.6191</v>
      </c>
      <c r="X96" s="11" t="n">
        <v>179.7642</v>
      </c>
      <c r="Y96" s="11" t="n">
        <v>172.2608</v>
      </c>
      <c r="Z96" s="11" t="n">
        <v>179.627</v>
      </c>
      <c r="AA96" s="11" t="n">
        <v>178.7522</v>
      </c>
      <c r="AB96" s="11" t="n">
        <v>186.4663</v>
      </c>
      <c r="AC96" s="11" t="n">
        <v>200.74</v>
      </c>
      <c r="AD96" s="11" t="n">
        <v>217.17</v>
      </c>
    </row>
    <row r="97">
      <c r="A97" s="10" t="inlineStr">
        <is>
          <t>부채·순자산 합계</t>
        </is>
      </c>
      <c r="C97" s="11" t="n">
        <v>268.7115</v>
      </c>
      <c r="D97" s="11" t="n">
        <v>255.3657</v>
      </c>
      <c r="E97" s="11" t="n">
        <v>214.836</v>
      </c>
      <c r="F97" s="11" t="n">
        <v>214.3239</v>
      </c>
      <c r="G97" s="11" t="n">
        <v>214.778</v>
      </c>
      <c r="H97" s="11" t="n">
        <v>217.8996</v>
      </c>
      <c r="I97" s="11" t="n">
        <v>218.5647</v>
      </c>
      <c r="J97" s="11" t="n">
        <v>224.3563</v>
      </c>
      <c r="K97" s="11" t="n">
        <v>227.6136</v>
      </c>
      <c r="L97" s="11" t="n">
        <v>229.959</v>
      </c>
      <c r="M97" s="11" t="n">
        <v>239.0963</v>
      </c>
      <c r="N97" s="11" t="n">
        <v>240.87</v>
      </c>
      <c r="O97" s="11" t="n">
        <v>245.2</v>
      </c>
      <c r="P97" s="11" t="n">
        <v>245.9</v>
      </c>
      <c r="Q97" s="11" t="n">
        <v>253.37</v>
      </c>
      <c r="R97" s="11" t="n">
        <v>254.75</v>
      </c>
      <c r="S97" s="11" t="n">
        <v>267.15</v>
      </c>
      <c r="T97" s="11" t="n">
        <v>271.08</v>
      </c>
      <c r="U97" s="11" t="n">
        <v>285.65</v>
      </c>
      <c r="V97" s="11" t="n">
        <v>289.1</v>
      </c>
      <c r="W97" s="11" t="n">
        <v>198.7303</v>
      </c>
      <c r="X97" s="11" t="n">
        <v>210.4187</v>
      </c>
      <c r="Y97" s="11" t="n">
        <v>244.952</v>
      </c>
      <c r="Z97" s="11" t="n">
        <v>268.7115</v>
      </c>
      <c r="AA97" s="11" t="n">
        <v>214.778</v>
      </c>
      <c r="AB97" s="11" t="n">
        <v>227.6136</v>
      </c>
      <c r="AC97" s="11" t="n">
        <v>245.2</v>
      </c>
      <c r="AD97" s="11" t="n">
        <v>267.15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브롱코빌리 현금흐름표</t>
        </is>
      </c>
    </row>
    <row r="2">
      <c r="A2" s="2" t="inlineStr">
        <is>
          <t>결산기 기준(27.2Q = 2027년 결산기 2분기) · 12월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22.1Q</t>
        </is>
      </c>
      <c r="E3" s="4" t="inlineStr">
        <is>
          <t>22.2Q</t>
        </is>
      </c>
      <c r="F3" s="4" t="inlineStr">
        <is>
          <t>22.3Q</t>
        </is>
      </c>
      <c r="G3" s="4" t="inlineStr">
        <is>
          <t>22.4Q</t>
        </is>
      </c>
      <c r="H3" s="4" t="inlineStr">
        <is>
          <t>23.1Q</t>
        </is>
      </c>
      <c r="I3" s="4" t="inlineStr">
        <is>
          <t>23.2Q</t>
        </is>
      </c>
      <c r="J3" s="4" t="inlineStr">
        <is>
          <t>23.3Q</t>
        </is>
      </c>
      <c r="K3" s="4" t="inlineStr">
        <is>
          <t>23.4Q</t>
        </is>
      </c>
      <c r="L3" s="4" t="inlineStr">
        <is>
          <t>24.1Q</t>
        </is>
      </c>
      <c r="M3" s="4" t="inlineStr">
        <is>
          <t>24.2Q</t>
        </is>
      </c>
      <c r="N3" s="4" t="inlineStr">
        <is>
          <t>24.3Q</t>
        </is>
      </c>
      <c r="O3" s="4" t="inlineStr">
        <is>
          <t>24.4Q</t>
        </is>
      </c>
      <c r="P3" s="4" t="inlineStr">
        <is>
          <t>25.1Q</t>
        </is>
      </c>
      <c r="Q3" s="4" t="inlineStr">
        <is>
          <t>25.2Q</t>
        </is>
      </c>
      <c r="R3" s="4" t="inlineStr">
        <is>
          <t>25.3Q</t>
        </is>
      </c>
      <c r="S3" s="4" t="inlineStr">
        <is>
          <t>25.4Q</t>
        </is>
      </c>
      <c r="T3" s="4" t="inlineStr">
        <is>
          <t>26.1Q</t>
        </is>
      </c>
      <c r="U3" s="4" t="inlineStr">
        <is>
          <t>26.2Q</t>
        </is>
      </c>
      <c r="V3" s="4" t="inlineStr">
        <is>
          <t>26.3Q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C4" s="11" t="n">
        <v>14.2514</v>
      </c>
      <c r="E4" s="11" t="n">
        <v>6.7572</v>
      </c>
      <c r="G4" s="11" t="n">
        <v>10.3404</v>
      </c>
      <c r="I4" s="11" t="n">
        <v>5.6524</v>
      </c>
      <c r="K4" s="11" t="n">
        <v>14.4952</v>
      </c>
      <c r="M4" s="11" t="n">
        <v>12.47</v>
      </c>
      <c r="O4" s="11" t="n">
        <v>24.15</v>
      </c>
      <c r="Q4" s="11" t="n">
        <v>12.57</v>
      </c>
      <c r="S4" s="11" t="n">
        <v>27.6</v>
      </c>
      <c r="U4" s="11" t="n">
        <v>19.39</v>
      </c>
      <c r="W4" s="11" t="n">
        <v>25.7903</v>
      </c>
      <c r="X4" s="11" t="n">
        <v>23.2588</v>
      </c>
      <c r="Y4" s="11" t="n">
        <v>-4.1366</v>
      </c>
      <c r="Z4" s="11" t="n">
        <v>14.2514</v>
      </c>
      <c r="AA4" s="11" t="n">
        <v>10.3404</v>
      </c>
      <c r="AB4" s="11" t="n">
        <v>14.4952</v>
      </c>
      <c r="AC4" s="11" t="n">
        <v>24.15</v>
      </c>
      <c r="AD4" s="11" t="n">
        <v>27.6</v>
      </c>
      <c r="AE4" s="7" t="inlineStr">
        <is>
          <t>결산단신 XBRL(거래소 공시, TDnet·JPX 보관소). 쓴 문서: 2026-10-22, 2026-07-22, 2026-04-21, 2026-01-20 외 26건 — '출처' 시트에 전부</t>
        </is>
      </c>
    </row>
    <row r="5">
      <c r="A5" s="10" t="inlineStr">
        <is>
          <t>감가상각비</t>
        </is>
      </c>
      <c r="C5" s="11" t="n">
        <v>7.8345</v>
      </c>
      <c r="E5" s="11" t="n">
        <v>3.9411</v>
      </c>
      <c r="G5" s="11" t="n">
        <v>8.251300000000001</v>
      </c>
      <c r="I5" s="11" t="n">
        <v>4.2098</v>
      </c>
      <c r="K5" s="11" t="n">
        <v>8.694800000000001</v>
      </c>
      <c r="M5" s="11" t="n">
        <v>4.15</v>
      </c>
      <c r="O5" s="11" t="n">
        <v>8.75</v>
      </c>
      <c r="Q5" s="11" t="n">
        <v>4.43</v>
      </c>
      <c r="S5" s="11" t="n">
        <v>9.32</v>
      </c>
      <c r="U5" s="11" t="n">
        <v>4.68</v>
      </c>
      <c r="W5" s="11" t="n">
        <v>9.224299999999999</v>
      </c>
      <c r="X5" s="11" t="n">
        <v>9.122299999999999</v>
      </c>
      <c r="Y5" s="11" t="n">
        <v>8.203900000000001</v>
      </c>
      <c r="Z5" s="11" t="n">
        <v>7.8345</v>
      </c>
      <c r="AA5" s="11" t="n">
        <v>8.251300000000001</v>
      </c>
      <c r="AB5" s="11" t="n">
        <v>8.694800000000001</v>
      </c>
      <c r="AC5" s="11" t="n">
        <v>8.75</v>
      </c>
      <c r="AD5" s="11" t="n">
        <v>9.32</v>
      </c>
    </row>
    <row r="6">
      <c r="A6" s="10" t="inlineStr">
        <is>
          <t>손상차손</t>
        </is>
      </c>
      <c r="C6" s="11" t="n">
        <v>0.7022</v>
      </c>
      <c r="G6" s="11" t="n">
        <v>0.5729</v>
      </c>
      <c r="I6" s="11" t="n">
        <v>0.2681</v>
      </c>
      <c r="K6" s="11" t="n">
        <v>2.2746</v>
      </c>
      <c r="M6" s="11" t="n">
        <v>0</v>
      </c>
      <c r="O6" s="11" t="n">
        <v>1.76</v>
      </c>
      <c r="S6" s="11" t="n">
        <v>2.61</v>
      </c>
      <c r="W6" s="11" t="n">
        <v>0.7604</v>
      </c>
      <c r="X6" s="11" t="n">
        <v>1.1862</v>
      </c>
      <c r="Y6" s="11" t="n">
        <v>5.0804</v>
      </c>
      <c r="Z6" s="11" t="n">
        <v>0.7022</v>
      </c>
      <c r="AA6" s="11" t="n">
        <v>0.5729</v>
      </c>
      <c r="AB6" s="11" t="n">
        <v>2.2746</v>
      </c>
      <c r="AC6" s="11" t="n">
        <v>1.76</v>
      </c>
      <c r="AD6" s="11" t="n">
        <v>2.61</v>
      </c>
    </row>
    <row r="7">
      <c r="A7" s="10" t="inlineStr">
        <is>
          <t>영업권 상각</t>
        </is>
      </c>
      <c r="I7" s="11" t="n">
        <v>0.0273</v>
      </c>
      <c r="K7" s="11" t="n">
        <v>0.0546</v>
      </c>
      <c r="M7" s="11" t="n">
        <v>0.02</v>
      </c>
      <c r="O7" s="11" t="n">
        <v>0.05</v>
      </c>
      <c r="Q7" s="11" t="n">
        <v>0.02</v>
      </c>
      <c r="S7" s="11" t="n">
        <v>0.05</v>
      </c>
      <c r="U7" s="11" t="n">
        <v>0.02</v>
      </c>
      <c r="AB7" s="11" t="n">
        <v>0.0546</v>
      </c>
      <c r="AC7" s="11" t="n">
        <v>0.05</v>
      </c>
      <c r="AD7" s="11" t="n">
        <v>0.05</v>
      </c>
    </row>
    <row r="8">
      <c r="A8" s="10" t="inlineStr">
        <is>
          <t>상여충당금 증감</t>
        </is>
      </c>
      <c r="C8" s="11" t="n">
        <v>0.0153</v>
      </c>
      <c r="E8" s="11" t="n">
        <v>0.0162</v>
      </c>
      <c r="G8" s="11" t="n">
        <v>0.0258</v>
      </c>
      <c r="I8" s="11" t="n">
        <v>0.0623</v>
      </c>
      <c r="K8" s="11" t="n">
        <v>0.0591</v>
      </c>
      <c r="M8" s="11" t="n">
        <v>0.13</v>
      </c>
      <c r="O8" s="11" t="n">
        <v>0.12</v>
      </c>
      <c r="Q8" s="11" t="n">
        <v>0.16</v>
      </c>
      <c r="S8" s="11" t="n">
        <v>0.08</v>
      </c>
      <c r="U8" s="11" t="n">
        <v>0.15</v>
      </c>
      <c r="W8" s="11" t="n">
        <v>0.0228</v>
      </c>
      <c r="X8" s="11" t="n">
        <v>0.0103</v>
      </c>
      <c r="Y8" s="11" t="n">
        <v>-0.0094</v>
      </c>
      <c r="Z8" s="11" t="n">
        <v>0.0153</v>
      </c>
      <c r="AA8" s="11" t="n">
        <v>0.0258</v>
      </c>
      <c r="AB8" s="11" t="n">
        <v>0.0591</v>
      </c>
      <c r="AC8" s="11" t="n">
        <v>0.12</v>
      </c>
      <c r="AD8" s="11" t="n">
        <v>0.08</v>
      </c>
    </row>
    <row r="9">
      <c r="A9" s="10" t="inlineStr">
        <is>
          <t>판매촉진 충당금 증감</t>
        </is>
      </c>
      <c r="C9" s="11" t="n">
        <v>0.152</v>
      </c>
      <c r="E9" s="11" t="n">
        <v>-0.0945</v>
      </c>
      <c r="G9" s="11" t="n">
        <v>-0.0466</v>
      </c>
      <c r="I9" s="11" t="n">
        <v>0.0186</v>
      </c>
      <c r="K9" s="11" t="n">
        <v>0.2159</v>
      </c>
      <c r="M9" s="11" t="n">
        <v>0.04</v>
      </c>
      <c r="O9" s="11" t="n">
        <v>0.33</v>
      </c>
      <c r="Q9" s="11" t="n">
        <v>0.03</v>
      </c>
      <c r="S9" s="11" t="n">
        <v>0.41</v>
      </c>
      <c r="U9" s="11" t="n">
        <v>0.01</v>
      </c>
      <c r="W9" s="11" t="n">
        <v>-0.0008</v>
      </c>
      <c r="X9" s="11" t="n">
        <v>0.0008</v>
      </c>
      <c r="Y9" s="11" t="n">
        <v>0.4331</v>
      </c>
      <c r="Z9" s="11" t="n">
        <v>0.152</v>
      </c>
      <c r="AA9" s="11" t="n">
        <v>-0.0466</v>
      </c>
      <c r="AB9" s="11" t="n">
        <v>0.2159</v>
      </c>
      <c r="AC9" s="11" t="n">
        <v>0.33</v>
      </c>
      <c r="AD9" s="11" t="n">
        <v>0.41</v>
      </c>
    </row>
    <row r="10">
      <c r="A10" s="10" t="inlineStr">
        <is>
          <t>주주우대 충당금 증감</t>
        </is>
      </c>
      <c r="K10" s="11" t="n">
        <v>0</v>
      </c>
      <c r="M10" s="11" t="n">
        <v>0</v>
      </c>
      <c r="O10" s="11" t="n">
        <v>0.41</v>
      </c>
      <c r="Q10" s="11" t="n">
        <v>-0.01</v>
      </c>
      <c r="S10" s="11" t="n">
        <v>-0</v>
      </c>
      <c r="U10" s="11" t="n">
        <v>-0.02</v>
      </c>
      <c r="AB10" s="11" t="n">
        <v>0</v>
      </c>
      <c r="AC10" s="11" t="n">
        <v>0.41</v>
      </c>
      <c r="AD10" s="11" t="n">
        <v>-0</v>
      </c>
    </row>
    <row r="11">
      <c r="A11" s="10" t="inlineStr">
        <is>
          <t>대손충당금 증감</t>
        </is>
      </c>
      <c r="I11" s="11" t="n">
        <v>-0.0002</v>
      </c>
      <c r="K11" s="11" t="n">
        <v>-0</v>
      </c>
      <c r="M11" s="11" t="n">
        <v>-0</v>
      </c>
      <c r="Q11" s="11" t="n">
        <v>0</v>
      </c>
      <c r="U11" s="11" t="n">
        <v>-0</v>
      </c>
      <c r="AB11" s="11" t="n">
        <v>-0</v>
      </c>
    </row>
    <row r="12">
      <c r="A12" s="10" t="inlineStr">
        <is>
          <t>이자·배당금 수익</t>
        </is>
      </c>
      <c r="C12" s="11" t="n">
        <v>-0.07199999999999999</v>
      </c>
      <c r="E12" s="11" t="n">
        <v>-0.0394</v>
      </c>
      <c r="G12" s="11" t="n">
        <v>-0.0829</v>
      </c>
      <c r="I12" s="11" t="n">
        <v>-0.0388</v>
      </c>
      <c r="K12" s="11" t="n">
        <v>-0.0771</v>
      </c>
      <c r="M12" s="11" t="n">
        <v>-0.04</v>
      </c>
      <c r="O12" s="11" t="n">
        <v>-0.11</v>
      </c>
      <c r="Q12" s="11" t="n">
        <v>-0.07000000000000001</v>
      </c>
      <c r="S12" s="11" t="n">
        <v>-0.16</v>
      </c>
      <c r="U12" s="11" t="n">
        <v>-0.09</v>
      </c>
      <c r="W12" s="11" t="n">
        <v>-0.053</v>
      </c>
      <c r="X12" s="11" t="n">
        <v>-0.0577</v>
      </c>
      <c r="Y12" s="11" t="n">
        <v>-0.0743</v>
      </c>
      <c r="Z12" s="11" t="n">
        <v>-0.07199999999999999</v>
      </c>
      <c r="AA12" s="11" t="n">
        <v>-0.0829</v>
      </c>
      <c r="AB12" s="11" t="n">
        <v>-0.0771</v>
      </c>
      <c r="AC12" s="11" t="n">
        <v>-0.11</v>
      </c>
      <c r="AD12" s="11" t="n">
        <v>-0.16</v>
      </c>
    </row>
    <row r="13">
      <c r="A13" s="10" t="inlineStr">
        <is>
          <t>이자비용</t>
        </is>
      </c>
      <c r="C13" s="11" t="n">
        <v>0.1012</v>
      </c>
      <c r="E13" s="11" t="n">
        <v>0.0327</v>
      </c>
      <c r="G13" s="11" t="n">
        <v>0.039</v>
      </c>
      <c r="I13" s="11" t="n">
        <v>0.0044</v>
      </c>
      <c r="K13" s="11" t="n">
        <v>0.0074</v>
      </c>
      <c r="M13" s="11" t="n">
        <v>0</v>
      </c>
      <c r="O13" s="11" t="n">
        <v>0</v>
      </c>
      <c r="Q13" s="11" t="n">
        <v>0</v>
      </c>
      <c r="S13" s="11" t="n">
        <v>0</v>
      </c>
      <c r="U13" s="11" t="n">
        <v>0</v>
      </c>
      <c r="W13" s="11" t="n">
        <v>0.004</v>
      </c>
      <c r="X13" s="11" t="n">
        <v>0.0047</v>
      </c>
      <c r="Y13" s="11" t="n">
        <v>0.06270000000000001</v>
      </c>
      <c r="Z13" s="11" t="n">
        <v>0.1012</v>
      </c>
      <c r="AA13" s="11" t="n">
        <v>0.039</v>
      </c>
      <c r="AB13" s="11" t="n">
        <v>0.0074</v>
      </c>
      <c r="AC13" s="11" t="n">
        <v>0</v>
      </c>
      <c r="AD13" s="11" t="n">
        <v>0</v>
      </c>
    </row>
    <row r="14">
      <c r="A14" s="10" t="inlineStr">
        <is>
          <t>보조금 수입</t>
        </is>
      </c>
      <c r="C14" s="11" t="n">
        <v>-15.3886</v>
      </c>
      <c r="E14" s="11" t="n">
        <v>-2.3603</v>
      </c>
      <c r="G14" s="11" t="n">
        <v>-2.3757</v>
      </c>
      <c r="Y14" s="11" t="n">
        <v>0</v>
      </c>
      <c r="Z14" s="11" t="n">
        <v>-15.3886</v>
      </c>
      <c r="AA14" s="11" t="n">
        <v>-2.3757</v>
      </c>
    </row>
    <row r="15">
      <c r="A15" s="10" t="inlineStr">
        <is>
          <t>보험금 수익</t>
        </is>
      </c>
      <c r="C15" s="11" t="n">
        <v>0</v>
      </c>
      <c r="E15" s="11" t="n">
        <v>-0.8614000000000001</v>
      </c>
      <c r="G15" s="11" t="n">
        <v>-0.8614000000000001</v>
      </c>
      <c r="Z15" s="11" t="n">
        <v>0</v>
      </c>
      <c r="AA15" s="11" t="n">
        <v>-0.8614000000000001</v>
      </c>
    </row>
    <row r="16">
      <c r="A16" s="10" t="inlineStr">
        <is>
          <t>보조금 수입</t>
        </is>
      </c>
      <c r="C16" s="11" t="n">
        <v>-0.2193</v>
      </c>
      <c r="G16" s="11" t="n">
        <v>0</v>
      </c>
      <c r="Y16" s="11" t="n">
        <v>-1.1581</v>
      </c>
      <c r="Z16" s="11" t="n">
        <v>-0.2193</v>
      </c>
      <c r="AA16" s="11" t="n">
        <v>0</v>
      </c>
    </row>
    <row r="17">
      <c r="A17" s="10" t="inlineStr">
        <is>
          <t>유가증권 매각손익</t>
        </is>
      </c>
      <c r="M17" s="11" t="n">
        <v>0</v>
      </c>
      <c r="O17" s="11" t="n">
        <v>0</v>
      </c>
      <c r="Q17" s="11" t="n">
        <v>-0</v>
      </c>
      <c r="S17" s="11" t="n">
        <v>-0.24</v>
      </c>
      <c r="U17" s="11" t="n">
        <v>0</v>
      </c>
      <c r="AC17" s="11" t="n">
        <v>0</v>
      </c>
      <c r="AD17" s="11" t="n">
        <v>-0.24</v>
      </c>
    </row>
    <row r="18">
      <c r="A18" s="10" t="inlineStr">
        <is>
          <t>고정자산 제각·매각손익</t>
        </is>
      </c>
      <c r="C18" s="11" t="n">
        <v>0.0426</v>
      </c>
      <c r="E18" s="11" t="n">
        <v>0.008999999999999999</v>
      </c>
      <c r="G18" s="11" t="n">
        <v>0.1623</v>
      </c>
      <c r="I18" s="11" t="n">
        <v>0.0194</v>
      </c>
      <c r="K18" s="11" t="n">
        <v>0.2867</v>
      </c>
      <c r="M18" s="11" t="n">
        <v>0.01</v>
      </c>
      <c r="O18" s="11" t="n">
        <v>0.01</v>
      </c>
      <c r="Q18" s="11" t="n">
        <v>0</v>
      </c>
      <c r="S18" s="11" t="n">
        <v>0.03</v>
      </c>
      <c r="U18" s="11" t="n">
        <v>0.02</v>
      </c>
      <c r="W18" s="11" t="n">
        <v>0.1436</v>
      </c>
      <c r="X18" s="11" t="n">
        <v>0.0609</v>
      </c>
      <c r="Y18" s="11" t="n">
        <v>0.074</v>
      </c>
      <c r="Z18" s="11" t="n">
        <v>0.0426</v>
      </c>
      <c r="AA18" s="11" t="n">
        <v>0.1623</v>
      </c>
      <c r="AB18" s="11" t="n">
        <v>0.2867</v>
      </c>
      <c r="AC18" s="11" t="n">
        <v>0.01</v>
      </c>
      <c r="AD18" s="11" t="n">
        <v>0.03</v>
      </c>
    </row>
    <row r="19">
      <c r="A19" s="10" t="inlineStr">
        <is>
          <t>화재손실</t>
        </is>
      </c>
      <c r="C19" s="11" t="n">
        <v>0.4033</v>
      </c>
      <c r="G19" s="11" t="n">
        <v>0</v>
      </c>
      <c r="Y19" s="11" t="n">
        <v>0</v>
      </c>
      <c r="Z19" s="11" t="n">
        <v>0.4033</v>
      </c>
      <c r="AA19" s="11" t="n">
        <v>0</v>
      </c>
    </row>
    <row r="20">
      <c r="A20" s="10" t="inlineStr">
        <is>
          <t>투자유가증권 평가손익</t>
        </is>
      </c>
      <c r="C20" s="11" t="n">
        <v>0</v>
      </c>
      <c r="W20" s="11" t="n">
        <v>0</v>
      </c>
      <c r="X20" s="11" t="n">
        <v>0.081</v>
      </c>
      <c r="Y20" s="11" t="n">
        <v>0.1281</v>
      </c>
      <c r="Z20" s="11" t="n">
        <v>0</v>
      </c>
    </row>
    <row r="21">
      <c r="A21" s="10" t="inlineStr">
        <is>
          <t>매출채권 증감</t>
        </is>
      </c>
      <c r="C21" s="11" t="n">
        <v>-2.4577</v>
      </c>
      <c r="E21" s="11" t="n">
        <v>1.9045</v>
      </c>
      <c r="G21" s="11" t="n">
        <v>-0.1482</v>
      </c>
      <c r="I21" s="11" t="n">
        <v>1.125</v>
      </c>
      <c r="K21" s="11" t="n">
        <v>-0.8527</v>
      </c>
      <c r="M21" s="11" t="n">
        <v>0.34</v>
      </c>
      <c r="O21" s="11" t="n">
        <v>-0.7</v>
      </c>
      <c r="Q21" s="11" t="n">
        <v>0.05</v>
      </c>
      <c r="S21" s="11" t="n">
        <v>-3.28</v>
      </c>
      <c r="U21" s="11" t="n">
        <v>1.02</v>
      </c>
      <c r="W21" s="11" t="n">
        <v>-0.3718</v>
      </c>
      <c r="X21" s="11" t="n">
        <v>-0.8783</v>
      </c>
      <c r="Y21" s="11" t="n">
        <v>-1.3619</v>
      </c>
      <c r="Z21" s="11" t="n">
        <v>-2.4577</v>
      </c>
      <c r="AA21" s="11" t="n">
        <v>-0.1482</v>
      </c>
      <c r="AB21" s="11" t="n">
        <v>-0.8527</v>
      </c>
      <c r="AC21" s="11" t="n">
        <v>-0.7</v>
      </c>
      <c r="AD21" s="11" t="n">
        <v>-3.28</v>
      </c>
    </row>
    <row r="22">
      <c r="A22" s="10" t="inlineStr">
        <is>
          <t>재고자산 증감</t>
        </is>
      </c>
      <c r="C22" s="11" t="n">
        <v>-0.161</v>
      </c>
      <c r="E22" s="11" t="n">
        <v>-0.9637</v>
      </c>
      <c r="G22" s="11" t="n">
        <v>-2.4407</v>
      </c>
      <c r="I22" s="11" t="n">
        <v>2.4149</v>
      </c>
      <c r="K22" s="11" t="n">
        <v>-1.1664</v>
      </c>
      <c r="M22" s="11" t="n">
        <v>-2.39</v>
      </c>
      <c r="O22" s="11" t="n">
        <v>-3.1</v>
      </c>
      <c r="Q22" s="11" t="n">
        <v>5.08</v>
      </c>
      <c r="S22" s="11" t="n">
        <v>2.29</v>
      </c>
      <c r="U22" s="11" t="n">
        <v>0.58</v>
      </c>
      <c r="W22" s="11" t="n">
        <v>-1.9233</v>
      </c>
      <c r="X22" s="11" t="n">
        <v>-0.5222</v>
      </c>
      <c r="Y22" s="11" t="n">
        <v>3.0126</v>
      </c>
      <c r="Z22" s="11" t="n">
        <v>-0.161</v>
      </c>
      <c r="AA22" s="11" t="n">
        <v>-2.4407</v>
      </c>
      <c r="AB22" s="11" t="n">
        <v>-1.1664</v>
      </c>
      <c r="AC22" s="11" t="n">
        <v>-3.1</v>
      </c>
      <c r="AD22" s="11" t="n">
        <v>2.29</v>
      </c>
    </row>
    <row r="23">
      <c r="A23" s="10" t="inlineStr">
        <is>
          <t>선급비용 증감</t>
        </is>
      </c>
      <c r="I23" s="11" t="n">
        <v>-0.535</v>
      </c>
      <c r="K23" s="11" t="n">
        <v>-0.007900000000000001</v>
      </c>
      <c r="M23" s="11" t="n">
        <v>-0.88</v>
      </c>
      <c r="O23" s="11" t="n">
        <v>-0.04</v>
      </c>
      <c r="Q23" s="11" t="n">
        <v>-1.1</v>
      </c>
      <c r="S23" s="11" t="n">
        <v>-0.31</v>
      </c>
      <c r="U23" s="11" t="n">
        <v>-1.14</v>
      </c>
      <c r="AB23" s="11" t="n">
        <v>-0.007900000000000001</v>
      </c>
      <c r="AC23" s="11" t="n">
        <v>-0.04</v>
      </c>
      <c r="AD23" s="11" t="n">
        <v>-0.31</v>
      </c>
    </row>
    <row r="24">
      <c r="A24" s="10" t="inlineStr">
        <is>
          <t>장기선급비용 증감</t>
        </is>
      </c>
      <c r="C24" s="11" t="n">
        <v>0.09320000000000001</v>
      </c>
      <c r="E24" s="11" t="n">
        <v>0.06909999999999999</v>
      </c>
      <c r="G24" s="11" t="n">
        <v>0.09030000000000001</v>
      </c>
      <c r="K24" s="11" t="n">
        <v>-0.1536</v>
      </c>
      <c r="O24" s="11" t="n">
        <v>0.17</v>
      </c>
      <c r="S24" s="11" t="n">
        <v>0.13</v>
      </c>
      <c r="W24" s="11" t="n">
        <v>0.0616</v>
      </c>
      <c r="X24" s="11" t="n">
        <v>0.1369</v>
      </c>
      <c r="Y24" s="11" t="n">
        <v>-0.314</v>
      </c>
      <c r="Z24" s="11" t="n">
        <v>0.09320000000000001</v>
      </c>
      <c r="AA24" s="11" t="n">
        <v>0.09030000000000001</v>
      </c>
      <c r="AB24" s="11" t="n">
        <v>-0.1536</v>
      </c>
      <c r="AC24" s="11" t="n">
        <v>0.17</v>
      </c>
      <c r="AD24" s="11" t="n">
        <v>0.13</v>
      </c>
    </row>
    <row r="25">
      <c r="A25" s="10" t="inlineStr">
        <is>
          <t>매입채무 증감</t>
        </is>
      </c>
      <c r="C25" s="11" t="n">
        <v>1.2551</v>
      </c>
      <c r="E25" s="11" t="n">
        <v>0.2887</v>
      </c>
      <c r="G25" s="11" t="n">
        <v>1.9434</v>
      </c>
      <c r="I25" s="11" t="n">
        <v>-2.0702</v>
      </c>
      <c r="K25" s="11" t="n">
        <v>0.8625</v>
      </c>
      <c r="M25" s="11" t="n">
        <v>-0.52</v>
      </c>
      <c r="O25" s="11" t="n">
        <v>-1.46</v>
      </c>
      <c r="Q25" s="11" t="n">
        <v>-0.22</v>
      </c>
      <c r="S25" s="11" t="n">
        <v>1.04</v>
      </c>
      <c r="U25" s="11" t="n">
        <v>-0.8100000000000001</v>
      </c>
      <c r="W25" s="11" t="n">
        <v>0.1809</v>
      </c>
      <c r="X25" s="11" t="n">
        <v>-0.6264</v>
      </c>
      <c r="Y25" s="11" t="n">
        <v>-1.313</v>
      </c>
      <c r="Z25" s="11" t="n">
        <v>1.2551</v>
      </c>
      <c r="AA25" s="11" t="n">
        <v>1.9434</v>
      </c>
      <c r="AB25" s="11" t="n">
        <v>0.8625</v>
      </c>
      <c r="AC25" s="11" t="n">
        <v>-1.46</v>
      </c>
      <c r="AD25" s="11" t="n">
        <v>1.04</v>
      </c>
    </row>
    <row r="26">
      <c r="A26" s="10" t="inlineStr">
        <is>
          <t>미지급금 증감</t>
        </is>
      </c>
      <c r="C26" s="11" t="n">
        <v>0.9683</v>
      </c>
      <c r="E26" s="11" t="n">
        <v>1.6074</v>
      </c>
      <c r="G26" s="11" t="n">
        <v>0.008699999999999999</v>
      </c>
      <c r="I26" s="11" t="n">
        <v>2.733</v>
      </c>
      <c r="K26" s="11" t="n">
        <v>0.8611</v>
      </c>
      <c r="M26" s="11" t="n">
        <v>3.59</v>
      </c>
      <c r="O26" s="11" t="n">
        <v>2.24</v>
      </c>
      <c r="Q26" s="11" t="n">
        <v>1.86</v>
      </c>
      <c r="S26" s="11" t="n">
        <v>1.96</v>
      </c>
      <c r="U26" s="11" t="n">
        <v>3.61</v>
      </c>
      <c r="W26" s="11" t="n">
        <v>0.6098</v>
      </c>
      <c r="X26" s="11" t="n">
        <v>0.0406</v>
      </c>
      <c r="Y26" s="11" t="n">
        <v>-0.8615</v>
      </c>
      <c r="Z26" s="11" t="n">
        <v>0.9683</v>
      </c>
      <c r="AA26" s="11" t="n">
        <v>0.008699999999999999</v>
      </c>
      <c r="AB26" s="11" t="n">
        <v>0.8611</v>
      </c>
      <c r="AC26" s="11" t="n">
        <v>2.24</v>
      </c>
      <c r="AD26" s="11" t="n">
        <v>1.96</v>
      </c>
    </row>
    <row r="27">
      <c r="A27" s="10" t="inlineStr">
        <is>
          <t>계약부채 증감</t>
        </is>
      </c>
      <c r="K27" s="11" t="n">
        <v>0.52</v>
      </c>
      <c r="AB27" s="11" t="n">
        <v>0.52</v>
      </c>
    </row>
    <row r="28">
      <c r="A28" s="10" t="inlineStr">
        <is>
          <t>계약부채 증감</t>
        </is>
      </c>
      <c r="I28" s="11" t="n">
        <v>0.2437</v>
      </c>
      <c r="M28" s="11" t="n">
        <v>0.2628</v>
      </c>
    </row>
    <row r="29">
      <c r="A29" s="10" t="inlineStr">
        <is>
          <t>미지급 소비세 증감</t>
        </is>
      </c>
      <c r="C29" s="11" t="n">
        <v>-0.502</v>
      </c>
      <c r="E29" s="11" t="n">
        <v>2.1652</v>
      </c>
      <c r="G29" s="11" t="n">
        <v>2.3297</v>
      </c>
      <c r="Q29" s="11" t="n">
        <v>0.1</v>
      </c>
      <c r="U29" s="11" t="n">
        <v>0.86</v>
      </c>
      <c r="W29" s="11" t="n">
        <v>0.6753</v>
      </c>
      <c r="X29" s="11" t="n">
        <v>0.8423</v>
      </c>
      <c r="Y29" s="11" t="n">
        <v>-1.7637</v>
      </c>
      <c r="Z29" s="11" t="n">
        <v>-0.502</v>
      </c>
      <c r="AA29" s="11" t="n">
        <v>2.3297</v>
      </c>
    </row>
    <row r="30">
      <c r="A30" s="10" t="inlineStr">
        <is>
          <t>계약부채 증감</t>
        </is>
      </c>
      <c r="K30" s="11" t="n">
        <v>0.52</v>
      </c>
      <c r="M30" s="11" t="n">
        <v>0.26</v>
      </c>
      <c r="O30" s="11" t="n">
        <v>0.28</v>
      </c>
      <c r="Q30" s="11" t="n">
        <v>0.36</v>
      </c>
      <c r="S30" s="11" t="n">
        <v>1.15</v>
      </c>
      <c r="U30" s="11" t="n">
        <v>1.02</v>
      </c>
      <c r="AB30" s="11" t="n">
        <v>0.52</v>
      </c>
      <c r="AC30" s="11" t="n">
        <v>0.28</v>
      </c>
      <c r="AD30" s="11" t="n">
        <v>1.15</v>
      </c>
    </row>
    <row r="31">
      <c r="A31" s="10" t="inlineStr">
        <is>
          <t>기타</t>
        </is>
      </c>
      <c r="C31" s="11" t="n">
        <v>0.8948</v>
      </c>
      <c r="E31" s="11" t="n">
        <v>-1.4971</v>
      </c>
      <c r="G31" s="11" t="n">
        <v>0.2909</v>
      </c>
      <c r="I31" s="11" t="n">
        <v>-0.6165</v>
      </c>
      <c r="K31" s="11" t="n">
        <v>1.766</v>
      </c>
      <c r="M31" s="11" t="n">
        <v>-1.36</v>
      </c>
      <c r="O31" s="11" t="n">
        <v>0.16</v>
      </c>
      <c r="Q31" s="11" t="n">
        <v>-0.98</v>
      </c>
      <c r="S31" s="11" t="n">
        <v>-0.61</v>
      </c>
      <c r="U31" s="11" t="n">
        <v>-0.23</v>
      </c>
      <c r="W31" s="11" t="n">
        <v>-0.4411</v>
      </c>
      <c r="X31" s="11" t="n">
        <v>0.5243</v>
      </c>
      <c r="Y31" s="11" t="n">
        <v>-0.454</v>
      </c>
      <c r="Z31" s="11" t="n">
        <v>0.8948</v>
      </c>
      <c r="AA31" s="11" t="n">
        <v>0.2909</v>
      </c>
      <c r="AB31" s="11" t="n">
        <v>1.766</v>
      </c>
      <c r="AC31" s="11" t="n">
        <v>0.16</v>
      </c>
      <c r="AD31" s="11" t="n">
        <v>-0.61</v>
      </c>
    </row>
    <row r="32">
      <c r="A32" s="10" t="inlineStr">
        <is>
          <t>소계</t>
        </is>
      </c>
      <c r="C32" s="11" t="n">
        <v>7.9133</v>
      </c>
      <c r="E32" s="11" t="n">
        <v>10.9747</v>
      </c>
      <c r="G32" s="11" t="n">
        <v>18.0992</v>
      </c>
      <c r="I32" s="11" t="n">
        <v>13.5183</v>
      </c>
      <c r="K32" s="11" t="n">
        <v>27.8402</v>
      </c>
      <c r="M32" s="11" t="n">
        <v>15.83</v>
      </c>
      <c r="O32" s="11" t="n">
        <v>33.04</v>
      </c>
      <c r="Q32" s="11" t="n">
        <v>22.3</v>
      </c>
      <c r="S32" s="11" t="n">
        <v>42.1</v>
      </c>
      <c r="U32" s="11" t="n">
        <v>29.1</v>
      </c>
      <c r="W32" s="11" t="n">
        <v>34.6829</v>
      </c>
      <c r="X32" s="11" t="n">
        <v>33.1845</v>
      </c>
      <c r="Y32" s="11" t="n">
        <v>5.5484</v>
      </c>
      <c r="Z32" s="11" t="n">
        <v>7.9133</v>
      </c>
      <c r="AA32" s="11" t="n">
        <v>18.0992</v>
      </c>
      <c r="AB32" s="11" t="n">
        <v>27.8402</v>
      </c>
      <c r="AC32" s="11" t="n">
        <v>33.04</v>
      </c>
      <c r="AD32" s="11" t="n">
        <v>42.1</v>
      </c>
    </row>
    <row r="33">
      <c r="A33" s="10" t="inlineStr">
        <is>
          <t>이자·배당금 수취</t>
        </is>
      </c>
      <c r="C33" s="11" t="n">
        <v>0.07199999999999999</v>
      </c>
      <c r="E33" s="11" t="n">
        <v>0.0394</v>
      </c>
      <c r="G33" s="11" t="n">
        <v>0.0829</v>
      </c>
      <c r="I33" s="11" t="n">
        <v>0.0388</v>
      </c>
      <c r="K33" s="11" t="n">
        <v>0.0771</v>
      </c>
      <c r="M33" s="11" t="n">
        <v>0.04</v>
      </c>
      <c r="O33" s="11" t="n">
        <v>0.11</v>
      </c>
      <c r="Q33" s="11" t="n">
        <v>0.07000000000000001</v>
      </c>
      <c r="S33" s="11" t="n">
        <v>0.16</v>
      </c>
      <c r="U33" s="11" t="n">
        <v>0.09</v>
      </c>
      <c r="W33" s="11" t="n">
        <v>0.053</v>
      </c>
      <c r="X33" s="11" t="n">
        <v>0.0577</v>
      </c>
      <c r="Y33" s="11" t="n">
        <v>0.0743</v>
      </c>
      <c r="Z33" s="11" t="n">
        <v>0.07199999999999999</v>
      </c>
      <c r="AA33" s="11" t="n">
        <v>0.0829</v>
      </c>
      <c r="AB33" s="11" t="n">
        <v>0.0771</v>
      </c>
      <c r="AC33" s="11" t="n">
        <v>0.11</v>
      </c>
      <c r="AD33" s="11" t="n">
        <v>0.16</v>
      </c>
    </row>
    <row r="34">
      <c r="A34" s="10" t="inlineStr">
        <is>
          <t>이자 지급</t>
        </is>
      </c>
      <c r="C34" s="11" t="n">
        <v>-0.1009</v>
      </c>
      <c r="E34" s="11" t="n">
        <v>-0.0279</v>
      </c>
      <c r="G34" s="11" t="n">
        <v>-0.034</v>
      </c>
      <c r="I34" s="11" t="n">
        <v>-0.0044</v>
      </c>
      <c r="K34" s="11" t="n">
        <v>-0.0074</v>
      </c>
      <c r="M34" s="11" t="n">
        <v>-0</v>
      </c>
      <c r="O34" s="11" t="n">
        <v>-0</v>
      </c>
      <c r="Q34" s="11" t="n">
        <v>-0</v>
      </c>
      <c r="S34" s="11" t="n">
        <v>-0</v>
      </c>
      <c r="U34" s="11" t="n">
        <v>-0</v>
      </c>
      <c r="W34" s="11" t="n">
        <v>-0.004</v>
      </c>
      <c r="X34" s="11" t="n">
        <v>-0.0047</v>
      </c>
      <c r="Y34" s="11" t="n">
        <v>-0.0684</v>
      </c>
      <c r="Z34" s="11" t="n">
        <v>-0.1009</v>
      </c>
      <c r="AA34" s="11" t="n">
        <v>-0.034</v>
      </c>
      <c r="AB34" s="11" t="n">
        <v>-0.0074</v>
      </c>
      <c r="AC34" s="11" t="n">
        <v>-0</v>
      </c>
      <c r="AD34" s="11" t="n">
        <v>-0</v>
      </c>
    </row>
    <row r="35">
      <c r="A35" s="10" t="inlineStr">
        <is>
          <t>법인세 납부</t>
        </is>
      </c>
      <c r="C35" s="11" t="n">
        <v>-0.2958</v>
      </c>
      <c r="E35" s="11" t="n">
        <v>-5.04</v>
      </c>
      <c r="G35" s="11" t="n">
        <v>-7.565</v>
      </c>
      <c r="I35" s="11" t="n">
        <v>-0.789</v>
      </c>
      <c r="K35" s="11" t="n">
        <v>-2.4523</v>
      </c>
      <c r="M35" s="11" t="n">
        <v>-3.77</v>
      </c>
      <c r="O35" s="11" t="n">
        <v>-6.47</v>
      </c>
      <c r="Q35" s="11" t="n">
        <v>-4.85</v>
      </c>
      <c r="S35" s="11" t="n">
        <v>-8.59</v>
      </c>
      <c r="U35" s="11" t="n">
        <v>-4.97</v>
      </c>
      <c r="W35" s="11" t="n">
        <v>-6.802</v>
      </c>
      <c r="X35" s="11" t="n">
        <v>-9.0357</v>
      </c>
      <c r="Y35" s="11" t="n">
        <v>-7.2923</v>
      </c>
      <c r="Z35" s="11" t="n">
        <v>-0.2958</v>
      </c>
      <c r="AA35" s="11" t="n">
        <v>-7.565</v>
      </c>
      <c r="AB35" s="11" t="n">
        <v>-2.4523</v>
      </c>
      <c r="AC35" s="11" t="n">
        <v>-6.47</v>
      </c>
      <c r="AD35" s="11" t="n">
        <v>-8.59</v>
      </c>
    </row>
    <row r="36">
      <c r="A36" s="10" t="inlineStr">
        <is>
          <t>법인세 환급</t>
        </is>
      </c>
      <c r="C36" s="11" t="n">
        <v>3.4126</v>
      </c>
      <c r="E36" s="11" t="n">
        <v>0</v>
      </c>
      <c r="G36" s="11" t="n">
        <v>0</v>
      </c>
      <c r="Y36" s="11" t="n">
        <v>0.0008</v>
      </c>
      <c r="Z36" s="11" t="n">
        <v>3.4126</v>
      </c>
      <c r="AA36" s="11" t="n">
        <v>0</v>
      </c>
    </row>
    <row r="37">
      <c r="A37" s="10" t="inlineStr">
        <is>
          <t>보조금 수취</t>
        </is>
      </c>
      <c r="C37" s="11" t="n">
        <v>13.0248</v>
      </c>
      <c r="E37" s="11" t="n">
        <v>3.9133</v>
      </c>
      <c r="G37" s="11" t="n">
        <v>4.7346</v>
      </c>
      <c r="Y37" s="11" t="n">
        <v>0</v>
      </c>
      <c r="Z37" s="11" t="n">
        <v>13.0248</v>
      </c>
      <c r="AA37" s="11" t="n">
        <v>4.7346</v>
      </c>
    </row>
    <row r="38">
      <c r="A38" s="10" t="inlineStr">
        <is>
          <t>보험금 수취</t>
        </is>
      </c>
      <c r="C38" s="11" t="n">
        <v>0</v>
      </c>
      <c r="E38" s="11" t="n">
        <v>0.7668</v>
      </c>
      <c r="G38" s="11" t="n">
        <v>0.8945</v>
      </c>
      <c r="Z38" s="11" t="n">
        <v>0</v>
      </c>
      <c r="AA38" s="11" t="n">
        <v>0.8945</v>
      </c>
    </row>
    <row r="39">
      <c r="A39" s="10" t="inlineStr">
        <is>
          <t>보조금 수취</t>
        </is>
      </c>
      <c r="C39" s="11" t="n">
        <v>0.1898</v>
      </c>
      <c r="G39" s="11" t="n">
        <v>0</v>
      </c>
      <c r="Y39" s="11" t="n">
        <v>1.1581</v>
      </c>
      <c r="Z39" s="11" t="n">
        <v>0.1898</v>
      </c>
      <c r="AA39" s="11" t="n">
        <v>0</v>
      </c>
    </row>
    <row r="40">
      <c r="A40" s="10" t="inlineStr">
        <is>
          <t>영업활동 현금흐름</t>
        </is>
      </c>
      <c r="C40" s="11" t="n">
        <v>24.2158</v>
      </c>
      <c r="E40" s="11" t="n">
        <v>10.6263</v>
      </c>
      <c r="G40" s="11" t="n">
        <v>16.2122</v>
      </c>
      <c r="I40" s="11" t="n">
        <v>12.7637</v>
      </c>
      <c r="K40" s="11" t="n">
        <v>25.4577</v>
      </c>
      <c r="M40" s="11" t="n">
        <v>12.09</v>
      </c>
      <c r="O40" s="11" t="n">
        <v>26.68</v>
      </c>
      <c r="Q40" s="11" t="n">
        <v>17.52</v>
      </c>
      <c r="S40" s="11" t="n">
        <v>33.66</v>
      </c>
      <c r="U40" s="11" t="n">
        <v>24.22</v>
      </c>
      <c r="W40" s="11" t="n">
        <v>27.93</v>
      </c>
      <c r="X40" s="11" t="n">
        <v>24.2018</v>
      </c>
      <c r="Y40" s="11" t="n">
        <v>-0.5790999999999999</v>
      </c>
      <c r="Z40" s="11" t="n">
        <v>24.2158</v>
      </c>
      <c r="AA40" s="11" t="n">
        <v>16.2122</v>
      </c>
      <c r="AB40" s="11" t="n">
        <v>25.4577</v>
      </c>
      <c r="AC40" s="11" t="n">
        <v>26.68</v>
      </c>
      <c r="AD40" s="11" t="n">
        <v>33.66</v>
      </c>
    </row>
    <row r="41">
      <c r="A41" s="10" t="inlineStr">
        <is>
          <t>투자유가증권 취득</t>
        </is>
      </c>
      <c r="I41" s="11" t="n">
        <v>-0.0089</v>
      </c>
      <c r="K41" s="11" t="n">
        <v>-0.018</v>
      </c>
      <c r="M41" s="11" t="n">
        <v>-0</v>
      </c>
      <c r="O41" s="11" t="n">
        <v>-0.01</v>
      </c>
      <c r="Q41" s="11" t="n">
        <v>-0</v>
      </c>
      <c r="S41" s="11" t="n">
        <v>-0</v>
      </c>
      <c r="U41" s="11" t="n">
        <v>-0</v>
      </c>
      <c r="W41" s="11" t="n">
        <v>0</v>
      </c>
      <c r="X41" s="11" t="n">
        <v>-0.001</v>
      </c>
      <c r="Y41" s="11" t="n">
        <v>0</v>
      </c>
      <c r="AB41" s="11" t="n">
        <v>-0.018</v>
      </c>
      <c r="AC41" s="11" t="n">
        <v>-0.01</v>
      </c>
      <c r="AD41" s="11" t="n">
        <v>-0</v>
      </c>
    </row>
    <row r="42">
      <c r="A42" s="10" t="inlineStr">
        <is>
          <t>투자유가증권 매각</t>
        </is>
      </c>
      <c r="C42" s="11" t="n">
        <v>0</v>
      </c>
      <c r="G42" s="11" t="n">
        <v>0.1581</v>
      </c>
      <c r="M42" s="11" t="n">
        <v>0</v>
      </c>
      <c r="O42" s="11" t="n">
        <v>0</v>
      </c>
      <c r="Q42" s="11" t="n">
        <v>0</v>
      </c>
      <c r="S42" s="11" t="n">
        <v>0.25</v>
      </c>
      <c r="U42" s="11" t="n">
        <v>0</v>
      </c>
      <c r="Z42" s="11" t="n">
        <v>0</v>
      </c>
      <c r="AA42" s="11" t="n">
        <v>0.1581</v>
      </c>
      <c r="AC42" s="11" t="n">
        <v>0</v>
      </c>
      <c r="AD42" s="11" t="n">
        <v>0.25</v>
      </c>
    </row>
    <row r="43">
      <c r="A43" s="10" t="inlineStr">
        <is>
          <t>관계회사 주식 취득</t>
        </is>
      </c>
      <c r="C43" s="11" t="n">
        <v>0</v>
      </c>
      <c r="G43" s="11" t="n">
        <v>-1.2116</v>
      </c>
      <c r="Z43" s="11" t="n">
        <v>0</v>
      </c>
      <c r="AA43" s="11" t="n">
        <v>-1.2116</v>
      </c>
    </row>
    <row r="44">
      <c r="A44" s="10" t="inlineStr">
        <is>
          <t>장기대여</t>
        </is>
      </c>
      <c r="C44" s="11" t="n">
        <v>0</v>
      </c>
      <c r="G44" s="11" t="n">
        <v>-2.5</v>
      </c>
      <c r="Z44" s="11" t="n">
        <v>0</v>
      </c>
      <c r="AA44" s="11" t="n">
        <v>-2.5</v>
      </c>
    </row>
    <row r="45">
      <c r="A45" s="10" t="inlineStr">
        <is>
          <t>장기대여금 회수</t>
        </is>
      </c>
      <c r="C45" s="11" t="n">
        <v>0</v>
      </c>
      <c r="G45" s="11" t="n">
        <v>0.21</v>
      </c>
      <c r="Z45" s="11" t="n">
        <v>0</v>
      </c>
      <c r="AA45" s="11" t="n">
        <v>0.21</v>
      </c>
    </row>
    <row r="46">
      <c r="A46" s="10" t="inlineStr">
        <is>
          <t>유형자산 취득(설비투자)</t>
        </is>
      </c>
      <c r="C46" s="11" t="n">
        <v>-16.9512</v>
      </c>
      <c r="E46" s="11" t="n">
        <v>-4.4312</v>
      </c>
      <c r="G46" s="11" t="n">
        <v>-10.3291</v>
      </c>
      <c r="I46" s="11" t="n">
        <v>-6.3696</v>
      </c>
      <c r="K46" s="11" t="n">
        <v>-10.5712</v>
      </c>
      <c r="M46" s="11" t="n">
        <v>-3.15</v>
      </c>
      <c r="O46" s="11" t="n">
        <v>-10.77</v>
      </c>
      <c r="Q46" s="11" t="n">
        <v>-6.53</v>
      </c>
      <c r="S46" s="11" t="n">
        <v>-14.27</v>
      </c>
      <c r="U46" s="11" t="n">
        <v>-6.11</v>
      </c>
      <c r="W46" s="11" t="n">
        <v>-16.4915</v>
      </c>
      <c r="X46" s="11" t="n">
        <v>-7.5821</v>
      </c>
      <c r="Y46" s="11" t="n">
        <v>-2.9648</v>
      </c>
      <c r="Z46" s="11" t="n">
        <v>-16.9512</v>
      </c>
      <c r="AA46" s="11" t="n">
        <v>-10.3291</v>
      </c>
      <c r="AB46" s="11" t="n">
        <v>-10.5712</v>
      </c>
      <c r="AC46" s="11" t="n">
        <v>-10.77</v>
      </c>
      <c r="AD46" s="11" t="n">
        <v>-14.27</v>
      </c>
    </row>
    <row r="47">
      <c r="A47" s="10" t="inlineStr">
        <is>
          <t>유형자산 제각 지출</t>
        </is>
      </c>
      <c r="C47" s="11" t="n">
        <v>0</v>
      </c>
      <c r="G47" s="11" t="n">
        <v>-0.002</v>
      </c>
      <c r="W47" s="11" t="n">
        <v>-0.0789</v>
      </c>
      <c r="X47" s="11" t="n">
        <v>-0.008800000000000001</v>
      </c>
      <c r="Y47" s="11" t="n">
        <v>-0.0031</v>
      </c>
      <c r="Z47" s="11" t="n">
        <v>0</v>
      </c>
      <c r="AA47" s="11" t="n">
        <v>-0.002</v>
      </c>
    </row>
    <row r="48">
      <c r="A48" s="10" t="inlineStr">
        <is>
          <t>유형자산 매각</t>
        </is>
      </c>
      <c r="C48" s="11" t="n">
        <v>0</v>
      </c>
      <c r="E48" s="11" t="n">
        <v>0.007</v>
      </c>
      <c r="G48" s="11" t="n">
        <v>0.0078</v>
      </c>
      <c r="K48" s="11" t="n">
        <v>0.0019</v>
      </c>
      <c r="O48" s="11" t="n">
        <v>0.01</v>
      </c>
      <c r="Q48" s="11" t="n">
        <v>0</v>
      </c>
      <c r="S48" s="11" t="n">
        <v>0</v>
      </c>
      <c r="U48" s="11" t="n">
        <v>0</v>
      </c>
      <c r="W48" s="11" t="n">
        <v>0</v>
      </c>
      <c r="X48" s="11" t="n">
        <v>0.0027</v>
      </c>
      <c r="Y48" s="11" t="n">
        <v>0.0256</v>
      </c>
      <c r="Z48" s="11" t="n">
        <v>0</v>
      </c>
      <c r="AA48" s="11" t="n">
        <v>0.0078</v>
      </c>
      <c r="AB48" s="11" t="n">
        <v>0.0019</v>
      </c>
      <c r="AC48" s="11" t="n">
        <v>0.01</v>
      </c>
      <c r="AD48" s="11" t="n">
        <v>0</v>
      </c>
    </row>
    <row r="49">
      <c r="A49" s="10" t="inlineStr">
        <is>
          <t>무형자산 취득</t>
        </is>
      </c>
      <c r="C49" s="11" t="n">
        <v>-1.2596</v>
      </c>
      <c r="E49" s="11" t="n">
        <v>-0.066</v>
      </c>
      <c r="G49" s="11" t="n">
        <v>-0.2018</v>
      </c>
      <c r="I49" s="11" t="n">
        <v>-0.045</v>
      </c>
      <c r="K49" s="11" t="n">
        <v>-0.1513</v>
      </c>
      <c r="M49" s="11" t="n">
        <v>-0.59</v>
      </c>
      <c r="O49" s="11" t="n">
        <v>-0.7</v>
      </c>
      <c r="Q49" s="11" t="n">
        <v>-0.06</v>
      </c>
      <c r="S49" s="11" t="n">
        <v>-0.12</v>
      </c>
      <c r="U49" s="11" t="n">
        <v>-0.05</v>
      </c>
      <c r="W49" s="11" t="n">
        <v>-0.1061</v>
      </c>
      <c r="X49" s="11" t="n">
        <v>-0.2642</v>
      </c>
      <c r="Y49" s="11" t="n">
        <v>-0.5919</v>
      </c>
      <c r="Z49" s="11" t="n">
        <v>-1.2596</v>
      </c>
      <c r="AA49" s="11" t="n">
        <v>-0.2018</v>
      </c>
      <c r="AB49" s="11" t="n">
        <v>-0.1513</v>
      </c>
      <c r="AC49" s="11" t="n">
        <v>-0.7</v>
      </c>
      <c r="AD49" s="11" t="n">
        <v>-0.12</v>
      </c>
    </row>
    <row r="50">
      <c r="A50" s="10" t="inlineStr">
        <is>
          <t>자산복구부채 이행 지출</t>
        </is>
      </c>
      <c r="C50" s="11" t="n">
        <v>-0.1212</v>
      </c>
      <c r="E50" s="11" t="n">
        <v>0</v>
      </c>
      <c r="G50" s="11" t="n">
        <v>-0.0901</v>
      </c>
      <c r="W50" s="11" t="n">
        <v>0</v>
      </c>
      <c r="X50" s="11" t="n">
        <v>-0.1054</v>
      </c>
      <c r="Y50" s="11" t="n">
        <v>-0.1414</v>
      </c>
      <c r="Z50" s="11" t="n">
        <v>-0.1212</v>
      </c>
      <c r="AA50" s="11" t="n">
        <v>-0.0901</v>
      </c>
    </row>
    <row r="51">
      <c r="A51" s="10" t="inlineStr">
        <is>
          <t>보증금 납입</t>
        </is>
      </c>
      <c r="C51" s="11" t="n">
        <v>-0.4739</v>
      </c>
      <c r="E51" s="11" t="n">
        <v>-0.1726</v>
      </c>
      <c r="G51" s="11" t="n">
        <v>-0.3691</v>
      </c>
      <c r="I51" s="11" t="n">
        <v>-0.2274</v>
      </c>
      <c r="K51" s="11" t="n">
        <v>-0.2669</v>
      </c>
      <c r="M51" s="11" t="n">
        <v>-0.09</v>
      </c>
      <c r="O51" s="11" t="n">
        <v>-0.41</v>
      </c>
      <c r="Q51" s="11" t="n">
        <v>-0.2</v>
      </c>
      <c r="S51" s="11" t="n">
        <v>-0.32</v>
      </c>
      <c r="U51" s="11" t="n">
        <v>-0.14</v>
      </c>
      <c r="W51" s="11" t="n">
        <v>-0.4293</v>
      </c>
      <c r="X51" s="11" t="n">
        <v>-0.124</v>
      </c>
      <c r="Y51" s="11" t="n">
        <v>-0.0461</v>
      </c>
      <c r="Z51" s="11" t="n">
        <v>-0.4739</v>
      </c>
      <c r="AA51" s="11" t="n">
        <v>-0.3691</v>
      </c>
      <c r="AB51" s="11" t="n">
        <v>-0.2669</v>
      </c>
      <c r="AC51" s="11" t="n">
        <v>-0.41</v>
      </c>
      <c r="AD51" s="11" t="n">
        <v>-0.32</v>
      </c>
    </row>
    <row r="52">
      <c r="A52" s="10" t="inlineStr">
        <is>
          <t>보증금 회수</t>
        </is>
      </c>
      <c r="C52" s="11" t="n">
        <v>0.185</v>
      </c>
      <c r="E52" s="11" t="n">
        <v>0.02</v>
      </c>
      <c r="G52" s="11" t="n">
        <v>0.1722</v>
      </c>
      <c r="I52" s="11" t="n">
        <v>0</v>
      </c>
      <c r="K52" s="11" t="n">
        <v>0</v>
      </c>
      <c r="M52" s="11" t="n">
        <v>0.1</v>
      </c>
      <c r="O52" s="11" t="n">
        <v>0.13</v>
      </c>
      <c r="Q52" s="11" t="n">
        <v>0</v>
      </c>
      <c r="S52" s="11" t="n">
        <v>0.08</v>
      </c>
      <c r="U52" s="11" t="n">
        <v>0</v>
      </c>
      <c r="W52" s="11" t="n">
        <v>0.0089</v>
      </c>
      <c r="X52" s="11" t="n">
        <v>0.1932</v>
      </c>
      <c r="Y52" s="11" t="n">
        <v>0.5175999999999999</v>
      </c>
      <c r="Z52" s="11" t="n">
        <v>0.185</v>
      </c>
      <c r="AA52" s="11" t="n">
        <v>0.1722</v>
      </c>
      <c r="AB52" s="11" t="n">
        <v>0</v>
      </c>
      <c r="AC52" s="11" t="n">
        <v>0.13</v>
      </c>
      <c r="AD52" s="11" t="n">
        <v>0.08</v>
      </c>
    </row>
    <row r="53">
      <c r="A53" s="10" t="inlineStr">
        <is>
          <t>건설협력금 회수</t>
        </is>
      </c>
      <c r="C53" s="11" t="n">
        <v>0.2286</v>
      </c>
      <c r="E53" s="11" t="n">
        <v>0.1159</v>
      </c>
      <c r="G53" s="11" t="n">
        <v>0.2641</v>
      </c>
      <c r="I53" s="11" t="n">
        <v>0.1164</v>
      </c>
      <c r="K53" s="11" t="n">
        <v>0.2467</v>
      </c>
      <c r="M53" s="11" t="n">
        <v>0.06</v>
      </c>
      <c r="O53" s="11" t="n">
        <v>0.25</v>
      </c>
      <c r="Q53" s="11" t="n">
        <v>0.12</v>
      </c>
      <c r="S53" s="11" t="n">
        <v>0.3</v>
      </c>
      <c r="U53" s="11" t="n">
        <v>0.12</v>
      </c>
      <c r="W53" s="11" t="n">
        <v>0.2489</v>
      </c>
      <c r="X53" s="11" t="n">
        <v>0.2281</v>
      </c>
      <c r="Y53" s="11" t="n">
        <v>0.2142</v>
      </c>
      <c r="Z53" s="11" t="n">
        <v>0.2286</v>
      </c>
      <c r="AA53" s="11" t="n">
        <v>0.2641</v>
      </c>
      <c r="AB53" s="11" t="n">
        <v>0.2467</v>
      </c>
      <c r="AC53" s="11" t="n">
        <v>0.25</v>
      </c>
      <c r="AD53" s="11" t="n">
        <v>0.3</v>
      </c>
    </row>
    <row r="54">
      <c r="A54" s="10" t="inlineStr">
        <is>
          <t>보험적립금 적립</t>
        </is>
      </c>
      <c r="C54" s="11" t="n">
        <v>-0.0365</v>
      </c>
      <c r="G54" s="11" t="n">
        <v>-0.0365</v>
      </c>
      <c r="W54" s="11" t="n">
        <v>-0.0365</v>
      </c>
      <c r="X54" s="11" t="n">
        <v>-0.0365</v>
      </c>
      <c r="Y54" s="11" t="n">
        <v>-0.0365</v>
      </c>
      <c r="Z54" s="11" t="n">
        <v>-0.0365</v>
      </c>
      <c r="AA54" s="11" t="n">
        <v>-0.0365</v>
      </c>
    </row>
    <row r="55">
      <c r="A55" s="10" t="inlineStr">
        <is>
          <t>예수보증금 반환</t>
        </is>
      </c>
      <c r="C55" s="11" t="n">
        <v>-0.0005999999999999999</v>
      </c>
      <c r="G55" s="11" t="n">
        <v>0</v>
      </c>
      <c r="W55" s="11" t="n">
        <v>-0.1052</v>
      </c>
      <c r="X55" s="11" t="n">
        <v>-0.0035</v>
      </c>
      <c r="Y55" s="11" t="n">
        <v>-0.0057</v>
      </c>
      <c r="Z55" s="11" t="n">
        <v>-0.0005999999999999999</v>
      </c>
      <c r="AA55" s="11" t="n">
        <v>0</v>
      </c>
    </row>
    <row r="56">
      <c r="A56" s="10" t="inlineStr">
        <is>
          <t>예수보증금 수입</t>
        </is>
      </c>
      <c r="C56" s="11" t="n">
        <v>0</v>
      </c>
      <c r="W56" s="11" t="n">
        <v>0</v>
      </c>
      <c r="X56" s="11" t="n">
        <v>0.05</v>
      </c>
      <c r="Y56" s="11" t="n">
        <v>0.0025</v>
      </c>
      <c r="Z56" s="11" t="n">
        <v>0</v>
      </c>
    </row>
    <row r="57">
      <c r="A57" s="10" t="inlineStr">
        <is>
          <t>출자금 회수</t>
        </is>
      </c>
      <c r="C57" s="11" t="n">
        <v>0.0002</v>
      </c>
      <c r="G57" s="11" t="n">
        <v>0</v>
      </c>
      <c r="Y57" s="11" t="n">
        <v>0</v>
      </c>
      <c r="Z57" s="11" t="n">
        <v>0.0002</v>
      </c>
      <c r="AA57" s="11" t="n">
        <v>0</v>
      </c>
    </row>
    <row r="58">
      <c r="A58" s="10" t="inlineStr">
        <is>
          <t>건설협력금 지급</t>
        </is>
      </c>
      <c r="C58" s="11" t="n">
        <v>0</v>
      </c>
      <c r="E58" s="11" t="n">
        <v>-0.3</v>
      </c>
      <c r="G58" s="11" t="n">
        <v>-0.48</v>
      </c>
      <c r="K58" s="11" t="n">
        <v>-0.162</v>
      </c>
      <c r="O58" s="11" t="n">
        <v>-0.14</v>
      </c>
      <c r="S58" s="11" t="n">
        <v>-0.22</v>
      </c>
      <c r="W58" s="11" t="n">
        <v>-0.27</v>
      </c>
      <c r="X58" s="11" t="n">
        <v>-0.36</v>
      </c>
      <c r="Y58" s="11" t="n">
        <v>-0.36</v>
      </c>
      <c r="Z58" s="11" t="n">
        <v>0</v>
      </c>
      <c r="AA58" s="11" t="n">
        <v>-0.48</v>
      </c>
      <c r="AB58" s="11" t="n">
        <v>-0.162</v>
      </c>
      <c r="AC58" s="11" t="n">
        <v>-0.14</v>
      </c>
      <c r="AD58" s="11" t="n">
        <v>-0.22</v>
      </c>
    </row>
    <row r="59">
      <c r="A59" s="10" t="inlineStr">
        <is>
          <t>정기예금 예입</t>
        </is>
      </c>
      <c r="C59" s="11" t="n">
        <v>-0.0005</v>
      </c>
      <c r="E59" s="11" t="n">
        <v>-0.0001</v>
      </c>
      <c r="G59" s="11" t="n">
        <v>-0.0002</v>
      </c>
      <c r="I59" s="11" t="n">
        <v>0</v>
      </c>
      <c r="K59" s="11" t="n">
        <v>0</v>
      </c>
      <c r="M59" s="11" t="n">
        <v>-10</v>
      </c>
      <c r="O59" s="11" t="n">
        <v>-10</v>
      </c>
      <c r="Q59" s="11" t="n">
        <v>0</v>
      </c>
      <c r="S59" s="11" t="n">
        <v>0</v>
      </c>
      <c r="W59" s="11" t="n">
        <v>-0.3608</v>
      </c>
      <c r="X59" s="11" t="n">
        <v>-10.3608</v>
      </c>
      <c r="Y59" s="11" t="n">
        <v>-0.1208</v>
      </c>
      <c r="Z59" s="11" t="n">
        <v>-0.0005</v>
      </c>
      <c r="AA59" s="11" t="n">
        <v>-0.0002</v>
      </c>
      <c r="AB59" s="11" t="n">
        <v>0</v>
      </c>
      <c r="AC59" s="11" t="n">
        <v>-10</v>
      </c>
      <c r="AD59" s="11" t="n">
        <v>0</v>
      </c>
    </row>
    <row r="60">
      <c r="A60" s="10" t="inlineStr">
        <is>
          <t>정기예금 인출</t>
        </is>
      </c>
      <c r="C60" s="11" t="n">
        <v>0.2459</v>
      </c>
      <c r="G60" s="11" t="n">
        <v>0</v>
      </c>
      <c r="I60" s="11" t="n">
        <v>0</v>
      </c>
      <c r="K60" s="11" t="n">
        <v>0</v>
      </c>
      <c r="M60" s="11" t="n">
        <v>9.73</v>
      </c>
      <c r="O60" s="11" t="n">
        <v>9.81</v>
      </c>
      <c r="Q60" s="11" t="n">
        <v>0</v>
      </c>
      <c r="S60" s="11" t="n">
        <v>0</v>
      </c>
      <c r="Y60" s="11" t="n">
        <v>0</v>
      </c>
      <c r="Z60" s="11" t="n">
        <v>0.2459</v>
      </c>
      <c r="AA60" s="11" t="n">
        <v>0</v>
      </c>
      <c r="AB60" s="11" t="n">
        <v>0</v>
      </c>
      <c r="AC60" s="11" t="n">
        <v>9.81</v>
      </c>
      <c r="AD60" s="11" t="n">
        <v>0</v>
      </c>
    </row>
    <row r="61">
      <c r="A61" s="10" t="inlineStr">
        <is>
          <t>연결범위 변경 자회사 주식 취득</t>
        </is>
      </c>
      <c r="I61" s="11" t="n">
        <v>0</v>
      </c>
      <c r="K61" s="11" t="n">
        <v>0</v>
      </c>
      <c r="M61" s="11" t="n">
        <v>-1.99</v>
      </c>
      <c r="O61" s="11" t="n">
        <v>-1.99</v>
      </c>
      <c r="Q61" s="11" t="n">
        <v>0</v>
      </c>
      <c r="S61" s="11" t="n">
        <v>0</v>
      </c>
      <c r="U61" s="11" t="n">
        <v>-0.72</v>
      </c>
      <c r="AB61" s="11" t="n">
        <v>0</v>
      </c>
      <c r="AC61" s="11" t="n">
        <v>-1.99</v>
      </c>
      <c r="AD61" s="11" t="n">
        <v>0</v>
      </c>
    </row>
    <row r="62">
      <c r="A62" s="10" t="inlineStr">
        <is>
          <t>기타</t>
        </is>
      </c>
      <c r="I62" s="11" t="n">
        <v>0.0013</v>
      </c>
      <c r="K62" s="11" t="n">
        <v>0.0412</v>
      </c>
      <c r="M62" s="11" t="n">
        <v>-0</v>
      </c>
      <c r="O62" s="11" t="n">
        <v>-0.08</v>
      </c>
      <c r="Q62" s="11" t="n">
        <v>-0</v>
      </c>
      <c r="S62" s="11" t="n">
        <v>-0.04</v>
      </c>
      <c r="U62" s="11" t="n">
        <v>-0.02</v>
      </c>
      <c r="AB62" s="11" t="n">
        <v>0.0412</v>
      </c>
      <c r="AC62" s="11" t="n">
        <v>-0.08</v>
      </c>
      <c r="AD62" s="11" t="n">
        <v>-0.04</v>
      </c>
    </row>
    <row r="63">
      <c r="A63" s="10" t="inlineStr">
        <is>
          <t>투자활동 현금흐름</t>
        </is>
      </c>
      <c r="C63" s="11" t="n">
        <v>-18.1839</v>
      </c>
      <c r="E63" s="11" t="n">
        <v>-4.827</v>
      </c>
      <c r="G63" s="11" t="n">
        <v>-14.4082</v>
      </c>
      <c r="I63" s="11" t="n">
        <v>-6.5331</v>
      </c>
      <c r="K63" s="11" t="n">
        <v>-10.8796</v>
      </c>
      <c r="M63" s="11" t="n">
        <v>-5.95</v>
      </c>
      <c r="O63" s="11" t="n">
        <v>-13.91</v>
      </c>
      <c r="Q63" s="11" t="n">
        <v>-6.68</v>
      </c>
      <c r="S63" s="11" t="n">
        <v>-14.36</v>
      </c>
      <c r="U63" s="11" t="n">
        <v>-6.93</v>
      </c>
      <c r="W63" s="11" t="n">
        <v>-17.6206</v>
      </c>
      <c r="X63" s="11" t="n">
        <v>-18.3724</v>
      </c>
      <c r="Y63" s="11" t="n">
        <v>-3.5105</v>
      </c>
      <c r="Z63" s="11" t="n">
        <v>-18.1839</v>
      </c>
      <c r="AA63" s="11" t="n">
        <v>-14.4082</v>
      </c>
      <c r="AB63" s="11" t="n">
        <v>-10.8796</v>
      </c>
      <c r="AC63" s="11" t="n">
        <v>-13.91</v>
      </c>
      <c r="AD63" s="11" t="n">
        <v>-14.36</v>
      </c>
    </row>
    <row r="64">
      <c r="A64" s="10" t="inlineStr">
        <is>
          <t>단기차입금 순증감</t>
        </is>
      </c>
      <c r="C64" s="11" t="n">
        <v>-0.196</v>
      </c>
      <c r="E64" s="11" t="n">
        <v>0.1936</v>
      </c>
      <c r="G64" s="11" t="n">
        <v>0.2936</v>
      </c>
      <c r="I64" s="11" t="n">
        <v>-0.1834</v>
      </c>
      <c r="K64" s="11" t="n">
        <v>-0.1834</v>
      </c>
      <c r="M64" s="11" t="n">
        <v>-0.03</v>
      </c>
      <c r="O64" s="11" t="n">
        <v>-0.03</v>
      </c>
      <c r="Q64" s="11" t="n">
        <v>0</v>
      </c>
      <c r="S64" s="11" t="n">
        <v>0</v>
      </c>
      <c r="W64" s="11" t="n">
        <v>-0.0488</v>
      </c>
      <c r="X64" s="11" t="n">
        <v>0.0698</v>
      </c>
      <c r="Y64" s="11" t="n">
        <v>-0.432</v>
      </c>
      <c r="Z64" s="11" t="n">
        <v>-0.196</v>
      </c>
      <c r="AA64" s="11" t="n">
        <v>0.2936</v>
      </c>
      <c r="AB64" s="11" t="n">
        <v>-0.1834</v>
      </c>
      <c r="AC64" s="11" t="n">
        <v>-0.03</v>
      </c>
      <c r="AD64" s="11" t="n">
        <v>0</v>
      </c>
    </row>
    <row r="65">
      <c r="A65" s="10" t="inlineStr">
        <is>
          <t>장기차입</t>
        </is>
      </c>
      <c r="C65" s="11" t="n">
        <v>10</v>
      </c>
      <c r="E65" s="11" t="n">
        <v>7</v>
      </c>
      <c r="G65" s="11" t="n">
        <v>7</v>
      </c>
      <c r="X65" s="11" t="n">
        <v>0</v>
      </c>
      <c r="Y65" s="11" t="n">
        <v>50</v>
      </c>
      <c r="Z65" s="11" t="n">
        <v>10</v>
      </c>
      <c r="AA65" s="11" t="n">
        <v>7</v>
      </c>
    </row>
    <row r="66">
      <c r="A66" s="10" t="inlineStr">
        <is>
          <t>장기차입금 상환</t>
        </is>
      </c>
      <c r="C66" s="11" t="n">
        <v>-1.9999</v>
      </c>
      <c r="E66" s="11" t="n">
        <v>-58.5801</v>
      </c>
      <c r="G66" s="11" t="n">
        <v>-60.3201</v>
      </c>
      <c r="I66" s="11" t="n">
        <v>-1.74</v>
      </c>
      <c r="K66" s="11" t="n">
        <v>-3.48</v>
      </c>
      <c r="M66" s="11" t="n">
        <v>-1.2</v>
      </c>
      <c r="O66" s="11" t="n">
        <v>-2.02</v>
      </c>
      <c r="Q66" s="11" t="n">
        <v>0</v>
      </c>
      <c r="S66" s="11" t="n">
        <v>0</v>
      </c>
      <c r="Y66" s="11" t="n">
        <v>0</v>
      </c>
      <c r="Z66" s="11" t="n">
        <v>-1.9999</v>
      </c>
      <c r="AA66" s="11" t="n">
        <v>-60.3201</v>
      </c>
      <c r="AB66" s="11" t="n">
        <v>-3.48</v>
      </c>
      <c r="AC66" s="11" t="n">
        <v>-2.02</v>
      </c>
      <c r="AD66" s="11" t="n">
        <v>0</v>
      </c>
    </row>
    <row r="67">
      <c r="A67" s="10" t="inlineStr">
        <is>
          <t>리스부채 상환</t>
        </is>
      </c>
      <c r="C67" s="11" t="n">
        <v>-0.1875</v>
      </c>
      <c r="E67" s="11" t="n">
        <v>-0.0948</v>
      </c>
      <c r="G67" s="11" t="n">
        <v>-0.199</v>
      </c>
      <c r="I67" s="11" t="n">
        <v>-0.108</v>
      </c>
      <c r="K67" s="11" t="n">
        <v>-0.2013</v>
      </c>
      <c r="M67" s="11" t="n">
        <v>-0.15</v>
      </c>
      <c r="O67" s="11" t="n">
        <v>-0.25</v>
      </c>
      <c r="Q67" s="11" t="n">
        <v>-0.15</v>
      </c>
      <c r="S67" s="11" t="n">
        <v>-0.29</v>
      </c>
      <c r="U67" s="11" t="n">
        <v>-0.14</v>
      </c>
      <c r="W67" s="11" t="n">
        <v>-0.1423</v>
      </c>
      <c r="X67" s="11" t="n">
        <v>-0.156</v>
      </c>
      <c r="Y67" s="11" t="n">
        <v>-0.1695</v>
      </c>
      <c r="Z67" s="11" t="n">
        <v>-0.1875</v>
      </c>
      <c r="AA67" s="11" t="n">
        <v>-0.199</v>
      </c>
      <c r="AB67" s="11" t="n">
        <v>-0.2013</v>
      </c>
      <c r="AC67" s="11" t="n">
        <v>-0.25</v>
      </c>
      <c r="AD67" s="11" t="n">
        <v>-0.29</v>
      </c>
    </row>
    <row r="68">
      <c r="A68" s="10" t="inlineStr">
        <is>
          <t>자기주식 취득</t>
        </is>
      </c>
      <c r="C68" s="11" t="n">
        <v>0</v>
      </c>
      <c r="E68" s="11" t="n">
        <v>-5.2423</v>
      </c>
      <c r="G68" s="11" t="n">
        <v>-5.2423</v>
      </c>
      <c r="I68" s="11" t="n">
        <v>-0.0008</v>
      </c>
      <c r="K68" s="11" t="n">
        <v>-0.0008</v>
      </c>
      <c r="M68" s="11" t="n">
        <v>0</v>
      </c>
      <c r="O68" s="11" t="n">
        <v>-0</v>
      </c>
      <c r="Q68" s="11" t="n">
        <v>-0</v>
      </c>
      <c r="S68" s="11" t="n">
        <v>-0</v>
      </c>
      <c r="U68" s="11" t="n">
        <v>-0</v>
      </c>
      <c r="W68" s="11" t="n">
        <v>-0.0039</v>
      </c>
      <c r="X68" s="11" t="n">
        <v>-0.0016</v>
      </c>
      <c r="Y68" s="11" t="n">
        <v>-0.0019</v>
      </c>
      <c r="Z68" s="11" t="n">
        <v>0</v>
      </c>
      <c r="AA68" s="11" t="n">
        <v>-5.2423</v>
      </c>
      <c r="AB68" s="11" t="n">
        <v>-0.0008</v>
      </c>
      <c r="AC68" s="11" t="n">
        <v>-0</v>
      </c>
      <c r="AD68" s="11" t="n">
        <v>-0</v>
      </c>
    </row>
    <row r="69">
      <c r="A69" s="10" t="inlineStr">
        <is>
          <t>배당금 지급</t>
        </is>
      </c>
      <c r="C69" s="11" t="n">
        <v>-2.4143</v>
      </c>
      <c r="E69" s="11" t="n">
        <v>-1.5104</v>
      </c>
      <c r="G69" s="11" t="n">
        <v>-2.6999</v>
      </c>
      <c r="I69" s="11" t="n">
        <v>-1.1906</v>
      </c>
      <c r="K69" s="11" t="n">
        <v>-2.3999</v>
      </c>
      <c r="M69" s="11" t="n">
        <v>-1.46</v>
      </c>
      <c r="O69" s="11" t="n">
        <v>-3.24</v>
      </c>
      <c r="Q69" s="11" t="n">
        <v>-1.8</v>
      </c>
      <c r="S69" s="11" t="n">
        <v>-3.73</v>
      </c>
      <c r="U69" s="11" t="n">
        <v>-2.23</v>
      </c>
      <c r="W69" s="11" t="n">
        <v>-3.6172</v>
      </c>
      <c r="X69" s="11" t="n">
        <v>-3.6227</v>
      </c>
      <c r="Y69" s="11" t="n">
        <v>-1.8148</v>
      </c>
      <c r="Z69" s="11" t="n">
        <v>-2.4143</v>
      </c>
      <c r="AA69" s="11" t="n">
        <v>-2.6999</v>
      </c>
      <c r="AB69" s="11" t="n">
        <v>-2.3999</v>
      </c>
      <c r="AC69" s="11" t="n">
        <v>-3.24</v>
      </c>
      <c r="AD69" s="11" t="n">
        <v>-3.73</v>
      </c>
    </row>
    <row r="70">
      <c r="A70" s="10" t="inlineStr">
        <is>
          <t>기타</t>
        </is>
      </c>
      <c r="I70" s="11" t="n">
        <v>0</v>
      </c>
      <c r="K70" s="11" t="n">
        <v>0</v>
      </c>
      <c r="M70" s="11" t="n">
        <v>0</v>
      </c>
      <c r="O70" s="11" t="n">
        <v>-0.08</v>
      </c>
      <c r="Q70" s="11" t="n">
        <v>0</v>
      </c>
      <c r="S70" s="11" t="n">
        <v>0</v>
      </c>
      <c r="U70" s="11" t="n">
        <v>0</v>
      </c>
      <c r="W70" s="11" t="n">
        <v>0</v>
      </c>
      <c r="X70" s="11" t="n">
        <v>0.0001</v>
      </c>
      <c r="Y70" s="11" t="n">
        <v>0</v>
      </c>
      <c r="AB70" s="11" t="n">
        <v>0</v>
      </c>
      <c r="AC70" s="11" t="n">
        <v>-0.08</v>
      </c>
      <c r="AD70" s="11" t="n">
        <v>0</v>
      </c>
    </row>
    <row r="71">
      <c r="A71" s="10" t="inlineStr">
        <is>
          <t>재무활동 현금흐름</t>
        </is>
      </c>
      <c r="C71" s="11" t="n">
        <v>5.2023</v>
      </c>
      <c r="E71" s="11" t="n">
        <v>-58.2339</v>
      </c>
      <c r="G71" s="11" t="n">
        <v>-61.1678</v>
      </c>
      <c r="I71" s="11" t="n">
        <v>-3.2228</v>
      </c>
      <c r="K71" s="11" t="n">
        <v>-6.2654</v>
      </c>
      <c r="M71" s="11" t="n">
        <v>-2.85</v>
      </c>
      <c r="O71" s="11" t="n">
        <v>-5.64</v>
      </c>
      <c r="Q71" s="11" t="n">
        <v>-1.96</v>
      </c>
      <c r="S71" s="11" t="n">
        <v>-4.03</v>
      </c>
      <c r="U71" s="11" t="n">
        <v>-2.37</v>
      </c>
      <c r="W71" s="11" t="n">
        <v>-3.8122</v>
      </c>
      <c r="X71" s="11" t="n">
        <v>-3.7105</v>
      </c>
      <c r="Y71" s="11" t="n">
        <v>47.5817</v>
      </c>
      <c r="Z71" s="11" t="n">
        <v>5.2023</v>
      </c>
      <c r="AA71" s="11" t="n">
        <v>-61.1678</v>
      </c>
      <c r="AB71" s="11" t="n">
        <v>-6.2654</v>
      </c>
      <c r="AC71" s="11" t="n">
        <v>-5.64</v>
      </c>
      <c r="AD71" s="11" t="n">
        <v>-4.03</v>
      </c>
    </row>
    <row r="72">
      <c r="A72" s="10" t="inlineStr">
        <is>
          <t>현금성자산 증감</t>
        </is>
      </c>
      <c r="C72" s="11" t="n">
        <v>11.2343</v>
      </c>
      <c r="E72" s="11" t="n">
        <v>-52.4347</v>
      </c>
      <c r="G72" s="11" t="n">
        <v>-59.3638</v>
      </c>
      <c r="I72" s="11" t="n">
        <v>3.0077</v>
      </c>
      <c r="K72" s="11" t="n">
        <v>8.3127</v>
      </c>
      <c r="M72" s="11" t="n">
        <v>3.29</v>
      </c>
      <c r="O72" s="11" t="n">
        <v>7.12</v>
      </c>
      <c r="Q72" s="11" t="n">
        <v>8.869999999999999</v>
      </c>
      <c r="S72" s="11" t="n">
        <v>15.26</v>
      </c>
      <c r="U72" s="11" t="n">
        <v>14.9</v>
      </c>
      <c r="W72" s="11" t="n">
        <v>6.4971</v>
      </c>
      <c r="X72" s="11" t="n">
        <v>2.1189</v>
      </c>
      <c r="Y72" s="11" t="n">
        <v>43.4921</v>
      </c>
      <c r="Z72" s="11" t="n">
        <v>11.2343</v>
      </c>
      <c r="AA72" s="11" t="n">
        <v>-59.3638</v>
      </c>
      <c r="AB72" s="11" t="n">
        <v>8.3127</v>
      </c>
      <c r="AC72" s="11" t="n">
        <v>7.12</v>
      </c>
      <c r="AD72" s="11" t="n">
        <v>15.26</v>
      </c>
    </row>
    <row r="73">
      <c r="A73" s="10" t="inlineStr">
        <is>
          <t>신규 연결 현금성자산 증가</t>
        </is>
      </c>
      <c r="I73" s="11" t="n">
        <v>1.348</v>
      </c>
      <c r="K73" s="11" t="n">
        <v>1.348</v>
      </c>
      <c r="M73" s="11" t="n">
        <v>0</v>
      </c>
      <c r="O73" s="11" t="n">
        <v>0</v>
      </c>
      <c r="AB73" s="11" t="n">
        <v>1.348</v>
      </c>
      <c r="AC73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브롱코빌리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ttm 순이익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2023-Q4</t>
        </is>
      </c>
      <c r="B6" s="11" t="n">
        <v>10.03</v>
      </c>
      <c r="C6" s="3" t="inlineStr">
        <is>
          <t>2단계 보고서 자료(회사 설명회 자료·공시)</t>
        </is>
      </c>
    </row>
    <row r="7">
      <c r="A7" s="14" t="inlineStr">
        <is>
          <t>2024-Q1</t>
        </is>
      </c>
      <c r="B7" s="11" t="n">
        <v>13.42</v>
      </c>
    </row>
    <row r="8">
      <c r="A8" s="14" t="inlineStr">
        <is>
          <t>2024-Q2</t>
        </is>
      </c>
      <c r="B8" s="11" t="n">
        <v>14.92</v>
      </c>
    </row>
    <row r="9">
      <c r="A9" s="14" t="inlineStr">
        <is>
          <t>2024-Q3</t>
        </is>
      </c>
      <c r="B9" s="11" t="n">
        <v>16.35</v>
      </c>
    </row>
    <row r="10">
      <c r="A10" s="14" t="inlineStr">
        <is>
          <t>2024-Q4</t>
        </is>
      </c>
      <c r="B10" s="11" t="n">
        <v>17.15</v>
      </c>
    </row>
    <row r="11">
      <c r="A11" s="14" t="inlineStr">
        <is>
          <t>2025-Q1</t>
        </is>
      </c>
      <c r="B11" s="11" t="n">
        <v>15.61</v>
      </c>
    </row>
    <row r="12">
      <c r="A12" s="14" t="inlineStr">
        <is>
          <t>2025-Q2</t>
        </is>
      </c>
      <c r="B12" s="11" t="n">
        <v>17.33</v>
      </c>
    </row>
    <row r="13">
      <c r="A13" s="14" t="inlineStr">
        <is>
          <t>2025-Q3</t>
        </is>
      </c>
      <c r="B13" s="11" t="n">
        <v>17.65</v>
      </c>
    </row>
    <row r="14">
      <c r="A14" s="14" t="inlineStr">
        <is>
          <t>2025-Q4</t>
        </is>
      </c>
      <c r="B14" s="11" t="n">
        <v>19.69</v>
      </c>
    </row>
    <row r="15">
      <c r="A15" s="14" t="inlineStr">
        <is>
          <t>2026-Q1</t>
        </is>
      </c>
      <c r="B15" s="11" t="n">
        <v>22.89</v>
      </c>
    </row>
    <row r="16">
      <c r="A16" s="14" t="inlineStr">
        <is>
          <t>2026-Q2</t>
        </is>
      </c>
      <c r="B16" s="11" t="n">
        <v>24.17</v>
      </c>
    </row>
    <row r="17">
      <c r="A17" s="14" t="inlineStr">
        <is>
          <t>2026-Q3</t>
        </is>
      </c>
      <c r="B17" s="11" t="n">
        <v>25.99</v>
      </c>
    </row>
    <row r="19">
      <c r="A19" s="12" t="inlineStr">
        <is>
          <t>EPS ttm</t>
        </is>
      </c>
      <c r="B19" s="12" t="n"/>
      <c r="C19" s="12" t="n"/>
    </row>
    <row r="20">
      <c r="A20" s="13" t="inlineStr">
        <is>
          <t>항목</t>
        </is>
      </c>
      <c r="B20" s="13" t="inlineStr">
        <is>
          <t>값</t>
        </is>
      </c>
      <c r="C20" s="13" t="inlineStr">
        <is>
          <t>출처</t>
        </is>
      </c>
    </row>
    <row r="21">
      <c r="A21" s="14" t="inlineStr">
        <is>
          <t>2023-Q4</t>
        </is>
      </c>
      <c r="B21" s="11" t="n">
        <v>33.67</v>
      </c>
      <c r="C21" s="3" t="inlineStr">
        <is>
          <t>2단계 보고서 자료(회사 설명회 자료·공시)</t>
        </is>
      </c>
    </row>
    <row r="22">
      <c r="A22" s="14" t="inlineStr">
        <is>
          <t>2024-Q1</t>
        </is>
      </c>
      <c r="B22" s="11" t="n">
        <v>45.05</v>
      </c>
    </row>
    <row r="23">
      <c r="A23" s="14" t="inlineStr">
        <is>
          <t>2024-Q2</t>
        </is>
      </c>
      <c r="B23" s="11" t="n">
        <v>50.09</v>
      </c>
    </row>
    <row r="24">
      <c r="A24" s="14" t="inlineStr">
        <is>
          <t>2024-Q3</t>
        </is>
      </c>
      <c r="B24" s="11" t="n">
        <v>54.89</v>
      </c>
    </row>
    <row r="25">
      <c r="A25" s="14" t="inlineStr">
        <is>
          <t>2024-Q4</t>
        </is>
      </c>
      <c r="B25" s="11" t="n">
        <v>57.57</v>
      </c>
    </row>
    <row r="26">
      <c r="A26" s="14" t="inlineStr">
        <is>
          <t>2025-Q1</t>
        </is>
      </c>
      <c r="B26" s="11" t="n">
        <v>52.4</v>
      </c>
    </row>
    <row r="27">
      <c r="A27" s="14" t="inlineStr">
        <is>
          <t>2025-Q2</t>
        </is>
      </c>
      <c r="B27" s="11" t="n">
        <v>58.18</v>
      </c>
    </row>
    <row r="28">
      <c r="A28" s="14" t="inlineStr">
        <is>
          <t>2025-Q3</t>
        </is>
      </c>
      <c r="B28" s="11" t="n">
        <v>59.25</v>
      </c>
    </row>
    <row r="29">
      <c r="A29" s="14" t="inlineStr">
        <is>
          <t>2025-Q4</t>
        </is>
      </c>
      <c r="B29" s="11" t="n">
        <v>66.09999999999999</v>
      </c>
    </row>
    <row r="30">
      <c r="A30" s="14" t="inlineStr">
        <is>
          <t>2026-Q1</t>
        </is>
      </c>
      <c r="B30" s="11" t="n">
        <v>76.84</v>
      </c>
    </row>
    <row r="31">
      <c r="A31" s="14" t="inlineStr">
        <is>
          <t>2026-Q2</t>
        </is>
      </c>
      <c r="B31" s="11" t="n">
        <v>81.14</v>
      </c>
    </row>
    <row r="32">
      <c r="A32" s="14" t="inlineStr">
        <is>
          <t>2026-Q3</t>
        </is>
      </c>
      <c r="B32" s="11" t="n">
        <v>87.25</v>
      </c>
    </row>
    <row r="34">
      <c r="A34" s="12" t="inlineStr">
        <is>
          <t>inc 이익률</t>
        </is>
      </c>
      <c r="B34" s="12" t="n"/>
      <c r="C34" s="12" t="n"/>
    </row>
    <row r="35">
      <c r="A35" s="13" t="inlineStr">
        <is>
          <t>항목</t>
        </is>
      </c>
      <c r="B35" s="13" t="inlineStr">
        <is>
          <t>값</t>
        </is>
      </c>
      <c r="C35" s="13" t="inlineStr">
        <is>
          <t>출처</t>
        </is>
      </c>
    </row>
    <row r="36">
      <c r="A36" s="14" t="inlineStr">
        <is>
          <t>2024-Q2</t>
        </is>
      </c>
      <c r="B36" s="11" t="n">
        <v>41.1</v>
      </c>
      <c r="C36" s="3" t="inlineStr">
        <is>
          <t>2단계 보고서 자료(회사 설명회 자료·공시)</t>
        </is>
      </c>
    </row>
    <row r="37">
      <c r="A37" s="14" t="inlineStr">
        <is>
          <t>2024-Q3</t>
        </is>
      </c>
      <c r="B37" s="11" t="n">
        <v>15.4</v>
      </c>
    </row>
    <row r="38">
      <c r="A38" s="14" t="inlineStr">
        <is>
          <t>2024-Q4</t>
        </is>
      </c>
      <c r="B38" s="11" t="n">
        <v>7.6</v>
      </c>
    </row>
    <row r="39">
      <c r="A39" s="14" t="inlineStr">
        <is>
          <t>2025-Q1</t>
        </is>
      </c>
      <c r="B39" s="11" t="n">
        <v>-32.4</v>
      </c>
    </row>
    <row r="40">
      <c r="A40" s="14" t="inlineStr">
        <is>
          <t>2025-Q2</t>
        </is>
      </c>
      <c r="B40" s="11" t="n">
        <v>21.6</v>
      </c>
    </row>
    <row r="41">
      <c r="A41" s="14" t="inlineStr">
        <is>
          <t>2025-Q3</t>
        </is>
      </c>
      <c r="B41" s="11" t="n">
        <v>6.5</v>
      </c>
    </row>
    <row r="42">
      <c r="A42" s="14" t="inlineStr">
        <is>
          <t>2025-Q4</t>
        </is>
      </c>
      <c r="B42" s="11" t="n">
        <v>32.8</v>
      </c>
    </row>
    <row r="43">
      <c r="A43" s="14" t="inlineStr">
        <is>
          <t>2026-Q1</t>
        </is>
      </c>
      <c r="B43" s="11" t="n">
        <v>52.1</v>
      </c>
    </row>
    <row r="44">
      <c r="A44" s="14" t="inlineStr">
        <is>
          <t>2026-Q2</t>
        </is>
      </c>
      <c r="B44" s="11" t="n">
        <v>22.2</v>
      </c>
    </row>
    <row r="45">
      <c r="A45" s="14" t="inlineStr">
        <is>
          <t>2026-Q3</t>
        </is>
      </c>
      <c r="B45" s="11" t="n">
        <v>29.2</v>
      </c>
    </row>
    <row r="47">
      <c r="A47" s="12" t="inlineStr">
        <is>
          <t>가이던스 fy26 · initial 0120</t>
        </is>
      </c>
      <c r="B47" s="12" t="n"/>
      <c r="C47" s="12" t="n"/>
    </row>
    <row r="48">
      <c r="A48" s="13" t="inlineStr">
        <is>
          <t>항목</t>
        </is>
      </c>
      <c r="B48" s="13" t="inlineStr">
        <is>
          <t>값</t>
        </is>
      </c>
      <c r="C48" s="13" t="inlineStr">
        <is>
          <t>출처</t>
        </is>
      </c>
    </row>
    <row r="49">
      <c r="A49" s="14" t="inlineStr">
        <is>
          <t>매출</t>
        </is>
      </c>
      <c r="B49" s="15" t="n">
        <v>330</v>
      </c>
      <c r="C49" s="3" t="inlineStr">
        <is>
          <t>2단계 보고서 자료(회사 설명회 자료·공시)</t>
        </is>
      </c>
    </row>
    <row r="50">
      <c r="A50" s="14" t="inlineStr">
        <is>
          <t>영업이익</t>
        </is>
      </c>
      <c r="B50" s="11" t="n">
        <v>30</v>
      </c>
    </row>
    <row r="51">
      <c r="A51" s="14" t="inlineStr">
        <is>
          <t>순이익</t>
        </is>
      </c>
      <c r="B51" s="11" t="n">
        <v>20</v>
      </c>
    </row>
    <row r="53">
      <c r="A53" s="12" t="inlineStr">
        <is>
          <t>가이던스 fy26 · 매출 0722</t>
        </is>
      </c>
      <c r="B53" s="12" t="n"/>
      <c r="C53" s="12" t="n"/>
    </row>
    <row r="54">
      <c r="A54" s="13" t="inlineStr">
        <is>
          <t>항목</t>
        </is>
      </c>
      <c r="B54" s="13" t="inlineStr">
        <is>
          <t>값</t>
        </is>
      </c>
      <c r="C54" s="13" t="inlineStr">
        <is>
          <t>출처</t>
        </is>
      </c>
    </row>
    <row r="55">
      <c r="A55" s="14" t="inlineStr">
        <is>
          <t>매출</t>
        </is>
      </c>
      <c r="B55" s="15" t="n">
        <v>340</v>
      </c>
      <c r="C55" s="3" t="inlineStr">
        <is>
          <t>2단계 보고서 자료(회사 설명회 자료·공시)</t>
        </is>
      </c>
    </row>
    <row r="56">
      <c r="A56" s="14" t="inlineStr">
        <is>
          <t>영업이익</t>
        </is>
      </c>
      <c r="B56" s="11" t="n">
        <v>39.7</v>
      </c>
    </row>
    <row r="57">
      <c r="A57" s="14" t="inlineStr">
        <is>
          <t>순이익</t>
        </is>
      </c>
      <c r="B57" s="11" t="n">
        <v>26</v>
      </c>
    </row>
    <row r="59">
      <c r="A59" s="12" t="inlineStr">
        <is>
          <t>sss 2026</t>
        </is>
      </c>
      <c r="B59" s="12" t="n"/>
      <c r="C59" s="12" t="n"/>
    </row>
    <row r="60">
      <c r="A60" s="13" t="inlineStr">
        <is>
          <t>항목</t>
        </is>
      </c>
      <c r="B60" s="13" t="inlineStr">
        <is>
          <t>값</t>
        </is>
      </c>
      <c r="C60" s="13" t="inlineStr">
        <is>
          <t>출처</t>
        </is>
      </c>
    </row>
    <row r="61">
      <c r="A61" s="14" t="inlineStr">
        <is>
          <t>1Q</t>
        </is>
      </c>
      <c r="B61" s="11" t="n">
        <v>106.7</v>
      </c>
      <c r="C61" s="3" t="inlineStr">
        <is>
          <t>2단계 보고서 자료(회사 설명회 자료·공시)</t>
        </is>
      </c>
    </row>
    <row r="62">
      <c r="A62" s="14" t="inlineStr">
        <is>
          <t>2Q</t>
        </is>
      </c>
      <c r="B62" s="11" t="n">
        <v>108.8</v>
      </c>
    </row>
    <row r="63">
      <c r="A63" s="14" t="inlineStr">
        <is>
          <t>3Q</t>
        </is>
      </c>
      <c r="B63" s="11" t="n">
        <v>107.9</v>
      </c>
    </row>
    <row r="64">
      <c r="A64" s="14" t="inlineStr">
        <is>
          <t>9M</t>
        </is>
      </c>
      <c r="B64" s="11" t="n">
        <v>107.8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2026-10-22</t>
        </is>
      </c>
      <c r="B4" t="inlineStr">
        <is>
          <t>2026년 12월 결산기 ３분기 결산단신</t>
        </is>
      </c>
      <c r="C4" t="inlineStr">
        <is>
          <t>https://www2.jpx.co.jp/disc/30910/140120261017552553.pdf</t>
        </is>
      </c>
    </row>
    <row r="5">
      <c r="A5" t="inlineStr">
        <is>
          <t>2026-07-22</t>
        </is>
      </c>
      <c r="B5" t="inlineStr">
        <is>
          <t>2026년 12월 결산기 ２분기 결산단신</t>
        </is>
      </c>
      <c r="C5" t="inlineStr">
        <is>
          <t>https://www2.jpx.co.jp/disc/30910/140120260721596924.pdf</t>
        </is>
      </c>
    </row>
    <row r="6">
      <c r="A6" t="inlineStr">
        <is>
          <t>2026-04-21</t>
        </is>
      </c>
      <c r="B6" t="inlineStr">
        <is>
          <t>2026년 12월 결산기 1분기 결산단신</t>
        </is>
      </c>
      <c r="C6" t="inlineStr">
        <is>
          <t>https://www2.jpx.co.jp/disc/30910/140120260420506528.pdf</t>
        </is>
      </c>
    </row>
    <row r="7">
      <c r="A7" t="inlineStr">
        <is>
          <t>2026-01-20</t>
        </is>
      </c>
      <c r="B7" t="inlineStr">
        <is>
          <t>2025년 12월 결산기 연간 결산단신</t>
        </is>
      </c>
      <c r="C7" t="inlineStr">
        <is>
          <t>https://www2.jpx.co.jp/disc/30910/140120260119535431.pdf</t>
        </is>
      </c>
    </row>
    <row r="8">
      <c r="A8" t="inlineStr">
        <is>
          <t>2025-10-21</t>
        </is>
      </c>
      <c r="B8" t="inlineStr">
        <is>
          <t>2025년 12월 결산기 ３분기 결산단신</t>
        </is>
      </c>
      <c r="C8" t="inlineStr">
        <is>
          <t>https://www2.jpx.co.jp/disc/30910/140120251020575857.pdf</t>
        </is>
      </c>
    </row>
    <row r="9">
      <c r="A9" t="inlineStr">
        <is>
          <t>2025-07-23</t>
        </is>
      </c>
      <c r="B9" t="inlineStr">
        <is>
          <t>2025년 12월 결산기 ２분기 결산단신</t>
        </is>
      </c>
      <c r="C9" t="inlineStr">
        <is>
          <t>https://www2.jpx.co.jp/disc/30910/140120250721517424.pdf</t>
        </is>
      </c>
    </row>
    <row r="10">
      <c r="A10" t="inlineStr">
        <is>
          <t>2025-04-22</t>
        </is>
      </c>
      <c r="B10" t="inlineStr">
        <is>
          <t>2025년 12월 결산기 1분기 결산단신</t>
        </is>
      </c>
      <c r="C10" t="inlineStr">
        <is>
          <t>https://www2.jpx.co.jp/disc/30910/140120250417517452.pdf</t>
        </is>
      </c>
    </row>
    <row r="11">
      <c r="A11" t="inlineStr">
        <is>
          <t>2025-01-21</t>
        </is>
      </c>
      <c r="B11" t="inlineStr">
        <is>
          <t>2024년 12월 결산기 연간 결산단신</t>
        </is>
      </c>
      <c r="C11" t="inlineStr">
        <is>
          <t>https://www2.jpx.co.jp/disc/30910/140120250121553066.pdf</t>
        </is>
      </c>
    </row>
    <row r="12">
      <c r="A12" t="inlineStr">
        <is>
          <t>2024-10-18</t>
        </is>
      </c>
      <c r="B12" t="inlineStr">
        <is>
          <t>2024년 12월 결산기 ３분기 결산단신</t>
        </is>
      </c>
      <c r="C12" t="inlineStr">
        <is>
          <t>https://www2.jpx.co.jp/disc/30910/140120241009595794.pdf</t>
        </is>
      </c>
    </row>
    <row r="13">
      <c r="A13" t="inlineStr">
        <is>
          <t>2024-07-18</t>
        </is>
      </c>
      <c r="B13" t="inlineStr">
        <is>
          <t>2024년 12월 결산기 ２분기 결산단신</t>
        </is>
      </c>
      <c r="C13" t="inlineStr">
        <is>
          <t>https://www2.jpx.co.jp/disc/30910/140120240716549498.pdf</t>
        </is>
      </c>
    </row>
    <row r="14">
      <c r="A14" t="inlineStr">
        <is>
          <t>2024-04-18</t>
        </is>
      </c>
      <c r="B14" t="inlineStr">
        <is>
          <t>2024년 12월 결산기 １분기 결산단신</t>
        </is>
      </c>
      <c r="C14" t="inlineStr">
        <is>
          <t>https://www2.jpx.co.jp/disc/30910/140120240411569280.pdf</t>
        </is>
      </c>
    </row>
    <row r="15">
      <c r="A15" t="inlineStr">
        <is>
          <t>2024-01-18</t>
        </is>
      </c>
      <c r="B15" t="inlineStr">
        <is>
          <t>2023년 12월 결산기 연간 결산단신</t>
        </is>
      </c>
      <c r="C15" t="inlineStr">
        <is>
          <t>https://www2.jpx.co.jp/disc/30910/140120240114514848.pdf</t>
        </is>
      </c>
    </row>
    <row r="16">
      <c r="A16" t="inlineStr">
        <is>
          <t>2023-10-17</t>
        </is>
      </c>
      <c r="B16" t="inlineStr">
        <is>
          <t>2023년 12월 결산기 ３분기 결산단신</t>
        </is>
      </c>
      <c r="C16" t="inlineStr">
        <is>
          <t>https://www2.jpx.co.jp/disc/30910/140120231017567826.pdf</t>
        </is>
      </c>
    </row>
    <row r="17">
      <c r="A17" t="inlineStr">
        <is>
          <t>2023-07-18</t>
        </is>
      </c>
      <c r="B17" t="inlineStr">
        <is>
          <t>2023년 12월 결산기 ２분기 결산단신</t>
        </is>
      </c>
      <c r="C17" t="inlineStr">
        <is>
          <t>https://www2.jpx.co.jp/disc/30910/140120230710520080.pdf</t>
        </is>
      </c>
    </row>
    <row r="18">
      <c r="A18" t="inlineStr">
        <is>
          <t>2023-04-18</t>
        </is>
      </c>
      <c r="B18" t="inlineStr">
        <is>
          <t>2023년 12월 결산기 １분기 결산단신</t>
        </is>
      </c>
      <c r="C18" t="inlineStr">
        <is>
          <t>https://www2.jpx.co.jp/disc/30910/140120230330539360.pdf</t>
        </is>
      </c>
    </row>
    <row r="19">
      <c r="A19" t="inlineStr">
        <is>
          <t>2023-01-16</t>
        </is>
      </c>
      <c r="B19" t="inlineStr">
        <is>
          <t>2022년 12월 결산기 연간 결산단신</t>
        </is>
      </c>
      <c r="C19" t="inlineStr">
        <is>
          <t>https://www2.jpx.co.jp/disc/30910/140120230110587289.pdf</t>
        </is>
      </c>
    </row>
    <row r="20">
      <c r="A20" t="inlineStr">
        <is>
          <t>2022-10-14</t>
        </is>
      </c>
      <c r="B20" t="inlineStr">
        <is>
          <t>2022년 12월 결산기 ３분기 결산단신</t>
        </is>
      </c>
      <c r="C20" t="inlineStr">
        <is>
          <t>https://www2.jpx.co.jp/disc/30910/140120221010542292.pdf</t>
        </is>
      </c>
    </row>
    <row r="21">
      <c r="A21" t="inlineStr">
        <is>
          <t>2022-07-19</t>
        </is>
      </c>
      <c r="B21" t="inlineStr">
        <is>
          <t>2022년 12월 결산기 ２분기 결산단신</t>
        </is>
      </c>
      <c r="C21" t="inlineStr">
        <is>
          <t>https://www2.jpx.co.jp/disc/30910/140120220709596840.pdf</t>
        </is>
      </c>
    </row>
    <row r="22">
      <c r="A22" t="inlineStr">
        <is>
          <t>2022-04-15</t>
        </is>
      </c>
      <c r="B22" t="inlineStr">
        <is>
          <t>2022년 12월 결산기 １분기 결산단신</t>
        </is>
      </c>
      <c r="C22" t="inlineStr">
        <is>
          <t>https://www2.jpx.co.jp/disc/30910/140120220411519746.pdf</t>
        </is>
      </c>
    </row>
    <row r="23">
      <c r="A23" t="inlineStr">
        <is>
          <t>2022-01-14</t>
        </is>
      </c>
      <c r="B23" t="inlineStr">
        <is>
          <t>2021년 12월 결산기 연간 결산단신</t>
        </is>
      </c>
      <c r="C23" t="inlineStr">
        <is>
          <t>https://www2.jpx.co.jp/disc/30910/140120220112566268.pdf</t>
        </is>
      </c>
    </row>
    <row r="24">
      <c r="A24" t="inlineStr">
        <is>
          <t>2021-10-15</t>
        </is>
      </c>
      <c r="B24" t="inlineStr">
        <is>
          <t>2021년 12월 결산기 ３분기 결산단신</t>
        </is>
      </c>
      <c r="C24" t="inlineStr">
        <is>
          <t>https://www2.jpx.co.jp/disc/30910/140120211011409074.pdf</t>
        </is>
      </c>
    </row>
    <row r="25">
      <c r="A25" t="inlineStr">
        <is>
          <t>2021-07-15</t>
        </is>
      </c>
      <c r="B25" t="inlineStr">
        <is>
          <t>2021년 12월 결산기 ２분기 결산단신</t>
        </is>
      </c>
      <c r="C25" t="inlineStr">
        <is>
          <t>https://www2.jpx.co.jp/disc/30910/140120210711464661.pdf</t>
        </is>
      </c>
    </row>
    <row r="26">
      <c r="A26" t="inlineStr">
        <is>
          <t>2021-04-15</t>
        </is>
      </c>
      <c r="B26" t="inlineStr">
        <is>
          <t>2021년 12월 결산기 １분기 결산단신</t>
        </is>
      </c>
      <c r="C26" t="inlineStr">
        <is>
          <t>https://www2.jpx.co.jp/disc/30910/140120210407491148.pdf</t>
        </is>
      </c>
    </row>
    <row r="27">
      <c r="A27" t="inlineStr">
        <is>
          <t>2021-01-15</t>
        </is>
      </c>
      <c r="B27" t="inlineStr">
        <is>
          <t>2020년 12월 결산기 연간 결산단신</t>
        </is>
      </c>
      <c r="C27" t="inlineStr">
        <is>
          <t>https://www2.jpx.co.jp/disc/30910/140120210113443598.pdf</t>
        </is>
      </c>
    </row>
    <row r="28">
      <c r="A28" t="inlineStr">
        <is>
          <t>2020-10-15</t>
        </is>
      </c>
      <c r="B28" t="inlineStr">
        <is>
          <t>2020년 12월 결산기 ３분기 결산단신</t>
        </is>
      </c>
      <c r="C28" t="inlineStr">
        <is>
          <t>https://www2.jpx.co.jp/disc/30910/140120201012402560.pdf</t>
        </is>
      </c>
    </row>
    <row r="29">
      <c r="A29" t="inlineStr">
        <is>
          <t>2020-07-15</t>
        </is>
      </c>
      <c r="B29" t="inlineStr">
        <is>
          <t>2020년 12월 결산기 ２분기 결산단신</t>
        </is>
      </c>
      <c r="C29" t="inlineStr">
        <is>
          <t>https://www2.jpx.co.jp/disc/30910/140120200708459595.pdf</t>
        </is>
      </c>
    </row>
    <row r="30">
      <c r="A30" t="inlineStr">
        <is>
          <t>2020-04-15</t>
        </is>
      </c>
      <c r="B30" t="inlineStr">
        <is>
          <t>2020년 12월 결산기 １분기 결산단신</t>
        </is>
      </c>
      <c r="C30" t="inlineStr">
        <is>
          <t>https://www2.jpx.co.jp/disc/30910/140120200410492619.pdf</t>
        </is>
      </c>
    </row>
    <row r="31">
      <c r="A31" t="inlineStr">
        <is>
          <t>2020-01-15</t>
        </is>
      </c>
      <c r="B31" t="inlineStr">
        <is>
          <t>2019년 12월 결산기 연간 결산단신</t>
        </is>
      </c>
      <c r="C31" t="inlineStr">
        <is>
          <t>https://www2.jpx.co.jp/disc/30910/140120200113446086.pdf</t>
        </is>
      </c>
    </row>
    <row r="32">
      <c r="A32" t="inlineStr">
        <is>
          <t>2019-10-15</t>
        </is>
      </c>
      <c r="B32" t="inlineStr">
        <is>
          <t>2019년 12월 결산기 ３분기 결산단신</t>
        </is>
      </c>
      <c r="C32" t="inlineStr">
        <is>
          <t>https://www2.jpx.co.jp/disc/30910/140120191013407735.pdf</t>
        </is>
      </c>
    </row>
    <row r="33">
      <c r="A33" t="inlineStr">
        <is>
          <t>2019-07-16</t>
        </is>
      </c>
      <c r="B33" t="inlineStr">
        <is>
          <t>2019년 12월 결산기 ２분기 결산단신</t>
        </is>
      </c>
      <c r="C33" t="inlineStr">
        <is>
          <t>https://www2.jpx.co.jp/disc/30910/140120190712471168.pdf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2026-10-25T06:58:54Z</dcterms:created>
  <dcterms:modified xmlns:dcterms="http://purl.org/dc/terms/" xmlns:xsi="http://www.w3.org/2001/XMLSchema-instance" xsi:type="dcterms:W3CDTF">2026-10-25T06:58:54Z</dcterms:modified>
</cp:coreProperties>
</file>