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2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0" borderId="0" pivotButton="0" quotePrefix="0" xfId="0"/>
    <xf numFmtId="169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3" fontId="20" fillId="0" borderId="0" applyAlignment="1" pivotButton="0" quotePrefix="0" xfId="0">
      <alignment horizontal="center" vertical="center"/>
    </xf>
    <xf numFmtId="0" fontId="19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11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브롱코빌리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12월 결산 · 일본 기준 · 2026.3Q = 2026년 12월 결산기 3분기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2023.4Q</t>
        </is>
      </c>
      <c r="D3" s="5" t="inlineStr">
        <is>
          <t>2024.1Q</t>
        </is>
      </c>
      <c r="E3" s="5" t="inlineStr">
        <is>
          <t>2024.2Q</t>
        </is>
      </c>
      <c r="F3" s="5" t="inlineStr">
        <is>
          <t>2024.3Q</t>
        </is>
      </c>
      <c r="G3" s="5" t="inlineStr">
        <is>
          <t>2024.4Q</t>
        </is>
      </c>
      <c r="H3" s="5" t="inlineStr">
        <is>
          <t>2025.1Q</t>
        </is>
      </c>
      <c r="I3" s="5" t="inlineStr">
        <is>
          <t>2025.2Q</t>
        </is>
      </c>
      <c r="J3" s="5" t="inlineStr">
        <is>
          <t>2025.3Q</t>
        </is>
      </c>
      <c r="K3" s="5" t="inlineStr">
        <is>
          <t>2025.4Q</t>
        </is>
      </c>
      <c r="L3" s="5" t="inlineStr">
        <is>
          <t>2026.1Q</t>
        </is>
      </c>
      <c r="M3" s="5" t="inlineStr">
        <is>
          <t>2026.2Q</t>
        </is>
      </c>
      <c r="N3" s="5" t="inlineStr">
        <is>
          <t>2026.3Q</t>
        </is>
      </c>
      <c r="O3" s="6" t="inlineStr">
        <is>
          <t>2016</t>
        </is>
      </c>
      <c r="P3" s="5" t="inlineStr">
        <is>
          <t>2017</t>
        </is>
      </c>
      <c r="Q3" s="5" t="inlineStr">
        <is>
          <t>2018</t>
        </is>
      </c>
      <c r="R3" s="5" t="inlineStr">
        <is>
          <t>2019</t>
        </is>
      </c>
      <c r="S3" s="5" t="inlineStr">
        <is>
          <t>2020</t>
        </is>
      </c>
      <c r="T3" s="5" t="inlineStr">
        <is>
          <t>2021</t>
        </is>
      </c>
      <c r="U3" s="5" t="inlineStr">
        <is>
          <t>2022</t>
        </is>
      </c>
      <c r="V3" s="5" t="inlineStr">
        <is>
          <t>2023</t>
        </is>
      </c>
      <c r="W3" s="5" t="inlineStr">
        <is>
          <t>2024</t>
        </is>
      </c>
      <c r="X3" s="5" t="inlineStr">
        <is>
          <t>2025</t>
        </is>
      </c>
      <c r="Y3" s="7" t="inlineStr">
        <is>
          <t>2026(MW)</t>
        </is>
      </c>
      <c r="Z3" s="8" t="inlineStr">
        <is>
          <t>2027(MW)</t>
        </is>
      </c>
      <c r="AA3" s="8" t="inlineStr">
        <is>
          <t>2028(MW)</t>
        </is>
      </c>
      <c r="AB3" s="8" t="inlineStr">
        <is>
          <t>2029(MW)</t>
        </is>
      </c>
      <c r="AC3" s="8" t="inlineStr">
        <is>
          <t>2030(MW)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5852.121</v>
      </c>
      <c r="D4" s="12" t="n">
        <v>6527</v>
      </c>
      <c r="E4" s="12" t="n">
        <v>6157</v>
      </c>
      <c r="F4" s="12" t="n">
        <v>7268</v>
      </c>
      <c r="G4" s="12" t="n">
        <v>6665</v>
      </c>
      <c r="H4" s="12" t="n">
        <v>7284</v>
      </c>
      <c r="I4" s="12" t="n">
        <v>7306</v>
      </c>
      <c r="J4" s="12" t="n">
        <v>7879</v>
      </c>
      <c r="K4" s="12" t="n">
        <v>7750</v>
      </c>
      <c r="L4" s="12" t="n">
        <v>8241</v>
      </c>
      <c r="M4" s="12" t="n">
        <v>8233</v>
      </c>
      <c r="N4" s="12" t="n">
        <v>8877</v>
      </c>
      <c r="O4" s="11" t="n">
        <v>18010.709</v>
      </c>
      <c r="P4" s="12" t="n">
        <v>19765.31</v>
      </c>
      <c r="Q4" s="12" t="n">
        <v>22432.139</v>
      </c>
      <c r="R4" s="12" t="n">
        <v>22324.319</v>
      </c>
      <c r="S4" s="12" t="n">
        <v>17272.89</v>
      </c>
      <c r="T4" s="12" t="n">
        <v>15773.728</v>
      </c>
      <c r="U4" s="12" t="n">
        <v>19508.034</v>
      </c>
      <c r="V4" s="12" t="n">
        <v>23377.65</v>
      </c>
      <c r="W4" s="12" t="n">
        <v>26617</v>
      </c>
      <c r="X4" s="12" t="n">
        <v>30219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1951.839</v>
      </c>
      <c r="D11" s="22" t="n">
        <v>2141</v>
      </c>
      <c r="E11" s="22" t="n">
        <v>2031</v>
      </c>
      <c r="F11" s="22" t="n">
        <v>2334</v>
      </c>
      <c r="G11" s="22" t="n">
        <v>2109</v>
      </c>
      <c r="H11" s="22" t="n">
        <v>2496</v>
      </c>
      <c r="I11" s="22" t="n">
        <v>2395</v>
      </c>
      <c r="J11" s="22" t="n">
        <v>2552</v>
      </c>
      <c r="K11" s="22" t="n">
        <v>2471</v>
      </c>
      <c r="L11" s="22" t="n">
        <v>2666</v>
      </c>
      <c r="M11" s="22" t="n">
        <v>2572</v>
      </c>
      <c r="N11" s="22" t="n">
        <v>2936</v>
      </c>
      <c r="O11" s="21" t="n">
        <v>4858.505</v>
      </c>
      <c r="P11" s="22" t="n">
        <v>5429.467</v>
      </c>
      <c r="Q11" s="22" t="n">
        <v>6124.399</v>
      </c>
      <c r="R11" s="22" t="n">
        <v>6104.751</v>
      </c>
      <c r="S11" s="22" t="n">
        <v>4783.629</v>
      </c>
      <c r="T11" s="22" t="n">
        <v>4795.229</v>
      </c>
      <c r="U11" s="22" t="n">
        <v>6374.998</v>
      </c>
      <c r="V11" s="22" t="n">
        <v>8069.825</v>
      </c>
      <c r="W11" s="22" t="n">
        <v>8615</v>
      </c>
      <c r="X11" s="22" t="n">
        <v>9914</v>
      </c>
      <c r="Y11" s="21" t="n"/>
      <c r="Z11" s="22" t="n"/>
      <c r="AA11" s="22" t="n"/>
      <c r="AB11" s="22" t="n"/>
      <c r="AC11" s="22" t="n"/>
    </row>
    <row r="12">
      <c r="A12" s="15" t="inlineStr">
        <is>
          <t>YoY</t>
        </is>
      </c>
      <c r="B12" s="10" t="n"/>
      <c r="C12" s="16" t="n"/>
      <c r="D12" s="17" t="n"/>
      <c r="E12" s="17" t="n"/>
      <c r="F12" s="17" t="n"/>
      <c r="G12" s="17">
        <f>IF(OR(G11="",C11=""),"",IF(C11&lt;=0,"",IFERROR(G11/C11-1,"")))</f>
        <v/>
      </c>
      <c r="H12" s="17">
        <f>IF(OR(H11="",D11=""),"",IF(D11&lt;=0,"",IFERROR(H11/D11-1,"")))</f>
        <v/>
      </c>
      <c r="I12" s="17">
        <f>IF(OR(I11="",E11=""),"",IF(E11&lt;=0,"",IFERROR(I11/E11-1,"")))</f>
        <v/>
      </c>
      <c r="J12" s="17">
        <f>IF(OR(J11="",F11=""),"",IF(F11&lt;=0,"",IFERROR(J11/F11-1,"")))</f>
        <v/>
      </c>
      <c r="K12" s="17">
        <f>IF(OR(K11="",G11=""),"",IF(G11&lt;=0,"",IFERROR(K11/G11-1,"")))</f>
        <v/>
      </c>
      <c r="L12" s="17">
        <f>IF(OR(L11="",H11=""),"",IF(H11&lt;=0,"",IFERROR(L11/H11-1,"")))</f>
        <v/>
      </c>
      <c r="M12" s="17">
        <f>IF(OR(M11="",I11=""),"",IF(I11&lt;=0,"",IFERROR(M11/I11-1,"")))</f>
        <v/>
      </c>
      <c r="N12" s="17">
        <f>IF(OR(N11="",J11=""),"",IF(J11&lt;=0,"",IFERROR(N11/J11-1,"")))</f>
        <v/>
      </c>
      <c r="O12" s="16" t="n"/>
      <c r="P12" s="17">
        <f>IF(OR(P11="",O11=""),"",IF(O11&lt;=0,"",IFERROR(P11/O11-1,"")))</f>
        <v/>
      </c>
      <c r="Q12" s="17">
        <f>IF(OR(Q11="",P11=""),"",IF(P11&lt;=0,"",IFERROR(Q11/P11-1,"")))</f>
        <v/>
      </c>
      <c r="R12" s="17">
        <f>IF(OR(R11="",Q11=""),"",IF(Q11&lt;=0,"",IFERROR(R11/Q11-1,"")))</f>
        <v/>
      </c>
      <c r="S12" s="17">
        <f>IF(OR(S11="",R11=""),"",IF(R11&lt;=0,"",IFERROR(S11/R11-1,"")))</f>
        <v/>
      </c>
      <c r="T12" s="17">
        <f>IF(OR(T11="",S11=""),"",IF(S11&lt;=0,"",IFERROR(T11/S11-1,"")))</f>
        <v/>
      </c>
      <c r="U12" s="17">
        <f>IF(OR(U11="",T11=""),"",IF(T11&lt;=0,"",IFERROR(U11/T11-1,"")))</f>
        <v/>
      </c>
      <c r="V12" s="17">
        <f>IF(OR(V11="",U11=""),"",IF(U11&lt;=0,"",IFERROR(V11/U11-1,"")))</f>
        <v/>
      </c>
      <c r="W12" s="17">
        <f>IF(OR(W11="",V11=""),"",IF(V11&lt;=0,"",IFERROR(W11/V11-1,"")))</f>
        <v/>
      </c>
      <c r="X12" s="17">
        <f>IF(OR(X11="",W11=""),"",IF(W11&lt;=0,"",IFERROR(X11/W11-1,"")))</f>
        <v/>
      </c>
      <c r="Y12" s="16">
        <f>IF(OR(Y11="",X11=""),"",IF(X11&lt;=0,"",IFERROR(Y11/X11-1,"")))</f>
        <v/>
      </c>
      <c r="Z12" s="17">
        <f>IF(OR(Z11="",Y11=""),"",IF(Y11&lt;=0,"",IFERROR(Z11/Y11-1,"")))</f>
        <v/>
      </c>
      <c r="AA12" s="17">
        <f>IF(OR(AA11="",Z11=""),"",IF(Z11&lt;=0,"",IFERROR(AA11/Z11-1,"")))</f>
        <v/>
      </c>
      <c r="AB12" s="17">
        <f>IF(OR(AB11="",AA11=""),"",IF(AA11&lt;=0,"",IFERROR(AB11/AA11-1,"")))</f>
        <v/>
      </c>
      <c r="AC12" s="17">
        <f>IF(OR(AC11="",AB11=""),"",IF(AB11&lt;=0,"",IFERROR(AC11/AB11-1,"")))</f>
        <v/>
      </c>
    </row>
    <row r="13">
      <c r="A13" s="20" t="inlineStr">
        <is>
          <t>매출총이익</t>
        </is>
      </c>
      <c r="B13" s="10" t="n"/>
      <c r="C13" s="21">
        <f>IF(OR(C4="",C11=""),"",IFERROR(C4-C11,""))</f>
        <v/>
      </c>
      <c r="D13" s="22">
        <f>IF(OR(D4="",D11=""),"",IFERROR(D4-D11,""))</f>
        <v/>
      </c>
      <c r="E13" s="22">
        <f>IF(OR(E4="",E11=""),"",IFERROR(E4-E11,""))</f>
        <v/>
      </c>
      <c r="F13" s="22">
        <f>IF(OR(F4="",F11=""),"",IFERROR(F4-F11,""))</f>
        <v/>
      </c>
      <c r="G13" s="22">
        <f>IF(OR(G4="",G11=""),"",IFERROR(G4-G11,""))</f>
        <v/>
      </c>
      <c r="H13" s="22">
        <f>IF(OR(H4="",H11=""),"",IFERROR(H4-H11,""))</f>
        <v/>
      </c>
      <c r="I13" s="22">
        <f>IF(OR(I4="",I11=""),"",IFERROR(I4-I11,""))</f>
        <v/>
      </c>
      <c r="J13" s="22">
        <f>IF(OR(J4="",J11=""),"",IFERROR(J4-J11,""))</f>
        <v/>
      </c>
      <c r="K13" s="22">
        <f>IF(OR(K4="",K11=""),"",IFERROR(K4-K11,""))</f>
        <v/>
      </c>
      <c r="L13" s="22">
        <f>IF(OR(L4="",L11=""),"",IFERROR(L4-L11,""))</f>
        <v/>
      </c>
      <c r="M13" s="22">
        <f>IF(OR(M4="",M11=""),"",IFERROR(M4-M11,""))</f>
        <v/>
      </c>
      <c r="N13" s="22">
        <f>IF(OR(N4="",N11=""),"",IFERROR(N4-N11,""))</f>
        <v/>
      </c>
      <c r="O13" s="21">
        <f>IF(OR(O4="",O11=""),"",IFERROR(O4-O11,""))</f>
        <v/>
      </c>
      <c r="P13" s="22">
        <f>IF(OR(P4="",P11=""),"",IFERROR(P4-P11,""))</f>
        <v/>
      </c>
      <c r="Q13" s="22">
        <f>IF(OR(Q4="",Q11=""),"",IFERROR(Q4-Q11,""))</f>
        <v/>
      </c>
      <c r="R13" s="22">
        <f>IF(OR(R4="",R11=""),"",IFERROR(R4-R11,""))</f>
        <v/>
      </c>
      <c r="S13" s="22">
        <f>IF(OR(S4="",S11=""),"",IFERROR(S4-S11,""))</f>
        <v/>
      </c>
      <c r="T13" s="22">
        <f>IF(OR(T4="",T11=""),"",IFERROR(T4-T11,""))</f>
        <v/>
      </c>
      <c r="U13" s="22">
        <f>IF(OR(U4="",U11=""),"",IFERROR(U4-U11,""))</f>
        <v/>
      </c>
      <c r="V13" s="22">
        <f>IF(OR(V4="",V11=""),"",IFERROR(V4-V11,""))</f>
        <v/>
      </c>
      <c r="W13" s="22">
        <f>IF(OR(W4="",W11=""),"",IFERROR(W4-W11,""))</f>
        <v/>
      </c>
      <c r="X13" s="22">
        <f>IF(OR(X4="",X11=""),"",IFERROR(X4-X11,""))</f>
        <v/>
      </c>
      <c r="Y13" s="21" t="n"/>
      <c r="Z13" s="22" t="n"/>
      <c r="AA13" s="22" t="n"/>
      <c r="AB13" s="22" t="n"/>
      <c r="AC13" s="22" t="n"/>
    </row>
    <row r="14">
      <c r="A14" s="15" t="inlineStr">
        <is>
          <t>GPM</t>
        </is>
      </c>
      <c r="B14" s="10" t="n"/>
      <c r="C14" s="16">
        <f>IF(OR(C13="",C4=""),"",IFERROR(C13/C4,""))</f>
        <v/>
      </c>
      <c r="D14" s="17">
        <f>IF(OR(D13="",D4=""),"",IFERROR(D13/D4,""))</f>
        <v/>
      </c>
      <c r="E14" s="17">
        <f>IF(OR(E13="",E4=""),"",IFERROR(E13/E4,""))</f>
        <v/>
      </c>
      <c r="F14" s="17">
        <f>IF(OR(F13="",F4=""),"",IFERROR(F13/F4,""))</f>
        <v/>
      </c>
      <c r="G14" s="17">
        <f>IF(OR(G13="",G4=""),"",IFERROR(G13/G4,""))</f>
        <v/>
      </c>
      <c r="H14" s="17">
        <f>IF(OR(H13="",H4=""),"",IFERROR(H13/H4,""))</f>
        <v/>
      </c>
      <c r="I14" s="17">
        <f>IF(OR(I13="",I4=""),"",IFERROR(I13/I4,""))</f>
        <v/>
      </c>
      <c r="J14" s="17">
        <f>IF(OR(J13="",J4=""),"",IFERROR(J13/J4,""))</f>
        <v/>
      </c>
      <c r="K14" s="17">
        <f>IF(OR(K13="",K4=""),"",IFERROR(K13/K4,""))</f>
        <v/>
      </c>
      <c r="L14" s="17">
        <f>IF(OR(L13="",L4=""),"",IFERROR(L13/L4,""))</f>
        <v/>
      </c>
      <c r="M14" s="17">
        <f>IF(OR(M13="",M4=""),"",IFERROR(M13/M4,""))</f>
        <v/>
      </c>
      <c r="N14" s="17">
        <f>IF(OR(N13="",N4=""),"",IFERROR(N13/N4,""))</f>
        <v/>
      </c>
      <c r="O14" s="16">
        <f>IF(OR(O13="",O4=""),"",IFERROR(O13/O4,""))</f>
        <v/>
      </c>
      <c r="P14" s="17">
        <f>IF(OR(P13="",P4=""),"",IFERROR(P13/P4,""))</f>
        <v/>
      </c>
      <c r="Q14" s="17">
        <f>IF(OR(Q13="",Q4=""),"",IFERROR(Q13/Q4,""))</f>
        <v/>
      </c>
      <c r="R14" s="17">
        <f>IF(OR(R13="",R4=""),"",IFERROR(R13/R4,""))</f>
        <v/>
      </c>
      <c r="S14" s="17">
        <f>IF(OR(S13="",S4=""),"",IFERROR(S13/S4,""))</f>
        <v/>
      </c>
      <c r="T14" s="17">
        <f>IF(OR(T13="",T4=""),"",IFERROR(T13/T4,""))</f>
        <v/>
      </c>
      <c r="U14" s="17">
        <f>IF(OR(U13="",U4=""),"",IFERROR(U13/U4,""))</f>
        <v/>
      </c>
      <c r="V14" s="17">
        <f>IF(OR(V13="",V4=""),"",IFERROR(V13/V4,""))</f>
        <v/>
      </c>
      <c r="W14" s="17">
        <f>IF(OR(W13="",W4=""),"",IFERROR(W13/W4,""))</f>
        <v/>
      </c>
      <c r="X14" s="17">
        <f>IF(OR(X13="",X4=""),"",IFERROR(X13/X4,""))</f>
        <v/>
      </c>
      <c r="Y14" s="16">
        <f>IF(OR(Y13="",Y4=""),"",IFERROR(Y13/Y4,""))</f>
        <v/>
      </c>
      <c r="Z14" s="17">
        <f>IF(OR(Z13="",Z4=""),"",IFERROR(Z13/Z4,""))</f>
        <v/>
      </c>
      <c r="AA14" s="17">
        <f>IF(OR(AA13="",AA4=""),"",IFERROR(AA13/AA4,""))</f>
        <v/>
      </c>
      <c r="AB14" s="17">
        <f>IF(OR(AB13="",AB4=""),"",IFERROR(AB13/AB4,""))</f>
        <v/>
      </c>
      <c r="AC14" s="17">
        <f>IF(OR(AC13="",AC4=""),"",IFERROR(AC13/AC4,""))</f>
        <v/>
      </c>
    </row>
    <row r="15">
      <c r="A15" s="15" t="inlineStr">
        <is>
          <t>YoY</t>
        </is>
      </c>
      <c r="B15" s="10" t="n"/>
      <c r="C15" s="16" t="n"/>
      <c r="D15" s="17" t="n"/>
      <c r="E15" s="17" t="n"/>
      <c r="F15" s="17" t="n"/>
      <c r="G15" s="17">
        <f>IF(OR(G13="",C13=""),"",IF(C13&lt;=0,"",IFERROR(G13/C13-1,"")))</f>
        <v/>
      </c>
      <c r="H15" s="17">
        <f>IF(OR(H13="",D13=""),"",IF(D13&lt;=0,"",IFERROR(H13/D13-1,"")))</f>
        <v/>
      </c>
      <c r="I15" s="17">
        <f>IF(OR(I13="",E13=""),"",IF(E13&lt;=0,"",IFERROR(I13/E13-1,"")))</f>
        <v/>
      </c>
      <c r="J15" s="17">
        <f>IF(OR(J13="",F13=""),"",IF(F13&lt;=0,"",IFERROR(J13/F13-1,"")))</f>
        <v/>
      </c>
      <c r="K15" s="17">
        <f>IF(OR(K13="",G13=""),"",IF(G13&lt;=0,"",IFERROR(K13/G13-1,"")))</f>
        <v/>
      </c>
      <c r="L15" s="17">
        <f>IF(OR(L13="",H13=""),"",IF(H13&lt;=0,"",IFERROR(L13/H13-1,"")))</f>
        <v/>
      </c>
      <c r="M15" s="17">
        <f>IF(OR(M13="",I13=""),"",IF(I13&lt;=0,"",IFERROR(M13/I13-1,"")))</f>
        <v/>
      </c>
      <c r="N15" s="17">
        <f>IF(OR(N13="",J13=""),"",IF(J13&lt;=0,"",IFERROR(N13/J13-1,"")))</f>
        <v/>
      </c>
      <c r="O15" s="16" t="n"/>
      <c r="P15" s="17">
        <f>IF(OR(P13="",O13=""),"",IF(O13&lt;=0,"",IFERROR(P13/O13-1,"")))</f>
        <v/>
      </c>
      <c r="Q15" s="17">
        <f>IF(OR(Q13="",P13=""),"",IF(P13&lt;=0,"",IFERROR(Q13/P13-1,"")))</f>
        <v/>
      </c>
      <c r="R15" s="17">
        <f>IF(OR(R13="",Q13=""),"",IF(Q13&lt;=0,"",IFERROR(R13/Q13-1,"")))</f>
        <v/>
      </c>
      <c r="S15" s="17">
        <f>IF(OR(S13="",R13=""),"",IF(R13&lt;=0,"",IFERROR(S13/R13-1,"")))</f>
        <v/>
      </c>
      <c r="T15" s="17">
        <f>IF(OR(T13="",S13=""),"",IF(S13&lt;=0,"",IFERROR(T13/S13-1,"")))</f>
        <v/>
      </c>
      <c r="U15" s="17">
        <f>IF(OR(U13="",T13=""),"",IF(T13&lt;=0,"",IFERROR(U13/T13-1,"")))</f>
        <v/>
      </c>
      <c r="V15" s="17">
        <f>IF(OR(V13="",U13=""),"",IF(U13&lt;=0,"",IFERROR(V13/U13-1,"")))</f>
        <v/>
      </c>
      <c r="W15" s="17">
        <f>IF(OR(W13="",V13=""),"",IF(V13&lt;=0,"",IFERROR(W13/V13-1,"")))</f>
        <v/>
      </c>
      <c r="X15" s="17">
        <f>IF(OR(X13="",W13=""),"",IF(W13&lt;=0,"",IFERROR(X13/W13-1,"")))</f>
        <v/>
      </c>
      <c r="Y15" s="16">
        <f>IF(OR(Y13="",X13=""),"",IF(X13&lt;=0,"",IFERROR(Y13/X13-1,"")))</f>
        <v/>
      </c>
      <c r="Z15" s="17">
        <f>IF(OR(Z13="",Y13=""),"",IF(Y13&lt;=0,"",IFERROR(Z13/Y13-1,"")))</f>
        <v/>
      </c>
      <c r="AA15" s="17">
        <f>IF(OR(AA13="",Z13=""),"",IF(Z13&lt;=0,"",IFERROR(AA13/Z13-1,"")))</f>
        <v/>
      </c>
      <c r="AB15" s="17">
        <f>IF(OR(AB13="",AA13=""),"",IF(AA13&lt;=0,"",IFERROR(AB13/AA13-1,"")))</f>
        <v/>
      </c>
      <c r="AC15" s="17">
        <f>IF(OR(AC13="",AB13=""),"",IF(AB13&lt;=0,"",IFERROR(AC13/AB13-1,"")))</f>
        <v/>
      </c>
    </row>
    <row r="16">
      <c r="A16" s="25" t="inlineStr">
        <is>
          <t>판매관리비</t>
        </is>
      </c>
      <c r="B16" s="25" t="n"/>
      <c r="C16" s="26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6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6" t="n"/>
      <c r="Z16" s="25" t="n"/>
      <c r="AA16" s="25" t="n"/>
      <c r="AB16" s="25" t="n"/>
      <c r="AC16" s="25" t="n"/>
    </row>
    <row r="17">
      <c r="A17" s="20" t="inlineStr">
        <is>
          <t>전체 판관비</t>
        </is>
      </c>
      <c r="B17" s="10" t="n"/>
      <c r="C17" s="21" t="n">
        <v>3446.758</v>
      </c>
      <c r="D17" s="22" t="n">
        <v>3607</v>
      </c>
      <c r="E17" s="22" t="n">
        <v>3683</v>
      </c>
      <c r="F17" s="22" t="n">
        <v>4141</v>
      </c>
      <c r="G17" s="22" t="n">
        <v>4039</v>
      </c>
      <c r="H17" s="22" t="n">
        <v>4255</v>
      </c>
      <c r="I17" s="22" t="n">
        <v>4219</v>
      </c>
      <c r="J17" s="22" t="n">
        <v>4493</v>
      </c>
      <c r="K17" s="22" t="n">
        <v>4407</v>
      </c>
      <c r="L17" s="22" t="n">
        <v>4544</v>
      </c>
      <c r="M17" s="22" t="n">
        <v>4763</v>
      </c>
      <c r="N17" s="22" t="n">
        <v>4815</v>
      </c>
      <c r="O17" s="21" t="n">
        <v>10397.349</v>
      </c>
      <c r="P17" s="22" t="n">
        <v>11889.524</v>
      </c>
      <c r="Q17" s="22" t="n">
        <v>13710.602</v>
      </c>
      <c r="R17" s="22" t="n">
        <v>13824.421</v>
      </c>
      <c r="S17" s="22" t="n">
        <v>12326.986</v>
      </c>
      <c r="T17" s="22" t="n">
        <v>11026.879</v>
      </c>
      <c r="U17" s="22" t="n">
        <v>12386.796</v>
      </c>
      <c r="V17" s="22" t="n">
        <v>13663.56</v>
      </c>
      <c r="W17" s="22" t="n">
        <v>15470</v>
      </c>
      <c r="X17" s="22" t="n">
        <v>17374</v>
      </c>
      <c r="Y17" s="21" t="n"/>
      <c r="Z17" s="22" t="n"/>
      <c r="AA17" s="22" t="n"/>
      <c r="AB17" s="22" t="n"/>
      <c r="AC17" s="22" t="n"/>
    </row>
    <row r="18">
      <c r="A18" s="15" t="inlineStr">
        <is>
          <t>YoY</t>
        </is>
      </c>
      <c r="B18" s="10" t="n"/>
      <c r="C18" s="16" t="n"/>
      <c r="D18" s="17" t="n"/>
      <c r="E18" s="17" t="n"/>
      <c r="F18" s="17" t="n"/>
      <c r="G18" s="17">
        <f>IF(OR(G17="",C17=""),"",IF(C17&lt;=0,"",IFERROR(G17/C17-1,"")))</f>
        <v/>
      </c>
      <c r="H18" s="17">
        <f>IF(OR(H17="",D17=""),"",IF(D17&lt;=0,"",IFERROR(H17/D17-1,"")))</f>
        <v/>
      </c>
      <c r="I18" s="17">
        <f>IF(OR(I17="",E17=""),"",IF(E17&lt;=0,"",IFERROR(I17/E17-1,"")))</f>
        <v/>
      </c>
      <c r="J18" s="17">
        <f>IF(OR(J17="",F17=""),"",IF(F17&lt;=0,"",IFERROR(J17/F17-1,"")))</f>
        <v/>
      </c>
      <c r="K18" s="17">
        <f>IF(OR(K17="",G17=""),"",IF(G17&lt;=0,"",IFERROR(K17/G17-1,"")))</f>
        <v/>
      </c>
      <c r="L18" s="17">
        <f>IF(OR(L17="",H17=""),"",IF(H17&lt;=0,"",IFERROR(L17/H17-1,"")))</f>
        <v/>
      </c>
      <c r="M18" s="17">
        <f>IF(OR(M17="",I17=""),"",IF(I17&lt;=0,"",IFERROR(M17/I17-1,"")))</f>
        <v/>
      </c>
      <c r="N18" s="17">
        <f>IF(OR(N17="",J17=""),"",IF(J17&lt;=0,"",IFERROR(N17/J17-1,"")))</f>
        <v/>
      </c>
      <c r="O18" s="16" t="n"/>
      <c r="P18" s="17">
        <f>IF(OR(P17="",O17=""),"",IF(O17&lt;=0,"",IFERROR(P17/O17-1,"")))</f>
        <v/>
      </c>
      <c r="Q18" s="17">
        <f>IF(OR(Q17="",P17=""),"",IF(P17&lt;=0,"",IFERROR(Q17/P17-1,"")))</f>
        <v/>
      </c>
      <c r="R18" s="17">
        <f>IF(OR(R17="",Q17=""),"",IF(Q17&lt;=0,"",IFERROR(R17/Q17-1,"")))</f>
        <v/>
      </c>
      <c r="S18" s="17">
        <f>IF(OR(S17="",R17=""),"",IF(R17&lt;=0,"",IFERROR(S17/R17-1,"")))</f>
        <v/>
      </c>
      <c r="T18" s="17">
        <f>IF(OR(T17="",S17=""),"",IF(S17&lt;=0,"",IFERROR(T17/S17-1,"")))</f>
        <v/>
      </c>
      <c r="U18" s="17">
        <f>IF(OR(U17="",T17=""),"",IF(T17&lt;=0,"",IFERROR(U17/T17-1,"")))</f>
        <v/>
      </c>
      <c r="V18" s="17">
        <f>IF(OR(V17="",U17=""),"",IF(U17&lt;=0,"",IFERROR(V17/U17-1,"")))</f>
        <v/>
      </c>
      <c r="W18" s="17">
        <f>IF(OR(W17="",V17=""),"",IF(V17&lt;=0,"",IFERROR(W17/V17-1,"")))</f>
        <v/>
      </c>
      <c r="X18" s="17">
        <f>IF(OR(X17="",W17=""),"",IF(W17&lt;=0,"",IFERROR(X17/W17-1,"")))</f>
        <v/>
      </c>
      <c r="Y18" s="16">
        <f>IF(OR(Y17="",X17=""),"",IF(X17&lt;=0,"",IFERROR(Y17/X17-1,"")))</f>
        <v/>
      </c>
      <c r="Z18" s="17">
        <f>IF(OR(Z17="",Y17=""),"",IF(Y17&lt;=0,"",IFERROR(Z17/Y17-1,"")))</f>
        <v/>
      </c>
      <c r="AA18" s="17">
        <f>IF(OR(AA17="",Z17=""),"",IF(Z17&lt;=0,"",IFERROR(AA17/Z17-1,"")))</f>
        <v/>
      </c>
      <c r="AB18" s="17">
        <f>IF(OR(AB17="",AA17=""),"",IF(AA17&lt;=0,"",IFERROR(AB17/AA17-1,"")))</f>
        <v/>
      </c>
      <c r="AC18" s="17">
        <f>IF(OR(AC17="",AB17=""),"",IF(AB17&lt;=0,"",IFERROR(AC17/AB17-1,"")))</f>
        <v/>
      </c>
    </row>
    <row r="19">
      <c r="A19" s="9" t="inlineStr">
        <is>
          <t>영업이익</t>
        </is>
      </c>
      <c r="B19" s="10" t="inlineStr">
        <is>
          <t>MW = 매출 × OPM</t>
        </is>
      </c>
      <c r="C19" s="11" t="n">
        <v>453.524</v>
      </c>
      <c r="D19" s="12" t="n">
        <v>777</v>
      </c>
      <c r="E19" s="12" t="n">
        <v>444</v>
      </c>
      <c r="F19" s="12" t="n">
        <v>794</v>
      </c>
      <c r="G19" s="12" t="n">
        <v>516</v>
      </c>
      <c r="H19" s="12" t="n">
        <v>532</v>
      </c>
      <c r="I19" s="12" t="n">
        <v>692</v>
      </c>
      <c r="J19" s="12" t="n">
        <v>834</v>
      </c>
      <c r="K19" s="12" t="n">
        <v>872</v>
      </c>
      <c r="L19" s="12" t="n">
        <v>1031</v>
      </c>
      <c r="M19" s="12" t="n">
        <v>898</v>
      </c>
      <c r="N19" s="12" t="n">
        <v>1125</v>
      </c>
      <c r="O19" s="11" t="n">
        <v>2754.854</v>
      </c>
      <c r="P19" s="12" t="n">
        <v>2446.318</v>
      </c>
      <c r="Q19" s="12" t="n">
        <v>2597.137</v>
      </c>
      <c r="R19" s="12" t="n">
        <v>2395.147</v>
      </c>
      <c r="S19" s="12" t="n">
        <v>162.274</v>
      </c>
      <c r="T19" s="12" t="n">
        <v>-48.379</v>
      </c>
      <c r="U19" s="12" t="n">
        <v>746.239</v>
      </c>
      <c r="V19" s="12" t="n">
        <v>1644.264</v>
      </c>
      <c r="W19" s="12" t="n">
        <v>2531</v>
      </c>
      <c r="X19" s="12" t="n">
        <v>2930</v>
      </c>
      <c r="Y19" s="11">
        <f>IF(OR(Y4="",Y20=""),"",IFERROR(Y4*Y20,""))</f>
        <v/>
      </c>
      <c r="Z19" s="12">
        <f>IF(OR(Z4="",Z20=""),"",IFERROR(Z4*Z20,""))</f>
        <v/>
      </c>
      <c r="AA19" s="12">
        <f>IF(OR(AA4="",AA20=""),"",IFERROR(AA4*AA20,""))</f>
        <v/>
      </c>
      <c r="AB19" s="12">
        <f>IF(OR(AB4="",AB20=""),"",IFERROR(AB4*AB20,""))</f>
        <v/>
      </c>
      <c r="AC19" s="12">
        <f>IF(OR(AC4="",AC20=""),"",IFERROR(AC4*AC20,""))</f>
        <v/>
      </c>
    </row>
    <row r="20">
      <c r="A20" s="15" t="inlineStr">
        <is>
          <t>OPM</t>
        </is>
      </c>
      <c r="B20" s="10" t="inlineStr">
        <is>
          <t>MW 입력</t>
        </is>
      </c>
      <c r="C20" s="16">
        <f>IF(OR(C19="",C4=""),"",IFERROR(C19/C4,""))</f>
        <v/>
      </c>
      <c r="D20" s="17">
        <f>IF(OR(D19="",D4=""),"",IFERROR(D19/D4,""))</f>
        <v/>
      </c>
      <c r="E20" s="17">
        <f>IF(OR(E19="",E4=""),"",IFERROR(E19/E4,""))</f>
        <v/>
      </c>
      <c r="F20" s="17">
        <f>IF(OR(F19="",F4=""),"",IFERROR(F19/F4,""))</f>
        <v/>
      </c>
      <c r="G20" s="17">
        <f>IF(OR(G19="",G4=""),"",IFERROR(G19/G4,""))</f>
        <v/>
      </c>
      <c r="H20" s="17">
        <f>IF(OR(H19="",H4=""),"",IFERROR(H19/H4,""))</f>
        <v/>
      </c>
      <c r="I20" s="17">
        <f>IF(OR(I19="",I4=""),"",IFERROR(I19/I4,""))</f>
        <v/>
      </c>
      <c r="J20" s="17">
        <f>IF(OR(J19="",J4=""),"",IFERROR(J19/J4,""))</f>
        <v/>
      </c>
      <c r="K20" s="17">
        <f>IF(OR(K19="",K4=""),"",IFERROR(K19/K4,""))</f>
        <v/>
      </c>
      <c r="L20" s="17">
        <f>IF(OR(L19="",L4=""),"",IFERROR(L19/L4,""))</f>
        <v/>
      </c>
      <c r="M20" s="17">
        <f>IF(OR(M19="",M4=""),"",IFERROR(M19/M4,""))</f>
        <v/>
      </c>
      <c r="N20" s="17">
        <f>IF(OR(N19="",N4=""),"",IFERROR(N19/N4,""))</f>
        <v/>
      </c>
      <c r="O20" s="16">
        <f>IF(OR(O19="",O4=""),"",IFERROR(O19/O4,""))</f>
        <v/>
      </c>
      <c r="P20" s="17">
        <f>IF(OR(P19="",P4=""),"",IFERROR(P19/P4,""))</f>
        <v/>
      </c>
      <c r="Q20" s="17">
        <f>IF(OR(Q19="",Q4=""),"",IFERROR(Q19/Q4,""))</f>
        <v/>
      </c>
      <c r="R20" s="17">
        <f>IF(OR(R19="",R4=""),"",IFERROR(R19/R4,""))</f>
        <v/>
      </c>
      <c r="S20" s="17">
        <f>IF(OR(S19="",S4=""),"",IFERROR(S19/S4,""))</f>
        <v/>
      </c>
      <c r="T20" s="17">
        <f>IF(OR(T19="",T4=""),"",IFERROR(T19/T4,""))</f>
        <v/>
      </c>
      <c r="U20" s="17">
        <f>IF(OR(U19="",U4=""),"",IFERROR(U19/U4,""))</f>
        <v/>
      </c>
      <c r="V20" s="17">
        <f>IF(OR(V19="",V4=""),"",IFERROR(V19/V4,""))</f>
        <v/>
      </c>
      <c r="W20" s="17">
        <f>IF(OR(W19="",W4=""),"",IFERROR(W19/W4,""))</f>
        <v/>
      </c>
      <c r="X20" s="17">
        <f>IF(OR(X19="",X4=""),"",IFERROR(X19/X4,""))</f>
        <v/>
      </c>
      <c r="Y20" s="27" t="n"/>
      <c r="Z20" s="28" t="n"/>
      <c r="AA20" s="28" t="n"/>
      <c r="AB20" s="28" t="n"/>
      <c r="AC20" s="28" t="n"/>
    </row>
    <row r="21">
      <c r="A21" s="15" t="inlineStr">
        <is>
          <t>증가율</t>
        </is>
      </c>
      <c r="B21" s="10" t="n"/>
      <c r="C21" s="16" t="n"/>
      <c r="D21" s="17" t="n"/>
      <c r="E21" s="17" t="n"/>
      <c r="F21" s="17" t="n"/>
      <c r="G21" s="17">
        <f>IF(OR(G19="",C19=""),"",IFERROR(G19/C19-1,""))</f>
        <v/>
      </c>
      <c r="H21" s="17">
        <f>IF(OR(H19="",D19=""),"",IFERROR(H19/D19-1,""))</f>
        <v/>
      </c>
      <c r="I21" s="17">
        <f>IF(OR(I19="",E19=""),"",IFERROR(I19/E19-1,""))</f>
        <v/>
      </c>
      <c r="J21" s="17">
        <f>IF(OR(J19="",F19=""),"",IFERROR(J19/F19-1,""))</f>
        <v/>
      </c>
      <c r="K21" s="17">
        <f>IF(OR(K19="",G19=""),"",IFERROR(K19/G19-1,""))</f>
        <v/>
      </c>
      <c r="L21" s="17">
        <f>IF(OR(L19="",H19=""),"",IFERROR(L19/H19-1,""))</f>
        <v/>
      </c>
      <c r="M21" s="17">
        <f>IF(OR(M19="",I19=""),"",IFERROR(M19/I19-1,""))</f>
        <v/>
      </c>
      <c r="N21" s="17">
        <f>IF(OR(N19="",J19=""),"",IFERROR(N19/J19-1,""))</f>
        <v/>
      </c>
      <c r="O21" s="16" t="n"/>
      <c r="P21" s="17">
        <f>IF(OR(P19="",O19=""),"",IFERROR(P19/O19-1,""))</f>
        <v/>
      </c>
      <c r="Q21" s="17">
        <f>IF(OR(Q19="",P19=""),"",IFERROR(Q19/P19-1,""))</f>
        <v/>
      </c>
      <c r="R21" s="17">
        <f>IF(OR(R19="",Q19=""),"",IFERROR(R19/Q19-1,""))</f>
        <v/>
      </c>
      <c r="S21" s="17">
        <f>IF(OR(S19="",R19=""),"",IFERROR(S19/R19-1,""))</f>
        <v/>
      </c>
      <c r="T21" s="17">
        <f>IF(OR(T19="",S19=""),"",IFERROR(T19/S19-1,""))</f>
        <v/>
      </c>
      <c r="U21" s="17">
        <f>IF(OR(U19="",T19=""),"",IFERROR(U19/T19-1,""))</f>
        <v/>
      </c>
      <c r="V21" s="17">
        <f>IF(OR(V19="",U19=""),"",IFERROR(V19/U19-1,""))</f>
        <v/>
      </c>
      <c r="W21" s="17">
        <f>IF(OR(W19="",V19=""),"",IFERROR(W19/V19-1,""))</f>
        <v/>
      </c>
      <c r="X21" s="17">
        <f>IF(OR(X19="",W19=""),"",IFERROR(X19/W19-1,""))</f>
        <v/>
      </c>
      <c r="Y21" s="16">
        <f>IF(OR(Y19="",X19=""),"",IFERROR(Y19/X19-1,""))</f>
        <v/>
      </c>
      <c r="Z21" s="17">
        <f>IF(OR(Z19="",Y19=""),"",IFERROR(Z19/Y19-1,""))</f>
        <v/>
      </c>
      <c r="AA21" s="17">
        <f>IF(OR(AA19="",Z19=""),"",IFERROR(AA19/Z19-1,""))</f>
        <v/>
      </c>
      <c r="AB21" s="17">
        <f>IF(OR(AB19="",AA19=""),"",IFERROR(AB19/AA19-1,""))</f>
        <v/>
      </c>
      <c r="AC21" s="17">
        <f>IF(OR(AC19="",AB19=""),"",IFERROR(AC19/AB19-1,""))</f>
        <v/>
      </c>
    </row>
    <row r="22">
      <c r="A22" s="18" t="inlineStr">
        <is>
          <t>비용의 성격별 분류</t>
        </is>
      </c>
      <c r="B22" s="18" t="inlineStr">
        <is>
          <t>참고 데이터</t>
        </is>
      </c>
      <c r="C22" s="19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9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9" t="n"/>
      <c r="Z22" s="18" t="n"/>
      <c r="AA22" s="18" t="n"/>
      <c r="AB22" s="18" t="n"/>
      <c r="AC22" s="18" t="n"/>
    </row>
    <row r="23">
      <c r="A23" s="9" t="inlineStr">
        <is>
          <t>총 판관비</t>
        </is>
      </c>
      <c r="B23" s="10" t="n"/>
      <c r="C23" s="11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1">
        <f>IF(O17="","",O17)</f>
        <v/>
      </c>
      <c r="P23" s="12">
        <f>IF(P17="","",P17)</f>
        <v/>
      </c>
      <c r="Q23" s="12">
        <f>IF(Q17="","",Q17)</f>
        <v/>
      </c>
      <c r="R23" s="12">
        <f>IF(R17="","",R17)</f>
        <v/>
      </c>
      <c r="S23" s="12">
        <f>IF(S17="","",S17)</f>
        <v/>
      </c>
      <c r="T23" s="12">
        <f>IF(T17="","",T17)</f>
        <v/>
      </c>
      <c r="U23" s="12">
        <f>IF(U17="","",U17)</f>
        <v/>
      </c>
      <c r="V23" s="12">
        <f>IF(V17="","",V17)</f>
        <v/>
      </c>
      <c r="W23" s="12">
        <f>IF(W17="","",W17)</f>
        <v/>
      </c>
      <c r="X23" s="12">
        <f>IF(X17="","",X17)</f>
        <v/>
      </c>
      <c r="Y23" s="11" t="n"/>
      <c r="Z23" s="12" t="n"/>
      <c r="AA23" s="12" t="n"/>
      <c r="AB23" s="12" t="n"/>
      <c r="AC23" s="12" t="n"/>
    </row>
    <row r="24">
      <c r="A24" s="20" t="inlineStr">
        <is>
          <t>급여</t>
        </is>
      </c>
      <c r="B24" s="10" t="inlineStr">
        <is>
          <t>고정비</t>
        </is>
      </c>
      <c r="C24" s="21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1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1" t="n"/>
      <c r="Z24" s="22" t="n"/>
      <c r="AA24" s="22" t="n"/>
      <c r="AB24" s="22" t="n"/>
      <c r="AC24" s="22" t="n"/>
    </row>
    <row r="25">
      <c r="A25" s="15" t="inlineStr">
        <is>
          <t>% of Sales</t>
        </is>
      </c>
      <c r="B25" s="10" t="n"/>
      <c r="C25" s="16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6">
        <f>IF(OR(O24="",O4=""),"",IFERROR(O24/O4,""))</f>
        <v/>
      </c>
      <c r="P25" s="17">
        <f>IF(OR(P24="",P4=""),"",IFERROR(P24/P4,""))</f>
        <v/>
      </c>
      <c r="Q25" s="17">
        <f>IF(OR(Q24="",Q4=""),"",IFERROR(Q24/Q4,""))</f>
        <v/>
      </c>
      <c r="R25" s="17">
        <f>IF(OR(R24="",R4=""),"",IFERROR(R24/R4,""))</f>
        <v/>
      </c>
      <c r="S25" s="17">
        <f>IF(OR(S24="",S4=""),"",IFERROR(S24/S4,""))</f>
        <v/>
      </c>
      <c r="T25" s="17">
        <f>IF(OR(T24="",T4=""),"",IFERROR(T24/T4,""))</f>
        <v/>
      </c>
      <c r="U25" s="17">
        <f>IF(OR(U24="",U4=""),"",IFERROR(U24/U4,""))</f>
        <v/>
      </c>
      <c r="V25" s="17">
        <f>IF(OR(V24="",V4=""),"",IFERROR(V24/V4,""))</f>
        <v/>
      </c>
      <c r="W25" s="17">
        <f>IF(OR(W24="",W4=""),"",IFERROR(W24/W4,""))</f>
        <v/>
      </c>
      <c r="X25" s="17">
        <f>IF(OR(X24="",X4=""),"",IFERROR(X24/X4,""))</f>
        <v/>
      </c>
      <c r="Y25" s="16" t="n"/>
      <c r="Z25" s="17" t="n"/>
      <c r="AA25" s="17" t="n"/>
      <c r="AB25" s="17" t="n"/>
      <c r="AC25" s="17" t="n"/>
    </row>
    <row r="26">
      <c r="A26" s="20" t="inlineStr">
        <is>
          <t>감가상각비</t>
        </is>
      </c>
      <c r="B26" s="10" t="inlineStr">
        <is>
          <t>고정비</t>
        </is>
      </c>
      <c r="C26" s="21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1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1" t="n"/>
      <c r="Z26" s="22" t="n"/>
      <c r="AA26" s="22" t="n"/>
      <c r="AB26" s="22" t="n"/>
      <c r="AC26" s="22" t="n"/>
    </row>
    <row r="27">
      <c r="A27" s="15" t="inlineStr">
        <is>
          <t>% of Sales</t>
        </is>
      </c>
      <c r="B27" s="10" t="n"/>
      <c r="C27" s="16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6">
        <f>IF(OR(O26="",O4=""),"",IFERROR(O26/O4,""))</f>
        <v/>
      </c>
      <c r="P27" s="17">
        <f>IF(OR(P26="",P4=""),"",IFERROR(P26/P4,""))</f>
        <v/>
      </c>
      <c r="Q27" s="17">
        <f>IF(OR(Q26="",Q4=""),"",IFERROR(Q26/Q4,""))</f>
        <v/>
      </c>
      <c r="R27" s="17">
        <f>IF(OR(R26="",R4=""),"",IFERROR(R26/R4,""))</f>
        <v/>
      </c>
      <c r="S27" s="17">
        <f>IF(OR(S26="",S4=""),"",IFERROR(S26/S4,""))</f>
        <v/>
      </c>
      <c r="T27" s="17">
        <f>IF(OR(T26="",T4=""),"",IFERROR(T26/T4,""))</f>
        <v/>
      </c>
      <c r="U27" s="17">
        <f>IF(OR(U26="",U4=""),"",IFERROR(U26/U4,""))</f>
        <v/>
      </c>
      <c r="V27" s="17">
        <f>IF(OR(V26="",V4=""),"",IFERROR(V26/V4,""))</f>
        <v/>
      </c>
      <c r="W27" s="17">
        <f>IF(OR(W26="",W4=""),"",IFERROR(W26/W4,""))</f>
        <v/>
      </c>
      <c r="X27" s="17">
        <f>IF(OR(X26="",X4=""),"",IFERROR(X26/X4,""))</f>
        <v/>
      </c>
      <c r="Y27" s="16" t="n"/>
      <c r="Z27" s="17" t="n"/>
      <c r="AA27" s="17" t="n"/>
      <c r="AB27" s="17" t="n"/>
      <c r="AC27" s="17" t="n"/>
    </row>
    <row r="28">
      <c r="A28" s="20" t="inlineStr">
        <is>
          <t>지급수수료</t>
        </is>
      </c>
      <c r="B28" s="10" t="inlineStr">
        <is>
          <t>고정비</t>
        </is>
      </c>
      <c r="C28" s="21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1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1" t="n"/>
      <c r="Z28" s="22" t="n"/>
      <c r="AA28" s="22" t="n"/>
      <c r="AB28" s="22" t="n"/>
      <c r="AC28" s="22" t="n"/>
    </row>
    <row r="29">
      <c r="A29" s="15" t="inlineStr">
        <is>
          <t>% of Sales</t>
        </is>
      </c>
      <c r="B29" s="10" t="n"/>
      <c r="C29" s="16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6">
        <f>IF(OR(O28="",O4=""),"",IFERROR(O28/O4,""))</f>
        <v/>
      </c>
      <c r="P29" s="17">
        <f>IF(OR(P28="",P4=""),"",IFERROR(P28/P4,""))</f>
        <v/>
      </c>
      <c r="Q29" s="17">
        <f>IF(OR(Q28="",Q4=""),"",IFERROR(Q28/Q4,""))</f>
        <v/>
      </c>
      <c r="R29" s="17">
        <f>IF(OR(R28="",R4=""),"",IFERROR(R28/R4,""))</f>
        <v/>
      </c>
      <c r="S29" s="17">
        <f>IF(OR(S28="",S4=""),"",IFERROR(S28/S4,""))</f>
        <v/>
      </c>
      <c r="T29" s="17">
        <f>IF(OR(T28="",T4=""),"",IFERROR(T28/T4,""))</f>
        <v/>
      </c>
      <c r="U29" s="17">
        <f>IF(OR(U28="",U4=""),"",IFERROR(U28/U4,""))</f>
        <v/>
      </c>
      <c r="V29" s="17">
        <f>IF(OR(V28="",V4=""),"",IFERROR(V28/V4,""))</f>
        <v/>
      </c>
      <c r="W29" s="17">
        <f>IF(OR(W28="",W4=""),"",IFERROR(W28/W4,""))</f>
        <v/>
      </c>
      <c r="X29" s="17">
        <f>IF(OR(X28="",X4=""),"",IFERROR(X28/X4,""))</f>
        <v/>
      </c>
      <c r="Y29" s="16" t="n"/>
      <c r="Z29" s="17" t="n"/>
      <c r="AA29" s="17" t="n"/>
      <c r="AB29" s="17" t="n"/>
      <c r="AC29" s="17" t="n"/>
    </row>
    <row r="30">
      <c r="A30" s="20" t="inlineStr">
        <is>
          <t>연구개발비</t>
        </is>
      </c>
      <c r="B30" s="10" t="inlineStr">
        <is>
          <t>변동비</t>
        </is>
      </c>
      <c r="C30" s="21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1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1" t="n"/>
      <c r="Z30" s="22" t="n"/>
      <c r="AA30" s="22" t="n"/>
      <c r="AB30" s="22" t="n"/>
      <c r="AC30" s="22" t="n"/>
    </row>
    <row r="31">
      <c r="A31" s="15" t="inlineStr">
        <is>
          <t>% of Sales</t>
        </is>
      </c>
      <c r="B31" s="10" t="n"/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6">
        <f>IF(OR(O30="",O4=""),"",IFERROR(O30/O4,""))</f>
        <v/>
      </c>
      <c r="P31" s="17">
        <f>IF(OR(P30="",P4=""),"",IFERROR(P30/P4,""))</f>
        <v/>
      </c>
      <c r="Q31" s="17">
        <f>IF(OR(Q30="",Q4=""),"",IFERROR(Q30/Q4,""))</f>
        <v/>
      </c>
      <c r="R31" s="17">
        <f>IF(OR(R30="",R4=""),"",IFERROR(R30/R4,""))</f>
        <v/>
      </c>
      <c r="S31" s="17">
        <f>IF(OR(S30="",S4=""),"",IFERROR(S30/S4,""))</f>
        <v/>
      </c>
      <c r="T31" s="17">
        <f>IF(OR(T30="",T4=""),"",IFERROR(T30/T4,""))</f>
        <v/>
      </c>
      <c r="U31" s="17">
        <f>IF(OR(U30="",U4=""),"",IFERROR(U30/U4,""))</f>
        <v/>
      </c>
      <c r="V31" s="17">
        <f>IF(OR(V30="",V4=""),"",IFERROR(V30/V4,""))</f>
        <v/>
      </c>
      <c r="W31" s="17">
        <f>IF(OR(W30="",W4=""),"",IFERROR(W30/W4,""))</f>
        <v/>
      </c>
      <c r="X31" s="17">
        <f>IF(OR(X30="",X4=""),"",IFERROR(X30/X4,""))</f>
        <v/>
      </c>
      <c r="Y31" s="16" t="n"/>
      <c r="Z31" s="17" t="n"/>
      <c r="AA31" s="17" t="n"/>
      <c r="AB31" s="17" t="n"/>
      <c r="AC31" s="17" t="n"/>
    </row>
    <row r="32">
      <c r="A32" s="20" t="inlineStr">
        <is>
          <t>기타비용</t>
        </is>
      </c>
      <c r="B32" s="10" t="inlineStr">
        <is>
          <t>변동비</t>
        </is>
      </c>
      <c r="C32" s="21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1">
        <f>IF(OR(O23="",O24="",O26="",O28="",O30=""),"",IFERROR(O23-O24-O26-O28-O30,""))</f>
        <v/>
      </c>
      <c r="P32" s="22">
        <f>IF(OR(P23="",P24="",P26="",P28="",P30=""),"",IFERROR(P23-P24-P26-P28-P30,""))</f>
        <v/>
      </c>
      <c r="Q32" s="22">
        <f>IF(OR(Q23="",Q24="",Q26="",Q28="",Q30=""),"",IFERROR(Q23-Q24-Q26-Q28-Q30,""))</f>
        <v/>
      </c>
      <c r="R32" s="22">
        <f>IF(OR(R23="",R24="",R26="",R28="",R30=""),"",IFERROR(R23-R24-R26-R28-R30,""))</f>
        <v/>
      </c>
      <c r="S32" s="22">
        <f>IF(OR(S23="",S24="",S26="",S28="",S30=""),"",IFERROR(S23-S24-S26-S28-S30,""))</f>
        <v/>
      </c>
      <c r="T32" s="22">
        <f>IF(OR(T23="",T24="",T26="",T28="",T30=""),"",IFERROR(T23-T24-T26-T28-T30,""))</f>
        <v/>
      </c>
      <c r="U32" s="22">
        <f>IF(OR(U23="",U24="",U26="",U28="",U30=""),"",IFERROR(U23-U24-U26-U28-U30,""))</f>
        <v/>
      </c>
      <c r="V32" s="22">
        <f>IF(OR(V23="",V24="",V26="",V28="",V30=""),"",IFERROR(V23-V24-V26-V28-V30,""))</f>
        <v/>
      </c>
      <c r="W32" s="22">
        <f>IF(OR(W23="",W24="",W26="",W28="",W30=""),"",IFERROR(W23-W24-W26-W28-W30,""))</f>
        <v/>
      </c>
      <c r="X32" s="22">
        <f>IF(OR(X23="",X24="",X26="",X28="",X30=""),"",IFERROR(X23-X24-X26-X28-X30,""))</f>
        <v/>
      </c>
      <c r="Y32" s="21" t="n"/>
      <c r="Z32" s="22" t="n"/>
      <c r="AA32" s="22" t="n"/>
      <c r="AB32" s="22" t="n"/>
      <c r="AC32" s="22" t="n"/>
    </row>
    <row r="33">
      <c r="A33" s="15" t="inlineStr">
        <is>
          <t>% of Sales</t>
        </is>
      </c>
      <c r="B33" s="10" t="n"/>
      <c r="C33" s="16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16" t="n"/>
      <c r="Z33" s="17" t="n"/>
      <c r="AA33" s="17" t="n"/>
      <c r="AB33" s="17" t="n"/>
      <c r="AC33" s="17" t="n"/>
    </row>
    <row r="34">
      <c r="A34" s="18" t="inlineStr">
        <is>
          <t>당기순이익 추정</t>
        </is>
      </c>
      <c r="B34" s="18" t="n"/>
      <c r="C34" s="19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9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9" t="n"/>
      <c r="Z34" s="18" t="n"/>
      <c r="AA34" s="18" t="n"/>
      <c r="AB34" s="18" t="n"/>
      <c r="AC34" s="18" t="n"/>
    </row>
    <row r="35">
      <c r="A35" s="20" t="inlineStr">
        <is>
          <t>특별이익</t>
        </is>
      </c>
      <c r="B35" s="10" t="n"/>
      <c r="C35" s="21" t="n"/>
      <c r="D35" s="22" t="n"/>
      <c r="E35" s="22" t="n"/>
      <c r="F35" s="22" t="n"/>
      <c r="G35" s="22" t="n"/>
      <c r="H35" s="22" t="n"/>
      <c r="I35" s="22" t="n"/>
      <c r="J35" s="22" t="n">
        <v>0</v>
      </c>
      <c r="K35" s="22" t="n">
        <v>0</v>
      </c>
      <c r="L35" s="22" t="n"/>
      <c r="M35" s="22" t="n"/>
      <c r="N35" s="22" t="n">
        <v>0</v>
      </c>
      <c r="O35" s="21" t="n"/>
      <c r="P35" s="22" t="n"/>
      <c r="Q35" s="22" t="n">
        <v>0</v>
      </c>
      <c r="R35" s="22" t="n">
        <v>0.274</v>
      </c>
      <c r="S35" s="22" t="n">
        <v>117.246</v>
      </c>
      <c r="T35" s="22" t="n">
        <v>21.927</v>
      </c>
      <c r="U35" s="22" t="n">
        <v>90.479</v>
      </c>
      <c r="V35" s="22" t="n">
        <v>0.185</v>
      </c>
      <c r="W35" s="22" t="n">
        <v>1</v>
      </c>
      <c r="X35" s="22" t="n">
        <v>0</v>
      </c>
      <c r="Y35" s="21">
        <f>IF(OR(Y4="",Y36=""),"",IFERROR(Y4*Y36,""))</f>
        <v/>
      </c>
      <c r="Z35" s="22">
        <f>IF(OR(Z4="",Z36=""),"",IFERROR(Z4*Z36,""))</f>
        <v/>
      </c>
      <c r="AA35" s="22">
        <f>IF(OR(AA4="",AA36=""),"",IFERROR(AA4*AA36,""))</f>
        <v/>
      </c>
      <c r="AB35" s="22">
        <f>IF(OR(AB4="",AB36=""),"",IFERROR(AB4*AB36,""))</f>
        <v/>
      </c>
      <c r="AC35" s="22">
        <f>IF(OR(AC4="",AC36=""),"",IFERROR(AC4*AC36,""))</f>
        <v/>
      </c>
    </row>
    <row r="36">
      <c r="A36" s="15" t="inlineStr">
        <is>
          <t>% of Sales</t>
        </is>
      </c>
      <c r="B36" s="10" t="inlineStr">
        <is>
          <t>MW = 최근 3년 평균</t>
        </is>
      </c>
      <c r="C36" s="16">
        <f>IF(OR(C35="",C4=""),"",IFERROR(C35/C4,""))</f>
        <v/>
      </c>
      <c r="D36" s="17">
        <f>IF(OR(D35="",D4=""),"",IFERROR(D35/D4,""))</f>
        <v/>
      </c>
      <c r="E36" s="17">
        <f>IF(OR(E35="",E4=""),"",IFERROR(E35/E4,""))</f>
        <v/>
      </c>
      <c r="F36" s="17">
        <f>IF(OR(F35="",F4=""),"",IFERROR(F35/F4,""))</f>
        <v/>
      </c>
      <c r="G36" s="17">
        <f>IF(OR(G35="",G4=""),"",IFERROR(G35/G4,""))</f>
        <v/>
      </c>
      <c r="H36" s="17">
        <f>IF(OR(H35="",H4=""),"",IFERROR(H35/H4,""))</f>
        <v/>
      </c>
      <c r="I36" s="17">
        <f>IF(OR(I35="",I4=""),"",IFERROR(I35/I4,""))</f>
        <v/>
      </c>
      <c r="J36" s="17">
        <f>IF(OR(J35="",J4=""),"",IFERROR(J35/J4,""))</f>
        <v/>
      </c>
      <c r="K36" s="17">
        <f>IF(OR(K35="",K4=""),"",IFERROR(K35/K4,""))</f>
        <v/>
      </c>
      <c r="L36" s="17">
        <f>IF(OR(L35="",L4=""),"",IFERROR(L35/L4,""))</f>
        <v/>
      </c>
      <c r="M36" s="17">
        <f>IF(OR(M35="",M4=""),"",IFERROR(M35/M4,""))</f>
        <v/>
      </c>
      <c r="N36" s="17">
        <f>IF(OR(N35="",N4=""),"",IFERROR(N35/N4,""))</f>
        <v/>
      </c>
      <c r="O36" s="16">
        <f>IF(OR(O35="",O4=""),"",IFERROR(O35/O4,""))</f>
        <v/>
      </c>
      <c r="P36" s="17">
        <f>IF(OR(P35="",P4=""),"",IFERROR(P35/P4,""))</f>
        <v/>
      </c>
      <c r="Q36" s="17">
        <f>IF(OR(Q35="",Q4=""),"",IFERROR(Q35/Q4,""))</f>
        <v/>
      </c>
      <c r="R36" s="17">
        <f>IF(OR(R35="",R4=""),"",IFERROR(R35/R4,""))</f>
        <v/>
      </c>
      <c r="S36" s="17">
        <f>IF(OR(S35="",S4=""),"",IFERROR(S35/S4,""))</f>
        <v/>
      </c>
      <c r="T36" s="17">
        <f>IF(OR(T35="",T4=""),"",IFERROR(T35/T4,""))</f>
        <v/>
      </c>
      <c r="U36" s="17">
        <f>IF(OR(U35="",U4=""),"",IFERROR(U35/U4,""))</f>
        <v/>
      </c>
      <c r="V36" s="17">
        <f>IF(OR(V35="",V4=""),"",IFERROR(V35/V4,""))</f>
        <v/>
      </c>
      <c r="W36" s="17">
        <f>IF(OR(W35="",W4=""),"",IFERROR(W35/W4,""))</f>
        <v/>
      </c>
      <c r="X36" s="17">
        <f>IF(OR(X35="",X4=""),"",IFERROR(X35/X4,""))</f>
        <v/>
      </c>
      <c r="Y36" s="27">
        <f>IFERROR(AVERAGE(V36,W36,X36),"")</f>
        <v/>
      </c>
      <c r="Z36" s="28">
        <f>Y36</f>
        <v/>
      </c>
      <c r="AA36" s="28">
        <f>Z36</f>
        <v/>
      </c>
      <c r="AB36" s="28">
        <f>AA36</f>
        <v/>
      </c>
      <c r="AC36" s="28">
        <f>AB36</f>
        <v/>
      </c>
    </row>
    <row r="37">
      <c r="A37" s="20" t="inlineStr">
        <is>
          <t>특별손실</t>
        </is>
      </c>
      <c r="B37" s="10" t="n"/>
      <c r="C37" s="21" t="n">
        <v>202.068</v>
      </c>
      <c r="D37" s="22" t="n">
        <v>0</v>
      </c>
      <c r="E37" s="22" t="n">
        <v>1</v>
      </c>
      <c r="F37" s="22" t="n">
        <v>0</v>
      </c>
      <c r="G37" s="22" t="n">
        <v>185</v>
      </c>
      <c r="H37" s="22" t="n">
        <v>0</v>
      </c>
      <c r="I37" s="22" t="n">
        <v>0</v>
      </c>
      <c r="J37" s="22" t="n">
        <v>14</v>
      </c>
      <c r="K37" s="22" t="n">
        <v>250</v>
      </c>
      <c r="L37" s="22" t="n">
        <v>1</v>
      </c>
      <c r="M37" s="22" t="n">
        <v>1</v>
      </c>
      <c r="N37" s="22" t="n">
        <v>1</v>
      </c>
      <c r="O37" s="21" t="n">
        <v>31.974</v>
      </c>
      <c r="P37" s="22" t="n">
        <v>32.926</v>
      </c>
      <c r="Q37" s="22" t="n">
        <v>90.401</v>
      </c>
      <c r="R37" s="22" t="n">
        <v>133.081</v>
      </c>
      <c r="S37" s="22" t="n">
        <v>781.631</v>
      </c>
      <c r="T37" s="22" t="n">
        <v>145.856</v>
      </c>
      <c r="U37" s="22" t="n">
        <v>76.72199999999999</v>
      </c>
      <c r="V37" s="22" t="n">
        <v>259.456</v>
      </c>
      <c r="W37" s="22" t="n">
        <v>186</v>
      </c>
      <c r="X37" s="22" t="n">
        <v>264</v>
      </c>
      <c r="Y37" s="21">
        <f>IF(OR(Y4="",Y38=""),"",IFERROR(Y4*Y38,""))</f>
        <v/>
      </c>
      <c r="Z37" s="22">
        <f>IF(OR(Z4="",Z38=""),"",IFERROR(Z4*Z38,""))</f>
        <v/>
      </c>
      <c r="AA37" s="22">
        <f>IF(OR(AA4="",AA38=""),"",IFERROR(AA4*AA38,""))</f>
        <v/>
      </c>
      <c r="AB37" s="22">
        <f>IF(OR(AB4="",AB38=""),"",IFERROR(AB4*AB38,""))</f>
        <v/>
      </c>
      <c r="AC37" s="22">
        <f>IF(OR(AC4="",AC38=""),"",IFERROR(AC4*AC38,""))</f>
        <v/>
      </c>
    </row>
    <row r="38">
      <c r="A38" s="15" t="inlineStr">
        <is>
          <t>% of Sales</t>
        </is>
      </c>
      <c r="B38" s="10" t="n"/>
      <c r="C38" s="16">
        <f>IF(OR(C37="",C4=""),"",IFERROR(C37/C4,""))</f>
        <v/>
      </c>
      <c r="D38" s="17">
        <f>IF(OR(D37="",D4=""),"",IFERROR(D37/D4,""))</f>
        <v/>
      </c>
      <c r="E38" s="17">
        <f>IF(OR(E37="",E4=""),"",IFERROR(E37/E4,""))</f>
        <v/>
      </c>
      <c r="F38" s="17">
        <f>IF(OR(F37="",F4=""),"",IFERROR(F37/F4,""))</f>
        <v/>
      </c>
      <c r="G38" s="17">
        <f>IF(OR(G37="",G4=""),"",IFERROR(G37/G4,""))</f>
        <v/>
      </c>
      <c r="H38" s="17">
        <f>IF(OR(H37="",H4=""),"",IFERROR(H37/H4,""))</f>
        <v/>
      </c>
      <c r="I38" s="17">
        <f>IF(OR(I37="",I4=""),"",IFERROR(I37/I4,""))</f>
        <v/>
      </c>
      <c r="J38" s="17">
        <f>IF(OR(J37="",J4=""),"",IFERROR(J37/J4,""))</f>
        <v/>
      </c>
      <c r="K38" s="17">
        <f>IF(OR(K37="",K4=""),"",IFERROR(K37/K4,""))</f>
        <v/>
      </c>
      <c r="L38" s="17">
        <f>IF(OR(L37="",L4=""),"",IFERROR(L37/L4,""))</f>
        <v/>
      </c>
      <c r="M38" s="17">
        <f>IF(OR(M37="",M4=""),"",IFERROR(M37/M4,""))</f>
        <v/>
      </c>
      <c r="N38" s="17">
        <f>IF(OR(N37="",N4=""),"",IFERROR(N37/N4,""))</f>
        <v/>
      </c>
      <c r="O38" s="16">
        <f>IF(OR(O37="",O4=""),"",IFERROR(O37/O4,""))</f>
        <v/>
      </c>
      <c r="P38" s="17">
        <f>IF(OR(P37="",P4=""),"",IFERROR(P37/P4,""))</f>
        <v/>
      </c>
      <c r="Q38" s="17">
        <f>IF(OR(Q37="",Q4=""),"",IFERROR(Q37/Q4,""))</f>
        <v/>
      </c>
      <c r="R38" s="17">
        <f>IF(OR(R37="",R4=""),"",IFERROR(R37/R4,""))</f>
        <v/>
      </c>
      <c r="S38" s="17">
        <f>IF(OR(S37="",S4=""),"",IFERROR(S37/S4,""))</f>
        <v/>
      </c>
      <c r="T38" s="17">
        <f>IF(OR(T37="",T4=""),"",IFERROR(T37/T4,""))</f>
        <v/>
      </c>
      <c r="U38" s="17">
        <f>IF(OR(U37="",U4=""),"",IFERROR(U37/U4,""))</f>
        <v/>
      </c>
      <c r="V38" s="17">
        <f>IF(OR(V37="",V4=""),"",IFERROR(V37/V4,""))</f>
        <v/>
      </c>
      <c r="W38" s="17">
        <f>IF(OR(W37="",W4=""),"",IFERROR(W37/W4,""))</f>
        <v/>
      </c>
      <c r="X38" s="17">
        <f>IF(OR(X37="",X4=""),"",IFERROR(X37/X4,""))</f>
        <v/>
      </c>
      <c r="Y38" s="27">
        <f>IFERROR(AVERAGE(V38,W38,X38),"")</f>
        <v/>
      </c>
      <c r="Z38" s="28">
        <f>Y38</f>
        <v/>
      </c>
      <c r="AA38" s="28">
        <f>Z38</f>
        <v/>
      </c>
      <c r="AB38" s="28">
        <f>AA38</f>
        <v/>
      </c>
      <c r="AC38" s="28">
        <f>AB38</f>
        <v/>
      </c>
    </row>
    <row r="39">
      <c r="A39" s="20" t="inlineStr">
        <is>
          <t>영업외수익</t>
        </is>
      </c>
      <c r="B39" s="10" t="n"/>
      <c r="C39" s="21" t="n">
        <v>32.565</v>
      </c>
      <c r="D39" s="22" t="n">
        <v>24</v>
      </c>
      <c r="E39" s="22" t="n">
        <v>20</v>
      </c>
      <c r="F39" s="22" t="n">
        <v>26</v>
      </c>
      <c r="G39" s="22" t="n">
        <v>33</v>
      </c>
      <c r="H39" s="22" t="n">
        <v>28</v>
      </c>
      <c r="I39" s="22" t="n">
        <v>19</v>
      </c>
      <c r="J39" s="22" t="n">
        <v>48</v>
      </c>
      <c r="K39" s="22" t="n">
        <v>33</v>
      </c>
      <c r="L39" s="22" t="n">
        <v>15</v>
      </c>
      <c r="M39" s="22" t="n">
        <v>14</v>
      </c>
      <c r="N39" s="22" t="n">
        <v>17</v>
      </c>
      <c r="O39" s="21" t="n">
        <v>83.194</v>
      </c>
      <c r="P39" s="22" t="n">
        <v>114.135</v>
      </c>
      <c r="Q39" s="22" t="n">
        <v>117.933</v>
      </c>
      <c r="R39" s="22" t="n">
        <v>102.065</v>
      </c>
      <c r="S39" s="22" t="n">
        <v>123.257</v>
      </c>
      <c r="T39" s="22" t="n">
        <v>1637.555</v>
      </c>
      <c r="U39" s="22" t="n">
        <v>320.342</v>
      </c>
      <c r="V39" s="22" t="n">
        <v>99.518</v>
      </c>
      <c r="W39" s="22" t="n">
        <v>103</v>
      </c>
      <c r="X39" s="22" t="n">
        <v>128</v>
      </c>
      <c r="Y39" s="21">
        <f>IF(OR(Y4="",Y40=""),"",IFERROR(Y4*Y40,""))</f>
        <v/>
      </c>
      <c r="Z39" s="22">
        <f>IF(OR(Z4="",Z40=""),"",IFERROR(Z4*Z40,""))</f>
        <v/>
      </c>
      <c r="AA39" s="22">
        <f>IF(OR(AA4="",AA40=""),"",IFERROR(AA4*AA40,""))</f>
        <v/>
      </c>
      <c r="AB39" s="22">
        <f>IF(OR(AB4="",AB40=""),"",IFERROR(AB4*AB40,""))</f>
        <v/>
      </c>
      <c r="AC39" s="22">
        <f>IF(OR(AC4="",AC40=""),"",IFERROR(AC4*AC40,""))</f>
        <v/>
      </c>
    </row>
    <row r="40">
      <c r="A40" s="15" t="inlineStr">
        <is>
          <t>% of Sales</t>
        </is>
      </c>
      <c r="B40" s="10" t="n"/>
      <c r="C40" s="16">
        <f>IF(OR(C39="",C4=""),"",IFERROR(C39/C4,""))</f>
        <v/>
      </c>
      <c r="D40" s="17">
        <f>IF(OR(D39="",D4=""),"",IFERROR(D39/D4,""))</f>
        <v/>
      </c>
      <c r="E40" s="17">
        <f>IF(OR(E39="",E4=""),"",IFERROR(E39/E4,""))</f>
        <v/>
      </c>
      <c r="F40" s="17">
        <f>IF(OR(F39="",F4=""),"",IFERROR(F39/F4,""))</f>
        <v/>
      </c>
      <c r="G40" s="17">
        <f>IF(OR(G39="",G4=""),"",IFERROR(G39/G4,""))</f>
        <v/>
      </c>
      <c r="H40" s="17">
        <f>IF(OR(H39="",H4=""),"",IFERROR(H39/H4,""))</f>
        <v/>
      </c>
      <c r="I40" s="17">
        <f>IF(OR(I39="",I4=""),"",IFERROR(I39/I4,""))</f>
        <v/>
      </c>
      <c r="J40" s="17">
        <f>IF(OR(J39="",J4=""),"",IFERROR(J39/J4,""))</f>
        <v/>
      </c>
      <c r="K40" s="17">
        <f>IF(OR(K39="",K4=""),"",IFERROR(K39/K4,""))</f>
        <v/>
      </c>
      <c r="L40" s="17">
        <f>IF(OR(L39="",L4=""),"",IFERROR(L39/L4,""))</f>
        <v/>
      </c>
      <c r="M40" s="17">
        <f>IF(OR(M39="",M4=""),"",IFERROR(M39/M4,""))</f>
        <v/>
      </c>
      <c r="N40" s="17">
        <f>IF(OR(N39="",N4=""),"",IFERROR(N39/N4,""))</f>
        <v/>
      </c>
      <c r="O40" s="16">
        <f>IF(OR(O39="",O4=""),"",IFERROR(O39/O4,""))</f>
        <v/>
      </c>
      <c r="P40" s="17">
        <f>IF(OR(P39="",P4=""),"",IFERROR(P39/P4,""))</f>
        <v/>
      </c>
      <c r="Q40" s="17">
        <f>IF(OR(Q39="",Q4=""),"",IFERROR(Q39/Q4,""))</f>
        <v/>
      </c>
      <c r="R40" s="17">
        <f>IF(OR(R39="",R4=""),"",IFERROR(R39/R4,""))</f>
        <v/>
      </c>
      <c r="S40" s="17">
        <f>IF(OR(S39="",S4=""),"",IFERROR(S39/S4,""))</f>
        <v/>
      </c>
      <c r="T40" s="17">
        <f>IF(OR(T39="",T4=""),"",IFERROR(T39/T4,""))</f>
        <v/>
      </c>
      <c r="U40" s="17">
        <f>IF(OR(U39="",U4=""),"",IFERROR(U39/U4,""))</f>
        <v/>
      </c>
      <c r="V40" s="17">
        <f>IF(OR(V39="",V4=""),"",IFERROR(V39/V4,""))</f>
        <v/>
      </c>
      <c r="W40" s="17">
        <f>IF(OR(W39="",W4=""),"",IFERROR(W39/W4,""))</f>
        <v/>
      </c>
      <c r="X40" s="17">
        <f>IF(OR(X39="",X4=""),"",IFERROR(X39/X4,""))</f>
        <v/>
      </c>
      <c r="Y40" s="27">
        <f>IFERROR(AVERAGE(V40,W40,X40),"")</f>
        <v/>
      </c>
      <c r="Z40" s="28">
        <f>Y40</f>
        <v/>
      </c>
      <c r="AA40" s="28">
        <f>Z40</f>
        <v/>
      </c>
      <c r="AB40" s="28">
        <f>AA40</f>
        <v/>
      </c>
      <c r="AC40" s="28">
        <f>AB40</f>
        <v/>
      </c>
    </row>
    <row r="41">
      <c r="A41" s="20" t="inlineStr">
        <is>
          <t>영업외비용</t>
        </is>
      </c>
      <c r="B41" s="10" t="n"/>
      <c r="C41" s="21" t="n">
        <v>8.082000000000001</v>
      </c>
      <c r="D41" s="22" t="n">
        <v>9</v>
      </c>
      <c r="E41" s="22" t="n">
        <v>7</v>
      </c>
      <c r="F41" s="22" t="n">
        <v>11</v>
      </c>
      <c r="G41" s="22" t="n">
        <v>7</v>
      </c>
      <c r="H41" s="22" t="n">
        <v>7</v>
      </c>
      <c r="I41" s="22" t="n">
        <v>7</v>
      </c>
      <c r="J41" s="22" t="n">
        <v>7</v>
      </c>
      <c r="K41" s="22" t="n">
        <v>12</v>
      </c>
      <c r="L41" s="22" t="n">
        <v>9</v>
      </c>
      <c r="M41" s="22" t="n">
        <v>7</v>
      </c>
      <c r="N41" s="22" t="n">
        <v>10</v>
      </c>
      <c r="O41" s="21" t="n">
        <v>30.643</v>
      </c>
      <c r="P41" s="22" t="n">
        <v>43.53</v>
      </c>
      <c r="Q41" s="22" t="n">
        <v>45.642</v>
      </c>
      <c r="R41" s="22" t="n">
        <v>38.521</v>
      </c>
      <c r="S41" s="22" t="n">
        <v>34.808</v>
      </c>
      <c r="T41" s="22" t="n">
        <v>40.111</v>
      </c>
      <c r="U41" s="22" t="n">
        <v>46.3</v>
      </c>
      <c r="V41" s="22" t="n">
        <v>34.987</v>
      </c>
      <c r="W41" s="22" t="n">
        <v>34</v>
      </c>
      <c r="X41" s="22" t="n">
        <v>33</v>
      </c>
      <c r="Y41" s="21">
        <f>IF(OR(Y4="",Y42=""),"",IFERROR(Y4*Y42,""))</f>
        <v/>
      </c>
      <c r="Z41" s="22">
        <f>IF(OR(Z4="",Z42=""),"",IFERROR(Z4*Z42,""))</f>
        <v/>
      </c>
      <c r="AA41" s="22">
        <f>IF(OR(AA4="",AA42=""),"",IFERROR(AA4*AA42,""))</f>
        <v/>
      </c>
      <c r="AB41" s="22">
        <f>IF(OR(AB4="",AB42=""),"",IFERROR(AB4*AB42,""))</f>
        <v/>
      </c>
      <c r="AC41" s="22">
        <f>IF(OR(AC4="",AC42=""),"",IFERROR(AC4*AC42,""))</f>
        <v/>
      </c>
    </row>
    <row r="42">
      <c r="A42" s="15" t="inlineStr">
        <is>
          <t>% of Sales</t>
        </is>
      </c>
      <c r="B42" s="10" t="n"/>
      <c r="C42" s="16">
        <f>IF(OR(C41="",C4=""),"",IFERROR(C41/C4,""))</f>
        <v/>
      </c>
      <c r="D42" s="17">
        <f>IF(OR(D41="",D4=""),"",IFERROR(D41/D4,""))</f>
        <v/>
      </c>
      <c r="E42" s="17">
        <f>IF(OR(E41="",E4=""),"",IFERROR(E41/E4,""))</f>
        <v/>
      </c>
      <c r="F42" s="17">
        <f>IF(OR(F41="",F4=""),"",IFERROR(F41/F4,""))</f>
        <v/>
      </c>
      <c r="G42" s="17">
        <f>IF(OR(G41="",G4=""),"",IFERROR(G41/G4,""))</f>
        <v/>
      </c>
      <c r="H42" s="17">
        <f>IF(OR(H41="",H4=""),"",IFERROR(H41/H4,""))</f>
        <v/>
      </c>
      <c r="I42" s="17">
        <f>IF(OR(I41="",I4=""),"",IFERROR(I41/I4,""))</f>
        <v/>
      </c>
      <c r="J42" s="17">
        <f>IF(OR(J41="",J4=""),"",IFERROR(J41/J4,""))</f>
        <v/>
      </c>
      <c r="K42" s="17">
        <f>IF(OR(K41="",K4=""),"",IFERROR(K41/K4,""))</f>
        <v/>
      </c>
      <c r="L42" s="17">
        <f>IF(OR(L41="",L4=""),"",IFERROR(L41/L4,""))</f>
        <v/>
      </c>
      <c r="M42" s="17">
        <f>IF(OR(M41="",M4=""),"",IFERROR(M41/M4,""))</f>
        <v/>
      </c>
      <c r="N42" s="17">
        <f>IF(OR(N41="",N4=""),"",IFERROR(N41/N4,""))</f>
        <v/>
      </c>
      <c r="O42" s="16">
        <f>IF(OR(O41="",O4=""),"",IFERROR(O41/O4,""))</f>
        <v/>
      </c>
      <c r="P42" s="17">
        <f>IF(OR(P41="",P4=""),"",IFERROR(P41/P4,""))</f>
        <v/>
      </c>
      <c r="Q42" s="17">
        <f>IF(OR(Q41="",Q4=""),"",IFERROR(Q41/Q4,""))</f>
        <v/>
      </c>
      <c r="R42" s="17">
        <f>IF(OR(R41="",R4=""),"",IFERROR(R41/R4,""))</f>
        <v/>
      </c>
      <c r="S42" s="17">
        <f>IF(OR(S41="",S4=""),"",IFERROR(S41/S4,""))</f>
        <v/>
      </c>
      <c r="T42" s="17">
        <f>IF(OR(T41="",T4=""),"",IFERROR(T41/T4,""))</f>
        <v/>
      </c>
      <c r="U42" s="17">
        <f>IF(OR(U41="",U4=""),"",IFERROR(U41/U4,""))</f>
        <v/>
      </c>
      <c r="V42" s="17">
        <f>IF(OR(V41="",V4=""),"",IFERROR(V41/V4,""))</f>
        <v/>
      </c>
      <c r="W42" s="17">
        <f>IF(OR(W41="",W4=""),"",IFERROR(W41/W4,""))</f>
        <v/>
      </c>
      <c r="X42" s="17">
        <f>IF(OR(X41="",X4=""),"",IFERROR(X41/X4,""))</f>
        <v/>
      </c>
      <c r="Y42" s="27">
        <f>IFERROR(AVERAGE(V42,W42,X42),"")</f>
        <v/>
      </c>
      <c r="Z42" s="28">
        <f>Y42</f>
        <v/>
      </c>
      <c r="AA42" s="28">
        <f>Z42</f>
        <v/>
      </c>
      <c r="AB42" s="28">
        <f>AA42</f>
        <v/>
      </c>
      <c r="AC42" s="28">
        <f>AB42</f>
        <v/>
      </c>
    </row>
    <row r="43">
      <c r="A43" s="9" t="inlineStr">
        <is>
          <t>법인세비용차감전순이익(손실)</t>
        </is>
      </c>
      <c r="B43" s="10" t="n"/>
      <c r="C43" s="11" t="n">
        <v>276.125</v>
      </c>
      <c r="D43" s="12" t="n">
        <v>793</v>
      </c>
      <c r="E43" s="12" t="n">
        <v>454</v>
      </c>
      <c r="F43" s="12" t="n">
        <v>810</v>
      </c>
      <c r="G43" s="12" t="n">
        <v>358</v>
      </c>
      <c r="H43" s="12" t="n">
        <v>552</v>
      </c>
      <c r="I43" s="12" t="n">
        <v>705</v>
      </c>
      <c r="J43" s="12" t="n">
        <v>860</v>
      </c>
      <c r="K43" s="12" t="n">
        <v>643</v>
      </c>
      <c r="L43" s="12" t="n">
        <v>1035</v>
      </c>
      <c r="M43" s="12" t="n">
        <v>904</v>
      </c>
      <c r="N43" s="12" t="n">
        <v>1131</v>
      </c>
      <c r="O43" s="11" t="n">
        <v>2775.43</v>
      </c>
      <c r="P43" s="12" t="n">
        <v>2483.996</v>
      </c>
      <c r="Q43" s="12" t="n">
        <v>2579.027</v>
      </c>
      <c r="R43" s="12" t="n">
        <v>2325.883</v>
      </c>
      <c r="S43" s="12" t="n">
        <v>-413.66</v>
      </c>
      <c r="T43" s="12" t="n">
        <v>1425.136</v>
      </c>
      <c r="U43" s="12" t="n">
        <v>1034.038</v>
      </c>
      <c r="V43" s="12" t="n">
        <v>1449.523</v>
      </c>
      <c r="W43" s="12" t="n">
        <v>2415</v>
      </c>
      <c r="X43" s="12" t="n">
        <v>2760</v>
      </c>
      <c r="Y43" s="11">
        <f>IF(OR(Y19=""),"",IFERROR(Y19+N(Y35)-N(Y37)+N(Y39)-N(Y41),""))</f>
        <v/>
      </c>
      <c r="Z43" s="12">
        <f>IF(OR(Z19=""),"",IFERROR(Z19+N(Z35)-N(Z37)+N(Z39)-N(Z41),""))</f>
        <v/>
      </c>
      <c r="AA43" s="12">
        <f>IF(OR(AA19=""),"",IFERROR(AA19+N(AA35)-N(AA37)+N(AA39)-N(AA41),""))</f>
        <v/>
      </c>
      <c r="AB43" s="12">
        <f>IF(OR(AB19=""),"",IFERROR(AB19+N(AB35)-N(AB37)+N(AB39)-N(AB41),""))</f>
        <v/>
      </c>
      <c r="AC43" s="12">
        <f>IF(OR(AC19=""),"",IFERROR(AC19+N(AC35)-N(AC37)+N(AC39)-N(AC41),""))</f>
        <v/>
      </c>
    </row>
    <row r="44">
      <c r="A44" s="15" t="inlineStr">
        <is>
          <t>YoY</t>
        </is>
      </c>
      <c r="B44" s="10" t="n"/>
      <c r="C44" s="16" t="n"/>
      <c r="D44" s="17" t="n"/>
      <c r="E44" s="17" t="n"/>
      <c r="F44" s="17" t="n"/>
      <c r="G44" s="17">
        <f>IF(OR(G43="",C43=""),"",IF(C43&lt;=0,"",IFERROR(G43/C43-1,"")))</f>
        <v/>
      </c>
      <c r="H44" s="17">
        <f>IF(OR(H43="",D43=""),"",IF(D43&lt;=0,"",IFERROR(H43/D43-1,"")))</f>
        <v/>
      </c>
      <c r="I44" s="17">
        <f>IF(OR(I43="",E43=""),"",IF(E43&lt;=0,"",IFERROR(I43/E43-1,"")))</f>
        <v/>
      </c>
      <c r="J44" s="17">
        <f>IF(OR(J43="",F43=""),"",IF(F43&lt;=0,"",IFERROR(J43/F43-1,"")))</f>
        <v/>
      </c>
      <c r="K44" s="17">
        <f>IF(OR(K43="",G43=""),"",IF(G43&lt;=0,"",IFERROR(K43/G43-1,"")))</f>
        <v/>
      </c>
      <c r="L44" s="17">
        <f>IF(OR(L43="",H43=""),"",IF(H43&lt;=0,"",IFERROR(L43/H43-1,"")))</f>
        <v/>
      </c>
      <c r="M44" s="17">
        <f>IF(OR(M43="",I43=""),"",IF(I43&lt;=0,"",IFERROR(M43/I43-1,"")))</f>
        <v/>
      </c>
      <c r="N44" s="17">
        <f>IF(OR(N43="",J43=""),"",IF(J43&lt;=0,"",IFERROR(N43/J43-1,"")))</f>
        <v/>
      </c>
      <c r="O44" s="16" t="n"/>
      <c r="P44" s="17">
        <f>IF(OR(P43="",O43=""),"",IF(O43&lt;=0,"",IFERROR(P43/O43-1,"")))</f>
        <v/>
      </c>
      <c r="Q44" s="17">
        <f>IF(OR(Q43="",P43=""),"",IF(P43&lt;=0,"",IFERROR(Q43/P43-1,"")))</f>
        <v/>
      </c>
      <c r="R44" s="17">
        <f>IF(OR(R43="",Q43=""),"",IF(Q43&lt;=0,"",IFERROR(R43/Q43-1,"")))</f>
        <v/>
      </c>
      <c r="S44" s="17">
        <f>IF(OR(S43="",R43=""),"",IF(R43&lt;=0,"",IFERROR(S43/R43-1,"")))</f>
        <v/>
      </c>
      <c r="T44" s="17">
        <f>IF(OR(T43="",S43=""),"",IF(S43&lt;=0,"",IFERROR(T43/S43-1,"")))</f>
        <v/>
      </c>
      <c r="U44" s="17">
        <f>IF(OR(U43="",T43=""),"",IF(T43&lt;=0,"",IFERROR(U43/T43-1,"")))</f>
        <v/>
      </c>
      <c r="V44" s="17">
        <f>IF(OR(V43="",U43=""),"",IF(U43&lt;=0,"",IFERROR(V43/U43-1,"")))</f>
        <v/>
      </c>
      <c r="W44" s="17">
        <f>IF(OR(W43="",V43=""),"",IF(V43&lt;=0,"",IFERROR(W43/V43-1,"")))</f>
        <v/>
      </c>
      <c r="X44" s="17">
        <f>IF(OR(X43="",W43=""),"",IF(W43&lt;=0,"",IFERROR(X43/W43-1,"")))</f>
        <v/>
      </c>
      <c r="Y44" s="16">
        <f>IF(OR(Y43="",X43=""),"",IF(X43&lt;=0,"",IFERROR(Y43/X43-1,"")))</f>
        <v/>
      </c>
      <c r="Z44" s="17">
        <f>IF(OR(Z43="",Y43=""),"",IF(Y43&lt;=0,"",IFERROR(Z43/Y43-1,"")))</f>
        <v/>
      </c>
      <c r="AA44" s="17">
        <f>IF(OR(AA43="",Z43=""),"",IF(Z43&lt;=0,"",IFERROR(AA43/Z43-1,"")))</f>
        <v/>
      </c>
      <c r="AB44" s="17">
        <f>IF(OR(AB43="",AA43=""),"",IF(AA43&lt;=0,"",IFERROR(AB43/AA43-1,"")))</f>
        <v/>
      </c>
      <c r="AC44" s="17">
        <f>IF(OR(AC43="",AB43=""),"",IF(AB43&lt;=0,"",IFERROR(AC43/AB43-1,"")))</f>
        <v/>
      </c>
    </row>
    <row r="45">
      <c r="A45" s="20" t="inlineStr">
        <is>
          <t>법인세비용(수익)</t>
        </is>
      </c>
      <c r="B45" s="10" t="n"/>
      <c r="C45" s="21" t="n">
        <v>10.865</v>
      </c>
      <c r="D45" s="22" t="n">
        <v>265</v>
      </c>
      <c r="E45" s="22" t="n">
        <v>158</v>
      </c>
      <c r="F45" s="22" t="n">
        <v>264</v>
      </c>
      <c r="G45" s="22" t="n">
        <v>12</v>
      </c>
      <c r="H45" s="22" t="n">
        <v>179</v>
      </c>
      <c r="I45" s="22" t="n">
        <v>237</v>
      </c>
      <c r="J45" s="22" t="n">
        <v>282</v>
      </c>
      <c r="K45" s="22" t="n">
        <v>93</v>
      </c>
      <c r="L45" s="22" t="n">
        <v>341</v>
      </c>
      <c r="M45" s="22" t="n">
        <v>308</v>
      </c>
      <c r="N45" s="22" t="n">
        <v>372</v>
      </c>
      <c r="O45" s="21" t="n">
        <v>891.448</v>
      </c>
      <c r="P45" s="22" t="n">
        <v>739.247</v>
      </c>
      <c r="Q45" s="22" t="n">
        <v>791.78</v>
      </c>
      <c r="R45" s="22" t="n">
        <v>781.245</v>
      </c>
      <c r="S45" s="22" t="n">
        <v>174.482</v>
      </c>
      <c r="T45" s="22" t="n">
        <v>469.944</v>
      </c>
      <c r="U45" s="22" t="n">
        <v>346.9</v>
      </c>
      <c r="V45" s="22" t="n">
        <v>446.343</v>
      </c>
      <c r="W45" s="22" t="n">
        <v>699</v>
      </c>
      <c r="X45" s="22" t="n">
        <v>791</v>
      </c>
      <c r="Y45" s="21">
        <f>IF(OR(Y43="",Y46=""),"",IFERROR(MAX(Y43,0)*Y46,""))</f>
        <v/>
      </c>
      <c r="Z45" s="22">
        <f>IF(OR(Z43="",Z46=""),"",IFERROR(MAX(Z43,0)*Z46,""))</f>
        <v/>
      </c>
      <c r="AA45" s="22">
        <f>IF(OR(AA43="",AA46=""),"",IFERROR(MAX(AA43,0)*AA46,""))</f>
        <v/>
      </c>
      <c r="AB45" s="22">
        <f>IF(OR(AB43="",AB46=""),"",IFERROR(MAX(AB43,0)*AB46,""))</f>
        <v/>
      </c>
      <c r="AC45" s="22">
        <f>IF(OR(AC43="",AC46=""),"",IFERROR(MAX(AC43,0)*AC46,""))</f>
        <v/>
      </c>
    </row>
    <row r="46">
      <c r="A46" s="15" t="inlineStr">
        <is>
          <t>법인세율</t>
        </is>
      </c>
      <c r="B46" s="10" t="inlineStr">
        <is>
          <t>MW 기본 30%</t>
        </is>
      </c>
      <c r="C46" s="16">
        <f>IF(OR(C45="",C43=""),"",IFERROR(C45/C43,""))</f>
        <v/>
      </c>
      <c r="D46" s="17">
        <f>IF(OR(D45="",D43=""),"",IFERROR(D45/D43,""))</f>
        <v/>
      </c>
      <c r="E46" s="17">
        <f>IF(OR(E45="",E43=""),"",IFERROR(E45/E43,""))</f>
        <v/>
      </c>
      <c r="F46" s="17">
        <f>IF(OR(F45="",F43=""),"",IFERROR(F45/F43,""))</f>
        <v/>
      </c>
      <c r="G46" s="17">
        <f>IF(OR(G45="",G43=""),"",IFERROR(G45/G43,""))</f>
        <v/>
      </c>
      <c r="H46" s="17">
        <f>IF(OR(H45="",H43=""),"",IFERROR(H45/H43,""))</f>
        <v/>
      </c>
      <c r="I46" s="17">
        <f>IF(OR(I45="",I43=""),"",IFERROR(I45/I43,""))</f>
        <v/>
      </c>
      <c r="J46" s="17">
        <f>IF(OR(J45="",J43=""),"",IFERROR(J45/J43,""))</f>
        <v/>
      </c>
      <c r="K46" s="17">
        <f>IF(OR(K45="",K43=""),"",IFERROR(K45/K43,""))</f>
        <v/>
      </c>
      <c r="L46" s="17">
        <f>IF(OR(L45="",L43=""),"",IFERROR(L45/L43,""))</f>
        <v/>
      </c>
      <c r="M46" s="17">
        <f>IF(OR(M45="",M43=""),"",IFERROR(M45/M43,""))</f>
        <v/>
      </c>
      <c r="N46" s="17">
        <f>IF(OR(N45="",N43=""),"",IFERROR(N45/N43,""))</f>
        <v/>
      </c>
      <c r="O46" s="16">
        <f>IF(OR(O45="",O43=""),"",IFERROR(O45/O43,""))</f>
        <v/>
      </c>
      <c r="P46" s="17">
        <f>IF(OR(P45="",P43=""),"",IFERROR(P45/P43,""))</f>
        <v/>
      </c>
      <c r="Q46" s="17">
        <f>IF(OR(Q45="",Q43=""),"",IFERROR(Q45/Q43,""))</f>
        <v/>
      </c>
      <c r="R46" s="17">
        <f>IF(OR(R45="",R43=""),"",IFERROR(R45/R43,""))</f>
        <v/>
      </c>
      <c r="S46" s="17">
        <f>IF(OR(S45="",S43=""),"",IFERROR(S45/S43,""))</f>
        <v/>
      </c>
      <c r="T46" s="17">
        <f>IF(OR(T45="",T43=""),"",IFERROR(T45/T43,""))</f>
        <v/>
      </c>
      <c r="U46" s="17">
        <f>IF(OR(U45="",U43=""),"",IFERROR(U45/U43,""))</f>
        <v/>
      </c>
      <c r="V46" s="17">
        <f>IF(OR(V45="",V43=""),"",IFERROR(V45/V43,""))</f>
        <v/>
      </c>
      <c r="W46" s="17">
        <f>IF(OR(W45="",W43=""),"",IFERROR(W45/W43,""))</f>
        <v/>
      </c>
      <c r="X46" s="17">
        <f>IF(OR(X45="",X43=""),"",IFERROR(X45/X43,""))</f>
        <v/>
      </c>
      <c r="Y46" s="27" t="n">
        <v>0.3</v>
      </c>
      <c r="Z46" s="28" t="n">
        <v>0.3</v>
      </c>
      <c r="AA46" s="28" t="n">
        <v>0.3</v>
      </c>
      <c r="AB46" s="28" t="n">
        <v>0.3</v>
      </c>
      <c r="AC46" s="28" t="n">
        <v>0.3</v>
      </c>
    </row>
    <row r="47">
      <c r="A47" s="9" t="inlineStr">
        <is>
          <t>당기순이익(손실)</t>
        </is>
      </c>
      <c r="B47" s="10" t="n"/>
      <c r="C47" s="11" t="n">
        <v>265.259</v>
      </c>
      <c r="D47" s="12" t="n">
        <v>527</v>
      </c>
      <c r="E47" s="12" t="n">
        <v>296</v>
      </c>
      <c r="F47" s="12" t="n">
        <v>546</v>
      </c>
      <c r="G47" s="12" t="n">
        <v>346</v>
      </c>
      <c r="H47" s="12" t="n">
        <v>373</v>
      </c>
      <c r="I47" s="12" t="n">
        <v>468</v>
      </c>
      <c r="J47" s="12" t="n">
        <v>578</v>
      </c>
      <c r="K47" s="12" t="n">
        <v>550</v>
      </c>
      <c r="L47" s="12" t="n">
        <v>693</v>
      </c>
      <c r="M47" s="12" t="n">
        <v>596</v>
      </c>
      <c r="N47" s="12" t="n">
        <v>760</v>
      </c>
      <c r="O47" s="11" t="n">
        <v>1883.982</v>
      </c>
      <c r="P47" s="12" t="n">
        <v>1744.749</v>
      </c>
      <c r="Q47" s="12" t="n">
        <v>1787.246</v>
      </c>
      <c r="R47" s="12" t="n">
        <v>1544.637</v>
      </c>
      <c r="S47" s="12" t="n">
        <v>-588.143</v>
      </c>
      <c r="T47" s="12" t="n">
        <v>955.192</v>
      </c>
      <c r="U47" s="12" t="n">
        <v>687.138</v>
      </c>
      <c r="V47" s="12" t="n">
        <v>1003.179</v>
      </c>
      <c r="W47" s="12" t="n">
        <v>1715</v>
      </c>
      <c r="X47" s="12" t="n">
        <v>1969</v>
      </c>
      <c r="Y47" s="11">
        <f>IF(OR(Y43=""),"",IFERROR(Y43-Y45,""))</f>
        <v/>
      </c>
      <c r="Z47" s="12">
        <f>IF(OR(Z43=""),"",IFERROR(Z43-Z45,""))</f>
        <v/>
      </c>
      <c r="AA47" s="12">
        <f>IF(OR(AA43=""),"",IFERROR(AA43-AA45,""))</f>
        <v/>
      </c>
      <c r="AB47" s="12">
        <f>IF(OR(AB43=""),"",IFERROR(AB43-AB45,""))</f>
        <v/>
      </c>
      <c r="AC47" s="12">
        <f>IF(OR(AC43=""),"",IFERROR(AC43-AC45,""))</f>
        <v/>
      </c>
    </row>
    <row r="48">
      <c r="A48" s="15" t="inlineStr">
        <is>
          <t>YoY</t>
        </is>
      </c>
      <c r="B48" s="10" t="n"/>
      <c r="C48" s="16" t="n"/>
      <c r="D48" s="17" t="n"/>
      <c r="E48" s="17" t="n"/>
      <c r="F48" s="17" t="n"/>
      <c r="G48" s="17">
        <f>IF(OR(G47="",C47=""),"",IF(C47&lt;=0,"",IFERROR(G47/C47-1,"")))</f>
        <v/>
      </c>
      <c r="H48" s="17">
        <f>IF(OR(H47="",D47=""),"",IF(D47&lt;=0,"",IFERROR(H47/D47-1,"")))</f>
        <v/>
      </c>
      <c r="I48" s="17">
        <f>IF(OR(I47="",E47=""),"",IF(E47&lt;=0,"",IFERROR(I47/E47-1,"")))</f>
        <v/>
      </c>
      <c r="J48" s="17">
        <f>IF(OR(J47="",F47=""),"",IF(F47&lt;=0,"",IFERROR(J47/F47-1,"")))</f>
        <v/>
      </c>
      <c r="K48" s="17">
        <f>IF(OR(K47="",G47=""),"",IF(G47&lt;=0,"",IFERROR(K47/G47-1,"")))</f>
        <v/>
      </c>
      <c r="L48" s="17">
        <f>IF(OR(L47="",H47=""),"",IF(H47&lt;=0,"",IFERROR(L47/H47-1,"")))</f>
        <v/>
      </c>
      <c r="M48" s="17">
        <f>IF(OR(M47="",I47=""),"",IF(I47&lt;=0,"",IFERROR(M47/I47-1,"")))</f>
        <v/>
      </c>
      <c r="N48" s="17">
        <f>IF(OR(N47="",J47=""),"",IF(J47&lt;=0,"",IFERROR(N47/J47-1,"")))</f>
        <v/>
      </c>
      <c r="O48" s="16" t="n"/>
      <c r="P48" s="17">
        <f>IF(OR(P47="",O47=""),"",IF(O47&lt;=0,"",IFERROR(P47/O47-1,"")))</f>
        <v/>
      </c>
      <c r="Q48" s="17">
        <f>IF(OR(Q47="",P47=""),"",IF(P47&lt;=0,"",IFERROR(Q47/P47-1,"")))</f>
        <v/>
      </c>
      <c r="R48" s="17">
        <f>IF(OR(R47="",Q47=""),"",IF(Q47&lt;=0,"",IFERROR(R47/Q47-1,"")))</f>
        <v/>
      </c>
      <c r="S48" s="17">
        <f>IF(OR(S47="",R47=""),"",IF(R47&lt;=0,"",IFERROR(S47/R47-1,"")))</f>
        <v/>
      </c>
      <c r="T48" s="17">
        <f>IF(OR(T47="",S47=""),"",IF(S47&lt;=0,"",IFERROR(T47/S47-1,"")))</f>
        <v/>
      </c>
      <c r="U48" s="17">
        <f>IF(OR(U47="",T47=""),"",IF(T47&lt;=0,"",IFERROR(U47/T47-1,"")))</f>
        <v/>
      </c>
      <c r="V48" s="17">
        <f>IF(OR(V47="",U47=""),"",IF(U47&lt;=0,"",IFERROR(V47/U47-1,"")))</f>
        <v/>
      </c>
      <c r="W48" s="17">
        <f>IF(OR(W47="",V47=""),"",IF(V47&lt;=0,"",IFERROR(W47/V47-1,"")))</f>
        <v/>
      </c>
      <c r="X48" s="17">
        <f>IF(OR(X47="",W47=""),"",IF(W47&lt;=0,"",IFERROR(X47/W47-1,"")))</f>
        <v/>
      </c>
      <c r="Y48" s="16">
        <f>IF(OR(Y47="",X47=""),"",IF(X47&lt;=0,"",IFERROR(Y47/X47-1,"")))</f>
        <v/>
      </c>
      <c r="Z48" s="17">
        <f>IF(OR(Z47="",Y47=""),"",IF(Y47&lt;=0,"",IFERROR(Z47/Y47-1,"")))</f>
        <v/>
      </c>
      <c r="AA48" s="17">
        <f>IF(OR(AA47="",Z47=""),"",IF(Z47&lt;=0,"",IFERROR(AA47/Z47-1,"")))</f>
        <v/>
      </c>
      <c r="AB48" s="17">
        <f>IF(OR(AB47="",AA47=""),"",IF(AA47&lt;=0,"",IFERROR(AB47/AA47-1,"")))</f>
        <v/>
      </c>
      <c r="AC48" s="17">
        <f>IF(OR(AC47="",AB47=""),"",IF(AB47&lt;=0,"",IFERROR(AC47/AB47-1,"")))</f>
        <v/>
      </c>
    </row>
    <row r="49">
      <c r="A49" s="9" t="inlineStr">
        <is>
          <t>지배주주 순이익</t>
        </is>
      </c>
      <c r="B49" s="10" t="n"/>
      <c r="C49" s="11" t="n">
        <v>265.259</v>
      </c>
      <c r="D49" s="12" t="n">
        <v>527</v>
      </c>
      <c r="E49" s="12" t="n">
        <v>296</v>
      </c>
      <c r="F49" s="12" t="n">
        <v>546</v>
      </c>
      <c r="G49" s="12" t="n">
        <v>346</v>
      </c>
      <c r="H49" s="12" t="n">
        <v>373</v>
      </c>
      <c r="I49" s="12" t="n">
        <v>468</v>
      </c>
      <c r="J49" s="12" t="n">
        <v>578</v>
      </c>
      <c r="K49" s="12" t="n">
        <v>550</v>
      </c>
      <c r="L49" s="12" t="n">
        <v>693</v>
      </c>
      <c r="M49" s="12" t="n">
        <v>596</v>
      </c>
      <c r="N49" s="12" t="n">
        <v>760</v>
      </c>
      <c r="O49" s="11" t="n"/>
      <c r="P49" s="12" t="n"/>
      <c r="Q49" s="12" t="n"/>
      <c r="R49" s="12" t="n"/>
      <c r="S49" s="12" t="n"/>
      <c r="T49" s="12" t="n"/>
      <c r="U49" s="12" t="n"/>
      <c r="V49" s="12" t="n">
        <v>1003.179</v>
      </c>
      <c r="W49" s="12" t="n">
        <v>1715</v>
      </c>
      <c r="X49" s="12" t="n">
        <v>1969</v>
      </c>
      <c r="Y49" s="11">
        <f>IF(OR(Y47="",Y50=""),"",IFERROR(Y47*Y50,""))</f>
        <v/>
      </c>
      <c r="Z49" s="12">
        <f>IF(OR(Z47="",Z50=""),"",IFERROR(Z47*Z50,""))</f>
        <v/>
      </c>
      <c r="AA49" s="12">
        <f>IF(OR(AA47="",AA50=""),"",IFERROR(AA47*AA50,""))</f>
        <v/>
      </c>
      <c r="AB49" s="12">
        <f>IF(OR(AB47="",AB50=""),"",IFERROR(AB47*AB50,""))</f>
        <v/>
      </c>
      <c r="AC49" s="12">
        <f>IF(OR(AC47="",AC50=""),"",IFERROR(AC47*AC50,""))</f>
        <v/>
      </c>
    </row>
    <row r="50">
      <c r="A50" s="15" t="inlineStr">
        <is>
          <t>지배주주 순이익률</t>
        </is>
      </c>
      <c r="B50" s="10" t="inlineStr">
        <is>
          <t>MW 기본 100%</t>
        </is>
      </c>
      <c r="C50" s="16">
        <f>IF(OR(C49="",C47=""),"",IFERROR(C49/C47,""))</f>
        <v/>
      </c>
      <c r="D50" s="17">
        <f>IF(OR(D49="",D47=""),"",IFERROR(D49/D47,""))</f>
        <v/>
      </c>
      <c r="E50" s="17">
        <f>IF(OR(E49="",E47=""),"",IFERROR(E49/E47,""))</f>
        <v/>
      </c>
      <c r="F50" s="17">
        <f>IF(OR(F49="",F47=""),"",IFERROR(F49/F47,""))</f>
        <v/>
      </c>
      <c r="G50" s="17">
        <f>IF(OR(G49="",G47=""),"",IFERROR(G49/G47,""))</f>
        <v/>
      </c>
      <c r="H50" s="17">
        <f>IF(OR(H49="",H47=""),"",IFERROR(H49/H47,""))</f>
        <v/>
      </c>
      <c r="I50" s="17">
        <f>IF(OR(I49="",I47=""),"",IFERROR(I49/I47,""))</f>
        <v/>
      </c>
      <c r="J50" s="17">
        <f>IF(OR(J49="",J47=""),"",IFERROR(J49/J47,""))</f>
        <v/>
      </c>
      <c r="K50" s="17">
        <f>IF(OR(K49="",K47=""),"",IFERROR(K49/K47,""))</f>
        <v/>
      </c>
      <c r="L50" s="17">
        <f>IF(OR(L49="",L47=""),"",IFERROR(L49/L47,""))</f>
        <v/>
      </c>
      <c r="M50" s="17">
        <f>IF(OR(M49="",M47=""),"",IFERROR(M49/M47,""))</f>
        <v/>
      </c>
      <c r="N50" s="17">
        <f>IF(OR(N49="",N47=""),"",IFERROR(N49/N47,""))</f>
        <v/>
      </c>
      <c r="O50" s="16">
        <f>IF(OR(O49="",O47=""),"",IFERROR(O49/O47,""))</f>
        <v/>
      </c>
      <c r="P50" s="17">
        <f>IF(OR(P49="",P47=""),"",IFERROR(P49/P47,""))</f>
        <v/>
      </c>
      <c r="Q50" s="17">
        <f>IF(OR(Q49="",Q47=""),"",IFERROR(Q49/Q47,""))</f>
        <v/>
      </c>
      <c r="R50" s="17">
        <f>IF(OR(R49="",R47=""),"",IFERROR(R49/R47,""))</f>
        <v/>
      </c>
      <c r="S50" s="17">
        <f>IF(OR(S49="",S47=""),"",IFERROR(S49/S47,""))</f>
        <v/>
      </c>
      <c r="T50" s="17">
        <f>IF(OR(T49="",T47=""),"",IFERROR(T49/T47,""))</f>
        <v/>
      </c>
      <c r="U50" s="17">
        <f>IF(OR(U49="",U47=""),"",IFERROR(U49/U47,""))</f>
        <v/>
      </c>
      <c r="V50" s="17">
        <f>IF(OR(V49="",V47=""),"",IFERROR(V49/V47,""))</f>
        <v/>
      </c>
      <c r="W50" s="17">
        <f>IF(OR(W49="",W47=""),"",IFERROR(W49/W47,""))</f>
        <v/>
      </c>
      <c r="X50" s="17">
        <f>IF(OR(X49="",X47=""),"",IFERROR(X49/X47,""))</f>
        <v/>
      </c>
      <c r="Y50" s="27" t="n">
        <v>1</v>
      </c>
      <c r="Z50" s="28" t="n">
        <v>1</v>
      </c>
      <c r="AA50" s="28" t="n">
        <v>1</v>
      </c>
      <c r="AB50" s="28" t="n">
        <v>1</v>
      </c>
      <c r="AC50" s="28" t="n">
        <v>1</v>
      </c>
    </row>
    <row r="51">
      <c r="A51" s="15" t="inlineStr">
        <is>
          <t>지배주주 순이익 YoY</t>
        </is>
      </c>
      <c r="B51" s="10" t="n"/>
      <c r="C51" s="16" t="n"/>
      <c r="D51" s="17" t="n"/>
      <c r="E51" s="17" t="n"/>
      <c r="F51" s="17" t="n"/>
      <c r="G51" s="17">
        <f>IF(OR(G49="",C49=""),"",IF(C49&lt;=0,"",IFERROR(G49/C49-1,"")))</f>
        <v/>
      </c>
      <c r="H51" s="17">
        <f>IF(OR(H49="",D49=""),"",IF(D49&lt;=0,"",IFERROR(H49/D49-1,"")))</f>
        <v/>
      </c>
      <c r="I51" s="17">
        <f>IF(OR(I49="",E49=""),"",IF(E49&lt;=0,"",IFERROR(I49/E49-1,"")))</f>
        <v/>
      </c>
      <c r="J51" s="17">
        <f>IF(OR(J49="",F49=""),"",IF(F49&lt;=0,"",IFERROR(J49/F49-1,"")))</f>
        <v/>
      </c>
      <c r="K51" s="17">
        <f>IF(OR(K49="",G49=""),"",IF(G49&lt;=0,"",IFERROR(K49/G49-1,"")))</f>
        <v/>
      </c>
      <c r="L51" s="17">
        <f>IF(OR(L49="",H49=""),"",IF(H49&lt;=0,"",IFERROR(L49/H49-1,"")))</f>
        <v/>
      </c>
      <c r="M51" s="17">
        <f>IF(OR(M49="",I49=""),"",IF(I49&lt;=0,"",IFERROR(M49/I49-1,"")))</f>
        <v/>
      </c>
      <c r="N51" s="17">
        <f>IF(OR(N49="",J49=""),"",IF(J49&lt;=0,"",IFERROR(N49/J49-1,"")))</f>
        <v/>
      </c>
      <c r="O51" s="16" t="n"/>
      <c r="P51" s="17">
        <f>IF(OR(P49="",O49=""),"",IF(O49&lt;=0,"",IFERROR(P49/O49-1,"")))</f>
        <v/>
      </c>
      <c r="Q51" s="17">
        <f>IF(OR(Q49="",P49=""),"",IF(P49&lt;=0,"",IFERROR(Q49/P49-1,"")))</f>
        <v/>
      </c>
      <c r="R51" s="17">
        <f>IF(OR(R49="",Q49=""),"",IF(Q49&lt;=0,"",IFERROR(R49/Q49-1,"")))</f>
        <v/>
      </c>
      <c r="S51" s="17">
        <f>IF(OR(S49="",R49=""),"",IF(R49&lt;=0,"",IFERROR(S49/R49-1,"")))</f>
        <v/>
      </c>
      <c r="T51" s="17">
        <f>IF(OR(T49="",S49=""),"",IF(S49&lt;=0,"",IFERROR(T49/S49-1,"")))</f>
        <v/>
      </c>
      <c r="U51" s="17">
        <f>IF(OR(U49="",T49=""),"",IF(T49&lt;=0,"",IFERROR(U49/T49-1,"")))</f>
        <v/>
      </c>
      <c r="V51" s="17">
        <f>IF(OR(V49="",U49=""),"",IF(U49&lt;=0,"",IFERROR(V49/U49-1,"")))</f>
        <v/>
      </c>
      <c r="W51" s="17">
        <f>IF(OR(W49="",V49=""),"",IF(V49&lt;=0,"",IFERROR(W49/V49-1,"")))</f>
        <v/>
      </c>
      <c r="X51" s="17">
        <f>IF(OR(X49="",W49=""),"",IF(W49&lt;=0,"",IFERROR(X49/W49-1,"")))</f>
        <v/>
      </c>
      <c r="Y51" s="16">
        <f>IF(OR(Y49="",X49=""),"",IF(X49&lt;=0,"",IFERROR(Y49/X49-1,"")))</f>
        <v/>
      </c>
      <c r="Z51" s="17">
        <f>IF(OR(Z49="",Y49=""),"",IF(Y49&lt;=0,"",IFERROR(Z49/Y49-1,"")))</f>
        <v/>
      </c>
      <c r="AA51" s="17">
        <f>IF(OR(AA49="",Z49=""),"",IF(Z49&lt;=0,"",IFERROR(AA49/Z49-1,"")))</f>
        <v/>
      </c>
      <c r="AB51" s="17">
        <f>IF(OR(AB49="",AA49=""),"",IF(AA49&lt;=0,"",IFERROR(AB49/AA49-1,"")))</f>
        <v/>
      </c>
      <c r="AC51" s="17">
        <f>IF(OR(AC49="",AB49=""),"",IF(AB49&lt;=0,"",IFERROR(AC49/AB49-1,"")))</f>
        <v/>
      </c>
    </row>
    <row r="52">
      <c r="A52" s="18" t="inlineStr">
        <is>
          <t>목표주가 산출</t>
        </is>
      </c>
      <c r="B52" s="18" t="n"/>
      <c r="C52" s="19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9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9" t="n"/>
      <c r="Z52" s="18" t="n"/>
      <c r="AA52" s="18" t="n"/>
      <c r="AB52" s="18" t="n"/>
      <c r="AC52" s="18" t="n"/>
    </row>
    <row r="53">
      <c r="A53" s="20" t="inlineStr">
        <is>
          <t>현재 주가 (2026.10.28)</t>
        </is>
      </c>
      <c r="B53" s="29" t="n">
        <v>3095</v>
      </c>
      <c r="C53" s="30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0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0" t="n"/>
      <c r="Z53" s="31" t="n"/>
      <c r="AA53" s="31" t="n"/>
      <c r="AB53" s="31" t="n"/>
      <c r="AC53" s="31" t="n"/>
    </row>
    <row r="54">
      <c r="A54" s="20" t="inlineStr">
        <is>
          <t>발행주식수 (보통주)</t>
        </is>
      </c>
      <c r="B54" s="29" t="n">
        <v>30158000</v>
      </c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0" t="n"/>
      <c r="Z54" s="31" t="n"/>
      <c r="AA54" s="31" t="n"/>
      <c r="AB54" s="31" t="n"/>
      <c r="AC54" s="31" t="n"/>
    </row>
    <row r="55">
      <c r="A55" s="20" t="inlineStr">
        <is>
          <t>시가총액 (백만엔)</t>
        </is>
      </c>
      <c r="B55" s="12">
        <f>IF(OR(B53="",B54=""),"",B53*B54/1000000.0)</f>
        <v/>
      </c>
      <c r="C55" s="21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1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1" t="n"/>
      <c r="Z55" s="22" t="n"/>
      <c r="AA55" s="22" t="n"/>
      <c r="AB55" s="22" t="n"/>
      <c r="AC55" s="22" t="n"/>
    </row>
    <row r="56">
      <c r="A56" s="15" t="inlineStr">
        <is>
          <t>OPM</t>
        </is>
      </c>
      <c r="B56" s="10" t="n"/>
      <c r="C56" s="16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6">
        <f>IF(O20="","",O20)</f>
        <v/>
      </c>
      <c r="P56" s="17">
        <f>IF(P20="","",P20)</f>
        <v/>
      </c>
      <c r="Q56" s="17">
        <f>IF(Q20="","",Q20)</f>
        <v/>
      </c>
      <c r="R56" s="17">
        <f>IF(R20="","",R20)</f>
        <v/>
      </c>
      <c r="S56" s="17">
        <f>IF(S20="","",S20)</f>
        <v/>
      </c>
      <c r="T56" s="17">
        <f>IF(T20="","",T20)</f>
        <v/>
      </c>
      <c r="U56" s="17">
        <f>IF(U20="","",U20)</f>
        <v/>
      </c>
      <c r="V56" s="17">
        <f>IF(V20="","",V20)</f>
        <v/>
      </c>
      <c r="W56" s="17">
        <f>IF(W20="","",W20)</f>
        <v/>
      </c>
      <c r="X56" s="17">
        <f>IF(X20="","",X20)</f>
        <v/>
      </c>
      <c r="Y56" s="16">
        <f>IF(Y20="","",Y20)</f>
        <v/>
      </c>
      <c r="Z56" s="17">
        <f>IF(Z20="","",Z20)</f>
        <v/>
      </c>
      <c r="AA56" s="17">
        <f>IF(AA20="","",AA20)</f>
        <v/>
      </c>
      <c r="AB56" s="17">
        <f>IF(AB20="","",AB20)</f>
        <v/>
      </c>
      <c r="AC56" s="17">
        <f>IF(AC20="","",AC20)</f>
        <v/>
      </c>
    </row>
    <row r="57">
      <c r="A57" s="15" t="inlineStr">
        <is>
          <t>지배주주 순이익 증가율</t>
        </is>
      </c>
      <c r="B57" s="10" t="n"/>
      <c r="C57" s="16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6" t="n"/>
      <c r="P57" s="17">
        <f>IF(OR(P49="",O49=""),"",IFERROR(P49/O49-1,""))</f>
        <v/>
      </c>
      <c r="Q57" s="17">
        <f>IF(OR(Q49="",P49=""),"",IFERROR(Q49/P49-1,""))</f>
        <v/>
      </c>
      <c r="R57" s="17">
        <f>IF(OR(R49="",Q49=""),"",IFERROR(R49/Q49-1,""))</f>
        <v/>
      </c>
      <c r="S57" s="17">
        <f>IF(OR(S49="",R49=""),"",IFERROR(S49/R49-1,""))</f>
        <v/>
      </c>
      <c r="T57" s="17">
        <f>IF(OR(T49="",S49=""),"",IFERROR(T49/S49-1,""))</f>
        <v/>
      </c>
      <c r="U57" s="17">
        <f>IF(OR(U49="",T49=""),"",IFERROR(U49/T49-1,""))</f>
        <v/>
      </c>
      <c r="V57" s="17">
        <f>IF(OR(V49="",U49=""),"",IFERROR(V49/U49-1,""))</f>
        <v/>
      </c>
      <c r="W57" s="17">
        <f>IF(OR(W49="",V49=""),"",IFERROR(W49/V49-1,""))</f>
        <v/>
      </c>
      <c r="X57" s="17">
        <f>IF(OR(X49="",W49=""),"",IFERROR(X49/W49-1,""))</f>
        <v/>
      </c>
      <c r="Y57" s="16">
        <f>IF(OR(Y49="",X49=""),"",IFERROR(Y49/X49-1,""))</f>
        <v/>
      </c>
      <c r="Z57" s="17">
        <f>IF(OR(Z49="",Y49=""),"",IFERROR(Z49/Y49-1,""))</f>
        <v/>
      </c>
      <c r="AA57" s="17">
        <f>IF(OR(AA49="",Z49=""),"",IFERROR(AA49/Z49-1,""))</f>
        <v/>
      </c>
      <c r="AB57" s="17">
        <f>IF(OR(AB49="",AA49=""),"",IFERROR(AB49/AA49-1,""))</f>
        <v/>
      </c>
      <c r="AC57" s="17">
        <f>IF(OR(AC49="",AB49=""),"",IFERROR(AC49/AB49-1,""))</f>
        <v/>
      </c>
    </row>
    <row r="58">
      <c r="A58" s="20" t="inlineStr">
        <is>
          <t>P/E (현재 주가)</t>
        </is>
      </c>
      <c r="B58" s="10" t="inlineStr">
        <is>
          <t>시총 ÷ 지배순이익</t>
        </is>
      </c>
      <c r="C58" s="32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2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>
        <f>IF(OR($B$55="",X49=""),"",IFERROR($B$55/X49,""))</f>
        <v/>
      </c>
      <c r="Y58" s="32">
        <f>IF(OR($B$55="",Y49=""),"",IFERROR($B$55/Y49,""))</f>
        <v/>
      </c>
      <c r="Z58" s="33">
        <f>IF(OR($B$55="",Z49=""),"",IFERROR($B$55/Z49,""))</f>
        <v/>
      </c>
      <c r="AA58" s="33">
        <f>IF(OR($B$55="",AA49=""),"",IFERROR($B$55/AA49,""))</f>
        <v/>
      </c>
      <c r="AB58" s="33">
        <f>IF(OR($B$55="",AB49=""),"",IFERROR($B$55/AB49,""))</f>
        <v/>
      </c>
      <c r="AC58" s="33">
        <f>IF(OR($B$55="",AC49=""),"",IFERROR($B$55/AC49,""))</f>
        <v/>
      </c>
    </row>
    <row r="59">
      <c r="A59" s="20" t="inlineStr">
        <is>
          <t>Target P/E</t>
        </is>
      </c>
      <c r="B59" s="10" t="inlineStr">
        <is>
          <t>직접 입력</t>
        </is>
      </c>
      <c r="C59" s="32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2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4" t="n"/>
      <c r="Z59" s="35" t="n"/>
      <c r="AA59" s="35" t="n"/>
      <c r="AB59" s="35" t="n"/>
      <c r="AC59" s="35" t="n"/>
    </row>
    <row r="60">
      <c r="A60" s="20" t="inlineStr">
        <is>
          <t>EPS</t>
        </is>
      </c>
      <c r="B60" s="10" t="inlineStr">
        <is>
          <t>지배순이익 ÷ 주식수</t>
        </is>
      </c>
      <c r="C60" s="30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0">
        <f>IF(OR(O49="",$B$54=""),"",IFERROR(O49*1000000.0/$B$54,""))</f>
        <v/>
      </c>
      <c r="P60" s="31">
        <f>IF(OR(P49="",$B$54=""),"",IFERROR(P49*1000000.0/$B$54,""))</f>
        <v/>
      </c>
      <c r="Q60" s="31">
        <f>IF(OR(Q49="",$B$54=""),"",IFERROR(Q49*1000000.0/$B$54,""))</f>
        <v/>
      </c>
      <c r="R60" s="31">
        <f>IF(OR(R49="",$B$54=""),"",IFERROR(R49*1000000.0/$B$54,""))</f>
        <v/>
      </c>
      <c r="S60" s="31">
        <f>IF(OR(S49="",$B$54=""),"",IFERROR(S49*1000000.0/$B$54,""))</f>
        <v/>
      </c>
      <c r="T60" s="31">
        <f>IF(OR(T49="",$B$54=""),"",IFERROR(T49*1000000.0/$B$54,""))</f>
        <v/>
      </c>
      <c r="U60" s="31">
        <f>IF(OR(U49="",$B$54=""),"",IFERROR(U49*1000000.0/$B$54,""))</f>
        <v/>
      </c>
      <c r="V60" s="31">
        <f>IF(OR(V49="",$B$54=""),"",IFERROR(V49*1000000.0/$B$54,""))</f>
        <v/>
      </c>
      <c r="W60" s="31">
        <f>IF(OR(W49="",$B$54=""),"",IFERROR(W49*1000000.0/$B$54,""))</f>
        <v/>
      </c>
      <c r="X60" s="31">
        <f>IF(OR(X49="",$B$54=""),"",IFERROR(X49*1000000.0/$B$54,""))</f>
        <v/>
      </c>
      <c r="Y60" s="30">
        <f>IF(OR(Y49="",$B$54=""),"",IFERROR(Y49*1000000.0/$B$54,""))</f>
        <v/>
      </c>
      <c r="Z60" s="31">
        <f>IF(OR(Z49="",$B$54=""),"",IFERROR(Z49*1000000.0/$B$54,""))</f>
        <v/>
      </c>
      <c r="AA60" s="31">
        <f>IF(OR(AA49="",$B$54=""),"",IFERROR(AA49*1000000.0/$B$54,""))</f>
        <v/>
      </c>
      <c r="AB60" s="31">
        <f>IF(OR(AB49="",$B$54=""),"",IFERROR(AB49*1000000.0/$B$54,""))</f>
        <v/>
      </c>
      <c r="AC60" s="31">
        <f>IF(OR(AC49="",$B$54=""),"",IFERROR(AC49*1000000.0/$B$54,""))</f>
        <v/>
      </c>
    </row>
    <row r="61">
      <c r="A61" s="9" t="inlineStr">
        <is>
          <t>목표주가</t>
        </is>
      </c>
      <c r="B61" s="10" t="n"/>
      <c r="C61" s="36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36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36">
        <f>IF(OR(Y60="",Y59=""),"",IFERROR(Y60*Y59,""))</f>
        <v/>
      </c>
      <c r="Z61" s="29">
        <f>IF(OR(Z60="",Z59=""),"",IFERROR(Z60*Z59,""))</f>
        <v/>
      </c>
      <c r="AA61" s="29">
        <f>IF(OR(AA60="",AA59=""),"",IFERROR(AA60*AA59,""))</f>
        <v/>
      </c>
      <c r="AB61" s="29">
        <f>IF(OR(AB60="",AB59=""),"",IFERROR(AB60*AB59,""))</f>
        <v/>
      </c>
      <c r="AC61" s="29">
        <f>IF(OR(AC60="",AC59=""),"",IFERROR(AC60*AC59,""))</f>
        <v/>
      </c>
    </row>
    <row r="62">
      <c r="A62" s="20" t="inlineStr">
        <is>
          <t>상승여력</t>
        </is>
      </c>
      <c r="B62" s="10" t="n"/>
      <c r="C62" s="37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7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9">
        <f>IF(OR(Y61="",$B$53=""),"",IFERROR(Y61/$B$53-1,""))</f>
        <v/>
      </c>
      <c r="Z62" s="40">
        <f>IF(OR(Z61="",$B$53=""),"",IFERROR(Z61/$B$53-1,""))</f>
        <v/>
      </c>
      <c r="AA62" s="40">
        <f>IF(OR(AA61="",$B$53=""),"",IFERROR(AA61/$B$53-1,""))</f>
        <v/>
      </c>
      <c r="AB62" s="40">
        <f>IF(OR(AB61="",$B$53=""),"",IFERROR(AB61/$B$53-1,""))</f>
        <v/>
      </c>
      <c r="AC62" s="40">
        <f>IF(OR(AC61="",$B$53=""),"",IFERROR(AC61/$B$53-1,""))</f>
        <v/>
      </c>
    </row>
    <row r="63">
      <c r="A63" s="18" t="inlineStr">
        <is>
          <t>자산가치 산출</t>
        </is>
      </c>
      <c r="B63" s="18" t="inlineStr">
        <is>
          <t>최신 분기 BS</t>
        </is>
      </c>
      <c r="C63" s="19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9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9" t="n"/>
      <c r="Z63" s="18" t="n"/>
      <c r="AA63" s="18" t="n"/>
      <c r="AB63" s="18" t="n"/>
      <c r="AC63" s="18" t="n"/>
    </row>
    <row r="64">
      <c r="A64" s="20" t="inlineStr">
        <is>
          <t>현금및현금성자산</t>
        </is>
      </c>
      <c r="B64" s="10" t="n"/>
      <c r="C64" s="21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1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>
        <f>'재무상태표'!G6</f>
        <v/>
      </c>
      <c r="Y64" s="21">
        <f>'재무상태표'!G6</f>
        <v/>
      </c>
      <c r="Z64" s="22">
        <f>'재무상태표'!G6</f>
        <v/>
      </c>
      <c r="AA64" s="22">
        <f>'재무상태표'!G6</f>
        <v/>
      </c>
      <c r="AB64" s="22">
        <f>'재무상태표'!G6</f>
        <v/>
      </c>
      <c r="AC64" s="22">
        <f>'재무상태표'!G6</f>
        <v/>
      </c>
    </row>
    <row r="65">
      <c r="A65" s="20" t="inlineStr">
        <is>
          <t>단기금융상품</t>
        </is>
      </c>
      <c r="B65" s="10" t="n"/>
      <c r="C65" s="21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1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>
        <f>'재무상태표'!G7</f>
        <v/>
      </c>
      <c r="Y65" s="21">
        <f>'재무상태표'!G7</f>
        <v/>
      </c>
      <c r="Z65" s="22">
        <f>'재무상태표'!G7</f>
        <v/>
      </c>
      <c r="AA65" s="22">
        <f>'재무상태표'!G7</f>
        <v/>
      </c>
      <c r="AB65" s="22">
        <f>'재무상태표'!G7</f>
        <v/>
      </c>
      <c r="AC65" s="22">
        <f>'재무상태표'!G7</f>
        <v/>
      </c>
    </row>
    <row r="66">
      <c r="A66" s="20" t="inlineStr">
        <is>
          <t>투자부동산</t>
        </is>
      </c>
      <c r="B66" s="10" t="n"/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>
        <f>'재무상태표'!G14</f>
        <v/>
      </c>
      <c r="Y66" s="21">
        <f>'재무상태표'!G14</f>
        <v/>
      </c>
      <c r="Z66" s="22">
        <f>'재무상태표'!G14</f>
        <v/>
      </c>
      <c r="AA66" s="22">
        <f>'재무상태표'!G14</f>
        <v/>
      </c>
      <c r="AB66" s="22">
        <f>'재무상태표'!G14</f>
        <v/>
      </c>
      <c r="AC66" s="22">
        <f>'재무상태표'!G14</f>
        <v/>
      </c>
    </row>
    <row r="67">
      <c r="A67" s="20" t="inlineStr">
        <is>
          <t>지배자본</t>
        </is>
      </c>
      <c r="B67" s="10" t="n"/>
      <c r="C67" s="21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1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>
        <f>'재무상태표'!G31</f>
        <v/>
      </c>
      <c r="Y67" s="21">
        <f>'재무상태표'!G31</f>
        <v/>
      </c>
      <c r="Z67" s="22">
        <f>'재무상태표'!G31</f>
        <v/>
      </c>
      <c r="AA67" s="22">
        <f>'재무상태표'!G31</f>
        <v/>
      </c>
      <c r="AB67" s="22">
        <f>'재무상태표'!G31</f>
        <v/>
      </c>
      <c r="AC67" s="22">
        <f>'재무상태표'!G31</f>
        <v/>
      </c>
    </row>
    <row r="68">
      <c r="A68" s="20" t="inlineStr">
        <is>
          <t>부채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>
        <f>'재무상태표'!G27</f>
        <v/>
      </c>
      <c r="Y68" s="21">
        <f>'재무상태표'!G27</f>
        <v/>
      </c>
      <c r="Z68" s="22">
        <f>'재무상태표'!G27</f>
        <v/>
      </c>
      <c r="AA68" s="22">
        <f>'재무상태표'!G27</f>
        <v/>
      </c>
      <c r="AB68" s="22">
        <f>'재무상태표'!G27</f>
        <v/>
      </c>
      <c r="AC68" s="22">
        <f>'재무상태표'!G27</f>
        <v/>
      </c>
    </row>
    <row r="69">
      <c r="A69" s="15" t="inlineStr">
        <is>
          <t>부채비율</t>
        </is>
      </c>
      <c r="B69" s="10" t="n"/>
      <c r="C69" s="16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6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>
        <f>IF(OR(X68="",X67=""),"",IFERROR(X68/X67,""))</f>
        <v/>
      </c>
      <c r="Y69" s="16">
        <f>IF(OR(Y68="",Y67=""),"",IFERROR(Y68/Y67,""))</f>
        <v/>
      </c>
      <c r="Z69" s="17">
        <f>IF(OR(Z68="",Z67=""),"",IFERROR(Z68/Z67,""))</f>
        <v/>
      </c>
      <c r="AA69" s="17">
        <f>IF(OR(AA68="",AA67=""),"",IFERROR(AA68/AA67,""))</f>
        <v/>
      </c>
      <c r="AB69" s="17">
        <f>IF(OR(AB68="",AB67=""),"",IFERROR(AB68/AB67,""))</f>
        <v/>
      </c>
      <c r="AC69" s="17">
        <f>IF(OR(AC68="",AC67=""),"",IFERROR(AC68/AC67,""))</f>
        <v/>
      </c>
    </row>
    <row r="70">
      <c r="A70" s="9" t="inlineStr">
        <is>
          <t>자산가치</t>
        </is>
      </c>
      <c r="B70" s="10" t="inlineStr">
        <is>
          <t>현금+단기금융+투자부동산</t>
        </is>
      </c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>
        <f>SUM(X64,X65,X66)</f>
        <v/>
      </c>
      <c r="Y70" s="11">
        <f>SUM(Y64,Y65,Y66)</f>
        <v/>
      </c>
      <c r="Z70" s="12">
        <f>SUM(Z64,Z65,Z66)</f>
        <v/>
      </c>
      <c r="AA70" s="12">
        <f>SUM(AA64,AA65,AA66)</f>
        <v/>
      </c>
      <c r="AB70" s="12">
        <f>SUM(AB64,AB65,AB66)</f>
        <v/>
      </c>
      <c r="AC70" s="12">
        <f>SUM(AC64,AC65,AC66)</f>
        <v/>
      </c>
    </row>
    <row r="71">
      <c r="A71" s="18" t="inlineStr">
        <is>
          <t>기업가치 산출</t>
        </is>
      </c>
      <c r="B71" s="18" t="n"/>
      <c r="C71" s="19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9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9" t="n"/>
      <c r="Z71" s="18" t="n"/>
      <c r="AA71" s="18" t="n"/>
      <c r="AB71" s="18" t="n"/>
      <c r="AC71" s="18" t="n"/>
    </row>
    <row r="72">
      <c r="A72" s="20" t="inlineStr">
        <is>
          <t>목표 시가총액 (P/E)</t>
        </is>
      </c>
      <c r="B72" s="10" t="inlineStr">
        <is>
          <t>지배순이익 × Target P/E</t>
        </is>
      </c>
      <c r="C72" s="21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1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1">
        <f>IF(OR(Y49="",Y59=""),"",IFERROR(Y49*Y59,""))</f>
        <v/>
      </c>
      <c r="Z72" s="22">
        <f>IF(OR(Z49="",Z59=""),"",IFERROR(Z49*Z59,""))</f>
        <v/>
      </c>
      <c r="AA72" s="22">
        <f>IF(OR(AA49="",AA59=""),"",IFERROR(AA49*AA59,""))</f>
        <v/>
      </c>
      <c r="AB72" s="22">
        <f>IF(OR(AB49="",AB59=""),"",IFERROR(AB49*AB59,""))</f>
        <v/>
      </c>
      <c r="AC72" s="22">
        <f>IF(OR(AC49="",AC59=""),"",IFERROR(AC49*AC59,""))</f>
        <v/>
      </c>
    </row>
    <row r="73">
      <c r="A73" s="9" t="inlineStr">
        <is>
          <t>기업가치</t>
        </is>
      </c>
      <c r="B73" s="10" t="inlineStr">
        <is>
          <t>목표시총 + 자산가치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1">
        <f>IF(OR(Y72=""),"",IFERROR(Y72+Y70,""))</f>
        <v/>
      </c>
      <c r="Z73" s="12">
        <f>IF(OR(Z72=""),"",IFERROR(Z72+Z70,""))</f>
        <v/>
      </c>
      <c r="AA73" s="12">
        <f>IF(OR(AA72=""),"",IFERROR(AA72+AA70,""))</f>
        <v/>
      </c>
      <c r="AB73" s="12">
        <f>IF(OR(AB72=""),"",IFERROR(AB72+AB70,""))</f>
        <v/>
      </c>
      <c r="AC73" s="12">
        <f>IF(OR(AC72=""),"",IFERROR(AC72+AC70,""))</f>
        <v/>
      </c>
    </row>
    <row r="74">
      <c r="A74" s="20" t="inlineStr">
        <is>
          <t>현재 시가총액</t>
        </is>
      </c>
      <c r="B74" s="10" t="n"/>
      <c r="C74" s="21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1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1">
        <f>$B$55</f>
        <v/>
      </c>
      <c r="Z74" s="22">
        <f>$B$55</f>
        <v/>
      </c>
      <c r="AA74" s="22">
        <f>$B$55</f>
        <v/>
      </c>
      <c r="AB74" s="22">
        <f>$B$55</f>
        <v/>
      </c>
      <c r="AC74" s="22">
        <f>$B$55</f>
        <v/>
      </c>
    </row>
    <row r="75">
      <c r="A75" s="20" t="inlineStr">
        <is>
          <t>상승여력</t>
        </is>
      </c>
      <c r="B75" s="10" t="n"/>
      <c r="C75" s="37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7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9">
        <f>IF(OR(Y73="",Y74=""),"",IFERROR(Y73/Y74-1,""))</f>
        <v/>
      </c>
      <c r="Z75" s="40">
        <f>IF(OR(Z73="",Z74=""),"",IFERROR(Z73/Z74-1,""))</f>
        <v/>
      </c>
      <c r="AA75" s="40">
        <f>IF(OR(AA73="",AA74=""),"",IFERROR(AA73/AA74-1,""))</f>
        <v/>
      </c>
      <c r="AB75" s="40">
        <f>IF(OR(AB73="",AB74=""),"",IFERROR(AB73/AB74-1,""))</f>
        <v/>
      </c>
      <c r="AC75" s="40">
        <f>IF(OR(AC73="",AC74=""),"",IFERROR(AC73/AC74-1,""))</f>
        <v/>
      </c>
    </row>
    <row r="76">
      <c r="C76" s="41" t="n"/>
      <c r="O76" s="41" t="n"/>
      <c r="Y76" s="41" t="n"/>
    </row>
    <row r="77">
      <c r="A77" s="42" t="inlineStr">
        <is>
          <t>출처</t>
        </is>
      </c>
      <c r="C77" s="41" t="n"/>
      <c r="O77" s="41" t="n"/>
      <c r="Y77" s="41" t="n"/>
    </row>
    <row r="78">
      <c r="A78" s="43" t="inlineStr">
        <is>
          <t>결산단신 XBRL(TDnet·JPX 보관소) — 쓴 문서는 '출처' 시트</t>
        </is>
      </c>
      <c r="C78" s="41" t="n"/>
      <c r="O78" s="41" t="n"/>
      <c r="Y78" s="41" t="n"/>
    </row>
    <row r="79">
      <c r="A79" s="43" t="inlineStr">
        <is>
          <t>분기 = 누계에서 앞 분기를 뺀 3개월 값</t>
        </is>
      </c>
      <c r="C79" s="41" t="n"/>
      <c r="O79" s="41" t="n"/>
      <c r="Y79" s="41" t="n"/>
    </row>
    <row r="80">
      <c r="A80" s="43" t="inlineStr">
        <is>
          <t>주가: 야후 파이낸스 일봉 2026.10.28</t>
        </is>
      </c>
      <c r="C80" s="41" t="n"/>
      <c r="O80" s="41" t="n"/>
      <c r="Y80" s="41" t="n"/>
    </row>
    <row r="82">
      <c r="A82" s="18" t="inlineStr">
        <is>
          <t>손익계산서 · 전 항목</t>
        </is>
      </c>
      <c r="B82" s="44" t="inlineStr">
        <is>
          <t>분기 = 3개월 단독</t>
        </is>
      </c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</row>
    <row r="83">
      <c r="A83" s="5" t="inlineStr">
        <is>
          <t>항목</t>
        </is>
      </c>
      <c r="B83" s="5" t="inlineStr">
        <is>
          <t>참고</t>
        </is>
      </c>
      <c r="C83" s="5" t="inlineStr">
        <is>
          <t>2023.4Q</t>
        </is>
      </c>
      <c r="D83" s="5" t="inlineStr">
        <is>
          <t>2024.1Q</t>
        </is>
      </c>
      <c r="E83" s="5" t="inlineStr">
        <is>
          <t>2024.2Q</t>
        </is>
      </c>
      <c r="F83" s="5" t="inlineStr">
        <is>
          <t>2024.3Q</t>
        </is>
      </c>
      <c r="G83" s="5" t="inlineStr">
        <is>
          <t>2024.4Q</t>
        </is>
      </c>
      <c r="H83" s="5" t="inlineStr">
        <is>
          <t>2025.1Q</t>
        </is>
      </c>
      <c r="I83" s="5" t="inlineStr">
        <is>
          <t>2025.2Q</t>
        </is>
      </c>
      <c r="J83" s="5" t="inlineStr">
        <is>
          <t>2025.3Q</t>
        </is>
      </c>
      <c r="K83" s="5" t="inlineStr">
        <is>
          <t>2025.4Q</t>
        </is>
      </c>
      <c r="L83" s="5" t="inlineStr">
        <is>
          <t>2026.1Q</t>
        </is>
      </c>
      <c r="M83" s="5" t="inlineStr">
        <is>
          <t>2026.2Q</t>
        </is>
      </c>
      <c r="N83" s="5" t="inlineStr">
        <is>
          <t>2026.3Q</t>
        </is>
      </c>
      <c r="O83" s="5" t="inlineStr">
        <is>
          <t>2016</t>
        </is>
      </c>
      <c r="P83" s="5" t="inlineStr">
        <is>
          <t>2017</t>
        </is>
      </c>
      <c r="Q83" s="5" t="inlineStr">
        <is>
          <t>2018</t>
        </is>
      </c>
      <c r="R83" s="5" t="inlineStr">
        <is>
          <t>2019</t>
        </is>
      </c>
      <c r="S83" s="5" t="inlineStr">
        <is>
          <t>2020</t>
        </is>
      </c>
      <c r="T83" s="5" t="inlineStr">
        <is>
          <t>2021</t>
        </is>
      </c>
      <c r="U83" s="5" t="inlineStr">
        <is>
          <t>2022</t>
        </is>
      </c>
      <c r="V83" s="5" t="inlineStr">
        <is>
          <t>2023</t>
        </is>
      </c>
      <c r="W83" s="5" t="inlineStr">
        <is>
          <t>2024</t>
        </is>
      </c>
      <c r="X83" s="5" t="inlineStr">
        <is>
          <t>2025</t>
        </is>
      </c>
      <c r="Y83" s="5" t="inlineStr">
        <is>
          <t>2026(MW)</t>
        </is>
      </c>
      <c r="Z83" s="5" t="inlineStr">
        <is>
          <t>2027(MW)</t>
        </is>
      </c>
      <c r="AA83" s="5" t="inlineStr">
        <is>
          <t>2028(MW)</t>
        </is>
      </c>
      <c r="AB83" s="5" t="inlineStr">
        <is>
          <t>2029(MW)</t>
        </is>
      </c>
      <c r="AC83" s="5" t="inlineStr">
        <is>
          <t>2030(MW)</t>
        </is>
      </c>
    </row>
    <row r="84">
      <c r="A84" s="9" t="inlineStr">
        <is>
          <t>매출액</t>
        </is>
      </c>
      <c r="C84" s="12" t="n">
        <v>5852.121</v>
      </c>
      <c r="D84" s="12" t="n">
        <v>6527</v>
      </c>
      <c r="E84" s="12" t="n">
        <v>6157</v>
      </c>
      <c r="F84" s="12" t="n">
        <v>7268</v>
      </c>
      <c r="G84" s="12" t="n">
        <v>6665</v>
      </c>
      <c r="H84" s="12" t="n">
        <v>7284</v>
      </c>
      <c r="I84" s="12" t="n">
        <v>7306</v>
      </c>
      <c r="J84" s="12" t="n">
        <v>7879</v>
      </c>
      <c r="K84" s="12" t="n">
        <v>7750</v>
      </c>
      <c r="L84" s="12" t="n">
        <v>8241</v>
      </c>
      <c r="M84" s="12" t="n">
        <v>8233</v>
      </c>
      <c r="N84" s="12" t="n">
        <v>8877</v>
      </c>
      <c r="V84" s="12" t="n">
        <v>5852.121</v>
      </c>
      <c r="W84" s="12" t="n">
        <v>6665</v>
      </c>
      <c r="X84" s="12" t="n">
        <v>7750</v>
      </c>
    </row>
    <row r="85">
      <c r="A85" s="45" t="inlineStr">
        <is>
          <t>YoY</t>
        </is>
      </c>
      <c r="B85" s="3" t="inlineStr">
        <is>
          <t>전년 같은 분기·전년 대비</t>
        </is>
      </c>
      <c r="G85" s="17">
        <f>IF(OR(G84="",C84=""),"",IF(C84&lt;=0,"",IFERROR(G84/C84-1,"")))</f>
        <v/>
      </c>
      <c r="H85" s="17">
        <f>IF(OR(H84="",D84=""),"",IF(D84&lt;=0,"",IFERROR(H84/D84-1,"")))</f>
        <v/>
      </c>
      <c r="I85" s="17">
        <f>IF(OR(I84="",E84=""),"",IF(E84&lt;=0,"",IFERROR(I84/E84-1,"")))</f>
        <v/>
      </c>
      <c r="J85" s="17">
        <f>IF(OR(J84="",F84=""),"",IF(F84&lt;=0,"",IFERROR(J84/F84-1,"")))</f>
        <v/>
      </c>
      <c r="K85" s="17">
        <f>IF(OR(K84="",G84=""),"",IF(G84&lt;=0,"",IFERROR(K84/G84-1,"")))</f>
        <v/>
      </c>
      <c r="L85" s="17">
        <f>IF(OR(L84="",H84=""),"",IF(H84&lt;=0,"",IFERROR(L84/H84-1,"")))</f>
        <v/>
      </c>
      <c r="M85" s="17">
        <f>IF(OR(M84="",I84=""),"",IF(I84&lt;=0,"",IFERROR(M84/I84-1,"")))</f>
        <v/>
      </c>
      <c r="N85" s="17">
        <f>IF(OR(N84="",J84=""),"",IF(J84&lt;=0,"",IFERROR(N84/J84-1,"")))</f>
        <v/>
      </c>
      <c r="V85" s="17">
        <f>IF(OR(V84="",U84=""),"",IF(U84&lt;=0,"",IFERROR(V84/U84-1,"")))</f>
        <v/>
      </c>
      <c r="W85" s="17">
        <f>IF(OR(W84="",V84=""),"",IF(V84&lt;=0,"",IFERROR(W84/V84-1,"")))</f>
        <v/>
      </c>
      <c r="X85" s="17">
        <f>IF(OR(X84="",W84=""),"",IF(W84&lt;=0,"",IFERROR(X84/W84-1,"")))</f>
        <v/>
      </c>
    </row>
    <row r="86">
      <c r="A86" s="20" t="inlineStr">
        <is>
          <t>매출원가</t>
        </is>
      </c>
      <c r="C86" s="22" t="n">
        <v>1951.839</v>
      </c>
      <c r="D86" s="22" t="n">
        <v>2141</v>
      </c>
      <c r="E86" s="22" t="n">
        <v>2031</v>
      </c>
      <c r="F86" s="22" t="n">
        <v>2334</v>
      </c>
      <c r="G86" s="22" t="n">
        <v>2109</v>
      </c>
      <c r="H86" s="22" t="n">
        <v>2496</v>
      </c>
      <c r="I86" s="22" t="n">
        <v>2395</v>
      </c>
      <c r="J86" s="22" t="n">
        <v>2552</v>
      </c>
      <c r="K86" s="22" t="n">
        <v>2471</v>
      </c>
      <c r="L86" s="22" t="n">
        <v>2666</v>
      </c>
      <c r="M86" s="22" t="n">
        <v>2572</v>
      </c>
      <c r="N86" s="22" t="n">
        <v>2936</v>
      </c>
      <c r="V86" s="22" t="n">
        <v>1951.839</v>
      </c>
      <c r="W86" s="22" t="n">
        <v>2109</v>
      </c>
      <c r="X86" s="22" t="n">
        <v>2471</v>
      </c>
    </row>
    <row r="87">
      <c r="A87" s="45" t="inlineStr">
        <is>
          <t>YoY</t>
        </is>
      </c>
      <c r="B87" s="3" t="inlineStr">
        <is>
          <t>전년 같은 분기·전년 대비</t>
        </is>
      </c>
      <c r="G87" s="17">
        <f>IF(OR(G86="",C86=""),"",IF(G86*C86&lt;=0,"",IFERROR(G86/C86-1,"")))</f>
        <v/>
      </c>
      <c r="H87" s="17">
        <f>IF(OR(H86="",D86=""),"",IF(H86*D86&lt;=0,"",IFERROR(H86/D86-1,"")))</f>
        <v/>
      </c>
      <c r="I87" s="17">
        <f>IF(OR(I86="",E86=""),"",IF(I86*E86&lt;=0,"",IFERROR(I86/E86-1,"")))</f>
        <v/>
      </c>
      <c r="J87" s="17">
        <f>IF(OR(J86="",F86=""),"",IF(J86*F86&lt;=0,"",IFERROR(J86/F86-1,"")))</f>
        <v/>
      </c>
      <c r="K87" s="17">
        <f>IF(OR(K86="",G86=""),"",IF(K86*G86&lt;=0,"",IFERROR(K86/G86-1,"")))</f>
        <v/>
      </c>
      <c r="L87" s="17">
        <f>IF(OR(L86="",H86=""),"",IF(L86*H86&lt;=0,"",IFERROR(L86/H86-1,"")))</f>
        <v/>
      </c>
      <c r="M87" s="17">
        <f>IF(OR(M86="",I86=""),"",IF(M86*I86&lt;=0,"",IFERROR(M86/I86-1,"")))</f>
        <v/>
      </c>
      <c r="N87" s="17">
        <f>IF(OR(N86="",J86=""),"",IF(N86*J86&lt;=0,"",IFERROR(N86/J86-1,"")))</f>
        <v/>
      </c>
      <c r="V87" s="17">
        <f>IF(OR(V86="",U86=""),"",IF(V86*U86&lt;=0,"",IFERROR(V86/U86-1,"")))</f>
        <v/>
      </c>
      <c r="W87" s="17">
        <f>IF(OR(W86="",V86=""),"",IF(W86*V86&lt;=0,"",IFERROR(W86/V86-1,"")))</f>
        <v/>
      </c>
      <c r="X87" s="17">
        <f>IF(OR(X86="",W86=""),"",IF(X86*W86&lt;=0,"",IFERROR(X86/W86-1,"")))</f>
        <v/>
      </c>
    </row>
    <row r="88">
      <c r="A88" s="9" t="inlineStr">
        <is>
          <t>매출총이익</t>
        </is>
      </c>
      <c r="C88" s="12" t="n">
        <v>3900.283</v>
      </c>
      <c r="D88" s="12" t="n">
        <v>4385</v>
      </c>
      <c r="E88" s="12" t="n">
        <v>4127</v>
      </c>
      <c r="F88" s="12" t="n">
        <v>4934</v>
      </c>
      <c r="G88" s="12" t="n">
        <v>4555</v>
      </c>
      <c r="H88" s="12" t="n">
        <v>4788</v>
      </c>
      <c r="I88" s="12" t="n">
        <v>4911</v>
      </c>
      <c r="J88" s="12" t="n">
        <v>5327</v>
      </c>
      <c r="K88" s="12" t="n">
        <v>5278</v>
      </c>
      <c r="L88" s="12" t="n">
        <v>5575</v>
      </c>
      <c r="M88" s="12" t="n">
        <v>5661</v>
      </c>
      <c r="N88" s="12" t="n">
        <v>5940</v>
      </c>
      <c r="V88" s="12" t="n">
        <v>3900.283</v>
      </c>
      <c r="W88" s="12" t="n">
        <v>4555</v>
      </c>
      <c r="X88" s="12" t="n">
        <v>5278</v>
      </c>
    </row>
    <row r="89">
      <c r="A89" s="45" t="inlineStr">
        <is>
          <t>YoY</t>
        </is>
      </c>
      <c r="B89" s="3" t="inlineStr">
        <is>
          <t>전년 같은 분기·전년 대비</t>
        </is>
      </c>
      <c r="G89" s="17">
        <f>IF(OR(G88="",C88=""),"",IF(C88&lt;=0,"",IFERROR(G88/C88-1,"")))</f>
        <v/>
      </c>
      <c r="H89" s="17">
        <f>IF(OR(H88="",D88=""),"",IF(D88&lt;=0,"",IFERROR(H88/D88-1,"")))</f>
        <v/>
      </c>
      <c r="I89" s="17">
        <f>IF(OR(I88="",E88=""),"",IF(E88&lt;=0,"",IFERROR(I88/E88-1,"")))</f>
        <v/>
      </c>
      <c r="J89" s="17">
        <f>IF(OR(J88="",F88=""),"",IF(F88&lt;=0,"",IFERROR(J88/F88-1,"")))</f>
        <v/>
      </c>
      <c r="K89" s="17">
        <f>IF(OR(K88="",G88=""),"",IF(G88&lt;=0,"",IFERROR(K88/G88-1,"")))</f>
        <v/>
      </c>
      <c r="L89" s="17">
        <f>IF(OR(L88="",H88=""),"",IF(H88&lt;=0,"",IFERROR(L88/H88-1,"")))</f>
        <v/>
      </c>
      <c r="M89" s="17">
        <f>IF(OR(M88="",I88=""),"",IF(I88&lt;=0,"",IFERROR(M88/I88-1,"")))</f>
        <v/>
      </c>
      <c r="N89" s="17">
        <f>IF(OR(N88="",J88=""),"",IF(J88&lt;=0,"",IFERROR(N88/J88-1,"")))</f>
        <v/>
      </c>
      <c r="V89" s="17">
        <f>IF(OR(V88="",U88=""),"",IF(U88&lt;=0,"",IFERROR(V88/U88-1,"")))</f>
        <v/>
      </c>
      <c r="W89" s="17">
        <f>IF(OR(W88="",V88=""),"",IF(V88&lt;=0,"",IFERROR(W88/V88-1,"")))</f>
        <v/>
      </c>
      <c r="X89" s="17">
        <f>IF(OR(X88="",W88=""),"",IF(W88&lt;=0,"",IFERROR(X88/W88-1,"")))</f>
        <v/>
      </c>
    </row>
    <row r="90">
      <c r="A90" s="20" t="inlineStr">
        <is>
          <t>판매비와 관리비</t>
        </is>
      </c>
      <c r="C90" s="22" t="n">
        <v>3446.758</v>
      </c>
      <c r="D90" s="22" t="n">
        <v>3607</v>
      </c>
      <c r="E90" s="22" t="n">
        <v>3683</v>
      </c>
      <c r="F90" s="22" t="n">
        <v>4141</v>
      </c>
      <c r="G90" s="22" t="n">
        <v>4039</v>
      </c>
      <c r="H90" s="22" t="n">
        <v>4255</v>
      </c>
      <c r="I90" s="22" t="n">
        <v>4219</v>
      </c>
      <c r="J90" s="22" t="n">
        <v>4493</v>
      </c>
      <c r="K90" s="22" t="n">
        <v>4407</v>
      </c>
      <c r="L90" s="22" t="n">
        <v>4544</v>
      </c>
      <c r="M90" s="22" t="n">
        <v>4763</v>
      </c>
      <c r="N90" s="22" t="n">
        <v>4815</v>
      </c>
      <c r="V90" s="22" t="n">
        <v>3446.758</v>
      </c>
      <c r="W90" s="22" t="n">
        <v>4039</v>
      </c>
      <c r="X90" s="22" t="n">
        <v>4407</v>
      </c>
    </row>
    <row r="91">
      <c r="A91" s="45" t="inlineStr">
        <is>
          <t>YoY</t>
        </is>
      </c>
      <c r="B91" s="3" t="inlineStr">
        <is>
          <t>전년 같은 분기·전년 대비</t>
        </is>
      </c>
      <c r="G91" s="17">
        <f>IF(OR(G90="",C90=""),"",IF(G90*C90&lt;=0,"",IFERROR(G90/C90-1,"")))</f>
        <v/>
      </c>
      <c r="H91" s="17">
        <f>IF(OR(H90="",D90=""),"",IF(H90*D90&lt;=0,"",IFERROR(H90/D90-1,"")))</f>
        <v/>
      </c>
      <c r="I91" s="17">
        <f>IF(OR(I90="",E90=""),"",IF(I90*E90&lt;=0,"",IFERROR(I90/E90-1,"")))</f>
        <v/>
      </c>
      <c r="J91" s="17">
        <f>IF(OR(J90="",F90=""),"",IF(J90*F90&lt;=0,"",IFERROR(J90/F90-1,"")))</f>
        <v/>
      </c>
      <c r="K91" s="17">
        <f>IF(OR(K90="",G90=""),"",IF(K90*G90&lt;=0,"",IFERROR(K90/G90-1,"")))</f>
        <v/>
      </c>
      <c r="L91" s="17">
        <f>IF(OR(L90="",H90=""),"",IF(L90*H90&lt;=0,"",IFERROR(L90/H90-1,"")))</f>
        <v/>
      </c>
      <c r="M91" s="17">
        <f>IF(OR(M90="",I90=""),"",IF(M90*I90&lt;=0,"",IFERROR(M90/I90-1,"")))</f>
        <v/>
      </c>
      <c r="N91" s="17">
        <f>IF(OR(N90="",J90=""),"",IF(N90*J90&lt;=0,"",IFERROR(N90/J90-1,"")))</f>
        <v/>
      </c>
      <c r="V91" s="17">
        <f>IF(OR(V90="",U90=""),"",IF(V90*U90&lt;=0,"",IFERROR(V90/U90-1,"")))</f>
        <v/>
      </c>
      <c r="W91" s="17">
        <f>IF(OR(W90="",V90=""),"",IF(W90*V90&lt;=0,"",IFERROR(W90/V90-1,"")))</f>
        <v/>
      </c>
      <c r="X91" s="17">
        <f>IF(OR(X90="",W90=""),"",IF(X90*W90&lt;=0,"",IFERROR(X90/W90-1,"")))</f>
        <v/>
      </c>
    </row>
    <row r="92">
      <c r="A92" s="9" t="inlineStr">
        <is>
          <t>영업이익</t>
        </is>
      </c>
      <c r="C92" s="12" t="n">
        <v>453.524</v>
      </c>
      <c r="D92" s="12" t="n">
        <v>777</v>
      </c>
      <c r="E92" s="12" t="n">
        <v>444</v>
      </c>
      <c r="F92" s="12" t="n">
        <v>794</v>
      </c>
      <c r="G92" s="12" t="n">
        <v>516</v>
      </c>
      <c r="H92" s="12" t="n">
        <v>532</v>
      </c>
      <c r="I92" s="12" t="n">
        <v>692</v>
      </c>
      <c r="J92" s="12" t="n">
        <v>834</v>
      </c>
      <c r="K92" s="12" t="n">
        <v>872</v>
      </c>
      <c r="L92" s="12" t="n">
        <v>1031</v>
      </c>
      <c r="M92" s="12" t="n">
        <v>898</v>
      </c>
      <c r="N92" s="12" t="n">
        <v>1125</v>
      </c>
      <c r="V92" s="12" t="n">
        <v>453.524</v>
      </c>
      <c r="W92" s="12" t="n">
        <v>516</v>
      </c>
      <c r="X92" s="12" t="n">
        <v>872</v>
      </c>
    </row>
    <row r="93">
      <c r="A93" s="45" t="inlineStr">
        <is>
          <t>OPM</t>
        </is>
      </c>
      <c r="B93" s="3" t="inlineStr">
        <is>
          <t>영업이익 ÷ 매출</t>
        </is>
      </c>
      <c r="C93" s="17">
        <f>IF(OR(C92="",C84=""),"",IF(C84&lt;=0,"",IFERROR(C92/C84,"")))</f>
        <v/>
      </c>
      <c r="D93" s="17">
        <f>IF(OR(D92="",D84=""),"",IF(D84&lt;=0,"",IFERROR(D92/D84,"")))</f>
        <v/>
      </c>
      <c r="E93" s="17">
        <f>IF(OR(E92="",E84=""),"",IF(E84&lt;=0,"",IFERROR(E92/E84,"")))</f>
        <v/>
      </c>
      <c r="F93" s="17">
        <f>IF(OR(F92="",F84=""),"",IF(F84&lt;=0,"",IFERROR(F92/F84,"")))</f>
        <v/>
      </c>
      <c r="G93" s="17">
        <f>IF(OR(G92="",G84=""),"",IF(G84&lt;=0,"",IFERROR(G92/G84,"")))</f>
        <v/>
      </c>
      <c r="H93" s="17">
        <f>IF(OR(H92="",H84=""),"",IF(H84&lt;=0,"",IFERROR(H92/H84,"")))</f>
        <v/>
      </c>
      <c r="I93" s="17">
        <f>IF(OR(I92="",I84=""),"",IF(I84&lt;=0,"",IFERROR(I92/I84,"")))</f>
        <v/>
      </c>
      <c r="J93" s="17">
        <f>IF(OR(J92="",J84=""),"",IF(J84&lt;=0,"",IFERROR(J92/J84,"")))</f>
        <v/>
      </c>
      <c r="K93" s="17">
        <f>IF(OR(K92="",K84=""),"",IF(K84&lt;=0,"",IFERROR(K92/K84,"")))</f>
        <v/>
      </c>
      <c r="L93" s="17">
        <f>IF(OR(L92="",L84=""),"",IF(L84&lt;=0,"",IFERROR(L92/L84,"")))</f>
        <v/>
      </c>
      <c r="M93" s="17">
        <f>IF(OR(M92="",M84=""),"",IF(M84&lt;=0,"",IFERROR(M92/M84,"")))</f>
        <v/>
      </c>
      <c r="N93" s="17">
        <f>IF(OR(N92="",N84=""),"",IF(N84&lt;=0,"",IFERROR(N92/N84,"")))</f>
        <v/>
      </c>
      <c r="V93" s="17">
        <f>IF(OR(V92="",V84=""),"",IF(V84&lt;=0,"",IFERROR(V92/V84,"")))</f>
        <v/>
      </c>
      <c r="W93" s="17">
        <f>IF(OR(W92="",W84=""),"",IF(W84&lt;=0,"",IFERROR(W92/W84,"")))</f>
        <v/>
      </c>
      <c r="X93" s="17">
        <f>IF(OR(X92="",X84=""),"",IF(X84&lt;=0,"",IFERROR(X92/X84,"")))</f>
        <v/>
      </c>
    </row>
    <row r="94">
      <c r="A94" s="45" t="inlineStr">
        <is>
          <t>YoY</t>
        </is>
      </c>
      <c r="B94" s="3" t="inlineStr">
        <is>
          <t>전년 같은 분기·전년 대비</t>
        </is>
      </c>
      <c r="G94" s="17">
        <f>IF(OR(G92="",C92=""),"",IF(C92&lt;=0,"",IFERROR(G92/C92-1,"")))</f>
        <v/>
      </c>
      <c r="H94" s="17">
        <f>IF(OR(H92="",D92=""),"",IF(D92&lt;=0,"",IFERROR(H92/D92-1,"")))</f>
        <v/>
      </c>
      <c r="I94" s="17">
        <f>IF(OR(I92="",E92=""),"",IF(E92&lt;=0,"",IFERROR(I92/E92-1,"")))</f>
        <v/>
      </c>
      <c r="J94" s="17">
        <f>IF(OR(J92="",F92=""),"",IF(F92&lt;=0,"",IFERROR(J92/F92-1,"")))</f>
        <v/>
      </c>
      <c r="K94" s="17">
        <f>IF(OR(K92="",G92=""),"",IF(G92&lt;=0,"",IFERROR(K92/G92-1,"")))</f>
        <v/>
      </c>
      <c r="L94" s="17">
        <f>IF(OR(L92="",H92=""),"",IF(H92&lt;=0,"",IFERROR(L92/H92-1,"")))</f>
        <v/>
      </c>
      <c r="M94" s="17">
        <f>IF(OR(M92="",I92=""),"",IF(I92&lt;=0,"",IFERROR(M92/I92-1,"")))</f>
        <v/>
      </c>
      <c r="N94" s="17">
        <f>IF(OR(N92="",J92=""),"",IF(J92&lt;=0,"",IFERROR(N92/J92-1,"")))</f>
        <v/>
      </c>
      <c r="V94" s="17">
        <f>IF(OR(V92="",U92=""),"",IF(U92&lt;=0,"",IFERROR(V92/U92-1,"")))</f>
        <v/>
      </c>
      <c r="W94" s="17">
        <f>IF(OR(W92="",V92=""),"",IF(V92&lt;=0,"",IFERROR(W92/V92-1,"")))</f>
        <v/>
      </c>
      <c r="X94" s="17">
        <f>IF(OR(X92="",W92=""),"",IF(W92&lt;=0,"",IFERROR(X92/W92-1,"")))</f>
        <v/>
      </c>
    </row>
    <row r="95">
      <c r="A95" s="20" t="inlineStr">
        <is>
          <t>이자수익</t>
        </is>
      </c>
      <c r="C95" s="22" t="n">
        <v>0.607</v>
      </c>
      <c r="D95" s="22" t="n">
        <v>1</v>
      </c>
      <c r="E95" s="22" t="n">
        <v>1</v>
      </c>
      <c r="F95" s="22" t="n">
        <v>2</v>
      </c>
      <c r="G95" s="22" t="n">
        <v>3</v>
      </c>
      <c r="H95" s="22" t="n">
        <v>2</v>
      </c>
      <c r="I95" s="22" t="n">
        <v>3</v>
      </c>
      <c r="J95" s="22" t="n">
        <v>3</v>
      </c>
      <c r="K95" s="22" t="n">
        <v>4</v>
      </c>
      <c r="L95" s="22" t="n">
        <v>2</v>
      </c>
      <c r="M95" s="22" t="n">
        <v>4</v>
      </c>
      <c r="N95" s="22" t="n">
        <v>5</v>
      </c>
      <c r="V95" s="22" t="n">
        <v>0.607</v>
      </c>
      <c r="W95" s="22" t="n">
        <v>3</v>
      </c>
      <c r="X95" s="22" t="n">
        <v>4</v>
      </c>
    </row>
    <row r="96">
      <c r="A96" s="20" t="inlineStr">
        <is>
          <t>배당금수익</t>
        </is>
      </c>
      <c r="C96" s="22" t="n">
        <v>0.907</v>
      </c>
      <c r="D96" s="22" t="n">
        <v>0</v>
      </c>
      <c r="E96" s="22" t="n">
        <v>2</v>
      </c>
      <c r="F96" s="22" t="n">
        <v>0</v>
      </c>
      <c r="G96" s="22" t="n">
        <v>2</v>
      </c>
      <c r="H96" s="22" t="n">
        <v>0</v>
      </c>
      <c r="I96" s="22" t="n">
        <v>1</v>
      </c>
      <c r="J96" s="22" t="n">
        <v>2</v>
      </c>
      <c r="K96" s="22" t="n">
        <v>1</v>
      </c>
      <c r="L96" s="22" t="n">
        <v>1</v>
      </c>
      <c r="M96" s="22" t="n">
        <v>1</v>
      </c>
      <c r="N96" s="22" t="n">
        <v>2</v>
      </c>
      <c r="V96" s="22" t="n">
        <v>0.907</v>
      </c>
      <c r="W96" s="22" t="n">
        <v>2</v>
      </c>
      <c r="X96" s="22" t="n">
        <v>1</v>
      </c>
    </row>
    <row r="97">
      <c r="A97" s="20" t="inlineStr">
        <is>
          <t>임대료 수익</t>
        </is>
      </c>
      <c r="C97" s="22" t="n">
        <v>9.507</v>
      </c>
      <c r="D97" s="22" t="n">
        <v>8</v>
      </c>
      <c r="E97" s="22" t="n">
        <v>8</v>
      </c>
      <c r="F97" s="22" t="n">
        <v>8</v>
      </c>
      <c r="G97" s="22" t="n">
        <v>6</v>
      </c>
      <c r="H97" s="22" t="n">
        <v>7</v>
      </c>
      <c r="I97" s="22" t="n">
        <v>5</v>
      </c>
      <c r="J97" s="22" t="n">
        <v>6</v>
      </c>
      <c r="K97" s="22" t="n">
        <v>6</v>
      </c>
      <c r="L97" s="22" t="n">
        <v>6</v>
      </c>
      <c r="M97" s="22" t="n">
        <v>6</v>
      </c>
      <c r="N97" s="22" t="n">
        <v>6</v>
      </c>
      <c r="V97" s="22" t="n">
        <v>9.507</v>
      </c>
      <c r="W97" s="22" t="n">
        <v>6</v>
      </c>
      <c r="X97" s="22" t="n">
        <v>6</v>
      </c>
    </row>
    <row r="98">
      <c r="A98" s="20" t="inlineStr">
        <is>
          <t>협찬금 수입</t>
        </is>
      </c>
      <c r="C98" s="22" t="n">
        <v>13.608</v>
      </c>
      <c r="D98" s="22" t="n">
        <v>10</v>
      </c>
      <c r="E98" s="22" t="n">
        <v>7</v>
      </c>
      <c r="F98" s="22" t="n">
        <v>10</v>
      </c>
      <c r="G98" s="22" t="n">
        <v>7</v>
      </c>
      <c r="H98" s="22" t="n">
        <v>8</v>
      </c>
      <c r="I98" s="22" t="n">
        <v>9</v>
      </c>
      <c r="J98" s="22" t="n">
        <v>9</v>
      </c>
      <c r="K98" s="22" t="n">
        <v>14</v>
      </c>
      <c r="L98" s="22" t="n">
        <v>0</v>
      </c>
      <c r="M98" s="22" t="n">
        <v>0</v>
      </c>
      <c r="N98" s="22" t="n">
        <v>0</v>
      </c>
      <c r="V98" s="22" t="n">
        <v>13.608</v>
      </c>
      <c r="W98" s="22" t="n">
        <v>7</v>
      </c>
      <c r="X98" s="22" t="n">
        <v>14</v>
      </c>
    </row>
    <row r="99">
      <c r="A99" s="20" t="inlineStr">
        <is>
          <t>투자유가증권 매각이익</t>
        </is>
      </c>
      <c r="G99" s="22" t="n">
        <v>0</v>
      </c>
      <c r="K99" s="22" t="n">
        <v>0</v>
      </c>
      <c r="W99" s="22" t="n">
        <v>0</v>
      </c>
      <c r="X99" s="22" t="n">
        <v>0</v>
      </c>
    </row>
    <row r="100">
      <c r="A100" s="20" t="inlineStr">
        <is>
          <t>기타</t>
        </is>
      </c>
      <c r="C100" s="22" t="n">
        <v>-0.672</v>
      </c>
      <c r="D100" s="22" t="n">
        <v>3</v>
      </c>
      <c r="E100" s="22" t="n">
        <v>2</v>
      </c>
      <c r="F100" s="22" t="n">
        <v>7</v>
      </c>
      <c r="G100" s="22" t="n">
        <v>4</v>
      </c>
      <c r="H100" s="22" t="n">
        <v>8</v>
      </c>
      <c r="I100" s="22" t="n">
        <v>2</v>
      </c>
      <c r="J100" s="22" t="n">
        <v>3</v>
      </c>
      <c r="K100" s="22" t="n">
        <v>9</v>
      </c>
      <c r="L100" s="22" t="n">
        <v>4</v>
      </c>
      <c r="M100" s="22" t="n">
        <v>3</v>
      </c>
      <c r="N100" s="22" t="n">
        <v>4</v>
      </c>
      <c r="V100" s="22" t="n">
        <v>-0.672</v>
      </c>
      <c r="W100" s="22" t="n">
        <v>4</v>
      </c>
      <c r="X100" s="22" t="n">
        <v>9</v>
      </c>
    </row>
    <row r="101">
      <c r="A101" s="20" t="inlineStr">
        <is>
          <t>영업외수익 합계</t>
        </is>
      </c>
      <c r="C101" s="22" t="n">
        <v>32.565</v>
      </c>
      <c r="D101" s="22" t="n">
        <v>24</v>
      </c>
      <c r="E101" s="22" t="n">
        <v>20</v>
      </c>
      <c r="F101" s="22" t="n">
        <v>26</v>
      </c>
      <c r="G101" s="22" t="n">
        <v>33</v>
      </c>
      <c r="H101" s="22" t="n">
        <v>28</v>
      </c>
      <c r="I101" s="22" t="n">
        <v>19</v>
      </c>
      <c r="J101" s="22" t="n">
        <v>48</v>
      </c>
      <c r="K101" s="22" t="n">
        <v>33</v>
      </c>
      <c r="L101" s="22" t="n">
        <v>15</v>
      </c>
      <c r="M101" s="22" t="n">
        <v>14</v>
      </c>
      <c r="N101" s="22" t="n">
        <v>17</v>
      </c>
      <c r="V101" s="22" t="n">
        <v>32.565</v>
      </c>
      <c r="W101" s="22" t="n">
        <v>33</v>
      </c>
      <c r="X101" s="22" t="n">
        <v>33</v>
      </c>
    </row>
    <row r="102">
      <c r="A102" s="45" t="inlineStr">
        <is>
          <t>YoY</t>
        </is>
      </c>
      <c r="B102" s="3" t="inlineStr">
        <is>
          <t>전년 같은 분기·전년 대비</t>
        </is>
      </c>
      <c r="G102" s="17">
        <f>IF(OR(G101="",C101=""),"",IF(G101*C101&lt;=0,"",IFERROR(G101/C101-1,"")))</f>
        <v/>
      </c>
      <c r="H102" s="17">
        <f>IF(OR(H101="",D101=""),"",IF(H101*D101&lt;=0,"",IFERROR(H101/D101-1,"")))</f>
        <v/>
      </c>
      <c r="I102" s="17">
        <f>IF(OR(I101="",E101=""),"",IF(I101*E101&lt;=0,"",IFERROR(I101/E101-1,"")))</f>
        <v/>
      </c>
      <c r="J102" s="17">
        <f>IF(OR(J101="",F101=""),"",IF(J101*F101&lt;=0,"",IFERROR(J101/F101-1,"")))</f>
        <v/>
      </c>
      <c r="K102" s="17">
        <f>IF(OR(K101="",G101=""),"",IF(K101*G101&lt;=0,"",IFERROR(K101/G101-1,"")))</f>
        <v/>
      </c>
      <c r="L102" s="17">
        <f>IF(OR(L101="",H101=""),"",IF(L101*H101&lt;=0,"",IFERROR(L101/H101-1,"")))</f>
        <v/>
      </c>
      <c r="M102" s="17">
        <f>IF(OR(M101="",I101=""),"",IF(M101*I101&lt;=0,"",IFERROR(M101/I101-1,"")))</f>
        <v/>
      </c>
      <c r="N102" s="17">
        <f>IF(OR(N101="",J101=""),"",IF(N101*J101&lt;=0,"",IFERROR(N101/J101-1,"")))</f>
        <v/>
      </c>
      <c r="V102" s="17">
        <f>IF(OR(V101="",U101=""),"",IF(V101*U101&lt;=0,"",IFERROR(V101/U101-1,"")))</f>
        <v/>
      </c>
      <c r="W102" s="17">
        <f>IF(OR(W101="",V101=""),"",IF(W101*V101&lt;=0,"",IFERROR(W101/V101-1,"")))</f>
        <v/>
      </c>
      <c r="X102" s="17">
        <f>IF(OR(X101="",W101=""),"",IF(X101*W101&lt;=0,"",IFERROR(X101/W101-1,"")))</f>
        <v/>
      </c>
    </row>
    <row r="103">
      <c r="A103" s="20" t="inlineStr">
        <is>
          <t>이자비용</t>
        </is>
      </c>
      <c r="C103" s="22" t="n">
        <v>0.134</v>
      </c>
      <c r="D103" s="22" t="n">
        <v>0</v>
      </c>
      <c r="E103" s="22" t="n">
        <v>0</v>
      </c>
      <c r="F103" s="22" t="n">
        <v>0</v>
      </c>
      <c r="G103" s="22" t="n">
        <v>0</v>
      </c>
      <c r="H103" s="22" t="n">
        <v>0</v>
      </c>
      <c r="I103" s="22" t="n">
        <v>0</v>
      </c>
      <c r="J103" s="22" t="n">
        <v>0</v>
      </c>
      <c r="K103" s="22" t="n">
        <v>0</v>
      </c>
      <c r="L103" s="22" t="n">
        <v>0</v>
      </c>
      <c r="M103" s="22" t="n">
        <v>0</v>
      </c>
      <c r="N103" s="22" t="n">
        <v>0</v>
      </c>
      <c r="V103" s="22" t="n">
        <v>0.134</v>
      </c>
      <c r="W103" s="22" t="n">
        <v>0</v>
      </c>
      <c r="X103" s="22" t="n">
        <v>0</v>
      </c>
    </row>
    <row r="104">
      <c r="A104" s="20" t="inlineStr">
        <is>
          <t>임대비용</t>
        </is>
      </c>
      <c r="C104" s="22" t="n">
        <v>5.953</v>
      </c>
      <c r="D104" s="22" t="n">
        <v>5</v>
      </c>
      <c r="E104" s="22" t="n">
        <v>6</v>
      </c>
      <c r="F104" s="22" t="n">
        <v>5</v>
      </c>
      <c r="G104" s="22" t="n">
        <v>6</v>
      </c>
      <c r="H104" s="22" t="n">
        <v>5</v>
      </c>
      <c r="I104" s="22" t="n">
        <v>4</v>
      </c>
      <c r="J104" s="22" t="n">
        <v>5</v>
      </c>
      <c r="K104" s="22" t="n">
        <v>6</v>
      </c>
      <c r="L104" s="22" t="n">
        <v>5</v>
      </c>
      <c r="M104" s="22" t="n">
        <v>5</v>
      </c>
      <c r="N104" s="22" t="n">
        <v>5</v>
      </c>
      <c r="V104" s="22" t="n">
        <v>5.953</v>
      </c>
      <c r="W104" s="22" t="n">
        <v>6</v>
      </c>
      <c r="X104" s="22" t="n">
        <v>6</v>
      </c>
    </row>
    <row r="105">
      <c r="A105" s="20" t="inlineStr">
        <is>
          <t>기타</t>
        </is>
      </c>
      <c r="C105" s="22" t="n">
        <v>1.994</v>
      </c>
      <c r="D105" s="22" t="n">
        <v>3</v>
      </c>
      <c r="E105" s="22" t="n">
        <v>1</v>
      </c>
      <c r="F105" s="22" t="n">
        <v>5</v>
      </c>
      <c r="G105" s="22" t="n">
        <v>3</v>
      </c>
      <c r="H105" s="22" t="n">
        <v>2</v>
      </c>
      <c r="I105" s="22" t="n">
        <v>1</v>
      </c>
      <c r="J105" s="22" t="n">
        <v>3</v>
      </c>
      <c r="K105" s="22" t="n">
        <v>6</v>
      </c>
      <c r="L105" s="22" t="n">
        <v>4</v>
      </c>
      <c r="M105" s="22" t="n">
        <v>2</v>
      </c>
      <c r="N105" s="22" t="n">
        <v>3</v>
      </c>
      <c r="V105" s="22" t="n">
        <v>1.994</v>
      </c>
      <c r="W105" s="22" t="n">
        <v>3</v>
      </c>
      <c r="X105" s="22" t="n">
        <v>6</v>
      </c>
    </row>
    <row r="106">
      <c r="A106" s="20" t="inlineStr">
        <is>
          <t>영업외비용 합계</t>
        </is>
      </c>
      <c r="C106" s="22" t="n">
        <v>8.082000000000001</v>
      </c>
      <c r="D106" s="22" t="n">
        <v>9</v>
      </c>
      <c r="E106" s="22" t="n">
        <v>7</v>
      </c>
      <c r="F106" s="22" t="n">
        <v>11</v>
      </c>
      <c r="G106" s="22" t="n">
        <v>7</v>
      </c>
      <c r="H106" s="22" t="n">
        <v>7</v>
      </c>
      <c r="I106" s="22" t="n">
        <v>7</v>
      </c>
      <c r="J106" s="22" t="n">
        <v>7</v>
      </c>
      <c r="K106" s="22" t="n">
        <v>12</v>
      </c>
      <c r="L106" s="22" t="n">
        <v>9</v>
      </c>
      <c r="M106" s="22" t="n">
        <v>7</v>
      </c>
      <c r="N106" s="22" t="n">
        <v>10</v>
      </c>
      <c r="V106" s="22" t="n">
        <v>8.082000000000001</v>
      </c>
      <c r="W106" s="22" t="n">
        <v>7</v>
      </c>
      <c r="X106" s="22" t="n">
        <v>12</v>
      </c>
    </row>
    <row r="107">
      <c r="A107" s="45" t="inlineStr">
        <is>
          <t>YoY</t>
        </is>
      </c>
      <c r="B107" s="3" t="inlineStr">
        <is>
          <t>전년 같은 분기·전년 대비</t>
        </is>
      </c>
      <c r="G107" s="17">
        <f>IF(OR(G106="",C106=""),"",IF(G106*C106&lt;=0,"",IFERROR(G106/C106-1,"")))</f>
        <v/>
      </c>
      <c r="H107" s="17">
        <f>IF(OR(H106="",D106=""),"",IF(H106*D106&lt;=0,"",IFERROR(H106/D106-1,"")))</f>
        <v/>
      </c>
      <c r="I107" s="17">
        <f>IF(OR(I106="",E106=""),"",IF(I106*E106&lt;=0,"",IFERROR(I106/E106-1,"")))</f>
        <v/>
      </c>
      <c r="J107" s="17">
        <f>IF(OR(J106="",F106=""),"",IF(J106*F106&lt;=0,"",IFERROR(J106/F106-1,"")))</f>
        <v/>
      </c>
      <c r="K107" s="17">
        <f>IF(OR(K106="",G106=""),"",IF(K106*G106&lt;=0,"",IFERROR(K106/G106-1,"")))</f>
        <v/>
      </c>
      <c r="L107" s="17">
        <f>IF(OR(L106="",H106=""),"",IF(L106*H106&lt;=0,"",IFERROR(L106/H106-1,"")))</f>
        <v/>
      </c>
      <c r="M107" s="17">
        <f>IF(OR(M106="",I106=""),"",IF(M106*I106&lt;=0,"",IFERROR(M106/I106-1,"")))</f>
        <v/>
      </c>
      <c r="N107" s="17">
        <f>IF(OR(N106="",J106=""),"",IF(N106*J106&lt;=0,"",IFERROR(N106/J106-1,"")))</f>
        <v/>
      </c>
      <c r="V107" s="17">
        <f>IF(OR(V106="",U106=""),"",IF(V106*U106&lt;=0,"",IFERROR(V106/U106-1,"")))</f>
        <v/>
      </c>
      <c r="W107" s="17">
        <f>IF(OR(W106="",V106=""),"",IF(W106*V106&lt;=0,"",IFERROR(W106/V106-1,"")))</f>
        <v/>
      </c>
      <c r="X107" s="17">
        <f>IF(OR(X106="",W106=""),"",IF(X106*W106&lt;=0,"",IFERROR(X106/W106-1,"")))</f>
        <v/>
      </c>
    </row>
    <row r="108">
      <c r="A108" s="9" t="inlineStr">
        <is>
          <t>경상이익</t>
        </is>
      </c>
      <c r="C108" s="12" t="n">
        <v>478.008</v>
      </c>
      <c r="D108" s="12" t="n">
        <v>793</v>
      </c>
      <c r="E108" s="12" t="n">
        <v>455</v>
      </c>
      <c r="F108" s="12" t="n">
        <v>810</v>
      </c>
      <c r="G108" s="12" t="n">
        <v>542</v>
      </c>
      <c r="H108" s="12" t="n">
        <v>553</v>
      </c>
      <c r="I108" s="12" t="n">
        <v>705</v>
      </c>
      <c r="J108" s="12" t="n">
        <v>874</v>
      </c>
      <c r="K108" s="12" t="n">
        <v>893</v>
      </c>
      <c r="L108" s="12" t="n">
        <v>1037</v>
      </c>
      <c r="M108" s="12" t="n">
        <v>904</v>
      </c>
      <c r="N108" s="12" t="n">
        <v>1132</v>
      </c>
      <c r="V108" s="12" t="n">
        <v>478.008</v>
      </c>
      <c r="W108" s="12" t="n">
        <v>542</v>
      </c>
      <c r="X108" s="12" t="n">
        <v>893</v>
      </c>
    </row>
    <row r="109">
      <c r="A109" s="45" t="inlineStr">
        <is>
          <t>YoY</t>
        </is>
      </c>
      <c r="B109" s="3" t="inlineStr">
        <is>
          <t>전년 같은 분기·전년 대비</t>
        </is>
      </c>
      <c r="G109" s="17">
        <f>IF(OR(G108="",C108=""),"",IF(C108&lt;=0,"",IFERROR(G108/C108-1,"")))</f>
        <v/>
      </c>
      <c r="H109" s="17">
        <f>IF(OR(H108="",D108=""),"",IF(D108&lt;=0,"",IFERROR(H108/D108-1,"")))</f>
        <v/>
      </c>
      <c r="I109" s="17">
        <f>IF(OR(I108="",E108=""),"",IF(E108&lt;=0,"",IFERROR(I108/E108-1,"")))</f>
        <v/>
      </c>
      <c r="J109" s="17">
        <f>IF(OR(J108="",F108=""),"",IF(F108&lt;=0,"",IFERROR(J108/F108-1,"")))</f>
        <v/>
      </c>
      <c r="K109" s="17">
        <f>IF(OR(K108="",G108=""),"",IF(G108&lt;=0,"",IFERROR(K108/G108-1,"")))</f>
        <v/>
      </c>
      <c r="L109" s="17">
        <f>IF(OR(L108="",H108=""),"",IF(H108&lt;=0,"",IFERROR(L108/H108-1,"")))</f>
        <v/>
      </c>
      <c r="M109" s="17">
        <f>IF(OR(M108="",I108=""),"",IF(I108&lt;=0,"",IFERROR(M108/I108-1,"")))</f>
        <v/>
      </c>
      <c r="N109" s="17">
        <f>IF(OR(N108="",J108=""),"",IF(J108&lt;=0,"",IFERROR(N108/J108-1,"")))</f>
        <v/>
      </c>
      <c r="V109" s="17">
        <f>IF(OR(V108="",U108=""),"",IF(U108&lt;=0,"",IFERROR(V108/U108-1,"")))</f>
        <v/>
      </c>
      <c r="W109" s="17">
        <f>IF(OR(W108="",V108=""),"",IF(V108&lt;=0,"",IFERROR(W108/V108-1,"")))</f>
        <v/>
      </c>
      <c r="X109" s="17">
        <f>IF(OR(X108="",W108=""),"",IF(W108&lt;=0,"",IFERROR(X108/W108-1,"")))</f>
        <v/>
      </c>
    </row>
    <row r="110">
      <c r="A110" s="20" t="inlineStr">
        <is>
          <t>고정자산 매각이익</t>
        </is>
      </c>
      <c r="J110" s="22" t="n">
        <v>0</v>
      </c>
      <c r="K110" s="22" t="n">
        <v>0</v>
      </c>
      <c r="N110" s="22" t="n">
        <v>0</v>
      </c>
      <c r="X110" s="22" t="n">
        <v>0</v>
      </c>
    </row>
    <row r="111">
      <c r="A111" s="20" t="inlineStr">
        <is>
          <t>특별이익 합계</t>
        </is>
      </c>
      <c r="J111" s="22" t="n">
        <v>0</v>
      </c>
      <c r="K111" s="22" t="n">
        <v>0</v>
      </c>
      <c r="N111" s="22" t="n">
        <v>0</v>
      </c>
      <c r="X111" s="22" t="n">
        <v>0</v>
      </c>
    </row>
    <row r="112">
      <c r="A112" s="45" t="inlineStr">
        <is>
          <t>YoY</t>
        </is>
      </c>
      <c r="B112" s="3" t="inlineStr">
        <is>
          <t>전년 같은 분기·전년 대비</t>
        </is>
      </c>
      <c r="J112" s="17">
        <f>IF(OR(J111="",F111=""),"",IF(J111*F111&lt;=0,"",IFERROR(J111/F111-1,"")))</f>
        <v/>
      </c>
      <c r="K112" s="17">
        <f>IF(OR(K111="",G111=""),"",IF(K111*G111&lt;=0,"",IFERROR(K111/G111-1,"")))</f>
        <v/>
      </c>
      <c r="N112" s="17">
        <f>IF(OR(N111="",J111=""),"",IF(N111*J111&lt;=0,"",IFERROR(N111/J111-1,"")))</f>
        <v/>
      </c>
      <c r="X112" s="17">
        <f>IF(OR(X111="",W111=""),"",IF(X111*W111&lt;=0,"",IFERROR(X111/W111-1,"")))</f>
        <v/>
      </c>
    </row>
    <row r="113">
      <c r="A113" s="20" t="inlineStr">
        <is>
          <t>고정자산 제각·매각손실</t>
        </is>
      </c>
      <c r="C113" s="22" t="n">
        <v>1.422</v>
      </c>
      <c r="D113" s="22" t="n">
        <v>0</v>
      </c>
      <c r="E113" s="22" t="n">
        <v>1</v>
      </c>
      <c r="F113" s="22" t="n">
        <v>0</v>
      </c>
      <c r="G113" s="22" t="n">
        <v>2</v>
      </c>
      <c r="H113" s="22" t="n">
        <v>0</v>
      </c>
      <c r="I113" s="22" t="n">
        <v>0</v>
      </c>
      <c r="J113" s="22" t="n">
        <v>2</v>
      </c>
      <c r="K113" s="22" t="n">
        <v>1</v>
      </c>
      <c r="L113" s="22" t="n">
        <v>1</v>
      </c>
      <c r="M113" s="22" t="n">
        <v>1</v>
      </c>
      <c r="N113" s="22" t="n">
        <v>1</v>
      </c>
      <c r="V113" s="22" t="n">
        <v>1.422</v>
      </c>
      <c r="W113" s="22" t="n">
        <v>2</v>
      </c>
      <c r="X113" s="22" t="n">
        <v>1</v>
      </c>
    </row>
    <row r="114">
      <c r="A114" s="20" t="inlineStr">
        <is>
          <t>손상차손</t>
        </is>
      </c>
      <c r="C114" s="22" t="n">
        <v>200.647</v>
      </c>
      <c r="F114" s="22" t="n">
        <v>0</v>
      </c>
      <c r="G114" s="22" t="n">
        <v>176</v>
      </c>
      <c r="K114" s="22" t="n">
        <v>249</v>
      </c>
      <c r="V114" s="22" t="n">
        <v>200.647</v>
      </c>
      <c r="W114" s="22" t="n">
        <v>176</v>
      </c>
      <c r="X114" s="22" t="n">
        <v>249</v>
      </c>
    </row>
    <row r="115">
      <c r="A115" s="20" t="inlineStr">
        <is>
          <t>기타</t>
        </is>
      </c>
      <c r="C115" s="22" t="n">
        <v>0</v>
      </c>
      <c r="F115" s="22" t="n">
        <v>0</v>
      </c>
      <c r="G115" s="22" t="n">
        <v>7</v>
      </c>
      <c r="V115" s="22" t="n">
        <v>0</v>
      </c>
      <c r="W115" s="22" t="n">
        <v>7</v>
      </c>
    </row>
    <row r="116">
      <c r="A116" s="20" t="inlineStr">
        <is>
          <t>특별손실 합계</t>
        </is>
      </c>
      <c r="C116" s="22" t="n">
        <v>202.068</v>
      </c>
      <c r="D116" s="22" t="n">
        <v>0</v>
      </c>
      <c r="E116" s="22" t="n">
        <v>1</v>
      </c>
      <c r="F116" s="22" t="n">
        <v>0</v>
      </c>
      <c r="G116" s="22" t="n">
        <v>185</v>
      </c>
      <c r="H116" s="22" t="n">
        <v>0</v>
      </c>
      <c r="I116" s="22" t="n">
        <v>0</v>
      </c>
      <c r="J116" s="22" t="n">
        <v>14</v>
      </c>
      <c r="K116" s="22" t="n">
        <v>250</v>
      </c>
      <c r="L116" s="22" t="n">
        <v>1</v>
      </c>
      <c r="M116" s="22" t="n">
        <v>1</v>
      </c>
      <c r="N116" s="22" t="n">
        <v>1</v>
      </c>
      <c r="V116" s="22" t="n">
        <v>202.068</v>
      </c>
      <c r="W116" s="22" t="n">
        <v>185</v>
      </c>
      <c r="X116" s="22" t="n">
        <v>250</v>
      </c>
    </row>
    <row r="117">
      <c r="A117" s="45" t="inlineStr">
        <is>
          <t>YoY</t>
        </is>
      </c>
      <c r="B117" s="3" t="inlineStr">
        <is>
          <t>전년 같은 분기·전년 대비</t>
        </is>
      </c>
      <c r="G117" s="17">
        <f>IF(OR(G116="",C116=""),"",IF(G116*C116&lt;=0,"",IFERROR(G116/C116-1,"")))</f>
        <v/>
      </c>
      <c r="H117" s="17">
        <f>IF(OR(H116="",D116=""),"",IF(H116*D116&lt;=0,"",IFERROR(H116/D116-1,"")))</f>
        <v/>
      </c>
      <c r="I117" s="17">
        <f>IF(OR(I116="",E116=""),"",IF(I116*E116&lt;=0,"",IFERROR(I116/E116-1,"")))</f>
        <v/>
      </c>
      <c r="J117" s="17">
        <f>IF(OR(J116="",F116=""),"",IF(J116*F116&lt;=0,"",IFERROR(J116/F116-1,"")))</f>
        <v/>
      </c>
      <c r="K117" s="17">
        <f>IF(OR(K116="",G116=""),"",IF(K116*G116&lt;=0,"",IFERROR(K116/G116-1,"")))</f>
        <v/>
      </c>
      <c r="L117" s="17">
        <f>IF(OR(L116="",H116=""),"",IF(L116*H116&lt;=0,"",IFERROR(L116/H116-1,"")))</f>
        <v/>
      </c>
      <c r="M117" s="17">
        <f>IF(OR(M116="",I116=""),"",IF(M116*I116&lt;=0,"",IFERROR(M116/I116-1,"")))</f>
        <v/>
      </c>
      <c r="N117" s="17">
        <f>IF(OR(N116="",J116=""),"",IF(N116*J116&lt;=0,"",IFERROR(N116/J116-1,"")))</f>
        <v/>
      </c>
      <c r="V117" s="17">
        <f>IF(OR(V116="",U116=""),"",IF(V116*U116&lt;=0,"",IFERROR(V116/U116-1,"")))</f>
        <v/>
      </c>
      <c r="W117" s="17">
        <f>IF(OR(W116="",V116=""),"",IF(W116*V116&lt;=0,"",IFERROR(W116/V116-1,"")))</f>
        <v/>
      </c>
      <c r="X117" s="17">
        <f>IF(OR(X116="",W116=""),"",IF(X116*W116&lt;=0,"",IFERROR(X116/W116-1,"")))</f>
        <v/>
      </c>
    </row>
    <row r="118">
      <c r="A118" s="9" t="inlineStr">
        <is>
          <t>법인세차감전 순이익</t>
        </is>
      </c>
      <c r="C118" s="12" t="n">
        <v>276.125</v>
      </c>
      <c r="D118" s="12" t="n">
        <v>793</v>
      </c>
      <c r="E118" s="12" t="n">
        <v>454</v>
      </c>
      <c r="F118" s="12" t="n">
        <v>810</v>
      </c>
      <c r="G118" s="12" t="n">
        <v>358</v>
      </c>
      <c r="H118" s="12" t="n">
        <v>552</v>
      </c>
      <c r="I118" s="12" t="n">
        <v>705</v>
      </c>
      <c r="J118" s="12" t="n">
        <v>860</v>
      </c>
      <c r="K118" s="12" t="n">
        <v>643</v>
      </c>
      <c r="L118" s="12" t="n">
        <v>1035</v>
      </c>
      <c r="M118" s="12" t="n">
        <v>904</v>
      </c>
      <c r="N118" s="12" t="n">
        <v>1131</v>
      </c>
      <c r="V118" s="12" t="n">
        <v>276.125</v>
      </c>
      <c r="W118" s="12" t="n">
        <v>358</v>
      </c>
      <c r="X118" s="12" t="n">
        <v>643</v>
      </c>
    </row>
    <row r="119">
      <c r="A119" s="45" t="inlineStr">
        <is>
          <t>YoY</t>
        </is>
      </c>
      <c r="B119" s="3" t="inlineStr">
        <is>
          <t>전년 같은 분기·전년 대비</t>
        </is>
      </c>
      <c r="G119" s="17">
        <f>IF(OR(G118="",C118=""),"",IF(C118&lt;=0,"",IFERROR(G118/C118-1,"")))</f>
        <v/>
      </c>
      <c r="H119" s="17">
        <f>IF(OR(H118="",D118=""),"",IF(D118&lt;=0,"",IFERROR(H118/D118-1,"")))</f>
        <v/>
      </c>
      <c r="I119" s="17">
        <f>IF(OR(I118="",E118=""),"",IF(E118&lt;=0,"",IFERROR(I118/E118-1,"")))</f>
        <v/>
      </c>
      <c r="J119" s="17">
        <f>IF(OR(J118="",F118=""),"",IF(F118&lt;=0,"",IFERROR(J118/F118-1,"")))</f>
        <v/>
      </c>
      <c r="K119" s="17">
        <f>IF(OR(K118="",G118=""),"",IF(G118&lt;=0,"",IFERROR(K118/G118-1,"")))</f>
        <v/>
      </c>
      <c r="L119" s="17">
        <f>IF(OR(L118="",H118=""),"",IF(H118&lt;=0,"",IFERROR(L118/H118-1,"")))</f>
        <v/>
      </c>
      <c r="M119" s="17">
        <f>IF(OR(M118="",I118=""),"",IF(I118&lt;=0,"",IFERROR(M118/I118-1,"")))</f>
        <v/>
      </c>
      <c r="N119" s="17">
        <f>IF(OR(N118="",J118=""),"",IF(J118&lt;=0,"",IFERROR(N118/J118-1,"")))</f>
        <v/>
      </c>
      <c r="V119" s="17">
        <f>IF(OR(V118="",U118=""),"",IF(U118&lt;=0,"",IFERROR(V118/U118-1,"")))</f>
        <v/>
      </c>
      <c r="W119" s="17">
        <f>IF(OR(W118="",V118=""),"",IF(V118&lt;=0,"",IFERROR(W118/V118-1,"")))</f>
        <v/>
      </c>
      <c r="X119" s="17">
        <f>IF(OR(X118="",W118=""),"",IF(W118&lt;=0,"",IFERROR(X118/W118-1,"")))</f>
        <v/>
      </c>
    </row>
    <row r="120">
      <c r="A120" s="20" t="inlineStr">
        <is>
          <t>법인세·주민세·사업세</t>
        </is>
      </c>
      <c r="C120" s="22" t="n">
        <v>50.059</v>
      </c>
      <c r="D120" s="22" t="n">
        <v>299</v>
      </c>
      <c r="E120" s="22" t="n">
        <v>98</v>
      </c>
      <c r="F120" s="22" t="n">
        <v>332</v>
      </c>
      <c r="G120" s="22" t="n">
        <v>25</v>
      </c>
      <c r="H120" s="22" t="n">
        <v>221</v>
      </c>
      <c r="I120" s="22" t="n">
        <v>180</v>
      </c>
      <c r="J120" s="22" t="n">
        <v>351</v>
      </c>
      <c r="K120" s="22" t="n">
        <v>136</v>
      </c>
      <c r="L120" s="22" t="n">
        <v>364</v>
      </c>
      <c r="M120" s="22" t="n">
        <v>285</v>
      </c>
      <c r="N120" s="22" t="n">
        <v>440</v>
      </c>
      <c r="V120" s="22" t="n">
        <v>50.059</v>
      </c>
      <c r="W120" s="22" t="n">
        <v>25</v>
      </c>
      <c r="X120" s="22" t="n">
        <v>136</v>
      </c>
    </row>
    <row r="121">
      <c r="A121" s="20" t="inlineStr">
        <is>
          <t>법인세 조정액</t>
        </is>
      </c>
      <c r="C121" s="22" t="n">
        <v>-39.193</v>
      </c>
      <c r="D121" s="22" t="n">
        <v>-33</v>
      </c>
      <c r="E121" s="22" t="n">
        <v>59</v>
      </c>
      <c r="F121" s="22" t="n">
        <v>-67</v>
      </c>
      <c r="G121" s="22" t="n">
        <v>-13</v>
      </c>
      <c r="H121" s="22" t="n">
        <v>-41</v>
      </c>
      <c r="I121" s="22" t="n">
        <v>56</v>
      </c>
      <c r="J121" s="22" t="n">
        <v>-69</v>
      </c>
      <c r="K121" s="22" t="n">
        <v>-43</v>
      </c>
      <c r="L121" s="22" t="n">
        <v>-22</v>
      </c>
      <c r="M121" s="22" t="n">
        <v>22</v>
      </c>
      <c r="N121" s="22" t="n">
        <v>-67</v>
      </c>
      <c r="V121" s="22" t="n">
        <v>-39.193</v>
      </c>
      <c r="W121" s="22" t="n">
        <v>-13</v>
      </c>
      <c r="X121" s="22" t="n">
        <v>-43</v>
      </c>
    </row>
    <row r="122">
      <c r="A122" s="20" t="inlineStr">
        <is>
          <t>법인세 등 합계</t>
        </is>
      </c>
      <c r="C122" s="22" t="n">
        <v>10.865</v>
      </c>
      <c r="D122" s="22" t="n">
        <v>265</v>
      </c>
      <c r="E122" s="22" t="n">
        <v>158</v>
      </c>
      <c r="F122" s="22" t="n">
        <v>264</v>
      </c>
      <c r="G122" s="22" t="n">
        <v>12</v>
      </c>
      <c r="H122" s="22" t="n">
        <v>179</v>
      </c>
      <c r="I122" s="22" t="n">
        <v>237</v>
      </c>
      <c r="J122" s="22" t="n">
        <v>282</v>
      </c>
      <c r="K122" s="22" t="n">
        <v>93</v>
      </c>
      <c r="L122" s="22" t="n">
        <v>341</v>
      </c>
      <c r="M122" s="22" t="n">
        <v>308</v>
      </c>
      <c r="N122" s="22" t="n">
        <v>372</v>
      </c>
      <c r="V122" s="22" t="n">
        <v>10.865</v>
      </c>
      <c r="W122" s="22" t="n">
        <v>12</v>
      </c>
      <c r="X122" s="22" t="n">
        <v>93</v>
      </c>
    </row>
    <row r="123">
      <c r="A123" s="45" t="inlineStr">
        <is>
          <t>YoY</t>
        </is>
      </c>
      <c r="B123" s="3" t="inlineStr">
        <is>
          <t>전년 같은 분기·전년 대비</t>
        </is>
      </c>
      <c r="G123" s="17">
        <f>IF(OR(G122="",C122=""),"",IF(G122*C122&lt;=0,"",IFERROR(G122/C122-1,"")))</f>
        <v/>
      </c>
      <c r="H123" s="17">
        <f>IF(OR(H122="",D122=""),"",IF(H122*D122&lt;=0,"",IFERROR(H122/D122-1,"")))</f>
        <v/>
      </c>
      <c r="I123" s="17">
        <f>IF(OR(I122="",E122=""),"",IF(I122*E122&lt;=0,"",IFERROR(I122/E122-1,"")))</f>
        <v/>
      </c>
      <c r="J123" s="17">
        <f>IF(OR(J122="",F122=""),"",IF(J122*F122&lt;=0,"",IFERROR(J122/F122-1,"")))</f>
        <v/>
      </c>
      <c r="K123" s="17">
        <f>IF(OR(K122="",G122=""),"",IF(K122*G122&lt;=0,"",IFERROR(K122/G122-1,"")))</f>
        <v/>
      </c>
      <c r="L123" s="17">
        <f>IF(OR(L122="",H122=""),"",IF(L122*H122&lt;=0,"",IFERROR(L122/H122-1,"")))</f>
        <v/>
      </c>
      <c r="M123" s="17">
        <f>IF(OR(M122="",I122=""),"",IF(M122*I122&lt;=0,"",IFERROR(M122/I122-1,"")))</f>
        <v/>
      </c>
      <c r="N123" s="17">
        <f>IF(OR(N122="",J122=""),"",IF(N122*J122&lt;=0,"",IFERROR(N122/J122-1,"")))</f>
        <v/>
      </c>
      <c r="V123" s="17">
        <f>IF(OR(V122="",U122=""),"",IF(V122*U122&lt;=0,"",IFERROR(V122/U122-1,"")))</f>
        <v/>
      </c>
      <c r="W123" s="17">
        <f>IF(OR(W122="",V122=""),"",IF(W122*V122&lt;=0,"",IFERROR(W122/V122-1,"")))</f>
        <v/>
      </c>
      <c r="X123" s="17">
        <f>IF(OR(X122="",W122=""),"",IF(X122*W122&lt;=0,"",IFERROR(X122/W122-1,"")))</f>
        <v/>
      </c>
    </row>
    <row r="124">
      <c r="A124" s="9" t="inlineStr">
        <is>
          <t>순이익</t>
        </is>
      </c>
      <c r="C124" s="12" t="n">
        <v>265.259</v>
      </c>
      <c r="D124" s="12" t="n">
        <v>527</v>
      </c>
      <c r="E124" s="12" t="n">
        <v>296</v>
      </c>
      <c r="F124" s="12" t="n">
        <v>546</v>
      </c>
      <c r="G124" s="12" t="n">
        <v>346</v>
      </c>
      <c r="H124" s="12" t="n">
        <v>373</v>
      </c>
      <c r="I124" s="12" t="n">
        <v>468</v>
      </c>
      <c r="J124" s="12" t="n">
        <v>578</v>
      </c>
      <c r="K124" s="12" t="n">
        <v>550</v>
      </c>
      <c r="L124" s="12" t="n">
        <v>693</v>
      </c>
      <c r="M124" s="12" t="n">
        <v>596</v>
      </c>
      <c r="N124" s="12" t="n">
        <v>760</v>
      </c>
      <c r="V124" s="12" t="n">
        <v>265.259</v>
      </c>
      <c r="W124" s="12" t="n">
        <v>346</v>
      </c>
      <c r="X124" s="12" t="n">
        <v>550</v>
      </c>
    </row>
    <row r="125">
      <c r="A125" s="45" t="inlineStr">
        <is>
          <t>YoY</t>
        </is>
      </c>
      <c r="B125" s="3" t="inlineStr">
        <is>
          <t>전년 같은 분기·전년 대비</t>
        </is>
      </c>
      <c r="G125" s="17">
        <f>IF(OR(G124="",C124=""),"",IF(C124&lt;=0,"",IFERROR(G124/C124-1,"")))</f>
        <v/>
      </c>
      <c r="H125" s="17">
        <f>IF(OR(H124="",D124=""),"",IF(D124&lt;=0,"",IFERROR(H124/D124-1,"")))</f>
        <v/>
      </c>
      <c r="I125" s="17">
        <f>IF(OR(I124="",E124=""),"",IF(E124&lt;=0,"",IFERROR(I124/E124-1,"")))</f>
        <v/>
      </c>
      <c r="J125" s="17">
        <f>IF(OR(J124="",F124=""),"",IF(F124&lt;=0,"",IFERROR(J124/F124-1,"")))</f>
        <v/>
      </c>
      <c r="K125" s="17">
        <f>IF(OR(K124="",G124=""),"",IF(G124&lt;=0,"",IFERROR(K124/G124-1,"")))</f>
        <v/>
      </c>
      <c r="L125" s="17">
        <f>IF(OR(L124="",H124=""),"",IF(H124&lt;=0,"",IFERROR(L124/H124-1,"")))</f>
        <v/>
      </c>
      <c r="M125" s="17">
        <f>IF(OR(M124="",I124=""),"",IF(I124&lt;=0,"",IFERROR(M124/I124-1,"")))</f>
        <v/>
      </c>
      <c r="N125" s="17">
        <f>IF(OR(N124="",J124=""),"",IF(J124&lt;=0,"",IFERROR(N124/J124-1,"")))</f>
        <v/>
      </c>
      <c r="V125" s="17">
        <f>IF(OR(V124="",U124=""),"",IF(U124&lt;=0,"",IFERROR(V124/U124-1,"")))</f>
        <v/>
      </c>
      <c r="W125" s="17">
        <f>IF(OR(W124="",V124=""),"",IF(V124&lt;=0,"",IFERROR(W124/V124-1,"")))</f>
        <v/>
      </c>
      <c r="X125" s="17">
        <f>IF(OR(X124="",W124=""),"",IF(W124&lt;=0,"",IFERROR(X124/W124-1,"")))</f>
        <v/>
      </c>
    </row>
    <row r="126">
      <c r="A126" s="9" t="inlineStr">
        <is>
          <t>지배주주 순이익</t>
        </is>
      </c>
      <c r="C126" s="12" t="n">
        <v>265.259</v>
      </c>
      <c r="D126" s="12" t="n">
        <v>527</v>
      </c>
      <c r="E126" s="12" t="n">
        <v>296</v>
      </c>
      <c r="F126" s="12" t="n">
        <v>546</v>
      </c>
      <c r="G126" s="12" t="n">
        <v>346</v>
      </c>
      <c r="H126" s="12" t="n">
        <v>373</v>
      </c>
      <c r="I126" s="12" t="n">
        <v>468</v>
      </c>
      <c r="J126" s="12" t="n">
        <v>578</v>
      </c>
      <c r="K126" s="12" t="n">
        <v>550</v>
      </c>
      <c r="L126" s="12" t="n">
        <v>693</v>
      </c>
      <c r="M126" s="12" t="n">
        <v>596</v>
      </c>
      <c r="N126" s="12" t="n">
        <v>760</v>
      </c>
      <c r="V126" s="12" t="n">
        <v>265.259</v>
      </c>
      <c r="W126" s="12" t="n">
        <v>346</v>
      </c>
      <c r="X126" s="12" t="n">
        <v>550</v>
      </c>
    </row>
    <row r="127">
      <c r="A127" s="45" t="inlineStr">
        <is>
          <t>YoY</t>
        </is>
      </c>
      <c r="B127" s="3" t="inlineStr">
        <is>
          <t>전년 같은 분기·전년 대비</t>
        </is>
      </c>
      <c r="G127" s="17">
        <f>IF(OR(G126="",C126=""),"",IF(C126&lt;=0,"",IFERROR(G126/C126-1,"")))</f>
        <v/>
      </c>
      <c r="H127" s="17">
        <f>IF(OR(H126="",D126=""),"",IF(D126&lt;=0,"",IFERROR(H126/D126-1,"")))</f>
        <v/>
      </c>
      <c r="I127" s="17">
        <f>IF(OR(I126="",E126=""),"",IF(E126&lt;=0,"",IFERROR(I126/E126-1,"")))</f>
        <v/>
      </c>
      <c r="J127" s="17">
        <f>IF(OR(J126="",F126=""),"",IF(F126&lt;=0,"",IFERROR(J126/F126-1,"")))</f>
        <v/>
      </c>
      <c r="K127" s="17">
        <f>IF(OR(K126="",G126=""),"",IF(G126&lt;=0,"",IFERROR(K126/G126-1,"")))</f>
        <v/>
      </c>
      <c r="L127" s="17">
        <f>IF(OR(L126="",H126=""),"",IF(H126&lt;=0,"",IFERROR(L126/H126-1,"")))</f>
        <v/>
      </c>
      <c r="M127" s="17">
        <f>IF(OR(M126="",I126=""),"",IF(I126&lt;=0,"",IFERROR(M126/I126-1,"")))</f>
        <v/>
      </c>
      <c r="N127" s="17">
        <f>IF(OR(N126="",J126=""),"",IF(J126&lt;=0,"",IFERROR(N126/J126-1,"")))</f>
        <v/>
      </c>
      <c r="V127" s="17">
        <f>IF(OR(V126="",U126=""),"",IF(U126&lt;=0,"",IFERROR(V126/U126-1,"")))</f>
        <v/>
      </c>
      <c r="W127" s="17">
        <f>IF(OR(W126="",V126=""),"",IF(V126&lt;=0,"",IFERROR(W126/V126-1,"")))</f>
        <v/>
      </c>
      <c r="X127" s="17">
        <f>IF(OR(X126="",W126=""),"",IF(W126&lt;=0,"",IFERROR(X126/W126-1,"")))</f>
        <v/>
      </c>
    </row>
    <row r="129">
      <c r="A129" s="18" t="inlineStr">
        <is>
          <t>포괄손익 · 전 항목</t>
        </is>
      </c>
      <c r="B129" s="44" t="inlineStr">
        <is>
          <t>분기 = 3개월 단독</t>
        </is>
      </c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</row>
    <row r="130">
      <c r="A130" s="5" t="inlineStr">
        <is>
          <t>항목</t>
        </is>
      </c>
      <c r="B130" s="5" t="inlineStr">
        <is>
          <t>참고</t>
        </is>
      </c>
      <c r="C130" s="5" t="inlineStr">
        <is>
          <t>2023.4Q</t>
        </is>
      </c>
      <c r="D130" s="5" t="inlineStr">
        <is>
          <t>2024.1Q</t>
        </is>
      </c>
      <c r="E130" s="5" t="inlineStr">
        <is>
          <t>2024.2Q</t>
        </is>
      </c>
      <c r="F130" s="5" t="inlineStr">
        <is>
          <t>2024.3Q</t>
        </is>
      </c>
      <c r="G130" s="5" t="inlineStr">
        <is>
          <t>2024.4Q</t>
        </is>
      </c>
      <c r="H130" s="5" t="inlineStr">
        <is>
          <t>2025.1Q</t>
        </is>
      </c>
      <c r="I130" s="5" t="inlineStr">
        <is>
          <t>2025.2Q</t>
        </is>
      </c>
      <c r="J130" s="5" t="inlineStr">
        <is>
          <t>2025.3Q</t>
        </is>
      </c>
      <c r="K130" s="5" t="inlineStr">
        <is>
          <t>2025.4Q</t>
        </is>
      </c>
      <c r="L130" s="5" t="inlineStr">
        <is>
          <t>2026.1Q</t>
        </is>
      </c>
      <c r="M130" s="5" t="inlineStr">
        <is>
          <t>2026.2Q</t>
        </is>
      </c>
      <c r="N130" s="5" t="inlineStr">
        <is>
          <t>2026.3Q</t>
        </is>
      </c>
      <c r="O130" s="5" t="inlineStr">
        <is>
          <t>2016</t>
        </is>
      </c>
      <c r="P130" s="5" t="inlineStr">
        <is>
          <t>2017</t>
        </is>
      </c>
      <c r="Q130" s="5" t="inlineStr">
        <is>
          <t>2018</t>
        </is>
      </c>
      <c r="R130" s="5" t="inlineStr">
        <is>
          <t>2019</t>
        </is>
      </c>
      <c r="S130" s="5" t="inlineStr">
        <is>
          <t>2020</t>
        </is>
      </c>
      <c r="T130" s="5" t="inlineStr">
        <is>
          <t>2021</t>
        </is>
      </c>
      <c r="U130" s="5" t="inlineStr">
        <is>
          <t>2022</t>
        </is>
      </c>
      <c r="V130" s="5" t="inlineStr">
        <is>
          <t>2023</t>
        </is>
      </c>
      <c r="W130" s="5" t="inlineStr">
        <is>
          <t>2024</t>
        </is>
      </c>
      <c r="X130" s="5" t="inlineStr">
        <is>
          <t>2025</t>
        </is>
      </c>
      <c r="Y130" s="5" t="inlineStr">
        <is>
          <t>2026(MW)</t>
        </is>
      </c>
      <c r="Z130" s="5" t="inlineStr">
        <is>
          <t>2027(MW)</t>
        </is>
      </c>
      <c r="AA130" s="5" t="inlineStr">
        <is>
          <t>2028(MW)</t>
        </is>
      </c>
      <c r="AB130" s="5" t="inlineStr">
        <is>
          <t>2029(MW)</t>
        </is>
      </c>
      <c r="AC130" s="5" t="inlineStr">
        <is>
          <t>2030(MW)</t>
        </is>
      </c>
    </row>
    <row r="131">
      <c r="A131" s="9" t="inlineStr">
        <is>
          <t>순이익</t>
        </is>
      </c>
      <c r="C131" s="12" t="n">
        <v>265.259</v>
      </c>
      <c r="D131" s="12" t="n">
        <v>527</v>
      </c>
      <c r="E131" s="12" t="n">
        <v>296</v>
      </c>
      <c r="F131" s="12" t="n">
        <v>546</v>
      </c>
      <c r="G131" s="12" t="n">
        <v>346</v>
      </c>
      <c r="H131" s="12" t="n">
        <v>373</v>
      </c>
      <c r="I131" s="12" t="n">
        <v>468</v>
      </c>
      <c r="J131" s="12" t="n">
        <v>578</v>
      </c>
      <c r="K131" s="12" t="n">
        <v>550</v>
      </c>
      <c r="L131" s="12" t="n">
        <v>693</v>
      </c>
      <c r="M131" s="12" t="n">
        <v>596</v>
      </c>
      <c r="N131" s="12" t="n">
        <v>760</v>
      </c>
      <c r="V131" s="12" t="n">
        <v>265.259</v>
      </c>
      <c r="W131" s="12" t="n">
        <v>346</v>
      </c>
      <c r="X131" s="12" t="n">
        <v>550</v>
      </c>
    </row>
    <row r="132">
      <c r="A132" s="20" t="inlineStr">
        <is>
          <t>기타유가증권 평가차액</t>
        </is>
      </c>
      <c r="C132" s="22" t="n">
        <v>1.015</v>
      </c>
      <c r="D132" s="22" t="n">
        <v>9</v>
      </c>
      <c r="E132" s="22" t="n">
        <v>7</v>
      </c>
      <c r="F132" s="22" t="n">
        <v>-4</v>
      </c>
      <c r="G132" s="22" t="n">
        <v>1</v>
      </c>
      <c r="H132" s="22" t="n">
        <v>26</v>
      </c>
      <c r="I132" s="22" t="n">
        <v>-26</v>
      </c>
      <c r="J132" s="22" t="n">
        <v>6</v>
      </c>
      <c r="K132" s="22" t="n">
        <v>9</v>
      </c>
      <c r="L132" s="22" t="n">
        <v>19</v>
      </c>
      <c r="M132" s="22" t="n">
        <v>2</v>
      </c>
      <c r="N132" s="22" t="n">
        <v>18</v>
      </c>
      <c r="V132" s="22" t="n">
        <v>1.015</v>
      </c>
      <c r="W132" s="22" t="n">
        <v>1</v>
      </c>
      <c r="X132" s="22" t="n">
        <v>9</v>
      </c>
    </row>
    <row r="133">
      <c r="A133" s="20" t="inlineStr">
        <is>
          <t>기타포괄손익 합계</t>
        </is>
      </c>
      <c r="C133" s="22" t="n">
        <v>1.015</v>
      </c>
      <c r="D133" s="22" t="n">
        <v>9</v>
      </c>
      <c r="E133" s="22" t="n">
        <v>7</v>
      </c>
      <c r="F133" s="22" t="n">
        <v>-4</v>
      </c>
      <c r="G133" s="22" t="n">
        <v>1</v>
      </c>
      <c r="H133" s="22" t="n">
        <v>26</v>
      </c>
      <c r="I133" s="22" t="n">
        <v>-26</v>
      </c>
      <c r="J133" s="22" t="n">
        <v>6</v>
      </c>
      <c r="K133" s="22" t="n">
        <v>9</v>
      </c>
      <c r="L133" s="22" t="n">
        <v>19</v>
      </c>
      <c r="M133" s="22" t="n">
        <v>2</v>
      </c>
      <c r="N133" s="22" t="n">
        <v>18</v>
      </c>
      <c r="V133" s="22" t="n">
        <v>1.015</v>
      </c>
      <c r="W133" s="22" t="n">
        <v>1</v>
      </c>
      <c r="X133" s="22" t="n">
        <v>9</v>
      </c>
    </row>
    <row r="134">
      <c r="A134" s="9" t="inlineStr">
        <is>
          <t>포괄이익</t>
        </is>
      </c>
      <c r="C134" s="12" t="n">
        <v>266.274</v>
      </c>
      <c r="D134" s="12" t="n">
        <v>536</v>
      </c>
      <c r="E134" s="12" t="n">
        <v>303</v>
      </c>
      <c r="F134" s="12" t="n">
        <v>542</v>
      </c>
      <c r="G134" s="12" t="n">
        <v>348</v>
      </c>
      <c r="H134" s="12" t="n">
        <v>399</v>
      </c>
      <c r="I134" s="12" t="n">
        <v>442</v>
      </c>
      <c r="J134" s="12" t="n">
        <v>585</v>
      </c>
      <c r="K134" s="12" t="n">
        <v>559</v>
      </c>
      <c r="L134" s="12" t="n">
        <v>713</v>
      </c>
      <c r="M134" s="12" t="n">
        <v>597</v>
      </c>
      <c r="N134" s="12" t="n">
        <v>778</v>
      </c>
      <c r="V134" s="12" t="n">
        <v>266.274</v>
      </c>
      <c r="W134" s="12" t="n">
        <v>348</v>
      </c>
      <c r="X134" s="12" t="n">
        <v>559</v>
      </c>
    </row>
    <row r="135">
      <c r="A135" s="9" t="inlineStr">
        <is>
          <t>지배주주 포괄이익</t>
        </is>
      </c>
      <c r="C135" s="12" t="n">
        <v>266.274</v>
      </c>
      <c r="D135" s="12" t="n">
        <v>536</v>
      </c>
      <c r="E135" s="12" t="n">
        <v>303</v>
      </c>
      <c r="F135" s="12" t="n">
        <v>542</v>
      </c>
      <c r="G135" s="12" t="n">
        <v>348</v>
      </c>
      <c r="H135" s="12" t="n">
        <v>399</v>
      </c>
      <c r="I135" s="12" t="n">
        <v>442</v>
      </c>
      <c r="J135" s="12" t="n">
        <v>585</v>
      </c>
      <c r="K135" s="12" t="n">
        <v>559</v>
      </c>
      <c r="L135" s="12" t="n">
        <v>713</v>
      </c>
      <c r="M135" s="12" t="n">
        <v>597</v>
      </c>
      <c r="N135" s="12" t="n">
        <v>778</v>
      </c>
      <c r="V135" s="12" t="n">
        <v>266.274</v>
      </c>
      <c r="W135" s="12" t="n">
        <v>348</v>
      </c>
      <c r="X135" s="12" t="n">
        <v>559</v>
      </c>
    </row>
    <row r="136">
      <c r="A136" s="9" t="inlineStr">
        <is>
          <t>비지배주주 포괄이익</t>
        </is>
      </c>
      <c r="C136" s="12" t="n">
        <v>0</v>
      </c>
      <c r="D136" s="12" t="n">
        <v>0</v>
      </c>
      <c r="E136" s="12" t="n">
        <v>0</v>
      </c>
      <c r="F136" s="12" t="n">
        <v>0</v>
      </c>
      <c r="G136" s="12" t="n">
        <v>0</v>
      </c>
      <c r="J136" s="12" t="n">
        <v>0</v>
      </c>
      <c r="K136" s="12" t="n">
        <v>0</v>
      </c>
      <c r="N136" s="12" t="n">
        <v>0</v>
      </c>
      <c r="V136" s="12" t="n">
        <v>0</v>
      </c>
      <c r="W136" s="12" t="n">
        <v>0</v>
      </c>
      <c r="X136" s="12" t="n">
        <v>0</v>
      </c>
    </row>
    <row r="138">
      <c r="A138" s="18" t="inlineStr">
        <is>
          <t>현금흐름표 · 전 항목</t>
        </is>
      </c>
      <c r="B138" s="44" t="inlineStr">
        <is>
          <t>분기 = 결산기 첫날부터 누계(공시 그대로)</t>
        </is>
      </c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</row>
    <row r="139">
      <c r="A139" s="5" t="inlineStr">
        <is>
          <t>항목</t>
        </is>
      </c>
      <c r="B139" s="5" t="inlineStr">
        <is>
          <t>참고</t>
        </is>
      </c>
      <c r="C139" s="5" t="inlineStr">
        <is>
          <t>2023.4Q</t>
        </is>
      </c>
      <c r="D139" s="5" t="inlineStr">
        <is>
          <t>2024.1Q</t>
        </is>
      </c>
      <c r="E139" s="5" t="inlineStr">
        <is>
          <t>2024.2Q</t>
        </is>
      </c>
      <c r="F139" s="5" t="inlineStr">
        <is>
          <t>2024.3Q</t>
        </is>
      </c>
      <c r="G139" s="5" t="inlineStr">
        <is>
          <t>2024.4Q</t>
        </is>
      </c>
      <c r="H139" s="5" t="inlineStr">
        <is>
          <t>2025.1Q</t>
        </is>
      </c>
      <c r="I139" s="5" t="inlineStr">
        <is>
          <t>2025.2Q</t>
        </is>
      </c>
      <c r="J139" s="5" t="inlineStr">
        <is>
          <t>2025.3Q</t>
        </is>
      </c>
      <c r="K139" s="5" t="inlineStr">
        <is>
          <t>2025.4Q</t>
        </is>
      </c>
      <c r="L139" s="5" t="inlineStr">
        <is>
          <t>2026.1Q</t>
        </is>
      </c>
      <c r="M139" s="5" t="inlineStr">
        <is>
          <t>2026.2Q</t>
        </is>
      </c>
      <c r="N139" s="5" t="inlineStr">
        <is>
          <t>2026.3Q</t>
        </is>
      </c>
      <c r="O139" s="5" t="inlineStr">
        <is>
          <t>2016</t>
        </is>
      </c>
      <c r="P139" s="5" t="inlineStr">
        <is>
          <t>2017</t>
        </is>
      </c>
      <c r="Q139" s="5" t="inlineStr">
        <is>
          <t>2018</t>
        </is>
      </c>
      <c r="R139" s="5" t="inlineStr">
        <is>
          <t>2019</t>
        </is>
      </c>
      <c r="S139" s="5" t="inlineStr">
        <is>
          <t>2020</t>
        </is>
      </c>
      <c r="T139" s="5" t="inlineStr">
        <is>
          <t>2021</t>
        </is>
      </c>
      <c r="U139" s="5" t="inlineStr">
        <is>
          <t>2022</t>
        </is>
      </c>
      <c r="V139" s="5" t="inlineStr">
        <is>
          <t>2023</t>
        </is>
      </c>
      <c r="W139" s="5" t="inlineStr">
        <is>
          <t>2024</t>
        </is>
      </c>
      <c r="X139" s="5" t="inlineStr">
        <is>
          <t>2025</t>
        </is>
      </c>
      <c r="Y139" s="5" t="inlineStr">
        <is>
          <t>2026(MW)</t>
        </is>
      </c>
      <c r="Z139" s="5" t="inlineStr">
        <is>
          <t>2027(MW)</t>
        </is>
      </c>
      <c r="AA139" s="5" t="inlineStr">
        <is>
          <t>2028(MW)</t>
        </is>
      </c>
      <c r="AB139" s="5" t="inlineStr">
        <is>
          <t>2029(MW)</t>
        </is>
      </c>
      <c r="AC139" s="5" t="inlineStr">
        <is>
          <t>2030(MW)</t>
        </is>
      </c>
    </row>
    <row r="140">
      <c r="A140" s="9" t="inlineStr">
        <is>
          <t>법인세차감전 순이익</t>
        </is>
      </c>
      <c r="C140" s="12" t="n">
        <v>1449.523</v>
      </c>
      <c r="E140" s="12" t="n">
        <v>1247</v>
      </c>
      <c r="G140" s="12" t="n">
        <v>2415</v>
      </c>
      <c r="I140" s="12" t="n">
        <v>1257</v>
      </c>
      <c r="K140" s="12" t="n">
        <v>2760</v>
      </c>
      <c r="M140" s="12" t="n">
        <v>1939</v>
      </c>
      <c r="O140" s="12" t="n">
        <v>2775.43</v>
      </c>
      <c r="P140" s="12" t="n">
        <v>2483.996</v>
      </c>
      <c r="Q140" s="12" t="n">
        <v>2579.027</v>
      </c>
      <c r="R140" s="12" t="n">
        <v>2325.883</v>
      </c>
      <c r="S140" s="12" t="n">
        <v>-413.66</v>
      </c>
      <c r="T140" s="12" t="n">
        <v>1425.136</v>
      </c>
      <c r="U140" s="12" t="n">
        <v>1034.038</v>
      </c>
      <c r="V140" s="12" t="n">
        <v>1449.523</v>
      </c>
      <c r="W140" s="12" t="n">
        <v>2415</v>
      </c>
      <c r="X140" s="12" t="n">
        <v>2760</v>
      </c>
    </row>
    <row r="141">
      <c r="A141" s="20" t="inlineStr">
        <is>
          <t>감가상각비</t>
        </is>
      </c>
      <c r="C141" s="22" t="n">
        <v>869.484</v>
      </c>
      <c r="E141" s="22" t="n">
        <v>415</v>
      </c>
      <c r="G141" s="22" t="n">
        <v>875</v>
      </c>
      <c r="I141" s="22" t="n">
        <v>443</v>
      </c>
      <c r="K141" s="22" t="n">
        <v>932</v>
      </c>
      <c r="M141" s="22" t="n">
        <v>468</v>
      </c>
      <c r="O141" s="22" t="n">
        <v>778.432</v>
      </c>
      <c r="P141" s="22" t="n">
        <v>822.775</v>
      </c>
      <c r="Q141" s="22" t="n">
        <v>922.426</v>
      </c>
      <c r="R141" s="22" t="n">
        <v>912.234</v>
      </c>
      <c r="S141" s="22" t="n">
        <v>820.3920000000001</v>
      </c>
      <c r="T141" s="22" t="n">
        <v>783.453</v>
      </c>
      <c r="U141" s="22" t="n">
        <v>825.125</v>
      </c>
      <c r="V141" s="22" t="n">
        <v>869.484</v>
      </c>
      <c r="W141" s="22" t="n">
        <v>875</v>
      </c>
      <c r="X141" s="22" t="n">
        <v>932</v>
      </c>
    </row>
    <row r="142">
      <c r="A142" s="20" t="inlineStr">
        <is>
          <t>손상차손</t>
        </is>
      </c>
      <c r="C142" s="22" t="n">
        <v>227.461</v>
      </c>
      <c r="E142" s="22" t="n">
        <v>0</v>
      </c>
      <c r="G142" s="22" t="n">
        <v>176</v>
      </c>
      <c r="K142" s="22" t="n">
        <v>261</v>
      </c>
      <c r="O142" s="22" t="n">
        <v>0</v>
      </c>
      <c r="P142" s="22" t="n">
        <v>27.503</v>
      </c>
      <c r="Q142" s="22" t="n">
        <v>76.04000000000001</v>
      </c>
      <c r="R142" s="22" t="n">
        <v>118.621</v>
      </c>
      <c r="S142" s="22" t="n">
        <v>508.04</v>
      </c>
      <c r="T142" s="22" t="n">
        <v>70.22</v>
      </c>
      <c r="U142" s="22" t="n">
        <v>57.294</v>
      </c>
      <c r="V142" s="22" t="n">
        <v>227.461</v>
      </c>
      <c r="W142" s="22" t="n">
        <v>176</v>
      </c>
      <c r="X142" s="22" t="n">
        <v>261</v>
      </c>
    </row>
    <row r="143">
      <c r="A143" s="20" t="inlineStr">
        <is>
          <t>영업권 상각</t>
        </is>
      </c>
      <c r="C143" s="22" t="n">
        <v>5.455</v>
      </c>
      <c r="E143" s="22" t="n">
        <v>2</v>
      </c>
      <c r="G143" s="22" t="n">
        <v>5</v>
      </c>
      <c r="I143" s="22" t="n">
        <v>2</v>
      </c>
      <c r="K143" s="22" t="n">
        <v>5</v>
      </c>
      <c r="M143" s="22" t="n">
        <v>2</v>
      </c>
      <c r="V143" s="22" t="n">
        <v>5.455</v>
      </c>
      <c r="W143" s="22" t="n">
        <v>5</v>
      </c>
      <c r="X143" s="22" t="n">
        <v>5</v>
      </c>
    </row>
    <row r="144">
      <c r="A144" s="20" t="inlineStr">
        <is>
          <t>상여충당금 증감</t>
        </is>
      </c>
      <c r="C144" s="22" t="n">
        <v>5.914</v>
      </c>
      <c r="E144" s="22" t="n">
        <v>13</v>
      </c>
      <c r="G144" s="22" t="n">
        <v>12</v>
      </c>
      <c r="I144" s="22" t="n">
        <v>16</v>
      </c>
      <c r="K144" s="22" t="n">
        <v>8</v>
      </c>
      <c r="M144" s="22" t="n">
        <v>15</v>
      </c>
      <c r="O144" s="22" t="n">
        <v>6.296</v>
      </c>
      <c r="P144" s="22" t="n">
        <v>3.828</v>
      </c>
      <c r="Q144" s="22" t="n">
        <v>2.28</v>
      </c>
      <c r="R144" s="22" t="n">
        <v>1.035</v>
      </c>
      <c r="S144" s="22" t="n">
        <v>-0.9389999999999999</v>
      </c>
      <c r="T144" s="22" t="n">
        <v>1.533</v>
      </c>
      <c r="U144" s="22" t="n">
        <v>2.579</v>
      </c>
      <c r="V144" s="22" t="n">
        <v>5.914</v>
      </c>
      <c r="W144" s="22" t="n">
        <v>12</v>
      </c>
      <c r="X144" s="22" t="n">
        <v>8</v>
      </c>
    </row>
    <row r="145">
      <c r="A145" s="20" t="inlineStr">
        <is>
          <t>판매촉진 충당금 증감</t>
        </is>
      </c>
      <c r="C145" s="22" t="n">
        <v>21.588</v>
      </c>
      <c r="E145" s="22" t="n">
        <v>4</v>
      </c>
      <c r="G145" s="22" t="n">
        <v>33</v>
      </c>
      <c r="I145" s="22" t="n">
        <v>3</v>
      </c>
      <c r="K145" s="22" t="n">
        <v>41</v>
      </c>
      <c r="M145" s="22" t="n">
        <v>1</v>
      </c>
      <c r="O145" s="22" t="n">
        <v>0.497</v>
      </c>
      <c r="P145" s="22" t="n">
        <v>0.081</v>
      </c>
      <c r="Q145" s="22" t="n">
        <v>-0.08</v>
      </c>
      <c r="R145" s="22" t="n">
        <v>0.075</v>
      </c>
      <c r="S145" s="22" t="n">
        <v>43.315</v>
      </c>
      <c r="T145" s="22" t="n">
        <v>15.203</v>
      </c>
      <c r="U145" s="22" t="n">
        <v>-4.662</v>
      </c>
      <c r="V145" s="22" t="n">
        <v>21.588</v>
      </c>
      <c r="W145" s="22" t="n">
        <v>33</v>
      </c>
      <c r="X145" s="22" t="n">
        <v>41</v>
      </c>
    </row>
    <row r="146">
      <c r="A146" s="20" t="inlineStr">
        <is>
          <t>주주우대 충당금 증감</t>
        </is>
      </c>
      <c r="C146" s="22" t="n">
        <v>0</v>
      </c>
      <c r="E146" s="22" t="n">
        <v>0</v>
      </c>
      <c r="G146" s="22" t="n">
        <v>41</v>
      </c>
      <c r="I146" s="22" t="n">
        <v>-1</v>
      </c>
      <c r="K146" s="22" t="n">
        <v>-0</v>
      </c>
      <c r="M146" s="22" t="n">
        <v>-2</v>
      </c>
      <c r="V146" s="22" t="n">
        <v>0</v>
      </c>
      <c r="W146" s="22" t="n">
        <v>41</v>
      </c>
      <c r="X146" s="22" t="n">
        <v>-0</v>
      </c>
    </row>
    <row r="147">
      <c r="A147" s="20" t="inlineStr">
        <is>
          <t>대손충당금 증감</t>
        </is>
      </c>
      <c r="C147" s="22" t="n">
        <v>-0.004</v>
      </c>
      <c r="E147" s="22" t="n">
        <v>-0</v>
      </c>
      <c r="I147" s="22" t="n">
        <v>0</v>
      </c>
      <c r="M147" s="22" t="n">
        <v>-0</v>
      </c>
      <c r="V147" s="22" t="n">
        <v>-0.004</v>
      </c>
    </row>
    <row r="148">
      <c r="A148" s="20" t="inlineStr">
        <is>
          <t>이자·배당금 수익</t>
        </is>
      </c>
      <c r="C148" s="22" t="n">
        <v>-7.715</v>
      </c>
      <c r="E148" s="22" t="n">
        <v>-4</v>
      </c>
      <c r="G148" s="22" t="n">
        <v>-11</v>
      </c>
      <c r="I148" s="22" t="n">
        <v>-7</v>
      </c>
      <c r="K148" s="22" t="n">
        <v>-16</v>
      </c>
      <c r="M148" s="22" t="n">
        <v>-9</v>
      </c>
      <c r="O148" s="22" t="n">
        <v>-6.411</v>
      </c>
      <c r="P148" s="22" t="n">
        <v>-5.517</v>
      </c>
      <c r="Q148" s="22" t="n">
        <v>-5.302</v>
      </c>
      <c r="R148" s="22" t="n">
        <v>-5.774</v>
      </c>
      <c r="S148" s="22" t="n">
        <v>-7.428</v>
      </c>
      <c r="T148" s="22" t="n">
        <v>-7.198</v>
      </c>
      <c r="U148" s="22" t="n">
        <v>-8.287000000000001</v>
      </c>
      <c r="V148" s="22" t="n">
        <v>-7.715</v>
      </c>
      <c r="W148" s="22" t="n">
        <v>-11</v>
      </c>
      <c r="X148" s="22" t="n">
        <v>-16</v>
      </c>
    </row>
    <row r="149">
      <c r="A149" s="20" t="inlineStr">
        <is>
          <t>이자비용</t>
        </is>
      </c>
      <c r="C149" s="22" t="n">
        <v>0.737</v>
      </c>
      <c r="E149" s="22" t="n">
        <v>0</v>
      </c>
      <c r="G149" s="22" t="n">
        <v>0</v>
      </c>
      <c r="I149" s="22" t="n">
        <v>0</v>
      </c>
      <c r="K149" s="22" t="n">
        <v>0</v>
      </c>
      <c r="M149" s="22" t="n">
        <v>0</v>
      </c>
      <c r="O149" s="22" t="n">
        <v>0.489</v>
      </c>
      <c r="P149" s="22" t="n">
        <v>0.383</v>
      </c>
      <c r="Q149" s="22" t="n">
        <v>0.401</v>
      </c>
      <c r="R149" s="22" t="n">
        <v>0.472</v>
      </c>
      <c r="S149" s="22" t="n">
        <v>6.271</v>
      </c>
      <c r="T149" s="22" t="n">
        <v>10.115</v>
      </c>
      <c r="U149" s="22" t="n">
        <v>3.899</v>
      </c>
      <c r="V149" s="22" t="n">
        <v>0.737</v>
      </c>
      <c r="W149" s="22" t="n">
        <v>0</v>
      </c>
      <c r="X149" s="22" t="n">
        <v>0</v>
      </c>
    </row>
    <row r="150">
      <c r="A150" s="20" t="inlineStr">
        <is>
          <t>보조금 수입</t>
        </is>
      </c>
      <c r="S150" s="22" t="n">
        <v>0</v>
      </c>
      <c r="T150" s="22" t="n">
        <v>-1538.864</v>
      </c>
      <c r="U150" s="22" t="n">
        <v>-237.569</v>
      </c>
    </row>
    <row r="151">
      <c r="A151" s="20" t="inlineStr">
        <is>
          <t>보험금 수익</t>
        </is>
      </c>
      <c r="T151" s="22" t="n">
        <v>0</v>
      </c>
      <c r="U151" s="22" t="n">
        <v>-86.14100000000001</v>
      </c>
    </row>
    <row r="152">
      <c r="A152" s="20" t="inlineStr">
        <is>
          <t>보조금 수입</t>
        </is>
      </c>
      <c r="S152" s="22" t="n">
        <v>-115.81</v>
      </c>
      <c r="T152" s="22" t="n">
        <v>-21.927</v>
      </c>
      <c r="U152" s="22" t="n">
        <v>0</v>
      </c>
    </row>
    <row r="153">
      <c r="A153" s="20" t="inlineStr">
        <is>
          <t>유가증권 매각손익</t>
        </is>
      </c>
      <c r="E153" s="22" t="n">
        <v>0</v>
      </c>
      <c r="G153" s="22" t="n">
        <v>0</v>
      </c>
      <c r="I153" s="22" t="n">
        <v>-0</v>
      </c>
      <c r="K153" s="22" t="n">
        <v>-24</v>
      </c>
      <c r="M153" s="22" t="n">
        <v>0</v>
      </c>
      <c r="W153" s="22" t="n">
        <v>0</v>
      </c>
      <c r="X153" s="22" t="n">
        <v>-24</v>
      </c>
    </row>
    <row r="154">
      <c r="A154" s="20" t="inlineStr">
        <is>
          <t>고정자산 제각·매각손익</t>
        </is>
      </c>
      <c r="C154" s="22" t="n">
        <v>28.672</v>
      </c>
      <c r="E154" s="22" t="n">
        <v>1</v>
      </c>
      <c r="G154" s="22" t="n">
        <v>1</v>
      </c>
      <c r="I154" s="22" t="n">
        <v>0</v>
      </c>
      <c r="K154" s="22" t="n">
        <v>3</v>
      </c>
      <c r="M154" s="22" t="n">
        <v>2</v>
      </c>
      <c r="O154" s="22" t="n">
        <v>28.471</v>
      </c>
      <c r="P154" s="22" t="n">
        <v>5.423</v>
      </c>
      <c r="Q154" s="22" t="n">
        <v>14.36</v>
      </c>
      <c r="R154" s="22" t="n">
        <v>6.088</v>
      </c>
      <c r="S154" s="22" t="n">
        <v>7.4</v>
      </c>
      <c r="T154" s="22" t="n">
        <v>4.261</v>
      </c>
      <c r="U154" s="22" t="n">
        <v>16.226</v>
      </c>
      <c r="V154" s="22" t="n">
        <v>28.672</v>
      </c>
      <c r="W154" s="22" t="n">
        <v>1</v>
      </c>
      <c r="X154" s="22" t="n">
        <v>3</v>
      </c>
    </row>
    <row r="155">
      <c r="A155" s="20" t="inlineStr">
        <is>
          <t>투자유가증권 상환손익</t>
        </is>
      </c>
      <c r="O155" s="22" t="n">
        <v>3.502</v>
      </c>
      <c r="P155" s="22" t="n">
        <v>0</v>
      </c>
    </row>
    <row r="156">
      <c r="A156" s="20" t="inlineStr">
        <is>
          <t>화재손실</t>
        </is>
      </c>
      <c r="S156" s="22" t="n">
        <v>0</v>
      </c>
      <c r="T156" s="22" t="n">
        <v>40.335</v>
      </c>
      <c r="U156" s="22" t="n">
        <v>0</v>
      </c>
    </row>
    <row r="157">
      <c r="A157" s="20" t="inlineStr">
        <is>
          <t>투자유가증권 평가손익</t>
        </is>
      </c>
      <c r="Q157" s="22" t="n">
        <v>0</v>
      </c>
      <c r="R157" s="22" t="n">
        <v>8.096</v>
      </c>
      <c r="S157" s="22" t="n">
        <v>12.809</v>
      </c>
      <c r="T157" s="22" t="n">
        <v>0</v>
      </c>
    </row>
    <row r="158">
      <c r="A158" s="20" t="inlineStr">
        <is>
          <t>매출채권 증감</t>
        </is>
      </c>
      <c r="C158" s="22" t="n">
        <v>-85.267</v>
      </c>
      <c r="E158" s="22" t="n">
        <v>34</v>
      </c>
      <c r="G158" s="22" t="n">
        <v>-70</v>
      </c>
      <c r="I158" s="22" t="n">
        <v>5</v>
      </c>
      <c r="K158" s="22" t="n">
        <v>-328</v>
      </c>
      <c r="M158" s="22" t="n">
        <v>102</v>
      </c>
      <c r="O158" s="22" t="n">
        <v>3.602</v>
      </c>
      <c r="P158" s="22" t="n">
        <v>-51.688</v>
      </c>
      <c r="Q158" s="22" t="n">
        <v>-37.184</v>
      </c>
      <c r="R158" s="22" t="n">
        <v>-87.828</v>
      </c>
      <c r="S158" s="22" t="n">
        <v>-136.194</v>
      </c>
      <c r="T158" s="22" t="n">
        <v>-245.766</v>
      </c>
      <c r="U158" s="22" t="n">
        <v>-14.815</v>
      </c>
      <c r="V158" s="22" t="n">
        <v>-85.267</v>
      </c>
      <c r="W158" s="22" t="n">
        <v>-70</v>
      </c>
      <c r="X158" s="22" t="n">
        <v>-328</v>
      </c>
    </row>
    <row r="159">
      <c r="A159" s="20" t="inlineStr">
        <is>
          <t>재고자산 증감</t>
        </is>
      </c>
      <c r="C159" s="22" t="n">
        <v>-116.645</v>
      </c>
      <c r="E159" s="22" t="n">
        <v>-239</v>
      </c>
      <c r="G159" s="22" t="n">
        <v>-310</v>
      </c>
      <c r="I159" s="22" t="n">
        <v>508</v>
      </c>
      <c r="K159" s="22" t="n">
        <v>229</v>
      </c>
      <c r="M159" s="22" t="n">
        <v>58</v>
      </c>
      <c r="O159" s="22" t="n">
        <v>-44.702</v>
      </c>
      <c r="P159" s="22" t="n">
        <v>-35.963</v>
      </c>
      <c r="Q159" s="22" t="n">
        <v>-192.332</v>
      </c>
      <c r="R159" s="22" t="n">
        <v>-52.225</v>
      </c>
      <c r="S159" s="22" t="n">
        <v>301.264</v>
      </c>
      <c r="T159" s="22" t="n">
        <v>-16.102</v>
      </c>
      <c r="U159" s="22" t="n">
        <v>-244.072</v>
      </c>
      <c r="V159" s="22" t="n">
        <v>-116.645</v>
      </c>
      <c r="W159" s="22" t="n">
        <v>-310</v>
      </c>
      <c r="X159" s="22" t="n">
        <v>229</v>
      </c>
    </row>
    <row r="160">
      <c r="A160" s="20" t="inlineStr">
        <is>
          <t>선급비용 증감</t>
        </is>
      </c>
      <c r="C160" s="22" t="n">
        <v>-0.791</v>
      </c>
      <c r="E160" s="22" t="n">
        <v>-88</v>
      </c>
      <c r="G160" s="22" t="n">
        <v>-4</v>
      </c>
      <c r="I160" s="22" t="n">
        <v>-110</v>
      </c>
      <c r="K160" s="22" t="n">
        <v>-31</v>
      </c>
      <c r="M160" s="22" t="n">
        <v>-114</v>
      </c>
      <c r="V160" s="22" t="n">
        <v>-0.791</v>
      </c>
      <c r="W160" s="22" t="n">
        <v>-4</v>
      </c>
      <c r="X160" s="22" t="n">
        <v>-31</v>
      </c>
    </row>
    <row r="161">
      <c r="A161" s="20" t="inlineStr">
        <is>
          <t>장기선급비용 증감</t>
        </is>
      </c>
      <c r="C161" s="22" t="n">
        <v>-15.361</v>
      </c>
      <c r="G161" s="22" t="n">
        <v>17</v>
      </c>
      <c r="K161" s="22" t="n">
        <v>13</v>
      </c>
      <c r="O161" s="22" t="n">
        <v>10.104</v>
      </c>
      <c r="P161" s="22" t="n">
        <v>-23.303</v>
      </c>
      <c r="Q161" s="22" t="n">
        <v>6.162</v>
      </c>
      <c r="R161" s="22" t="n">
        <v>13.691</v>
      </c>
      <c r="S161" s="22" t="n">
        <v>-31.403</v>
      </c>
      <c r="T161" s="22" t="n">
        <v>9.317</v>
      </c>
      <c r="U161" s="22" t="n">
        <v>9.032</v>
      </c>
      <c r="V161" s="22" t="n">
        <v>-15.361</v>
      </c>
      <c r="W161" s="22" t="n">
        <v>17</v>
      </c>
      <c r="X161" s="22" t="n">
        <v>13</v>
      </c>
    </row>
    <row r="162">
      <c r="A162" s="20" t="inlineStr">
        <is>
          <t>매입채무 증감</t>
        </is>
      </c>
      <c r="C162" s="22" t="n">
        <v>86.246</v>
      </c>
      <c r="E162" s="22" t="n">
        <v>-52</v>
      </c>
      <c r="G162" s="22" t="n">
        <v>-146</v>
      </c>
      <c r="I162" s="22" t="n">
        <v>-22</v>
      </c>
      <c r="K162" s="22" t="n">
        <v>104</v>
      </c>
      <c r="M162" s="22" t="n">
        <v>-81</v>
      </c>
      <c r="O162" s="22" t="n">
        <v>53.885</v>
      </c>
      <c r="P162" s="22" t="n">
        <v>97.018</v>
      </c>
      <c r="Q162" s="22" t="n">
        <v>18.091</v>
      </c>
      <c r="R162" s="22" t="n">
        <v>-62.64</v>
      </c>
      <c r="S162" s="22" t="n">
        <v>-131.302</v>
      </c>
      <c r="T162" s="22" t="n">
        <v>125.511</v>
      </c>
      <c r="U162" s="22" t="n">
        <v>194.343</v>
      </c>
      <c r="V162" s="22" t="n">
        <v>86.246</v>
      </c>
      <c r="W162" s="22" t="n">
        <v>-146</v>
      </c>
      <c r="X162" s="22" t="n">
        <v>104</v>
      </c>
    </row>
    <row r="163">
      <c r="A163" s="20" t="inlineStr">
        <is>
          <t>미지급금 증감</t>
        </is>
      </c>
      <c r="C163" s="22" t="n">
        <v>86.114</v>
      </c>
      <c r="E163" s="22" t="n">
        <v>359</v>
      </c>
      <c r="G163" s="22" t="n">
        <v>224</v>
      </c>
      <c r="I163" s="22" t="n">
        <v>186</v>
      </c>
      <c r="K163" s="22" t="n">
        <v>196</v>
      </c>
      <c r="M163" s="22" t="n">
        <v>361</v>
      </c>
      <c r="O163" s="22" t="n">
        <v>63.775</v>
      </c>
      <c r="P163" s="22" t="n">
        <v>102.783</v>
      </c>
      <c r="Q163" s="22" t="n">
        <v>60.98</v>
      </c>
      <c r="R163" s="22" t="n">
        <v>4.056</v>
      </c>
      <c r="S163" s="22" t="n">
        <v>-86.145</v>
      </c>
      <c r="T163" s="22" t="n">
        <v>96.831</v>
      </c>
      <c r="U163" s="22" t="n">
        <v>0.868</v>
      </c>
      <c r="V163" s="22" t="n">
        <v>86.114</v>
      </c>
      <c r="W163" s="22" t="n">
        <v>224</v>
      </c>
      <c r="X163" s="22" t="n">
        <v>196</v>
      </c>
    </row>
    <row r="164">
      <c r="A164" s="20" t="inlineStr">
        <is>
          <t>계약부채 증감</t>
        </is>
      </c>
      <c r="C164" s="22" t="n">
        <v>52.002</v>
      </c>
      <c r="E164" s="22" t="n">
        <v>26.279</v>
      </c>
      <c r="V164" s="22" t="n">
        <v>52.002</v>
      </c>
    </row>
    <row r="165">
      <c r="A165" s="20" t="inlineStr">
        <is>
          <t>미지급 소비세 증감</t>
        </is>
      </c>
      <c r="I165" s="22" t="n">
        <v>10</v>
      </c>
      <c r="M165" s="22" t="n">
        <v>86</v>
      </c>
      <c r="O165" s="22" t="n">
        <v>-24.323</v>
      </c>
      <c r="P165" s="22" t="n">
        <v>-75.529</v>
      </c>
      <c r="Q165" s="22" t="n">
        <v>67.532</v>
      </c>
      <c r="R165" s="22" t="n">
        <v>84.23399999999999</v>
      </c>
      <c r="S165" s="22" t="n">
        <v>-176.37</v>
      </c>
      <c r="T165" s="22" t="n">
        <v>-50.203</v>
      </c>
      <c r="U165" s="22" t="n">
        <v>232.966</v>
      </c>
    </row>
    <row r="166">
      <c r="A166" s="20" t="inlineStr">
        <is>
          <t>계약부채 증감</t>
        </is>
      </c>
      <c r="C166" s="22" t="n">
        <v>52.002</v>
      </c>
      <c r="E166" s="22" t="n">
        <v>26</v>
      </c>
      <c r="G166" s="22" t="n">
        <v>28</v>
      </c>
      <c r="I166" s="22" t="n">
        <v>36</v>
      </c>
      <c r="K166" s="22" t="n">
        <v>115</v>
      </c>
      <c r="M166" s="22" t="n">
        <v>102</v>
      </c>
      <c r="V166" s="22" t="n">
        <v>52.002</v>
      </c>
      <c r="W166" s="22" t="n">
        <v>28</v>
      </c>
      <c r="X166" s="22" t="n">
        <v>115</v>
      </c>
    </row>
    <row r="167">
      <c r="A167" s="20" t="inlineStr">
        <is>
          <t>기타</t>
        </is>
      </c>
      <c r="C167" s="22" t="n">
        <v>176.598</v>
      </c>
      <c r="E167" s="22" t="n">
        <v>-136</v>
      </c>
      <c r="G167" s="22" t="n">
        <v>16</v>
      </c>
      <c r="I167" s="22" t="n">
        <v>-98</v>
      </c>
      <c r="K167" s="22" t="n">
        <v>-61</v>
      </c>
      <c r="M167" s="22" t="n">
        <v>-23</v>
      </c>
      <c r="O167" s="22" t="n">
        <v>14.039</v>
      </c>
      <c r="P167" s="22" t="n">
        <v>76.212</v>
      </c>
      <c r="Q167" s="22" t="n">
        <v>-44.11</v>
      </c>
      <c r="R167" s="22" t="n">
        <v>52.427</v>
      </c>
      <c r="S167" s="22" t="n">
        <v>-45.402</v>
      </c>
      <c r="T167" s="22" t="n">
        <v>89.47799999999999</v>
      </c>
      <c r="U167" s="22" t="n">
        <v>29.094</v>
      </c>
      <c r="V167" s="22" t="n">
        <v>176.598</v>
      </c>
      <c r="W167" s="22" t="n">
        <v>16</v>
      </c>
      <c r="X167" s="22" t="n">
        <v>-61</v>
      </c>
    </row>
    <row r="168">
      <c r="A168" s="20" t="inlineStr">
        <is>
          <t>소계</t>
        </is>
      </c>
      <c r="C168" s="22" t="n">
        <v>2784.018</v>
      </c>
      <c r="E168" s="22" t="n">
        <v>1583</v>
      </c>
      <c r="G168" s="22" t="n">
        <v>3304</v>
      </c>
      <c r="I168" s="22" t="n">
        <v>2230</v>
      </c>
      <c r="K168" s="22" t="n">
        <v>4210</v>
      </c>
      <c r="M168" s="22" t="n">
        <v>2910</v>
      </c>
      <c r="O168" s="22" t="n">
        <v>3663.089</v>
      </c>
      <c r="P168" s="22" t="n">
        <v>3428.003</v>
      </c>
      <c r="Q168" s="22" t="n">
        <v>3468.294</v>
      </c>
      <c r="R168" s="22" t="n">
        <v>3318.448</v>
      </c>
      <c r="S168" s="22" t="n">
        <v>554.837</v>
      </c>
      <c r="T168" s="22" t="n">
        <v>791.3339999999999</v>
      </c>
      <c r="U168" s="22" t="n">
        <v>1809.919</v>
      </c>
      <c r="V168" s="22" t="n">
        <v>2784.018</v>
      </c>
      <c r="W168" s="22" t="n">
        <v>3304</v>
      </c>
      <c r="X168" s="22" t="n">
        <v>4210</v>
      </c>
    </row>
    <row r="169">
      <c r="A169" s="20" t="inlineStr">
        <is>
          <t>이자·배당금 수취</t>
        </is>
      </c>
      <c r="C169" s="22" t="n">
        <v>7.715</v>
      </c>
      <c r="E169" s="22" t="n">
        <v>4</v>
      </c>
      <c r="G169" s="22" t="n">
        <v>11</v>
      </c>
      <c r="I169" s="22" t="n">
        <v>7</v>
      </c>
      <c r="K169" s="22" t="n">
        <v>16</v>
      </c>
      <c r="M169" s="22" t="n">
        <v>9</v>
      </c>
      <c r="O169" s="22" t="n">
        <v>6.411</v>
      </c>
      <c r="P169" s="22" t="n">
        <v>5.517</v>
      </c>
      <c r="Q169" s="22" t="n">
        <v>5.302</v>
      </c>
      <c r="R169" s="22" t="n">
        <v>5.774</v>
      </c>
      <c r="S169" s="22" t="n">
        <v>7.428</v>
      </c>
      <c r="T169" s="22" t="n">
        <v>7.198</v>
      </c>
      <c r="U169" s="22" t="n">
        <v>8.287000000000001</v>
      </c>
      <c r="V169" s="22" t="n">
        <v>7.715</v>
      </c>
      <c r="W169" s="22" t="n">
        <v>11</v>
      </c>
      <c r="X169" s="22" t="n">
        <v>16</v>
      </c>
    </row>
    <row r="170">
      <c r="A170" s="20" t="inlineStr">
        <is>
          <t>이자 지급</t>
        </is>
      </c>
      <c r="C170" s="22" t="n">
        <v>-0.737</v>
      </c>
      <c r="E170" s="22" t="n">
        <v>-0</v>
      </c>
      <c r="G170" s="22" t="n">
        <v>-0</v>
      </c>
      <c r="I170" s="22" t="n">
        <v>-0</v>
      </c>
      <c r="K170" s="22" t="n">
        <v>-0</v>
      </c>
      <c r="M170" s="22" t="n">
        <v>-0</v>
      </c>
      <c r="O170" s="22" t="n">
        <v>-0.479</v>
      </c>
      <c r="P170" s="22" t="n">
        <v>-0.382</v>
      </c>
      <c r="Q170" s="22" t="n">
        <v>-0.402</v>
      </c>
      <c r="R170" s="22" t="n">
        <v>-0.475</v>
      </c>
      <c r="S170" s="22" t="n">
        <v>-6.845</v>
      </c>
      <c r="T170" s="22" t="n">
        <v>-10.086</v>
      </c>
      <c r="U170" s="22" t="n">
        <v>-3.397</v>
      </c>
      <c r="V170" s="22" t="n">
        <v>-0.737</v>
      </c>
      <c r="W170" s="22" t="n">
        <v>-0</v>
      </c>
      <c r="X170" s="22" t="n">
        <v>-0</v>
      </c>
    </row>
    <row r="171">
      <c r="A171" s="20" t="inlineStr">
        <is>
          <t>법인세 납부</t>
        </is>
      </c>
      <c r="C171" s="22" t="n">
        <v>-245.231</v>
      </c>
      <c r="E171" s="22" t="n">
        <v>-377</v>
      </c>
      <c r="G171" s="22" t="n">
        <v>-647</v>
      </c>
      <c r="I171" s="22" t="n">
        <v>-485</v>
      </c>
      <c r="K171" s="22" t="n">
        <v>-859</v>
      </c>
      <c r="M171" s="22" t="n">
        <v>-497</v>
      </c>
      <c r="O171" s="22" t="n">
        <v>-899.38</v>
      </c>
      <c r="P171" s="22" t="n">
        <v>-900.052</v>
      </c>
      <c r="Q171" s="22" t="n">
        <v>-680.197</v>
      </c>
      <c r="R171" s="22" t="n">
        <v>-903.569</v>
      </c>
      <c r="S171" s="22" t="n">
        <v>-729.227</v>
      </c>
      <c r="T171" s="22" t="n">
        <v>-29.581</v>
      </c>
      <c r="U171" s="22" t="n">
        <v>-756.499</v>
      </c>
      <c r="V171" s="22" t="n">
        <v>-245.231</v>
      </c>
      <c r="W171" s="22" t="n">
        <v>-647</v>
      </c>
      <c r="X171" s="22" t="n">
        <v>-859</v>
      </c>
    </row>
    <row r="172">
      <c r="A172" s="20" t="inlineStr">
        <is>
          <t>법인세 환급</t>
        </is>
      </c>
      <c r="S172" s="22" t="n">
        <v>0.08500000000000001</v>
      </c>
      <c r="T172" s="22" t="n">
        <v>341.264</v>
      </c>
      <c r="U172" s="22" t="n">
        <v>0</v>
      </c>
    </row>
    <row r="173">
      <c r="A173" s="20" t="inlineStr">
        <is>
          <t>보조금 수취</t>
        </is>
      </c>
      <c r="S173" s="22" t="n">
        <v>0</v>
      </c>
      <c r="T173" s="22" t="n">
        <v>1302.476</v>
      </c>
      <c r="U173" s="22" t="n">
        <v>473.456</v>
      </c>
    </row>
    <row r="174">
      <c r="A174" s="20" t="inlineStr">
        <is>
          <t>보험금 수취</t>
        </is>
      </c>
      <c r="T174" s="22" t="n">
        <v>0</v>
      </c>
      <c r="U174" s="22" t="n">
        <v>89.45099999999999</v>
      </c>
    </row>
    <row r="175">
      <c r="A175" s="20" t="inlineStr">
        <is>
          <t>보조금 수취</t>
        </is>
      </c>
      <c r="S175" s="22" t="n">
        <v>115.81</v>
      </c>
      <c r="T175" s="22" t="n">
        <v>18.979</v>
      </c>
      <c r="U175" s="22" t="n">
        <v>0</v>
      </c>
    </row>
    <row r="176">
      <c r="A176" s="9" t="inlineStr">
        <is>
          <t>영업활동 현금흐름</t>
        </is>
      </c>
      <c r="C176" s="12" t="n">
        <v>2545.766</v>
      </c>
      <c r="E176" s="12" t="n">
        <v>1209</v>
      </c>
      <c r="G176" s="12" t="n">
        <v>2668</v>
      </c>
      <c r="I176" s="12" t="n">
        <v>1752</v>
      </c>
      <c r="K176" s="12" t="n">
        <v>3366</v>
      </c>
      <c r="M176" s="12" t="n">
        <v>2422</v>
      </c>
      <c r="O176" s="12" t="n">
        <v>2769.639</v>
      </c>
      <c r="P176" s="12" t="n">
        <v>2533.086</v>
      </c>
      <c r="Q176" s="12" t="n">
        <v>2792.996</v>
      </c>
      <c r="R176" s="12" t="n">
        <v>2420.177</v>
      </c>
      <c r="S176" s="12" t="n">
        <v>-57.912</v>
      </c>
      <c r="T176" s="12" t="n">
        <v>2421.584</v>
      </c>
      <c r="U176" s="12" t="n">
        <v>1621.218</v>
      </c>
      <c r="V176" s="12" t="n">
        <v>2545.766</v>
      </c>
      <c r="W176" s="12" t="n">
        <v>2668</v>
      </c>
      <c r="X176" s="12" t="n">
        <v>3366</v>
      </c>
    </row>
    <row r="177">
      <c r="A177" s="20" t="inlineStr">
        <is>
          <t>투자유가증권 취득</t>
        </is>
      </c>
      <c r="C177" s="22" t="n">
        <v>-1.799</v>
      </c>
      <c r="E177" s="22" t="n">
        <v>-0</v>
      </c>
      <c r="G177" s="22" t="n">
        <v>-1</v>
      </c>
      <c r="I177" s="22" t="n">
        <v>-0</v>
      </c>
      <c r="K177" s="22" t="n">
        <v>-0</v>
      </c>
      <c r="M177" s="22" t="n">
        <v>-0</v>
      </c>
      <c r="Q177" s="22" t="n">
        <v>0</v>
      </c>
      <c r="R177" s="22" t="n">
        <v>-0.104</v>
      </c>
      <c r="S177" s="22" t="n">
        <v>0</v>
      </c>
      <c r="V177" s="22" t="n">
        <v>-1.799</v>
      </c>
      <c r="W177" s="22" t="n">
        <v>-1</v>
      </c>
      <c r="X177" s="22" t="n">
        <v>-0</v>
      </c>
    </row>
    <row r="178">
      <c r="A178" s="20" t="inlineStr">
        <is>
          <t>투자유가증권 매각</t>
        </is>
      </c>
      <c r="E178" s="22" t="n">
        <v>0</v>
      </c>
      <c r="G178" s="22" t="n">
        <v>0</v>
      </c>
      <c r="I178" s="22" t="n">
        <v>0</v>
      </c>
      <c r="K178" s="22" t="n">
        <v>25</v>
      </c>
      <c r="M178" s="22" t="n">
        <v>0</v>
      </c>
      <c r="T178" s="22" t="n">
        <v>0</v>
      </c>
      <c r="U178" s="22" t="n">
        <v>15.809</v>
      </c>
      <c r="W178" s="22" t="n">
        <v>0</v>
      </c>
      <c r="X178" s="22" t="n">
        <v>25</v>
      </c>
    </row>
    <row r="179">
      <c r="A179" s="20" t="inlineStr">
        <is>
          <t>관계회사 주식 취득</t>
        </is>
      </c>
      <c r="T179" s="22" t="n">
        <v>0</v>
      </c>
      <c r="U179" s="22" t="n">
        <v>-121.163</v>
      </c>
    </row>
    <row r="180">
      <c r="A180" s="20" t="inlineStr">
        <is>
          <t>장기대여</t>
        </is>
      </c>
      <c r="T180" s="22" t="n">
        <v>0</v>
      </c>
      <c r="U180" s="22" t="n">
        <v>-250</v>
      </c>
    </row>
    <row r="181">
      <c r="A181" s="20" t="inlineStr">
        <is>
          <t>장기대여금 회수</t>
        </is>
      </c>
      <c r="T181" s="22" t="n">
        <v>0</v>
      </c>
      <c r="U181" s="22" t="n">
        <v>21</v>
      </c>
    </row>
    <row r="182">
      <c r="A182" s="20" t="inlineStr">
        <is>
          <t>유형자산 취득(설비투자)</t>
        </is>
      </c>
      <c r="C182" s="22" t="n">
        <v>-1057.12</v>
      </c>
      <c r="E182" s="22" t="n">
        <v>-315</v>
      </c>
      <c r="G182" s="22" t="n">
        <v>-1077</v>
      </c>
      <c r="I182" s="22" t="n">
        <v>-653</v>
      </c>
      <c r="K182" s="22" t="n">
        <v>-1427</v>
      </c>
      <c r="M182" s="22" t="n">
        <v>-611</v>
      </c>
      <c r="O182" s="22" t="n">
        <v>-1577.982</v>
      </c>
      <c r="P182" s="22" t="n">
        <v>-3345.34</v>
      </c>
      <c r="Q182" s="22" t="n">
        <v>-1649.15</v>
      </c>
      <c r="R182" s="22" t="n">
        <v>-758.2140000000001</v>
      </c>
      <c r="S182" s="22" t="n">
        <v>-296.477</v>
      </c>
      <c r="T182" s="22" t="n">
        <v>-1695.123</v>
      </c>
      <c r="U182" s="22" t="n">
        <v>-1032.914</v>
      </c>
      <c r="V182" s="22" t="n">
        <v>-1057.12</v>
      </c>
      <c r="W182" s="22" t="n">
        <v>-1077</v>
      </c>
      <c r="X182" s="22" t="n">
        <v>-1427</v>
      </c>
    </row>
    <row r="183">
      <c r="A183" s="20" t="inlineStr">
        <is>
          <t>유형자산 제각 지출</t>
        </is>
      </c>
      <c r="O183" s="22" t="n">
        <v>-5.51</v>
      </c>
      <c r="P183" s="22" t="n">
        <v>-4.53</v>
      </c>
      <c r="Q183" s="22" t="n">
        <v>-7.892</v>
      </c>
      <c r="R183" s="22" t="n">
        <v>-0.88</v>
      </c>
      <c r="S183" s="22" t="n">
        <v>-0.314</v>
      </c>
      <c r="T183" s="22" t="n">
        <v>0</v>
      </c>
      <c r="U183" s="22" t="n">
        <v>-0.198</v>
      </c>
    </row>
    <row r="184">
      <c r="A184" s="20" t="inlineStr">
        <is>
          <t>유형자산 매각</t>
        </is>
      </c>
      <c r="C184" s="22" t="n">
        <v>0.185</v>
      </c>
      <c r="G184" s="22" t="n">
        <v>1</v>
      </c>
      <c r="I184" s="22" t="n">
        <v>0</v>
      </c>
      <c r="K184" s="22" t="n">
        <v>0</v>
      </c>
      <c r="M184" s="22" t="n">
        <v>0</v>
      </c>
      <c r="Q184" s="22" t="n">
        <v>0</v>
      </c>
      <c r="R184" s="22" t="n">
        <v>0.274</v>
      </c>
      <c r="S184" s="22" t="n">
        <v>2.557</v>
      </c>
      <c r="T184" s="22" t="n">
        <v>0</v>
      </c>
      <c r="U184" s="22" t="n">
        <v>0.78</v>
      </c>
      <c r="V184" s="22" t="n">
        <v>0.185</v>
      </c>
      <c r="W184" s="22" t="n">
        <v>1</v>
      </c>
      <c r="X184" s="22" t="n">
        <v>0</v>
      </c>
    </row>
    <row r="185">
      <c r="A185" s="20" t="inlineStr">
        <is>
          <t>무형자산 취득</t>
        </is>
      </c>
      <c r="C185" s="22" t="n">
        <v>-15.13</v>
      </c>
      <c r="E185" s="22" t="n">
        <v>-59</v>
      </c>
      <c r="G185" s="22" t="n">
        <v>-70</v>
      </c>
      <c r="I185" s="22" t="n">
        <v>-6</v>
      </c>
      <c r="K185" s="22" t="n">
        <v>-12</v>
      </c>
      <c r="M185" s="22" t="n">
        <v>-5</v>
      </c>
      <c r="O185" s="22" t="n">
        <v>-27.312</v>
      </c>
      <c r="P185" s="22" t="n">
        <v>-62.449</v>
      </c>
      <c r="Q185" s="22" t="n">
        <v>-10.613</v>
      </c>
      <c r="R185" s="22" t="n">
        <v>-26.423</v>
      </c>
      <c r="S185" s="22" t="n">
        <v>-59.194</v>
      </c>
      <c r="T185" s="22" t="n">
        <v>-125.959</v>
      </c>
      <c r="U185" s="22" t="n">
        <v>-20.177</v>
      </c>
      <c r="V185" s="22" t="n">
        <v>-15.13</v>
      </c>
      <c r="W185" s="22" t="n">
        <v>-70</v>
      </c>
      <c r="X185" s="22" t="n">
        <v>-12</v>
      </c>
    </row>
    <row r="186">
      <c r="A186" s="20" t="inlineStr">
        <is>
          <t>자산복구부채 이행 지출</t>
        </is>
      </c>
      <c r="Q186" s="22" t="n">
        <v>0</v>
      </c>
      <c r="R186" s="22" t="n">
        <v>-10.536</v>
      </c>
      <c r="S186" s="22" t="n">
        <v>-14.14</v>
      </c>
      <c r="T186" s="22" t="n">
        <v>-12.12</v>
      </c>
      <c r="U186" s="22" t="n">
        <v>-9.007999999999999</v>
      </c>
    </row>
    <row r="187">
      <c r="A187" s="20" t="inlineStr">
        <is>
          <t>보증금 납입</t>
        </is>
      </c>
      <c r="C187" s="22" t="n">
        <v>-26.688</v>
      </c>
      <c r="E187" s="22" t="n">
        <v>-9</v>
      </c>
      <c r="G187" s="22" t="n">
        <v>-41</v>
      </c>
      <c r="I187" s="22" t="n">
        <v>-20</v>
      </c>
      <c r="K187" s="22" t="n">
        <v>-32</v>
      </c>
      <c r="M187" s="22" t="n">
        <v>-14</v>
      </c>
      <c r="O187" s="22" t="n">
        <v>-71.271</v>
      </c>
      <c r="P187" s="22" t="n">
        <v>-122.632</v>
      </c>
      <c r="Q187" s="22" t="n">
        <v>-42.93</v>
      </c>
      <c r="R187" s="22" t="n">
        <v>-12.403</v>
      </c>
      <c r="S187" s="22" t="n">
        <v>-4.605</v>
      </c>
      <c r="T187" s="22" t="n">
        <v>-47.395</v>
      </c>
      <c r="U187" s="22" t="n">
        <v>-36.912</v>
      </c>
      <c r="V187" s="22" t="n">
        <v>-26.688</v>
      </c>
      <c r="W187" s="22" t="n">
        <v>-41</v>
      </c>
      <c r="X187" s="22" t="n">
        <v>-32</v>
      </c>
    </row>
    <row r="188">
      <c r="A188" s="20" t="inlineStr">
        <is>
          <t>보증금 회수</t>
        </is>
      </c>
      <c r="C188" s="22" t="n">
        <v>0</v>
      </c>
      <c r="E188" s="22" t="n">
        <v>10</v>
      </c>
      <c r="G188" s="22" t="n">
        <v>13</v>
      </c>
      <c r="I188" s="22" t="n">
        <v>0</v>
      </c>
      <c r="K188" s="22" t="n">
        <v>8</v>
      </c>
      <c r="M188" s="22" t="n">
        <v>0</v>
      </c>
      <c r="O188" s="22" t="n">
        <v>5.458</v>
      </c>
      <c r="P188" s="22" t="n">
        <v>2.722</v>
      </c>
      <c r="Q188" s="22" t="n">
        <v>0.888</v>
      </c>
      <c r="R188" s="22" t="n">
        <v>19.322</v>
      </c>
      <c r="S188" s="22" t="n">
        <v>51.76</v>
      </c>
      <c r="T188" s="22" t="n">
        <v>18.5</v>
      </c>
      <c r="U188" s="22" t="n">
        <v>17.224</v>
      </c>
      <c r="V188" s="22" t="n">
        <v>0</v>
      </c>
      <c r="W188" s="22" t="n">
        <v>13</v>
      </c>
      <c r="X188" s="22" t="n">
        <v>8</v>
      </c>
    </row>
    <row r="189">
      <c r="A189" s="20" t="inlineStr">
        <is>
          <t>건설협력금 회수</t>
        </is>
      </c>
      <c r="C189" s="22" t="n">
        <v>24.675</v>
      </c>
      <c r="E189" s="22" t="n">
        <v>6</v>
      </c>
      <c r="G189" s="22" t="n">
        <v>25</v>
      </c>
      <c r="I189" s="22" t="n">
        <v>12</v>
      </c>
      <c r="K189" s="22" t="n">
        <v>30</v>
      </c>
      <c r="M189" s="22" t="n">
        <v>12</v>
      </c>
      <c r="O189" s="22" t="n">
        <v>29.112</v>
      </c>
      <c r="P189" s="22" t="n">
        <v>25.363</v>
      </c>
      <c r="Q189" s="22" t="n">
        <v>24.892</v>
      </c>
      <c r="R189" s="22" t="n">
        <v>22.808</v>
      </c>
      <c r="S189" s="22" t="n">
        <v>21.421</v>
      </c>
      <c r="T189" s="22" t="n">
        <v>22.857</v>
      </c>
      <c r="U189" s="22" t="n">
        <v>26.409</v>
      </c>
      <c r="V189" s="22" t="n">
        <v>24.675</v>
      </c>
      <c r="W189" s="22" t="n">
        <v>25</v>
      </c>
      <c r="X189" s="22" t="n">
        <v>30</v>
      </c>
    </row>
    <row r="190">
      <c r="A190" s="20" t="inlineStr">
        <is>
          <t>보험적립금 적립</t>
        </is>
      </c>
      <c r="O190" s="22" t="n">
        <v>-3.651</v>
      </c>
      <c r="P190" s="22" t="n">
        <v>-3.651</v>
      </c>
      <c r="Q190" s="22" t="n">
        <v>-3.651</v>
      </c>
      <c r="R190" s="22" t="n">
        <v>-3.651</v>
      </c>
      <c r="S190" s="22" t="n">
        <v>-3.651</v>
      </c>
      <c r="T190" s="22" t="n">
        <v>-3.651</v>
      </c>
      <c r="U190" s="22" t="n">
        <v>-3.651</v>
      </c>
    </row>
    <row r="191">
      <c r="A191" s="20" t="inlineStr">
        <is>
          <t>출자금 납입</t>
        </is>
      </c>
      <c r="P191" s="22" t="n">
        <v>-0.01</v>
      </c>
      <c r="Q191" s="22" t="n">
        <v>0</v>
      </c>
    </row>
    <row r="192">
      <c r="A192" s="20" t="inlineStr">
        <is>
          <t>예수보증금 반환</t>
        </is>
      </c>
      <c r="O192" s="22" t="n">
        <v>0</v>
      </c>
      <c r="P192" s="22" t="n">
        <v>-5.89</v>
      </c>
      <c r="Q192" s="22" t="n">
        <v>-10.52</v>
      </c>
      <c r="R192" s="22" t="n">
        <v>-0.35</v>
      </c>
      <c r="S192" s="22" t="n">
        <v>-0.572</v>
      </c>
      <c r="T192" s="22" t="n">
        <v>-0.062</v>
      </c>
      <c r="U192" s="22" t="n">
        <v>0</v>
      </c>
    </row>
    <row r="193">
      <c r="A193" s="20" t="inlineStr">
        <is>
          <t>예수보증금 수입</t>
        </is>
      </c>
      <c r="O193" s="22" t="n">
        <v>0</v>
      </c>
      <c r="P193" s="22" t="n">
        <v>12.98</v>
      </c>
      <c r="Q193" s="22" t="n">
        <v>0</v>
      </c>
      <c r="R193" s="22" t="n">
        <v>5</v>
      </c>
      <c r="S193" s="22" t="n">
        <v>0.249</v>
      </c>
      <c r="T193" s="22" t="n">
        <v>0</v>
      </c>
    </row>
    <row r="194">
      <c r="A194" s="20" t="inlineStr">
        <is>
          <t>출자금 회수</t>
        </is>
      </c>
      <c r="O194" s="22" t="n">
        <v>0</v>
      </c>
      <c r="P194" s="22" t="n">
        <v>-0.01</v>
      </c>
      <c r="S194" s="22" t="n">
        <v>0</v>
      </c>
      <c r="T194" s="22" t="n">
        <v>0.02</v>
      </c>
      <c r="U194" s="22" t="n">
        <v>0</v>
      </c>
    </row>
    <row r="195">
      <c r="A195" s="20" t="inlineStr">
        <is>
          <t>건설협력금 지급</t>
        </is>
      </c>
      <c r="C195" s="22" t="n">
        <v>-16.2</v>
      </c>
      <c r="G195" s="22" t="n">
        <v>-14</v>
      </c>
      <c r="K195" s="22" t="n">
        <v>-22</v>
      </c>
      <c r="O195" s="22" t="n">
        <v>-18</v>
      </c>
      <c r="P195" s="22" t="n">
        <v>-18</v>
      </c>
      <c r="Q195" s="22" t="n">
        <v>-27</v>
      </c>
      <c r="R195" s="22" t="n">
        <v>-36</v>
      </c>
      <c r="S195" s="22" t="n">
        <v>-36</v>
      </c>
      <c r="T195" s="22" t="n">
        <v>0</v>
      </c>
      <c r="U195" s="22" t="n">
        <v>-48</v>
      </c>
      <c r="V195" s="22" t="n">
        <v>-16.2</v>
      </c>
      <c r="W195" s="22" t="n">
        <v>-14</v>
      </c>
      <c r="X195" s="22" t="n">
        <v>-22</v>
      </c>
    </row>
    <row r="196">
      <c r="A196" s="20" t="inlineStr">
        <is>
          <t>정기예금 예입</t>
        </is>
      </c>
      <c r="C196" s="22" t="n">
        <v>0</v>
      </c>
      <c r="E196" s="22" t="n">
        <v>-1000</v>
      </c>
      <c r="G196" s="22" t="n">
        <v>-1000</v>
      </c>
      <c r="I196" s="22" t="n">
        <v>0</v>
      </c>
      <c r="K196" s="22" t="n">
        <v>0</v>
      </c>
      <c r="O196" s="22" t="n">
        <v>-36.191</v>
      </c>
      <c r="P196" s="22" t="n">
        <v>-36.123</v>
      </c>
      <c r="Q196" s="22" t="n">
        <v>-36.083</v>
      </c>
      <c r="R196" s="22" t="n">
        <v>-1036.082</v>
      </c>
      <c r="S196" s="22" t="n">
        <v>-12.083</v>
      </c>
      <c r="T196" s="22" t="n">
        <v>-0.046</v>
      </c>
      <c r="U196" s="22" t="n">
        <v>-0.021</v>
      </c>
      <c r="V196" s="22" t="n">
        <v>0</v>
      </c>
      <c r="W196" s="22" t="n">
        <v>-1000</v>
      </c>
      <c r="X196" s="22" t="n">
        <v>0</v>
      </c>
    </row>
    <row r="197">
      <c r="A197" s="20" t="inlineStr">
        <is>
          <t>투자유가증권 상환</t>
        </is>
      </c>
      <c r="O197" s="22" t="n">
        <v>7.831</v>
      </c>
      <c r="P197" s="22" t="n">
        <v>0</v>
      </c>
    </row>
    <row r="198">
      <c r="A198" s="20" t="inlineStr">
        <is>
          <t>정기예금 인출</t>
        </is>
      </c>
      <c r="C198" s="22" t="n">
        <v>0</v>
      </c>
      <c r="E198" s="22" t="n">
        <v>973</v>
      </c>
      <c r="G198" s="22" t="n">
        <v>981</v>
      </c>
      <c r="I198" s="22" t="n">
        <v>0</v>
      </c>
      <c r="K198" s="22" t="n">
        <v>0</v>
      </c>
      <c r="S198" s="22" t="n">
        <v>0</v>
      </c>
      <c r="T198" s="22" t="n">
        <v>24.594</v>
      </c>
      <c r="U198" s="22" t="n">
        <v>0</v>
      </c>
      <c r="V198" s="22" t="n">
        <v>0</v>
      </c>
      <c r="W198" s="22" t="n">
        <v>981</v>
      </c>
      <c r="X198" s="22" t="n">
        <v>0</v>
      </c>
    </row>
    <row r="199">
      <c r="A199" s="20" t="inlineStr">
        <is>
          <t>연결범위 변경 자회사 주식 취득</t>
        </is>
      </c>
      <c r="C199" s="22" t="n">
        <v>0</v>
      </c>
      <c r="E199" s="22" t="n">
        <v>-199</v>
      </c>
      <c r="G199" s="22" t="n">
        <v>-199</v>
      </c>
      <c r="I199" s="22" t="n">
        <v>0</v>
      </c>
      <c r="K199" s="22" t="n">
        <v>0</v>
      </c>
      <c r="M199" s="22" t="n">
        <v>-72</v>
      </c>
      <c r="V199" s="22" t="n">
        <v>0</v>
      </c>
      <c r="W199" s="22" t="n">
        <v>-199</v>
      </c>
      <c r="X199" s="22" t="n">
        <v>0</v>
      </c>
    </row>
    <row r="200">
      <c r="A200" s="20" t="inlineStr">
        <is>
          <t>기타</t>
        </is>
      </c>
      <c r="C200" s="22" t="n">
        <v>4.12</v>
      </c>
      <c r="E200" s="22" t="n">
        <v>-0</v>
      </c>
      <c r="G200" s="22" t="n">
        <v>-8</v>
      </c>
      <c r="I200" s="22" t="n">
        <v>-0</v>
      </c>
      <c r="K200" s="22" t="n">
        <v>-4</v>
      </c>
      <c r="M200" s="22" t="n">
        <v>-2</v>
      </c>
      <c r="V200" s="22" t="n">
        <v>4.12</v>
      </c>
      <c r="W200" s="22" t="n">
        <v>-8</v>
      </c>
      <c r="X200" s="22" t="n">
        <v>-4</v>
      </c>
    </row>
    <row r="201">
      <c r="A201" s="9" t="inlineStr">
        <is>
          <t>투자활동 현금흐름</t>
        </is>
      </c>
      <c r="C201" s="12" t="n">
        <v>-1087.958</v>
      </c>
      <c r="E201" s="12" t="n">
        <v>-595</v>
      </c>
      <c r="G201" s="12" t="n">
        <v>-1391</v>
      </c>
      <c r="I201" s="12" t="n">
        <v>-668</v>
      </c>
      <c r="K201" s="12" t="n">
        <v>-1436</v>
      </c>
      <c r="M201" s="12" t="n">
        <v>-693</v>
      </c>
      <c r="O201" s="12" t="n">
        <v>-1697.518</v>
      </c>
      <c r="P201" s="12" t="n">
        <v>-3557.564</v>
      </c>
      <c r="Q201" s="12" t="n">
        <v>-1762.062</v>
      </c>
      <c r="R201" s="12" t="n">
        <v>-1837.24</v>
      </c>
      <c r="S201" s="12" t="n">
        <v>-351.051</v>
      </c>
      <c r="T201" s="12" t="n">
        <v>-1818.386</v>
      </c>
      <c r="U201" s="12" t="n">
        <v>-1440.824</v>
      </c>
      <c r="V201" s="12" t="n">
        <v>-1087.958</v>
      </c>
      <c r="W201" s="12" t="n">
        <v>-1391</v>
      </c>
      <c r="X201" s="12" t="n">
        <v>-1436</v>
      </c>
    </row>
    <row r="202">
      <c r="A202" s="20" t="inlineStr">
        <is>
          <t>단기차입금 순증감</t>
        </is>
      </c>
      <c r="C202" s="22" t="n">
        <v>-18.336</v>
      </c>
      <c r="E202" s="22" t="n">
        <v>-3</v>
      </c>
      <c r="G202" s="22" t="n">
        <v>-3</v>
      </c>
      <c r="I202" s="22" t="n">
        <v>0</v>
      </c>
      <c r="K202" s="22" t="n">
        <v>0</v>
      </c>
      <c r="O202" s="22" t="n">
        <v>-0.54</v>
      </c>
      <c r="P202" s="22" t="n">
        <v>2.068</v>
      </c>
      <c r="Q202" s="22" t="n">
        <v>-4.884</v>
      </c>
      <c r="R202" s="22" t="n">
        <v>6.984</v>
      </c>
      <c r="S202" s="22" t="n">
        <v>-43.2</v>
      </c>
      <c r="T202" s="22" t="n">
        <v>-19.6</v>
      </c>
      <c r="U202" s="22" t="n">
        <v>29.36</v>
      </c>
      <c r="V202" s="22" t="n">
        <v>-18.336</v>
      </c>
      <c r="W202" s="22" t="n">
        <v>-3</v>
      </c>
      <c r="X202" s="22" t="n">
        <v>0</v>
      </c>
    </row>
    <row r="203">
      <c r="A203" s="20" t="inlineStr">
        <is>
          <t>장기차입</t>
        </is>
      </c>
      <c r="R203" s="22" t="n">
        <v>0</v>
      </c>
      <c r="S203" s="22" t="n">
        <v>5000</v>
      </c>
      <c r="T203" s="22" t="n">
        <v>1000</v>
      </c>
      <c r="U203" s="22" t="n">
        <v>700</v>
      </c>
    </row>
    <row r="204">
      <c r="A204" s="20" t="inlineStr">
        <is>
          <t>장기차입금 상환</t>
        </is>
      </c>
      <c r="C204" s="22" t="n">
        <v>-348</v>
      </c>
      <c r="E204" s="22" t="n">
        <v>-120</v>
      </c>
      <c r="G204" s="22" t="n">
        <v>-202</v>
      </c>
      <c r="I204" s="22" t="n">
        <v>0</v>
      </c>
      <c r="K204" s="22" t="n">
        <v>0</v>
      </c>
      <c r="S204" s="22" t="n">
        <v>0</v>
      </c>
      <c r="T204" s="22" t="n">
        <v>-199.992</v>
      </c>
      <c r="U204" s="22" t="n">
        <v>-6032.008</v>
      </c>
      <c r="V204" s="22" t="n">
        <v>-348</v>
      </c>
      <c r="W204" s="22" t="n">
        <v>-202</v>
      </c>
      <c r="X204" s="22" t="n">
        <v>0</v>
      </c>
    </row>
    <row r="205">
      <c r="A205" s="20" t="inlineStr">
        <is>
          <t>리스부채 상환</t>
        </is>
      </c>
      <c r="C205" s="22" t="n">
        <v>-20.132</v>
      </c>
      <c r="E205" s="22" t="n">
        <v>-15</v>
      </c>
      <c r="G205" s="22" t="n">
        <v>-25</v>
      </c>
      <c r="I205" s="22" t="n">
        <v>-15</v>
      </c>
      <c r="K205" s="22" t="n">
        <v>-29</v>
      </c>
      <c r="M205" s="22" t="n">
        <v>-14</v>
      </c>
      <c r="O205" s="22" t="n">
        <v>-12.162</v>
      </c>
      <c r="P205" s="22" t="n">
        <v>-12.662</v>
      </c>
      <c r="Q205" s="22" t="n">
        <v>-14.228</v>
      </c>
      <c r="R205" s="22" t="n">
        <v>-15.6</v>
      </c>
      <c r="S205" s="22" t="n">
        <v>-16.95</v>
      </c>
      <c r="T205" s="22" t="n">
        <v>-18.75</v>
      </c>
      <c r="U205" s="22" t="n">
        <v>-19.9</v>
      </c>
      <c r="V205" s="22" t="n">
        <v>-20.132</v>
      </c>
      <c r="W205" s="22" t="n">
        <v>-25</v>
      </c>
      <c r="X205" s="22" t="n">
        <v>-29</v>
      </c>
    </row>
    <row r="206">
      <c r="A206" s="20" t="inlineStr">
        <is>
          <t>자기주식 취득</t>
        </is>
      </c>
      <c r="C206" s="22" t="n">
        <v>-0.08</v>
      </c>
      <c r="E206" s="22" t="n">
        <v>0</v>
      </c>
      <c r="G206" s="22" t="n">
        <v>-0</v>
      </c>
      <c r="I206" s="22" t="n">
        <v>-0</v>
      </c>
      <c r="K206" s="22" t="n">
        <v>-0</v>
      </c>
      <c r="M206" s="22" t="n">
        <v>-0</v>
      </c>
      <c r="O206" s="22" t="n">
        <v>-0.249</v>
      </c>
      <c r="P206" s="22" t="n">
        <v>-0.234</v>
      </c>
      <c r="Q206" s="22" t="n">
        <v>-0.392</v>
      </c>
      <c r="R206" s="22" t="n">
        <v>-0.163</v>
      </c>
      <c r="S206" s="22" t="n">
        <v>-0.192</v>
      </c>
      <c r="T206" s="22" t="n">
        <v>0</v>
      </c>
      <c r="U206" s="22" t="n">
        <v>-524.232</v>
      </c>
      <c r="V206" s="22" t="n">
        <v>-0.08</v>
      </c>
      <c r="W206" s="22" t="n">
        <v>-0</v>
      </c>
      <c r="X206" s="22" t="n">
        <v>-0</v>
      </c>
    </row>
    <row r="207">
      <c r="A207" s="20" t="inlineStr">
        <is>
          <t>배당금 지급</t>
        </is>
      </c>
      <c r="C207" s="22" t="n">
        <v>-239.989</v>
      </c>
      <c r="E207" s="22" t="n">
        <v>-146</v>
      </c>
      <c r="G207" s="22" t="n">
        <v>-324</v>
      </c>
      <c r="I207" s="22" t="n">
        <v>-180</v>
      </c>
      <c r="K207" s="22" t="n">
        <v>-373</v>
      </c>
      <c r="M207" s="22" t="n">
        <v>-223</v>
      </c>
      <c r="O207" s="22" t="n">
        <v>-301.233</v>
      </c>
      <c r="P207" s="22" t="n">
        <v>-346.273</v>
      </c>
      <c r="Q207" s="22" t="n">
        <v>-361.718</v>
      </c>
      <c r="R207" s="22" t="n">
        <v>-362.274</v>
      </c>
      <c r="S207" s="22" t="n">
        <v>-181.482</v>
      </c>
      <c r="T207" s="22" t="n">
        <v>-241.427</v>
      </c>
      <c r="U207" s="22" t="n">
        <v>-269.994</v>
      </c>
      <c r="V207" s="22" t="n">
        <v>-239.989</v>
      </c>
      <c r="W207" s="22" t="n">
        <v>-324</v>
      </c>
      <c r="X207" s="22" t="n">
        <v>-373</v>
      </c>
    </row>
    <row r="208">
      <c r="A208" s="20" t="inlineStr">
        <is>
          <t>기타</t>
        </is>
      </c>
      <c r="C208" s="22" t="n">
        <v>0</v>
      </c>
      <c r="E208" s="22" t="n">
        <v>0</v>
      </c>
      <c r="G208" s="22" t="n">
        <v>-8</v>
      </c>
      <c r="I208" s="22" t="n">
        <v>0</v>
      </c>
      <c r="K208" s="22" t="n">
        <v>0</v>
      </c>
      <c r="M208" s="22" t="n">
        <v>0</v>
      </c>
      <c r="Q208" s="22" t="n">
        <v>0</v>
      </c>
      <c r="R208" s="22" t="n">
        <v>0.008</v>
      </c>
      <c r="S208" s="22" t="n">
        <v>0</v>
      </c>
      <c r="V208" s="22" t="n">
        <v>0</v>
      </c>
      <c r="W208" s="22" t="n">
        <v>-8</v>
      </c>
      <c r="X208" s="22" t="n">
        <v>0</v>
      </c>
    </row>
    <row r="209">
      <c r="A209" s="9" t="inlineStr">
        <is>
          <t>재무활동 현금흐름</t>
        </is>
      </c>
      <c r="C209" s="12" t="n">
        <v>-626.537</v>
      </c>
      <c r="E209" s="12" t="n">
        <v>-285</v>
      </c>
      <c r="G209" s="12" t="n">
        <v>-564</v>
      </c>
      <c r="I209" s="12" t="n">
        <v>-196</v>
      </c>
      <c r="K209" s="12" t="n">
        <v>-403</v>
      </c>
      <c r="M209" s="12" t="n">
        <v>-237</v>
      </c>
      <c r="O209" s="12" t="n">
        <v>-314.185</v>
      </c>
      <c r="P209" s="12" t="n">
        <v>-357.102</v>
      </c>
      <c r="Q209" s="12" t="n">
        <v>-381.223</v>
      </c>
      <c r="R209" s="12" t="n">
        <v>-371.046</v>
      </c>
      <c r="S209" s="12" t="n">
        <v>4758.174</v>
      </c>
      <c r="T209" s="12" t="n">
        <v>520.23</v>
      </c>
      <c r="U209" s="12" t="n">
        <v>-6116.776</v>
      </c>
      <c r="V209" s="12" t="n">
        <v>-626.537</v>
      </c>
      <c r="W209" s="12" t="n">
        <v>-564</v>
      </c>
      <c r="X209" s="12" t="n">
        <v>-403</v>
      </c>
    </row>
    <row r="210">
      <c r="A210" s="20" t="inlineStr">
        <is>
          <t>현금성자산 증감</t>
        </is>
      </c>
      <c r="C210" s="22" t="n">
        <v>831.27</v>
      </c>
      <c r="E210" s="22" t="n">
        <v>329</v>
      </c>
      <c r="G210" s="22" t="n">
        <v>712</v>
      </c>
      <c r="I210" s="22" t="n">
        <v>887</v>
      </c>
      <c r="K210" s="22" t="n">
        <v>1526</v>
      </c>
      <c r="M210" s="22" t="n">
        <v>1490</v>
      </c>
      <c r="O210" s="22" t="n">
        <v>757.9349999999999</v>
      </c>
      <c r="P210" s="22" t="n">
        <v>-1381.579</v>
      </c>
      <c r="Q210" s="22" t="n">
        <v>649.71</v>
      </c>
      <c r="R210" s="22" t="n">
        <v>211.89</v>
      </c>
      <c r="S210" s="22" t="n">
        <v>4349.21</v>
      </c>
      <c r="T210" s="22" t="n">
        <v>1123.428</v>
      </c>
      <c r="U210" s="22" t="n">
        <v>-5936.381</v>
      </c>
      <c r="V210" s="22" t="n">
        <v>831.27</v>
      </c>
      <c r="W210" s="22" t="n">
        <v>712</v>
      </c>
      <c r="X210" s="22" t="n">
        <v>1526</v>
      </c>
    </row>
    <row r="211">
      <c r="A211" s="20" t="inlineStr">
        <is>
          <t>신규 연결 현금성자산 증가</t>
        </is>
      </c>
      <c r="C211" s="22" t="n">
        <v>134.804</v>
      </c>
      <c r="E211" s="22" t="n">
        <v>0</v>
      </c>
      <c r="G211" s="22" t="n">
        <v>0</v>
      </c>
      <c r="V211" s="22" t="n">
        <v>134.804</v>
      </c>
      <c r="W211" s="22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60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브롱코빌리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2025.3Q</t>
        </is>
      </c>
      <c r="D3" s="5" t="inlineStr">
        <is>
          <t>2025.4Q</t>
        </is>
      </c>
      <c r="E3" s="5" t="inlineStr">
        <is>
          <t>2026.1Q</t>
        </is>
      </c>
      <c r="F3" s="5" t="inlineStr">
        <is>
          <t>2026.2Q</t>
        </is>
      </c>
      <c r="G3" s="5" t="inlineStr">
        <is>
          <t>2026.3Q</t>
        </is>
      </c>
      <c r="H3" s="6" t="inlineStr">
        <is>
          <t>2021</t>
        </is>
      </c>
      <c r="I3" s="5" t="inlineStr">
        <is>
          <t>2022</t>
        </is>
      </c>
      <c r="J3" s="5" t="inlineStr">
        <is>
          <t>2023</t>
        </is>
      </c>
      <c r="K3" s="5" t="inlineStr">
        <is>
          <t>2024</t>
        </is>
      </c>
      <c r="L3" s="5" t="inlineStr">
        <is>
          <t>2025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10358</v>
      </c>
      <c r="D5" s="12" t="n">
        <v>11556</v>
      </c>
      <c r="E5" s="12" t="n">
        <v>11972</v>
      </c>
      <c r="F5" s="12" t="n">
        <v>13163</v>
      </c>
      <c r="G5" s="12" t="n">
        <v>13366</v>
      </c>
      <c r="H5" s="11" t="n">
        <v>14268.793</v>
      </c>
      <c r="I5" s="12" t="n">
        <v>8318.816999999999</v>
      </c>
      <c r="J5" s="12" t="n">
        <v>9707.592000000001</v>
      </c>
      <c r="K5" s="12" t="n">
        <v>9893</v>
      </c>
      <c r="L5" s="12" t="n">
        <v>11556</v>
      </c>
    </row>
    <row r="6">
      <c r="A6" s="20" t="inlineStr">
        <is>
          <t>현금및현금성자산</t>
        </is>
      </c>
      <c r="B6" s="10" t="n"/>
      <c r="C6" s="21" t="n">
        <v>8198</v>
      </c>
      <c r="D6" s="22" t="n">
        <v>8914</v>
      </c>
      <c r="E6" s="22" t="n">
        <v>9405</v>
      </c>
      <c r="F6" s="22" t="n">
        <v>10418</v>
      </c>
      <c r="G6" s="22" t="n">
        <v>10457</v>
      </c>
      <c r="H6" s="21" t="n">
        <v>12619.862</v>
      </c>
      <c r="I6" s="22" t="n">
        <v>6683.502</v>
      </c>
      <c r="J6" s="22" t="n">
        <v>7649.594</v>
      </c>
      <c r="K6" s="22" t="n">
        <v>7388</v>
      </c>
      <c r="L6" s="22" t="n">
        <v>8914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/>
      <c r="G7" s="22" t="n"/>
      <c r="H7" s="21" t="n"/>
      <c r="I7" s="22" t="n"/>
      <c r="J7" s="22" t="n"/>
      <c r="K7" s="22" t="n"/>
      <c r="L7" s="22" t="n"/>
    </row>
    <row r="8">
      <c r="A8" s="20" t="inlineStr">
        <is>
          <t>매출채권</t>
        </is>
      </c>
      <c r="B8" s="10" t="n"/>
      <c r="C8" s="21" t="n">
        <v>1135</v>
      </c>
      <c r="D8" s="22" t="n">
        <v>1375</v>
      </c>
      <c r="E8" s="22" t="n">
        <v>1438</v>
      </c>
      <c r="F8" s="22" t="n">
        <v>1371</v>
      </c>
      <c r="G8" s="22" t="n">
        <v>1452</v>
      </c>
      <c r="H8" s="21" t="n">
        <v>729.246</v>
      </c>
      <c r="I8" s="22" t="n">
        <v>744.062</v>
      </c>
      <c r="J8" s="22" t="n">
        <v>931.175</v>
      </c>
      <c r="K8" s="22" t="n">
        <v>1047</v>
      </c>
      <c r="L8" s="22" t="n">
        <v>1375</v>
      </c>
    </row>
    <row r="9">
      <c r="A9" s="20" t="inlineStr">
        <is>
          <t>재고자산</t>
        </is>
      </c>
      <c r="B9" s="10" t="n"/>
      <c r="C9" s="21" t="n">
        <v>709</v>
      </c>
      <c r="D9" s="22" t="n">
        <v>933</v>
      </c>
      <c r="E9" s="22" t="n">
        <v>750</v>
      </c>
      <c r="F9" s="22" t="n">
        <v>915</v>
      </c>
      <c r="G9" s="22" t="n">
        <v>1030</v>
      </c>
      <c r="H9" s="21" t="n">
        <v>407.485</v>
      </c>
      <c r="I9" s="22" t="n">
        <v>651.557</v>
      </c>
      <c r="J9" s="22" t="n">
        <v>841.544</v>
      </c>
      <c r="K9" s="22" t="n">
        <v>1163</v>
      </c>
      <c r="L9" s="22" t="n">
        <v>933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15117</v>
      </c>
      <c r="D11" s="12" t="n">
        <v>15159</v>
      </c>
      <c r="E11" s="12" t="n">
        <v>15136</v>
      </c>
      <c r="F11" s="12" t="n">
        <v>15401</v>
      </c>
      <c r="G11" s="12" t="n">
        <v>15544</v>
      </c>
      <c r="H11" s="11" t="n">
        <v>12602.353</v>
      </c>
      <c r="I11" s="12" t="n">
        <v>13158.983</v>
      </c>
      <c r="J11" s="12" t="n">
        <v>13053.766</v>
      </c>
      <c r="K11" s="12" t="n">
        <v>14627</v>
      </c>
      <c r="L11" s="12" t="n">
        <v>15159</v>
      </c>
    </row>
    <row r="12">
      <c r="A12" s="20" t="inlineStr">
        <is>
          <t>유형자산</t>
        </is>
      </c>
      <c r="B12" s="10" t="n"/>
      <c r="C12" s="21" t="n">
        <v>11120</v>
      </c>
      <c r="D12" s="22" t="n">
        <v>11112</v>
      </c>
      <c r="E12" s="22" t="n">
        <v>11056</v>
      </c>
      <c r="F12" s="22" t="n">
        <v>11265</v>
      </c>
      <c r="G12" s="22" t="n">
        <v>11311</v>
      </c>
      <c r="H12" s="21" t="n">
        <v>9901.583000000001</v>
      </c>
      <c r="I12" s="22" t="n">
        <v>10147.351</v>
      </c>
      <c r="J12" s="22" t="n">
        <v>10224.253</v>
      </c>
      <c r="K12" s="22" t="n">
        <v>10642</v>
      </c>
      <c r="L12" s="22" t="n">
        <v>11112</v>
      </c>
    </row>
    <row r="13">
      <c r="A13" s="20" t="inlineStr">
        <is>
          <t>무형자산</t>
        </is>
      </c>
      <c r="B13" s="10" t="n"/>
      <c r="C13" s="21" t="n">
        <v>206</v>
      </c>
      <c r="D13" s="22" t="n">
        <v>190</v>
      </c>
      <c r="E13" s="22" t="n">
        <v>175</v>
      </c>
      <c r="F13" s="22" t="n">
        <v>199</v>
      </c>
      <c r="G13" s="22" t="n">
        <v>194</v>
      </c>
      <c r="H13" s="21" t="n">
        <v>291.22</v>
      </c>
      <c r="I13" s="22" t="n">
        <v>258.025</v>
      </c>
      <c r="J13" s="22" t="n">
        <v>245.296</v>
      </c>
      <c r="K13" s="22" t="n">
        <v>248</v>
      </c>
      <c r="L13" s="22" t="n">
        <v>190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25475</v>
      </c>
      <c r="D16" s="12" t="n">
        <v>26715</v>
      </c>
      <c r="E16" s="12" t="n">
        <v>27108</v>
      </c>
      <c r="F16" s="12" t="n">
        <v>28565</v>
      </c>
      <c r="G16" s="12" t="n">
        <v>28910</v>
      </c>
      <c r="H16" s="11" t="n">
        <v>26871.147</v>
      </c>
      <c r="I16" s="12" t="n">
        <v>21477.8</v>
      </c>
      <c r="J16" s="12" t="n">
        <v>22761.359</v>
      </c>
      <c r="K16" s="12" t="n">
        <v>24520</v>
      </c>
      <c r="L16" s="12" t="n">
        <v>26715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3626</v>
      </c>
      <c r="D18" s="12" t="n">
        <v>4277</v>
      </c>
      <c r="E18" s="12" t="n">
        <v>4185</v>
      </c>
      <c r="F18" s="12" t="n">
        <v>4895</v>
      </c>
      <c r="G18" s="12" t="n">
        <v>4768</v>
      </c>
      <c r="H18" s="11" t="n">
        <v>7713.462</v>
      </c>
      <c r="I18" s="12" t="n">
        <v>2845.954</v>
      </c>
      <c r="J18" s="12" t="n">
        <v>3446.587</v>
      </c>
      <c r="K18" s="12" t="n">
        <v>3735</v>
      </c>
      <c r="L18" s="12" t="n">
        <v>4277</v>
      </c>
    </row>
    <row r="19">
      <c r="A19" s="20" t="inlineStr">
        <is>
          <t>매입채무</t>
        </is>
      </c>
      <c r="B19" s="10" t="n"/>
      <c r="C19" s="21" t="n">
        <v>798</v>
      </c>
      <c r="D19" s="22" t="n">
        <v>894</v>
      </c>
      <c r="E19" s="22" t="n">
        <v>911</v>
      </c>
      <c r="F19" s="22" t="n">
        <v>912</v>
      </c>
      <c r="G19" s="22" t="n">
        <v>1009</v>
      </c>
      <c r="H19" s="21" t="n">
        <v>530.9880000000001</v>
      </c>
      <c r="I19" s="22" t="n">
        <v>725.331</v>
      </c>
      <c r="J19" s="22" t="n">
        <v>886.466</v>
      </c>
      <c r="K19" s="22" t="n">
        <v>789</v>
      </c>
      <c r="L19" s="22" t="n">
        <v>894</v>
      </c>
    </row>
    <row r="20">
      <c r="A20" s="20" t="inlineStr">
        <is>
          <t>단기차입금</t>
        </is>
      </c>
      <c r="B20" s="10" t="n"/>
      <c r="C20" s="21" t="n">
        <v>137</v>
      </c>
      <c r="D20" s="22" t="n">
        <v>55</v>
      </c>
      <c r="E20" s="22" t="n">
        <v>147</v>
      </c>
      <c r="F20" s="22" t="n">
        <v>55</v>
      </c>
      <c r="G20" s="22" t="n">
        <v>137</v>
      </c>
      <c r="H20" s="21" t="n">
        <v>47.336</v>
      </c>
      <c r="I20" s="22" t="n">
        <v>76.696</v>
      </c>
      <c r="J20" s="22" t="n">
        <v>58.36</v>
      </c>
      <c r="K20" s="22" t="n">
        <v>55</v>
      </c>
      <c r="L20" s="22" t="n">
        <v>55</v>
      </c>
    </row>
    <row r="21">
      <c r="A21" s="20" t="inlineStr">
        <is>
          <t>유동성장기부채</t>
        </is>
      </c>
      <c r="B21" s="10" t="n"/>
      <c r="C21" s="21" t="n"/>
      <c r="D21" s="22" t="n">
        <v>0</v>
      </c>
      <c r="E21" s="22" t="n"/>
      <c r="F21" s="22" t="n">
        <v>27</v>
      </c>
      <c r="G21" s="22" t="n">
        <v>27</v>
      </c>
      <c r="H21" s="21" t="n">
        <v>5199.992</v>
      </c>
      <c r="I21" s="22" t="n">
        <v>348</v>
      </c>
      <c r="J21" s="22" t="n">
        <v>120</v>
      </c>
      <c r="K21" s="22" t="n">
        <v>0</v>
      </c>
      <c r="L21" s="22" t="n">
        <v>0</v>
      </c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700</v>
      </c>
      <c r="D23" s="12" t="n">
        <v>720</v>
      </c>
      <c r="E23" s="12" t="n">
        <v>715</v>
      </c>
      <c r="F23" s="12" t="n">
        <v>807</v>
      </c>
      <c r="G23" s="12" t="n">
        <v>800</v>
      </c>
      <c r="H23" s="11" t="n">
        <v>1194.984</v>
      </c>
      <c r="I23" s="12" t="n">
        <v>756.622</v>
      </c>
      <c r="J23" s="12" t="n">
        <v>668.1420000000001</v>
      </c>
      <c r="K23" s="12" t="n">
        <v>710</v>
      </c>
      <c r="L23" s="12" t="n">
        <v>720</v>
      </c>
    </row>
    <row r="24">
      <c r="A24" s="20" t="inlineStr">
        <is>
          <t>장기차입금</t>
        </is>
      </c>
      <c r="B24" s="10" t="n"/>
      <c r="C24" s="21" t="n"/>
      <c r="D24" s="22" t="n">
        <v>0</v>
      </c>
      <c r="E24" s="22" t="n"/>
      <c r="F24" s="22" t="n">
        <v>89</v>
      </c>
      <c r="G24" s="22" t="n">
        <v>82</v>
      </c>
      <c r="H24" s="21" t="n">
        <v>600.016</v>
      </c>
      <c r="I24" s="22" t="n">
        <v>120</v>
      </c>
      <c r="J24" s="22" t="n">
        <v>0</v>
      </c>
      <c r="K24" s="22" t="n"/>
      <c r="L24" s="22" t="n">
        <v>0</v>
      </c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4327</v>
      </c>
      <c r="D27" s="12" t="n">
        <v>4997</v>
      </c>
      <c r="E27" s="12" t="n">
        <v>4901</v>
      </c>
      <c r="F27" s="12" t="n">
        <v>5703</v>
      </c>
      <c r="G27" s="12" t="n">
        <v>5569</v>
      </c>
      <c r="H27" s="11" t="n">
        <v>8908.446</v>
      </c>
      <c r="I27" s="12" t="n">
        <v>3602.576</v>
      </c>
      <c r="J27" s="12" t="n">
        <v>4114.729</v>
      </c>
      <c r="K27" s="12" t="n">
        <v>4446</v>
      </c>
      <c r="L27" s="12" t="n">
        <v>4997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21081</v>
      </c>
      <c r="D31" s="12" t="n">
        <v>21650</v>
      </c>
      <c r="E31" s="12" t="n">
        <v>22140</v>
      </c>
      <c r="F31" s="12" t="n">
        <v>22794</v>
      </c>
      <c r="G31" s="12" t="n">
        <v>23274</v>
      </c>
      <c r="H31" s="11" t="n">
        <v>17881.419</v>
      </c>
      <c r="I31" s="12" t="n">
        <v>17790.39</v>
      </c>
      <c r="J31" s="12" t="n">
        <v>18561.795</v>
      </c>
      <c r="K31" s="12" t="n">
        <v>19997</v>
      </c>
      <c r="L31" s="12" t="n">
        <v>21650</v>
      </c>
    </row>
    <row r="32">
      <c r="A32" s="20" t="inlineStr">
        <is>
          <t>자본금</t>
        </is>
      </c>
      <c r="B32" s="10" t="n"/>
      <c r="C32" s="21" t="n">
        <v>2210</v>
      </c>
      <c r="D32" s="22" t="n">
        <v>2210</v>
      </c>
      <c r="E32" s="22" t="n">
        <v>2210</v>
      </c>
      <c r="F32" s="22" t="n">
        <v>2210</v>
      </c>
      <c r="G32" s="22" t="n">
        <v>2210</v>
      </c>
      <c r="H32" s="21" t="n">
        <v>2210.667</v>
      </c>
      <c r="I32" s="22" t="n">
        <v>2210.667</v>
      </c>
      <c r="J32" s="22" t="n">
        <v>2210.667</v>
      </c>
      <c r="K32" s="22" t="n">
        <v>2210</v>
      </c>
      <c r="L32" s="22" t="n">
        <v>2210</v>
      </c>
    </row>
    <row r="33">
      <c r="A33" s="20" t="inlineStr">
        <is>
          <t>이익잉여금</t>
        </is>
      </c>
      <c r="B33" s="10" t="n"/>
      <c r="C33" s="21" t="n">
        <v>17109</v>
      </c>
      <c r="D33" s="22" t="n">
        <v>17669</v>
      </c>
      <c r="E33" s="22" t="n">
        <v>18139</v>
      </c>
      <c r="F33" s="22" t="n">
        <v>18735</v>
      </c>
      <c r="G33" s="22" t="n">
        <v>19196</v>
      </c>
      <c r="H33" s="21" t="n">
        <v>13526.712</v>
      </c>
      <c r="I33" s="22" t="n">
        <v>13944.151</v>
      </c>
      <c r="J33" s="22" t="n">
        <v>14683.031</v>
      </c>
      <c r="K33" s="22" t="n">
        <v>16071</v>
      </c>
      <c r="L33" s="22" t="n">
        <v>17669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/>
      <c r="I34" s="22" t="n"/>
      <c r="J34" s="22" t="n"/>
      <c r="K34" s="22" t="n"/>
      <c r="L34" s="22" t="n"/>
    </row>
    <row r="35">
      <c r="A35" s="9" t="inlineStr">
        <is>
          <t>자본총계</t>
        </is>
      </c>
      <c r="B35" s="10" t="n"/>
      <c r="C35" s="11" t="n">
        <v>21148</v>
      </c>
      <c r="D35" s="12" t="n">
        <v>21717</v>
      </c>
      <c r="E35" s="12" t="n">
        <v>22207</v>
      </c>
      <c r="F35" s="12" t="n">
        <v>22861</v>
      </c>
      <c r="G35" s="12" t="n">
        <v>23341</v>
      </c>
      <c r="H35" s="11" t="n">
        <v>17962.7</v>
      </c>
      <c r="I35" s="12" t="n">
        <v>17875.224</v>
      </c>
      <c r="J35" s="12" t="n">
        <v>18646.629</v>
      </c>
      <c r="K35" s="12" t="n">
        <v>20074</v>
      </c>
      <c r="L35" s="12" t="n">
        <v>21717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/>
      <c r="D37" s="12" t="n">
        <v>3366</v>
      </c>
      <c r="E37" s="12" t="n"/>
      <c r="F37" s="12" t="n">
        <v>4036</v>
      </c>
      <c r="G37" s="12" t="n"/>
      <c r="H37" s="11" t="n">
        <v>2421.584</v>
      </c>
      <c r="I37" s="12" t="n">
        <v>1621.218</v>
      </c>
      <c r="J37" s="12" t="n">
        <v>2545.766</v>
      </c>
      <c r="K37" s="12" t="n">
        <v>2668</v>
      </c>
      <c r="L37" s="12" t="n">
        <v>3366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/>
      <c r="D38" s="22" t="n">
        <v>1439</v>
      </c>
      <c r="E38" s="22" t="n"/>
      <c r="F38" s="22" t="n">
        <v>1396</v>
      </c>
      <c r="G38" s="22" t="n"/>
      <c r="H38" s="21" t="n">
        <v>1821.082</v>
      </c>
      <c r="I38" s="22" t="n">
        <v>1053.091</v>
      </c>
      <c r="J38" s="22" t="n">
        <v>1072.25</v>
      </c>
      <c r="K38" s="22" t="n">
        <v>1147</v>
      </c>
      <c r="L38" s="22" t="n">
        <v>1439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/>
      <c r="D40" s="22" t="n">
        <v>373</v>
      </c>
      <c r="E40" s="22" t="n"/>
      <c r="F40" s="22" t="n">
        <v>416</v>
      </c>
      <c r="G40" s="22" t="n"/>
      <c r="H40" s="21" t="n">
        <v>241.427</v>
      </c>
      <c r="I40" s="22" t="n">
        <v>269.994</v>
      </c>
      <c r="J40" s="22" t="n">
        <v>239.989</v>
      </c>
      <c r="K40" s="22" t="n">
        <v>324</v>
      </c>
      <c r="L40" s="22" t="n">
        <v>373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IFERROR((IF(COUNT('연간'!G19:J19)&lt;4,"",SUM('연간'!G19:J19)))/(IF(COUNT('연간'!G41:J41)&lt;4,"",SUM('연간'!G41:J41))),"")</f>
        <v/>
      </c>
      <c r="D48" s="33">
        <f>IFERROR((IF(COUNT('연간'!H19:K19)&lt;4,"",SUM('연간'!H19:K19)))/(IF(COUNT('연간'!H41:K41)&lt;4,"",SUM('연간'!H41:K41))),"")</f>
        <v/>
      </c>
      <c r="E48" s="33">
        <f>IFERROR((IF(COUNT('연간'!I19:L19)&lt;4,"",SUM('연간'!I19:L19)))/(IF(COUNT('연간'!I41:L41)&lt;4,"",SUM('연간'!I41:L41))),"")</f>
        <v/>
      </c>
      <c r="F48" s="33">
        <f>IFERROR((IF(COUNT('연간'!J19:M19)&lt;4,"",SUM('연간'!J19:M19)))/(IF(COUNT('연간'!J41:M41)&lt;4,"",SUM('연간'!J41:M41))),"")</f>
        <v/>
      </c>
      <c r="G48" s="33">
        <f>IFERROR((IF(COUNT('연간'!K19:N19)&lt;4,"",SUM('연간'!K19:N19)))/(IF(COUNT('연간'!K41:N41)&lt;4,"",SUM('연간'!K41:N41))),"")</f>
        <v/>
      </c>
      <c r="H48" s="32">
        <f>IFERROR(('연간'!T19)/('연간'!T41),"")</f>
        <v/>
      </c>
      <c r="I48" s="33">
        <f>IFERROR(('연간'!U19)/('연간'!U41),"")</f>
        <v/>
      </c>
      <c r="J48" s="33">
        <f>IFERROR(('연간'!V19)/('연간'!V41),"")</f>
        <v/>
      </c>
      <c r="K48" s="33">
        <f>IFERROR(('연간'!W19)/('연간'!W41),"")</f>
        <v/>
      </c>
      <c r="L48" s="33">
        <f>IFERROR(('연간'!X19)/('연간'!X41),"")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IFERROR(IF((IF(COUNT('연간'!G49:J49)&lt;4,"",SUM('연간'!G49:J49)))&lt;=0,"적자",C28/(IF(COUNT('연간'!G49:J49)&lt;4,"",SUM('연간'!G49:J49)))),"")</f>
        <v/>
      </c>
      <c r="D49" s="49">
        <f>IFERROR(IF((IF(COUNT('연간'!H49:K49)&lt;4,"",SUM('연간'!H49:K49)))&lt;=0,"적자",D28/(IF(COUNT('연간'!H49:K49)&lt;4,"",SUM('연간'!H49:K49)))),"")</f>
        <v/>
      </c>
      <c r="E49" s="49">
        <f>IFERROR(IF((IF(COUNT('연간'!I49:L49)&lt;4,"",SUM('연간'!I49:L49)))&lt;=0,"적자",E28/(IF(COUNT('연간'!I49:L49)&lt;4,"",SUM('연간'!I49:L49)))),"")</f>
        <v/>
      </c>
      <c r="F49" s="49">
        <f>IFERROR(IF((IF(COUNT('연간'!J49:M49)&lt;4,"",SUM('연간'!J49:M49)))&lt;=0,"적자",F28/(IF(COUNT('연간'!J49:M49)&lt;4,"",SUM('연간'!J49:M49)))),"")</f>
        <v/>
      </c>
      <c r="G49" s="49">
        <f>IFERROR(IF((IF(COUNT('연간'!K49:N49)&lt;4,"",SUM('연간'!K49:N49)))&lt;=0,"적자",G28/(IF(COUNT('연간'!K49:N49)&lt;4,"",SUM('연간'!K49:N49)))),"")</f>
        <v/>
      </c>
      <c r="H49" s="48">
        <f>IFERROR(IF(('연간'!T49)&lt;=0,"적자",H28/('연간'!T49)),"")</f>
        <v/>
      </c>
      <c r="I49" s="49">
        <f>IFERROR(IF(('연간'!U49)&lt;=0,"적자",I28/('연간'!U49)),"")</f>
        <v/>
      </c>
      <c r="J49" s="49">
        <f>IFERROR(IF(('연간'!V49)&lt;=0,"적자",J28/('연간'!V49)),"")</f>
        <v/>
      </c>
      <c r="K49" s="49">
        <f>IFERROR(IF(('연간'!W49)&lt;=0,"적자",K28/('연간'!W49)),"")</f>
        <v/>
      </c>
      <c r="L49" s="49">
        <f>IFERROR(IF(('연간'!X49)&lt;=0,"적자",L28/('연간'!X49)),"")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IFERROR((IF(COUNT('연간'!G49:J49)&lt;4,"",SUM('연간'!G49:J49)))/C31,"")</f>
        <v/>
      </c>
      <c r="D51" s="38">
        <f>IFERROR((IF(COUNT('연간'!H49:K49)&lt;4,"",SUM('연간'!H49:K49)))/D31,"")</f>
        <v/>
      </c>
      <c r="E51" s="38">
        <f>IFERROR((IF(COUNT('연간'!I49:L49)&lt;4,"",SUM('연간'!I49:L49)))/E31,"")</f>
        <v/>
      </c>
      <c r="F51" s="38">
        <f>IFERROR((IF(COUNT('연간'!J49:M49)&lt;4,"",SUM('연간'!J49:M49)))/F31,"")</f>
        <v/>
      </c>
      <c r="G51" s="38">
        <f>IFERROR((IF(COUNT('연간'!K49:N49)&lt;4,"",SUM('연간'!K49:N49)))/G31,"")</f>
        <v/>
      </c>
      <c r="H51" s="37">
        <f>IFERROR(('연간'!T49)/H31,"")</f>
        <v/>
      </c>
      <c r="I51" s="38">
        <f>IFERROR(('연간'!U49)/I31,"")</f>
        <v/>
      </c>
      <c r="J51" s="38">
        <f>IFERROR(('연간'!V49)/J31,"")</f>
        <v/>
      </c>
      <c r="K51" s="38">
        <f>IFERROR(('연간'!W49)/K31,"")</f>
        <v/>
      </c>
      <c r="L51" s="38">
        <f>IFERROR(('연간'!X49)/L31,"")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IFERROR((IF(COUNT('연간'!G47:J47)&lt;4,"",SUM('연간'!G47:J47)))/C16,"")</f>
        <v/>
      </c>
      <c r="D52" s="38">
        <f>IFERROR((IF(COUNT('연간'!H47:K47)&lt;4,"",SUM('연간'!H47:K47)))/D16,"")</f>
        <v/>
      </c>
      <c r="E52" s="38">
        <f>IFERROR((IF(COUNT('연간'!I47:L47)&lt;4,"",SUM('연간'!I47:L47)))/E16,"")</f>
        <v/>
      </c>
      <c r="F52" s="38">
        <f>IFERROR((IF(COUNT('연간'!J47:M47)&lt;4,"",SUM('연간'!J47:M47)))/F16,"")</f>
        <v/>
      </c>
      <c r="G52" s="38">
        <f>IFERROR((IF(COUNT('연간'!K47:N47)&lt;4,"",SUM('연간'!K47:N47)))/G16,"")</f>
        <v/>
      </c>
      <c r="H52" s="37">
        <f>IFERROR(('연간'!T47)/H16,"")</f>
        <v/>
      </c>
      <c r="I52" s="38">
        <f>IFERROR(('연간'!U47)/I16,"")</f>
        <v/>
      </c>
      <c r="J52" s="38">
        <f>IFERROR(('연간'!V47)/J16,"")</f>
        <v/>
      </c>
      <c r="K52" s="38">
        <f>IFERROR(('연간'!W47)/K16,"")</f>
        <v/>
      </c>
      <c r="L52" s="38">
        <f>IFERROR(('연간'!X47)/L16,"")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IFERROR((IF(COUNT('연간'!G19:J19)&lt;4,"",SUM('연간'!G19:J19)))*(1-0.3)/(C35+C29),"")</f>
        <v/>
      </c>
      <c r="D53" s="38">
        <f>IFERROR((IF(COUNT('연간'!H19:K19)&lt;4,"",SUM('연간'!H19:K19)))*(1-0.3)/(D35+D29),"")</f>
        <v/>
      </c>
      <c r="E53" s="38">
        <f>IFERROR((IF(COUNT('연간'!I19:L19)&lt;4,"",SUM('연간'!I19:L19)))*(1-0.3)/(E35+E29),"")</f>
        <v/>
      </c>
      <c r="F53" s="38">
        <f>IFERROR((IF(COUNT('연간'!J19:M19)&lt;4,"",SUM('연간'!J19:M19)))*(1-0.3)/(F35+F29),"")</f>
        <v/>
      </c>
      <c r="G53" s="38">
        <f>IFERROR((IF(COUNT('연간'!K19:N19)&lt;4,"",SUM('연간'!K19:N19)))*(1-0.3)/(G35+G29),"")</f>
        <v/>
      </c>
      <c r="H53" s="37">
        <f>IFERROR(('연간'!T19)*(1-0.3)/(H35+H29),"")</f>
        <v/>
      </c>
      <c r="I53" s="38">
        <f>IFERROR(('연간'!U19)*(1-0.3)/(I35+I29),"")</f>
        <v/>
      </c>
      <c r="J53" s="38">
        <f>IFERROR(('연간'!V19)*(1-0.3)/(J35+J29),"")</f>
        <v/>
      </c>
      <c r="K53" s="38">
        <f>IFERROR(('연간'!W19)*(1-0.3)/(K35+K29),"")</f>
        <v/>
      </c>
      <c r="L53" s="38">
        <f>IFERROR(('연간'!X19)*(1-0.3)/(L35+L29),"")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IFERROR((IF(COUNT('연간'!G13:J13)&lt;4,"",SUM('연간'!G13:J13)))/(IF(COUNT('연간'!G4:J4)&lt;4,"",SUM('연간'!G4:J4))),"")</f>
        <v/>
      </c>
      <c r="D54" s="38">
        <f>IFERROR((IF(COUNT('연간'!H13:K13)&lt;4,"",SUM('연간'!H13:K13)))/(IF(COUNT('연간'!H4:K4)&lt;4,"",SUM('연간'!H4:K4))),"")</f>
        <v/>
      </c>
      <c r="E54" s="38">
        <f>IFERROR((IF(COUNT('연간'!I13:L13)&lt;4,"",SUM('연간'!I13:L13)))/(IF(COUNT('연간'!I4:L4)&lt;4,"",SUM('연간'!I4:L4))),"")</f>
        <v/>
      </c>
      <c r="F54" s="38">
        <f>IFERROR((IF(COUNT('연간'!J13:M13)&lt;4,"",SUM('연간'!J13:M13)))/(IF(COUNT('연간'!J4:M4)&lt;4,"",SUM('연간'!J4:M4))),"")</f>
        <v/>
      </c>
      <c r="G54" s="38">
        <f>IFERROR((IF(COUNT('연간'!K13:N13)&lt;4,"",SUM('연간'!K13:N13)))/(IF(COUNT('연간'!K4:N4)&lt;4,"",SUM('연간'!K4:N4))),"")</f>
        <v/>
      </c>
      <c r="H54" s="37">
        <f>IFERROR(('연간'!T13)/('연간'!T4),"")</f>
        <v/>
      </c>
      <c r="I54" s="38">
        <f>IFERROR(('연간'!U13)/('연간'!U4),"")</f>
        <v/>
      </c>
      <c r="J54" s="38">
        <f>IFERROR(('연간'!V13)/('연간'!V4),"")</f>
        <v/>
      </c>
      <c r="K54" s="38">
        <f>IFERROR(('연간'!W13)/('연간'!W4),"")</f>
        <v/>
      </c>
      <c r="L54" s="38">
        <f>IFERROR(('연간'!X13)/('연간'!X4),"")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IFERROR((IF(COUNT('연간'!G19:J19)&lt;4,"",SUM('연간'!G19:J19)))/(IF(COUNT('연간'!G4:J4)&lt;4,"",SUM('연간'!G4:J4))),"")</f>
        <v/>
      </c>
      <c r="D55" s="38">
        <f>IFERROR((IF(COUNT('연간'!H19:K19)&lt;4,"",SUM('연간'!H19:K19)))/(IF(COUNT('연간'!H4:K4)&lt;4,"",SUM('연간'!H4:K4))),"")</f>
        <v/>
      </c>
      <c r="E55" s="38">
        <f>IFERROR((IF(COUNT('연간'!I19:L19)&lt;4,"",SUM('연간'!I19:L19)))/(IF(COUNT('연간'!I4:L4)&lt;4,"",SUM('연간'!I4:L4))),"")</f>
        <v/>
      </c>
      <c r="F55" s="38">
        <f>IFERROR((IF(COUNT('연간'!J19:M19)&lt;4,"",SUM('연간'!J19:M19)))/(IF(COUNT('연간'!J4:M4)&lt;4,"",SUM('연간'!J4:M4))),"")</f>
        <v/>
      </c>
      <c r="G55" s="38">
        <f>IFERROR((IF(COUNT('연간'!K19:N19)&lt;4,"",SUM('연간'!K19:N19)))/(IF(COUNT('연간'!K4:N4)&lt;4,"",SUM('연간'!K4:N4))),"")</f>
        <v/>
      </c>
      <c r="H55" s="37">
        <f>IFERROR(('연간'!T19)/('연간'!T4),"")</f>
        <v/>
      </c>
      <c r="I55" s="38">
        <f>IFERROR(('연간'!U19)/('연간'!U4),"")</f>
        <v/>
      </c>
      <c r="J55" s="38">
        <f>IFERROR(('연간'!V19)/('연간'!V4),"")</f>
        <v/>
      </c>
      <c r="K55" s="38">
        <f>IFERROR(('연간'!W19)/('연간'!W4),"")</f>
        <v/>
      </c>
      <c r="L55" s="38">
        <f>IFERROR(('연간'!X19)/('연간'!X4),"")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IFERROR((IF(COUNT('연간'!G47:J47)&lt;4,"",SUM('연간'!G47:J47)))/(IF(COUNT('연간'!G4:J4)&lt;4,"",SUM('연간'!G4:J4))),"")</f>
        <v/>
      </c>
      <c r="D56" s="38">
        <f>IFERROR((IF(COUNT('연간'!H47:K47)&lt;4,"",SUM('연간'!H47:K47)))/(IF(COUNT('연간'!H4:K4)&lt;4,"",SUM('연간'!H4:K4))),"")</f>
        <v/>
      </c>
      <c r="E56" s="38">
        <f>IFERROR((IF(COUNT('연간'!I47:L47)&lt;4,"",SUM('연간'!I47:L47)))/(IF(COUNT('연간'!I4:L4)&lt;4,"",SUM('연간'!I4:L4))),"")</f>
        <v/>
      </c>
      <c r="F56" s="38">
        <f>IFERROR((IF(COUNT('연간'!J47:M47)&lt;4,"",SUM('연간'!J47:M47)))/(IF(COUNT('연간'!J4:M4)&lt;4,"",SUM('연간'!J4:M4))),"")</f>
        <v/>
      </c>
      <c r="G56" s="38">
        <f>IFERROR((IF(COUNT('연간'!K47:N47)&lt;4,"",SUM('연간'!K47:N47)))/(IF(COUNT('연간'!K4:N4)&lt;4,"",SUM('연간'!K4:N4))),"")</f>
        <v/>
      </c>
      <c r="H56" s="37">
        <f>IFERROR(('연간'!T47)/('연간'!T4),"")</f>
        <v/>
      </c>
      <c r="I56" s="38">
        <f>IFERROR(('연간'!U47)/('연간'!U4),"")</f>
        <v/>
      </c>
      <c r="J56" s="38">
        <f>IFERROR(('연간'!V47)/('연간'!V4),"")</f>
        <v/>
      </c>
      <c r="K56" s="38">
        <f>IFERROR(('연간'!W47)/('연간'!W4),"")</f>
        <v/>
      </c>
      <c r="L56" s="38">
        <f>IFERROR(('연간'!X47)/('연간'!X4),"")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IFERROR(H8/('연간'!T4)*365,"")</f>
        <v/>
      </c>
      <c r="I59" s="51">
        <f>IFERROR(I8/('연간'!U4)*365,"")</f>
        <v/>
      </c>
      <c r="J59" s="51">
        <f>IFERROR(J8/('연간'!V4)*365,"")</f>
        <v/>
      </c>
      <c r="K59" s="51">
        <f>IFERROR(K8/('연간'!W4)*365,"")</f>
        <v/>
      </c>
      <c r="L59" s="51">
        <f>IFERROR(L8/('연간'!X4)*365,"")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IFERROR(H9/('연간'!T11)*365,"")</f>
        <v/>
      </c>
      <c r="I60" s="51">
        <f>IFERROR(I9/('연간'!U11)*365,"")</f>
        <v/>
      </c>
      <c r="J60" s="51">
        <f>IFERROR(J9/('연간'!V11)*365,"")</f>
        <v/>
      </c>
      <c r="K60" s="51">
        <f>IFERROR(K9/('연간'!W11)*365,"")</f>
        <v/>
      </c>
      <c r="L60" s="51">
        <f>IFERROR(L9/('연간'!X11)*365,"")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IFERROR(H19/('연간'!T11)*365,"")</f>
        <v/>
      </c>
      <c r="I61" s="51">
        <f>IFERROR(I19/('연간'!U11)*365,"")</f>
        <v/>
      </c>
      <c r="J61" s="51">
        <f>IFERROR(J19/('연간'!V11)*365,"")</f>
        <v/>
      </c>
      <c r="K61" s="51">
        <f>IFERROR(K19/('연간'!W11)*365,"")</f>
        <v/>
      </c>
      <c r="L61" s="51">
        <f>IFERROR(L19/('연간'!X11)*365,"")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IF(C37="","",IFERROR(C37/(IF(COUNT('연간'!G47:J47)&lt;4,"",SUM('연간'!G47:J47))),""))</f>
        <v/>
      </c>
      <c r="D64" s="33">
        <f>IF(D37="","",IFERROR(D37/(IF(COUNT('연간'!H47:K47)&lt;4,"",SUM('연간'!H47:K47))),""))</f>
        <v/>
      </c>
      <c r="E64" s="33">
        <f>IF(E37="","",IFERROR(E37/(IF(COUNT('연간'!I47:L47)&lt;4,"",SUM('연간'!I47:L47))),""))</f>
        <v/>
      </c>
      <c r="F64" s="33">
        <f>IF(F37="","",IFERROR(F37/(IF(COUNT('연간'!J47:M47)&lt;4,"",SUM('연간'!J47:M47))),""))</f>
        <v/>
      </c>
      <c r="G64" s="33">
        <f>IF(G37="","",IFERROR(G37/(IF(COUNT('연간'!K47:N47)&lt;4,"",SUM('연간'!K47:N47))),""))</f>
        <v/>
      </c>
      <c r="H64" s="32">
        <f>IF(H37="","",IFERROR(H37/('연간'!T47),""))</f>
        <v/>
      </c>
      <c r="I64" s="33">
        <f>IF(I37="","",IFERROR(I37/('연간'!U47),""))</f>
        <v/>
      </c>
      <c r="J64" s="33">
        <f>IF(J37="","",IFERROR(J37/('연간'!V47),""))</f>
        <v/>
      </c>
      <c r="K64" s="33">
        <f>IF(K37="","",IFERROR(K37/('연간'!W47),""))</f>
        <v/>
      </c>
      <c r="L64" s="33">
        <f>IF(L37="","",IFERROR(L37/('연간'!X47),""))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IF(C40="","",IFERROR(C40/(IF(COUNT('연간'!G49:J49)&lt;4,"",SUM('연간'!G49:J49))),""))</f>
        <v/>
      </c>
      <c r="D67" s="38">
        <f>IF(D40="","",IFERROR(D40/(IF(COUNT('연간'!H49:K49)&lt;4,"",SUM('연간'!H49:K49))),""))</f>
        <v/>
      </c>
      <c r="E67" s="38">
        <f>IF(E40="","",IFERROR(E40/(IF(COUNT('연간'!I49:L49)&lt;4,"",SUM('연간'!I49:L49))),""))</f>
        <v/>
      </c>
      <c r="F67" s="38">
        <f>IF(F40="","",IFERROR(F40/(IF(COUNT('연간'!J49:M49)&lt;4,"",SUM('연간'!J49:M49))),""))</f>
        <v/>
      </c>
      <c r="G67" s="38">
        <f>IF(G40="","",IFERROR(G40/(IF(COUNT('연간'!K49:N49)&lt;4,"",SUM('연간'!K49:N49))),""))</f>
        <v/>
      </c>
      <c r="H67" s="37">
        <f>IF(H40="","",IFERROR(H40/('연간'!T49),""))</f>
        <v/>
      </c>
      <c r="I67" s="38">
        <f>IF(I40="","",IFERROR(I40/('연간'!U49),""))</f>
        <v/>
      </c>
      <c r="J67" s="38">
        <f>IF(J40="","",IFERROR(J40/('연간'!V49),""))</f>
        <v/>
      </c>
      <c r="K67" s="38">
        <f>IF(K40="","",IFERROR(K40/('연간'!W49),""))</f>
        <v/>
      </c>
      <c r="L67" s="38">
        <f>IF(L40="","",IFERROR(L40/('연간'!X49),""))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2025.3Q</t>
        </is>
      </c>
      <c r="D70" s="5" t="inlineStr">
        <is>
          <t>2025.4Q</t>
        </is>
      </c>
      <c r="E70" s="5" t="inlineStr">
        <is>
          <t>2026.1Q</t>
        </is>
      </c>
      <c r="F70" s="5" t="inlineStr">
        <is>
          <t>2026.2Q</t>
        </is>
      </c>
      <c r="G70" s="5" t="inlineStr">
        <is>
          <t>2026.3Q</t>
        </is>
      </c>
      <c r="H70" s="5" t="inlineStr">
        <is>
          <t>2021</t>
        </is>
      </c>
      <c r="I70" s="5" t="inlineStr">
        <is>
          <t>2022</t>
        </is>
      </c>
      <c r="J70" s="5" t="inlineStr">
        <is>
          <t>2023</t>
        </is>
      </c>
      <c r="K70" s="5" t="inlineStr">
        <is>
          <t>2024</t>
        </is>
      </c>
      <c r="L70" s="5" t="inlineStr">
        <is>
          <t>2025</t>
        </is>
      </c>
    </row>
    <row r="71">
      <c r="A71" s="20" t="inlineStr">
        <is>
          <t>현금 및 예금</t>
        </is>
      </c>
      <c r="C71" s="22" t="n">
        <v>8198</v>
      </c>
      <c r="D71" s="22" t="n">
        <v>8914</v>
      </c>
      <c r="E71" s="22" t="n">
        <v>9405</v>
      </c>
      <c r="F71" s="22" t="n">
        <v>10418</v>
      </c>
      <c r="G71" s="22" t="n">
        <v>10457</v>
      </c>
      <c r="H71" s="22" t="n">
        <v>12619.862</v>
      </c>
      <c r="I71" s="22" t="n">
        <v>6683.502</v>
      </c>
      <c r="J71" s="22" t="n">
        <v>7649.594</v>
      </c>
      <c r="K71" s="22" t="n">
        <v>7388</v>
      </c>
      <c r="L71" s="22" t="n">
        <v>8914</v>
      </c>
    </row>
    <row r="72">
      <c r="A72" s="20" t="inlineStr">
        <is>
          <t>매출채권</t>
        </is>
      </c>
      <c r="C72" s="22" t="n">
        <v>1135</v>
      </c>
      <c r="D72" s="22" t="n">
        <v>1375</v>
      </c>
      <c r="E72" s="22" t="n">
        <v>1438</v>
      </c>
      <c r="F72" s="22" t="n">
        <v>1371</v>
      </c>
      <c r="G72" s="22" t="n">
        <v>1452</v>
      </c>
      <c r="H72" s="22" t="n">
        <v>729.246</v>
      </c>
      <c r="I72" s="22" t="n">
        <v>744.062</v>
      </c>
      <c r="J72" s="22" t="n">
        <v>931.175</v>
      </c>
      <c r="K72" s="22" t="n">
        <v>1047</v>
      </c>
      <c r="L72" s="22" t="n">
        <v>1375</v>
      </c>
    </row>
    <row r="73">
      <c r="A73" s="20" t="inlineStr">
        <is>
          <t>상품·제품</t>
        </is>
      </c>
      <c r="C73" s="22" t="n">
        <v>145</v>
      </c>
      <c r="D73" s="22" t="n">
        <v>240</v>
      </c>
      <c r="E73" s="22" t="n">
        <v>172</v>
      </c>
      <c r="F73" s="22" t="n">
        <v>226</v>
      </c>
      <c r="G73" s="22" t="n">
        <v>221</v>
      </c>
      <c r="H73" s="22" t="n">
        <v>98.178</v>
      </c>
      <c r="I73" s="22" t="n">
        <v>99.65300000000001</v>
      </c>
      <c r="J73" s="22" t="n">
        <v>187.53</v>
      </c>
      <c r="K73" s="22" t="n">
        <v>224</v>
      </c>
      <c r="L73" s="22" t="n">
        <v>240</v>
      </c>
    </row>
    <row r="74">
      <c r="A74" s="20" t="inlineStr">
        <is>
          <t>원재료·저장품</t>
        </is>
      </c>
      <c r="C74" s="22" t="n">
        <v>564</v>
      </c>
      <c r="D74" s="22" t="n">
        <v>693</v>
      </c>
      <c r="E74" s="22" t="n">
        <v>578</v>
      </c>
      <c r="F74" s="22" t="n">
        <v>689</v>
      </c>
      <c r="G74" s="22" t="n">
        <v>809</v>
      </c>
      <c r="H74" s="22" t="n">
        <v>309.307</v>
      </c>
      <c r="I74" s="22" t="n">
        <v>551.904</v>
      </c>
      <c r="J74" s="22" t="n">
        <v>654.014</v>
      </c>
      <c r="K74" s="22" t="n">
        <v>939</v>
      </c>
      <c r="L74" s="22" t="n">
        <v>693</v>
      </c>
    </row>
    <row r="75">
      <c r="A75" s="20" t="inlineStr">
        <is>
          <t>미수 환급법인세</t>
        </is>
      </c>
      <c r="H75" s="22" t="n">
        <v>0</v>
      </c>
    </row>
    <row r="76">
      <c r="A76" s="20" t="inlineStr">
        <is>
          <t>선급비용</t>
        </is>
      </c>
      <c r="C76" s="22" t="n">
        <v>262</v>
      </c>
      <c r="D76" s="22" t="n">
        <v>263</v>
      </c>
      <c r="E76" s="22" t="n">
        <v>261</v>
      </c>
      <c r="F76" s="22" t="n">
        <v>377</v>
      </c>
      <c r="G76" s="22" t="n">
        <v>316</v>
      </c>
      <c r="H76" s="22" t="n">
        <v>175.117</v>
      </c>
      <c r="I76" s="22" t="n">
        <v>191.324</v>
      </c>
      <c r="J76" s="22" t="n">
        <v>217.999</v>
      </c>
      <c r="K76" s="22" t="n">
        <v>231</v>
      </c>
      <c r="L76" s="22" t="n">
        <v>263</v>
      </c>
    </row>
    <row r="77">
      <c r="A77" s="20" t="inlineStr">
        <is>
          <t>기타</t>
        </is>
      </c>
      <c r="C77" s="22" t="n">
        <v>52</v>
      </c>
      <c r="D77" s="22" t="n">
        <v>68</v>
      </c>
      <c r="E77" s="22" t="n">
        <v>115</v>
      </c>
      <c r="F77" s="22" t="n">
        <v>79</v>
      </c>
      <c r="G77" s="22" t="n">
        <v>110</v>
      </c>
      <c r="H77" s="22" t="n">
        <v>337.08</v>
      </c>
      <c r="I77" s="22" t="n">
        <v>48.368</v>
      </c>
      <c r="J77" s="22" t="n">
        <v>67.279</v>
      </c>
      <c r="K77" s="22" t="n">
        <v>62</v>
      </c>
      <c r="L77" s="22" t="n">
        <v>68</v>
      </c>
    </row>
    <row r="78">
      <c r="A78" s="20" t="inlineStr">
        <is>
          <t>대손충당금</t>
        </is>
      </c>
      <c r="C78" s="22" t="n">
        <v>-0</v>
      </c>
      <c r="D78" s="22" t="n">
        <v>-0</v>
      </c>
      <c r="F78" s="22" t="n">
        <v>-0</v>
      </c>
      <c r="G78" s="22" t="n">
        <v>-0</v>
      </c>
      <c r="K78" s="22" t="n">
        <v>-0</v>
      </c>
      <c r="L78" s="22" t="n">
        <v>-0</v>
      </c>
    </row>
    <row r="79">
      <c r="A79" s="9" t="inlineStr">
        <is>
          <t>유동자산 합계</t>
        </is>
      </c>
      <c r="C79" s="12" t="n">
        <v>10358</v>
      </c>
      <c r="D79" s="12" t="n">
        <v>11556</v>
      </c>
      <c r="E79" s="12" t="n">
        <v>11972</v>
      </c>
      <c r="F79" s="12" t="n">
        <v>13163</v>
      </c>
      <c r="G79" s="12" t="n">
        <v>13366</v>
      </c>
      <c r="H79" s="12" t="n">
        <v>14268.793</v>
      </c>
      <c r="I79" s="12" t="n">
        <v>8318.816999999999</v>
      </c>
      <c r="J79" s="12" t="n">
        <v>9707.592000000001</v>
      </c>
      <c r="K79" s="12" t="n">
        <v>9893</v>
      </c>
      <c r="L79" s="12" t="n">
        <v>11556</v>
      </c>
    </row>
    <row r="80">
      <c r="A80" s="20" t="inlineStr">
        <is>
          <t>건물</t>
        </is>
      </c>
      <c r="H80" s="22" t="n">
        <v>11146.545</v>
      </c>
      <c r="I80" s="22" t="n">
        <v>11418.643</v>
      </c>
    </row>
    <row r="81">
      <c r="A81" s="20" t="inlineStr">
        <is>
          <t>감가상각누계액</t>
        </is>
      </c>
      <c r="H81" s="22" t="n">
        <v>-5277.018</v>
      </c>
      <c r="I81" s="22" t="n">
        <v>-5461.388</v>
      </c>
    </row>
    <row r="82">
      <c r="A82" s="20" t="inlineStr">
        <is>
          <t>건물(순액)</t>
        </is>
      </c>
      <c r="H82" s="22" t="n">
        <v>5869.526</v>
      </c>
      <c r="I82" s="22" t="n">
        <v>5957.254</v>
      </c>
    </row>
    <row r="83">
      <c r="A83" s="20" t="inlineStr">
        <is>
          <t>구축물</t>
        </is>
      </c>
      <c r="H83" s="22" t="n">
        <v>1490.399</v>
      </c>
      <c r="I83" s="22" t="n">
        <v>1568.863</v>
      </c>
    </row>
    <row r="84">
      <c r="A84" s="20" t="inlineStr">
        <is>
          <t>감가상각누계액</t>
        </is>
      </c>
      <c r="H84" s="22" t="n">
        <v>-839.353</v>
      </c>
      <c r="I84" s="22" t="n">
        <v>-863.515</v>
      </c>
    </row>
    <row r="85">
      <c r="A85" s="20" t="inlineStr">
        <is>
          <t>구축물(순액)</t>
        </is>
      </c>
      <c r="H85" s="22" t="n">
        <v>651.045</v>
      </c>
      <c r="I85" s="22" t="n">
        <v>705.347</v>
      </c>
    </row>
    <row r="86">
      <c r="A86" s="20" t="inlineStr">
        <is>
          <t>기계장치</t>
        </is>
      </c>
      <c r="H86" s="22" t="n">
        <v>436.031</v>
      </c>
      <c r="I86" s="22" t="n">
        <v>428.899</v>
      </c>
    </row>
    <row r="87">
      <c r="A87" s="20" t="inlineStr">
        <is>
          <t>감가상각누계액</t>
        </is>
      </c>
      <c r="H87" s="22" t="n">
        <v>-345.751</v>
      </c>
      <c r="I87" s="22" t="n">
        <v>-339.813</v>
      </c>
    </row>
    <row r="88">
      <c r="A88" s="20" t="inlineStr">
        <is>
          <t>기계장치(순액)</t>
        </is>
      </c>
      <c r="H88" s="22" t="n">
        <v>90.28</v>
      </c>
      <c r="I88" s="22" t="n">
        <v>89.086</v>
      </c>
    </row>
    <row r="89">
      <c r="A89" s="20" t="inlineStr">
        <is>
          <t>차량운반구</t>
        </is>
      </c>
      <c r="H89" s="22" t="n">
        <v>2.417</v>
      </c>
      <c r="I89" s="22" t="n">
        <v>2.417</v>
      </c>
    </row>
    <row r="90">
      <c r="A90" s="20" t="inlineStr">
        <is>
          <t>감가상각누계액</t>
        </is>
      </c>
      <c r="H90" s="22" t="n">
        <v>-2.416</v>
      </c>
      <c r="I90" s="22" t="n">
        <v>-2.416</v>
      </c>
    </row>
    <row r="91">
      <c r="A91" s="20" t="inlineStr">
        <is>
          <t>차량운반구(순액)</t>
        </is>
      </c>
      <c r="H91" s="22" t="n">
        <v>0</v>
      </c>
      <c r="I91" s="22" t="n">
        <v>0</v>
      </c>
    </row>
    <row r="92">
      <c r="A92" s="20" t="inlineStr">
        <is>
          <t>건물·구축물</t>
        </is>
      </c>
      <c r="D92" s="22" t="n">
        <v>16151</v>
      </c>
      <c r="J92" s="22" t="n">
        <v>13910.079</v>
      </c>
      <c r="K92" s="22" t="n">
        <v>15150</v>
      </c>
      <c r="L92" s="22" t="n">
        <v>16151</v>
      </c>
    </row>
    <row r="93">
      <c r="A93" s="20" t="inlineStr">
        <is>
          <t>감가상각누계액</t>
        </is>
      </c>
      <c r="D93" s="22" t="n">
        <v>-8667</v>
      </c>
      <c r="J93" s="22" t="n">
        <v>-7153.435</v>
      </c>
      <c r="K93" s="22" t="n">
        <v>-8095</v>
      </c>
      <c r="L93" s="22" t="n">
        <v>-8667</v>
      </c>
    </row>
    <row r="94">
      <c r="A94" s="20" t="inlineStr">
        <is>
          <t>건물·구축물(순액)</t>
        </is>
      </c>
      <c r="C94" s="22" t="n">
        <v>7529</v>
      </c>
      <c r="D94" s="22" t="n">
        <v>7484</v>
      </c>
      <c r="E94" s="22" t="n">
        <v>7506</v>
      </c>
      <c r="F94" s="22" t="n">
        <v>7645</v>
      </c>
      <c r="G94" s="22" t="n">
        <v>7526</v>
      </c>
      <c r="J94" s="22" t="n">
        <v>6756.643</v>
      </c>
      <c r="K94" s="22" t="n">
        <v>7055</v>
      </c>
      <c r="L94" s="22" t="n">
        <v>7484</v>
      </c>
    </row>
    <row r="95">
      <c r="A95" s="20" t="inlineStr">
        <is>
          <t>기계장치·운반구</t>
        </is>
      </c>
      <c r="D95" s="22" t="n">
        <v>726</v>
      </c>
      <c r="J95" s="22" t="n">
        <v>723.886</v>
      </c>
      <c r="K95" s="22" t="n">
        <v>722</v>
      </c>
      <c r="L95" s="22" t="n">
        <v>726</v>
      </c>
    </row>
    <row r="96">
      <c r="A96" s="20" t="inlineStr">
        <is>
          <t>감가상각누계액</t>
        </is>
      </c>
      <c r="D96" s="22" t="n">
        <v>-617</v>
      </c>
      <c r="J96" s="22" t="n">
        <v>-571.083</v>
      </c>
      <c r="K96" s="22" t="n">
        <v>-591</v>
      </c>
      <c r="L96" s="22" t="n">
        <v>-617</v>
      </c>
    </row>
    <row r="97">
      <c r="A97" s="20" t="inlineStr">
        <is>
          <t>기계장치·운반구(순액)</t>
        </is>
      </c>
      <c r="C97" s="22" t="n">
        <v>113</v>
      </c>
      <c r="D97" s="22" t="n">
        <v>109</v>
      </c>
      <c r="E97" s="22" t="n">
        <v>104</v>
      </c>
      <c r="F97" s="22" t="n">
        <v>120</v>
      </c>
      <c r="G97" s="22" t="n">
        <v>130</v>
      </c>
      <c r="J97" s="22" t="n">
        <v>152.803</v>
      </c>
      <c r="K97" s="22" t="n">
        <v>130</v>
      </c>
      <c r="L97" s="22" t="n">
        <v>109</v>
      </c>
    </row>
    <row r="98">
      <c r="A98" s="20" t="inlineStr">
        <is>
          <t>공구·기구·비품</t>
        </is>
      </c>
      <c r="D98" s="22" t="n">
        <v>3012</v>
      </c>
      <c r="H98" s="22" t="n">
        <v>2382.432</v>
      </c>
      <c r="I98" s="22" t="n">
        <v>2576.976</v>
      </c>
      <c r="J98" s="22" t="n">
        <v>2707.759</v>
      </c>
      <c r="K98" s="22" t="n">
        <v>2874</v>
      </c>
      <c r="L98" s="22" t="n">
        <v>3012</v>
      </c>
    </row>
    <row r="99">
      <c r="A99" s="20" t="inlineStr">
        <is>
          <t>감가상각누계액</t>
        </is>
      </c>
      <c r="D99" s="22" t="n">
        <v>-2433</v>
      </c>
      <c r="H99" s="22" t="n">
        <v>-1826.215</v>
      </c>
      <c r="I99" s="22" t="n">
        <v>-1956.182</v>
      </c>
      <c r="J99" s="22" t="n">
        <v>-2133.923</v>
      </c>
      <c r="K99" s="22" t="n">
        <v>-2297</v>
      </c>
      <c r="L99" s="22" t="n">
        <v>-2433</v>
      </c>
    </row>
    <row r="100">
      <c r="A100" s="20" t="inlineStr">
        <is>
          <t>공구·기구·비품(순액)</t>
        </is>
      </c>
      <c r="C100" s="22" t="n">
        <v>604</v>
      </c>
      <c r="D100" s="22" t="n">
        <v>578</v>
      </c>
      <c r="E100" s="22" t="n">
        <v>578</v>
      </c>
      <c r="F100" s="22" t="n">
        <v>637</v>
      </c>
      <c r="G100" s="22" t="n">
        <v>626</v>
      </c>
      <c r="H100" s="22" t="n">
        <v>556.217</v>
      </c>
      <c r="I100" s="22" t="n">
        <v>620.793</v>
      </c>
      <c r="J100" s="22" t="n">
        <v>573.836</v>
      </c>
      <c r="K100" s="22" t="n">
        <v>576</v>
      </c>
      <c r="L100" s="22" t="n">
        <v>578</v>
      </c>
    </row>
    <row r="101">
      <c r="A101" s="20" t="inlineStr">
        <is>
          <t>토지</t>
        </is>
      </c>
      <c r="C101" s="22" t="n">
        <v>2784</v>
      </c>
      <c r="D101" s="22" t="n">
        <v>2784</v>
      </c>
      <c r="E101" s="22" t="n">
        <v>2784</v>
      </c>
      <c r="F101" s="22" t="n">
        <v>2831</v>
      </c>
      <c r="G101" s="22" t="n">
        <v>2831</v>
      </c>
      <c r="H101" s="22" t="n">
        <v>2724.457</v>
      </c>
      <c r="I101" s="22" t="n">
        <v>2724.457</v>
      </c>
      <c r="J101" s="22" t="n">
        <v>2724.457</v>
      </c>
      <c r="K101" s="22" t="n">
        <v>2784</v>
      </c>
      <c r="L101" s="22" t="n">
        <v>2784</v>
      </c>
    </row>
    <row r="102">
      <c r="A102" s="20" t="inlineStr">
        <is>
          <t>건설중인자산</t>
        </is>
      </c>
      <c r="H102" s="22" t="n">
        <v>10.054</v>
      </c>
      <c r="I102" s="22" t="n">
        <v>50.41</v>
      </c>
    </row>
    <row r="103">
      <c r="A103" s="20" t="inlineStr">
        <is>
          <t>기타</t>
        </is>
      </c>
      <c r="C103" s="22" t="n">
        <v>89</v>
      </c>
      <c r="D103" s="22" t="n">
        <v>155</v>
      </c>
      <c r="E103" s="22" t="n">
        <v>83</v>
      </c>
      <c r="F103" s="22" t="n">
        <v>28</v>
      </c>
      <c r="G103" s="22" t="n">
        <v>196</v>
      </c>
      <c r="J103" s="22" t="n">
        <v>16.512</v>
      </c>
      <c r="K103" s="22" t="n">
        <v>96</v>
      </c>
      <c r="L103" s="22" t="n">
        <v>155</v>
      </c>
    </row>
    <row r="104">
      <c r="A104" s="20" t="inlineStr">
        <is>
          <t>유형자산 합계</t>
        </is>
      </c>
      <c r="C104" s="22" t="n">
        <v>11120</v>
      </c>
      <c r="D104" s="22" t="n">
        <v>11112</v>
      </c>
      <c r="E104" s="22" t="n">
        <v>11056</v>
      </c>
      <c r="F104" s="22" t="n">
        <v>11265</v>
      </c>
      <c r="G104" s="22" t="n">
        <v>11311</v>
      </c>
      <c r="H104" s="22" t="n">
        <v>9901.583000000001</v>
      </c>
      <c r="I104" s="22" t="n">
        <v>10147.351</v>
      </c>
      <c r="J104" s="22" t="n">
        <v>10224.253</v>
      </c>
      <c r="K104" s="22" t="n">
        <v>10642</v>
      </c>
      <c r="L104" s="22" t="n">
        <v>11112</v>
      </c>
    </row>
    <row r="105">
      <c r="A105" s="20" t="inlineStr">
        <is>
          <t>차지권</t>
        </is>
      </c>
      <c r="D105" s="22" t="n">
        <v>82</v>
      </c>
      <c r="H105" s="22" t="n">
        <v>91.559</v>
      </c>
      <c r="I105" s="22" t="n">
        <v>87.357</v>
      </c>
      <c r="J105" s="22" t="n">
        <v>87.16500000000001</v>
      </c>
      <c r="K105" s="22" t="n">
        <v>82</v>
      </c>
      <c r="L105" s="22" t="n">
        <v>82</v>
      </c>
    </row>
    <row r="106">
      <c r="A106" s="20" t="inlineStr">
        <is>
          <t>상표권</t>
        </is>
      </c>
      <c r="H106" s="22" t="n">
        <v>1.178</v>
      </c>
      <c r="I106" s="22" t="n">
        <v>1.109</v>
      </c>
    </row>
    <row r="107">
      <c r="A107" s="20" t="inlineStr">
        <is>
          <t>소프트웨어</t>
        </is>
      </c>
      <c r="D107" s="22" t="n">
        <v>75</v>
      </c>
      <c r="H107" s="22" t="n">
        <v>176.531</v>
      </c>
      <c r="I107" s="22" t="n">
        <v>148.509</v>
      </c>
      <c r="J107" s="22" t="n">
        <v>113.743</v>
      </c>
      <c r="K107" s="22" t="n">
        <v>122</v>
      </c>
      <c r="L107" s="22" t="n">
        <v>75</v>
      </c>
    </row>
    <row r="108">
      <c r="A108" s="20" t="inlineStr">
        <is>
          <t>영업권</t>
        </is>
      </c>
      <c r="D108" s="22" t="n">
        <v>11</v>
      </c>
      <c r="J108" s="22" t="n">
        <v>21.821</v>
      </c>
      <c r="K108" s="22" t="n">
        <v>16</v>
      </c>
      <c r="L108" s="22" t="n">
        <v>11</v>
      </c>
    </row>
    <row r="109">
      <c r="A109" s="20" t="inlineStr">
        <is>
          <t>기타</t>
        </is>
      </c>
      <c r="D109" s="22" t="n">
        <v>20</v>
      </c>
      <c r="H109" s="22" t="n">
        <v>21.95</v>
      </c>
      <c r="I109" s="22" t="n">
        <v>21.048</v>
      </c>
      <c r="J109" s="22" t="n">
        <v>22.565</v>
      </c>
      <c r="K109" s="22" t="n">
        <v>25</v>
      </c>
      <c r="L109" s="22" t="n">
        <v>20</v>
      </c>
    </row>
    <row r="110">
      <c r="A110" s="20" t="inlineStr">
        <is>
          <t>무형자산</t>
        </is>
      </c>
      <c r="C110" s="22" t="n">
        <v>206</v>
      </c>
      <c r="D110" s="22" t="n">
        <v>190</v>
      </c>
      <c r="E110" s="22" t="n">
        <v>175</v>
      </c>
      <c r="F110" s="22" t="n">
        <v>199</v>
      </c>
      <c r="G110" s="22" t="n">
        <v>194</v>
      </c>
      <c r="H110" s="22" t="n">
        <v>291.22</v>
      </c>
      <c r="I110" s="22" t="n">
        <v>258.025</v>
      </c>
      <c r="J110" s="22" t="n">
        <v>245.296</v>
      </c>
      <c r="K110" s="22" t="n">
        <v>248</v>
      </c>
      <c r="L110" s="22" t="n">
        <v>190</v>
      </c>
    </row>
    <row r="111">
      <c r="A111" s="20" t="inlineStr">
        <is>
          <t>투자유가증권</t>
        </is>
      </c>
      <c r="C111" s="22" t="n">
        <v>178</v>
      </c>
      <c r="D111" s="22" t="n">
        <v>192</v>
      </c>
      <c r="E111" s="22" t="n">
        <v>214</v>
      </c>
      <c r="F111" s="22" t="n">
        <v>261</v>
      </c>
      <c r="G111" s="22" t="n">
        <v>289</v>
      </c>
      <c r="H111" s="22" t="n">
        <v>117.279</v>
      </c>
      <c r="I111" s="22" t="n">
        <v>99.959</v>
      </c>
      <c r="J111" s="22" t="n">
        <v>145.603</v>
      </c>
      <c r="K111" s="22" t="n">
        <v>168</v>
      </c>
      <c r="L111" s="22" t="n">
        <v>192</v>
      </c>
    </row>
    <row r="112">
      <c r="A112" s="20" t="inlineStr">
        <is>
          <t>관계회사 주식</t>
        </is>
      </c>
      <c r="H112" s="22" t="n">
        <v>0</v>
      </c>
      <c r="I112" s="22" t="n">
        <v>121.163</v>
      </c>
    </row>
    <row r="113">
      <c r="A113" s="20" t="inlineStr">
        <is>
          <t>출자금</t>
        </is>
      </c>
      <c r="H113" s="22" t="n">
        <v>0.02</v>
      </c>
      <c r="I113" s="22" t="n">
        <v>0.02</v>
      </c>
    </row>
    <row r="114">
      <c r="A114" s="20" t="inlineStr">
        <is>
          <t>관계회사 장기대여금</t>
        </is>
      </c>
      <c r="H114" s="22" t="n">
        <v>0</v>
      </c>
      <c r="I114" s="22" t="n">
        <v>229</v>
      </c>
    </row>
    <row r="115">
      <c r="A115" s="20" t="inlineStr">
        <is>
          <t>장기선급비용</t>
        </is>
      </c>
      <c r="D115" s="22" t="n">
        <v>45</v>
      </c>
      <c r="H115" s="22" t="n">
        <v>67.04900000000001</v>
      </c>
      <c r="I115" s="22" t="n">
        <v>58.017</v>
      </c>
      <c r="J115" s="22" t="n">
        <v>73.379</v>
      </c>
      <c r="K115" s="22" t="n">
        <v>58</v>
      </c>
      <c r="L115" s="22" t="n">
        <v>45</v>
      </c>
    </row>
    <row r="116">
      <c r="A116" s="20" t="inlineStr">
        <is>
          <t>장기예금</t>
        </is>
      </c>
      <c r="C116" s="22" t="n">
        <v>2000</v>
      </c>
      <c r="D116" s="22" t="n">
        <v>2000</v>
      </c>
      <c r="E116" s="22" t="n">
        <v>2000</v>
      </c>
      <c r="F116" s="22" t="n">
        <v>2000</v>
      </c>
      <c r="G116" s="22" t="n">
        <v>2000</v>
      </c>
      <c r="H116" s="22" t="n">
        <v>1000</v>
      </c>
      <c r="I116" s="22" t="n">
        <v>1000</v>
      </c>
      <c r="J116" s="22" t="n">
        <v>1000</v>
      </c>
      <c r="K116" s="22" t="n">
        <v>2000</v>
      </c>
      <c r="L116" s="22" t="n">
        <v>2000</v>
      </c>
    </row>
    <row r="117">
      <c r="A117" s="20" t="inlineStr">
        <is>
          <t>보증금</t>
        </is>
      </c>
      <c r="C117" s="22" t="n">
        <v>1143</v>
      </c>
      <c r="D117" s="22" t="n">
        <v>1154</v>
      </c>
      <c r="E117" s="22" t="n">
        <v>1159</v>
      </c>
      <c r="F117" s="22" t="n">
        <v>1174</v>
      </c>
      <c r="G117" s="22" t="n">
        <v>1189</v>
      </c>
      <c r="H117" s="22" t="n">
        <v>1026.455</v>
      </c>
      <c r="I117" s="22" t="n">
        <v>1060.234</v>
      </c>
      <c r="J117" s="22" t="n">
        <v>1074.507</v>
      </c>
      <c r="K117" s="22" t="n">
        <v>1137</v>
      </c>
      <c r="L117" s="22" t="n">
        <v>1154</v>
      </c>
    </row>
    <row r="118">
      <c r="A118" s="20" t="inlineStr">
        <is>
          <t>이연법인세자산</t>
        </is>
      </c>
      <c r="D118" s="22" t="n">
        <v>390</v>
      </c>
      <c r="H118" s="22" t="n">
        <v>146.881</v>
      </c>
      <c r="I118" s="22" t="n">
        <v>129.696</v>
      </c>
      <c r="J118" s="22" t="n">
        <v>224.258</v>
      </c>
      <c r="K118" s="22" t="n">
        <v>301</v>
      </c>
      <c r="L118" s="22" t="n">
        <v>390</v>
      </c>
    </row>
    <row r="119">
      <c r="A119" s="20" t="inlineStr">
        <is>
          <t>기타</t>
        </is>
      </c>
      <c r="C119" s="22" t="n">
        <v>466</v>
      </c>
      <c r="D119" s="22" t="n">
        <v>510</v>
      </c>
      <c r="E119" s="22" t="n">
        <v>528</v>
      </c>
      <c r="F119" s="22" t="n">
        <v>501</v>
      </c>
      <c r="G119" s="22" t="n">
        <v>560</v>
      </c>
      <c r="H119" s="22" t="n">
        <v>51.864</v>
      </c>
      <c r="I119" s="22" t="n">
        <v>55.516</v>
      </c>
      <c r="J119" s="22" t="n">
        <v>66.468</v>
      </c>
      <c r="K119" s="22" t="n">
        <v>70</v>
      </c>
      <c r="L119" s="22" t="n">
        <v>510</v>
      </c>
    </row>
    <row r="120">
      <c r="A120" s="20" t="inlineStr">
        <is>
          <t>투자 및 기타자산 합계</t>
        </is>
      </c>
      <c r="C120" s="22" t="n">
        <v>3789</v>
      </c>
      <c r="D120" s="22" t="n">
        <v>3857</v>
      </c>
      <c r="E120" s="22" t="n">
        <v>3903</v>
      </c>
      <c r="F120" s="22" t="n">
        <v>3937</v>
      </c>
      <c r="G120" s="22" t="n">
        <v>4039</v>
      </c>
      <c r="H120" s="22" t="n">
        <v>2409.55</v>
      </c>
      <c r="I120" s="22" t="n">
        <v>2753.606</v>
      </c>
      <c r="J120" s="22" t="n">
        <v>2584.216</v>
      </c>
      <c r="K120" s="22" t="n">
        <v>3736</v>
      </c>
      <c r="L120" s="22" t="n">
        <v>3857</v>
      </c>
    </row>
    <row r="121">
      <c r="A121" s="9" t="inlineStr">
        <is>
          <t>비유동자산 합계</t>
        </is>
      </c>
      <c r="C121" s="12" t="n">
        <v>15117</v>
      </c>
      <c r="D121" s="12" t="n">
        <v>15159</v>
      </c>
      <c r="E121" s="12" t="n">
        <v>15136</v>
      </c>
      <c r="F121" s="12" t="n">
        <v>15401</v>
      </c>
      <c r="G121" s="12" t="n">
        <v>15544</v>
      </c>
      <c r="H121" s="12" t="n">
        <v>12602.353</v>
      </c>
      <c r="I121" s="12" t="n">
        <v>13158.983</v>
      </c>
      <c r="J121" s="12" t="n">
        <v>13053.766</v>
      </c>
      <c r="K121" s="12" t="n">
        <v>14627</v>
      </c>
      <c r="L121" s="12" t="n">
        <v>15159</v>
      </c>
    </row>
    <row r="122">
      <c r="A122" s="9" t="inlineStr">
        <is>
          <t>자산 합계</t>
        </is>
      </c>
      <c r="C122" s="12" t="n">
        <v>25475</v>
      </c>
      <c r="D122" s="12" t="n">
        <v>26715</v>
      </c>
      <c r="E122" s="12" t="n">
        <v>27108</v>
      </c>
      <c r="F122" s="12" t="n">
        <v>28565</v>
      </c>
      <c r="G122" s="12" t="n">
        <v>28910</v>
      </c>
      <c r="H122" s="12" t="n">
        <v>26871.147</v>
      </c>
      <c r="I122" s="12" t="n">
        <v>21477.8</v>
      </c>
      <c r="J122" s="12" t="n">
        <v>22761.359</v>
      </c>
      <c r="K122" s="12" t="n">
        <v>24520</v>
      </c>
      <c r="L122" s="12" t="n">
        <v>26715</v>
      </c>
    </row>
    <row r="123">
      <c r="A123" s="20" t="inlineStr">
        <is>
          <t>매입채무</t>
        </is>
      </c>
      <c r="C123" s="22" t="n">
        <v>798</v>
      </c>
      <c r="D123" s="22" t="n">
        <v>894</v>
      </c>
      <c r="E123" s="22" t="n">
        <v>911</v>
      </c>
      <c r="F123" s="22" t="n">
        <v>912</v>
      </c>
      <c r="G123" s="22" t="n">
        <v>1009</v>
      </c>
      <c r="H123" s="22" t="n">
        <v>530.9880000000001</v>
      </c>
      <c r="I123" s="22" t="n">
        <v>725.331</v>
      </c>
      <c r="J123" s="22" t="n">
        <v>886.466</v>
      </c>
      <c r="K123" s="22" t="n">
        <v>789</v>
      </c>
      <c r="L123" s="22" t="n">
        <v>894</v>
      </c>
    </row>
    <row r="124">
      <c r="A124" s="20" t="inlineStr">
        <is>
          <t>단기차입금</t>
        </is>
      </c>
      <c r="C124" s="22" t="n">
        <v>137</v>
      </c>
      <c r="D124" s="22" t="n">
        <v>55</v>
      </c>
      <c r="E124" s="22" t="n">
        <v>147</v>
      </c>
      <c r="F124" s="22" t="n">
        <v>55</v>
      </c>
      <c r="G124" s="22" t="n">
        <v>137</v>
      </c>
      <c r="H124" s="22" t="n">
        <v>47.336</v>
      </c>
      <c r="I124" s="22" t="n">
        <v>76.696</v>
      </c>
      <c r="J124" s="22" t="n">
        <v>58.36</v>
      </c>
      <c r="K124" s="22" t="n">
        <v>55</v>
      </c>
      <c r="L124" s="22" t="n">
        <v>55</v>
      </c>
    </row>
    <row r="125">
      <c r="A125" s="20" t="inlineStr">
        <is>
          <t>1년 내 상환 장기차입금</t>
        </is>
      </c>
      <c r="D125" s="22" t="n">
        <v>0</v>
      </c>
      <c r="F125" s="22" t="n">
        <v>27</v>
      </c>
      <c r="G125" s="22" t="n">
        <v>27</v>
      </c>
      <c r="H125" s="22" t="n">
        <v>5199.992</v>
      </c>
      <c r="I125" s="22" t="n">
        <v>348</v>
      </c>
      <c r="J125" s="22" t="n">
        <v>120</v>
      </c>
      <c r="K125" s="22" t="n">
        <v>0</v>
      </c>
      <c r="L125" s="22" t="n">
        <v>0</v>
      </c>
    </row>
    <row r="126">
      <c r="A126" s="20" t="inlineStr">
        <is>
          <t>리스부채</t>
        </is>
      </c>
      <c r="C126" s="22" t="n">
        <v>27</v>
      </c>
      <c r="D126" s="22" t="n">
        <v>28</v>
      </c>
      <c r="E126" s="22" t="n">
        <v>28</v>
      </c>
      <c r="F126" s="22" t="n">
        <v>28</v>
      </c>
      <c r="G126" s="22" t="n">
        <v>29</v>
      </c>
      <c r="H126" s="22" t="n">
        <v>18.75</v>
      </c>
      <c r="I126" s="22" t="n">
        <v>21.15</v>
      </c>
      <c r="J126" s="22" t="n">
        <v>21.718</v>
      </c>
      <c r="K126" s="22" t="n">
        <v>28</v>
      </c>
      <c r="L126" s="22" t="n">
        <v>28</v>
      </c>
    </row>
    <row r="127">
      <c r="A127" s="20" t="inlineStr">
        <is>
          <t>미지급금</t>
        </is>
      </c>
      <c r="C127" s="22" t="n">
        <v>1051</v>
      </c>
      <c r="D127" s="22" t="n">
        <v>1627</v>
      </c>
      <c r="E127" s="22" t="n">
        <v>1300</v>
      </c>
      <c r="F127" s="22" t="n">
        <v>1887</v>
      </c>
      <c r="G127" s="22" t="n">
        <v>1268</v>
      </c>
      <c r="H127" s="22" t="n">
        <v>938.199</v>
      </c>
      <c r="I127" s="22" t="n">
        <v>937.687</v>
      </c>
      <c r="J127" s="22" t="n">
        <v>1050.845</v>
      </c>
      <c r="K127" s="22" t="n">
        <v>1291</v>
      </c>
      <c r="L127" s="22" t="n">
        <v>1627</v>
      </c>
    </row>
    <row r="128">
      <c r="A128" s="20" t="inlineStr">
        <is>
          <t>미지급비용</t>
        </is>
      </c>
      <c r="H128" s="22" t="n">
        <v>102.7</v>
      </c>
      <c r="I128" s="22" t="n">
        <v>87.423</v>
      </c>
    </row>
    <row r="129">
      <c r="A129" s="20" t="inlineStr">
        <is>
          <t>미지급법인세</t>
        </is>
      </c>
      <c r="C129" s="22" t="n">
        <v>420</v>
      </c>
      <c r="D129" s="22" t="n">
        <v>590</v>
      </c>
      <c r="E129" s="22" t="n">
        <v>420</v>
      </c>
      <c r="F129" s="22" t="n">
        <v>753</v>
      </c>
      <c r="G129" s="22" t="n">
        <v>724</v>
      </c>
      <c r="H129" s="22" t="n">
        <v>576.674</v>
      </c>
      <c r="I129" s="22" t="n">
        <v>129.24</v>
      </c>
      <c r="J129" s="22" t="n">
        <v>457.757</v>
      </c>
      <c r="K129" s="22" t="n">
        <v>564</v>
      </c>
      <c r="L129" s="22" t="n">
        <v>590</v>
      </c>
    </row>
    <row r="130">
      <c r="A130" s="20" t="inlineStr">
        <is>
          <t>미지급 소비세</t>
        </is>
      </c>
      <c r="H130" s="22" t="n">
        <v>0</v>
      </c>
      <c r="I130" s="22" t="n">
        <v>232.966</v>
      </c>
    </row>
    <row r="131">
      <c r="A131" s="20" t="inlineStr">
        <is>
          <t>계약부채</t>
        </is>
      </c>
      <c r="C131" s="22" t="n">
        <v>213</v>
      </c>
      <c r="D131" s="22" t="n">
        <v>288</v>
      </c>
      <c r="E131" s="22" t="n">
        <v>317</v>
      </c>
      <c r="F131" s="22" t="n">
        <v>391</v>
      </c>
      <c r="G131" s="22" t="n">
        <v>419</v>
      </c>
      <c r="H131" s="22" t="n">
        <v>58.705</v>
      </c>
      <c r="I131" s="22" t="n">
        <v>85.76300000000001</v>
      </c>
      <c r="J131" s="22" t="n">
        <v>123.846</v>
      </c>
      <c r="K131" s="22" t="n">
        <v>173</v>
      </c>
      <c r="L131" s="22" t="n">
        <v>288</v>
      </c>
    </row>
    <row r="132">
      <c r="A132" s="20" t="inlineStr">
        <is>
          <t>예수금</t>
        </is>
      </c>
      <c r="H132" s="22" t="n">
        <v>106.909</v>
      </c>
      <c r="I132" s="22" t="n">
        <v>77.88500000000001</v>
      </c>
    </row>
    <row r="133">
      <c r="A133" s="20" t="inlineStr">
        <is>
          <t>선수수익</t>
        </is>
      </c>
      <c r="H133" s="22" t="n">
        <v>2.569</v>
      </c>
      <c r="I133" s="22" t="n">
        <v>2.47</v>
      </c>
    </row>
    <row r="134">
      <c r="A134" s="20" t="inlineStr">
        <is>
          <t>상여충당금</t>
        </is>
      </c>
      <c r="C134" s="22" t="n">
        <v>310</v>
      </c>
      <c r="D134" s="22" t="n">
        <v>84</v>
      </c>
      <c r="E134" s="22" t="n">
        <v>311</v>
      </c>
      <c r="F134" s="22" t="n">
        <v>105</v>
      </c>
      <c r="G134" s="22" t="n">
        <v>324</v>
      </c>
      <c r="H134" s="22" t="n">
        <v>43.286</v>
      </c>
      <c r="I134" s="22" t="n">
        <v>45.865</v>
      </c>
      <c r="J134" s="22" t="n">
        <v>55.01</v>
      </c>
      <c r="K134" s="22" t="n">
        <v>76</v>
      </c>
      <c r="L134" s="22" t="n">
        <v>84</v>
      </c>
    </row>
    <row r="135">
      <c r="A135" s="20" t="inlineStr">
        <is>
          <t>판매촉진 충당금</t>
        </is>
      </c>
      <c r="C135" s="22" t="n">
        <v>152</v>
      </c>
      <c r="D135" s="22" t="n">
        <v>170</v>
      </c>
      <c r="E135" s="22" t="n">
        <v>171</v>
      </c>
      <c r="F135" s="22" t="n">
        <v>172</v>
      </c>
      <c r="G135" s="22" t="n">
        <v>195</v>
      </c>
      <c r="H135" s="22" t="n">
        <v>79.107</v>
      </c>
      <c r="I135" s="22" t="n">
        <v>74.44499999999999</v>
      </c>
      <c r="J135" s="22" t="n">
        <v>96.033</v>
      </c>
      <c r="K135" s="22" t="n">
        <v>129</v>
      </c>
      <c r="L135" s="22" t="n">
        <v>170</v>
      </c>
    </row>
    <row r="136">
      <c r="A136" s="20" t="inlineStr">
        <is>
          <t>자산복구부채</t>
        </is>
      </c>
      <c r="H136" s="22" t="n">
        <v>7.219</v>
      </c>
      <c r="I136" s="22" t="n">
        <v>0</v>
      </c>
    </row>
    <row r="137">
      <c r="A137" s="20" t="inlineStr">
        <is>
          <t>주주우대 충당금</t>
        </is>
      </c>
      <c r="C137" s="22" t="n">
        <v>28</v>
      </c>
      <c r="D137" s="22" t="n">
        <v>40</v>
      </c>
      <c r="E137" s="22" t="n">
        <v>29</v>
      </c>
      <c r="F137" s="22" t="n">
        <v>37</v>
      </c>
      <c r="G137" s="22" t="n">
        <v>26</v>
      </c>
      <c r="J137" s="22" t="n">
        <v>0</v>
      </c>
      <c r="K137" s="22" t="n">
        <v>41</v>
      </c>
      <c r="L137" s="22" t="n">
        <v>40</v>
      </c>
    </row>
    <row r="138">
      <c r="A138" s="20" t="inlineStr">
        <is>
          <t>기타</t>
        </is>
      </c>
      <c r="C138" s="22" t="n">
        <v>487</v>
      </c>
      <c r="D138" s="22" t="n">
        <v>497</v>
      </c>
      <c r="E138" s="22" t="n">
        <v>548</v>
      </c>
      <c r="F138" s="22" t="n">
        <v>523</v>
      </c>
      <c r="G138" s="22" t="n">
        <v>605</v>
      </c>
      <c r="H138" s="22" t="n">
        <v>1.024</v>
      </c>
      <c r="I138" s="22" t="n">
        <v>1.028</v>
      </c>
      <c r="J138" s="22" t="n">
        <v>576.548</v>
      </c>
      <c r="K138" s="22" t="n">
        <v>585</v>
      </c>
      <c r="L138" s="22" t="n">
        <v>497</v>
      </c>
    </row>
    <row r="139">
      <c r="A139" s="9" t="inlineStr">
        <is>
          <t>유동부채 합계</t>
        </is>
      </c>
      <c r="C139" s="12" t="n">
        <v>3626</v>
      </c>
      <c r="D139" s="12" t="n">
        <v>4277</v>
      </c>
      <c r="E139" s="12" t="n">
        <v>4185</v>
      </c>
      <c r="F139" s="12" t="n">
        <v>4895</v>
      </c>
      <c r="G139" s="12" t="n">
        <v>4768</v>
      </c>
      <c r="H139" s="12" t="n">
        <v>7713.462</v>
      </c>
      <c r="I139" s="12" t="n">
        <v>2845.954</v>
      </c>
      <c r="J139" s="12" t="n">
        <v>3446.587</v>
      </c>
      <c r="K139" s="12" t="n">
        <v>3735</v>
      </c>
      <c r="L139" s="12" t="n">
        <v>4277</v>
      </c>
    </row>
    <row r="140">
      <c r="A140" s="20" t="inlineStr">
        <is>
          <t>장기차입금</t>
        </is>
      </c>
      <c r="D140" s="22" t="n">
        <v>0</v>
      </c>
      <c r="F140" s="22" t="n">
        <v>89</v>
      </c>
      <c r="G140" s="22" t="n">
        <v>82</v>
      </c>
      <c r="H140" s="22" t="n">
        <v>600.016</v>
      </c>
      <c r="I140" s="22" t="n">
        <v>120</v>
      </c>
      <c r="J140" s="22" t="n">
        <v>0</v>
      </c>
      <c r="L140" s="22" t="n">
        <v>0</v>
      </c>
    </row>
    <row r="141">
      <c r="A141" s="20" t="inlineStr">
        <is>
          <t>리스부채</t>
        </is>
      </c>
      <c r="C141" s="22" t="n">
        <v>228</v>
      </c>
      <c r="D141" s="22" t="n">
        <v>243</v>
      </c>
      <c r="E141" s="22" t="n">
        <v>236</v>
      </c>
      <c r="F141" s="22" t="n">
        <v>229</v>
      </c>
      <c r="G141" s="22" t="n">
        <v>228</v>
      </c>
      <c r="H141" s="22" t="n">
        <v>225.591</v>
      </c>
      <c r="I141" s="22" t="n">
        <v>251.29</v>
      </c>
      <c r="J141" s="22" t="n">
        <v>245.817</v>
      </c>
      <c r="K141" s="22" t="n">
        <v>249</v>
      </c>
      <c r="L141" s="22" t="n">
        <v>243</v>
      </c>
    </row>
    <row r="142">
      <c r="A142" s="20" t="inlineStr">
        <is>
          <t>자산복구부채</t>
        </is>
      </c>
      <c r="C142" s="22" t="n">
        <v>466</v>
      </c>
      <c r="D142" s="22" t="n">
        <v>471</v>
      </c>
      <c r="E142" s="22" t="n">
        <v>473</v>
      </c>
      <c r="F142" s="22" t="n">
        <v>478</v>
      </c>
      <c r="G142" s="22" t="n">
        <v>479</v>
      </c>
      <c r="H142" s="22" t="n">
        <v>356.333</v>
      </c>
      <c r="I142" s="22" t="n">
        <v>372.288</v>
      </c>
      <c r="J142" s="22" t="n">
        <v>409.76</v>
      </c>
      <c r="K142" s="22" t="n">
        <v>455</v>
      </c>
      <c r="L142" s="22" t="n">
        <v>471</v>
      </c>
    </row>
    <row r="143">
      <c r="A143" s="20" t="inlineStr">
        <is>
          <t>기타</t>
        </is>
      </c>
      <c r="C143" s="22" t="n">
        <v>5</v>
      </c>
      <c r="D143" s="22" t="n">
        <v>5</v>
      </c>
      <c r="E143" s="22" t="n">
        <v>5</v>
      </c>
      <c r="F143" s="22" t="n">
        <v>11</v>
      </c>
      <c r="G143" s="22" t="n">
        <v>11</v>
      </c>
      <c r="H143" s="22" t="n">
        <v>13.043</v>
      </c>
      <c r="I143" s="22" t="n">
        <v>13.043</v>
      </c>
      <c r="J143" s="22" t="n">
        <v>12.564</v>
      </c>
      <c r="K143" s="22" t="n">
        <v>5</v>
      </c>
      <c r="L143" s="22" t="n">
        <v>5</v>
      </c>
    </row>
    <row r="144">
      <c r="A144" s="9" t="inlineStr">
        <is>
          <t>비유동부채 합계</t>
        </is>
      </c>
      <c r="C144" s="12" t="n">
        <v>700</v>
      </c>
      <c r="D144" s="12" t="n">
        <v>720</v>
      </c>
      <c r="E144" s="12" t="n">
        <v>715</v>
      </c>
      <c r="F144" s="12" t="n">
        <v>807</v>
      </c>
      <c r="G144" s="12" t="n">
        <v>800</v>
      </c>
      <c r="H144" s="12" t="n">
        <v>1194.984</v>
      </c>
      <c r="I144" s="12" t="n">
        <v>756.622</v>
      </c>
      <c r="J144" s="12" t="n">
        <v>668.1420000000001</v>
      </c>
      <c r="K144" s="12" t="n">
        <v>710</v>
      </c>
      <c r="L144" s="12" t="n">
        <v>720</v>
      </c>
    </row>
    <row r="145">
      <c r="A145" s="9" t="inlineStr">
        <is>
          <t>부채 합계</t>
        </is>
      </c>
      <c r="C145" s="12" t="n">
        <v>4327</v>
      </c>
      <c r="D145" s="12" t="n">
        <v>4997</v>
      </c>
      <c r="E145" s="12" t="n">
        <v>4901</v>
      </c>
      <c r="F145" s="12" t="n">
        <v>5703</v>
      </c>
      <c r="G145" s="12" t="n">
        <v>5569</v>
      </c>
      <c r="H145" s="12" t="n">
        <v>8908.446</v>
      </c>
      <c r="I145" s="12" t="n">
        <v>3602.576</v>
      </c>
      <c r="J145" s="12" t="n">
        <v>4114.729</v>
      </c>
      <c r="K145" s="12" t="n">
        <v>4446</v>
      </c>
      <c r="L145" s="12" t="n">
        <v>4997</v>
      </c>
    </row>
    <row r="146">
      <c r="A146" s="20" t="inlineStr">
        <is>
          <t>자본금</t>
        </is>
      </c>
      <c r="C146" s="22" t="n">
        <v>2210</v>
      </c>
      <c r="D146" s="22" t="n">
        <v>2210</v>
      </c>
      <c r="E146" s="22" t="n">
        <v>2210</v>
      </c>
      <c r="F146" s="22" t="n">
        <v>2210</v>
      </c>
      <c r="G146" s="22" t="n">
        <v>2210</v>
      </c>
      <c r="H146" s="22" t="n">
        <v>2210.667</v>
      </c>
      <c r="I146" s="22" t="n">
        <v>2210.667</v>
      </c>
      <c r="J146" s="22" t="n">
        <v>2210.667</v>
      </c>
      <c r="K146" s="22" t="n">
        <v>2210</v>
      </c>
      <c r="L146" s="22" t="n">
        <v>2210</v>
      </c>
    </row>
    <row r="147">
      <c r="A147" s="20" t="inlineStr">
        <is>
          <t>자본준비금</t>
        </is>
      </c>
      <c r="H147" s="22" t="n">
        <v>2120.664</v>
      </c>
      <c r="I147" s="22" t="n">
        <v>2120.664</v>
      </c>
    </row>
    <row r="148">
      <c r="A148" s="20" t="inlineStr">
        <is>
          <t>자본잉여금</t>
        </is>
      </c>
      <c r="C148" s="22" t="n">
        <v>2144</v>
      </c>
      <c r="D148" s="22" t="n">
        <v>2144</v>
      </c>
      <c r="E148" s="22" t="n">
        <v>2144</v>
      </c>
      <c r="F148" s="22" t="n">
        <v>2171</v>
      </c>
      <c r="G148" s="22" t="n">
        <v>2171</v>
      </c>
      <c r="H148" s="22" t="n">
        <v>2120.664</v>
      </c>
      <c r="I148" s="22" t="n">
        <v>2120.664</v>
      </c>
      <c r="J148" s="22" t="n">
        <v>2122.38</v>
      </c>
      <c r="K148" s="22" t="n">
        <v>2132</v>
      </c>
      <c r="L148" s="22" t="n">
        <v>2144</v>
      </c>
    </row>
    <row r="149">
      <c r="A149" s="20" t="inlineStr">
        <is>
          <t>이익준비금</t>
        </is>
      </c>
      <c r="H149" s="22" t="n">
        <v>58.887</v>
      </c>
      <c r="I149" s="22" t="n">
        <v>58.887</v>
      </c>
    </row>
    <row r="150">
      <c r="A150" s="20" t="inlineStr">
        <is>
          <t>고정자산 압축적립금</t>
        </is>
      </c>
      <c r="H150" s="22" t="n">
        <v>8.082000000000001</v>
      </c>
      <c r="I150" s="22" t="n">
        <v>7.174</v>
      </c>
    </row>
    <row r="151">
      <c r="A151" s="20" t="inlineStr">
        <is>
          <t>별도적립금</t>
        </is>
      </c>
      <c r="H151" s="22" t="n">
        <v>1000</v>
      </c>
      <c r="I151" s="22" t="n">
        <v>1000</v>
      </c>
    </row>
    <row r="152">
      <c r="A152" s="20" t="inlineStr">
        <is>
          <t>이월이익잉여금</t>
        </is>
      </c>
      <c r="H152" s="22" t="n">
        <v>12459.742</v>
      </c>
      <c r="I152" s="22" t="n">
        <v>12878.089</v>
      </c>
    </row>
    <row r="153">
      <c r="A153" s="20" t="inlineStr">
        <is>
          <t>이익잉여금</t>
        </is>
      </c>
      <c r="C153" s="22" t="n">
        <v>17109</v>
      </c>
      <c r="D153" s="22" t="n">
        <v>17669</v>
      </c>
      <c r="E153" s="22" t="n">
        <v>18139</v>
      </c>
      <c r="F153" s="22" t="n">
        <v>18735</v>
      </c>
      <c r="G153" s="22" t="n">
        <v>19196</v>
      </c>
      <c r="H153" s="22" t="n">
        <v>13526.712</v>
      </c>
      <c r="I153" s="22" t="n">
        <v>13944.151</v>
      </c>
      <c r="J153" s="22" t="n">
        <v>14683.031</v>
      </c>
      <c r="K153" s="22" t="n">
        <v>16071</v>
      </c>
      <c r="L153" s="22" t="n">
        <v>17669</v>
      </c>
    </row>
    <row r="154">
      <c r="A154" s="20" t="inlineStr">
        <is>
          <t>자기주식</t>
        </is>
      </c>
      <c r="C154" s="22" t="n">
        <v>-436</v>
      </c>
      <c r="D154" s="22" t="n">
        <v>-436</v>
      </c>
      <c r="E154" s="22" t="n">
        <v>-436</v>
      </c>
      <c r="F154" s="22" t="n">
        <v>-407</v>
      </c>
      <c r="G154" s="22" t="n">
        <v>-407</v>
      </c>
      <c r="H154" s="22" t="n">
        <v>-1.801</v>
      </c>
      <c r="I154" s="22" t="n">
        <v>-506.753</v>
      </c>
      <c r="J154" s="22" t="n">
        <v>-487.009</v>
      </c>
      <c r="K154" s="22" t="n">
        <v>-463</v>
      </c>
      <c r="L154" s="22" t="n">
        <v>-436</v>
      </c>
    </row>
    <row r="155">
      <c r="A155" s="9" t="inlineStr">
        <is>
          <t>주주자본 합계</t>
        </is>
      </c>
      <c r="C155" s="12" t="n">
        <v>21027</v>
      </c>
      <c r="D155" s="12" t="n">
        <v>21587</v>
      </c>
      <c r="E155" s="12" t="n">
        <v>22057</v>
      </c>
      <c r="F155" s="12" t="n">
        <v>22709</v>
      </c>
      <c r="G155" s="12" t="n">
        <v>23171</v>
      </c>
      <c r="H155" s="12" t="n">
        <v>17856.242</v>
      </c>
      <c r="I155" s="12" t="n">
        <v>17768.729</v>
      </c>
      <c r="J155" s="12" t="n">
        <v>18529.069</v>
      </c>
      <c r="K155" s="12" t="n">
        <v>19951</v>
      </c>
      <c r="L155" s="12" t="n">
        <v>21587</v>
      </c>
    </row>
    <row r="156">
      <c r="A156" s="20" t="inlineStr">
        <is>
          <t>기타유가증권 평가차액</t>
        </is>
      </c>
      <c r="C156" s="22" t="n">
        <v>53</v>
      </c>
      <c r="D156" s="22" t="n">
        <v>62</v>
      </c>
      <c r="E156" s="22" t="n">
        <v>82</v>
      </c>
      <c r="F156" s="22" t="n">
        <v>84</v>
      </c>
      <c r="G156" s="22" t="n">
        <v>102</v>
      </c>
      <c r="H156" s="22" t="n">
        <v>25.177</v>
      </c>
      <c r="I156" s="22" t="n">
        <v>21.66</v>
      </c>
      <c r="J156" s="22" t="n">
        <v>32.726</v>
      </c>
      <c r="K156" s="22" t="n">
        <v>46</v>
      </c>
      <c r="L156" s="22" t="n">
        <v>62</v>
      </c>
    </row>
    <row r="157">
      <c r="A157" s="20" t="inlineStr">
        <is>
          <t>기타포괄손익누계액 합계</t>
        </is>
      </c>
      <c r="C157" s="22" t="n">
        <v>53</v>
      </c>
      <c r="D157" s="22" t="n">
        <v>62</v>
      </c>
      <c r="E157" s="22" t="n">
        <v>82</v>
      </c>
      <c r="F157" s="22" t="n">
        <v>84</v>
      </c>
      <c r="G157" s="22" t="n">
        <v>102</v>
      </c>
      <c r="H157" s="22" t="n">
        <v>25.177</v>
      </c>
      <c r="I157" s="22" t="n">
        <v>21.66</v>
      </c>
      <c r="J157" s="22" t="n">
        <v>32.726</v>
      </c>
      <c r="K157" s="22" t="n">
        <v>46</v>
      </c>
      <c r="L157" s="22" t="n">
        <v>62</v>
      </c>
    </row>
    <row r="158">
      <c r="A158" s="20" t="inlineStr">
        <is>
          <t>신주예약권</t>
        </is>
      </c>
      <c r="C158" s="22" t="n">
        <v>67</v>
      </c>
      <c r="D158" s="22" t="n">
        <v>67</v>
      </c>
      <c r="E158" s="22" t="n">
        <v>67</v>
      </c>
      <c r="F158" s="22" t="n">
        <v>67</v>
      </c>
      <c r="G158" s="22" t="n">
        <v>67</v>
      </c>
      <c r="H158" s="22" t="n">
        <v>81.28100000000001</v>
      </c>
      <c r="I158" s="22" t="n">
        <v>84.834</v>
      </c>
      <c r="J158" s="22" t="n">
        <v>84.834</v>
      </c>
      <c r="K158" s="22" t="n">
        <v>77</v>
      </c>
      <c r="L158" s="22" t="n">
        <v>67</v>
      </c>
    </row>
    <row r="159">
      <c r="A159" s="9" t="inlineStr">
        <is>
          <t>순자산 합계</t>
        </is>
      </c>
      <c r="C159" s="12" t="n">
        <v>21148</v>
      </c>
      <c r="D159" s="12" t="n">
        <v>21717</v>
      </c>
      <c r="E159" s="12" t="n">
        <v>22207</v>
      </c>
      <c r="F159" s="12" t="n">
        <v>22861</v>
      </c>
      <c r="G159" s="12" t="n">
        <v>23341</v>
      </c>
      <c r="H159" s="12" t="n">
        <v>17962.7</v>
      </c>
      <c r="I159" s="12" t="n">
        <v>17875.224</v>
      </c>
      <c r="J159" s="12" t="n">
        <v>18646.629</v>
      </c>
      <c r="K159" s="12" t="n">
        <v>20074</v>
      </c>
      <c r="L159" s="12" t="n">
        <v>21717</v>
      </c>
    </row>
    <row r="160">
      <c r="A160" s="9" t="inlineStr">
        <is>
          <t>부채·순자산 합계</t>
        </is>
      </c>
      <c r="C160" s="12" t="n">
        <v>25475</v>
      </c>
      <c r="D160" s="12" t="n">
        <v>26715</v>
      </c>
      <c r="E160" s="12" t="n">
        <v>27108</v>
      </c>
      <c r="F160" s="12" t="n">
        <v>28565</v>
      </c>
      <c r="G160" s="12" t="n">
        <v>28910</v>
      </c>
      <c r="H160" s="12" t="n">
        <v>26871.147</v>
      </c>
      <c r="I160" s="12" t="n">
        <v>21477.8</v>
      </c>
      <c r="J160" s="12" t="n">
        <v>22761.359</v>
      </c>
      <c r="K160" s="12" t="n">
        <v>24520</v>
      </c>
      <c r="L160" s="12" t="n">
        <v>26715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44" customWidth="1" min="3" max="3"/>
  </cols>
  <sheetData>
    <row r="1">
      <c r="A1" s="52" t="inlineStr">
        <is>
          <t>브롱코빌리 섹터·사업 데이터</t>
        </is>
      </c>
    </row>
    <row r="2">
      <c r="A2" s="53" t="inlineStr">
        <is>
          <t>2단계 보고서를 만들 때 모은 자료 · 월차 · 출처는 맨 오른쪽</t>
        </is>
      </c>
    </row>
    <row r="4">
      <c r="A4" s="54" t="inlineStr">
        <is>
          <t>ttm 순이익</t>
        </is>
      </c>
      <c r="B4" s="54" t="n"/>
      <c r="C4" s="54" t="n"/>
    </row>
    <row r="5">
      <c r="A5" s="55" t="inlineStr">
        <is>
          <t>항목</t>
        </is>
      </c>
      <c r="B5" s="55" t="inlineStr">
        <is>
          <t>값</t>
        </is>
      </c>
      <c r="C5" s="55" t="inlineStr">
        <is>
          <t>출처</t>
        </is>
      </c>
    </row>
    <row r="6">
      <c r="A6" s="56" t="inlineStr">
        <is>
          <t>2023-Q4</t>
        </is>
      </c>
      <c r="B6" s="57" t="n">
        <v>10.03</v>
      </c>
      <c r="C6" s="58" t="inlineStr">
        <is>
          <t>2단계 보고서 자료(회사 설명회 자료·공시)</t>
        </is>
      </c>
    </row>
    <row r="7">
      <c r="A7" s="56" t="inlineStr">
        <is>
          <t>2024-Q1</t>
        </is>
      </c>
      <c r="B7" s="57" t="n">
        <v>13.42</v>
      </c>
    </row>
    <row r="8">
      <c r="A8" s="56" t="inlineStr">
        <is>
          <t>2024-Q2</t>
        </is>
      </c>
      <c r="B8" s="57" t="n">
        <v>14.92</v>
      </c>
    </row>
    <row r="9">
      <c r="A9" s="56" t="inlineStr">
        <is>
          <t>2024-Q3</t>
        </is>
      </c>
      <c r="B9" s="57" t="n">
        <v>16.35</v>
      </c>
    </row>
    <row r="10">
      <c r="A10" s="56" t="inlineStr">
        <is>
          <t>2024-Q4</t>
        </is>
      </c>
      <c r="B10" s="57" t="n">
        <v>17.15</v>
      </c>
    </row>
    <row r="11">
      <c r="A11" s="56" t="inlineStr">
        <is>
          <t>2025-Q1</t>
        </is>
      </c>
      <c r="B11" s="57" t="n">
        <v>15.61</v>
      </c>
    </row>
    <row r="12">
      <c r="A12" s="56" t="inlineStr">
        <is>
          <t>2025-Q2</t>
        </is>
      </c>
      <c r="B12" s="57" t="n">
        <v>17.33</v>
      </c>
    </row>
    <row r="13">
      <c r="A13" s="56" t="inlineStr">
        <is>
          <t>2025-Q3</t>
        </is>
      </c>
      <c r="B13" s="57" t="n">
        <v>17.65</v>
      </c>
    </row>
    <row r="14">
      <c r="A14" s="56" t="inlineStr">
        <is>
          <t>2025-Q4</t>
        </is>
      </c>
      <c r="B14" s="57" t="n">
        <v>19.69</v>
      </c>
    </row>
    <row r="15">
      <c r="A15" s="56" t="inlineStr">
        <is>
          <t>2026-Q1</t>
        </is>
      </c>
      <c r="B15" s="57" t="n">
        <v>22.89</v>
      </c>
    </row>
    <row r="16">
      <c r="A16" s="56" t="inlineStr">
        <is>
          <t>2026-Q2</t>
        </is>
      </c>
      <c r="B16" s="57" t="n">
        <v>24.17</v>
      </c>
    </row>
    <row r="17">
      <c r="A17" s="56" t="inlineStr">
        <is>
          <t>2026-Q3</t>
        </is>
      </c>
      <c r="B17" s="57" t="n">
        <v>25.99</v>
      </c>
    </row>
    <row r="19">
      <c r="A19" s="54" t="inlineStr">
        <is>
          <t>EPS ttm</t>
        </is>
      </c>
      <c r="B19" s="54" t="n"/>
      <c r="C19" s="54" t="n"/>
    </row>
    <row r="20">
      <c r="A20" s="55" t="inlineStr">
        <is>
          <t>항목</t>
        </is>
      </c>
      <c r="B20" s="55" t="inlineStr">
        <is>
          <t>값</t>
        </is>
      </c>
      <c r="C20" s="55" t="inlineStr">
        <is>
          <t>출처</t>
        </is>
      </c>
    </row>
    <row r="21">
      <c r="A21" s="56" t="inlineStr">
        <is>
          <t>2023-Q4</t>
        </is>
      </c>
      <c r="B21" s="57" t="n">
        <v>33.67</v>
      </c>
      <c r="C21" s="58" t="inlineStr">
        <is>
          <t>2단계 보고서 자료(회사 설명회 자료·공시)</t>
        </is>
      </c>
    </row>
    <row r="22">
      <c r="A22" s="56" t="inlineStr">
        <is>
          <t>2024-Q1</t>
        </is>
      </c>
      <c r="B22" s="57" t="n">
        <v>45.05</v>
      </c>
    </row>
    <row r="23">
      <c r="A23" s="56" t="inlineStr">
        <is>
          <t>2024-Q2</t>
        </is>
      </c>
      <c r="B23" s="57" t="n">
        <v>50.09</v>
      </c>
    </row>
    <row r="24">
      <c r="A24" s="56" t="inlineStr">
        <is>
          <t>2024-Q3</t>
        </is>
      </c>
      <c r="B24" s="57" t="n">
        <v>54.89</v>
      </c>
    </row>
    <row r="25">
      <c r="A25" s="56" t="inlineStr">
        <is>
          <t>2024-Q4</t>
        </is>
      </c>
      <c r="B25" s="57" t="n">
        <v>57.57</v>
      </c>
    </row>
    <row r="26">
      <c r="A26" s="56" t="inlineStr">
        <is>
          <t>2025-Q1</t>
        </is>
      </c>
      <c r="B26" s="57" t="n">
        <v>52.4</v>
      </c>
    </row>
    <row r="27">
      <c r="A27" s="56" t="inlineStr">
        <is>
          <t>2025-Q2</t>
        </is>
      </c>
      <c r="B27" s="57" t="n">
        <v>58.18</v>
      </c>
    </row>
    <row r="28">
      <c r="A28" s="56" t="inlineStr">
        <is>
          <t>2025-Q3</t>
        </is>
      </c>
      <c r="B28" s="57" t="n">
        <v>59.25</v>
      </c>
    </row>
    <row r="29">
      <c r="A29" s="56" t="inlineStr">
        <is>
          <t>2025-Q4</t>
        </is>
      </c>
      <c r="B29" s="57" t="n">
        <v>66.09999999999999</v>
      </c>
    </row>
    <row r="30">
      <c r="A30" s="56" t="inlineStr">
        <is>
          <t>2026-Q1</t>
        </is>
      </c>
      <c r="B30" s="57" t="n">
        <v>76.84</v>
      </c>
    </row>
    <row r="31">
      <c r="A31" s="56" t="inlineStr">
        <is>
          <t>2026-Q2</t>
        </is>
      </c>
      <c r="B31" s="57" t="n">
        <v>81.14</v>
      </c>
    </row>
    <row r="32">
      <c r="A32" s="56" t="inlineStr">
        <is>
          <t>2026-Q3</t>
        </is>
      </c>
      <c r="B32" s="57" t="n">
        <v>87.25</v>
      </c>
    </row>
    <row r="34">
      <c r="A34" s="54" t="inlineStr">
        <is>
          <t>inc 이익률</t>
        </is>
      </c>
      <c r="B34" s="54" t="n"/>
      <c r="C34" s="54" t="n"/>
    </row>
    <row r="35">
      <c r="A35" s="55" t="inlineStr">
        <is>
          <t>항목</t>
        </is>
      </c>
      <c r="B35" s="55" t="inlineStr">
        <is>
          <t>값</t>
        </is>
      </c>
      <c r="C35" s="55" t="inlineStr">
        <is>
          <t>출처</t>
        </is>
      </c>
    </row>
    <row r="36">
      <c r="A36" s="56" t="inlineStr">
        <is>
          <t>2024-Q2</t>
        </is>
      </c>
      <c r="B36" s="57" t="n">
        <v>41.1</v>
      </c>
      <c r="C36" s="58" t="inlineStr">
        <is>
          <t>2단계 보고서 자료(회사 설명회 자료·공시)</t>
        </is>
      </c>
    </row>
    <row r="37">
      <c r="A37" s="56" t="inlineStr">
        <is>
          <t>2024-Q3</t>
        </is>
      </c>
      <c r="B37" s="57" t="n">
        <v>15.4</v>
      </c>
    </row>
    <row r="38">
      <c r="A38" s="56" t="inlineStr">
        <is>
          <t>2024-Q4</t>
        </is>
      </c>
      <c r="B38" s="57" t="n">
        <v>7.6</v>
      </c>
    </row>
    <row r="39">
      <c r="A39" s="56" t="inlineStr">
        <is>
          <t>2025-Q1</t>
        </is>
      </c>
      <c r="B39" s="57" t="n">
        <v>-32.4</v>
      </c>
    </row>
    <row r="40">
      <c r="A40" s="56" t="inlineStr">
        <is>
          <t>2025-Q2</t>
        </is>
      </c>
      <c r="B40" s="57" t="n">
        <v>21.6</v>
      </c>
    </row>
    <row r="41">
      <c r="A41" s="56" t="inlineStr">
        <is>
          <t>2025-Q3</t>
        </is>
      </c>
      <c r="B41" s="57" t="n">
        <v>6.5</v>
      </c>
    </row>
    <row r="42">
      <c r="A42" s="56" t="inlineStr">
        <is>
          <t>2025-Q4</t>
        </is>
      </c>
      <c r="B42" s="57" t="n">
        <v>32.8</v>
      </c>
    </row>
    <row r="43">
      <c r="A43" s="56" t="inlineStr">
        <is>
          <t>2026-Q1</t>
        </is>
      </c>
      <c r="B43" s="57" t="n">
        <v>52.1</v>
      </c>
    </row>
    <row r="44">
      <c r="A44" s="56" t="inlineStr">
        <is>
          <t>2026-Q2</t>
        </is>
      </c>
      <c r="B44" s="57" t="n">
        <v>22.2</v>
      </c>
    </row>
    <row r="45">
      <c r="A45" s="56" t="inlineStr">
        <is>
          <t>2026-Q3</t>
        </is>
      </c>
      <c r="B45" s="57" t="n">
        <v>29.2</v>
      </c>
    </row>
    <row r="47">
      <c r="A47" s="54" t="inlineStr">
        <is>
          <t>가이던스 fy26 · initial 0120</t>
        </is>
      </c>
      <c r="B47" s="54" t="n"/>
      <c r="C47" s="54" t="n"/>
    </row>
    <row r="48">
      <c r="A48" s="55" t="inlineStr">
        <is>
          <t>항목</t>
        </is>
      </c>
      <c r="B48" s="55" t="inlineStr">
        <is>
          <t>값</t>
        </is>
      </c>
      <c r="C48" s="55" t="inlineStr">
        <is>
          <t>출처</t>
        </is>
      </c>
    </row>
    <row r="49">
      <c r="A49" s="56" t="inlineStr">
        <is>
          <t>매출</t>
        </is>
      </c>
      <c r="B49" s="59" t="n">
        <v>330</v>
      </c>
      <c r="C49" s="58" t="inlineStr">
        <is>
          <t>2단계 보고서 자료(회사 설명회 자료·공시)</t>
        </is>
      </c>
    </row>
    <row r="50">
      <c r="A50" s="56" t="inlineStr">
        <is>
          <t>영업이익</t>
        </is>
      </c>
      <c r="B50" s="57" t="n">
        <v>30</v>
      </c>
    </row>
    <row r="51">
      <c r="A51" s="56" t="inlineStr">
        <is>
          <t>순이익</t>
        </is>
      </c>
      <c r="B51" s="57" t="n">
        <v>20</v>
      </c>
    </row>
    <row r="53">
      <c r="A53" s="54" t="inlineStr">
        <is>
          <t>가이던스 fy26 · 매출 0722</t>
        </is>
      </c>
      <c r="B53" s="54" t="n"/>
      <c r="C53" s="54" t="n"/>
    </row>
    <row r="54">
      <c r="A54" s="55" t="inlineStr">
        <is>
          <t>항목</t>
        </is>
      </c>
      <c r="B54" s="55" t="inlineStr">
        <is>
          <t>값</t>
        </is>
      </c>
      <c r="C54" s="55" t="inlineStr">
        <is>
          <t>출처</t>
        </is>
      </c>
    </row>
    <row r="55">
      <c r="A55" s="56" t="inlineStr">
        <is>
          <t>매출</t>
        </is>
      </c>
      <c r="B55" s="59" t="n">
        <v>340</v>
      </c>
      <c r="C55" s="58" t="inlineStr">
        <is>
          <t>2단계 보고서 자료(회사 설명회 자료·공시)</t>
        </is>
      </c>
    </row>
    <row r="56">
      <c r="A56" s="56" t="inlineStr">
        <is>
          <t>영업이익</t>
        </is>
      </c>
      <c r="B56" s="57" t="n">
        <v>39.7</v>
      </c>
    </row>
    <row r="57">
      <c r="A57" s="56" t="inlineStr">
        <is>
          <t>순이익</t>
        </is>
      </c>
      <c r="B57" s="57" t="n">
        <v>26</v>
      </c>
    </row>
    <row r="59">
      <c r="A59" s="54" t="inlineStr">
        <is>
          <t>sss 2026</t>
        </is>
      </c>
      <c r="B59" s="54" t="n"/>
      <c r="C59" s="54" t="n"/>
    </row>
    <row r="60">
      <c r="A60" s="55" t="inlineStr">
        <is>
          <t>항목</t>
        </is>
      </c>
      <c r="B60" s="55" t="inlineStr">
        <is>
          <t>값</t>
        </is>
      </c>
      <c r="C60" s="55" t="inlineStr">
        <is>
          <t>출처</t>
        </is>
      </c>
    </row>
    <row r="61">
      <c r="A61" s="56" t="inlineStr">
        <is>
          <t>1Q</t>
        </is>
      </c>
      <c r="B61" s="57" t="n">
        <v>106.7</v>
      </c>
      <c r="C61" s="58" t="inlineStr">
        <is>
          <t>2단계 보고서 자료(회사 설명회 자료·공시)</t>
        </is>
      </c>
    </row>
    <row r="62">
      <c r="A62" s="56" t="inlineStr">
        <is>
          <t>2Q</t>
        </is>
      </c>
      <c r="B62" s="57" t="n">
        <v>108.8</v>
      </c>
    </row>
    <row r="63">
      <c r="A63" s="56" t="inlineStr">
        <is>
          <t>3Q</t>
        </is>
      </c>
      <c r="B63" s="57" t="n">
        <v>107.9</v>
      </c>
    </row>
    <row r="64">
      <c r="A64" s="56" t="inlineStr">
        <is>
          <t>9M</t>
        </is>
      </c>
      <c r="B64" s="57" t="n">
        <v>107.8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60" t="inlineStr">
        <is>
          <t>공시일</t>
        </is>
      </c>
      <c r="B3" s="60" t="inlineStr">
        <is>
          <t>문서</t>
        </is>
      </c>
      <c r="C3" s="60" t="inlineStr">
        <is>
          <t>PDF</t>
        </is>
      </c>
    </row>
    <row r="4">
      <c r="A4" t="inlineStr">
        <is>
          <t>2026-10-22</t>
        </is>
      </c>
      <c r="B4" t="inlineStr">
        <is>
          <t>2026년 12월 결산기 ３분기 결산단신</t>
        </is>
      </c>
      <c r="C4" t="inlineStr">
        <is>
          <t>https://www2.jpx.co.jp/disc/30910/140120261017552553.pdf</t>
        </is>
      </c>
    </row>
    <row r="5">
      <c r="A5" t="inlineStr">
        <is>
          <t>2026-07-22</t>
        </is>
      </c>
      <c r="B5" t="inlineStr">
        <is>
          <t>2026년 12월 결산기 ２분기 결산단신</t>
        </is>
      </c>
      <c r="C5" t="inlineStr">
        <is>
          <t>https://www2.jpx.co.jp/disc/30910/140120260721596924.pdf</t>
        </is>
      </c>
    </row>
    <row r="6">
      <c r="A6" t="inlineStr">
        <is>
          <t>2026-04-21</t>
        </is>
      </c>
      <c r="B6" t="inlineStr">
        <is>
          <t>2026년 12월 결산기 1분기 결산단신</t>
        </is>
      </c>
      <c r="C6" t="inlineStr">
        <is>
          <t>https://www2.jpx.co.jp/disc/30910/140120260420506528.pdf</t>
        </is>
      </c>
    </row>
    <row r="7">
      <c r="A7" t="inlineStr">
        <is>
          <t>2026-01-20</t>
        </is>
      </c>
      <c r="B7" t="inlineStr">
        <is>
          <t>2025년 12월 결산기 연간 결산단신</t>
        </is>
      </c>
      <c r="C7" t="inlineStr">
        <is>
          <t>https://www2.jpx.co.jp/disc/30910/140120260119535431.pdf</t>
        </is>
      </c>
    </row>
    <row r="8">
      <c r="A8" t="inlineStr">
        <is>
          <t>2025-10-21</t>
        </is>
      </c>
      <c r="B8" t="inlineStr">
        <is>
          <t>2025년 12월 결산기 ３분기 결산단신</t>
        </is>
      </c>
      <c r="C8" t="inlineStr">
        <is>
          <t>https://www2.jpx.co.jp/disc/30910/140120251020575857.pdf</t>
        </is>
      </c>
    </row>
    <row r="9">
      <c r="A9" t="inlineStr">
        <is>
          <t>2025-07-23</t>
        </is>
      </c>
      <c r="B9" t="inlineStr">
        <is>
          <t>2025년 12월 결산기 ２분기 결산단신</t>
        </is>
      </c>
      <c r="C9" t="inlineStr">
        <is>
          <t>https://www2.jpx.co.jp/disc/30910/140120250721517424.pdf</t>
        </is>
      </c>
    </row>
    <row r="10">
      <c r="A10" t="inlineStr">
        <is>
          <t>2025-04-22</t>
        </is>
      </c>
      <c r="B10" t="inlineStr">
        <is>
          <t>2025년 12월 결산기 1분기 결산단신</t>
        </is>
      </c>
      <c r="C10" t="inlineStr">
        <is>
          <t>https://www2.jpx.co.jp/disc/30910/140120250417517452.pdf</t>
        </is>
      </c>
    </row>
    <row r="11">
      <c r="A11" t="inlineStr">
        <is>
          <t>2025-01-21</t>
        </is>
      </c>
      <c r="B11" t="inlineStr">
        <is>
          <t>2024년 12월 결산기 연간 결산단신</t>
        </is>
      </c>
      <c r="C11" t="inlineStr">
        <is>
          <t>https://www2.jpx.co.jp/disc/30910/140120250121553066.pdf</t>
        </is>
      </c>
    </row>
    <row r="12">
      <c r="A12" t="inlineStr">
        <is>
          <t>2024-10-18</t>
        </is>
      </c>
      <c r="B12" t="inlineStr">
        <is>
          <t>2024년 12월 결산기 ３분기 결산단신</t>
        </is>
      </c>
      <c r="C12" t="inlineStr">
        <is>
          <t>https://www2.jpx.co.jp/disc/30910/140120241009595794.pdf</t>
        </is>
      </c>
    </row>
    <row r="13">
      <c r="A13" t="inlineStr">
        <is>
          <t>2024-07-18</t>
        </is>
      </c>
      <c r="B13" t="inlineStr">
        <is>
          <t>2024년 12월 결산기 ２분기 결산단신</t>
        </is>
      </c>
      <c r="C13" t="inlineStr">
        <is>
          <t>https://www2.jpx.co.jp/disc/30910/140120240716549498.pdf</t>
        </is>
      </c>
    </row>
    <row r="14">
      <c r="A14" t="inlineStr">
        <is>
          <t>2024-04-18</t>
        </is>
      </c>
      <c r="B14" t="inlineStr">
        <is>
          <t>2024년 12월 결산기 １분기 결산단신</t>
        </is>
      </c>
      <c r="C14" t="inlineStr">
        <is>
          <t>https://www2.jpx.co.jp/disc/30910/140120240411569280.pdf</t>
        </is>
      </c>
    </row>
    <row r="15">
      <c r="A15" t="inlineStr">
        <is>
          <t>2024-01-18</t>
        </is>
      </c>
      <c r="B15" t="inlineStr">
        <is>
          <t>2023년 12월 결산기 연간 결산단신</t>
        </is>
      </c>
      <c r="C15" t="inlineStr">
        <is>
          <t>https://www2.jpx.co.jp/disc/30910/140120240114514848.pdf</t>
        </is>
      </c>
    </row>
    <row r="16">
      <c r="A16" t="inlineStr">
        <is>
          <t>2023-10-17</t>
        </is>
      </c>
      <c r="B16" t="inlineStr">
        <is>
          <t>2023년 12월 결산기 ３분기 결산단신</t>
        </is>
      </c>
      <c r="C16" t="inlineStr">
        <is>
          <t>https://www2.jpx.co.jp/disc/30910/140120231017567826.pdf</t>
        </is>
      </c>
    </row>
    <row r="17">
      <c r="A17" t="inlineStr">
        <is>
          <t>2023-07-18</t>
        </is>
      </c>
      <c r="B17" t="inlineStr">
        <is>
          <t>2023년 12월 결산기 ２분기 결산단신</t>
        </is>
      </c>
      <c r="C17" t="inlineStr">
        <is>
          <t>https://www2.jpx.co.jp/disc/30910/140120230710520080.pdf</t>
        </is>
      </c>
    </row>
    <row r="18">
      <c r="A18" t="inlineStr">
        <is>
          <t>2023-04-18</t>
        </is>
      </c>
      <c r="B18" t="inlineStr">
        <is>
          <t>2023년 12월 결산기 １분기 결산단신</t>
        </is>
      </c>
      <c r="C18" t="inlineStr">
        <is>
          <t>https://www2.jpx.co.jp/disc/30910/140120230330539360.pdf</t>
        </is>
      </c>
    </row>
    <row r="19">
      <c r="A19" t="inlineStr">
        <is>
          <t>2023-01-16</t>
        </is>
      </c>
      <c r="B19" t="inlineStr">
        <is>
          <t>2022년 12월 결산기 연간 결산단신</t>
        </is>
      </c>
      <c r="C19" t="inlineStr">
        <is>
          <t>https://www2.jpx.co.jp/disc/30910/140120230110587289.pdf</t>
        </is>
      </c>
    </row>
    <row r="20">
      <c r="A20" t="inlineStr">
        <is>
          <t>2022-01-14</t>
        </is>
      </c>
      <c r="B20" t="inlineStr">
        <is>
          <t>2021년 12월 결산기 연간 결산단신</t>
        </is>
      </c>
      <c r="C20" t="inlineStr">
        <is>
          <t>https://www2.jpx.co.jp/disc/30910/140120220112566268.pdf</t>
        </is>
      </c>
    </row>
    <row r="21">
      <c r="A21" t="inlineStr">
        <is>
          <t>2021-01-15</t>
        </is>
      </c>
      <c r="B21" t="inlineStr">
        <is>
          <t>2020년 12월 결산기 연간 결산단신</t>
        </is>
      </c>
      <c r="C21" t="inlineStr">
        <is>
          <t>https://www2.jpx.co.jp/disc/30910/140120210113443598.pdf</t>
        </is>
      </c>
    </row>
    <row r="22">
      <c r="A22" t="inlineStr">
        <is>
          <t>2020-01-15</t>
        </is>
      </c>
      <c r="B22" t="inlineStr">
        <is>
          <t>2019년 12월 결산기 연간 결산단신</t>
        </is>
      </c>
      <c r="C22" t="inlineStr">
        <is>
          <t>https://www2.jpx.co.jp/disc/30910/140120200113446086.pdf</t>
        </is>
      </c>
    </row>
    <row r="23">
      <c r="A23" t="inlineStr">
        <is>
          <t>2019-01-16</t>
        </is>
      </c>
      <c r="B23" t="inlineStr">
        <is>
          <t>연간 결산단신</t>
        </is>
      </c>
      <c r="C23" t="inlineStr">
        <is>
          <t>https://www2.jpx.co.jp/disc/30910/140120190112459489.pdf</t>
        </is>
      </c>
    </row>
    <row r="24">
      <c r="A24" t="inlineStr">
        <is>
          <t>2018-01-16</t>
        </is>
      </c>
      <c r="B24" t="inlineStr">
        <is>
          <t>연간 결산단신</t>
        </is>
      </c>
      <c r="C24" t="inlineStr">
        <is>
          <t>https://www2.jpx.co.jp/disc/30910/140120180112450115.pdf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2026-10-28T07:02:02Z</dcterms:created>
  <dcterms:modified xmlns:dcterms="http://purl.org/dc/terms/" xmlns:xsi="http://www.w3.org/2001/XMLSchema-instance" xsi:type="dcterms:W3CDTF">2026-10-28T07:02:03Z</dcterms:modified>
</cp:coreProperties>
</file>