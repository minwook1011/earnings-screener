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브롱코빌리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5852.121</v>
      </c>
      <c r="D4" s="12" t="n">
        <v>6527</v>
      </c>
      <c r="E4" s="12" t="n">
        <v>6157</v>
      </c>
      <c r="F4" s="12" t="n">
        <v>7268</v>
      </c>
      <c r="G4" s="12" t="n">
        <v>6665</v>
      </c>
      <c r="H4" s="12" t="n">
        <v>7284</v>
      </c>
      <c r="I4" s="12" t="n">
        <v>7306</v>
      </c>
      <c r="J4" s="12" t="n">
        <v>7879</v>
      </c>
      <c r="K4" s="12" t="n">
        <v>7750</v>
      </c>
      <c r="L4" s="12" t="n">
        <v>8241</v>
      </c>
      <c r="M4" s="12" t="n">
        <v>8233</v>
      </c>
      <c r="N4" s="12" t="n">
        <v>8877</v>
      </c>
      <c r="O4" s="11" t="n">
        <v>18010.709</v>
      </c>
      <c r="P4" s="12" t="n">
        <v>19765.31</v>
      </c>
      <c r="Q4" s="12" t="n">
        <v>22432.139</v>
      </c>
      <c r="R4" s="12" t="n">
        <v>22324.319</v>
      </c>
      <c r="S4" s="12" t="n">
        <v>17272.89</v>
      </c>
      <c r="T4" s="12" t="n">
        <v>15773.728</v>
      </c>
      <c r="U4" s="12" t="n">
        <v>19508.034</v>
      </c>
      <c r="V4" s="12" t="n">
        <v>23377.65</v>
      </c>
      <c r="W4" s="12" t="n">
        <v>26617</v>
      </c>
      <c r="X4" s="12" t="n">
        <v>30219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1951.839</v>
      </c>
      <c r="D11" s="22" t="n">
        <v>2141</v>
      </c>
      <c r="E11" s="22" t="n">
        <v>2031</v>
      </c>
      <c r="F11" s="22" t="n">
        <v>2334</v>
      </c>
      <c r="G11" s="22" t="n">
        <v>2109</v>
      </c>
      <c r="H11" s="22" t="n">
        <v>2496</v>
      </c>
      <c r="I11" s="22" t="n">
        <v>2395</v>
      </c>
      <c r="J11" s="22" t="n">
        <v>2552</v>
      </c>
      <c r="K11" s="22" t="n">
        <v>2471</v>
      </c>
      <c r="L11" s="22" t="n">
        <v>2666</v>
      </c>
      <c r="M11" s="22" t="n">
        <v>2572</v>
      </c>
      <c r="N11" s="22" t="n">
        <v>2936</v>
      </c>
      <c r="O11" s="21" t="n">
        <v>4858.505</v>
      </c>
      <c r="P11" s="22" t="n">
        <v>5429.467</v>
      </c>
      <c r="Q11" s="22" t="n">
        <v>6124.399</v>
      </c>
      <c r="R11" s="22" t="n">
        <v>6104.751</v>
      </c>
      <c r="S11" s="22" t="n">
        <v>4783.629</v>
      </c>
      <c r="T11" s="22" t="n">
        <v>4795.229</v>
      </c>
      <c r="U11" s="22" t="n">
        <v>6374.998</v>
      </c>
      <c r="V11" s="22" t="n">
        <v>8069.825</v>
      </c>
      <c r="W11" s="22" t="n">
        <v>8615</v>
      </c>
      <c r="X11" s="22" t="n">
        <v>9914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3446.758</v>
      </c>
      <c r="D15" s="22" t="n">
        <v>3607</v>
      </c>
      <c r="E15" s="22" t="n">
        <v>3683</v>
      </c>
      <c r="F15" s="22" t="n">
        <v>4141</v>
      </c>
      <c r="G15" s="22" t="n">
        <v>4039</v>
      </c>
      <c r="H15" s="22" t="n">
        <v>4255</v>
      </c>
      <c r="I15" s="22" t="n">
        <v>4219</v>
      </c>
      <c r="J15" s="22" t="n">
        <v>4493</v>
      </c>
      <c r="K15" s="22" t="n">
        <v>4407</v>
      </c>
      <c r="L15" s="22" t="n">
        <v>4544</v>
      </c>
      <c r="M15" s="22" t="n">
        <v>4763</v>
      </c>
      <c r="N15" s="22" t="n">
        <v>4815</v>
      </c>
      <c r="O15" s="21" t="n">
        <v>10397.349</v>
      </c>
      <c r="P15" s="22" t="n">
        <v>11889.524</v>
      </c>
      <c r="Q15" s="22" t="n">
        <v>13710.602</v>
      </c>
      <c r="R15" s="22" t="n">
        <v>13824.421</v>
      </c>
      <c r="S15" s="22" t="n">
        <v>12326.986</v>
      </c>
      <c r="T15" s="22" t="n">
        <v>11026.879</v>
      </c>
      <c r="U15" s="22" t="n">
        <v>12386.796</v>
      </c>
      <c r="V15" s="22" t="n">
        <v>13663.56</v>
      </c>
      <c r="W15" s="22" t="n">
        <v>15470</v>
      </c>
      <c r="X15" s="22" t="n">
        <v>17374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453.524</v>
      </c>
      <c r="D16" s="12" t="n">
        <v>777</v>
      </c>
      <c r="E16" s="12" t="n">
        <v>444</v>
      </c>
      <c r="F16" s="12" t="n">
        <v>794</v>
      </c>
      <c r="G16" s="12" t="n">
        <v>516</v>
      </c>
      <c r="H16" s="12" t="n">
        <v>532</v>
      </c>
      <c r="I16" s="12" t="n">
        <v>692</v>
      </c>
      <c r="J16" s="12" t="n">
        <v>834</v>
      </c>
      <c r="K16" s="12" t="n">
        <v>872</v>
      </c>
      <c r="L16" s="12" t="n">
        <v>1031</v>
      </c>
      <c r="M16" s="12" t="n">
        <v>898</v>
      </c>
      <c r="N16" s="12" t="n">
        <v>1125</v>
      </c>
      <c r="O16" s="11" t="n">
        <v>2754.854</v>
      </c>
      <c r="P16" s="12" t="n">
        <v>2446.318</v>
      </c>
      <c r="Q16" s="12" t="n">
        <v>2597.137</v>
      </c>
      <c r="R16" s="12" t="n">
        <v>2395.147</v>
      </c>
      <c r="S16" s="12" t="n">
        <v>162.274</v>
      </c>
      <c r="T16" s="12" t="n">
        <v>-48.379</v>
      </c>
      <c r="U16" s="12" t="n">
        <v>746.239</v>
      </c>
      <c r="V16" s="12" t="n">
        <v>1644.264</v>
      </c>
      <c r="W16" s="12" t="n">
        <v>2531</v>
      </c>
      <c r="X16" s="12" t="n">
        <v>2930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>
        <v>0</v>
      </c>
      <c r="K32" s="22" t="n">
        <v>0</v>
      </c>
      <c r="L32" s="22" t="n"/>
      <c r="M32" s="22" t="n"/>
      <c r="N32" s="22" t="n">
        <v>0</v>
      </c>
      <c r="O32" s="21" t="n"/>
      <c r="P32" s="22" t="n"/>
      <c r="Q32" s="22" t="n">
        <v>0</v>
      </c>
      <c r="R32" s="22" t="n">
        <v>0.274</v>
      </c>
      <c r="S32" s="22" t="n">
        <v>117.246</v>
      </c>
      <c r="T32" s="22" t="n">
        <v>21.927</v>
      </c>
      <c r="U32" s="22" t="n">
        <v>90.479</v>
      </c>
      <c r="V32" s="22" t="n">
        <v>0.185</v>
      </c>
      <c r="W32" s="22" t="n">
        <v>1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202.068</v>
      </c>
      <c r="D34" s="22" t="n">
        <v>0</v>
      </c>
      <c r="E34" s="22" t="n">
        <v>1</v>
      </c>
      <c r="F34" s="22" t="n">
        <v>0</v>
      </c>
      <c r="G34" s="22" t="n">
        <v>185</v>
      </c>
      <c r="H34" s="22" t="n">
        <v>0</v>
      </c>
      <c r="I34" s="22" t="n">
        <v>0</v>
      </c>
      <c r="J34" s="22" t="n">
        <v>14</v>
      </c>
      <c r="K34" s="22" t="n">
        <v>250</v>
      </c>
      <c r="L34" s="22" t="n">
        <v>1</v>
      </c>
      <c r="M34" s="22" t="n">
        <v>1</v>
      </c>
      <c r="N34" s="22" t="n">
        <v>1</v>
      </c>
      <c r="O34" s="21" t="n">
        <v>31.974</v>
      </c>
      <c r="P34" s="22" t="n">
        <v>32.926</v>
      </c>
      <c r="Q34" s="22" t="n">
        <v>90.401</v>
      </c>
      <c r="R34" s="22" t="n">
        <v>133.081</v>
      </c>
      <c r="S34" s="22" t="n">
        <v>781.631</v>
      </c>
      <c r="T34" s="22" t="n">
        <v>145.856</v>
      </c>
      <c r="U34" s="22" t="n">
        <v>76.72199999999999</v>
      </c>
      <c r="V34" s="22" t="n">
        <v>259.456</v>
      </c>
      <c r="W34" s="22" t="n">
        <v>186</v>
      </c>
      <c r="X34" s="22" t="n">
        <v>264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32.565</v>
      </c>
      <c r="D36" s="22" t="n">
        <v>24</v>
      </c>
      <c r="E36" s="22" t="n">
        <v>20</v>
      </c>
      <c r="F36" s="22" t="n">
        <v>26</v>
      </c>
      <c r="G36" s="22" t="n">
        <v>33</v>
      </c>
      <c r="H36" s="22" t="n">
        <v>28</v>
      </c>
      <c r="I36" s="22" t="n">
        <v>19</v>
      </c>
      <c r="J36" s="22" t="n">
        <v>48</v>
      </c>
      <c r="K36" s="22" t="n">
        <v>33</v>
      </c>
      <c r="L36" s="22" t="n">
        <v>15</v>
      </c>
      <c r="M36" s="22" t="n">
        <v>14</v>
      </c>
      <c r="N36" s="22" t="n">
        <v>17</v>
      </c>
      <c r="O36" s="21" t="n">
        <v>83.194</v>
      </c>
      <c r="P36" s="22" t="n">
        <v>114.135</v>
      </c>
      <c r="Q36" s="22" t="n">
        <v>117.933</v>
      </c>
      <c r="R36" s="22" t="n">
        <v>102.065</v>
      </c>
      <c r="S36" s="22" t="n">
        <v>123.257</v>
      </c>
      <c r="T36" s="22" t="n">
        <v>1637.555</v>
      </c>
      <c r="U36" s="22" t="n">
        <v>320.342</v>
      </c>
      <c r="V36" s="22" t="n">
        <v>99.518</v>
      </c>
      <c r="W36" s="22" t="n">
        <v>103</v>
      </c>
      <c r="X36" s="22" t="n">
        <v>128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8.082000000000001</v>
      </c>
      <c r="D38" s="22" t="n">
        <v>9</v>
      </c>
      <c r="E38" s="22" t="n">
        <v>7</v>
      </c>
      <c r="F38" s="22" t="n">
        <v>11</v>
      </c>
      <c r="G38" s="22" t="n">
        <v>7</v>
      </c>
      <c r="H38" s="22" t="n">
        <v>7</v>
      </c>
      <c r="I38" s="22" t="n">
        <v>7</v>
      </c>
      <c r="J38" s="22" t="n">
        <v>7</v>
      </c>
      <c r="K38" s="22" t="n">
        <v>12</v>
      </c>
      <c r="L38" s="22" t="n">
        <v>9</v>
      </c>
      <c r="M38" s="22" t="n">
        <v>7</v>
      </c>
      <c r="N38" s="22" t="n">
        <v>10</v>
      </c>
      <c r="O38" s="21" t="n">
        <v>30.643</v>
      </c>
      <c r="P38" s="22" t="n">
        <v>43.53</v>
      </c>
      <c r="Q38" s="22" t="n">
        <v>45.642</v>
      </c>
      <c r="R38" s="22" t="n">
        <v>38.521</v>
      </c>
      <c r="S38" s="22" t="n">
        <v>34.808</v>
      </c>
      <c r="T38" s="22" t="n">
        <v>40.111</v>
      </c>
      <c r="U38" s="22" t="n">
        <v>46.3</v>
      </c>
      <c r="V38" s="22" t="n">
        <v>34.987</v>
      </c>
      <c r="W38" s="22" t="n">
        <v>34</v>
      </c>
      <c r="X38" s="22" t="n">
        <v>33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276.125</v>
      </c>
      <c r="D40" s="12" t="n">
        <v>793</v>
      </c>
      <c r="E40" s="12" t="n">
        <v>454</v>
      </c>
      <c r="F40" s="12" t="n">
        <v>810</v>
      </c>
      <c r="G40" s="12" t="n">
        <v>358</v>
      </c>
      <c r="H40" s="12" t="n">
        <v>552</v>
      </c>
      <c r="I40" s="12" t="n">
        <v>705</v>
      </c>
      <c r="J40" s="12" t="n">
        <v>860</v>
      </c>
      <c r="K40" s="12" t="n">
        <v>643</v>
      </c>
      <c r="L40" s="12" t="n">
        <v>1035</v>
      </c>
      <c r="M40" s="12" t="n">
        <v>904</v>
      </c>
      <c r="N40" s="12" t="n">
        <v>1131</v>
      </c>
      <c r="O40" s="11" t="n">
        <v>2775.43</v>
      </c>
      <c r="P40" s="12" t="n">
        <v>2483.996</v>
      </c>
      <c r="Q40" s="12" t="n">
        <v>2579.027</v>
      </c>
      <c r="R40" s="12" t="n">
        <v>2325.883</v>
      </c>
      <c r="S40" s="12" t="n">
        <v>-413.66</v>
      </c>
      <c r="T40" s="12" t="n">
        <v>1425.136</v>
      </c>
      <c r="U40" s="12" t="n">
        <v>1034.038</v>
      </c>
      <c r="V40" s="12" t="n">
        <v>1449.523</v>
      </c>
      <c r="W40" s="12" t="n">
        <v>2415</v>
      </c>
      <c r="X40" s="12" t="n">
        <v>2760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10.865</v>
      </c>
      <c r="D41" s="22" t="n">
        <v>265</v>
      </c>
      <c r="E41" s="22" t="n">
        <v>158</v>
      </c>
      <c r="F41" s="22" t="n">
        <v>264</v>
      </c>
      <c r="G41" s="22" t="n">
        <v>12</v>
      </c>
      <c r="H41" s="22" t="n">
        <v>179</v>
      </c>
      <c r="I41" s="22" t="n">
        <v>237</v>
      </c>
      <c r="J41" s="22" t="n">
        <v>282</v>
      </c>
      <c r="K41" s="22" t="n">
        <v>93</v>
      </c>
      <c r="L41" s="22" t="n">
        <v>341</v>
      </c>
      <c r="M41" s="22" t="n">
        <v>308</v>
      </c>
      <c r="N41" s="22" t="n">
        <v>372</v>
      </c>
      <c r="O41" s="21" t="n">
        <v>891.448</v>
      </c>
      <c r="P41" s="22" t="n">
        <v>739.247</v>
      </c>
      <c r="Q41" s="22" t="n">
        <v>791.78</v>
      </c>
      <c r="R41" s="22" t="n">
        <v>781.245</v>
      </c>
      <c r="S41" s="22" t="n">
        <v>174.482</v>
      </c>
      <c r="T41" s="22" t="n">
        <v>469.944</v>
      </c>
      <c r="U41" s="22" t="n">
        <v>346.9</v>
      </c>
      <c r="V41" s="22" t="n">
        <v>446.343</v>
      </c>
      <c r="W41" s="22" t="n">
        <v>699</v>
      </c>
      <c r="X41" s="22" t="n">
        <v>791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265.259</v>
      </c>
      <c r="D43" s="12" t="n">
        <v>527</v>
      </c>
      <c r="E43" s="12" t="n">
        <v>296</v>
      </c>
      <c r="F43" s="12" t="n">
        <v>546</v>
      </c>
      <c r="G43" s="12" t="n">
        <v>346</v>
      </c>
      <c r="H43" s="12" t="n">
        <v>373</v>
      </c>
      <c r="I43" s="12" t="n">
        <v>468</v>
      </c>
      <c r="J43" s="12" t="n">
        <v>578</v>
      </c>
      <c r="K43" s="12" t="n">
        <v>550</v>
      </c>
      <c r="L43" s="12" t="n">
        <v>693</v>
      </c>
      <c r="M43" s="12" t="n">
        <v>596</v>
      </c>
      <c r="N43" s="12" t="n">
        <v>760</v>
      </c>
      <c r="O43" s="11" t="n">
        <v>1883.982</v>
      </c>
      <c r="P43" s="12" t="n">
        <v>1744.749</v>
      </c>
      <c r="Q43" s="12" t="n">
        <v>1787.246</v>
      </c>
      <c r="R43" s="12" t="n">
        <v>1544.637</v>
      </c>
      <c r="S43" s="12" t="n">
        <v>-588.143</v>
      </c>
      <c r="T43" s="12" t="n">
        <v>955.192</v>
      </c>
      <c r="U43" s="12" t="n">
        <v>687.138</v>
      </c>
      <c r="V43" s="12" t="n">
        <v>1003.179</v>
      </c>
      <c r="W43" s="12" t="n">
        <v>1715</v>
      </c>
      <c r="X43" s="12" t="n">
        <v>1969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265.259</v>
      </c>
      <c r="D44" s="12" t="n">
        <v>527</v>
      </c>
      <c r="E44" s="12" t="n">
        <v>296</v>
      </c>
      <c r="F44" s="12" t="n">
        <v>546</v>
      </c>
      <c r="G44" s="12" t="n">
        <v>346</v>
      </c>
      <c r="H44" s="12" t="n">
        <v>373</v>
      </c>
      <c r="I44" s="12" t="n">
        <v>468</v>
      </c>
      <c r="J44" s="12" t="n">
        <v>578</v>
      </c>
      <c r="K44" s="12" t="n">
        <v>550</v>
      </c>
      <c r="L44" s="12" t="n">
        <v>693</v>
      </c>
      <c r="M44" s="12" t="n">
        <v>596</v>
      </c>
      <c r="N44" s="12" t="n">
        <v>760</v>
      </c>
      <c r="O44" s="11" t="n"/>
      <c r="P44" s="12" t="n"/>
      <c r="Q44" s="12" t="n"/>
      <c r="R44" s="12" t="n"/>
      <c r="S44" s="12" t="n"/>
      <c r="T44" s="12" t="n"/>
      <c r="U44" s="12" t="n"/>
      <c r="V44" s="12" t="n">
        <v>1003.179</v>
      </c>
      <c r="W44" s="12" t="n">
        <v>1715</v>
      </c>
      <c r="X44" s="12" t="n">
        <v>1969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3160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30158000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5852.121</v>
      </c>
      <c r="D78" s="12" t="n">
        <v>6527</v>
      </c>
      <c r="E78" s="12" t="n">
        <v>6157</v>
      </c>
      <c r="F78" s="12" t="n">
        <v>7268</v>
      </c>
      <c r="G78" s="12" t="n">
        <v>6665</v>
      </c>
      <c r="H78" s="12" t="n">
        <v>7284</v>
      </c>
      <c r="I78" s="12" t="n">
        <v>7306</v>
      </c>
      <c r="J78" s="12" t="n">
        <v>7879</v>
      </c>
      <c r="K78" s="12" t="n">
        <v>7750</v>
      </c>
      <c r="L78" s="12" t="n">
        <v>8241</v>
      </c>
      <c r="M78" s="12" t="n">
        <v>8233</v>
      </c>
      <c r="N78" s="12" t="n">
        <v>8877</v>
      </c>
      <c r="V78" s="12" t="n">
        <v>5852.121</v>
      </c>
      <c r="W78" s="12" t="n">
        <v>6665</v>
      </c>
      <c r="X78" s="12" t="n">
        <v>7750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1951.839</v>
      </c>
      <c r="D80" s="22" t="n">
        <v>2141</v>
      </c>
      <c r="E80" s="22" t="n">
        <v>2031</v>
      </c>
      <c r="F80" s="22" t="n">
        <v>2334</v>
      </c>
      <c r="G80" s="22" t="n">
        <v>2109</v>
      </c>
      <c r="H80" s="22" t="n">
        <v>2496</v>
      </c>
      <c r="I80" s="22" t="n">
        <v>2395</v>
      </c>
      <c r="J80" s="22" t="n">
        <v>2552</v>
      </c>
      <c r="K80" s="22" t="n">
        <v>2471</v>
      </c>
      <c r="L80" s="22" t="n">
        <v>2666</v>
      </c>
      <c r="M80" s="22" t="n">
        <v>2572</v>
      </c>
      <c r="N80" s="22" t="n">
        <v>2936</v>
      </c>
      <c r="V80" s="22" t="n">
        <v>1951.839</v>
      </c>
      <c r="W80" s="22" t="n">
        <v>2109</v>
      </c>
      <c r="X80" s="22" t="n">
        <v>2471</v>
      </c>
    </row>
    <row r="81">
      <c r="A81" s="9" t="inlineStr">
        <is>
          <t>매출총이익</t>
        </is>
      </c>
      <c r="C81" s="12" t="n">
        <v>3900.283</v>
      </c>
      <c r="D81" s="12" t="n">
        <v>4385</v>
      </c>
      <c r="E81" s="12" t="n">
        <v>4127</v>
      </c>
      <c r="F81" s="12" t="n">
        <v>4934</v>
      </c>
      <c r="G81" s="12" t="n">
        <v>4555</v>
      </c>
      <c r="H81" s="12" t="n">
        <v>4788</v>
      </c>
      <c r="I81" s="12" t="n">
        <v>4911</v>
      </c>
      <c r="J81" s="12" t="n">
        <v>5327</v>
      </c>
      <c r="K81" s="12" t="n">
        <v>5278</v>
      </c>
      <c r="L81" s="12" t="n">
        <v>5575</v>
      </c>
      <c r="M81" s="12" t="n">
        <v>5661</v>
      </c>
      <c r="N81" s="12" t="n">
        <v>5940</v>
      </c>
      <c r="V81" s="12" t="n">
        <v>3900.283</v>
      </c>
      <c r="W81" s="12" t="n">
        <v>4555</v>
      </c>
      <c r="X81" s="12" t="n">
        <v>5278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3446.758</v>
      </c>
      <c r="D83" s="22" t="n">
        <v>3607</v>
      </c>
      <c r="E83" s="22" t="n">
        <v>3683</v>
      </c>
      <c r="F83" s="22" t="n">
        <v>4141</v>
      </c>
      <c r="G83" s="22" t="n">
        <v>4039</v>
      </c>
      <c r="H83" s="22" t="n">
        <v>4255</v>
      </c>
      <c r="I83" s="22" t="n">
        <v>4219</v>
      </c>
      <c r="J83" s="22" t="n">
        <v>4493</v>
      </c>
      <c r="K83" s="22" t="n">
        <v>4407</v>
      </c>
      <c r="L83" s="22" t="n">
        <v>4544</v>
      </c>
      <c r="M83" s="22" t="n">
        <v>4763</v>
      </c>
      <c r="N83" s="22" t="n">
        <v>4815</v>
      </c>
      <c r="V83" s="22" t="n">
        <v>3446.758</v>
      </c>
      <c r="W83" s="22" t="n">
        <v>4039</v>
      </c>
      <c r="X83" s="22" t="n">
        <v>4407</v>
      </c>
    </row>
    <row r="84">
      <c r="A84" s="9" t="inlineStr">
        <is>
          <t>영업이익</t>
        </is>
      </c>
      <c r="C84" s="12" t="n">
        <v>453.524</v>
      </c>
      <c r="D84" s="12" t="n">
        <v>777</v>
      </c>
      <c r="E84" s="12" t="n">
        <v>444</v>
      </c>
      <c r="F84" s="12" t="n">
        <v>794</v>
      </c>
      <c r="G84" s="12" t="n">
        <v>516</v>
      </c>
      <c r="H84" s="12" t="n">
        <v>532</v>
      </c>
      <c r="I84" s="12" t="n">
        <v>692</v>
      </c>
      <c r="J84" s="12" t="n">
        <v>834</v>
      </c>
      <c r="K84" s="12" t="n">
        <v>872</v>
      </c>
      <c r="L84" s="12" t="n">
        <v>1031</v>
      </c>
      <c r="M84" s="12" t="n">
        <v>898</v>
      </c>
      <c r="N84" s="12" t="n">
        <v>1125</v>
      </c>
      <c r="V84" s="12" t="n">
        <v>453.524</v>
      </c>
      <c r="W84" s="12" t="n">
        <v>516</v>
      </c>
      <c r="X84" s="12" t="n">
        <v>872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0.607</v>
      </c>
      <c r="D87" s="22" t="n">
        <v>1</v>
      </c>
      <c r="E87" s="22" t="n">
        <v>1</v>
      </c>
      <c r="F87" s="22" t="n">
        <v>2</v>
      </c>
      <c r="G87" s="22" t="n">
        <v>3</v>
      </c>
      <c r="H87" s="22" t="n">
        <v>2</v>
      </c>
      <c r="I87" s="22" t="n">
        <v>3</v>
      </c>
      <c r="J87" s="22" t="n">
        <v>3</v>
      </c>
      <c r="K87" s="22" t="n">
        <v>4</v>
      </c>
      <c r="L87" s="22" t="n">
        <v>2</v>
      </c>
      <c r="M87" s="22" t="n">
        <v>4</v>
      </c>
      <c r="N87" s="22" t="n">
        <v>5</v>
      </c>
      <c r="V87" s="22" t="n">
        <v>0.607</v>
      </c>
      <c r="W87" s="22" t="n">
        <v>3</v>
      </c>
      <c r="X87" s="22" t="n">
        <v>4</v>
      </c>
    </row>
    <row r="88">
      <c r="A88" s="20" t="inlineStr">
        <is>
          <t>배당금수익</t>
        </is>
      </c>
      <c r="C88" s="22" t="n">
        <v>0.907</v>
      </c>
      <c r="D88" s="22" t="n">
        <v>0</v>
      </c>
      <c r="E88" s="22" t="n">
        <v>2</v>
      </c>
      <c r="F88" s="22" t="n">
        <v>0</v>
      </c>
      <c r="G88" s="22" t="n">
        <v>2</v>
      </c>
      <c r="H88" s="22" t="n">
        <v>0</v>
      </c>
      <c r="I88" s="22" t="n">
        <v>1</v>
      </c>
      <c r="J88" s="22" t="n">
        <v>2</v>
      </c>
      <c r="K88" s="22" t="n">
        <v>1</v>
      </c>
      <c r="L88" s="22" t="n">
        <v>1</v>
      </c>
      <c r="M88" s="22" t="n">
        <v>1</v>
      </c>
      <c r="N88" s="22" t="n">
        <v>2</v>
      </c>
      <c r="V88" s="22" t="n">
        <v>0.907</v>
      </c>
      <c r="W88" s="22" t="n">
        <v>2</v>
      </c>
      <c r="X88" s="22" t="n">
        <v>1</v>
      </c>
    </row>
    <row r="89">
      <c r="A89" s="20" t="inlineStr">
        <is>
          <t>임대료 수익</t>
        </is>
      </c>
      <c r="C89" s="22" t="n">
        <v>9.507</v>
      </c>
      <c r="D89" s="22" t="n">
        <v>8</v>
      </c>
      <c r="E89" s="22" t="n">
        <v>8</v>
      </c>
      <c r="F89" s="22" t="n">
        <v>8</v>
      </c>
      <c r="G89" s="22" t="n">
        <v>6</v>
      </c>
      <c r="H89" s="22" t="n">
        <v>7</v>
      </c>
      <c r="I89" s="22" t="n">
        <v>5</v>
      </c>
      <c r="J89" s="22" t="n">
        <v>6</v>
      </c>
      <c r="K89" s="22" t="n">
        <v>6</v>
      </c>
      <c r="L89" s="22" t="n">
        <v>6</v>
      </c>
      <c r="M89" s="22" t="n">
        <v>6</v>
      </c>
      <c r="N89" s="22" t="n">
        <v>6</v>
      </c>
      <c r="V89" s="22" t="n">
        <v>9.507</v>
      </c>
      <c r="W89" s="22" t="n">
        <v>6</v>
      </c>
      <c r="X89" s="22" t="n">
        <v>6</v>
      </c>
    </row>
    <row r="90">
      <c r="A90" s="20" t="inlineStr">
        <is>
          <t>협찬금 수입</t>
        </is>
      </c>
      <c r="C90" s="22" t="n">
        <v>13.608</v>
      </c>
      <c r="D90" s="22" t="n">
        <v>10</v>
      </c>
      <c r="E90" s="22" t="n">
        <v>7</v>
      </c>
      <c r="F90" s="22" t="n">
        <v>10</v>
      </c>
      <c r="G90" s="22" t="n">
        <v>7</v>
      </c>
      <c r="H90" s="22" t="n">
        <v>8</v>
      </c>
      <c r="I90" s="22" t="n">
        <v>9</v>
      </c>
      <c r="J90" s="22" t="n">
        <v>9</v>
      </c>
      <c r="K90" s="22" t="n">
        <v>14</v>
      </c>
      <c r="L90" s="22" t="n">
        <v>0</v>
      </c>
      <c r="M90" s="22" t="n">
        <v>0</v>
      </c>
      <c r="N90" s="22" t="n">
        <v>0</v>
      </c>
      <c r="V90" s="22" t="n">
        <v>13.608</v>
      </c>
      <c r="W90" s="22" t="n">
        <v>7</v>
      </c>
      <c r="X90" s="22" t="n">
        <v>14</v>
      </c>
    </row>
    <row r="91">
      <c r="A91" s="20" t="inlineStr">
        <is>
          <t>투자유가증권 매각이익</t>
        </is>
      </c>
      <c r="G91" s="22" t="n">
        <v>0</v>
      </c>
      <c r="K91" s="22" t="n">
        <v>0</v>
      </c>
      <c r="W91" s="22" t="n">
        <v>0</v>
      </c>
      <c r="X91" s="22" t="n">
        <v>0</v>
      </c>
    </row>
    <row r="92">
      <c r="A92" s="20" t="inlineStr">
        <is>
          <t>기타</t>
        </is>
      </c>
      <c r="C92" s="22" t="n">
        <v>-0.672</v>
      </c>
      <c r="D92" s="22" t="n">
        <v>3</v>
      </c>
      <c r="E92" s="22" t="n">
        <v>2</v>
      </c>
      <c r="F92" s="22" t="n">
        <v>7</v>
      </c>
      <c r="G92" s="22" t="n">
        <v>4</v>
      </c>
      <c r="H92" s="22" t="n">
        <v>8</v>
      </c>
      <c r="I92" s="22" t="n">
        <v>2</v>
      </c>
      <c r="J92" s="22" t="n">
        <v>3</v>
      </c>
      <c r="K92" s="22" t="n">
        <v>9</v>
      </c>
      <c r="L92" s="22" t="n">
        <v>4</v>
      </c>
      <c r="M92" s="22" t="n">
        <v>3</v>
      </c>
      <c r="N92" s="22" t="n">
        <v>4</v>
      </c>
      <c r="V92" s="22" t="n">
        <v>-0.672</v>
      </c>
      <c r="W92" s="22" t="n">
        <v>4</v>
      </c>
      <c r="X92" s="22" t="n">
        <v>9</v>
      </c>
    </row>
    <row r="93">
      <c r="A93" s="20" t="inlineStr">
        <is>
          <t>영업외수익 합계</t>
        </is>
      </c>
      <c r="C93" s="22" t="n">
        <v>32.565</v>
      </c>
      <c r="D93" s="22" t="n">
        <v>24</v>
      </c>
      <c r="E93" s="22" t="n">
        <v>20</v>
      </c>
      <c r="F93" s="22" t="n">
        <v>26</v>
      </c>
      <c r="G93" s="22" t="n">
        <v>33</v>
      </c>
      <c r="H93" s="22" t="n">
        <v>28</v>
      </c>
      <c r="I93" s="22" t="n">
        <v>19</v>
      </c>
      <c r="J93" s="22" t="n">
        <v>48</v>
      </c>
      <c r="K93" s="22" t="n">
        <v>33</v>
      </c>
      <c r="L93" s="22" t="n">
        <v>15</v>
      </c>
      <c r="M93" s="22" t="n">
        <v>14</v>
      </c>
      <c r="N93" s="22" t="n">
        <v>17</v>
      </c>
      <c r="V93" s="22" t="n">
        <v>32.565</v>
      </c>
      <c r="W93" s="22" t="n">
        <v>33</v>
      </c>
      <c r="X93" s="22" t="n">
        <v>33</v>
      </c>
    </row>
    <row r="94">
      <c r="A94" s="20" t="inlineStr">
        <is>
          <t>이자비용</t>
        </is>
      </c>
      <c r="C94" s="22" t="n">
        <v>0.134</v>
      </c>
      <c r="D94" s="22" t="n">
        <v>0</v>
      </c>
      <c r="E94" s="22" t="n">
        <v>0</v>
      </c>
      <c r="F94" s="22" t="n">
        <v>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V94" s="22" t="n">
        <v>0.134</v>
      </c>
      <c r="W94" s="22" t="n">
        <v>0</v>
      </c>
      <c r="X94" s="22" t="n">
        <v>0</v>
      </c>
    </row>
    <row r="95">
      <c r="A95" s="20" t="inlineStr">
        <is>
          <t>임대비용</t>
        </is>
      </c>
      <c r="C95" s="22" t="n">
        <v>5.953</v>
      </c>
      <c r="D95" s="22" t="n">
        <v>5</v>
      </c>
      <c r="E95" s="22" t="n">
        <v>6</v>
      </c>
      <c r="F95" s="22" t="n">
        <v>5</v>
      </c>
      <c r="G95" s="22" t="n">
        <v>6</v>
      </c>
      <c r="H95" s="22" t="n">
        <v>5</v>
      </c>
      <c r="I95" s="22" t="n">
        <v>4</v>
      </c>
      <c r="J95" s="22" t="n">
        <v>5</v>
      </c>
      <c r="K95" s="22" t="n">
        <v>6</v>
      </c>
      <c r="L95" s="22" t="n">
        <v>5</v>
      </c>
      <c r="M95" s="22" t="n">
        <v>5</v>
      </c>
      <c r="N95" s="22" t="n">
        <v>5</v>
      </c>
      <c r="V95" s="22" t="n">
        <v>5.953</v>
      </c>
      <c r="W95" s="22" t="n">
        <v>6</v>
      </c>
      <c r="X95" s="22" t="n">
        <v>6</v>
      </c>
    </row>
    <row r="96">
      <c r="A96" s="20" t="inlineStr">
        <is>
          <t>기타</t>
        </is>
      </c>
      <c r="C96" s="22" t="n">
        <v>1.994</v>
      </c>
      <c r="D96" s="22" t="n">
        <v>3</v>
      </c>
      <c r="E96" s="22" t="n">
        <v>1</v>
      </c>
      <c r="F96" s="22" t="n">
        <v>5</v>
      </c>
      <c r="G96" s="22" t="n">
        <v>3</v>
      </c>
      <c r="H96" s="22" t="n">
        <v>2</v>
      </c>
      <c r="I96" s="22" t="n">
        <v>1</v>
      </c>
      <c r="J96" s="22" t="n">
        <v>3</v>
      </c>
      <c r="K96" s="22" t="n">
        <v>6</v>
      </c>
      <c r="L96" s="22" t="n">
        <v>4</v>
      </c>
      <c r="M96" s="22" t="n">
        <v>2</v>
      </c>
      <c r="N96" s="22" t="n">
        <v>3</v>
      </c>
      <c r="V96" s="22" t="n">
        <v>1.994</v>
      </c>
      <c r="W96" s="22" t="n">
        <v>3</v>
      </c>
      <c r="X96" s="22" t="n">
        <v>6</v>
      </c>
    </row>
    <row r="97">
      <c r="A97" s="20" t="inlineStr">
        <is>
          <t>영업외비용 합계</t>
        </is>
      </c>
      <c r="C97" s="22" t="n">
        <v>8.082000000000001</v>
      </c>
      <c r="D97" s="22" t="n">
        <v>9</v>
      </c>
      <c r="E97" s="22" t="n">
        <v>7</v>
      </c>
      <c r="F97" s="22" t="n">
        <v>11</v>
      </c>
      <c r="G97" s="22" t="n">
        <v>7</v>
      </c>
      <c r="H97" s="22" t="n">
        <v>7</v>
      </c>
      <c r="I97" s="22" t="n">
        <v>7</v>
      </c>
      <c r="J97" s="22" t="n">
        <v>7</v>
      </c>
      <c r="K97" s="22" t="n">
        <v>12</v>
      </c>
      <c r="L97" s="22" t="n">
        <v>9</v>
      </c>
      <c r="M97" s="22" t="n">
        <v>7</v>
      </c>
      <c r="N97" s="22" t="n">
        <v>10</v>
      </c>
      <c r="V97" s="22" t="n">
        <v>8.082000000000001</v>
      </c>
      <c r="W97" s="22" t="n">
        <v>7</v>
      </c>
      <c r="X97" s="22" t="n">
        <v>12</v>
      </c>
    </row>
    <row r="98">
      <c r="A98" s="9" t="inlineStr">
        <is>
          <t>경상이익</t>
        </is>
      </c>
      <c r="C98" s="12" t="n">
        <v>478.008</v>
      </c>
      <c r="D98" s="12" t="n">
        <v>793</v>
      </c>
      <c r="E98" s="12" t="n">
        <v>455</v>
      </c>
      <c r="F98" s="12" t="n">
        <v>810</v>
      </c>
      <c r="G98" s="12" t="n">
        <v>542</v>
      </c>
      <c r="H98" s="12" t="n">
        <v>553</v>
      </c>
      <c r="I98" s="12" t="n">
        <v>705</v>
      </c>
      <c r="J98" s="12" t="n">
        <v>874</v>
      </c>
      <c r="K98" s="12" t="n">
        <v>893</v>
      </c>
      <c r="L98" s="12" t="n">
        <v>1037</v>
      </c>
      <c r="M98" s="12" t="n">
        <v>904</v>
      </c>
      <c r="N98" s="12" t="n">
        <v>1132</v>
      </c>
      <c r="V98" s="12" t="n">
        <v>478.008</v>
      </c>
      <c r="W98" s="12" t="n">
        <v>542</v>
      </c>
      <c r="X98" s="12" t="n">
        <v>893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IF(OR(G98="",C98=""),"",IF(C98&lt;=0,"",IFERROR(G98/C98-1,"")))</f>
        <v/>
      </c>
      <c r="H99" s="17">
        <f>IF(OR(H98="",D98=""),"",IF(D98&lt;=0,"",IFERROR(H98/D98-1,"")))</f>
        <v/>
      </c>
      <c r="I99" s="17">
        <f>IF(OR(I98="",E98=""),"",IF(E98&lt;=0,"",IFERROR(I98/E98-1,"")))</f>
        <v/>
      </c>
      <c r="J99" s="17">
        <f>IF(OR(J98="",F98=""),"",IF(F98&lt;=0,"",IFERROR(J98/F98-1,"")))</f>
        <v/>
      </c>
      <c r="K99" s="17">
        <f>IF(OR(K98="",G98=""),"",IF(G98&lt;=0,"",IFERROR(K98/G98-1,"")))</f>
        <v/>
      </c>
      <c r="L99" s="17">
        <f>IF(OR(L98="",H98=""),"",IF(H98&lt;=0,"",IFERROR(L98/H98-1,"")))</f>
        <v/>
      </c>
      <c r="M99" s="17">
        <f>IF(OR(M98="",I98=""),"",IF(I98&lt;=0,"",IFERROR(M98/I98-1,"")))</f>
        <v/>
      </c>
      <c r="N99" s="17">
        <f>IF(OR(N98="",J98=""),"",IF(J98&lt;=0,"",IFERROR(N98/J98-1,"")))</f>
        <v/>
      </c>
      <c r="V99" s="17">
        <f>IF(OR(V98="",U98=""),"",IF(U98&lt;=0,"",IFERROR(V98/U98-1,"")))</f>
        <v/>
      </c>
      <c r="W99" s="17">
        <f>IF(OR(W98="",V98=""),"",IF(V98&lt;=0,"",IFERROR(W98/V98-1,"")))</f>
        <v/>
      </c>
      <c r="X99" s="17">
        <f>IF(OR(X98="",W98=""),"",IF(W98&lt;=0,"",IFERROR(X98/W98-1,"")))</f>
        <v/>
      </c>
    </row>
    <row r="100">
      <c r="A100" s="20" t="inlineStr">
        <is>
          <t>고정자산 매각이익</t>
        </is>
      </c>
      <c r="J100" s="22" t="n">
        <v>0</v>
      </c>
      <c r="K100" s="22" t="n">
        <v>0</v>
      </c>
      <c r="N100" s="22" t="n">
        <v>0</v>
      </c>
      <c r="X100" s="22" t="n">
        <v>0</v>
      </c>
    </row>
    <row r="101">
      <c r="A101" s="20" t="inlineStr">
        <is>
          <t>특별이익 합계</t>
        </is>
      </c>
      <c r="J101" s="22" t="n">
        <v>0</v>
      </c>
      <c r="K101" s="22" t="n">
        <v>0</v>
      </c>
      <c r="N101" s="22" t="n">
        <v>0</v>
      </c>
      <c r="X101" s="22" t="n">
        <v>0</v>
      </c>
    </row>
    <row r="102">
      <c r="A102" s="20" t="inlineStr">
        <is>
          <t>고정자산 제각·매각손실</t>
        </is>
      </c>
      <c r="C102" s="22" t="n">
        <v>1.422</v>
      </c>
      <c r="D102" s="22" t="n">
        <v>0</v>
      </c>
      <c r="E102" s="22" t="n">
        <v>1</v>
      </c>
      <c r="F102" s="22" t="n">
        <v>0</v>
      </c>
      <c r="G102" s="22" t="n">
        <v>2</v>
      </c>
      <c r="H102" s="22" t="n">
        <v>0</v>
      </c>
      <c r="I102" s="22" t="n">
        <v>0</v>
      </c>
      <c r="J102" s="22" t="n">
        <v>2</v>
      </c>
      <c r="K102" s="22" t="n">
        <v>1</v>
      </c>
      <c r="L102" s="22" t="n">
        <v>1</v>
      </c>
      <c r="M102" s="22" t="n">
        <v>1</v>
      </c>
      <c r="N102" s="22" t="n">
        <v>1</v>
      </c>
      <c r="V102" s="22" t="n">
        <v>1.422</v>
      </c>
      <c r="W102" s="22" t="n">
        <v>2</v>
      </c>
      <c r="X102" s="22" t="n">
        <v>1</v>
      </c>
    </row>
    <row r="103">
      <c r="A103" s="20" t="inlineStr">
        <is>
          <t>손상차손</t>
        </is>
      </c>
      <c r="C103" s="22" t="n">
        <v>200.647</v>
      </c>
      <c r="F103" s="22" t="n">
        <v>0</v>
      </c>
      <c r="G103" s="22" t="n">
        <v>176</v>
      </c>
      <c r="K103" s="22" t="n">
        <v>249</v>
      </c>
      <c r="V103" s="22" t="n">
        <v>200.647</v>
      </c>
      <c r="W103" s="22" t="n">
        <v>176</v>
      </c>
      <c r="X103" s="22" t="n">
        <v>249</v>
      </c>
    </row>
    <row r="104">
      <c r="A104" s="20" t="inlineStr">
        <is>
          <t>기타</t>
        </is>
      </c>
      <c r="C104" s="22" t="n">
        <v>0</v>
      </c>
      <c r="F104" s="22" t="n">
        <v>0</v>
      </c>
      <c r="G104" s="22" t="n">
        <v>7</v>
      </c>
      <c r="V104" s="22" t="n">
        <v>0</v>
      </c>
      <c r="W104" s="22" t="n">
        <v>7</v>
      </c>
    </row>
    <row r="105">
      <c r="A105" s="20" t="inlineStr">
        <is>
          <t>특별손실 합계</t>
        </is>
      </c>
      <c r="C105" s="22" t="n">
        <v>202.068</v>
      </c>
      <c r="D105" s="22" t="n">
        <v>0</v>
      </c>
      <c r="E105" s="22" t="n">
        <v>1</v>
      </c>
      <c r="F105" s="22" t="n">
        <v>0</v>
      </c>
      <c r="G105" s="22" t="n">
        <v>185</v>
      </c>
      <c r="H105" s="22" t="n">
        <v>0</v>
      </c>
      <c r="I105" s="22" t="n">
        <v>0</v>
      </c>
      <c r="J105" s="22" t="n">
        <v>14</v>
      </c>
      <c r="K105" s="22" t="n">
        <v>250</v>
      </c>
      <c r="L105" s="22" t="n">
        <v>1</v>
      </c>
      <c r="M105" s="22" t="n">
        <v>1</v>
      </c>
      <c r="N105" s="22" t="n">
        <v>1</v>
      </c>
      <c r="V105" s="22" t="n">
        <v>202.068</v>
      </c>
      <c r="W105" s="22" t="n">
        <v>185</v>
      </c>
      <c r="X105" s="22" t="n">
        <v>250</v>
      </c>
    </row>
    <row r="106">
      <c r="A106" s="9" t="inlineStr">
        <is>
          <t>법인세차감전 순이익</t>
        </is>
      </c>
      <c r="C106" s="12" t="n">
        <v>276.125</v>
      </c>
      <c r="D106" s="12" t="n">
        <v>793</v>
      </c>
      <c r="E106" s="12" t="n">
        <v>454</v>
      </c>
      <c r="F106" s="12" t="n">
        <v>810</v>
      </c>
      <c r="G106" s="12" t="n">
        <v>358</v>
      </c>
      <c r="H106" s="12" t="n">
        <v>552</v>
      </c>
      <c r="I106" s="12" t="n">
        <v>705</v>
      </c>
      <c r="J106" s="12" t="n">
        <v>860</v>
      </c>
      <c r="K106" s="12" t="n">
        <v>643</v>
      </c>
      <c r="L106" s="12" t="n">
        <v>1035</v>
      </c>
      <c r="M106" s="12" t="n">
        <v>904</v>
      </c>
      <c r="N106" s="12" t="n">
        <v>1131</v>
      </c>
      <c r="V106" s="12" t="n">
        <v>276.125</v>
      </c>
      <c r="W106" s="12" t="n">
        <v>358</v>
      </c>
      <c r="X106" s="12" t="n">
        <v>643</v>
      </c>
    </row>
    <row r="107">
      <c r="A107" s="20" t="inlineStr">
        <is>
          <t>법인세·주민세·사업세</t>
        </is>
      </c>
      <c r="C107" s="22" t="n">
        <v>50.059</v>
      </c>
      <c r="D107" s="22" t="n">
        <v>299</v>
      </c>
      <c r="E107" s="22" t="n">
        <v>98</v>
      </c>
      <c r="F107" s="22" t="n">
        <v>332</v>
      </c>
      <c r="G107" s="22" t="n">
        <v>25</v>
      </c>
      <c r="H107" s="22" t="n">
        <v>221</v>
      </c>
      <c r="I107" s="22" t="n">
        <v>180</v>
      </c>
      <c r="J107" s="22" t="n">
        <v>351</v>
      </c>
      <c r="K107" s="22" t="n">
        <v>136</v>
      </c>
      <c r="L107" s="22" t="n">
        <v>364</v>
      </c>
      <c r="M107" s="22" t="n">
        <v>285</v>
      </c>
      <c r="N107" s="22" t="n">
        <v>440</v>
      </c>
      <c r="V107" s="22" t="n">
        <v>50.059</v>
      </c>
      <c r="W107" s="22" t="n">
        <v>25</v>
      </c>
      <c r="X107" s="22" t="n">
        <v>136</v>
      </c>
    </row>
    <row r="108">
      <c r="A108" s="20" t="inlineStr">
        <is>
          <t>법인세 조정액</t>
        </is>
      </c>
      <c r="C108" s="22" t="n">
        <v>-39.193</v>
      </c>
      <c r="D108" s="22" t="n">
        <v>-33</v>
      </c>
      <c r="E108" s="22" t="n">
        <v>59</v>
      </c>
      <c r="F108" s="22" t="n">
        <v>-67</v>
      </c>
      <c r="G108" s="22" t="n">
        <v>-13</v>
      </c>
      <c r="H108" s="22" t="n">
        <v>-41</v>
      </c>
      <c r="I108" s="22" t="n">
        <v>56</v>
      </c>
      <c r="J108" s="22" t="n">
        <v>-69</v>
      </c>
      <c r="K108" s="22" t="n">
        <v>-43</v>
      </c>
      <c r="L108" s="22" t="n">
        <v>-22</v>
      </c>
      <c r="M108" s="22" t="n">
        <v>22</v>
      </c>
      <c r="N108" s="22" t="n">
        <v>-67</v>
      </c>
      <c r="V108" s="22" t="n">
        <v>-39.193</v>
      </c>
      <c r="W108" s="22" t="n">
        <v>-13</v>
      </c>
      <c r="X108" s="22" t="n">
        <v>-43</v>
      </c>
    </row>
    <row r="109">
      <c r="A109" s="20" t="inlineStr">
        <is>
          <t>법인세 등 합계</t>
        </is>
      </c>
      <c r="C109" s="22" t="n">
        <v>10.865</v>
      </c>
      <c r="D109" s="22" t="n">
        <v>265</v>
      </c>
      <c r="E109" s="22" t="n">
        <v>158</v>
      </c>
      <c r="F109" s="22" t="n">
        <v>264</v>
      </c>
      <c r="G109" s="22" t="n">
        <v>12</v>
      </c>
      <c r="H109" s="22" t="n">
        <v>179</v>
      </c>
      <c r="I109" s="22" t="n">
        <v>237</v>
      </c>
      <c r="J109" s="22" t="n">
        <v>282</v>
      </c>
      <c r="K109" s="22" t="n">
        <v>93</v>
      </c>
      <c r="L109" s="22" t="n">
        <v>341</v>
      </c>
      <c r="M109" s="22" t="n">
        <v>308</v>
      </c>
      <c r="N109" s="22" t="n">
        <v>372</v>
      </c>
      <c r="V109" s="22" t="n">
        <v>10.865</v>
      </c>
      <c r="W109" s="22" t="n">
        <v>12</v>
      </c>
      <c r="X109" s="22" t="n">
        <v>93</v>
      </c>
    </row>
    <row r="110">
      <c r="A110" s="9" t="inlineStr">
        <is>
          <t>순이익</t>
        </is>
      </c>
      <c r="C110" s="12" t="n">
        <v>265.259</v>
      </c>
      <c r="D110" s="12" t="n">
        <v>527</v>
      </c>
      <c r="E110" s="12" t="n">
        <v>296</v>
      </c>
      <c r="F110" s="12" t="n">
        <v>546</v>
      </c>
      <c r="G110" s="12" t="n">
        <v>346</v>
      </c>
      <c r="H110" s="12" t="n">
        <v>373</v>
      </c>
      <c r="I110" s="12" t="n">
        <v>468</v>
      </c>
      <c r="J110" s="12" t="n">
        <v>578</v>
      </c>
      <c r="K110" s="12" t="n">
        <v>550</v>
      </c>
      <c r="L110" s="12" t="n">
        <v>693</v>
      </c>
      <c r="M110" s="12" t="n">
        <v>596</v>
      </c>
      <c r="N110" s="12" t="n">
        <v>760</v>
      </c>
      <c r="V110" s="12" t="n">
        <v>265.259</v>
      </c>
      <c r="W110" s="12" t="n">
        <v>346</v>
      </c>
      <c r="X110" s="12" t="n">
        <v>550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IF(OR(G110="",C110=""),"",IF(C110&lt;=0,"",IFERROR(G110/C110-1,"")))</f>
        <v/>
      </c>
      <c r="H111" s="17">
        <f>IF(OR(H110="",D110=""),"",IF(D110&lt;=0,"",IFERROR(H110/D110-1,"")))</f>
        <v/>
      </c>
      <c r="I111" s="17">
        <f>IF(OR(I110="",E110=""),"",IF(E110&lt;=0,"",IFERROR(I110/E110-1,"")))</f>
        <v/>
      </c>
      <c r="J111" s="17">
        <f>IF(OR(J110="",F110=""),"",IF(F110&lt;=0,"",IFERROR(J110/F110-1,"")))</f>
        <v/>
      </c>
      <c r="K111" s="17">
        <f>IF(OR(K110="",G110=""),"",IF(G110&lt;=0,"",IFERROR(K110/G110-1,"")))</f>
        <v/>
      </c>
      <c r="L111" s="17">
        <f>IF(OR(L110="",H110=""),"",IF(H110&lt;=0,"",IFERROR(L110/H110-1,"")))</f>
        <v/>
      </c>
      <c r="M111" s="17">
        <f>IF(OR(M110="",I110=""),"",IF(I110&lt;=0,"",IFERROR(M110/I110-1,"")))</f>
        <v/>
      </c>
      <c r="N111" s="17">
        <f>IF(OR(N110="",J110=""),"",IF(J110&lt;=0,"",IFERROR(N110/J110-1,"")))</f>
        <v/>
      </c>
      <c r="V111" s="17">
        <f>IF(OR(V110="",U110=""),"",IF(U110&lt;=0,"",IFERROR(V110/U110-1,"")))</f>
        <v/>
      </c>
      <c r="W111" s="17">
        <f>IF(OR(W110="",V110=""),"",IF(V110&lt;=0,"",IFERROR(W110/V110-1,"")))</f>
        <v/>
      </c>
      <c r="X111" s="17">
        <f>IF(OR(X110="",W110=""),"",IF(W110&lt;=0,"",IFERROR(X110/W110-1,"")))</f>
        <v/>
      </c>
    </row>
    <row r="112">
      <c r="A112" s="9" t="inlineStr">
        <is>
          <t>지배주주 순이익</t>
        </is>
      </c>
      <c r="C112" s="12" t="n">
        <v>265.259</v>
      </c>
      <c r="D112" s="12" t="n">
        <v>527</v>
      </c>
      <c r="E112" s="12" t="n">
        <v>296</v>
      </c>
      <c r="F112" s="12" t="n">
        <v>546</v>
      </c>
      <c r="G112" s="12" t="n">
        <v>346</v>
      </c>
      <c r="H112" s="12" t="n">
        <v>373</v>
      </c>
      <c r="I112" s="12" t="n">
        <v>468</v>
      </c>
      <c r="J112" s="12" t="n">
        <v>578</v>
      </c>
      <c r="K112" s="12" t="n">
        <v>550</v>
      </c>
      <c r="L112" s="12" t="n">
        <v>693</v>
      </c>
      <c r="M112" s="12" t="n">
        <v>596</v>
      </c>
      <c r="N112" s="12" t="n">
        <v>760</v>
      </c>
      <c r="V112" s="12" t="n">
        <v>265.259</v>
      </c>
      <c r="W112" s="12" t="n">
        <v>346</v>
      </c>
      <c r="X112" s="12" t="n">
        <v>550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IF(OR(G112="",C112=""),"",IF(C112&lt;=0,"",IFERROR(G112/C112-1,"")))</f>
        <v/>
      </c>
      <c r="H113" s="17">
        <f>IF(OR(H112="",D112=""),"",IF(D112&lt;=0,"",IFERROR(H112/D112-1,"")))</f>
        <v/>
      </c>
      <c r="I113" s="17">
        <f>IF(OR(I112="",E112=""),"",IF(E112&lt;=0,"",IFERROR(I112/E112-1,"")))</f>
        <v/>
      </c>
      <c r="J113" s="17">
        <f>IF(OR(J112="",F112=""),"",IF(F112&lt;=0,"",IFERROR(J112/F112-1,"")))</f>
        <v/>
      </c>
      <c r="K113" s="17">
        <f>IF(OR(K112="",G112=""),"",IF(G112&lt;=0,"",IFERROR(K112/G112-1,"")))</f>
        <v/>
      </c>
      <c r="L113" s="17">
        <f>IF(OR(L112="",H112=""),"",IF(H112&lt;=0,"",IFERROR(L112/H112-1,"")))</f>
        <v/>
      </c>
      <c r="M113" s="17">
        <f>IF(OR(M112="",I112=""),"",IF(I112&lt;=0,"",IFERROR(M112/I112-1,"")))</f>
        <v/>
      </c>
      <c r="N113" s="17">
        <f>IF(OR(N112="",J112=""),"",IF(J112&lt;=0,"",IFERROR(N112/J112-1,"")))</f>
        <v/>
      </c>
      <c r="V113" s="17">
        <f>IF(OR(V112="",U112=""),"",IF(U112&lt;=0,"",IFERROR(V112/U112-1,"")))</f>
        <v/>
      </c>
      <c r="W113" s="17">
        <f>IF(OR(W112="",V112=""),"",IF(V112&lt;=0,"",IFERROR(W112/V112-1,"")))</f>
        <v/>
      </c>
      <c r="X113" s="17">
        <f>IF(OR(X112="",W112=""),"",IF(W112&lt;=0,"",IFERROR(X112/W112-1,"")))</f>
        <v/>
      </c>
    </row>
    <row r="115">
      <c r="A115" s="18" t="inlineStr">
        <is>
          <t>포괄손익 · 전 항목</t>
        </is>
      </c>
      <c r="B115" s="44" t="inlineStr">
        <is>
          <t>분기 = 3개월 단독</t>
        </is>
      </c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18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2023.4Q</t>
        </is>
      </c>
      <c r="D116" s="5" t="inlineStr">
        <is>
          <t>2024.1Q</t>
        </is>
      </c>
      <c r="E116" s="5" t="inlineStr">
        <is>
          <t>2024.2Q</t>
        </is>
      </c>
      <c r="F116" s="5" t="inlineStr">
        <is>
          <t>2024.3Q</t>
        </is>
      </c>
      <c r="G116" s="5" t="inlineStr">
        <is>
          <t>2024.4Q</t>
        </is>
      </c>
      <c r="H116" s="5" t="inlineStr">
        <is>
          <t>2025.1Q</t>
        </is>
      </c>
      <c r="I116" s="5" t="inlineStr">
        <is>
          <t>2025.2Q</t>
        </is>
      </c>
      <c r="J116" s="5" t="inlineStr">
        <is>
          <t>2025.3Q</t>
        </is>
      </c>
      <c r="K116" s="5" t="inlineStr">
        <is>
          <t>2025.4Q</t>
        </is>
      </c>
      <c r="L116" s="5" t="inlineStr">
        <is>
          <t>2026.1Q</t>
        </is>
      </c>
      <c r="M116" s="5" t="inlineStr">
        <is>
          <t>2026.2Q</t>
        </is>
      </c>
      <c r="N116" s="5" t="inlineStr">
        <is>
          <t>2026.3Q</t>
        </is>
      </c>
      <c r="O116" s="5" t="inlineStr">
        <is>
          <t>2016</t>
        </is>
      </c>
      <c r="P116" s="5" t="inlineStr">
        <is>
          <t>2017</t>
        </is>
      </c>
      <c r="Q116" s="5" t="inlineStr">
        <is>
          <t>2018</t>
        </is>
      </c>
      <c r="R116" s="5" t="inlineStr">
        <is>
          <t>2019</t>
        </is>
      </c>
      <c r="S116" s="5" t="inlineStr">
        <is>
          <t>2020</t>
        </is>
      </c>
      <c r="T116" s="5" t="inlineStr">
        <is>
          <t>2021</t>
        </is>
      </c>
      <c r="U116" s="5" t="inlineStr">
        <is>
          <t>2022</t>
        </is>
      </c>
      <c r="V116" s="5" t="inlineStr">
        <is>
          <t>2023</t>
        </is>
      </c>
      <c r="W116" s="5" t="inlineStr">
        <is>
          <t>2024</t>
        </is>
      </c>
      <c r="X116" s="5" t="inlineStr">
        <is>
          <t>2025</t>
        </is>
      </c>
      <c r="Y116" s="5" t="inlineStr">
        <is>
          <t>2026(MW)</t>
        </is>
      </c>
      <c r="Z116" s="5" t="inlineStr">
        <is>
          <t>2027(MW)</t>
        </is>
      </c>
      <c r="AA116" s="5" t="inlineStr">
        <is>
          <t>2028(MW)</t>
        </is>
      </c>
      <c r="AB116" s="5" t="inlineStr">
        <is>
          <t>2029(MW)</t>
        </is>
      </c>
      <c r="AC116" s="5" t="inlineStr">
        <is>
          <t>2030(MW)</t>
        </is>
      </c>
    </row>
    <row r="117">
      <c r="A117" s="9" t="inlineStr">
        <is>
          <t>순이익</t>
        </is>
      </c>
      <c r="C117" s="12" t="n">
        <v>265.259</v>
      </c>
      <c r="D117" s="12" t="n">
        <v>527</v>
      </c>
      <c r="E117" s="12" t="n">
        <v>296</v>
      </c>
      <c r="F117" s="12" t="n">
        <v>546</v>
      </c>
      <c r="G117" s="12" t="n">
        <v>346</v>
      </c>
      <c r="H117" s="12" t="n">
        <v>373</v>
      </c>
      <c r="I117" s="12" t="n">
        <v>468</v>
      </c>
      <c r="J117" s="12" t="n">
        <v>578</v>
      </c>
      <c r="K117" s="12" t="n">
        <v>550</v>
      </c>
      <c r="L117" s="12" t="n">
        <v>693</v>
      </c>
      <c r="M117" s="12" t="n">
        <v>596</v>
      </c>
      <c r="N117" s="12" t="n">
        <v>760</v>
      </c>
      <c r="V117" s="12" t="n">
        <v>265.259</v>
      </c>
      <c r="W117" s="12" t="n">
        <v>346</v>
      </c>
      <c r="X117" s="12" t="n">
        <v>550</v>
      </c>
    </row>
    <row r="118">
      <c r="A118" s="20" t="inlineStr">
        <is>
          <t>기타유가증권 평가차액</t>
        </is>
      </c>
      <c r="C118" s="22" t="n">
        <v>1.015</v>
      </c>
      <c r="D118" s="22" t="n">
        <v>9</v>
      </c>
      <c r="E118" s="22" t="n">
        <v>7</v>
      </c>
      <c r="F118" s="22" t="n">
        <v>-4</v>
      </c>
      <c r="G118" s="22" t="n">
        <v>1</v>
      </c>
      <c r="H118" s="22" t="n">
        <v>26</v>
      </c>
      <c r="I118" s="22" t="n">
        <v>-26</v>
      </c>
      <c r="J118" s="22" t="n">
        <v>6</v>
      </c>
      <c r="K118" s="22" t="n">
        <v>9</v>
      </c>
      <c r="L118" s="22" t="n">
        <v>19</v>
      </c>
      <c r="M118" s="22" t="n">
        <v>2</v>
      </c>
      <c r="N118" s="22" t="n">
        <v>18</v>
      </c>
      <c r="V118" s="22" t="n">
        <v>1.015</v>
      </c>
      <c r="W118" s="22" t="n">
        <v>1</v>
      </c>
      <c r="X118" s="22" t="n">
        <v>9</v>
      </c>
    </row>
    <row r="119">
      <c r="A119" s="20" t="inlineStr">
        <is>
          <t>기타포괄손익 합계</t>
        </is>
      </c>
      <c r="C119" s="22" t="n">
        <v>1.015</v>
      </c>
      <c r="D119" s="22" t="n">
        <v>9</v>
      </c>
      <c r="E119" s="22" t="n">
        <v>7</v>
      </c>
      <c r="F119" s="22" t="n">
        <v>-4</v>
      </c>
      <c r="G119" s="22" t="n">
        <v>1</v>
      </c>
      <c r="H119" s="22" t="n">
        <v>26</v>
      </c>
      <c r="I119" s="22" t="n">
        <v>-26</v>
      </c>
      <c r="J119" s="22" t="n">
        <v>6</v>
      </c>
      <c r="K119" s="22" t="n">
        <v>9</v>
      </c>
      <c r="L119" s="22" t="n">
        <v>19</v>
      </c>
      <c r="M119" s="22" t="n">
        <v>2</v>
      </c>
      <c r="N119" s="22" t="n">
        <v>18</v>
      </c>
      <c r="V119" s="22" t="n">
        <v>1.015</v>
      </c>
      <c r="W119" s="22" t="n">
        <v>1</v>
      </c>
      <c r="X119" s="22" t="n">
        <v>9</v>
      </c>
    </row>
    <row r="120">
      <c r="A120" s="9" t="inlineStr">
        <is>
          <t>포괄이익</t>
        </is>
      </c>
      <c r="C120" s="12" t="n">
        <v>266.274</v>
      </c>
      <c r="D120" s="12" t="n">
        <v>536</v>
      </c>
      <c r="E120" s="12" t="n">
        <v>303</v>
      </c>
      <c r="F120" s="12" t="n">
        <v>542</v>
      </c>
      <c r="G120" s="12" t="n">
        <v>348</v>
      </c>
      <c r="H120" s="12" t="n">
        <v>399</v>
      </c>
      <c r="I120" s="12" t="n">
        <v>442</v>
      </c>
      <c r="J120" s="12" t="n">
        <v>585</v>
      </c>
      <c r="K120" s="12" t="n">
        <v>559</v>
      </c>
      <c r="L120" s="12" t="n">
        <v>713</v>
      </c>
      <c r="M120" s="12" t="n">
        <v>597</v>
      </c>
      <c r="N120" s="12" t="n">
        <v>778</v>
      </c>
      <c r="V120" s="12" t="n">
        <v>266.274</v>
      </c>
      <c r="W120" s="12" t="n">
        <v>348</v>
      </c>
      <c r="X120" s="12" t="n">
        <v>559</v>
      </c>
    </row>
    <row r="121">
      <c r="A121" s="9" t="inlineStr">
        <is>
          <t>지배주주 포괄이익</t>
        </is>
      </c>
      <c r="C121" s="12" t="n">
        <v>266.274</v>
      </c>
      <c r="D121" s="12" t="n">
        <v>536</v>
      </c>
      <c r="E121" s="12" t="n">
        <v>303</v>
      </c>
      <c r="F121" s="12" t="n">
        <v>542</v>
      </c>
      <c r="G121" s="12" t="n">
        <v>348</v>
      </c>
      <c r="H121" s="12" t="n">
        <v>399</v>
      </c>
      <c r="I121" s="12" t="n">
        <v>442</v>
      </c>
      <c r="J121" s="12" t="n">
        <v>585</v>
      </c>
      <c r="K121" s="12" t="n">
        <v>559</v>
      </c>
      <c r="L121" s="12" t="n">
        <v>713</v>
      </c>
      <c r="M121" s="12" t="n">
        <v>597</v>
      </c>
      <c r="N121" s="12" t="n">
        <v>778</v>
      </c>
      <c r="V121" s="12" t="n">
        <v>266.274</v>
      </c>
      <c r="W121" s="12" t="n">
        <v>348</v>
      </c>
      <c r="X121" s="12" t="n">
        <v>559</v>
      </c>
    </row>
    <row r="122">
      <c r="A122" s="9" t="inlineStr">
        <is>
          <t>비지배주주 포괄이익</t>
        </is>
      </c>
      <c r="C122" s="12" t="n">
        <v>0</v>
      </c>
      <c r="D122" s="12" t="n">
        <v>0</v>
      </c>
      <c r="E122" s="12" t="n">
        <v>0</v>
      </c>
      <c r="F122" s="12" t="n">
        <v>0</v>
      </c>
      <c r="G122" s="12" t="n">
        <v>0</v>
      </c>
      <c r="J122" s="12" t="n">
        <v>0</v>
      </c>
      <c r="K122" s="12" t="n">
        <v>0</v>
      </c>
      <c r="N122" s="12" t="n">
        <v>0</v>
      </c>
      <c r="V122" s="12" t="n">
        <v>0</v>
      </c>
      <c r="W122" s="12" t="n">
        <v>0</v>
      </c>
      <c r="X122" s="12" t="n">
        <v>0</v>
      </c>
    </row>
    <row r="124">
      <c r="A124" s="18" t="inlineStr">
        <is>
          <t>현금흐름표 · 전 항목</t>
        </is>
      </c>
      <c r="B124" s="44" t="inlineStr">
        <is>
          <t>분기 = 결산기 첫날부터 누계(공시 그대로)</t>
        </is>
      </c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  <c r="AC124" s="18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2023.4Q</t>
        </is>
      </c>
      <c r="D125" s="5" t="inlineStr">
        <is>
          <t>2024.1Q</t>
        </is>
      </c>
      <c r="E125" s="5" t="inlineStr">
        <is>
          <t>2024.2Q</t>
        </is>
      </c>
      <c r="F125" s="5" t="inlineStr">
        <is>
          <t>2024.3Q</t>
        </is>
      </c>
      <c r="G125" s="5" t="inlineStr">
        <is>
          <t>2024.4Q</t>
        </is>
      </c>
      <c r="H125" s="5" t="inlineStr">
        <is>
          <t>2025.1Q</t>
        </is>
      </c>
      <c r="I125" s="5" t="inlineStr">
        <is>
          <t>2025.2Q</t>
        </is>
      </c>
      <c r="J125" s="5" t="inlineStr">
        <is>
          <t>2025.3Q</t>
        </is>
      </c>
      <c r="K125" s="5" t="inlineStr">
        <is>
          <t>2025.4Q</t>
        </is>
      </c>
      <c r="L125" s="5" t="inlineStr">
        <is>
          <t>2026.1Q</t>
        </is>
      </c>
      <c r="M125" s="5" t="inlineStr">
        <is>
          <t>2026.2Q</t>
        </is>
      </c>
      <c r="N125" s="5" t="inlineStr">
        <is>
          <t>2026.3Q</t>
        </is>
      </c>
      <c r="O125" s="5" t="inlineStr">
        <is>
          <t>2016</t>
        </is>
      </c>
      <c r="P125" s="5" t="inlineStr">
        <is>
          <t>2017</t>
        </is>
      </c>
      <c r="Q125" s="5" t="inlineStr">
        <is>
          <t>2018</t>
        </is>
      </c>
      <c r="R125" s="5" t="inlineStr">
        <is>
          <t>2019</t>
        </is>
      </c>
      <c r="S125" s="5" t="inlineStr">
        <is>
          <t>2020</t>
        </is>
      </c>
      <c r="T125" s="5" t="inlineStr">
        <is>
          <t>2021</t>
        </is>
      </c>
      <c r="U125" s="5" t="inlineStr">
        <is>
          <t>2022</t>
        </is>
      </c>
      <c r="V125" s="5" t="inlineStr">
        <is>
          <t>2023</t>
        </is>
      </c>
      <c r="W125" s="5" t="inlineStr">
        <is>
          <t>2024</t>
        </is>
      </c>
      <c r="X125" s="5" t="inlineStr">
        <is>
          <t>2025</t>
        </is>
      </c>
      <c r="Y125" s="5" t="inlineStr">
        <is>
          <t>2026(MW)</t>
        </is>
      </c>
      <c r="Z125" s="5" t="inlineStr">
        <is>
          <t>2027(MW)</t>
        </is>
      </c>
      <c r="AA125" s="5" t="inlineStr">
        <is>
          <t>2028(MW)</t>
        </is>
      </c>
      <c r="AB125" s="5" t="inlineStr">
        <is>
          <t>2029(MW)</t>
        </is>
      </c>
      <c r="AC125" s="5" t="inlineStr">
        <is>
          <t>2030(MW)</t>
        </is>
      </c>
    </row>
    <row r="126">
      <c r="A126" s="9" t="inlineStr">
        <is>
          <t>법인세차감전 순이익</t>
        </is>
      </c>
      <c r="C126" s="12" t="n">
        <v>1449.523</v>
      </c>
      <c r="E126" s="12" t="n">
        <v>1247</v>
      </c>
      <c r="G126" s="12" t="n">
        <v>2415</v>
      </c>
      <c r="I126" s="12" t="n">
        <v>1257</v>
      </c>
      <c r="K126" s="12" t="n">
        <v>2760</v>
      </c>
      <c r="M126" s="12" t="n">
        <v>1939</v>
      </c>
      <c r="O126" s="12" t="n">
        <v>2775.43</v>
      </c>
      <c r="P126" s="12" t="n">
        <v>2483.996</v>
      </c>
      <c r="Q126" s="12" t="n">
        <v>2579.027</v>
      </c>
      <c r="R126" s="12" t="n">
        <v>2325.883</v>
      </c>
      <c r="S126" s="12" t="n">
        <v>-413.66</v>
      </c>
      <c r="T126" s="12" t="n">
        <v>1425.136</v>
      </c>
      <c r="U126" s="12" t="n">
        <v>1034.038</v>
      </c>
      <c r="V126" s="12" t="n">
        <v>1449.523</v>
      </c>
      <c r="W126" s="12" t="n">
        <v>2415</v>
      </c>
      <c r="X126" s="12" t="n">
        <v>2760</v>
      </c>
    </row>
    <row r="127">
      <c r="A127" s="20" t="inlineStr">
        <is>
          <t>감가상각비</t>
        </is>
      </c>
      <c r="C127" s="22" t="n">
        <v>869.484</v>
      </c>
      <c r="E127" s="22" t="n">
        <v>415</v>
      </c>
      <c r="G127" s="22" t="n">
        <v>875</v>
      </c>
      <c r="I127" s="22" t="n">
        <v>443</v>
      </c>
      <c r="K127" s="22" t="n">
        <v>932</v>
      </c>
      <c r="M127" s="22" t="n">
        <v>468</v>
      </c>
      <c r="O127" s="22" t="n">
        <v>778.432</v>
      </c>
      <c r="P127" s="22" t="n">
        <v>822.775</v>
      </c>
      <c r="Q127" s="22" t="n">
        <v>922.426</v>
      </c>
      <c r="R127" s="22" t="n">
        <v>912.234</v>
      </c>
      <c r="S127" s="22" t="n">
        <v>820.3920000000001</v>
      </c>
      <c r="T127" s="22" t="n">
        <v>783.453</v>
      </c>
      <c r="U127" s="22" t="n">
        <v>825.125</v>
      </c>
      <c r="V127" s="22" t="n">
        <v>869.484</v>
      </c>
      <c r="W127" s="22" t="n">
        <v>875</v>
      </c>
      <c r="X127" s="22" t="n">
        <v>932</v>
      </c>
    </row>
    <row r="128">
      <c r="A128" s="20" t="inlineStr">
        <is>
          <t>손상차손</t>
        </is>
      </c>
      <c r="C128" s="22" t="n">
        <v>227.461</v>
      </c>
      <c r="E128" s="22" t="n">
        <v>0</v>
      </c>
      <c r="G128" s="22" t="n">
        <v>176</v>
      </c>
      <c r="K128" s="22" t="n">
        <v>261</v>
      </c>
      <c r="O128" s="22" t="n">
        <v>0</v>
      </c>
      <c r="P128" s="22" t="n">
        <v>27.503</v>
      </c>
      <c r="Q128" s="22" t="n">
        <v>76.04000000000001</v>
      </c>
      <c r="R128" s="22" t="n">
        <v>118.621</v>
      </c>
      <c r="S128" s="22" t="n">
        <v>508.04</v>
      </c>
      <c r="T128" s="22" t="n">
        <v>70.22</v>
      </c>
      <c r="U128" s="22" t="n">
        <v>57.294</v>
      </c>
      <c r="V128" s="22" t="n">
        <v>227.461</v>
      </c>
      <c r="W128" s="22" t="n">
        <v>176</v>
      </c>
      <c r="X128" s="22" t="n">
        <v>261</v>
      </c>
    </row>
    <row r="129">
      <c r="A129" s="20" t="inlineStr">
        <is>
          <t>영업권 상각</t>
        </is>
      </c>
      <c r="C129" s="22" t="n">
        <v>5.455</v>
      </c>
      <c r="E129" s="22" t="n">
        <v>2</v>
      </c>
      <c r="G129" s="22" t="n">
        <v>5</v>
      </c>
      <c r="I129" s="22" t="n">
        <v>2</v>
      </c>
      <c r="K129" s="22" t="n">
        <v>5</v>
      </c>
      <c r="M129" s="22" t="n">
        <v>2</v>
      </c>
      <c r="V129" s="22" t="n">
        <v>5.455</v>
      </c>
      <c r="W129" s="22" t="n">
        <v>5</v>
      </c>
      <c r="X129" s="22" t="n">
        <v>5</v>
      </c>
    </row>
    <row r="130">
      <c r="A130" s="20" t="inlineStr">
        <is>
          <t>상여충당금 증감</t>
        </is>
      </c>
      <c r="C130" s="22" t="n">
        <v>5.914</v>
      </c>
      <c r="E130" s="22" t="n">
        <v>13</v>
      </c>
      <c r="G130" s="22" t="n">
        <v>12</v>
      </c>
      <c r="I130" s="22" t="n">
        <v>16</v>
      </c>
      <c r="K130" s="22" t="n">
        <v>8</v>
      </c>
      <c r="M130" s="22" t="n">
        <v>15</v>
      </c>
      <c r="O130" s="22" t="n">
        <v>6.296</v>
      </c>
      <c r="P130" s="22" t="n">
        <v>3.828</v>
      </c>
      <c r="Q130" s="22" t="n">
        <v>2.28</v>
      </c>
      <c r="R130" s="22" t="n">
        <v>1.035</v>
      </c>
      <c r="S130" s="22" t="n">
        <v>-0.9389999999999999</v>
      </c>
      <c r="T130" s="22" t="n">
        <v>1.533</v>
      </c>
      <c r="U130" s="22" t="n">
        <v>2.579</v>
      </c>
      <c r="V130" s="22" t="n">
        <v>5.914</v>
      </c>
      <c r="W130" s="22" t="n">
        <v>12</v>
      </c>
      <c r="X130" s="22" t="n">
        <v>8</v>
      </c>
    </row>
    <row r="131">
      <c r="A131" s="20" t="inlineStr">
        <is>
          <t>판매촉진 충당금 증감</t>
        </is>
      </c>
      <c r="C131" s="22" t="n">
        <v>21.588</v>
      </c>
      <c r="E131" s="22" t="n">
        <v>4</v>
      </c>
      <c r="G131" s="22" t="n">
        <v>33</v>
      </c>
      <c r="I131" s="22" t="n">
        <v>3</v>
      </c>
      <c r="K131" s="22" t="n">
        <v>41</v>
      </c>
      <c r="M131" s="22" t="n">
        <v>1</v>
      </c>
      <c r="O131" s="22" t="n">
        <v>0.497</v>
      </c>
      <c r="P131" s="22" t="n">
        <v>0.081</v>
      </c>
      <c r="Q131" s="22" t="n">
        <v>-0.08</v>
      </c>
      <c r="R131" s="22" t="n">
        <v>0.075</v>
      </c>
      <c r="S131" s="22" t="n">
        <v>43.315</v>
      </c>
      <c r="T131" s="22" t="n">
        <v>15.203</v>
      </c>
      <c r="U131" s="22" t="n">
        <v>-4.662</v>
      </c>
      <c r="V131" s="22" t="n">
        <v>21.588</v>
      </c>
      <c r="W131" s="22" t="n">
        <v>33</v>
      </c>
      <c r="X131" s="22" t="n">
        <v>41</v>
      </c>
    </row>
    <row r="132">
      <c r="A132" s="20" t="inlineStr">
        <is>
          <t>주주우대 충당금 증감</t>
        </is>
      </c>
      <c r="C132" s="22" t="n">
        <v>0</v>
      </c>
      <c r="E132" s="22" t="n">
        <v>0</v>
      </c>
      <c r="G132" s="22" t="n">
        <v>41</v>
      </c>
      <c r="I132" s="22" t="n">
        <v>-1</v>
      </c>
      <c r="K132" s="22" t="n">
        <v>-0</v>
      </c>
      <c r="M132" s="22" t="n">
        <v>-2</v>
      </c>
      <c r="V132" s="22" t="n">
        <v>0</v>
      </c>
      <c r="W132" s="22" t="n">
        <v>41</v>
      </c>
      <c r="X132" s="22" t="n">
        <v>-0</v>
      </c>
    </row>
    <row r="133">
      <c r="A133" s="20" t="inlineStr">
        <is>
          <t>대손충당금 증감</t>
        </is>
      </c>
      <c r="C133" s="22" t="n">
        <v>-0.004</v>
      </c>
      <c r="E133" s="22" t="n">
        <v>-0</v>
      </c>
      <c r="I133" s="22" t="n">
        <v>0</v>
      </c>
      <c r="M133" s="22" t="n">
        <v>-0</v>
      </c>
      <c r="V133" s="22" t="n">
        <v>-0.004</v>
      </c>
    </row>
    <row r="134">
      <c r="A134" s="20" t="inlineStr">
        <is>
          <t>이자·배당금 수익</t>
        </is>
      </c>
      <c r="C134" s="22" t="n">
        <v>-7.715</v>
      </c>
      <c r="E134" s="22" t="n">
        <v>-4</v>
      </c>
      <c r="G134" s="22" t="n">
        <v>-11</v>
      </c>
      <c r="I134" s="22" t="n">
        <v>-7</v>
      </c>
      <c r="K134" s="22" t="n">
        <v>-16</v>
      </c>
      <c r="M134" s="22" t="n">
        <v>-9</v>
      </c>
      <c r="O134" s="22" t="n">
        <v>-6.411</v>
      </c>
      <c r="P134" s="22" t="n">
        <v>-5.517</v>
      </c>
      <c r="Q134" s="22" t="n">
        <v>-5.302</v>
      </c>
      <c r="R134" s="22" t="n">
        <v>-5.774</v>
      </c>
      <c r="S134" s="22" t="n">
        <v>-7.428</v>
      </c>
      <c r="T134" s="22" t="n">
        <v>-7.198</v>
      </c>
      <c r="U134" s="22" t="n">
        <v>-8.287000000000001</v>
      </c>
      <c r="V134" s="22" t="n">
        <v>-7.715</v>
      </c>
      <c r="W134" s="22" t="n">
        <v>-11</v>
      </c>
      <c r="X134" s="22" t="n">
        <v>-16</v>
      </c>
    </row>
    <row r="135">
      <c r="A135" s="20" t="inlineStr">
        <is>
          <t>이자비용</t>
        </is>
      </c>
      <c r="C135" s="22" t="n">
        <v>0.737</v>
      </c>
      <c r="E135" s="22" t="n">
        <v>0</v>
      </c>
      <c r="G135" s="22" t="n">
        <v>0</v>
      </c>
      <c r="I135" s="22" t="n">
        <v>0</v>
      </c>
      <c r="K135" s="22" t="n">
        <v>0</v>
      </c>
      <c r="M135" s="22" t="n">
        <v>0</v>
      </c>
      <c r="O135" s="22" t="n">
        <v>0.489</v>
      </c>
      <c r="P135" s="22" t="n">
        <v>0.383</v>
      </c>
      <c r="Q135" s="22" t="n">
        <v>0.401</v>
      </c>
      <c r="R135" s="22" t="n">
        <v>0.472</v>
      </c>
      <c r="S135" s="22" t="n">
        <v>6.271</v>
      </c>
      <c r="T135" s="22" t="n">
        <v>10.115</v>
      </c>
      <c r="U135" s="22" t="n">
        <v>3.899</v>
      </c>
      <c r="V135" s="22" t="n">
        <v>0.737</v>
      </c>
      <c r="W135" s="22" t="n">
        <v>0</v>
      </c>
      <c r="X135" s="22" t="n">
        <v>0</v>
      </c>
    </row>
    <row r="136">
      <c r="A136" s="20" t="inlineStr">
        <is>
          <t>보조금 수입</t>
        </is>
      </c>
      <c r="S136" s="22" t="n">
        <v>0</v>
      </c>
      <c r="T136" s="22" t="n">
        <v>-1538.864</v>
      </c>
      <c r="U136" s="22" t="n">
        <v>-237.569</v>
      </c>
    </row>
    <row r="137">
      <c r="A137" s="20" t="inlineStr">
        <is>
          <t>보험금 수익</t>
        </is>
      </c>
      <c r="T137" s="22" t="n">
        <v>0</v>
      </c>
      <c r="U137" s="22" t="n">
        <v>-86.14100000000001</v>
      </c>
    </row>
    <row r="138">
      <c r="A138" s="20" t="inlineStr">
        <is>
          <t>보조금 수입</t>
        </is>
      </c>
      <c r="S138" s="22" t="n">
        <v>-115.81</v>
      </c>
      <c r="T138" s="22" t="n">
        <v>-21.927</v>
      </c>
      <c r="U138" s="22" t="n">
        <v>0</v>
      </c>
    </row>
    <row r="139">
      <c r="A139" s="20" t="inlineStr">
        <is>
          <t>유가증권 매각손익</t>
        </is>
      </c>
      <c r="E139" s="22" t="n">
        <v>0</v>
      </c>
      <c r="G139" s="22" t="n">
        <v>0</v>
      </c>
      <c r="I139" s="22" t="n">
        <v>-0</v>
      </c>
      <c r="K139" s="22" t="n">
        <v>-24</v>
      </c>
      <c r="M139" s="22" t="n">
        <v>0</v>
      </c>
      <c r="W139" s="22" t="n">
        <v>0</v>
      </c>
      <c r="X139" s="22" t="n">
        <v>-24</v>
      </c>
    </row>
    <row r="140">
      <c r="A140" s="20" t="inlineStr">
        <is>
          <t>고정자산 제각·매각손익</t>
        </is>
      </c>
      <c r="C140" s="22" t="n">
        <v>28.672</v>
      </c>
      <c r="E140" s="22" t="n">
        <v>1</v>
      </c>
      <c r="G140" s="22" t="n">
        <v>1</v>
      </c>
      <c r="I140" s="22" t="n">
        <v>0</v>
      </c>
      <c r="K140" s="22" t="n">
        <v>3</v>
      </c>
      <c r="M140" s="22" t="n">
        <v>2</v>
      </c>
      <c r="O140" s="22" t="n">
        <v>28.471</v>
      </c>
      <c r="P140" s="22" t="n">
        <v>5.423</v>
      </c>
      <c r="Q140" s="22" t="n">
        <v>14.36</v>
      </c>
      <c r="R140" s="22" t="n">
        <v>6.088</v>
      </c>
      <c r="S140" s="22" t="n">
        <v>7.4</v>
      </c>
      <c r="T140" s="22" t="n">
        <v>4.261</v>
      </c>
      <c r="U140" s="22" t="n">
        <v>16.226</v>
      </c>
      <c r="V140" s="22" t="n">
        <v>28.672</v>
      </c>
      <c r="W140" s="22" t="n">
        <v>1</v>
      </c>
      <c r="X140" s="22" t="n">
        <v>3</v>
      </c>
    </row>
    <row r="141">
      <c r="A141" s="20" t="inlineStr">
        <is>
          <t>투자유가증권 상환손익</t>
        </is>
      </c>
      <c r="O141" s="22" t="n">
        <v>3.502</v>
      </c>
      <c r="P141" s="22" t="n">
        <v>0</v>
      </c>
    </row>
    <row r="142">
      <c r="A142" s="20" t="inlineStr">
        <is>
          <t>화재손실</t>
        </is>
      </c>
      <c r="S142" s="22" t="n">
        <v>0</v>
      </c>
      <c r="T142" s="22" t="n">
        <v>40.335</v>
      </c>
      <c r="U142" s="22" t="n">
        <v>0</v>
      </c>
    </row>
    <row r="143">
      <c r="A143" s="20" t="inlineStr">
        <is>
          <t>투자유가증권 평가손익</t>
        </is>
      </c>
      <c r="Q143" s="22" t="n">
        <v>0</v>
      </c>
      <c r="R143" s="22" t="n">
        <v>8.096</v>
      </c>
      <c r="S143" s="22" t="n">
        <v>12.809</v>
      </c>
      <c r="T143" s="22" t="n">
        <v>0</v>
      </c>
    </row>
    <row r="144">
      <c r="A144" s="20" t="inlineStr">
        <is>
          <t>매출채권 증감</t>
        </is>
      </c>
      <c r="C144" s="22" t="n">
        <v>-85.267</v>
      </c>
      <c r="E144" s="22" t="n">
        <v>34</v>
      </c>
      <c r="G144" s="22" t="n">
        <v>-70</v>
      </c>
      <c r="I144" s="22" t="n">
        <v>5</v>
      </c>
      <c r="K144" s="22" t="n">
        <v>-328</v>
      </c>
      <c r="M144" s="22" t="n">
        <v>102</v>
      </c>
      <c r="O144" s="22" t="n">
        <v>3.602</v>
      </c>
      <c r="P144" s="22" t="n">
        <v>-51.688</v>
      </c>
      <c r="Q144" s="22" t="n">
        <v>-37.184</v>
      </c>
      <c r="R144" s="22" t="n">
        <v>-87.828</v>
      </c>
      <c r="S144" s="22" t="n">
        <v>-136.194</v>
      </c>
      <c r="T144" s="22" t="n">
        <v>-245.766</v>
      </c>
      <c r="U144" s="22" t="n">
        <v>-14.815</v>
      </c>
      <c r="V144" s="22" t="n">
        <v>-85.267</v>
      </c>
      <c r="W144" s="22" t="n">
        <v>-70</v>
      </c>
      <c r="X144" s="22" t="n">
        <v>-328</v>
      </c>
    </row>
    <row r="145">
      <c r="A145" s="20" t="inlineStr">
        <is>
          <t>재고자산 증감</t>
        </is>
      </c>
      <c r="C145" s="22" t="n">
        <v>-116.645</v>
      </c>
      <c r="E145" s="22" t="n">
        <v>-239</v>
      </c>
      <c r="G145" s="22" t="n">
        <v>-310</v>
      </c>
      <c r="I145" s="22" t="n">
        <v>508</v>
      </c>
      <c r="K145" s="22" t="n">
        <v>229</v>
      </c>
      <c r="M145" s="22" t="n">
        <v>58</v>
      </c>
      <c r="O145" s="22" t="n">
        <v>-44.702</v>
      </c>
      <c r="P145" s="22" t="n">
        <v>-35.963</v>
      </c>
      <c r="Q145" s="22" t="n">
        <v>-192.332</v>
      </c>
      <c r="R145" s="22" t="n">
        <v>-52.225</v>
      </c>
      <c r="S145" s="22" t="n">
        <v>301.264</v>
      </c>
      <c r="T145" s="22" t="n">
        <v>-16.102</v>
      </c>
      <c r="U145" s="22" t="n">
        <v>-244.072</v>
      </c>
      <c r="V145" s="22" t="n">
        <v>-116.645</v>
      </c>
      <c r="W145" s="22" t="n">
        <v>-310</v>
      </c>
      <c r="X145" s="22" t="n">
        <v>229</v>
      </c>
    </row>
    <row r="146">
      <c r="A146" s="20" t="inlineStr">
        <is>
          <t>선급비용 증감</t>
        </is>
      </c>
      <c r="C146" s="22" t="n">
        <v>-0.791</v>
      </c>
      <c r="E146" s="22" t="n">
        <v>-88</v>
      </c>
      <c r="G146" s="22" t="n">
        <v>-4</v>
      </c>
      <c r="I146" s="22" t="n">
        <v>-110</v>
      </c>
      <c r="K146" s="22" t="n">
        <v>-31</v>
      </c>
      <c r="M146" s="22" t="n">
        <v>-114</v>
      </c>
      <c r="V146" s="22" t="n">
        <v>-0.791</v>
      </c>
      <c r="W146" s="22" t="n">
        <v>-4</v>
      </c>
      <c r="X146" s="22" t="n">
        <v>-31</v>
      </c>
    </row>
    <row r="147">
      <c r="A147" s="20" t="inlineStr">
        <is>
          <t>장기선급비용 증감</t>
        </is>
      </c>
      <c r="C147" s="22" t="n">
        <v>-15.361</v>
      </c>
      <c r="G147" s="22" t="n">
        <v>17</v>
      </c>
      <c r="K147" s="22" t="n">
        <v>13</v>
      </c>
      <c r="O147" s="22" t="n">
        <v>10.104</v>
      </c>
      <c r="P147" s="22" t="n">
        <v>-23.303</v>
      </c>
      <c r="Q147" s="22" t="n">
        <v>6.162</v>
      </c>
      <c r="R147" s="22" t="n">
        <v>13.691</v>
      </c>
      <c r="S147" s="22" t="n">
        <v>-31.403</v>
      </c>
      <c r="T147" s="22" t="n">
        <v>9.317</v>
      </c>
      <c r="U147" s="22" t="n">
        <v>9.032</v>
      </c>
      <c r="V147" s="22" t="n">
        <v>-15.361</v>
      </c>
      <c r="W147" s="22" t="n">
        <v>17</v>
      </c>
      <c r="X147" s="22" t="n">
        <v>13</v>
      </c>
    </row>
    <row r="148">
      <c r="A148" s="20" t="inlineStr">
        <is>
          <t>매입채무 증감</t>
        </is>
      </c>
      <c r="C148" s="22" t="n">
        <v>86.246</v>
      </c>
      <c r="E148" s="22" t="n">
        <v>-52</v>
      </c>
      <c r="G148" s="22" t="n">
        <v>-146</v>
      </c>
      <c r="I148" s="22" t="n">
        <v>-22</v>
      </c>
      <c r="K148" s="22" t="n">
        <v>104</v>
      </c>
      <c r="M148" s="22" t="n">
        <v>-81</v>
      </c>
      <c r="O148" s="22" t="n">
        <v>53.885</v>
      </c>
      <c r="P148" s="22" t="n">
        <v>97.018</v>
      </c>
      <c r="Q148" s="22" t="n">
        <v>18.091</v>
      </c>
      <c r="R148" s="22" t="n">
        <v>-62.64</v>
      </c>
      <c r="S148" s="22" t="n">
        <v>-131.302</v>
      </c>
      <c r="T148" s="22" t="n">
        <v>125.511</v>
      </c>
      <c r="U148" s="22" t="n">
        <v>194.343</v>
      </c>
      <c r="V148" s="22" t="n">
        <v>86.246</v>
      </c>
      <c r="W148" s="22" t="n">
        <v>-146</v>
      </c>
      <c r="X148" s="22" t="n">
        <v>104</v>
      </c>
    </row>
    <row r="149">
      <c r="A149" s="20" t="inlineStr">
        <is>
          <t>미지급금 증감</t>
        </is>
      </c>
      <c r="C149" s="22" t="n">
        <v>86.114</v>
      </c>
      <c r="E149" s="22" t="n">
        <v>359</v>
      </c>
      <c r="G149" s="22" t="n">
        <v>224</v>
      </c>
      <c r="I149" s="22" t="n">
        <v>186</v>
      </c>
      <c r="K149" s="22" t="n">
        <v>196</v>
      </c>
      <c r="M149" s="22" t="n">
        <v>361</v>
      </c>
      <c r="O149" s="22" t="n">
        <v>63.775</v>
      </c>
      <c r="P149" s="22" t="n">
        <v>102.783</v>
      </c>
      <c r="Q149" s="22" t="n">
        <v>60.98</v>
      </c>
      <c r="R149" s="22" t="n">
        <v>4.056</v>
      </c>
      <c r="S149" s="22" t="n">
        <v>-86.145</v>
      </c>
      <c r="T149" s="22" t="n">
        <v>96.831</v>
      </c>
      <c r="U149" s="22" t="n">
        <v>0.868</v>
      </c>
      <c r="V149" s="22" t="n">
        <v>86.114</v>
      </c>
      <c r="W149" s="22" t="n">
        <v>224</v>
      </c>
      <c r="X149" s="22" t="n">
        <v>196</v>
      </c>
    </row>
    <row r="150">
      <c r="A150" s="20" t="inlineStr">
        <is>
          <t>계약부채 증감</t>
        </is>
      </c>
      <c r="C150" s="22" t="n">
        <v>52.002</v>
      </c>
      <c r="E150" s="22" t="n">
        <v>26.279</v>
      </c>
      <c r="V150" s="22" t="n">
        <v>52.002</v>
      </c>
    </row>
    <row r="151">
      <c r="A151" s="20" t="inlineStr">
        <is>
          <t>미지급 소비세 증감</t>
        </is>
      </c>
      <c r="I151" s="22" t="n">
        <v>10</v>
      </c>
      <c r="M151" s="22" t="n">
        <v>86</v>
      </c>
      <c r="O151" s="22" t="n">
        <v>-24.323</v>
      </c>
      <c r="P151" s="22" t="n">
        <v>-75.529</v>
      </c>
      <c r="Q151" s="22" t="n">
        <v>67.532</v>
      </c>
      <c r="R151" s="22" t="n">
        <v>84.23399999999999</v>
      </c>
      <c r="S151" s="22" t="n">
        <v>-176.37</v>
      </c>
      <c r="T151" s="22" t="n">
        <v>-50.203</v>
      </c>
      <c r="U151" s="22" t="n">
        <v>232.966</v>
      </c>
    </row>
    <row r="152">
      <c r="A152" s="20" t="inlineStr">
        <is>
          <t>계약부채 증감</t>
        </is>
      </c>
      <c r="C152" s="22" t="n">
        <v>52.002</v>
      </c>
      <c r="E152" s="22" t="n">
        <v>26</v>
      </c>
      <c r="G152" s="22" t="n">
        <v>28</v>
      </c>
      <c r="I152" s="22" t="n">
        <v>36</v>
      </c>
      <c r="K152" s="22" t="n">
        <v>115</v>
      </c>
      <c r="M152" s="22" t="n">
        <v>102</v>
      </c>
      <c r="V152" s="22" t="n">
        <v>52.002</v>
      </c>
      <c r="W152" s="22" t="n">
        <v>28</v>
      </c>
      <c r="X152" s="22" t="n">
        <v>115</v>
      </c>
    </row>
    <row r="153">
      <c r="A153" s="20" t="inlineStr">
        <is>
          <t>기타</t>
        </is>
      </c>
      <c r="C153" s="22" t="n">
        <v>176.598</v>
      </c>
      <c r="E153" s="22" t="n">
        <v>-136</v>
      </c>
      <c r="G153" s="22" t="n">
        <v>16</v>
      </c>
      <c r="I153" s="22" t="n">
        <v>-98</v>
      </c>
      <c r="K153" s="22" t="n">
        <v>-61</v>
      </c>
      <c r="M153" s="22" t="n">
        <v>-23</v>
      </c>
      <c r="O153" s="22" t="n">
        <v>14.039</v>
      </c>
      <c r="P153" s="22" t="n">
        <v>76.212</v>
      </c>
      <c r="Q153" s="22" t="n">
        <v>-44.11</v>
      </c>
      <c r="R153" s="22" t="n">
        <v>52.427</v>
      </c>
      <c r="S153" s="22" t="n">
        <v>-45.402</v>
      </c>
      <c r="T153" s="22" t="n">
        <v>89.47799999999999</v>
      </c>
      <c r="U153" s="22" t="n">
        <v>29.094</v>
      </c>
      <c r="V153" s="22" t="n">
        <v>176.598</v>
      </c>
      <c r="W153" s="22" t="n">
        <v>16</v>
      </c>
      <c r="X153" s="22" t="n">
        <v>-61</v>
      </c>
    </row>
    <row r="154">
      <c r="A154" s="20" t="inlineStr">
        <is>
          <t>소계</t>
        </is>
      </c>
      <c r="C154" s="22" t="n">
        <v>2784.018</v>
      </c>
      <c r="E154" s="22" t="n">
        <v>1583</v>
      </c>
      <c r="G154" s="22" t="n">
        <v>3304</v>
      </c>
      <c r="I154" s="22" t="n">
        <v>2230</v>
      </c>
      <c r="K154" s="22" t="n">
        <v>4210</v>
      </c>
      <c r="M154" s="22" t="n">
        <v>2910</v>
      </c>
      <c r="O154" s="22" t="n">
        <v>3663.089</v>
      </c>
      <c r="P154" s="22" t="n">
        <v>3428.003</v>
      </c>
      <c r="Q154" s="22" t="n">
        <v>3468.294</v>
      </c>
      <c r="R154" s="22" t="n">
        <v>3318.448</v>
      </c>
      <c r="S154" s="22" t="n">
        <v>554.837</v>
      </c>
      <c r="T154" s="22" t="n">
        <v>791.3339999999999</v>
      </c>
      <c r="U154" s="22" t="n">
        <v>1809.919</v>
      </c>
      <c r="V154" s="22" t="n">
        <v>2784.018</v>
      </c>
      <c r="W154" s="22" t="n">
        <v>3304</v>
      </c>
      <c r="X154" s="22" t="n">
        <v>4210</v>
      </c>
    </row>
    <row r="155">
      <c r="A155" s="20" t="inlineStr">
        <is>
          <t>이자·배당금 수취</t>
        </is>
      </c>
      <c r="C155" s="22" t="n">
        <v>7.715</v>
      </c>
      <c r="E155" s="22" t="n">
        <v>4</v>
      </c>
      <c r="G155" s="22" t="n">
        <v>11</v>
      </c>
      <c r="I155" s="22" t="n">
        <v>7</v>
      </c>
      <c r="K155" s="22" t="n">
        <v>16</v>
      </c>
      <c r="M155" s="22" t="n">
        <v>9</v>
      </c>
      <c r="O155" s="22" t="n">
        <v>6.411</v>
      </c>
      <c r="P155" s="22" t="n">
        <v>5.517</v>
      </c>
      <c r="Q155" s="22" t="n">
        <v>5.302</v>
      </c>
      <c r="R155" s="22" t="n">
        <v>5.774</v>
      </c>
      <c r="S155" s="22" t="n">
        <v>7.428</v>
      </c>
      <c r="T155" s="22" t="n">
        <v>7.198</v>
      </c>
      <c r="U155" s="22" t="n">
        <v>8.287000000000001</v>
      </c>
      <c r="V155" s="22" t="n">
        <v>7.715</v>
      </c>
      <c r="W155" s="22" t="n">
        <v>11</v>
      </c>
      <c r="X155" s="22" t="n">
        <v>16</v>
      </c>
    </row>
    <row r="156">
      <c r="A156" s="20" t="inlineStr">
        <is>
          <t>이자 지급</t>
        </is>
      </c>
      <c r="C156" s="22" t="n">
        <v>-0.737</v>
      </c>
      <c r="E156" s="22" t="n">
        <v>-0</v>
      </c>
      <c r="G156" s="22" t="n">
        <v>-0</v>
      </c>
      <c r="I156" s="22" t="n">
        <v>-0</v>
      </c>
      <c r="K156" s="22" t="n">
        <v>-0</v>
      </c>
      <c r="M156" s="22" t="n">
        <v>-0</v>
      </c>
      <c r="O156" s="22" t="n">
        <v>-0.479</v>
      </c>
      <c r="P156" s="22" t="n">
        <v>-0.382</v>
      </c>
      <c r="Q156" s="22" t="n">
        <v>-0.402</v>
      </c>
      <c r="R156" s="22" t="n">
        <v>-0.475</v>
      </c>
      <c r="S156" s="22" t="n">
        <v>-6.845</v>
      </c>
      <c r="T156" s="22" t="n">
        <v>-10.086</v>
      </c>
      <c r="U156" s="22" t="n">
        <v>-3.397</v>
      </c>
      <c r="V156" s="22" t="n">
        <v>-0.737</v>
      </c>
      <c r="W156" s="22" t="n">
        <v>-0</v>
      </c>
      <c r="X156" s="22" t="n">
        <v>-0</v>
      </c>
    </row>
    <row r="157">
      <c r="A157" s="20" t="inlineStr">
        <is>
          <t>법인세 납부</t>
        </is>
      </c>
      <c r="C157" s="22" t="n">
        <v>-245.231</v>
      </c>
      <c r="E157" s="22" t="n">
        <v>-377</v>
      </c>
      <c r="G157" s="22" t="n">
        <v>-647</v>
      </c>
      <c r="I157" s="22" t="n">
        <v>-485</v>
      </c>
      <c r="K157" s="22" t="n">
        <v>-859</v>
      </c>
      <c r="M157" s="22" t="n">
        <v>-497</v>
      </c>
      <c r="O157" s="22" t="n">
        <v>-899.38</v>
      </c>
      <c r="P157" s="22" t="n">
        <v>-900.052</v>
      </c>
      <c r="Q157" s="22" t="n">
        <v>-680.197</v>
      </c>
      <c r="R157" s="22" t="n">
        <v>-903.569</v>
      </c>
      <c r="S157" s="22" t="n">
        <v>-729.227</v>
      </c>
      <c r="T157" s="22" t="n">
        <v>-29.581</v>
      </c>
      <c r="U157" s="22" t="n">
        <v>-756.499</v>
      </c>
      <c r="V157" s="22" t="n">
        <v>-245.231</v>
      </c>
      <c r="W157" s="22" t="n">
        <v>-647</v>
      </c>
      <c r="X157" s="22" t="n">
        <v>-859</v>
      </c>
    </row>
    <row r="158">
      <c r="A158" s="20" t="inlineStr">
        <is>
          <t>법인세 환급</t>
        </is>
      </c>
      <c r="S158" s="22" t="n">
        <v>0.08500000000000001</v>
      </c>
      <c r="T158" s="22" t="n">
        <v>341.264</v>
      </c>
      <c r="U158" s="22" t="n">
        <v>0</v>
      </c>
    </row>
    <row r="159">
      <c r="A159" s="20" t="inlineStr">
        <is>
          <t>보조금 수취</t>
        </is>
      </c>
      <c r="S159" s="22" t="n">
        <v>0</v>
      </c>
      <c r="T159" s="22" t="n">
        <v>1302.476</v>
      </c>
      <c r="U159" s="22" t="n">
        <v>473.456</v>
      </c>
    </row>
    <row r="160">
      <c r="A160" s="20" t="inlineStr">
        <is>
          <t>보험금 수취</t>
        </is>
      </c>
      <c r="T160" s="22" t="n">
        <v>0</v>
      </c>
      <c r="U160" s="22" t="n">
        <v>89.45099999999999</v>
      </c>
    </row>
    <row r="161">
      <c r="A161" s="20" t="inlineStr">
        <is>
          <t>보조금 수취</t>
        </is>
      </c>
      <c r="S161" s="22" t="n">
        <v>115.81</v>
      </c>
      <c r="T161" s="22" t="n">
        <v>18.979</v>
      </c>
      <c r="U161" s="22" t="n">
        <v>0</v>
      </c>
    </row>
    <row r="162">
      <c r="A162" s="9" t="inlineStr">
        <is>
          <t>영업활동 현금흐름</t>
        </is>
      </c>
      <c r="C162" s="12" t="n">
        <v>2545.766</v>
      </c>
      <c r="E162" s="12" t="n">
        <v>1209</v>
      </c>
      <c r="G162" s="12" t="n">
        <v>2668</v>
      </c>
      <c r="I162" s="12" t="n">
        <v>1752</v>
      </c>
      <c r="K162" s="12" t="n">
        <v>3366</v>
      </c>
      <c r="M162" s="12" t="n">
        <v>2422</v>
      </c>
      <c r="O162" s="12" t="n">
        <v>2769.639</v>
      </c>
      <c r="P162" s="12" t="n">
        <v>2533.086</v>
      </c>
      <c r="Q162" s="12" t="n">
        <v>2792.996</v>
      </c>
      <c r="R162" s="12" t="n">
        <v>2420.177</v>
      </c>
      <c r="S162" s="12" t="n">
        <v>-57.912</v>
      </c>
      <c r="T162" s="12" t="n">
        <v>2421.584</v>
      </c>
      <c r="U162" s="12" t="n">
        <v>1621.218</v>
      </c>
      <c r="V162" s="12" t="n">
        <v>2545.766</v>
      </c>
      <c r="W162" s="12" t="n">
        <v>2668</v>
      </c>
      <c r="X162" s="12" t="n">
        <v>3366</v>
      </c>
    </row>
    <row r="163">
      <c r="A163" s="20" t="inlineStr">
        <is>
          <t>투자유가증권 취득</t>
        </is>
      </c>
      <c r="C163" s="22" t="n">
        <v>-1.799</v>
      </c>
      <c r="E163" s="22" t="n">
        <v>-0</v>
      </c>
      <c r="G163" s="22" t="n">
        <v>-1</v>
      </c>
      <c r="I163" s="22" t="n">
        <v>-0</v>
      </c>
      <c r="K163" s="22" t="n">
        <v>-0</v>
      </c>
      <c r="M163" s="22" t="n">
        <v>-0</v>
      </c>
      <c r="Q163" s="22" t="n">
        <v>0</v>
      </c>
      <c r="R163" s="22" t="n">
        <v>-0.104</v>
      </c>
      <c r="S163" s="22" t="n">
        <v>0</v>
      </c>
      <c r="V163" s="22" t="n">
        <v>-1.799</v>
      </c>
      <c r="W163" s="22" t="n">
        <v>-1</v>
      </c>
      <c r="X163" s="22" t="n">
        <v>-0</v>
      </c>
    </row>
    <row r="164">
      <c r="A164" s="20" t="inlineStr">
        <is>
          <t>투자유가증권 매각</t>
        </is>
      </c>
      <c r="E164" s="22" t="n">
        <v>0</v>
      </c>
      <c r="G164" s="22" t="n">
        <v>0</v>
      </c>
      <c r="I164" s="22" t="n">
        <v>0</v>
      </c>
      <c r="K164" s="22" t="n">
        <v>25</v>
      </c>
      <c r="M164" s="22" t="n">
        <v>0</v>
      </c>
      <c r="T164" s="22" t="n">
        <v>0</v>
      </c>
      <c r="U164" s="22" t="n">
        <v>15.809</v>
      </c>
      <c r="W164" s="22" t="n">
        <v>0</v>
      </c>
      <c r="X164" s="22" t="n">
        <v>25</v>
      </c>
    </row>
    <row r="165">
      <c r="A165" s="20" t="inlineStr">
        <is>
          <t>관계회사 주식 취득</t>
        </is>
      </c>
      <c r="T165" s="22" t="n">
        <v>0</v>
      </c>
      <c r="U165" s="22" t="n">
        <v>-121.163</v>
      </c>
    </row>
    <row r="166">
      <c r="A166" s="20" t="inlineStr">
        <is>
          <t>장기대여</t>
        </is>
      </c>
      <c r="T166" s="22" t="n">
        <v>0</v>
      </c>
      <c r="U166" s="22" t="n">
        <v>-250</v>
      </c>
    </row>
    <row r="167">
      <c r="A167" s="20" t="inlineStr">
        <is>
          <t>장기대여금 회수</t>
        </is>
      </c>
      <c r="T167" s="22" t="n">
        <v>0</v>
      </c>
      <c r="U167" s="22" t="n">
        <v>21</v>
      </c>
    </row>
    <row r="168">
      <c r="A168" s="20" t="inlineStr">
        <is>
          <t>유형자산 취득(설비투자)</t>
        </is>
      </c>
      <c r="C168" s="22" t="n">
        <v>-1057.12</v>
      </c>
      <c r="E168" s="22" t="n">
        <v>-315</v>
      </c>
      <c r="G168" s="22" t="n">
        <v>-1077</v>
      </c>
      <c r="I168" s="22" t="n">
        <v>-653</v>
      </c>
      <c r="K168" s="22" t="n">
        <v>-1427</v>
      </c>
      <c r="M168" s="22" t="n">
        <v>-611</v>
      </c>
      <c r="O168" s="22" t="n">
        <v>-1577.982</v>
      </c>
      <c r="P168" s="22" t="n">
        <v>-3345.34</v>
      </c>
      <c r="Q168" s="22" t="n">
        <v>-1649.15</v>
      </c>
      <c r="R168" s="22" t="n">
        <v>-758.2140000000001</v>
      </c>
      <c r="S168" s="22" t="n">
        <v>-296.477</v>
      </c>
      <c r="T168" s="22" t="n">
        <v>-1695.123</v>
      </c>
      <c r="U168" s="22" t="n">
        <v>-1032.914</v>
      </c>
      <c r="V168" s="22" t="n">
        <v>-1057.12</v>
      </c>
      <c r="W168" s="22" t="n">
        <v>-1077</v>
      </c>
      <c r="X168" s="22" t="n">
        <v>-1427</v>
      </c>
    </row>
    <row r="169">
      <c r="A169" s="20" t="inlineStr">
        <is>
          <t>유형자산 제각 지출</t>
        </is>
      </c>
      <c r="O169" s="22" t="n">
        <v>-5.51</v>
      </c>
      <c r="P169" s="22" t="n">
        <v>-4.53</v>
      </c>
      <c r="Q169" s="22" t="n">
        <v>-7.892</v>
      </c>
      <c r="R169" s="22" t="n">
        <v>-0.88</v>
      </c>
      <c r="S169" s="22" t="n">
        <v>-0.314</v>
      </c>
      <c r="T169" s="22" t="n">
        <v>0</v>
      </c>
      <c r="U169" s="22" t="n">
        <v>-0.198</v>
      </c>
    </row>
    <row r="170">
      <c r="A170" s="20" t="inlineStr">
        <is>
          <t>유형자산 매각</t>
        </is>
      </c>
      <c r="C170" s="22" t="n">
        <v>0.185</v>
      </c>
      <c r="G170" s="22" t="n">
        <v>1</v>
      </c>
      <c r="I170" s="22" t="n">
        <v>0</v>
      </c>
      <c r="K170" s="22" t="n">
        <v>0</v>
      </c>
      <c r="M170" s="22" t="n">
        <v>0</v>
      </c>
      <c r="Q170" s="22" t="n">
        <v>0</v>
      </c>
      <c r="R170" s="22" t="n">
        <v>0.274</v>
      </c>
      <c r="S170" s="22" t="n">
        <v>2.557</v>
      </c>
      <c r="T170" s="22" t="n">
        <v>0</v>
      </c>
      <c r="U170" s="22" t="n">
        <v>0.78</v>
      </c>
      <c r="V170" s="22" t="n">
        <v>0.185</v>
      </c>
      <c r="W170" s="22" t="n">
        <v>1</v>
      </c>
      <c r="X170" s="22" t="n">
        <v>0</v>
      </c>
    </row>
    <row r="171">
      <c r="A171" s="20" t="inlineStr">
        <is>
          <t>무형자산 취득</t>
        </is>
      </c>
      <c r="C171" s="22" t="n">
        <v>-15.13</v>
      </c>
      <c r="E171" s="22" t="n">
        <v>-59</v>
      </c>
      <c r="G171" s="22" t="n">
        <v>-70</v>
      </c>
      <c r="I171" s="22" t="n">
        <v>-6</v>
      </c>
      <c r="K171" s="22" t="n">
        <v>-12</v>
      </c>
      <c r="M171" s="22" t="n">
        <v>-5</v>
      </c>
      <c r="O171" s="22" t="n">
        <v>-27.312</v>
      </c>
      <c r="P171" s="22" t="n">
        <v>-62.449</v>
      </c>
      <c r="Q171" s="22" t="n">
        <v>-10.613</v>
      </c>
      <c r="R171" s="22" t="n">
        <v>-26.423</v>
      </c>
      <c r="S171" s="22" t="n">
        <v>-59.194</v>
      </c>
      <c r="T171" s="22" t="n">
        <v>-125.959</v>
      </c>
      <c r="U171" s="22" t="n">
        <v>-20.177</v>
      </c>
      <c r="V171" s="22" t="n">
        <v>-15.13</v>
      </c>
      <c r="W171" s="22" t="n">
        <v>-70</v>
      </c>
      <c r="X171" s="22" t="n">
        <v>-12</v>
      </c>
    </row>
    <row r="172">
      <c r="A172" s="20" t="inlineStr">
        <is>
          <t>자산복구부채 이행 지출</t>
        </is>
      </c>
      <c r="Q172" s="22" t="n">
        <v>0</v>
      </c>
      <c r="R172" s="22" t="n">
        <v>-10.536</v>
      </c>
      <c r="S172" s="22" t="n">
        <v>-14.14</v>
      </c>
      <c r="T172" s="22" t="n">
        <v>-12.12</v>
      </c>
      <c r="U172" s="22" t="n">
        <v>-9.007999999999999</v>
      </c>
    </row>
    <row r="173">
      <c r="A173" s="20" t="inlineStr">
        <is>
          <t>보증금 납입</t>
        </is>
      </c>
      <c r="C173" s="22" t="n">
        <v>-26.688</v>
      </c>
      <c r="E173" s="22" t="n">
        <v>-9</v>
      </c>
      <c r="G173" s="22" t="n">
        <v>-41</v>
      </c>
      <c r="I173" s="22" t="n">
        <v>-20</v>
      </c>
      <c r="K173" s="22" t="n">
        <v>-32</v>
      </c>
      <c r="M173" s="22" t="n">
        <v>-14</v>
      </c>
      <c r="O173" s="22" t="n">
        <v>-71.271</v>
      </c>
      <c r="P173" s="22" t="n">
        <v>-122.632</v>
      </c>
      <c r="Q173" s="22" t="n">
        <v>-42.93</v>
      </c>
      <c r="R173" s="22" t="n">
        <v>-12.403</v>
      </c>
      <c r="S173" s="22" t="n">
        <v>-4.605</v>
      </c>
      <c r="T173" s="22" t="n">
        <v>-47.395</v>
      </c>
      <c r="U173" s="22" t="n">
        <v>-36.912</v>
      </c>
      <c r="V173" s="22" t="n">
        <v>-26.688</v>
      </c>
      <c r="W173" s="22" t="n">
        <v>-41</v>
      </c>
      <c r="X173" s="22" t="n">
        <v>-32</v>
      </c>
    </row>
    <row r="174">
      <c r="A174" s="20" t="inlineStr">
        <is>
          <t>보증금 회수</t>
        </is>
      </c>
      <c r="C174" s="22" t="n">
        <v>0</v>
      </c>
      <c r="E174" s="22" t="n">
        <v>10</v>
      </c>
      <c r="G174" s="22" t="n">
        <v>13</v>
      </c>
      <c r="I174" s="22" t="n">
        <v>0</v>
      </c>
      <c r="K174" s="22" t="n">
        <v>8</v>
      </c>
      <c r="M174" s="22" t="n">
        <v>0</v>
      </c>
      <c r="O174" s="22" t="n">
        <v>5.458</v>
      </c>
      <c r="P174" s="22" t="n">
        <v>2.722</v>
      </c>
      <c r="Q174" s="22" t="n">
        <v>0.888</v>
      </c>
      <c r="R174" s="22" t="n">
        <v>19.322</v>
      </c>
      <c r="S174" s="22" t="n">
        <v>51.76</v>
      </c>
      <c r="T174" s="22" t="n">
        <v>18.5</v>
      </c>
      <c r="U174" s="22" t="n">
        <v>17.224</v>
      </c>
      <c r="V174" s="22" t="n">
        <v>0</v>
      </c>
      <c r="W174" s="22" t="n">
        <v>13</v>
      </c>
      <c r="X174" s="22" t="n">
        <v>8</v>
      </c>
    </row>
    <row r="175">
      <c r="A175" s="20" t="inlineStr">
        <is>
          <t>건설협력금 회수</t>
        </is>
      </c>
      <c r="C175" s="22" t="n">
        <v>24.675</v>
      </c>
      <c r="E175" s="22" t="n">
        <v>6</v>
      </c>
      <c r="G175" s="22" t="n">
        <v>25</v>
      </c>
      <c r="I175" s="22" t="n">
        <v>12</v>
      </c>
      <c r="K175" s="22" t="n">
        <v>30</v>
      </c>
      <c r="M175" s="22" t="n">
        <v>12</v>
      </c>
      <c r="O175" s="22" t="n">
        <v>29.112</v>
      </c>
      <c r="P175" s="22" t="n">
        <v>25.363</v>
      </c>
      <c r="Q175" s="22" t="n">
        <v>24.892</v>
      </c>
      <c r="R175" s="22" t="n">
        <v>22.808</v>
      </c>
      <c r="S175" s="22" t="n">
        <v>21.421</v>
      </c>
      <c r="T175" s="22" t="n">
        <v>22.857</v>
      </c>
      <c r="U175" s="22" t="n">
        <v>26.409</v>
      </c>
      <c r="V175" s="22" t="n">
        <v>24.675</v>
      </c>
      <c r="W175" s="22" t="n">
        <v>25</v>
      </c>
      <c r="X175" s="22" t="n">
        <v>30</v>
      </c>
    </row>
    <row r="176">
      <c r="A176" s="20" t="inlineStr">
        <is>
          <t>보험적립금 적립</t>
        </is>
      </c>
      <c r="O176" s="22" t="n">
        <v>-3.651</v>
      </c>
      <c r="P176" s="22" t="n">
        <v>-3.651</v>
      </c>
      <c r="Q176" s="22" t="n">
        <v>-3.651</v>
      </c>
      <c r="R176" s="22" t="n">
        <v>-3.651</v>
      </c>
      <c r="S176" s="22" t="n">
        <v>-3.651</v>
      </c>
      <c r="T176" s="22" t="n">
        <v>-3.651</v>
      </c>
      <c r="U176" s="22" t="n">
        <v>-3.651</v>
      </c>
    </row>
    <row r="177">
      <c r="A177" s="20" t="inlineStr">
        <is>
          <t>출자금 납입</t>
        </is>
      </c>
      <c r="P177" s="22" t="n">
        <v>-0.01</v>
      </c>
      <c r="Q177" s="22" t="n">
        <v>0</v>
      </c>
    </row>
    <row r="178">
      <c r="A178" s="20" t="inlineStr">
        <is>
          <t>예수보증금 반환</t>
        </is>
      </c>
      <c r="O178" s="22" t="n">
        <v>0</v>
      </c>
      <c r="P178" s="22" t="n">
        <v>-5.89</v>
      </c>
      <c r="Q178" s="22" t="n">
        <v>-10.52</v>
      </c>
      <c r="R178" s="22" t="n">
        <v>-0.35</v>
      </c>
      <c r="S178" s="22" t="n">
        <v>-0.572</v>
      </c>
      <c r="T178" s="22" t="n">
        <v>-0.062</v>
      </c>
      <c r="U178" s="22" t="n">
        <v>0</v>
      </c>
    </row>
    <row r="179">
      <c r="A179" s="20" t="inlineStr">
        <is>
          <t>예수보증금 수입</t>
        </is>
      </c>
      <c r="O179" s="22" t="n">
        <v>0</v>
      </c>
      <c r="P179" s="22" t="n">
        <v>12.98</v>
      </c>
      <c r="Q179" s="22" t="n">
        <v>0</v>
      </c>
      <c r="R179" s="22" t="n">
        <v>5</v>
      </c>
      <c r="S179" s="22" t="n">
        <v>0.249</v>
      </c>
      <c r="T179" s="22" t="n">
        <v>0</v>
      </c>
    </row>
    <row r="180">
      <c r="A180" s="20" t="inlineStr">
        <is>
          <t>출자금 회수</t>
        </is>
      </c>
      <c r="O180" s="22" t="n">
        <v>0</v>
      </c>
      <c r="P180" s="22" t="n">
        <v>-0.01</v>
      </c>
      <c r="S180" s="22" t="n">
        <v>0</v>
      </c>
      <c r="T180" s="22" t="n">
        <v>0.02</v>
      </c>
      <c r="U180" s="22" t="n">
        <v>0</v>
      </c>
    </row>
    <row r="181">
      <c r="A181" s="20" t="inlineStr">
        <is>
          <t>건설협력금 지급</t>
        </is>
      </c>
      <c r="C181" s="22" t="n">
        <v>-16.2</v>
      </c>
      <c r="G181" s="22" t="n">
        <v>-14</v>
      </c>
      <c r="K181" s="22" t="n">
        <v>-22</v>
      </c>
      <c r="O181" s="22" t="n">
        <v>-18</v>
      </c>
      <c r="P181" s="22" t="n">
        <v>-18</v>
      </c>
      <c r="Q181" s="22" t="n">
        <v>-27</v>
      </c>
      <c r="R181" s="22" t="n">
        <v>-36</v>
      </c>
      <c r="S181" s="22" t="n">
        <v>-36</v>
      </c>
      <c r="T181" s="22" t="n">
        <v>0</v>
      </c>
      <c r="U181" s="22" t="n">
        <v>-48</v>
      </c>
      <c r="V181" s="22" t="n">
        <v>-16.2</v>
      </c>
      <c r="W181" s="22" t="n">
        <v>-14</v>
      </c>
      <c r="X181" s="22" t="n">
        <v>-22</v>
      </c>
    </row>
    <row r="182">
      <c r="A182" s="20" t="inlineStr">
        <is>
          <t>정기예금 예입</t>
        </is>
      </c>
      <c r="C182" s="22" t="n">
        <v>0</v>
      </c>
      <c r="E182" s="22" t="n">
        <v>-1000</v>
      </c>
      <c r="G182" s="22" t="n">
        <v>-1000</v>
      </c>
      <c r="I182" s="22" t="n">
        <v>0</v>
      </c>
      <c r="K182" s="22" t="n">
        <v>0</v>
      </c>
      <c r="O182" s="22" t="n">
        <v>-36.191</v>
      </c>
      <c r="P182" s="22" t="n">
        <v>-36.123</v>
      </c>
      <c r="Q182" s="22" t="n">
        <v>-36.083</v>
      </c>
      <c r="R182" s="22" t="n">
        <v>-1036.082</v>
      </c>
      <c r="S182" s="22" t="n">
        <v>-12.083</v>
      </c>
      <c r="T182" s="22" t="n">
        <v>-0.046</v>
      </c>
      <c r="U182" s="22" t="n">
        <v>-0.021</v>
      </c>
      <c r="V182" s="22" t="n">
        <v>0</v>
      </c>
      <c r="W182" s="22" t="n">
        <v>-1000</v>
      </c>
      <c r="X182" s="22" t="n">
        <v>0</v>
      </c>
    </row>
    <row r="183">
      <c r="A183" s="20" t="inlineStr">
        <is>
          <t>투자유가증권 상환</t>
        </is>
      </c>
      <c r="O183" s="22" t="n">
        <v>7.831</v>
      </c>
      <c r="P183" s="22" t="n">
        <v>0</v>
      </c>
    </row>
    <row r="184">
      <c r="A184" s="20" t="inlineStr">
        <is>
          <t>정기예금 인출</t>
        </is>
      </c>
      <c r="C184" s="22" t="n">
        <v>0</v>
      </c>
      <c r="E184" s="22" t="n">
        <v>973</v>
      </c>
      <c r="G184" s="22" t="n">
        <v>981</v>
      </c>
      <c r="I184" s="22" t="n">
        <v>0</v>
      </c>
      <c r="K184" s="22" t="n">
        <v>0</v>
      </c>
      <c r="S184" s="22" t="n">
        <v>0</v>
      </c>
      <c r="T184" s="22" t="n">
        <v>24.594</v>
      </c>
      <c r="U184" s="22" t="n">
        <v>0</v>
      </c>
      <c r="V184" s="22" t="n">
        <v>0</v>
      </c>
      <c r="W184" s="22" t="n">
        <v>981</v>
      </c>
      <c r="X184" s="22" t="n">
        <v>0</v>
      </c>
    </row>
    <row r="185">
      <c r="A185" s="20" t="inlineStr">
        <is>
          <t>연결범위 변경 자회사 주식 취득</t>
        </is>
      </c>
      <c r="C185" s="22" t="n">
        <v>0</v>
      </c>
      <c r="E185" s="22" t="n">
        <v>-199</v>
      </c>
      <c r="G185" s="22" t="n">
        <v>-199</v>
      </c>
      <c r="I185" s="22" t="n">
        <v>0</v>
      </c>
      <c r="K185" s="22" t="n">
        <v>0</v>
      </c>
      <c r="M185" s="22" t="n">
        <v>-72</v>
      </c>
      <c r="V185" s="22" t="n">
        <v>0</v>
      </c>
      <c r="W185" s="22" t="n">
        <v>-199</v>
      </c>
      <c r="X185" s="22" t="n">
        <v>0</v>
      </c>
    </row>
    <row r="186">
      <c r="A186" s="20" t="inlineStr">
        <is>
          <t>기타</t>
        </is>
      </c>
      <c r="C186" s="22" t="n">
        <v>4.12</v>
      </c>
      <c r="E186" s="22" t="n">
        <v>-0</v>
      </c>
      <c r="G186" s="22" t="n">
        <v>-8</v>
      </c>
      <c r="I186" s="22" t="n">
        <v>-0</v>
      </c>
      <c r="K186" s="22" t="n">
        <v>-4</v>
      </c>
      <c r="M186" s="22" t="n">
        <v>-2</v>
      </c>
      <c r="V186" s="22" t="n">
        <v>4.12</v>
      </c>
      <c r="W186" s="22" t="n">
        <v>-8</v>
      </c>
      <c r="X186" s="22" t="n">
        <v>-4</v>
      </c>
    </row>
    <row r="187">
      <c r="A187" s="9" t="inlineStr">
        <is>
          <t>투자활동 현금흐름</t>
        </is>
      </c>
      <c r="C187" s="12" t="n">
        <v>-1087.958</v>
      </c>
      <c r="E187" s="12" t="n">
        <v>-595</v>
      </c>
      <c r="G187" s="12" t="n">
        <v>-1391</v>
      </c>
      <c r="I187" s="12" t="n">
        <v>-668</v>
      </c>
      <c r="K187" s="12" t="n">
        <v>-1436</v>
      </c>
      <c r="M187" s="12" t="n">
        <v>-693</v>
      </c>
      <c r="O187" s="12" t="n">
        <v>-1697.518</v>
      </c>
      <c r="P187" s="12" t="n">
        <v>-3557.564</v>
      </c>
      <c r="Q187" s="12" t="n">
        <v>-1762.062</v>
      </c>
      <c r="R187" s="12" t="n">
        <v>-1837.24</v>
      </c>
      <c r="S187" s="12" t="n">
        <v>-351.051</v>
      </c>
      <c r="T187" s="12" t="n">
        <v>-1818.386</v>
      </c>
      <c r="U187" s="12" t="n">
        <v>-1440.824</v>
      </c>
      <c r="V187" s="12" t="n">
        <v>-1087.958</v>
      </c>
      <c r="W187" s="12" t="n">
        <v>-1391</v>
      </c>
      <c r="X187" s="12" t="n">
        <v>-1436</v>
      </c>
    </row>
    <row r="188">
      <c r="A188" s="20" t="inlineStr">
        <is>
          <t>단기차입금 순증감</t>
        </is>
      </c>
      <c r="C188" s="22" t="n">
        <v>-18.336</v>
      </c>
      <c r="E188" s="22" t="n">
        <v>-3</v>
      </c>
      <c r="G188" s="22" t="n">
        <v>-3</v>
      </c>
      <c r="I188" s="22" t="n">
        <v>0</v>
      </c>
      <c r="K188" s="22" t="n">
        <v>0</v>
      </c>
      <c r="O188" s="22" t="n">
        <v>-0.54</v>
      </c>
      <c r="P188" s="22" t="n">
        <v>2.068</v>
      </c>
      <c r="Q188" s="22" t="n">
        <v>-4.884</v>
      </c>
      <c r="R188" s="22" t="n">
        <v>6.984</v>
      </c>
      <c r="S188" s="22" t="n">
        <v>-43.2</v>
      </c>
      <c r="T188" s="22" t="n">
        <v>-19.6</v>
      </c>
      <c r="U188" s="22" t="n">
        <v>29.36</v>
      </c>
      <c r="V188" s="22" t="n">
        <v>-18.336</v>
      </c>
      <c r="W188" s="22" t="n">
        <v>-3</v>
      </c>
      <c r="X188" s="22" t="n">
        <v>0</v>
      </c>
    </row>
    <row r="189">
      <c r="A189" s="20" t="inlineStr">
        <is>
          <t>장기차입</t>
        </is>
      </c>
      <c r="R189" s="22" t="n">
        <v>0</v>
      </c>
      <c r="S189" s="22" t="n">
        <v>5000</v>
      </c>
      <c r="T189" s="22" t="n">
        <v>1000</v>
      </c>
      <c r="U189" s="22" t="n">
        <v>700</v>
      </c>
    </row>
    <row r="190">
      <c r="A190" s="20" t="inlineStr">
        <is>
          <t>장기차입금 상환</t>
        </is>
      </c>
      <c r="C190" s="22" t="n">
        <v>-348</v>
      </c>
      <c r="E190" s="22" t="n">
        <v>-120</v>
      </c>
      <c r="G190" s="22" t="n">
        <v>-202</v>
      </c>
      <c r="I190" s="22" t="n">
        <v>0</v>
      </c>
      <c r="K190" s="22" t="n">
        <v>0</v>
      </c>
      <c r="S190" s="22" t="n">
        <v>0</v>
      </c>
      <c r="T190" s="22" t="n">
        <v>-199.992</v>
      </c>
      <c r="U190" s="22" t="n">
        <v>-6032.008</v>
      </c>
      <c r="V190" s="22" t="n">
        <v>-348</v>
      </c>
      <c r="W190" s="22" t="n">
        <v>-202</v>
      </c>
      <c r="X190" s="22" t="n">
        <v>0</v>
      </c>
    </row>
    <row r="191">
      <c r="A191" s="20" t="inlineStr">
        <is>
          <t>리스부채 상환</t>
        </is>
      </c>
      <c r="C191" s="22" t="n">
        <v>-20.132</v>
      </c>
      <c r="E191" s="22" t="n">
        <v>-15</v>
      </c>
      <c r="G191" s="22" t="n">
        <v>-25</v>
      </c>
      <c r="I191" s="22" t="n">
        <v>-15</v>
      </c>
      <c r="K191" s="22" t="n">
        <v>-29</v>
      </c>
      <c r="M191" s="22" t="n">
        <v>-14</v>
      </c>
      <c r="O191" s="22" t="n">
        <v>-12.162</v>
      </c>
      <c r="P191" s="22" t="n">
        <v>-12.662</v>
      </c>
      <c r="Q191" s="22" t="n">
        <v>-14.228</v>
      </c>
      <c r="R191" s="22" t="n">
        <v>-15.6</v>
      </c>
      <c r="S191" s="22" t="n">
        <v>-16.95</v>
      </c>
      <c r="T191" s="22" t="n">
        <v>-18.75</v>
      </c>
      <c r="U191" s="22" t="n">
        <v>-19.9</v>
      </c>
      <c r="V191" s="22" t="n">
        <v>-20.132</v>
      </c>
      <c r="W191" s="22" t="n">
        <v>-25</v>
      </c>
      <c r="X191" s="22" t="n">
        <v>-29</v>
      </c>
    </row>
    <row r="192">
      <c r="A192" s="20" t="inlineStr">
        <is>
          <t>자기주식 취득</t>
        </is>
      </c>
      <c r="C192" s="22" t="n">
        <v>-0.08</v>
      </c>
      <c r="E192" s="22" t="n">
        <v>0</v>
      </c>
      <c r="G192" s="22" t="n">
        <v>-0</v>
      </c>
      <c r="I192" s="22" t="n">
        <v>-0</v>
      </c>
      <c r="K192" s="22" t="n">
        <v>-0</v>
      </c>
      <c r="M192" s="22" t="n">
        <v>-0</v>
      </c>
      <c r="O192" s="22" t="n">
        <v>-0.249</v>
      </c>
      <c r="P192" s="22" t="n">
        <v>-0.234</v>
      </c>
      <c r="Q192" s="22" t="n">
        <v>-0.392</v>
      </c>
      <c r="R192" s="22" t="n">
        <v>-0.163</v>
      </c>
      <c r="S192" s="22" t="n">
        <v>-0.192</v>
      </c>
      <c r="T192" s="22" t="n">
        <v>0</v>
      </c>
      <c r="U192" s="22" t="n">
        <v>-524.232</v>
      </c>
      <c r="V192" s="22" t="n">
        <v>-0.08</v>
      </c>
      <c r="W192" s="22" t="n">
        <v>-0</v>
      </c>
      <c r="X192" s="22" t="n">
        <v>-0</v>
      </c>
    </row>
    <row r="193">
      <c r="A193" s="20" t="inlineStr">
        <is>
          <t>배당금 지급</t>
        </is>
      </c>
      <c r="C193" s="22" t="n">
        <v>-239.989</v>
      </c>
      <c r="E193" s="22" t="n">
        <v>-146</v>
      </c>
      <c r="G193" s="22" t="n">
        <v>-324</v>
      </c>
      <c r="I193" s="22" t="n">
        <v>-180</v>
      </c>
      <c r="K193" s="22" t="n">
        <v>-373</v>
      </c>
      <c r="M193" s="22" t="n">
        <v>-223</v>
      </c>
      <c r="O193" s="22" t="n">
        <v>-301.233</v>
      </c>
      <c r="P193" s="22" t="n">
        <v>-346.273</v>
      </c>
      <c r="Q193" s="22" t="n">
        <v>-361.718</v>
      </c>
      <c r="R193" s="22" t="n">
        <v>-362.274</v>
      </c>
      <c r="S193" s="22" t="n">
        <v>-181.482</v>
      </c>
      <c r="T193" s="22" t="n">
        <v>-241.427</v>
      </c>
      <c r="U193" s="22" t="n">
        <v>-269.994</v>
      </c>
      <c r="V193" s="22" t="n">
        <v>-239.989</v>
      </c>
      <c r="W193" s="22" t="n">
        <v>-324</v>
      </c>
      <c r="X193" s="22" t="n">
        <v>-373</v>
      </c>
    </row>
    <row r="194">
      <c r="A194" s="20" t="inlineStr">
        <is>
          <t>기타</t>
        </is>
      </c>
      <c r="C194" s="22" t="n">
        <v>0</v>
      </c>
      <c r="E194" s="22" t="n">
        <v>0</v>
      </c>
      <c r="G194" s="22" t="n">
        <v>-8</v>
      </c>
      <c r="I194" s="22" t="n">
        <v>0</v>
      </c>
      <c r="K194" s="22" t="n">
        <v>0</v>
      </c>
      <c r="M194" s="22" t="n">
        <v>0</v>
      </c>
      <c r="Q194" s="22" t="n">
        <v>0</v>
      </c>
      <c r="R194" s="22" t="n">
        <v>0.008</v>
      </c>
      <c r="S194" s="22" t="n">
        <v>0</v>
      </c>
      <c r="V194" s="22" t="n">
        <v>0</v>
      </c>
      <c r="W194" s="22" t="n">
        <v>-8</v>
      </c>
      <c r="X194" s="22" t="n">
        <v>0</v>
      </c>
    </row>
    <row r="195">
      <c r="A195" s="9" t="inlineStr">
        <is>
          <t>재무활동 현금흐름</t>
        </is>
      </c>
      <c r="C195" s="12" t="n">
        <v>-626.537</v>
      </c>
      <c r="E195" s="12" t="n">
        <v>-285</v>
      </c>
      <c r="G195" s="12" t="n">
        <v>-564</v>
      </c>
      <c r="I195" s="12" t="n">
        <v>-196</v>
      </c>
      <c r="K195" s="12" t="n">
        <v>-403</v>
      </c>
      <c r="M195" s="12" t="n">
        <v>-237</v>
      </c>
      <c r="O195" s="12" t="n">
        <v>-314.185</v>
      </c>
      <c r="P195" s="12" t="n">
        <v>-357.102</v>
      </c>
      <c r="Q195" s="12" t="n">
        <v>-381.223</v>
      </c>
      <c r="R195" s="12" t="n">
        <v>-371.046</v>
      </c>
      <c r="S195" s="12" t="n">
        <v>4758.174</v>
      </c>
      <c r="T195" s="12" t="n">
        <v>520.23</v>
      </c>
      <c r="U195" s="12" t="n">
        <v>-6116.776</v>
      </c>
      <c r="V195" s="12" t="n">
        <v>-626.537</v>
      </c>
      <c r="W195" s="12" t="n">
        <v>-564</v>
      </c>
      <c r="X195" s="12" t="n">
        <v>-403</v>
      </c>
    </row>
    <row r="196">
      <c r="A196" s="20" t="inlineStr">
        <is>
          <t>현금성자산 증감</t>
        </is>
      </c>
      <c r="C196" s="22" t="n">
        <v>831.27</v>
      </c>
      <c r="E196" s="22" t="n">
        <v>329</v>
      </c>
      <c r="G196" s="22" t="n">
        <v>712</v>
      </c>
      <c r="I196" s="22" t="n">
        <v>887</v>
      </c>
      <c r="K196" s="22" t="n">
        <v>1526</v>
      </c>
      <c r="M196" s="22" t="n">
        <v>1490</v>
      </c>
      <c r="O196" s="22" t="n">
        <v>757.9349999999999</v>
      </c>
      <c r="P196" s="22" t="n">
        <v>-1381.579</v>
      </c>
      <c r="Q196" s="22" t="n">
        <v>649.71</v>
      </c>
      <c r="R196" s="22" t="n">
        <v>211.89</v>
      </c>
      <c r="S196" s="22" t="n">
        <v>4349.21</v>
      </c>
      <c r="T196" s="22" t="n">
        <v>1123.428</v>
      </c>
      <c r="U196" s="22" t="n">
        <v>-5936.381</v>
      </c>
      <c r="V196" s="22" t="n">
        <v>831.27</v>
      </c>
      <c r="W196" s="22" t="n">
        <v>712</v>
      </c>
      <c r="X196" s="22" t="n">
        <v>1526</v>
      </c>
    </row>
    <row r="197">
      <c r="A197" s="20" t="inlineStr">
        <is>
          <t>신규 연결 현금성자산 증가</t>
        </is>
      </c>
      <c r="C197" s="22" t="n">
        <v>134.804</v>
      </c>
      <c r="E197" s="22" t="n">
        <v>0</v>
      </c>
      <c r="G197" s="22" t="n">
        <v>0</v>
      </c>
      <c r="V197" s="22" t="n">
        <v>134.804</v>
      </c>
      <c r="W197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브롱코빌리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10358</v>
      </c>
      <c r="D5" s="12" t="n">
        <v>11556</v>
      </c>
      <c r="E5" s="12" t="n">
        <v>11972</v>
      </c>
      <c r="F5" s="12" t="n">
        <v>13163</v>
      </c>
      <c r="G5" s="12" t="n">
        <v>13366</v>
      </c>
      <c r="H5" s="11" t="n">
        <v>14268.793</v>
      </c>
      <c r="I5" s="12" t="n">
        <v>8318.816999999999</v>
      </c>
      <c r="J5" s="12" t="n">
        <v>9707.592000000001</v>
      </c>
      <c r="K5" s="12" t="n">
        <v>9893</v>
      </c>
      <c r="L5" s="12" t="n">
        <v>11556</v>
      </c>
    </row>
    <row r="6">
      <c r="A6" s="20" t="inlineStr">
        <is>
          <t>현금및현금성자산</t>
        </is>
      </c>
      <c r="B6" s="10" t="n"/>
      <c r="C6" s="21" t="n">
        <v>8198</v>
      </c>
      <c r="D6" s="22" t="n">
        <v>8914</v>
      </c>
      <c r="E6" s="22" t="n">
        <v>9405</v>
      </c>
      <c r="F6" s="22" t="n">
        <v>10418</v>
      </c>
      <c r="G6" s="22" t="n">
        <v>10457</v>
      </c>
      <c r="H6" s="21" t="n">
        <v>12619.862</v>
      </c>
      <c r="I6" s="22" t="n">
        <v>6683.502</v>
      </c>
      <c r="J6" s="22" t="n">
        <v>7649.594</v>
      </c>
      <c r="K6" s="22" t="n">
        <v>7388</v>
      </c>
      <c r="L6" s="22" t="n">
        <v>8914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1135</v>
      </c>
      <c r="D8" s="22" t="n">
        <v>1375</v>
      </c>
      <c r="E8" s="22" t="n">
        <v>1438</v>
      </c>
      <c r="F8" s="22" t="n">
        <v>1371</v>
      </c>
      <c r="G8" s="22" t="n">
        <v>1452</v>
      </c>
      <c r="H8" s="21" t="n">
        <v>729.246</v>
      </c>
      <c r="I8" s="22" t="n">
        <v>744.062</v>
      </c>
      <c r="J8" s="22" t="n">
        <v>931.175</v>
      </c>
      <c r="K8" s="22" t="n">
        <v>1047</v>
      </c>
      <c r="L8" s="22" t="n">
        <v>1375</v>
      </c>
    </row>
    <row r="9">
      <c r="A9" s="20" t="inlineStr">
        <is>
          <t>재고자산</t>
        </is>
      </c>
      <c r="B9" s="10" t="n"/>
      <c r="C9" s="21" t="n">
        <v>709</v>
      </c>
      <c r="D9" s="22" t="n">
        <v>933</v>
      </c>
      <c r="E9" s="22" t="n">
        <v>750</v>
      </c>
      <c r="F9" s="22" t="n">
        <v>915</v>
      </c>
      <c r="G9" s="22" t="n">
        <v>1030</v>
      </c>
      <c r="H9" s="21" t="n">
        <v>407.485</v>
      </c>
      <c r="I9" s="22" t="n">
        <v>651.557</v>
      </c>
      <c r="J9" s="22" t="n">
        <v>841.544</v>
      </c>
      <c r="K9" s="22" t="n">
        <v>1163</v>
      </c>
      <c r="L9" s="22" t="n">
        <v>933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15117</v>
      </c>
      <c r="D11" s="12" t="n">
        <v>15159</v>
      </c>
      <c r="E11" s="12" t="n">
        <v>15136</v>
      </c>
      <c r="F11" s="12" t="n">
        <v>15401</v>
      </c>
      <c r="G11" s="12" t="n">
        <v>15544</v>
      </c>
      <c r="H11" s="11" t="n">
        <v>12602.353</v>
      </c>
      <c r="I11" s="12" t="n">
        <v>13158.983</v>
      </c>
      <c r="J11" s="12" t="n">
        <v>13053.766</v>
      </c>
      <c r="K11" s="12" t="n">
        <v>14627</v>
      </c>
      <c r="L11" s="12" t="n">
        <v>15159</v>
      </c>
    </row>
    <row r="12">
      <c r="A12" s="20" t="inlineStr">
        <is>
          <t>유형자산</t>
        </is>
      </c>
      <c r="B12" s="10" t="n"/>
      <c r="C12" s="21" t="n">
        <v>11120</v>
      </c>
      <c r="D12" s="22" t="n">
        <v>11112</v>
      </c>
      <c r="E12" s="22" t="n">
        <v>11056</v>
      </c>
      <c r="F12" s="22" t="n">
        <v>11265</v>
      </c>
      <c r="G12" s="22" t="n">
        <v>11311</v>
      </c>
      <c r="H12" s="21" t="n">
        <v>9901.583000000001</v>
      </c>
      <c r="I12" s="22" t="n">
        <v>10147.351</v>
      </c>
      <c r="J12" s="22" t="n">
        <v>10224.253</v>
      </c>
      <c r="K12" s="22" t="n">
        <v>10642</v>
      </c>
      <c r="L12" s="22" t="n">
        <v>11112</v>
      </c>
    </row>
    <row r="13">
      <c r="A13" s="20" t="inlineStr">
        <is>
          <t>무형자산</t>
        </is>
      </c>
      <c r="B13" s="10" t="n"/>
      <c r="C13" s="21" t="n">
        <v>206</v>
      </c>
      <c r="D13" s="22" t="n">
        <v>190</v>
      </c>
      <c r="E13" s="22" t="n">
        <v>175</v>
      </c>
      <c r="F13" s="22" t="n">
        <v>199</v>
      </c>
      <c r="G13" s="22" t="n">
        <v>194</v>
      </c>
      <c r="H13" s="21" t="n">
        <v>291.22</v>
      </c>
      <c r="I13" s="22" t="n">
        <v>258.025</v>
      </c>
      <c r="J13" s="22" t="n">
        <v>245.296</v>
      </c>
      <c r="K13" s="22" t="n">
        <v>248</v>
      </c>
      <c r="L13" s="22" t="n">
        <v>190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25475</v>
      </c>
      <c r="D16" s="12" t="n">
        <v>26715</v>
      </c>
      <c r="E16" s="12" t="n">
        <v>27108</v>
      </c>
      <c r="F16" s="12" t="n">
        <v>28565</v>
      </c>
      <c r="G16" s="12" t="n">
        <v>28910</v>
      </c>
      <c r="H16" s="11" t="n">
        <v>26871.147</v>
      </c>
      <c r="I16" s="12" t="n">
        <v>21477.8</v>
      </c>
      <c r="J16" s="12" t="n">
        <v>22761.359</v>
      </c>
      <c r="K16" s="12" t="n">
        <v>24520</v>
      </c>
      <c r="L16" s="12" t="n">
        <v>26715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3626</v>
      </c>
      <c r="D18" s="12" t="n">
        <v>4277</v>
      </c>
      <c r="E18" s="12" t="n">
        <v>4185</v>
      </c>
      <c r="F18" s="12" t="n">
        <v>4895</v>
      </c>
      <c r="G18" s="12" t="n">
        <v>4768</v>
      </c>
      <c r="H18" s="11" t="n">
        <v>7713.462</v>
      </c>
      <c r="I18" s="12" t="n">
        <v>2845.954</v>
      </c>
      <c r="J18" s="12" t="n">
        <v>3446.587</v>
      </c>
      <c r="K18" s="12" t="n">
        <v>3735</v>
      </c>
      <c r="L18" s="12" t="n">
        <v>4277</v>
      </c>
    </row>
    <row r="19">
      <c r="A19" s="20" t="inlineStr">
        <is>
          <t>매입채무</t>
        </is>
      </c>
      <c r="B19" s="10" t="n"/>
      <c r="C19" s="21" t="n">
        <v>798</v>
      </c>
      <c r="D19" s="22" t="n">
        <v>894</v>
      </c>
      <c r="E19" s="22" t="n">
        <v>911</v>
      </c>
      <c r="F19" s="22" t="n">
        <v>912</v>
      </c>
      <c r="G19" s="22" t="n">
        <v>1009</v>
      </c>
      <c r="H19" s="21" t="n">
        <v>530.9880000000001</v>
      </c>
      <c r="I19" s="22" t="n">
        <v>725.331</v>
      </c>
      <c r="J19" s="22" t="n">
        <v>886.466</v>
      </c>
      <c r="K19" s="22" t="n">
        <v>789</v>
      </c>
      <c r="L19" s="22" t="n">
        <v>894</v>
      </c>
    </row>
    <row r="20">
      <c r="A20" s="20" t="inlineStr">
        <is>
          <t>단기차입금</t>
        </is>
      </c>
      <c r="B20" s="10" t="n"/>
      <c r="C20" s="21" t="n">
        <v>137</v>
      </c>
      <c r="D20" s="22" t="n">
        <v>55</v>
      </c>
      <c r="E20" s="22" t="n">
        <v>147</v>
      </c>
      <c r="F20" s="22" t="n">
        <v>55</v>
      </c>
      <c r="G20" s="22" t="n">
        <v>137</v>
      </c>
      <c r="H20" s="21" t="n">
        <v>47.336</v>
      </c>
      <c r="I20" s="22" t="n">
        <v>76.696</v>
      </c>
      <c r="J20" s="22" t="n">
        <v>58.36</v>
      </c>
      <c r="K20" s="22" t="n">
        <v>55</v>
      </c>
      <c r="L20" s="22" t="n">
        <v>55</v>
      </c>
    </row>
    <row r="21">
      <c r="A21" s="20" t="inlineStr">
        <is>
          <t>유동성장기부채</t>
        </is>
      </c>
      <c r="B21" s="10" t="n"/>
      <c r="C21" s="21" t="n"/>
      <c r="D21" s="22" t="n">
        <v>0</v>
      </c>
      <c r="E21" s="22" t="n"/>
      <c r="F21" s="22" t="n">
        <v>27</v>
      </c>
      <c r="G21" s="22" t="n">
        <v>27</v>
      </c>
      <c r="H21" s="21" t="n">
        <v>5199.992</v>
      </c>
      <c r="I21" s="22" t="n">
        <v>348</v>
      </c>
      <c r="J21" s="22" t="n">
        <v>120</v>
      </c>
      <c r="K21" s="22" t="n">
        <v>0</v>
      </c>
      <c r="L21" s="22" t="n">
        <v>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700</v>
      </c>
      <c r="D23" s="12" t="n">
        <v>720</v>
      </c>
      <c r="E23" s="12" t="n">
        <v>715</v>
      </c>
      <c r="F23" s="12" t="n">
        <v>807</v>
      </c>
      <c r="G23" s="12" t="n">
        <v>800</v>
      </c>
      <c r="H23" s="11" t="n">
        <v>1194.984</v>
      </c>
      <c r="I23" s="12" t="n">
        <v>756.622</v>
      </c>
      <c r="J23" s="12" t="n">
        <v>668.1420000000001</v>
      </c>
      <c r="K23" s="12" t="n">
        <v>710</v>
      </c>
      <c r="L23" s="12" t="n">
        <v>720</v>
      </c>
    </row>
    <row r="24">
      <c r="A24" s="20" t="inlineStr">
        <is>
          <t>장기차입금</t>
        </is>
      </c>
      <c r="B24" s="10" t="n"/>
      <c r="C24" s="21" t="n"/>
      <c r="D24" s="22" t="n">
        <v>0</v>
      </c>
      <c r="E24" s="22" t="n"/>
      <c r="F24" s="22" t="n">
        <v>89</v>
      </c>
      <c r="G24" s="22" t="n">
        <v>82</v>
      </c>
      <c r="H24" s="21" t="n">
        <v>600.016</v>
      </c>
      <c r="I24" s="22" t="n">
        <v>120</v>
      </c>
      <c r="J24" s="22" t="n">
        <v>0</v>
      </c>
      <c r="K24" s="22" t="n"/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4327</v>
      </c>
      <c r="D27" s="12" t="n">
        <v>4997</v>
      </c>
      <c r="E27" s="12" t="n">
        <v>4901</v>
      </c>
      <c r="F27" s="12" t="n">
        <v>5703</v>
      </c>
      <c r="G27" s="12" t="n">
        <v>5569</v>
      </c>
      <c r="H27" s="11" t="n">
        <v>8908.446</v>
      </c>
      <c r="I27" s="12" t="n">
        <v>3602.576</v>
      </c>
      <c r="J27" s="12" t="n">
        <v>4114.729</v>
      </c>
      <c r="K27" s="12" t="n">
        <v>4446</v>
      </c>
      <c r="L27" s="12" t="n">
        <v>4997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21081</v>
      </c>
      <c r="D31" s="12" t="n">
        <v>21650</v>
      </c>
      <c r="E31" s="12" t="n">
        <v>22140</v>
      </c>
      <c r="F31" s="12" t="n">
        <v>22794</v>
      </c>
      <c r="G31" s="12" t="n">
        <v>23274</v>
      </c>
      <c r="H31" s="11" t="n">
        <v>17881.419</v>
      </c>
      <c r="I31" s="12" t="n">
        <v>17790.39</v>
      </c>
      <c r="J31" s="12" t="n">
        <v>18561.795</v>
      </c>
      <c r="K31" s="12" t="n">
        <v>19997</v>
      </c>
      <c r="L31" s="12" t="n">
        <v>21650</v>
      </c>
    </row>
    <row r="32">
      <c r="A32" s="20" t="inlineStr">
        <is>
          <t>자본금</t>
        </is>
      </c>
      <c r="B32" s="10" t="n"/>
      <c r="C32" s="21" t="n">
        <v>2210</v>
      </c>
      <c r="D32" s="22" t="n">
        <v>2210</v>
      </c>
      <c r="E32" s="22" t="n">
        <v>2210</v>
      </c>
      <c r="F32" s="22" t="n">
        <v>2210</v>
      </c>
      <c r="G32" s="22" t="n">
        <v>2210</v>
      </c>
      <c r="H32" s="21" t="n">
        <v>2210.667</v>
      </c>
      <c r="I32" s="22" t="n">
        <v>2210.667</v>
      </c>
      <c r="J32" s="22" t="n">
        <v>2210.667</v>
      </c>
      <c r="K32" s="22" t="n">
        <v>2210</v>
      </c>
      <c r="L32" s="22" t="n">
        <v>2210</v>
      </c>
    </row>
    <row r="33">
      <c r="A33" s="20" t="inlineStr">
        <is>
          <t>이익잉여금</t>
        </is>
      </c>
      <c r="B33" s="10" t="n"/>
      <c r="C33" s="21" t="n">
        <v>17109</v>
      </c>
      <c r="D33" s="22" t="n">
        <v>17669</v>
      </c>
      <c r="E33" s="22" t="n">
        <v>18139</v>
      </c>
      <c r="F33" s="22" t="n">
        <v>18735</v>
      </c>
      <c r="G33" s="22" t="n">
        <v>19196</v>
      </c>
      <c r="H33" s="21" t="n">
        <v>13526.712</v>
      </c>
      <c r="I33" s="22" t="n">
        <v>13944.151</v>
      </c>
      <c r="J33" s="22" t="n">
        <v>14683.031</v>
      </c>
      <c r="K33" s="22" t="n">
        <v>16071</v>
      </c>
      <c r="L33" s="22" t="n">
        <v>17669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21148</v>
      </c>
      <c r="D35" s="12" t="n">
        <v>21717</v>
      </c>
      <c r="E35" s="12" t="n">
        <v>22207</v>
      </c>
      <c r="F35" s="12" t="n">
        <v>22861</v>
      </c>
      <c r="G35" s="12" t="n">
        <v>23341</v>
      </c>
      <c r="H35" s="11" t="n">
        <v>17962.7</v>
      </c>
      <c r="I35" s="12" t="n">
        <v>17875.224</v>
      </c>
      <c r="J35" s="12" t="n">
        <v>18646.629</v>
      </c>
      <c r="K35" s="12" t="n">
        <v>20074</v>
      </c>
      <c r="L35" s="12" t="n">
        <v>21717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3366</v>
      </c>
      <c r="E37" s="12" t="n"/>
      <c r="F37" s="12" t="n">
        <v>4036</v>
      </c>
      <c r="G37" s="12" t="n"/>
      <c r="H37" s="11" t="n">
        <v>2421.584</v>
      </c>
      <c r="I37" s="12" t="n">
        <v>1621.218</v>
      </c>
      <c r="J37" s="12" t="n">
        <v>2545.766</v>
      </c>
      <c r="K37" s="12" t="n">
        <v>2668</v>
      </c>
      <c r="L37" s="12" t="n">
        <v>3366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1439</v>
      </c>
      <c r="E38" s="22" t="n"/>
      <c r="F38" s="22" t="n">
        <v>1396</v>
      </c>
      <c r="G38" s="22" t="n"/>
      <c r="H38" s="21" t="n">
        <v>1821.082</v>
      </c>
      <c r="I38" s="22" t="n">
        <v>1053.091</v>
      </c>
      <c r="J38" s="22" t="n">
        <v>1072.25</v>
      </c>
      <c r="K38" s="22" t="n">
        <v>1147</v>
      </c>
      <c r="L38" s="22" t="n">
        <v>1439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373</v>
      </c>
      <c r="E40" s="22" t="n"/>
      <c r="F40" s="22" t="n">
        <v>416</v>
      </c>
      <c r="G40" s="22" t="n"/>
      <c r="H40" s="21" t="n">
        <v>241.427</v>
      </c>
      <c r="I40" s="22" t="n">
        <v>269.994</v>
      </c>
      <c r="J40" s="22" t="n">
        <v>239.989</v>
      </c>
      <c r="K40" s="22" t="n">
        <v>324</v>
      </c>
      <c r="L40" s="22" t="n">
        <v>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8198</v>
      </c>
      <c r="D71" s="22" t="n">
        <v>8914</v>
      </c>
      <c r="E71" s="22" t="n">
        <v>9405</v>
      </c>
      <c r="F71" s="22" t="n">
        <v>10418</v>
      </c>
      <c r="G71" s="22" t="n">
        <v>10457</v>
      </c>
      <c r="H71" s="22" t="n">
        <v>12619.862</v>
      </c>
      <c r="I71" s="22" t="n">
        <v>6683.502</v>
      </c>
      <c r="J71" s="22" t="n">
        <v>7649.594</v>
      </c>
      <c r="K71" s="22" t="n">
        <v>7388</v>
      </c>
      <c r="L71" s="22" t="n">
        <v>8914</v>
      </c>
    </row>
    <row r="72">
      <c r="A72" s="20" t="inlineStr">
        <is>
          <t>매출채권</t>
        </is>
      </c>
      <c r="C72" s="22" t="n">
        <v>1135</v>
      </c>
      <c r="D72" s="22" t="n">
        <v>1375</v>
      </c>
      <c r="E72" s="22" t="n">
        <v>1438</v>
      </c>
      <c r="F72" s="22" t="n">
        <v>1371</v>
      </c>
      <c r="G72" s="22" t="n">
        <v>1452</v>
      </c>
      <c r="H72" s="22" t="n">
        <v>729.246</v>
      </c>
      <c r="I72" s="22" t="n">
        <v>744.062</v>
      </c>
      <c r="J72" s="22" t="n">
        <v>931.175</v>
      </c>
      <c r="K72" s="22" t="n">
        <v>1047</v>
      </c>
      <c r="L72" s="22" t="n">
        <v>1375</v>
      </c>
    </row>
    <row r="73">
      <c r="A73" s="20" t="inlineStr">
        <is>
          <t>상품·제품</t>
        </is>
      </c>
      <c r="C73" s="22" t="n">
        <v>145</v>
      </c>
      <c r="D73" s="22" t="n">
        <v>240</v>
      </c>
      <c r="E73" s="22" t="n">
        <v>172</v>
      </c>
      <c r="F73" s="22" t="n">
        <v>226</v>
      </c>
      <c r="G73" s="22" t="n">
        <v>221</v>
      </c>
      <c r="H73" s="22" t="n">
        <v>98.178</v>
      </c>
      <c r="I73" s="22" t="n">
        <v>99.65300000000001</v>
      </c>
      <c r="J73" s="22" t="n">
        <v>187.53</v>
      </c>
      <c r="K73" s="22" t="n">
        <v>224</v>
      </c>
      <c r="L73" s="22" t="n">
        <v>240</v>
      </c>
    </row>
    <row r="74">
      <c r="A74" s="20" t="inlineStr">
        <is>
          <t>원재료·저장품</t>
        </is>
      </c>
      <c r="C74" s="22" t="n">
        <v>564</v>
      </c>
      <c r="D74" s="22" t="n">
        <v>693</v>
      </c>
      <c r="E74" s="22" t="n">
        <v>578</v>
      </c>
      <c r="F74" s="22" t="n">
        <v>689</v>
      </c>
      <c r="G74" s="22" t="n">
        <v>809</v>
      </c>
      <c r="H74" s="22" t="n">
        <v>309.307</v>
      </c>
      <c r="I74" s="22" t="n">
        <v>551.904</v>
      </c>
      <c r="J74" s="22" t="n">
        <v>654.014</v>
      </c>
      <c r="K74" s="22" t="n">
        <v>939</v>
      </c>
      <c r="L74" s="22" t="n">
        <v>693</v>
      </c>
    </row>
    <row r="75">
      <c r="A75" s="20" t="inlineStr">
        <is>
          <t>미수 환급법인세</t>
        </is>
      </c>
      <c r="H75" s="22" t="n">
        <v>0</v>
      </c>
    </row>
    <row r="76">
      <c r="A76" s="20" t="inlineStr">
        <is>
          <t>선급비용</t>
        </is>
      </c>
      <c r="C76" s="22" t="n">
        <v>262</v>
      </c>
      <c r="D76" s="22" t="n">
        <v>263</v>
      </c>
      <c r="E76" s="22" t="n">
        <v>261</v>
      </c>
      <c r="F76" s="22" t="n">
        <v>377</v>
      </c>
      <c r="G76" s="22" t="n">
        <v>316</v>
      </c>
      <c r="H76" s="22" t="n">
        <v>175.117</v>
      </c>
      <c r="I76" s="22" t="n">
        <v>191.324</v>
      </c>
      <c r="J76" s="22" t="n">
        <v>217.999</v>
      </c>
      <c r="K76" s="22" t="n">
        <v>231</v>
      </c>
      <c r="L76" s="22" t="n">
        <v>263</v>
      </c>
    </row>
    <row r="77">
      <c r="A77" s="20" t="inlineStr">
        <is>
          <t>기타</t>
        </is>
      </c>
      <c r="C77" s="22" t="n">
        <v>52</v>
      </c>
      <c r="D77" s="22" t="n">
        <v>68</v>
      </c>
      <c r="E77" s="22" t="n">
        <v>115</v>
      </c>
      <c r="F77" s="22" t="n">
        <v>79</v>
      </c>
      <c r="G77" s="22" t="n">
        <v>110</v>
      </c>
      <c r="H77" s="22" t="n">
        <v>337.08</v>
      </c>
      <c r="I77" s="22" t="n">
        <v>48.368</v>
      </c>
      <c r="J77" s="22" t="n">
        <v>67.279</v>
      </c>
      <c r="K77" s="22" t="n">
        <v>62</v>
      </c>
      <c r="L77" s="22" t="n">
        <v>68</v>
      </c>
    </row>
    <row r="78">
      <c r="A78" s="20" t="inlineStr">
        <is>
          <t>대손충당금</t>
        </is>
      </c>
      <c r="C78" s="22" t="n">
        <v>-0</v>
      </c>
      <c r="D78" s="22" t="n">
        <v>-0</v>
      </c>
      <c r="F78" s="22" t="n">
        <v>-0</v>
      </c>
      <c r="G78" s="22" t="n">
        <v>-0</v>
      </c>
      <c r="K78" s="22" t="n">
        <v>-0</v>
      </c>
      <c r="L78" s="22" t="n">
        <v>-0</v>
      </c>
    </row>
    <row r="79">
      <c r="A79" s="9" t="inlineStr">
        <is>
          <t>유동자산 합계</t>
        </is>
      </c>
      <c r="C79" s="12" t="n">
        <v>10358</v>
      </c>
      <c r="D79" s="12" t="n">
        <v>11556</v>
      </c>
      <c r="E79" s="12" t="n">
        <v>11972</v>
      </c>
      <c r="F79" s="12" t="n">
        <v>13163</v>
      </c>
      <c r="G79" s="12" t="n">
        <v>13366</v>
      </c>
      <c r="H79" s="12" t="n">
        <v>14268.793</v>
      </c>
      <c r="I79" s="12" t="n">
        <v>8318.816999999999</v>
      </c>
      <c r="J79" s="12" t="n">
        <v>9707.592000000001</v>
      </c>
      <c r="K79" s="12" t="n">
        <v>9893</v>
      </c>
      <c r="L79" s="12" t="n">
        <v>11556</v>
      </c>
    </row>
    <row r="80">
      <c r="A80" s="20" t="inlineStr">
        <is>
          <t>건물</t>
        </is>
      </c>
      <c r="H80" s="22" t="n">
        <v>11146.545</v>
      </c>
      <c r="I80" s="22" t="n">
        <v>11418.643</v>
      </c>
    </row>
    <row r="81">
      <c r="A81" s="20" t="inlineStr">
        <is>
          <t>감가상각누계액</t>
        </is>
      </c>
      <c r="H81" s="22" t="n">
        <v>-5277.018</v>
      </c>
      <c r="I81" s="22" t="n">
        <v>-5461.388</v>
      </c>
    </row>
    <row r="82">
      <c r="A82" s="20" t="inlineStr">
        <is>
          <t>건물(순액)</t>
        </is>
      </c>
      <c r="H82" s="22" t="n">
        <v>5869.526</v>
      </c>
      <c r="I82" s="22" t="n">
        <v>5957.254</v>
      </c>
    </row>
    <row r="83">
      <c r="A83" s="20" t="inlineStr">
        <is>
          <t>구축물</t>
        </is>
      </c>
      <c r="H83" s="22" t="n">
        <v>1490.399</v>
      </c>
      <c r="I83" s="22" t="n">
        <v>1568.863</v>
      </c>
    </row>
    <row r="84">
      <c r="A84" s="20" t="inlineStr">
        <is>
          <t>감가상각누계액</t>
        </is>
      </c>
      <c r="H84" s="22" t="n">
        <v>-839.353</v>
      </c>
      <c r="I84" s="22" t="n">
        <v>-863.515</v>
      </c>
    </row>
    <row r="85">
      <c r="A85" s="20" t="inlineStr">
        <is>
          <t>구축물(순액)</t>
        </is>
      </c>
      <c r="H85" s="22" t="n">
        <v>651.045</v>
      </c>
      <c r="I85" s="22" t="n">
        <v>705.347</v>
      </c>
    </row>
    <row r="86">
      <c r="A86" s="20" t="inlineStr">
        <is>
          <t>기계장치</t>
        </is>
      </c>
      <c r="H86" s="22" t="n">
        <v>436.031</v>
      </c>
      <c r="I86" s="22" t="n">
        <v>428.899</v>
      </c>
    </row>
    <row r="87">
      <c r="A87" s="20" t="inlineStr">
        <is>
          <t>감가상각누계액</t>
        </is>
      </c>
      <c r="H87" s="22" t="n">
        <v>-345.751</v>
      </c>
      <c r="I87" s="22" t="n">
        <v>-339.813</v>
      </c>
    </row>
    <row r="88">
      <c r="A88" s="20" t="inlineStr">
        <is>
          <t>기계장치(순액)</t>
        </is>
      </c>
      <c r="H88" s="22" t="n">
        <v>90.28</v>
      </c>
      <c r="I88" s="22" t="n">
        <v>89.086</v>
      </c>
    </row>
    <row r="89">
      <c r="A89" s="20" t="inlineStr">
        <is>
          <t>차량운반구</t>
        </is>
      </c>
      <c r="H89" s="22" t="n">
        <v>2.417</v>
      </c>
      <c r="I89" s="22" t="n">
        <v>2.417</v>
      </c>
    </row>
    <row r="90">
      <c r="A90" s="20" t="inlineStr">
        <is>
          <t>감가상각누계액</t>
        </is>
      </c>
      <c r="H90" s="22" t="n">
        <v>-2.416</v>
      </c>
      <c r="I90" s="22" t="n">
        <v>-2.416</v>
      </c>
    </row>
    <row r="91">
      <c r="A91" s="20" t="inlineStr">
        <is>
          <t>차량운반구(순액)</t>
        </is>
      </c>
      <c r="H91" s="22" t="n">
        <v>0</v>
      </c>
      <c r="I91" s="22" t="n">
        <v>0</v>
      </c>
    </row>
    <row r="92">
      <c r="A92" s="20" t="inlineStr">
        <is>
          <t>건물·구축물</t>
        </is>
      </c>
      <c r="D92" s="22" t="n">
        <v>16151</v>
      </c>
      <c r="J92" s="22" t="n">
        <v>13910.079</v>
      </c>
      <c r="K92" s="22" t="n">
        <v>15150</v>
      </c>
      <c r="L92" s="22" t="n">
        <v>16151</v>
      </c>
    </row>
    <row r="93">
      <c r="A93" s="20" t="inlineStr">
        <is>
          <t>감가상각누계액</t>
        </is>
      </c>
      <c r="D93" s="22" t="n">
        <v>-8667</v>
      </c>
      <c r="J93" s="22" t="n">
        <v>-7153.435</v>
      </c>
      <c r="K93" s="22" t="n">
        <v>-8095</v>
      </c>
      <c r="L93" s="22" t="n">
        <v>-8667</v>
      </c>
    </row>
    <row r="94">
      <c r="A94" s="20" t="inlineStr">
        <is>
          <t>건물·구축물(순액)</t>
        </is>
      </c>
      <c r="C94" s="22" t="n">
        <v>7529</v>
      </c>
      <c r="D94" s="22" t="n">
        <v>7484</v>
      </c>
      <c r="E94" s="22" t="n">
        <v>7506</v>
      </c>
      <c r="F94" s="22" t="n">
        <v>7645</v>
      </c>
      <c r="G94" s="22" t="n">
        <v>7526</v>
      </c>
      <c r="J94" s="22" t="n">
        <v>6756.643</v>
      </c>
      <c r="K94" s="22" t="n">
        <v>7055</v>
      </c>
      <c r="L94" s="22" t="n">
        <v>7484</v>
      </c>
    </row>
    <row r="95">
      <c r="A95" s="20" t="inlineStr">
        <is>
          <t>기계장치·운반구</t>
        </is>
      </c>
      <c r="D95" s="22" t="n">
        <v>726</v>
      </c>
      <c r="J95" s="22" t="n">
        <v>723.886</v>
      </c>
      <c r="K95" s="22" t="n">
        <v>722</v>
      </c>
      <c r="L95" s="22" t="n">
        <v>726</v>
      </c>
    </row>
    <row r="96">
      <c r="A96" s="20" t="inlineStr">
        <is>
          <t>감가상각누계액</t>
        </is>
      </c>
      <c r="D96" s="22" t="n">
        <v>-617</v>
      </c>
      <c r="J96" s="22" t="n">
        <v>-571.083</v>
      </c>
      <c r="K96" s="22" t="n">
        <v>-591</v>
      </c>
      <c r="L96" s="22" t="n">
        <v>-617</v>
      </c>
    </row>
    <row r="97">
      <c r="A97" s="20" t="inlineStr">
        <is>
          <t>기계장치·운반구(순액)</t>
        </is>
      </c>
      <c r="C97" s="22" t="n">
        <v>113</v>
      </c>
      <c r="D97" s="22" t="n">
        <v>109</v>
      </c>
      <c r="E97" s="22" t="n">
        <v>104</v>
      </c>
      <c r="F97" s="22" t="n">
        <v>120</v>
      </c>
      <c r="G97" s="22" t="n">
        <v>130</v>
      </c>
      <c r="J97" s="22" t="n">
        <v>152.803</v>
      </c>
      <c r="K97" s="22" t="n">
        <v>130</v>
      </c>
      <c r="L97" s="22" t="n">
        <v>109</v>
      </c>
    </row>
    <row r="98">
      <c r="A98" s="20" t="inlineStr">
        <is>
          <t>공구·기구·비품</t>
        </is>
      </c>
      <c r="D98" s="22" t="n">
        <v>3012</v>
      </c>
      <c r="H98" s="22" t="n">
        <v>2382.432</v>
      </c>
      <c r="I98" s="22" t="n">
        <v>2576.976</v>
      </c>
      <c r="J98" s="22" t="n">
        <v>2707.759</v>
      </c>
      <c r="K98" s="22" t="n">
        <v>2874</v>
      </c>
      <c r="L98" s="22" t="n">
        <v>3012</v>
      </c>
    </row>
    <row r="99">
      <c r="A99" s="20" t="inlineStr">
        <is>
          <t>감가상각누계액</t>
        </is>
      </c>
      <c r="D99" s="22" t="n">
        <v>-2433</v>
      </c>
      <c r="H99" s="22" t="n">
        <v>-1826.215</v>
      </c>
      <c r="I99" s="22" t="n">
        <v>-1956.182</v>
      </c>
      <c r="J99" s="22" t="n">
        <v>-2133.923</v>
      </c>
      <c r="K99" s="22" t="n">
        <v>-2297</v>
      </c>
      <c r="L99" s="22" t="n">
        <v>-2433</v>
      </c>
    </row>
    <row r="100">
      <c r="A100" s="20" t="inlineStr">
        <is>
          <t>공구·기구·비품(순액)</t>
        </is>
      </c>
      <c r="C100" s="22" t="n">
        <v>604</v>
      </c>
      <c r="D100" s="22" t="n">
        <v>578</v>
      </c>
      <c r="E100" s="22" t="n">
        <v>578</v>
      </c>
      <c r="F100" s="22" t="n">
        <v>637</v>
      </c>
      <c r="G100" s="22" t="n">
        <v>626</v>
      </c>
      <c r="H100" s="22" t="n">
        <v>556.217</v>
      </c>
      <c r="I100" s="22" t="n">
        <v>620.793</v>
      </c>
      <c r="J100" s="22" t="n">
        <v>573.836</v>
      </c>
      <c r="K100" s="22" t="n">
        <v>576</v>
      </c>
      <c r="L100" s="22" t="n">
        <v>578</v>
      </c>
    </row>
    <row r="101">
      <c r="A101" s="20" t="inlineStr">
        <is>
          <t>토지</t>
        </is>
      </c>
      <c r="C101" s="22" t="n">
        <v>2784</v>
      </c>
      <c r="D101" s="22" t="n">
        <v>2784</v>
      </c>
      <c r="E101" s="22" t="n">
        <v>2784</v>
      </c>
      <c r="F101" s="22" t="n">
        <v>2831</v>
      </c>
      <c r="G101" s="22" t="n">
        <v>2831</v>
      </c>
      <c r="H101" s="22" t="n">
        <v>2724.457</v>
      </c>
      <c r="I101" s="22" t="n">
        <v>2724.457</v>
      </c>
      <c r="J101" s="22" t="n">
        <v>2724.457</v>
      </c>
      <c r="K101" s="22" t="n">
        <v>2784</v>
      </c>
      <c r="L101" s="22" t="n">
        <v>2784</v>
      </c>
    </row>
    <row r="102">
      <c r="A102" s="20" t="inlineStr">
        <is>
          <t>건설중인자산</t>
        </is>
      </c>
      <c r="H102" s="22" t="n">
        <v>10.054</v>
      </c>
      <c r="I102" s="22" t="n">
        <v>50.41</v>
      </c>
    </row>
    <row r="103">
      <c r="A103" s="20" t="inlineStr">
        <is>
          <t>기타</t>
        </is>
      </c>
      <c r="C103" s="22" t="n">
        <v>89</v>
      </c>
      <c r="D103" s="22" t="n">
        <v>155</v>
      </c>
      <c r="E103" s="22" t="n">
        <v>83</v>
      </c>
      <c r="F103" s="22" t="n">
        <v>28</v>
      </c>
      <c r="G103" s="22" t="n">
        <v>196</v>
      </c>
      <c r="J103" s="22" t="n">
        <v>16.512</v>
      </c>
      <c r="K103" s="22" t="n">
        <v>96</v>
      </c>
      <c r="L103" s="22" t="n">
        <v>155</v>
      </c>
    </row>
    <row r="104">
      <c r="A104" s="20" t="inlineStr">
        <is>
          <t>유형자산 합계</t>
        </is>
      </c>
      <c r="C104" s="22" t="n">
        <v>11120</v>
      </c>
      <c r="D104" s="22" t="n">
        <v>11112</v>
      </c>
      <c r="E104" s="22" t="n">
        <v>11056</v>
      </c>
      <c r="F104" s="22" t="n">
        <v>11265</v>
      </c>
      <c r="G104" s="22" t="n">
        <v>11311</v>
      </c>
      <c r="H104" s="22" t="n">
        <v>9901.583000000001</v>
      </c>
      <c r="I104" s="22" t="n">
        <v>10147.351</v>
      </c>
      <c r="J104" s="22" t="n">
        <v>10224.253</v>
      </c>
      <c r="K104" s="22" t="n">
        <v>10642</v>
      </c>
      <c r="L104" s="22" t="n">
        <v>11112</v>
      </c>
    </row>
    <row r="105">
      <c r="A105" s="20" t="inlineStr">
        <is>
          <t>차지권</t>
        </is>
      </c>
      <c r="D105" s="22" t="n">
        <v>82</v>
      </c>
      <c r="H105" s="22" t="n">
        <v>91.559</v>
      </c>
      <c r="I105" s="22" t="n">
        <v>87.357</v>
      </c>
      <c r="J105" s="22" t="n">
        <v>87.16500000000001</v>
      </c>
      <c r="K105" s="22" t="n">
        <v>82</v>
      </c>
      <c r="L105" s="22" t="n">
        <v>82</v>
      </c>
    </row>
    <row r="106">
      <c r="A106" s="20" t="inlineStr">
        <is>
          <t>상표권</t>
        </is>
      </c>
      <c r="H106" s="22" t="n">
        <v>1.178</v>
      </c>
      <c r="I106" s="22" t="n">
        <v>1.109</v>
      </c>
    </row>
    <row r="107">
      <c r="A107" s="20" t="inlineStr">
        <is>
          <t>소프트웨어</t>
        </is>
      </c>
      <c r="D107" s="22" t="n">
        <v>75</v>
      </c>
      <c r="H107" s="22" t="n">
        <v>176.531</v>
      </c>
      <c r="I107" s="22" t="n">
        <v>148.509</v>
      </c>
      <c r="J107" s="22" t="n">
        <v>113.743</v>
      </c>
      <c r="K107" s="22" t="n">
        <v>122</v>
      </c>
      <c r="L107" s="22" t="n">
        <v>75</v>
      </c>
    </row>
    <row r="108">
      <c r="A108" s="20" t="inlineStr">
        <is>
          <t>영업권</t>
        </is>
      </c>
      <c r="D108" s="22" t="n">
        <v>11</v>
      </c>
      <c r="J108" s="22" t="n">
        <v>21.821</v>
      </c>
      <c r="K108" s="22" t="n">
        <v>16</v>
      </c>
      <c r="L108" s="22" t="n">
        <v>11</v>
      </c>
    </row>
    <row r="109">
      <c r="A109" s="20" t="inlineStr">
        <is>
          <t>기타</t>
        </is>
      </c>
      <c r="D109" s="22" t="n">
        <v>20</v>
      </c>
      <c r="H109" s="22" t="n">
        <v>21.95</v>
      </c>
      <c r="I109" s="22" t="n">
        <v>21.048</v>
      </c>
      <c r="J109" s="22" t="n">
        <v>22.565</v>
      </c>
      <c r="K109" s="22" t="n">
        <v>25</v>
      </c>
      <c r="L109" s="22" t="n">
        <v>20</v>
      </c>
    </row>
    <row r="110">
      <c r="A110" s="20" t="inlineStr">
        <is>
          <t>무형자산</t>
        </is>
      </c>
      <c r="C110" s="22" t="n">
        <v>206</v>
      </c>
      <c r="D110" s="22" t="n">
        <v>190</v>
      </c>
      <c r="E110" s="22" t="n">
        <v>175</v>
      </c>
      <c r="F110" s="22" t="n">
        <v>199</v>
      </c>
      <c r="G110" s="22" t="n">
        <v>194</v>
      </c>
      <c r="H110" s="22" t="n">
        <v>291.22</v>
      </c>
      <c r="I110" s="22" t="n">
        <v>258.025</v>
      </c>
      <c r="J110" s="22" t="n">
        <v>245.296</v>
      </c>
      <c r="K110" s="22" t="n">
        <v>248</v>
      </c>
      <c r="L110" s="22" t="n">
        <v>190</v>
      </c>
    </row>
    <row r="111">
      <c r="A111" s="20" t="inlineStr">
        <is>
          <t>투자유가증권</t>
        </is>
      </c>
      <c r="C111" s="22" t="n">
        <v>178</v>
      </c>
      <c r="D111" s="22" t="n">
        <v>192</v>
      </c>
      <c r="E111" s="22" t="n">
        <v>214</v>
      </c>
      <c r="F111" s="22" t="n">
        <v>261</v>
      </c>
      <c r="G111" s="22" t="n">
        <v>289</v>
      </c>
      <c r="H111" s="22" t="n">
        <v>117.279</v>
      </c>
      <c r="I111" s="22" t="n">
        <v>99.959</v>
      </c>
      <c r="J111" s="22" t="n">
        <v>145.603</v>
      </c>
      <c r="K111" s="22" t="n">
        <v>168</v>
      </c>
      <c r="L111" s="22" t="n">
        <v>192</v>
      </c>
    </row>
    <row r="112">
      <c r="A112" s="20" t="inlineStr">
        <is>
          <t>관계회사 주식</t>
        </is>
      </c>
      <c r="H112" s="22" t="n">
        <v>0</v>
      </c>
      <c r="I112" s="22" t="n">
        <v>121.163</v>
      </c>
    </row>
    <row r="113">
      <c r="A113" s="20" t="inlineStr">
        <is>
          <t>출자금</t>
        </is>
      </c>
      <c r="H113" s="22" t="n">
        <v>0.02</v>
      </c>
      <c r="I113" s="22" t="n">
        <v>0.02</v>
      </c>
    </row>
    <row r="114">
      <c r="A114" s="20" t="inlineStr">
        <is>
          <t>관계회사 장기대여금</t>
        </is>
      </c>
      <c r="H114" s="22" t="n">
        <v>0</v>
      </c>
      <c r="I114" s="22" t="n">
        <v>229</v>
      </c>
    </row>
    <row r="115">
      <c r="A115" s="20" t="inlineStr">
        <is>
          <t>장기선급비용</t>
        </is>
      </c>
      <c r="D115" s="22" t="n">
        <v>45</v>
      </c>
      <c r="H115" s="22" t="n">
        <v>67.04900000000001</v>
      </c>
      <c r="I115" s="22" t="n">
        <v>58.017</v>
      </c>
      <c r="J115" s="22" t="n">
        <v>73.379</v>
      </c>
      <c r="K115" s="22" t="n">
        <v>58</v>
      </c>
      <c r="L115" s="22" t="n">
        <v>45</v>
      </c>
    </row>
    <row r="116">
      <c r="A116" s="20" t="inlineStr">
        <is>
          <t>장기예금</t>
        </is>
      </c>
      <c r="C116" s="22" t="n">
        <v>2000</v>
      </c>
      <c r="D116" s="22" t="n">
        <v>2000</v>
      </c>
      <c r="E116" s="22" t="n">
        <v>2000</v>
      </c>
      <c r="F116" s="22" t="n">
        <v>2000</v>
      </c>
      <c r="G116" s="22" t="n">
        <v>2000</v>
      </c>
      <c r="H116" s="22" t="n">
        <v>1000</v>
      </c>
      <c r="I116" s="22" t="n">
        <v>1000</v>
      </c>
      <c r="J116" s="22" t="n">
        <v>1000</v>
      </c>
      <c r="K116" s="22" t="n">
        <v>2000</v>
      </c>
      <c r="L116" s="22" t="n">
        <v>2000</v>
      </c>
    </row>
    <row r="117">
      <c r="A117" s="20" t="inlineStr">
        <is>
          <t>보증금</t>
        </is>
      </c>
      <c r="C117" s="22" t="n">
        <v>1143</v>
      </c>
      <c r="D117" s="22" t="n">
        <v>1154</v>
      </c>
      <c r="E117" s="22" t="n">
        <v>1159</v>
      </c>
      <c r="F117" s="22" t="n">
        <v>1174</v>
      </c>
      <c r="G117" s="22" t="n">
        <v>1189</v>
      </c>
      <c r="H117" s="22" t="n">
        <v>1026.455</v>
      </c>
      <c r="I117" s="22" t="n">
        <v>1060.234</v>
      </c>
      <c r="J117" s="22" t="n">
        <v>1074.507</v>
      </c>
      <c r="K117" s="22" t="n">
        <v>1137</v>
      </c>
      <c r="L117" s="22" t="n">
        <v>1154</v>
      </c>
    </row>
    <row r="118">
      <c r="A118" s="20" t="inlineStr">
        <is>
          <t>이연법인세자산</t>
        </is>
      </c>
      <c r="D118" s="22" t="n">
        <v>390</v>
      </c>
      <c r="H118" s="22" t="n">
        <v>146.881</v>
      </c>
      <c r="I118" s="22" t="n">
        <v>129.696</v>
      </c>
      <c r="J118" s="22" t="n">
        <v>224.258</v>
      </c>
      <c r="K118" s="22" t="n">
        <v>301</v>
      </c>
      <c r="L118" s="22" t="n">
        <v>390</v>
      </c>
    </row>
    <row r="119">
      <c r="A119" s="20" t="inlineStr">
        <is>
          <t>기타</t>
        </is>
      </c>
      <c r="C119" s="22" t="n">
        <v>466</v>
      </c>
      <c r="D119" s="22" t="n">
        <v>510</v>
      </c>
      <c r="E119" s="22" t="n">
        <v>528</v>
      </c>
      <c r="F119" s="22" t="n">
        <v>501</v>
      </c>
      <c r="G119" s="22" t="n">
        <v>560</v>
      </c>
      <c r="H119" s="22" t="n">
        <v>51.864</v>
      </c>
      <c r="I119" s="22" t="n">
        <v>55.516</v>
      </c>
      <c r="J119" s="22" t="n">
        <v>66.468</v>
      </c>
      <c r="K119" s="22" t="n">
        <v>70</v>
      </c>
      <c r="L119" s="22" t="n">
        <v>510</v>
      </c>
    </row>
    <row r="120">
      <c r="A120" s="20" t="inlineStr">
        <is>
          <t>투자 및 기타자산 합계</t>
        </is>
      </c>
      <c r="C120" s="22" t="n">
        <v>3789</v>
      </c>
      <c r="D120" s="22" t="n">
        <v>3857</v>
      </c>
      <c r="E120" s="22" t="n">
        <v>3903</v>
      </c>
      <c r="F120" s="22" t="n">
        <v>3937</v>
      </c>
      <c r="G120" s="22" t="n">
        <v>4039</v>
      </c>
      <c r="H120" s="22" t="n">
        <v>2409.55</v>
      </c>
      <c r="I120" s="22" t="n">
        <v>2753.606</v>
      </c>
      <c r="J120" s="22" t="n">
        <v>2584.216</v>
      </c>
      <c r="K120" s="22" t="n">
        <v>3736</v>
      </c>
      <c r="L120" s="22" t="n">
        <v>3857</v>
      </c>
    </row>
    <row r="121">
      <c r="A121" s="9" t="inlineStr">
        <is>
          <t>비유동자산 합계</t>
        </is>
      </c>
      <c r="C121" s="12" t="n">
        <v>15117</v>
      </c>
      <c r="D121" s="12" t="n">
        <v>15159</v>
      </c>
      <c r="E121" s="12" t="n">
        <v>15136</v>
      </c>
      <c r="F121" s="12" t="n">
        <v>15401</v>
      </c>
      <c r="G121" s="12" t="n">
        <v>15544</v>
      </c>
      <c r="H121" s="12" t="n">
        <v>12602.353</v>
      </c>
      <c r="I121" s="12" t="n">
        <v>13158.983</v>
      </c>
      <c r="J121" s="12" t="n">
        <v>13053.766</v>
      </c>
      <c r="K121" s="12" t="n">
        <v>14627</v>
      </c>
      <c r="L121" s="12" t="n">
        <v>15159</v>
      </c>
    </row>
    <row r="122">
      <c r="A122" s="9" t="inlineStr">
        <is>
          <t>자산 합계</t>
        </is>
      </c>
      <c r="C122" s="12" t="n">
        <v>25475</v>
      </c>
      <c r="D122" s="12" t="n">
        <v>26715</v>
      </c>
      <c r="E122" s="12" t="n">
        <v>27108</v>
      </c>
      <c r="F122" s="12" t="n">
        <v>28565</v>
      </c>
      <c r="G122" s="12" t="n">
        <v>28910</v>
      </c>
      <c r="H122" s="12" t="n">
        <v>26871.147</v>
      </c>
      <c r="I122" s="12" t="n">
        <v>21477.8</v>
      </c>
      <c r="J122" s="12" t="n">
        <v>22761.359</v>
      </c>
      <c r="K122" s="12" t="n">
        <v>24520</v>
      </c>
      <c r="L122" s="12" t="n">
        <v>26715</v>
      </c>
    </row>
    <row r="123">
      <c r="A123" s="20" t="inlineStr">
        <is>
          <t>매입채무</t>
        </is>
      </c>
      <c r="C123" s="22" t="n">
        <v>798</v>
      </c>
      <c r="D123" s="22" t="n">
        <v>894</v>
      </c>
      <c r="E123" s="22" t="n">
        <v>911</v>
      </c>
      <c r="F123" s="22" t="n">
        <v>912</v>
      </c>
      <c r="G123" s="22" t="n">
        <v>1009</v>
      </c>
      <c r="H123" s="22" t="n">
        <v>530.9880000000001</v>
      </c>
      <c r="I123" s="22" t="n">
        <v>725.331</v>
      </c>
      <c r="J123" s="22" t="n">
        <v>886.466</v>
      </c>
      <c r="K123" s="22" t="n">
        <v>789</v>
      </c>
      <c r="L123" s="22" t="n">
        <v>894</v>
      </c>
    </row>
    <row r="124">
      <c r="A124" s="20" t="inlineStr">
        <is>
          <t>단기차입금</t>
        </is>
      </c>
      <c r="C124" s="22" t="n">
        <v>137</v>
      </c>
      <c r="D124" s="22" t="n">
        <v>55</v>
      </c>
      <c r="E124" s="22" t="n">
        <v>147</v>
      </c>
      <c r="F124" s="22" t="n">
        <v>55</v>
      </c>
      <c r="G124" s="22" t="n">
        <v>137</v>
      </c>
      <c r="H124" s="22" t="n">
        <v>47.336</v>
      </c>
      <c r="I124" s="22" t="n">
        <v>76.696</v>
      </c>
      <c r="J124" s="22" t="n">
        <v>58.36</v>
      </c>
      <c r="K124" s="22" t="n">
        <v>55</v>
      </c>
      <c r="L124" s="22" t="n">
        <v>55</v>
      </c>
    </row>
    <row r="125">
      <c r="A125" s="20" t="inlineStr">
        <is>
          <t>1년 내 상환 장기차입금</t>
        </is>
      </c>
      <c r="D125" s="22" t="n">
        <v>0</v>
      </c>
      <c r="F125" s="22" t="n">
        <v>27</v>
      </c>
      <c r="G125" s="22" t="n">
        <v>27</v>
      </c>
      <c r="H125" s="22" t="n">
        <v>5199.992</v>
      </c>
      <c r="I125" s="22" t="n">
        <v>348</v>
      </c>
      <c r="J125" s="22" t="n">
        <v>120</v>
      </c>
      <c r="K125" s="22" t="n">
        <v>0</v>
      </c>
      <c r="L125" s="22" t="n">
        <v>0</v>
      </c>
    </row>
    <row r="126">
      <c r="A126" s="20" t="inlineStr">
        <is>
          <t>리스부채</t>
        </is>
      </c>
      <c r="C126" s="22" t="n">
        <v>27</v>
      </c>
      <c r="D126" s="22" t="n">
        <v>28</v>
      </c>
      <c r="E126" s="22" t="n">
        <v>28</v>
      </c>
      <c r="F126" s="22" t="n">
        <v>28</v>
      </c>
      <c r="G126" s="22" t="n">
        <v>29</v>
      </c>
      <c r="H126" s="22" t="n">
        <v>18.75</v>
      </c>
      <c r="I126" s="22" t="n">
        <v>21.15</v>
      </c>
      <c r="J126" s="22" t="n">
        <v>21.718</v>
      </c>
      <c r="K126" s="22" t="n">
        <v>28</v>
      </c>
      <c r="L126" s="22" t="n">
        <v>28</v>
      </c>
    </row>
    <row r="127">
      <c r="A127" s="20" t="inlineStr">
        <is>
          <t>미지급금</t>
        </is>
      </c>
      <c r="C127" s="22" t="n">
        <v>1051</v>
      </c>
      <c r="D127" s="22" t="n">
        <v>1627</v>
      </c>
      <c r="E127" s="22" t="n">
        <v>1300</v>
      </c>
      <c r="F127" s="22" t="n">
        <v>1887</v>
      </c>
      <c r="G127" s="22" t="n">
        <v>1268</v>
      </c>
      <c r="H127" s="22" t="n">
        <v>938.199</v>
      </c>
      <c r="I127" s="22" t="n">
        <v>937.687</v>
      </c>
      <c r="J127" s="22" t="n">
        <v>1050.845</v>
      </c>
      <c r="K127" s="22" t="n">
        <v>1291</v>
      </c>
      <c r="L127" s="22" t="n">
        <v>1627</v>
      </c>
    </row>
    <row r="128">
      <c r="A128" s="20" t="inlineStr">
        <is>
          <t>미지급비용</t>
        </is>
      </c>
      <c r="H128" s="22" t="n">
        <v>102.7</v>
      </c>
      <c r="I128" s="22" t="n">
        <v>87.423</v>
      </c>
    </row>
    <row r="129">
      <c r="A129" s="20" t="inlineStr">
        <is>
          <t>미지급법인세</t>
        </is>
      </c>
      <c r="C129" s="22" t="n">
        <v>420</v>
      </c>
      <c r="D129" s="22" t="n">
        <v>590</v>
      </c>
      <c r="E129" s="22" t="n">
        <v>420</v>
      </c>
      <c r="F129" s="22" t="n">
        <v>753</v>
      </c>
      <c r="G129" s="22" t="n">
        <v>724</v>
      </c>
      <c r="H129" s="22" t="n">
        <v>576.674</v>
      </c>
      <c r="I129" s="22" t="n">
        <v>129.24</v>
      </c>
      <c r="J129" s="22" t="n">
        <v>457.757</v>
      </c>
      <c r="K129" s="22" t="n">
        <v>564</v>
      </c>
      <c r="L129" s="22" t="n">
        <v>590</v>
      </c>
    </row>
    <row r="130">
      <c r="A130" s="20" t="inlineStr">
        <is>
          <t>미지급 소비세</t>
        </is>
      </c>
      <c r="H130" s="22" t="n">
        <v>0</v>
      </c>
      <c r="I130" s="22" t="n">
        <v>232.966</v>
      </c>
    </row>
    <row r="131">
      <c r="A131" s="20" t="inlineStr">
        <is>
          <t>계약부채</t>
        </is>
      </c>
      <c r="C131" s="22" t="n">
        <v>213</v>
      </c>
      <c r="D131" s="22" t="n">
        <v>288</v>
      </c>
      <c r="E131" s="22" t="n">
        <v>317</v>
      </c>
      <c r="F131" s="22" t="n">
        <v>391</v>
      </c>
      <c r="G131" s="22" t="n">
        <v>419</v>
      </c>
      <c r="H131" s="22" t="n">
        <v>58.705</v>
      </c>
      <c r="I131" s="22" t="n">
        <v>85.76300000000001</v>
      </c>
      <c r="J131" s="22" t="n">
        <v>123.846</v>
      </c>
      <c r="K131" s="22" t="n">
        <v>173</v>
      </c>
      <c r="L131" s="22" t="n">
        <v>288</v>
      </c>
    </row>
    <row r="132">
      <c r="A132" s="20" t="inlineStr">
        <is>
          <t>예수금</t>
        </is>
      </c>
      <c r="H132" s="22" t="n">
        <v>106.909</v>
      </c>
      <c r="I132" s="22" t="n">
        <v>77.88500000000001</v>
      </c>
    </row>
    <row r="133">
      <c r="A133" s="20" t="inlineStr">
        <is>
          <t>선수수익</t>
        </is>
      </c>
      <c r="H133" s="22" t="n">
        <v>2.569</v>
      </c>
      <c r="I133" s="22" t="n">
        <v>2.47</v>
      </c>
    </row>
    <row r="134">
      <c r="A134" s="20" t="inlineStr">
        <is>
          <t>상여충당금</t>
        </is>
      </c>
      <c r="C134" s="22" t="n">
        <v>310</v>
      </c>
      <c r="D134" s="22" t="n">
        <v>84</v>
      </c>
      <c r="E134" s="22" t="n">
        <v>311</v>
      </c>
      <c r="F134" s="22" t="n">
        <v>105</v>
      </c>
      <c r="G134" s="22" t="n">
        <v>324</v>
      </c>
      <c r="H134" s="22" t="n">
        <v>43.286</v>
      </c>
      <c r="I134" s="22" t="n">
        <v>45.865</v>
      </c>
      <c r="J134" s="22" t="n">
        <v>55.01</v>
      </c>
      <c r="K134" s="22" t="n">
        <v>76</v>
      </c>
      <c r="L134" s="22" t="n">
        <v>84</v>
      </c>
    </row>
    <row r="135">
      <c r="A135" s="20" t="inlineStr">
        <is>
          <t>판매촉진 충당금</t>
        </is>
      </c>
      <c r="C135" s="22" t="n">
        <v>152</v>
      </c>
      <c r="D135" s="22" t="n">
        <v>170</v>
      </c>
      <c r="E135" s="22" t="n">
        <v>171</v>
      </c>
      <c r="F135" s="22" t="n">
        <v>172</v>
      </c>
      <c r="G135" s="22" t="n">
        <v>195</v>
      </c>
      <c r="H135" s="22" t="n">
        <v>79.107</v>
      </c>
      <c r="I135" s="22" t="n">
        <v>74.44499999999999</v>
      </c>
      <c r="J135" s="22" t="n">
        <v>96.033</v>
      </c>
      <c r="K135" s="22" t="n">
        <v>129</v>
      </c>
      <c r="L135" s="22" t="n">
        <v>170</v>
      </c>
    </row>
    <row r="136">
      <c r="A136" s="20" t="inlineStr">
        <is>
          <t>자산복구부채</t>
        </is>
      </c>
      <c r="H136" s="22" t="n">
        <v>7.219</v>
      </c>
      <c r="I136" s="22" t="n">
        <v>0</v>
      </c>
    </row>
    <row r="137">
      <c r="A137" s="20" t="inlineStr">
        <is>
          <t>주주우대 충당금</t>
        </is>
      </c>
      <c r="C137" s="22" t="n">
        <v>28</v>
      </c>
      <c r="D137" s="22" t="n">
        <v>40</v>
      </c>
      <c r="E137" s="22" t="n">
        <v>29</v>
      </c>
      <c r="F137" s="22" t="n">
        <v>37</v>
      </c>
      <c r="G137" s="22" t="n">
        <v>26</v>
      </c>
      <c r="J137" s="22" t="n">
        <v>0</v>
      </c>
      <c r="K137" s="22" t="n">
        <v>41</v>
      </c>
      <c r="L137" s="22" t="n">
        <v>40</v>
      </c>
    </row>
    <row r="138">
      <c r="A138" s="20" t="inlineStr">
        <is>
          <t>기타</t>
        </is>
      </c>
      <c r="C138" s="22" t="n">
        <v>487</v>
      </c>
      <c r="D138" s="22" t="n">
        <v>497</v>
      </c>
      <c r="E138" s="22" t="n">
        <v>548</v>
      </c>
      <c r="F138" s="22" t="n">
        <v>523</v>
      </c>
      <c r="G138" s="22" t="n">
        <v>605</v>
      </c>
      <c r="H138" s="22" t="n">
        <v>1.024</v>
      </c>
      <c r="I138" s="22" t="n">
        <v>1.028</v>
      </c>
      <c r="J138" s="22" t="n">
        <v>576.548</v>
      </c>
      <c r="K138" s="22" t="n">
        <v>585</v>
      </c>
      <c r="L138" s="22" t="n">
        <v>497</v>
      </c>
    </row>
    <row r="139">
      <c r="A139" s="9" t="inlineStr">
        <is>
          <t>유동부채 합계</t>
        </is>
      </c>
      <c r="C139" s="12" t="n">
        <v>3626</v>
      </c>
      <c r="D139" s="12" t="n">
        <v>4277</v>
      </c>
      <c r="E139" s="12" t="n">
        <v>4185</v>
      </c>
      <c r="F139" s="12" t="n">
        <v>4895</v>
      </c>
      <c r="G139" s="12" t="n">
        <v>4768</v>
      </c>
      <c r="H139" s="12" t="n">
        <v>7713.462</v>
      </c>
      <c r="I139" s="12" t="n">
        <v>2845.954</v>
      </c>
      <c r="J139" s="12" t="n">
        <v>3446.587</v>
      </c>
      <c r="K139" s="12" t="n">
        <v>3735</v>
      </c>
      <c r="L139" s="12" t="n">
        <v>4277</v>
      </c>
    </row>
    <row r="140">
      <c r="A140" s="20" t="inlineStr">
        <is>
          <t>장기차입금</t>
        </is>
      </c>
      <c r="D140" s="22" t="n">
        <v>0</v>
      </c>
      <c r="F140" s="22" t="n">
        <v>89</v>
      </c>
      <c r="G140" s="22" t="n">
        <v>82</v>
      </c>
      <c r="H140" s="22" t="n">
        <v>600.016</v>
      </c>
      <c r="I140" s="22" t="n">
        <v>120</v>
      </c>
      <c r="J140" s="22" t="n">
        <v>0</v>
      </c>
      <c r="L140" s="22" t="n">
        <v>0</v>
      </c>
    </row>
    <row r="141">
      <c r="A141" s="20" t="inlineStr">
        <is>
          <t>리스부채</t>
        </is>
      </c>
      <c r="C141" s="22" t="n">
        <v>228</v>
      </c>
      <c r="D141" s="22" t="n">
        <v>243</v>
      </c>
      <c r="E141" s="22" t="n">
        <v>236</v>
      </c>
      <c r="F141" s="22" t="n">
        <v>229</v>
      </c>
      <c r="G141" s="22" t="n">
        <v>228</v>
      </c>
      <c r="H141" s="22" t="n">
        <v>225.591</v>
      </c>
      <c r="I141" s="22" t="n">
        <v>251.29</v>
      </c>
      <c r="J141" s="22" t="n">
        <v>245.817</v>
      </c>
      <c r="K141" s="22" t="n">
        <v>249</v>
      </c>
      <c r="L141" s="22" t="n">
        <v>243</v>
      </c>
    </row>
    <row r="142">
      <c r="A142" s="20" t="inlineStr">
        <is>
          <t>자산복구부채</t>
        </is>
      </c>
      <c r="C142" s="22" t="n">
        <v>466</v>
      </c>
      <c r="D142" s="22" t="n">
        <v>471</v>
      </c>
      <c r="E142" s="22" t="n">
        <v>473</v>
      </c>
      <c r="F142" s="22" t="n">
        <v>478</v>
      </c>
      <c r="G142" s="22" t="n">
        <v>479</v>
      </c>
      <c r="H142" s="22" t="n">
        <v>356.333</v>
      </c>
      <c r="I142" s="22" t="n">
        <v>372.288</v>
      </c>
      <c r="J142" s="22" t="n">
        <v>409.76</v>
      </c>
      <c r="K142" s="22" t="n">
        <v>455</v>
      </c>
      <c r="L142" s="22" t="n">
        <v>471</v>
      </c>
    </row>
    <row r="143">
      <c r="A143" s="20" t="inlineStr">
        <is>
          <t>기타</t>
        </is>
      </c>
      <c r="C143" s="22" t="n">
        <v>5</v>
      </c>
      <c r="D143" s="22" t="n">
        <v>5</v>
      </c>
      <c r="E143" s="22" t="n">
        <v>5</v>
      </c>
      <c r="F143" s="22" t="n">
        <v>11</v>
      </c>
      <c r="G143" s="22" t="n">
        <v>11</v>
      </c>
      <c r="H143" s="22" t="n">
        <v>13.043</v>
      </c>
      <c r="I143" s="22" t="n">
        <v>13.043</v>
      </c>
      <c r="J143" s="22" t="n">
        <v>12.564</v>
      </c>
      <c r="K143" s="22" t="n">
        <v>5</v>
      </c>
      <c r="L143" s="22" t="n">
        <v>5</v>
      </c>
    </row>
    <row r="144">
      <c r="A144" s="9" t="inlineStr">
        <is>
          <t>비유동부채 합계</t>
        </is>
      </c>
      <c r="C144" s="12" t="n">
        <v>700</v>
      </c>
      <c r="D144" s="12" t="n">
        <v>720</v>
      </c>
      <c r="E144" s="12" t="n">
        <v>715</v>
      </c>
      <c r="F144" s="12" t="n">
        <v>807</v>
      </c>
      <c r="G144" s="12" t="n">
        <v>800</v>
      </c>
      <c r="H144" s="12" t="n">
        <v>1194.984</v>
      </c>
      <c r="I144" s="12" t="n">
        <v>756.622</v>
      </c>
      <c r="J144" s="12" t="n">
        <v>668.1420000000001</v>
      </c>
      <c r="K144" s="12" t="n">
        <v>710</v>
      </c>
      <c r="L144" s="12" t="n">
        <v>720</v>
      </c>
    </row>
    <row r="145">
      <c r="A145" s="9" t="inlineStr">
        <is>
          <t>부채 합계</t>
        </is>
      </c>
      <c r="C145" s="12" t="n">
        <v>4327</v>
      </c>
      <c r="D145" s="12" t="n">
        <v>4997</v>
      </c>
      <c r="E145" s="12" t="n">
        <v>4901</v>
      </c>
      <c r="F145" s="12" t="n">
        <v>5703</v>
      </c>
      <c r="G145" s="12" t="n">
        <v>5569</v>
      </c>
      <c r="H145" s="12" t="n">
        <v>8908.446</v>
      </c>
      <c r="I145" s="12" t="n">
        <v>3602.576</v>
      </c>
      <c r="J145" s="12" t="n">
        <v>4114.729</v>
      </c>
      <c r="K145" s="12" t="n">
        <v>4446</v>
      </c>
      <c r="L145" s="12" t="n">
        <v>4997</v>
      </c>
    </row>
    <row r="146">
      <c r="A146" s="20" t="inlineStr">
        <is>
          <t>자본금</t>
        </is>
      </c>
      <c r="C146" s="22" t="n">
        <v>2210</v>
      </c>
      <c r="D146" s="22" t="n">
        <v>2210</v>
      </c>
      <c r="E146" s="22" t="n">
        <v>2210</v>
      </c>
      <c r="F146" s="22" t="n">
        <v>2210</v>
      </c>
      <c r="G146" s="22" t="n">
        <v>2210</v>
      </c>
      <c r="H146" s="22" t="n">
        <v>2210.667</v>
      </c>
      <c r="I146" s="22" t="n">
        <v>2210.667</v>
      </c>
      <c r="J146" s="22" t="n">
        <v>2210.667</v>
      </c>
      <c r="K146" s="22" t="n">
        <v>2210</v>
      </c>
      <c r="L146" s="22" t="n">
        <v>2210</v>
      </c>
    </row>
    <row r="147">
      <c r="A147" s="20" t="inlineStr">
        <is>
          <t>자본준비금</t>
        </is>
      </c>
      <c r="H147" s="22" t="n">
        <v>2120.664</v>
      </c>
      <c r="I147" s="22" t="n">
        <v>2120.664</v>
      </c>
    </row>
    <row r="148">
      <c r="A148" s="20" t="inlineStr">
        <is>
          <t>자본잉여금</t>
        </is>
      </c>
      <c r="C148" s="22" t="n">
        <v>2144</v>
      </c>
      <c r="D148" s="22" t="n">
        <v>2144</v>
      </c>
      <c r="E148" s="22" t="n">
        <v>2144</v>
      </c>
      <c r="F148" s="22" t="n">
        <v>2171</v>
      </c>
      <c r="G148" s="22" t="n">
        <v>2171</v>
      </c>
      <c r="H148" s="22" t="n">
        <v>2120.664</v>
      </c>
      <c r="I148" s="22" t="n">
        <v>2120.664</v>
      </c>
      <c r="J148" s="22" t="n">
        <v>2122.38</v>
      </c>
      <c r="K148" s="22" t="n">
        <v>2132</v>
      </c>
      <c r="L148" s="22" t="n">
        <v>2144</v>
      </c>
    </row>
    <row r="149">
      <c r="A149" s="20" t="inlineStr">
        <is>
          <t>이익준비금</t>
        </is>
      </c>
      <c r="H149" s="22" t="n">
        <v>58.887</v>
      </c>
      <c r="I149" s="22" t="n">
        <v>58.887</v>
      </c>
    </row>
    <row r="150">
      <c r="A150" s="20" t="inlineStr">
        <is>
          <t>고정자산 압축적립금</t>
        </is>
      </c>
      <c r="H150" s="22" t="n">
        <v>8.082000000000001</v>
      </c>
      <c r="I150" s="22" t="n">
        <v>7.174</v>
      </c>
    </row>
    <row r="151">
      <c r="A151" s="20" t="inlineStr">
        <is>
          <t>별도적립금</t>
        </is>
      </c>
      <c r="H151" s="22" t="n">
        <v>1000</v>
      </c>
      <c r="I151" s="22" t="n">
        <v>1000</v>
      </c>
    </row>
    <row r="152">
      <c r="A152" s="20" t="inlineStr">
        <is>
          <t>이월이익잉여금</t>
        </is>
      </c>
      <c r="H152" s="22" t="n">
        <v>12459.742</v>
      </c>
      <c r="I152" s="22" t="n">
        <v>12878.089</v>
      </c>
    </row>
    <row r="153">
      <c r="A153" s="20" t="inlineStr">
        <is>
          <t>이익잉여금</t>
        </is>
      </c>
      <c r="C153" s="22" t="n">
        <v>17109</v>
      </c>
      <c r="D153" s="22" t="n">
        <v>17669</v>
      </c>
      <c r="E153" s="22" t="n">
        <v>18139</v>
      </c>
      <c r="F153" s="22" t="n">
        <v>18735</v>
      </c>
      <c r="G153" s="22" t="n">
        <v>19196</v>
      </c>
      <c r="H153" s="22" t="n">
        <v>13526.712</v>
      </c>
      <c r="I153" s="22" t="n">
        <v>13944.151</v>
      </c>
      <c r="J153" s="22" t="n">
        <v>14683.031</v>
      </c>
      <c r="K153" s="22" t="n">
        <v>16071</v>
      </c>
      <c r="L153" s="22" t="n">
        <v>17669</v>
      </c>
    </row>
    <row r="154">
      <c r="A154" s="20" t="inlineStr">
        <is>
          <t>자기주식</t>
        </is>
      </c>
      <c r="C154" s="22" t="n">
        <v>-436</v>
      </c>
      <c r="D154" s="22" t="n">
        <v>-436</v>
      </c>
      <c r="E154" s="22" t="n">
        <v>-436</v>
      </c>
      <c r="F154" s="22" t="n">
        <v>-407</v>
      </c>
      <c r="G154" s="22" t="n">
        <v>-407</v>
      </c>
      <c r="H154" s="22" t="n">
        <v>-1.801</v>
      </c>
      <c r="I154" s="22" t="n">
        <v>-506.753</v>
      </c>
      <c r="J154" s="22" t="n">
        <v>-487.009</v>
      </c>
      <c r="K154" s="22" t="n">
        <v>-463</v>
      </c>
      <c r="L154" s="22" t="n">
        <v>-436</v>
      </c>
    </row>
    <row r="155">
      <c r="A155" s="9" t="inlineStr">
        <is>
          <t>주주자본 합계</t>
        </is>
      </c>
      <c r="C155" s="12" t="n">
        <v>21027</v>
      </c>
      <c r="D155" s="12" t="n">
        <v>21587</v>
      </c>
      <c r="E155" s="12" t="n">
        <v>22057</v>
      </c>
      <c r="F155" s="12" t="n">
        <v>22709</v>
      </c>
      <c r="G155" s="12" t="n">
        <v>23171</v>
      </c>
      <c r="H155" s="12" t="n">
        <v>17856.242</v>
      </c>
      <c r="I155" s="12" t="n">
        <v>17768.729</v>
      </c>
      <c r="J155" s="12" t="n">
        <v>18529.069</v>
      </c>
      <c r="K155" s="12" t="n">
        <v>19951</v>
      </c>
      <c r="L155" s="12" t="n">
        <v>21587</v>
      </c>
    </row>
    <row r="156">
      <c r="A156" s="20" t="inlineStr">
        <is>
          <t>기타유가증권 평가차액</t>
        </is>
      </c>
      <c r="C156" s="22" t="n">
        <v>53</v>
      </c>
      <c r="D156" s="22" t="n">
        <v>62</v>
      </c>
      <c r="E156" s="22" t="n">
        <v>82</v>
      </c>
      <c r="F156" s="22" t="n">
        <v>84</v>
      </c>
      <c r="G156" s="22" t="n">
        <v>102</v>
      </c>
      <c r="H156" s="22" t="n">
        <v>25.177</v>
      </c>
      <c r="I156" s="22" t="n">
        <v>21.66</v>
      </c>
      <c r="J156" s="22" t="n">
        <v>32.726</v>
      </c>
      <c r="K156" s="22" t="n">
        <v>46</v>
      </c>
      <c r="L156" s="22" t="n">
        <v>62</v>
      </c>
    </row>
    <row r="157">
      <c r="A157" s="20" t="inlineStr">
        <is>
          <t>기타포괄손익누계액 합계</t>
        </is>
      </c>
      <c r="C157" s="22" t="n">
        <v>53</v>
      </c>
      <c r="D157" s="22" t="n">
        <v>62</v>
      </c>
      <c r="E157" s="22" t="n">
        <v>82</v>
      </c>
      <c r="F157" s="22" t="n">
        <v>84</v>
      </c>
      <c r="G157" s="22" t="n">
        <v>102</v>
      </c>
      <c r="H157" s="22" t="n">
        <v>25.177</v>
      </c>
      <c r="I157" s="22" t="n">
        <v>21.66</v>
      </c>
      <c r="J157" s="22" t="n">
        <v>32.726</v>
      </c>
      <c r="K157" s="22" t="n">
        <v>46</v>
      </c>
      <c r="L157" s="22" t="n">
        <v>62</v>
      </c>
    </row>
    <row r="158">
      <c r="A158" s="20" t="inlineStr">
        <is>
          <t>신주예약권</t>
        </is>
      </c>
      <c r="C158" s="22" t="n">
        <v>67</v>
      </c>
      <c r="D158" s="22" t="n">
        <v>67</v>
      </c>
      <c r="E158" s="22" t="n">
        <v>67</v>
      </c>
      <c r="F158" s="22" t="n">
        <v>67</v>
      </c>
      <c r="G158" s="22" t="n">
        <v>67</v>
      </c>
      <c r="H158" s="22" t="n">
        <v>81.28100000000001</v>
      </c>
      <c r="I158" s="22" t="n">
        <v>84.834</v>
      </c>
      <c r="J158" s="22" t="n">
        <v>84.834</v>
      </c>
      <c r="K158" s="22" t="n">
        <v>77</v>
      </c>
      <c r="L158" s="22" t="n">
        <v>67</v>
      </c>
    </row>
    <row r="159">
      <c r="A159" s="9" t="inlineStr">
        <is>
          <t>순자산 합계</t>
        </is>
      </c>
      <c r="C159" s="12" t="n">
        <v>21148</v>
      </c>
      <c r="D159" s="12" t="n">
        <v>21717</v>
      </c>
      <c r="E159" s="12" t="n">
        <v>22207</v>
      </c>
      <c r="F159" s="12" t="n">
        <v>22861</v>
      </c>
      <c r="G159" s="12" t="n">
        <v>23341</v>
      </c>
      <c r="H159" s="12" t="n">
        <v>17962.7</v>
      </c>
      <c r="I159" s="12" t="n">
        <v>17875.224</v>
      </c>
      <c r="J159" s="12" t="n">
        <v>18646.629</v>
      </c>
      <c r="K159" s="12" t="n">
        <v>20074</v>
      </c>
      <c r="L159" s="12" t="n">
        <v>21717</v>
      </c>
    </row>
    <row r="160">
      <c r="A160" s="9" t="inlineStr">
        <is>
          <t>부채·순자산 합계</t>
        </is>
      </c>
      <c r="C160" s="12" t="n">
        <v>25475</v>
      </c>
      <c r="D160" s="12" t="n">
        <v>26715</v>
      </c>
      <c r="E160" s="12" t="n">
        <v>27108</v>
      </c>
      <c r="F160" s="12" t="n">
        <v>28565</v>
      </c>
      <c r="G160" s="12" t="n">
        <v>28910</v>
      </c>
      <c r="H160" s="12" t="n">
        <v>26871.147</v>
      </c>
      <c r="I160" s="12" t="n">
        <v>21477.8</v>
      </c>
      <c r="J160" s="12" t="n">
        <v>22761.359</v>
      </c>
      <c r="K160" s="12" t="n">
        <v>24520</v>
      </c>
      <c r="L160" s="12" t="n">
        <v>26715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브롱코빌리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ttm 순이익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2023-Q4</t>
        </is>
      </c>
      <c r="B6" s="57" t="n">
        <v>10.03</v>
      </c>
      <c r="C6" s="58" t="inlineStr">
        <is>
          <t>2단계 보고서 자료(회사 설명회 자료·공시)</t>
        </is>
      </c>
    </row>
    <row r="7">
      <c r="A7" s="56" t="inlineStr">
        <is>
          <t>2024-Q1</t>
        </is>
      </c>
      <c r="B7" s="57" t="n">
        <v>13.42</v>
      </c>
    </row>
    <row r="8">
      <c r="A8" s="56" t="inlineStr">
        <is>
          <t>2024-Q2</t>
        </is>
      </c>
      <c r="B8" s="57" t="n">
        <v>14.92</v>
      </c>
    </row>
    <row r="9">
      <c r="A9" s="56" t="inlineStr">
        <is>
          <t>2024-Q3</t>
        </is>
      </c>
      <c r="B9" s="57" t="n">
        <v>16.35</v>
      </c>
    </row>
    <row r="10">
      <c r="A10" s="56" t="inlineStr">
        <is>
          <t>2024-Q4</t>
        </is>
      </c>
      <c r="B10" s="57" t="n">
        <v>17.15</v>
      </c>
    </row>
    <row r="11">
      <c r="A11" s="56" t="inlineStr">
        <is>
          <t>2025-Q1</t>
        </is>
      </c>
      <c r="B11" s="57" t="n">
        <v>15.61</v>
      </c>
    </row>
    <row r="12">
      <c r="A12" s="56" t="inlineStr">
        <is>
          <t>2025-Q2</t>
        </is>
      </c>
      <c r="B12" s="57" t="n">
        <v>17.33</v>
      </c>
    </row>
    <row r="13">
      <c r="A13" s="56" t="inlineStr">
        <is>
          <t>2025-Q3</t>
        </is>
      </c>
      <c r="B13" s="57" t="n">
        <v>17.65</v>
      </c>
    </row>
    <row r="14">
      <c r="A14" s="56" t="inlineStr">
        <is>
          <t>2025-Q4</t>
        </is>
      </c>
      <c r="B14" s="57" t="n">
        <v>19.69</v>
      </c>
    </row>
    <row r="15">
      <c r="A15" s="56" t="inlineStr">
        <is>
          <t>2026-Q1</t>
        </is>
      </c>
      <c r="B15" s="57" t="n">
        <v>22.89</v>
      </c>
    </row>
    <row r="16">
      <c r="A16" s="56" t="inlineStr">
        <is>
          <t>2026-Q2</t>
        </is>
      </c>
      <c r="B16" s="57" t="n">
        <v>24.17</v>
      </c>
    </row>
    <row r="17">
      <c r="A17" s="56" t="inlineStr">
        <is>
          <t>2026-Q3</t>
        </is>
      </c>
      <c r="B17" s="57" t="n">
        <v>25.99</v>
      </c>
    </row>
    <row r="19">
      <c r="A19" s="54" t="inlineStr">
        <is>
          <t>EPS ttm</t>
        </is>
      </c>
      <c r="B19" s="54" t="n"/>
      <c r="C19" s="54" t="n"/>
    </row>
    <row r="20">
      <c r="A20" s="55" t="inlineStr">
        <is>
          <t>항목</t>
        </is>
      </c>
      <c r="B20" s="55" t="inlineStr">
        <is>
          <t>값</t>
        </is>
      </c>
      <c r="C20" s="55" t="inlineStr">
        <is>
          <t>출처</t>
        </is>
      </c>
    </row>
    <row r="21">
      <c r="A21" s="56" t="inlineStr">
        <is>
          <t>2023-Q4</t>
        </is>
      </c>
      <c r="B21" s="57" t="n">
        <v>33.67</v>
      </c>
      <c r="C21" s="58" t="inlineStr">
        <is>
          <t>2단계 보고서 자료(회사 설명회 자료·공시)</t>
        </is>
      </c>
    </row>
    <row r="22">
      <c r="A22" s="56" t="inlineStr">
        <is>
          <t>2024-Q1</t>
        </is>
      </c>
      <c r="B22" s="57" t="n">
        <v>45.05</v>
      </c>
    </row>
    <row r="23">
      <c r="A23" s="56" t="inlineStr">
        <is>
          <t>2024-Q2</t>
        </is>
      </c>
      <c r="B23" s="57" t="n">
        <v>50.09</v>
      </c>
    </row>
    <row r="24">
      <c r="A24" s="56" t="inlineStr">
        <is>
          <t>2024-Q3</t>
        </is>
      </c>
      <c r="B24" s="57" t="n">
        <v>54.89</v>
      </c>
    </row>
    <row r="25">
      <c r="A25" s="56" t="inlineStr">
        <is>
          <t>2024-Q4</t>
        </is>
      </c>
      <c r="B25" s="57" t="n">
        <v>57.57</v>
      </c>
    </row>
    <row r="26">
      <c r="A26" s="56" t="inlineStr">
        <is>
          <t>2025-Q1</t>
        </is>
      </c>
      <c r="B26" s="57" t="n">
        <v>52.4</v>
      </c>
    </row>
    <row r="27">
      <c r="A27" s="56" t="inlineStr">
        <is>
          <t>2025-Q2</t>
        </is>
      </c>
      <c r="B27" s="57" t="n">
        <v>58.18</v>
      </c>
    </row>
    <row r="28">
      <c r="A28" s="56" t="inlineStr">
        <is>
          <t>2025-Q3</t>
        </is>
      </c>
      <c r="B28" s="57" t="n">
        <v>59.25</v>
      </c>
    </row>
    <row r="29">
      <c r="A29" s="56" t="inlineStr">
        <is>
          <t>2025-Q4</t>
        </is>
      </c>
      <c r="B29" s="57" t="n">
        <v>66.09999999999999</v>
      </c>
    </row>
    <row r="30">
      <c r="A30" s="56" t="inlineStr">
        <is>
          <t>2026-Q1</t>
        </is>
      </c>
      <c r="B30" s="57" t="n">
        <v>76.84</v>
      </c>
    </row>
    <row r="31">
      <c r="A31" s="56" t="inlineStr">
        <is>
          <t>2026-Q2</t>
        </is>
      </c>
      <c r="B31" s="57" t="n">
        <v>81.14</v>
      </c>
    </row>
    <row r="32">
      <c r="A32" s="56" t="inlineStr">
        <is>
          <t>2026-Q3</t>
        </is>
      </c>
      <c r="B32" s="57" t="n">
        <v>87.25</v>
      </c>
    </row>
    <row r="34">
      <c r="A34" s="54" t="inlineStr">
        <is>
          <t>inc 이익률</t>
        </is>
      </c>
      <c r="B34" s="54" t="n"/>
      <c r="C34" s="54" t="n"/>
    </row>
    <row r="35">
      <c r="A35" s="55" t="inlineStr">
        <is>
          <t>항목</t>
        </is>
      </c>
      <c r="B35" s="55" t="inlineStr">
        <is>
          <t>값</t>
        </is>
      </c>
      <c r="C35" s="55" t="inlineStr">
        <is>
          <t>출처</t>
        </is>
      </c>
    </row>
    <row r="36">
      <c r="A36" s="56" t="inlineStr">
        <is>
          <t>2024-Q2</t>
        </is>
      </c>
      <c r="B36" s="57" t="n">
        <v>41.1</v>
      </c>
      <c r="C36" s="58" t="inlineStr">
        <is>
          <t>2단계 보고서 자료(회사 설명회 자료·공시)</t>
        </is>
      </c>
    </row>
    <row r="37">
      <c r="A37" s="56" t="inlineStr">
        <is>
          <t>2024-Q3</t>
        </is>
      </c>
      <c r="B37" s="57" t="n">
        <v>15.4</v>
      </c>
    </row>
    <row r="38">
      <c r="A38" s="56" t="inlineStr">
        <is>
          <t>2024-Q4</t>
        </is>
      </c>
      <c r="B38" s="57" t="n">
        <v>7.6</v>
      </c>
    </row>
    <row r="39">
      <c r="A39" s="56" t="inlineStr">
        <is>
          <t>2025-Q1</t>
        </is>
      </c>
      <c r="B39" s="57" t="n">
        <v>-32.4</v>
      </c>
    </row>
    <row r="40">
      <c r="A40" s="56" t="inlineStr">
        <is>
          <t>2025-Q2</t>
        </is>
      </c>
      <c r="B40" s="57" t="n">
        <v>21.6</v>
      </c>
    </row>
    <row r="41">
      <c r="A41" s="56" t="inlineStr">
        <is>
          <t>2025-Q3</t>
        </is>
      </c>
      <c r="B41" s="57" t="n">
        <v>6.5</v>
      </c>
    </row>
    <row r="42">
      <c r="A42" s="56" t="inlineStr">
        <is>
          <t>2025-Q4</t>
        </is>
      </c>
      <c r="B42" s="57" t="n">
        <v>32.8</v>
      </c>
    </row>
    <row r="43">
      <c r="A43" s="56" t="inlineStr">
        <is>
          <t>2026-Q1</t>
        </is>
      </c>
      <c r="B43" s="57" t="n">
        <v>52.1</v>
      </c>
    </row>
    <row r="44">
      <c r="A44" s="56" t="inlineStr">
        <is>
          <t>2026-Q2</t>
        </is>
      </c>
      <c r="B44" s="57" t="n">
        <v>22.2</v>
      </c>
    </row>
    <row r="45">
      <c r="A45" s="56" t="inlineStr">
        <is>
          <t>2026-Q3</t>
        </is>
      </c>
      <c r="B45" s="57" t="n">
        <v>29.2</v>
      </c>
    </row>
    <row r="47">
      <c r="A47" s="54" t="inlineStr">
        <is>
          <t>가이던스 fy26 · initial 0120</t>
        </is>
      </c>
      <c r="B47" s="54" t="n"/>
      <c r="C47" s="54" t="n"/>
    </row>
    <row r="48">
      <c r="A48" s="55" t="inlineStr">
        <is>
          <t>항목</t>
        </is>
      </c>
      <c r="B48" s="55" t="inlineStr">
        <is>
          <t>값</t>
        </is>
      </c>
      <c r="C48" s="55" t="inlineStr">
        <is>
          <t>출처</t>
        </is>
      </c>
    </row>
    <row r="49">
      <c r="A49" s="56" t="inlineStr">
        <is>
          <t>매출</t>
        </is>
      </c>
      <c r="B49" s="59" t="n">
        <v>330</v>
      </c>
      <c r="C49" s="58" t="inlineStr">
        <is>
          <t>2단계 보고서 자료(회사 설명회 자료·공시)</t>
        </is>
      </c>
    </row>
    <row r="50">
      <c r="A50" s="56" t="inlineStr">
        <is>
          <t>영업이익</t>
        </is>
      </c>
      <c r="B50" s="57" t="n">
        <v>30</v>
      </c>
    </row>
    <row r="51">
      <c r="A51" s="56" t="inlineStr">
        <is>
          <t>순이익</t>
        </is>
      </c>
      <c r="B51" s="57" t="n">
        <v>20</v>
      </c>
    </row>
    <row r="53">
      <c r="A53" s="54" t="inlineStr">
        <is>
          <t>가이던스 fy26 · 매출 0722</t>
        </is>
      </c>
      <c r="B53" s="54" t="n"/>
      <c r="C53" s="54" t="n"/>
    </row>
    <row r="54">
      <c r="A54" s="55" t="inlineStr">
        <is>
          <t>항목</t>
        </is>
      </c>
      <c r="B54" s="55" t="inlineStr">
        <is>
          <t>값</t>
        </is>
      </c>
      <c r="C54" s="55" t="inlineStr">
        <is>
          <t>출처</t>
        </is>
      </c>
    </row>
    <row r="55">
      <c r="A55" s="56" t="inlineStr">
        <is>
          <t>매출</t>
        </is>
      </c>
      <c r="B55" s="59" t="n">
        <v>340</v>
      </c>
      <c r="C55" s="58" t="inlineStr">
        <is>
          <t>2단계 보고서 자료(회사 설명회 자료·공시)</t>
        </is>
      </c>
    </row>
    <row r="56">
      <c r="A56" s="56" t="inlineStr">
        <is>
          <t>영업이익</t>
        </is>
      </c>
      <c r="B56" s="57" t="n">
        <v>39.7</v>
      </c>
    </row>
    <row r="57">
      <c r="A57" s="56" t="inlineStr">
        <is>
          <t>순이익</t>
        </is>
      </c>
      <c r="B57" s="57" t="n">
        <v>26</v>
      </c>
    </row>
    <row r="59">
      <c r="A59" s="54" t="inlineStr">
        <is>
          <t>sss 2026</t>
        </is>
      </c>
      <c r="B59" s="54" t="n"/>
      <c r="C59" s="54" t="n"/>
    </row>
    <row r="60">
      <c r="A60" s="55" t="inlineStr">
        <is>
          <t>항목</t>
        </is>
      </c>
      <c r="B60" s="55" t="inlineStr">
        <is>
          <t>값</t>
        </is>
      </c>
      <c r="C60" s="55" t="inlineStr">
        <is>
          <t>출처</t>
        </is>
      </c>
    </row>
    <row r="61">
      <c r="A61" s="56" t="inlineStr">
        <is>
          <t>1Q</t>
        </is>
      </c>
      <c r="B61" s="57" t="n">
        <v>106.7</v>
      </c>
      <c r="C61" s="58" t="inlineStr">
        <is>
          <t>2단계 보고서 자료(회사 설명회 자료·공시)</t>
        </is>
      </c>
    </row>
    <row r="62">
      <c r="A62" s="56" t="inlineStr">
        <is>
          <t>2Q</t>
        </is>
      </c>
      <c r="B62" s="57" t="n">
        <v>108.8</v>
      </c>
    </row>
    <row r="63">
      <c r="A63" s="56" t="inlineStr">
        <is>
          <t>3Q</t>
        </is>
      </c>
      <c r="B63" s="57" t="n">
        <v>107.9</v>
      </c>
    </row>
    <row r="64">
      <c r="A64" s="56" t="inlineStr">
        <is>
          <t>9M</t>
        </is>
      </c>
      <c r="B64" s="57" t="n">
        <v>107.8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2026-10-22</t>
        </is>
      </c>
      <c r="B4" t="inlineStr">
        <is>
          <t>2026년 12월 결산기 ３분기 결산단신</t>
        </is>
      </c>
      <c r="C4" t="inlineStr">
        <is>
          <t>https://www2.jpx.co.jp/disc/30910/140120261017552553.pdf</t>
        </is>
      </c>
    </row>
    <row r="5">
      <c r="A5" t="inlineStr">
        <is>
          <t>2026-07-22</t>
        </is>
      </c>
      <c r="B5" t="inlineStr">
        <is>
          <t>2026년 12월 결산기 ２분기 결산단신</t>
        </is>
      </c>
      <c r="C5" t="inlineStr">
        <is>
          <t>https://www2.jpx.co.jp/disc/30910/140120260721596924.pdf</t>
        </is>
      </c>
    </row>
    <row r="6">
      <c r="A6" t="inlineStr">
        <is>
          <t>2026-04-21</t>
        </is>
      </c>
      <c r="B6" t="inlineStr">
        <is>
          <t>2026년 12월 결산기 1분기 결산단신</t>
        </is>
      </c>
      <c r="C6" t="inlineStr">
        <is>
          <t>https://www2.jpx.co.jp/disc/30910/140120260420506528.pdf</t>
        </is>
      </c>
    </row>
    <row r="7">
      <c r="A7" t="inlineStr">
        <is>
          <t>2026-01-20</t>
        </is>
      </c>
      <c r="B7" t="inlineStr">
        <is>
          <t>2025년 12월 결산기 연간 결산단신</t>
        </is>
      </c>
      <c r="C7" t="inlineStr">
        <is>
          <t>https://www2.jpx.co.jp/disc/30910/140120260119535431.pdf</t>
        </is>
      </c>
    </row>
    <row r="8">
      <c r="A8" t="inlineStr">
        <is>
          <t>2025-10-21</t>
        </is>
      </c>
      <c r="B8" t="inlineStr">
        <is>
          <t>2025년 12월 결산기 ３분기 결산단신</t>
        </is>
      </c>
      <c r="C8" t="inlineStr">
        <is>
          <t>https://www2.jpx.co.jp/disc/30910/140120251020575857.pdf</t>
        </is>
      </c>
    </row>
    <row r="9">
      <c r="A9" t="inlineStr">
        <is>
          <t>2025-07-23</t>
        </is>
      </c>
      <c r="B9" t="inlineStr">
        <is>
          <t>2025년 12월 결산기 ２분기 결산단신</t>
        </is>
      </c>
      <c r="C9" t="inlineStr">
        <is>
          <t>https://www2.jpx.co.jp/disc/30910/140120250721517424.pdf</t>
        </is>
      </c>
    </row>
    <row r="10">
      <c r="A10" t="inlineStr">
        <is>
          <t>2025-04-22</t>
        </is>
      </c>
      <c r="B10" t="inlineStr">
        <is>
          <t>2025년 12월 결산기 1분기 결산단신</t>
        </is>
      </c>
      <c r="C10" t="inlineStr">
        <is>
          <t>https://www2.jpx.co.jp/disc/30910/140120250417517452.pdf</t>
        </is>
      </c>
    </row>
    <row r="11">
      <c r="A11" t="inlineStr">
        <is>
          <t>2025-01-21</t>
        </is>
      </c>
      <c r="B11" t="inlineStr">
        <is>
          <t>2024년 12월 결산기 연간 결산단신</t>
        </is>
      </c>
      <c r="C11" t="inlineStr">
        <is>
          <t>https://www2.jpx.co.jp/disc/30910/140120250121553066.pdf</t>
        </is>
      </c>
    </row>
    <row r="12">
      <c r="A12" t="inlineStr">
        <is>
          <t>2024-10-18</t>
        </is>
      </c>
      <c r="B12" t="inlineStr">
        <is>
          <t>2024년 12월 결산기 ３분기 결산단신</t>
        </is>
      </c>
      <c r="C12" t="inlineStr">
        <is>
          <t>https://www2.jpx.co.jp/disc/30910/140120241009595794.pdf</t>
        </is>
      </c>
    </row>
    <row r="13">
      <c r="A13" t="inlineStr">
        <is>
          <t>2024-07-18</t>
        </is>
      </c>
      <c r="B13" t="inlineStr">
        <is>
          <t>2024년 12월 결산기 ２분기 결산단신</t>
        </is>
      </c>
      <c r="C13" t="inlineStr">
        <is>
          <t>https://www2.jpx.co.jp/disc/30910/140120240716549498.pdf</t>
        </is>
      </c>
    </row>
    <row r="14">
      <c r="A14" t="inlineStr">
        <is>
          <t>2024-04-18</t>
        </is>
      </c>
      <c r="B14" t="inlineStr">
        <is>
          <t>2024년 12월 결산기 １분기 결산단신</t>
        </is>
      </c>
      <c r="C14" t="inlineStr">
        <is>
          <t>https://www2.jpx.co.jp/disc/30910/140120240411569280.pdf</t>
        </is>
      </c>
    </row>
    <row r="15">
      <c r="A15" t="inlineStr">
        <is>
          <t>2024-01-18</t>
        </is>
      </c>
      <c r="B15" t="inlineStr">
        <is>
          <t>2023년 12월 결산기 연간 결산단신</t>
        </is>
      </c>
      <c r="C15" t="inlineStr">
        <is>
          <t>https://www2.jpx.co.jp/disc/30910/140120240114514848.pdf</t>
        </is>
      </c>
    </row>
    <row r="16">
      <c r="A16" t="inlineStr">
        <is>
          <t>2023-10-17</t>
        </is>
      </c>
      <c r="B16" t="inlineStr">
        <is>
          <t>2023년 12월 결산기 ３분기 결산단신</t>
        </is>
      </c>
      <c r="C16" t="inlineStr">
        <is>
          <t>https://www2.jpx.co.jp/disc/30910/140120231017567826.pdf</t>
        </is>
      </c>
    </row>
    <row r="17">
      <c r="A17" t="inlineStr">
        <is>
          <t>2023-07-18</t>
        </is>
      </c>
      <c r="B17" t="inlineStr">
        <is>
          <t>2023년 12월 결산기 ２분기 결산단신</t>
        </is>
      </c>
      <c r="C17" t="inlineStr">
        <is>
          <t>https://www2.jpx.co.jp/disc/30910/140120230710520080.pdf</t>
        </is>
      </c>
    </row>
    <row r="18">
      <c r="A18" t="inlineStr">
        <is>
          <t>2023-04-18</t>
        </is>
      </c>
      <c r="B18" t="inlineStr">
        <is>
          <t>2023년 12월 결산기 １분기 결산단신</t>
        </is>
      </c>
      <c r="C18" t="inlineStr">
        <is>
          <t>https://www2.jpx.co.jp/disc/30910/140120230330539360.pdf</t>
        </is>
      </c>
    </row>
    <row r="19">
      <c r="A19" t="inlineStr">
        <is>
          <t>2023-01-16</t>
        </is>
      </c>
      <c r="B19" t="inlineStr">
        <is>
          <t>2022년 12월 결산기 연간 결산단신</t>
        </is>
      </c>
      <c r="C19" t="inlineStr">
        <is>
          <t>https://www2.jpx.co.jp/disc/30910/140120230110587289.pdf</t>
        </is>
      </c>
    </row>
    <row r="20">
      <c r="A20" t="inlineStr">
        <is>
          <t>2022-01-14</t>
        </is>
      </c>
      <c r="B20" t="inlineStr">
        <is>
          <t>2021년 12월 결산기 연간 결산단신</t>
        </is>
      </c>
      <c r="C20" t="inlineStr">
        <is>
          <t>https://www2.jpx.co.jp/disc/30910/140120220112566268.pdf</t>
        </is>
      </c>
    </row>
    <row r="21">
      <c r="A21" t="inlineStr">
        <is>
          <t>2021-01-15</t>
        </is>
      </c>
      <c r="B21" t="inlineStr">
        <is>
          <t>2020년 12월 결산기 연간 결산단신</t>
        </is>
      </c>
      <c r="C21" t="inlineStr">
        <is>
          <t>https://www2.jpx.co.jp/disc/30910/140120210113443598.pdf</t>
        </is>
      </c>
    </row>
    <row r="22">
      <c r="A22" t="inlineStr">
        <is>
          <t>2020-01-15</t>
        </is>
      </c>
      <c r="B22" t="inlineStr">
        <is>
          <t>2019년 12월 결산기 연간 결산단신</t>
        </is>
      </c>
      <c r="C22" t="inlineStr">
        <is>
          <t>https://www2.jpx.co.jp/disc/30910/140120200113446086.pdf</t>
        </is>
      </c>
    </row>
    <row r="23">
      <c r="A23" t="inlineStr">
        <is>
          <t>2019-01-16</t>
        </is>
      </c>
      <c r="B23" t="inlineStr">
        <is>
          <t>연간 결산단신</t>
        </is>
      </c>
      <c r="C23" t="inlineStr">
        <is>
          <t>https://www2.jpx.co.jp/disc/30910/140120190112459489.pdf</t>
        </is>
      </c>
    </row>
    <row r="24">
      <c r="A24" t="inlineStr">
        <is>
          <t>2018-01-16</t>
        </is>
      </c>
      <c r="B24" t="inlineStr">
        <is>
          <t>연간 결산단신</t>
        </is>
      </c>
      <c r="C24" t="inlineStr">
        <is>
          <t>https://www2.jpx.co.jp/disc/30910/140120180112450115.pdf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2026-10-26T10:53:30Z</dcterms:created>
  <dcterms:modified xmlns:dcterms="http://purl.org/dc/terms/" xmlns:xsi="http://www.w3.org/2001/XMLSchema-instance" xsi:type="dcterms:W3CDTF">2026-10-26T10:53:31Z</dcterms:modified>
</cp:coreProperties>
</file>